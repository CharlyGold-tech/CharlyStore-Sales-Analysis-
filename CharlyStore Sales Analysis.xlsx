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ACD2C5DD-74B9-465B-9163-9D47D5CA8744}" xr6:coauthVersionLast="47" xr6:coauthVersionMax="47" xr10:uidLastSave="{00000000-0000-0000-0000-000000000000}"/>
  <bookViews>
    <workbookView xWindow="-110" yWindow="-110" windowWidth="19420" windowHeight="10300" firstSheet="1" activeTab="6" xr2:uid="{00000000-000D-0000-FFFF-FFFF00000000}"/>
  </bookViews>
  <sheets>
    <sheet name="Raw_Sales_Data" sheetId="1" r:id="rId1"/>
    <sheet name="Product_Lookup" sheetId="2" r:id="rId2"/>
    <sheet name="Customer_Lookup" sheetId="3" r:id="rId3"/>
    <sheet name="Raw_Sales_Data _Cleaned" sheetId="4" r:id="rId4"/>
    <sheet name="Input" sheetId="5" r:id="rId5"/>
    <sheet name="Pivot Tables" sheetId="7" r:id="rId6"/>
    <sheet name="Dashboard" sheetId="6" r:id="rId7"/>
  </sheets>
  <definedNames>
    <definedName name="_xlnm._FilterDatabase" localSheetId="0" hidden="1">Raw_Sales_Data!$A$2:$J$3357</definedName>
    <definedName name="_xlnm._FilterDatabase" localSheetId="3" hidden="1">'Raw_Sales_Data _Cleaned'!$A$1:$I$3356</definedName>
    <definedName name="Slicer_Category">#N/A</definedName>
    <definedName name="Slicer_Monthname">#N/A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0" i="5" l="1"/>
  <c r="A11" i="5"/>
  <c r="A8" i="5"/>
  <c r="L3301" i="4"/>
  <c r="K3301" i="4"/>
  <c r="J3301" i="4"/>
  <c r="M3301" i="4" s="1"/>
  <c r="I3301" i="4"/>
  <c r="R3301" i="4" s="1"/>
  <c r="Q3300" i="4"/>
  <c r="M3300" i="4"/>
  <c r="L3300" i="4"/>
  <c r="K3300" i="4"/>
  <c r="J3300" i="4"/>
  <c r="I3300" i="4"/>
  <c r="Q3299" i="4"/>
  <c r="M3299" i="4"/>
  <c r="L3299" i="4"/>
  <c r="K3299" i="4"/>
  <c r="J3299" i="4"/>
  <c r="I3299" i="4"/>
  <c r="Q3298" i="4"/>
  <c r="M3298" i="4"/>
  <c r="L3298" i="4"/>
  <c r="K3298" i="4"/>
  <c r="J3298" i="4"/>
  <c r="I3298" i="4"/>
  <c r="Q3297" i="4"/>
  <c r="M3297" i="4"/>
  <c r="L3297" i="4"/>
  <c r="K3297" i="4"/>
  <c r="J3297" i="4"/>
  <c r="I3297" i="4"/>
  <c r="Q3296" i="4"/>
  <c r="M3296" i="4"/>
  <c r="L3296" i="4"/>
  <c r="K3296" i="4"/>
  <c r="J3296" i="4"/>
  <c r="I3296" i="4"/>
  <c r="Q3295" i="4"/>
  <c r="M3295" i="4"/>
  <c r="L3295" i="4"/>
  <c r="K3295" i="4"/>
  <c r="J3295" i="4"/>
  <c r="I3295" i="4"/>
  <c r="Q3294" i="4"/>
  <c r="M3294" i="4"/>
  <c r="L3294" i="4"/>
  <c r="K3294" i="4"/>
  <c r="J3294" i="4"/>
  <c r="I3294" i="4"/>
  <c r="Q3293" i="4"/>
  <c r="M3293" i="4"/>
  <c r="L3293" i="4"/>
  <c r="K3293" i="4"/>
  <c r="J3293" i="4"/>
  <c r="I3293" i="4"/>
  <c r="Q3292" i="4"/>
  <c r="M3292" i="4"/>
  <c r="L3292" i="4"/>
  <c r="K3292" i="4"/>
  <c r="J3292" i="4"/>
  <c r="I3292" i="4"/>
  <c r="Q3291" i="4"/>
  <c r="M3291" i="4"/>
  <c r="L3291" i="4"/>
  <c r="K3291" i="4"/>
  <c r="J3291" i="4"/>
  <c r="I3291" i="4"/>
  <c r="Q3290" i="4"/>
  <c r="M3290" i="4"/>
  <c r="L3290" i="4"/>
  <c r="K3290" i="4"/>
  <c r="J3290" i="4"/>
  <c r="I3290" i="4"/>
  <c r="Q3289" i="4"/>
  <c r="M3289" i="4"/>
  <c r="L3289" i="4"/>
  <c r="K3289" i="4"/>
  <c r="J3289" i="4"/>
  <c r="I3289" i="4"/>
  <c r="Q3288" i="4"/>
  <c r="M3288" i="4"/>
  <c r="L3288" i="4"/>
  <c r="K3288" i="4"/>
  <c r="J3288" i="4"/>
  <c r="I3288" i="4"/>
  <c r="Q3287" i="4"/>
  <c r="M3287" i="4"/>
  <c r="L3287" i="4"/>
  <c r="K3287" i="4"/>
  <c r="J3287" i="4"/>
  <c r="I3287" i="4"/>
  <c r="Q3286" i="4"/>
  <c r="M3286" i="4"/>
  <c r="L3286" i="4"/>
  <c r="K3286" i="4"/>
  <c r="J3286" i="4"/>
  <c r="I3286" i="4"/>
  <c r="Q3285" i="4"/>
  <c r="M3285" i="4"/>
  <c r="L3285" i="4"/>
  <c r="K3285" i="4"/>
  <c r="J3285" i="4"/>
  <c r="I3285" i="4"/>
  <c r="Q3284" i="4"/>
  <c r="M3284" i="4"/>
  <c r="L3284" i="4"/>
  <c r="K3284" i="4"/>
  <c r="J3284" i="4"/>
  <c r="I3284" i="4"/>
  <c r="Q3283" i="4"/>
  <c r="M3283" i="4"/>
  <c r="L3283" i="4"/>
  <c r="K3283" i="4"/>
  <c r="J3283" i="4"/>
  <c r="I3283" i="4"/>
  <c r="Q3282" i="4"/>
  <c r="M3282" i="4"/>
  <c r="L3282" i="4"/>
  <c r="K3282" i="4"/>
  <c r="J3282" i="4"/>
  <c r="I3282" i="4"/>
  <c r="Q3281" i="4"/>
  <c r="M3281" i="4"/>
  <c r="L3281" i="4"/>
  <c r="K3281" i="4"/>
  <c r="J3281" i="4"/>
  <c r="I3281" i="4"/>
  <c r="Q3280" i="4"/>
  <c r="M3280" i="4"/>
  <c r="L3280" i="4"/>
  <c r="K3280" i="4"/>
  <c r="J3280" i="4"/>
  <c r="I3280" i="4"/>
  <c r="Q3279" i="4"/>
  <c r="M3279" i="4"/>
  <c r="L3279" i="4"/>
  <c r="K3279" i="4"/>
  <c r="J3279" i="4"/>
  <c r="I3279" i="4"/>
  <c r="Q3278" i="4"/>
  <c r="M3278" i="4"/>
  <c r="L3278" i="4"/>
  <c r="K3278" i="4"/>
  <c r="J3278" i="4"/>
  <c r="I3278" i="4"/>
  <c r="Q3277" i="4"/>
  <c r="M3277" i="4"/>
  <c r="L3277" i="4"/>
  <c r="K3277" i="4"/>
  <c r="J3277" i="4"/>
  <c r="I3277" i="4"/>
  <c r="Q3276" i="4"/>
  <c r="M3276" i="4"/>
  <c r="L3276" i="4"/>
  <c r="K3276" i="4"/>
  <c r="J3276" i="4"/>
  <c r="I3276" i="4"/>
  <c r="Q3275" i="4"/>
  <c r="M3275" i="4"/>
  <c r="L3275" i="4"/>
  <c r="K3275" i="4"/>
  <c r="J3275" i="4"/>
  <c r="I3275" i="4"/>
  <c r="Q3274" i="4"/>
  <c r="M3274" i="4"/>
  <c r="L3274" i="4"/>
  <c r="K3274" i="4"/>
  <c r="J3274" i="4"/>
  <c r="I3274" i="4"/>
  <c r="Q3273" i="4"/>
  <c r="M3273" i="4"/>
  <c r="L3273" i="4"/>
  <c r="K3273" i="4"/>
  <c r="J3273" i="4"/>
  <c r="I3273" i="4"/>
  <c r="Q3272" i="4"/>
  <c r="M3272" i="4"/>
  <c r="L3272" i="4"/>
  <c r="K3272" i="4"/>
  <c r="J3272" i="4"/>
  <c r="I3272" i="4"/>
  <c r="Q3271" i="4"/>
  <c r="M3271" i="4"/>
  <c r="L3271" i="4"/>
  <c r="K3271" i="4"/>
  <c r="J3271" i="4"/>
  <c r="I3271" i="4"/>
  <c r="Q3270" i="4"/>
  <c r="M3270" i="4"/>
  <c r="L3270" i="4"/>
  <c r="K3270" i="4"/>
  <c r="J3270" i="4"/>
  <c r="I3270" i="4"/>
  <c r="Q3269" i="4"/>
  <c r="M3269" i="4"/>
  <c r="L3269" i="4"/>
  <c r="K3269" i="4"/>
  <c r="J3269" i="4"/>
  <c r="I3269" i="4"/>
  <c r="Q3268" i="4"/>
  <c r="M3268" i="4"/>
  <c r="L3268" i="4"/>
  <c r="K3268" i="4"/>
  <c r="J3268" i="4"/>
  <c r="I3268" i="4"/>
  <c r="Q3267" i="4"/>
  <c r="M3267" i="4"/>
  <c r="L3267" i="4"/>
  <c r="K3267" i="4"/>
  <c r="J3267" i="4"/>
  <c r="I3267" i="4"/>
  <c r="Q3266" i="4"/>
  <c r="M3266" i="4"/>
  <c r="L3266" i="4"/>
  <c r="K3266" i="4"/>
  <c r="J3266" i="4"/>
  <c r="I3266" i="4"/>
  <c r="Q3265" i="4"/>
  <c r="M3265" i="4"/>
  <c r="L3265" i="4"/>
  <c r="K3265" i="4"/>
  <c r="J3265" i="4"/>
  <c r="I3265" i="4"/>
  <c r="R3264" i="4"/>
  <c r="Q3264" i="4"/>
  <c r="M3264" i="4"/>
  <c r="L3264" i="4"/>
  <c r="K3264" i="4"/>
  <c r="J3264" i="4"/>
  <c r="I3264" i="4"/>
  <c r="P3264" i="4" s="1"/>
  <c r="Q3263" i="4"/>
  <c r="M3263" i="4"/>
  <c r="L3263" i="4"/>
  <c r="K3263" i="4"/>
  <c r="J3263" i="4"/>
  <c r="I3263" i="4"/>
  <c r="Q3262" i="4"/>
  <c r="L3262" i="4"/>
  <c r="K3262" i="4"/>
  <c r="J3262" i="4"/>
  <c r="M3262" i="4" s="1"/>
  <c r="I3262" i="4"/>
  <c r="P3262" i="4" s="1"/>
  <c r="Q3261" i="4"/>
  <c r="P3261" i="4"/>
  <c r="O3261" i="4"/>
  <c r="M3261" i="4"/>
  <c r="L3261" i="4"/>
  <c r="K3261" i="4"/>
  <c r="J3261" i="4"/>
  <c r="I3261" i="4"/>
  <c r="R3261" i="4" s="1"/>
  <c r="N3261" i="4" s="1"/>
  <c r="Q3260" i="4"/>
  <c r="L3260" i="4"/>
  <c r="K3260" i="4"/>
  <c r="J3260" i="4"/>
  <c r="M3260" i="4" s="1"/>
  <c r="I3260" i="4"/>
  <c r="P3260" i="4" s="1"/>
  <c r="Q3259" i="4"/>
  <c r="P3259" i="4"/>
  <c r="O3259" i="4"/>
  <c r="M3259" i="4"/>
  <c r="L3259" i="4"/>
  <c r="K3259" i="4"/>
  <c r="J3259" i="4"/>
  <c r="I3259" i="4"/>
  <c r="R3259" i="4" s="1"/>
  <c r="N3259" i="4" s="1"/>
  <c r="R3258" i="4"/>
  <c r="Q3258" i="4"/>
  <c r="M3258" i="4"/>
  <c r="L3258" i="4"/>
  <c r="K3258" i="4"/>
  <c r="J3258" i="4"/>
  <c r="I3258" i="4"/>
  <c r="P3258" i="4" s="1"/>
  <c r="Q3257" i="4"/>
  <c r="M3257" i="4"/>
  <c r="L3257" i="4"/>
  <c r="K3257" i="4"/>
  <c r="J3257" i="4"/>
  <c r="I3257" i="4"/>
  <c r="Q3256" i="4"/>
  <c r="M3256" i="4"/>
  <c r="L3256" i="4"/>
  <c r="K3256" i="4"/>
  <c r="J3256" i="4"/>
  <c r="I3256" i="4"/>
  <c r="Q3255" i="4"/>
  <c r="M3255" i="4"/>
  <c r="L3255" i="4"/>
  <c r="K3255" i="4"/>
  <c r="J3255" i="4"/>
  <c r="I3255" i="4"/>
  <c r="Q3254" i="4"/>
  <c r="L3254" i="4"/>
  <c r="K3254" i="4"/>
  <c r="J3254" i="4"/>
  <c r="M3254" i="4" s="1"/>
  <c r="I3254" i="4"/>
  <c r="P3254" i="4" s="1"/>
  <c r="Q3253" i="4"/>
  <c r="P3253" i="4"/>
  <c r="O3253" i="4"/>
  <c r="M3253" i="4"/>
  <c r="L3253" i="4"/>
  <c r="K3253" i="4"/>
  <c r="J3253" i="4"/>
  <c r="I3253" i="4"/>
  <c r="R3253" i="4" s="1"/>
  <c r="N3253" i="4" s="1"/>
  <c r="Q3252" i="4"/>
  <c r="L3252" i="4"/>
  <c r="K3252" i="4"/>
  <c r="J3252" i="4"/>
  <c r="M3252" i="4" s="1"/>
  <c r="I3252" i="4"/>
  <c r="P3252" i="4" s="1"/>
  <c r="Q3251" i="4"/>
  <c r="P3251" i="4"/>
  <c r="O3251" i="4"/>
  <c r="M3251" i="4"/>
  <c r="L3251" i="4"/>
  <c r="K3251" i="4"/>
  <c r="J3251" i="4"/>
  <c r="I3251" i="4"/>
  <c r="R3251" i="4" s="1"/>
  <c r="N3251" i="4" s="1"/>
  <c r="Q3250" i="4"/>
  <c r="M3250" i="4"/>
  <c r="L3250" i="4"/>
  <c r="K3250" i="4"/>
  <c r="J3250" i="4"/>
  <c r="I3250" i="4"/>
  <c r="P3250" i="4" s="1"/>
  <c r="Q3249" i="4"/>
  <c r="M3249" i="4"/>
  <c r="L3249" i="4"/>
  <c r="K3249" i="4"/>
  <c r="J3249" i="4"/>
  <c r="I3249" i="4"/>
  <c r="Q3248" i="4"/>
  <c r="L3248" i="4"/>
  <c r="K3248" i="4"/>
  <c r="J3248" i="4"/>
  <c r="M3248" i="4" s="1"/>
  <c r="I3248" i="4"/>
  <c r="P3248" i="4" s="1"/>
  <c r="Q3247" i="4"/>
  <c r="M3247" i="4"/>
  <c r="L3247" i="4"/>
  <c r="K3247" i="4"/>
  <c r="J3247" i="4"/>
  <c r="I3247" i="4"/>
  <c r="Q3246" i="4"/>
  <c r="L3246" i="4"/>
  <c r="K3246" i="4"/>
  <c r="J3246" i="4"/>
  <c r="M3246" i="4" s="1"/>
  <c r="I3246" i="4"/>
  <c r="P3246" i="4" s="1"/>
  <c r="Q3245" i="4"/>
  <c r="P3245" i="4"/>
  <c r="M3245" i="4"/>
  <c r="L3245" i="4"/>
  <c r="K3245" i="4"/>
  <c r="J3245" i="4"/>
  <c r="I3245" i="4"/>
  <c r="R3245" i="4" s="1"/>
  <c r="R3244" i="4"/>
  <c r="O3244" i="4" s="1"/>
  <c r="Q3244" i="4"/>
  <c r="L3244" i="4"/>
  <c r="K3244" i="4"/>
  <c r="J3244" i="4"/>
  <c r="M3244" i="4" s="1"/>
  <c r="I3244" i="4"/>
  <c r="P3244" i="4" s="1"/>
  <c r="Q3243" i="4"/>
  <c r="P3243" i="4"/>
  <c r="M3243" i="4"/>
  <c r="L3243" i="4"/>
  <c r="K3243" i="4"/>
  <c r="J3243" i="4"/>
  <c r="I3243" i="4"/>
  <c r="R3243" i="4" s="1"/>
  <c r="R3242" i="4"/>
  <c r="Q3242" i="4"/>
  <c r="O3242" i="4"/>
  <c r="N3242" i="4"/>
  <c r="L3242" i="4"/>
  <c r="K3242" i="4"/>
  <c r="J3242" i="4"/>
  <c r="M3242" i="4" s="1"/>
  <c r="I3242" i="4"/>
  <c r="P3242" i="4" s="1"/>
  <c r="Q3241" i="4"/>
  <c r="M3241" i="4"/>
  <c r="L3241" i="4"/>
  <c r="K3241" i="4"/>
  <c r="J3241" i="4"/>
  <c r="I3241" i="4"/>
  <c r="R3240" i="4"/>
  <c r="Q3240" i="4"/>
  <c r="O3240" i="4"/>
  <c r="N3240" i="4"/>
  <c r="L3240" i="4"/>
  <c r="K3240" i="4"/>
  <c r="J3240" i="4"/>
  <c r="M3240" i="4" s="1"/>
  <c r="I3240" i="4"/>
  <c r="P3240" i="4" s="1"/>
  <c r="Q3239" i="4"/>
  <c r="M3239" i="4"/>
  <c r="L3239" i="4"/>
  <c r="K3239" i="4"/>
  <c r="J3239" i="4"/>
  <c r="I3239" i="4"/>
  <c r="R3239" i="4" s="1"/>
  <c r="R3238" i="4"/>
  <c r="Q3238" i="4"/>
  <c r="L3238" i="4"/>
  <c r="K3238" i="4"/>
  <c r="J3238" i="4"/>
  <c r="M3238" i="4" s="1"/>
  <c r="I3238" i="4"/>
  <c r="P3238" i="4" s="1"/>
  <c r="Q3237" i="4"/>
  <c r="P3237" i="4"/>
  <c r="M3237" i="4"/>
  <c r="L3237" i="4"/>
  <c r="K3237" i="4"/>
  <c r="J3237" i="4"/>
  <c r="I3237" i="4"/>
  <c r="R3237" i="4" s="1"/>
  <c r="R3236" i="4"/>
  <c r="O3236" i="4" s="1"/>
  <c r="Q3236" i="4"/>
  <c r="L3236" i="4"/>
  <c r="K3236" i="4"/>
  <c r="J3236" i="4"/>
  <c r="M3236" i="4" s="1"/>
  <c r="I3236" i="4"/>
  <c r="P3236" i="4" s="1"/>
  <c r="Q3235" i="4"/>
  <c r="P3235" i="4"/>
  <c r="M3235" i="4"/>
  <c r="L3235" i="4"/>
  <c r="K3235" i="4"/>
  <c r="J3235" i="4"/>
  <c r="I3235" i="4"/>
  <c r="R3235" i="4" s="1"/>
  <c r="R3234" i="4"/>
  <c r="Q3234" i="4"/>
  <c r="O3234" i="4"/>
  <c r="N3234" i="4"/>
  <c r="L3234" i="4"/>
  <c r="K3234" i="4"/>
  <c r="J3234" i="4"/>
  <c r="M3234" i="4" s="1"/>
  <c r="I3234" i="4"/>
  <c r="P3234" i="4" s="1"/>
  <c r="Q3233" i="4"/>
  <c r="M3233" i="4"/>
  <c r="L3233" i="4"/>
  <c r="K3233" i="4"/>
  <c r="J3233" i="4"/>
  <c r="I3233" i="4"/>
  <c r="R3232" i="4"/>
  <c r="Q3232" i="4"/>
  <c r="O3232" i="4"/>
  <c r="N3232" i="4"/>
  <c r="L3232" i="4"/>
  <c r="K3232" i="4"/>
  <c r="J3232" i="4"/>
  <c r="M3232" i="4" s="1"/>
  <c r="I3232" i="4"/>
  <c r="P3232" i="4" s="1"/>
  <c r="Q3231" i="4"/>
  <c r="M3231" i="4"/>
  <c r="L3231" i="4"/>
  <c r="K3231" i="4"/>
  <c r="J3231" i="4"/>
  <c r="I3231" i="4"/>
  <c r="R3231" i="4" s="1"/>
  <c r="R3230" i="4"/>
  <c r="Q3230" i="4"/>
  <c r="L3230" i="4"/>
  <c r="K3230" i="4"/>
  <c r="J3230" i="4"/>
  <c r="M3230" i="4" s="1"/>
  <c r="I3230" i="4"/>
  <c r="P3230" i="4" s="1"/>
  <c r="Q3229" i="4"/>
  <c r="P3229" i="4"/>
  <c r="M3229" i="4"/>
  <c r="L3229" i="4"/>
  <c r="K3229" i="4"/>
  <c r="J3229" i="4"/>
  <c r="I3229" i="4"/>
  <c r="R3229" i="4" s="1"/>
  <c r="Q3228" i="4"/>
  <c r="M3228" i="4"/>
  <c r="L3228" i="4"/>
  <c r="K3228" i="4"/>
  <c r="J3228" i="4"/>
  <c r="I3228" i="4"/>
  <c r="P3228" i="4" s="1"/>
  <c r="Q3227" i="4"/>
  <c r="M3227" i="4"/>
  <c r="L3227" i="4"/>
  <c r="K3227" i="4"/>
  <c r="J3227" i="4"/>
  <c r="I3227" i="4"/>
  <c r="R3227" i="4" s="1"/>
  <c r="N3227" i="4" s="1"/>
  <c r="R3226" i="4"/>
  <c r="Q3226" i="4"/>
  <c r="M3226" i="4"/>
  <c r="L3226" i="4"/>
  <c r="K3226" i="4"/>
  <c r="J3226" i="4"/>
  <c r="I3226" i="4"/>
  <c r="P3226" i="4" s="1"/>
  <c r="Q3225" i="4"/>
  <c r="M3225" i="4"/>
  <c r="L3225" i="4"/>
  <c r="K3225" i="4"/>
  <c r="J3225" i="4"/>
  <c r="I3225" i="4"/>
  <c r="Q3224" i="4"/>
  <c r="L3224" i="4"/>
  <c r="K3224" i="4"/>
  <c r="J3224" i="4"/>
  <c r="M3224" i="4" s="1"/>
  <c r="I3224" i="4"/>
  <c r="P3224" i="4" s="1"/>
  <c r="Q3223" i="4"/>
  <c r="P3223" i="4"/>
  <c r="O3223" i="4"/>
  <c r="M3223" i="4"/>
  <c r="L3223" i="4"/>
  <c r="K3223" i="4"/>
  <c r="J3223" i="4"/>
  <c r="I3223" i="4"/>
  <c r="R3223" i="4" s="1"/>
  <c r="N3223" i="4" s="1"/>
  <c r="Q3222" i="4"/>
  <c r="L3222" i="4"/>
  <c r="K3222" i="4"/>
  <c r="J3222" i="4"/>
  <c r="M3222" i="4" s="1"/>
  <c r="I3222" i="4"/>
  <c r="P3222" i="4" s="1"/>
  <c r="Q3221" i="4"/>
  <c r="P3221" i="4"/>
  <c r="M3221" i="4"/>
  <c r="L3221" i="4"/>
  <c r="K3221" i="4"/>
  <c r="J3221" i="4"/>
  <c r="I3221" i="4"/>
  <c r="R3221" i="4" s="1"/>
  <c r="N3221" i="4" s="1"/>
  <c r="Q3220" i="4"/>
  <c r="L3220" i="4"/>
  <c r="K3220" i="4"/>
  <c r="J3220" i="4"/>
  <c r="M3220" i="4" s="1"/>
  <c r="I3220" i="4"/>
  <c r="P3220" i="4" s="1"/>
  <c r="Q3219" i="4"/>
  <c r="O3219" i="4"/>
  <c r="M3219" i="4"/>
  <c r="L3219" i="4"/>
  <c r="K3219" i="4"/>
  <c r="J3219" i="4"/>
  <c r="I3219" i="4"/>
  <c r="R3219" i="4" s="1"/>
  <c r="N3219" i="4" s="1"/>
  <c r="R3218" i="4"/>
  <c r="Q3218" i="4"/>
  <c r="M3218" i="4"/>
  <c r="L3218" i="4"/>
  <c r="K3218" i="4"/>
  <c r="J3218" i="4"/>
  <c r="I3218" i="4"/>
  <c r="P3218" i="4" s="1"/>
  <c r="Q3217" i="4"/>
  <c r="M3217" i="4"/>
  <c r="L3217" i="4"/>
  <c r="K3217" i="4"/>
  <c r="J3217" i="4"/>
  <c r="I3217" i="4"/>
  <c r="Q3216" i="4"/>
  <c r="L3216" i="4"/>
  <c r="K3216" i="4"/>
  <c r="J3216" i="4"/>
  <c r="M3216" i="4" s="1"/>
  <c r="I3216" i="4"/>
  <c r="P3216" i="4" s="1"/>
  <c r="Q3215" i="4"/>
  <c r="P3215" i="4"/>
  <c r="O3215" i="4"/>
  <c r="M3215" i="4"/>
  <c r="L3215" i="4"/>
  <c r="K3215" i="4"/>
  <c r="J3215" i="4"/>
  <c r="I3215" i="4"/>
  <c r="R3215" i="4" s="1"/>
  <c r="N3215" i="4" s="1"/>
  <c r="Q3214" i="4"/>
  <c r="M3214" i="4"/>
  <c r="L3214" i="4"/>
  <c r="K3214" i="4"/>
  <c r="J3214" i="4"/>
  <c r="I3214" i="4"/>
  <c r="P3214" i="4" s="1"/>
  <c r="Q3213" i="4"/>
  <c r="P3213" i="4"/>
  <c r="M3213" i="4"/>
  <c r="L3213" i="4"/>
  <c r="K3213" i="4"/>
  <c r="J3213" i="4"/>
  <c r="I3213" i="4"/>
  <c r="R3213" i="4" s="1"/>
  <c r="N3213" i="4" s="1"/>
  <c r="Q3212" i="4"/>
  <c r="L3212" i="4"/>
  <c r="K3212" i="4"/>
  <c r="J3212" i="4"/>
  <c r="M3212" i="4" s="1"/>
  <c r="I3212" i="4"/>
  <c r="P3212" i="4" s="1"/>
  <c r="Q3211" i="4"/>
  <c r="O3211" i="4"/>
  <c r="M3211" i="4"/>
  <c r="L3211" i="4"/>
  <c r="K3211" i="4"/>
  <c r="J3211" i="4"/>
  <c r="I3211" i="4"/>
  <c r="R3211" i="4" s="1"/>
  <c r="N3211" i="4" s="1"/>
  <c r="R3210" i="4"/>
  <c r="Q3210" i="4"/>
  <c r="M3210" i="4"/>
  <c r="L3210" i="4"/>
  <c r="K3210" i="4"/>
  <c r="J3210" i="4"/>
  <c r="I3210" i="4"/>
  <c r="P3210" i="4" s="1"/>
  <c r="Q3209" i="4"/>
  <c r="M3209" i="4"/>
  <c r="L3209" i="4"/>
  <c r="K3209" i="4"/>
  <c r="J3209" i="4"/>
  <c r="I3209" i="4"/>
  <c r="Q3208" i="4"/>
  <c r="L3208" i="4"/>
  <c r="K3208" i="4"/>
  <c r="J3208" i="4"/>
  <c r="M3208" i="4" s="1"/>
  <c r="I3208" i="4"/>
  <c r="P3208" i="4" s="1"/>
  <c r="Q3207" i="4"/>
  <c r="O3207" i="4"/>
  <c r="M3207" i="4"/>
  <c r="L3207" i="4"/>
  <c r="K3207" i="4"/>
  <c r="J3207" i="4"/>
  <c r="I3207" i="4"/>
  <c r="R3207" i="4" s="1"/>
  <c r="N3207" i="4" s="1"/>
  <c r="Q3206" i="4"/>
  <c r="M3206" i="4"/>
  <c r="L3206" i="4"/>
  <c r="K3206" i="4"/>
  <c r="J3206" i="4"/>
  <c r="I3206" i="4"/>
  <c r="Q3205" i="4"/>
  <c r="O3205" i="4"/>
  <c r="M3205" i="4"/>
  <c r="L3205" i="4"/>
  <c r="K3205" i="4"/>
  <c r="J3205" i="4"/>
  <c r="I3205" i="4"/>
  <c r="R3205" i="4" s="1"/>
  <c r="N3205" i="4" s="1"/>
  <c r="Q3204" i="4"/>
  <c r="M3204" i="4"/>
  <c r="L3204" i="4"/>
  <c r="K3204" i="4"/>
  <c r="J3204" i="4"/>
  <c r="I3204" i="4"/>
  <c r="Q3203" i="4"/>
  <c r="M3203" i="4"/>
  <c r="L3203" i="4"/>
  <c r="K3203" i="4"/>
  <c r="J3203" i="4"/>
  <c r="I3203" i="4"/>
  <c r="R3203" i="4" s="1"/>
  <c r="N3203" i="4" s="1"/>
  <c r="Q3202" i="4"/>
  <c r="M3202" i="4"/>
  <c r="L3202" i="4"/>
  <c r="K3202" i="4"/>
  <c r="J3202" i="4"/>
  <c r="I3202" i="4"/>
  <c r="Q3201" i="4"/>
  <c r="O3201" i="4"/>
  <c r="M3201" i="4"/>
  <c r="L3201" i="4"/>
  <c r="K3201" i="4"/>
  <c r="J3201" i="4"/>
  <c r="I3201" i="4"/>
  <c r="R3201" i="4" s="1"/>
  <c r="N3201" i="4" s="1"/>
  <c r="Q3200" i="4"/>
  <c r="M3200" i="4"/>
  <c r="L3200" i="4"/>
  <c r="K3200" i="4"/>
  <c r="J3200" i="4"/>
  <c r="I3200" i="4"/>
  <c r="Q3199" i="4"/>
  <c r="O3199" i="4"/>
  <c r="M3199" i="4"/>
  <c r="L3199" i="4"/>
  <c r="K3199" i="4"/>
  <c r="J3199" i="4"/>
  <c r="I3199" i="4"/>
  <c r="R3199" i="4" s="1"/>
  <c r="N3199" i="4" s="1"/>
  <c r="Q3198" i="4"/>
  <c r="M3198" i="4"/>
  <c r="L3198" i="4"/>
  <c r="K3198" i="4"/>
  <c r="J3198" i="4"/>
  <c r="I3198" i="4"/>
  <c r="Q3197" i="4"/>
  <c r="M3197" i="4"/>
  <c r="L3197" i="4"/>
  <c r="K3197" i="4"/>
  <c r="J3197" i="4"/>
  <c r="I3197" i="4"/>
  <c r="Q3196" i="4"/>
  <c r="M3196" i="4"/>
  <c r="L3196" i="4"/>
  <c r="K3196" i="4"/>
  <c r="J3196" i="4"/>
  <c r="I3196" i="4"/>
  <c r="Q3195" i="4"/>
  <c r="M3195" i="4"/>
  <c r="L3195" i="4"/>
  <c r="K3195" i="4"/>
  <c r="J3195" i="4"/>
  <c r="I3195" i="4"/>
  <c r="Q3194" i="4"/>
  <c r="M3194" i="4"/>
  <c r="L3194" i="4"/>
  <c r="K3194" i="4"/>
  <c r="J3194" i="4"/>
  <c r="I3194" i="4"/>
  <c r="Q3193" i="4"/>
  <c r="M3193" i="4"/>
  <c r="L3193" i="4"/>
  <c r="K3193" i="4"/>
  <c r="J3193" i="4"/>
  <c r="I3193" i="4"/>
  <c r="Q3192" i="4"/>
  <c r="M3192" i="4"/>
  <c r="L3192" i="4"/>
  <c r="K3192" i="4"/>
  <c r="J3192" i="4"/>
  <c r="I3192" i="4"/>
  <c r="Q3191" i="4"/>
  <c r="M3191" i="4"/>
  <c r="L3191" i="4"/>
  <c r="K3191" i="4"/>
  <c r="J3191" i="4"/>
  <c r="I3191" i="4"/>
  <c r="Q3190" i="4"/>
  <c r="M3190" i="4"/>
  <c r="L3190" i="4"/>
  <c r="K3190" i="4"/>
  <c r="J3190" i="4"/>
  <c r="I3190" i="4"/>
  <c r="Q3189" i="4"/>
  <c r="M3189" i="4"/>
  <c r="L3189" i="4"/>
  <c r="K3189" i="4"/>
  <c r="J3189" i="4"/>
  <c r="I3189" i="4"/>
  <c r="Q3188" i="4"/>
  <c r="M3188" i="4"/>
  <c r="L3188" i="4"/>
  <c r="K3188" i="4"/>
  <c r="J3188" i="4"/>
  <c r="I3188" i="4"/>
  <c r="Q3187" i="4"/>
  <c r="M3187" i="4"/>
  <c r="L3187" i="4"/>
  <c r="K3187" i="4"/>
  <c r="J3187" i="4"/>
  <c r="I3187" i="4"/>
  <c r="Q3186" i="4"/>
  <c r="M3186" i="4"/>
  <c r="L3186" i="4"/>
  <c r="K3186" i="4"/>
  <c r="J3186" i="4"/>
  <c r="I3186" i="4"/>
  <c r="Q3185" i="4"/>
  <c r="M3185" i="4"/>
  <c r="L3185" i="4"/>
  <c r="K3185" i="4"/>
  <c r="J3185" i="4"/>
  <c r="I3185" i="4"/>
  <c r="Q3184" i="4"/>
  <c r="M3184" i="4"/>
  <c r="L3184" i="4"/>
  <c r="K3184" i="4"/>
  <c r="J3184" i="4"/>
  <c r="I3184" i="4"/>
  <c r="Q3183" i="4"/>
  <c r="M3183" i="4"/>
  <c r="L3183" i="4"/>
  <c r="K3183" i="4"/>
  <c r="J3183" i="4"/>
  <c r="I3183" i="4"/>
  <c r="Q3182" i="4"/>
  <c r="M3182" i="4"/>
  <c r="L3182" i="4"/>
  <c r="K3182" i="4"/>
  <c r="J3182" i="4"/>
  <c r="I3182" i="4"/>
  <c r="Q3181" i="4"/>
  <c r="M3181" i="4"/>
  <c r="L3181" i="4"/>
  <c r="K3181" i="4"/>
  <c r="J3181" i="4"/>
  <c r="I3181" i="4"/>
  <c r="Q3180" i="4"/>
  <c r="M3180" i="4"/>
  <c r="L3180" i="4"/>
  <c r="K3180" i="4"/>
  <c r="J3180" i="4"/>
  <c r="I3180" i="4"/>
  <c r="Q3179" i="4"/>
  <c r="M3179" i="4"/>
  <c r="L3179" i="4"/>
  <c r="K3179" i="4"/>
  <c r="J3179" i="4"/>
  <c r="I3179" i="4"/>
  <c r="Q3178" i="4"/>
  <c r="M3178" i="4"/>
  <c r="L3178" i="4"/>
  <c r="K3178" i="4"/>
  <c r="J3178" i="4"/>
  <c r="I3178" i="4"/>
  <c r="Q3177" i="4"/>
  <c r="M3177" i="4"/>
  <c r="L3177" i="4"/>
  <c r="K3177" i="4"/>
  <c r="J3177" i="4"/>
  <c r="I3177" i="4"/>
  <c r="Q3176" i="4"/>
  <c r="M3176" i="4"/>
  <c r="L3176" i="4"/>
  <c r="K3176" i="4"/>
  <c r="J3176" i="4"/>
  <c r="I3176" i="4"/>
  <c r="P3176" i="4" s="1"/>
  <c r="Q3175" i="4"/>
  <c r="M3175" i="4"/>
  <c r="L3175" i="4"/>
  <c r="K3175" i="4"/>
  <c r="J3175" i="4"/>
  <c r="I3175" i="4"/>
  <c r="R3175" i="4" s="1"/>
  <c r="N3175" i="4" s="1"/>
  <c r="Q3174" i="4"/>
  <c r="L3174" i="4"/>
  <c r="K3174" i="4"/>
  <c r="J3174" i="4"/>
  <c r="M3174" i="4" s="1"/>
  <c r="I3174" i="4"/>
  <c r="P3174" i="4" s="1"/>
  <c r="Q3173" i="4"/>
  <c r="O3173" i="4"/>
  <c r="M3173" i="4"/>
  <c r="L3173" i="4"/>
  <c r="K3173" i="4"/>
  <c r="J3173" i="4"/>
  <c r="I3173" i="4"/>
  <c r="R3173" i="4" s="1"/>
  <c r="N3173" i="4" s="1"/>
  <c r="Q3172" i="4"/>
  <c r="L3172" i="4"/>
  <c r="K3172" i="4"/>
  <c r="J3172" i="4"/>
  <c r="M3172" i="4" s="1"/>
  <c r="I3172" i="4"/>
  <c r="P3172" i="4" s="1"/>
  <c r="Q3171" i="4"/>
  <c r="M3171" i="4"/>
  <c r="L3171" i="4"/>
  <c r="K3171" i="4"/>
  <c r="J3171" i="4"/>
  <c r="I3171" i="4"/>
  <c r="P3171" i="4" s="1"/>
  <c r="R3170" i="4"/>
  <c r="Q3170" i="4"/>
  <c r="P3170" i="4"/>
  <c r="O3170" i="4"/>
  <c r="N3170" i="4"/>
  <c r="L3170" i="4"/>
  <c r="K3170" i="4"/>
  <c r="J3170" i="4"/>
  <c r="M3170" i="4" s="1"/>
  <c r="I3170" i="4"/>
  <c r="Q3169" i="4"/>
  <c r="M3169" i="4"/>
  <c r="L3169" i="4"/>
  <c r="K3169" i="4"/>
  <c r="J3169" i="4"/>
  <c r="I3169" i="4"/>
  <c r="P3169" i="4" s="1"/>
  <c r="R3168" i="4"/>
  <c r="Q3168" i="4"/>
  <c r="P3168" i="4"/>
  <c r="O3168" i="4"/>
  <c r="N3168" i="4"/>
  <c r="L3168" i="4"/>
  <c r="K3168" i="4"/>
  <c r="J3168" i="4"/>
  <c r="M3168" i="4" s="1"/>
  <c r="I3168" i="4"/>
  <c r="Q3167" i="4"/>
  <c r="M3167" i="4"/>
  <c r="L3167" i="4"/>
  <c r="K3167" i="4"/>
  <c r="J3167" i="4"/>
  <c r="I3167" i="4"/>
  <c r="P3167" i="4" s="1"/>
  <c r="Q3166" i="4"/>
  <c r="P3166" i="4"/>
  <c r="L3166" i="4"/>
  <c r="K3166" i="4"/>
  <c r="J3166" i="4"/>
  <c r="M3166" i="4" s="1"/>
  <c r="I3166" i="4"/>
  <c r="R3166" i="4" s="1"/>
  <c r="Q3165" i="4"/>
  <c r="M3165" i="4"/>
  <c r="L3165" i="4"/>
  <c r="K3165" i="4"/>
  <c r="J3165" i="4"/>
  <c r="I3165" i="4"/>
  <c r="P3165" i="4" s="1"/>
  <c r="Q3164" i="4"/>
  <c r="L3164" i="4"/>
  <c r="K3164" i="4"/>
  <c r="J3164" i="4"/>
  <c r="M3164" i="4" s="1"/>
  <c r="I3164" i="4"/>
  <c r="R3164" i="4" s="1"/>
  <c r="Q3163" i="4"/>
  <c r="M3163" i="4"/>
  <c r="L3163" i="4"/>
  <c r="K3163" i="4"/>
  <c r="J3163" i="4"/>
  <c r="I3163" i="4"/>
  <c r="P3163" i="4" s="1"/>
  <c r="Q3162" i="4"/>
  <c r="M3162" i="4"/>
  <c r="L3162" i="4"/>
  <c r="K3162" i="4"/>
  <c r="J3162" i="4"/>
  <c r="I3162" i="4"/>
  <c r="R3162" i="4" s="1"/>
  <c r="Q3161" i="4"/>
  <c r="M3161" i="4"/>
  <c r="L3161" i="4"/>
  <c r="K3161" i="4"/>
  <c r="J3161" i="4"/>
  <c r="I3161" i="4"/>
  <c r="P3161" i="4" s="1"/>
  <c r="Q3160" i="4"/>
  <c r="M3160" i="4"/>
  <c r="L3160" i="4"/>
  <c r="K3160" i="4"/>
  <c r="J3160" i="4"/>
  <c r="I3160" i="4"/>
  <c r="R3160" i="4" s="1"/>
  <c r="Q3159" i="4"/>
  <c r="M3159" i="4"/>
  <c r="L3159" i="4"/>
  <c r="K3159" i="4"/>
  <c r="J3159" i="4"/>
  <c r="I3159" i="4"/>
  <c r="Q3158" i="4"/>
  <c r="O3158" i="4"/>
  <c r="M3158" i="4"/>
  <c r="L3158" i="4"/>
  <c r="K3158" i="4"/>
  <c r="J3158" i="4"/>
  <c r="I3158" i="4"/>
  <c r="R3158" i="4" s="1"/>
  <c r="N3158" i="4" s="1"/>
  <c r="Q3157" i="4"/>
  <c r="M3157" i="4"/>
  <c r="L3157" i="4"/>
  <c r="K3157" i="4"/>
  <c r="J3157" i="4"/>
  <c r="I3157" i="4"/>
  <c r="Q3156" i="4"/>
  <c r="M3156" i="4"/>
  <c r="L3156" i="4"/>
  <c r="K3156" i="4"/>
  <c r="J3156" i="4"/>
  <c r="I3156" i="4"/>
  <c r="R3156" i="4" s="1"/>
  <c r="N3156" i="4" s="1"/>
  <c r="Q3155" i="4"/>
  <c r="M3155" i="4"/>
  <c r="L3155" i="4"/>
  <c r="K3155" i="4"/>
  <c r="J3155" i="4"/>
  <c r="I3155" i="4"/>
  <c r="Q3154" i="4"/>
  <c r="M3154" i="4"/>
  <c r="L3154" i="4"/>
  <c r="K3154" i="4"/>
  <c r="J3154" i="4"/>
  <c r="I3154" i="4"/>
  <c r="R3154" i="4" s="1"/>
  <c r="N3154" i="4" s="1"/>
  <c r="Q3153" i="4"/>
  <c r="M3153" i="4"/>
  <c r="L3153" i="4"/>
  <c r="K3153" i="4"/>
  <c r="J3153" i="4"/>
  <c r="I3153" i="4"/>
  <c r="Q3152" i="4"/>
  <c r="M3152" i="4"/>
  <c r="L3152" i="4"/>
  <c r="K3152" i="4"/>
  <c r="J3152" i="4"/>
  <c r="I3152" i="4"/>
  <c r="R3152" i="4" s="1"/>
  <c r="N3152" i="4" s="1"/>
  <c r="Q3151" i="4"/>
  <c r="M3151" i="4"/>
  <c r="L3151" i="4"/>
  <c r="K3151" i="4"/>
  <c r="J3151" i="4"/>
  <c r="I3151" i="4"/>
  <c r="Q3150" i="4"/>
  <c r="O3150" i="4"/>
  <c r="M3150" i="4"/>
  <c r="L3150" i="4"/>
  <c r="K3150" i="4"/>
  <c r="J3150" i="4"/>
  <c r="I3150" i="4"/>
  <c r="R3150" i="4" s="1"/>
  <c r="N3150" i="4" s="1"/>
  <c r="Q3149" i="4"/>
  <c r="M3149" i="4"/>
  <c r="L3149" i="4"/>
  <c r="K3149" i="4"/>
  <c r="J3149" i="4"/>
  <c r="I3149" i="4"/>
  <c r="Q3148" i="4"/>
  <c r="O3148" i="4"/>
  <c r="M3148" i="4"/>
  <c r="L3148" i="4"/>
  <c r="K3148" i="4"/>
  <c r="J3148" i="4"/>
  <c r="I3148" i="4"/>
  <c r="R3148" i="4" s="1"/>
  <c r="N3148" i="4" s="1"/>
  <c r="Q3147" i="4"/>
  <c r="M3147" i="4"/>
  <c r="L3147" i="4"/>
  <c r="K3147" i="4"/>
  <c r="J3147" i="4"/>
  <c r="I3147" i="4"/>
  <c r="Q3146" i="4"/>
  <c r="M3146" i="4"/>
  <c r="L3146" i="4"/>
  <c r="K3146" i="4"/>
  <c r="J3146" i="4"/>
  <c r="I3146" i="4"/>
  <c r="R3146" i="4" s="1"/>
  <c r="N3146" i="4" s="1"/>
  <c r="Q3145" i="4"/>
  <c r="M3145" i="4"/>
  <c r="L3145" i="4"/>
  <c r="K3145" i="4"/>
  <c r="J3145" i="4"/>
  <c r="I3145" i="4"/>
  <c r="Q3144" i="4"/>
  <c r="M3144" i="4"/>
  <c r="L3144" i="4"/>
  <c r="K3144" i="4"/>
  <c r="J3144" i="4"/>
  <c r="I3144" i="4"/>
  <c r="R3144" i="4" s="1"/>
  <c r="N3144" i="4" s="1"/>
  <c r="Q3143" i="4"/>
  <c r="M3143" i="4"/>
  <c r="L3143" i="4"/>
  <c r="K3143" i="4"/>
  <c r="J3143" i="4"/>
  <c r="I3143" i="4"/>
  <c r="Q3142" i="4"/>
  <c r="O3142" i="4"/>
  <c r="M3142" i="4"/>
  <c r="L3142" i="4"/>
  <c r="K3142" i="4"/>
  <c r="J3142" i="4"/>
  <c r="I3142" i="4"/>
  <c r="R3142" i="4" s="1"/>
  <c r="N3142" i="4" s="1"/>
  <c r="Q3141" i="4"/>
  <c r="M3141" i="4"/>
  <c r="L3141" i="4"/>
  <c r="K3141" i="4"/>
  <c r="J3141" i="4"/>
  <c r="I3141" i="4"/>
  <c r="Q3140" i="4"/>
  <c r="O3140" i="4"/>
  <c r="M3140" i="4"/>
  <c r="L3140" i="4"/>
  <c r="K3140" i="4"/>
  <c r="J3140" i="4"/>
  <c r="I3140" i="4"/>
  <c r="R3140" i="4" s="1"/>
  <c r="N3140" i="4" s="1"/>
  <c r="Q3139" i="4"/>
  <c r="M3139" i="4"/>
  <c r="L3139" i="4"/>
  <c r="K3139" i="4"/>
  <c r="J3139" i="4"/>
  <c r="I3139" i="4"/>
  <c r="Q3138" i="4"/>
  <c r="M3138" i="4"/>
  <c r="L3138" i="4"/>
  <c r="K3138" i="4"/>
  <c r="J3138" i="4"/>
  <c r="I3138" i="4"/>
  <c r="R3138" i="4" s="1"/>
  <c r="N3138" i="4" s="1"/>
  <c r="Q3137" i="4"/>
  <c r="M3137" i="4"/>
  <c r="L3137" i="4"/>
  <c r="K3137" i="4"/>
  <c r="J3137" i="4"/>
  <c r="I3137" i="4"/>
  <c r="Q3136" i="4"/>
  <c r="M3136" i="4"/>
  <c r="L3136" i="4"/>
  <c r="K3136" i="4"/>
  <c r="J3136" i="4"/>
  <c r="I3136" i="4"/>
  <c r="R3136" i="4" s="1"/>
  <c r="N3136" i="4" s="1"/>
  <c r="Q3135" i="4"/>
  <c r="M3135" i="4"/>
  <c r="L3135" i="4"/>
  <c r="K3135" i="4"/>
  <c r="J3135" i="4"/>
  <c r="I3135" i="4"/>
  <c r="Q3134" i="4"/>
  <c r="O3134" i="4"/>
  <c r="M3134" i="4"/>
  <c r="L3134" i="4"/>
  <c r="K3134" i="4"/>
  <c r="J3134" i="4"/>
  <c r="I3134" i="4"/>
  <c r="R3134" i="4" s="1"/>
  <c r="N3134" i="4" s="1"/>
  <c r="Q3133" i="4"/>
  <c r="M3133" i="4"/>
  <c r="L3133" i="4"/>
  <c r="K3133" i="4"/>
  <c r="J3133" i="4"/>
  <c r="I3133" i="4"/>
  <c r="Q3132" i="4"/>
  <c r="O3132" i="4"/>
  <c r="M3132" i="4"/>
  <c r="L3132" i="4"/>
  <c r="K3132" i="4"/>
  <c r="J3132" i="4"/>
  <c r="I3132" i="4"/>
  <c r="R3132" i="4" s="1"/>
  <c r="N3132" i="4" s="1"/>
  <c r="Q3131" i="4"/>
  <c r="M3131" i="4"/>
  <c r="L3131" i="4"/>
  <c r="K3131" i="4"/>
  <c r="J3131" i="4"/>
  <c r="I3131" i="4"/>
  <c r="Q3130" i="4"/>
  <c r="M3130" i="4"/>
  <c r="L3130" i="4"/>
  <c r="K3130" i="4"/>
  <c r="J3130" i="4"/>
  <c r="I3130" i="4"/>
  <c r="R3130" i="4" s="1"/>
  <c r="N3130" i="4" s="1"/>
  <c r="Q3129" i="4"/>
  <c r="M3129" i="4"/>
  <c r="L3129" i="4"/>
  <c r="K3129" i="4"/>
  <c r="J3129" i="4"/>
  <c r="I3129" i="4"/>
  <c r="Q3128" i="4"/>
  <c r="M3128" i="4"/>
  <c r="L3128" i="4"/>
  <c r="K3128" i="4"/>
  <c r="J3128" i="4"/>
  <c r="I3128" i="4"/>
  <c r="R3128" i="4" s="1"/>
  <c r="N3128" i="4" s="1"/>
  <c r="Q3127" i="4"/>
  <c r="M3127" i="4"/>
  <c r="L3127" i="4"/>
  <c r="K3127" i="4"/>
  <c r="J3127" i="4"/>
  <c r="I3127" i="4"/>
  <c r="Q3126" i="4"/>
  <c r="O3126" i="4"/>
  <c r="M3126" i="4"/>
  <c r="L3126" i="4"/>
  <c r="K3126" i="4"/>
  <c r="J3126" i="4"/>
  <c r="I3126" i="4"/>
  <c r="R3126" i="4" s="1"/>
  <c r="N3126" i="4" s="1"/>
  <c r="Q3125" i="4"/>
  <c r="M3125" i="4"/>
  <c r="L3125" i="4"/>
  <c r="K3125" i="4"/>
  <c r="J3125" i="4"/>
  <c r="I3125" i="4"/>
  <c r="Q3124" i="4"/>
  <c r="O3124" i="4"/>
  <c r="M3124" i="4"/>
  <c r="L3124" i="4"/>
  <c r="K3124" i="4"/>
  <c r="J3124" i="4"/>
  <c r="I3124" i="4"/>
  <c r="R3124" i="4" s="1"/>
  <c r="N3124" i="4" s="1"/>
  <c r="Q3123" i="4"/>
  <c r="M3123" i="4"/>
  <c r="L3123" i="4"/>
  <c r="K3123" i="4"/>
  <c r="J3123" i="4"/>
  <c r="I3123" i="4"/>
  <c r="Q3122" i="4"/>
  <c r="M3122" i="4"/>
  <c r="L3122" i="4"/>
  <c r="K3122" i="4"/>
  <c r="J3122" i="4"/>
  <c r="I3122" i="4"/>
  <c r="R3122" i="4" s="1"/>
  <c r="N3122" i="4" s="1"/>
  <c r="Q3121" i="4"/>
  <c r="M3121" i="4"/>
  <c r="L3121" i="4"/>
  <c r="K3121" i="4"/>
  <c r="J3121" i="4"/>
  <c r="I3121" i="4"/>
  <c r="Q3120" i="4"/>
  <c r="M3120" i="4"/>
  <c r="L3120" i="4"/>
  <c r="K3120" i="4"/>
  <c r="J3120" i="4"/>
  <c r="I3120" i="4"/>
  <c r="R3120" i="4" s="1"/>
  <c r="N3120" i="4" s="1"/>
  <c r="Q3119" i="4"/>
  <c r="M3119" i="4"/>
  <c r="L3119" i="4"/>
  <c r="K3119" i="4"/>
  <c r="J3119" i="4"/>
  <c r="I3119" i="4"/>
  <c r="Q3118" i="4"/>
  <c r="M3118" i="4"/>
  <c r="L3118" i="4"/>
  <c r="K3118" i="4"/>
  <c r="J3118" i="4"/>
  <c r="I3118" i="4"/>
  <c r="Q3117" i="4"/>
  <c r="M3117" i="4"/>
  <c r="L3117" i="4"/>
  <c r="K3117" i="4"/>
  <c r="J3117" i="4"/>
  <c r="I3117" i="4"/>
  <c r="Q3116" i="4"/>
  <c r="M3116" i="4"/>
  <c r="L3116" i="4"/>
  <c r="K3116" i="4"/>
  <c r="J3116" i="4"/>
  <c r="I3116" i="4"/>
  <c r="Q3115" i="4"/>
  <c r="M3115" i="4"/>
  <c r="L3115" i="4"/>
  <c r="K3115" i="4"/>
  <c r="J3115" i="4"/>
  <c r="I3115" i="4"/>
  <c r="Q3114" i="4"/>
  <c r="M3114" i="4"/>
  <c r="L3114" i="4"/>
  <c r="K3114" i="4"/>
  <c r="J3114" i="4"/>
  <c r="I3114" i="4"/>
  <c r="Q3113" i="4"/>
  <c r="M3113" i="4"/>
  <c r="L3113" i="4"/>
  <c r="K3113" i="4"/>
  <c r="J3113" i="4"/>
  <c r="I3113" i="4"/>
  <c r="Q3112" i="4"/>
  <c r="M3112" i="4"/>
  <c r="L3112" i="4"/>
  <c r="K3112" i="4"/>
  <c r="J3112" i="4"/>
  <c r="I3112" i="4"/>
  <c r="Q3111" i="4"/>
  <c r="M3111" i="4"/>
  <c r="L3111" i="4"/>
  <c r="K3111" i="4"/>
  <c r="J3111" i="4"/>
  <c r="I3111" i="4"/>
  <c r="Q3110" i="4"/>
  <c r="M3110" i="4"/>
  <c r="L3110" i="4"/>
  <c r="K3110" i="4"/>
  <c r="J3110" i="4"/>
  <c r="I3110" i="4"/>
  <c r="Q3109" i="4"/>
  <c r="M3109" i="4"/>
  <c r="L3109" i="4"/>
  <c r="K3109" i="4"/>
  <c r="J3109" i="4"/>
  <c r="I3109" i="4"/>
  <c r="Q3108" i="4"/>
  <c r="M3108" i="4"/>
  <c r="L3108" i="4"/>
  <c r="K3108" i="4"/>
  <c r="J3108" i="4"/>
  <c r="I3108" i="4"/>
  <c r="Q3107" i="4"/>
  <c r="M3107" i="4"/>
  <c r="L3107" i="4"/>
  <c r="K3107" i="4"/>
  <c r="J3107" i="4"/>
  <c r="I3107" i="4"/>
  <c r="Q3106" i="4"/>
  <c r="M3106" i="4"/>
  <c r="L3106" i="4"/>
  <c r="K3106" i="4"/>
  <c r="J3106" i="4"/>
  <c r="I3106" i="4"/>
  <c r="Q3105" i="4"/>
  <c r="M3105" i="4"/>
  <c r="L3105" i="4"/>
  <c r="K3105" i="4"/>
  <c r="J3105" i="4"/>
  <c r="I3105" i="4"/>
  <c r="Q3104" i="4"/>
  <c r="M3104" i="4"/>
  <c r="L3104" i="4"/>
  <c r="K3104" i="4"/>
  <c r="J3104" i="4"/>
  <c r="I3104" i="4"/>
  <c r="Q3103" i="4"/>
  <c r="M3103" i="4"/>
  <c r="L3103" i="4"/>
  <c r="K3103" i="4"/>
  <c r="J3103" i="4"/>
  <c r="I3103" i="4"/>
  <c r="Q3102" i="4"/>
  <c r="M3102" i="4"/>
  <c r="L3102" i="4"/>
  <c r="K3102" i="4"/>
  <c r="J3102" i="4"/>
  <c r="I3102" i="4"/>
  <c r="Q3101" i="4"/>
  <c r="M3101" i="4"/>
  <c r="L3101" i="4"/>
  <c r="K3101" i="4"/>
  <c r="J3101" i="4"/>
  <c r="I3101" i="4"/>
  <c r="Q3100" i="4"/>
  <c r="M3100" i="4"/>
  <c r="L3100" i="4"/>
  <c r="K3100" i="4"/>
  <c r="J3100" i="4"/>
  <c r="I3100" i="4"/>
  <c r="Q3099" i="4"/>
  <c r="M3099" i="4"/>
  <c r="L3099" i="4"/>
  <c r="K3099" i="4"/>
  <c r="J3099" i="4"/>
  <c r="I3099" i="4"/>
  <c r="Q3098" i="4"/>
  <c r="M3098" i="4"/>
  <c r="L3098" i="4"/>
  <c r="K3098" i="4"/>
  <c r="J3098" i="4"/>
  <c r="I3098" i="4"/>
  <c r="Q3097" i="4"/>
  <c r="M3097" i="4"/>
  <c r="L3097" i="4"/>
  <c r="K3097" i="4"/>
  <c r="J3097" i="4"/>
  <c r="I3097" i="4"/>
  <c r="Q3096" i="4"/>
  <c r="M3096" i="4"/>
  <c r="L3096" i="4"/>
  <c r="K3096" i="4"/>
  <c r="J3096" i="4"/>
  <c r="I3096" i="4"/>
  <c r="Q3095" i="4"/>
  <c r="M3095" i="4"/>
  <c r="L3095" i="4"/>
  <c r="K3095" i="4"/>
  <c r="J3095" i="4"/>
  <c r="I3095" i="4"/>
  <c r="Q3094" i="4"/>
  <c r="M3094" i="4"/>
  <c r="L3094" i="4"/>
  <c r="K3094" i="4"/>
  <c r="J3094" i="4"/>
  <c r="I3094" i="4"/>
  <c r="Q3093" i="4"/>
  <c r="M3093" i="4"/>
  <c r="L3093" i="4"/>
  <c r="K3093" i="4"/>
  <c r="J3093" i="4"/>
  <c r="I3093" i="4"/>
  <c r="Q3092" i="4"/>
  <c r="M3092" i="4"/>
  <c r="L3092" i="4"/>
  <c r="K3092" i="4"/>
  <c r="J3092" i="4"/>
  <c r="I3092" i="4"/>
  <c r="Q3091" i="4"/>
  <c r="M3091" i="4"/>
  <c r="L3091" i="4"/>
  <c r="K3091" i="4"/>
  <c r="J3091" i="4"/>
  <c r="I3091" i="4"/>
  <c r="Q3090" i="4"/>
  <c r="M3090" i="4"/>
  <c r="L3090" i="4"/>
  <c r="K3090" i="4"/>
  <c r="J3090" i="4"/>
  <c r="I3090" i="4"/>
  <c r="Q3089" i="4"/>
  <c r="M3089" i="4"/>
  <c r="L3089" i="4"/>
  <c r="K3089" i="4"/>
  <c r="J3089" i="4"/>
  <c r="I3089" i="4"/>
  <c r="Q3088" i="4"/>
  <c r="M3088" i="4"/>
  <c r="L3088" i="4"/>
  <c r="K3088" i="4"/>
  <c r="J3088" i="4"/>
  <c r="I3088" i="4"/>
  <c r="Q3087" i="4"/>
  <c r="M3087" i="4"/>
  <c r="L3087" i="4"/>
  <c r="K3087" i="4"/>
  <c r="J3087" i="4"/>
  <c r="I3087" i="4"/>
  <c r="Q3086" i="4"/>
  <c r="M3086" i="4"/>
  <c r="L3086" i="4"/>
  <c r="K3086" i="4"/>
  <c r="J3086" i="4"/>
  <c r="I3086" i="4"/>
  <c r="Q3085" i="4"/>
  <c r="M3085" i="4"/>
  <c r="L3085" i="4"/>
  <c r="K3085" i="4"/>
  <c r="J3085" i="4"/>
  <c r="I3085" i="4"/>
  <c r="Q3084" i="4"/>
  <c r="M3084" i="4"/>
  <c r="L3084" i="4"/>
  <c r="K3084" i="4"/>
  <c r="J3084" i="4"/>
  <c r="I3084" i="4"/>
  <c r="Q3083" i="4"/>
  <c r="M3083" i="4"/>
  <c r="L3083" i="4"/>
  <c r="K3083" i="4"/>
  <c r="J3083" i="4"/>
  <c r="I3083" i="4"/>
  <c r="Q3082" i="4"/>
  <c r="M3082" i="4"/>
  <c r="L3082" i="4"/>
  <c r="K3082" i="4"/>
  <c r="J3082" i="4"/>
  <c r="I3082" i="4"/>
  <c r="Q3081" i="4"/>
  <c r="M3081" i="4"/>
  <c r="L3081" i="4"/>
  <c r="K3081" i="4"/>
  <c r="J3081" i="4"/>
  <c r="I3081" i="4"/>
  <c r="Q3080" i="4"/>
  <c r="M3080" i="4"/>
  <c r="L3080" i="4"/>
  <c r="K3080" i="4"/>
  <c r="J3080" i="4"/>
  <c r="I3080" i="4"/>
  <c r="Q3079" i="4"/>
  <c r="M3079" i="4"/>
  <c r="L3079" i="4"/>
  <c r="K3079" i="4"/>
  <c r="J3079" i="4"/>
  <c r="I3079" i="4"/>
  <c r="Q3078" i="4"/>
  <c r="M3078" i="4"/>
  <c r="L3078" i="4"/>
  <c r="K3078" i="4"/>
  <c r="J3078" i="4"/>
  <c r="I3078" i="4"/>
  <c r="Q3077" i="4"/>
  <c r="M3077" i="4"/>
  <c r="L3077" i="4"/>
  <c r="K3077" i="4"/>
  <c r="J3077" i="4"/>
  <c r="I3077" i="4"/>
  <c r="Q3076" i="4"/>
  <c r="M3076" i="4"/>
  <c r="L3076" i="4"/>
  <c r="K3076" i="4"/>
  <c r="J3076" i="4"/>
  <c r="I3076" i="4"/>
  <c r="Q3075" i="4"/>
  <c r="M3075" i="4"/>
  <c r="L3075" i="4"/>
  <c r="K3075" i="4"/>
  <c r="J3075" i="4"/>
  <c r="I3075" i="4"/>
  <c r="Q3074" i="4"/>
  <c r="M3074" i="4"/>
  <c r="L3074" i="4"/>
  <c r="K3074" i="4"/>
  <c r="J3074" i="4"/>
  <c r="I3074" i="4"/>
  <c r="Q3073" i="4"/>
  <c r="M3073" i="4"/>
  <c r="L3073" i="4"/>
  <c r="K3073" i="4"/>
  <c r="J3073" i="4"/>
  <c r="I3073" i="4"/>
  <c r="Q3072" i="4"/>
  <c r="M3072" i="4"/>
  <c r="L3072" i="4"/>
  <c r="K3072" i="4"/>
  <c r="J3072" i="4"/>
  <c r="I3072" i="4"/>
  <c r="R3072" i="4" s="1"/>
  <c r="N3072" i="4" s="1"/>
  <c r="Q3071" i="4"/>
  <c r="L3071" i="4"/>
  <c r="K3071" i="4"/>
  <c r="J3071" i="4"/>
  <c r="M3071" i="4" s="1"/>
  <c r="I3071" i="4"/>
  <c r="P3071" i="4" s="1"/>
  <c r="Q3070" i="4"/>
  <c r="P3070" i="4"/>
  <c r="O3070" i="4"/>
  <c r="M3070" i="4"/>
  <c r="L3070" i="4"/>
  <c r="K3070" i="4"/>
  <c r="J3070" i="4"/>
  <c r="I3070" i="4"/>
  <c r="R3070" i="4" s="1"/>
  <c r="N3070" i="4" s="1"/>
  <c r="Q3069" i="4"/>
  <c r="L3069" i="4"/>
  <c r="K3069" i="4"/>
  <c r="J3069" i="4"/>
  <c r="M3069" i="4" s="1"/>
  <c r="I3069" i="4"/>
  <c r="P3069" i="4" s="1"/>
  <c r="Q3068" i="4"/>
  <c r="P3068" i="4"/>
  <c r="M3068" i="4"/>
  <c r="L3068" i="4"/>
  <c r="K3068" i="4"/>
  <c r="J3068" i="4"/>
  <c r="I3068" i="4"/>
  <c r="R3068" i="4" s="1"/>
  <c r="N3068" i="4" s="1"/>
  <c r="Q3067" i="4"/>
  <c r="M3067" i="4"/>
  <c r="L3067" i="4"/>
  <c r="K3067" i="4"/>
  <c r="J3067" i="4"/>
  <c r="I3067" i="4"/>
  <c r="P3067" i="4" s="1"/>
  <c r="Q3066" i="4"/>
  <c r="M3066" i="4"/>
  <c r="L3066" i="4"/>
  <c r="K3066" i="4"/>
  <c r="J3066" i="4"/>
  <c r="I3066" i="4"/>
  <c r="R3066" i="4" s="1"/>
  <c r="N3066" i="4" s="1"/>
  <c r="Q3065" i="4"/>
  <c r="L3065" i="4"/>
  <c r="K3065" i="4"/>
  <c r="J3065" i="4"/>
  <c r="M3065" i="4" s="1"/>
  <c r="I3065" i="4"/>
  <c r="P3065" i="4" s="1"/>
  <c r="Q3064" i="4"/>
  <c r="O3064" i="4"/>
  <c r="N3064" i="4"/>
  <c r="L3064" i="4"/>
  <c r="K3064" i="4"/>
  <c r="J3064" i="4"/>
  <c r="M3064" i="4" s="1"/>
  <c r="I3064" i="4"/>
  <c r="R3064" i="4" s="1"/>
  <c r="Q3063" i="4"/>
  <c r="M3063" i="4"/>
  <c r="L3063" i="4"/>
  <c r="K3063" i="4"/>
  <c r="J3063" i="4"/>
  <c r="I3063" i="4"/>
  <c r="R3063" i="4" s="1"/>
  <c r="R3062" i="4"/>
  <c r="Q3062" i="4"/>
  <c r="O3062" i="4"/>
  <c r="N3062" i="4"/>
  <c r="L3062" i="4"/>
  <c r="K3062" i="4"/>
  <c r="J3062" i="4"/>
  <c r="M3062" i="4" s="1"/>
  <c r="I3062" i="4"/>
  <c r="P3062" i="4" s="1"/>
  <c r="Q3061" i="4"/>
  <c r="M3061" i="4"/>
  <c r="L3061" i="4"/>
  <c r="K3061" i="4"/>
  <c r="J3061" i="4"/>
  <c r="I3061" i="4"/>
  <c r="R3061" i="4" s="1"/>
  <c r="R3060" i="4"/>
  <c r="Q3060" i="4"/>
  <c r="O3060" i="4"/>
  <c r="N3060" i="4"/>
  <c r="L3060" i="4"/>
  <c r="K3060" i="4"/>
  <c r="J3060" i="4"/>
  <c r="M3060" i="4" s="1"/>
  <c r="I3060" i="4"/>
  <c r="P3060" i="4" s="1"/>
  <c r="Q3059" i="4"/>
  <c r="M3059" i="4"/>
  <c r="L3059" i="4"/>
  <c r="K3059" i="4"/>
  <c r="J3059" i="4"/>
  <c r="I3059" i="4"/>
  <c r="R3059" i="4" s="1"/>
  <c r="R3058" i="4"/>
  <c r="Q3058" i="4"/>
  <c r="O3058" i="4"/>
  <c r="N3058" i="4"/>
  <c r="L3058" i="4"/>
  <c r="K3058" i="4"/>
  <c r="J3058" i="4"/>
  <c r="M3058" i="4" s="1"/>
  <c r="I3058" i="4"/>
  <c r="P3058" i="4" s="1"/>
  <c r="Q3057" i="4"/>
  <c r="M3057" i="4"/>
  <c r="L3057" i="4"/>
  <c r="K3057" i="4"/>
  <c r="J3057" i="4"/>
  <c r="I3057" i="4"/>
  <c r="R3057" i="4" s="1"/>
  <c r="R3056" i="4"/>
  <c r="Q3056" i="4"/>
  <c r="O3056" i="4"/>
  <c r="N3056" i="4"/>
  <c r="L3056" i="4"/>
  <c r="K3056" i="4"/>
  <c r="J3056" i="4"/>
  <c r="M3056" i="4" s="1"/>
  <c r="I3056" i="4"/>
  <c r="P3056" i="4" s="1"/>
  <c r="Q3055" i="4"/>
  <c r="M3055" i="4"/>
  <c r="L3055" i="4"/>
  <c r="K3055" i="4"/>
  <c r="J3055" i="4"/>
  <c r="I3055" i="4"/>
  <c r="R3055" i="4" s="1"/>
  <c r="R3054" i="4"/>
  <c r="Q3054" i="4"/>
  <c r="O3054" i="4"/>
  <c r="N3054" i="4"/>
  <c r="L3054" i="4"/>
  <c r="K3054" i="4"/>
  <c r="J3054" i="4"/>
  <c r="M3054" i="4" s="1"/>
  <c r="I3054" i="4"/>
  <c r="P3054" i="4" s="1"/>
  <c r="Q3053" i="4"/>
  <c r="M3053" i="4"/>
  <c r="L3053" i="4"/>
  <c r="K3053" i="4"/>
  <c r="J3053" i="4"/>
  <c r="I3053" i="4"/>
  <c r="R3053" i="4" s="1"/>
  <c r="R3052" i="4"/>
  <c r="Q3052" i="4"/>
  <c r="O3052" i="4"/>
  <c r="N3052" i="4"/>
  <c r="L3052" i="4"/>
  <c r="K3052" i="4"/>
  <c r="J3052" i="4"/>
  <c r="M3052" i="4" s="1"/>
  <c r="I3052" i="4"/>
  <c r="P3052" i="4" s="1"/>
  <c r="Q3051" i="4"/>
  <c r="M3051" i="4"/>
  <c r="L3051" i="4"/>
  <c r="K3051" i="4"/>
  <c r="J3051" i="4"/>
  <c r="I3051" i="4"/>
  <c r="R3051" i="4" s="1"/>
  <c r="R3050" i="4"/>
  <c r="Q3050" i="4"/>
  <c r="O3050" i="4"/>
  <c r="N3050" i="4"/>
  <c r="L3050" i="4"/>
  <c r="K3050" i="4"/>
  <c r="J3050" i="4"/>
  <c r="M3050" i="4" s="1"/>
  <c r="I3050" i="4"/>
  <c r="P3050" i="4" s="1"/>
  <c r="Q3049" i="4"/>
  <c r="M3049" i="4"/>
  <c r="L3049" i="4"/>
  <c r="K3049" i="4"/>
  <c r="J3049" i="4"/>
  <c r="I3049" i="4"/>
  <c r="R3049" i="4" s="1"/>
  <c r="R3048" i="4"/>
  <c r="Q3048" i="4"/>
  <c r="O3048" i="4"/>
  <c r="N3048" i="4"/>
  <c r="L3048" i="4"/>
  <c r="K3048" i="4"/>
  <c r="J3048" i="4"/>
  <c r="M3048" i="4" s="1"/>
  <c r="I3048" i="4"/>
  <c r="P3048" i="4" s="1"/>
  <c r="Q3047" i="4"/>
  <c r="M3047" i="4"/>
  <c r="L3047" i="4"/>
  <c r="K3047" i="4"/>
  <c r="J3047" i="4"/>
  <c r="I3047" i="4"/>
  <c r="R3047" i="4" s="1"/>
  <c r="R3046" i="4"/>
  <c r="Q3046" i="4"/>
  <c r="O3046" i="4"/>
  <c r="N3046" i="4"/>
  <c r="L3046" i="4"/>
  <c r="K3046" i="4"/>
  <c r="J3046" i="4"/>
  <c r="M3046" i="4" s="1"/>
  <c r="I3046" i="4"/>
  <c r="P3046" i="4" s="1"/>
  <c r="Q3045" i="4"/>
  <c r="M3045" i="4"/>
  <c r="L3045" i="4"/>
  <c r="K3045" i="4"/>
  <c r="J3045" i="4"/>
  <c r="I3045" i="4"/>
  <c r="R3045" i="4" s="1"/>
  <c r="R3044" i="4"/>
  <c r="Q3044" i="4"/>
  <c r="O3044" i="4"/>
  <c r="N3044" i="4"/>
  <c r="L3044" i="4"/>
  <c r="K3044" i="4"/>
  <c r="J3044" i="4"/>
  <c r="M3044" i="4" s="1"/>
  <c r="I3044" i="4"/>
  <c r="P3044" i="4" s="1"/>
  <c r="Q3043" i="4"/>
  <c r="M3043" i="4"/>
  <c r="L3043" i="4"/>
  <c r="K3043" i="4"/>
  <c r="J3043" i="4"/>
  <c r="I3043" i="4"/>
  <c r="R3043" i="4" s="1"/>
  <c r="R3042" i="4"/>
  <c r="Q3042" i="4"/>
  <c r="O3042" i="4"/>
  <c r="N3042" i="4"/>
  <c r="L3042" i="4"/>
  <c r="K3042" i="4"/>
  <c r="J3042" i="4"/>
  <c r="M3042" i="4" s="1"/>
  <c r="I3042" i="4"/>
  <c r="P3042" i="4" s="1"/>
  <c r="Q3041" i="4"/>
  <c r="M3041" i="4"/>
  <c r="L3041" i="4"/>
  <c r="K3041" i="4"/>
  <c r="J3041" i="4"/>
  <c r="I3041" i="4"/>
  <c r="R3041" i="4" s="1"/>
  <c r="Q3040" i="4"/>
  <c r="L3040" i="4"/>
  <c r="K3040" i="4"/>
  <c r="J3040" i="4"/>
  <c r="M3040" i="4" s="1"/>
  <c r="I3040" i="4"/>
  <c r="P3040" i="4" s="1"/>
  <c r="Q3039" i="4"/>
  <c r="M3039" i="4"/>
  <c r="L3039" i="4"/>
  <c r="K3039" i="4"/>
  <c r="J3039" i="4"/>
  <c r="I3039" i="4"/>
  <c r="R3039" i="4" s="1"/>
  <c r="Q3038" i="4"/>
  <c r="L3038" i="4"/>
  <c r="K3038" i="4"/>
  <c r="J3038" i="4"/>
  <c r="M3038" i="4" s="1"/>
  <c r="I3038" i="4"/>
  <c r="P3038" i="4" s="1"/>
  <c r="Q3037" i="4"/>
  <c r="M3037" i="4"/>
  <c r="L3037" i="4"/>
  <c r="K3037" i="4"/>
  <c r="J3037" i="4"/>
  <c r="I3037" i="4"/>
  <c r="R3037" i="4" s="1"/>
  <c r="Q3036" i="4"/>
  <c r="M3036" i="4"/>
  <c r="L3036" i="4"/>
  <c r="K3036" i="4"/>
  <c r="J3036" i="4"/>
  <c r="I3036" i="4"/>
  <c r="P3036" i="4" s="1"/>
  <c r="Q3035" i="4"/>
  <c r="M3035" i="4"/>
  <c r="L3035" i="4"/>
  <c r="K3035" i="4"/>
  <c r="J3035" i="4"/>
  <c r="I3035" i="4"/>
  <c r="R3035" i="4" s="1"/>
  <c r="Q3034" i="4"/>
  <c r="M3034" i="4"/>
  <c r="L3034" i="4"/>
  <c r="K3034" i="4"/>
  <c r="J3034" i="4"/>
  <c r="I3034" i="4"/>
  <c r="P3034" i="4" s="1"/>
  <c r="Q3033" i="4"/>
  <c r="M3033" i="4"/>
  <c r="L3033" i="4"/>
  <c r="K3033" i="4"/>
  <c r="J3033" i="4"/>
  <c r="I3033" i="4"/>
  <c r="R3033" i="4" s="1"/>
  <c r="Q3032" i="4"/>
  <c r="M3032" i="4"/>
  <c r="L3032" i="4"/>
  <c r="K3032" i="4"/>
  <c r="J3032" i="4"/>
  <c r="I3032" i="4"/>
  <c r="P3032" i="4" s="1"/>
  <c r="Q3031" i="4"/>
  <c r="M3031" i="4"/>
  <c r="L3031" i="4"/>
  <c r="K3031" i="4"/>
  <c r="J3031" i="4"/>
  <c r="I3031" i="4"/>
  <c r="R3031" i="4" s="1"/>
  <c r="Q3030" i="4"/>
  <c r="M3030" i="4"/>
  <c r="L3030" i="4"/>
  <c r="K3030" i="4"/>
  <c r="J3030" i="4"/>
  <c r="I3030" i="4"/>
  <c r="P3030" i="4" s="1"/>
  <c r="Q3029" i="4"/>
  <c r="M3029" i="4"/>
  <c r="L3029" i="4"/>
  <c r="K3029" i="4"/>
  <c r="J3029" i="4"/>
  <c r="I3029" i="4"/>
  <c r="R3029" i="4" s="1"/>
  <c r="Q3028" i="4"/>
  <c r="M3028" i="4"/>
  <c r="L3028" i="4"/>
  <c r="K3028" i="4"/>
  <c r="J3028" i="4"/>
  <c r="I3028" i="4"/>
  <c r="P3028" i="4" s="1"/>
  <c r="Q3027" i="4"/>
  <c r="M3027" i="4"/>
  <c r="L3027" i="4"/>
  <c r="K3027" i="4"/>
  <c r="J3027" i="4"/>
  <c r="I3027" i="4"/>
  <c r="R3027" i="4" s="1"/>
  <c r="Q3026" i="4"/>
  <c r="M3026" i="4"/>
  <c r="L3026" i="4"/>
  <c r="K3026" i="4"/>
  <c r="J3026" i="4"/>
  <c r="I3026" i="4"/>
  <c r="P3026" i="4" s="1"/>
  <c r="Q3025" i="4"/>
  <c r="M3025" i="4"/>
  <c r="L3025" i="4"/>
  <c r="K3025" i="4"/>
  <c r="J3025" i="4"/>
  <c r="I3025" i="4"/>
  <c r="R3025" i="4" s="1"/>
  <c r="Q3024" i="4"/>
  <c r="M3024" i="4"/>
  <c r="L3024" i="4"/>
  <c r="K3024" i="4"/>
  <c r="J3024" i="4"/>
  <c r="I3024" i="4"/>
  <c r="P3024" i="4" s="1"/>
  <c r="Q3023" i="4"/>
  <c r="M3023" i="4"/>
  <c r="L3023" i="4"/>
  <c r="K3023" i="4"/>
  <c r="J3023" i="4"/>
  <c r="I3023" i="4"/>
  <c r="R3023" i="4" s="1"/>
  <c r="Q3022" i="4"/>
  <c r="M3022" i="4"/>
  <c r="L3022" i="4"/>
  <c r="K3022" i="4"/>
  <c r="J3022" i="4"/>
  <c r="I3022" i="4"/>
  <c r="P3022" i="4" s="1"/>
  <c r="Q3021" i="4"/>
  <c r="M3021" i="4"/>
  <c r="L3021" i="4"/>
  <c r="K3021" i="4"/>
  <c r="J3021" i="4"/>
  <c r="I3021" i="4"/>
  <c r="R3021" i="4" s="1"/>
  <c r="Q3020" i="4"/>
  <c r="M3020" i="4"/>
  <c r="L3020" i="4"/>
  <c r="K3020" i="4"/>
  <c r="J3020" i="4"/>
  <c r="I3020" i="4"/>
  <c r="P3020" i="4" s="1"/>
  <c r="Q3019" i="4"/>
  <c r="M3019" i="4"/>
  <c r="L3019" i="4"/>
  <c r="K3019" i="4"/>
  <c r="J3019" i="4"/>
  <c r="I3019" i="4"/>
  <c r="R3019" i="4" s="1"/>
  <c r="Q3018" i="4"/>
  <c r="M3018" i="4"/>
  <c r="L3018" i="4"/>
  <c r="K3018" i="4"/>
  <c r="J3018" i="4"/>
  <c r="I3018" i="4"/>
  <c r="P3018" i="4" s="1"/>
  <c r="Q3017" i="4"/>
  <c r="M3017" i="4"/>
  <c r="L3017" i="4"/>
  <c r="K3017" i="4"/>
  <c r="J3017" i="4"/>
  <c r="I3017" i="4"/>
  <c r="R3017" i="4" s="1"/>
  <c r="Q3016" i="4"/>
  <c r="M3016" i="4"/>
  <c r="L3016" i="4"/>
  <c r="K3016" i="4"/>
  <c r="J3016" i="4"/>
  <c r="I3016" i="4"/>
  <c r="P3016" i="4" s="1"/>
  <c r="Q3015" i="4"/>
  <c r="M3015" i="4"/>
  <c r="L3015" i="4"/>
  <c r="K3015" i="4"/>
  <c r="J3015" i="4"/>
  <c r="I3015" i="4"/>
  <c r="R3015" i="4" s="1"/>
  <c r="Q3014" i="4"/>
  <c r="M3014" i="4"/>
  <c r="L3014" i="4"/>
  <c r="K3014" i="4"/>
  <c r="J3014" i="4"/>
  <c r="I3014" i="4"/>
  <c r="P3014" i="4" s="1"/>
  <c r="Q3013" i="4"/>
  <c r="M3013" i="4"/>
  <c r="L3013" i="4"/>
  <c r="K3013" i="4"/>
  <c r="J3013" i="4"/>
  <c r="I3013" i="4"/>
  <c r="Q3012" i="4"/>
  <c r="M3012" i="4"/>
  <c r="L3012" i="4"/>
  <c r="K3012" i="4"/>
  <c r="J3012" i="4"/>
  <c r="I3012" i="4"/>
  <c r="P3012" i="4" s="1"/>
  <c r="Q3011" i="4"/>
  <c r="M3011" i="4"/>
  <c r="L3011" i="4"/>
  <c r="K3011" i="4"/>
  <c r="J3011" i="4"/>
  <c r="I3011" i="4"/>
  <c r="Q3010" i="4"/>
  <c r="M3010" i="4"/>
  <c r="L3010" i="4"/>
  <c r="K3010" i="4"/>
  <c r="J3010" i="4"/>
  <c r="I3010" i="4"/>
  <c r="P3010" i="4" s="1"/>
  <c r="Q3009" i="4"/>
  <c r="M3009" i="4"/>
  <c r="L3009" i="4"/>
  <c r="K3009" i="4"/>
  <c r="J3009" i="4"/>
  <c r="I3009" i="4"/>
  <c r="Q3008" i="4"/>
  <c r="M3008" i="4"/>
  <c r="L3008" i="4"/>
  <c r="K3008" i="4"/>
  <c r="J3008" i="4"/>
  <c r="I3008" i="4"/>
  <c r="P3008" i="4" s="1"/>
  <c r="Q3007" i="4"/>
  <c r="M3007" i="4"/>
  <c r="L3007" i="4"/>
  <c r="K3007" i="4"/>
  <c r="J3007" i="4"/>
  <c r="I3007" i="4"/>
  <c r="Q3006" i="4"/>
  <c r="M3006" i="4"/>
  <c r="L3006" i="4"/>
  <c r="K3006" i="4"/>
  <c r="J3006" i="4"/>
  <c r="I3006" i="4"/>
  <c r="P3006" i="4" s="1"/>
  <c r="Q3005" i="4"/>
  <c r="M3005" i="4"/>
  <c r="L3005" i="4"/>
  <c r="K3005" i="4"/>
  <c r="J3005" i="4"/>
  <c r="I3005" i="4"/>
  <c r="Q3004" i="4"/>
  <c r="M3004" i="4"/>
  <c r="L3004" i="4"/>
  <c r="K3004" i="4"/>
  <c r="J3004" i="4"/>
  <c r="I3004" i="4"/>
  <c r="P3004" i="4" s="1"/>
  <c r="Q3003" i="4"/>
  <c r="M3003" i="4"/>
  <c r="L3003" i="4"/>
  <c r="K3003" i="4"/>
  <c r="J3003" i="4"/>
  <c r="I3003" i="4"/>
  <c r="Q3002" i="4"/>
  <c r="M3002" i="4"/>
  <c r="L3002" i="4"/>
  <c r="K3002" i="4"/>
  <c r="J3002" i="4"/>
  <c r="I3002" i="4"/>
  <c r="P3002" i="4" s="1"/>
  <c r="Q3001" i="4"/>
  <c r="M3001" i="4"/>
  <c r="L3001" i="4"/>
  <c r="K3001" i="4"/>
  <c r="J3001" i="4"/>
  <c r="I3001" i="4"/>
  <c r="Q3000" i="4"/>
  <c r="M3000" i="4"/>
  <c r="L3000" i="4"/>
  <c r="K3000" i="4"/>
  <c r="J3000" i="4"/>
  <c r="I3000" i="4"/>
  <c r="Q2999" i="4"/>
  <c r="M2999" i="4"/>
  <c r="L2999" i="4"/>
  <c r="K2999" i="4"/>
  <c r="J2999" i="4"/>
  <c r="I2999" i="4"/>
  <c r="Q2998" i="4"/>
  <c r="M2998" i="4"/>
  <c r="L2998" i="4"/>
  <c r="K2998" i="4"/>
  <c r="J2998" i="4"/>
  <c r="I2998" i="4"/>
  <c r="Q2997" i="4"/>
  <c r="M2997" i="4"/>
  <c r="L2997" i="4"/>
  <c r="K2997" i="4"/>
  <c r="J2997" i="4"/>
  <c r="I2997" i="4"/>
  <c r="Q2996" i="4"/>
  <c r="M2996" i="4"/>
  <c r="L2996" i="4"/>
  <c r="K2996" i="4"/>
  <c r="J2996" i="4"/>
  <c r="I2996" i="4"/>
  <c r="Q2995" i="4"/>
  <c r="M2995" i="4"/>
  <c r="L2995" i="4"/>
  <c r="K2995" i="4"/>
  <c r="J2995" i="4"/>
  <c r="I2995" i="4"/>
  <c r="Q2994" i="4"/>
  <c r="M2994" i="4"/>
  <c r="L2994" i="4"/>
  <c r="K2994" i="4"/>
  <c r="J2994" i="4"/>
  <c r="I2994" i="4"/>
  <c r="Q2993" i="4"/>
  <c r="M2993" i="4"/>
  <c r="L2993" i="4"/>
  <c r="K2993" i="4"/>
  <c r="J2993" i="4"/>
  <c r="I2993" i="4"/>
  <c r="Q2992" i="4"/>
  <c r="M2992" i="4"/>
  <c r="L2992" i="4"/>
  <c r="K2992" i="4"/>
  <c r="J2992" i="4"/>
  <c r="I2992" i="4"/>
  <c r="Q2991" i="4"/>
  <c r="M2991" i="4"/>
  <c r="L2991" i="4"/>
  <c r="K2991" i="4"/>
  <c r="J2991" i="4"/>
  <c r="I2991" i="4"/>
  <c r="Q2990" i="4"/>
  <c r="M2990" i="4"/>
  <c r="L2990" i="4"/>
  <c r="K2990" i="4"/>
  <c r="J2990" i="4"/>
  <c r="I2990" i="4"/>
  <c r="Q2989" i="4"/>
  <c r="M2989" i="4"/>
  <c r="L2989" i="4"/>
  <c r="K2989" i="4"/>
  <c r="J2989" i="4"/>
  <c r="I2989" i="4"/>
  <c r="Q2988" i="4"/>
  <c r="M2988" i="4"/>
  <c r="L2988" i="4"/>
  <c r="K2988" i="4"/>
  <c r="J2988" i="4"/>
  <c r="I2988" i="4"/>
  <c r="Q2987" i="4"/>
  <c r="M2987" i="4"/>
  <c r="L2987" i="4"/>
  <c r="K2987" i="4"/>
  <c r="J2987" i="4"/>
  <c r="I2987" i="4"/>
  <c r="Q2986" i="4"/>
  <c r="M2986" i="4"/>
  <c r="L2986" i="4"/>
  <c r="K2986" i="4"/>
  <c r="J2986" i="4"/>
  <c r="I2986" i="4"/>
  <c r="Q2985" i="4"/>
  <c r="M2985" i="4"/>
  <c r="L2985" i="4"/>
  <c r="K2985" i="4"/>
  <c r="J2985" i="4"/>
  <c r="I2985" i="4"/>
  <c r="Q2984" i="4"/>
  <c r="M2984" i="4"/>
  <c r="L2984" i="4"/>
  <c r="K2984" i="4"/>
  <c r="J2984" i="4"/>
  <c r="I2984" i="4"/>
  <c r="Q2983" i="4"/>
  <c r="M2983" i="4"/>
  <c r="L2983" i="4"/>
  <c r="K2983" i="4"/>
  <c r="J2983" i="4"/>
  <c r="I2983" i="4"/>
  <c r="Q2982" i="4"/>
  <c r="M2982" i="4"/>
  <c r="L2982" i="4"/>
  <c r="K2982" i="4"/>
  <c r="J2982" i="4"/>
  <c r="I2982" i="4"/>
  <c r="Q2981" i="4"/>
  <c r="M2981" i="4"/>
  <c r="L2981" i="4"/>
  <c r="K2981" i="4"/>
  <c r="J2981" i="4"/>
  <c r="I2981" i="4"/>
  <c r="Q2980" i="4"/>
  <c r="M2980" i="4"/>
  <c r="L2980" i="4"/>
  <c r="K2980" i="4"/>
  <c r="J2980" i="4"/>
  <c r="I2980" i="4"/>
  <c r="Q2979" i="4"/>
  <c r="M2979" i="4"/>
  <c r="L2979" i="4"/>
  <c r="K2979" i="4"/>
  <c r="J2979" i="4"/>
  <c r="I2979" i="4"/>
  <c r="Q2978" i="4"/>
  <c r="M2978" i="4"/>
  <c r="L2978" i="4"/>
  <c r="K2978" i="4"/>
  <c r="J2978" i="4"/>
  <c r="I2978" i="4"/>
  <c r="Q2977" i="4"/>
  <c r="M2977" i="4"/>
  <c r="L2977" i="4"/>
  <c r="K2977" i="4"/>
  <c r="J2977" i="4"/>
  <c r="I2977" i="4"/>
  <c r="Q2976" i="4"/>
  <c r="M2976" i="4"/>
  <c r="L2976" i="4"/>
  <c r="K2976" i="4"/>
  <c r="J2976" i="4"/>
  <c r="I2976" i="4"/>
  <c r="Q2975" i="4"/>
  <c r="M2975" i="4"/>
  <c r="L2975" i="4"/>
  <c r="K2975" i="4"/>
  <c r="J2975" i="4"/>
  <c r="I2975" i="4"/>
  <c r="Q2974" i="4"/>
  <c r="M2974" i="4"/>
  <c r="L2974" i="4"/>
  <c r="K2974" i="4"/>
  <c r="J2974" i="4"/>
  <c r="I2974" i="4"/>
  <c r="Q2973" i="4"/>
  <c r="M2973" i="4"/>
  <c r="L2973" i="4"/>
  <c r="K2973" i="4"/>
  <c r="J2973" i="4"/>
  <c r="I2973" i="4"/>
  <c r="Q2972" i="4"/>
  <c r="M2972" i="4"/>
  <c r="L2972" i="4"/>
  <c r="K2972" i="4"/>
  <c r="J2972" i="4"/>
  <c r="I2972" i="4"/>
  <c r="Q2971" i="4"/>
  <c r="M2971" i="4"/>
  <c r="L2971" i="4"/>
  <c r="K2971" i="4"/>
  <c r="J2971" i="4"/>
  <c r="I2971" i="4"/>
  <c r="Q2970" i="4"/>
  <c r="M2970" i="4"/>
  <c r="L2970" i="4"/>
  <c r="K2970" i="4"/>
  <c r="J2970" i="4"/>
  <c r="I2970" i="4"/>
  <c r="Q2969" i="4"/>
  <c r="M2969" i="4"/>
  <c r="L2969" i="4"/>
  <c r="K2969" i="4"/>
  <c r="J2969" i="4"/>
  <c r="I2969" i="4"/>
  <c r="Q2968" i="4"/>
  <c r="M2968" i="4"/>
  <c r="L2968" i="4"/>
  <c r="K2968" i="4"/>
  <c r="J2968" i="4"/>
  <c r="I2968" i="4"/>
  <c r="Q2967" i="4"/>
  <c r="M2967" i="4"/>
  <c r="L2967" i="4"/>
  <c r="K2967" i="4"/>
  <c r="J2967" i="4"/>
  <c r="I2967" i="4"/>
  <c r="Q2966" i="4"/>
  <c r="M2966" i="4"/>
  <c r="L2966" i="4"/>
  <c r="K2966" i="4"/>
  <c r="J2966" i="4"/>
  <c r="I2966" i="4"/>
  <c r="Q2965" i="4"/>
  <c r="M2965" i="4"/>
  <c r="L2965" i="4"/>
  <c r="K2965" i="4"/>
  <c r="J2965" i="4"/>
  <c r="I2965" i="4"/>
  <c r="Q2964" i="4"/>
  <c r="M2964" i="4"/>
  <c r="L2964" i="4"/>
  <c r="K2964" i="4"/>
  <c r="J2964" i="4"/>
  <c r="I2964" i="4"/>
  <c r="Q2963" i="4"/>
  <c r="M2963" i="4"/>
  <c r="L2963" i="4"/>
  <c r="K2963" i="4"/>
  <c r="J2963" i="4"/>
  <c r="I2963" i="4"/>
  <c r="Q2962" i="4"/>
  <c r="M2962" i="4"/>
  <c r="L2962" i="4"/>
  <c r="K2962" i="4"/>
  <c r="J2962" i="4"/>
  <c r="I2962" i="4"/>
  <c r="Q2961" i="4"/>
  <c r="M2961" i="4"/>
  <c r="L2961" i="4"/>
  <c r="K2961" i="4"/>
  <c r="J2961" i="4"/>
  <c r="I2961" i="4"/>
  <c r="Q2960" i="4"/>
  <c r="M2960" i="4"/>
  <c r="L2960" i="4"/>
  <c r="K2960" i="4"/>
  <c r="J2960" i="4"/>
  <c r="I2960" i="4"/>
  <c r="Q2959" i="4"/>
  <c r="M2959" i="4"/>
  <c r="L2959" i="4"/>
  <c r="K2959" i="4"/>
  <c r="J2959" i="4"/>
  <c r="I2959" i="4"/>
  <c r="Q2958" i="4"/>
  <c r="M2958" i="4"/>
  <c r="L2958" i="4"/>
  <c r="K2958" i="4"/>
  <c r="J2958" i="4"/>
  <c r="I2958" i="4"/>
  <c r="Q2957" i="4"/>
  <c r="M2957" i="4"/>
  <c r="L2957" i="4"/>
  <c r="K2957" i="4"/>
  <c r="J2957" i="4"/>
  <c r="I2957" i="4"/>
  <c r="Q2956" i="4"/>
  <c r="M2956" i="4"/>
  <c r="L2956" i="4"/>
  <c r="K2956" i="4"/>
  <c r="J2956" i="4"/>
  <c r="I2956" i="4"/>
  <c r="Q2955" i="4"/>
  <c r="M2955" i="4"/>
  <c r="L2955" i="4"/>
  <c r="K2955" i="4"/>
  <c r="J2955" i="4"/>
  <c r="I2955" i="4"/>
  <c r="Q2954" i="4"/>
  <c r="M2954" i="4"/>
  <c r="L2954" i="4"/>
  <c r="K2954" i="4"/>
  <c r="J2954" i="4"/>
  <c r="I2954" i="4"/>
  <c r="Q2953" i="4"/>
  <c r="M2953" i="4"/>
  <c r="L2953" i="4"/>
  <c r="K2953" i="4"/>
  <c r="J2953" i="4"/>
  <c r="I2953" i="4"/>
  <c r="Q2952" i="4"/>
  <c r="M2952" i="4"/>
  <c r="L2952" i="4"/>
  <c r="K2952" i="4"/>
  <c r="J2952" i="4"/>
  <c r="I2952" i="4"/>
  <c r="Q2951" i="4"/>
  <c r="M2951" i="4"/>
  <c r="L2951" i="4"/>
  <c r="K2951" i="4"/>
  <c r="J2951" i="4"/>
  <c r="I2951" i="4"/>
  <c r="Q2950" i="4"/>
  <c r="M2950" i="4"/>
  <c r="L2950" i="4"/>
  <c r="K2950" i="4"/>
  <c r="J2950" i="4"/>
  <c r="I2950" i="4"/>
  <c r="Q2949" i="4"/>
  <c r="P2949" i="4"/>
  <c r="M2949" i="4"/>
  <c r="L2949" i="4"/>
  <c r="K2949" i="4"/>
  <c r="J2949" i="4"/>
  <c r="I2949" i="4"/>
  <c r="R2949" i="4" s="1"/>
  <c r="N2949" i="4" s="1"/>
  <c r="R2948" i="4"/>
  <c r="Q2948" i="4"/>
  <c r="M2948" i="4"/>
  <c r="L2948" i="4"/>
  <c r="K2948" i="4"/>
  <c r="J2948" i="4"/>
  <c r="I2948" i="4"/>
  <c r="P2948" i="4" s="1"/>
  <c r="Q2947" i="4"/>
  <c r="M2947" i="4"/>
  <c r="L2947" i="4"/>
  <c r="K2947" i="4"/>
  <c r="J2947" i="4"/>
  <c r="I2947" i="4"/>
  <c r="Q2946" i="4"/>
  <c r="L2946" i="4"/>
  <c r="K2946" i="4"/>
  <c r="J2946" i="4"/>
  <c r="M2946" i="4" s="1"/>
  <c r="I2946" i="4"/>
  <c r="P2946" i="4" s="1"/>
  <c r="Q2945" i="4"/>
  <c r="O2945" i="4"/>
  <c r="M2945" i="4"/>
  <c r="L2945" i="4"/>
  <c r="K2945" i="4"/>
  <c r="J2945" i="4"/>
  <c r="I2945" i="4"/>
  <c r="R2945" i="4" s="1"/>
  <c r="N2945" i="4" s="1"/>
  <c r="Q2944" i="4"/>
  <c r="L2944" i="4"/>
  <c r="K2944" i="4"/>
  <c r="J2944" i="4"/>
  <c r="M2944" i="4" s="1"/>
  <c r="I2944" i="4"/>
  <c r="P2944" i="4" s="1"/>
  <c r="Q2943" i="4"/>
  <c r="P2943" i="4"/>
  <c r="O2943" i="4"/>
  <c r="M2943" i="4"/>
  <c r="L2943" i="4"/>
  <c r="K2943" i="4"/>
  <c r="J2943" i="4"/>
  <c r="I2943" i="4"/>
  <c r="R2943" i="4" s="1"/>
  <c r="N2943" i="4" s="1"/>
  <c r="Q2942" i="4"/>
  <c r="M2942" i="4"/>
  <c r="L2942" i="4"/>
  <c r="K2942" i="4"/>
  <c r="J2942" i="4"/>
  <c r="I2942" i="4"/>
  <c r="P2942" i="4" s="1"/>
  <c r="Q2941" i="4"/>
  <c r="P2941" i="4"/>
  <c r="M2941" i="4"/>
  <c r="L2941" i="4"/>
  <c r="K2941" i="4"/>
  <c r="J2941" i="4"/>
  <c r="I2941" i="4"/>
  <c r="R2941" i="4" s="1"/>
  <c r="N2941" i="4" s="1"/>
  <c r="Q2940" i="4"/>
  <c r="M2940" i="4"/>
  <c r="L2940" i="4"/>
  <c r="K2940" i="4"/>
  <c r="J2940" i="4"/>
  <c r="I2940" i="4"/>
  <c r="P2940" i="4" s="1"/>
  <c r="Q2939" i="4"/>
  <c r="M2939" i="4"/>
  <c r="L2939" i="4"/>
  <c r="K2939" i="4"/>
  <c r="J2939" i="4"/>
  <c r="I2939" i="4"/>
  <c r="Q2938" i="4"/>
  <c r="L2938" i="4"/>
  <c r="K2938" i="4"/>
  <c r="J2938" i="4"/>
  <c r="M2938" i="4" s="1"/>
  <c r="I2938" i="4"/>
  <c r="P2938" i="4" s="1"/>
  <c r="Q2937" i="4"/>
  <c r="O2937" i="4"/>
  <c r="M2937" i="4"/>
  <c r="L2937" i="4"/>
  <c r="K2937" i="4"/>
  <c r="J2937" i="4"/>
  <c r="I2937" i="4"/>
  <c r="R2937" i="4" s="1"/>
  <c r="N2937" i="4" s="1"/>
  <c r="Q2936" i="4"/>
  <c r="L2936" i="4"/>
  <c r="K2936" i="4"/>
  <c r="J2936" i="4"/>
  <c r="M2936" i="4" s="1"/>
  <c r="I2936" i="4"/>
  <c r="P2936" i="4" s="1"/>
  <c r="Q2935" i="4"/>
  <c r="P2935" i="4"/>
  <c r="O2935" i="4"/>
  <c r="M2935" i="4"/>
  <c r="L2935" i="4"/>
  <c r="K2935" i="4"/>
  <c r="J2935" i="4"/>
  <c r="I2935" i="4"/>
  <c r="R2935" i="4" s="1"/>
  <c r="N2935" i="4" s="1"/>
  <c r="Q2934" i="4"/>
  <c r="M2934" i="4"/>
  <c r="L2934" i="4"/>
  <c r="K2934" i="4"/>
  <c r="J2934" i="4"/>
  <c r="I2934" i="4"/>
  <c r="P2934" i="4" s="1"/>
  <c r="Q2933" i="4"/>
  <c r="P2933" i="4"/>
  <c r="M2933" i="4"/>
  <c r="L2933" i="4"/>
  <c r="K2933" i="4"/>
  <c r="J2933" i="4"/>
  <c r="I2933" i="4"/>
  <c r="R2933" i="4" s="1"/>
  <c r="N2933" i="4" s="1"/>
  <c r="Q2932" i="4"/>
  <c r="M2932" i="4"/>
  <c r="L2932" i="4"/>
  <c r="K2932" i="4"/>
  <c r="J2932" i="4"/>
  <c r="I2932" i="4"/>
  <c r="P2932" i="4" s="1"/>
  <c r="Q2931" i="4"/>
  <c r="M2931" i="4"/>
  <c r="L2931" i="4"/>
  <c r="K2931" i="4"/>
  <c r="J2931" i="4"/>
  <c r="I2931" i="4"/>
  <c r="Q2930" i="4"/>
  <c r="L2930" i="4"/>
  <c r="K2930" i="4"/>
  <c r="J2930" i="4"/>
  <c r="M2930" i="4" s="1"/>
  <c r="I2930" i="4"/>
  <c r="P2930" i="4" s="1"/>
  <c r="Q2929" i="4"/>
  <c r="P2929" i="4"/>
  <c r="M2929" i="4"/>
  <c r="L2929" i="4"/>
  <c r="K2929" i="4"/>
  <c r="J2929" i="4"/>
  <c r="I2929" i="4"/>
  <c r="R2929" i="4" s="1"/>
  <c r="R2928" i="4"/>
  <c r="O2928" i="4" s="1"/>
  <c r="Q2928" i="4"/>
  <c r="L2928" i="4"/>
  <c r="K2928" i="4"/>
  <c r="J2928" i="4"/>
  <c r="M2928" i="4" s="1"/>
  <c r="I2928" i="4"/>
  <c r="P2928" i="4" s="1"/>
  <c r="Q2927" i="4"/>
  <c r="P2927" i="4"/>
  <c r="M2927" i="4"/>
  <c r="L2927" i="4"/>
  <c r="K2927" i="4"/>
  <c r="J2927" i="4"/>
  <c r="I2927" i="4"/>
  <c r="R2927" i="4" s="1"/>
  <c r="R2926" i="4"/>
  <c r="O2926" i="4" s="1"/>
  <c r="Q2926" i="4"/>
  <c r="N2926" i="4"/>
  <c r="L2926" i="4"/>
  <c r="K2926" i="4"/>
  <c r="J2926" i="4"/>
  <c r="M2926" i="4" s="1"/>
  <c r="I2926" i="4"/>
  <c r="P2926" i="4" s="1"/>
  <c r="Q2925" i="4"/>
  <c r="P2925" i="4"/>
  <c r="O2925" i="4"/>
  <c r="M2925" i="4"/>
  <c r="L2925" i="4"/>
  <c r="K2925" i="4"/>
  <c r="J2925" i="4"/>
  <c r="I2925" i="4"/>
  <c r="R2925" i="4" s="1"/>
  <c r="N2925" i="4" s="1"/>
  <c r="Q2924" i="4"/>
  <c r="L2924" i="4"/>
  <c r="K2924" i="4"/>
  <c r="J2924" i="4"/>
  <c r="M2924" i="4" s="1"/>
  <c r="I2924" i="4"/>
  <c r="P2924" i="4" s="1"/>
  <c r="Q2923" i="4"/>
  <c r="P2923" i="4"/>
  <c r="O2923" i="4"/>
  <c r="M2923" i="4"/>
  <c r="L2923" i="4"/>
  <c r="K2923" i="4"/>
  <c r="J2923" i="4"/>
  <c r="I2923" i="4"/>
  <c r="R2923" i="4" s="1"/>
  <c r="N2923" i="4" s="1"/>
  <c r="Q2922" i="4"/>
  <c r="L2922" i="4"/>
  <c r="K2922" i="4"/>
  <c r="J2922" i="4"/>
  <c r="M2922" i="4" s="1"/>
  <c r="I2922" i="4"/>
  <c r="P2922" i="4" s="1"/>
  <c r="Q2921" i="4"/>
  <c r="P2921" i="4"/>
  <c r="O2921" i="4"/>
  <c r="M2921" i="4"/>
  <c r="L2921" i="4"/>
  <c r="K2921" i="4"/>
  <c r="J2921" i="4"/>
  <c r="I2921" i="4"/>
  <c r="R2921" i="4" s="1"/>
  <c r="N2921" i="4" s="1"/>
  <c r="Q2920" i="4"/>
  <c r="L2920" i="4"/>
  <c r="K2920" i="4"/>
  <c r="J2920" i="4"/>
  <c r="M2920" i="4" s="1"/>
  <c r="I2920" i="4"/>
  <c r="P2920" i="4" s="1"/>
  <c r="Q2919" i="4"/>
  <c r="O2919" i="4"/>
  <c r="M2919" i="4"/>
  <c r="L2919" i="4"/>
  <c r="K2919" i="4"/>
  <c r="J2919" i="4"/>
  <c r="I2919" i="4"/>
  <c r="R2919" i="4" s="1"/>
  <c r="N2919" i="4" s="1"/>
  <c r="Q2918" i="4"/>
  <c r="L2918" i="4"/>
  <c r="K2918" i="4"/>
  <c r="J2918" i="4"/>
  <c r="M2918" i="4" s="1"/>
  <c r="I2918" i="4"/>
  <c r="P2918" i="4" s="1"/>
  <c r="Q2917" i="4"/>
  <c r="P2917" i="4"/>
  <c r="O2917" i="4"/>
  <c r="M2917" i="4"/>
  <c r="L2917" i="4"/>
  <c r="K2917" i="4"/>
  <c r="J2917" i="4"/>
  <c r="I2917" i="4"/>
  <c r="R2917" i="4" s="1"/>
  <c r="N2917" i="4" s="1"/>
  <c r="Q2916" i="4"/>
  <c r="M2916" i="4"/>
  <c r="L2916" i="4"/>
  <c r="K2916" i="4"/>
  <c r="J2916" i="4"/>
  <c r="I2916" i="4"/>
  <c r="P2916" i="4" s="1"/>
  <c r="Q2915" i="4"/>
  <c r="P2915" i="4"/>
  <c r="M2915" i="4"/>
  <c r="L2915" i="4"/>
  <c r="K2915" i="4"/>
  <c r="J2915" i="4"/>
  <c r="I2915" i="4"/>
  <c r="R2915" i="4" s="1"/>
  <c r="N2915" i="4" s="1"/>
  <c r="Q2914" i="4"/>
  <c r="M2914" i="4"/>
  <c r="L2914" i="4"/>
  <c r="K2914" i="4"/>
  <c r="J2914" i="4"/>
  <c r="I2914" i="4"/>
  <c r="P2914" i="4" s="1"/>
  <c r="Q2913" i="4"/>
  <c r="M2913" i="4"/>
  <c r="L2913" i="4"/>
  <c r="K2913" i="4"/>
  <c r="J2913" i="4"/>
  <c r="I2913" i="4"/>
  <c r="R2913" i="4" s="1"/>
  <c r="N2913" i="4" s="1"/>
  <c r="Q2912" i="4"/>
  <c r="L2912" i="4"/>
  <c r="K2912" i="4"/>
  <c r="J2912" i="4"/>
  <c r="M2912" i="4" s="1"/>
  <c r="I2912" i="4"/>
  <c r="P2912" i="4" s="1"/>
  <c r="Q2911" i="4"/>
  <c r="O2911" i="4"/>
  <c r="M2911" i="4"/>
  <c r="L2911" i="4"/>
  <c r="K2911" i="4"/>
  <c r="J2911" i="4"/>
  <c r="I2911" i="4"/>
  <c r="R2911" i="4" s="1"/>
  <c r="N2911" i="4" s="1"/>
  <c r="Q2910" i="4"/>
  <c r="L2910" i="4"/>
  <c r="K2910" i="4"/>
  <c r="J2910" i="4"/>
  <c r="M2910" i="4" s="1"/>
  <c r="I2910" i="4"/>
  <c r="P2910" i="4" s="1"/>
  <c r="Q2909" i="4"/>
  <c r="P2909" i="4"/>
  <c r="O2909" i="4"/>
  <c r="M2909" i="4"/>
  <c r="L2909" i="4"/>
  <c r="K2909" i="4"/>
  <c r="J2909" i="4"/>
  <c r="I2909" i="4"/>
  <c r="R2909" i="4" s="1"/>
  <c r="N2909" i="4" s="1"/>
  <c r="Q2908" i="4"/>
  <c r="M2908" i="4"/>
  <c r="L2908" i="4"/>
  <c r="K2908" i="4"/>
  <c r="J2908" i="4"/>
  <c r="I2908" i="4"/>
  <c r="P2908" i="4" s="1"/>
  <c r="Q2907" i="4"/>
  <c r="P2907" i="4"/>
  <c r="M2907" i="4"/>
  <c r="L2907" i="4"/>
  <c r="K2907" i="4"/>
  <c r="J2907" i="4"/>
  <c r="I2907" i="4"/>
  <c r="R2907" i="4" s="1"/>
  <c r="N2907" i="4" s="1"/>
  <c r="Q2906" i="4"/>
  <c r="M2906" i="4"/>
  <c r="L2906" i="4"/>
  <c r="K2906" i="4"/>
  <c r="J2906" i="4"/>
  <c r="I2906" i="4"/>
  <c r="P2906" i="4" s="1"/>
  <c r="Q2905" i="4"/>
  <c r="M2905" i="4"/>
  <c r="L2905" i="4"/>
  <c r="K2905" i="4"/>
  <c r="J2905" i="4"/>
  <c r="I2905" i="4"/>
  <c r="R2905" i="4" s="1"/>
  <c r="N2905" i="4" s="1"/>
  <c r="Q2904" i="4"/>
  <c r="L2904" i="4"/>
  <c r="K2904" i="4"/>
  <c r="J2904" i="4"/>
  <c r="M2904" i="4" s="1"/>
  <c r="I2904" i="4"/>
  <c r="P2904" i="4" s="1"/>
  <c r="Q2903" i="4"/>
  <c r="O2903" i="4"/>
  <c r="M2903" i="4"/>
  <c r="L2903" i="4"/>
  <c r="K2903" i="4"/>
  <c r="J2903" i="4"/>
  <c r="I2903" i="4"/>
  <c r="R2903" i="4" s="1"/>
  <c r="N2903" i="4" s="1"/>
  <c r="Q2902" i="4"/>
  <c r="L2902" i="4"/>
  <c r="K2902" i="4"/>
  <c r="J2902" i="4"/>
  <c r="M2902" i="4" s="1"/>
  <c r="I2902" i="4"/>
  <c r="P2902" i="4" s="1"/>
  <c r="Q2901" i="4"/>
  <c r="P2901" i="4"/>
  <c r="O2901" i="4"/>
  <c r="M2901" i="4"/>
  <c r="L2901" i="4"/>
  <c r="K2901" i="4"/>
  <c r="J2901" i="4"/>
  <c r="I2901" i="4"/>
  <c r="R2901" i="4" s="1"/>
  <c r="N2901" i="4" s="1"/>
  <c r="Q2900" i="4"/>
  <c r="M2900" i="4"/>
  <c r="L2900" i="4"/>
  <c r="K2900" i="4"/>
  <c r="J2900" i="4"/>
  <c r="I2900" i="4"/>
  <c r="P2900" i="4" s="1"/>
  <c r="Q2899" i="4"/>
  <c r="P2899" i="4"/>
  <c r="M2899" i="4"/>
  <c r="L2899" i="4"/>
  <c r="K2899" i="4"/>
  <c r="J2899" i="4"/>
  <c r="I2899" i="4"/>
  <c r="R2899" i="4" s="1"/>
  <c r="N2899" i="4" s="1"/>
  <c r="Q2898" i="4"/>
  <c r="M2898" i="4"/>
  <c r="L2898" i="4"/>
  <c r="K2898" i="4"/>
  <c r="J2898" i="4"/>
  <c r="I2898" i="4"/>
  <c r="P2898" i="4" s="1"/>
  <c r="Q2897" i="4"/>
  <c r="M2897" i="4"/>
  <c r="L2897" i="4"/>
  <c r="K2897" i="4"/>
  <c r="J2897" i="4"/>
  <c r="I2897" i="4"/>
  <c r="R2897" i="4" s="1"/>
  <c r="N2897" i="4" s="1"/>
  <c r="R2896" i="4"/>
  <c r="Q2896" i="4"/>
  <c r="P2896" i="4"/>
  <c r="O2896" i="4"/>
  <c r="N2896" i="4"/>
  <c r="L2896" i="4"/>
  <c r="K2896" i="4"/>
  <c r="J2896" i="4"/>
  <c r="M2896" i="4" s="1"/>
  <c r="I2896" i="4"/>
  <c r="Q2895" i="4"/>
  <c r="M2895" i="4"/>
  <c r="L2895" i="4"/>
  <c r="K2895" i="4"/>
  <c r="J2895" i="4"/>
  <c r="I2895" i="4"/>
  <c r="P2895" i="4" s="1"/>
  <c r="R2894" i="4"/>
  <c r="Q2894" i="4"/>
  <c r="P2894" i="4"/>
  <c r="O2894" i="4"/>
  <c r="N2894" i="4"/>
  <c r="L2894" i="4"/>
  <c r="K2894" i="4"/>
  <c r="J2894" i="4"/>
  <c r="M2894" i="4" s="1"/>
  <c r="I2894" i="4"/>
  <c r="Q2893" i="4"/>
  <c r="M2893" i="4"/>
  <c r="L2893" i="4"/>
  <c r="K2893" i="4"/>
  <c r="J2893" i="4"/>
  <c r="I2893" i="4"/>
  <c r="P2893" i="4" s="1"/>
  <c r="R2892" i="4"/>
  <c r="Q2892" i="4"/>
  <c r="P2892" i="4"/>
  <c r="O2892" i="4"/>
  <c r="N2892" i="4"/>
  <c r="L2892" i="4"/>
  <c r="K2892" i="4"/>
  <c r="J2892" i="4"/>
  <c r="M2892" i="4" s="1"/>
  <c r="I2892" i="4"/>
  <c r="Q2891" i="4"/>
  <c r="M2891" i="4"/>
  <c r="L2891" i="4"/>
  <c r="K2891" i="4"/>
  <c r="J2891" i="4"/>
  <c r="I2891" i="4"/>
  <c r="P2891" i="4" s="1"/>
  <c r="R2890" i="4"/>
  <c r="Q2890" i="4"/>
  <c r="P2890" i="4"/>
  <c r="O2890" i="4"/>
  <c r="N2890" i="4"/>
  <c r="L2890" i="4"/>
  <c r="K2890" i="4"/>
  <c r="J2890" i="4"/>
  <c r="M2890" i="4" s="1"/>
  <c r="I2890" i="4"/>
  <c r="Q2889" i="4"/>
  <c r="M2889" i="4"/>
  <c r="L2889" i="4"/>
  <c r="K2889" i="4"/>
  <c r="J2889" i="4"/>
  <c r="I2889" i="4"/>
  <c r="P2889" i="4" s="1"/>
  <c r="R2888" i="4"/>
  <c r="Q2888" i="4"/>
  <c r="P2888" i="4"/>
  <c r="O2888" i="4"/>
  <c r="N2888" i="4"/>
  <c r="L2888" i="4"/>
  <c r="K2888" i="4"/>
  <c r="J2888" i="4"/>
  <c r="M2888" i="4" s="1"/>
  <c r="I2888" i="4"/>
  <c r="Q2887" i="4"/>
  <c r="M2887" i="4"/>
  <c r="L2887" i="4"/>
  <c r="K2887" i="4"/>
  <c r="J2887" i="4"/>
  <c r="I2887" i="4"/>
  <c r="P2887" i="4" s="1"/>
  <c r="R2886" i="4"/>
  <c r="Q2886" i="4"/>
  <c r="P2886" i="4"/>
  <c r="O2886" i="4"/>
  <c r="N2886" i="4"/>
  <c r="L2886" i="4"/>
  <c r="K2886" i="4"/>
  <c r="J2886" i="4"/>
  <c r="M2886" i="4" s="1"/>
  <c r="I2886" i="4"/>
  <c r="Q2885" i="4"/>
  <c r="M2885" i="4"/>
  <c r="L2885" i="4"/>
  <c r="K2885" i="4"/>
  <c r="J2885" i="4"/>
  <c r="I2885" i="4"/>
  <c r="P2885" i="4" s="1"/>
  <c r="R2884" i="4"/>
  <c r="Q2884" i="4"/>
  <c r="P2884" i="4"/>
  <c r="O2884" i="4"/>
  <c r="N2884" i="4"/>
  <c r="L2884" i="4"/>
  <c r="K2884" i="4"/>
  <c r="J2884" i="4"/>
  <c r="M2884" i="4" s="1"/>
  <c r="I2884" i="4"/>
  <c r="Q2883" i="4"/>
  <c r="M2883" i="4"/>
  <c r="L2883" i="4"/>
  <c r="K2883" i="4"/>
  <c r="J2883" i="4"/>
  <c r="I2883" i="4"/>
  <c r="P2883" i="4" s="1"/>
  <c r="R2882" i="4"/>
  <c r="Q2882" i="4"/>
  <c r="P2882" i="4"/>
  <c r="O2882" i="4"/>
  <c r="N2882" i="4"/>
  <c r="L2882" i="4"/>
  <c r="K2882" i="4"/>
  <c r="J2882" i="4"/>
  <c r="M2882" i="4" s="1"/>
  <c r="I2882" i="4"/>
  <c r="Q2881" i="4"/>
  <c r="M2881" i="4"/>
  <c r="L2881" i="4"/>
  <c r="K2881" i="4"/>
  <c r="J2881" i="4"/>
  <c r="I2881" i="4"/>
  <c r="P2881" i="4" s="1"/>
  <c r="R2880" i="4"/>
  <c r="Q2880" i="4"/>
  <c r="P2880" i="4"/>
  <c r="O2880" i="4"/>
  <c r="N2880" i="4"/>
  <c r="L2880" i="4"/>
  <c r="K2880" i="4"/>
  <c r="J2880" i="4"/>
  <c r="M2880" i="4" s="1"/>
  <c r="I2880" i="4"/>
  <c r="Q2879" i="4"/>
  <c r="M2879" i="4"/>
  <c r="L2879" i="4"/>
  <c r="K2879" i="4"/>
  <c r="J2879" i="4"/>
  <c r="I2879" i="4"/>
  <c r="P2879" i="4" s="1"/>
  <c r="R2878" i="4"/>
  <c r="Q2878" i="4"/>
  <c r="P2878" i="4"/>
  <c r="O2878" i="4"/>
  <c r="N2878" i="4"/>
  <c r="L2878" i="4"/>
  <c r="K2878" i="4"/>
  <c r="J2878" i="4"/>
  <c r="M2878" i="4" s="1"/>
  <c r="I2878" i="4"/>
  <c r="Q2877" i="4"/>
  <c r="M2877" i="4"/>
  <c r="L2877" i="4"/>
  <c r="K2877" i="4"/>
  <c r="J2877" i="4"/>
  <c r="I2877" i="4"/>
  <c r="P2877" i="4" s="1"/>
  <c r="R2876" i="4"/>
  <c r="Q2876" i="4"/>
  <c r="P2876" i="4"/>
  <c r="O2876" i="4"/>
  <c r="N2876" i="4"/>
  <c r="L2876" i="4"/>
  <c r="K2876" i="4"/>
  <c r="J2876" i="4"/>
  <c r="M2876" i="4" s="1"/>
  <c r="I2876" i="4"/>
  <c r="Q2875" i="4"/>
  <c r="M2875" i="4"/>
  <c r="L2875" i="4"/>
  <c r="K2875" i="4"/>
  <c r="J2875" i="4"/>
  <c r="I2875" i="4"/>
  <c r="P2875" i="4" s="1"/>
  <c r="R2874" i="4"/>
  <c r="Q2874" i="4"/>
  <c r="P2874" i="4"/>
  <c r="O2874" i="4"/>
  <c r="N2874" i="4"/>
  <c r="L2874" i="4"/>
  <c r="K2874" i="4"/>
  <c r="J2874" i="4"/>
  <c r="M2874" i="4" s="1"/>
  <c r="I2874" i="4"/>
  <c r="Q2873" i="4"/>
  <c r="M2873" i="4"/>
  <c r="L2873" i="4"/>
  <c r="K2873" i="4"/>
  <c r="J2873" i="4"/>
  <c r="I2873" i="4"/>
  <c r="P2873" i="4" s="1"/>
  <c r="R2872" i="4"/>
  <c r="Q2872" i="4"/>
  <c r="P2872" i="4"/>
  <c r="O2872" i="4"/>
  <c r="N2872" i="4"/>
  <c r="L2872" i="4"/>
  <c r="K2872" i="4"/>
  <c r="J2872" i="4"/>
  <c r="M2872" i="4" s="1"/>
  <c r="I2872" i="4"/>
  <c r="Q2871" i="4"/>
  <c r="M2871" i="4"/>
  <c r="L2871" i="4"/>
  <c r="K2871" i="4"/>
  <c r="J2871" i="4"/>
  <c r="I2871" i="4"/>
  <c r="P2871" i="4" s="1"/>
  <c r="R2870" i="4"/>
  <c r="Q2870" i="4"/>
  <c r="P2870" i="4"/>
  <c r="O2870" i="4"/>
  <c r="N2870" i="4"/>
  <c r="L2870" i="4"/>
  <c r="K2870" i="4"/>
  <c r="J2870" i="4"/>
  <c r="M2870" i="4" s="1"/>
  <c r="I2870" i="4"/>
  <c r="Q2869" i="4"/>
  <c r="M2869" i="4"/>
  <c r="L2869" i="4"/>
  <c r="K2869" i="4"/>
  <c r="J2869" i="4"/>
  <c r="I2869" i="4"/>
  <c r="P2869" i="4" s="1"/>
  <c r="Q2868" i="4"/>
  <c r="L2868" i="4"/>
  <c r="K2868" i="4"/>
  <c r="J2868" i="4"/>
  <c r="M2868" i="4" s="1"/>
  <c r="I2868" i="4"/>
  <c r="R2868" i="4" s="1"/>
  <c r="Q2867" i="4"/>
  <c r="M2867" i="4"/>
  <c r="L2867" i="4"/>
  <c r="K2867" i="4"/>
  <c r="J2867" i="4"/>
  <c r="I2867" i="4"/>
  <c r="P2867" i="4" s="1"/>
  <c r="Q2866" i="4"/>
  <c r="L2866" i="4"/>
  <c r="K2866" i="4"/>
  <c r="J2866" i="4"/>
  <c r="M2866" i="4" s="1"/>
  <c r="I2866" i="4"/>
  <c r="R2866" i="4" s="1"/>
  <c r="Q2865" i="4"/>
  <c r="M2865" i="4"/>
  <c r="L2865" i="4"/>
  <c r="K2865" i="4"/>
  <c r="J2865" i="4"/>
  <c r="I2865" i="4"/>
  <c r="P2865" i="4" s="1"/>
  <c r="Q2864" i="4"/>
  <c r="L2864" i="4"/>
  <c r="K2864" i="4"/>
  <c r="J2864" i="4"/>
  <c r="M2864" i="4" s="1"/>
  <c r="I2864" i="4"/>
  <c r="R2864" i="4" s="1"/>
  <c r="Q2863" i="4"/>
  <c r="M2863" i="4"/>
  <c r="L2863" i="4"/>
  <c r="K2863" i="4"/>
  <c r="J2863" i="4"/>
  <c r="I2863" i="4"/>
  <c r="P2863" i="4" s="1"/>
  <c r="Q2862" i="4"/>
  <c r="M2862" i="4"/>
  <c r="L2862" i="4"/>
  <c r="K2862" i="4"/>
  <c r="J2862" i="4"/>
  <c r="I2862" i="4"/>
  <c r="R2862" i="4" s="1"/>
  <c r="Q2861" i="4"/>
  <c r="M2861" i="4"/>
  <c r="L2861" i="4"/>
  <c r="K2861" i="4"/>
  <c r="J2861" i="4"/>
  <c r="I2861" i="4"/>
  <c r="P2861" i="4" s="1"/>
  <c r="Q2860" i="4"/>
  <c r="M2860" i="4"/>
  <c r="L2860" i="4"/>
  <c r="K2860" i="4"/>
  <c r="J2860" i="4"/>
  <c r="I2860" i="4"/>
  <c r="R2860" i="4" s="1"/>
  <c r="Q2859" i="4"/>
  <c r="M2859" i="4"/>
  <c r="L2859" i="4"/>
  <c r="K2859" i="4"/>
  <c r="J2859" i="4"/>
  <c r="I2859" i="4"/>
  <c r="P2859" i="4" s="1"/>
  <c r="Q2858" i="4"/>
  <c r="M2858" i="4"/>
  <c r="L2858" i="4"/>
  <c r="K2858" i="4"/>
  <c r="J2858" i="4"/>
  <c r="I2858" i="4"/>
  <c r="R2858" i="4" s="1"/>
  <c r="Q2857" i="4"/>
  <c r="M2857" i="4"/>
  <c r="L2857" i="4"/>
  <c r="K2857" i="4"/>
  <c r="J2857" i="4"/>
  <c r="I2857" i="4"/>
  <c r="P2857" i="4" s="1"/>
  <c r="Q2856" i="4"/>
  <c r="M2856" i="4"/>
  <c r="L2856" i="4"/>
  <c r="K2856" i="4"/>
  <c r="J2856" i="4"/>
  <c r="I2856" i="4"/>
  <c r="R2856" i="4" s="1"/>
  <c r="Q2855" i="4"/>
  <c r="M2855" i="4"/>
  <c r="L2855" i="4"/>
  <c r="K2855" i="4"/>
  <c r="J2855" i="4"/>
  <c r="I2855" i="4"/>
  <c r="P2855" i="4" s="1"/>
  <c r="Q2854" i="4"/>
  <c r="M2854" i="4"/>
  <c r="L2854" i="4"/>
  <c r="K2854" i="4"/>
  <c r="J2854" i="4"/>
  <c r="I2854" i="4"/>
  <c r="R2854" i="4" s="1"/>
  <c r="Q2853" i="4"/>
  <c r="M2853" i="4"/>
  <c r="L2853" i="4"/>
  <c r="K2853" i="4"/>
  <c r="J2853" i="4"/>
  <c r="I2853" i="4"/>
  <c r="P2853" i="4" s="1"/>
  <c r="Q2852" i="4"/>
  <c r="M2852" i="4"/>
  <c r="L2852" i="4"/>
  <c r="K2852" i="4"/>
  <c r="J2852" i="4"/>
  <c r="I2852" i="4"/>
  <c r="R2852" i="4" s="1"/>
  <c r="Q2851" i="4"/>
  <c r="M2851" i="4"/>
  <c r="L2851" i="4"/>
  <c r="K2851" i="4"/>
  <c r="J2851" i="4"/>
  <c r="I2851" i="4"/>
  <c r="P2851" i="4" s="1"/>
  <c r="Q2850" i="4"/>
  <c r="M2850" i="4"/>
  <c r="L2850" i="4"/>
  <c r="K2850" i="4"/>
  <c r="J2850" i="4"/>
  <c r="I2850" i="4"/>
  <c r="R2850" i="4" s="1"/>
  <c r="Q2849" i="4"/>
  <c r="M2849" i="4"/>
  <c r="L2849" i="4"/>
  <c r="K2849" i="4"/>
  <c r="J2849" i="4"/>
  <c r="I2849" i="4"/>
  <c r="P2849" i="4" s="1"/>
  <c r="Q2848" i="4"/>
  <c r="M2848" i="4"/>
  <c r="L2848" i="4"/>
  <c r="K2848" i="4"/>
  <c r="J2848" i="4"/>
  <c r="I2848" i="4"/>
  <c r="R2848" i="4" s="1"/>
  <c r="Q2847" i="4"/>
  <c r="M2847" i="4"/>
  <c r="L2847" i="4"/>
  <c r="K2847" i="4"/>
  <c r="J2847" i="4"/>
  <c r="I2847" i="4"/>
  <c r="P2847" i="4" s="1"/>
  <c r="Q2846" i="4"/>
  <c r="M2846" i="4"/>
  <c r="L2846" i="4"/>
  <c r="K2846" i="4"/>
  <c r="J2846" i="4"/>
  <c r="I2846" i="4"/>
  <c r="R2846" i="4" s="1"/>
  <c r="Q2845" i="4"/>
  <c r="M2845" i="4"/>
  <c r="L2845" i="4"/>
  <c r="K2845" i="4"/>
  <c r="J2845" i="4"/>
  <c r="I2845" i="4"/>
  <c r="P2845" i="4" s="1"/>
  <c r="Q2844" i="4"/>
  <c r="M2844" i="4"/>
  <c r="L2844" i="4"/>
  <c r="K2844" i="4"/>
  <c r="J2844" i="4"/>
  <c r="I2844" i="4"/>
  <c r="R2844" i="4" s="1"/>
  <c r="Q2843" i="4"/>
  <c r="M2843" i="4"/>
  <c r="L2843" i="4"/>
  <c r="K2843" i="4"/>
  <c r="J2843" i="4"/>
  <c r="I2843" i="4"/>
  <c r="P2843" i="4" s="1"/>
  <c r="Q2842" i="4"/>
  <c r="M2842" i="4"/>
  <c r="L2842" i="4"/>
  <c r="K2842" i="4"/>
  <c r="J2842" i="4"/>
  <c r="I2842" i="4"/>
  <c r="R2842" i="4" s="1"/>
  <c r="Q2841" i="4"/>
  <c r="M2841" i="4"/>
  <c r="L2841" i="4"/>
  <c r="K2841" i="4"/>
  <c r="J2841" i="4"/>
  <c r="I2841" i="4"/>
  <c r="P2841" i="4" s="1"/>
  <c r="Q2840" i="4"/>
  <c r="M2840" i="4"/>
  <c r="L2840" i="4"/>
  <c r="K2840" i="4"/>
  <c r="J2840" i="4"/>
  <c r="I2840" i="4"/>
  <c r="R2840" i="4" s="1"/>
  <c r="Q2839" i="4"/>
  <c r="M2839" i="4"/>
  <c r="L2839" i="4"/>
  <c r="K2839" i="4"/>
  <c r="J2839" i="4"/>
  <c r="I2839" i="4"/>
  <c r="P2839" i="4" s="1"/>
  <c r="Q2838" i="4"/>
  <c r="M2838" i="4"/>
  <c r="L2838" i="4"/>
  <c r="K2838" i="4"/>
  <c r="J2838" i="4"/>
  <c r="I2838" i="4"/>
  <c r="R2838" i="4" s="1"/>
  <c r="Q2837" i="4"/>
  <c r="M2837" i="4"/>
  <c r="L2837" i="4"/>
  <c r="K2837" i="4"/>
  <c r="J2837" i="4"/>
  <c r="I2837" i="4"/>
  <c r="P2837" i="4" s="1"/>
  <c r="Q2836" i="4"/>
  <c r="M2836" i="4"/>
  <c r="L2836" i="4"/>
  <c r="K2836" i="4"/>
  <c r="J2836" i="4"/>
  <c r="I2836" i="4"/>
  <c r="R2836" i="4" s="1"/>
  <c r="Q2835" i="4"/>
  <c r="M2835" i="4"/>
  <c r="L2835" i="4"/>
  <c r="K2835" i="4"/>
  <c r="J2835" i="4"/>
  <c r="I2835" i="4"/>
  <c r="P2835" i="4" s="1"/>
  <c r="Q2834" i="4"/>
  <c r="M2834" i="4"/>
  <c r="L2834" i="4"/>
  <c r="K2834" i="4"/>
  <c r="J2834" i="4"/>
  <c r="I2834" i="4"/>
  <c r="R2834" i="4" s="1"/>
  <c r="Q2833" i="4"/>
  <c r="M2833" i="4"/>
  <c r="L2833" i="4"/>
  <c r="K2833" i="4"/>
  <c r="J2833" i="4"/>
  <c r="I2833" i="4"/>
  <c r="P2833" i="4" s="1"/>
  <c r="Q2832" i="4"/>
  <c r="M2832" i="4"/>
  <c r="L2832" i="4"/>
  <c r="K2832" i="4"/>
  <c r="J2832" i="4"/>
  <c r="I2832" i="4"/>
  <c r="R2832" i="4" s="1"/>
  <c r="Q2831" i="4"/>
  <c r="M2831" i="4"/>
  <c r="L2831" i="4"/>
  <c r="K2831" i="4"/>
  <c r="J2831" i="4"/>
  <c r="I2831" i="4"/>
  <c r="P2831" i="4" s="1"/>
  <c r="Q2830" i="4"/>
  <c r="M2830" i="4"/>
  <c r="L2830" i="4"/>
  <c r="K2830" i="4"/>
  <c r="J2830" i="4"/>
  <c r="I2830" i="4"/>
  <c r="R2830" i="4" s="1"/>
  <c r="Q2829" i="4"/>
  <c r="M2829" i="4"/>
  <c r="L2829" i="4"/>
  <c r="K2829" i="4"/>
  <c r="J2829" i="4"/>
  <c r="I2829" i="4"/>
  <c r="P2829" i="4" s="1"/>
  <c r="Q2828" i="4"/>
  <c r="M2828" i="4"/>
  <c r="L2828" i="4"/>
  <c r="K2828" i="4"/>
  <c r="J2828" i="4"/>
  <c r="I2828" i="4"/>
  <c r="R2828" i="4" s="1"/>
  <c r="Q2827" i="4"/>
  <c r="M2827" i="4"/>
  <c r="L2827" i="4"/>
  <c r="K2827" i="4"/>
  <c r="J2827" i="4"/>
  <c r="I2827" i="4"/>
  <c r="P2827" i="4" s="1"/>
  <c r="Q2826" i="4"/>
  <c r="M2826" i="4"/>
  <c r="L2826" i="4"/>
  <c r="K2826" i="4"/>
  <c r="J2826" i="4"/>
  <c r="I2826" i="4"/>
  <c r="R2826" i="4" s="1"/>
  <c r="Q2825" i="4"/>
  <c r="M2825" i="4"/>
  <c r="L2825" i="4"/>
  <c r="K2825" i="4"/>
  <c r="J2825" i="4"/>
  <c r="I2825" i="4"/>
  <c r="P2825" i="4" s="1"/>
  <c r="Q2824" i="4"/>
  <c r="M2824" i="4"/>
  <c r="L2824" i="4"/>
  <c r="K2824" i="4"/>
  <c r="J2824" i="4"/>
  <c r="I2824" i="4"/>
  <c r="R2824" i="4" s="1"/>
  <c r="Q2823" i="4"/>
  <c r="M2823" i="4"/>
  <c r="L2823" i="4"/>
  <c r="K2823" i="4"/>
  <c r="J2823" i="4"/>
  <c r="I2823" i="4"/>
  <c r="P2823" i="4" s="1"/>
  <c r="Q2822" i="4"/>
  <c r="M2822" i="4"/>
  <c r="L2822" i="4"/>
  <c r="K2822" i="4"/>
  <c r="J2822" i="4"/>
  <c r="I2822" i="4"/>
  <c r="R2822" i="4" s="1"/>
  <c r="Q2821" i="4"/>
  <c r="M2821" i="4"/>
  <c r="L2821" i="4"/>
  <c r="K2821" i="4"/>
  <c r="J2821" i="4"/>
  <c r="I2821" i="4"/>
  <c r="P2821" i="4" s="1"/>
  <c r="Q2820" i="4"/>
  <c r="M2820" i="4"/>
  <c r="L2820" i="4"/>
  <c r="K2820" i="4"/>
  <c r="J2820" i="4"/>
  <c r="I2820" i="4"/>
  <c r="R2820" i="4" s="1"/>
  <c r="Q2819" i="4"/>
  <c r="M2819" i="4"/>
  <c r="L2819" i="4"/>
  <c r="K2819" i="4"/>
  <c r="J2819" i="4"/>
  <c r="I2819" i="4"/>
  <c r="P2819" i="4" s="1"/>
  <c r="Q2818" i="4"/>
  <c r="M2818" i="4"/>
  <c r="L2818" i="4"/>
  <c r="K2818" i="4"/>
  <c r="J2818" i="4"/>
  <c r="I2818" i="4"/>
  <c r="R2818" i="4" s="1"/>
  <c r="Q2817" i="4"/>
  <c r="M2817" i="4"/>
  <c r="L2817" i="4"/>
  <c r="K2817" i="4"/>
  <c r="J2817" i="4"/>
  <c r="I2817" i="4"/>
  <c r="P2817" i="4" s="1"/>
  <c r="Q2816" i="4"/>
  <c r="M2816" i="4"/>
  <c r="L2816" i="4"/>
  <c r="K2816" i="4"/>
  <c r="J2816" i="4"/>
  <c r="I2816" i="4"/>
  <c r="R2816" i="4" s="1"/>
  <c r="Q2815" i="4"/>
  <c r="M2815" i="4"/>
  <c r="L2815" i="4"/>
  <c r="K2815" i="4"/>
  <c r="J2815" i="4"/>
  <c r="I2815" i="4"/>
  <c r="P2815" i="4" s="1"/>
  <c r="Q2814" i="4"/>
  <c r="M2814" i="4"/>
  <c r="L2814" i="4"/>
  <c r="K2814" i="4"/>
  <c r="J2814" i="4"/>
  <c r="I2814" i="4"/>
  <c r="R2814" i="4" s="1"/>
  <c r="Q2813" i="4"/>
  <c r="M2813" i="4"/>
  <c r="L2813" i="4"/>
  <c r="K2813" i="4"/>
  <c r="J2813" i="4"/>
  <c r="I2813" i="4"/>
  <c r="P2813" i="4" s="1"/>
  <c r="Q2812" i="4"/>
  <c r="M2812" i="4"/>
  <c r="L2812" i="4"/>
  <c r="K2812" i="4"/>
  <c r="J2812" i="4"/>
  <c r="I2812" i="4"/>
  <c r="R2812" i="4" s="1"/>
  <c r="Q2811" i="4"/>
  <c r="M2811" i="4"/>
  <c r="L2811" i="4"/>
  <c r="K2811" i="4"/>
  <c r="J2811" i="4"/>
  <c r="I2811" i="4"/>
  <c r="Q2810" i="4"/>
  <c r="O2810" i="4"/>
  <c r="M2810" i="4"/>
  <c r="L2810" i="4"/>
  <c r="K2810" i="4"/>
  <c r="J2810" i="4"/>
  <c r="I2810" i="4"/>
  <c r="R2810" i="4" s="1"/>
  <c r="N2810" i="4" s="1"/>
  <c r="Q2809" i="4"/>
  <c r="M2809" i="4"/>
  <c r="L2809" i="4"/>
  <c r="K2809" i="4"/>
  <c r="J2809" i="4"/>
  <c r="I2809" i="4"/>
  <c r="Q2808" i="4"/>
  <c r="M2808" i="4"/>
  <c r="L2808" i="4"/>
  <c r="K2808" i="4"/>
  <c r="J2808" i="4"/>
  <c r="I2808" i="4"/>
  <c r="R2808" i="4" s="1"/>
  <c r="Q2807" i="4"/>
  <c r="M2807" i="4"/>
  <c r="L2807" i="4"/>
  <c r="K2807" i="4"/>
  <c r="J2807" i="4"/>
  <c r="I2807" i="4"/>
  <c r="Q2806" i="4"/>
  <c r="O2806" i="4"/>
  <c r="M2806" i="4"/>
  <c r="L2806" i="4"/>
  <c r="K2806" i="4"/>
  <c r="J2806" i="4"/>
  <c r="I2806" i="4"/>
  <c r="R2806" i="4" s="1"/>
  <c r="N2806" i="4" s="1"/>
  <c r="Q2805" i="4"/>
  <c r="M2805" i="4"/>
  <c r="L2805" i="4"/>
  <c r="K2805" i="4"/>
  <c r="J2805" i="4"/>
  <c r="I2805" i="4"/>
  <c r="Q2804" i="4"/>
  <c r="O2804" i="4"/>
  <c r="M2804" i="4"/>
  <c r="L2804" i="4"/>
  <c r="K2804" i="4"/>
  <c r="J2804" i="4"/>
  <c r="I2804" i="4"/>
  <c r="R2804" i="4" s="1"/>
  <c r="N2804" i="4" s="1"/>
  <c r="Q2803" i="4"/>
  <c r="M2803" i="4"/>
  <c r="L2803" i="4"/>
  <c r="K2803" i="4"/>
  <c r="J2803" i="4"/>
  <c r="I2803" i="4"/>
  <c r="Q2802" i="4"/>
  <c r="O2802" i="4"/>
  <c r="M2802" i="4"/>
  <c r="L2802" i="4"/>
  <c r="K2802" i="4"/>
  <c r="J2802" i="4"/>
  <c r="I2802" i="4"/>
  <c r="R2802" i="4" s="1"/>
  <c r="N2802" i="4" s="1"/>
  <c r="Q2801" i="4"/>
  <c r="M2801" i="4"/>
  <c r="L2801" i="4"/>
  <c r="K2801" i="4"/>
  <c r="J2801" i="4"/>
  <c r="I2801" i="4"/>
  <c r="Q2800" i="4"/>
  <c r="M2800" i="4"/>
  <c r="L2800" i="4"/>
  <c r="K2800" i="4"/>
  <c r="J2800" i="4"/>
  <c r="I2800" i="4"/>
  <c r="R2800" i="4" s="1"/>
  <c r="Q2799" i="4"/>
  <c r="M2799" i="4"/>
  <c r="L2799" i="4"/>
  <c r="K2799" i="4"/>
  <c r="J2799" i="4"/>
  <c r="I2799" i="4"/>
  <c r="Q2798" i="4"/>
  <c r="O2798" i="4"/>
  <c r="M2798" i="4"/>
  <c r="L2798" i="4"/>
  <c r="K2798" i="4"/>
  <c r="J2798" i="4"/>
  <c r="I2798" i="4"/>
  <c r="R2798" i="4" s="1"/>
  <c r="N2798" i="4" s="1"/>
  <c r="Q2797" i="4"/>
  <c r="M2797" i="4"/>
  <c r="L2797" i="4"/>
  <c r="K2797" i="4"/>
  <c r="J2797" i="4"/>
  <c r="I2797" i="4"/>
  <c r="Q2796" i="4"/>
  <c r="O2796" i="4"/>
  <c r="M2796" i="4"/>
  <c r="L2796" i="4"/>
  <c r="K2796" i="4"/>
  <c r="J2796" i="4"/>
  <c r="I2796" i="4"/>
  <c r="R2796" i="4" s="1"/>
  <c r="N2796" i="4" s="1"/>
  <c r="Q2795" i="4"/>
  <c r="M2795" i="4"/>
  <c r="L2795" i="4"/>
  <c r="K2795" i="4"/>
  <c r="J2795" i="4"/>
  <c r="I2795" i="4"/>
  <c r="Q2794" i="4"/>
  <c r="O2794" i="4"/>
  <c r="M2794" i="4"/>
  <c r="L2794" i="4"/>
  <c r="K2794" i="4"/>
  <c r="J2794" i="4"/>
  <c r="I2794" i="4"/>
  <c r="R2794" i="4" s="1"/>
  <c r="N2794" i="4" s="1"/>
  <c r="Q2793" i="4"/>
  <c r="M2793" i="4"/>
  <c r="L2793" i="4"/>
  <c r="K2793" i="4"/>
  <c r="J2793" i="4"/>
  <c r="I2793" i="4"/>
  <c r="Q2792" i="4"/>
  <c r="M2792" i="4"/>
  <c r="L2792" i="4"/>
  <c r="K2792" i="4"/>
  <c r="J2792" i="4"/>
  <c r="I2792" i="4"/>
  <c r="Q2791" i="4"/>
  <c r="M2791" i="4"/>
  <c r="L2791" i="4"/>
  <c r="K2791" i="4"/>
  <c r="J2791" i="4"/>
  <c r="I2791" i="4"/>
  <c r="Q2790" i="4"/>
  <c r="M2790" i="4"/>
  <c r="L2790" i="4"/>
  <c r="K2790" i="4"/>
  <c r="J2790" i="4"/>
  <c r="I2790" i="4"/>
  <c r="Q2789" i="4"/>
  <c r="M2789" i="4"/>
  <c r="L2789" i="4"/>
  <c r="K2789" i="4"/>
  <c r="J2789" i="4"/>
  <c r="I2789" i="4"/>
  <c r="Q2788" i="4"/>
  <c r="M2788" i="4"/>
  <c r="L2788" i="4"/>
  <c r="K2788" i="4"/>
  <c r="J2788" i="4"/>
  <c r="I2788" i="4"/>
  <c r="Q2787" i="4"/>
  <c r="M2787" i="4"/>
  <c r="L2787" i="4"/>
  <c r="K2787" i="4"/>
  <c r="J2787" i="4"/>
  <c r="I2787" i="4"/>
  <c r="Q2786" i="4"/>
  <c r="M2786" i="4"/>
  <c r="L2786" i="4"/>
  <c r="K2786" i="4"/>
  <c r="J2786" i="4"/>
  <c r="I2786" i="4"/>
  <c r="Q2785" i="4"/>
  <c r="M2785" i="4"/>
  <c r="L2785" i="4"/>
  <c r="K2785" i="4"/>
  <c r="J2785" i="4"/>
  <c r="I2785" i="4"/>
  <c r="Q2784" i="4"/>
  <c r="M2784" i="4"/>
  <c r="L2784" i="4"/>
  <c r="K2784" i="4"/>
  <c r="J2784" i="4"/>
  <c r="I2784" i="4"/>
  <c r="Q2783" i="4"/>
  <c r="M2783" i="4"/>
  <c r="L2783" i="4"/>
  <c r="K2783" i="4"/>
  <c r="J2783" i="4"/>
  <c r="I2783" i="4"/>
  <c r="Q2782" i="4"/>
  <c r="M2782" i="4"/>
  <c r="L2782" i="4"/>
  <c r="K2782" i="4"/>
  <c r="J2782" i="4"/>
  <c r="I2782" i="4"/>
  <c r="Q2781" i="4"/>
  <c r="M2781" i="4"/>
  <c r="L2781" i="4"/>
  <c r="K2781" i="4"/>
  <c r="J2781" i="4"/>
  <c r="I2781" i="4"/>
  <c r="Q2780" i="4"/>
  <c r="M2780" i="4"/>
  <c r="L2780" i="4"/>
  <c r="K2780" i="4"/>
  <c r="J2780" i="4"/>
  <c r="I2780" i="4"/>
  <c r="Q2779" i="4"/>
  <c r="M2779" i="4"/>
  <c r="L2779" i="4"/>
  <c r="K2779" i="4"/>
  <c r="J2779" i="4"/>
  <c r="I2779" i="4"/>
  <c r="Q2778" i="4"/>
  <c r="M2778" i="4"/>
  <c r="L2778" i="4"/>
  <c r="K2778" i="4"/>
  <c r="J2778" i="4"/>
  <c r="I2778" i="4"/>
  <c r="Q2777" i="4"/>
  <c r="M2777" i="4"/>
  <c r="L2777" i="4"/>
  <c r="K2777" i="4"/>
  <c r="J2777" i="4"/>
  <c r="I2777" i="4"/>
  <c r="Q2776" i="4"/>
  <c r="M2776" i="4"/>
  <c r="L2776" i="4"/>
  <c r="K2776" i="4"/>
  <c r="J2776" i="4"/>
  <c r="I2776" i="4"/>
  <c r="Q2775" i="4"/>
  <c r="M2775" i="4"/>
  <c r="L2775" i="4"/>
  <c r="K2775" i="4"/>
  <c r="J2775" i="4"/>
  <c r="I2775" i="4"/>
  <c r="Q2774" i="4"/>
  <c r="M2774" i="4"/>
  <c r="L2774" i="4"/>
  <c r="K2774" i="4"/>
  <c r="J2774" i="4"/>
  <c r="I2774" i="4"/>
  <c r="Q2773" i="4"/>
  <c r="M2773" i="4"/>
  <c r="L2773" i="4"/>
  <c r="K2773" i="4"/>
  <c r="J2773" i="4"/>
  <c r="I2773" i="4"/>
  <c r="Q2772" i="4"/>
  <c r="M2772" i="4"/>
  <c r="L2772" i="4"/>
  <c r="K2772" i="4"/>
  <c r="J2772" i="4"/>
  <c r="I2772" i="4"/>
  <c r="Q2771" i="4"/>
  <c r="M2771" i="4"/>
  <c r="L2771" i="4"/>
  <c r="K2771" i="4"/>
  <c r="J2771" i="4"/>
  <c r="I2771" i="4"/>
  <c r="Q2770" i="4"/>
  <c r="M2770" i="4"/>
  <c r="L2770" i="4"/>
  <c r="K2770" i="4"/>
  <c r="J2770" i="4"/>
  <c r="I2770" i="4"/>
  <c r="Q2769" i="4"/>
  <c r="M2769" i="4"/>
  <c r="L2769" i="4"/>
  <c r="K2769" i="4"/>
  <c r="J2769" i="4"/>
  <c r="I2769" i="4"/>
  <c r="Q2768" i="4"/>
  <c r="M2768" i="4"/>
  <c r="L2768" i="4"/>
  <c r="K2768" i="4"/>
  <c r="J2768" i="4"/>
  <c r="I2768" i="4"/>
  <c r="Q2767" i="4"/>
  <c r="M2767" i="4"/>
  <c r="L2767" i="4"/>
  <c r="K2767" i="4"/>
  <c r="J2767" i="4"/>
  <c r="I2767" i="4"/>
  <c r="Q2766" i="4"/>
  <c r="M2766" i="4"/>
  <c r="L2766" i="4"/>
  <c r="K2766" i="4"/>
  <c r="J2766" i="4"/>
  <c r="I2766" i="4"/>
  <c r="Q2765" i="4"/>
  <c r="M2765" i="4"/>
  <c r="L2765" i="4"/>
  <c r="K2765" i="4"/>
  <c r="J2765" i="4"/>
  <c r="I2765" i="4"/>
  <c r="Q2764" i="4"/>
  <c r="M2764" i="4"/>
  <c r="L2764" i="4"/>
  <c r="K2764" i="4"/>
  <c r="J2764" i="4"/>
  <c r="I2764" i="4"/>
  <c r="Q2763" i="4"/>
  <c r="M2763" i="4"/>
  <c r="L2763" i="4"/>
  <c r="K2763" i="4"/>
  <c r="J2763" i="4"/>
  <c r="I2763" i="4"/>
  <c r="Q2762" i="4"/>
  <c r="M2762" i="4"/>
  <c r="L2762" i="4"/>
  <c r="K2762" i="4"/>
  <c r="J2762" i="4"/>
  <c r="I2762" i="4"/>
  <c r="Q2761" i="4"/>
  <c r="M2761" i="4"/>
  <c r="L2761" i="4"/>
  <c r="K2761" i="4"/>
  <c r="J2761" i="4"/>
  <c r="I2761" i="4"/>
  <c r="Q2760" i="4"/>
  <c r="M2760" i="4"/>
  <c r="L2760" i="4"/>
  <c r="K2760" i="4"/>
  <c r="J2760" i="4"/>
  <c r="I2760" i="4"/>
  <c r="Q2759" i="4"/>
  <c r="M2759" i="4"/>
  <c r="L2759" i="4"/>
  <c r="K2759" i="4"/>
  <c r="J2759" i="4"/>
  <c r="I2759" i="4"/>
  <c r="Q2758" i="4"/>
  <c r="M2758" i="4"/>
  <c r="L2758" i="4"/>
  <c r="K2758" i="4"/>
  <c r="J2758" i="4"/>
  <c r="I2758" i="4"/>
  <c r="Q2757" i="4"/>
  <c r="M2757" i="4"/>
  <c r="L2757" i="4"/>
  <c r="K2757" i="4"/>
  <c r="J2757" i="4"/>
  <c r="I2757" i="4"/>
  <c r="Q2756" i="4"/>
  <c r="M2756" i="4"/>
  <c r="L2756" i="4"/>
  <c r="K2756" i="4"/>
  <c r="J2756" i="4"/>
  <c r="I2756" i="4"/>
  <c r="Q2755" i="4"/>
  <c r="M2755" i="4"/>
  <c r="L2755" i="4"/>
  <c r="K2755" i="4"/>
  <c r="J2755" i="4"/>
  <c r="I2755" i="4"/>
  <c r="Q2754" i="4"/>
  <c r="M2754" i="4"/>
  <c r="L2754" i="4"/>
  <c r="K2754" i="4"/>
  <c r="J2754" i="4"/>
  <c r="I2754" i="4"/>
  <c r="Q2753" i="4"/>
  <c r="M2753" i="4"/>
  <c r="L2753" i="4"/>
  <c r="K2753" i="4"/>
  <c r="J2753" i="4"/>
  <c r="I2753" i="4"/>
  <c r="Q2752" i="4"/>
  <c r="M2752" i="4"/>
  <c r="L2752" i="4"/>
  <c r="K2752" i="4"/>
  <c r="J2752" i="4"/>
  <c r="I2752" i="4"/>
  <c r="Q2751" i="4"/>
  <c r="M2751" i="4"/>
  <c r="L2751" i="4"/>
  <c r="K2751" i="4"/>
  <c r="J2751" i="4"/>
  <c r="I2751" i="4"/>
  <c r="Q2750" i="4"/>
  <c r="M2750" i="4"/>
  <c r="L2750" i="4"/>
  <c r="K2750" i="4"/>
  <c r="J2750" i="4"/>
  <c r="I2750" i="4"/>
  <c r="Q2749" i="4"/>
  <c r="M2749" i="4"/>
  <c r="L2749" i="4"/>
  <c r="K2749" i="4"/>
  <c r="J2749" i="4"/>
  <c r="I2749" i="4"/>
  <c r="Q2748" i="4"/>
  <c r="M2748" i="4"/>
  <c r="L2748" i="4"/>
  <c r="K2748" i="4"/>
  <c r="J2748" i="4"/>
  <c r="I2748" i="4"/>
  <c r="Q2747" i="4"/>
  <c r="M2747" i="4"/>
  <c r="L2747" i="4"/>
  <c r="K2747" i="4"/>
  <c r="J2747" i="4"/>
  <c r="I2747" i="4"/>
  <c r="Q2746" i="4"/>
  <c r="M2746" i="4"/>
  <c r="L2746" i="4"/>
  <c r="K2746" i="4"/>
  <c r="J2746" i="4"/>
  <c r="I2746" i="4"/>
  <c r="Q2745" i="4"/>
  <c r="M2745" i="4"/>
  <c r="L2745" i="4"/>
  <c r="K2745" i="4"/>
  <c r="J2745" i="4"/>
  <c r="I2745" i="4"/>
  <c r="Q2744" i="4"/>
  <c r="M2744" i="4"/>
  <c r="L2744" i="4"/>
  <c r="K2744" i="4"/>
  <c r="J2744" i="4"/>
  <c r="I2744" i="4"/>
  <c r="Q2743" i="4"/>
  <c r="M2743" i="4"/>
  <c r="L2743" i="4"/>
  <c r="K2743" i="4"/>
  <c r="J2743" i="4"/>
  <c r="I2743" i="4"/>
  <c r="Q2742" i="4"/>
  <c r="M2742" i="4"/>
  <c r="L2742" i="4"/>
  <c r="K2742" i="4"/>
  <c r="J2742" i="4"/>
  <c r="I2742" i="4"/>
  <c r="Q2741" i="4"/>
  <c r="M2741" i="4"/>
  <c r="L2741" i="4"/>
  <c r="K2741" i="4"/>
  <c r="J2741" i="4"/>
  <c r="I2741" i="4"/>
  <c r="Q2740" i="4"/>
  <c r="M2740" i="4"/>
  <c r="L2740" i="4"/>
  <c r="K2740" i="4"/>
  <c r="J2740" i="4"/>
  <c r="I2740" i="4"/>
  <c r="Q2739" i="4"/>
  <c r="M2739" i="4"/>
  <c r="L2739" i="4"/>
  <c r="K2739" i="4"/>
  <c r="J2739" i="4"/>
  <c r="I2739" i="4"/>
  <c r="Q2738" i="4"/>
  <c r="M2738" i="4"/>
  <c r="L2738" i="4"/>
  <c r="K2738" i="4"/>
  <c r="J2738" i="4"/>
  <c r="I2738" i="4"/>
  <c r="Q2737" i="4"/>
  <c r="M2737" i="4"/>
  <c r="L2737" i="4"/>
  <c r="K2737" i="4"/>
  <c r="J2737" i="4"/>
  <c r="I2737" i="4"/>
  <c r="Q2736" i="4"/>
  <c r="M2736" i="4"/>
  <c r="L2736" i="4"/>
  <c r="K2736" i="4"/>
  <c r="J2736" i="4"/>
  <c r="I2736" i="4"/>
  <c r="Q2735" i="4"/>
  <c r="M2735" i="4"/>
  <c r="L2735" i="4"/>
  <c r="K2735" i="4"/>
  <c r="J2735" i="4"/>
  <c r="I2735" i="4"/>
  <c r="Q2734" i="4"/>
  <c r="M2734" i="4"/>
  <c r="L2734" i="4"/>
  <c r="K2734" i="4"/>
  <c r="J2734" i="4"/>
  <c r="I2734" i="4"/>
  <c r="Q2733" i="4"/>
  <c r="M2733" i="4"/>
  <c r="L2733" i="4"/>
  <c r="K2733" i="4"/>
  <c r="J2733" i="4"/>
  <c r="I2733" i="4"/>
  <c r="Q2732" i="4"/>
  <c r="M2732" i="4"/>
  <c r="L2732" i="4"/>
  <c r="K2732" i="4"/>
  <c r="J2732" i="4"/>
  <c r="I2732" i="4"/>
  <c r="Q2731" i="4"/>
  <c r="M2731" i="4"/>
  <c r="L2731" i="4"/>
  <c r="K2731" i="4"/>
  <c r="J2731" i="4"/>
  <c r="I2731" i="4"/>
  <c r="Q2730" i="4"/>
  <c r="M2730" i="4"/>
  <c r="L2730" i="4"/>
  <c r="K2730" i="4"/>
  <c r="J2730" i="4"/>
  <c r="I2730" i="4"/>
  <c r="Q2729" i="4"/>
  <c r="M2729" i="4"/>
  <c r="L2729" i="4"/>
  <c r="K2729" i="4"/>
  <c r="J2729" i="4"/>
  <c r="I2729" i="4"/>
  <c r="Q2728" i="4"/>
  <c r="M2728" i="4"/>
  <c r="L2728" i="4"/>
  <c r="K2728" i="4"/>
  <c r="J2728" i="4"/>
  <c r="I2728" i="4"/>
  <c r="Q2727" i="4"/>
  <c r="M2727" i="4"/>
  <c r="L2727" i="4"/>
  <c r="K2727" i="4"/>
  <c r="J2727" i="4"/>
  <c r="I2727" i="4"/>
  <c r="Q2726" i="4"/>
  <c r="M2726" i="4"/>
  <c r="L2726" i="4"/>
  <c r="K2726" i="4"/>
  <c r="J2726" i="4"/>
  <c r="I2726" i="4"/>
  <c r="Q2725" i="4"/>
  <c r="M2725" i="4"/>
  <c r="L2725" i="4"/>
  <c r="K2725" i="4"/>
  <c r="J2725" i="4"/>
  <c r="I2725" i="4"/>
  <c r="Q2724" i="4"/>
  <c r="M2724" i="4"/>
  <c r="L2724" i="4"/>
  <c r="K2724" i="4"/>
  <c r="J2724" i="4"/>
  <c r="I2724" i="4"/>
  <c r="Q2723" i="4"/>
  <c r="M2723" i="4"/>
  <c r="L2723" i="4"/>
  <c r="K2723" i="4"/>
  <c r="J2723" i="4"/>
  <c r="I2723" i="4"/>
  <c r="Q2722" i="4"/>
  <c r="M2722" i="4"/>
  <c r="L2722" i="4"/>
  <c r="K2722" i="4"/>
  <c r="J2722" i="4"/>
  <c r="I2722" i="4"/>
  <c r="Q2721" i="4"/>
  <c r="M2721" i="4"/>
  <c r="L2721" i="4"/>
  <c r="K2721" i="4"/>
  <c r="J2721" i="4"/>
  <c r="I2721" i="4"/>
  <c r="Q2720" i="4"/>
  <c r="M2720" i="4"/>
  <c r="L2720" i="4"/>
  <c r="K2720" i="4"/>
  <c r="J2720" i="4"/>
  <c r="I2720" i="4"/>
  <c r="Q2719" i="4"/>
  <c r="M2719" i="4"/>
  <c r="L2719" i="4"/>
  <c r="K2719" i="4"/>
  <c r="J2719" i="4"/>
  <c r="I2719" i="4"/>
  <c r="Q2718" i="4"/>
  <c r="M2718" i="4"/>
  <c r="L2718" i="4"/>
  <c r="K2718" i="4"/>
  <c r="J2718" i="4"/>
  <c r="I2718" i="4"/>
  <c r="Q2717" i="4"/>
  <c r="M2717" i="4"/>
  <c r="L2717" i="4"/>
  <c r="K2717" i="4"/>
  <c r="J2717" i="4"/>
  <c r="I2717" i="4"/>
  <c r="Q2716" i="4"/>
  <c r="M2716" i="4"/>
  <c r="L2716" i="4"/>
  <c r="K2716" i="4"/>
  <c r="J2716" i="4"/>
  <c r="I2716" i="4"/>
  <c r="Q2715" i="4"/>
  <c r="M2715" i="4"/>
  <c r="L2715" i="4"/>
  <c r="K2715" i="4"/>
  <c r="J2715" i="4"/>
  <c r="I2715" i="4"/>
  <c r="Q2714" i="4"/>
  <c r="M2714" i="4"/>
  <c r="L2714" i="4"/>
  <c r="K2714" i="4"/>
  <c r="J2714" i="4"/>
  <c r="I2714" i="4"/>
  <c r="Q2713" i="4"/>
  <c r="M2713" i="4"/>
  <c r="L2713" i="4"/>
  <c r="K2713" i="4"/>
  <c r="J2713" i="4"/>
  <c r="I2713" i="4"/>
  <c r="Q2712" i="4"/>
  <c r="M2712" i="4"/>
  <c r="L2712" i="4"/>
  <c r="K2712" i="4"/>
  <c r="J2712" i="4"/>
  <c r="I2712" i="4"/>
  <c r="Q2711" i="4"/>
  <c r="M2711" i="4"/>
  <c r="L2711" i="4"/>
  <c r="K2711" i="4"/>
  <c r="J2711" i="4"/>
  <c r="I2711" i="4"/>
  <c r="Q2710" i="4"/>
  <c r="M2710" i="4"/>
  <c r="L2710" i="4"/>
  <c r="K2710" i="4"/>
  <c r="J2710" i="4"/>
  <c r="I2710" i="4"/>
  <c r="Q2709" i="4"/>
  <c r="M2709" i="4"/>
  <c r="L2709" i="4"/>
  <c r="K2709" i="4"/>
  <c r="J2709" i="4"/>
  <c r="I2709" i="4"/>
  <c r="Q2708" i="4"/>
  <c r="M2708" i="4"/>
  <c r="L2708" i="4"/>
  <c r="K2708" i="4"/>
  <c r="J2708" i="4"/>
  <c r="I2708" i="4"/>
  <c r="Q2707" i="4"/>
  <c r="M2707" i="4"/>
  <c r="L2707" i="4"/>
  <c r="K2707" i="4"/>
  <c r="J2707" i="4"/>
  <c r="I2707" i="4"/>
  <c r="Q2706" i="4"/>
  <c r="M2706" i="4"/>
  <c r="L2706" i="4"/>
  <c r="K2706" i="4"/>
  <c r="J2706" i="4"/>
  <c r="I2706" i="4"/>
  <c r="Q2705" i="4"/>
  <c r="M2705" i="4"/>
  <c r="L2705" i="4"/>
  <c r="K2705" i="4"/>
  <c r="J2705" i="4"/>
  <c r="I2705" i="4"/>
  <c r="Q2704" i="4"/>
  <c r="M2704" i="4"/>
  <c r="L2704" i="4"/>
  <c r="K2704" i="4"/>
  <c r="J2704" i="4"/>
  <c r="I2704" i="4"/>
  <c r="Q2703" i="4"/>
  <c r="M2703" i="4"/>
  <c r="L2703" i="4"/>
  <c r="K2703" i="4"/>
  <c r="J2703" i="4"/>
  <c r="I2703" i="4"/>
  <c r="Q2702" i="4"/>
  <c r="M2702" i="4"/>
  <c r="L2702" i="4"/>
  <c r="K2702" i="4"/>
  <c r="J2702" i="4"/>
  <c r="I2702" i="4"/>
  <c r="Q2701" i="4"/>
  <c r="M2701" i="4"/>
  <c r="L2701" i="4"/>
  <c r="K2701" i="4"/>
  <c r="J2701" i="4"/>
  <c r="I2701" i="4"/>
  <c r="Q2700" i="4"/>
  <c r="M2700" i="4"/>
  <c r="L2700" i="4"/>
  <c r="K2700" i="4"/>
  <c r="J2700" i="4"/>
  <c r="I2700" i="4"/>
  <c r="Q2699" i="4"/>
  <c r="M2699" i="4"/>
  <c r="L2699" i="4"/>
  <c r="K2699" i="4"/>
  <c r="J2699" i="4"/>
  <c r="I2699" i="4"/>
  <c r="Q2698" i="4"/>
  <c r="M2698" i="4"/>
  <c r="L2698" i="4"/>
  <c r="K2698" i="4"/>
  <c r="J2698" i="4"/>
  <c r="I2698" i="4"/>
  <c r="Q2697" i="4"/>
  <c r="M2697" i="4"/>
  <c r="L2697" i="4"/>
  <c r="K2697" i="4"/>
  <c r="J2697" i="4"/>
  <c r="I2697" i="4"/>
  <c r="Q2696" i="4"/>
  <c r="M2696" i="4"/>
  <c r="L2696" i="4"/>
  <c r="K2696" i="4"/>
  <c r="J2696" i="4"/>
  <c r="I2696" i="4"/>
  <c r="Q2695" i="4"/>
  <c r="M2695" i="4"/>
  <c r="L2695" i="4"/>
  <c r="K2695" i="4"/>
  <c r="J2695" i="4"/>
  <c r="I2695" i="4"/>
  <c r="Q2694" i="4"/>
  <c r="M2694" i="4"/>
  <c r="L2694" i="4"/>
  <c r="K2694" i="4"/>
  <c r="J2694" i="4"/>
  <c r="I2694" i="4"/>
  <c r="Q2693" i="4"/>
  <c r="M2693" i="4"/>
  <c r="L2693" i="4"/>
  <c r="K2693" i="4"/>
  <c r="J2693" i="4"/>
  <c r="I2693" i="4"/>
  <c r="Q2692" i="4"/>
  <c r="M2692" i="4"/>
  <c r="L2692" i="4"/>
  <c r="K2692" i="4"/>
  <c r="J2692" i="4"/>
  <c r="I2692" i="4"/>
  <c r="Q2691" i="4"/>
  <c r="M2691" i="4"/>
  <c r="L2691" i="4"/>
  <c r="K2691" i="4"/>
  <c r="J2691" i="4"/>
  <c r="I2691" i="4"/>
  <c r="Q2690" i="4"/>
  <c r="M2690" i="4"/>
  <c r="L2690" i="4"/>
  <c r="K2690" i="4"/>
  <c r="J2690" i="4"/>
  <c r="I2690" i="4"/>
  <c r="Q2689" i="4"/>
  <c r="P2689" i="4"/>
  <c r="O2689" i="4"/>
  <c r="M2689" i="4"/>
  <c r="L2689" i="4"/>
  <c r="K2689" i="4"/>
  <c r="J2689" i="4"/>
  <c r="I2689" i="4"/>
  <c r="R2689" i="4" s="1"/>
  <c r="N2689" i="4" s="1"/>
  <c r="R2688" i="4"/>
  <c r="Q2688" i="4"/>
  <c r="M2688" i="4"/>
  <c r="L2688" i="4"/>
  <c r="K2688" i="4"/>
  <c r="J2688" i="4"/>
  <c r="I2688" i="4"/>
  <c r="P2688" i="4" s="1"/>
  <c r="Q2687" i="4"/>
  <c r="M2687" i="4"/>
  <c r="L2687" i="4"/>
  <c r="K2687" i="4"/>
  <c r="J2687" i="4"/>
  <c r="I2687" i="4"/>
  <c r="Q2686" i="4"/>
  <c r="L2686" i="4"/>
  <c r="K2686" i="4"/>
  <c r="J2686" i="4"/>
  <c r="M2686" i="4" s="1"/>
  <c r="I2686" i="4"/>
  <c r="P2686" i="4" s="1"/>
  <c r="Q2685" i="4"/>
  <c r="O2685" i="4"/>
  <c r="M2685" i="4"/>
  <c r="L2685" i="4"/>
  <c r="K2685" i="4"/>
  <c r="J2685" i="4"/>
  <c r="I2685" i="4"/>
  <c r="R2685" i="4" s="1"/>
  <c r="N2685" i="4" s="1"/>
  <c r="Q2684" i="4"/>
  <c r="L2684" i="4"/>
  <c r="K2684" i="4"/>
  <c r="J2684" i="4"/>
  <c r="M2684" i="4" s="1"/>
  <c r="I2684" i="4"/>
  <c r="P2684" i="4" s="1"/>
  <c r="Q2683" i="4"/>
  <c r="P2683" i="4"/>
  <c r="O2683" i="4"/>
  <c r="M2683" i="4"/>
  <c r="L2683" i="4"/>
  <c r="K2683" i="4"/>
  <c r="J2683" i="4"/>
  <c r="I2683" i="4"/>
  <c r="R2683" i="4" s="1"/>
  <c r="N2683" i="4" s="1"/>
  <c r="Q2682" i="4"/>
  <c r="L2682" i="4"/>
  <c r="K2682" i="4"/>
  <c r="J2682" i="4"/>
  <c r="M2682" i="4" s="1"/>
  <c r="I2682" i="4"/>
  <c r="P2682" i="4" s="1"/>
  <c r="Q2681" i="4"/>
  <c r="P2681" i="4"/>
  <c r="O2681" i="4"/>
  <c r="M2681" i="4"/>
  <c r="L2681" i="4"/>
  <c r="K2681" i="4"/>
  <c r="J2681" i="4"/>
  <c r="I2681" i="4"/>
  <c r="R2681" i="4" s="1"/>
  <c r="N2681" i="4" s="1"/>
  <c r="R2680" i="4"/>
  <c r="Q2680" i="4"/>
  <c r="M2680" i="4"/>
  <c r="L2680" i="4"/>
  <c r="K2680" i="4"/>
  <c r="J2680" i="4"/>
  <c r="I2680" i="4"/>
  <c r="P2680" i="4" s="1"/>
  <c r="Q2679" i="4"/>
  <c r="M2679" i="4"/>
  <c r="L2679" i="4"/>
  <c r="K2679" i="4"/>
  <c r="J2679" i="4"/>
  <c r="I2679" i="4"/>
  <c r="Q2678" i="4"/>
  <c r="L2678" i="4"/>
  <c r="K2678" i="4"/>
  <c r="J2678" i="4"/>
  <c r="M2678" i="4" s="1"/>
  <c r="I2678" i="4"/>
  <c r="P2678" i="4" s="1"/>
  <c r="Q2677" i="4"/>
  <c r="O2677" i="4"/>
  <c r="M2677" i="4"/>
  <c r="L2677" i="4"/>
  <c r="K2677" i="4"/>
  <c r="J2677" i="4"/>
  <c r="I2677" i="4"/>
  <c r="R2677" i="4" s="1"/>
  <c r="N2677" i="4" s="1"/>
  <c r="Q2676" i="4"/>
  <c r="L2676" i="4"/>
  <c r="K2676" i="4"/>
  <c r="J2676" i="4"/>
  <c r="M2676" i="4" s="1"/>
  <c r="I2676" i="4"/>
  <c r="P2676" i="4" s="1"/>
  <c r="Q2675" i="4"/>
  <c r="P2675" i="4"/>
  <c r="O2675" i="4"/>
  <c r="M2675" i="4"/>
  <c r="L2675" i="4"/>
  <c r="K2675" i="4"/>
  <c r="J2675" i="4"/>
  <c r="I2675" i="4"/>
  <c r="R2675" i="4" s="1"/>
  <c r="N2675" i="4" s="1"/>
  <c r="Q2674" i="4"/>
  <c r="L2674" i="4"/>
  <c r="K2674" i="4"/>
  <c r="J2674" i="4"/>
  <c r="M2674" i="4" s="1"/>
  <c r="I2674" i="4"/>
  <c r="P2674" i="4" s="1"/>
  <c r="Q2673" i="4"/>
  <c r="P2673" i="4"/>
  <c r="O2673" i="4"/>
  <c r="M2673" i="4"/>
  <c r="L2673" i="4"/>
  <c r="K2673" i="4"/>
  <c r="J2673" i="4"/>
  <c r="I2673" i="4"/>
  <c r="R2673" i="4" s="1"/>
  <c r="N2673" i="4" s="1"/>
  <c r="Q2672" i="4"/>
  <c r="M2672" i="4"/>
  <c r="L2672" i="4"/>
  <c r="K2672" i="4"/>
  <c r="J2672" i="4"/>
  <c r="I2672" i="4"/>
  <c r="Q2671" i="4"/>
  <c r="N2671" i="4"/>
  <c r="L2671" i="4"/>
  <c r="K2671" i="4"/>
  <c r="J2671" i="4"/>
  <c r="M2671" i="4" s="1"/>
  <c r="I2671" i="4"/>
  <c r="R2671" i="4" s="1"/>
  <c r="O2671" i="4" s="1"/>
  <c r="R2670" i="4"/>
  <c r="Q2670" i="4"/>
  <c r="P2670" i="4"/>
  <c r="O2670" i="4"/>
  <c r="N2670" i="4"/>
  <c r="L2670" i="4"/>
  <c r="K2670" i="4"/>
  <c r="J2670" i="4"/>
  <c r="M2670" i="4" s="1"/>
  <c r="I2670" i="4"/>
  <c r="R2669" i="4"/>
  <c r="Q2669" i="4"/>
  <c r="L2669" i="4"/>
  <c r="K2669" i="4"/>
  <c r="J2669" i="4"/>
  <c r="M2669" i="4" s="1"/>
  <c r="I2669" i="4"/>
  <c r="P2669" i="4" s="1"/>
  <c r="R2668" i="4"/>
  <c r="Q2668" i="4"/>
  <c r="P2668" i="4"/>
  <c r="O2668" i="4"/>
  <c r="N2668" i="4"/>
  <c r="L2668" i="4"/>
  <c r="K2668" i="4"/>
  <c r="J2668" i="4"/>
  <c r="M2668" i="4" s="1"/>
  <c r="I2668" i="4"/>
  <c r="R2667" i="4"/>
  <c r="Q2667" i="4"/>
  <c r="L2667" i="4"/>
  <c r="K2667" i="4"/>
  <c r="J2667" i="4"/>
  <c r="M2667" i="4" s="1"/>
  <c r="I2667" i="4"/>
  <c r="P2667" i="4" s="1"/>
  <c r="R2666" i="4"/>
  <c r="Q2666" i="4"/>
  <c r="P2666" i="4"/>
  <c r="O2666" i="4"/>
  <c r="N2666" i="4"/>
  <c r="L2666" i="4"/>
  <c r="K2666" i="4"/>
  <c r="J2666" i="4"/>
  <c r="M2666" i="4" s="1"/>
  <c r="I2666" i="4"/>
  <c r="R2665" i="4"/>
  <c r="Q2665" i="4"/>
  <c r="L2665" i="4"/>
  <c r="K2665" i="4"/>
  <c r="J2665" i="4"/>
  <c r="M2665" i="4" s="1"/>
  <c r="I2665" i="4"/>
  <c r="P2665" i="4" s="1"/>
  <c r="R2664" i="4"/>
  <c r="Q2664" i="4"/>
  <c r="P2664" i="4"/>
  <c r="O2664" i="4"/>
  <c r="N2664" i="4"/>
  <c r="L2664" i="4"/>
  <c r="K2664" i="4"/>
  <c r="J2664" i="4"/>
  <c r="M2664" i="4" s="1"/>
  <c r="I2664" i="4"/>
  <c r="R2663" i="4"/>
  <c r="Q2663" i="4"/>
  <c r="L2663" i="4"/>
  <c r="K2663" i="4"/>
  <c r="J2663" i="4"/>
  <c r="M2663" i="4" s="1"/>
  <c r="I2663" i="4"/>
  <c r="P2663" i="4" s="1"/>
  <c r="R2662" i="4"/>
  <c r="Q2662" i="4"/>
  <c r="P2662" i="4"/>
  <c r="O2662" i="4"/>
  <c r="N2662" i="4"/>
  <c r="L2662" i="4"/>
  <c r="K2662" i="4"/>
  <c r="J2662" i="4"/>
  <c r="M2662" i="4" s="1"/>
  <c r="I2662" i="4"/>
  <c r="R2661" i="4"/>
  <c r="Q2661" i="4"/>
  <c r="L2661" i="4"/>
  <c r="K2661" i="4"/>
  <c r="J2661" i="4"/>
  <c r="M2661" i="4" s="1"/>
  <c r="I2661" i="4"/>
  <c r="P2661" i="4" s="1"/>
  <c r="Q2660" i="4"/>
  <c r="P2660" i="4"/>
  <c r="L2660" i="4"/>
  <c r="K2660" i="4"/>
  <c r="J2660" i="4"/>
  <c r="M2660" i="4" s="1"/>
  <c r="I2660" i="4"/>
  <c r="R2660" i="4" s="1"/>
  <c r="R2659" i="4"/>
  <c r="O2659" i="4" s="1"/>
  <c r="Q2659" i="4"/>
  <c r="L2659" i="4"/>
  <c r="K2659" i="4"/>
  <c r="J2659" i="4"/>
  <c r="M2659" i="4" s="1"/>
  <c r="I2659" i="4"/>
  <c r="P2659" i="4" s="1"/>
  <c r="Q2658" i="4"/>
  <c r="P2658" i="4"/>
  <c r="L2658" i="4"/>
  <c r="K2658" i="4"/>
  <c r="J2658" i="4"/>
  <c r="M2658" i="4" s="1"/>
  <c r="I2658" i="4"/>
  <c r="R2658" i="4" s="1"/>
  <c r="R2657" i="4"/>
  <c r="O2657" i="4" s="1"/>
  <c r="Q2657" i="4"/>
  <c r="N2657" i="4"/>
  <c r="L2657" i="4"/>
  <c r="K2657" i="4"/>
  <c r="J2657" i="4"/>
  <c r="M2657" i="4" s="1"/>
  <c r="I2657" i="4"/>
  <c r="P2657" i="4" s="1"/>
  <c r="Q2656" i="4"/>
  <c r="P2656" i="4"/>
  <c r="M2656" i="4"/>
  <c r="L2656" i="4"/>
  <c r="K2656" i="4"/>
  <c r="J2656" i="4"/>
  <c r="I2656" i="4"/>
  <c r="R2656" i="4" s="1"/>
  <c r="R2655" i="4"/>
  <c r="Q2655" i="4"/>
  <c r="L2655" i="4"/>
  <c r="K2655" i="4"/>
  <c r="J2655" i="4"/>
  <c r="M2655" i="4" s="1"/>
  <c r="I2655" i="4"/>
  <c r="P2655" i="4" s="1"/>
  <c r="Q2654" i="4"/>
  <c r="P2654" i="4"/>
  <c r="M2654" i="4"/>
  <c r="L2654" i="4"/>
  <c r="K2654" i="4"/>
  <c r="J2654" i="4"/>
  <c r="I2654" i="4"/>
  <c r="R2654" i="4" s="1"/>
  <c r="R2653" i="4"/>
  <c r="O2653" i="4" s="1"/>
  <c r="Q2653" i="4"/>
  <c r="N2653" i="4"/>
  <c r="L2653" i="4"/>
  <c r="K2653" i="4"/>
  <c r="J2653" i="4"/>
  <c r="M2653" i="4" s="1"/>
  <c r="I2653" i="4"/>
  <c r="P2653" i="4" s="1"/>
  <c r="Q2652" i="4"/>
  <c r="P2652" i="4"/>
  <c r="M2652" i="4"/>
  <c r="L2652" i="4"/>
  <c r="K2652" i="4"/>
  <c r="J2652" i="4"/>
  <c r="I2652" i="4"/>
  <c r="R2652" i="4" s="1"/>
  <c r="R2651" i="4"/>
  <c r="Q2651" i="4"/>
  <c r="L2651" i="4"/>
  <c r="K2651" i="4"/>
  <c r="J2651" i="4"/>
  <c r="M2651" i="4" s="1"/>
  <c r="I2651" i="4"/>
  <c r="P2651" i="4" s="1"/>
  <c r="Q2650" i="4"/>
  <c r="P2650" i="4"/>
  <c r="M2650" i="4"/>
  <c r="L2650" i="4"/>
  <c r="K2650" i="4"/>
  <c r="J2650" i="4"/>
  <c r="I2650" i="4"/>
  <c r="R2650" i="4" s="1"/>
  <c r="R2649" i="4"/>
  <c r="O2649" i="4" s="1"/>
  <c r="Q2649" i="4"/>
  <c r="N2649" i="4"/>
  <c r="L2649" i="4"/>
  <c r="K2649" i="4"/>
  <c r="J2649" i="4"/>
  <c r="M2649" i="4" s="1"/>
  <c r="I2649" i="4"/>
  <c r="P2649" i="4" s="1"/>
  <c r="Q2648" i="4"/>
  <c r="P2648" i="4"/>
  <c r="M2648" i="4"/>
  <c r="L2648" i="4"/>
  <c r="K2648" i="4"/>
  <c r="J2648" i="4"/>
  <c r="I2648" i="4"/>
  <c r="R2648" i="4" s="1"/>
  <c r="R2647" i="4"/>
  <c r="Q2647" i="4"/>
  <c r="L2647" i="4"/>
  <c r="K2647" i="4"/>
  <c r="J2647" i="4"/>
  <c r="M2647" i="4" s="1"/>
  <c r="I2647" i="4"/>
  <c r="P2647" i="4" s="1"/>
  <c r="Q2646" i="4"/>
  <c r="P2646" i="4"/>
  <c r="M2646" i="4"/>
  <c r="L2646" i="4"/>
  <c r="K2646" i="4"/>
  <c r="J2646" i="4"/>
  <c r="I2646" i="4"/>
  <c r="R2646" i="4" s="1"/>
  <c r="R2645" i="4"/>
  <c r="O2645" i="4" s="1"/>
  <c r="Q2645" i="4"/>
  <c r="N2645" i="4"/>
  <c r="L2645" i="4"/>
  <c r="K2645" i="4"/>
  <c r="J2645" i="4"/>
  <c r="M2645" i="4" s="1"/>
  <c r="I2645" i="4"/>
  <c r="P2645" i="4" s="1"/>
  <c r="Q2644" i="4"/>
  <c r="P2644" i="4"/>
  <c r="M2644" i="4"/>
  <c r="L2644" i="4"/>
  <c r="K2644" i="4"/>
  <c r="J2644" i="4"/>
  <c r="I2644" i="4"/>
  <c r="R2644" i="4" s="1"/>
  <c r="R2643" i="4"/>
  <c r="Q2643" i="4"/>
  <c r="L2643" i="4"/>
  <c r="K2643" i="4"/>
  <c r="J2643" i="4"/>
  <c r="M2643" i="4" s="1"/>
  <c r="I2643" i="4"/>
  <c r="P2643" i="4" s="1"/>
  <c r="Q2642" i="4"/>
  <c r="P2642" i="4"/>
  <c r="O2642" i="4"/>
  <c r="M2642" i="4"/>
  <c r="L2642" i="4"/>
  <c r="K2642" i="4"/>
  <c r="J2642" i="4"/>
  <c r="I2642" i="4"/>
  <c r="R2642" i="4" s="1"/>
  <c r="N2642" i="4" s="1"/>
  <c r="Q2641" i="4"/>
  <c r="L2641" i="4"/>
  <c r="K2641" i="4"/>
  <c r="J2641" i="4"/>
  <c r="M2641" i="4" s="1"/>
  <c r="I2641" i="4"/>
  <c r="P2641" i="4" s="1"/>
  <c r="Q2640" i="4"/>
  <c r="P2640" i="4"/>
  <c r="O2640" i="4"/>
  <c r="M2640" i="4"/>
  <c r="L2640" i="4"/>
  <c r="K2640" i="4"/>
  <c r="J2640" i="4"/>
  <c r="I2640" i="4"/>
  <c r="R2640" i="4" s="1"/>
  <c r="N2640" i="4" s="1"/>
  <c r="Q2639" i="4"/>
  <c r="L2639" i="4"/>
  <c r="K2639" i="4"/>
  <c r="J2639" i="4"/>
  <c r="M2639" i="4" s="1"/>
  <c r="I2639" i="4"/>
  <c r="P2639" i="4" s="1"/>
  <c r="Q2638" i="4"/>
  <c r="P2638" i="4"/>
  <c r="O2638" i="4"/>
  <c r="M2638" i="4"/>
  <c r="L2638" i="4"/>
  <c r="K2638" i="4"/>
  <c r="J2638" i="4"/>
  <c r="I2638" i="4"/>
  <c r="R2638" i="4" s="1"/>
  <c r="N2638" i="4" s="1"/>
  <c r="Q2637" i="4"/>
  <c r="L2637" i="4"/>
  <c r="K2637" i="4"/>
  <c r="J2637" i="4"/>
  <c r="M2637" i="4" s="1"/>
  <c r="I2637" i="4"/>
  <c r="P2637" i="4" s="1"/>
  <c r="Q2636" i="4"/>
  <c r="P2636" i="4"/>
  <c r="O2636" i="4"/>
  <c r="M2636" i="4"/>
  <c r="L2636" i="4"/>
  <c r="K2636" i="4"/>
  <c r="J2636" i="4"/>
  <c r="I2636" i="4"/>
  <c r="R2636" i="4" s="1"/>
  <c r="N2636" i="4" s="1"/>
  <c r="Q2635" i="4"/>
  <c r="L2635" i="4"/>
  <c r="K2635" i="4"/>
  <c r="J2635" i="4"/>
  <c r="M2635" i="4" s="1"/>
  <c r="I2635" i="4"/>
  <c r="P2635" i="4" s="1"/>
  <c r="Q2634" i="4"/>
  <c r="P2634" i="4"/>
  <c r="O2634" i="4"/>
  <c r="M2634" i="4"/>
  <c r="L2634" i="4"/>
  <c r="K2634" i="4"/>
  <c r="J2634" i="4"/>
  <c r="I2634" i="4"/>
  <c r="R2634" i="4" s="1"/>
  <c r="N2634" i="4" s="1"/>
  <c r="Q2633" i="4"/>
  <c r="L2633" i="4"/>
  <c r="K2633" i="4"/>
  <c r="J2633" i="4"/>
  <c r="M2633" i="4" s="1"/>
  <c r="I2633" i="4"/>
  <c r="P2633" i="4" s="1"/>
  <c r="Q2632" i="4"/>
  <c r="P2632" i="4"/>
  <c r="O2632" i="4"/>
  <c r="M2632" i="4"/>
  <c r="L2632" i="4"/>
  <c r="K2632" i="4"/>
  <c r="J2632" i="4"/>
  <c r="I2632" i="4"/>
  <c r="R2632" i="4" s="1"/>
  <c r="N2632" i="4" s="1"/>
  <c r="Q2631" i="4"/>
  <c r="L2631" i="4"/>
  <c r="K2631" i="4"/>
  <c r="J2631" i="4"/>
  <c r="M2631" i="4" s="1"/>
  <c r="I2631" i="4"/>
  <c r="P2631" i="4" s="1"/>
  <c r="Q2630" i="4"/>
  <c r="P2630" i="4"/>
  <c r="O2630" i="4"/>
  <c r="M2630" i="4"/>
  <c r="L2630" i="4"/>
  <c r="K2630" i="4"/>
  <c r="J2630" i="4"/>
  <c r="I2630" i="4"/>
  <c r="R2630" i="4" s="1"/>
  <c r="N2630" i="4" s="1"/>
  <c r="Q2629" i="4"/>
  <c r="L2629" i="4"/>
  <c r="K2629" i="4"/>
  <c r="J2629" i="4"/>
  <c r="M2629" i="4" s="1"/>
  <c r="I2629" i="4"/>
  <c r="P2629" i="4" s="1"/>
  <c r="Q2628" i="4"/>
  <c r="P2628" i="4"/>
  <c r="O2628" i="4"/>
  <c r="M2628" i="4"/>
  <c r="L2628" i="4"/>
  <c r="K2628" i="4"/>
  <c r="J2628" i="4"/>
  <c r="I2628" i="4"/>
  <c r="R2628" i="4" s="1"/>
  <c r="N2628" i="4" s="1"/>
  <c r="Q2627" i="4"/>
  <c r="L2627" i="4"/>
  <c r="K2627" i="4"/>
  <c r="J2627" i="4"/>
  <c r="M2627" i="4" s="1"/>
  <c r="I2627" i="4"/>
  <c r="P2627" i="4" s="1"/>
  <c r="Q2626" i="4"/>
  <c r="P2626" i="4"/>
  <c r="O2626" i="4"/>
  <c r="M2626" i="4"/>
  <c r="L2626" i="4"/>
  <c r="K2626" i="4"/>
  <c r="J2626" i="4"/>
  <c r="I2626" i="4"/>
  <c r="R2626" i="4" s="1"/>
  <c r="N2626" i="4" s="1"/>
  <c r="R2625" i="4"/>
  <c r="Q2625" i="4"/>
  <c r="M2625" i="4"/>
  <c r="L2625" i="4"/>
  <c r="K2625" i="4"/>
  <c r="J2625" i="4"/>
  <c r="I2625" i="4"/>
  <c r="P2625" i="4" s="1"/>
  <c r="Q2624" i="4"/>
  <c r="M2624" i="4"/>
  <c r="L2624" i="4"/>
  <c r="K2624" i="4"/>
  <c r="J2624" i="4"/>
  <c r="I2624" i="4"/>
  <c r="Q2623" i="4"/>
  <c r="L2623" i="4"/>
  <c r="K2623" i="4"/>
  <c r="J2623" i="4"/>
  <c r="M2623" i="4" s="1"/>
  <c r="I2623" i="4"/>
  <c r="P2623" i="4" s="1"/>
  <c r="Q2622" i="4"/>
  <c r="O2622" i="4"/>
  <c r="M2622" i="4"/>
  <c r="L2622" i="4"/>
  <c r="K2622" i="4"/>
  <c r="J2622" i="4"/>
  <c r="I2622" i="4"/>
  <c r="R2622" i="4" s="1"/>
  <c r="N2622" i="4" s="1"/>
  <c r="Q2621" i="4"/>
  <c r="L2621" i="4"/>
  <c r="K2621" i="4"/>
  <c r="J2621" i="4"/>
  <c r="M2621" i="4" s="1"/>
  <c r="I2621" i="4"/>
  <c r="P2621" i="4" s="1"/>
  <c r="Q2620" i="4"/>
  <c r="P2620" i="4"/>
  <c r="O2620" i="4"/>
  <c r="M2620" i="4"/>
  <c r="L2620" i="4"/>
  <c r="K2620" i="4"/>
  <c r="J2620" i="4"/>
  <c r="I2620" i="4"/>
  <c r="R2620" i="4" s="1"/>
  <c r="N2620" i="4" s="1"/>
  <c r="Q2619" i="4"/>
  <c r="L2619" i="4"/>
  <c r="K2619" i="4"/>
  <c r="J2619" i="4"/>
  <c r="M2619" i="4" s="1"/>
  <c r="I2619" i="4"/>
  <c r="P2619" i="4" s="1"/>
  <c r="Q2618" i="4"/>
  <c r="P2618" i="4"/>
  <c r="O2618" i="4"/>
  <c r="M2618" i="4"/>
  <c r="L2618" i="4"/>
  <c r="K2618" i="4"/>
  <c r="J2618" i="4"/>
  <c r="I2618" i="4"/>
  <c r="R2618" i="4" s="1"/>
  <c r="N2618" i="4" s="1"/>
  <c r="Q2617" i="4"/>
  <c r="M2617" i="4"/>
  <c r="L2617" i="4"/>
  <c r="K2617" i="4"/>
  <c r="J2617" i="4"/>
  <c r="I2617" i="4"/>
  <c r="P2617" i="4" s="1"/>
  <c r="Q2616" i="4"/>
  <c r="M2616" i="4"/>
  <c r="L2616" i="4"/>
  <c r="K2616" i="4"/>
  <c r="J2616" i="4"/>
  <c r="I2616" i="4"/>
  <c r="Q2615" i="4"/>
  <c r="L2615" i="4"/>
  <c r="K2615" i="4"/>
  <c r="J2615" i="4"/>
  <c r="M2615" i="4" s="1"/>
  <c r="I2615" i="4"/>
  <c r="P2615" i="4" s="1"/>
  <c r="Q2614" i="4"/>
  <c r="O2614" i="4"/>
  <c r="M2614" i="4"/>
  <c r="L2614" i="4"/>
  <c r="K2614" i="4"/>
  <c r="J2614" i="4"/>
  <c r="I2614" i="4"/>
  <c r="R2614" i="4" s="1"/>
  <c r="N2614" i="4" s="1"/>
  <c r="Q2613" i="4"/>
  <c r="L2613" i="4"/>
  <c r="K2613" i="4"/>
  <c r="J2613" i="4"/>
  <c r="M2613" i="4" s="1"/>
  <c r="I2613" i="4"/>
  <c r="P2613" i="4" s="1"/>
  <c r="Q2612" i="4"/>
  <c r="P2612" i="4"/>
  <c r="O2612" i="4"/>
  <c r="M2612" i="4"/>
  <c r="L2612" i="4"/>
  <c r="K2612" i="4"/>
  <c r="J2612" i="4"/>
  <c r="I2612" i="4"/>
  <c r="R2612" i="4" s="1"/>
  <c r="N2612" i="4" s="1"/>
  <c r="Q2611" i="4"/>
  <c r="L2611" i="4"/>
  <c r="K2611" i="4"/>
  <c r="J2611" i="4"/>
  <c r="M2611" i="4" s="1"/>
  <c r="I2611" i="4"/>
  <c r="P2611" i="4" s="1"/>
  <c r="Q2610" i="4"/>
  <c r="P2610" i="4"/>
  <c r="O2610" i="4"/>
  <c r="M2610" i="4"/>
  <c r="L2610" i="4"/>
  <c r="K2610" i="4"/>
  <c r="J2610" i="4"/>
  <c r="I2610" i="4"/>
  <c r="R2610" i="4" s="1"/>
  <c r="N2610" i="4" s="1"/>
  <c r="Q2609" i="4"/>
  <c r="M2609" i="4"/>
  <c r="L2609" i="4"/>
  <c r="K2609" i="4"/>
  <c r="J2609" i="4"/>
  <c r="I2609" i="4"/>
  <c r="P2609" i="4" s="1"/>
  <c r="Q2608" i="4"/>
  <c r="M2608" i="4"/>
  <c r="L2608" i="4"/>
  <c r="K2608" i="4"/>
  <c r="J2608" i="4"/>
  <c r="I2608" i="4"/>
  <c r="Q2607" i="4"/>
  <c r="L2607" i="4"/>
  <c r="K2607" i="4"/>
  <c r="J2607" i="4"/>
  <c r="M2607" i="4" s="1"/>
  <c r="I2607" i="4"/>
  <c r="P2607" i="4" s="1"/>
  <c r="Q2606" i="4"/>
  <c r="O2606" i="4"/>
  <c r="M2606" i="4"/>
  <c r="L2606" i="4"/>
  <c r="K2606" i="4"/>
  <c r="J2606" i="4"/>
  <c r="I2606" i="4"/>
  <c r="R2606" i="4" s="1"/>
  <c r="N2606" i="4" s="1"/>
  <c r="Q2605" i="4"/>
  <c r="L2605" i="4"/>
  <c r="K2605" i="4"/>
  <c r="J2605" i="4"/>
  <c r="M2605" i="4" s="1"/>
  <c r="I2605" i="4"/>
  <c r="P2605" i="4" s="1"/>
  <c r="Q2604" i="4"/>
  <c r="P2604" i="4"/>
  <c r="O2604" i="4"/>
  <c r="M2604" i="4"/>
  <c r="L2604" i="4"/>
  <c r="K2604" i="4"/>
  <c r="J2604" i="4"/>
  <c r="I2604" i="4"/>
  <c r="R2604" i="4" s="1"/>
  <c r="N2604" i="4" s="1"/>
  <c r="Q2603" i="4"/>
  <c r="L2603" i="4"/>
  <c r="K2603" i="4"/>
  <c r="J2603" i="4"/>
  <c r="M2603" i="4" s="1"/>
  <c r="I2603" i="4"/>
  <c r="P2603" i="4" s="1"/>
  <c r="Q2602" i="4"/>
  <c r="P2602" i="4"/>
  <c r="O2602" i="4"/>
  <c r="M2602" i="4"/>
  <c r="L2602" i="4"/>
  <c r="K2602" i="4"/>
  <c r="J2602" i="4"/>
  <c r="I2602" i="4"/>
  <c r="R2602" i="4" s="1"/>
  <c r="N2602" i="4" s="1"/>
  <c r="R2601" i="4"/>
  <c r="Q2601" i="4"/>
  <c r="M2601" i="4"/>
  <c r="L2601" i="4"/>
  <c r="K2601" i="4"/>
  <c r="J2601" i="4"/>
  <c r="I2601" i="4"/>
  <c r="P2601" i="4" s="1"/>
  <c r="Q2600" i="4"/>
  <c r="M2600" i="4"/>
  <c r="L2600" i="4"/>
  <c r="K2600" i="4"/>
  <c r="J2600" i="4"/>
  <c r="I2600" i="4"/>
  <c r="Q2599" i="4"/>
  <c r="L2599" i="4"/>
  <c r="K2599" i="4"/>
  <c r="J2599" i="4"/>
  <c r="M2599" i="4" s="1"/>
  <c r="I2599" i="4"/>
  <c r="P2599" i="4" s="1"/>
  <c r="Q2598" i="4"/>
  <c r="O2598" i="4"/>
  <c r="M2598" i="4"/>
  <c r="L2598" i="4"/>
  <c r="K2598" i="4"/>
  <c r="J2598" i="4"/>
  <c r="I2598" i="4"/>
  <c r="R2598" i="4" s="1"/>
  <c r="N2598" i="4" s="1"/>
  <c r="Q2597" i="4"/>
  <c r="L2597" i="4"/>
  <c r="K2597" i="4"/>
  <c r="J2597" i="4"/>
  <c r="M2597" i="4" s="1"/>
  <c r="I2597" i="4"/>
  <c r="P2597" i="4" s="1"/>
  <c r="Q2596" i="4"/>
  <c r="P2596" i="4"/>
  <c r="O2596" i="4"/>
  <c r="M2596" i="4"/>
  <c r="L2596" i="4"/>
  <c r="K2596" i="4"/>
  <c r="J2596" i="4"/>
  <c r="I2596" i="4"/>
  <c r="R2596" i="4" s="1"/>
  <c r="N2596" i="4" s="1"/>
  <c r="Q2595" i="4"/>
  <c r="L2595" i="4"/>
  <c r="K2595" i="4"/>
  <c r="J2595" i="4"/>
  <c r="M2595" i="4" s="1"/>
  <c r="I2595" i="4"/>
  <c r="P2595" i="4" s="1"/>
  <c r="Q2594" i="4"/>
  <c r="P2594" i="4"/>
  <c r="O2594" i="4"/>
  <c r="M2594" i="4"/>
  <c r="L2594" i="4"/>
  <c r="K2594" i="4"/>
  <c r="J2594" i="4"/>
  <c r="I2594" i="4"/>
  <c r="R2594" i="4" s="1"/>
  <c r="N2594" i="4" s="1"/>
  <c r="R2593" i="4"/>
  <c r="Q2593" i="4"/>
  <c r="M2593" i="4"/>
  <c r="L2593" i="4"/>
  <c r="K2593" i="4"/>
  <c r="J2593" i="4"/>
  <c r="I2593" i="4"/>
  <c r="P2593" i="4" s="1"/>
  <c r="Q2592" i="4"/>
  <c r="M2592" i="4"/>
  <c r="L2592" i="4"/>
  <c r="K2592" i="4"/>
  <c r="J2592" i="4"/>
  <c r="I2592" i="4"/>
  <c r="Q2591" i="4"/>
  <c r="L2591" i="4"/>
  <c r="K2591" i="4"/>
  <c r="J2591" i="4"/>
  <c r="M2591" i="4" s="1"/>
  <c r="I2591" i="4"/>
  <c r="P2591" i="4" s="1"/>
  <c r="Q2590" i="4"/>
  <c r="O2590" i="4"/>
  <c r="M2590" i="4"/>
  <c r="L2590" i="4"/>
  <c r="K2590" i="4"/>
  <c r="J2590" i="4"/>
  <c r="I2590" i="4"/>
  <c r="R2590" i="4" s="1"/>
  <c r="N2590" i="4" s="1"/>
  <c r="Q2589" i="4"/>
  <c r="L2589" i="4"/>
  <c r="K2589" i="4"/>
  <c r="J2589" i="4"/>
  <c r="M2589" i="4" s="1"/>
  <c r="I2589" i="4"/>
  <c r="P2589" i="4" s="1"/>
  <c r="Q2588" i="4"/>
  <c r="P2588" i="4"/>
  <c r="O2588" i="4"/>
  <c r="N2588" i="4"/>
  <c r="L2588" i="4"/>
  <c r="K2588" i="4"/>
  <c r="J2588" i="4"/>
  <c r="M2588" i="4" s="1"/>
  <c r="I2588" i="4"/>
  <c r="R2588" i="4" s="1"/>
  <c r="R2587" i="4"/>
  <c r="O2587" i="4" s="1"/>
  <c r="Q2587" i="4"/>
  <c r="L2587" i="4"/>
  <c r="K2587" i="4"/>
  <c r="J2587" i="4"/>
  <c r="M2587" i="4" s="1"/>
  <c r="I2587" i="4"/>
  <c r="P2587" i="4" s="1"/>
  <c r="R2586" i="4"/>
  <c r="Q2586" i="4"/>
  <c r="P2586" i="4"/>
  <c r="O2586" i="4"/>
  <c r="N2586" i="4"/>
  <c r="L2586" i="4"/>
  <c r="K2586" i="4"/>
  <c r="J2586" i="4"/>
  <c r="M2586" i="4" s="1"/>
  <c r="I2586" i="4"/>
  <c r="R2585" i="4"/>
  <c r="O2585" i="4" s="1"/>
  <c r="Q2585" i="4"/>
  <c r="L2585" i="4"/>
  <c r="K2585" i="4"/>
  <c r="J2585" i="4"/>
  <c r="M2585" i="4" s="1"/>
  <c r="I2585" i="4"/>
  <c r="P2585" i="4" s="1"/>
  <c r="R2584" i="4"/>
  <c r="Q2584" i="4"/>
  <c r="P2584" i="4"/>
  <c r="O2584" i="4"/>
  <c r="N2584" i="4"/>
  <c r="L2584" i="4"/>
  <c r="K2584" i="4"/>
  <c r="J2584" i="4"/>
  <c r="M2584" i="4" s="1"/>
  <c r="I2584" i="4"/>
  <c r="R2583" i="4"/>
  <c r="O2583" i="4" s="1"/>
  <c r="Q2583" i="4"/>
  <c r="L2583" i="4"/>
  <c r="K2583" i="4"/>
  <c r="J2583" i="4"/>
  <c r="M2583" i="4" s="1"/>
  <c r="I2583" i="4"/>
  <c r="P2583" i="4" s="1"/>
  <c r="R2582" i="4"/>
  <c r="Q2582" i="4"/>
  <c r="P2582" i="4"/>
  <c r="O2582" i="4"/>
  <c r="N2582" i="4"/>
  <c r="L2582" i="4"/>
  <c r="K2582" i="4"/>
  <c r="J2582" i="4"/>
  <c r="M2582" i="4" s="1"/>
  <c r="I2582" i="4"/>
  <c r="R2581" i="4"/>
  <c r="O2581" i="4" s="1"/>
  <c r="Q2581" i="4"/>
  <c r="L2581" i="4"/>
  <c r="K2581" i="4"/>
  <c r="J2581" i="4"/>
  <c r="M2581" i="4" s="1"/>
  <c r="I2581" i="4"/>
  <c r="P2581" i="4" s="1"/>
  <c r="R2580" i="4"/>
  <c r="Q2580" i="4"/>
  <c r="P2580" i="4"/>
  <c r="O2580" i="4"/>
  <c r="N2580" i="4"/>
  <c r="L2580" i="4"/>
  <c r="K2580" i="4"/>
  <c r="J2580" i="4"/>
  <c r="M2580" i="4" s="1"/>
  <c r="I2580" i="4"/>
  <c r="R2579" i="4"/>
  <c r="O2579" i="4" s="1"/>
  <c r="Q2579" i="4"/>
  <c r="L2579" i="4"/>
  <c r="K2579" i="4"/>
  <c r="J2579" i="4"/>
  <c r="M2579" i="4" s="1"/>
  <c r="I2579" i="4"/>
  <c r="P2579" i="4" s="1"/>
  <c r="R2578" i="4"/>
  <c r="Q2578" i="4"/>
  <c r="P2578" i="4"/>
  <c r="O2578" i="4"/>
  <c r="N2578" i="4"/>
  <c r="L2578" i="4"/>
  <c r="K2578" i="4"/>
  <c r="J2578" i="4"/>
  <c r="M2578" i="4" s="1"/>
  <c r="I2578" i="4"/>
  <c r="R2577" i="4"/>
  <c r="O2577" i="4" s="1"/>
  <c r="Q2577" i="4"/>
  <c r="L2577" i="4"/>
  <c r="K2577" i="4"/>
  <c r="J2577" i="4"/>
  <c r="M2577" i="4" s="1"/>
  <c r="I2577" i="4"/>
  <c r="P2577" i="4" s="1"/>
  <c r="R2576" i="4"/>
  <c r="Q2576" i="4"/>
  <c r="P2576" i="4"/>
  <c r="O2576" i="4"/>
  <c r="N2576" i="4"/>
  <c r="L2576" i="4"/>
  <c r="K2576" i="4"/>
  <c r="J2576" i="4"/>
  <c r="M2576" i="4" s="1"/>
  <c r="I2576" i="4"/>
  <c r="R2575" i="4"/>
  <c r="O2575" i="4" s="1"/>
  <c r="Q2575" i="4"/>
  <c r="L2575" i="4"/>
  <c r="K2575" i="4"/>
  <c r="J2575" i="4"/>
  <c r="M2575" i="4" s="1"/>
  <c r="I2575" i="4"/>
  <c r="P2575" i="4" s="1"/>
  <c r="R2574" i="4"/>
  <c r="Q2574" i="4"/>
  <c r="P2574" i="4"/>
  <c r="O2574" i="4"/>
  <c r="N2574" i="4"/>
  <c r="L2574" i="4"/>
  <c r="K2574" i="4"/>
  <c r="J2574" i="4"/>
  <c r="M2574" i="4" s="1"/>
  <c r="I2574" i="4"/>
  <c r="R2573" i="4"/>
  <c r="O2573" i="4" s="1"/>
  <c r="Q2573" i="4"/>
  <c r="L2573" i="4"/>
  <c r="K2573" i="4"/>
  <c r="J2573" i="4"/>
  <c r="M2573" i="4" s="1"/>
  <c r="I2573" i="4"/>
  <c r="P2573" i="4" s="1"/>
  <c r="R2572" i="4"/>
  <c r="Q2572" i="4"/>
  <c r="P2572" i="4"/>
  <c r="O2572" i="4"/>
  <c r="N2572" i="4"/>
  <c r="L2572" i="4"/>
  <c r="K2572" i="4"/>
  <c r="J2572" i="4"/>
  <c r="M2572" i="4" s="1"/>
  <c r="I2572" i="4"/>
  <c r="R2571" i="4"/>
  <c r="O2571" i="4" s="1"/>
  <c r="Q2571" i="4"/>
  <c r="L2571" i="4"/>
  <c r="K2571" i="4"/>
  <c r="J2571" i="4"/>
  <c r="M2571" i="4" s="1"/>
  <c r="I2571" i="4"/>
  <c r="P2571" i="4" s="1"/>
  <c r="R2570" i="4"/>
  <c r="Q2570" i="4"/>
  <c r="P2570" i="4"/>
  <c r="O2570" i="4"/>
  <c r="N2570" i="4"/>
  <c r="L2570" i="4"/>
  <c r="K2570" i="4"/>
  <c r="J2570" i="4"/>
  <c r="M2570" i="4" s="1"/>
  <c r="I2570" i="4"/>
  <c r="R2569" i="4"/>
  <c r="O2569" i="4" s="1"/>
  <c r="Q2569" i="4"/>
  <c r="L2569" i="4"/>
  <c r="K2569" i="4"/>
  <c r="J2569" i="4"/>
  <c r="M2569" i="4" s="1"/>
  <c r="I2569" i="4"/>
  <c r="P2569" i="4" s="1"/>
  <c r="R2568" i="4"/>
  <c r="Q2568" i="4"/>
  <c r="P2568" i="4"/>
  <c r="O2568" i="4"/>
  <c r="N2568" i="4"/>
  <c r="L2568" i="4"/>
  <c r="K2568" i="4"/>
  <c r="J2568" i="4"/>
  <c r="M2568" i="4" s="1"/>
  <c r="I2568" i="4"/>
  <c r="R2567" i="4"/>
  <c r="O2567" i="4" s="1"/>
  <c r="Q2567" i="4"/>
  <c r="L2567" i="4"/>
  <c r="K2567" i="4"/>
  <c r="J2567" i="4"/>
  <c r="M2567" i="4" s="1"/>
  <c r="I2567" i="4"/>
  <c r="P2567" i="4" s="1"/>
  <c r="R2566" i="4"/>
  <c r="Q2566" i="4"/>
  <c r="P2566" i="4"/>
  <c r="O2566" i="4"/>
  <c r="N2566" i="4"/>
  <c r="L2566" i="4"/>
  <c r="K2566" i="4"/>
  <c r="J2566" i="4"/>
  <c r="M2566" i="4" s="1"/>
  <c r="I2566" i="4"/>
  <c r="R2565" i="4"/>
  <c r="O2565" i="4" s="1"/>
  <c r="Q2565" i="4"/>
  <c r="L2565" i="4"/>
  <c r="K2565" i="4"/>
  <c r="J2565" i="4"/>
  <c r="M2565" i="4" s="1"/>
  <c r="I2565" i="4"/>
  <c r="P2565" i="4" s="1"/>
  <c r="R2564" i="4"/>
  <c r="Q2564" i="4"/>
  <c r="P2564" i="4"/>
  <c r="O2564" i="4"/>
  <c r="N2564" i="4"/>
  <c r="L2564" i="4"/>
  <c r="K2564" i="4"/>
  <c r="J2564" i="4"/>
  <c r="M2564" i="4" s="1"/>
  <c r="I2564" i="4"/>
  <c r="R2563" i="4"/>
  <c r="O2563" i="4" s="1"/>
  <c r="Q2563" i="4"/>
  <c r="L2563" i="4"/>
  <c r="K2563" i="4"/>
  <c r="J2563" i="4"/>
  <c r="M2563" i="4" s="1"/>
  <c r="I2563" i="4"/>
  <c r="P2563" i="4" s="1"/>
  <c r="R2562" i="4"/>
  <c r="Q2562" i="4"/>
  <c r="P2562" i="4"/>
  <c r="O2562" i="4"/>
  <c r="N2562" i="4"/>
  <c r="L2562" i="4"/>
  <c r="K2562" i="4"/>
  <c r="J2562" i="4"/>
  <c r="M2562" i="4" s="1"/>
  <c r="I2562" i="4"/>
  <c r="R2561" i="4"/>
  <c r="O2561" i="4" s="1"/>
  <c r="Q2561" i="4"/>
  <c r="L2561" i="4"/>
  <c r="K2561" i="4"/>
  <c r="J2561" i="4"/>
  <c r="M2561" i="4" s="1"/>
  <c r="I2561" i="4"/>
  <c r="P2561" i="4" s="1"/>
  <c r="R2560" i="4"/>
  <c r="Q2560" i="4"/>
  <c r="P2560" i="4"/>
  <c r="O2560" i="4"/>
  <c r="N2560" i="4"/>
  <c r="L2560" i="4"/>
  <c r="K2560" i="4"/>
  <c r="J2560" i="4"/>
  <c r="M2560" i="4" s="1"/>
  <c r="I2560" i="4"/>
  <c r="R2559" i="4"/>
  <c r="O2559" i="4" s="1"/>
  <c r="Q2559" i="4"/>
  <c r="L2559" i="4"/>
  <c r="K2559" i="4"/>
  <c r="J2559" i="4"/>
  <c r="M2559" i="4" s="1"/>
  <c r="I2559" i="4"/>
  <c r="P2559" i="4" s="1"/>
  <c r="R2558" i="4"/>
  <c r="Q2558" i="4"/>
  <c r="P2558" i="4"/>
  <c r="O2558" i="4"/>
  <c r="N2558" i="4"/>
  <c r="L2558" i="4"/>
  <c r="K2558" i="4"/>
  <c r="J2558" i="4"/>
  <c r="M2558" i="4" s="1"/>
  <c r="I2558" i="4"/>
  <c r="R2557" i="4"/>
  <c r="O2557" i="4" s="1"/>
  <c r="Q2557" i="4"/>
  <c r="L2557" i="4"/>
  <c r="K2557" i="4"/>
  <c r="J2557" i="4"/>
  <c r="M2557" i="4" s="1"/>
  <c r="I2557" i="4"/>
  <c r="P2557" i="4" s="1"/>
  <c r="Q2556" i="4"/>
  <c r="P2556" i="4"/>
  <c r="L2556" i="4"/>
  <c r="K2556" i="4"/>
  <c r="J2556" i="4"/>
  <c r="M2556" i="4" s="1"/>
  <c r="I2556" i="4"/>
  <c r="R2556" i="4" s="1"/>
  <c r="R2555" i="4"/>
  <c r="O2555" i="4" s="1"/>
  <c r="Q2555" i="4"/>
  <c r="N2555" i="4"/>
  <c r="L2555" i="4"/>
  <c r="K2555" i="4"/>
  <c r="J2555" i="4"/>
  <c r="M2555" i="4" s="1"/>
  <c r="I2555" i="4"/>
  <c r="P2555" i="4" s="1"/>
  <c r="Q2554" i="4"/>
  <c r="P2554" i="4"/>
  <c r="L2554" i="4"/>
  <c r="K2554" i="4"/>
  <c r="J2554" i="4"/>
  <c r="M2554" i="4" s="1"/>
  <c r="I2554" i="4"/>
  <c r="R2554" i="4" s="1"/>
  <c r="R2553" i="4"/>
  <c r="O2553" i="4" s="1"/>
  <c r="Q2553" i="4"/>
  <c r="N2553" i="4"/>
  <c r="L2553" i="4"/>
  <c r="K2553" i="4"/>
  <c r="J2553" i="4"/>
  <c r="M2553" i="4" s="1"/>
  <c r="I2553" i="4"/>
  <c r="P2553" i="4" s="1"/>
  <c r="Q2552" i="4"/>
  <c r="P2552" i="4"/>
  <c r="M2552" i="4"/>
  <c r="L2552" i="4"/>
  <c r="K2552" i="4"/>
  <c r="J2552" i="4"/>
  <c r="I2552" i="4"/>
  <c r="R2552" i="4" s="1"/>
  <c r="R2551" i="4"/>
  <c r="O2551" i="4" s="1"/>
  <c r="Q2551" i="4"/>
  <c r="L2551" i="4"/>
  <c r="K2551" i="4"/>
  <c r="J2551" i="4"/>
  <c r="M2551" i="4" s="1"/>
  <c r="I2551" i="4"/>
  <c r="P2551" i="4" s="1"/>
  <c r="Q2550" i="4"/>
  <c r="P2550" i="4"/>
  <c r="M2550" i="4"/>
  <c r="L2550" i="4"/>
  <c r="K2550" i="4"/>
  <c r="J2550" i="4"/>
  <c r="I2550" i="4"/>
  <c r="R2550" i="4" s="1"/>
  <c r="R2549" i="4"/>
  <c r="O2549" i="4" s="1"/>
  <c r="Q2549" i="4"/>
  <c r="N2549" i="4"/>
  <c r="L2549" i="4"/>
  <c r="K2549" i="4"/>
  <c r="J2549" i="4"/>
  <c r="M2549" i="4" s="1"/>
  <c r="I2549" i="4"/>
  <c r="P2549" i="4" s="1"/>
  <c r="Q2548" i="4"/>
  <c r="P2548" i="4"/>
  <c r="M2548" i="4"/>
  <c r="L2548" i="4"/>
  <c r="K2548" i="4"/>
  <c r="J2548" i="4"/>
  <c r="I2548" i="4"/>
  <c r="R2548" i="4" s="1"/>
  <c r="R2547" i="4"/>
  <c r="O2547" i="4" s="1"/>
  <c r="Q2547" i="4"/>
  <c r="L2547" i="4"/>
  <c r="K2547" i="4"/>
  <c r="J2547" i="4"/>
  <c r="M2547" i="4" s="1"/>
  <c r="I2547" i="4"/>
  <c r="P2547" i="4" s="1"/>
  <c r="Q2546" i="4"/>
  <c r="P2546" i="4"/>
  <c r="M2546" i="4"/>
  <c r="L2546" i="4"/>
  <c r="K2546" i="4"/>
  <c r="J2546" i="4"/>
  <c r="I2546" i="4"/>
  <c r="R2546" i="4" s="1"/>
  <c r="R2545" i="4"/>
  <c r="O2545" i="4" s="1"/>
  <c r="Q2545" i="4"/>
  <c r="N2545" i="4"/>
  <c r="L2545" i="4"/>
  <c r="K2545" i="4"/>
  <c r="J2545" i="4"/>
  <c r="M2545" i="4" s="1"/>
  <c r="I2545" i="4"/>
  <c r="P2545" i="4" s="1"/>
  <c r="Q2544" i="4"/>
  <c r="P2544" i="4"/>
  <c r="M2544" i="4"/>
  <c r="L2544" i="4"/>
  <c r="K2544" i="4"/>
  <c r="J2544" i="4"/>
  <c r="I2544" i="4"/>
  <c r="R2544" i="4" s="1"/>
  <c r="R2543" i="4"/>
  <c r="O2543" i="4" s="1"/>
  <c r="Q2543" i="4"/>
  <c r="L2543" i="4"/>
  <c r="K2543" i="4"/>
  <c r="J2543" i="4"/>
  <c r="M2543" i="4" s="1"/>
  <c r="I2543" i="4"/>
  <c r="P2543" i="4" s="1"/>
  <c r="Q2542" i="4"/>
  <c r="P2542" i="4"/>
  <c r="M2542" i="4"/>
  <c r="L2542" i="4"/>
  <c r="K2542" i="4"/>
  <c r="J2542" i="4"/>
  <c r="I2542" i="4"/>
  <c r="R2542" i="4" s="1"/>
  <c r="R2541" i="4"/>
  <c r="O2541" i="4" s="1"/>
  <c r="Q2541" i="4"/>
  <c r="N2541" i="4"/>
  <c r="L2541" i="4"/>
  <c r="K2541" i="4"/>
  <c r="J2541" i="4"/>
  <c r="M2541" i="4" s="1"/>
  <c r="I2541" i="4"/>
  <c r="P2541" i="4" s="1"/>
  <c r="Q2540" i="4"/>
  <c r="P2540" i="4"/>
  <c r="M2540" i="4"/>
  <c r="L2540" i="4"/>
  <c r="K2540" i="4"/>
  <c r="J2540" i="4"/>
  <c r="I2540" i="4"/>
  <c r="R2540" i="4" s="1"/>
  <c r="R2539" i="4"/>
  <c r="O2539" i="4" s="1"/>
  <c r="Q2539" i="4"/>
  <c r="L2539" i="4"/>
  <c r="K2539" i="4"/>
  <c r="J2539" i="4"/>
  <c r="M2539" i="4" s="1"/>
  <c r="I2539" i="4"/>
  <c r="P2539" i="4" s="1"/>
  <c r="Q2538" i="4"/>
  <c r="P2538" i="4"/>
  <c r="M2538" i="4"/>
  <c r="L2538" i="4"/>
  <c r="K2538" i="4"/>
  <c r="J2538" i="4"/>
  <c r="I2538" i="4"/>
  <c r="R2538" i="4" s="1"/>
  <c r="R2537" i="4"/>
  <c r="O2537" i="4" s="1"/>
  <c r="Q2537" i="4"/>
  <c r="N2537" i="4"/>
  <c r="L2537" i="4"/>
  <c r="K2537" i="4"/>
  <c r="J2537" i="4"/>
  <c r="M2537" i="4" s="1"/>
  <c r="I2537" i="4"/>
  <c r="P2537" i="4" s="1"/>
  <c r="Q2536" i="4"/>
  <c r="P2536" i="4"/>
  <c r="M2536" i="4"/>
  <c r="L2536" i="4"/>
  <c r="K2536" i="4"/>
  <c r="J2536" i="4"/>
  <c r="I2536" i="4"/>
  <c r="R2536" i="4" s="1"/>
  <c r="R2535" i="4"/>
  <c r="O2535" i="4" s="1"/>
  <c r="Q2535" i="4"/>
  <c r="L2535" i="4"/>
  <c r="K2535" i="4"/>
  <c r="J2535" i="4"/>
  <c r="M2535" i="4" s="1"/>
  <c r="I2535" i="4"/>
  <c r="P2535" i="4" s="1"/>
  <c r="Q2534" i="4"/>
  <c r="P2534" i="4"/>
  <c r="M2534" i="4"/>
  <c r="L2534" i="4"/>
  <c r="K2534" i="4"/>
  <c r="J2534" i="4"/>
  <c r="I2534" i="4"/>
  <c r="R2534" i="4" s="1"/>
  <c r="R2533" i="4"/>
  <c r="O2533" i="4" s="1"/>
  <c r="Q2533" i="4"/>
  <c r="N2533" i="4"/>
  <c r="L2533" i="4"/>
  <c r="K2533" i="4"/>
  <c r="J2533" i="4"/>
  <c r="M2533" i="4" s="1"/>
  <c r="I2533" i="4"/>
  <c r="P2533" i="4" s="1"/>
  <c r="Q2532" i="4"/>
  <c r="P2532" i="4"/>
  <c r="M2532" i="4"/>
  <c r="L2532" i="4"/>
  <c r="K2532" i="4"/>
  <c r="J2532" i="4"/>
  <c r="I2532" i="4"/>
  <c r="R2532" i="4" s="1"/>
  <c r="R2531" i="4"/>
  <c r="O2531" i="4" s="1"/>
  <c r="Q2531" i="4"/>
  <c r="L2531" i="4"/>
  <c r="K2531" i="4"/>
  <c r="J2531" i="4"/>
  <c r="M2531" i="4" s="1"/>
  <c r="I2531" i="4"/>
  <c r="P2531" i="4" s="1"/>
  <c r="Q2530" i="4"/>
  <c r="P2530" i="4"/>
  <c r="M2530" i="4"/>
  <c r="L2530" i="4"/>
  <c r="K2530" i="4"/>
  <c r="J2530" i="4"/>
  <c r="I2530" i="4"/>
  <c r="R2530" i="4" s="1"/>
  <c r="R2529" i="4"/>
  <c r="O2529" i="4" s="1"/>
  <c r="Q2529" i="4"/>
  <c r="N2529" i="4"/>
  <c r="L2529" i="4"/>
  <c r="K2529" i="4"/>
  <c r="J2529" i="4"/>
  <c r="M2529" i="4" s="1"/>
  <c r="I2529" i="4"/>
  <c r="P2529" i="4" s="1"/>
  <c r="Q2528" i="4"/>
  <c r="P2528" i="4"/>
  <c r="M2528" i="4"/>
  <c r="L2528" i="4"/>
  <c r="K2528" i="4"/>
  <c r="J2528" i="4"/>
  <c r="I2528" i="4"/>
  <c r="R2528" i="4" s="1"/>
  <c r="R2527" i="4"/>
  <c r="O2527" i="4" s="1"/>
  <c r="Q2527" i="4"/>
  <c r="L2527" i="4"/>
  <c r="K2527" i="4"/>
  <c r="J2527" i="4"/>
  <c r="M2527" i="4" s="1"/>
  <c r="I2527" i="4"/>
  <c r="P2527" i="4" s="1"/>
  <c r="Q2526" i="4"/>
  <c r="P2526" i="4"/>
  <c r="M2526" i="4"/>
  <c r="L2526" i="4"/>
  <c r="K2526" i="4"/>
  <c r="J2526" i="4"/>
  <c r="I2526" i="4"/>
  <c r="R2526" i="4" s="1"/>
  <c r="R2525" i="4"/>
  <c r="O2525" i="4" s="1"/>
  <c r="Q2525" i="4"/>
  <c r="N2525" i="4"/>
  <c r="L2525" i="4"/>
  <c r="K2525" i="4"/>
  <c r="J2525" i="4"/>
  <c r="M2525" i="4" s="1"/>
  <c r="I2525" i="4"/>
  <c r="P2525" i="4" s="1"/>
  <c r="Q2524" i="4"/>
  <c r="P2524" i="4"/>
  <c r="M2524" i="4"/>
  <c r="L2524" i="4"/>
  <c r="K2524" i="4"/>
  <c r="J2524" i="4"/>
  <c r="I2524" i="4"/>
  <c r="R2524" i="4" s="1"/>
  <c r="R2523" i="4"/>
  <c r="O2523" i="4" s="1"/>
  <c r="Q2523" i="4"/>
  <c r="L2523" i="4"/>
  <c r="K2523" i="4"/>
  <c r="J2523" i="4"/>
  <c r="M2523" i="4" s="1"/>
  <c r="I2523" i="4"/>
  <c r="P2523" i="4" s="1"/>
  <c r="Q2522" i="4"/>
  <c r="P2522" i="4"/>
  <c r="M2522" i="4"/>
  <c r="L2522" i="4"/>
  <c r="K2522" i="4"/>
  <c r="J2522" i="4"/>
  <c r="I2522" i="4"/>
  <c r="R2522" i="4" s="1"/>
  <c r="R2521" i="4"/>
  <c r="O2521" i="4" s="1"/>
  <c r="Q2521" i="4"/>
  <c r="N2521" i="4"/>
  <c r="L2521" i="4"/>
  <c r="K2521" i="4"/>
  <c r="J2521" i="4"/>
  <c r="M2521" i="4" s="1"/>
  <c r="I2521" i="4"/>
  <c r="P2521" i="4" s="1"/>
  <c r="Q2520" i="4"/>
  <c r="P2520" i="4"/>
  <c r="M2520" i="4"/>
  <c r="L2520" i="4"/>
  <c r="K2520" i="4"/>
  <c r="J2520" i="4"/>
  <c r="I2520" i="4"/>
  <c r="R2520" i="4" s="1"/>
  <c r="R2519" i="4"/>
  <c r="O2519" i="4" s="1"/>
  <c r="Q2519" i="4"/>
  <c r="L2519" i="4"/>
  <c r="K2519" i="4"/>
  <c r="J2519" i="4"/>
  <c r="M2519" i="4" s="1"/>
  <c r="I2519" i="4"/>
  <c r="P2519" i="4" s="1"/>
  <c r="Q2518" i="4"/>
  <c r="P2518" i="4"/>
  <c r="M2518" i="4"/>
  <c r="L2518" i="4"/>
  <c r="K2518" i="4"/>
  <c r="J2518" i="4"/>
  <c r="I2518" i="4"/>
  <c r="R2518" i="4" s="1"/>
  <c r="R2517" i="4"/>
  <c r="O2517" i="4" s="1"/>
  <c r="Q2517" i="4"/>
  <c r="N2517" i="4"/>
  <c r="L2517" i="4"/>
  <c r="K2517" i="4"/>
  <c r="J2517" i="4"/>
  <c r="M2517" i="4" s="1"/>
  <c r="I2517" i="4"/>
  <c r="P2517" i="4" s="1"/>
  <c r="Q2516" i="4"/>
  <c r="P2516" i="4"/>
  <c r="M2516" i="4"/>
  <c r="L2516" i="4"/>
  <c r="K2516" i="4"/>
  <c r="J2516" i="4"/>
  <c r="I2516" i="4"/>
  <c r="R2516" i="4" s="1"/>
  <c r="R2515" i="4"/>
  <c r="O2515" i="4" s="1"/>
  <c r="Q2515" i="4"/>
  <c r="L2515" i="4"/>
  <c r="K2515" i="4"/>
  <c r="J2515" i="4"/>
  <c r="M2515" i="4" s="1"/>
  <c r="I2515" i="4"/>
  <c r="P2515" i="4" s="1"/>
  <c r="Q2514" i="4"/>
  <c r="P2514" i="4"/>
  <c r="M2514" i="4"/>
  <c r="L2514" i="4"/>
  <c r="K2514" i="4"/>
  <c r="J2514" i="4"/>
  <c r="I2514" i="4"/>
  <c r="R2514" i="4" s="1"/>
  <c r="R2513" i="4"/>
  <c r="O2513" i="4" s="1"/>
  <c r="Q2513" i="4"/>
  <c r="N2513" i="4"/>
  <c r="L2513" i="4"/>
  <c r="K2513" i="4"/>
  <c r="J2513" i="4"/>
  <c r="M2513" i="4" s="1"/>
  <c r="I2513" i="4"/>
  <c r="P2513" i="4" s="1"/>
  <c r="Q2512" i="4"/>
  <c r="P2512" i="4"/>
  <c r="M2512" i="4"/>
  <c r="L2512" i="4"/>
  <c r="K2512" i="4"/>
  <c r="J2512" i="4"/>
  <c r="I2512" i="4"/>
  <c r="R2512" i="4" s="1"/>
  <c r="R2511" i="4"/>
  <c r="O2511" i="4" s="1"/>
  <c r="Q2511" i="4"/>
  <c r="L2511" i="4"/>
  <c r="K2511" i="4"/>
  <c r="J2511" i="4"/>
  <c r="M2511" i="4" s="1"/>
  <c r="I2511" i="4"/>
  <c r="P2511" i="4" s="1"/>
  <c r="Q2510" i="4"/>
  <c r="P2510" i="4"/>
  <c r="M2510" i="4"/>
  <c r="L2510" i="4"/>
  <c r="K2510" i="4"/>
  <c r="J2510" i="4"/>
  <c r="I2510" i="4"/>
  <c r="R2510" i="4" s="1"/>
  <c r="R2509" i="4"/>
  <c r="O2509" i="4" s="1"/>
  <c r="Q2509" i="4"/>
  <c r="N2509" i="4"/>
  <c r="L2509" i="4"/>
  <c r="K2509" i="4"/>
  <c r="J2509" i="4"/>
  <c r="M2509" i="4" s="1"/>
  <c r="I2509" i="4"/>
  <c r="P2509" i="4" s="1"/>
  <c r="Q2508" i="4"/>
  <c r="P2508" i="4"/>
  <c r="M2508" i="4"/>
  <c r="L2508" i="4"/>
  <c r="K2508" i="4"/>
  <c r="J2508" i="4"/>
  <c r="I2508" i="4"/>
  <c r="R2508" i="4" s="1"/>
  <c r="R2507" i="4"/>
  <c r="O2507" i="4" s="1"/>
  <c r="Q2507" i="4"/>
  <c r="L2507" i="4"/>
  <c r="K2507" i="4"/>
  <c r="J2507" i="4"/>
  <c r="M2507" i="4" s="1"/>
  <c r="I2507" i="4"/>
  <c r="P2507" i="4" s="1"/>
  <c r="Q2506" i="4"/>
  <c r="P2506" i="4"/>
  <c r="M2506" i="4"/>
  <c r="L2506" i="4"/>
  <c r="K2506" i="4"/>
  <c r="J2506" i="4"/>
  <c r="I2506" i="4"/>
  <c r="R2506" i="4" s="1"/>
  <c r="Q2505" i="4"/>
  <c r="L2505" i="4"/>
  <c r="K2505" i="4"/>
  <c r="J2505" i="4"/>
  <c r="M2505" i="4" s="1"/>
  <c r="I2505" i="4"/>
  <c r="P2505" i="4" s="1"/>
  <c r="Q2504" i="4"/>
  <c r="P2504" i="4"/>
  <c r="O2504" i="4"/>
  <c r="M2504" i="4"/>
  <c r="L2504" i="4"/>
  <c r="K2504" i="4"/>
  <c r="J2504" i="4"/>
  <c r="I2504" i="4"/>
  <c r="R2504" i="4" s="1"/>
  <c r="N2504" i="4" s="1"/>
  <c r="Q2503" i="4"/>
  <c r="L2503" i="4"/>
  <c r="K2503" i="4"/>
  <c r="J2503" i="4"/>
  <c r="M2503" i="4" s="1"/>
  <c r="I2503" i="4"/>
  <c r="P2503" i="4" s="1"/>
  <c r="Q2502" i="4"/>
  <c r="P2502" i="4"/>
  <c r="O2502" i="4"/>
  <c r="M2502" i="4"/>
  <c r="L2502" i="4"/>
  <c r="K2502" i="4"/>
  <c r="J2502" i="4"/>
  <c r="I2502" i="4"/>
  <c r="R2502" i="4" s="1"/>
  <c r="N2502" i="4" s="1"/>
  <c r="Q2501" i="4"/>
  <c r="L2501" i="4"/>
  <c r="K2501" i="4"/>
  <c r="J2501" i="4"/>
  <c r="M2501" i="4" s="1"/>
  <c r="I2501" i="4"/>
  <c r="P2501" i="4" s="1"/>
  <c r="Q2500" i="4"/>
  <c r="P2500" i="4"/>
  <c r="O2500" i="4"/>
  <c r="M2500" i="4"/>
  <c r="L2500" i="4"/>
  <c r="K2500" i="4"/>
  <c r="J2500" i="4"/>
  <c r="I2500" i="4"/>
  <c r="R2500" i="4" s="1"/>
  <c r="N2500" i="4" s="1"/>
  <c r="Q2499" i="4"/>
  <c r="L2499" i="4"/>
  <c r="K2499" i="4"/>
  <c r="J2499" i="4"/>
  <c r="M2499" i="4" s="1"/>
  <c r="I2499" i="4"/>
  <c r="P2499" i="4" s="1"/>
  <c r="Q2498" i="4"/>
  <c r="P2498" i="4"/>
  <c r="O2498" i="4"/>
  <c r="M2498" i="4"/>
  <c r="L2498" i="4"/>
  <c r="K2498" i="4"/>
  <c r="J2498" i="4"/>
  <c r="I2498" i="4"/>
  <c r="R2498" i="4" s="1"/>
  <c r="N2498" i="4" s="1"/>
  <c r="Q2497" i="4"/>
  <c r="L2497" i="4"/>
  <c r="K2497" i="4"/>
  <c r="J2497" i="4"/>
  <c r="M2497" i="4" s="1"/>
  <c r="I2497" i="4"/>
  <c r="P2497" i="4" s="1"/>
  <c r="Q2496" i="4"/>
  <c r="P2496" i="4"/>
  <c r="O2496" i="4"/>
  <c r="M2496" i="4"/>
  <c r="L2496" i="4"/>
  <c r="K2496" i="4"/>
  <c r="J2496" i="4"/>
  <c r="I2496" i="4"/>
  <c r="R2496" i="4" s="1"/>
  <c r="N2496" i="4" s="1"/>
  <c r="Q2495" i="4"/>
  <c r="L2495" i="4"/>
  <c r="K2495" i="4"/>
  <c r="J2495" i="4"/>
  <c r="M2495" i="4" s="1"/>
  <c r="I2495" i="4"/>
  <c r="P2495" i="4" s="1"/>
  <c r="Q2494" i="4"/>
  <c r="P2494" i="4"/>
  <c r="O2494" i="4"/>
  <c r="M2494" i="4"/>
  <c r="L2494" i="4"/>
  <c r="K2494" i="4"/>
  <c r="J2494" i="4"/>
  <c r="I2494" i="4"/>
  <c r="R2494" i="4" s="1"/>
  <c r="N2494" i="4" s="1"/>
  <c r="Q2493" i="4"/>
  <c r="L2493" i="4"/>
  <c r="K2493" i="4"/>
  <c r="J2493" i="4"/>
  <c r="M2493" i="4" s="1"/>
  <c r="I2493" i="4"/>
  <c r="P2493" i="4" s="1"/>
  <c r="Q2492" i="4"/>
  <c r="P2492" i="4"/>
  <c r="O2492" i="4"/>
  <c r="M2492" i="4"/>
  <c r="L2492" i="4"/>
  <c r="K2492" i="4"/>
  <c r="J2492" i="4"/>
  <c r="I2492" i="4"/>
  <c r="R2492" i="4" s="1"/>
  <c r="N2492" i="4" s="1"/>
  <c r="Q2491" i="4"/>
  <c r="L2491" i="4"/>
  <c r="K2491" i="4"/>
  <c r="J2491" i="4"/>
  <c r="M2491" i="4" s="1"/>
  <c r="I2491" i="4"/>
  <c r="P2491" i="4" s="1"/>
  <c r="Q2490" i="4"/>
  <c r="P2490" i="4"/>
  <c r="O2490" i="4"/>
  <c r="M2490" i="4"/>
  <c r="L2490" i="4"/>
  <c r="K2490" i="4"/>
  <c r="J2490" i="4"/>
  <c r="I2490" i="4"/>
  <c r="R2490" i="4" s="1"/>
  <c r="N2490" i="4" s="1"/>
  <c r="Q2489" i="4"/>
  <c r="L2489" i="4"/>
  <c r="K2489" i="4"/>
  <c r="J2489" i="4"/>
  <c r="M2489" i="4" s="1"/>
  <c r="I2489" i="4"/>
  <c r="P2489" i="4" s="1"/>
  <c r="Q2488" i="4"/>
  <c r="P2488" i="4"/>
  <c r="O2488" i="4"/>
  <c r="M2488" i="4"/>
  <c r="L2488" i="4"/>
  <c r="K2488" i="4"/>
  <c r="J2488" i="4"/>
  <c r="I2488" i="4"/>
  <c r="R2488" i="4" s="1"/>
  <c r="N2488" i="4" s="1"/>
  <c r="Q2487" i="4"/>
  <c r="L2487" i="4"/>
  <c r="K2487" i="4"/>
  <c r="J2487" i="4"/>
  <c r="M2487" i="4" s="1"/>
  <c r="I2487" i="4"/>
  <c r="P2487" i="4" s="1"/>
  <c r="Q2486" i="4"/>
  <c r="P2486" i="4"/>
  <c r="O2486" i="4"/>
  <c r="M2486" i="4"/>
  <c r="L2486" i="4"/>
  <c r="K2486" i="4"/>
  <c r="J2486" i="4"/>
  <c r="I2486" i="4"/>
  <c r="R2486" i="4" s="1"/>
  <c r="N2486" i="4" s="1"/>
  <c r="Q2485" i="4"/>
  <c r="L2485" i="4"/>
  <c r="K2485" i="4"/>
  <c r="J2485" i="4"/>
  <c r="M2485" i="4" s="1"/>
  <c r="I2485" i="4"/>
  <c r="P2485" i="4" s="1"/>
  <c r="Q2484" i="4"/>
  <c r="P2484" i="4"/>
  <c r="O2484" i="4"/>
  <c r="M2484" i="4"/>
  <c r="L2484" i="4"/>
  <c r="K2484" i="4"/>
  <c r="J2484" i="4"/>
  <c r="I2484" i="4"/>
  <c r="R2484" i="4" s="1"/>
  <c r="N2484" i="4" s="1"/>
  <c r="Q2483" i="4"/>
  <c r="L2483" i="4"/>
  <c r="K2483" i="4"/>
  <c r="J2483" i="4"/>
  <c r="M2483" i="4" s="1"/>
  <c r="I2483" i="4"/>
  <c r="P2483" i="4" s="1"/>
  <c r="Q2482" i="4"/>
  <c r="P2482" i="4"/>
  <c r="O2482" i="4"/>
  <c r="M2482" i="4"/>
  <c r="L2482" i="4"/>
  <c r="K2482" i="4"/>
  <c r="J2482" i="4"/>
  <c r="I2482" i="4"/>
  <c r="R2482" i="4" s="1"/>
  <c r="N2482" i="4" s="1"/>
  <c r="Q2481" i="4"/>
  <c r="L2481" i="4"/>
  <c r="K2481" i="4"/>
  <c r="J2481" i="4"/>
  <c r="M2481" i="4" s="1"/>
  <c r="I2481" i="4"/>
  <c r="P2481" i="4" s="1"/>
  <c r="Q2480" i="4"/>
  <c r="P2480" i="4"/>
  <c r="O2480" i="4"/>
  <c r="M2480" i="4"/>
  <c r="L2480" i="4"/>
  <c r="K2480" i="4"/>
  <c r="J2480" i="4"/>
  <c r="I2480" i="4"/>
  <c r="R2480" i="4" s="1"/>
  <c r="N2480" i="4" s="1"/>
  <c r="Q2479" i="4"/>
  <c r="L2479" i="4"/>
  <c r="K2479" i="4"/>
  <c r="J2479" i="4"/>
  <c r="M2479" i="4" s="1"/>
  <c r="I2479" i="4"/>
  <c r="P2479" i="4" s="1"/>
  <c r="Q2478" i="4"/>
  <c r="P2478" i="4"/>
  <c r="O2478" i="4"/>
  <c r="M2478" i="4"/>
  <c r="L2478" i="4"/>
  <c r="K2478" i="4"/>
  <c r="J2478" i="4"/>
  <c r="I2478" i="4"/>
  <c r="R2478" i="4" s="1"/>
  <c r="N2478" i="4" s="1"/>
  <c r="Q2477" i="4"/>
  <c r="M2477" i="4"/>
  <c r="L2477" i="4"/>
  <c r="K2477" i="4"/>
  <c r="J2477" i="4"/>
  <c r="I2477" i="4"/>
  <c r="P2477" i="4" s="1"/>
  <c r="Q2476" i="4"/>
  <c r="M2476" i="4"/>
  <c r="L2476" i="4"/>
  <c r="K2476" i="4"/>
  <c r="J2476" i="4"/>
  <c r="I2476" i="4"/>
  <c r="R2476" i="4" s="1"/>
  <c r="N2476" i="4" s="1"/>
  <c r="Q2475" i="4"/>
  <c r="L2475" i="4"/>
  <c r="K2475" i="4"/>
  <c r="J2475" i="4"/>
  <c r="M2475" i="4" s="1"/>
  <c r="I2475" i="4"/>
  <c r="P2475" i="4" s="1"/>
  <c r="Q2474" i="4"/>
  <c r="O2474" i="4"/>
  <c r="M2474" i="4"/>
  <c r="L2474" i="4"/>
  <c r="K2474" i="4"/>
  <c r="J2474" i="4"/>
  <c r="I2474" i="4"/>
  <c r="R2474" i="4" s="1"/>
  <c r="N2474" i="4" s="1"/>
  <c r="Q2473" i="4"/>
  <c r="L2473" i="4"/>
  <c r="K2473" i="4"/>
  <c r="J2473" i="4"/>
  <c r="M2473" i="4" s="1"/>
  <c r="I2473" i="4"/>
  <c r="P2473" i="4" s="1"/>
  <c r="Q2472" i="4"/>
  <c r="P2472" i="4"/>
  <c r="O2472" i="4"/>
  <c r="M2472" i="4"/>
  <c r="L2472" i="4"/>
  <c r="K2472" i="4"/>
  <c r="J2472" i="4"/>
  <c r="I2472" i="4"/>
  <c r="R2472" i="4" s="1"/>
  <c r="N2472" i="4" s="1"/>
  <c r="Q2471" i="4"/>
  <c r="L2471" i="4"/>
  <c r="K2471" i="4"/>
  <c r="J2471" i="4"/>
  <c r="M2471" i="4" s="1"/>
  <c r="I2471" i="4"/>
  <c r="P2471" i="4" s="1"/>
  <c r="Q2470" i="4"/>
  <c r="P2470" i="4"/>
  <c r="O2470" i="4"/>
  <c r="M2470" i="4"/>
  <c r="L2470" i="4"/>
  <c r="K2470" i="4"/>
  <c r="J2470" i="4"/>
  <c r="I2470" i="4"/>
  <c r="R2470" i="4" s="1"/>
  <c r="N2470" i="4" s="1"/>
  <c r="Q2469" i="4"/>
  <c r="M2469" i="4"/>
  <c r="L2469" i="4"/>
  <c r="K2469" i="4"/>
  <c r="J2469" i="4"/>
  <c r="I2469" i="4"/>
  <c r="P2469" i="4" s="1"/>
  <c r="Q2468" i="4"/>
  <c r="M2468" i="4"/>
  <c r="L2468" i="4"/>
  <c r="K2468" i="4"/>
  <c r="J2468" i="4"/>
  <c r="I2468" i="4"/>
  <c r="R2468" i="4" s="1"/>
  <c r="N2468" i="4" s="1"/>
  <c r="Q2467" i="4"/>
  <c r="L2467" i="4"/>
  <c r="K2467" i="4"/>
  <c r="J2467" i="4"/>
  <c r="M2467" i="4" s="1"/>
  <c r="I2467" i="4"/>
  <c r="P2467" i="4" s="1"/>
  <c r="Q2466" i="4"/>
  <c r="M2466" i="4"/>
  <c r="L2466" i="4"/>
  <c r="K2466" i="4"/>
  <c r="J2466" i="4"/>
  <c r="I2466" i="4"/>
  <c r="R2466" i="4" s="1"/>
  <c r="N2466" i="4" s="1"/>
  <c r="Q2465" i="4"/>
  <c r="L2465" i="4"/>
  <c r="K2465" i="4"/>
  <c r="J2465" i="4"/>
  <c r="M2465" i="4" s="1"/>
  <c r="I2465" i="4"/>
  <c r="P2465" i="4" s="1"/>
  <c r="Q2464" i="4"/>
  <c r="P2464" i="4"/>
  <c r="O2464" i="4"/>
  <c r="M2464" i="4"/>
  <c r="L2464" i="4"/>
  <c r="K2464" i="4"/>
  <c r="J2464" i="4"/>
  <c r="I2464" i="4"/>
  <c r="R2464" i="4" s="1"/>
  <c r="N2464" i="4" s="1"/>
  <c r="Q2463" i="4"/>
  <c r="L2463" i="4"/>
  <c r="K2463" i="4"/>
  <c r="J2463" i="4"/>
  <c r="M2463" i="4" s="1"/>
  <c r="I2463" i="4"/>
  <c r="P2463" i="4" s="1"/>
  <c r="Q2462" i="4"/>
  <c r="P2462" i="4"/>
  <c r="O2462" i="4"/>
  <c r="M2462" i="4"/>
  <c r="L2462" i="4"/>
  <c r="K2462" i="4"/>
  <c r="J2462" i="4"/>
  <c r="I2462" i="4"/>
  <c r="R2462" i="4" s="1"/>
  <c r="N2462" i="4" s="1"/>
  <c r="Q2461" i="4"/>
  <c r="M2461" i="4"/>
  <c r="L2461" i="4"/>
  <c r="K2461" i="4"/>
  <c r="J2461" i="4"/>
  <c r="I2461" i="4"/>
  <c r="P2461" i="4" s="1"/>
  <c r="Q2460" i="4"/>
  <c r="M2460" i="4"/>
  <c r="L2460" i="4"/>
  <c r="K2460" i="4"/>
  <c r="J2460" i="4"/>
  <c r="I2460" i="4"/>
  <c r="R2460" i="4" s="1"/>
  <c r="N2460" i="4" s="1"/>
  <c r="Q2459" i="4"/>
  <c r="M2459" i="4"/>
  <c r="L2459" i="4"/>
  <c r="K2459" i="4"/>
  <c r="J2459" i="4"/>
  <c r="I2459" i="4"/>
  <c r="P2459" i="4" s="1"/>
  <c r="Q2458" i="4"/>
  <c r="M2458" i="4"/>
  <c r="L2458" i="4"/>
  <c r="K2458" i="4"/>
  <c r="J2458" i="4"/>
  <c r="I2458" i="4"/>
  <c r="R2458" i="4" s="1"/>
  <c r="N2458" i="4" s="1"/>
  <c r="Q2457" i="4"/>
  <c r="L2457" i="4"/>
  <c r="K2457" i="4"/>
  <c r="J2457" i="4"/>
  <c r="M2457" i="4" s="1"/>
  <c r="I2457" i="4"/>
  <c r="P2457" i="4" s="1"/>
  <c r="Q2456" i="4"/>
  <c r="P2456" i="4"/>
  <c r="O2456" i="4"/>
  <c r="M2456" i="4"/>
  <c r="L2456" i="4"/>
  <c r="K2456" i="4"/>
  <c r="J2456" i="4"/>
  <c r="I2456" i="4"/>
  <c r="R2456" i="4" s="1"/>
  <c r="N2456" i="4" s="1"/>
  <c r="Q2455" i="4"/>
  <c r="L2455" i="4"/>
  <c r="K2455" i="4"/>
  <c r="J2455" i="4"/>
  <c r="M2455" i="4" s="1"/>
  <c r="I2455" i="4"/>
  <c r="P2455" i="4" s="1"/>
  <c r="Q2454" i="4"/>
  <c r="P2454" i="4"/>
  <c r="O2454" i="4"/>
  <c r="M2454" i="4"/>
  <c r="L2454" i="4"/>
  <c r="K2454" i="4"/>
  <c r="J2454" i="4"/>
  <c r="I2454" i="4"/>
  <c r="R2454" i="4" s="1"/>
  <c r="N2454" i="4" s="1"/>
  <c r="Q2453" i="4"/>
  <c r="M2453" i="4"/>
  <c r="L2453" i="4"/>
  <c r="K2453" i="4"/>
  <c r="J2453" i="4"/>
  <c r="I2453" i="4"/>
  <c r="P2453" i="4" s="1"/>
  <c r="Q2452" i="4"/>
  <c r="M2452" i="4"/>
  <c r="L2452" i="4"/>
  <c r="K2452" i="4"/>
  <c r="J2452" i="4"/>
  <c r="I2452" i="4"/>
  <c r="R2452" i="4" s="1"/>
  <c r="N2452" i="4" s="1"/>
  <c r="Q2451" i="4"/>
  <c r="M2451" i="4"/>
  <c r="L2451" i="4"/>
  <c r="K2451" i="4"/>
  <c r="J2451" i="4"/>
  <c r="I2451" i="4"/>
  <c r="P2451" i="4" s="1"/>
  <c r="Q2450" i="4"/>
  <c r="M2450" i="4"/>
  <c r="L2450" i="4"/>
  <c r="K2450" i="4"/>
  <c r="J2450" i="4"/>
  <c r="I2450" i="4"/>
  <c r="R2450" i="4" s="1"/>
  <c r="N2450" i="4" s="1"/>
  <c r="Q2449" i="4"/>
  <c r="L2449" i="4"/>
  <c r="K2449" i="4"/>
  <c r="J2449" i="4"/>
  <c r="M2449" i="4" s="1"/>
  <c r="I2449" i="4"/>
  <c r="P2449" i="4" s="1"/>
  <c r="Q2448" i="4"/>
  <c r="P2448" i="4"/>
  <c r="O2448" i="4"/>
  <c r="M2448" i="4"/>
  <c r="L2448" i="4"/>
  <c r="K2448" i="4"/>
  <c r="J2448" i="4"/>
  <c r="I2448" i="4"/>
  <c r="R2448" i="4" s="1"/>
  <c r="N2448" i="4" s="1"/>
  <c r="Q2447" i="4"/>
  <c r="L2447" i="4"/>
  <c r="K2447" i="4"/>
  <c r="J2447" i="4"/>
  <c r="M2447" i="4" s="1"/>
  <c r="I2447" i="4"/>
  <c r="P2447" i="4" s="1"/>
  <c r="Q2446" i="4"/>
  <c r="P2446" i="4"/>
  <c r="O2446" i="4"/>
  <c r="M2446" i="4"/>
  <c r="L2446" i="4"/>
  <c r="K2446" i="4"/>
  <c r="J2446" i="4"/>
  <c r="I2446" i="4"/>
  <c r="R2446" i="4" s="1"/>
  <c r="N2446" i="4" s="1"/>
  <c r="Q2445" i="4"/>
  <c r="M2445" i="4"/>
  <c r="L2445" i="4"/>
  <c r="K2445" i="4"/>
  <c r="J2445" i="4"/>
  <c r="I2445" i="4"/>
  <c r="P2445" i="4" s="1"/>
  <c r="Q2444" i="4"/>
  <c r="M2444" i="4"/>
  <c r="L2444" i="4"/>
  <c r="K2444" i="4"/>
  <c r="J2444" i="4"/>
  <c r="I2444" i="4"/>
  <c r="R2444" i="4" s="1"/>
  <c r="N2444" i="4" s="1"/>
  <c r="Q2443" i="4"/>
  <c r="M2443" i="4"/>
  <c r="L2443" i="4"/>
  <c r="K2443" i="4"/>
  <c r="J2443" i="4"/>
  <c r="I2443" i="4"/>
  <c r="P2443" i="4" s="1"/>
  <c r="Q2442" i="4"/>
  <c r="M2442" i="4"/>
  <c r="L2442" i="4"/>
  <c r="K2442" i="4"/>
  <c r="J2442" i="4"/>
  <c r="I2442" i="4"/>
  <c r="R2442" i="4" s="1"/>
  <c r="N2442" i="4" s="1"/>
  <c r="Q2441" i="4"/>
  <c r="L2441" i="4"/>
  <c r="K2441" i="4"/>
  <c r="J2441" i="4"/>
  <c r="M2441" i="4" s="1"/>
  <c r="I2441" i="4"/>
  <c r="P2441" i="4" s="1"/>
  <c r="Q2440" i="4"/>
  <c r="P2440" i="4"/>
  <c r="O2440" i="4"/>
  <c r="M2440" i="4"/>
  <c r="L2440" i="4"/>
  <c r="K2440" i="4"/>
  <c r="J2440" i="4"/>
  <c r="I2440" i="4"/>
  <c r="R2440" i="4" s="1"/>
  <c r="N2440" i="4" s="1"/>
  <c r="Q2439" i="4"/>
  <c r="L2439" i="4"/>
  <c r="K2439" i="4"/>
  <c r="J2439" i="4"/>
  <c r="M2439" i="4" s="1"/>
  <c r="I2439" i="4"/>
  <c r="P2439" i="4" s="1"/>
  <c r="Q2438" i="4"/>
  <c r="P2438" i="4"/>
  <c r="O2438" i="4"/>
  <c r="M2438" i="4"/>
  <c r="L2438" i="4"/>
  <c r="K2438" i="4"/>
  <c r="J2438" i="4"/>
  <c r="I2438" i="4"/>
  <c r="R2438" i="4" s="1"/>
  <c r="N2438" i="4" s="1"/>
  <c r="Q2437" i="4"/>
  <c r="M2437" i="4"/>
  <c r="L2437" i="4"/>
  <c r="K2437" i="4"/>
  <c r="J2437" i="4"/>
  <c r="I2437" i="4"/>
  <c r="P2437" i="4" s="1"/>
  <c r="Q2436" i="4"/>
  <c r="M2436" i="4"/>
  <c r="L2436" i="4"/>
  <c r="K2436" i="4"/>
  <c r="J2436" i="4"/>
  <c r="I2436" i="4"/>
  <c r="R2436" i="4" s="1"/>
  <c r="N2436" i="4" s="1"/>
  <c r="Q2435" i="4"/>
  <c r="M2435" i="4"/>
  <c r="L2435" i="4"/>
  <c r="K2435" i="4"/>
  <c r="J2435" i="4"/>
  <c r="I2435" i="4"/>
  <c r="P2435" i="4" s="1"/>
  <c r="Q2434" i="4"/>
  <c r="M2434" i="4"/>
  <c r="L2434" i="4"/>
  <c r="K2434" i="4"/>
  <c r="J2434" i="4"/>
  <c r="I2434" i="4"/>
  <c r="R2434" i="4" s="1"/>
  <c r="N2434" i="4" s="1"/>
  <c r="Q2433" i="4"/>
  <c r="L2433" i="4"/>
  <c r="K2433" i="4"/>
  <c r="J2433" i="4"/>
  <c r="M2433" i="4" s="1"/>
  <c r="I2433" i="4"/>
  <c r="P2433" i="4" s="1"/>
  <c r="Q2432" i="4"/>
  <c r="P2432" i="4"/>
  <c r="O2432" i="4"/>
  <c r="M2432" i="4"/>
  <c r="L2432" i="4"/>
  <c r="K2432" i="4"/>
  <c r="J2432" i="4"/>
  <c r="I2432" i="4"/>
  <c r="R2432" i="4" s="1"/>
  <c r="N2432" i="4" s="1"/>
  <c r="Q2431" i="4"/>
  <c r="L2431" i="4"/>
  <c r="K2431" i="4"/>
  <c r="J2431" i="4"/>
  <c r="M2431" i="4" s="1"/>
  <c r="I2431" i="4"/>
  <c r="P2431" i="4" s="1"/>
  <c r="Q2430" i="4"/>
  <c r="P2430" i="4"/>
  <c r="O2430" i="4"/>
  <c r="M2430" i="4"/>
  <c r="L2430" i="4"/>
  <c r="K2430" i="4"/>
  <c r="J2430" i="4"/>
  <c r="I2430" i="4"/>
  <c r="R2430" i="4" s="1"/>
  <c r="N2430" i="4" s="1"/>
  <c r="Q2429" i="4"/>
  <c r="M2429" i="4"/>
  <c r="L2429" i="4"/>
  <c r="K2429" i="4"/>
  <c r="J2429" i="4"/>
  <c r="I2429" i="4"/>
  <c r="P2429" i="4" s="1"/>
  <c r="Q2428" i="4"/>
  <c r="M2428" i="4"/>
  <c r="L2428" i="4"/>
  <c r="K2428" i="4"/>
  <c r="J2428" i="4"/>
  <c r="I2428" i="4"/>
  <c r="R2428" i="4" s="1"/>
  <c r="N2428" i="4" s="1"/>
  <c r="Q2427" i="4"/>
  <c r="M2427" i="4"/>
  <c r="L2427" i="4"/>
  <c r="K2427" i="4"/>
  <c r="J2427" i="4"/>
  <c r="I2427" i="4"/>
  <c r="P2427" i="4" s="1"/>
  <c r="Q2426" i="4"/>
  <c r="M2426" i="4"/>
  <c r="L2426" i="4"/>
  <c r="K2426" i="4"/>
  <c r="J2426" i="4"/>
  <c r="I2426" i="4"/>
  <c r="R2426" i="4" s="1"/>
  <c r="N2426" i="4" s="1"/>
  <c r="Q2425" i="4"/>
  <c r="L2425" i="4"/>
  <c r="K2425" i="4"/>
  <c r="J2425" i="4"/>
  <c r="M2425" i="4" s="1"/>
  <c r="I2425" i="4"/>
  <c r="P2425" i="4" s="1"/>
  <c r="Q2424" i="4"/>
  <c r="P2424" i="4"/>
  <c r="O2424" i="4"/>
  <c r="M2424" i="4"/>
  <c r="L2424" i="4"/>
  <c r="K2424" i="4"/>
  <c r="J2424" i="4"/>
  <c r="I2424" i="4"/>
  <c r="R2424" i="4" s="1"/>
  <c r="N2424" i="4" s="1"/>
  <c r="Q2423" i="4"/>
  <c r="L2423" i="4"/>
  <c r="K2423" i="4"/>
  <c r="J2423" i="4"/>
  <c r="M2423" i="4" s="1"/>
  <c r="I2423" i="4"/>
  <c r="P2423" i="4" s="1"/>
  <c r="Q2422" i="4"/>
  <c r="P2422" i="4"/>
  <c r="O2422" i="4"/>
  <c r="M2422" i="4"/>
  <c r="L2422" i="4"/>
  <c r="K2422" i="4"/>
  <c r="J2422" i="4"/>
  <c r="I2422" i="4"/>
  <c r="R2422" i="4" s="1"/>
  <c r="N2422" i="4" s="1"/>
  <c r="Q2421" i="4"/>
  <c r="M2421" i="4"/>
  <c r="L2421" i="4"/>
  <c r="K2421" i="4"/>
  <c r="J2421" i="4"/>
  <c r="I2421" i="4"/>
  <c r="P2421" i="4" s="1"/>
  <c r="Q2420" i="4"/>
  <c r="M2420" i="4"/>
  <c r="L2420" i="4"/>
  <c r="K2420" i="4"/>
  <c r="J2420" i="4"/>
  <c r="I2420" i="4"/>
  <c r="R2420" i="4" s="1"/>
  <c r="N2420" i="4" s="1"/>
  <c r="Q2419" i="4"/>
  <c r="M2419" i="4"/>
  <c r="L2419" i="4"/>
  <c r="K2419" i="4"/>
  <c r="J2419" i="4"/>
  <c r="I2419" i="4"/>
  <c r="P2419" i="4" s="1"/>
  <c r="Q2418" i="4"/>
  <c r="M2418" i="4"/>
  <c r="L2418" i="4"/>
  <c r="K2418" i="4"/>
  <c r="J2418" i="4"/>
  <c r="I2418" i="4"/>
  <c r="R2418" i="4" s="1"/>
  <c r="N2418" i="4" s="1"/>
  <c r="Q2417" i="4"/>
  <c r="L2417" i="4"/>
  <c r="K2417" i="4"/>
  <c r="J2417" i="4"/>
  <c r="M2417" i="4" s="1"/>
  <c r="I2417" i="4"/>
  <c r="P2417" i="4" s="1"/>
  <c r="Q2416" i="4"/>
  <c r="P2416" i="4"/>
  <c r="O2416" i="4"/>
  <c r="M2416" i="4"/>
  <c r="L2416" i="4"/>
  <c r="K2416" i="4"/>
  <c r="J2416" i="4"/>
  <c r="I2416" i="4"/>
  <c r="R2416" i="4" s="1"/>
  <c r="N2416" i="4" s="1"/>
  <c r="Q2415" i="4"/>
  <c r="L2415" i="4"/>
  <c r="K2415" i="4"/>
  <c r="J2415" i="4"/>
  <c r="M2415" i="4" s="1"/>
  <c r="I2415" i="4"/>
  <c r="P2415" i="4" s="1"/>
  <c r="Q2414" i="4"/>
  <c r="P2414" i="4"/>
  <c r="O2414" i="4"/>
  <c r="M2414" i="4"/>
  <c r="L2414" i="4"/>
  <c r="K2414" i="4"/>
  <c r="J2414" i="4"/>
  <c r="I2414" i="4"/>
  <c r="R2414" i="4" s="1"/>
  <c r="N2414" i="4" s="1"/>
  <c r="Q2413" i="4"/>
  <c r="M2413" i="4"/>
  <c r="L2413" i="4"/>
  <c r="K2413" i="4"/>
  <c r="J2413" i="4"/>
  <c r="I2413" i="4"/>
  <c r="P2413" i="4" s="1"/>
  <c r="Q2412" i="4"/>
  <c r="M2412" i="4"/>
  <c r="L2412" i="4"/>
  <c r="K2412" i="4"/>
  <c r="J2412" i="4"/>
  <c r="I2412" i="4"/>
  <c r="R2412" i="4" s="1"/>
  <c r="N2412" i="4" s="1"/>
  <c r="Q2411" i="4"/>
  <c r="M2411" i="4"/>
  <c r="L2411" i="4"/>
  <c r="K2411" i="4"/>
  <c r="J2411" i="4"/>
  <c r="I2411" i="4"/>
  <c r="P2411" i="4" s="1"/>
  <c r="Q2410" i="4"/>
  <c r="M2410" i="4"/>
  <c r="L2410" i="4"/>
  <c r="K2410" i="4"/>
  <c r="J2410" i="4"/>
  <c r="I2410" i="4"/>
  <c r="R2410" i="4" s="1"/>
  <c r="N2410" i="4" s="1"/>
  <c r="Q2409" i="4"/>
  <c r="L2409" i="4"/>
  <c r="K2409" i="4"/>
  <c r="J2409" i="4"/>
  <c r="M2409" i="4" s="1"/>
  <c r="I2409" i="4"/>
  <c r="P2409" i="4" s="1"/>
  <c r="Q2408" i="4"/>
  <c r="P2408" i="4"/>
  <c r="O2408" i="4"/>
  <c r="M2408" i="4"/>
  <c r="L2408" i="4"/>
  <c r="K2408" i="4"/>
  <c r="J2408" i="4"/>
  <c r="I2408" i="4"/>
  <c r="R2408" i="4" s="1"/>
  <c r="N2408" i="4" s="1"/>
  <c r="Q2407" i="4"/>
  <c r="L2407" i="4"/>
  <c r="K2407" i="4"/>
  <c r="J2407" i="4"/>
  <c r="M2407" i="4" s="1"/>
  <c r="I2407" i="4"/>
  <c r="P2407" i="4" s="1"/>
  <c r="Q2406" i="4"/>
  <c r="P2406" i="4"/>
  <c r="O2406" i="4"/>
  <c r="M2406" i="4"/>
  <c r="L2406" i="4"/>
  <c r="K2406" i="4"/>
  <c r="J2406" i="4"/>
  <c r="I2406" i="4"/>
  <c r="R2406" i="4" s="1"/>
  <c r="N2406" i="4" s="1"/>
  <c r="Q2405" i="4"/>
  <c r="M2405" i="4"/>
  <c r="L2405" i="4"/>
  <c r="K2405" i="4"/>
  <c r="J2405" i="4"/>
  <c r="I2405" i="4"/>
  <c r="P2405" i="4" s="1"/>
  <c r="Q2404" i="4"/>
  <c r="M2404" i="4"/>
  <c r="L2404" i="4"/>
  <c r="K2404" i="4"/>
  <c r="J2404" i="4"/>
  <c r="I2404" i="4"/>
  <c r="R2404" i="4" s="1"/>
  <c r="N2404" i="4" s="1"/>
  <c r="Q2403" i="4"/>
  <c r="M2403" i="4"/>
  <c r="L2403" i="4"/>
  <c r="K2403" i="4"/>
  <c r="J2403" i="4"/>
  <c r="I2403" i="4"/>
  <c r="P2403" i="4" s="1"/>
  <c r="Q2402" i="4"/>
  <c r="M2402" i="4"/>
  <c r="L2402" i="4"/>
  <c r="K2402" i="4"/>
  <c r="J2402" i="4"/>
  <c r="I2402" i="4"/>
  <c r="R2402" i="4" s="1"/>
  <c r="N2402" i="4" s="1"/>
  <c r="Q2401" i="4"/>
  <c r="L2401" i="4"/>
  <c r="K2401" i="4"/>
  <c r="J2401" i="4"/>
  <c r="M2401" i="4" s="1"/>
  <c r="I2401" i="4"/>
  <c r="P2401" i="4" s="1"/>
  <c r="Q2400" i="4"/>
  <c r="P2400" i="4"/>
  <c r="O2400" i="4"/>
  <c r="M2400" i="4"/>
  <c r="L2400" i="4"/>
  <c r="K2400" i="4"/>
  <c r="J2400" i="4"/>
  <c r="I2400" i="4"/>
  <c r="R2400" i="4" s="1"/>
  <c r="N2400" i="4" s="1"/>
  <c r="Q2399" i="4"/>
  <c r="L2399" i="4"/>
  <c r="K2399" i="4"/>
  <c r="J2399" i="4"/>
  <c r="M2399" i="4" s="1"/>
  <c r="I2399" i="4"/>
  <c r="P2399" i="4" s="1"/>
  <c r="Q2398" i="4"/>
  <c r="P2398" i="4"/>
  <c r="O2398" i="4"/>
  <c r="M2398" i="4"/>
  <c r="L2398" i="4"/>
  <c r="K2398" i="4"/>
  <c r="J2398" i="4"/>
  <c r="I2398" i="4"/>
  <c r="R2398" i="4" s="1"/>
  <c r="N2398" i="4" s="1"/>
  <c r="Q2397" i="4"/>
  <c r="M2397" i="4"/>
  <c r="L2397" i="4"/>
  <c r="K2397" i="4"/>
  <c r="J2397" i="4"/>
  <c r="I2397" i="4"/>
  <c r="P2397" i="4" s="1"/>
  <c r="Q2396" i="4"/>
  <c r="M2396" i="4"/>
  <c r="L2396" i="4"/>
  <c r="K2396" i="4"/>
  <c r="J2396" i="4"/>
  <c r="I2396" i="4"/>
  <c r="R2396" i="4" s="1"/>
  <c r="N2396" i="4" s="1"/>
  <c r="Q2395" i="4"/>
  <c r="M2395" i="4"/>
  <c r="L2395" i="4"/>
  <c r="K2395" i="4"/>
  <c r="J2395" i="4"/>
  <c r="I2395" i="4"/>
  <c r="P2395" i="4" s="1"/>
  <c r="Q2394" i="4"/>
  <c r="M2394" i="4"/>
  <c r="L2394" i="4"/>
  <c r="K2394" i="4"/>
  <c r="J2394" i="4"/>
  <c r="I2394" i="4"/>
  <c r="R2394" i="4" s="1"/>
  <c r="N2394" i="4" s="1"/>
  <c r="Q2393" i="4"/>
  <c r="L2393" i="4"/>
  <c r="K2393" i="4"/>
  <c r="J2393" i="4"/>
  <c r="M2393" i="4" s="1"/>
  <c r="I2393" i="4"/>
  <c r="P2393" i="4" s="1"/>
  <c r="Q2392" i="4"/>
  <c r="P2392" i="4"/>
  <c r="O2392" i="4"/>
  <c r="M2392" i="4"/>
  <c r="L2392" i="4"/>
  <c r="K2392" i="4"/>
  <c r="J2392" i="4"/>
  <c r="I2392" i="4"/>
  <c r="R2392" i="4" s="1"/>
  <c r="N2392" i="4" s="1"/>
  <c r="Q2391" i="4"/>
  <c r="L2391" i="4"/>
  <c r="K2391" i="4"/>
  <c r="J2391" i="4"/>
  <c r="M2391" i="4" s="1"/>
  <c r="I2391" i="4"/>
  <c r="P2391" i="4" s="1"/>
  <c r="Q2390" i="4"/>
  <c r="P2390" i="4"/>
  <c r="O2390" i="4"/>
  <c r="M2390" i="4"/>
  <c r="L2390" i="4"/>
  <c r="K2390" i="4"/>
  <c r="J2390" i="4"/>
  <c r="I2390" i="4"/>
  <c r="R2390" i="4" s="1"/>
  <c r="N2390" i="4" s="1"/>
  <c r="Q2389" i="4"/>
  <c r="M2389" i="4"/>
  <c r="L2389" i="4"/>
  <c r="K2389" i="4"/>
  <c r="J2389" i="4"/>
  <c r="I2389" i="4"/>
  <c r="P2389" i="4" s="1"/>
  <c r="Q2388" i="4"/>
  <c r="M2388" i="4"/>
  <c r="L2388" i="4"/>
  <c r="K2388" i="4"/>
  <c r="J2388" i="4"/>
  <c r="I2388" i="4"/>
  <c r="R2388" i="4" s="1"/>
  <c r="N2388" i="4" s="1"/>
  <c r="Q2387" i="4"/>
  <c r="M2387" i="4"/>
  <c r="L2387" i="4"/>
  <c r="K2387" i="4"/>
  <c r="J2387" i="4"/>
  <c r="I2387" i="4"/>
  <c r="P2387" i="4" s="1"/>
  <c r="Q2386" i="4"/>
  <c r="M2386" i="4"/>
  <c r="L2386" i="4"/>
  <c r="K2386" i="4"/>
  <c r="J2386" i="4"/>
  <c r="I2386" i="4"/>
  <c r="R2386" i="4" s="1"/>
  <c r="N2386" i="4" s="1"/>
  <c r="Q2385" i="4"/>
  <c r="L2385" i="4"/>
  <c r="K2385" i="4"/>
  <c r="J2385" i="4"/>
  <c r="M2385" i="4" s="1"/>
  <c r="I2385" i="4"/>
  <c r="P2385" i="4" s="1"/>
  <c r="Q2384" i="4"/>
  <c r="P2384" i="4"/>
  <c r="O2384" i="4"/>
  <c r="M2384" i="4"/>
  <c r="L2384" i="4"/>
  <c r="K2384" i="4"/>
  <c r="J2384" i="4"/>
  <c r="I2384" i="4"/>
  <c r="R2384" i="4" s="1"/>
  <c r="N2384" i="4" s="1"/>
  <c r="Q2383" i="4"/>
  <c r="L2383" i="4"/>
  <c r="K2383" i="4"/>
  <c r="J2383" i="4"/>
  <c r="M2383" i="4" s="1"/>
  <c r="I2383" i="4"/>
  <c r="P2383" i="4" s="1"/>
  <c r="Q2382" i="4"/>
  <c r="P2382" i="4"/>
  <c r="O2382" i="4"/>
  <c r="M2382" i="4"/>
  <c r="L2382" i="4"/>
  <c r="K2382" i="4"/>
  <c r="J2382" i="4"/>
  <c r="I2382" i="4"/>
  <c r="R2382" i="4" s="1"/>
  <c r="N2382" i="4" s="1"/>
  <c r="Q2381" i="4"/>
  <c r="M2381" i="4"/>
  <c r="L2381" i="4"/>
  <c r="K2381" i="4"/>
  <c r="J2381" i="4"/>
  <c r="I2381" i="4"/>
  <c r="P2381" i="4" s="1"/>
  <c r="Q2380" i="4"/>
  <c r="M2380" i="4"/>
  <c r="L2380" i="4"/>
  <c r="K2380" i="4"/>
  <c r="J2380" i="4"/>
  <c r="I2380" i="4"/>
  <c r="R2380" i="4" s="1"/>
  <c r="N2380" i="4" s="1"/>
  <c r="Q2379" i="4"/>
  <c r="M2379" i="4"/>
  <c r="L2379" i="4"/>
  <c r="K2379" i="4"/>
  <c r="J2379" i="4"/>
  <c r="I2379" i="4"/>
  <c r="P2379" i="4" s="1"/>
  <c r="Q2378" i="4"/>
  <c r="M2378" i="4"/>
  <c r="L2378" i="4"/>
  <c r="K2378" i="4"/>
  <c r="J2378" i="4"/>
  <c r="I2378" i="4"/>
  <c r="R2378" i="4" s="1"/>
  <c r="N2378" i="4" s="1"/>
  <c r="Q2377" i="4"/>
  <c r="L2377" i="4"/>
  <c r="K2377" i="4"/>
  <c r="J2377" i="4"/>
  <c r="M2377" i="4" s="1"/>
  <c r="I2377" i="4"/>
  <c r="P2377" i="4" s="1"/>
  <c r="Q2376" i="4"/>
  <c r="P2376" i="4"/>
  <c r="O2376" i="4"/>
  <c r="L2376" i="4"/>
  <c r="K2376" i="4"/>
  <c r="J2376" i="4"/>
  <c r="M2376" i="4" s="1"/>
  <c r="I2376" i="4"/>
  <c r="R2376" i="4" s="1"/>
  <c r="N2376" i="4" s="1"/>
  <c r="Q2375" i="4"/>
  <c r="P2375" i="4"/>
  <c r="M2375" i="4"/>
  <c r="L2375" i="4"/>
  <c r="K2375" i="4"/>
  <c r="J2375" i="4"/>
  <c r="I2375" i="4"/>
  <c r="R2375" i="4" s="1"/>
  <c r="R2374" i="4"/>
  <c r="O2374" i="4" s="1"/>
  <c r="Q2374" i="4"/>
  <c r="N2374" i="4"/>
  <c r="L2374" i="4"/>
  <c r="K2374" i="4"/>
  <c r="J2374" i="4"/>
  <c r="M2374" i="4" s="1"/>
  <c r="I2374" i="4"/>
  <c r="P2374" i="4" s="1"/>
  <c r="Q2373" i="4"/>
  <c r="P2373" i="4"/>
  <c r="M2373" i="4"/>
  <c r="L2373" i="4"/>
  <c r="K2373" i="4"/>
  <c r="J2373" i="4"/>
  <c r="I2373" i="4"/>
  <c r="R2373" i="4" s="1"/>
  <c r="R2372" i="4"/>
  <c r="O2372" i="4" s="1"/>
  <c r="Q2372" i="4"/>
  <c r="N2372" i="4"/>
  <c r="L2372" i="4"/>
  <c r="K2372" i="4"/>
  <c r="J2372" i="4"/>
  <c r="M2372" i="4" s="1"/>
  <c r="I2372" i="4"/>
  <c r="P2372" i="4" s="1"/>
  <c r="Q2371" i="4"/>
  <c r="P2371" i="4"/>
  <c r="M2371" i="4"/>
  <c r="L2371" i="4"/>
  <c r="K2371" i="4"/>
  <c r="J2371" i="4"/>
  <c r="I2371" i="4"/>
  <c r="R2371" i="4" s="1"/>
  <c r="R2370" i="4"/>
  <c r="O2370" i="4" s="1"/>
  <c r="Q2370" i="4"/>
  <c r="N2370" i="4"/>
  <c r="L2370" i="4"/>
  <c r="K2370" i="4"/>
  <c r="J2370" i="4"/>
  <c r="M2370" i="4" s="1"/>
  <c r="I2370" i="4"/>
  <c r="P2370" i="4" s="1"/>
  <c r="Q2369" i="4"/>
  <c r="P2369" i="4"/>
  <c r="M2369" i="4"/>
  <c r="L2369" i="4"/>
  <c r="K2369" i="4"/>
  <c r="J2369" i="4"/>
  <c r="I2369" i="4"/>
  <c r="R2369" i="4" s="1"/>
  <c r="R2368" i="4"/>
  <c r="O2368" i="4" s="1"/>
  <c r="Q2368" i="4"/>
  <c r="N2368" i="4"/>
  <c r="L2368" i="4"/>
  <c r="K2368" i="4"/>
  <c r="J2368" i="4"/>
  <c r="M2368" i="4" s="1"/>
  <c r="I2368" i="4"/>
  <c r="P2368" i="4" s="1"/>
  <c r="Q2367" i="4"/>
  <c r="P2367" i="4"/>
  <c r="M2367" i="4"/>
  <c r="L2367" i="4"/>
  <c r="K2367" i="4"/>
  <c r="J2367" i="4"/>
  <c r="I2367" i="4"/>
  <c r="R2367" i="4" s="1"/>
  <c r="R2366" i="4"/>
  <c r="O2366" i="4" s="1"/>
  <c r="Q2366" i="4"/>
  <c r="N2366" i="4"/>
  <c r="L2366" i="4"/>
  <c r="K2366" i="4"/>
  <c r="J2366" i="4"/>
  <c r="M2366" i="4" s="1"/>
  <c r="I2366" i="4"/>
  <c r="P2366" i="4" s="1"/>
  <c r="Q2365" i="4"/>
  <c r="P2365" i="4"/>
  <c r="M2365" i="4"/>
  <c r="L2365" i="4"/>
  <c r="K2365" i="4"/>
  <c r="J2365" i="4"/>
  <c r="I2365" i="4"/>
  <c r="R2365" i="4" s="1"/>
  <c r="R2364" i="4"/>
  <c r="O2364" i="4" s="1"/>
  <c r="Q2364" i="4"/>
  <c r="N2364" i="4"/>
  <c r="L2364" i="4"/>
  <c r="K2364" i="4"/>
  <c r="J2364" i="4"/>
  <c r="M2364" i="4" s="1"/>
  <c r="I2364" i="4"/>
  <c r="P2364" i="4" s="1"/>
  <c r="Q2363" i="4"/>
  <c r="P2363" i="4"/>
  <c r="M2363" i="4"/>
  <c r="L2363" i="4"/>
  <c r="K2363" i="4"/>
  <c r="J2363" i="4"/>
  <c r="I2363" i="4"/>
  <c r="R2363" i="4" s="1"/>
  <c r="R2362" i="4"/>
  <c r="O2362" i="4" s="1"/>
  <c r="Q2362" i="4"/>
  <c r="N2362" i="4"/>
  <c r="L2362" i="4"/>
  <c r="K2362" i="4"/>
  <c r="J2362" i="4"/>
  <c r="M2362" i="4" s="1"/>
  <c r="I2362" i="4"/>
  <c r="P2362" i="4" s="1"/>
  <c r="Q2361" i="4"/>
  <c r="M2361" i="4"/>
  <c r="L2361" i="4"/>
  <c r="K2361" i="4"/>
  <c r="J2361" i="4"/>
  <c r="I2361" i="4"/>
  <c r="P2361" i="4" s="1"/>
  <c r="R2360" i="4"/>
  <c r="Q2360" i="4"/>
  <c r="O2360" i="4"/>
  <c r="N2360" i="4"/>
  <c r="L2360" i="4"/>
  <c r="K2360" i="4"/>
  <c r="J2360" i="4"/>
  <c r="M2360" i="4" s="1"/>
  <c r="I2360" i="4"/>
  <c r="P2360" i="4" s="1"/>
  <c r="Q2359" i="4"/>
  <c r="M2359" i="4"/>
  <c r="L2359" i="4"/>
  <c r="K2359" i="4"/>
  <c r="J2359" i="4"/>
  <c r="I2359" i="4"/>
  <c r="P2359" i="4" s="1"/>
  <c r="R2358" i="4"/>
  <c r="Q2358" i="4"/>
  <c r="O2358" i="4"/>
  <c r="N2358" i="4"/>
  <c r="L2358" i="4"/>
  <c r="K2358" i="4"/>
  <c r="J2358" i="4"/>
  <c r="M2358" i="4" s="1"/>
  <c r="I2358" i="4"/>
  <c r="P2358" i="4" s="1"/>
  <c r="Q2357" i="4"/>
  <c r="M2357" i="4"/>
  <c r="L2357" i="4"/>
  <c r="K2357" i="4"/>
  <c r="J2357" i="4"/>
  <c r="I2357" i="4"/>
  <c r="P2357" i="4" s="1"/>
  <c r="R2356" i="4"/>
  <c r="Q2356" i="4"/>
  <c r="O2356" i="4"/>
  <c r="N2356" i="4"/>
  <c r="L2356" i="4"/>
  <c r="K2356" i="4"/>
  <c r="J2356" i="4"/>
  <c r="M2356" i="4" s="1"/>
  <c r="I2356" i="4"/>
  <c r="P2356" i="4" s="1"/>
  <c r="Q2355" i="4"/>
  <c r="M2355" i="4"/>
  <c r="L2355" i="4"/>
  <c r="K2355" i="4"/>
  <c r="J2355" i="4"/>
  <c r="I2355" i="4"/>
  <c r="P2355" i="4" s="1"/>
  <c r="R2354" i="4"/>
  <c r="Q2354" i="4"/>
  <c r="O2354" i="4"/>
  <c r="N2354" i="4"/>
  <c r="L2354" i="4"/>
  <c r="K2354" i="4"/>
  <c r="J2354" i="4"/>
  <c r="M2354" i="4" s="1"/>
  <c r="I2354" i="4"/>
  <c r="P2354" i="4" s="1"/>
  <c r="Q2353" i="4"/>
  <c r="M2353" i="4"/>
  <c r="L2353" i="4"/>
  <c r="K2353" i="4"/>
  <c r="J2353" i="4"/>
  <c r="I2353" i="4"/>
  <c r="P2353" i="4" s="1"/>
  <c r="R2352" i="4"/>
  <c r="Q2352" i="4"/>
  <c r="O2352" i="4"/>
  <c r="N2352" i="4"/>
  <c r="L2352" i="4"/>
  <c r="K2352" i="4"/>
  <c r="J2352" i="4"/>
  <c r="M2352" i="4" s="1"/>
  <c r="I2352" i="4"/>
  <c r="P2352" i="4" s="1"/>
  <c r="Q2351" i="4"/>
  <c r="M2351" i="4"/>
  <c r="L2351" i="4"/>
  <c r="K2351" i="4"/>
  <c r="J2351" i="4"/>
  <c r="I2351" i="4"/>
  <c r="P2351" i="4" s="1"/>
  <c r="R2350" i="4"/>
  <c r="Q2350" i="4"/>
  <c r="O2350" i="4"/>
  <c r="N2350" i="4"/>
  <c r="L2350" i="4"/>
  <c r="K2350" i="4"/>
  <c r="J2350" i="4"/>
  <c r="M2350" i="4" s="1"/>
  <c r="I2350" i="4"/>
  <c r="P2350" i="4" s="1"/>
  <c r="Q2349" i="4"/>
  <c r="M2349" i="4"/>
  <c r="L2349" i="4"/>
  <c r="K2349" i="4"/>
  <c r="J2349" i="4"/>
  <c r="I2349" i="4"/>
  <c r="P2349" i="4" s="1"/>
  <c r="R2348" i="4"/>
  <c r="Q2348" i="4"/>
  <c r="O2348" i="4"/>
  <c r="N2348" i="4"/>
  <c r="L2348" i="4"/>
  <c r="K2348" i="4"/>
  <c r="J2348" i="4"/>
  <c r="M2348" i="4" s="1"/>
  <c r="I2348" i="4"/>
  <c r="P2348" i="4" s="1"/>
  <c r="Q2347" i="4"/>
  <c r="M2347" i="4"/>
  <c r="L2347" i="4"/>
  <c r="K2347" i="4"/>
  <c r="J2347" i="4"/>
  <c r="I2347" i="4"/>
  <c r="P2347" i="4" s="1"/>
  <c r="R2346" i="4"/>
  <c r="Q2346" i="4"/>
  <c r="O2346" i="4"/>
  <c r="N2346" i="4"/>
  <c r="L2346" i="4"/>
  <c r="K2346" i="4"/>
  <c r="J2346" i="4"/>
  <c r="M2346" i="4" s="1"/>
  <c r="I2346" i="4"/>
  <c r="P2346" i="4" s="1"/>
  <c r="Q2345" i="4"/>
  <c r="M2345" i="4"/>
  <c r="L2345" i="4"/>
  <c r="K2345" i="4"/>
  <c r="J2345" i="4"/>
  <c r="I2345" i="4"/>
  <c r="P2345" i="4" s="1"/>
  <c r="R2344" i="4"/>
  <c r="Q2344" i="4"/>
  <c r="O2344" i="4"/>
  <c r="N2344" i="4"/>
  <c r="L2344" i="4"/>
  <c r="K2344" i="4"/>
  <c r="J2344" i="4"/>
  <c r="M2344" i="4" s="1"/>
  <c r="I2344" i="4"/>
  <c r="P2344" i="4" s="1"/>
  <c r="Q2343" i="4"/>
  <c r="M2343" i="4"/>
  <c r="L2343" i="4"/>
  <c r="K2343" i="4"/>
  <c r="J2343" i="4"/>
  <c r="I2343" i="4"/>
  <c r="P2343" i="4" s="1"/>
  <c r="R2342" i="4"/>
  <c r="Q2342" i="4"/>
  <c r="O2342" i="4"/>
  <c r="N2342" i="4"/>
  <c r="L2342" i="4"/>
  <c r="K2342" i="4"/>
  <c r="J2342" i="4"/>
  <c r="M2342" i="4" s="1"/>
  <c r="I2342" i="4"/>
  <c r="P2342" i="4" s="1"/>
  <c r="Q2341" i="4"/>
  <c r="M2341" i="4"/>
  <c r="L2341" i="4"/>
  <c r="K2341" i="4"/>
  <c r="J2341" i="4"/>
  <c r="I2341" i="4"/>
  <c r="P2341" i="4" s="1"/>
  <c r="R2340" i="4"/>
  <c r="Q2340" i="4"/>
  <c r="O2340" i="4"/>
  <c r="N2340" i="4"/>
  <c r="L2340" i="4"/>
  <c r="K2340" i="4"/>
  <c r="J2340" i="4"/>
  <c r="M2340" i="4" s="1"/>
  <c r="I2340" i="4"/>
  <c r="P2340" i="4" s="1"/>
  <c r="Q2339" i="4"/>
  <c r="M2339" i="4"/>
  <c r="L2339" i="4"/>
  <c r="K2339" i="4"/>
  <c r="J2339" i="4"/>
  <c r="I2339" i="4"/>
  <c r="P2339" i="4" s="1"/>
  <c r="R2338" i="4"/>
  <c r="Q2338" i="4"/>
  <c r="O2338" i="4"/>
  <c r="N2338" i="4"/>
  <c r="L2338" i="4"/>
  <c r="K2338" i="4"/>
  <c r="J2338" i="4"/>
  <c r="M2338" i="4" s="1"/>
  <c r="I2338" i="4"/>
  <c r="P2338" i="4" s="1"/>
  <c r="Q2337" i="4"/>
  <c r="M2337" i="4"/>
  <c r="L2337" i="4"/>
  <c r="K2337" i="4"/>
  <c r="J2337" i="4"/>
  <c r="I2337" i="4"/>
  <c r="P2337" i="4" s="1"/>
  <c r="R2336" i="4"/>
  <c r="Q2336" i="4"/>
  <c r="O2336" i="4"/>
  <c r="N2336" i="4"/>
  <c r="L2336" i="4"/>
  <c r="K2336" i="4"/>
  <c r="J2336" i="4"/>
  <c r="M2336" i="4" s="1"/>
  <c r="I2336" i="4"/>
  <c r="P2336" i="4" s="1"/>
  <c r="Q2335" i="4"/>
  <c r="M2335" i="4"/>
  <c r="L2335" i="4"/>
  <c r="K2335" i="4"/>
  <c r="J2335" i="4"/>
  <c r="I2335" i="4"/>
  <c r="P2335" i="4" s="1"/>
  <c r="R2334" i="4"/>
  <c r="Q2334" i="4"/>
  <c r="O2334" i="4"/>
  <c r="N2334" i="4"/>
  <c r="L2334" i="4"/>
  <c r="K2334" i="4"/>
  <c r="J2334" i="4"/>
  <c r="M2334" i="4" s="1"/>
  <c r="I2334" i="4"/>
  <c r="P2334" i="4" s="1"/>
  <c r="Q2333" i="4"/>
  <c r="M2333" i="4"/>
  <c r="L2333" i="4"/>
  <c r="K2333" i="4"/>
  <c r="J2333" i="4"/>
  <c r="I2333" i="4"/>
  <c r="P2333" i="4" s="1"/>
  <c r="R2332" i="4"/>
  <c r="Q2332" i="4"/>
  <c r="O2332" i="4"/>
  <c r="N2332" i="4"/>
  <c r="L2332" i="4"/>
  <c r="K2332" i="4"/>
  <c r="J2332" i="4"/>
  <c r="M2332" i="4" s="1"/>
  <c r="I2332" i="4"/>
  <c r="P2332" i="4" s="1"/>
  <c r="Q2331" i="4"/>
  <c r="M2331" i="4"/>
  <c r="L2331" i="4"/>
  <c r="K2331" i="4"/>
  <c r="J2331" i="4"/>
  <c r="I2331" i="4"/>
  <c r="P2331" i="4" s="1"/>
  <c r="R2330" i="4"/>
  <c r="Q2330" i="4"/>
  <c r="O2330" i="4"/>
  <c r="N2330" i="4"/>
  <c r="L2330" i="4"/>
  <c r="K2330" i="4"/>
  <c r="J2330" i="4"/>
  <c r="M2330" i="4" s="1"/>
  <c r="I2330" i="4"/>
  <c r="P2330" i="4" s="1"/>
  <c r="Q2329" i="4"/>
  <c r="M2329" i="4"/>
  <c r="L2329" i="4"/>
  <c r="K2329" i="4"/>
  <c r="J2329" i="4"/>
  <c r="I2329" i="4"/>
  <c r="P2329" i="4" s="1"/>
  <c r="R2328" i="4"/>
  <c r="Q2328" i="4"/>
  <c r="O2328" i="4"/>
  <c r="N2328" i="4"/>
  <c r="L2328" i="4"/>
  <c r="K2328" i="4"/>
  <c r="J2328" i="4"/>
  <c r="M2328" i="4" s="1"/>
  <c r="I2328" i="4"/>
  <c r="P2328" i="4" s="1"/>
  <c r="Q2327" i="4"/>
  <c r="M2327" i="4"/>
  <c r="L2327" i="4"/>
  <c r="K2327" i="4"/>
  <c r="J2327" i="4"/>
  <c r="I2327" i="4"/>
  <c r="P2327" i="4" s="1"/>
  <c r="R2326" i="4"/>
  <c r="Q2326" i="4"/>
  <c r="O2326" i="4"/>
  <c r="N2326" i="4"/>
  <c r="L2326" i="4"/>
  <c r="K2326" i="4"/>
  <c r="J2326" i="4"/>
  <c r="M2326" i="4" s="1"/>
  <c r="I2326" i="4"/>
  <c r="P2326" i="4" s="1"/>
  <c r="Q2325" i="4"/>
  <c r="M2325" i="4"/>
  <c r="L2325" i="4"/>
  <c r="K2325" i="4"/>
  <c r="J2325" i="4"/>
  <c r="I2325" i="4"/>
  <c r="P2325" i="4" s="1"/>
  <c r="R2324" i="4"/>
  <c r="Q2324" i="4"/>
  <c r="O2324" i="4"/>
  <c r="N2324" i="4"/>
  <c r="L2324" i="4"/>
  <c r="K2324" i="4"/>
  <c r="J2324" i="4"/>
  <c r="M2324" i="4" s="1"/>
  <c r="I2324" i="4"/>
  <c r="P2324" i="4" s="1"/>
  <c r="Q2323" i="4"/>
  <c r="M2323" i="4"/>
  <c r="L2323" i="4"/>
  <c r="K2323" i="4"/>
  <c r="J2323" i="4"/>
  <c r="I2323" i="4"/>
  <c r="P2323" i="4" s="1"/>
  <c r="R2322" i="4"/>
  <c r="Q2322" i="4"/>
  <c r="O2322" i="4"/>
  <c r="N2322" i="4"/>
  <c r="L2322" i="4"/>
  <c r="K2322" i="4"/>
  <c r="J2322" i="4"/>
  <c r="M2322" i="4" s="1"/>
  <c r="I2322" i="4"/>
  <c r="P2322" i="4" s="1"/>
  <c r="Q2321" i="4"/>
  <c r="M2321" i="4"/>
  <c r="L2321" i="4"/>
  <c r="K2321" i="4"/>
  <c r="J2321" i="4"/>
  <c r="I2321" i="4"/>
  <c r="P2321" i="4" s="1"/>
  <c r="R2320" i="4"/>
  <c r="Q2320" i="4"/>
  <c r="O2320" i="4"/>
  <c r="N2320" i="4"/>
  <c r="L2320" i="4"/>
  <c r="K2320" i="4"/>
  <c r="J2320" i="4"/>
  <c r="M2320" i="4" s="1"/>
  <c r="I2320" i="4"/>
  <c r="P2320" i="4" s="1"/>
  <c r="Q2319" i="4"/>
  <c r="M2319" i="4"/>
  <c r="L2319" i="4"/>
  <c r="K2319" i="4"/>
  <c r="J2319" i="4"/>
  <c r="I2319" i="4"/>
  <c r="P2319" i="4" s="1"/>
  <c r="R2318" i="4"/>
  <c r="Q2318" i="4"/>
  <c r="O2318" i="4"/>
  <c r="N2318" i="4"/>
  <c r="L2318" i="4"/>
  <c r="K2318" i="4"/>
  <c r="J2318" i="4"/>
  <c r="M2318" i="4" s="1"/>
  <c r="I2318" i="4"/>
  <c r="P2318" i="4" s="1"/>
  <c r="Q2317" i="4"/>
  <c r="M2317" i="4"/>
  <c r="L2317" i="4"/>
  <c r="K2317" i="4"/>
  <c r="J2317" i="4"/>
  <c r="I2317" i="4"/>
  <c r="P2317" i="4" s="1"/>
  <c r="R2316" i="4"/>
  <c r="Q2316" i="4"/>
  <c r="O2316" i="4"/>
  <c r="N2316" i="4"/>
  <c r="L2316" i="4"/>
  <c r="K2316" i="4"/>
  <c r="J2316" i="4"/>
  <c r="M2316" i="4" s="1"/>
  <c r="I2316" i="4"/>
  <c r="P2316" i="4" s="1"/>
  <c r="Q2315" i="4"/>
  <c r="M2315" i="4"/>
  <c r="L2315" i="4"/>
  <c r="K2315" i="4"/>
  <c r="J2315" i="4"/>
  <c r="I2315" i="4"/>
  <c r="P2315" i="4" s="1"/>
  <c r="R2314" i="4"/>
  <c r="Q2314" i="4"/>
  <c r="O2314" i="4"/>
  <c r="N2314" i="4"/>
  <c r="L2314" i="4"/>
  <c r="K2314" i="4"/>
  <c r="J2314" i="4"/>
  <c r="M2314" i="4" s="1"/>
  <c r="I2314" i="4"/>
  <c r="P2314" i="4" s="1"/>
  <c r="Q2313" i="4"/>
  <c r="M2313" i="4"/>
  <c r="L2313" i="4"/>
  <c r="K2313" i="4"/>
  <c r="J2313" i="4"/>
  <c r="I2313" i="4"/>
  <c r="P2313" i="4" s="1"/>
  <c r="R2312" i="4"/>
  <c r="Q2312" i="4"/>
  <c r="O2312" i="4"/>
  <c r="N2312" i="4"/>
  <c r="L2312" i="4"/>
  <c r="K2312" i="4"/>
  <c r="J2312" i="4"/>
  <c r="M2312" i="4" s="1"/>
  <c r="I2312" i="4"/>
  <c r="P2312" i="4" s="1"/>
  <c r="Q2311" i="4"/>
  <c r="M2311" i="4"/>
  <c r="L2311" i="4"/>
  <c r="K2311" i="4"/>
  <c r="J2311" i="4"/>
  <c r="I2311" i="4"/>
  <c r="P2311" i="4" s="1"/>
  <c r="R2310" i="4"/>
  <c r="Q2310" i="4"/>
  <c r="O2310" i="4"/>
  <c r="N2310" i="4"/>
  <c r="L2310" i="4"/>
  <c r="K2310" i="4"/>
  <c r="J2310" i="4"/>
  <c r="M2310" i="4" s="1"/>
  <c r="I2310" i="4"/>
  <c r="P2310" i="4" s="1"/>
  <c r="Q2309" i="4"/>
  <c r="M2309" i="4"/>
  <c r="L2309" i="4"/>
  <c r="K2309" i="4"/>
  <c r="J2309" i="4"/>
  <c r="I2309" i="4"/>
  <c r="P2309" i="4" s="1"/>
  <c r="R2308" i="4"/>
  <c r="Q2308" i="4"/>
  <c r="O2308" i="4"/>
  <c r="N2308" i="4"/>
  <c r="L2308" i="4"/>
  <c r="K2308" i="4"/>
  <c r="J2308" i="4"/>
  <c r="M2308" i="4" s="1"/>
  <c r="I2308" i="4"/>
  <c r="P2308" i="4" s="1"/>
  <c r="Q2307" i="4"/>
  <c r="M2307" i="4"/>
  <c r="L2307" i="4"/>
  <c r="K2307" i="4"/>
  <c r="J2307" i="4"/>
  <c r="I2307" i="4"/>
  <c r="P2307" i="4" s="1"/>
  <c r="R2306" i="4"/>
  <c r="Q2306" i="4"/>
  <c r="O2306" i="4"/>
  <c r="N2306" i="4"/>
  <c r="L2306" i="4"/>
  <c r="K2306" i="4"/>
  <c r="J2306" i="4"/>
  <c r="M2306" i="4" s="1"/>
  <c r="I2306" i="4"/>
  <c r="P2306" i="4" s="1"/>
  <c r="Q2305" i="4"/>
  <c r="M2305" i="4"/>
  <c r="L2305" i="4"/>
  <c r="K2305" i="4"/>
  <c r="J2305" i="4"/>
  <c r="I2305" i="4"/>
  <c r="P2305" i="4" s="1"/>
  <c r="R2304" i="4"/>
  <c r="Q2304" i="4"/>
  <c r="O2304" i="4"/>
  <c r="N2304" i="4"/>
  <c r="L2304" i="4"/>
  <c r="K2304" i="4"/>
  <c r="J2304" i="4"/>
  <c r="M2304" i="4" s="1"/>
  <c r="I2304" i="4"/>
  <c r="P2304" i="4" s="1"/>
  <c r="Q2303" i="4"/>
  <c r="M2303" i="4"/>
  <c r="L2303" i="4"/>
  <c r="K2303" i="4"/>
  <c r="J2303" i="4"/>
  <c r="I2303" i="4"/>
  <c r="P2303" i="4" s="1"/>
  <c r="R2302" i="4"/>
  <c r="Q2302" i="4"/>
  <c r="O2302" i="4"/>
  <c r="N2302" i="4"/>
  <c r="L2302" i="4"/>
  <c r="K2302" i="4"/>
  <c r="J2302" i="4"/>
  <c r="M2302" i="4" s="1"/>
  <c r="I2302" i="4"/>
  <c r="P2302" i="4" s="1"/>
  <c r="Q2301" i="4"/>
  <c r="M2301" i="4"/>
  <c r="L2301" i="4"/>
  <c r="K2301" i="4"/>
  <c r="J2301" i="4"/>
  <c r="I2301" i="4"/>
  <c r="P2301" i="4" s="1"/>
  <c r="R2300" i="4"/>
  <c r="Q2300" i="4"/>
  <c r="O2300" i="4"/>
  <c r="N2300" i="4"/>
  <c r="L2300" i="4"/>
  <c r="K2300" i="4"/>
  <c r="J2300" i="4"/>
  <c r="M2300" i="4" s="1"/>
  <c r="I2300" i="4"/>
  <c r="P2300" i="4" s="1"/>
  <c r="Q2299" i="4"/>
  <c r="M2299" i="4"/>
  <c r="L2299" i="4"/>
  <c r="K2299" i="4"/>
  <c r="J2299" i="4"/>
  <c r="I2299" i="4"/>
  <c r="P2299" i="4" s="1"/>
  <c r="R2298" i="4"/>
  <c r="Q2298" i="4"/>
  <c r="O2298" i="4"/>
  <c r="N2298" i="4"/>
  <c r="L2298" i="4"/>
  <c r="K2298" i="4"/>
  <c r="J2298" i="4"/>
  <c r="M2298" i="4" s="1"/>
  <c r="I2298" i="4"/>
  <c r="P2298" i="4" s="1"/>
  <c r="Q2297" i="4"/>
  <c r="M2297" i="4"/>
  <c r="L2297" i="4"/>
  <c r="K2297" i="4"/>
  <c r="J2297" i="4"/>
  <c r="I2297" i="4"/>
  <c r="P2297" i="4" s="1"/>
  <c r="R2296" i="4"/>
  <c r="Q2296" i="4"/>
  <c r="O2296" i="4"/>
  <c r="N2296" i="4"/>
  <c r="L2296" i="4"/>
  <c r="K2296" i="4"/>
  <c r="J2296" i="4"/>
  <c r="M2296" i="4" s="1"/>
  <c r="I2296" i="4"/>
  <c r="P2296" i="4" s="1"/>
  <c r="Q2295" i="4"/>
  <c r="M2295" i="4"/>
  <c r="L2295" i="4"/>
  <c r="K2295" i="4"/>
  <c r="J2295" i="4"/>
  <c r="I2295" i="4"/>
  <c r="P2295" i="4" s="1"/>
  <c r="R2294" i="4"/>
  <c r="Q2294" i="4"/>
  <c r="O2294" i="4"/>
  <c r="N2294" i="4"/>
  <c r="L2294" i="4"/>
  <c r="K2294" i="4"/>
  <c r="J2294" i="4"/>
  <c r="M2294" i="4" s="1"/>
  <c r="I2294" i="4"/>
  <c r="P2294" i="4" s="1"/>
  <c r="Q2293" i="4"/>
  <c r="M2293" i="4"/>
  <c r="L2293" i="4"/>
  <c r="K2293" i="4"/>
  <c r="J2293" i="4"/>
  <c r="I2293" i="4"/>
  <c r="P2293" i="4" s="1"/>
  <c r="R2292" i="4"/>
  <c r="Q2292" i="4"/>
  <c r="O2292" i="4"/>
  <c r="N2292" i="4"/>
  <c r="L2292" i="4"/>
  <c r="K2292" i="4"/>
  <c r="J2292" i="4"/>
  <c r="M2292" i="4" s="1"/>
  <c r="I2292" i="4"/>
  <c r="P2292" i="4" s="1"/>
  <c r="Q2291" i="4"/>
  <c r="M2291" i="4"/>
  <c r="L2291" i="4"/>
  <c r="K2291" i="4"/>
  <c r="J2291" i="4"/>
  <c r="I2291" i="4"/>
  <c r="P2291" i="4" s="1"/>
  <c r="R2290" i="4"/>
  <c r="Q2290" i="4"/>
  <c r="O2290" i="4"/>
  <c r="N2290" i="4"/>
  <c r="L2290" i="4"/>
  <c r="K2290" i="4"/>
  <c r="J2290" i="4"/>
  <c r="M2290" i="4" s="1"/>
  <c r="I2290" i="4"/>
  <c r="P2290" i="4" s="1"/>
  <c r="Q2289" i="4"/>
  <c r="M2289" i="4"/>
  <c r="L2289" i="4"/>
  <c r="K2289" i="4"/>
  <c r="J2289" i="4"/>
  <c r="I2289" i="4"/>
  <c r="P2289" i="4" s="1"/>
  <c r="R2288" i="4"/>
  <c r="Q2288" i="4"/>
  <c r="O2288" i="4"/>
  <c r="N2288" i="4"/>
  <c r="L2288" i="4"/>
  <c r="K2288" i="4"/>
  <c r="J2288" i="4"/>
  <c r="M2288" i="4" s="1"/>
  <c r="I2288" i="4"/>
  <c r="P2288" i="4" s="1"/>
  <c r="Q2287" i="4"/>
  <c r="M2287" i="4"/>
  <c r="L2287" i="4"/>
  <c r="K2287" i="4"/>
  <c r="J2287" i="4"/>
  <c r="I2287" i="4"/>
  <c r="P2287" i="4" s="1"/>
  <c r="R2286" i="4"/>
  <c r="Q2286" i="4"/>
  <c r="O2286" i="4"/>
  <c r="N2286" i="4"/>
  <c r="L2286" i="4"/>
  <c r="K2286" i="4"/>
  <c r="J2286" i="4"/>
  <c r="M2286" i="4" s="1"/>
  <c r="I2286" i="4"/>
  <c r="P2286" i="4" s="1"/>
  <c r="Q2285" i="4"/>
  <c r="M2285" i="4"/>
  <c r="L2285" i="4"/>
  <c r="K2285" i="4"/>
  <c r="J2285" i="4"/>
  <c r="I2285" i="4"/>
  <c r="P2285" i="4" s="1"/>
  <c r="R2284" i="4"/>
  <c r="Q2284" i="4"/>
  <c r="O2284" i="4"/>
  <c r="N2284" i="4"/>
  <c r="L2284" i="4"/>
  <c r="K2284" i="4"/>
  <c r="J2284" i="4"/>
  <c r="M2284" i="4" s="1"/>
  <c r="I2284" i="4"/>
  <c r="P2284" i="4" s="1"/>
  <c r="Q2283" i="4"/>
  <c r="M2283" i="4"/>
  <c r="L2283" i="4"/>
  <c r="K2283" i="4"/>
  <c r="J2283" i="4"/>
  <c r="I2283" i="4"/>
  <c r="P2283" i="4" s="1"/>
  <c r="R2282" i="4"/>
  <c r="Q2282" i="4"/>
  <c r="O2282" i="4"/>
  <c r="N2282" i="4"/>
  <c r="L2282" i="4"/>
  <c r="K2282" i="4"/>
  <c r="J2282" i="4"/>
  <c r="M2282" i="4" s="1"/>
  <c r="I2282" i="4"/>
  <c r="P2282" i="4" s="1"/>
  <c r="Q2281" i="4"/>
  <c r="M2281" i="4"/>
  <c r="L2281" i="4"/>
  <c r="K2281" i="4"/>
  <c r="J2281" i="4"/>
  <c r="I2281" i="4"/>
  <c r="P2281" i="4" s="1"/>
  <c r="R2280" i="4"/>
  <c r="Q2280" i="4"/>
  <c r="O2280" i="4"/>
  <c r="N2280" i="4"/>
  <c r="L2280" i="4"/>
  <c r="K2280" i="4"/>
  <c r="J2280" i="4"/>
  <c r="M2280" i="4" s="1"/>
  <c r="I2280" i="4"/>
  <c r="P2280" i="4" s="1"/>
  <c r="Q2279" i="4"/>
  <c r="M2279" i="4"/>
  <c r="L2279" i="4"/>
  <c r="K2279" i="4"/>
  <c r="J2279" i="4"/>
  <c r="I2279" i="4"/>
  <c r="P2279" i="4" s="1"/>
  <c r="R2278" i="4"/>
  <c r="Q2278" i="4"/>
  <c r="O2278" i="4"/>
  <c r="N2278" i="4"/>
  <c r="L2278" i="4"/>
  <c r="K2278" i="4"/>
  <c r="J2278" i="4"/>
  <c r="M2278" i="4" s="1"/>
  <c r="I2278" i="4"/>
  <c r="P2278" i="4" s="1"/>
  <c r="Q2277" i="4"/>
  <c r="M2277" i="4"/>
  <c r="L2277" i="4"/>
  <c r="K2277" i="4"/>
  <c r="J2277" i="4"/>
  <c r="I2277" i="4"/>
  <c r="P2277" i="4" s="1"/>
  <c r="R2276" i="4"/>
  <c r="Q2276" i="4"/>
  <c r="O2276" i="4"/>
  <c r="N2276" i="4"/>
  <c r="L2276" i="4"/>
  <c r="K2276" i="4"/>
  <c r="J2276" i="4"/>
  <c r="M2276" i="4" s="1"/>
  <c r="I2276" i="4"/>
  <c r="P2276" i="4" s="1"/>
  <c r="Q2275" i="4"/>
  <c r="M2275" i="4"/>
  <c r="L2275" i="4"/>
  <c r="K2275" i="4"/>
  <c r="J2275" i="4"/>
  <c r="I2275" i="4"/>
  <c r="P2275" i="4" s="1"/>
  <c r="R2274" i="4"/>
  <c r="Q2274" i="4"/>
  <c r="O2274" i="4"/>
  <c r="N2274" i="4"/>
  <c r="L2274" i="4"/>
  <c r="K2274" i="4"/>
  <c r="J2274" i="4"/>
  <c r="M2274" i="4" s="1"/>
  <c r="I2274" i="4"/>
  <c r="P2274" i="4" s="1"/>
  <c r="Q2273" i="4"/>
  <c r="M2273" i="4"/>
  <c r="L2273" i="4"/>
  <c r="K2273" i="4"/>
  <c r="J2273" i="4"/>
  <c r="I2273" i="4"/>
  <c r="P2273" i="4" s="1"/>
  <c r="R2272" i="4"/>
  <c r="Q2272" i="4"/>
  <c r="O2272" i="4"/>
  <c r="N2272" i="4"/>
  <c r="L2272" i="4"/>
  <c r="K2272" i="4"/>
  <c r="J2272" i="4"/>
  <c r="M2272" i="4" s="1"/>
  <c r="I2272" i="4"/>
  <c r="P2272" i="4" s="1"/>
  <c r="Q2271" i="4"/>
  <c r="M2271" i="4"/>
  <c r="L2271" i="4"/>
  <c r="K2271" i="4"/>
  <c r="J2271" i="4"/>
  <c r="I2271" i="4"/>
  <c r="P2271" i="4" s="1"/>
  <c r="R2270" i="4"/>
  <c r="Q2270" i="4"/>
  <c r="O2270" i="4"/>
  <c r="N2270" i="4"/>
  <c r="L2270" i="4"/>
  <c r="K2270" i="4"/>
  <c r="J2270" i="4"/>
  <c r="M2270" i="4" s="1"/>
  <c r="I2270" i="4"/>
  <c r="P2270" i="4" s="1"/>
  <c r="Q2269" i="4"/>
  <c r="M2269" i="4"/>
  <c r="L2269" i="4"/>
  <c r="K2269" i="4"/>
  <c r="J2269" i="4"/>
  <c r="I2269" i="4"/>
  <c r="P2269" i="4" s="1"/>
  <c r="R2268" i="4"/>
  <c r="Q2268" i="4"/>
  <c r="O2268" i="4"/>
  <c r="N2268" i="4"/>
  <c r="L2268" i="4"/>
  <c r="K2268" i="4"/>
  <c r="J2268" i="4"/>
  <c r="M2268" i="4" s="1"/>
  <c r="I2268" i="4"/>
  <c r="P2268" i="4" s="1"/>
  <c r="Q2267" i="4"/>
  <c r="M2267" i="4"/>
  <c r="L2267" i="4"/>
  <c r="K2267" i="4"/>
  <c r="J2267" i="4"/>
  <c r="I2267" i="4"/>
  <c r="P2267" i="4" s="1"/>
  <c r="R2266" i="4"/>
  <c r="Q2266" i="4"/>
  <c r="O2266" i="4"/>
  <c r="N2266" i="4"/>
  <c r="L2266" i="4"/>
  <c r="K2266" i="4"/>
  <c r="J2266" i="4"/>
  <c r="M2266" i="4" s="1"/>
  <c r="I2266" i="4"/>
  <c r="P2266" i="4" s="1"/>
  <c r="Q2265" i="4"/>
  <c r="M2265" i="4"/>
  <c r="L2265" i="4"/>
  <c r="K2265" i="4"/>
  <c r="J2265" i="4"/>
  <c r="I2265" i="4"/>
  <c r="R2264" i="4"/>
  <c r="Q2264" i="4"/>
  <c r="O2264" i="4"/>
  <c r="N2264" i="4"/>
  <c r="L2264" i="4"/>
  <c r="K2264" i="4"/>
  <c r="J2264" i="4"/>
  <c r="M2264" i="4" s="1"/>
  <c r="I2264" i="4"/>
  <c r="P2264" i="4" s="1"/>
  <c r="Q2263" i="4"/>
  <c r="M2263" i="4"/>
  <c r="L2263" i="4"/>
  <c r="K2263" i="4"/>
  <c r="J2263" i="4"/>
  <c r="I2263" i="4"/>
  <c r="R2262" i="4"/>
  <c r="Q2262" i="4"/>
  <c r="O2262" i="4"/>
  <c r="N2262" i="4"/>
  <c r="L2262" i="4"/>
  <c r="K2262" i="4"/>
  <c r="J2262" i="4"/>
  <c r="M2262" i="4" s="1"/>
  <c r="I2262" i="4"/>
  <c r="P2262" i="4" s="1"/>
  <c r="Q2261" i="4"/>
  <c r="M2261" i="4"/>
  <c r="L2261" i="4"/>
  <c r="K2261" i="4"/>
  <c r="J2261" i="4"/>
  <c r="I2261" i="4"/>
  <c r="R2260" i="4"/>
  <c r="Q2260" i="4"/>
  <c r="O2260" i="4"/>
  <c r="N2260" i="4"/>
  <c r="L2260" i="4"/>
  <c r="K2260" i="4"/>
  <c r="J2260" i="4"/>
  <c r="M2260" i="4" s="1"/>
  <c r="I2260" i="4"/>
  <c r="P2260" i="4" s="1"/>
  <c r="Q2259" i="4"/>
  <c r="M2259" i="4"/>
  <c r="L2259" i="4"/>
  <c r="K2259" i="4"/>
  <c r="J2259" i="4"/>
  <c r="I2259" i="4"/>
  <c r="R2258" i="4"/>
  <c r="Q2258" i="4"/>
  <c r="O2258" i="4"/>
  <c r="N2258" i="4"/>
  <c r="L2258" i="4"/>
  <c r="K2258" i="4"/>
  <c r="J2258" i="4"/>
  <c r="M2258" i="4" s="1"/>
  <c r="I2258" i="4"/>
  <c r="P2258" i="4" s="1"/>
  <c r="Q2257" i="4"/>
  <c r="M2257" i="4"/>
  <c r="L2257" i="4"/>
  <c r="K2257" i="4"/>
  <c r="J2257" i="4"/>
  <c r="I2257" i="4"/>
  <c r="R2256" i="4"/>
  <c r="Q2256" i="4"/>
  <c r="O2256" i="4"/>
  <c r="N2256" i="4"/>
  <c r="L2256" i="4"/>
  <c r="K2256" i="4"/>
  <c r="J2256" i="4"/>
  <c r="M2256" i="4" s="1"/>
  <c r="I2256" i="4"/>
  <c r="P2256" i="4" s="1"/>
  <c r="Q2255" i="4"/>
  <c r="M2255" i="4"/>
  <c r="L2255" i="4"/>
  <c r="K2255" i="4"/>
  <c r="J2255" i="4"/>
  <c r="I2255" i="4"/>
  <c r="R2254" i="4"/>
  <c r="Q2254" i="4"/>
  <c r="O2254" i="4"/>
  <c r="N2254" i="4"/>
  <c r="L2254" i="4"/>
  <c r="K2254" i="4"/>
  <c r="J2254" i="4"/>
  <c r="M2254" i="4" s="1"/>
  <c r="I2254" i="4"/>
  <c r="P2254" i="4" s="1"/>
  <c r="Q2253" i="4"/>
  <c r="M2253" i="4"/>
  <c r="L2253" i="4"/>
  <c r="K2253" i="4"/>
  <c r="J2253" i="4"/>
  <c r="I2253" i="4"/>
  <c r="R2252" i="4"/>
  <c r="Q2252" i="4"/>
  <c r="O2252" i="4"/>
  <c r="N2252" i="4"/>
  <c r="L2252" i="4"/>
  <c r="K2252" i="4"/>
  <c r="J2252" i="4"/>
  <c r="M2252" i="4" s="1"/>
  <c r="I2252" i="4"/>
  <c r="P2252" i="4" s="1"/>
  <c r="Q2251" i="4"/>
  <c r="M2251" i="4"/>
  <c r="L2251" i="4"/>
  <c r="K2251" i="4"/>
  <c r="J2251" i="4"/>
  <c r="I2251" i="4"/>
  <c r="R2250" i="4"/>
  <c r="Q2250" i="4"/>
  <c r="O2250" i="4"/>
  <c r="N2250" i="4"/>
  <c r="L2250" i="4"/>
  <c r="K2250" i="4"/>
  <c r="J2250" i="4"/>
  <c r="M2250" i="4" s="1"/>
  <c r="I2250" i="4"/>
  <c r="P2250" i="4" s="1"/>
  <c r="Q2249" i="4"/>
  <c r="M2249" i="4"/>
  <c r="L2249" i="4"/>
  <c r="K2249" i="4"/>
  <c r="J2249" i="4"/>
  <c r="I2249" i="4"/>
  <c r="R2248" i="4"/>
  <c r="Q2248" i="4"/>
  <c r="O2248" i="4"/>
  <c r="N2248" i="4"/>
  <c r="L2248" i="4"/>
  <c r="K2248" i="4"/>
  <c r="J2248" i="4"/>
  <c r="M2248" i="4" s="1"/>
  <c r="I2248" i="4"/>
  <c r="P2248" i="4" s="1"/>
  <c r="Q2247" i="4"/>
  <c r="M2247" i="4"/>
  <c r="L2247" i="4"/>
  <c r="K2247" i="4"/>
  <c r="J2247" i="4"/>
  <c r="I2247" i="4"/>
  <c r="R2246" i="4"/>
  <c r="Q2246" i="4"/>
  <c r="O2246" i="4"/>
  <c r="N2246" i="4"/>
  <c r="L2246" i="4"/>
  <c r="K2246" i="4"/>
  <c r="J2246" i="4"/>
  <c r="M2246" i="4" s="1"/>
  <c r="I2246" i="4"/>
  <c r="P2246" i="4" s="1"/>
  <c r="Q2245" i="4"/>
  <c r="M2245" i="4"/>
  <c r="L2245" i="4"/>
  <c r="K2245" i="4"/>
  <c r="J2245" i="4"/>
  <c r="I2245" i="4"/>
  <c r="R2244" i="4"/>
  <c r="Q2244" i="4"/>
  <c r="O2244" i="4"/>
  <c r="N2244" i="4"/>
  <c r="L2244" i="4"/>
  <c r="K2244" i="4"/>
  <c r="J2244" i="4"/>
  <c r="M2244" i="4" s="1"/>
  <c r="I2244" i="4"/>
  <c r="P2244" i="4" s="1"/>
  <c r="Q2243" i="4"/>
  <c r="M2243" i="4"/>
  <c r="L2243" i="4"/>
  <c r="K2243" i="4"/>
  <c r="J2243" i="4"/>
  <c r="I2243" i="4"/>
  <c r="R2242" i="4"/>
  <c r="Q2242" i="4"/>
  <c r="O2242" i="4"/>
  <c r="N2242" i="4"/>
  <c r="L2242" i="4"/>
  <c r="K2242" i="4"/>
  <c r="J2242" i="4"/>
  <c r="M2242" i="4" s="1"/>
  <c r="I2242" i="4"/>
  <c r="P2242" i="4" s="1"/>
  <c r="Q2241" i="4"/>
  <c r="M2241" i="4"/>
  <c r="L2241" i="4"/>
  <c r="K2241" i="4"/>
  <c r="J2241" i="4"/>
  <c r="I2241" i="4"/>
  <c r="R2240" i="4"/>
  <c r="Q2240" i="4"/>
  <c r="O2240" i="4"/>
  <c r="N2240" i="4"/>
  <c r="L2240" i="4"/>
  <c r="K2240" i="4"/>
  <c r="J2240" i="4"/>
  <c r="M2240" i="4" s="1"/>
  <c r="I2240" i="4"/>
  <c r="P2240" i="4" s="1"/>
  <c r="Q2239" i="4"/>
  <c r="M2239" i="4"/>
  <c r="L2239" i="4"/>
  <c r="K2239" i="4"/>
  <c r="J2239" i="4"/>
  <c r="I2239" i="4"/>
  <c r="R2238" i="4"/>
  <c r="Q2238" i="4"/>
  <c r="O2238" i="4"/>
  <c r="N2238" i="4"/>
  <c r="L2238" i="4"/>
  <c r="K2238" i="4"/>
  <c r="J2238" i="4"/>
  <c r="M2238" i="4" s="1"/>
  <c r="I2238" i="4"/>
  <c r="P2238" i="4" s="1"/>
  <c r="Q2237" i="4"/>
  <c r="M2237" i="4"/>
  <c r="L2237" i="4"/>
  <c r="K2237" i="4"/>
  <c r="J2237" i="4"/>
  <c r="I2237" i="4"/>
  <c r="R2236" i="4"/>
  <c r="Q2236" i="4"/>
  <c r="O2236" i="4"/>
  <c r="N2236" i="4"/>
  <c r="L2236" i="4"/>
  <c r="K2236" i="4"/>
  <c r="J2236" i="4"/>
  <c r="M2236" i="4" s="1"/>
  <c r="I2236" i="4"/>
  <c r="P2236" i="4" s="1"/>
  <c r="Q2235" i="4"/>
  <c r="M2235" i="4"/>
  <c r="L2235" i="4"/>
  <c r="K2235" i="4"/>
  <c r="J2235" i="4"/>
  <c r="I2235" i="4"/>
  <c r="R2234" i="4"/>
  <c r="Q2234" i="4"/>
  <c r="O2234" i="4"/>
  <c r="N2234" i="4"/>
  <c r="L2234" i="4"/>
  <c r="K2234" i="4"/>
  <c r="J2234" i="4"/>
  <c r="M2234" i="4" s="1"/>
  <c r="I2234" i="4"/>
  <c r="P2234" i="4" s="1"/>
  <c r="Q2233" i="4"/>
  <c r="M2233" i="4"/>
  <c r="L2233" i="4"/>
  <c r="K2233" i="4"/>
  <c r="J2233" i="4"/>
  <c r="I2233" i="4"/>
  <c r="R2232" i="4"/>
  <c r="Q2232" i="4"/>
  <c r="O2232" i="4"/>
  <c r="N2232" i="4"/>
  <c r="L2232" i="4"/>
  <c r="K2232" i="4"/>
  <c r="J2232" i="4"/>
  <c r="M2232" i="4" s="1"/>
  <c r="I2232" i="4"/>
  <c r="P2232" i="4" s="1"/>
  <c r="Q2231" i="4"/>
  <c r="M2231" i="4"/>
  <c r="L2231" i="4"/>
  <c r="K2231" i="4"/>
  <c r="J2231" i="4"/>
  <c r="I2231" i="4"/>
  <c r="R2230" i="4"/>
  <c r="Q2230" i="4"/>
  <c r="O2230" i="4"/>
  <c r="N2230" i="4"/>
  <c r="L2230" i="4"/>
  <c r="K2230" i="4"/>
  <c r="J2230" i="4"/>
  <c r="M2230" i="4" s="1"/>
  <c r="I2230" i="4"/>
  <c r="P2230" i="4" s="1"/>
  <c r="Q2229" i="4"/>
  <c r="M2229" i="4"/>
  <c r="L2229" i="4"/>
  <c r="K2229" i="4"/>
  <c r="J2229" i="4"/>
  <c r="I2229" i="4"/>
  <c r="R2228" i="4"/>
  <c r="Q2228" i="4"/>
  <c r="O2228" i="4"/>
  <c r="N2228" i="4"/>
  <c r="L2228" i="4"/>
  <c r="K2228" i="4"/>
  <c r="J2228" i="4"/>
  <c r="M2228" i="4" s="1"/>
  <c r="I2228" i="4"/>
  <c r="P2228" i="4" s="1"/>
  <c r="Q2227" i="4"/>
  <c r="M2227" i="4"/>
  <c r="L2227" i="4"/>
  <c r="K2227" i="4"/>
  <c r="J2227" i="4"/>
  <c r="I2227" i="4"/>
  <c r="R2226" i="4"/>
  <c r="Q2226" i="4"/>
  <c r="O2226" i="4"/>
  <c r="N2226" i="4"/>
  <c r="L2226" i="4"/>
  <c r="K2226" i="4"/>
  <c r="J2226" i="4"/>
  <c r="M2226" i="4" s="1"/>
  <c r="I2226" i="4"/>
  <c r="P2226" i="4" s="1"/>
  <c r="Q2225" i="4"/>
  <c r="M2225" i="4"/>
  <c r="L2225" i="4"/>
  <c r="K2225" i="4"/>
  <c r="J2225" i="4"/>
  <c r="I2225" i="4"/>
  <c r="R2224" i="4"/>
  <c r="Q2224" i="4"/>
  <c r="O2224" i="4"/>
  <c r="N2224" i="4"/>
  <c r="L2224" i="4"/>
  <c r="K2224" i="4"/>
  <c r="J2224" i="4"/>
  <c r="M2224" i="4" s="1"/>
  <c r="I2224" i="4"/>
  <c r="P2224" i="4" s="1"/>
  <c r="Q2223" i="4"/>
  <c r="M2223" i="4"/>
  <c r="L2223" i="4"/>
  <c r="K2223" i="4"/>
  <c r="J2223" i="4"/>
  <c r="I2223" i="4"/>
  <c r="R2222" i="4"/>
  <c r="Q2222" i="4"/>
  <c r="O2222" i="4"/>
  <c r="N2222" i="4"/>
  <c r="L2222" i="4"/>
  <c r="K2222" i="4"/>
  <c r="J2222" i="4"/>
  <c r="M2222" i="4" s="1"/>
  <c r="I2222" i="4"/>
  <c r="P2222" i="4" s="1"/>
  <c r="Q2221" i="4"/>
  <c r="M2221" i="4"/>
  <c r="L2221" i="4"/>
  <c r="K2221" i="4"/>
  <c r="J2221" i="4"/>
  <c r="I2221" i="4"/>
  <c r="R2220" i="4"/>
  <c r="Q2220" i="4"/>
  <c r="O2220" i="4"/>
  <c r="N2220" i="4"/>
  <c r="L2220" i="4"/>
  <c r="K2220" i="4"/>
  <c r="J2220" i="4"/>
  <c r="M2220" i="4" s="1"/>
  <c r="I2220" i="4"/>
  <c r="P2220" i="4" s="1"/>
  <c r="Q2219" i="4"/>
  <c r="M2219" i="4"/>
  <c r="L2219" i="4"/>
  <c r="K2219" i="4"/>
  <c r="J2219" i="4"/>
  <c r="I2219" i="4"/>
  <c r="R2218" i="4"/>
  <c r="Q2218" i="4"/>
  <c r="O2218" i="4"/>
  <c r="N2218" i="4"/>
  <c r="L2218" i="4"/>
  <c r="K2218" i="4"/>
  <c r="J2218" i="4"/>
  <c r="M2218" i="4" s="1"/>
  <c r="I2218" i="4"/>
  <c r="P2218" i="4" s="1"/>
  <c r="Q2217" i="4"/>
  <c r="M2217" i="4"/>
  <c r="L2217" i="4"/>
  <c r="K2217" i="4"/>
  <c r="J2217" i="4"/>
  <c r="I2217" i="4"/>
  <c r="R2216" i="4"/>
  <c r="Q2216" i="4"/>
  <c r="O2216" i="4"/>
  <c r="N2216" i="4"/>
  <c r="L2216" i="4"/>
  <c r="K2216" i="4"/>
  <c r="J2216" i="4"/>
  <c r="M2216" i="4" s="1"/>
  <c r="I2216" i="4"/>
  <c r="P2216" i="4" s="1"/>
  <c r="Q2215" i="4"/>
  <c r="M2215" i="4"/>
  <c r="L2215" i="4"/>
  <c r="K2215" i="4"/>
  <c r="J2215" i="4"/>
  <c r="I2215" i="4"/>
  <c r="R2214" i="4"/>
  <c r="Q2214" i="4"/>
  <c r="O2214" i="4"/>
  <c r="N2214" i="4"/>
  <c r="L2214" i="4"/>
  <c r="K2214" i="4"/>
  <c r="J2214" i="4"/>
  <c r="M2214" i="4" s="1"/>
  <c r="I2214" i="4"/>
  <c r="P2214" i="4" s="1"/>
  <c r="Q2213" i="4"/>
  <c r="M2213" i="4"/>
  <c r="L2213" i="4"/>
  <c r="K2213" i="4"/>
  <c r="J2213" i="4"/>
  <c r="I2213" i="4"/>
  <c r="R2212" i="4"/>
  <c r="Q2212" i="4"/>
  <c r="O2212" i="4"/>
  <c r="N2212" i="4"/>
  <c r="L2212" i="4"/>
  <c r="K2212" i="4"/>
  <c r="J2212" i="4"/>
  <c r="M2212" i="4" s="1"/>
  <c r="I2212" i="4"/>
  <c r="P2212" i="4" s="1"/>
  <c r="Q2211" i="4"/>
  <c r="M2211" i="4"/>
  <c r="L2211" i="4"/>
  <c r="K2211" i="4"/>
  <c r="J2211" i="4"/>
  <c r="I2211" i="4"/>
  <c r="R2210" i="4"/>
  <c r="Q2210" i="4"/>
  <c r="O2210" i="4"/>
  <c r="N2210" i="4"/>
  <c r="L2210" i="4"/>
  <c r="K2210" i="4"/>
  <c r="J2210" i="4"/>
  <c r="M2210" i="4" s="1"/>
  <c r="I2210" i="4"/>
  <c r="P2210" i="4" s="1"/>
  <c r="Q2209" i="4"/>
  <c r="M2209" i="4"/>
  <c r="L2209" i="4"/>
  <c r="K2209" i="4"/>
  <c r="J2209" i="4"/>
  <c r="I2209" i="4"/>
  <c r="R2209" i="4" s="1"/>
  <c r="R2208" i="4"/>
  <c r="O2208" i="4" s="1"/>
  <c r="Q2208" i="4"/>
  <c r="N2208" i="4"/>
  <c r="L2208" i="4"/>
  <c r="K2208" i="4"/>
  <c r="J2208" i="4"/>
  <c r="M2208" i="4" s="1"/>
  <c r="I2208" i="4"/>
  <c r="P2208" i="4" s="1"/>
  <c r="Q2207" i="4"/>
  <c r="M2207" i="4"/>
  <c r="L2207" i="4"/>
  <c r="K2207" i="4"/>
  <c r="J2207" i="4"/>
  <c r="I2207" i="4"/>
  <c r="R2207" i="4" s="1"/>
  <c r="R2206" i="4"/>
  <c r="O2206" i="4" s="1"/>
  <c r="Q2206" i="4"/>
  <c r="L2206" i="4"/>
  <c r="K2206" i="4"/>
  <c r="J2206" i="4"/>
  <c r="M2206" i="4" s="1"/>
  <c r="I2206" i="4"/>
  <c r="P2206" i="4" s="1"/>
  <c r="Q2205" i="4"/>
  <c r="P2205" i="4"/>
  <c r="M2205" i="4"/>
  <c r="L2205" i="4"/>
  <c r="K2205" i="4"/>
  <c r="J2205" i="4"/>
  <c r="I2205" i="4"/>
  <c r="R2205" i="4" s="1"/>
  <c r="R2204" i="4"/>
  <c r="N2204" i="4" s="1"/>
  <c r="Q2204" i="4"/>
  <c r="O2204" i="4"/>
  <c r="L2204" i="4"/>
  <c r="K2204" i="4"/>
  <c r="J2204" i="4"/>
  <c r="M2204" i="4" s="1"/>
  <c r="I2204" i="4"/>
  <c r="P2204" i="4" s="1"/>
  <c r="Q2203" i="4"/>
  <c r="P2203" i="4"/>
  <c r="M2203" i="4"/>
  <c r="L2203" i="4"/>
  <c r="K2203" i="4"/>
  <c r="J2203" i="4"/>
  <c r="I2203" i="4"/>
  <c r="R2203" i="4" s="1"/>
  <c r="R2202" i="4"/>
  <c r="Q2202" i="4"/>
  <c r="O2202" i="4"/>
  <c r="N2202" i="4"/>
  <c r="L2202" i="4"/>
  <c r="K2202" i="4"/>
  <c r="J2202" i="4"/>
  <c r="M2202" i="4" s="1"/>
  <c r="I2202" i="4"/>
  <c r="P2202" i="4" s="1"/>
  <c r="Q2201" i="4"/>
  <c r="M2201" i="4"/>
  <c r="L2201" i="4"/>
  <c r="K2201" i="4"/>
  <c r="J2201" i="4"/>
  <c r="I2201" i="4"/>
  <c r="R2201" i="4" s="1"/>
  <c r="R2200" i="4"/>
  <c r="O2200" i="4" s="1"/>
  <c r="Q2200" i="4"/>
  <c r="N2200" i="4"/>
  <c r="L2200" i="4"/>
  <c r="K2200" i="4"/>
  <c r="J2200" i="4"/>
  <c r="M2200" i="4" s="1"/>
  <c r="I2200" i="4"/>
  <c r="P2200" i="4" s="1"/>
  <c r="Q2199" i="4"/>
  <c r="M2199" i="4"/>
  <c r="L2199" i="4"/>
  <c r="K2199" i="4"/>
  <c r="J2199" i="4"/>
  <c r="I2199" i="4"/>
  <c r="R2199" i="4" s="1"/>
  <c r="R2198" i="4"/>
  <c r="O2198" i="4" s="1"/>
  <c r="Q2198" i="4"/>
  <c r="L2198" i="4"/>
  <c r="K2198" i="4"/>
  <c r="J2198" i="4"/>
  <c r="M2198" i="4" s="1"/>
  <c r="I2198" i="4"/>
  <c r="P2198" i="4" s="1"/>
  <c r="Q2197" i="4"/>
  <c r="P2197" i="4"/>
  <c r="M2197" i="4"/>
  <c r="L2197" i="4"/>
  <c r="K2197" i="4"/>
  <c r="J2197" i="4"/>
  <c r="I2197" i="4"/>
  <c r="R2197" i="4" s="1"/>
  <c r="R2196" i="4"/>
  <c r="N2196" i="4" s="1"/>
  <c r="Q2196" i="4"/>
  <c r="O2196" i="4"/>
  <c r="L2196" i="4"/>
  <c r="K2196" i="4"/>
  <c r="J2196" i="4"/>
  <c r="M2196" i="4" s="1"/>
  <c r="I2196" i="4"/>
  <c r="P2196" i="4" s="1"/>
  <c r="Q2195" i="4"/>
  <c r="P2195" i="4"/>
  <c r="M2195" i="4"/>
  <c r="L2195" i="4"/>
  <c r="K2195" i="4"/>
  <c r="J2195" i="4"/>
  <c r="I2195" i="4"/>
  <c r="R2195" i="4" s="1"/>
  <c r="Q2194" i="4"/>
  <c r="L2194" i="4"/>
  <c r="K2194" i="4"/>
  <c r="J2194" i="4"/>
  <c r="M2194" i="4" s="1"/>
  <c r="I2194" i="4"/>
  <c r="P2194" i="4" s="1"/>
  <c r="Q2193" i="4"/>
  <c r="P2193" i="4"/>
  <c r="O2193" i="4"/>
  <c r="M2193" i="4"/>
  <c r="L2193" i="4"/>
  <c r="K2193" i="4"/>
  <c r="J2193" i="4"/>
  <c r="I2193" i="4"/>
  <c r="R2193" i="4" s="1"/>
  <c r="N2193" i="4" s="1"/>
  <c r="Q2192" i="4"/>
  <c r="M2192" i="4"/>
  <c r="L2192" i="4"/>
  <c r="K2192" i="4"/>
  <c r="J2192" i="4"/>
  <c r="I2192" i="4"/>
  <c r="P2192" i="4" s="1"/>
  <c r="Q2191" i="4"/>
  <c r="P2191" i="4"/>
  <c r="M2191" i="4"/>
  <c r="L2191" i="4"/>
  <c r="K2191" i="4"/>
  <c r="J2191" i="4"/>
  <c r="I2191" i="4"/>
  <c r="R2191" i="4" s="1"/>
  <c r="N2191" i="4" s="1"/>
  <c r="Q2190" i="4"/>
  <c r="M2190" i="4"/>
  <c r="L2190" i="4"/>
  <c r="K2190" i="4"/>
  <c r="J2190" i="4"/>
  <c r="I2190" i="4"/>
  <c r="P2190" i="4" s="1"/>
  <c r="Q2189" i="4"/>
  <c r="M2189" i="4"/>
  <c r="L2189" i="4"/>
  <c r="K2189" i="4"/>
  <c r="J2189" i="4"/>
  <c r="I2189" i="4"/>
  <c r="R2189" i="4" s="1"/>
  <c r="N2189" i="4" s="1"/>
  <c r="Q2188" i="4"/>
  <c r="L2188" i="4"/>
  <c r="K2188" i="4"/>
  <c r="J2188" i="4"/>
  <c r="M2188" i="4" s="1"/>
  <c r="I2188" i="4"/>
  <c r="P2188" i="4" s="1"/>
  <c r="Q2187" i="4"/>
  <c r="O2187" i="4"/>
  <c r="M2187" i="4"/>
  <c r="L2187" i="4"/>
  <c r="K2187" i="4"/>
  <c r="J2187" i="4"/>
  <c r="I2187" i="4"/>
  <c r="R2187" i="4" s="1"/>
  <c r="N2187" i="4" s="1"/>
  <c r="Q2186" i="4"/>
  <c r="L2186" i="4"/>
  <c r="K2186" i="4"/>
  <c r="J2186" i="4"/>
  <c r="M2186" i="4" s="1"/>
  <c r="I2186" i="4"/>
  <c r="P2186" i="4" s="1"/>
  <c r="Q2185" i="4"/>
  <c r="P2185" i="4"/>
  <c r="O2185" i="4"/>
  <c r="M2185" i="4"/>
  <c r="L2185" i="4"/>
  <c r="K2185" i="4"/>
  <c r="J2185" i="4"/>
  <c r="I2185" i="4"/>
  <c r="R2185" i="4" s="1"/>
  <c r="N2185" i="4" s="1"/>
  <c r="Q2184" i="4"/>
  <c r="M2184" i="4"/>
  <c r="L2184" i="4"/>
  <c r="K2184" i="4"/>
  <c r="J2184" i="4"/>
  <c r="I2184" i="4"/>
  <c r="P2184" i="4" s="1"/>
  <c r="Q2183" i="4"/>
  <c r="P2183" i="4"/>
  <c r="M2183" i="4"/>
  <c r="L2183" i="4"/>
  <c r="K2183" i="4"/>
  <c r="J2183" i="4"/>
  <c r="I2183" i="4"/>
  <c r="R2183" i="4" s="1"/>
  <c r="N2183" i="4" s="1"/>
  <c r="Q2182" i="4"/>
  <c r="M2182" i="4"/>
  <c r="L2182" i="4"/>
  <c r="K2182" i="4"/>
  <c r="J2182" i="4"/>
  <c r="I2182" i="4"/>
  <c r="P2182" i="4" s="1"/>
  <c r="Q2181" i="4"/>
  <c r="M2181" i="4"/>
  <c r="L2181" i="4"/>
  <c r="K2181" i="4"/>
  <c r="J2181" i="4"/>
  <c r="I2181" i="4"/>
  <c r="R2181" i="4" s="1"/>
  <c r="N2181" i="4" s="1"/>
  <c r="Q2180" i="4"/>
  <c r="L2180" i="4"/>
  <c r="K2180" i="4"/>
  <c r="J2180" i="4"/>
  <c r="M2180" i="4" s="1"/>
  <c r="I2180" i="4"/>
  <c r="P2180" i="4" s="1"/>
  <c r="Q2179" i="4"/>
  <c r="O2179" i="4"/>
  <c r="M2179" i="4"/>
  <c r="L2179" i="4"/>
  <c r="K2179" i="4"/>
  <c r="J2179" i="4"/>
  <c r="I2179" i="4"/>
  <c r="R2179" i="4" s="1"/>
  <c r="N2179" i="4" s="1"/>
  <c r="Q2178" i="4"/>
  <c r="L2178" i="4"/>
  <c r="K2178" i="4"/>
  <c r="J2178" i="4"/>
  <c r="M2178" i="4" s="1"/>
  <c r="I2178" i="4"/>
  <c r="P2178" i="4" s="1"/>
  <c r="Q2177" i="4"/>
  <c r="P2177" i="4"/>
  <c r="O2177" i="4"/>
  <c r="M2177" i="4"/>
  <c r="L2177" i="4"/>
  <c r="K2177" i="4"/>
  <c r="J2177" i="4"/>
  <c r="I2177" i="4"/>
  <c r="R2177" i="4" s="1"/>
  <c r="N2177" i="4" s="1"/>
  <c r="Q2176" i="4"/>
  <c r="M2176" i="4"/>
  <c r="L2176" i="4"/>
  <c r="K2176" i="4"/>
  <c r="J2176" i="4"/>
  <c r="I2176" i="4"/>
  <c r="P2176" i="4" s="1"/>
  <c r="Q2175" i="4"/>
  <c r="P2175" i="4"/>
  <c r="M2175" i="4"/>
  <c r="L2175" i="4"/>
  <c r="K2175" i="4"/>
  <c r="J2175" i="4"/>
  <c r="I2175" i="4"/>
  <c r="R2175" i="4" s="1"/>
  <c r="N2175" i="4" s="1"/>
  <c r="Q2174" i="4"/>
  <c r="M2174" i="4"/>
  <c r="L2174" i="4"/>
  <c r="K2174" i="4"/>
  <c r="J2174" i="4"/>
  <c r="I2174" i="4"/>
  <c r="P2174" i="4" s="1"/>
  <c r="Q2173" i="4"/>
  <c r="M2173" i="4"/>
  <c r="L2173" i="4"/>
  <c r="K2173" i="4"/>
  <c r="J2173" i="4"/>
  <c r="I2173" i="4"/>
  <c r="R2173" i="4" s="1"/>
  <c r="N2173" i="4" s="1"/>
  <c r="Q2172" i="4"/>
  <c r="L2172" i="4"/>
  <c r="K2172" i="4"/>
  <c r="J2172" i="4"/>
  <c r="M2172" i="4" s="1"/>
  <c r="I2172" i="4"/>
  <c r="P2172" i="4" s="1"/>
  <c r="Q2171" i="4"/>
  <c r="O2171" i="4"/>
  <c r="M2171" i="4"/>
  <c r="L2171" i="4"/>
  <c r="K2171" i="4"/>
  <c r="J2171" i="4"/>
  <c r="I2171" i="4"/>
  <c r="R2171" i="4" s="1"/>
  <c r="N2171" i="4" s="1"/>
  <c r="Q2170" i="4"/>
  <c r="L2170" i="4"/>
  <c r="K2170" i="4"/>
  <c r="J2170" i="4"/>
  <c r="M2170" i="4" s="1"/>
  <c r="I2170" i="4"/>
  <c r="P2170" i="4" s="1"/>
  <c r="Q2169" i="4"/>
  <c r="P2169" i="4"/>
  <c r="O2169" i="4"/>
  <c r="M2169" i="4"/>
  <c r="L2169" i="4"/>
  <c r="K2169" i="4"/>
  <c r="J2169" i="4"/>
  <c r="I2169" i="4"/>
  <c r="R2169" i="4" s="1"/>
  <c r="N2169" i="4" s="1"/>
  <c r="Q2168" i="4"/>
  <c r="M2168" i="4"/>
  <c r="L2168" i="4"/>
  <c r="K2168" i="4"/>
  <c r="J2168" i="4"/>
  <c r="I2168" i="4"/>
  <c r="P2168" i="4" s="1"/>
  <c r="Q2167" i="4"/>
  <c r="P2167" i="4"/>
  <c r="M2167" i="4"/>
  <c r="L2167" i="4"/>
  <c r="K2167" i="4"/>
  <c r="J2167" i="4"/>
  <c r="I2167" i="4"/>
  <c r="R2167" i="4" s="1"/>
  <c r="N2167" i="4" s="1"/>
  <c r="Q2166" i="4"/>
  <c r="M2166" i="4"/>
  <c r="L2166" i="4"/>
  <c r="K2166" i="4"/>
  <c r="J2166" i="4"/>
  <c r="I2166" i="4"/>
  <c r="P2166" i="4" s="1"/>
  <c r="Q2165" i="4"/>
  <c r="M2165" i="4"/>
  <c r="L2165" i="4"/>
  <c r="K2165" i="4"/>
  <c r="J2165" i="4"/>
  <c r="I2165" i="4"/>
  <c r="R2165" i="4" s="1"/>
  <c r="N2165" i="4" s="1"/>
  <c r="Q2164" i="4"/>
  <c r="L2164" i="4"/>
  <c r="K2164" i="4"/>
  <c r="J2164" i="4"/>
  <c r="M2164" i="4" s="1"/>
  <c r="I2164" i="4"/>
  <c r="P2164" i="4" s="1"/>
  <c r="Q2163" i="4"/>
  <c r="O2163" i="4"/>
  <c r="M2163" i="4"/>
  <c r="L2163" i="4"/>
  <c r="K2163" i="4"/>
  <c r="J2163" i="4"/>
  <c r="I2163" i="4"/>
  <c r="R2163" i="4" s="1"/>
  <c r="N2163" i="4" s="1"/>
  <c r="Q2162" i="4"/>
  <c r="L2162" i="4"/>
  <c r="K2162" i="4"/>
  <c r="J2162" i="4"/>
  <c r="M2162" i="4" s="1"/>
  <c r="I2162" i="4"/>
  <c r="P2162" i="4" s="1"/>
  <c r="Q2161" i="4"/>
  <c r="P2161" i="4"/>
  <c r="O2161" i="4"/>
  <c r="M2161" i="4"/>
  <c r="L2161" i="4"/>
  <c r="K2161" i="4"/>
  <c r="J2161" i="4"/>
  <c r="I2161" i="4"/>
  <c r="R2161" i="4" s="1"/>
  <c r="N2161" i="4" s="1"/>
  <c r="Q2160" i="4"/>
  <c r="M2160" i="4"/>
  <c r="L2160" i="4"/>
  <c r="K2160" i="4"/>
  <c r="J2160" i="4"/>
  <c r="I2160" i="4"/>
  <c r="P2160" i="4" s="1"/>
  <c r="Q2159" i="4"/>
  <c r="P2159" i="4"/>
  <c r="M2159" i="4"/>
  <c r="L2159" i="4"/>
  <c r="K2159" i="4"/>
  <c r="J2159" i="4"/>
  <c r="I2159" i="4"/>
  <c r="R2159" i="4" s="1"/>
  <c r="N2159" i="4" s="1"/>
  <c r="Q2158" i="4"/>
  <c r="M2158" i="4"/>
  <c r="L2158" i="4"/>
  <c r="K2158" i="4"/>
  <c r="J2158" i="4"/>
  <c r="I2158" i="4"/>
  <c r="P2158" i="4" s="1"/>
  <c r="Q2157" i="4"/>
  <c r="M2157" i="4"/>
  <c r="L2157" i="4"/>
  <c r="K2157" i="4"/>
  <c r="J2157" i="4"/>
  <c r="I2157" i="4"/>
  <c r="R2157" i="4" s="1"/>
  <c r="N2157" i="4" s="1"/>
  <c r="Q2156" i="4"/>
  <c r="L2156" i="4"/>
  <c r="K2156" i="4"/>
  <c r="J2156" i="4"/>
  <c r="M2156" i="4" s="1"/>
  <c r="I2156" i="4"/>
  <c r="P2156" i="4" s="1"/>
  <c r="Q2155" i="4"/>
  <c r="O2155" i="4"/>
  <c r="M2155" i="4"/>
  <c r="L2155" i="4"/>
  <c r="K2155" i="4"/>
  <c r="J2155" i="4"/>
  <c r="I2155" i="4"/>
  <c r="R2155" i="4" s="1"/>
  <c r="N2155" i="4" s="1"/>
  <c r="Q2154" i="4"/>
  <c r="L2154" i="4"/>
  <c r="K2154" i="4"/>
  <c r="J2154" i="4"/>
  <c r="M2154" i="4" s="1"/>
  <c r="I2154" i="4"/>
  <c r="P2154" i="4" s="1"/>
  <c r="Q2153" i="4"/>
  <c r="P2153" i="4"/>
  <c r="O2153" i="4"/>
  <c r="M2153" i="4"/>
  <c r="L2153" i="4"/>
  <c r="K2153" i="4"/>
  <c r="J2153" i="4"/>
  <c r="I2153" i="4"/>
  <c r="R2153" i="4" s="1"/>
  <c r="N2153" i="4" s="1"/>
  <c r="Q2152" i="4"/>
  <c r="M2152" i="4"/>
  <c r="L2152" i="4"/>
  <c r="K2152" i="4"/>
  <c r="J2152" i="4"/>
  <c r="I2152" i="4"/>
  <c r="P2152" i="4" s="1"/>
  <c r="Q2151" i="4"/>
  <c r="P2151" i="4"/>
  <c r="M2151" i="4"/>
  <c r="L2151" i="4"/>
  <c r="K2151" i="4"/>
  <c r="J2151" i="4"/>
  <c r="I2151" i="4"/>
  <c r="R2151" i="4" s="1"/>
  <c r="N2151" i="4" s="1"/>
  <c r="Q2150" i="4"/>
  <c r="M2150" i="4"/>
  <c r="L2150" i="4"/>
  <c r="K2150" i="4"/>
  <c r="J2150" i="4"/>
  <c r="I2150" i="4"/>
  <c r="P2150" i="4" s="1"/>
  <c r="Q2149" i="4"/>
  <c r="M2149" i="4"/>
  <c r="L2149" i="4"/>
  <c r="K2149" i="4"/>
  <c r="J2149" i="4"/>
  <c r="I2149" i="4"/>
  <c r="R2149" i="4" s="1"/>
  <c r="N2149" i="4" s="1"/>
  <c r="Q2148" i="4"/>
  <c r="L2148" i="4"/>
  <c r="K2148" i="4"/>
  <c r="J2148" i="4"/>
  <c r="M2148" i="4" s="1"/>
  <c r="I2148" i="4"/>
  <c r="P2148" i="4" s="1"/>
  <c r="Q2147" i="4"/>
  <c r="O2147" i="4"/>
  <c r="M2147" i="4"/>
  <c r="L2147" i="4"/>
  <c r="K2147" i="4"/>
  <c r="J2147" i="4"/>
  <c r="I2147" i="4"/>
  <c r="R2147" i="4" s="1"/>
  <c r="N2147" i="4" s="1"/>
  <c r="Q2146" i="4"/>
  <c r="L2146" i="4"/>
  <c r="K2146" i="4"/>
  <c r="J2146" i="4"/>
  <c r="M2146" i="4" s="1"/>
  <c r="I2146" i="4"/>
  <c r="P2146" i="4" s="1"/>
  <c r="Q2145" i="4"/>
  <c r="P2145" i="4"/>
  <c r="O2145" i="4"/>
  <c r="M2145" i="4"/>
  <c r="L2145" i="4"/>
  <c r="K2145" i="4"/>
  <c r="J2145" i="4"/>
  <c r="I2145" i="4"/>
  <c r="R2145" i="4" s="1"/>
  <c r="N2145" i="4" s="1"/>
  <c r="Q2144" i="4"/>
  <c r="M2144" i="4"/>
  <c r="L2144" i="4"/>
  <c r="K2144" i="4"/>
  <c r="J2144" i="4"/>
  <c r="I2144" i="4"/>
  <c r="P2144" i="4" s="1"/>
  <c r="Q2143" i="4"/>
  <c r="P2143" i="4"/>
  <c r="M2143" i="4"/>
  <c r="L2143" i="4"/>
  <c r="K2143" i="4"/>
  <c r="J2143" i="4"/>
  <c r="I2143" i="4"/>
  <c r="R2143" i="4" s="1"/>
  <c r="N2143" i="4" s="1"/>
  <c r="Q2142" i="4"/>
  <c r="M2142" i="4"/>
  <c r="L2142" i="4"/>
  <c r="K2142" i="4"/>
  <c r="J2142" i="4"/>
  <c r="I2142" i="4"/>
  <c r="P2142" i="4" s="1"/>
  <c r="Q2141" i="4"/>
  <c r="M2141" i="4"/>
  <c r="L2141" i="4"/>
  <c r="K2141" i="4"/>
  <c r="J2141" i="4"/>
  <c r="I2141" i="4"/>
  <c r="R2141" i="4" s="1"/>
  <c r="N2141" i="4" s="1"/>
  <c r="Q2140" i="4"/>
  <c r="L2140" i="4"/>
  <c r="K2140" i="4"/>
  <c r="J2140" i="4"/>
  <c r="M2140" i="4" s="1"/>
  <c r="I2140" i="4"/>
  <c r="P2140" i="4" s="1"/>
  <c r="Q2139" i="4"/>
  <c r="O2139" i="4"/>
  <c r="M2139" i="4"/>
  <c r="L2139" i="4"/>
  <c r="K2139" i="4"/>
  <c r="J2139" i="4"/>
  <c r="I2139" i="4"/>
  <c r="R2139" i="4" s="1"/>
  <c r="N2139" i="4" s="1"/>
  <c r="Q2138" i="4"/>
  <c r="L2138" i="4"/>
  <c r="K2138" i="4"/>
  <c r="J2138" i="4"/>
  <c r="M2138" i="4" s="1"/>
  <c r="I2138" i="4"/>
  <c r="P2138" i="4" s="1"/>
  <c r="Q2137" i="4"/>
  <c r="P2137" i="4"/>
  <c r="O2137" i="4"/>
  <c r="M2137" i="4"/>
  <c r="L2137" i="4"/>
  <c r="K2137" i="4"/>
  <c r="J2137" i="4"/>
  <c r="I2137" i="4"/>
  <c r="R2137" i="4" s="1"/>
  <c r="N2137" i="4" s="1"/>
  <c r="Q2136" i="4"/>
  <c r="M2136" i="4"/>
  <c r="L2136" i="4"/>
  <c r="K2136" i="4"/>
  <c r="J2136" i="4"/>
  <c r="I2136" i="4"/>
  <c r="P2136" i="4" s="1"/>
  <c r="Q2135" i="4"/>
  <c r="P2135" i="4"/>
  <c r="M2135" i="4"/>
  <c r="L2135" i="4"/>
  <c r="K2135" i="4"/>
  <c r="J2135" i="4"/>
  <c r="I2135" i="4"/>
  <c r="R2135" i="4" s="1"/>
  <c r="N2135" i="4" s="1"/>
  <c r="Q2134" i="4"/>
  <c r="M2134" i="4"/>
  <c r="L2134" i="4"/>
  <c r="K2134" i="4"/>
  <c r="J2134" i="4"/>
  <c r="I2134" i="4"/>
  <c r="P2134" i="4" s="1"/>
  <c r="Q2133" i="4"/>
  <c r="M2133" i="4"/>
  <c r="L2133" i="4"/>
  <c r="K2133" i="4"/>
  <c r="J2133" i="4"/>
  <c r="I2133" i="4"/>
  <c r="R2133" i="4" s="1"/>
  <c r="N2133" i="4" s="1"/>
  <c r="Q2132" i="4"/>
  <c r="L2132" i="4"/>
  <c r="K2132" i="4"/>
  <c r="J2132" i="4"/>
  <c r="M2132" i="4" s="1"/>
  <c r="I2132" i="4"/>
  <c r="P2132" i="4" s="1"/>
  <c r="Q2131" i="4"/>
  <c r="O2131" i="4"/>
  <c r="M2131" i="4"/>
  <c r="L2131" i="4"/>
  <c r="K2131" i="4"/>
  <c r="J2131" i="4"/>
  <c r="I2131" i="4"/>
  <c r="R2131" i="4" s="1"/>
  <c r="N2131" i="4" s="1"/>
  <c r="Q2130" i="4"/>
  <c r="L2130" i="4"/>
  <c r="K2130" i="4"/>
  <c r="J2130" i="4"/>
  <c r="M2130" i="4" s="1"/>
  <c r="I2130" i="4"/>
  <c r="P2130" i="4" s="1"/>
  <c r="Q2129" i="4"/>
  <c r="P2129" i="4"/>
  <c r="O2129" i="4"/>
  <c r="M2129" i="4"/>
  <c r="L2129" i="4"/>
  <c r="K2129" i="4"/>
  <c r="J2129" i="4"/>
  <c r="I2129" i="4"/>
  <c r="R2129" i="4" s="1"/>
  <c r="N2129" i="4" s="1"/>
  <c r="Q2128" i="4"/>
  <c r="M2128" i="4"/>
  <c r="L2128" i="4"/>
  <c r="K2128" i="4"/>
  <c r="J2128" i="4"/>
  <c r="I2128" i="4"/>
  <c r="P2128" i="4" s="1"/>
  <c r="Q2127" i="4"/>
  <c r="P2127" i="4"/>
  <c r="M2127" i="4"/>
  <c r="L2127" i="4"/>
  <c r="K2127" i="4"/>
  <c r="J2127" i="4"/>
  <c r="I2127" i="4"/>
  <c r="R2127" i="4" s="1"/>
  <c r="N2127" i="4" s="1"/>
  <c r="Q2126" i="4"/>
  <c r="M2126" i="4"/>
  <c r="L2126" i="4"/>
  <c r="K2126" i="4"/>
  <c r="J2126" i="4"/>
  <c r="I2126" i="4"/>
  <c r="P2126" i="4" s="1"/>
  <c r="Q2125" i="4"/>
  <c r="M2125" i="4"/>
  <c r="L2125" i="4"/>
  <c r="K2125" i="4"/>
  <c r="J2125" i="4"/>
  <c r="I2125" i="4"/>
  <c r="R2125" i="4" s="1"/>
  <c r="N2125" i="4" s="1"/>
  <c r="Q2124" i="4"/>
  <c r="L2124" i="4"/>
  <c r="K2124" i="4"/>
  <c r="J2124" i="4"/>
  <c r="M2124" i="4" s="1"/>
  <c r="I2124" i="4"/>
  <c r="P2124" i="4" s="1"/>
  <c r="Q2123" i="4"/>
  <c r="O2123" i="4"/>
  <c r="M2123" i="4"/>
  <c r="L2123" i="4"/>
  <c r="K2123" i="4"/>
  <c r="J2123" i="4"/>
  <c r="I2123" i="4"/>
  <c r="R2123" i="4" s="1"/>
  <c r="N2123" i="4" s="1"/>
  <c r="Q2122" i="4"/>
  <c r="L2122" i="4"/>
  <c r="K2122" i="4"/>
  <c r="J2122" i="4"/>
  <c r="M2122" i="4" s="1"/>
  <c r="I2122" i="4"/>
  <c r="P2122" i="4" s="1"/>
  <c r="Q2121" i="4"/>
  <c r="P2121" i="4"/>
  <c r="O2121" i="4"/>
  <c r="M2121" i="4"/>
  <c r="L2121" i="4"/>
  <c r="K2121" i="4"/>
  <c r="J2121" i="4"/>
  <c r="I2121" i="4"/>
  <c r="R2121" i="4" s="1"/>
  <c r="N2121" i="4" s="1"/>
  <c r="Q2120" i="4"/>
  <c r="M2120" i="4"/>
  <c r="L2120" i="4"/>
  <c r="K2120" i="4"/>
  <c r="J2120" i="4"/>
  <c r="I2120" i="4"/>
  <c r="P2120" i="4" s="1"/>
  <c r="Q2119" i="4"/>
  <c r="P2119" i="4"/>
  <c r="M2119" i="4"/>
  <c r="L2119" i="4"/>
  <c r="K2119" i="4"/>
  <c r="J2119" i="4"/>
  <c r="I2119" i="4"/>
  <c r="R2119" i="4" s="1"/>
  <c r="N2119" i="4" s="1"/>
  <c r="Q2118" i="4"/>
  <c r="M2118" i="4"/>
  <c r="L2118" i="4"/>
  <c r="K2118" i="4"/>
  <c r="J2118" i="4"/>
  <c r="I2118" i="4"/>
  <c r="P2118" i="4" s="1"/>
  <c r="Q2117" i="4"/>
  <c r="M2117" i="4"/>
  <c r="L2117" i="4"/>
  <c r="K2117" i="4"/>
  <c r="J2117" i="4"/>
  <c r="I2117" i="4"/>
  <c r="R2117" i="4" s="1"/>
  <c r="N2117" i="4" s="1"/>
  <c r="Q2116" i="4"/>
  <c r="L2116" i="4"/>
  <c r="K2116" i="4"/>
  <c r="J2116" i="4"/>
  <c r="M2116" i="4" s="1"/>
  <c r="I2116" i="4"/>
  <c r="P2116" i="4" s="1"/>
  <c r="Q2115" i="4"/>
  <c r="O2115" i="4"/>
  <c r="M2115" i="4"/>
  <c r="L2115" i="4"/>
  <c r="K2115" i="4"/>
  <c r="J2115" i="4"/>
  <c r="I2115" i="4"/>
  <c r="R2115" i="4" s="1"/>
  <c r="N2115" i="4" s="1"/>
  <c r="Q2114" i="4"/>
  <c r="L2114" i="4"/>
  <c r="K2114" i="4"/>
  <c r="J2114" i="4"/>
  <c r="M2114" i="4" s="1"/>
  <c r="I2114" i="4"/>
  <c r="P2114" i="4" s="1"/>
  <c r="Q2113" i="4"/>
  <c r="P2113" i="4"/>
  <c r="O2113" i="4"/>
  <c r="M2113" i="4"/>
  <c r="L2113" i="4"/>
  <c r="K2113" i="4"/>
  <c r="J2113" i="4"/>
  <c r="I2113" i="4"/>
  <c r="R2113" i="4" s="1"/>
  <c r="N2113" i="4" s="1"/>
  <c r="Q2112" i="4"/>
  <c r="M2112" i="4"/>
  <c r="L2112" i="4"/>
  <c r="K2112" i="4"/>
  <c r="J2112" i="4"/>
  <c r="I2112" i="4"/>
  <c r="P2112" i="4" s="1"/>
  <c r="Q2111" i="4"/>
  <c r="P2111" i="4"/>
  <c r="M2111" i="4"/>
  <c r="L2111" i="4"/>
  <c r="K2111" i="4"/>
  <c r="J2111" i="4"/>
  <c r="I2111" i="4"/>
  <c r="R2111" i="4" s="1"/>
  <c r="N2111" i="4" s="1"/>
  <c r="Q2110" i="4"/>
  <c r="M2110" i="4"/>
  <c r="L2110" i="4"/>
  <c r="K2110" i="4"/>
  <c r="J2110" i="4"/>
  <c r="I2110" i="4"/>
  <c r="P2110" i="4" s="1"/>
  <c r="Q2109" i="4"/>
  <c r="M2109" i="4"/>
  <c r="L2109" i="4"/>
  <c r="K2109" i="4"/>
  <c r="J2109" i="4"/>
  <c r="I2109" i="4"/>
  <c r="R2109" i="4" s="1"/>
  <c r="N2109" i="4" s="1"/>
  <c r="Q2108" i="4"/>
  <c r="L2108" i="4"/>
  <c r="K2108" i="4"/>
  <c r="J2108" i="4"/>
  <c r="M2108" i="4" s="1"/>
  <c r="I2108" i="4"/>
  <c r="P2108" i="4" s="1"/>
  <c r="Q2107" i="4"/>
  <c r="O2107" i="4"/>
  <c r="M2107" i="4"/>
  <c r="L2107" i="4"/>
  <c r="K2107" i="4"/>
  <c r="J2107" i="4"/>
  <c r="I2107" i="4"/>
  <c r="R2107" i="4" s="1"/>
  <c r="N2107" i="4" s="1"/>
  <c r="Q2106" i="4"/>
  <c r="L2106" i="4"/>
  <c r="K2106" i="4"/>
  <c r="J2106" i="4"/>
  <c r="M2106" i="4" s="1"/>
  <c r="I2106" i="4"/>
  <c r="P2106" i="4" s="1"/>
  <c r="Q2105" i="4"/>
  <c r="P2105" i="4"/>
  <c r="O2105" i="4"/>
  <c r="M2105" i="4"/>
  <c r="L2105" i="4"/>
  <c r="K2105" i="4"/>
  <c r="J2105" i="4"/>
  <c r="I2105" i="4"/>
  <c r="R2105" i="4" s="1"/>
  <c r="N2105" i="4" s="1"/>
  <c r="Q2104" i="4"/>
  <c r="M2104" i="4"/>
  <c r="L2104" i="4"/>
  <c r="K2104" i="4"/>
  <c r="J2104" i="4"/>
  <c r="I2104" i="4"/>
  <c r="P2104" i="4" s="1"/>
  <c r="Q2103" i="4"/>
  <c r="P2103" i="4"/>
  <c r="M2103" i="4"/>
  <c r="L2103" i="4"/>
  <c r="K2103" i="4"/>
  <c r="J2103" i="4"/>
  <c r="I2103" i="4"/>
  <c r="R2103" i="4" s="1"/>
  <c r="N2103" i="4" s="1"/>
  <c r="R2102" i="4"/>
  <c r="Q2102" i="4"/>
  <c r="M2102" i="4"/>
  <c r="L2102" i="4"/>
  <c r="K2102" i="4"/>
  <c r="J2102" i="4"/>
  <c r="I2102" i="4"/>
  <c r="P2102" i="4" s="1"/>
  <c r="Q2101" i="4"/>
  <c r="M2101" i="4"/>
  <c r="L2101" i="4"/>
  <c r="K2101" i="4"/>
  <c r="J2101" i="4"/>
  <c r="I2101" i="4"/>
  <c r="Q2100" i="4"/>
  <c r="L2100" i="4"/>
  <c r="K2100" i="4"/>
  <c r="J2100" i="4"/>
  <c r="M2100" i="4" s="1"/>
  <c r="I2100" i="4"/>
  <c r="P2100" i="4" s="1"/>
  <c r="Q2099" i="4"/>
  <c r="O2099" i="4"/>
  <c r="M2099" i="4"/>
  <c r="L2099" i="4"/>
  <c r="K2099" i="4"/>
  <c r="J2099" i="4"/>
  <c r="I2099" i="4"/>
  <c r="R2099" i="4" s="1"/>
  <c r="N2099" i="4" s="1"/>
  <c r="Q2098" i="4"/>
  <c r="L2098" i="4"/>
  <c r="K2098" i="4"/>
  <c r="J2098" i="4"/>
  <c r="M2098" i="4" s="1"/>
  <c r="I2098" i="4"/>
  <c r="P2098" i="4" s="1"/>
  <c r="Q2097" i="4"/>
  <c r="P2097" i="4"/>
  <c r="O2097" i="4"/>
  <c r="M2097" i="4"/>
  <c r="L2097" i="4"/>
  <c r="K2097" i="4"/>
  <c r="J2097" i="4"/>
  <c r="I2097" i="4"/>
  <c r="R2097" i="4" s="1"/>
  <c r="N2097" i="4" s="1"/>
  <c r="Q2096" i="4"/>
  <c r="M2096" i="4"/>
  <c r="L2096" i="4"/>
  <c r="K2096" i="4"/>
  <c r="J2096" i="4"/>
  <c r="I2096" i="4"/>
  <c r="P2096" i="4" s="1"/>
  <c r="Q2095" i="4"/>
  <c r="P2095" i="4"/>
  <c r="M2095" i="4"/>
  <c r="L2095" i="4"/>
  <c r="K2095" i="4"/>
  <c r="J2095" i="4"/>
  <c r="I2095" i="4"/>
  <c r="R2095" i="4" s="1"/>
  <c r="N2095" i="4" s="1"/>
  <c r="R2094" i="4"/>
  <c r="Q2094" i="4"/>
  <c r="M2094" i="4"/>
  <c r="L2094" i="4"/>
  <c r="K2094" i="4"/>
  <c r="J2094" i="4"/>
  <c r="I2094" i="4"/>
  <c r="P2094" i="4" s="1"/>
  <c r="Q2093" i="4"/>
  <c r="M2093" i="4"/>
  <c r="L2093" i="4"/>
  <c r="K2093" i="4"/>
  <c r="J2093" i="4"/>
  <c r="I2093" i="4"/>
  <c r="Q2092" i="4"/>
  <c r="L2092" i="4"/>
  <c r="K2092" i="4"/>
  <c r="J2092" i="4"/>
  <c r="M2092" i="4" s="1"/>
  <c r="I2092" i="4"/>
  <c r="P2092" i="4" s="1"/>
  <c r="Q2091" i="4"/>
  <c r="O2091" i="4"/>
  <c r="M2091" i="4"/>
  <c r="L2091" i="4"/>
  <c r="K2091" i="4"/>
  <c r="J2091" i="4"/>
  <c r="I2091" i="4"/>
  <c r="R2091" i="4" s="1"/>
  <c r="N2091" i="4" s="1"/>
  <c r="Q2090" i="4"/>
  <c r="L2090" i="4"/>
  <c r="K2090" i="4"/>
  <c r="J2090" i="4"/>
  <c r="M2090" i="4" s="1"/>
  <c r="I2090" i="4"/>
  <c r="P2090" i="4" s="1"/>
  <c r="Q2089" i="4"/>
  <c r="P2089" i="4"/>
  <c r="O2089" i="4"/>
  <c r="M2089" i="4"/>
  <c r="L2089" i="4"/>
  <c r="K2089" i="4"/>
  <c r="J2089" i="4"/>
  <c r="I2089" i="4"/>
  <c r="R2089" i="4" s="1"/>
  <c r="N2089" i="4" s="1"/>
  <c r="Q2088" i="4"/>
  <c r="M2088" i="4"/>
  <c r="L2088" i="4"/>
  <c r="K2088" i="4"/>
  <c r="J2088" i="4"/>
  <c r="I2088" i="4"/>
  <c r="P2088" i="4" s="1"/>
  <c r="Q2087" i="4"/>
  <c r="P2087" i="4"/>
  <c r="M2087" i="4"/>
  <c r="L2087" i="4"/>
  <c r="K2087" i="4"/>
  <c r="J2087" i="4"/>
  <c r="I2087" i="4"/>
  <c r="R2087" i="4" s="1"/>
  <c r="N2087" i="4" s="1"/>
  <c r="R2086" i="4"/>
  <c r="Q2086" i="4"/>
  <c r="M2086" i="4"/>
  <c r="L2086" i="4"/>
  <c r="K2086" i="4"/>
  <c r="J2086" i="4"/>
  <c r="I2086" i="4"/>
  <c r="P2086" i="4" s="1"/>
  <c r="Q2085" i="4"/>
  <c r="M2085" i="4"/>
  <c r="L2085" i="4"/>
  <c r="K2085" i="4"/>
  <c r="J2085" i="4"/>
  <c r="I2085" i="4"/>
  <c r="Q2084" i="4"/>
  <c r="L2084" i="4"/>
  <c r="K2084" i="4"/>
  <c r="J2084" i="4"/>
  <c r="M2084" i="4" s="1"/>
  <c r="I2084" i="4"/>
  <c r="P2084" i="4" s="1"/>
  <c r="Q2083" i="4"/>
  <c r="O2083" i="4"/>
  <c r="M2083" i="4"/>
  <c r="L2083" i="4"/>
  <c r="K2083" i="4"/>
  <c r="J2083" i="4"/>
  <c r="I2083" i="4"/>
  <c r="R2083" i="4" s="1"/>
  <c r="N2083" i="4" s="1"/>
  <c r="Q2082" i="4"/>
  <c r="L2082" i="4"/>
  <c r="K2082" i="4"/>
  <c r="J2082" i="4"/>
  <c r="M2082" i="4" s="1"/>
  <c r="I2082" i="4"/>
  <c r="P2082" i="4" s="1"/>
  <c r="Q2081" i="4"/>
  <c r="P2081" i="4"/>
  <c r="O2081" i="4"/>
  <c r="M2081" i="4"/>
  <c r="L2081" i="4"/>
  <c r="K2081" i="4"/>
  <c r="J2081" i="4"/>
  <c r="I2081" i="4"/>
  <c r="R2081" i="4" s="1"/>
  <c r="N2081" i="4" s="1"/>
  <c r="Q2080" i="4"/>
  <c r="M2080" i="4"/>
  <c r="L2080" i="4"/>
  <c r="K2080" i="4"/>
  <c r="J2080" i="4"/>
  <c r="I2080" i="4"/>
  <c r="P2080" i="4" s="1"/>
  <c r="Q2079" i="4"/>
  <c r="P2079" i="4"/>
  <c r="M2079" i="4"/>
  <c r="L2079" i="4"/>
  <c r="K2079" i="4"/>
  <c r="J2079" i="4"/>
  <c r="I2079" i="4"/>
  <c r="R2079" i="4" s="1"/>
  <c r="N2079" i="4" s="1"/>
  <c r="R2078" i="4"/>
  <c r="Q2078" i="4"/>
  <c r="M2078" i="4"/>
  <c r="L2078" i="4"/>
  <c r="K2078" i="4"/>
  <c r="J2078" i="4"/>
  <c r="I2078" i="4"/>
  <c r="P2078" i="4" s="1"/>
  <c r="Q2077" i="4"/>
  <c r="M2077" i="4"/>
  <c r="L2077" i="4"/>
  <c r="K2077" i="4"/>
  <c r="J2077" i="4"/>
  <c r="I2077" i="4"/>
  <c r="Q2076" i="4"/>
  <c r="L2076" i="4"/>
  <c r="K2076" i="4"/>
  <c r="J2076" i="4"/>
  <c r="M2076" i="4" s="1"/>
  <c r="I2076" i="4"/>
  <c r="P2076" i="4" s="1"/>
  <c r="Q2075" i="4"/>
  <c r="O2075" i="4"/>
  <c r="M2075" i="4"/>
  <c r="L2075" i="4"/>
  <c r="K2075" i="4"/>
  <c r="J2075" i="4"/>
  <c r="I2075" i="4"/>
  <c r="R2075" i="4" s="1"/>
  <c r="N2075" i="4" s="1"/>
  <c r="Q2074" i="4"/>
  <c r="L2074" i="4"/>
  <c r="K2074" i="4"/>
  <c r="J2074" i="4"/>
  <c r="M2074" i="4" s="1"/>
  <c r="I2074" i="4"/>
  <c r="P2074" i="4" s="1"/>
  <c r="Q2073" i="4"/>
  <c r="P2073" i="4"/>
  <c r="O2073" i="4"/>
  <c r="M2073" i="4"/>
  <c r="L2073" i="4"/>
  <c r="K2073" i="4"/>
  <c r="J2073" i="4"/>
  <c r="I2073" i="4"/>
  <c r="R2073" i="4" s="1"/>
  <c r="N2073" i="4" s="1"/>
  <c r="Q2072" i="4"/>
  <c r="M2072" i="4"/>
  <c r="L2072" i="4"/>
  <c r="K2072" i="4"/>
  <c r="J2072" i="4"/>
  <c r="I2072" i="4"/>
  <c r="P2072" i="4" s="1"/>
  <c r="Q2071" i="4"/>
  <c r="P2071" i="4"/>
  <c r="M2071" i="4"/>
  <c r="L2071" i="4"/>
  <c r="K2071" i="4"/>
  <c r="J2071" i="4"/>
  <c r="I2071" i="4"/>
  <c r="R2071" i="4" s="1"/>
  <c r="N2071" i="4" s="1"/>
  <c r="R2070" i="4"/>
  <c r="Q2070" i="4"/>
  <c r="M2070" i="4"/>
  <c r="L2070" i="4"/>
  <c r="K2070" i="4"/>
  <c r="J2070" i="4"/>
  <c r="I2070" i="4"/>
  <c r="P2070" i="4" s="1"/>
  <c r="Q2069" i="4"/>
  <c r="M2069" i="4"/>
  <c r="L2069" i="4"/>
  <c r="K2069" i="4"/>
  <c r="J2069" i="4"/>
  <c r="I2069" i="4"/>
  <c r="Q2068" i="4"/>
  <c r="L2068" i="4"/>
  <c r="K2068" i="4"/>
  <c r="J2068" i="4"/>
  <c r="M2068" i="4" s="1"/>
  <c r="I2068" i="4"/>
  <c r="P2068" i="4" s="1"/>
  <c r="Q2067" i="4"/>
  <c r="O2067" i="4"/>
  <c r="M2067" i="4"/>
  <c r="L2067" i="4"/>
  <c r="K2067" i="4"/>
  <c r="J2067" i="4"/>
  <c r="I2067" i="4"/>
  <c r="R2067" i="4" s="1"/>
  <c r="N2067" i="4" s="1"/>
  <c r="Q2066" i="4"/>
  <c r="L2066" i="4"/>
  <c r="K2066" i="4"/>
  <c r="J2066" i="4"/>
  <c r="M2066" i="4" s="1"/>
  <c r="I2066" i="4"/>
  <c r="P2066" i="4" s="1"/>
  <c r="Q2065" i="4"/>
  <c r="P2065" i="4"/>
  <c r="O2065" i="4"/>
  <c r="M2065" i="4"/>
  <c r="L2065" i="4"/>
  <c r="K2065" i="4"/>
  <c r="J2065" i="4"/>
  <c r="I2065" i="4"/>
  <c r="R2065" i="4" s="1"/>
  <c r="N2065" i="4" s="1"/>
  <c r="Q2064" i="4"/>
  <c r="M2064" i="4"/>
  <c r="L2064" i="4"/>
  <c r="K2064" i="4"/>
  <c r="J2064" i="4"/>
  <c r="I2064" i="4"/>
  <c r="P2064" i="4" s="1"/>
  <c r="Q2063" i="4"/>
  <c r="P2063" i="4"/>
  <c r="M2063" i="4"/>
  <c r="L2063" i="4"/>
  <c r="K2063" i="4"/>
  <c r="J2063" i="4"/>
  <c r="I2063" i="4"/>
  <c r="R2063" i="4" s="1"/>
  <c r="N2063" i="4" s="1"/>
  <c r="R2062" i="4"/>
  <c r="Q2062" i="4"/>
  <c r="M2062" i="4"/>
  <c r="L2062" i="4"/>
  <c r="K2062" i="4"/>
  <c r="J2062" i="4"/>
  <c r="I2062" i="4"/>
  <c r="P2062" i="4" s="1"/>
  <c r="Q2061" i="4"/>
  <c r="M2061" i="4"/>
  <c r="L2061" i="4"/>
  <c r="K2061" i="4"/>
  <c r="J2061" i="4"/>
  <c r="I2061" i="4"/>
  <c r="Q2060" i="4"/>
  <c r="L2060" i="4"/>
  <c r="K2060" i="4"/>
  <c r="J2060" i="4"/>
  <c r="M2060" i="4" s="1"/>
  <c r="I2060" i="4"/>
  <c r="P2060" i="4" s="1"/>
  <c r="Q2059" i="4"/>
  <c r="O2059" i="4"/>
  <c r="M2059" i="4"/>
  <c r="L2059" i="4"/>
  <c r="K2059" i="4"/>
  <c r="J2059" i="4"/>
  <c r="I2059" i="4"/>
  <c r="R2059" i="4" s="1"/>
  <c r="N2059" i="4" s="1"/>
  <c r="Q2058" i="4"/>
  <c r="L2058" i="4"/>
  <c r="K2058" i="4"/>
  <c r="J2058" i="4"/>
  <c r="M2058" i="4" s="1"/>
  <c r="I2058" i="4"/>
  <c r="P2058" i="4" s="1"/>
  <c r="Q2057" i="4"/>
  <c r="P2057" i="4"/>
  <c r="O2057" i="4"/>
  <c r="M2057" i="4"/>
  <c r="L2057" i="4"/>
  <c r="K2057" i="4"/>
  <c r="J2057" i="4"/>
  <c r="I2057" i="4"/>
  <c r="R2057" i="4" s="1"/>
  <c r="N2057" i="4" s="1"/>
  <c r="Q2056" i="4"/>
  <c r="M2056" i="4"/>
  <c r="L2056" i="4"/>
  <c r="K2056" i="4"/>
  <c r="J2056" i="4"/>
  <c r="I2056" i="4"/>
  <c r="P2056" i="4" s="1"/>
  <c r="Q2055" i="4"/>
  <c r="P2055" i="4"/>
  <c r="M2055" i="4"/>
  <c r="L2055" i="4"/>
  <c r="K2055" i="4"/>
  <c r="J2055" i="4"/>
  <c r="I2055" i="4"/>
  <c r="R2055" i="4" s="1"/>
  <c r="N2055" i="4" s="1"/>
  <c r="Q2054" i="4"/>
  <c r="M2054" i="4"/>
  <c r="L2054" i="4"/>
  <c r="K2054" i="4"/>
  <c r="J2054" i="4"/>
  <c r="I2054" i="4"/>
  <c r="P2054" i="4" s="1"/>
  <c r="Q2053" i="4"/>
  <c r="M2053" i="4"/>
  <c r="L2053" i="4"/>
  <c r="K2053" i="4"/>
  <c r="J2053" i="4"/>
  <c r="I2053" i="4"/>
  <c r="Q2052" i="4"/>
  <c r="L2052" i="4"/>
  <c r="K2052" i="4"/>
  <c r="J2052" i="4"/>
  <c r="M2052" i="4" s="1"/>
  <c r="I2052" i="4"/>
  <c r="P2052" i="4" s="1"/>
  <c r="Q2051" i="4"/>
  <c r="O2051" i="4"/>
  <c r="M2051" i="4"/>
  <c r="L2051" i="4"/>
  <c r="K2051" i="4"/>
  <c r="J2051" i="4"/>
  <c r="I2051" i="4"/>
  <c r="R2051" i="4" s="1"/>
  <c r="N2051" i="4" s="1"/>
  <c r="Q2050" i="4"/>
  <c r="L2050" i="4"/>
  <c r="K2050" i="4"/>
  <c r="J2050" i="4"/>
  <c r="M2050" i="4" s="1"/>
  <c r="I2050" i="4"/>
  <c r="P2050" i="4" s="1"/>
  <c r="Q2049" i="4"/>
  <c r="P2049" i="4"/>
  <c r="O2049" i="4"/>
  <c r="M2049" i="4"/>
  <c r="L2049" i="4"/>
  <c r="K2049" i="4"/>
  <c r="J2049" i="4"/>
  <c r="I2049" i="4"/>
  <c r="R2049" i="4" s="1"/>
  <c r="N2049" i="4" s="1"/>
  <c r="Q2048" i="4"/>
  <c r="M2048" i="4"/>
  <c r="L2048" i="4"/>
  <c r="K2048" i="4"/>
  <c r="J2048" i="4"/>
  <c r="I2048" i="4"/>
  <c r="P2048" i="4" s="1"/>
  <c r="Q2047" i="4"/>
  <c r="P2047" i="4"/>
  <c r="M2047" i="4"/>
  <c r="L2047" i="4"/>
  <c r="K2047" i="4"/>
  <c r="J2047" i="4"/>
  <c r="I2047" i="4"/>
  <c r="R2047" i="4" s="1"/>
  <c r="N2047" i="4" s="1"/>
  <c r="Q2046" i="4"/>
  <c r="M2046" i="4"/>
  <c r="L2046" i="4"/>
  <c r="K2046" i="4"/>
  <c r="J2046" i="4"/>
  <c r="I2046" i="4"/>
  <c r="P2046" i="4" s="1"/>
  <c r="Q2045" i="4"/>
  <c r="M2045" i="4"/>
  <c r="L2045" i="4"/>
  <c r="K2045" i="4"/>
  <c r="J2045" i="4"/>
  <c r="I2045" i="4"/>
  <c r="Q2044" i="4"/>
  <c r="L2044" i="4"/>
  <c r="K2044" i="4"/>
  <c r="J2044" i="4"/>
  <c r="M2044" i="4" s="1"/>
  <c r="I2044" i="4"/>
  <c r="P2044" i="4" s="1"/>
  <c r="Q2043" i="4"/>
  <c r="O2043" i="4"/>
  <c r="M2043" i="4"/>
  <c r="L2043" i="4"/>
  <c r="K2043" i="4"/>
  <c r="J2043" i="4"/>
  <c r="I2043" i="4"/>
  <c r="R2043" i="4" s="1"/>
  <c r="N2043" i="4" s="1"/>
  <c r="Q2042" i="4"/>
  <c r="L2042" i="4"/>
  <c r="K2042" i="4"/>
  <c r="J2042" i="4"/>
  <c r="M2042" i="4" s="1"/>
  <c r="I2042" i="4"/>
  <c r="P2042" i="4" s="1"/>
  <c r="Q2041" i="4"/>
  <c r="P2041" i="4"/>
  <c r="O2041" i="4"/>
  <c r="M2041" i="4"/>
  <c r="L2041" i="4"/>
  <c r="K2041" i="4"/>
  <c r="J2041" i="4"/>
  <c r="I2041" i="4"/>
  <c r="R2041" i="4" s="1"/>
  <c r="N2041" i="4" s="1"/>
  <c r="Q2040" i="4"/>
  <c r="M2040" i="4"/>
  <c r="L2040" i="4"/>
  <c r="K2040" i="4"/>
  <c r="J2040" i="4"/>
  <c r="I2040" i="4"/>
  <c r="P2040" i="4" s="1"/>
  <c r="Q2039" i="4"/>
  <c r="P2039" i="4"/>
  <c r="M2039" i="4"/>
  <c r="L2039" i="4"/>
  <c r="K2039" i="4"/>
  <c r="J2039" i="4"/>
  <c r="I2039" i="4"/>
  <c r="R2039" i="4" s="1"/>
  <c r="N2039" i="4" s="1"/>
  <c r="R2038" i="4"/>
  <c r="Q2038" i="4"/>
  <c r="M2038" i="4"/>
  <c r="L2038" i="4"/>
  <c r="K2038" i="4"/>
  <c r="J2038" i="4"/>
  <c r="I2038" i="4"/>
  <c r="P2038" i="4" s="1"/>
  <c r="Q2037" i="4"/>
  <c r="M2037" i="4"/>
  <c r="L2037" i="4"/>
  <c r="K2037" i="4"/>
  <c r="J2037" i="4"/>
  <c r="I2037" i="4"/>
  <c r="Q2036" i="4"/>
  <c r="L2036" i="4"/>
  <c r="K2036" i="4"/>
  <c r="J2036" i="4"/>
  <c r="M2036" i="4" s="1"/>
  <c r="I2036" i="4"/>
  <c r="P2036" i="4" s="1"/>
  <c r="Q2035" i="4"/>
  <c r="O2035" i="4"/>
  <c r="M2035" i="4"/>
  <c r="L2035" i="4"/>
  <c r="K2035" i="4"/>
  <c r="J2035" i="4"/>
  <c r="I2035" i="4"/>
  <c r="R2035" i="4" s="1"/>
  <c r="N2035" i="4" s="1"/>
  <c r="Q2034" i="4"/>
  <c r="L2034" i="4"/>
  <c r="K2034" i="4"/>
  <c r="J2034" i="4"/>
  <c r="M2034" i="4" s="1"/>
  <c r="I2034" i="4"/>
  <c r="P2034" i="4" s="1"/>
  <c r="Q2033" i="4"/>
  <c r="P2033" i="4"/>
  <c r="O2033" i="4"/>
  <c r="M2033" i="4"/>
  <c r="L2033" i="4"/>
  <c r="K2033" i="4"/>
  <c r="J2033" i="4"/>
  <c r="I2033" i="4"/>
  <c r="R2033" i="4" s="1"/>
  <c r="N2033" i="4" s="1"/>
  <c r="Q2032" i="4"/>
  <c r="M2032" i="4"/>
  <c r="L2032" i="4"/>
  <c r="K2032" i="4"/>
  <c r="J2032" i="4"/>
  <c r="I2032" i="4"/>
  <c r="P2032" i="4" s="1"/>
  <c r="Q2031" i="4"/>
  <c r="P2031" i="4"/>
  <c r="M2031" i="4"/>
  <c r="L2031" i="4"/>
  <c r="K2031" i="4"/>
  <c r="J2031" i="4"/>
  <c r="I2031" i="4"/>
  <c r="R2031" i="4" s="1"/>
  <c r="N2031" i="4" s="1"/>
  <c r="R2030" i="4"/>
  <c r="Q2030" i="4"/>
  <c r="M2030" i="4"/>
  <c r="L2030" i="4"/>
  <c r="K2030" i="4"/>
  <c r="J2030" i="4"/>
  <c r="I2030" i="4"/>
  <c r="P2030" i="4" s="1"/>
  <c r="Q2029" i="4"/>
  <c r="M2029" i="4"/>
  <c r="L2029" i="4"/>
  <c r="K2029" i="4"/>
  <c r="J2029" i="4"/>
  <c r="I2029" i="4"/>
  <c r="Q2028" i="4"/>
  <c r="L2028" i="4"/>
  <c r="K2028" i="4"/>
  <c r="J2028" i="4"/>
  <c r="M2028" i="4" s="1"/>
  <c r="I2028" i="4"/>
  <c r="P2028" i="4" s="1"/>
  <c r="Q2027" i="4"/>
  <c r="O2027" i="4"/>
  <c r="M2027" i="4"/>
  <c r="L2027" i="4"/>
  <c r="K2027" i="4"/>
  <c r="J2027" i="4"/>
  <c r="I2027" i="4"/>
  <c r="R2027" i="4" s="1"/>
  <c r="N2027" i="4" s="1"/>
  <c r="Q2026" i="4"/>
  <c r="L2026" i="4"/>
  <c r="K2026" i="4"/>
  <c r="J2026" i="4"/>
  <c r="M2026" i="4" s="1"/>
  <c r="I2026" i="4"/>
  <c r="P2026" i="4" s="1"/>
  <c r="Q2025" i="4"/>
  <c r="P2025" i="4"/>
  <c r="O2025" i="4"/>
  <c r="M2025" i="4"/>
  <c r="L2025" i="4"/>
  <c r="K2025" i="4"/>
  <c r="J2025" i="4"/>
  <c r="I2025" i="4"/>
  <c r="R2025" i="4" s="1"/>
  <c r="N2025" i="4" s="1"/>
  <c r="Q2024" i="4"/>
  <c r="M2024" i="4"/>
  <c r="L2024" i="4"/>
  <c r="K2024" i="4"/>
  <c r="J2024" i="4"/>
  <c r="I2024" i="4"/>
  <c r="P2024" i="4" s="1"/>
  <c r="Q2023" i="4"/>
  <c r="P2023" i="4"/>
  <c r="M2023" i="4"/>
  <c r="L2023" i="4"/>
  <c r="K2023" i="4"/>
  <c r="J2023" i="4"/>
  <c r="I2023" i="4"/>
  <c r="R2023" i="4" s="1"/>
  <c r="N2023" i="4" s="1"/>
  <c r="Q2022" i="4"/>
  <c r="M2022" i="4"/>
  <c r="L2022" i="4"/>
  <c r="K2022" i="4"/>
  <c r="J2022" i="4"/>
  <c r="I2022" i="4"/>
  <c r="P2022" i="4" s="1"/>
  <c r="Q2021" i="4"/>
  <c r="M2021" i="4"/>
  <c r="L2021" i="4"/>
  <c r="K2021" i="4"/>
  <c r="J2021" i="4"/>
  <c r="I2021" i="4"/>
  <c r="Q2020" i="4"/>
  <c r="L2020" i="4"/>
  <c r="K2020" i="4"/>
  <c r="J2020" i="4"/>
  <c r="M2020" i="4" s="1"/>
  <c r="I2020" i="4"/>
  <c r="P2020" i="4" s="1"/>
  <c r="Q2019" i="4"/>
  <c r="O2019" i="4"/>
  <c r="M2019" i="4"/>
  <c r="L2019" i="4"/>
  <c r="K2019" i="4"/>
  <c r="J2019" i="4"/>
  <c r="I2019" i="4"/>
  <c r="R2019" i="4" s="1"/>
  <c r="N2019" i="4" s="1"/>
  <c r="Q2018" i="4"/>
  <c r="L2018" i="4"/>
  <c r="K2018" i="4"/>
  <c r="J2018" i="4"/>
  <c r="M2018" i="4" s="1"/>
  <c r="I2018" i="4"/>
  <c r="P2018" i="4" s="1"/>
  <c r="Q2017" i="4"/>
  <c r="P2017" i="4"/>
  <c r="O2017" i="4"/>
  <c r="M2017" i="4"/>
  <c r="L2017" i="4"/>
  <c r="K2017" i="4"/>
  <c r="J2017" i="4"/>
  <c r="I2017" i="4"/>
  <c r="R2017" i="4" s="1"/>
  <c r="N2017" i="4" s="1"/>
  <c r="Q2016" i="4"/>
  <c r="M2016" i="4"/>
  <c r="L2016" i="4"/>
  <c r="K2016" i="4"/>
  <c r="J2016" i="4"/>
  <c r="I2016" i="4"/>
  <c r="P2016" i="4" s="1"/>
  <c r="Q2015" i="4"/>
  <c r="P2015" i="4"/>
  <c r="M2015" i="4"/>
  <c r="L2015" i="4"/>
  <c r="K2015" i="4"/>
  <c r="J2015" i="4"/>
  <c r="I2015" i="4"/>
  <c r="R2015" i="4" s="1"/>
  <c r="N2015" i="4" s="1"/>
  <c r="R2014" i="4"/>
  <c r="Q2014" i="4"/>
  <c r="M2014" i="4"/>
  <c r="L2014" i="4"/>
  <c r="K2014" i="4"/>
  <c r="J2014" i="4"/>
  <c r="I2014" i="4"/>
  <c r="P2014" i="4" s="1"/>
  <c r="Q2013" i="4"/>
  <c r="M2013" i="4"/>
  <c r="L2013" i="4"/>
  <c r="K2013" i="4"/>
  <c r="J2013" i="4"/>
  <c r="I2013" i="4"/>
  <c r="Q2012" i="4"/>
  <c r="L2012" i="4"/>
  <c r="K2012" i="4"/>
  <c r="J2012" i="4"/>
  <c r="M2012" i="4" s="1"/>
  <c r="I2012" i="4"/>
  <c r="P2012" i="4" s="1"/>
  <c r="Q2011" i="4"/>
  <c r="O2011" i="4"/>
  <c r="M2011" i="4"/>
  <c r="L2011" i="4"/>
  <c r="K2011" i="4"/>
  <c r="J2011" i="4"/>
  <c r="I2011" i="4"/>
  <c r="R2011" i="4" s="1"/>
  <c r="N2011" i="4" s="1"/>
  <c r="Q2010" i="4"/>
  <c r="L2010" i="4"/>
  <c r="K2010" i="4"/>
  <c r="J2010" i="4"/>
  <c r="M2010" i="4" s="1"/>
  <c r="I2010" i="4"/>
  <c r="P2010" i="4" s="1"/>
  <c r="Q2009" i="4"/>
  <c r="P2009" i="4"/>
  <c r="O2009" i="4"/>
  <c r="M2009" i="4"/>
  <c r="L2009" i="4"/>
  <c r="K2009" i="4"/>
  <c r="J2009" i="4"/>
  <c r="I2009" i="4"/>
  <c r="R2009" i="4" s="1"/>
  <c r="N2009" i="4" s="1"/>
  <c r="Q2008" i="4"/>
  <c r="M2008" i="4"/>
  <c r="L2008" i="4"/>
  <c r="K2008" i="4"/>
  <c r="J2008" i="4"/>
  <c r="I2008" i="4"/>
  <c r="P2008" i="4" s="1"/>
  <c r="Q2007" i="4"/>
  <c r="P2007" i="4"/>
  <c r="M2007" i="4"/>
  <c r="L2007" i="4"/>
  <c r="K2007" i="4"/>
  <c r="J2007" i="4"/>
  <c r="I2007" i="4"/>
  <c r="R2007" i="4" s="1"/>
  <c r="N2007" i="4" s="1"/>
  <c r="R2006" i="4"/>
  <c r="Q2006" i="4"/>
  <c r="M2006" i="4"/>
  <c r="L2006" i="4"/>
  <c r="K2006" i="4"/>
  <c r="J2006" i="4"/>
  <c r="I2006" i="4"/>
  <c r="P2006" i="4" s="1"/>
  <c r="Q2005" i="4"/>
  <c r="N2005" i="4"/>
  <c r="L2005" i="4"/>
  <c r="K2005" i="4"/>
  <c r="J2005" i="4"/>
  <c r="M2005" i="4" s="1"/>
  <c r="I2005" i="4"/>
  <c r="R2005" i="4" s="1"/>
  <c r="O2005" i="4" s="1"/>
  <c r="Q2004" i="4"/>
  <c r="P2004" i="4"/>
  <c r="M2004" i="4"/>
  <c r="L2004" i="4"/>
  <c r="K2004" i="4"/>
  <c r="J2004" i="4"/>
  <c r="I2004" i="4"/>
  <c r="R2004" i="4" s="1"/>
  <c r="R2003" i="4"/>
  <c r="O2003" i="4" s="1"/>
  <c r="Q2003" i="4"/>
  <c r="L2003" i="4"/>
  <c r="K2003" i="4"/>
  <c r="J2003" i="4"/>
  <c r="M2003" i="4" s="1"/>
  <c r="I2003" i="4"/>
  <c r="P2003" i="4" s="1"/>
  <c r="Q2002" i="4"/>
  <c r="P2002" i="4"/>
  <c r="M2002" i="4"/>
  <c r="L2002" i="4"/>
  <c r="K2002" i="4"/>
  <c r="J2002" i="4"/>
  <c r="I2002" i="4"/>
  <c r="R2002" i="4" s="1"/>
  <c r="R2001" i="4"/>
  <c r="O2001" i="4" s="1"/>
  <c r="Q2001" i="4"/>
  <c r="N2001" i="4"/>
  <c r="L2001" i="4"/>
  <c r="K2001" i="4"/>
  <c r="J2001" i="4"/>
  <c r="M2001" i="4" s="1"/>
  <c r="I2001" i="4"/>
  <c r="P2001" i="4" s="1"/>
  <c r="Q2000" i="4"/>
  <c r="P2000" i="4"/>
  <c r="M2000" i="4"/>
  <c r="L2000" i="4"/>
  <c r="K2000" i="4"/>
  <c r="J2000" i="4"/>
  <c r="I2000" i="4"/>
  <c r="R2000" i="4" s="1"/>
  <c r="R1999" i="4"/>
  <c r="O1999" i="4" s="1"/>
  <c r="Q1999" i="4"/>
  <c r="L1999" i="4"/>
  <c r="K1999" i="4"/>
  <c r="J1999" i="4"/>
  <c r="M1999" i="4" s="1"/>
  <c r="I1999" i="4"/>
  <c r="P1999" i="4" s="1"/>
  <c r="Q1998" i="4"/>
  <c r="P1998" i="4"/>
  <c r="M1998" i="4"/>
  <c r="L1998" i="4"/>
  <c r="K1998" i="4"/>
  <c r="J1998" i="4"/>
  <c r="I1998" i="4"/>
  <c r="R1998" i="4" s="1"/>
  <c r="R1997" i="4"/>
  <c r="O1997" i="4" s="1"/>
  <c r="Q1997" i="4"/>
  <c r="N1997" i="4"/>
  <c r="L1997" i="4"/>
  <c r="K1997" i="4"/>
  <c r="J1997" i="4"/>
  <c r="M1997" i="4" s="1"/>
  <c r="I1997" i="4"/>
  <c r="P1997" i="4" s="1"/>
  <c r="Q1996" i="4"/>
  <c r="P1996" i="4"/>
  <c r="M1996" i="4"/>
  <c r="L1996" i="4"/>
  <c r="K1996" i="4"/>
  <c r="J1996" i="4"/>
  <c r="I1996" i="4"/>
  <c r="R1996" i="4" s="1"/>
  <c r="R1995" i="4"/>
  <c r="O1995" i="4" s="1"/>
  <c r="Q1995" i="4"/>
  <c r="L1995" i="4"/>
  <c r="K1995" i="4"/>
  <c r="J1995" i="4"/>
  <c r="M1995" i="4" s="1"/>
  <c r="I1995" i="4"/>
  <c r="P1995" i="4" s="1"/>
  <c r="Q1994" i="4"/>
  <c r="P1994" i="4"/>
  <c r="M1994" i="4"/>
  <c r="L1994" i="4"/>
  <c r="K1994" i="4"/>
  <c r="J1994" i="4"/>
  <c r="I1994" i="4"/>
  <c r="R1994" i="4" s="1"/>
  <c r="R1993" i="4"/>
  <c r="O1993" i="4" s="1"/>
  <c r="Q1993" i="4"/>
  <c r="N1993" i="4"/>
  <c r="L1993" i="4"/>
  <c r="K1993" i="4"/>
  <c r="J1993" i="4"/>
  <c r="M1993" i="4" s="1"/>
  <c r="I1993" i="4"/>
  <c r="P1993" i="4" s="1"/>
  <c r="Q1992" i="4"/>
  <c r="P1992" i="4"/>
  <c r="M1992" i="4"/>
  <c r="L1992" i="4"/>
  <c r="K1992" i="4"/>
  <c r="J1992" i="4"/>
  <c r="I1992" i="4"/>
  <c r="R1992" i="4" s="1"/>
  <c r="R1991" i="4"/>
  <c r="O1991" i="4" s="1"/>
  <c r="Q1991" i="4"/>
  <c r="L1991" i="4"/>
  <c r="K1991" i="4"/>
  <c r="J1991" i="4"/>
  <c r="M1991" i="4" s="1"/>
  <c r="I1991" i="4"/>
  <c r="P1991" i="4" s="1"/>
  <c r="Q1990" i="4"/>
  <c r="P1990" i="4"/>
  <c r="M1990" i="4"/>
  <c r="L1990" i="4"/>
  <c r="K1990" i="4"/>
  <c r="J1990" i="4"/>
  <c r="I1990" i="4"/>
  <c r="R1990" i="4" s="1"/>
  <c r="R1989" i="4"/>
  <c r="O1989" i="4" s="1"/>
  <c r="Q1989" i="4"/>
  <c r="N1989" i="4"/>
  <c r="L1989" i="4"/>
  <c r="K1989" i="4"/>
  <c r="J1989" i="4"/>
  <c r="M1989" i="4" s="1"/>
  <c r="I1989" i="4"/>
  <c r="P1989" i="4" s="1"/>
  <c r="Q1988" i="4"/>
  <c r="P1988" i="4"/>
  <c r="M1988" i="4"/>
  <c r="L1988" i="4"/>
  <c r="K1988" i="4"/>
  <c r="J1988" i="4"/>
  <c r="I1988" i="4"/>
  <c r="R1988" i="4" s="1"/>
  <c r="R1987" i="4"/>
  <c r="O1987" i="4" s="1"/>
  <c r="Q1987" i="4"/>
  <c r="L1987" i="4"/>
  <c r="K1987" i="4"/>
  <c r="J1987" i="4"/>
  <c r="M1987" i="4" s="1"/>
  <c r="I1987" i="4"/>
  <c r="P1987" i="4" s="1"/>
  <c r="Q1986" i="4"/>
  <c r="P1986" i="4"/>
  <c r="M1986" i="4"/>
  <c r="L1986" i="4"/>
  <c r="K1986" i="4"/>
  <c r="J1986" i="4"/>
  <c r="I1986" i="4"/>
  <c r="R1986" i="4" s="1"/>
  <c r="R1985" i="4"/>
  <c r="O1985" i="4" s="1"/>
  <c r="Q1985" i="4"/>
  <c r="N1985" i="4"/>
  <c r="L1985" i="4"/>
  <c r="K1985" i="4"/>
  <c r="J1985" i="4"/>
  <c r="M1985" i="4" s="1"/>
  <c r="I1985" i="4"/>
  <c r="P1985" i="4" s="1"/>
  <c r="Q1984" i="4"/>
  <c r="P1984" i="4"/>
  <c r="M1984" i="4"/>
  <c r="L1984" i="4"/>
  <c r="K1984" i="4"/>
  <c r="J1984" i="4"/>
  <c r="I1984" i="4"/>
  <c r="R1984" i="4" s="1"/>
  <c r="R1983" i="4"/>
  <c r="O1983" i="4" s="1"/>
  <c r="Q1983" i="4"/>
  <c r="L1983" i="4"/>
  <c r="K1983" i="4"/>
  <c r="J1983" i="4"/>
  <c r="M1983" i="4" s="1"/>
  <c r="I1983" i="4"/>
  <c r="P1983" i="4" s="1"/>
  <c r="Q1982" i="4"/>
  <c r="P1982" i="4"/>
  <c r="M1982" i="4"/>
  <c r="L1982" i="4"/>
  <c r="K1982" i="4"/>
  <c r="J1982" i="4"/>
  <c r="I1982" i="4"/>
  <c r="R1982" i="4" s="1"/>
  <c r="R1981" i="4"/>
  <c r="O1981" i="4" s="1"/>
  <c r="Q1981" i="4"/>
  <c r="N1981" i="4"/>
  <c r="L1981" i="4"/>
  <c r="K1981" i="4"/>
  <c r="J1981" i="4"/>
  <c r="M1981" i="4" s="1"/>
  <c r="I1981" i="4"/>
  <c r="P1981" i="4" s="1"/>
  <c r="Q1980" i="4"/>
  <c r="P1980" i="4"/>
  <c r="M1980" i="4"/>
  <c r="L1980" i="4"/>
  <c r="K1980" i="4"/>
  <c r="J1980" i="4"/>
  <c r="I1980" i="4"/>
  <c r="R1980" i="4" s="1"/>
  <c r="R1979" i="4"/>
  <c r="O1979" i="4" s="1"/>
  <c r="Q1979" i="4"/>
  <c r="L1979" i="4"/>
  <c r="K1979" i="4"/>
  <c r="J1979" i="4"/>
  <c r="M1979" i="4" s="1"/>
  <c r="I1979" i="4"/>
  <c r="P1979" i="4" s="1"/>
  <c r="Q1978" i="4"/>
  <c r="P1978" i="4"/>
  <c r="M1978" i="4"/>
  <c r="L1978" i="4"/>
  <c r="K1978" i="4"/>
  <c r="J1978" i="4"/>
  <c r="I1978" i="4"/>
  <c r="R1978" i="4" s="1"/>
  <c r="R1977" i="4"/>
  <c r="O1977" i="4" s="1"/>
  <c r="Q1977" i="4"/>
  <c r="N1977" i="4"/>
  <c r="L1977" i="4"/>
  <c r="K1977" i="4"/>
  <c r="J1977" i="4"/>
  <c r="M1977" i="4" s="1"/>
  <c r="I1977" i="4"/>
  <c r="P1977" i="4" s="1"/>
  <c r="Q1976" i="4"/>
  <c r="P1976" i="4"/>
  <c r="M1976" i="4"/>
  <c r="L1976" i="4"/>
  <c r="K1976" i="4"/>
  <c r="J1976" i="4"/>
  <c r="I1976" i="4"/>
  <c r="R1976" i="4" s="1"/>
  <c r="R1975" i="4"/>
  <c r="O1975" i="4" s="1"/>
  <c r="Q1975" i="4"/>
  <c r="L1975" i="4"/>
  <c r="K1975" i="4"/>
  <c r="J1975" i="4"/>
  <c r="M1975" i="4" s="1"/>
  <c r="I1975" i="4"/>
  <c r="P1975" i="4" s="1"/>
  <c r="Q1974" i="4"/>
  <c r="P1974" i="4"/>
  <c r="M1974" i="4"/>
  <c r="L1974" i="4"/>
  <c r="K1974" i="4"/>
  <c r="J1974" i="4"/>
  <c r="I1974" i="4"/>
  <c r="R1974" i="4" s="1"/>
  <c r="R1973" i="4"/>
  <c r="O1973" i="4" s="1"/>
  <c r="Q1973" i="4"/>
  <c r="N1973" i="4"/>
  <c r="L1973" i="4"/>
  <c r="K1973" i="4"/>
  <c r="J1973" i="4"/>
  <c r="M1973" i="4" s="1"/>
  <c r="I1973" i="4"/>
  <c r="P1973" i="4" s="1"/>
  <c r="Q1972" i="4"/>
  <c r="P1972" i="4"/>
  <c r="M1972" i="4"/>
  <c r="L1972" i="4"/>
  <c r="K1972" i="4"/>
  <c r="J1972" i="4"/>
  <c r="I1972" i="4"/>
  <c r="R1972" i="4" s="1"/>
  <c r="R1971" i="4"/>
  <c r="O1971" i="4" s="1"/>
  <c r="Q1971" i="4"/>
  <c r="L1971" i="4"/>
  <c r="K1971" i="4"/>
  <c r="J1971" i="4"/>
  <c r="M1971" i="4" s="1"/>
  <c r="I1971" i="4"/>
  <c r="P1971" i="4" s="1"/>
  <c r="Q1970" i="4"/>
  <c r="P1970" i="4"/>
  <c r="M1970" i="4"/>
  <c r="L1970" i="4"/>
  <c r="K1970" i="4"/>
  <c r="J1970" i="4"/>
  <c r="I1970" i="4"/>
  <c r="R1970" i="4" s="1"/>
  <c r="R1969" i="4"/>
  <c r="O1969" i="4" s="1"/>
  <c r="Q1969" i="4"/>
  <c r="N1969" i="4"/>
  <c r="L1969" i="4"/>
  <c r="K1969" i="4"/>
  <c r="J1969" i="4"/>
  <c r="M1969" i="4" s="1"/>
  <c r="I1969" i="4"/>
  <c r="P1969" i="4" s="1"/>
  <c r="Q1968" i="4"/>
  <c r="P1968" i="4"/>
  <c r="M1968" i="4"/>
  <c r="L1968" i="4"/>
  <c r="K1968" i="4"/>
  <c r="J1968" i="4"/>
  <c r="I1968" i="4"/>
  <c r="R1968" i="4" s="1"/>
  <c r="R1967" i="4"/>
  <c r="O1967" i="4" s="1"/>
  <c r="Q1967" i="4"/>
  <c r="L1967" i="4"/>
  <c r="K1967" i="4"/>
  <c r="J1967" i="4"/>
  <c r="M1967" i="4" s="1"/>
  <c r="I1967" i="4"/>
  <c r="P1967" i="4" s="1"/>
  <c r="Q1966" i="4"/>
  <c r="P1966" i="4"/>
  <c r="M1966" i="4"/>
  <c r="L1966" i="4"/>
  <c r="K1966" i="4"/>
  <c r="J1966" i="4"/>
  <c r="I1966" i="4"/>
  <c r="R1966" i="4" s="1"/>
  <c r="R1965" i="4"/>
  <c r="O1965" i="4" s="1"/>
  <c r="Q1965" i="4"/>
  <c r="N1965" i="4"/>
  <c r="L1965" i="4"/>
  <c r="K1965" i="4"/>
  <c r="J1965" i="4"/>
  <c r="M1965" i="4" s="1"/>
  <c r="I1965" i="4"/>
  <c r="P1965" i="4" s="1"/>
  <c r="Q1964" i="4"/>
  <c r="P1964" i="4"/>
  <c r="M1964" i="4"/>
  <c r="L1964" i="4"/>
  <c r="K1964" i="4"/>
  <c r="J1964" i="4"/>
  <c r="I1964" i="4"/>
  <c r="R1964" i="4" s="1"/>
  <c r="R1963" i="4"/>
  <c r="O1963" i="4" s="1"/>
  <c r="Q1963" i="4"/>
  <c r="L1963" i="4"/>
  <c r="K1963" i="4"/>
  <c r="J1963" i="4"/>
  <c r="M1963" i="4" s="1"/>
  <c r="I1963" i="4"/>
  <c r="P1963" i="4" s="1"/>
  <c r="Q1962" i="4"/>
  <c r="P1962" i="4"/>
  <c r="M1962" i="4"/>
  <c r="L1962" i="4"/>
  <c r="K1962" i="4"/>
  <c r="J1962" i="4"/>
  <c r="I1962" i="4"/>
  <c r="R1962" i="4" s="1"/>
  <c r="Q1961" i="4"/>
  <c r="L1961" i="4"/>
  <c r="K1961" i="4"/>
  <c r="J1961" i="4"/>
  <c r="M1961" i="4" s="1"/>
  <c r="I1961" i="4"/>
  <c r="P1961" i="4" s="1"/>
  <c r="Q1960" i="4"/>
  <c r="P1960" i="4"/>
  <c r="O1960" i="4"/>
  <c r="M1960" i="4"/>
  <c r="L1960" i="4"/>
  <c r="K1960" i="4"/>
  <c r="J1960" i="4"/>
  <c r="I1960" i="4"/>
  <c r="R1960" i="4" s="1"/>
  <c r="N1960" i="4" s="1"/>
  <c r="Q1959" i="4"/>
  <c r="L1959" i="4"/>
  <c r="K1959" i="4"/>
  <c r="J1959" i="4"/>
  <c r="M1959" i="4" s="1"/>
  <c r="I1959" i="4"/>
  <c r="P1959" i="4" s="1"/>
  <c r="Q1958" i="4"/>
  <c r="P1958" i="4"/>
  <c r="O1958" i="4"/>
  <c r="M1958" i="4"/>
  <c r="L1958" i="4"/>
  <c r="K1958" i="4"/>
  <c r="J1958" i="4"/>
  <c r="I1958" i="4"/>
  <c r="R1958" i="4" s="1"/>
  <c r="N1958" i="4" s="1"/>
  <c r="Q1957" i="4"/>
  <c r="L1957" i="4"/>
  <c r="K1957" i="4"/>
  <c r="J1957" i="4"/>
  <c r="M1957" i="4" s="1"/>
  <c r="I1957" i="4"/>
  <c r="P1957" i="4" s="1"/>
  <c r="Q1956" i="4"/>
  <c r="P1956" i="4"/>
  <c r="O1956" i="4"/>
  <c r="M1956" i="4"/>
  <c r="L1956" i="4"/>
  <c r="K1956" i="4"/>
  <c r="J1956" i="4"/>
  <c r="I1956" i="4"/>
  <c r="R1956" i="4" s="1"/>
  <c r="N1956" i="4" s="1"/>
  <c r="Q1955" i="4"/>
  <c r="L1955" i="4"/>
  <c r="K1955" i="4"/>
  <c r="J1955" i="4"/>
  <c r="M1955" i="4" s="1"/>
  <c r="I1955" i="4"/>
  <c r="P1955" i="4" s="1"/>
  <c r="Q1954" i="4"/>
  <c r="P1954" i="4"/>
  <c r="O1954" i="4"/>
  <c r="M1954" i="4"/>
  <c r="L1954" i="4"/>
  <c r="K1954" i="4"/>
  <c r="J1954" i="4"/>
  <c r="I1954" i="4"/>
  <c r="R1954" i="4" s="1"/>
  <c r="N1954" i="4" s="1"/>
  <c r="Q1953" i="4"/>
  <c r="L1953" i="4"/>
  <c r="K1953" i="4"/>
  <c r="J1953" i="4"/>
  <c r="M1953" i="4" s="1"/>
  <c r="I1953" i="4"/>
  <c r="P1953" i="4" s="1"/>
  <c r="Q1952" i="4"/>
  <c r="P1952" i="4"/>
  <c r="O1952" i="4"/>
  <c r="M1952" i="4"/>
  <c r="L1952" i="4"/>
  <c r="K1952" i="4"/>
  <c r="J1952" i="4"/>
  <c r="I1952" i="4"/>
  <c r="R1952" i="4" s="1"/>
  <c r="N1952" i="4" s="1"/>
  <c r="Q1951" i="4"/>
  <c r="L1951" i="4"/>
  <c r="K1951" i="4"/>
  <c r="J1951" i="4"/>
  <c r="M1951" i="4" s="1"/>
  <c r="I1951" i="4"/>
  <c r="P1951" i="4" s="1"/>
  <c r="Q1950" i="4"/>
  <c r="P1950" i="4"/>
  <c r="O1950" i="4"/>
  <c r="M1950" i="4"/>
  <c r="L1950" i="4"/>
  <c r="K1950" i="4"/>
  <c r="J1950" i="4"/>
  <c r="I1950" i="4"/>
  <c r="R1950" i="4" s="1"/>
  <c r="N1950" i="4" s="1"/>
  <c r="Q1949" i="4"/>
  <c r="L1949" i="4"/>
  <c r="K1949" i="4"/>
  <c r="J1949" i="4"/>
  <c r="M1949" i="4" s="1"/>
  <c r="I1949" i="4"/>
  <c r="P1949" i="4" s="1"/>
  <c r="Q1948" i="4"/>
  <c r="P1948" i="4"/>
  <c r="O1948" i="4"/>
  <c r="M1948" i="4"/>
  <c r="L1948" i="4"/>
  <c r="K1948" i="4"/>
  <c r="J1948" i="4"/>
  <c r="I1948" i="4"/>
  <c r="R1948" i="4" s="1"/>
  <c r="N1948" i="4" s="1"/>
  <c r="Q1947" i="4"/>
  <c r="L1947" i="4"/>
  <c r="K1947" i="4"/>
  <c r="J1947" i="4"/>
  <c r="M1947" i="4" s="1"/>
  <c r="I1947" i="4"/>
  <c r="P1947" i="4" s="1"/>
  <c r="Q1946" i="4"/>
  <c r="P1946" i="4"/>
  <c r="O1946" i="4"/>
  <c r="M1946" i="4"/>
  <c r="L1946" i="4"/>
  <c r="K1946" i="4"/>
  <c r="J1946" i="4"/>
  <c r="I1946" i="4"/>
  <c r="R1946" i="4" s="1"/>
  <c r="N1946" i="4" s="1"/>
  <c r="Q1945" i="4"/>
  <c r="L1945" i="4"/>
  <c r="K1945" i="4"/>
  <c r="J1945" i="4"/>
  <c r="M1945" i="4" s="1"/>
  <c r="I1945" i="4"/>
  <c r="P1945" i="4" s="1"/>
  <c r="Q1944" i="4"/>
  <c r="P1944" i="4"/>
  <c r="O1944" i="4"/>
  <c r="M1944" i="4"/>
  <c r="L1944" i="4"/>
  <c r="K1944" i="4"/>
  <c r="J1944" i="4"/>
  <c r="I1944" i="4"/>
  <c r="R1944" i="4" s="1"/>
  <c r="N1944" i="4" s="1"/>
  <c r="Q1943" i="4"/>
  <c r="L1943" i="4"/>
  <c r="K1943" i="4"/>
  <c r="J1943" i="4"/>
  <c r="M1943" i="4" s="1"/>
  <c r="I1943" i="4"/>
  <c r="P1943" i="4" s="1"/>
  <c r="Q1942" i="4"/>
  <c r="P1942" i="4"/>
  <c r="O1942" i="4"/>
  <c r="M1942" i="4"/>
  <c r="L1942" i="4"/>
  <c r="K1942" i="4"/>
  <c r="J1942" i="4"/>
  <c r="I1942" i="4"/>
  <c r="R1942" i="4" s="1"/>
  <c r="N1942" i="4" s="1"/>
  <c r="Q1941" i="4"/>
  <c r="L1941" i="4"/>
  <c r="K1941" i="4"/>
  <c r="J1941" i="4"/>
  <c r="M1941" i="4" s="1"/>
  <c r="I1941" i="4"/>
  <c r="P1941" i="4" s="1"/>
  <c r="Q1940" i="4"/>
  <c r="P1940" i="4"/>
  <c r="M1940" i="4"/>
  <c r="L1940" i="4"/>
  <c r="K1940" i="4"/>
  <c r="J1940" i="4"/>
  <c r="I1940" i="4"/>
  <c r="R1940" i="4" s="1"/>
  <c r="N1940" i="4" s="1"/>
  <c r="Q1939" i="4"/>
  <c r="M1939" i="4"/>
  <c r="L1939" i="4"/>
  <c r="K1939" i="4"/>
  <c r="J1939" i="4"/>
  <c r="I1939" i="4"/>
  <c r="P1939" i="4" s="1"/>
  <c r="Q1938" i="4"/>
  <c r="P1938" i="4"/>
  <c r="M1938" i="4"/>
  <c r="L1938" i="4"/>
  <c r="K1938" i="4"/>
  <c r="J1938" i="4"/>
  <c r="I1938" i="4"/>
  <c r="R1938" i="4" s="1"/>
  <c r="N1938" i="4" s="1"/>
  <c r="Q1937" i="4"/>
  <c r="M1937" i="4"/>
  <c r="L1937" i="4"/>
  <c r="K1937" i="4"/>
  <c r="J1937" i="4"/>
  <c r="I1937" i="4"/>
  <c r="P1937" i="4" s="1"/>
  <c r="Q1936" i="4"/>
  <c r="P1936" i="4"/>
  <c r="M1936" i="4"/>
  <c r="L1936" i="4"/>
  <c r="K1936" i="4"/>
  <c r="J1936" i="4"/>
  <c r="I1936" i="4"/>
  <c r="R1936" i="4" s="1"/>
  <c r="N1936" i="4" s="1"/>
  <c r="Q1935" i="4"/>
  <c r="M1935" i="4"/>
  <c r="L1935" i="4"/>
  <c r="K1935" i="4"/>
  <c r="J1935" i="4"/>
  <c r="I1935" i="4"/>
  <c r="P1935" i="4" s="1"/>
  <c r="Q1934" i="4"/>
  <c r="P1934" i="4"/>
  <c r="M1934" i="4"/>
  <c r="L1934" i="4"/>
  <c r="K1934" i="4"/>
  <c r="J1934" i="4"/>
  <c r="I1934" i="4"/>
  <c r="R1934" i="4" s="1"/>
  <c r="N1934" i="4" s="1"/>
  <c r="Q1933" i="4"/>
  <c r="M1933" i="4"/>
  <c r="L1933" i="4"/>
  <c r="K1933" i="4"/>
  <c r="J1933" i="4"/>
  <c r="I1933" i="4"/>
  <c r="P1933" i="4" s="1"/>
  <c r="Q1932" i="4"/>
  <c r="P1932" i="4"/>
  <c r="M1932" i="4"/>
  <c r="L1932" i="4"/>
  <c r="K1932" i="4"/>
  <c r="J1932" i="4"/>
  <c r="I1932" i="4"/>
  <c r="R1932" i="4" s="1"/>
  <c r="N1932" i="4" s="1"/>
  <c r="Q1931" i="4"/>
  <c r="M1931" i="4"/>
  <c r="L1931" i="4"/>
  <c r="K1931" i="4"/>
  <c r="J1931" i="4"/>
  <c r="I1931" i="4"/>
  <c r="P1931" i="4" s="1"/>
  <c r="Q1930" i="4"/>
  <c r="P1930" i="4"/>
  <c r="M1930" i="4"/>
  <c r="L1930" i="4"/>
  <c r="K1930" i="4"/>
  <c r="J1930" i="4"/>
  <c r="I1930" i="4"/>
  <c r="R1930" i="4" s="1"/>
  <c r="N1930" i="4" s="1"/>
  <c r="Q1929" i="4"/>
  <c r="M1929" i="4"/>
  <c r="L1929" i="4"/>
  <c r="K1929" i="4"/>
  <c r="J1929" i="4"/>
  <c r="I1929" i="4"/>
  <c r="P1929" i="4" s="1"/>
  <c r="Q1928" i="4"/>
  <c r="P1928" i="4"/>
  <c r="M1928" i="4"/>
  <c r="L1928" i="4"/>
  <c r="K1928" i="4"/>
  <c r="J1928" i="4"/>
  <c r="I1928" i="4"/>
  <c r="R1928" i="4" s="1"/>
  <c r="N1928" i="4" s="1"/>
  <c r="Q1927" i="4"/>
  <c r="M1927" i="4"/>
  <c r="L1927" i="4"/>
  <c r="K1927" i="4"/>
  <c r="J1927" i="4"/>
  <c r="I1927" i="4"/>
  <c r="P1927" i="4" s="1"/>
  <c r="Q1926" i="4"/>
  <c r="P1926" i="4"/>
  <c r="M1926" i="4"/>
  <c r="L1926" i="4"/>
  <c r="K1926" i="4"/>
  <c r="J1926" i="4"/>
  <c r="I1926" i="4"/>
  <c r="R1926" i="4" s="1"/>
  <c r="N1926" i="4" s="1"/>
  <c r="Q1925" i="4"/>
  <c r="M1925" i="4"/>
  <c r="L1925" i="4"/>
  <c r="K1925" i="4"/>
  <c r="J1925" i="4"/>
  <c r="I1925" i="4"/>
  <c r="P1925" i="4" s="1"/>
  <c r="Q1924" i="4"/>
  <c r="P1924" i="4"/>
  <c r="M1924" i="4"/>
  <c r="L1924" i="4"/>
  <c r="K1924" i="4"/>
  <c r="J1924" i="4"/>
  <c r="I1924" i="4"/>
  <c r="R1924" i="4" s="1"/>
  <c r="N1924" i="4" s="1"/>
  <c r="Q1923" i="4"/>
  <c r="M1923" i="4"/>
  <c r="L1923" i="4"/>
  <c r="K1923" i="4"/>
  <c r="J1923" i="4"/>
  <c r="I1923" i="4"/>
  <c r="P1923" i="4" s="1"/>
  <c r="Q1922" i="4"/>
  <c r="P1922" i="4"/>
  <c r="M1922" i="4"/>
  <c r="L1922" i="4"/>
  <c r="K1922" i="4"/>
  <c r="J1922" i="4"/>
  <c r="I1922" i="4"/>
  <c r="R1922" i="4" s="1"/>
  <c r="N1922" i="4" s="1"/>
  <c r="Q1921" i="4"/>
  <c r="L1921" i="4"/>
  <c r="K1921" i="4"/>
  <c r="J1921" i="4"/>
  <c r="M1921" i="4" s="1"/>
  <c r="I1921" i="4"/>
  <c r="P1921" i="4" s="1"/>
  <c r="Q1920" i="4"/>
  <c r="P1920" i="4"/>
  <c r="O1920" i="4"/>
  <c r="M1920" i="4"/>
  <c r="L1920" i="4"/>
  <c r="K1920" i="4"/>
  <c r="J1920" i="4"/>
  <c r="I1920" i="4"/>
  <c r="R1920" i="4" s="1"/>
  <c r="N1920" i="4" s="1"/>
  <c r="Q1919" i="4"/>
  <c r="M1919" i="4"/>
  <c r="L1919" i="4"/>
  <c r="K1919" i="4"/>
  <c r="J1919" i="4"/>
  <c r="I1919" i="4"/>
  <c r="P1919" i="4" s="1"/>
  <c r="Q1918" i="4"/>
  <c r="M1918" i="4"/>
  <c r="L1918" i="4"/>
  <c r="K1918" i="4"/>
  <c r="J1918" i="4"/>
  <c r="I1918" i="4"/>
  <c r="R1918" i="4" s="1"/>
  <c r="N1918" i="4" s="1"/>
  <c r="Q1917" i="4"/>
  <c r="L1917" i="4"/>
  <c r="K1917" i="4"/>
  <c r="J1917" i="4"/>
  <c r="M1917" i="4" s="1"/>
  <c r="I1917" i="4"/>
  <c r="P1917" i="4" s="1"/>
  <c r="Q1916" i="4"/>
  <c r="O1916" i="4"/>
  <c r="M1916" i="4"/>
  <c r="L1916" i="4"/>
  <c r="K1916" i="4"/>
  <c r="J1916" i="4"/>
  <c r="I1916" i="4"/>
  <c r="R1916" i="4" s="1"/>
  <c r="N1916" i="4" s="1"/>
  <c r="Q1915" i="4"/>
  <c r="M1915" i="4"/>
  <c r="L1915" i="4"/>
  <c r="K1915" i="4"/>
  <c r="J1915" i="4"/>
  <c r="I1915" i="4"/>
  <c r="P1915" i="4" s="1"/>
  <c r="Q1914" i="4"/>
  <c r="P1914" i="4"/>
  <c r="M1914" i="4"/>
  <c r="L1914" i="4"/>
  <c r="K1914" i="4"/>
  <c r="J1914" i="4"/>
  <c r="I1914" i="4"/>
  <c r="R1914" i="4" s="1"/>
  <c r="N1914" i="4" s="1"/>
  <c r="Q1913" i="4"/>
  <c r="L1913" i="4"/>
  <c r="K1913" i="4"/>
  <c r="J1913" i="4"/>
  <c r="M1913" i="4" s="1"/>
  <c r="I1913" i="4"/>
  <c r="P1913" i="4" s="1"/>
  <c r="Q1912" i="4"/>
  <c r="P1912" i="4"/>
  <c r="O1912" i="4"/>
  <c r="M1912" i="4"/>
  <c r="L1912" i="4"/>
  <c r="K1912" i="4"/>
  <c r="J1912" i="4"/>
  <c r="I1912" i="4"/>
  <c r="R1912" i="4" s="1"/>
  <c r="N1912" i="4" s="1"/>
  <c r="Q1911" i="4"/>
  <c r="M1911" i="4"/>
  <c r="L1911" i="4"/>
  <c r="K1911" i="4"/>
  <c r="J1911" i="4"/>
  <c r="I1911" i="4"/>
  <c r="P1911" i="4" s="1"/>
  <c r="Q1910" i="4"/>
  <c r="M1910" i="4"/>
  <c r="L1910" i="4"/>
  <c r="K1910" i="4"/>
  <c r="J1910" i="4"/>
  <c r="I1910" i="4"/>
  <c r="R1910" i="4" s="1"/>
  <c r="N1910" i="4" s="1"/>
  <c r="Q1909" i="4"/>
  <c r="L1909" i="4"/>
  <c r="K1909" i="4"/>
  <c r="J1909" i="4"/>
  <c r="M1909" i="4" s="1"/>
  <c r="I1909" i="4"/>
  <c r="P1909" i="4" s="1"/>
  <c r="Q1908" i="4"/>
  <c r="O1908" i="4"/>
  <c r="M1908" i="4"/>
  <c r="L1908" i="4"/>
  <c r="K1908" i="4"/>
  <c r="J1908" i="4"/>
  <c r="I1908" i="4"/>
  <c r="R1908" i="4" s="1"/>
  <c r="N1908" i="4" s="1"/>
  <c r="Q1907" i="4"/>
  <c r="M1907" i="4"/>
  <c r="L1907" i="4"/>
  <c r="K1907" i="4"/>
  <c r="J1907" i="4"/>
  <c r="I1907" i="4"/>
  <c r="P1907" i="4" s="1"/>
  <c r="Q1906" i="4"/>
  <c r="P1906" i="4"/>
  <c r="M1906" i="4"/>
  <c r="L1906" i="4"/>
  <c r="K1906" i="4"/>
  <c r="J1906" i="4"/>
  <c r="I1906" i="4"/>
  <c r="R1906" i="4" s="1"/>
  <c r="N1906" i="4" s="1"/>
  <c r="Q1905" i="4"/>
  <c r="L1905" i="4"/>
  <c r="K1905" i="4"/>
  <c r="J1905" i="4"/>
  <c r="M1905" i="4" s="1"/>
  <c r="I1905" i="4"/>
  <c r="P1905" i="4" s="1"/>
  <c r="Q1904" i="4"/>
  <c r="P1904" i="4"/>
  <c r="O1904" i="4"/>
  <c r="M1904" i="4"/>
  <c r="L1904" i="4"/>
  <c r="K1904" i="4"/>
  <c r="J1904" i="4"/>
  <c r="I1904" i="4"/>
  <c r="R1904" i="4" s="1"/>
  <c r="N1904" i="4" s="1"/>
  <c r="Q1903" i="4"/>
  <c r="M1903" i="4"/>
  <c r="L1903" i="4"/>
  <c r="K1903" i="4"/>
  <c r="J1903" i="4"/>
  <c r="I1903" i="4"/>
  <c r="P1903" i="4" s="1"/>
  <c r="Q1902" i="4"/>
  <c r="M1902" i="4"/>
  <c r="L1902" i="4"/>
  <c r="K1902" i="4"/>
  <c r="J1902" i="4"/>
  <c r="I1902" i="4"/>
  <c r="R1902" i="4" s="1"/>
  <c r="N1902" i="4" s="1"/>
  <c r="Q1901" i="4"/>
  <c r="L1901" i="4"/>
  <c r="K1901" i="4"/>
  <c r="J1901" i="4"/>
  <c r="M1901" i="4" s="1"/>
  <c r="I1901" i="4"/>
  <c r="P1901" i="4" s="1"/>
  <c r="Q1900" i="4"/>
  <c r="O1900" i="4"/>
  <c r="M1900" i="4"/>
  <c r="L1900" i="4"/>
  <c r="K1900" i="4"/>
  <c r="J1900" i="4"/>
  <c r="I1900" i="4"/>
  <c r="R1900" i="4" s="1"/>
  <c r="N1900" i="4" s="1"/>
  <c r="Q1899" i="4"/>
  <c r="M1899" i="4"/>
  <c r="L1899" i="4"/>
  <c r="K1899" i="4"/>
  <c r="J1899" i="4"/>
  <c r="I1899" i="4"/>
  <c r="P1899" i="4" s="1"/>
  <c r="Q1898" i="4"/>
  <c r="P1898" i="4"/>
  <c r="M1898" i="4"/>
  <c r="L1898" i="4"/>
  <c r="K1898" i="4"/>
  <c r="J1898" i="4"/>
  <c r="I1898" i="4"/>
  <c r="R1898" i="4" s="1"/>
  <c r="N1898" i="4" s="1"/>
  <c r="Q1897" i="4"/>
  <c r="L1897" i="4"/>
  <c r="K1897" i="4"/>
  <c r="J1897" i="4"/>
  <c r="M1897" i="4" s="1"/>
  <c r="I1897" i="4"/>
  <c r="P1897" i="4" s="1"/>
  <c r="Q1896" i="4"/>
  <c r="P1896" i="4"/>
  <c r="O1896" i="4"/>
  <c r="M1896" i="4"/>
  <c r="L1896" i="4"/>
  <c r="K1896" i="4"/>
  <c r="J1896" i="4"/>
  <c r="I1896" i="4"/>
  <c r="R1896" i="4" s="1"/>
  <c r="N1896" i="4" s="1"/>
  <c r="Q1895" i="4"/>
  <c r="M1895" i="4"/>
  <c r="L1895" i="4"/>
  <c r="K1895" i="4"/>
  <c r="J1895" i="4"/>
  <c r="I1895" i="4"/>
  <c r="P1895" i="4" s="1"/>
  <c r="Q1894" i="4"/>
  <c r="M1894" i="4"/>
  <c r="L1894" i="4"/>
  <c r="K1894" i="4"/>
  <c r="J1894" i="4"/>
  <c r="I1894" i="4"/>
  <c r="R1894" i="4" s="1"/>
  <c r="N1894" i="4" s="1"/>
  <c r="Q1893" i="4"/>
  <c r="L1893" i="4"/>
  <c r="K1893" i="4"/>
  <c r="J1893" i="4"/>
  <c r="M1893" i="4" s="1"/>
  <c r="I1893" i="4"/>
  <c r="P1893" i="4" s="1"/>
  <c r="Q1892" i="4"/>
  <c r="O1892" i="4"/>
  <c r="M1892" i="4"/>
  <c r="L1892" i="4"/>
  <c r="K1892" i="4"/>
  <c r="J1892" i="4"/>
  <c r="I1892" i="4"/>
  <c r="R1892" i="4" s="1"/>
  <c r="N1892" i="4" s="1"/>
  <c r="Q1891" i="4"/>
  <c r="M1891" i="4"/>
  <c r="L1891" i="4"/>
  <c r="K1891" i="4"/>
  <c r="J1891" i="4"/>
  <c r="I1891" i="4"/>
  <c r="P1891" i="4" s="1"/>
  <c r="Q1890" i="4"/>
  <c r="P1890" i="4"/>
  <c r="M1890" i="4"/>
  <c r="L1890" i="4"/>
  <c r="K1890" i="4"/>
  <c r="J1890" i="4"/>
  <c r="I1890" i="4"/>
  <c r="R1890" i="4" s="1"/>
  <c r="N1890" i="4" s="1"/>
  <c r="Q1889" i="4"/>
  <c r="L1889" i="4"/>
  <c r="K1889" i="4"/>
  <c r="J1889" i="4"/>
  <c r="M1889" i="4" s="1"/>
  <c r="I1889" i="4"/>
  <c r="P1889" i="4" s="1"/>
  <c r="Q1888" i="4"/>
  <c r="P1888" i="4"/>
  <c r="O1888" i="4"/>
  <c r="M1888" i="4"/>
  <c r="L1888" i="4"/>
  <c r="K1888" i="4"/>
  <c r="J1888" i="4"/>
  <c r="I1888" i="4"/>
  <c r="R1888" i="4" s="1"/>
  <c r="N1888" i="4" s="1"/>
  <c r="Q1887" i="4"/>
  <c r="M1887" i="4"/>
  <c r="L1887" i="4"/>
  <c r="K1887" i="4"/>
  <c r="J1887" i="4"/>
  <c r="I1887" i="4"/>
  <c r="P1887" i="4" s="1"/>
  <c r="Q1886" i="4"/>
  <c r="M1886" i="4"/>
  <c r="L1886" i="4"/>
  <c r="K1886" i="4"/>
  <c r="J1886" i="4"/>
  <c r="I1886" i="4"/>
  <c r="R1886" i="4" s="1"/>
  <c r="N1886" i="4" s="1"/>
  <c r="Q1885" i="4"/>
  <c r="L1885" i="4"/>
  <c r="K1885" i="4"/>
  <c r="J1885" i="4"/>
  <c r="M1885" i="4" s="1"/>
  <c r="I1885" i="4"/>
  <c r="P1885" i="4" s="1"/>
  <c r="Q1884" i="4"/>
  <c r="O1884" i="4"/>
  <c r="M1884" i="4"/>
  <c r="L1884" i="4"/>
  <c r="K1884" i="4"/>
  <c r="J1884" i="4"/>
  <c r="I1884" i="4"/>
  <c r="R1884" i="4" s="1"/>
  <c r="N1884" i="4" s="1"/>
  <c r="Q1883" i="4"/>
  <c r="M1883" i="4"/>
  <c r="L1883" i="4"/>
  <c r="K1883" i="4"/>
  <c r="J1883" i="4"/>
  <c r="I1883" i="4"/>
  <c r="P1883" i="4" s="1"/>
  <c r="Q1882" i="4"/>
  <c r="P1882" i="4"/>
  <c r="M1882" i="4"/>
  <c r="L1882" i="4"/>
  <c r="K1882" i="4"/>
  <c r="J1882" i="4"/>
  <c r="I1882" i="4"/>
  <c r="R1882" i="4" s="1"/>
  <c r="N1882" i="4" s="1"/>
  <c r="Q1881" i="4"/>
  <c r="L1881" i="4"/>
  <c r="K1881" i="4"/>
  <c r="J1881" i="4"/>
  <c r="M1881" i="4" s="1"/>
  <c r="I1881" i="4"/>
  <c r="P1881" i="4" s="1"/>
  <c r="Q1880" i="4"/>
  <c r="P1880" i="4"/>
  <c r="O1880" i="4"/>
  <c r="M1880" i="4"/>
  <c r="L1880" i="4"/>
  <c r="K1880" i="4"/>
  <c r="J1880" i="4"/>
  <c r="I1880" i="4"/>
  <c r="R1880" i="4" s="1"/>
  <c r="N1880" i="4" s="1"/>
  <c r="Q1879" i="4"/>
  <c r="M1879" i="4"/>
  <c r="L1879" i="4"/>
  <c r="K1879" i="4"/>
  <c r="J1879" i="4"/>
  <c r="I1879" i="4"/>
  <c r="P1879" i="4" s="1"/>
  <c r="Q1878" i="4"/>
  <c r="M1878" i="4"/>
  <c r="L1878" i="4"/>
  <c r="K1878" i="4"/>
  <c r="J1878" i="4"/>
  <c r="I1878" i="4"/>
  <c r="R1878" i="4" s="1"/>
  <c r="N1878" i="4" s="1"/>
  <c r="Q1877" i="4"/>
  <c r="L1877" i="4"/>
  <c r="K1877" i="4"/>
  <c r="J1877" i="4"/>
  <c r="M1877" i="4" s="1"/>
  <c r="I1877" i="4"/>
  <c r="P1877" i="4" s="1"/>
  <c r="Q1876" i="4"/>
  <c r="O1876" i="4"/>
  <c r="M1876" i="4"/>
  <c r="L1876" i="4"/>
  <c r="K1876" i="4"/>
  <c r="J1876" i="4"/>
  <c r="I1876" i="4"/>
  <c r="R1876" i="4" s="1"/>
  <c r="N1876" i="4" s="1"/>
  <c r="Q1875" i="4"/>
  <c r="M1875" i="4"/>
  <c r="L1875" i="4"/>
  <c r="K1875" i="4"/>
  <c r="J1875" i="4"/>
  <c r="I1875" i="4"/>
  <c r="P1875" i="4" s="1"/>
  <c r="Q1874" i="4"/>
  <c r="P1874" i="4"/>
  <c r="M1874" i="4"/>
  <c r="L1874" i="4"/>
  <c r="K1874" i="4"/>
  <c r="J1874" i="4"/>
  <c r="I1874" i="4"/>
  <c r="R1874" i="4" s="1"/>
  <c r="N1874" i="4" s="1"/>
  <c r="Q1873" i="4"/>
  <c r="L1873" i="4"/>
  <c r="K1873" i="4"/>
  <c r="J1873" i="4"/>
  <c r="M1873" i="4" s="1"/>
  <c r="I1873" i="4"/>
  <c r="P1873" i="4" s="1"/>
  <c r="Q1872" i="4"/>
  <c r="P1872" i="4"/>
  <c r="O1872" i="4"/>
  <c r="M1872" i="4"/>
  <c r="L1872" i="4"/>
  <c r="K1872" i="4"/>
  <c r="J1872" i="4"/>
  <c r="I1872" i="4"/>
  <c r="R1872" i="4" s="1"/>
  <c r="N1872" i="4" s="1"/>
  <c r="Q1871" i="4"/>
  <c r="M1871" i="4"/>
  <c r="L1871" i="4"/>
  <c r="K1871" i="4"/>
  <c r="J1871" i="4"/>
  <c r="I1871" i="4"/>
  <c r="P1871" i="4" s="1"/>
  <c r="Q1870" i="4"/>
  <c r="M1870" i="4"/>
  <c r="L1870" i="4"/>
  <c r="K1870" i="4"/>
  <c r="J1870" i="4"/>
  <c r="I1870" i="4"/>
  <c r="R1870" i="4" s="1"/>
  <c r="N1870" i="4" s="1"/>
  <c r="Q1869" i="4"/>
  <c r="L1869" i="4"/>
  <c r="K1869" i="4"/>
  <c r="J1869" i="4"/>
  <c r="M1869" i="4" s="1"/>
  <c r="I1869" i="4"/>
  <c r="P1869" i="4" s="1"/>
  <c r="Q1868" i="4"/>
  <c r="O1868" i="4"/>
  <c r="M1868" i="4"/>
  <c r="L1868" i="4"/>
  <c r="K1868" i="4"/>
  <c r="J1868" i="4"/>
  <c r="I1868" i="4"/>
  <c r="R1868" i="4" s="1"/>
  <c r="N1868" i="4" s="1"/>
  <c r="Q1867" i="4"/>
  <c r="M1867" i="4"/>
  <c r="L1867" i="4"/>
  <c r="K1867" i="4"/>
  <c r="J1867" i="4"/>
  <c r="I1867" i="4"/>
  <c r="P1867" i="4" s="1"/>
  <c r="Q1866" i="4"/>
  <c r="P1866" i="4"/>
  <c r="M1866" i="4"/>
  <c r="L1866" i="4"/>
  <c r="K1866" i="4"/>
  <c r="J1866" i="4"/>
  <c r="I1866" i="4"/>
  <c r="R1866" i="4" s="1"/>
  <c r="N1866" i="4" s="1"/>
  <c r="Q1865" i="4"/>
  <c r="L1865" i="4"/>
  <c r="K1865" i="4"/>
  <c r="J1865" i="4"/>
  <c r="M1865" i="4" s="1"/>
  <c r="I1865" i="4"/>
  <c r="P1865" i="4" s="1"/>
  <c r="Q1864" i="4"/>
  <c r="P1864" i="4"/>
  <c r="O1864" i="4"/>
  <c r="M1864" i="4"/>
  <c r="L1864" i="4"/>
  <c r="K1864" i="4"/>
  <c r="J1864" i="4"/>
  <c r="I1864" i="4"/>
  <c r="R1864" i="4" s="1"/>
  <c r="N1864" i="4" s="1"/>
  <c r="Q1863" i="4"/>
  <c r="M1863" i="4"/>
  <c r="L1863" i="4"/>
  <c r="K1863" i="4"/>
  <c r="J1863" i="4"/>
  <c r="I1863" i="4"/>
  <c r="P1863" i="4" s="1"/>
  <c r="Q1862" i="4"/>
  <c r="M1862" i="4"/>
  <c r="L1862" i="4"/>
  <c r="K1862" i="4"/>
  <c r="J1862" i="4"/>
  <c r="I1862" i="4"/>
  <c r="R1862" i="4" s="1"/>
  <c r="N1862" i="4" s="1"/>
  <c r="Q1861" i="4"/>
  <c r="L1861" i="4"/>
  <c r="K1861" i="4"/>
  <c r="J1861" i="4"/>
  <c r="M1861" i="4" s="1"/>
  <c r="I1861" i="4"/>
  <c r="P1861" i="4" s="1"/>
  <c r="Q1860" i="4"/>
  <c r="O1860" i="4"/>
  <c r="M1860" i="4"/>
  <c r="L1860" i="4"/>
  <c r="K1860" i="4"/>
  <c r="J1860" i="4"/>
  <c r="I1860" i="4"/>
  <c r="R1860" i="4" s="1"/>
  <c r="N1860" i="4" s="1"/>
  <c r="Q1859" i="4"/>
  <c r="M1859" i="4"/>
  <c r="L1859" i="4"/>
  <c r="K1859" i="4"/>
  <c r="J1859" i="4"/>
  <c r="I1859" i="4"/>
  <c r="P1859" i="4" s="1"/>
  <c r="Q1858" i="4"/>
  <c r="P1858" i="4"/>
  <c r="M1858" i="4"/>
  <c r="L1858" i="4"/>
  <c r="K1858" i="4"/>
  <c r="J1858" i="4"/>
  <c r="I1858" i="4"/>
  <c r="R1858" i="4" s="1"/>
  <c r="N1858" i="4" s="1"/>
  <c r="Q1857" i="4"/>
  <c r="L1857" i="4"/>
  <c r="K1857" i="4"/>
  <c r="J1857" i="4"/>
  <c r="M1857" i="4" s="1"/>
  <c r="I1857" i="4"/>
  <c r="P1857" i="4" s="1"/>
  <c r="Q1856" i="4"/>
  <c r="P1856" i="4"/>
  <c r="O1856" i="4"/>
  <c r="M1856" i="4"/>
  <c r="L1856" i="4"/>
  <c r="K1856" i="4"/>
  <c r="J1856" i="4"/>
  <c r="I1856" i="4"/>
  <c r="R1856" i="4" s="1"/>
  <c r="N1856" i="4" s="1"/>
  <c r="Q1855" i="4"/>
  <c r="M1855" i="4"/>
  <c r="L1855" i="4"/>
  <c r="K1855" i="4"/>
  <c r="J1855" i="4"/>
  <c r="I1855" i="4"/>
  <c r="P1855" i="4" s="1"/>
  <c r="Q1854" i="4"/>
  <c r="M1854" i="4"/>
  <c r="L1854" i="4"/>
  <c r="K1854" i="4"/>
  <c r="J1854" i="4"/>
  <c r="I1854" i="4"/>
  <c r="R1854" i="4" s="1"/>
  <c r="N1854" i="4" s="1"/>
  <c r="Q1853" i="4"/>
  <c r="L1853" i="4"/>
  <c r="K1853" i="4"/>
  <c r="J1853" i="4"/>
  <c r="M1853" i="4" s="1"/>
  <c r="I1853" i="4"/>
  <c r="P1853" i="4" s="1"/>
  <c r="Q1852" i="4"/>
  <c r="O1852" i="4"/>
  <c r="M1852" i="4"/>
  <c r="L1852" i="4"/>
  <c r="K1852" i="4"/>
  <c r="J1852" i="4"/>
  <c r="I1852" i="4"/>
  <c r="R1852" i="4" s="1"/>
  <c r="N1852" i="4" s="1"/>
  <c r="Q1851" i="4"/>
  <c r="M1851" i="4"/>
  <c r="L1851" i="4"/>
  <c r="K1851" i="4"/>
  <c r="J1851" i="4"/>
  <c r="I1851" i="4"/>
  <c r="P1851" i="4" s="1"/>
  <c r="Q1850" i="4"/>
  <c r="P1850" i="4"/>
  <c r="M1850" i="4"/>
  <c r="L1850" i="4"/>
  <c r="K1850" i="4"/>
  <c r="J1850" i="4"/>
  <c r="I1850" i="4"/>
  <c r="R1850" i="4" s="1"/>
  <c r="N1850" i="4" s="1"/>
  <c r="Q1849" i="4"/>
  <c r="L1849" i="4"/>
  <c r="K1849" i="4"/>
  <c r="J1849" i="4"/>
  <c r="M1849" i="4" s="1"/>
  <c r="I1849" i="4"/>
  <c r="P1849" i="4" s="1"/>
  <c r="Q1848" i="4"/>
  <c r="P1848" i="4"/>
  <c r="O1848" i="4"/>
  <c r="M1848" i="4"/>
  <c r="L1848" i="4"/>
  <c r="K1848" i="4"/>
  <c r="J1848" i="4"/>
  <c r="I1848" i="4"/>
  <c r="R1848" i="4" s="1"/>
  <c r="N1848" i="4" s="1"/>
  <c r="Q1847" i="4"/>
  <c r="M1847" i="4"/>
  <c r="L1847" i="4"/>
  <c r="K1847" i="4"/>
  <c r="J1847" i="4"/>
  <c r="I1847" i="4"/>
  <c r="P1847" i="4" s="1"/>
  <c r="Q1846" i="4"/>
  <c r="M1846" i="4"/>
  <c r="L1846" i="4"/>
  <c r="K1846" i="4"/>
  <c r="J1846" i="4"/>
  <c r="I1846" i="4"/>
  <c r="R1846" i="4" s="1"/>
  <c r="N1846" i="4" s="1"/>
  <c r="Q1845" i="4"/>
  <c r="L1845" i="4"/>
  <c r="K1845" i="4"/>
  <c r="J1845" i="4"/>
  <c r="M1845" i="4" s="1"/>
  <c r="I1845" i="4"/>
  <c r="P1845" i="4" s="1"/>
  <c r="Q1844" i="4"/>
  <c r="O1844" i="4"/>
  <c r="M1844" i="4"/>
  <c r="L1844" i="4"/>
  <c r="K1844" i="4"/>
  <c r="J1844" i="4"/>
  <c r="I1844" i="4"/>
  <c r="R1844" i="4" s="1"/>
  <c r="N1844" i="4" s="1"/>
  <c r="Q1843" i="4"/>
  <c r="M1843" i="4"/>
  <c r="L1843" i="4"/>
  <c r="K1843" i="4"/>
  <c r="J1843" i="4"/>
  <c r="I1843" i="4"/>
  <c r="P1843" i="4" s="1"/>
  <c r="Q1842" i="4"/>
  <c r="P1842" i="4"/>
  <c r="M1842" i="4"/>
  <c r="L1842" i="4"/>
  <c r="K1842" i="4"/>
  <c r="J1842" i="4"/>
  <c r="I1842" i="4"/>
  <c r="R1842" i="4" s="1"/>
  <c r="N1842" i="4" s="1"/>
  <c r="Q1841" i="4"/>
  <c r="L1841" i="4"/>
  <c r="K1841" i="4"/>
  <c r="J1841" i="4"/>
  <c r="M1841" i="4" s="1"/>
  <c r="I1841" i="4"/>
  <c r="P1841" i="4" s="1"/>
  <c r="Q1840" i="4"/>
  <c r="P1840" i="4"/>
  <c r="O1840" i="4"/>
  <c r="M1840" i="4"/>
  <c r="L1840" i="4"/>
  <c r="K1840" i="4"/>
  <c r="J1840" i="4"/>
  <c r="I1840" i="4"/>
  <c r="R1840" i="4" s="1"/>
  <c r="N1840" i="4" s="1"/>
  <c r="Q1839" i="4"/>
  <c r="M1839" i="4"/>
  <c r="L1839" i="4"/>
  <c r="K1839" i="4"/>
  <c r="J1839" i="4"/>
  <c r="I1839" i="4"/>
  <c r="P1839" i="4" s="1"/>
  <c r="Q1838" i="4"/>
  <c r="M1838" i="4"/>
  <c r="L1838" i="4"/>
  <c r="K1838" i="4"/>
  <c r="J1838" i="4"/>
  <c r="I1838" i="4"/>
  <c r="R1838" i="4" s="1"/>
  <c r="N1838" i="4" s="1"/>
  <c r="Q1837" i="4"/>
  <c r="L1837" i="4"/>
  <c r="K1837" i="4"/>
  <c r="J1837" i="4"/>
  <c r="M1837" i="4" s="1"/>
  <c r="I1837" i="4"/>
  <c r="P1837" i="4" s="1"/>
  <c r="Q1836" i="4"/>
  <c r="O1836" i="4"/>
  <c r="M1836" i="4"/>
  <c r="L1836" i="4"/>
  <c r="K1836" i="4"/>
  <c r="J1836" i="4"/>
  <c r="I1836" i="4"/>
  <c r="R1836" i="4" s="1"/>
  <c r="N1836" i="4" s="1"/>
  <c r="Q1835" i="4"/>
  <c r="M1835" i="4"/>
  <c r="L1835" i="4"/>
  <c r="K1835" i="4"/>
  <c r="J1835" i="4"/>
  <c r="I1835" i="4"/>
  <c r="P1835" i="4" s="1"/>
  <c r="Q1834" i="4"/>
  <c r="P1834" i="4"/>
  <c r="M1834" i="4"/>
  <c r="L1834" i="4"/>
  <c r="K1834" i="4"/>
  <c r="J1834" i="4"/>
  <c r="I1834" i="4"/>
  <c r="R1834" i="4" s="1"/>
  <c r="N1834" i="4" s="1"/>
  <c r="Q1833" i="4"/>
  <c r="L1833" i="4"/>
  <c r="K1833" i="4"/>
  <c r="J1833" i="4"/>
  <c r="M1833" i="4" s="1"/>
  <c r="I1833" i="4"/>
  <c r="P1833" i="4" s="1"/>
  <c r="Q1832" i="4"/>
  <c r="P1832" i="4"/>
  <c r="O1832" i="4"/>
  <c r="M1832" i="4"/>
  <c r="L1832" i="4"/>
  <c r="K1832" i="4"/>
  <c r="J1832" i="4"/>
  <c r="I1832" i="4"/>
  <c r="R1832" i="4" s="1"/>
  <c r="N1832" i="4" s="1"/>
  <c r="Q1831" i="4"/>
  <c r="M1831" i="4"/>
  <c r="L1831" i="4"/>
  <c r="K1831" i="4"/>
  <c r="J1831" i="4"/>
  <c r="I1831" i="4"/>
  <c r="P1831" i="4" s="1"/>
  <c r="Q1830" i="4"/>
  <c r="M1830" i="4"/>
  <c r="L1830" i="4"/>
  <c r="K1830" i="4"/>
  <c r="J1830" i="4"/>
  <c r="I1830" i="4"/>
  <c r="R1830" i="4" s="1"/>
  <c r="N1830" i="4" s="1"/>
  <c r="Q1829" i="4"/>
  <c r="L1829" i="4"/>
  <c r="K1829" i="4"/>
  <c r="J1829" i="4"/>
  <c r="M1829" i="4" s="1"/>
  <c r="I1829" i="4"/>
  <c r="P1829" i="4" s="1"/>
  <c r="Q1828" i="4"/>
  <c r="O1828" i="4"/>
  <c r="M1828" i="4"/>
  <c r="L1828" i="4"/>
  <c r="K1828" i="4"/>
  <c r="J1828" i="4"/>
  <c r="I1828" i="4"/>
  <c r="R1828" i="4" s="1"/>
  <c r="N1828" i="4" s="1"/>
  <c r="Q1827" i="4"/>
  <c r="M1827" i="4"/>
  <c r="L1827" i="4"/>
  <c r="K1827" i="4"/>
  <c r="J1827" i="4"/>
  <c r="I1827" i="4"/>
  <c r="P1827" i="4" s="1"/>
  <c r="Q1826" i="4"/>
  <c r="P1826" i="4"/>
  <c r="M1826" i="4"/>
  <c r="L1826" i="4"/>
  <c r="K1826" i="4"/>
  <c r="J1826" i="4"/>
  <c r="I1826" i="4"/>
  <c r="R1826" i="4" s="1"/>
  <c r="N1826" i="4" s="1"/>
  <c r="Q1825" i="4"/>
  <c r="L1825" i="4"/>
  <c r="K1825" i="4"/>
  <c r="J1825" i="4"/>
  <c r="M1825" i="4" s="1"/>
  <c r="I1825" i="4"/>
  <c r="P1825" i="4" s="1"/>
  <c r="Q1824" i="4"/>
  <c r="P1824" i="4"/>
  <c r="O1824" i="4"/>
  <c r="M1824" i="4"/>
  <c r="L1824" i="4"/>
  <c r="K1824" i="4"/>
  <c r="J1824" i="4"/>
  <c r="I1824" i="4"/>
  <c r="R1824" i="4" s="1"/>
  <c r="N1824" i="4" s="1"/>
  <c r="Q1823" i="4"/>
  <c r="M1823" i="4"/>
  <c r="L1823" i="4"/>
  <c r="K1823" i="4"/>
  <c r="J1823" i="4"/>
  <c r="I1823" i="4"/>
  <c r="P1823" i="4" s="1"/>
  <c r="Q1822" i="4"/>
  <c r="M1822" i="4"/>
  <c r="L1822" i="4"/>
  <c r="K1822" i="4"/>
  <c r="J1822" i="4"/>
  <c r="I1822" i="4"/>
  <c r="R1822" i="4" s="1"/>
  <c r="N1822" i="4" s="1"/>
  <c r="Q1821" i="4"/>
  <c r="M1821" i="4"/>
  <c r="L1821" i="4"/>
  <c r="K1821" i="4"/>
  <c r="J1821" i="4"/>
  <c r="I1821" i="4"/>
  <c r="P1821" i="4" s="1"/>
  <c r="Q1820" i="4"/>
  <c r="M1820" i="4"/>
  <c r="L1820" i="4"/>
  <c r="K1820" i="4"/>
  <c r="J1820" i="4"/>
  <c r="I1820" i="4"/>
  <c r="R1820" i="4" s="1"/>
  <c r="Q1819" i="4"/>
  <c r="M1819" i="4"/>
  <c r="L1819" i="4"/>
  <c r="K1819" i="4"/>
  <c r="J1819" i="4"/>
  <c r="I1819" i="4"/>
  <c r="P1819" i="4" s="1"/>
  <c r="Q1818" i="4"/>
  <c r="M1818" i="4"/>
  <c r="L1818" i="4"/>
  <c r="K1818" i="4"/>
  <c r="J1818" i="4"/>
  <c r="I1818" i="4"/>
  <c r="R1818" i="4" s="1"/>
  <c r="Q1817" i="4"/>
  <c r="M1817" i="4"/>
  <c r="L1817" i="4"/>
  <c r="K1817" i="4"/>
  <c r="J1817" i="4"/>
  <c r="I1817" i="4"/>
  <c r="P1817" i="4" s="1"/>
  <c r="Q1816" i="4"/>
  <c r="M1816" i="4"/>
  <c r="L1816" i="4"/>
  <c r="K1816" i="4"/>
  <c r="J1816" i="4"/>
  <c r="I1816" i="4"/>
  <c r="R1816" i="4" s="1"/>
  <c r="Q1815" i="4"/>
  <c r="M1815" i="4"/>
  <c r="L1815" i="4"/>
  <c r="K1815" i="4"/>
  <c r="J1815" i="4"/>
  <c r="I1815" i="4"/>
  <c r="P1815" i="4" s="1"/>
  <c r="Q1814" i="4"/>
  <c r="M1814" i="4"/>
  <c r="L1814" i="4"/>
  <c r="K1814" i="4"/>
  <c r="J1814" i="4"/>
  <c r="I1814" i="4"/>
  <c r="R1814" i="4" s="1"/>
  <c r="Q1813" i="4"/>
  <c r="M1813" i="4"/>
  <c r="L1813" i="4"/>
  <c r="K1813" i="4"/>
  <c r="J1813" i="4"/>
  <c r="I1813" i="4"/>
  <c r="P1813" i="4" s="1"/>
  <c r="Q1812" i="4"/>
  <c r="M1812" i="4"/>
  <c r="L1812" i="4"/>
  <c r="K1812" i="4"/>
  <c r="J1812" i="4"/>
  <c r="I1812" i="4"/>
  <c r="R1812" i="4" s="1"/>
  <c r="Q1811" i="4"/>
  <c r="M1811" i="4"/>
  <c r="L1811" i="4"/>
  <c r="K1811" i="4"/>
  <c r="J1811" i="4"/>
  <c r="I1811" i="4"/>
  <c r="P1811" i="4" s="1"/>
  <c r="Q1810" i="4"/>
  <c r="M1810" i="4"/>
  <c r="L1810" i="4"/>
  <c r="K1810" i="4"/>
  <c r="J1810" i="4"/>
  <c r="I1810" i="4"/>
  <c r="R1810" i="4" s="1"/>
  <c r="Q1809" i="4"/>
  <c r="M1809" i="4"/>
  <c r="L1809" i="4"/>
  <c r="K1809" i="4"/>
  <c r="J1809" i="4"/>
  <c r="I1809" i="4"/>
  <c r="P1809" i="4" s="1"/>
  <c r="Q1808" i="4"/>
  <c r="M1808" i="4"/>
  <c r="L1808" i="4"/>
  <c r="K1808" i="4"/>
  <c r="J1808" i="4"/>
  <c r="I1808" i="4"/>
  <c r="R1808" i="4" s="1"/>
  <c r="Q1807" i="4"/>
  <c r="M1807" i="4"/>
  <c r="L1807" i="4"/>
  <c r="K1807" i="4"/>
  <c r="J1807" i="4"/>
  <c r="I1807" i="4"/>
  <c r="P1807" i="4" s="1"/>
  <c r="Q1806" i="4"/>
  <c r="M1806" i="4"/>
  <c r="L1806" i="4"/>
  <c r="K1806" i="4"/>
  <c r="J1806" i="4"/>
  <c r="I1806" i="4"/>
  <c r="R1806" i="4" s="1"/>
  <c r="Q1805" i="4"/>
  <c r="M1805" i="4"/>
  <c r="L1805" i="4"/>
  <c r="K1805" i="4"/>
  <c r="J1805" i="4"/>
  <c r="I1805" i="4"/>
  <c r="P1805" i="4" s="1"/>
  <c r="Q1804" i="4"/>
  <c r="M1804" i="4"/>
  <c r="L1804" i="4"/>
  <c r="K1804" i="4"/>
  <c r="J1804" i="4"/>
  <c r="I1804" i="4"/>
  <c r="R1804" i="4" s="1"/>
  <c r="Q1803" i="4"/>
  <c r="M1803" i="4"/>
  <c r="L1803" i="4"/>
  <c r="K1803" i="4"/>
  <c r="J1803" i="4"/>
  <c r="I1803" i="4"/>
  <c r="P1803" i="4" s="1"/>
  <c r="Q1802" i="4"/>
  <c r="M1802" i="4"/>
  <c r="L1802" i="4"/>
  <c r="K1802" i="4"/>
  <c r="J1802" i="4"/>
  <c r="I1802" i="4"/>
  <c r="R1802" i="4" s="1"/>
  <c r="Q1801" i="4"/>
  <c r="M1801" i="4"/>
  <c r="L1801" i="4"/>
  <c r="K1801" i="4"/>
  <c r="J1801" i="4"/>
  <c r="I1801" i="4"/>
  <c r="P1801" i="4" s="1"/>
  <c r="Q1800" i="4"/>
  <c r="M1800" i="4"/>
  <c r="L1800" i="4"/>
  <c r="K1800" i="4"/>
  <c r="J1800" i="4"/>
  <c r="I1800" i="4"/>
  <c r="R1800" i="4" s="1"/>
  <c r="Q1799" i="4"/>
  <c r="M1799" i="4"/>
  <c r="L1799" i="4"/>
  <c r="K1799" i="4"/>
  <c r="J1799" i="4"/>
  <c r="I1799" i="4"/>
  <c r="P1799" i="4" s="1"/>
  <c r="Q1798" i="4"/>
  <c r="M1798" i="4"/>
  <c r="L1798" i="4"/>
  <c r="K1798" i="4"/>
  <c r="J1798" i="4"/>
  <c r="I1798" i="4"/>
  <c r="R1798" i="4" s="1"/>
  <c r="Q1797" i="4"/>
  <c r="M1797" i="4"/>
  <c r="L1797" i="4"/>
  <c r="K1797" i="4"/>
  <c r="J1797" i="4"/>
  <c r="I1797" i="4"/>
  <c r="P1797" i="4" s="1"/>
  <c r="Q1796" i="4"/>
  <c r="M1796" i="4"/>
  <c r="L1796" i="4"/>
  <c r="K1796" i="4"/>
  <c r="J1796" i="4"/>
  <c r="I1796" i="4"/>
  <c r="R1796" i="4" s="1"/>
  <c r="Q1795" i="4"/>
  <c r="M1795" i="4"/>
  <c r="L1795" i="4"/>
  <c r="K1795" i="4"/>
  <c r="J1795" i="4"/>
  <c r="I1795" i="4"/>
  <c r="P1795" i="4" s="1"/>
  <c r="Q1794" i="4"/>
  <c r="M1794" i="4"/>
  <c r="L1794" i="4"/>
  <c r="K1794" i="4"/>
  <c r="J1794" i="4"/>
  <c r="I1794" i="4"/>
  <c r="R1794" i="4" s="1"/>
  <c r="Q1793" i="4"/>
  <c r="M1793" i="4"/>
  <c r="L1793" i="4"/>
  <c r="K1793" i="4"/>
  <c r="J1793" i="4"/>
  <c r="I1793" i="4"/>
  <c r="P1793" i="4" s="1"/>
  <c r="Q1792" i="4"/>
  <c r="M1792" i="4"/>
  <c r="L1792" i="4"/>
  <c r="K1792" i="4"/>
  <c r="J1792" i="4"/>
  <c r="I1792" i="4"/>
  <c r="R1792" i="4" s="1"/>
  <c r="Q1791" i="4"/>
  <c r="M1791" i="4"/>
  <c r="L1791" i="4"/>
  <c r="K1791" i="4"/>
  <c r="J1791" i="4"/>
  <c r="I1791" i="4"/>
  <c r="P1791" i="4" s="1"/>
  <c r="Q1790" i="4"/>
  <c r="M1790" i="4"/>
  <c r="L1790" i="4"/>
  <c r="K1790" i="4"/>
  <c r="J1790" i="4"/>
  <c r="I1790" i="4"/>
  <c r="R1790" i="4" s="1"/>
  <c r="Q1789" i="4"/>
  <c r="M1789" i="4"/>
  <c r="L1789" i="4"/>
  <c r="K1789" i="4"/>
  <c r="J1789" i="4"/>
  <c r="I1789" i="4"/>
  <c r="P1789" i="4" s="1"/>
  <c r="Q1788" i="4"/>
  <c r="M1788" i="4"/>
  <c r="L1788" i="4"/>
  <c r="K1788" i="4"/>
  <c r="J1788" i="4"/>
  <c r="I1788" i="4"/>
  <c r="R1788" i="4" s="1"/>
  <c r="Q1787" i="4"/>
  <c r="M1787" i="4"/>
  <c r="L1787" i="4"/>
  <c r="K1787" i="4"/>
  <c r="J1787" i="4"/>
  <c r="I1787" i="4"/>
  <c r="P1787" i="4" s="1"/>
  <c r="Q1786" i="4"/>
  <c r="M1786" i="4"/>
  <c r="L1786" i="4"/>
  <c r="K1786" i="4"/>
  <c r="J1786" i="4"/>
  <c r="I1786" i="4"/>
  <c r="R1786" i="4" s="1"/>
  <c r="Q1785" i="4"/>
  <c r="M1785" i="4"/>
  <c r="L1785" i="4"/>
  <c r="K1785" i="4"/>
  <c r="J1785" i="4"/>
  <c r="I1785" i="4"/>
  <c r="P1785" i="4" s="1"/>
  <c r="Q1784" i="4"/>
  <c r="M1784" i="4"/>
  <c r="L1784" i="4"/>
  <c r="K1784" i="4"/>
  <c r="J1784" i="4"/>
  <c r="I1784" i="4"/>
  <c r="R1784" i="4" s="1"/>
  <c r="Q1783" i="4"/>
  <c r="M1783" i="4"/>
  <c r="L1783" i="4"/>
  <c r="K1783" i="4"/>
  <c r="J1783" i="4"/>
  <c r="I1783" i="4"/>
  <c r="P1783" i="4" s="1"/>
  <c r="Q1782" i="4"/>
  <c r="O1782" i="4"/>
  <c r="M1782" i="4"/>
  <c r="L1782" i="4"/>
  <c r="K1782" i="4"/>
  <c r="J1782" i="4"/>
  <c r="I1782" i="4"/>
  <c r="R1782" i="4" s="1"/>
  <c r="N1782" i="4" s="1"/>
  <c r="Q1781" i="4"/>
  <c r="M1781" i="4"/>
  <c r="L1781" i="4"/>
  <c r="K1781" i="4"/>
  <c r="J1781" i="4"/>
  <c r="I1781" i="4"/>
  <c r="Q1780" i="4"/>
  <c r="M1780" i="4"/>
  <c r="L1780" i="4"/>
  <c r="K1780" i="4"/>
  <c r="J1780" i="4"/>
  <c r="I1780" i="4"/>
  <c r="R1780" i="4" s="1"/>
  <c r="N1780" i="4" s="1"/>
  <c r="Q1779" i="4"/>
  <c r="M1779" i="4"/>
  <c r="L1779" i="4"/>
  <c r="K1779" i="4"/>
  <c r="J1779" i="4"/>
  <c r="I1779" i="4"/>
  <c r="Q1778" i="4"/>
  <c r="M1778" i="4"/>
  <c r="L1778" i="4"/>
  <c r="K1778" i="4"/>
  <c r="J1778" i="4"/>
  <c r="I1778" i="4"/>
  <c r="R1778" i="4" s="1"/>
  <c r="N1778" i="4" s="1"/>
  <c r="Q1777" i="4"/>
  <c r="M1777" i="4"/>
  <c r="L1777" i="4"/>
  <c r="K1777" i="4"/>
  <c r="J1777" i="4"/>
  <c r="I1777" i="4"/>
  <c r="Q1776" i="4"/>
  <c r="M1776" i="4"/>
  <c r="L1776" i="4"/>
  <c r="K1776" i="4"/>
  <c r="J1776" i="4"/>
  <c r="I1776" i="4"/>
  <c r="R1776" i="4" s="1"/>
  <c r="N1776" i="4" s="1"/>
  <c r="Q1775" i="4"/>
  <c r="M1775" i="4"/>
  <c r="L1775" i="4"/>
  <c r="K1775" i="4"/>
  <c r="J1775" i="4"/>
  <c r="I1775" i="4"/>
  <c r="Q1774" i="4"/>
  <c r="M1774" i="4"/>
  <c r="L1774" i="4"/>
  <c r="K1774" i="4"/>
  <c r="J1774" i="4"/>
  <c r="I1774" i="4"/>
  <c r="Q1773" i="4"/>
  <c r="M1773" i="4"/>
  <c r="L1773" i="4"/>
  <c r="K1773" i="4"/>
  <c r="J1773" i="4"/>
  <c r="I1773" i="4"/>
  <c r="Q1772" i="4"/>
  <c r="M1772" i="4"/>
  <c r="L1772" i="4"/>
  <c r="K1772" i="4"/>
  <c r="J1772" i="4"/>
  <c r="I1772" i="4"/>
  <c r="Q1771" i="4"/>
  <c r="M1771" i="4"/>
  <c r="L1771" i="4"/>
  <c r="K1771" i="4"/>
  <c r="J1771" i="4"/>
  <c r="I1771" i="4"/>
  <c r="Q1770" i="4"/>
  <c r="M1770" i="4"/>
  <c r="L1770" i="4"/>
  <c r="K1770" i="4"/>
  <c r="J1770" i="4"/>
  <c r="I1770" i="4"/>
  <c r="Q1769" i="4"/>
  <c r="M1769" i="4"/>
  <c r="L1769" i="4"/>
  <c r="K1769" i="4"/>
  <c r="J1769" i="4"/>
  <c r="I1769" i="4"/>
  <c r="Q1768" i="4"/>
  <c r="M1768" i="4"/>
  <c r="L1768" i="4"/>
  <c r="K1768" i="4"/>
  <c r="J1768" i="4"/>
  <c r="I1768" i="4"/>
  <c r="Q1767" i="4"/>
  <c r="M1767" i="4"/>
  <c r="L1767" i="4"/>
  <c r="K1767" i="4"/>
  <c r="J1767" i="4"/>
  <c r="I1767" i="4"/>
  <c r="Q1766" i="4"/>
  <c r="M1766" i="4"/>
  <c r="L1766" i="4"/>
  <c r="K1766" i="4"/>
  <c r="J1766" i="4"/>
  <c r="I1766" i="4"/>
  <c r="Q1765" i="4"/>
  <c r="M1765" i="4"/>
  <c r="L1765" i="4"/>
  <c r="K1765" i="4"/>
  <c r="J1765" i="4"/>
  <c r="I1765" i="4"/>
  <c r="Q1764" i="4"/>
  <c r="M1764" i="4"/>
  <c r="L1764" i="4"/>
  <c r="K1764" i="4"/>
  <c r="J1764" i="4"/>
  <c r="I1764" i="4"/>
  <c r="Q1763" i="4"/>
  <c r="M1763" i="4"/>
  <c r="L1763" i="4"/>
  <c r="K1763" i="4"/>
  <c r="J1763" i="4"/>
  <c r="I1763" i="4"/>
  <c r="Q1762" i="4"/>
  <c r="M1762" i="4"/>
  <c r="L1762" i="4"/>
  <c r="K1762" i="4"/>
  <c r="J1762" i="4"/>
  <c r="I1762" i="4"/>
  <c r="Q1761" i="4"/>
  <c r="M1761" i="4"/>
  <c r="L1761" i="4"/>
  <c r="K1761" i="4"/>
  <c r="J1761" i="4"/>
  <c r="I1761" i="4"/>
  <c r="Q1760" i="4"/>
  <c r="M1760" i="4"/>
  <c r="L1760" i="4"/>
  <c r="K1760" i="4"/>
  <c r="J1760" i="4"/>
  <c r="I1760" i="4"/>
  <c r="Q1759" i="4"/>
  <c r="M1759" i="4"/>
  <c r="L1759" i="4"/>
  <c r="K1759" i="4"/>
  <c r="J1759" i="4"/>
  <c r="I1759" i="4"/>
  <c r="Q1758" i="4"/>
  <c r="M1758" i="4"/>
  <c r="L1758" i="4"/>
  <c r="K1758" i="4"/>
  <c r="J1758" i="4"/>
  <c r="I1758" i="4"/>
  <c r="Q1757" i="4"/>
  <c r="M1757" i="4"/>
  <c r="L1757" i="4"/>
  <c r="K1757" i="4"/>
  <c r="J1757" i="4"/>
  <c r="I1757" i="4"/>
  <c r="Q1756" i="4"/>
  <c r="M1756" i="4"/>
  <c r="L1756" i="4"/>
  <c r="K1756" i="4"/>
  <c r="J1756" i="4"/>
  <c r="I1756" i="4"/>
  <c r="Q1755" i="4"/>
  <c r="M1755" i="4"/>
  <c r="L1755" i="4"/>
  <c r="K1755" i="4"/>
  <c r="J1755" i="4"/>
  <c r="I1755" i="4"/>
  <c r="Q1754" i="4"/>
  <c r="M1754" i="4"/>
  <c r="L1754" i="4"/>
  <c r="K1754" i="4"/>
  <c r="J1754" i="4"/>
  <c r="I1754" i="4"/>
  <c r="Q1753" i="4"/>
  <c r="M1753" i="4"/>
  <c r="L1753" i="4"/>
  <c r="K1753" i="4"/>
  <c r="J1753" i="4"/>
  <c r="I1753" i="4"/>
  <c r="Q1752" i="4"/>
  <c r="M1752" i="4"/>
  <c r="L1752" i="4"/>
  <c r="K1752" i="4"/>
  <c r="J1752" i="4"/>
  <c r="I1752" i="4"/>
  <c r="Q1751" i="4"/>
  <c r="M1751" i="4"/>
  <c r="L1751" i="4"/>
  <c r="K1751" i="4"/>
  <c r="J1751" i="4"/>
  <c r="I1751" i="4"/>
  <c r="Q1750" i="4"/>
  <c r="M1750" i="4"/>
  <c r="L1750" i="4"/>
  <c r="K1750" i="4"/>
  <c r="J1750" i="4"/>
  <c r="I1750" i="4"/>
  <c r="Q1749" i="4"/>
  <c r="M1749" i="4"/>
  <c r="L1749" i="4"/>
  <c r="K1749" i="4"/>
  <c r="J1749" i="4"/>
  <c r="I1749" i="4"/>
  <c r="Q1748" i="4"/>
  <c r="M1748" i="4"/>
  <c r="L1748" i="4"/>
  <c r="K1748" i="4"/>
  <c r="J1748" i="4"/>
  <c r="I1748" i="4"/>
  <c r="Q1747" i="4"/>
  <c r="M1747" i="4"/>
  <c r="L1747" i="4"/>
  <c r="K1747" i="4"/>
  <c r="J1747" i="4"/>
  <c r="I1747" i="4"/>
  <c r="Q1746" i="4"/>
  <c r="M1746" i="4"/>
  <c r="L1746" i="4"/>
  <c r="K1746" i="4"/>
  <c r="J1746" i="4"/>
  <c r="I1746" i="4"/>
  <c r="Q1745" i="4"/>
  <c r="M1745" i="4"/>
  <c r="L1745" i="4"/>
  <c r="K1745" i="4"/>
  <c r="J1745" i="4"/>
  <c r="I1745" i="4"/>
  <c r="Q1744" i="4"/>
  <c r="M1744" i="4"/>
  <c r="L1744" i="4"/>
  <c r="K1744" i="4"/>
  <c r="J1744" i="4"/>
  <c r="I1744" i="4"/>
  <c r="Q1743" i="4"/>
  <c r="M1743" i="4"/>
  <c r="L1743" i="4"/>
  <c r="K1743" i="4"/>
  <c r="J1743" i="4"/>
  <c r="I1743" i="4"/>
  <c r="Q1742" i="4"/>
  <c r="M1742" i="4"/>
  <c r="L1742" i="4"/>
  <c r="K1742" i="4"/>
  <c r="J1742" i="4"/>
  <c r="I1742" i="4"/>
  <c r="Q1741" i="4"/>
  <c r="M1741" i="4"/>
  <c r="L1741" i="4"/>
  <c r="K1741" i="4"/>
  <c r="J1741" i="4"/>
  <c r="I1741" i="4"/>
  <c r="Q1740" i="4"/>
  <c r="M1740" i="4"/>
  <c r="L1740" i="4"/>
  <c r="K1740" i="4"/>
  <c r="J1740" i="4"/>
  <c r="I1740" i="4"/>
  <c r="Q1739" i="4"/>
  <c r="M1739" i="4"/>
  <c r="L1739" i="4"/>
  <c r="K1739" i="4"/>
  <c r="J1739" i="4"/>
  <c r="I1739" i="4"/>
  <c r="Q1738" i="4"/>
  <c r="M1738" i="4"/>
  <c r="L1738" i="4"/>
  <c r="K1738" i="4"/>
  <c r="J1738" i="4"/>
  <c r="I1738" i="4"/>
  <c r="Q1737" i="4"/>
  <c r="M1737" i="4"/>
  <c r="L1737" i="4"/>
  <c r="K1737" i="4"/>
  <c r="J1737" i="4"/>
  <c r="I1737" i="4"/>
  <c r="Q1736" i="4"/>
  <c r="M1736" i="4"/>
  <c r="L1736" i="4"/>
  <c r="K1736" i="4"/>
  <c r="J1736" i="4"/>
  <c r="I1736" i="4"/>
  <c r="Q1735" i="4"/>
  <c r="M1735" i="4"/>
  <c r="L1735" i="4"/>
  <c r="K1735" i="4"/>
  <c r="J1735" i="4"/>
  <c r="I1735" i="4"/>
  <c r="Q1734" i="4"/>
  <c r="M1734" i="4"/>
  <c r="L1734" i="4"/>
  <c r="K1734" i="4"/>
  <c r="J1734" i="4"/>
  <c r="I1734" i="4"/>
  <c r="Q1733" i="4"/>
  <c r="M1733" i="4"/>
  <c r="L1733" i="4"/>
  <c r="K1733" i="4"/>
  <c r="J1733" i="4"/>
  <c r="I1733" i="4"/>
  <c r="Q1732" i="4"/>
  <c r="M1732" i="4"/>
  <c r="L1732" i="4"/>
  <c r="K1732" i="4"/>
  <c r="J1732" i="4"/>
  <c r="I1732" i="4"/>
  <c r="Q1731" i="4"/>
  <c r="M1731" i="4"/>
  <c r="L1731" i="4"/>
  <c r="K1731" i="4"/>
  <c r="J1731" i="4"/>
  <c r="I1731" i="4"/>
  <c r="Q1730" i="4"/>
  <c r="M1730" i="4"/>
  <c r="L1730" i="4"/>
  <c r="K1730" i="4"/>
  <c r="J1730" i="4"/>
  <c r="I1730" i="4"/>
  <c r="Q1729" i="4"/>
  <c r="M1729" i="4"/>
  <c r="L1729" i="4"/>
  <c r="K1729" i="4"/>
  <c r="J1729" i="4"/>
  <c r="I1729" i="4"/>
  <c r="Q1728" i="4"/>
  <c r="M1728" i="4"/>
  <c r="L1728" i="4"/>
  <c r="K1728" i="4"/>
  <c r="J1728" i="4"/>
  <c r="I1728" i="4"/>
  <c r="Q1727" i="4"/>
  <c r="M1727" i="4"/>
  <c r="L1727" i="4"/>
  <c r="K1727" i="4"/>
  <c r="J1727" i="4"/>
  <c r="I1727" i="4"/>
  <c r="Q1726" i="4"/>
  <c r="M1726" i="4"/>
  <c r="L1726" i="4"/>
  <c r="K1726" i="4"/>
  <c r="J1726" i="4"/>
  <c r="I1726" i="4"/>
  <c r="Q1725" i="4"/>
  <c r="M1725" i="4"/>
  <c r="L1725" i="4"/>
  <c r="K1725" i="4"/>
  <c r="J1725" i="4"/>
  <c r="I1725" i="4"/>
  <c r="Q1724" i="4"/>
  <c r="M1724" i="4"/>
  <c r="L1724" i="4"/>
  <c r="K1724" i="4"/>
  <c r="J1724" i="4"/>
  <c r="I1724" i="4"/>
  <c r="Q1723" i="4"/>
  <c r="M1723" i="4"/>
  <c r="L1723" i="4"/>
  <c r="K1723" i="4"/>
  <c r="J1723" i="4"/>
  <c r="I1723" i="4"/>
  <c r="Q1722" i="4"/>
  <c r="M1722" i="4"/>
  <c r="L1722" i="4"/>
  <c r="K1722" i="4"/>
  <c r="J1722" i="4"/>
  <c r="I1722" i="4"/>
  <c r="Q1721" i="4"/>
  <c r="M1721" i="4"/>
  <c r="L1721" i="4"/>
  <c r="K1721" i="4"/>
  <c r="J1721" i="4"/>
  <c r="I1721" i="4"/>
  <c r="Q1720" i="4"/>
  <c r="M1720" i="4"/>
  <c r="L1720" i="4"/>
  <c r="K1720" i="4"/>
  <c r="J1720" i="4"/>
  <c r="I1720" i="4"/>
  <c r="Q1719" i="4"/>
  <c r="M1719" i="4"/>
  <c r="L1719" i="4"/>
  <c r="K1719" i="4"/>
  <c r="J1719" i="4"/>
  <c r="I1719" i="4"/>
  <c r="Q1718" i="4"/>
  <c r="M1718" i="4"/>
  <c r="L1718" i="4"/>
  <c r="K1718" i="4"/>
  <c r="J1718" i="4"/>
  <c r="I1718" i="4"/>
  <c r="Q1717" i="4"/>
  <c r="M1717" i="4"/>
  <c r="L1717" i="4"/>
  <c r="K1717" i="4"/>
  <c r="J1717" i="4"/>
  <c r="I1717" i="4"/>
  <c r="Q1716" i="4"/>
  <c r="M1716" i="4"/>
  <c r="L1716" i="4"/>
  <c r="K1716" i="4"/>
  <c r="J1716" i="4"/>
  <c r="I1716" i="4"/>
  <c r="Q1715" i="4"/>
  <c r="M1715" i="4"/>
  <c r="L1715" i="4"/>
  <c r="K1715" i="4"/>
  <c r="J1715" i="4"/>
  <c r="I1715" i="4"/>
  <c r="Q1714" i="4"/>
  <c r="M1714" i="4"/>
  <c r="L1714" i="4"/>
  <c r="K1714" i="4"/>
  <c r="J1714" i="4"/>
  <c r="I1714" i="4"/>
  <c r="Q1713" i="4"/>
  <c r="M1713" i="4"/>
  <c r="L1713" i="4"/>
  <c r="K1713" i="4"/>
  <c r="J1713" i="4"/>
  <c r="I1713" i="4"/>
  <c r="Q1712" i="4"/>
  <c r="M1712" i="4"/>
  <c r="L1712" i="4"/>
  <c r="K1712" i="4"/>
  <c r="J1712" i="4"/>
  <c r="I1712" i="4"/>
  <c r="Q1711" i="4"/>
  <c r="M1711" i="4"/>
  <c r="L1711" i="4"/>
  <c r="K1711" i="4"/>
  <c r="J1711" i="4"/>
  <c r="I1711" i="4"/>
  <c r="Q1710" i="4"/>
  <c r="M1710" i="4"/>
  <c r="L1710" i="4"/>
  <c r="K1710" i="4"/>
  <c r="J1710" i="4"/>
  <c r="I1710" i="4"/>
  <c r="Q1709" i="4"/>
  <c r="M1709" i="4"/>
  <c r="L1709" i="4"/>
  <c r="K1709" i="4"/>
  <c r="J1709" i="4"/>
  <c r="I1709" i="4"/>
  <c r="Q1708" i="4"/>
  <c r="M1708" i="4"/>
  <c r="L1708" i="4"/>
  <c r="K1708" i="4"/>
  <c r="J1708" i="4"/>
  <c r="I1708" i="4"/>
  <c r="Q1707" i="4"/>
  <c r="M1707" i="4"/>
  <c r="L1707" i="4"/>
  <c r="K1707" i="4"/>
  <c r="J1707" i="4"/>
  <c r="I1707" i="4"/>
  <c r="Q1706" i="4"/>
  <c r="M1706" i="4"/>
  <c r="L1706" i="4"/>
  <c r="K1706" i="4"/>
  <c r="J1706" i="4"/>
  <c r="I1706" i="4"/>
  <c r="Q1705" i="4"/>
  <c r="M1705" i="4"/>
  <c r="L1705" i="4"/>
  <c r="K1705" i="4"/>
  <c r="J1705" i="4"/>
  <c r="I1705" i="4"/>
  <c r="Q1704" i="4"/>
  <c r="M1704" i="4"/>
  <c r="L1704" i="4"/>
  <c r="K1704" i="4"/>
  <c r="J1704" i="4"/>
  <c r="I1704" i="4"/>
  <c r="Q1703" i="4"/>
  <c r="M1703" i="4"/>
  <c r="L1703" i="4"/>
  <c r="K1703" i="4"/>
  <c r="J1703" i="4"/>
  <c r="I1703" i="4"/>
  <c r="Q1702" i="4"/>
  <c r="M1702" i="4"/>
  <c r="L1702" i="4"/>
  <c r="K1702" i="4"/>
  <c r="J1702" i="4"/>
  <c r="I1702" i="4"/>
  <c r="Q1701" i="4"/>
  <c r="M1701" i="4"/>
  <c r="L1701" i="4"/>
  <c r="K1701" i="4"/>
  <c r="J1701" i="4"/>
  <c r="I1701" i="4"/>
  <c r="Q1700" i="4"/>
  <c r="M1700" i="4"/>
  <c r="L1700" i="4"/>
  <c r="K1700" i="4"/>
  <c r="J1700" i="4"/>
  <c r="I1700" i="4"/>
  <c r="Q1699" i="4"/>
  <c r="M1699" i="4"/>
  <c r="L1699" i="4"/>
  <c r="K1699" i="4"/>
  <c r="J1699" i="4"/>
  <c r="I1699" i="4"/>
  <c r="Q1698" i="4"/>
  <c r="P1698" i="4"/>
  <c r="O1698" i="4"/>
  <c r="M1698" i="4"/>
  <c r="L1698" i="4"/>
  <c r="K1698" i="4"/>
  <c r="J1698" i="4"/>
  <c r="I1698" i="4"/>
  <c r="R1698" i="4" s="1"/>
  <c r="N1698" i="4" s="1"/>
  <c r="Q1697" i="4"/>
  <c r="M1697" i="4"/>
  <c r="L1697" i="4"/>
  <c r="K1697" i="4"/>
  <c r="J1697" i="4"/>
  <c r="I1697" i="4"/>
  <c r="P1697" i="4" s="1"/>
  <c r="Q1696" i="4"/>
  <c r="M1696" i="4"/>
  <c r="L1696" i="4"/>
  <c r="K1696" i="4"/>
  <c r="J1696" i="4"/>
  <c r="I1696" i="4"/>
  <c r="R1696" i="4" s="1"/>
  <c r="N1696" i="4" s="1"/>
  <c r="Q1695" i="4"/>
  <c r="M1695" i="4"/>
  <c r="L1695" i="4"/>
  <c r="K1695" i="4"/>
  <c r="J1695" i="4"/>
  <c r="I1695" i="4"/>
  <c r="P1695" i="4" s="1"/>
  <c r="Q1694" i="4"/>
  <c r="M1694" i="4"/>
  <c r="L1694" i="4"/>
  <c r="K1694" i="4"/>
  <c r="J1694" i="4"/>
  <c r="I1694" i="4"/>
  <c r="R1694" i="4" s="1"/>
  <c r="N1694" i="4" s="1"/>
  <c r="Q1693" i="4"/>
  <c r="L1693" i="4"/>
  <c r="K1693" i="4"/>
  <c r="J1693" i="4"/>
  <c r="M1693" i="4" s="1"/>
  <c r="I1693" i="4"/>
  <c r="P1693" i="4" s="1"/>
  <c r="Q1692" i="4"/>
  <c r="P1692" i="4"/>
  <c r="O1692" i="4"/>
  <c r="M1692" i="4"/>
  <c r="L1692" i="4"/>
  <c r="K1692" i="4"/>
  <c r="J1692" i="4"/>
  <c r="I1692" i="4"/>
  <c r="R1692" i="4" s="1"/>
  <c r="N1692" i="4" s="1"/>
  <c r="Q1691" i="4"/>
  <c r="L1691" i="4"/>
  <c r="K1691" i="4"/>
  <c r="J1691" i="4"/>
  <c r="M1691" i="4" s="1"/>
  <c r="I1691" i="4"/>
  <c r="P1691" i="4" s="1"/>
  <c r="Q1690" i="4"/>
  <c r="P1690" i="4"/>
  <c r="O1690" i="4"/>
  <c r="M1690" i="4"/>
  <c r="L1690" i="4"/>
  <c r="K1690" i="4"/>
  <c r="J1690" i="4"/>
  <c r="I1690" i="4"/>
  <c r="R1690" i="4" s="1"/>
  <c r="N1690" i="4" s="1"/>
  <c r="Q1689" i="4"/>
  <c r="M1689" i="4"/>
  <c r="L1689" i="4"/>
  <c r="K1689" i="4"/>
  <c r="J1689" i="4"/>
  <c r="I1689" i="4"/>
  <c r="P1689" i="4" s="1"/>
  <c r="Q1688" i="4"/>
  <c r="M1688" i="4"/>
  <c r="L1688" i="4"/>
  <c r="K1688" i="4"/>
  <c r="J1688" i="4"/>
  <c r="I1688" i="4"/>
  <c r="R1688" i="4" s="1"/>
  <c r="N1688" i="4" s="1"/>
  <c r="Q1687" i="4"/>
  <c r="M1687" i="4"/>
  <c r="L1687" i="4"/>
  <c r="K1687" i="4"/>
  <c r="J1687" i="4"/>
  <c r="I1687" i="4"/>
  <c r="P1687" i="4" s="1"/>
  <c r="Q1686" i="4"/>
  <c r="M1686" i="4"/>
  <c r="L1686" i="4"/>
  <c r="K1686" i="4"/>
  <c r="J1686" i="4"/>
  <c r="I1686" i="4"/>
  <c r="R1686" i="4" s="1"/>
  <c r="N1686" i="4" s="1"/>
  <c r="Q1685" i="4"/>
  <c r="L1685" i="4"/>
  <c r="K1685" i="4"/>
  <c r="J1685" i="4"/>
  <c r="M1685" i="4" s="1"/>
  <c r="I1685" i="4"/>
  <c r="P1685" i="4" s="1"/>
  <c r="Q1684" i="4"/>
  <c r="P1684" i="4"/>
  <c r="O1684" i="4"/>
  <c r="M1684" i="4"/>
  <c r="L1684" i="4"/>
  <c r="K1684" i="4"/>
  <c r="J1684" i="4"/>
  <c r="I1684" i="4"/>
  <c r="R1684" i="4" s="1"/>
  <c r="N1684" i="4" s="1"/>
  <c r="Q1683" i="4"/>
  <c r="L1683" i="4"/>
  <c r="K1683" i="4"/>
  <c r="J1683" i="4"/>
  <c r="M1683" i="4" s="1"/>
  <c r="I1683" i="4"/>
  <c r="P1683" i="4" s="1"/>
  <c r="Q1682" i="4"/>
  <c r="P1682" i="4"/>
  <c r="O1682" i="4"/>
  <c r="M1682" i="4"/>
  <c r="L1682" i="4"/>
  <c r="K1682" i="4"/>
  <c r="J1682" i="4"/>
  <c r="I1682" i="4"/>
  <c r="R1682" i="4" s="1"/>
  <c r="N1682" i="4" s="1"/>
  <c r="Q1681" i="4"/>
  <c r="M1681" i="4"/>
  <c r="L1681" i="4"/>
  <c r="K1681" i="4"/>
  <c r="J1681" i="4"/>
  <c r="I1681" i="4"/>
  <c r="P1681" i="4" s="1"/>
  <c r="Q1680" i="4"/>
  <c r="M1680" i="4"/>
  <c r="L1680" i="4"/>
  <c r="K1680" i="4"/>
  <c r="J1680" i="4"/>
  <c r="I1680" i="4"/>
  <c r="R1680" i="4" s="1"/>
  <c r="N1680" i="4" s="1"/>
  <c r="Q1679" i="4"/>
  <c r="M1679" i="4"/>
  <c r="L1679" i="4"/>
  <c r="K1679" i="4"/>
  <c r="J1679" i="4"/>
  <c r="I1679" i="4"/>
  <c r="P1679" i="4" s="1"/>
  <c r="Q1678" i="4"/>
  <c r="M1678" i="4"/>
  <c r="L1678" i="4"/>
  <c r="K1678" i="4"/>
  <c r="J1678" i="4"/>
  <c r="I1678" i="4"/>
  <c r="R1678" i="4" s="1"/>
  <c r="N1678" i="4" s="1"/>
  <c r="Q1677" i="4"/>
  <c r="L1677" i="4"/>
  <c r="K1677" i="4"/>
  <c r="J1677" i="4"/>
  <c r="M1677" i="4" s="1"/>
  <c r="I1677" i="4"/>
  <c r="P1677" i="4" s="1"/>
  <c r="Q1676" i="4"/>
  <c r="P1676" i="4"/>
  <c r="O1676" i="4"/>
  <c r="M1676" i="4"/>
  <c r="L1676" i="4"/>
  <c r="K1676" i="4"/>
  <c r="J1676" i="4"/>
  <c r="I1676" i="4"/>
  <c r="R1676" i="4" s="1"/>
  <c r="N1676" i="4" s="1"/>
  <c r="Q1675" i="4"/>
  <c r="L1675" i="4"/>
  <c r="K1675" i="4"/>
  <c r="J1675" i="4"/>
  <c r="M1675" i="4" s="1"/>
  <c r="I1675" i="4"/>
  <c r="P1675" i="4" s="1"/>
  <c r="Q1674" i="4"/>
  <c r="P1674" i="4"/>
  <c r="O1674" i="4"/>
  <c r="M1674" i="4"/>
  <c r="L1674" i="4"/>
  <c r="K1674" i="4"/>
  <c r="J1674" i="4"/>
  <c r="I1674" i="4"/>
  <c r="R1674" i="4" s="1"/>
  <c r="N1674" i="4" s="1"/>
  <c r="Q1673" i="4"/>
  <c r="M1673" i="4"/>
  <c r="L1673" i="4"/>
  <c r="K1673" i="4"/>
  <c r="J1673" i="4"/>
  <c r="I1673" i="4"/>
  <c r="P1673" i="4" s="1"/>
  <c r="Q1672" i="4"/>
  <c r="M1672" i="4"/>
  <c r="L1672" i="4"/>
  <c r="K1672" i="4"/>
  <c r="J1672" i="4"/>
  <c r="I1672" i="4"/>
  <c r="R1672" i="4" s="1"/>
  <c r="N1672" i="4" s="1"/>
  <c r="R1671" i="4"/>
  <c r="O1671" i="4" s="1"/>
  <c r="Q1671" i="4"/>
  <c r="N1671" i="4"/>
  <c r="L1671" i="4"/>
  <c r="K1671" i="4"/>
  <c r="J1671" i="4"/>
  <c r="M1671" i="4" s="1"/>
  <c r="I1671" i="4"/>
  <c r="P1671" i="4" s="1"/>
  <c r="Q1670" i="4"/>
  <c r="P1670" i="4"/>
  <c r="M1670" i="4"/>
  <c r="L1670" i="4"/>
  <c r="K1670" i="4"/>
  <c r="J1670" i="4"/>
  <c r="I1670" i="4"/>
  <c r="R1670" i="4" s="1"/>
  <c r="R1669" i="4"/>
  <c r="O1669" i="4" s="1"/>
  <c r="Q1669" i="4"/>
  <c r="N1669" i="4"/>
  <c r="L1669" i="4"/>
  <c r="K1669" i="4"/>
  <c r="J1669" i="4"/>
  <c r="M1669" i="4" s="1"/>
  <c r="I1669" i="4"/>
  <c r="P1669" i="4" s="1"/>
  <c r="Q1668" i="4"/>
  <c r="P1668" i="4"/>
  <c r="M1668" i="4"/>
  <c r="L1668" i="4"/>
  <c r="K1668" i="4"/>
  <c r="J1668" i="4"/>
  <c r="I1668" i="4"/>
  <c r="R1668" i="4" s="1"/>
  <c r="R1667" i="4"/>
  <c r="O1667" i="4" s="1"/>
  <c r="Q1667" i="4"/>
  <c r="N1667" i="4"/>
  <c r="L1667" i="4"/>
  <c r="K1667" i="4"/>
  <c r="J1667" i="4"/>
  <c r="M1667" i="4" s="1"/>
  <c r="I1667" i="4"/>
  <c r="P1667" i="4" s="1"/>
  <c r="Q1666" i="4"/>
  <c r="P1666" i="4"/>
  <c r="M1666" i="4"/>
  <c r="L1666" i="4"/>
  <c r="K1666" i="4"/>
  <c r="J1666" i="4"/>
  <c r="I1666" i="4"/>
  <c r="R1666" i="4" s="1"/>
  <c r="R1665" i="4"/>
  <c r="O1665" i="4" s="1"/>
  <c r="Q1665" i="4"/>
  <c r="N1665" i="4"/>
  <c r="L1665" i="4"/>
  <c r="K1665" i="4"/>
  <c r="J1665" i="4"/>
  <c r="M1665" i="4" s="1"/>
  <c r="I1665" i="4"/>
  <c r="P1665" i="4" s="1"/>
  <c r="Q1664" i="4"/>
  <c r="P1664" i="4"/>
  <c r="M1664" i="4"/>
  <c r="L1664" i="4"/>
  <c r="K1664" i="4"/>
  <c r="J1664" i="4"/>
  <c r="I1664" i="4"/>
  <c r="R1664" i="4" s="1"/>
  <c r="R1663" i="4"/>
  <c r="O1663" i="4" s="1"/>
  <c r="Q1663" i="4"/>
  <c r="N1663" i="4"/>
  <c r="L1663" i="4"/>
  <c r="K1663" i="4"/>
  <c r="J1663" i="4"/>
  <c r="M1663" i="4" s="1"/>
  <c r="I1663" i="4"/>
  <c r="P1663" i="4" s="1"/>
  <c r="Q1662" i="4"/>
  <c r="P1662" i="4"/>
  <c r="M1662" i="4"/>
  <c r="L1662" i="4"/>
  <c r="K1662" i="4"/>
  <c r="J1662" i="4"/>
  <c r="I1662" i="4"/>
  <c r="R1662" i="4" s="1"/>
  <c r="R1661" i="4"/>
  <c r="O1661" i="4" s="1"/>
  <c r="Q1661" i="4"/>
  <c r="N1661" i="4"/>
  <c r="L1661" i="4"/>
  <c r="K1661" i="4"/>
  <c r="J1661" i="4"/>
  <c r="M1661" i="4" s="1"/>
  <c r="I1661" i="4"/>
  <c r="P1661" i="4" s="1"/>
  <c r="Q1660" i="4"/>
  <c r="P1660" i="4"/>
  <c r="M1660" i="4"/>
  <c r="L1660" i="4"/>
  <c r="K1660" i="4"/>
  <c r="J1660" i="4"/>
  <c r="I1660" i="4"/>
  <c r="R1660" i="4" s="1"/>
  <c r="R1659" i="4"/>
  <c r="O1659" i="4" s="1"/>
  <c r="Q1659" i="4"/>
  <c r="N1659" i="4"/>
  <c r="L1659" i="4"/>
  <c r="K1659" i="4"/>
  <c r="J1659" i="4"/>
  <c r="M1659" i="4" s="1"/>
  <c r="I1659" i="4"/>
  <c r="P1659" i="4" s="1"/>
  <c r="Q1658" i="4"/>
  <c r="P1658" i="4"/>
  <c r="M1658" i="4"/>
  <c r="L1658" i="4"/>
  <c r="K1658" i="4"/>
  <c r="J1658" i="4"/>
  <c r="I1658" i="4"/>
  <c r="R1658" i="4" s="1"/>
  <c r="R1657" i="4"/>
  <c r="O1657" i="4" s="1"/>
  <c r="Q1657" i="4"/>
  <c r="N1657" i="4"/>
  <c r="L1657" i="4"/>
  <c r="K1657" i="4"/>
  <c r="J1657" i="4"/>
  <c r="M1657" i="4" s="1"/>
  <c r="I1657" i="4"/>
  <c r="P1657" i="4" s="1"/>
  <c r="Q1656" i="4"/>
  <c r="P1656" i="4"/>
  <c r="M1656" i="4"/>
  <c r="L1656" i="4"/>
  <c r="K1656" i="4"/>
  <c r="J1656" i="4"/>
  <c r="I1656" i="4"/>
  <c r="R1656" i="4" s="1"/>
  <c r="R1655" i="4"/>
  <c r="O1655" i="4" s="1"/>
  <c r="Q1655" i="4"/>
  <c r="N1655" i="4"/>
  <c r="L1655" i="4"/>
  <c r="K1655" i="4"/>
  <c r="J1655" i="4"/>
  <c r="M1655" i="4" s="1"/>
  <c r="I1655" i="4"/>
  <c r="P1655" i="4" s="1"/>
  <c r="Q1654" i="4"/>
  <c r="P1654" i="4"/>
  <c r="M1654" i="4"/>
  <c r="L1654" i="4"/>
  <c r="K1654" i="4"/>
  <c r="J1654" i="4"/>
  <c r="I1654" i="4"/>
  <c r="R1654" i="4" s="1"/>
  <c r="R1653" i="4"/>
  <c r="O1653" i="4" s="1"/>
  <c r="Q1653" i="4"/>
  <c r="N1653" i="4"/>
  <c r="L1653" i="4"/>
  <c r="K1653" i="4"/>
  <c r="J1653" i="4"/>
  <c r="M1653" i="4" s="1"/>
  <c r="I1653" i="4"/>
  <c r="P1653" i="4" s="1"/>
  <c r="Q1652" i="4"/>
  <c r="P1652" i="4"/>
  <c r="M1652" i="4"/>
  <c r="L1652" i="4"/>
  <c r="K1652" i="4"/>
  <c r="J1652" i="4"/>
  <c r="I1652" i="4"/>
  <c r="R1652" i="4" s="1"/>
  <c r="R1651" i="4"/>
  <c r="O1651" i="4" s="1"/>
  <c r="Q1651" i="4"/>
  <c r="N1651" i="4"/>
  <c r="L1651" i="4"/>
  <c r="K1651" i="4"/>
  <c r="J1651" i="4"/>
  <c r="M1651" i="4" s="1"/>
  <c r="I1651" i="4"/>
  <c r="P1651" i="4" s="1"/>
  <c r="Q1650" i="4"/>
  <c r="M1650" i="4"/>
  <c r="L1650" i="4"/>
  <c r="K1650" i="4"/>
  <c r="J1650" i="4"/>
  <c r="I1650" i="4"/>
  <c r="R1650" i="4" s="1"/>
  <c r="R1649" i="4"/>
  <c r="O1649" i="4" s="1"/>
  <c r="Q1649" i="4"/>
  <c r="N1649" i="4"/>
  <c r="L1649" i="4"/>
  <c r="K1649" i="4"/>
  <c r="J1649" i="4"/>
  <c r="M1649" i="4" s="1"/>
  <c r="I1649" i="4"/>
  <c r="P1649" i="4" s="1"/>
  <c r="Q1648" i="4"/>
  <c r="M1648" i="4"/>
  <c r="L1648" i="4"/>
  <c r="K1648" i="4"/>
  <c r="J1648" i="4"/>
  <c r="I1648" i="4"/>
  <c r="R1648" i="4" s="1"/>
  <c r="R1647" i="4"/>
  <c r="Q1647" i="4"/>
  <c r="O1647" i="4"/>
  <c r="N1647" i="4"/>
  <c r="L1647" i="4"/>
  <c r="K1647" i="4"/>
  <c r="J1647" i="4"/>
  <c r="M1647" i="4" s="1"/>
  <c r="I1647" i="4"/>
  <c r="P1647" i="4" s="1"/>
  <c r="Q1646" i="4"/>
  <c r="M1646" i="4"/>
  <c r="L1646" i="4"/>
  <c r="K1646" i="4"/>
  <c r="J1646" i="4"/>
  <c r="I1646" i="4"/>
  <c r="R1646" i="4" s="1"/>
  <c r="R1645" i="4"/>
  <c r="Q1645" i="4"/>
  <c r="O1645" i="4"/>
  <c r="N1645" i="4"/>
  <c r="L1645" i="4"/>
  <c r="K1645" i="4"/>
  <c r="J1645" i="4"/>
  <c r="M1645" i="4" s="1"/>
  <c r="I1645" i="4"/>
  <c r="P1645" i="4" s="1"/>
  <c r="Q1644" i="4"/>
  <c r="M1644" i="4"/>
  <c r="L1644" i="4"/>
  <c r="K1644" i="4"/>
  <c r="J1644" i="4"/>
  <c r="I1644" i="4"/>
  <c r="R1644" i="4" s="1"/>
  <c r="R1643" i="4"/>
  <c r="Q1643" i="4"/>
  <c r="O1643" i="4"/>
  <c r="N1643" i="4"/>
  <c r="L1643" i="4"/>
  <c r="K1643" i="4"/>
  <c r="J1643" i="4"/>
  <c r="M1643" i="4" s="1"/>
  <c r="I1643" i="4"/>
  <c r="P1643" i="4" s="1"/>
  <c r="Q1642" i="4"/>
  <c r="M1642" i="4"/>
  <c r="L1642" i="4"/>
  <c r="K1642" i="4"/>
  <c r="J1642" i="4"/>
  <c r="I1642" i="4"/>
  <c r="R1642" i="4" s="1"/>
  <c r="R1641" i="4"/>
  <c r="Q1641" i="4"/>
  <c r="O1641" i="4"/>
  <c r="N1641" i="4"/>
  <c r="L1641" i="4"/>
  <c r="K1641" i="4"/>
  <c r="J1641" i="4"/>
  <c r="M1641" i="4" s="1"/>
  <c r="I1641" i="4"/>
  <c r="P1641" i="4" s="1"/>
  <c r="Q1640" i="4"/>
  <c r="M1640" i="4"/>
  <c r="L1640" i="4"/>
  <c r="K1640" i="4"/>
  <c r="J1640" i="4"/>
  <c r="I1640" i="4"/>
  <c r="R1640" i="4" s="1"/>
  <c r="R1639" i="4"/>
  <c r="Q1639" i="4"/>
  <c r="O1639" i="4"/>
  <c r="N1639" i="4"/>
  <c r="L1639" i="4"/>
  <c r="K1639" i="4"/>
  <c r="J1639" i="4"/>
  <c r="M1639" i="4" s="1"/>
  <c r="I1639" i="4"/>
  <c r="P1639" i="4" s="1"/>
  <c r="Q1638" i="4"/>
  <c r="M1638" i="4"/>
  <c r="L1638" i="4"/>
  <c r="K1638" i="4"/>
  <c r="J1638" i="4"/>
  <c r="I1638" i="4"/>
  <c r="R1638" i="4" s="1"/>
  <c r="R1637" i="4"/>
  <c r="Q1637" i="4"/>
  <c r="O1637" i="4"/>
  <c r="N1637" i="4"/>
  <c r="L1637" i="4"/>
  <c r="K1637" i="4"/>
  <c r="J1637" i="4"/>
  <c r="M1637" i="4" s="1"/>
  <c r="I1637" i="4"/>
  <c r="P1637" i="4" s="1"/>
  <c r="Q1636" i="4"/>
  <c r="M1636" i="4"/>
  <c r="L1636" i="4"/>
  <c r="K1636" i="4"/>
  <c r="J1636" i="4"/>
  <c r="I1636" i="4"/>
  <c r="R1636" i="4" s="1"/>
  <c r="R1635" i="4"/>
  <c r="Q1635" i="4"/>
  <c r="O1635" i="4"/>
  <c r="N1635" i="4"/>
  <c r="L1635" i="4"/>
  <c r="K1635" i="4"/>
  <c r="J1635" i="4"/>
  <c r="M1635" i="4" s="1"/>
  <c r="I1635" i="4"/>
  <c r="P1635" i="4" s="1"/>
  <c r="Q1634" i="4"/>
  <c r="M1634" i="4"/>
  <c r="L1634" i="4"/>
  <c r="K1634" i="4"/>
  <c r="J1634" i="4"/>
  <c r="I1634" i="4"/>
  <c r="R1634" i="4" s="1"/>
  <c r="Q1633" i="4"/>
  <c r="M1633" i="4"/>
  <c r="L1633" i="4"/>
  <c r="K1633" i="4"/>
  <c r="J1633" i="4"/>
  <c r="I1633" i="4"/>
  <c r="P1633" i="4" s="1"/>
  <c r="Q1632" i="4"/>
  <c r="M1632" i="4"/>
  <c r="L1632" i="4"/>
  <c r="K1632" i="4"/>
  <c r="J1632" i="4"/>
  <c r="I1632" i="4"/>
  <c r="R1632" i="4" s="1"/>
  <c r="Q1631" i="4"/>
  <c r="M1631" i="4"/>
  <c r="L1631" i="4"/>
  <c r="K1631" i="4"/>
  <c r="J1631" i="4"/>
  <c r="I1631" i="4"/>
  <c r="P1631" i="4" s="1"/>
  <c r="Q1630" i="4"/>
  <c r="M1630" i="4"/>
  <c r="L1630" i="4"/>
  <c r="K1630" i="4"/>
  <c r="J1630" i="4"/>
  <c r="I1630" i="4"/>
  <c r="R1630" i="4" s="1"/>
  <c r="Q1629" i="4"/>
  <c r="M1629" i="4"/>
  <c r="L1629" i="4"/>
  <c r="K1629" i="4"/>
  <c r="J1629" i="4"/>
  <c r="I1629" i="4"/>
  <c r="P1629" i="4" s="1"/>
  <c r="Q1628" i="4"/>
  <c r="M1628" i="4"/>
  <c r="L1628" i="4"/>
  <c r="K1628" i="4"/>
  <c r="J1628" i="4"/>
  <c r="I1628" i="4"/>
  <c r="R1628" i="4" s="1"/>
  <c r="Q1627" i="4"/>
  <c r="M1627" i="4"/>
  <c r="L1627" i="4"/>
  <c r="K1627" i="4"/>
  <c r="J1627" i="4"/>
  <c r="I1627" i="4"/>
  <c r="P1627" i="4" s="1"/>
  <c r="Q1626" i="4"/>
  <c r="M1626" i="4"/>
  <c r="L1626" i="4"/>
  <c r="K1626" i="4"/>
  <c r="J1626" i="4"/>
  <c r="I1626" i="4"/>
  <c r="R1626" i="4" s="1"/>
  <c r="Q1625" i="4"/>
  <c r="M1625" i="4"/>
  <c r="L1625" i="4"/>
  <c r="K1625" i="4"/>
  <c r="J1625" i="4"/>
  <c r="I1625" i="4"/>
  <c r="P1625" i="4" s="1"/>
  <c r="Q1624" i="4"/>
  <c r="M1624" i="4"/>
  <c r="L1624" i="4"/>
  <c r="K1624" i="4"/>
  <c r="J1624" i="4"/>
  <c r="I1624" i="4"/>
  <c r="R1624" i="4" s="1"/>
  <c r="Q1623" i="4"/>
  <c r="M1623" i="4"/>
  <c r="L1623" i="4"/>
  <c r="K1623" i="4"/>
  <c r="J1623" i="4"/>
  <c r="I1623" i="4"/>
  <c r="P1623" i="4" s="1"/>
  <c r="Q1622" i="4"/>
  <c r="M1622" i="4"/>
  <c r="L1622" i="4"/>
  <c r="K1622" i="4"/>
  <c r="J1622" i="4"/>
  <c r="I1622" i="4"/>
  <c r="R1622" i="4" s="1"/>
  <c r="Q1621" i="4"/>
  <c r="M1621" i="4"/>
  <c r="L1621" i="4"/>
  <c r="K1621" i="4"/>
  <c r="J1621" i="4"/>
  <c r="I1621" i="4"/>
  <c r="P1621" i="4" s="1"/>
  <c r="Q1620" i="4"/>
  <c r="M1620" i="4"/>
  <c r="L1620" i="4"/>
  <c r="K1620" i="4"/>
  <c r="J1620" i="4"/>
  <c r="I1620" i="4"/>
  <c r="R1620" i="4" s="1"/>
  <c r="Q1619" i="4"/>
  <c r="M1619" i="4"/>
  <c r="L1619" i="4"/>
  <c r="K1619" i="4"/>
  <c r="J1619" i="4"/>
  <c r="I1619" i="4"/>
  <c r="P1619" i="4" s="1"/>
  <c r="Q1618" i="4"/>
  <c r="M1618" i="4"/>
  <c r="L1618" i="4"/>
  <c r="K1618" i="4"/>
  <c r="J1618" i="4"/>
  <c r="I1618" i="4"/>
  <c r="R1618" i="4" s="1"/>
  <c r="Q1617" i="4"/>
  <c r="M1617" i="4"/>
  <c r="L1617" i="4"/>
  <c r="K1617" i="4"/>
  <c r="J1617" i="4"/>
  <c r="I1617" i="4"/>
  <c r="P1617" i="4" s="1"/>
  <c r="Q1616" i="4"/>
  <c r="M1616" i="4"/>
  <c r="L1616" i="4"/>
  <c r="K1616" i="4"/>
  <c r="J1616" i="4"/>
  <c r="I1616" i="4"/>
  <c r="R1616" i="4" s="1"/>
  <c r="Q1615" i="4"/>
  <c r="M1615" i="4"/>
  <c r="L1615" i="4"/>
  <c r="K1615" i="4"/>
  <c r="J1615" i="4"/>
  <c r="I1615" i="4"/>
  <c r="P1615" i="4" s="1"/>
  <c r="Q1614" i="4"/>
  <c r="M1614" i="4"/>
  <c r="L1614" i="4"/>
  <c r="K1614" i="4"/>
  <c r="J1614" i="4"/>
  <c r="I1614" i="4"/>
  <c r="R1614" i="4" s="1"/>
  <c r="Q1613" i="4"/>
  <c r="M1613" i="4"/>
  <c r="L1613" i="4"/>
  <c r="K1613" i="4"/>
  <c r="J1613" i="4"/>
  <c r="I1613" i="4"/>
  <c r="P1613" i="4" s="1"/>
  <c r="Q1612" i="4"/>
  <c r="M1612" i="4"/>
  <c r="L1612" i="4"/>
  <c r="K1612" i="4"/>
  <c r="J1612" i="4"/>
  <c r="I1612" i="4"/>
  <c r="R1612" i="4" s="1"/>
  <c r="Q1611" i="4"/>
  <c r="M1611" i="4"/>
  <c r="L1611" i="4"/>
  <c r="K1611" i="4"/>
  <c r="J1611" i="4"/>
  <c r="I1611" i="4"/>
  <c r="P1611" i="4" s="1"/>
  <c r="Q1610" i="4"/>
  <c r="M1610" i="4"/>
  <c r="L1610" i="4"/>
  <c r="K1610" i="4"/>
  <c r="J1610" i="4"/>
  <c r="I1610" i="4"/>
  <c r="R1610" i="4" s="1"/>
  <c r="Q1609" i="4"/>
  <c r="M1609" i="4"/>
  <c r="L1609" i="4"/>
  <c r="K1609" i="4"/>
  <c r="J1609" i="4"/>
  <c r="I1609" i="4"/>
  <c r="P1609" i="4" s="1"/>
  <c r="Q1608" i="4"/>
  <c r="M1608" i="4"/>
  <c r="L1608" i="4"/>
  <c r="K1608" i="4"/>
  <c r="J1608" i="4"/>
  <c r="I1608" i="4"/>
  <c r="R1608" i="4" s="1"/>
  <c r="Q1607" i="4"/>
  <c r="M1607" i="4"/>
  <c r="L1607" i="4"/>
  <c r="K1607" i="4"/>
  <c r="J1607" i="4"/>
  <c r="I1607" i="4"/>
  <c r="P1607" i="4" s="1"/>
  <c r="Q1606" i="4"/>
  <c r="M1606" i="4"/>
  <c r="L1606" i="4"/>
  <c r="K1606" i="4"/>
  <c r="J1606" i="4"/>
  <c r="I1606" i="4"/>
  <c r="R1606" i="4" s="1"/>
  <c r="Q1605" i="4"/>
  <c r="M1605" i="4"/>
  <c r="L1605" i="4"/>
  <c r="K1605" i="4"/>
  <c r="J1605" i="4"/>
  <c r="I1605" i="4"/>
  <c r="P1605" i="4" s="1"/>
  <c r="Q1604" i="4"/>
  <c r="M1604" i="4"/>
  <c r="L1604" i="4"/>
  <c r="K1604" i="4"/>
  <c r="J1604" i="4"/>
  <c r="I1604" i="4"/>
  <c r="R1604" i="4" s="1"/>
  <c r="Q1603" i="4"/>
  <c r="M1603" i="4"/>
  <c r="L1603" i="4"/>
  <c r="K1603" i="4"/>
  <c r="J1603" i="4"/>
  <c r="I1603" i="4"/>
  <c r="P1603" i="4" s="1"/>
  <c r="Q1602" i="4"/>
  <c r="M1602" i="4"/>
  <c r="L1602" i="4"/>
  <c r="K1602" i="4"/>
  <c r="J1602" i="4"/>
  <c r="I1602" i="4"/>
  <c r="R1602" i="4" s="1"/>
  <c r="Q1601" i="4"/>
  <c r="M1601" i="4"/>
  <c r="L1601" i="4"/>
  <c r="K1601" i="4"/>
  <c r="J1601" i="4"/>
  <c r="I1601" i="4"/>
  <c r="P1601" i="4" s="1"/>
  <c r="Q1600" i="4"/>
  <c r="M1600" i="4"/>
  <c r="L1600" i="4"/>
  <c r="K1600" i="4"/>
  <c r="J1600" i="4"/>
  <c r="I1600" i="4"/>
  <c r="R1600" i="4" s="1"/>
  <c r="Q1599" i="4"/>
  <c r="M1599" i="4"/>
  <c r="L1599" i="4"/>
  <c r="K1599" i="4"/>
  <c r="J1599" i="4"/>
  <c r="I1599" i="4"/>
  <c r="P1599" i="4" s="1"/>
  <c r="Q1598" i="4"/>
  <c r="M1598" i="4"/>
  <c r="L1598" i="4"/>
  <c r="K1598" i="4"/>
  <c r="J1598" i="4"/>
  <c r="I1598" i="4"/>
  <c r="R1598" i="4" s="1"/>
  <c r="Q1597" i="4"/>
  <c r="M1597" i="4"/>
  <c r="L1597" i="4"/>
  <c r="K1597" i="4"/>
  <c r="J1597" i="4"/>
  <c r="I1597" i="4"/>
  <c r="P1597" i="4" s="1"/>
  <c r="Q1596" i="4"/>
  <c r="M1596" i="4"/>
  <c r="L1596" i="4"/>
  <c r="K1596" i="4"/>
  <c r="J1596" i="4"/>
  <c r="I1596" i="4"/>
  <c r="R1596" i="4" s="1"/>
  <c r="Q1595" i="4"/>
  <c r="M1595" i="4"/>
  <c r="L1595" i="4"/>
  <c r="K1595" i="4"/>
  <c r="J1595" i="4"/>
  <c r="I1595" i="4"/>
  <c r="P1595" i="4" s="1"/>
  <c r="Q1594" i="4"/>
  <c r="M1594" i="4"/>
  <c r="L1594" i="4"/>
  <c r="K1594" i="4"/>
  <c r="J1594" i="4"/>
  <c r="I1594" i="4"/>
  <c r="R1594" i="4" s="1"/>
  <c r="Q1593" i="4"/>
  <c r="M1593" i="4"/>
  <c r="L1593" i="4"/>
  <c r="K1593" i="4"/>
  <c r="J1593" i="4"/>
  <c r="I1593" i="4"/>
  <c r="P1593" i="4" s="1"/>
  <c r="Q1592" i="4"/>
  <c r="M1592" i="4"/>
  <c r="L1592" i="4"/>
  <c r="K1592" i="4"/>
  <c r="J1592" i="4"/>
  <c r="I1592" i="4"/>
  <c r="R1592" i="4" s="1"/>
  <c r="Q1591" i="4"/>
  <c r="M1591" i="4"/>
  <c r="L1591" i="4"/>
  <c r="K1591" i="4"/>
  <c r="J1591" i="4"/>
  <c r="I1591" i="4"/>
  <c r="P1591" i="4" s="1"/>
  <c r="Q1590" i="4"/>
  <c r="M1590" i="4"/>
  <c r="L1590" i="4"/>
  <c r="K1590" i="4"/>
  <c r="J1590" i="4"/>
  <c r="I1590" i="4"/>
  <c r="R1590" i="4" s="1"/>
  <c r="Q1589" i="4"/>
  <c r="M1589" i="4"/>
  <c r="L1589" i="4"/>
  <c r="K1589" i="4"/>
  <c r="J1589" i="4"/>
  <c r="I1589" i="4"/>
  <c r="P1589" i="4" s="1"/>
  <c r="Q1588" i="4"/>
  <c r="M1588" i="4"/>
  <c r="L1588" i="4"/>
  <c r="K1588" i="4"/>
  <c r="J1588" i="4"/>
  <c r="I1588" i="4"/>
  <c r="R1588" i="4" s="1"/>
  <c r="Q1587" i="4"/>
  <c r="M1587" i="4"/>
  <c r="L1587" i="4"/>
  <c r="K1587" i="4"/>
  <c r="J1587" i="4"/>
  <c r="I1587" i="4"/>
  <c r="P1587" i="4" s="1"/>
  <c r="Q1586" i="4"/>
  <c r="M1586" i="4"/>
  <c r="L1586" i="4"/>
  <c r="K1586" i="4"/>
  <c r="J1586" i="4"/>
  <c r="I1586" i="4"/>
  <c r="R1586" i="4" s="1"/>
  <c r="Q1585" i="4"/>
  <c r="M1585" i="4"/>
  <c r="L1585" i="4"/>
  <c r="K1585" i="4"/>
  <c r="J1585" i="4"/>
  <c r="I1585" i="4"/>
  <c r="P1585" i="4" s="1"/>
  <c r="Q1584" i="4"/>
  <c r="M1584" i="4"/>
  <c r="L1584" i="4"/>
  <c r="K1584" i="4"/>
  <c r="J1584" i="4"/>
  <c r="I1584" i="4"/>
  <c r="R1584" i="4" s="1"/>
  <c r="Q1583" i="4"/>
  <c r="M1583" i="4"/>
  <c r="L1583" i="4"/>
  <c r="K1583" i="4"/>
  <c r="J1583" i="4"/>
  <c r="I1583" i="4"/>
  <c r="P1583" i="4" s="1"/>
  <c r="Q1582" i="4"/>
  <c r="M1582" i="4"/>
  <c r="L1582" i="4"/>
  <c r="K1582" i="4"/>
  <c r="J1582" i="4"/>
  <c r="I1582" i="4"/>
  <c r="R1582" i="4" s="1"/>
  <c r="Q1581" i="4"/>
  <c r="M1581" i="4"/>
  <c r="L1581" i="4"/>
  <c r="K1581" i="4"/>
  <c r="J1581" i="4"/>
  <c r="I1581" i="4"/>
  <c r="P1581" i="4" s="1"/>
  <c r="Q1580" i="4"/>
  <c r="M1580" i="4"/>
  <c r="L1580" i="4"/>
  <c r="K1580" i="4"/>
  <c r="J1580" i="4"/>
  <c r="I1580" i="4"/>
  <c r="R1580" i="4" s="1"/>
  <c r="Q1579" i="4"/>
  <c r="M1579" i="4"/>
  <c r="L1579" i="4"/>
  <c r="K1579" i="4"/>
  <c r="J1579" i="4"/>
  <c r="I1579" i="4"/>
  <c r="P1579" i="4" s="1"/>
  <c r="Q1578" i="4"/>
  <c r="M1578" i="4"/>
  <c r="L1578" i="4"/>
  <c r="K1578" i="4"/>
  <c r="J1578" i="4"/>
  <c r="I1578" i="4"/>
  <c r="R1578" i="4" s="1"/>
  <c r="Q1577" i="4"/>
  <c r="M1577" i="4"/>
  <c r="L1577" i="4"/>
  <c r="K1577" i="4"/>
  <c r="J1577" i="4"/>
  <c r="I1577" i="4"/>
  <c r="P1577" i="4" s="1"/>
  <c r="Q1576" i="4"/>
  <c r="M1576" i="4"/>
  <c r="L1576" i="4"/>
  <c r="K1576" i="4"/>
  <c r="J1576" i="4"/>
  <c r="I1576" i="4"/>
  <c r="R1576" i="4" s="1"/>
  <c r="Q1575" i="4"/>
  <c r="M1575" i="4"/>
  <c r="L1575" i="4"/>
  <c r="K1575" i="4"/>
  <c r="J1575" i="4"/>
  <c r="I1575" i="4"/>
  <c r="P1575" i="4" s="1"/>
  <c r="Q1574" i="4"/>
  <c r="M1574" i="4"/>
  <c r="L1574" i="4"/>
  <c r="K1574" i="4"/>
  <c r="J1574" i="4"/>
  <c r="I1574" i="4"/>
  <c r="R1574" i="4" s="1"/>
  <c r="Q1573" i="4"/>
  <c r="M1573" i="4"/>
  <c r="L1573" i="4"/>
  <c r="K1573" i="4"/>
  <c r="J1573" i="4"/>
  <c r="I1573" i="4"/>
  <c r="P1573" i="4" s="1"/>
  <c r="Q1572" i="4"/>
  <c r="M1572" i="4"/>
  <c r="L1572" i="4"/>
  <c r="K1572" i="4"/>
  <c r="J1572" i="4"/>
  <c r="I1572" i="4"/>
  <c r="R1572" i="4" s="1"/>
  <c r="Q1571" i="4"/>
  <c r="M1571" i="4"/>
  <c r="L1571" i="4"/>
  <c r="K1571" i="4"/>
  <c r="J1571" i="4"/>
  <c r="I1571" i="4"/>
  <c r="P1571" i="4" s="1"/>
  <c r="Q1570" i="4"/>
  <c r="M1570" i="4"/>
  <c r="L1570" i="4"/>
  <c r="K1570" i="4"/>
  <c r="J1570" i="4"/>
  <c r="I1570" i="4"/>
  <c r="R1570" i="4" s="1"/>
  <c r="Q1569" i="4"/>
  <c r="M1569" i="4"/>
  <c r="L1569" i="4"/>
  <c r="K1569" i="4"/>
  <c r="J1569" i="4"/>
  <c r="I1569" i="4"/>
  <c r="P1569" i="4" s="1"/>
  <c r="Q1568" i="4"/>
  <c r="M1568" i="4"/>
  <c r="L1568" i="4"/>
  <c r="K1568" i="4"/>
  <c r="J1568" i="4"/>
  <c r="I1568" i="4"/>
  <c r="R1568" i="4" s="1"/>
  <c r="Q1567" i="4"/>
  <c r="M1567" i="4"/>
  <c r="L1567" i="4"/>
  <c r="K1567" i="4"/>
  <c r="J1567" i="4"/>
  <c r="I1567" i="4"/>
  <c r="P1567" i="4" s="1"/>
  <c r="Q1566" i="4"/>
  <c r="M1566" i="4"/>
  <c r="L1566" i="4"/>
  <c r="K1566" i="4"/>
  <c r="J1566" i="4"/>
  <c r="I1566" i="4"/>
  <c r="R1566" i="4" s="1"/>
  <c r="Q1565" i="4"/>
  <c r="M1565" i="4"/>
  <c r="L1565" i="4"/>
  <c r="K1565" i="4"/>
  <c r="J1565" i="4"/>
  <c r="I1565" i="4"/>
  <c r="P1565" i="4" s="1"/>
  <c r="Q1564" i="4"/>
  <c r="M1564" i="4"/>
  <c r="L1564" i="4"/>
  <c r="K1564" i="4"/>
  <c r="J1564" i="4"/>
  <c r="I1564" i="4"/>
  <c r="R1564" i="4" s="1"/>
  <c r="Q1563" i="4"/>
  <c r="M1563" i="4"/>
  <c r="L1563" i="4"/>
  <c r="K1563" i="4"/>
  <c r="J1563" i="4"/>
  <c r="I1563" i="4"/>
  <c r="P1563" i="4" s="1"/>
  <c r="Q1562" i="4"/>
  <c r="M1562" i="4"/>
  <c r="L1562" i="4"/>
  <c r="K1562" i="4"/>
  <c r="J1562" i="4"/>
  <c r="I1562" i="4"/>
  <c r="R1562" i="4" s="1"/>
  <c r="Q1561" i="4"/>
  <c r="M1561" i="4"/>
  <c r="L1561" i="4"/>
  <c r="K1561" i="4"/>
  <c r="J1561" i="4"/>
  <c r="I1561" i="4"/>
  <c r="P1561" i="4" s="1"/>
  <c r="Q1560" i="4"/>
  <c r="M1560" i="4"/>
  <c r="L1560" i="4"/>
  <c r="K1560" i="4"/>
  <c r="J1560" i="4"/>
  <c r="I1560" i="4"/>
  <c r="R1560" i="4" s="1"/>
  <c r="Q1559" i="4"/>
  <c r="M1559" i="4"/>
  <c r="L1559" i="4"/>
  <c r="K1559" i="4"/>
  <c r="J1559" i="4"/>
  <c r="I1559" i="4"/>
  <c r="P1559" i="4" s="1"/>
  <c r="Q1558" i="4"/>
  <c r="M1558" i="4"/>
  <c r="L1558" i="4"/>
  <c r="K1558" i="4"/>
  <c r="J1558" i="4"/>
  <c r="I1558" i="4"/>
  <c r="R1558" i="4" s="1"/>
  <c r="Q1557" i="4"/>
  <c r="M1557" i="4"/>
  <c r="L1557" i="4"/>
  <c r="K1557" i="4"/>
  <c r="J1557" i="4"/>
  <c r="I1557" i="4"/>
  <c r="P1557" i="4" s="1"/>
  <c r="Q1556" i="4"/>
  <c r="M1556" i="4"/>
  <c r="L1556" i="4"/>
  <c r="K1556" i="4"/>
  <c r="J1556" i="4"/>
  <c r="I1556" i="4"/>
  <c r="R1556" i="4" s="1"/>
  <c r="Q1555" i="4"/>
  <c r="M1555" i="4"/>
  <c r="L1555" i="4"/>
  <c r="K1555" i="4"/>
  <c r="J1555" i="4"/>
  <c r="I1555" i="4"/>
  <c r="P1555" i="4" s="1"/>
  <c r="Q1554" i="4"/>
  <c r="M1554" i="4"/>
  <c r="L1554" i="4"/>
  <c r="K1554" i="4"/>
  <c r="J1554" i="4"/>
  <c r="I1554" i="4"/>
  <c r="R1554" i="4" s="1"/>
  <c r="Q1553" i="4"/>
  <c r="M1553" i="4"/>
  <c r="L1553" i="4"/>
  <c r="K1553" i="4"/>
  <c r="J1553" i="4"/>
  <c r="I1553" i="4"/>
  <c r="P1553" i="4" s="1"/>
  <c r="Q1552" i="4"/>
  <c r="M1552" i="4"/>
  <c r="L1552" i="4"/>
  <c r="K1552" i="4"/>
  <c r="J1552" i="4"/>
  <c r="I1552" i="4"/>
  <c r="R1552" i="4" s="1"/>
  <c r="Q1551" i="4"/>
  <c r="M1551" i="4"/>
  <c r="L1551" i="4"/>
  <c r="K1551" i="4"/>
  <c r="J1551" i="4"/>
  <c r="I1551" i="4"/>
  <c r="P1551" i="4" s="1"/>
  <c r="Q1550" i="4"/>
  <c r="M1550" i="4"/>
  <c r="L1550" i="4"/>
  <c r="K1550" i="4"/>
  <c r="J1550" i="4"/>
  <c r="I1550" i="4"/>
  <c r="R1550" i="4" s="1"/>
  <c r="Q1549" i="4"/>
  <c r="M1549" i="4"/>
  <c r="L1549" i="4"/>
  <c r="K1549" i="4"/>
  <c r="J1549" i="4"/>
  <c r="I1549" i="4"/>
  <c r="P1549" i="4" s="1"/>
  <c r="Q1548" i="4"/>
  <c r="M1548" i="4"/>
  <c r="L1548" i="4"/>
  <c r="K1548" i="4"/>
  <c r="J1548" i="4"/>
  <c r="I1548" i="4"/>
  <c r="R1548" i="4" s="1"/>
  <c r="Q1547" i="4"/>
  <c r="M1547" i="4"/>
  <c r="L1547" i="4"/>
  <c r="K1547" i="4"/>
  <c r="J1547" i="4"/>
  <c r="I1547" i="4"/>
  <c r="P1547" i="4" s="1"/>
  <c r="Q1546" i="4"/>
  <c r="M1546" i="4"/>
  <c r="L1546" i="4"/>
  <c r="K1546" i="4"/>
  <c r="J1546" i="4"/>
  <c r="I1546" i="4"/>
  <c r="R1546" i="4" s="1"/>
  <c r="Q1545" i="4"/>
  <c r="M1545" i="4"/>
  <c r="L1545" i="4"/>
  <c r="K1545" i="4"/>
  <c r="J1545" i="4"/>
  <c r="I1545" i="4"/>
  <c r="P1545" i="4" s="1"/>
  <c r="Q1544" i="4"/>
  <c r="M1544" i="4"/>
  <c r="L1544" i="4"/>
  <c r="K1544" i="4"/>
  <c r="J1544" i="4"/>
  <c r="I1544" i="4"/>
  <c r="R1544" i="4" s="1"/>
  <c r="Q1543" i="4"/>
  <c r="M1543" i="4"/>
  <c r="L1543" i="4"/>
  <c r="K1543" i="4"/>
  <c r="J1543" i="4"/>
  <c r="I1543" i="4"/>
  <c r="P1543" i="4" s="1"/>
  <c r="Q1542" i="4"/>
  <c r="M1542" i="4"/>
  <c r="L1542" i="4"/>
  <c r="K1542" i="4"/>
  <c r="J1542" i="4"/>
  <c r="I1542" i="4"/>
  <c r="R1542" i="4" s="1"/>
  <c r="Q1541" i="4"/>
  <c r="M1541" i="4"/>
  <c r="L1541" i="4"/>
  <c r="K1541" i="4"/>
  <c r="J1541" i="4"/>
  <c r="I1541" i="4"/>
  <c r="P1541" i="4" s="1"/>
  <c r="Q1540" i="4"/>
  <c r="M1540" i="4"/>
  <c r="L1540" i="4"/>
  <c r="K1540" i="4"/>
  <c r="J1540" i="4"/>
  <c r="I1540" i="4"/>
  <c r="R1540" i="4" s="1"/>
  <c r="Q1539" i="4"/>
  <c r="M1539" i="4"/>
  <c r="L1539" i="4"/>
  <c r="K1539" i="4"/>
  <c r="J1539" i="4"/>
  <c r="I1539" i="4"/>
  <c r="P1539" i="4" s="1"/>
  <c r="Q1538" i="4"/>
  <c r="M1538" i="4"/>
  <c r="L1538" i="4"/>
  <c r="K1538" i="4"/>
  <c r="J1538" i="4"/>
  <c r="I1538" i="4"/>
  <c r="R1538" i="4" s="1"/>
  <c r="Q1537" i="4"/>
  <c r="M1537" i="4"/>
  <c r="L1537" i="4"/>
  <c r="K1537" i="4"/>
  <c r="J1537" i="4"/>
  <c r="I1537" i="4"/>
  <c r="P1537" i="4" s="1"/>
  <c r="Q1536" i="4"/>
  <c r="M1536" i="4"/>
  <c r="L1536" i="4"/>
  <c r="K1536" i="4"/>
  <c r="J1536" i="4"/>
  <c r="I1536" i="4"/>
  <c r="R1536" i="4" s="1"/>
  <c r="Q1535" i="4"/>
  <c r="M1535" i="4"/>
  <c r="L1535" i="4"/>
  <c r="K1535" i="4"/>
  <c r="J1535" i="4"/>
  <c r="I1535" i="4"/>
  <c r="P1535" i="4" s="1"/>
  <c r="Q1534" i="4"/>
  <c r="M1534" i="4"/>
  <c r="L1534" i="4"/>
  <c r="K1534" i="4"/>
  <c r="J1534" i="4"/>
  <c r="I1534" i="4"/>
  <c r="R1534" i="4" s="1"/>
  <c r="Q1533" i="4"/>
  <c r="M1533" i="4"/>
  <c r="L1533" i="4"/>
  <c r="K1533" i="4"/>
  <c r="J1533" i="4"/>
  <c r="I1533" i="4"/>
  <c r="P1533" i="4" s="1"/>
  <c r="Q1532" i="4"/>
  <c r="M1532" i="4"/>
  <c r="L1532" i="4"/>
  <c r="K1532" i="4"/>
  <c r="J1532" i="4"/>
  <c r="I1532" i="4"/>
  <c r="R1532" i="4" s="1"/>
  <c r="Q1531" i="4"/>
  <c r="M1531" i="4"/>
  <c r="L1531" i="4"/>
  <c r="K1531" i="4"/>
  <c r="J1531" i="4"/>
  <c r="I1531" i="4"/>
  <c r="P1531" i="4" s="1"/>
  <c r="Q1530" i="4"/>
  <c r="M1530" i="4"/>
  <c r="L1530" i="4"/>
  <c r="K1530" i="4"/>
  <c r="J1530" i="4"/>
  <c r="I1530" i="4"/>
  <c r="R1530" i="4" s="1"/>
  <c r="Q1529" i="4"/>
  <c r="M1529" i="4"/>
  <c r="L1529" i="4"/>
  <c r="K1529" i="4"/>
  <c r="J1529" i="4"/>
  <c r="I1529" i="4"/>
  <c r="P1529" i="4" s="1"/>
  <c r="Q1528" i="4"/>
  <c r="M1528" i="4"/>
  <c r="L1528" i="4"/>
  <c r="K1528" i="4"/>
  <c r="J1528" i="4"/>
  <c r="I1528" i="4"/>
  <c r="R1528" i="4" s="1"/>
  <c r="Q1527" i="4"/>
  <c r="M1527" i="4"/>
  <c r="L1527" i="4"/>
  <c r="K1527" i="4"/>
  <c r="J1527" i="4"/>
  <c r="I1527" i="4"/>
  <c r="P1527" i="4" s="1"/>
  <c r="Q1526" i="4"/>
  <c r="M1526" i="4"/>
  <c r="L1526" i="4"/>
  <c r="K1526" i="4"/>
  <c r="J1526" i="4"/>
  <c r="I1526" i="4"/>
  <c r="R1526" i="4" s="1"/>
  <c r="Q1525" i="4"/>
  <c r="M1525" i="4"/>
  <c r="L1525" i="4"/>
  <c r="K1525" i="4"/>
  <c r="J1525" i="4"/>
  <c r="I1525" i="4"/>
  <c r="P1525" i="4" s="1"/>
  <c r="Q1524" i="4"/>
  <c r="M1524" i="4"/>
  <c r="L1524" i="4"/>
  <c r="K1524" i="4"/>
  <c r="J1524" i="4"/>
  <c r="I1524" i="4"/>
  <c r="R1524" i="4" s="1"/>
  <c r="Q1523" i="4"/>
  <c r="M1523" i="4"/>
  <c r="L1523" i="4"/>
  <c r="K1523" i="4"/>
  <c r="J1523" i="4"/>
  <c r="I1523" i="4"/>
  <c r="P1523" i="4" s="1"/>
  <c r="Q1522" i="4"/>
  <c r="M1522" i="4"/>
  <c r="L1522" i="4"/>
  <c r="K1522" i="4"/>
  <c r="J1522" i="4"/>
  <c r="I1522" i="4"/>
  <c r="R1522" i="4" s="1"/>
  <c r="Q1521" i="4"/>
  <c r="M1521" i="4"/>
  <c r="L1521" i="4"/>
  <c r="K1521" i="4"/>
  <c r="J1521" i="4"/>
  <c r="I1521" i="4"/>
  <c r="P1521" i="4" s="1"/>
  <c r="Q1520" i="4"/>
  <c r="M1520" i="4"/>
  <c r="L1520" i="4"/>
  <c r="K1520" i="4"/>
  <c r="J1520" i="4"/>
  <c r="I1520" i="4"/>
  <c r="R1520" i="4" s="1"/>
  <c r="Q1519" i="4"/>
  <c r="M1519" i="4"/>
  <c r="L1519" i="4"/>
  <c r="K1519" i="4"/>
  <c r="J1519" i="4"/>
  <c r="I1519" i="4"/>
  <c r="P1519" i="4" s="1"/>
  <c r="Q1518" i="4"/>
  <c r="M1518" i="4"/>
  <c r="L1518" i="4"/>
  <c r="K1518" i="4"/>
  <c r="J1518" i="4"/>
  <c r="I1518" i="4"/>
  <c r="R1518" i="4" s="1"/>
  <c r="Q1517" i="4"/>
  <c r="M1517" i="4"/>
  <c r="L1517" i="4"/>
  <c r="K1517" i="4"/>
  <c r="J1517" i="4"/>
  <c r="I1517" i="4"/>
  <c r="P1517" i="4" s="1"/>
  <c r="Q1516" i="4"/>
  <c r="M1516" i="4"/>
  <c r="L1516" i="4"/>
  <c r="K1516" i="4"/>
  <c r="J1516" i="4"/>
  <c r="I1516" i="4"/>
  <c r="R1516" i="4" s="1"/>
  <c r="Q1515" i="4"/>
  <c r="M1515" i="4"/>
  <c r="L1515" i="4"/>
  <c r="K1515" i="4"/>
  <c r="J1515" i="4"/>
  <c r="I1515" i="4"/>
  <c r="P1515" i="4" s="1"/>
  <c r="Q1514" i="4"/>
  <c r="M1514" i="4"/>
  <c r="L1514" i="4"/>
  <c r="K1514" i="4"/>
  <c r="J1514" i="4"/>
  <c r="I1514" i="4"/>
  <c r="R1514" i="4" s="1"/>
  <c r="Q1513" i="4"/>
  <c r="M1513" i="4"/>
  <c r="L1513" i="4"/>
  <c r="K1513" i="4"/>
  <c r="J1513" i="4"/>
  <c r="I1513" i="4"/>
  <c r="P1513" i="4" s="1"/>
  <c r="Q1512" i="4"/>
  <c r="M1512" i="4"/>
  <c r="L1512" i="4"/>
  <c r="K1512" i="4"/>
  <c r="J1512" i="4"/>
  <c r="I1512" i="4"/>
  <c r="R1512" i="4" s="1"/>
  <c r="Q1511" i="4"/>
  <c r="M1511" i="4"/>
  <c r="L1511" i="4"/>
  <c r="K1511" i="4"/>
  <c r="J1511" i="4"/>
  <c r="I1511" i="4"/>
  <c r="P1511" i="4" s="1"/>
  <c r="Q1510" i="4"/>
  <c r="M1510" i="4"/>
  <c r="L1510" i="4"/>
  <c r="K1510" i="4"/>
  <c r="J1510" i="4"/>
  <c r="I1510" i="4"/>
  <c r="R1510" i="4" s="1"/>
  <c r="Q1509" i="4"/>
  <c r="M1509" i="4"/>
  <c r="L1509" i="4"/>
  <c r="K1509" i="4"/>
  <c r="J1509" i="4"/>
  <c r="I1509" i="4"/>
  <c r="P1509" i="4" s="1"/>
  <c r="Q1508" i="4"/>
  <c r="M1508" i="4"/>
  <c r="L1508" i="4"/>
  <c r="K1508" i="4"/>
  <c r="J1508" i="4"/>
  <c r="I1508" i="4"/>
  <c r="R1508" i="4" s="1"/>
  <c r="Q1507" i="4"/>
  <c r="M1507" i="4"/>
  <c r="L1507" i="4"/>
  <c r="K1507" i="4"/>
  <c r="J1507" i="4"/>
  <c r="I1507" i="4"/>
  <c r="P1507" i="4" s="1"/>
  <c r="Q1506" i="4"/>
  <c r="M1506" i="4"/>
  <c r="L1506" i="4"/>
  <c r="K1506" i="4"/>
  <c r="J1506" i="4"/>
  <c r="I1506" i="4"/>
  <c r="R1506" i="4" s="1"/>
  <c r="Q1505" i="4"/>
  <c r="M1505" i="4"/>
  <c r="L1505" i="4"/>
  <c r="K1505" i="4"/>
  <c r="J1505" i="4"/>
  <c r="I1505" i="4"/>
  <c r="P1505" i="4" s="1"/>
  <c r="Q1504" i="4"/>
  <c r="M1504" i="4"/>
  <c r="L1504" i="4"/>
  <c r="K1504" i="4"/>
  <c r="J1504" i="4"/>
  <c r="I1504" i="4"/>
  <c r="R1504" i="4" s="1"/>
  <c r="Q1503" i="4"/>
  <c r="M1503" i="4"/>
  <c r="L1503" i="4"/>
  <c r="K1503" i="4"/>
  <c r="J1503" i="4"/>
  <c r="I1503" i="4"/>
  <c r="P1503" i="4" s="1"/>
  <c r="Q1502" i="4"/>
  <c r="M1502" i="4"/>
  <c r="L1502" i="4"/>
  <c r="K1502" i="4"/>
  <c r="J1502" i="4"/>
  <c r="I1502" i="4"/>
  <c r="R1502" i="4" s="1"/>
  <c r="Q1501" i="4"/>
  <c r="M1501" i="4"/>
  <c r="L1501" i="4"/>
  <c r="K1501" i="4"/>
  <c r="J1501" i="4"/>
  <c r="I1501" i="4"/>
  <c r="P1501" i="4" s="1"/>
  <c r="Q1500" i="4"/>
  <c r="M1500" i="4"/>
  <c r="L1500" i="4"/>
  <c r="K1500" i="4"/>
  <c r="J1500" i="4"/>
  <c r="I1500" i="4"/>
  <c r="R1500" i="4" s="1"/>
  <c r="Q1499" i="4"/>
  <c r="M1499" i="4"/>
  <c r="L1499" i="4"/>
  <c r="K1499" i="4"/>
  <c r="J1499" i="4"/>
  <c r="I1499" i="4"/>
  <c r="P1499" i="4" s="1"/>
  <c r="Q1498" i="4"/>
  <c r="M1498" i="4"/>
  <c r="L1498" i="4"/>
  <c r="K1498" i="4"/>
  <c r="J1498" i="4"/>
  <c r="I1498" i="4"/>
  <c r="R1498" i="4" s="1"/>
  <c r="Q1497" i="4"/>
  <c r="M1497" i="4"/>
  <c r="L1497" i="4"/>
  <c r="K1497" i="4"/>
  <c r="J1497" i="4"/>
  <c r="I1497" i="4"/>
  <c r="P1497" i="4" s="1"/>
  <c r="Q1496" i="4"/>
  <c r="M1496" i="4"/>
  <c r="L1496" i="4"/>
  <c r="K1496" i="4"/>
  <c r="J1496" i="4"/>
  <c r="I1496" i="4"/>
  <c r="R1496" i="4" s="1"/>
  <c r="Q1495" i="4"/>
  <c r="M1495" i="4"/>
  <c r="L1495" i="4"/>
  <c r="K1495" i="4"/>
  <c r="J1495" i="4"/>
  <c r="I1495" i="4"/>
  <c r="P1495" i="4" s="1"/>
  <c r="Q1494" i="4"/>
  <c r="M1494" i="4"/>
  <c r="L1494" i="4"/>
  <c r="K1494" i="4"/>
  <c r="J1494" i="4"/>
  <c r="I1494" i="4"/>
  <c r="R1494" i="4" s="1"/>
  <c r="Q1493" i="4"/>
  <c r="M1493" i="4"/>
  <c r="L1493" i="4"/>
  <c r="K1493" i="4"/>
  <c r="J1493" i="4"/>
  <c r="I1493" i="4"/>
  <c r="P1493" i="4" s="1"/>
  <c r="Q1492" i="4"/>
  <c r="M1492" i="4"/>
  <c r="L1492" i="4"/>
  <c r="K1492" i="4"/>
  <c r="J1492" i="4"/>
  <c r="I1492" i="4"/>
  <c r="R1492" i="4" s="1"/>
  <c r="Q1491" i="4"/>
  <c r="M1491" i="4"/>
  <c r="L1491" i="4"/>
  <c r="K1491" i="4"/>
  <c r="J1491" i="4"/>
  <c r="I1491" i="4"/>
  <c r="P1491" i="4" s="1"/>
  <c r="Q1490" i="4"/>
  <c r="M1490" i="4"/>
  <c r="L1490" i="4"/>
  <c r="K1490" i="4"/>
  <c r="J1490" i="4"/>
  <c r="I1490" i="4"/>
  <c r="R1490" i="4" s="1"/>
  <c r="Q1489" i="4"/>
  <c r="M1489" i="4"/>
  <c r="L1489" i="4"/>
  <c r="K1489" i="4"/>
  <c r="J1489" i="4"/>
  <c r="I1489" i="4"/>
  <c r="P1489" i="4" s="1"/>
  <c r="Q1488" i="4"/>
  <c r="M1488" i="4"/>
  <c r="L1488" i="4"/>
  <c r="K1488" i="4"/>
  <c r="J1488" i="4"/>
  <c r="I1488" i="4"/>
  <c r="R1488" i="4" s="1"/>
  <c r="Q1487" i="4"/>
  <c r="M1487" i="4"/>
  <c r="L1487" i="4"/>
  <c r="K1487" i="4"/>
  <c r="J1487" i="4"/>
  <c r="I1487" i="4"/>
  <c r="P1487" i="4" s="1"/>
  <c r="Q1486" i="4"/>
  <c r="M1486" i="4"/>
  <c r="L1486" i="4"/>
  <c r="K1486" i="4"/>
  <c r="J1486" i="4"/>
  <c r="I1486" i="4"/>
  <c r="R1486" i="4" s="1"/>
  <c r="Q1485" i="4"/>
  <c r="M1485" i="4"/>
  <c r="L1485" i="4"/>
  <c r="K1485" i="4"/>
  <c r="J1485" i="4"/>
  <c r="I1485" i="4"/>
  <c r="P1485" i="4" s="1"/>
  <c r="Q1484" i="4"/>
  <c r="M1484" i="4"/>
  <c r="L1484" i="4"/>
  <c r="K1484" i="4"/>
  <c r="J1484" i="4"/>
  <c r="I1484" i="4"/>
  <c r="R1484" i="4" s="1"/>
  <c r="Q1483" i="4"/>
  <c r="M1483" i="4"/>
  <c r="L1483" i="4"/>
  <c r="K1483" i="4"/>
  <c r="J1483" i="4"/>
  <c r="I1483" i="4"/>
  <c r="P1483" i="4" s="1"/>
  <c r="Q1482" i="4"/>
  <c r="M1482" i="4"/>
  <c r="L1482" i="4"/>
  <c r="K1482" i="4"/>
  <c r="J1482" i="4"/>
  <c r="I1482" i="4"/>
  <c r="R1482" i="4" s="1"/>
  <c r="Q1481" i="4"/>
  <c r="M1481" i="4"/>
  <c r="L1481" i="4"/>
  <c r="K1481" i="4"/>
  <c r="J1481" i="4"/>
  <c r="I1481" i="4"/>
  <c r="P1481" i="4" s="1"/>
  <c r="Q1480" i="4"/>
  <c r="M1480" i="4"/>
  <c r="L1480" i="4"/>
  <c r="K1480" i="4"/>
  <c r="J1480" i="4"/>
  <c r="I1480" i="4"/>
  <c r="R1480" i="4" s="1"/>
  <c r="Q1479" i="4"/>
  <c r="M1479" i="4"/>
  <c r="L1479" i="4"/>
  <c r="K1479" i="4"/>
  <c r="J1479" i="4"/>
  <c r="I1479" i="4"/>
  <c r="P1479" i="4" s="1"/>
  <c r="Q1478" i="4"/>
  <c r="O1478" i="4"/>
  <c r="M1478" i="4"/>
  <c r="L1478" i="4"/>
  <c r="K1478" i="4"/>
  <c r="J1478" i="4"/>
  <c r="I1478" i="4"/>
  <c r="R1478" i="4" s="1"/>
  <c r="N1478" i="4" s="1"/>
  <c r="Q1477" i="4"/>
  <c r="M1477" i="4"/>
  <c r="L1477" i="4"/>
  <c r="K1477" i="4"/>
  <c r="J1477" i="4"/>
  <c r="I1477" i="4"/>
  <c r="Q1476" i="4"/>
  <c r="M1476" i="4"/>
  <c r="L1476" i="4"/>
  <c r="K1476" i="4"/>
  <c r="J1476" i="4"/>
  <c r="I1476" i="4"/>
  <c r="Q1475" i="4"/>
  <c r="M1475" i="4"/>
  <c r="L1475" i="4"/>
  <c r="K1475" i="4"/>
  <c r="J1475" i="4"/>
  <c r="I1475" i="4"/>
  <c r="Q1474" i="4"/>
  <c r="M1474" i="4"/>
  <c r="L1474" i="4"/>
  <c r="K1474" i="4"/>
  <c r="J1474" i="4"/>
  <c r="I1474" i="4"/>
  <c r="Q1473" i="4"/>
  <c r="M1473" i="4"/>
  <c r="L1473" i="4"/>
  <c r="K1473" i="4"/>
  <c r="J1473" i="4"/>
  <c r="I1473" i="4"/>
  <c r="Q1472" i="4"/>
  <c r="M1472" i="4"/>
  <c r="L1472" i="4"/>
  <c r="K1472" i="4"/>
  <c r="J1472" i="4"/>
  <c r="I1472" i="4"/>
  <c r="Q1471" i="4"/>
  <c r="M1471" i="4"/>
  <c r="L1471" i="4"/>
  <c r="K1471" i="4"/>
  <c r="J1471" i="4"/>
  <c r="I1471" i="4"/>
  <c r="Q1470" i="4"/>
  <c r="M1470" i="4"/>
  <c r="L1470" i="4"/>
  <c r="K1470" i="4"/>
  <c r="J1470" i="4"/>
  <c r="I1470" i="4"/>
  <c r="Q1469" i="4"/>
  <c r="M1469" i="4"/>
  <c r="L1469" i="4"/>
  <c r="K1469" i="4"/>
  <c r="J1469" i="4"/>
  <c r="I1469" i="4"/>
  <c r="Q1468" i="4"/>
  <c r="M1468" i="4"/>
  <c r="L1468" i="4"/>
  <c r="K1468" i="4"/>
  <c r="J1468" i="4"/>
  <c r="I1468" i="4"/>
  <c r="Q1467" i="4"/>
  <c r="M1467" i="4"/>
  <c r="L1467" i="4"/>
  <c r="K1467" i="4"/>
  <c r="J1467" i="4"/>
  <c r="I1467" i="4"/>
  <c r="Q1466" i="4"/>
  <c r="M1466" i="4"/>
  <c r="L1466" i="4"/>
  <c r="K1466" i="4"/>
  <c r="J1466" i="4"/>
  <c r="I1466" i="4"/>
  <c r="Q1465" i="4"/>
  <c r="M1465" i="4"/>
  <c r="L1465" i="4"/>
  <c r="K1465" i="4"/>
  <c r="J1465" i="4"/>
  <c r="I1465" i="4"/>
  <c r="Q1464" i="4"/>
  <c r="M1464" i="4"/>
  <c r="L1464" i="4"/>
  <c r="K1464" i="4"/>
  <c r="J1464" i="4"/>
  <c r="I1464" i="4"/>
  <c r="Q1463" i="4"/>
  <c r="M1463" i="4"/>
  <c r="L1463" i="4"/>
  <c r="K1463" i="4"/>
  <c r="J1463" i="4"/>
  <c r="I1463" i="4"/>
  <c r="Q1462" i="4"/>
  <c r="M1462" i="4"/>
  <c r="L1462" i="4"/>
  <c r="K1462" i="4"/>
  <c r="J1462" i="4"/>
  <c r="I1462" i="4"/>
  <c r="Q1461" i="4"/>
  <c r="M1461" i="4"/>
  <c r="L1461" i="4"/>
  <c r="K1461" i="4"/>
  <c r="J1461" i="4"/>
  <c r="I1461" i="4"/>
  <c r="Q1460" i="4"/>
  <c r="M1460" i="4"/>
  <c r="L1460" i="4"/>
  <c r="K1460" i="4"/>
  <c r="J1460" i="4"/>
  <c r="I1460" i="4"/>
  <c r="Q1459" i="4"/>
  <c r="M1459" i="4"/>
  <c r="L1459" i="4"/>
  <c r="K1459" i="4"/>
  <c r="J1459" i="4"/>
  <c r="I1459" i="4"/>
  <c r="Q1458" i="4"/>
  <c r="M1458" i="4"/>
  <c r="L1458" i="4"/>
  <c r="K1458" i="4"/>
  <c r="J1458" i="4"/>
  <c r="I1458" i="4"/>
  <c r="Q1457" i="4"/>
  <c r="M1457" i="4"/>
  <c r="L1457" i="4"/>
  <c r="K1457" i="4"/>
  <c r="J1457" i="4"/>
  <c r="I1457" i="4"/>
  <c r="Q1456" i="4"/>
  <c r="M1456" i="4"/>
  <c r="L1456" i="4"/>
  <c r="K1456" i="4"/>
  <c r="J1456" i="4"/>
  <c r="I1456" i="4"/>
  <c r="Q1455" i="4"/>
  <c r="M1455" i="4"/>
  <c r="L1455" i="4"/>
  <c r="K1455" i="4"/>
  <c r="J1455" i="4"/>
  <c r="I1455" i="4"/>
  <c r="Q1454" i="4"/>
  <c r="M1454" i="4"/>
  <c r="L1454" i="4"/>
  <c r="K1454" i="4"/>
  <c r="J1454" i="4"/>
  <c r="I1454" i="4"/>
  <c r="Q1453" i="4"/>
  <c r="M1453" i="4"/>
  <c r="L1453" i="4"/>
  <c r="K1453" i="4"/>
  <c r="J1453" i="4"/>
  <c r="I1453" i="4"/>
  <c r="Q1452" i="4"/>
  <c r="M1452" i="4"/>
  <c r="L1452" i="4"/>
  <c r="K1452" i="4"/>
  <c r="J1452" i="4"/>
  <c r="I1452" i="4"/>
  <c r="Q1451" i="4"/>
  <c r="M1451" i="4"/>
  <c r="L1451" i="4"/>
  <c r="K1451" i="4"/>
  <c r="J1451" i="4"/>
  <c r="I1451" i="4"/>
  <c r="Q1450" i="4"/>
  <c r="M1450" i="4"/>
  <c r="L1450" i="4"/>
  <c r="K1450" i="4"/>
  <c r="J1450" i="4"/>
  <c r="I1450" i="4"/>
  <c r="Q1449" i="4"/>
  <c r="M1449" i="4"/>
  <c r="L1449" i="4"/>
  <c r="K1449" i="4"/>
  <c r="J1449" i="4"/>
  <c r="I1449" i="4"/>
  <c r="Q1448" i="4"/>
  <c r="M1448" i="4"/>
  <c r="L1448" i="4"/>
  <c r="K1448" i="4"/>
  <c r="J1448" i="4"/>
  <c r="I1448" i="4"/>
  <c r="Q1447" i="4"/>
  <c r="M1447" i="4"/>
  <c r="L1447" i="4"/>
  <c r="K1447" i="4"/>
  <c r="J1447" i="4"/>
  <c r="I1447" i="4"/>
  <c r="Q1446" i="4"/>
  <c r="M1446" i="4"/>
  <c r="L1446" i="4"/>
  <c r="K1446" i="4"/>
  <c r="J1446" i="4"/>
  <c r="I1446" i="4"/>
  <c r="Q1445" i="4"/>
  <c r="M1445" i="4"/>
  <c r="L1445" i="4"/>
  <c r="K1445" i="4"/>
  <c r="J1445" i="4"/>
  <c r="I1445" i="4"/>
  <c r="Q1444" i="4"/>
  <c r="M1444" i="4"/>
  <c r="L1444" i="4"/>
  <c r="K1444" i="4"/>
  <c r="J1444" i="4"/>
  <c r="I1444" i="4"/>
  <c r="Q1443" i="4"/>
  <c r="M1443" i="4"/>
  <c r="L1443" i="4"/>
  <c r="K1443" i="4"/>
  <c r="J1443" i="4"/>
  <c r="I1443" i="4"/>
  <c r="Q1442" i="4"/>
  <c r="M1442" i="4"/>
  <c r="L1442" i="4"/>
  <c r="K1442" i="4"/>
  <c r="J1442" i="4"/>
  <c r="I1442" i="4"/>
  <c r="Q1441" i="4"/>
  <c r="M1441" i="4"/>
  <c r="L1441" i="4"/>
  <c r="K1441" i="4"/>
  <c r="J1441" i="4"/>
  <c r="I1441" i="4"/>
  <c r="Q1440" i="4"/>
  <c r="M1440" i="4"/>
  <c r="L1440" i="4"/>
  <c r="K1440" i="4"/>
  <c r="J1440" i="4"/>
  <c r="I1440" i="4"/>
  <c r="Q1439" i="4"/>
  <c r="M1439" i="4"/>
  <c r="L1439" i="4"/>
  <c r="K1439" i="4"/>
  <c r="J1439" i="4"/>
  <c r="I1439" i="4"/>
  <c r="Q1438" i="4"/>
  <c r="M1438" i="4"/>
  <c r="L1438" i="4"/>
  <c r="K1438" i="4"/>
  <c r="J1438" i="4"/>
  <c r="I1438" i="4"/>
  <c r="Q1437" i="4"/>
  <c r="M1437" i="4"/>
  <c r="L1437" i="4"/>
  <c r="K1437" i="4"/>
  <c r="J1437" i="4"/>
  <c r="I1437" i="4"/>
  <c r="Q1436" i="4"/>
  <c r="M1436" i="4"/>
  <c r="L1436" i="4"/>
  <c r="K1436" i="4"/>
  <c r="J1436" i="4"/>
  <c r="I1436" i="4"/>
  <c r="Q1435" i="4"/>
  <c r="M1435" i="4"/>
  <c r="L1435" i="4"/>
  <c r="K1435" i="4"/>
  <c r="J1435" i="4"/>
  <c r="I1435" i="4"/>
  <c r="Q1434" i="4"/>
  <c r="M1434" i="4"/>
  <c r="L1434" i="4"/>
  <c r="K1434" i="4"/>
  <c r="J1434" i="4"/>
  <c r="I1434" i="4"/>
  <c r="Q1433" i="4"/>
  <c r="M1433" i="4"/>
  <c r="L1433" i="4"/>
  <c r="K1433" i="4"/>
  <c r="J1433" i="4"/>
  <c r="I1433" i="4"/>
  <c r="Q1432" i="4"/>
  <c r="M1432" i="4"/>
  <c r="L1432" i="4"/>
  <c r="K1432" i="4"/>
  <c r="J1432" i="4"/>
  <c r="I1432" i="4"/>
  <c r="Q1431" i="4"/>
  <c r="M1431" i="4"/>
  <c r="L1431" i="4"/>
  <c r="K1431" i="4"/>
  <c r="J1431" i="4"/>
  <c r="I1431" i="4"/>
  <c r="Q1430" i="4"/>
  <c r="M1430" i="4"/>
  <c r="L1430" i="4"/>
  <c r="K1430" i="4"/>
  <c r="J1430" i="4"/>
  <c r="I1430" i="4"/>
  <c r="Q1429" i="4"/>
  <c r="M1429" i="4"/>
  <c r="L1429" i="4"/>
  <c r="K1429" i="4"/>
  <c r="J1429" i="4"/>
  <c r="I1429" i="4"/>
  <c r="Q1428" i="4"/>
  <c r="M1428" i="4"/>
  <c r="L1428" i="4"/>
  <c r="K1428" i="4"/>
  <c r="J1428" i="4"/>
  <c r="I1428" i="4"/>
  <c r="Q1427" i="4"/>
  <c r="M1427" i="4"/>
  <c r="L1427" i="4"/>
  <c r="K1427" i="4"/>
  <c r="J1427" i="4"/>
  <c r="I1427" i="4"/>
  <c r="Q1426" i="4"/>
  <c r="M1426" i="4"/>
  <c r="L1426" i="4"/>
  <c r="K1426" i="4"/>
  <c r="J1426" i="4"/>
  <c r="I1426" i="4"/>
  <c r="Q1425" i="4"/>
  <c r="M1425" i="4"/>
  <c r="L1425" i="4"/>
  <c r="K1425" i="4"/>
  <c r="J1425" i="4"/>
  <c r="I1425" i="4"/>
  <c r="Q1424" i="4"/>
  <c r="M1424" i="4"/>
  <c r="L1424" i="4"/>
  <c r="K1424" i="4"/>
  <c r="J1424" i="4"/>
  <c r="I1424" i="4"/>
  <c r="Q1423" i="4"/>
  <c r="M1423" i="4"/>
  <c r="L1423" i="4"/>
  <c r="K1423" i="4"/>
  <c r="J1423" i="4"/>
  <c r="I1423" i="4"/>
  <c r="Q1422" i="4"/>
  <c r="M1422" i="4"/>
  <c r="L1422" i="4"/>
  <c r="K1422" i="4"/>
  <c r="J1422" i="4"/>
  <c r="I1422" i="4"/>
  <c r="Q1421" i="4"/>
  <c r="M1421" i="4"/>
  <c r="L1421" i="4"/>
  <c r="K1421" i="4"/>
  <c r="J1421" i="4"/>
  <c r="I1421" i="4"/>
  <c r="Q1420" i="4"/>
  <c r="M1420" i="4"/>
  <c r="L1420" i="4"/>
  <c r="K1420" i="4"/>
  <c r="J1420" i="4"/>
  <c r="I1420" i="4"/>
  <c r="Q1419" i="4"/>
  <c r="M1419" i="4"/>
  <c r="L1419" i="4"/>
  <c r="K1419" i="4"/>
  <c r="J1419" i="4"/>
  <c r="I1419" i="4"/>
  <c r="Q1418" i="4"/>
  <c r="M1418" i="4"/>
  <c r="L1418" i="4"/>
  <c r="K1418" i="4"/>
  <c r="J1418" i="4"/>
  <c r="I1418" i="4"/>
  <c r="Q1417" i="4"/>
  <c r="M1417" i="4"/>
  <c r="L1417" i="4"/>
  <c r="K1417" i="4"/>
  <c r="J1417" i="4"/>
  <c r="I1417" i="4"/>
  <c r="Q1416" i="4"/>
  <c r="M1416" i="4"/>
  <c r="L1416" i="4"/>
  <c r="K1416" i="4"/>
  <c r="J1416" i="4"/>
  <c r="I1416" i="4"/>
  <c r="Q1415" i="4"/>
  <c r="M1415" i="4"/>
  <c r="L1415" i="4"/>
  <c r="K1415" i="4"/>
  <c r="J1415" i="4"/>
  <c r="I1415" i="4"/>
  <c r="Q1414" i="4"/>
  <c r="M1414" i="4"/>
  <c r="L1414" i="4"/>
  <c r="K1414" i="4"/>
  <c r="J1414" i="4"/>
  <c r="I1414" i="4"/>
  <c r="Q1413" i="4"/>
  <c r="M1413" i="4"/>
  <c r="L1413" i="4"/>
  <c r="K1413" i="4"/>
  <c r="J1413" i="4"/>
  <c r="I1413" i="4"/>
  <c r="Q1412" i="4"/>
  <c r="M1412" i="4"/>
  <c r="L1412" i="4"/>
  <c r="K1412" i="4"/>
  <c r="J1412" i="4"/>
  <c r="I1412" i="4"/>
  <c r="Q1411" i="4"/>
  <c r="M1411" i="4"/>
  <c r="L1411" i="4"/>
  <c r="K1411" i="4"/>
  <c r="J1411" i="4"/>
  <c r="I1411" i="4"/>
  <c r="Q1410" i="4"/>
  <c r="M1410" i="4"/>
  <c r="L1410" i="4"/>
  <c r="K1410" i="4"/>
  <c r="J1410" i="4"/>
  <c r="I1410" i="4"/>
  <c r="Q1409" i="4"/>
  <c r="M1409" i="4"/>
  <c r="L1409" i="4"/>
  <c r="K1409" i="4"/>
  <c r="J1409" i="4"/>
  <c r="I1409" i="4"/>
  <c r="Q1408" i="4"/>
  <c r="M1408" i="4"/>
  <c r="L1408" i="4"/>
  <c r="K1408" i="4"/>
  <c r="J1408" i="4"/>
  <c r="I1408" i="4"/>
  <c r="Q1407" i="4"/>
  <c r="M1407" i="4"/>
  <c r="L1407" i="4"/>
  <c r="K1407" i="4"/>
  <c r="J1407" i="4"/>
  <c r="I1407" i="4"/>
  <c r="Q1406" i="4"/>
  <c r="M1406" i="4"/>
  <c r="L1406" i="4"/>
  <c r="K1406" i="4"/>
  <c r="J1406" i="4"/>
  <c r="I1406" i="4"/>
  <c r="Q1405" i="4"/>
  <c r="M1405" i="4"/>
  <c r="L1405" i="4"/>
  <c r="K1405" i="4"/>
  <c r="J1405" i="4"/>
  <c r="I1405" i="4"/>
  <c r="Q1404" i="4"/>
  <c r="M1404" i="4"/>
  <c r="L1404" i="4"/>
  <c r="K1404" i="4"/>
  <c r="J1404" i="4"/>
  <c r="I1404" i="4"/>
  <c r="Q1403" i="4"/>
  <c r="M1403" i="4"/>
  <c r="L1403" i="4"/>
  <c r="K1403" i="4"/>
  <c r="J1403" i="4"/>
  <c r="I1403" i="4"/>
  <c r="Q1402" i="4"/>
  <c r="M1402" i="4"/>
  <c r="L1402" i="4"/>
  <c r="K1402" i="4"/>
  <c r="J1402" i="4"/>
  <c r="I1402" i="4"/>
  <c r="Q1401" i="4"/>
  <c r="M1401" i="4"/>
  <c r="L1401" i="4"/>
  <c r="K1401" i="4"/>
  <c r="J1401" i="4"/>
  <c r="I1401" i="4"/>
  <c r="Q1400" i="4"/>
  <c r="M1400" i="4"/>
  <c r="L1400" i="4"/>
  <c r="K1400" i="4"/>
  <c r="J1400" i="4"/>
  <c r="I1400" i="4"/>
  <c r="Q1399" i="4"/>
  <c r="M1399" i="4"/>
  <c r="L1399" i="4"/>
  <c r="K1399" i="4"/>
  <c r="J1399" i="4"/>
  <c r="I1399" i="4"/>
  <c r="Q1398" i="4"/>
  <c r="M1398" i="4"/>
  <c r="L1398" i="4"/>
  <c r="K1398" i="4"/>
  <c r="J1398" i="4"/>
  <c r="I1398" i="4"/>
  <c r="Q1397" i="4"/>
  <c r="M1397" i="4"/>
  <c r="L1397" i="4"/>
  <c r="K1397" i="4"/>
  <c r="J1397" i="4"/>
  <c r="I1397" i="4"/>
  <c r="Q1396" i="4"/>
  <c r="M1396" i="4"/>
  <c r="L1396" i="4"/>
  <c r="K1396" i="4"/>
  <c r="J1396" i="4"/>
  <c r="I1396" i="4"/>
  <c r="Q1395" i="4"/>
  <c r="M1395" i="4"/>
  <c r="L1395" i="4"/>
  <c r="K1395" i="4"/>
  <c r="J1395" i="4"/>
  <c r="I1395" i="4"/>
  <c r="Q1394" i="4"/>
  <c r="M1394" i="4"/>
  <c r="L1394" i="4"/>
  <c r="K1394" i="4"/>
  <c r="J1394" i="4"/>
  <c r="I1394" i="4"/>
  <c r="Q1393" i="4"/>
  <c r="M1393" i="4"/>
  <c r="L1393" i="4"/>
  <c r="K1393" i="4"/>
  <c r="J1393" i="4"/>
  <c r="I1393" i="4"/>
  <c r="Q1392" i="4"/>
  <c r="M1392" i="4"/>
  <c r="L1392" i="4"/>
  <c r="K1392" i="4"/>
  <c r="J1392" i="4"/>
  <c r="I1392" i="4"/>
  <c r="Q1391" i="4"/>
  <c r="M1391" i="4"/>
  <c r="L1391" i="4"/>
  <c r="K1391" i="4"/>
  <c r="J1391" i="4"/>
  <c r="I1391" i="4"/>
  <c r="Q1390" i="4"/>
  <c r="M1390" i="4"/>
  <c r="L1390" i="4"/>
  <c r="K1390" i="4"/>
  <c r="J1390" i="4"/>
  <c r="I1390" i="4"/>
  <c r="Q1389" i="4"/>
  <c r="M1389" i="4"/>
  <c r="L1389" i="4"/>
  <c r="K1389" i="4"/>
  <c r="J1389" i="4"/>
  <c r="I1389" i="4"/>
  <c r="Q1388" i="4"/>
  <c r="M1388" i="4"/>
  <c r="L1388" i="4"/>
  <c r="K1388" i="4"/>
  <c r="J1388" i="4"/>
  <c r="I1388" i="4"/>
  <c r="Q1387" i="4"/>
  <c r="M1387" i="4"/>
  <c r="L1387" i="4"/>
  <c r="K1387" i="4"/>
  <c r="J1387" i="4"/>
  <c r="I1387" i="4"/>
  <c r="Q1386" i="4"/>
  <c r="M1386" i="4"/>
  <c r="L1386" i="4"/>
  <c r="K1386" i="4"/>
  <c r="J1386" i="4"/>
  <c r="I1386" i="4"/>
  <c r="Q1385" i="4"/>
  <c r="M1385" i="4"/>
  <c r="L1385" i="4"/>
  <c r="K1385" i="4"/>
  <c r="J1385" i="4"/>
  <c r="I1385" i="4"/>
  <c r="Q1384" i="4"/>
  <c r="M1384" i="4"/>
  <c r="L1384" i="4"/>
  <c r="K1384" i="4"/>
  <c r="J1384" i="4"/>
  <c r="I1384" i="4"/>
  <c r="Q1383" i="4"/>
  <c r="M1383" i="4"/>
  <c r="L1383" i="4"/>
  <c r="K1383" i="4"/>
  <c r="J1383" i="4"/>
  <c r="I1383" i="4"/>
  <c r="Q1382" i="4"/>
  <c r="M1382" i="4"/>
  <c r="L1382" i="4"/>
  <c r="K1382" i="4"/>
  <c r="J1382" i="4"/>
  <c r="I1382" i="4"/>
  <c r="Q1381" i="4"/>
  <c r="M1381" i="4"/>
  <c r="L1381" i="4"/>
  <c r="K1381" i="4"/>
  <c r="J1381" i="4"/>
  <c r="I1381" i="4"/>
  <c r="Q1380" i="4"/>
  <c r="M1380" i="4"/>
  <c r="L1380" i="4"/>
  <c r="K1380" i="4"/>
  <c r="J1380" i="4"/>
  <c r="I1380" i="4"/>
  <c r="Q1379" i="4"/>
  <c r="M1379" i="4"/>
  <c r="L1379" i="4"/>
  <c r="K1379" i="4"/>
  <c r="J1379" i="4"/>
  <c r="I1379" i="4"/>
  <c r="Q1378" i="4"/>
  <c r="M1378" i="4"/>
  <c r="L1378" i="4"/>
  <c r="K1378" i="4"/>
  <c r="J1378" i="4"/>
  <c r="I1378" i="4"/>
  <c r="Q1377" i="4"/>
  <c r="M1377" i="4"/>
  <c r="L1377" i="4"/>
  <c r="K1377" i="4"/>
  <c r="J1377" i="4"/>
  <c r="I1377" i="4"/>
  <c r="Q1376" i="4"/>
  <c r="M1376" i="4"/>
  <c r="L1376" i="4"/>
  <c r="K1376" i="4"/>
  <c r="J1376" i="4"/>
  <c r="I1376" i="4"/>
  <c r="Q1375" i="4"/>
  <c r="M1375" i="4"/>
  <c r="L1375" i="4"/>
  <c r="K1375" i="4"/>
  <c r="J1375" i="4"/>
  <c r="I1375" i="4"/>
  <c r="Q1374" i="4"/>
  <c r="M1374" i="4"/>
  <c r="L1374" i="4"/>
  <c r="K1374" i="4"/>
  <c r="J1374" i="4"/>
  <c r="I1374" i="4"/>
  <c r="Q1373" i="4"/>
  <c r="M1373" i="4"/>
  <c r="L1373" i="4"/>
  <c r="K1373" i="4"/>
  <c r="J1373" i="4"/>
  <c r="I1373" i="4"/>
  <c r="Q1372" i="4"/>
  <c r="M1372" i="4"/>
  <c r="L1372" i="4"/>
  <c r="K1372" i="4"/>
  <c r="J1372" i="4"/>
  <c r="I1372" i="4"/>
  <c r="Q1371" i="4"/>
  <c r="M1371" i="4"/>
  <c r="L1371" i="4"/>
  <c r="K1371" i="4"/>
  <c r="J1371" i="4"/>
  <c r="I1371" i="4"/>
  <c r="Q1370" i="4"/>
  <c r="M1370" i="4"/>
  <c r="L1370" i="4"/>
  <c r="K1370" i="4"/>
  <c r="J1370" i="4"/>
  <c r="I1370" i="4"/>
  <c r="Q1369" i="4"/>
  <c r="M1369" i="4"/>
  <c r="L1369" i="4"/>
  <c r="K1369" i="4"/>
  <c r="J1369" i="4"/>
  <c r="I1369" i="4"/>
  <c r="Q1368" i="4"/>
  <c r="M1368" i="4"/>
  <c r="L1368" i="4"/>
  <c r="K1368" i="4"/>
  <c r="J1368" i="4"/>
  <c r="I1368" i="4"/>
  <c r="Q1367" i="4"/>
  <c r="M1367" i="4"/>
  <c r="L1367" i="4"/>
  <c r="K1367" i="4"/>
  <c r="J1367" i="4"/>
  <c r="I1367" i="4"/>
  <c r="Q1366" i="4"/>
  <c r="M1366" i="4"/>
  <c r="L1366" i="4"/>
  <c r="K1366" i="4"/>
  <c r="J1366" i="4"/>
  <c r="I1366" i="4"/>
  <c r="Q1365" i="4"/>
  <c r="M1365" i="4"/>
  <c r="L1365" i="4"/>
  <c r="K1365" i="4"/>
  <c r="J1365" i="4"/>
  <c r="I1365" i="4"/>
  <c r="Q1364" i="4"/>
  <c r="M1364" i="4"/>
  <c r="L1364" i="4"/>
  <c r="K1364" i="4"/>
  <c r="J1364" i="4"/>
  <c r="I1364" i="4"/>
  <c r="Q1363" i="4"/>
  <c r="M1363" i="4"/>
  <c r="L1363" i="4"/>
  <c r="K1363" i="4"/>
  <c r="J1363" i="4"/>
  <c r="I1363" i="4"/>
  <c r="Q1362" i="4"/>
  <c r="M1362" i="4"/>
  <c r="L1362" i="4"/>
  <c r="K1362" i="4"/>
  <c r="J1362" i="4"/>
  <c r="I1362" i="4"/>
  <c r="Q1361" i="4"/>
  <c r="M1361" i="4"/>
  <c r="L1361" i="4"/>
  <c r="K1361" i="4"/>
  <c r="J1361" i="4"/>
  <c r="I1361" i="4"/>
  <c r="Q1360" i="4"/>
  <c r="M1360" i="4"/>
  <c r="L1360" i="4"/>
  <c r="K1360" i="4"/>
  <c r="J1360" i="4"/>
  <c r="I1360" i="4"/>
  <c r="Q1359" i="4"/>
  <c r="M1359" i="4"/>
  <c r="L1359" i="4"/>
  <c r="K1359" i="4"/>
  <c r="J1359" i="4"/>
  <c r="I1359" i="4"/>
  <c r="Q1358" i="4"/>
  <c r="M1358" i="4"/>
  <c r="L1358" i="4"/>
  <c r="K1358" i="4"/>
  <c r="J1358" i="4"/>
  <c r="I1358" i="4"/>
  <c r="Q1357" i="4"/>
  <c r="M1357" i="4"/>
  <c r="L1357" i="4"/>
  <c r="K1357" i="4"/>
  <c r="J1357" i="4"/>
  <c r="I1357" i="4"/>
  <c r="Q1356" i="4"/>
  <c r="M1356" i="4"/>
  <c r="L1356" i="4"/>
  <c r="K1356" i="4"/>
  <c r="J1356" i="4"/>
  <c r="I1356" i="4"/>
  <c r="Q1355" i="4"/>
  <c r="M1355" i="4"/>
  <c r="L1355" i="4"/>
  <c r="K1355" i="4"/>
  <c r="J1355" i="4"/>
  <c r="I1355" i="4"/>
  <c r="Q1354" i="4"/>
  <c r="M1354" i="4"/>
  <c r="L1354" i="4"/>
  <c r="K1354" i="4"/>
  <c r="J1354" i="4"/>
  <c r="I1354" i="4"/>
  <c r="Q1353" i="4"/>
  <c r="M1353" i="4"/>
  <c r="L1353" i="4"/>
  <c r="K1353" i="4"/>
  <c r="J1353" i="4"/>
  <c r="I1353" i="4"/>
  <c r="Q1352" i="4"/>
  <c r="M1352" i="4"/>
  <c r="L1352" i="4"/>
  <c r="K1352" i="4"/>
  <c r="J1352" i="4"/>
  <c r="I1352" i="4"/>
  <c r="Q1351" i="4"/>
  <c r="M1351" i="4"/>
  <c r="L1351" i="4"/>
  <c r="K1351" i="4"/>
  <c r="J1351" i="4"/>
  <c r="I1351" i="4"/>
  <c r="Q1350" i="4"/>
  <c r="M1350" i="4"/>
  <c r="L1350" i="4"/>
  <c r="K1350" i="4"/>
  <c r="J1350" i="4"/>
  <c r="I1350" i="4"/>
  <c r="Q1349" i="4"/>
  <c r="M1349" i="4"/>
  <c r="L1349" i="4"/>
  <c r="K1349" i="4"/>
  <c r="J1349" i="4"/>
  <c r="I1349" i="4"/>
  <c r="Q1348" i="4"/>
  <c r="M1348" i="4"/>
  <c r="L1348" i="4"/>
  <c r="K1348" i="4"/>
  <c r="J1348" i="4"/>
  <c r="I1348" i="4"/>
  <c r="Q1347" i="4"/>
  <c r="M1347" i="4"/>
  <c r="L1347" i="4"/>
  <c r="K1347" i="4"/>
  <c r="J1347" i="4"/>
  <c r="I1347" i="4"/>
  <c r="Q1346" i="4"/>
  <c r="M1346" i="4"/>
  <c r="L1346" i="4"/>
  <c r="K1346" i="4"/>
  <c r="J1346" i="4"/>
  <c r="I1346" i="4"/>
  <c r="Q1345" i="4"/>
  <c r="M1345" i="4"/>
  <c r="L1345" i="4"/>
  <c r="K1345" i="4"/>
  <c r="J1345" i="4"/>
  <c r="I1345" i="4"/>
  <c r="Q1344" i="4"/>
  <c r="M1344" i="4"/>
  <c r="L1344" i="4"/>
  <c r="K1344" i="4"/>
  <c r="J1344" i="4"/>
  <c r="I1344" i="4"/>
  <c r="Q1343" i="4"/>
  <c r="M1343" i="4"/>
  <c r="L1343" i="4"/>
  <c r="K1343" i="4"/>
  <c r="J1343" i="4"/>
  <c r="I1343" i="4"/>
  <c r="Q1342" i="4"/>
  <c r="M1342" i="4"/>
  <c r="L1342" i="4"/>
  <c r="K1342" i="4"/>
  <c r="J1342" i="4"/>
  <c r="I1342" i="4"/>
  <c r="Q1341" i="4"/>
  <c r="M1341" i="4"/>
  <c r="L1341" i="4"/>
  <c r="K1341" i="4"/>
  <c r="J1341" i="4"/>
  <c r="I1341" i="4"/>
  <c r="Q1340" i="4"/>
  <c r="M1340" i="4"/>
  <c r="L1340" i="4"/>
  <c r="K1340" i="4"/>
  <c r="J1340" i="4"/>
  <c r="I1340" i="4"/>
  <c r="Q1339" i="4"/>
  <c r="M1339" i="4"/>
  <c r="L1339" i="4"/>
  <c r="K1339" i="4"/>
  <c r="J1339" i="4"/>
  <c r="I1339" i="4"/>
  <c r="Q1338" i="4"/>
  <c r="M1338" i="4"/>
  <c r="L1338" i="4"/>
  <c r="K1338" i="4"/>
  <c r="J1338" i="4"/>
  <c r="I1338" i="4"/>
  <c r="Q1337" i="4"/>
  <c r="M1337" i="4"/>
  <c r="L1337" i="4"/>
  <c r="K1337" i="4"/>
  <c r="J1337" i="4"/>
  <c r="I1337" i="4"/>
  <c r="Q1336" i="4"/>
  <c r="M1336" i="4"/>
  <c r="L1336" i="4"/>
  <c r="K1336" i="4"/>
  <c r="J1336" i="4"/>
  <c r="I1336" i="4"/>
  <c r="Q1335" i="4"/>
  <c r="M1335" i="4"/>
  <c r="L1335" i="4"/>
  <c r="K1335" i="4"/>
  <c r="J1335" i="4"/>
  <c r="I1335" i="4"/>
  <c r="Q1334" i="4"/>
  <c r="M1334" i="4"/>
  <c r="L1334" i="4"/>
  <c r="K1334" i="4"/>
  <c r="J1334" i="4"/>
  <c r="I1334" i="4"/>
  <c r="Q1333" i="4"/>
  <c r="M1333" i="4"/>
  <c r="L1333" i="4"/>
  <c r="K1333" i="4"/>
  <c r="J1333" i="4"/>
  <c r="I1333" i="4"/>
  <c r="Q1332" i="4"/>
  <c r="M1332" i="4"/>
  <c r="L1332" i="4"/>
  <c r="K1332" i="4"/>
  <c r="J1332" i="4"/>
  <c r="I1332" i="4"/>
  <c r="Q1331" i="4"/>
  <c r="M1331" i="4"/>
  <c r="L1331" i="4"/>
  <c r="K1331" i="4"/>
  <c r="J1331" i="4"/>
  <c r="I1331" i="4"/>
  <c r="Q1330" i="4"/>
  <c r="M1330" i="4"/>
  <c r="L1330" i="4"/>
  <c r="K1330" i="4"/>
  <c r="J1330" i="4"/>
  <c r="I1330" i="4"/>
  <c r="Q1329" i="4"/>
  <c r="M1329" i="4"/>
  <c r="L1329" i="4"/>
  <c r="K1329" i="4"/>
  <c r="J1329" i="4"/>
  <c r="I1329" i="4"/>
  <c r="Q1328" i="4"/>
  <c r="M1328" i="4"/>
  <c r="L1328" i="4"/>
  <c r="K1328" i="4"/>
  <c r="J1328" i="4"/>
  <c r="I1328" i="4"/>
  <c r="Q1327" i="4"/>
  <c r="M1327" i="4"/>
  <c r="L1327" i="4"/>
  <c r="K1327" i="4"/>
  <c r="J1327" i="4"/>
  <c r="I1327" i="4"/>
  <c r="Q1326" i="4"/>
  <c r="M1326" i="4"/>
  <c r="L1326" i="4"/>
  <c r="K1326" i="4"/>
  <c r="J1326" i="4"/>
  <c r="I1326" i="4"/>
  <c r="Q1325" i="4"/>
  <c r="M1325" i="4"/>
  <c r="L1325" i="4"/>
  <c r="K1325" i="4"/>
  <c r="J1325" i="4"/>
  <c r="I1325" i="4"/>
  <c r="Q1324" i="4"/>
  <c r="M1324" i="4"/>
  <c r="L1324" i="4"/>
  <c r="K1324" i="4"/>
  <c r="J1324" i="4"/>
  <c r="I1324" i="4"/>
  <c r="Q1323" i="4"/>
  <c r="M1323" i="4"/>
  <c r="L1323" i="4"/>
  <c r="K1323" i="4"/>
  <c r="J1323" i="4"/>
  <c r="I1323" i="4"/>
  <c r="Q1322" i="4"/>
  <c r="M1322" i="4"/>
  <c r="L1322" i="4"/>
  <c r="K1322" i="4"/>
  <c r="J1322" i="4"/>
  <c r="I1322" i="4"/>
  <c r="Q1321" i="4"/>
  <c r="M1321" i="4"/>
  <c r="L1321" i="4"/>
  <c r="K1321" i="4"/>
  <c r="J1321" i="4"/>
  <c r="I1321" i="4"/>
  <c r="Q1320" i="4"/>
  <c r="M1320" i="4"/>
  <c r="L1320" i="4"/>
  <c r="K1320" i="4"/>
  <c r="J1320" i="4"/>
  <c r="I1320" i="4"/>
  <c r="Q1319" i="4"/>
  <c r="M1319" i="4"/>
  <c r="L1319" i="4"/>
  <c r="K1319" i="4"/>
  <c r="J1319" i="4"/>
  <c r="I1319" i="4"/>
  <c r="Q1318" i="4"/>
  <c r="M1318" i="4"/>
  <c r="L1318" i="4"/>
  <c r="K1318" i="4"/>
  <c r="J1318" i="4"/>
  <c r="I1318" i="4"/>
  <c r="Q1317" i="4"/>
  <c r="M1317" i="4"/>
  <c r="L1317" i="4"/>
  <c r="K1317" i="4"/>
  <c r="J1317" i="4"/>
  <c r="I1317" i="4"/>
  <c r="Q1316" i="4"/>
  <c r="M1316" i="4"/>
  <c r="L1316" i="4"/>
  <c r="K1316" i="4"/>
  <c r="J1316" i="4"/>
  <c r="I1316" i="4"/>
  <c r="Q1315" i="4"/>
  <c r="M1315" i="4"/>
  <c r="L1315" i="4"/>
  <c r="K1315" i="4"/>
  <c r="J1315" i="4"/>
  <c r="I1315" i="4"/>
  <c r="Q1314" i="4"/>
  <c r="M1314" i="4"/>
  <c r="L1314" i="4"/>
  <c r="K1314" i="4"/>
  <c r="J1314" i="4"/>
  <c r="I1314" i="4"/>
  <c r="Q1313" i="4"/>
  <c r="M1313" i="4"/>
  <c r="L1313" i="4"/>
  <c r="K1313" i="4"/>
  <c r="J1313" i="4"/>
  <c r="I1313" i="4"/>
  <c r="Q1312" i="4"/>
  <c r="M1312" i="4"/>
  <c r="L1312" i="4"/>
  <c r="K1312" i="4"/>
  <c r="J1312" i="4"/>
  <c r="I1312" i="4"/>
  <c r="Q1311" i="4"/>
  <c r="M1311" i="4"/>
  <c r="L1311" i="4"/>
  <c r="K1311" i="4"/>
  <c r="J1311" i="4"/>
  <c r="I1311" i="4"/>
  <c r="Q1310" i="4"/>
  <c r="M1310" i="4"/>
  <c r="L1310" i="4"/>
  <c r="K1310" i="4"/>
  <c r="J1310" i="4"/>
  <c r="I1310" i="4"/>
  <c r="Q1309" i="4"/>
  <c r="M1309" i="4"/>
  <c r="L1309" i="4"/>
  <c r="K1309" i="4"/>
  <c r="J1309" i="4"/>
  <c r="I1309" i="4"/>
  <c r="Q1308" i="4"/>
  <c r="M1308" i="4"/>
  <c r="L1308" i="4"/>
  <c r="K1308" i="4"/>
  <c r="J1308" i="4"/>
  <c r="I1308" i="4"/>
  <c r="Q1307" i="4"/>
  <c r="M1307" i="4"/>
  <c r="L1307" i="4"/>
  <c r="K1307" i="4"/>
  <c r="J1307" i="4"/>
  <c r="I1307" i="4"/>
  <c r="Q1306" i="4"/>
  <c r="M1306" i="4"/>
  <c r="L1306" i="4"/>
  <c r="K1306" i="4"/>
  <c r="J1306" i="4"/>
  <c r="I1306" i="4"/>
  <c r="Q1305" i="4"/>
  <c r="M1305" i="4"/>
  <c r="L1305" i="4"/>
  <c r="K1305" i="4"/>
  <c r="J1305" i="4"/>
  <c r="I1305" i="4"/>
  <c r="Q1304" i="4"/>
  <c r="M1304" i="4"/>
  <c r="L1304" i="4"/>
  <c r="K1304" i="4"/>
  <c r="J1304" i="4"/>
  <c r="I1304" i="4"/>
  <c r="Q1303" i="4"/>
  <c r="M1303" i="4"/>
  <c r="L1303" i="4"/>
  <c r="K1303" i="4"/>
  <c r="J1303" i="4"/>
  <c r="I1303" i="4"/>
  <c r="Q1302" i="4"/>
  <c r="M1302" i="4"/>
  <c r="L1302" i="4"/>
  <c r="K1302" i="4"/>
  <c r="J1302" i="4"/>
  <c r="I1302" i="4"/>
  <c r="Q1301" i="4"/>
  <c r="M1301" i="4"/>
  <c r="L1301" i="4"/>
  <c r="K1301" i="4"/>
  <c r="J1301" i="4"/>
  <c r="I1301" i="4"/>
  <c r="Q1300" i="4"/>
  <c r="M1300" i="4"/>
  <c r="L1300" i="4"/>
  <c r="K1300" i="4"/>
  <c r="J1300" i="4"/>
  <c r="I1300" i="4"/>
  <c r="Q1299" i="4"/>
  <c r="M1299" i="4"/>
  <c r="L1299" i="4"/>
  <c r="K1299" i="4"/>
  <c r="J1299" i="4"/>
  <c r="I1299" i="4"/>
  <c r="Q1298" i="4"/>
  <c r="M1298" i="4"/>
  <c r="L1298" i="4"/>
  <c r="K1298" i="4"/>
  <c r="J1298" i="4"/>
  <c r="I1298" i="4"/>
  <c r="Q1297" i="4"/>
  <c r="M1297" i="4"/>
  <c r="L1297" i="4"/>
  <c r="K1297" i="4"/>
  <c r="J1297" i="4"/>
  <c r="I1297" i="4"/>
  <c r="Q1296" i="4"/>
  <c r="M1296" i="4"/>
  <c r="L1296" i="4"/>
  <c r="K1296" i="4"/>
  <c r="J1296" i="4"/>
  <c r="I1296" i="4"/>
  <c r="Q1295" i="4"/>
  <c r="M1295" i="4"/>
  <c r="L1295" i="4"/>
  <c r="K1295" i="4"/>
  <c r="J1295" i="4"/>
  <c r="I1295" i="4"/>
  <c r="Q1294" i="4"/>
  <c r="M1294" i="4"/>
  <c r="L1294" i="4"/>
  <c r="K1294" i="4"/>
  <c r="J1294" i="4"/>
  <c r="I1294" i="4"/>
  <c r="Q1293" i="4"/>
  <c r="M1293" i="4"/>
  <c r="L1293" i="4"/>
  <c r="K1293" i="4"/>
  <c r="J1293" i="4"/>
  <c r="I1293" i="4"/>
  <c r="Q1292" i="4"/>
  <c r="M1292" i="4"/>
  <c r="L1292" i="4"/>
  <c r="K1292" i="4"/>
  <c r="J1292" i="4"/>
  <c r="I1292" i="4"/>
  <c r="Q1291" i="4"/>
  <c r="M1291" i="4"/>
  <c r="L1291" i="4"/>
  <c r="K1291" i="4"/>
  <c r="J1291" i="4"/>
  <c r="I1291" i="4"/>
  <c r="Q1290" i="4"/>
  <c r="M1290" i="4"/>
  <c r="L1290" i="4"/>
  <c r="K1290" i="4"/>
  <c r="J1290" i="4"/>
  <c r="I1290" i="4"/>
  <c r="Q1289" i="4"/>
  <c r="M1289" i="4"/>
  <c r="L1289" i="4"/>
  <c r="K1289" i="4"/>
  <c r="J1289" i="4"/>
  <c r="I1289" i="4"/>
  <c r="Q1288" i="4"/>
  <c r="P1288" i="4"/>
  <c r="M1288" i="4"/>
  <c r="L1288" i="4"/>
  <c r="K1288" i="4"/>
  <c r="J1288" i="4"/>
  <c r="I1288" i="4"/>
  <c r="R1288" i="4" s="1"/>
  <c r="N1288" i="4" s="1"/>
  <c r="Q1287" i="4"/>
  <c r="L1287" i="4"/>
  <c r="K1287" i="4"/>
  <c r="J1287" i="4"/>
  <c r="M1287" i="4" s="1"/>
  <c r="I1287" i="4"/>
  <c r="P1287" i="4" s="1"/>
  <c r="Q1286" i="4"/>
  <c r="O1286" i="4"/>
  <c r="M1286" i="4"/>
  <c r="L1286" i="4"/>
  <c r="K1286" i="4"/>
  <c r="J1286" i="4"/>
  <c r="I1286" i="4"/>
  <c r="R1286" i="4" s="1"/>
  <c r="N1286" i="4" s="1"/>
  <c r="Q1285" i="4"/>
  <c r="M1285" i="4"/>
  <c r="L1285" i="4"/>
  <c r="K1285" i="4"/>
  <c r="J1285" i="4"/>
  <c r="I1285" i="4"/>
  <c r="P1285" i="4" s="1"/>
  <c r="Q1284" i="4"/>
  <c r="M1284" i="4"/>
  <c r="L1284" i="4"/>
  <c r="K1284" i="4"/>
  <c r="J1284" i="4"/>
  <c r="I1284" i="4"/>
  <c r="R1284" i="4" s="1"/>
  <c r="N1284" i="4" s="1"/>
  <c r="Q1283" i="4"/>
  <c r="L1283" i="4"/>
  <c r="K1283" i="4"/>
  <c r="J1283" i="4"/>
  <c r="M1283" i="4" s="1"/>
  <c r="I1283" i="4"/>
  <c r="P1283" i="4" s="1"/>
  <c r="Q1282" i="4"/>
  <c r="P1282" i="4"/>
  <c r="O1282" i="4"/>
  <c r="M1282" i="4"/>
  <c r="L1282" i="4"/>
  <c r="K1282" i="4"/>
  <c r="J1282" i="4"/>
  <c r="I1282" i="4"/>
  <c r="R1282" i="4" s="1"/>
  <c r="N1282" i="4" s="1"/>
  <c r="Q1281" i="4"/>
  <c r="M1281" i="4"/>
  <c r="L1281" i="4"/>
  <c r="K1281" i="4"/>
  <c r="J1281" i="4"/>
  <c r="I1281" i="4"/>
  <c r="P1281" i="4" s="1"/>
  <c r="Q1280" i="4"/>
  <c r="P1280" i="4"/>
  <c r="M1280" i="4"/>
  <c r="L1280" i="4"/>
  <c r="K1280" i="4"/>
  <c r="J1280" i="4"/>
  <c r="I1280" i="4"/>
  <c r="R1280" i="4" s="1"/>
  <c r="N1280" i="4" s="1"/>
  <c r="Q1279" i="4"/>
  <c r="L1279" i="4"/>
  <c r="K1279" i="4"/>
  <c r="J1279" i="4"/>
  <c r="M1279" i="4" s="1"/>
  <c r="I1279" i="4"/>
  <c r="P1279" i="4" s="1"/>
  <c r="Q1278" i="4"/>
  <c r="O1278" i="4"/>
  <c r="M1278" i="4"/>
  <c r="L1278" i="4"/>
  <c r="K1278" i="4"/>
  <c r="J1278" i="4"/>
  <c r="I1278" i="4"/>
  <c r="R1278" i="4" s="1"/>
  <c r="N1278" i="4" s="1"/>
  <c r="Q1277" i="4"/>
  <c r="M1277" i="4"/>
  <c r="L1277" i="4"/>
  <c r="K1277" i="4"/>
  <c r="J1277" i="4"/>
  <c r="I1277" i="4"/>
  <c r="P1277" i="4" s="1"/>
  <c r="Q1276" i="4"/>
  <c r="M1276" i="4"/>
  <c r="L1276" i="4"/>
  <c r="K1276" i="4"/>
  <c r="J1276" i="4"/>
  <c r="I1276" i="4"/>
  <c r="R1276" i="4" s="1"/>
  <c r="N1276" i="4" s="1"/>
  <c r="Q1275" i="4"/>
  <c r="L1275" i="4"/>
  <c r="K1275" i="4"/>
  <c r="J1275" i="4"/>
  <c r="M1275" i="4" s="1"/>
  <c r="I1275" i="4"/>
  <c r="P1275" i="4" s="1"/>
  <c r="Q1274" i="4"/>
  <c r="P1274" i="4"/>
  <c r="O1274" i="4"/>
  <c r="M1274" i="4"/>
  <c r="L1274" i="4"/>
  <c r="K1274" i="4"/>
  <c r="J1274" i="4"/>
  <c r="I1274" i="4"/>
  <c r="R1274" i="4" s="1"/>
  <c r="N1274" i="4" s="1"/>
  <c r="Q1273" i="4"/>
  <c r="M1273" i="4"/>
  <c r="L1273" i="4"/>
  <c r="K1273" i="4"/>
  <c r="J1273" i="4"/>
  <c r="I1273" i="4"/>
  <c r="P1273" i="4" s="1"/>
  <c r="Q1272" i="4"/>
  <c r="P1272" i="4"/>
  <c r="M1272" i="4"/>
  <c r="L1272" i="4"/>
  <c r="K1272" i="4"/>
  <c r="J1272" i="4"/>
  <c r="I1272" i="4"/>
  <c r="R1272" i="4" s="1"/>
  <c r="N1272" i="4" s="1"/>
  <c r="Q1271" i="4"/>
  <c r="L1271" i="4"/>
  <c r="K1271" i="4"/>
  <c r="J1271" i="4"/>
  <c r="M1271" i="4" s="1"/>
  <c r="I1271" i="4"/>
  <c r="P1271" i="4" s="1"/>
  <c r="Q1270" i="4"/>
  <c r="O1270" i="4"/>
  <c r="M1270" i="4"/>
  <c r="L1270" i="4"/>
  <c r="K1270" i="4"/>
  <c r="J1270" i="4"/>
  <c r="I1270" i="4"/>
  <c r="R1270" i="4" s="1"/>
  <c r="N1270" i="4" s="1"/>
  <c r="Q1269" i="4"/>
  <c r="M1269" i="4"/>
  <c r="L1269" i="4"/>
  <c r="K1269" i="4"/>
  <c r="J1269" i="4"/>
  <c r="I1269" i="4"/>
  <c r="P1269" i="4" s="1"/>
  <c r="Q1268" i="4"/>
  <c r="M1268" i="4"/>
  <c r="L1268" i="4"/>
  <c r="K1268" i="4"/>
  <c r="J1268" i="4"/>
  <c r="I1268" i="4"/>
  <c r="R1268" i="4" s="1"/>
  <c r="N1268" i="4" s="1"/>
  <c r="Q1267" i="4"/>
  <c r="L1267" i="4"/>
  <c r="K1267" i="4"/>
  <c r="J1267" i="4"/>
  <c r="M1267" i="4" s="1"/>
  <c r="I1267" i="4"/>
  <c r="P1267" i="4" s="1"/>
  <c r="Q1266" i="4"/>
  <c r="P1266" i="4"/>
  <c r="O1266" i="4"/>
  <c r="M1266" i="4"/>
  <c r="L1266" i="4"/>
  <c r="K1266" i="4"/>
  <c r="J1266" i="4"/>
  <c r="I1266" i="4"/>
  <c r="R1266" i="4" s="1"/>
  <c r="N1266" i="4" s="1"/>
  <c r="Q1265" i="4"/>
  <c r="M1265" i="4"/>
  <c r="L1265" i="4"/>
  <c r="K1265" i="4"/>
  <c r="J1265" i="4"/>
  <c r="I1265" i="4"/>
  <c r="P1265" i="4" s="1"/>
  <c r="Q1264" i="4"/>
  <c r="P1264" i="4"/>
  <c r="M1264" i="4"/>
  <c r="L1264" i="4"/>
  <c r="K1264" i="4"/>
  <c r="J1264" i="4"/>
  <c r="I1264" i="4"/>
  <c r="R1264" i="4" s="1"/>
  <c r="N1264" i="4" s="1"/>
  <c r="Q1263" i="4"/>
  <c r="L1263" i="4"/>
  <c r="K1263" i="4"/>
  <c r="J1263" i="4"/>
  <c r="M1263" i="4" s="1"/>
  <c r="I1263" i="4"/>
  <c r="P1263" i="4" s="1"/>
  <c r="Q1262" i="4"/>
  <c r="O1262" i="4"/>
  <c r="M1262" i="4"/>
  <c r="L1262" i="4"/>
  <c r="K1262" i="4"/>
  <c r="J1262" i="4"/>
  <c r="I1262" i="4"/>
  <c r="R1262" i="4" s="1"/>
  <c r="N1262" i="4" s="1"/>
  <c r="Q1261" i="4"/>
  <c r="M1261" i="4"/>
  <c r="L1261" i="4"/>
  <c r="K1261" i="4"/>
  <c r="J1261" i="4"/>
  <c r="I1261" i="4"/>
  <c r="P1261" i="4" s="1"/>
  <c r="Q1260" i="4"/>
  <c r="M1260" i="4"/>
  <c r="L1260" i="4"/>
  <c r="K1260" i="4"/>
  <c r="J1260" i="4"/>
  <c r="I1260" i="4"/>
  <c r="R1260" i="4" s="1"/>
  <c r="N1260" i="4" s="1"/>
  <c r="Q1259" i="4"/>
  <c r="L1259" i="4"/>
  <c r="K1259" i="4"/>
  <c r="J1259" i="4"/>
  <c r="M1259" i="4" s="1"/>
  <c r="I1259" i="4"/>
  <c r="P1259" i="4" s="1"/>
  <c r="Q1258" i="4"/>
  <c r="P1258" i="4"/>
  <c r="O1258" i="4"/>
  <c r="M1258" i="4"/>
  <c r="L1258" i="4"/>
  <c r="K1258" i="4"/>
  <c r="J1258" i="4"/>
  <c r="I1258" i="4"/>
  <c r="R1258" i="4" s="1"/>
  <c r="N1258" i="4" s="1"/>
  <c r="Q1257" i="4"/>
  <c r="M1257" i="4"/>
  <c r="L1257" i="4"/>
  <c r="K1257" i="4"/>
  <c r="J1257" i="4"/>
  <c r="I1257" i="4"/>
  <c r="P1257" i="4" s="1"/>
  <c r="Q1256" i="4"/>
  <c r="P1256" i="4"/>
  <c r="M1256" i="4"/>
  <c r="L1256" i="4"/>
  <c r="K1256" i="4"/>
  <c r="J1256" i="4"/>
  <c r="I1256" i="4"/>
  <c r="R1256" i="4" s="1"/>
  <c r="N1256" i="4" s="1"/>
  <c r="Q1255" i="4"/>
  <c r="L1255" i="4"/>
  <c r="K1255" i="4"/>
  <c r="J1255" i="4"/>
  <c r="M1255" i="4" s="1"/>
  <c r="I1255" i="4"/>
  <c r="P1255" i="4" s="1"/>
  <c r="Q1254" i="4"/>
  <c r="O1254" i="4"/>
  <c r="M1254" i="4"/>
  <c r="L1254" i="4"/>
  <c r="K1254" i="4"/>
  <c r="J1254" i="4"/>
  <c r="I1254" i="4"/>
  <c r="R1254" i="4" s="1"/>
  <c r="N1254" i="4" s="1"/>
  <c r="Q1253" i="4"/>
  <c r="M1253" i="4"/>
  <c r="L1253" i="4"/>
  <c r="K1253" i="4"/>
  <c r="J1253" i="4"/>
  <c r="I1253" i="4"/>
  <c r="P1253" i="4" s="1"/>
  <c r="Q1252" i="4"/>
  <c r="M1252" i="4"/>
  <c r="L1252" i="4"/>
  <c r="K1252" i="4"/>
  <c r="J1252" i="4"/>
  <c r="I1252" i="4"/>
  <c r="R1252" i="4" s="1"/>
  <c r="N1252" i="4" s="1"/>
  <c r="Q1251" i="4"/>
  <c r="L1251" i="4"/>
  <c r="K1251" i="4"/>
  <c r="J1251" i="4"/>
  <c r="M1251" i="4" s="1"/>
  <c r="I1251" i="4"/>
  <c r="P1251" i="4" s="1"/>
  <c r="Q1250" i="4"/>
  <c r="P1250" i="4"/>
  <c r="O1250" i="4"/>
  <c r="M1250" i="4"/>
  <c r="L1250" i="4"/>
  <c r="K1250" i="4"/>
  <c r="J1250" i="4"/>
  <c r="I1250" i="4"/>
  <c r="R1250" i="4" s="1"/>
  <c r="N1250" i="4" s="1"/>
  <c r="Q1249" i="4"/>
  <c r="M1249" i="4"/>
  <c r="L1249" i="4"/>
  <c r="K1249" i="4"/>
  <c r="J1249" i="4"/>
  <c r="I1249" i="4"/>
  <c r="P1249" i="4" s="1"/>
  <c r="Q1248" i="4"/>
  <c r="P1248" i="4"/>
  <c r="N1248" i="4"/>
  <c r="L1248" i="4"/>
  <c r="K1248" i="4"/>
  <c r="J1248" i="4"/>
  <c r="M1248" i="4" s="1"/>
  <c r="I1248" i="4"/>
  <c r="R1248" i="4" s="1"/>
  <c r="O1248" i="4" s="1"/>
  <c r="R1247" i="4"/>
  <c r="O1247" i="4" s="1"/>
  <c r="Q1247" i="4"/>
  <c r="P1247" i="4"/>
  <c r="N1247" i="4"/>
  <c r="L1247" i="4"/>
  <c r="K1247" i="4"/>
  <c r="J1247" i="4"/>
  <c r="M1247" i="4" s="1"/>
  <c r="I1247" i="4"/>
  <c r="R1246" i="4"/>
  <c r="O1246" i="4" s="1"/>
  <c r="Q1246" i="4"/>
  <c r="P1246" i="4"/>
  <c r="N1246" i="4"/>
  <c r="L1246" i="4"/>
  <c r="K1246" i="4"/>
  <c r="J1246" i="4"/>
  <c r="M1246" i="4" s="1"/>
  <c r="I1246" i="4"/>
  <c r="R1245" i="4"/>
  <c r="O1245" i="4" s="1"/>
  <c r="Q1245" i="4"/>
  <c r="P1245" i="4"/>
  <c r="N1245" i="4"/>
  <c r="L1245" i="4"/>
  <c r="K1245" i="4"/>
  <c r="J1245" i="4"/>
  <c r="M1245" i="4" s="1"/>
  <c r="I1245" i="4"/>
  <c r="Q1244" i="4"/>
  <c r="P1244" i="4"/>
  <c r="L1244" i="4"/>
  <c r="K1244" i="4"/>
  <c r="J1244" i="4"/>
  <c r="M1244" i="4" s="1"/>
  <c r="I1244" i="4"/>
  <c r="R1244" i="4" s="1"/>
  <c r="R1243" i="4"/>
  <c r="O1243" i="4" s="1"/>
  <c r="Q1243" i="4"/>
  <c r="P1243" i="4"/>
  <c r="N1243" i="4"/>
  <c r="L1243" i="4"/>
  <c r="K1243" i="4"/>
  <c r="J1243" i="4"/>
  <c r="M1243" i="4" s="1"/>
  <c r="I1243" i="4"/>
  <c r="Q1242" i="4"/>
  <c r="P1242" i="4"/>
  <c r="L1242" i="4"/>
  <c r="K1242" i="4"/>
  <c r="J1242" i="4"/>
  <c r="M1242" i="4" s="1"/>
  <c r="I1242" i="4"/>
  <c r="R1242" i="4" s="1"/>
  <c r="R1241" i="4"/>
  <c r="O1241" i="4" s="1"/>
  <c r="Q1241" i="4"/>
  <c r="P1241" i="4"/>
  <c r="N1241" i="4"/>
  <c r="L1241" i="4"/>
  <c r="K1241" i="4"/>
  <c r="J1241" i="4"/>
  <c r="M1241" i="4" s="1"/>
  <c r="I1241" i="4"/>
  <c r="Q1240" i="4"/>
  <c r="P1240" i="4"/>
  <c r="M1240" i="4"/>
  <c r="L1240" i="4"/>
  <c r="K1240" i="4"/>
  <c r="J1240" i="4"/>
  <c r="I1240" i="4"/>
  <c r="R1240" i="4" s="1"/>
  <c r="R1239" i="4"/>
  <c r="O1239" i="4" s="1"/>
  <c r="Q1239" i="4"/>
  <c r="P1239" i="4"/>
  <c r="N1239" i="4"/>
  <c r="L1239" i="4"/>
  <c r="K1239" i="4"/>
  <c r="J1239" i="4"/>
  <c r="M1239" i="4" s="1"/>
  <c r="I1239" i="4"/>
  <c r="Q1238" i="4"/>
  <c r="P1238" i="4"/>
  <c r="M1238" i="4"/>
  <c r="L1238" i="4"/>
  <c r="K1238" i="4"/>
  <c r="J1238" i="4"/>
  <c r="I1238" i="4"/>
  <c r="R1238" i="4" s="1"/>
  <c r="R1237" i="4"/>
  <c r="O1237" i="4" s="1"/>
  <c r="Q1237" i="4"/>
  <c r="P1237" i="4"/>
  <c r="N1237" i="4"/>
  <c r="L1237" i="4"/>
  <c r="K1237" i="4"/>
  <c r="J1237" i="4"/>
  <c r="M1237" i="4" s="1"/>
  <c r="I1237" i="4"/>
  <c r="Q1236" i="4"/>
  <c r="P1236" i="4"/>
  <c r="M1236" i="4"/>
  <c r="L1236" i="4"/>
  <c r="K1236" i="4"/>
  <c r="J1236" i="4"/>
  <c r="I1236" i="4"/>
  <c r="R1236" i="4" s="1"/>
  <c r="R1235" i="4"/>
  <c r="O1235" i="4" s="1"/>
  <c r="Q1235" i="4"/>
  <c r="P1235" i="4"/>
  <c r="N1235" i="4"/>
  <c r="L1235" i="4"/>
  <c r="K1235" i="4"/>
  <c r="J1235" i="4"/>
  <c r="M1235" i="4" s="1"/>
  <c r="I1235" i="4"/>
  <c r="Q1234" i="4"/>
  <c r="P1234" i="4"/>
  <c r="M1234" i="4"/>
  <c r="L1234" i="4"/>
  <c r="K1234" i="4"/>
  <c r="J1234" i="4"/>
  <c r="I1234" i="4"/>
  <c r="R1234" i="4" s="1"/>
  <c r="R1233" i="4"/>
  <c r="O1233" i="4" s="1"/>
  <c r="Q1233" i="4"/>
  <c r="P1233" i="4"/>
  <c r="N1233" i="4"/>
  <c r="L1233" i="4"/>
  <c r="K1233" i="4"/>
  <c r="J1233" i="4"/>
  <c r="M1233" i="4" s="1"/>
  <c r="I1233" i="4"/>
  <c r="Q1232" i="4"/>
  <c r="P1232" i="4"/>
  <c r="M1232" i="4"/>
  <c r="L1232" i="4"/>
  <c r="K1232" i="4"/>
  <c r="J1232" i="4"/>
  <c r="I1232" i="4"/>
  <c r="R1232" i="4" s="1"/>
  <c r="R1231" i="4"/>
  <c r="O1231" i="4" s="1"/>
  <c r="Q1231" i="4"/>
  <c r="P1231" i="4"/>
  <c r="N1231" i="4"/>
  <c r="L1231" i="4"/>
  <c r="K1231" i="4"/>
  <c r="J1231" i="4"/>
  <c r="M1231" i="4" s="1"/>
  <c r="I1231" i="4"/>
  <c r="Q1230" i="4"/>
  <c r="P1230" i="4"/>
  <c r="M1230" i="4"/>
  <c r="L1230" i="4"/>
  <c r="K1230" i="4"/>
  <c r="J1230" i="4"/>
  <c r="I1230" i="4"/>
  <c r="R1230" i="4" s="1"/>
  <c r="R1229" i="4"/>
  <c r="O1229" i="4" s="1"/>
  <c r="Q1229" i="4"/>
  <c r="P1229" i="4"/>
  <c r="N1229" i="4"/>
  <c r="L1229" i="4"/>
  <c r="K1229" i="4"/>
  <c r="J1229" i="4"/>
  <c r="M1229" i="4" s="1"/>
  <c r="I1229" i="4"/>
  <c r="Q1228" i="4"/>
  <c r="P1228" i="4"/>
  <c r="M1228" i="4"/>
  <c r="L1228" i="4"/>
  <c r="K1228" i="4"/>
  <c r="J1228" i="4"/>
  <c r="I1228" i="4"/>
  <c r="R1228" i="4" s="1"/>
  <c r="R1227" i="4"/>
  <c r="O1227" i="4" s="1"/>
  <c r="Q1227" i="4"/>
  <c r="P1227" i="4"/>
  <c r="N1227" i="4"/>
  <c r="L1227" i="4"/>
  <c r="K1227" i="4"/>
  <c r="J1227" i="4"/>
  <c r="M1227" i="4" s="1"/>
  <c r="I1227" i="4"/>
  <c r="Q1226" i="4"/>
  <c r="P1226" i="4"/>
  <c r="M1226" i="4"/>
  <c r="L1226" i="4"/>
  <c r="K1226" i="4"/>
  <c r="J1226" i="4"/>
  <c r="I1226" i="4"/>
  <c r="R1226" i="4" s="1"/>
  <c r="R1225" i="4"/>
  <c r="O1225" i="4" s="1"/>
  <c r="Q1225" i="4"/>
  <c r="P1225" i="4"/>
  <c r="N1225" i="4"/>
  <c r="L1225" i="4"/>
  <c r="K1225" i="4"/>
  <c r="J1225" i="4"/>
  <c r="M1225" i="4" s="1"/>
  <c r="I1225" i="4"/>
  <c r="Q1224" i="4"/>
  <c r="P1224" i="4"/>
  <c r="M1224" i="4"/>
  <c r="L1224" i="4"/>
  <c r="K1224" i="4"/>
  <c r="J1224" i="4"/>
  <c r="I1224" i="4"/>
  <c r="R1224" i="4" s="1"/>
  <c r="R1223" i="4"/>
  <c r="O1223" i="4" s="1"/>
  <c r="Q1223" i="4"/>
  <c r="P1223" i="4"/>
  <c r="N1223" i="4"/>
  <c r="L1223" i="4"/>
  <c r="K1223" i="4"/>
  <c r="J1223" i="4"/>
  <c r="M1223" i="4" s="1"/>
  <c r="I1223" i="4"/>
  <c r="Q1222" i="4"/>
  <c r="P1222" i="4"/>
  <c r="M1222" i="4"/>
  <c r="L1222" i="4"/>
  <c r="K1222" i="4"/>
  <c r="J1222" i="4"/>
  <c r="I1222" i="4"/>
  <c r="R1222" i="4" s="1"/>
  <c r="R1221" i="4"/>
  <c r="O1221" i="4" s="1"/>
  <c r="Q1221" i="4"/>
  <c r="P1221" i="4"/>
  <c r="N1221" i="4"/>
  <c r="L1221" i="4"/>
  <c r="K1221" i="4"/>
  <c r="J1221" i="4"/>
  <c r="M1221" i="4" s="1"/>
  <c r="I1221" i="4"/>
  <c r="Q1220" i="4"/>
  <c r="P1220" i="4"/>
  <c r="M1220" i="4"/>
  <c r="L1220" i="4"/>
  <c r="K1220" i="4"/>
  <c r="J1220" i="4"/>
  <c r="I1220" i="4"/>
  <c r="R1220" i="4" s="1"/>
  <c r="R1219" i="4"/>
  <c r="O1219" i="4" s="1"/>
  <c r="Q1219" i="4"/>
  <c r="P1219" i="4"/>
  <c r="N1219" i="4"/>
  <c r="L1219" i="4"/>
  <c r="K1219" i="4"/>
  <c r="J1219" i="4"/>
  <c r="M1219" i="4" s="1"/>
  <c r="I1219" i="4"/>
  <c r="Q1218" i="4"/>
  <c r="P1218" i="4"/>
  <c r="M1218" i="4"/>
  <c r="L1218" i="4"/>
  <c r="K1218" i="4"/>
  <c r="J1218" i="4"/>
  <c r="I1218" i="4"/>
  <c r="R1218" i="4" s="1"/>
  <c r="R1217" i="4"/>
  <c r="O1217" i="4" s="1"/>
  <c r="Q1217" i="4"/>
  <c r="P1217" i="4"/>
  <c r="N1217" i="4"/>
  <c r="L1217" i="4"/>
  <c r="K1217" i="4"/>
  <c r="J1217" i="4"/>
  <c r="M1217" i="4" s="1"/>
  <c r="I1217" i="4"/>
  <c r="Q1216" i="4"/>
  <c r="P1216" i="4"/>
  <c r="M1216" i="4"/>
  <c r="L1216" i="4"/>
  <c r="K1216" i="4"/>
  <c r="J1216" i="4"/>
  <c r="I1216" i="4"/>
  <c r="R1216" i="4" s="1"/>
  <c r="R1215" i="4"/>
  <c r="O1215" i="4" s="1"/>
  <c r="Q1215" i="4"/>
  <c r="P1215" i="4"/>
  <c r="N1215" i="4"/>
  <c r="L1215" i="4"/>
  <c r="K1215" i="4"/>
  <c r="J1215" i="4"/>
  <c r="M1215" i="4" s="1"/>
  <c r="I1215" i="4"/>
  <c r="Q1214" i="4"/>
  <c r="P1214" i="4"/>
  <c r="M1214" i="4"/>
  <c r="L1214" i="4"/>
  <c r="K1214" i="4"/>
  <c r="J1214" i="4"/>
  <c r="I1214" i="4"/>
  <c r="R1214" i="4" s="1"/>
  <c r="R1213" i="4"/>
  <c r="O1213" i="4" s="1"/>
  <c r="Q1213" i="4"/>
  <c r="N1213" i="4"/>
  <c r="L1213" i="4"/>
  <c r="K1213" i="4"/>
  <c r="J1213" i="4"/>
  <c r="M1213" i="4" s="1"/>
  <c r="I1213" i="4"/>
  <c r="P1213" i="4" s="1"/>
  <c r="Q1212" i="4"/>
  <c r="P1212" i="4"/>
  <c r="M1212" i="4"/>
  <c r="L1212" i="4"/>
  <c r="K1212" i="4"/>
  <c r="J1212" i="4"/>
  <c r="I1212" i="4"/>
  <c r="R1212" i="4" s="1"/>
  <c r="R1211" i="4"/>
  <c r="O1211" i="4" s="1"/>
  <c r="Q1211" i="4"/>
  <c r="N1211" i="4"/>
  <c r="L1211" i="4"/>
  <c r="K1211" i="4"/>
  <c r="J1211" i="4"/>
  <c r="M1211" i="4" s="1"/>
  <c r="I1211" i="4"/>
  <c r="P1211" i="4" s="1"/>
  <c r="Q1210" i="4"/>
  <c r="P1210" i="4"/>
  <c r="M1210" i="4"/>
  <c r="L1210" i="4"/>
  <c r="K1210" i="4"/>
  <c r="J1210" i="4"/>
  <c r="I1210" i="4"/>
  <c r="R1210" i="4" s="1"/>
  <c r="R1209" i="4"/>
  <c r="O1209" i="4" s="1"/>
  <c r="Q1209" i="4"/>
  <c r="N1209" i="4"/>
  <c r="L1209" i="4"/>
  <c r="K1209" i="4"/>
  <c r="J1209" i="4"/>
  <c r="M1209" i="4" s="1"/>
  <c r="I1209" i="4"/>
  <c r="P1209" i="4" s="1"/>
  <c r="Q1208" i="4"/>
  <c r="P1208" i="4"/>
  <c r="M1208" i="4"/>
  <c r="L1208" i="4"/>
  <c r="K1208" i="4"/>
  <c r="J1208" i="4"/>
  <c r="I1208" i="4"/>
  <c r="R1208" i="4" s="1"/>
  <c r="R1207" i="4"/>
  <c r="O1207" i="4" s="1"/>
  <c r="Q1207" i="4"/>
  <c r="N1207" i="4"/>
  <c r="L1207" i="4"/>
  <c r="K1207" i="4"/>
  <c r="J1207" i="4"/>
  <c r="M1207" i="4" s="1"/>
  <c r="I1207" i="4"/>
  <c r="P1207" i="4" s="1"/>
  <c r="Q1206" i="4"/>
  <c r="P1206" i="4"/>
  <c r="M1206" i="4"/>
  <c r="L1206" i="4"/>
  <c r="K1206" i="4"/>
  <c r="J1206" i="4"/>
  <c r="I1206" i="4"/>
  <c r="R1206" i="4" s="1"/>
  <c r="R1205" i="4"/>
  <c r="O1205" i="4" s="1"/>
  <c r="Q1205" i="4"/>
  <c r="N1205" i="4"/>
  <c r="L1205" i="4"/>
  <c r="K1205" i="4"/>
  <c r="J1205" i="4"/>
  <c r="M1205" i="4" s="1"/>
  <c r="I1205" i="4"/>
  <c r="P1205" i="4" s="1"/>
  <c r="Q1204" i="4"/>
  <c r="P1204" i="4"/>
  <c r="M1204" i="4"/>
  <c r="L1204" i="4"/>
  <c r="K1204" i="4"/>
  <c r="J1204" i="4"/>
  <c r="I1204" i="4"/>
  <c r="R1204" i="4" s="1"/>
  <c r="R1203" i="4"/>
  <c r="O1203" i="4" s="1"/>
  <c r="Q1203" i="4"/>
  <c r="N1203" i="4"/>
  <c r="L1203" i="4"/>
  <c r="K1203" i="4"/>
  <c r="J1203" i="4"/>
  <c r="M1203" i="4" s="1"/>
  <c r="I1203" i="4"/>
  <c r="P1203" i="4" s="1"/>
  <c r="Q1202" i="4"/>
  <c r="P1202" i="4"/>
  <c r="M1202" i="4"/>
  <c r="L1202" i="4"/>
  <c r="K1202" i="4"/>
  <c r="J1202" i="4"/>
  <c r="I1202" i="4"/>
  <c r="R1202" i="4" s="1"/>
  <c r="R1201" i="4"/>
  <c r="O1201" i="4" s="1"/>
  <c r="Q1201" i="4"/>
  <c r="N1201" i="4"/>
  <c r="L1201" i="4"/>
  <c r="K1201" i="4"/>
  <c r="J1201" i="4"/>
  <c r="M1201" i="4" s="1"/>
  <c r="I1201" i="4"/>
  <c r="P1201" i="4" s="1"/>
  <c r="Q1200" i="4"/>
  <c r="M1200" i="4"/>
  <c r="L1200" i="4"/>
  <c r="K1200" i="4"/>
  <c r="J1200" i="4"/>
  <c r="I1200" i="4"/>
  <c r="P1200" i="4" s="1"/>
  <c r="R1199" i="4"/>
  <c r="Q1199" i="4"/>
  <c r="O1199" i="4"/>
  <c r="N1199" i="4"/>
  <c r="L1199" i="4"/>
  <c r="K1199" i="4"/>
  <c r="J1199" i="4"/>
  <c r="M1199" i="4" s="1"/>
  <c r="I1199" i="4"/>
  <c r="P1199" i="4" s="1"/>
  <c r="Q1198" i="4"/>
  <c r="M1198" i="4"/>
  <c r="L1198" i="4"/>
  <c r="K1198" i="4"/>
  <c r="J1198" i="4"/>
  <c r="I1198" i="4"/>
  <c r="P1198" i="4" s="1"/>
  <c r="R1197" i="4"/>
  <c r="Q1197" i="4"/>
  <c r="O1197" i="4"/>
  <c r="N1197" i="4"/>
  <c r="L1197" i="4"/>
  <c r="K1197" i="4"/>
  <c r="J1197" i="4"/>
  <c r="M1197" i="4" s="1"/>
  <c r="I1197" i="4"/>
  <c r="P1197" i="4" s="1"/>
  <c r="Q1196" i="4"/>
  <c r="M1196" i="4"/>
  <c r="L1196" i="4"/>
  <c r="K1196" i="4"/>
  <c r="J1196" i="4"/>
  <c r="I1196" i="4"/>
  <c r="P1196" i="4" s="1"/>
  <c r="R1195" i="4"/>
  <c r="Q1195" i="4"/>
  <c r="O1195" i="4"/>
  <c r="N1195" i="4"/>
  <c r="L1195" i="4"/>
  <c r="K1195" i="4"/>
  <c r="J1195" i="4"/>
  <c r="M1195" i="4" s="1"/>
  <c r="I1195" i="4"/>
  <c r="P1195" i="4" s="1"/>
  <c r="Q1194" i="4"/>
  <c r="M1194" i="4"/>
  <c r="L1194" i="4"/>
  <c r="K1194" i="4"/>
  <c r="J1194" i="4"/>
  <c r="I1194" i="4"/>
  <c r="P1194" i="4" s="1"/>
  <c r="R1193" i="4"/>
  <c r="Q1193" i="4"/>
  <c r="O1193" i="4"/>
  <c r="N1193" i="4"/>
  <c r="L1193" i="4"/>
  <c r="K1193" i="4"/>
  <c r="J1193" i="4"/>
  <c r="M1193" i="4" s="1"/>
  <c r="I1193" i="4"/>
  <c r="P1193" i="4" s="1"/>
  <c r="Q1192" i="4"/>
  <c r="M1192" i="4"/>
  <c r="L1192" i="4"/>
  <c r="K1192" i="4"/>
  <c r="J1192" i="4"/>
  <c r="I1192" i="4"/>
  <c r="P1192" i="4" s="1"/>
  <c r="R1191" i="4"/>
  <c r="Q1191" i="4"/>
  <c r="O1191" i="4"/>
  <c r="N1191" i="4"/>
  <c r="L1191" i="4"/>
  <c r="K1191" i="4"/>
  <c r="J1191" i="4"/>
  <c r="M1191" i="4" s="1"/>
  <c r="I1191" i="4"/>
  <c r="P1191" i="4" s="1"/>
  <c r="Q1190" i="4"/>
  <c r="M1190" i="4"/>
  <c r="L1190" i="4"/>
  <c r="K1190" i="4"/>
  <c r="J1190" i="4"/>
  <c r="I1190" i="4"/>
  <c r="P1190" i="4" s="1"/>
  <c r="R1189" i="4"/>
  <c r="Q1189" i="4"/>
  <c r="O1189" i="4"/>
  <c r="N1189" i="4"/>
  <c r="L1189" i="4"/>
  <c r="K1189" i="4"/>
  <c r="J1189" i="4"/>
  <c r="M1189" i="4" s="1"/>
  <c r="I1189" i="4"/>
  <c r="P1189" i="4" s="1"/>
  <c r="Q1188" i="4"/>
  <c r="M1188" i="4"/>
  <c r="L1188" i="4"/>
  <c r="K1188" i="4"/>
  <c r="J1188" i="4"/>
  <c r="I1188" i="4"/>
  <c r="P1188" i="4" s="1"/>
  <c r="R1187" i="4"/>
  <c r="Q1187" i="4"/>
  <c r="O1187" i="4"/>
  <c r="N1187" i="4"/>
  <c r="L1187" i="4"/>
  <c r="K1187" i="4"/>
  <c r="J1187" i="4"/>
  <c r="M1187" i="4" s="1"/>
  <c r="I1187" i="4"/>
  <c r="P1187" i="4" s="1"/>
  <c r="Q1186" i="4"/>
  <c r="M1186" i="4"/>
  <c r="L1186" i="4"/>
  <c r="K1186" i="4"/>
  <c r="J1186" i="4"/>
  <c r="I1186" i="4"/>
  <c r="P1186" i="4" s="1"/>
  <c r="R1185" i="4"/>
  <c r="Q1185" i="4"/>
  <c r="O1185" i="4"/>
  <c r="N1185" i="4"/>
  <c r="L1185" i="4"/>
  <c r="K1185" i="4"/>
  <c r="J1185" i="4"/>
  <c r="M1185" i="4" s="1"/>
  <c r="I1185" i="4"/>
  <c r="P1185" i="4" s="1"/>
  <c r="Q1184" i="4"/>
  <c r="M1184" i="4"/>
  <c r="L1184" i="4"/>
  <c r="K1184" i="4"/>
  <c r="J1184" i="4"/>
  <c r="I1184" i="4"/>
  <c r="P1184" i="4" s="1"/>
  <c r="R1183" i="4"/>
  <c r="Q1183" i="4"/>
  <c r="O1183" i="4"/>
  <c r="N1183" i="4"/>
  <c r="L1183" i="4"/>
  <c r="K1183" i="4"/>
  <c r="J1183" i="4"/>
  <c r="M1183" i="4" s="1"/>
  <c r="I1183" i="4"/>
  <c r="P1183" i="4" s="1"/>
  <c r="Q1182" i="4"/>
  <c r="M1182" i="4"/>
  <c r="L1182" i="4"/>
  <c r="K1182" i="4"/>
  <c r="J1182" i="4"/>
  <c r="I1182" i="4"/>
  <c r="P1182" i="4" s="1"/>
  <c r="R1181" i="4"/>
  <c r="Q1181" i="4"/>
  <c r="O1181" i="4"/>
  <c r="N1181" i="4"/>
  <c r="L1181" i="4"/>
  <c r="K1181" i="4"/>
  <c r="J1181" i="4"/>
  <c r="M1181" i="4" s="1"/>
  <c r="I1181" i="4"/>
  <c r="P1181" i="4" s="1"/>
  <c r="Q1180" i="4"/>
  <c r="M1180" i="4"/>
  <c r="L1180" i="4"/>
  <c r="K1180" i="4"/>
  <c r="J1180" i="4"/>
  <c r="I1180" i="4"/>
  <c r="P1180" i="4" s="1"/>
  <c r="R1179" i="4"/>
  <c r="Q1179" i="4"/>
  <c r="O1179" i="4"/>
  <c r="N1179" i="4"/>
  <c r="L1179" i="4"/>
  <c r="K1179" i="4"/>
  <c r="J1179" i="4"/>
  <c r="M1179" i="4" s="1"/>
  <c r="I1179" i="4"/>
  <c r="P1179" i="4" s="1"/>
  <c r="Q1178" i="4"/>
  <c r="M1178" i="4"/>
  <c r="L1178" i="4"/>
  <c r="K1178" i="4"/>
  <c r="J1178" i="4"/>
  <c r="I1178" i="4"/>
  <c r="P1178" i="4" s="1"/>
  <c r="R1177" i="4"/>
  <c r="Q1177" i="4"/>
  <c r="O1177" i="4"/>
  <c r="N1177" i="4"/>
  <c r="L1177" i="4"/>
  <c r="K1177" i="4"/>
  <c r="J1177" i="4"/>
  <c r="M1177" i="4" s="1"/>
  <c r="I1177" i="4"/>
  <c r="P1177" i="4" s="1"/>
  <c r="Q1176" i="4"/>
  <c r="M1176" i="4"/>
  <c r="L1176" i="4"/>
  <c r="K1176" i="4"/>
  <c r="J1176" i="4"/>
  <c r="I1176" i="4"/>
  <c r="P1176" i="4" s="1"/>
  <c r="R1175" i="4"/>
  <c r="Q1175" i="4"/>
  <c r="O1175" i="4"/>
  <c r="N1175" i="4"/>
  <c r="L1175" i="4"/>
  <c r="K1175" i="4"/>
  <c r="J1175" i="4"/>
  <c r="M1175" i="4" s="1"/>
  <c r="I1175" i="4"/>
  <c r="P1175" i="4" s="1"/>
  <c r="Q1174" i="4"/>
  <c r="M1174" i="4"/>
  <c r="L1174" i="4"/>
  <c r="K1174" i="4"/>
  <c r="J1174" i="4"/>
  <c r="I1174" i="4"/>
  <c r="P1174" i="4" s="1"/>
  <c r="R1173" i="4"/>
  <c r="Q1173" i="4"/>
  <c r="O1173" i="4"/>
  <c r="N1173" i="4"/>
  <c r="L1173" i="4"/>
  <c r="K1173" i="4"/>
  <c r="J1173" i="4"/>
  <c r="M1173" i="4" s="1"/>
  <c r="I1173" i="4"/>
  <c r="P1173" i="4" s="1"/>
  <c r="Q1172" i="4"/>
  <c r="M1172" i="4"/>
  <c r="L1172" i="4"/>
  <c r="K1172" i="4"/>
  <c r="J1172" i="4"/>
  <c r="I1172" i="4"/>
  <c r="P1172" i="4" s="1"/>
  <c r="R1171" i="4"/>
  <c r="Q1171" i="4"/>
  <c r="O1171" i="4"/>
  <c r="N1171" i="4"/>
  <c r="L1171" i="4"/>
  <c r="K1171" i="4"/>
  <c r="J1171" i="4"/>
  <c r="M1171" i="4" s="1"/>
  <c r="I1171" i="4"/>
  <c r="P1171" i="4" s="1"/>
  <c r="Q1170" i="4"/>
  <c r="M1170" i="4"/>
  <c r="L1170" i="4"/>
  <c r="K1170" i="4"/>
  <c r="J1170" i="4"/>
  <c r="I1170" i="4"/>
  <c r="P1170" i="4" s="1"/>
  <c r="R1169" i="4"/>
  <c r="Q1169" i="4"/>
  <c r="O1169" i="4"/>
  <c r="N1169" i="4"/>
  <c r="L1169" i="4"/>
  <c r="K1169" i="4"/>
  <c r="J1169" i="4"/>
  <c r="M1169" i="4" s="1"/>
  <c r="I1169" i="4"/>
  <c r="P1169" i="4" s="1"/>
  <c r="Q1168" i="4"/>
  <c r="M1168" i="4"/>
  <c r="L1168" i="4"/>
  <c r="K1168" i="4"/>
  <c r="J1168" i="4"/>
  <c r="I1168" i="4"/>
  <c r="P1168" i="4" s="1"/>
  <c r="R1167" i="4"/>
  <c r="Q1167" i="4"/>
  <c r="O1167" i="4"/>
  <c r="N1167" i="4"/>
  <c r="L1167" i="4"/>
  <c r="K1167" i="4"/>
  <c r="J1167" i="4"/>
  <c r="M1167" i="4" s="1"/>
  <c r="I1167" i="4"/>
  <c r="P1167" i="4" s="1"/>
  <c r="Q1166" i="4"/>
  <c r="M1166" i="4"/>
  <c r="L1166" i="4"/>
  <c r="K1166" i="4"/>
  <c r="J1166" i="4"/>
  <c r="I1166" i="4"/>
  <c r="P1166" i="4" s="1"/>
  <c r="R1165" i="4"/>
  <c r="Q1165" i="4"/>
  <c r="O1165" i="4"/>
  <c r="N1165" i="4"/>
  <c r="L1165" i="4"/>
  <c r="K1165" i="4"/>
  <c r="J1165" i="4"/>
  <c r="M1165" i="4" s="1"/>
  <c r="I1165" i="4"/>
  <c r="P1165" i="4" s="1"/>
  <c r="Q1164" i="4"/>
  <c r="M1164" i="4"/>
  <c r="L1164" i="4"/>
  <c r="K1164" i="4"/>
  <c r="J1164" i="4"/>
  <c r="I1164" i="4"/>
  <c r="P1164" i="4" s="1"/>
  <c r="R1163" i="4"/>
  <c r="Q1163" i="4"/>
  <c r="O1163" i="4"/>
  <c r="N1163" i="4"/>
  <c r="L1163" i="4"/>
  <c r="K1163" i="4"/>
  <c r="J1163" i="4"/>
  <c r="M1163" i="4" s="1"/>
  <c r="I1163" i="4"/>
  <c r="P1163" i="4" s="1"/>
  <c r="Q1162" i="4"/>
  <c r="M1162" i="4"/>
  <c r="L1162" i="4"/>
  <c r="K1162" i="4"/>
  <c r="J1162" i="4"/>
  <c r="I1162" i="4"/>
  <c r="P1162" i="4" s="1"/>
  <c r="R1161" i="4"/>
  <c r="Q1161" i="4"/>
  <c r="O1161" i="4"/>
  <c r="N1161" i="4"/>
  <c r="L1161" i="4"/>
  <c r="K1161" i="4"/>
  <c r="J1161" i="4"/>
  <c r="M1161" i="4" s="1"/>
  <c r="I1161" i="4"/>
  <c r="P1161" i="4" s="1"/>
  <c r="Q1160" i="4"/>
  <c r="M1160" i="4"/>
  <c r="L1160" i="4"/>
  <c r="K1160" i="4"/>
  <c r="J1160" i="4"/>
  <c r="I1160" i="4"/>
  <c r="P1160" i="4" s="1"/>
  <c r="R1159" i="4"/>
  <c r="Q1159" i="4"/>
  <c r="O1159" i="4"/>
  <c r="N1159" i="4"/>
  <c r="L1159" i="4"/>
  <c r="K1159" i="4"/>
  <c r="J1159" i="4"/>
  <c r="M1159" i="4" s="1"/>
  <c r="I1159" i="4"/>
  <c r="P1159" i="4" s="1"/>
  <c r="Q1158" i="4"/>
  <c r="M1158" i="4"/>
  <c r="L1158" i="4"/>
  <c r="K1158" i="4"/>
  <c r="J1158" i="4"/>
  <c r="I1158" i="4"/>
  <c r="P1158" i="4" s="1"/>
  <c r="R1157" i="4"/>
  <c r="Q1157" i="4"/>
  <c r="O1157" i="4"/>
  <c r="N1157" i="4"/>
  <c r="L1157" i="4"/>
  <c r="K1157" i="4"/>
  <c r="J1157" i="4"/>
  <c r="M1157" i="4" s="1"/>
  <c r="I1157" i="4"/>
  <c r="P1157" i="4" s="1"/>
  <c r="Q1156" i="4"/>
  <c r="M1156" i="4"/>
  <c r="L1156" i="4"/>
  <c r="K1156" i="4"/>
  <c r="J1156" i="4"/>
  <c r="I1156" i="4"/>
  <c r="P1156" i="4" s="1"/>
  <c r="R1155" i="4"/>
  <c r="Q1155" i="4"/>
  <c r="O1155" i="4"/>
  <c r="N1155" i="4"/>
  <c r="L1155" i="4"/>
  <c r="K1155" i="4"/>
  <c r="J1155" i="4"/>
  <c r="M1155" i="4" s="1"/>
  <c r="I1155" i="4"/>
  <c r="P1155" i="4" s="1"/>
  <c r="Q1154" i="4"/>
  <c r="M1154" i="4"/>
  <c r="L1154" i="4"/>
  <c r="K1154" i="4"/>
  <c r="J1154" i="4"/>
  <c r="I1154" i="4"/>
  <c r="P1154" i="4" s="1"/>
  <c r="R1153" i="4"/>
  <c r="Q1153" i="4"/>
  <c r="O1153" i="4"/>
  <c r="N1153" i="4"/>
  <c r="L1153" i="4"/>
  <c r="K1153" i="4"/>
  <c r="J1153" i="4"/>
  <c r="M1153" i="4" s="1"/>
  <c r="I1153" i="4"/>
  <c r="P1153" i="4" s="1"/>
  <c r="Q1152" i="4"/>
  <c r="M1152" i="4"/>
  <c r="L1152" i="4"/>
  <c r="K1152" i="4"/>
  <c r="J1152" i="4"/>
  <c r="I1152" i="4"/>
  <c r="P1152" i="4" s="1"/>
  <c r="R1151" i="4"/>
  <c r="Q1151" i="4"/>
  <c r="O1151" i="4"/>
  <c r="N1151" i="4"/>
  <c r="L1151" i="4"/>
  <c r="K1151" i="4"/>
  <c r="J1151" i="4"/>
  <c r="M1151" i="4" s="1"/>
  <c r="I1151" i="4"/>
  <c r="P1151" i="4" s="1"/>
  <c r="Q1150" i="4"/>
  <c r="M1150" i="4"/>
  <c r="L1150" i="4"/>
  <c r="K1150" i="4"/>
  <c r="J1150" i="4"/>
  <c r="I1150" i="4"/>
  <c r="P1150" i="4" s="1"/>
  <c r="R1149" i="4"/>
  <c r="Q1149" i="4"/>
  <c r="O1149" i="4"/>
  <c r="N1149" i="4"/>
  <c r="L1149" i="4"/>
  <c r="K1149" i="4"/>
  <c r="J1149" i="4"/>
  <c r="M1149" i="4" s="1"/>
  <c r="I1149" i="4"/>
  <c r="P1149" i="4" s="1"/>
  <c r="Q1148" i="4"/>
  <c r="M1148" i="4"/>
  <c r="L1148" i="4"/>
  <c r="K1148" i="4"/>
  <c r="J1148" i="4"/>
  <c r="I1148" i="4"/>
  <c r="P1148" i="4" s="1"/>
  <c r="Q1147" i="4"/>
  <c r="L1147" i="4"/>
  <c r="K1147" i="4"/>
  <c r="J1147" i="4"/>
  <c r="M1147" i="4" s="1"/>
  <c r="I1147" i="4"/>
  <c r="R1147" i="4" s="1"/>
  <c r="Q1146" i="4"/>
  <c r="M1146" i="4"/>
  <c r="L1146" i="4"/>
  <c r="K1146" i="4"/>
  <c r="J1146" i="4"/>
  <c r="I1146" i="4"/>
  <c r="P1146" i="4" s="1"/>
  <c r="Q1145" i="4"/>
  <c r="L1145" i="4"/>
  <c r="K1145" i="4"/>
  <c r="J1145" i="4"/>
  <c r="M1145" i="4" s="1"/>
  <c r="I1145" i="4"/>
  <c r="R1145" i="4" s="1"/>
  <c r="Q1144" i="4"/>
  <c r="M1144" i="4"/>
  <c r="L1144" i="4"/>
  <c r="K1144" i="4"/>
  <c r="J1144" i="4"/>
  <c r="I1144" i="4"/>
  <c r="P1144" i="4" s="1"/>
  <c r="Q1143" i="4"/>
  <c r="M1143" i="4"/>
  <c r="L1143" i="4"/>
  <c r="K1143" i="4"/>
  <c r="J1143" i="4"/>
  <c r="I1143" i="4"/>
  <c r="R1143" i="4" s="1"/>
  <c r="Q1142" i="4"/>
  <c r="M1142" i="4"/>
  <c r="L1142" i="4"/>
  <c r="K1142" i="4"/>
  <c r="J1142" i="4"/>
  <c r="I1142" i="4"/>
  <c r="P1142" i="4" s="1"/>
  <c r="Q1141" i="4"/>
  <c r="M1141" i="4"/>
  <c r="L1141" i="4"/>
  <c r="K1141" i="4"/>
  <c r="J1141" i="4"/>
  <c r="I1141" i="4"/>
  <c r="R1141" i="4" s="1"/>
  <c r="Q1140" i="4"/>
  <c r="M1140" i="4"/>
  <c r="L1140" i="4"/>
  <c r="K1140" i="4"/>
  <c r="J1140" i="4"/>
  <c r="I1140" i="4"/>
  <c r="P1140" i="4" s="1"/>
  <c r="Q1139" i="4"/>
  <c r="M1139" i="4"/>
  <c r="L1139" i="4"/>
  <c r="K1139" i="4"/>
  <c r="J1139" i="4"/>
  <c r="I1139" i="4"/>
  <c r="R1139" i="4" s="1"/>
  <c r="Q1138" i="4"/>
  <c r="M1138" i="4"/>
  <c r="L1138" i="4"/>
  <c r="K1138" i="4"/>
  <c r="J1138" i="4"/>
  <c r="I1138" i="4"/>
  <c r="P1138" i="4" s="1"/>
  <c r="Q1137" i="4"/>
  <c r="M1137" i="4"/>
  <c r="L1137" i="4"/>
  <c r="K1137" i="4"/>
  <c r="J1137" i="4"/>
  <c r="I1137" i="4"/>
  <c r="R1137" i="4" s="1"/>
  <c r="Q1136" i="4"/>
  <c r="M1136" i="4"/>
  <c r="L1136" i="4"/>
  <c r="K1136" i="4"/>
  <c r="J1136" i="4"/>
  <c r="I1136" i="4"/>
  <c r="P1136" i="4" s="1"/>
  <c r="Q1135" i="4"/>
  <c r="M1135" i="4"/>
  <c r="L1135" i="4"/>
  <c r="K1135" i="4"/>
  <c r="J1135" i="4"/>
  <c r="I1135" i="4"/>
  <c r="R1135" i="4" s="1"/>
  <c r="Q1134" i="4"/>
  <c r="M1134" i="4"/>
  <c r="L1134" i="4"/>
  <c r="K1134" i="4"/>
  <c r="J1134" i="4"/>
  <c r="I1134" i="4"/>
  <c r="P1134" i="4" s="1"/>
  <c r="Q1133" i="4"/>
  <c r="M1133" i="4"/>
  <c r="L1133" i="4"/>
  <c r="K1133" i="4"/>
  <c r="J1133" i="4"/>
  <c r="I1133" i="4"/>
  <c r="R1133" i="4" s="1"/>
  <c r="Q1132" i="4"/>
  <c r="M1132" i="4"/>
  <c r="L1132" i="4"/>
  <c r="K1132" i="4"/>
  <c r="J1132" i="4"/>
  <c r="I1132" i="4"/>
  <c r="P1132" i="4" s="1"/>
  <c r="Q1131" i="4"/>
  <c r="M1131" i="4"/>
  <c r="L1131" i="4"/>
  <c r="K1131" i="4"/>
  <c r="J1131" i="4"/>
  <c r="I1131" i="4"/>
  <c r="R1131" i="4" s="1"/>
  <c r="Q1130" i="4"/>
  <c r="M1130" i="4"/>
  <c r="L1130" i="4"/>
  <c r="K1130" i="4"/>
  <c r="J1130" i="4"/>
  <c r="I1130" i="4"/>
  <c r="P1130" i="4" s="1"/>
  <c r="Q1129" i="4"/>
  <c r="M1129" i="4"/>
  <c r="L1129" i="4"/>
  <c r="K1129" i="4"/>
  <c r="J1129" i="4"/>
  <c r="I1129" i="4"/>
  <c r="R1129" i="4" s="1"/>
  <c r="Q1128" i="4"/>
  <c r="M1128" i="4"/>
  <c r="L1128" i="4"/>
  <c r="K1128" i="4"/>
  <c r="J1128" i="4"/>
  <c r="I1128" i="4"/>
  <c r="P1128" i="4" s="1"/>
  <c r="Q1127" i="4"/>
  <c r="M1127" i="4"/>
  <c r="L1127" i="4"/>
  <c r="K1127" i="4"/>
  <c r="J1127" i="4"/>
  <c r="I1127" i="4"/>
  <c r="R1127" i="4" s="1"/>
  <c r="Q1126" i="4"/>
  <c r="M1126" i="4"/>
  <c r="L1126" i="4"/>
  <c r="K1126" i="4"/>
  <c r="J1126" i="4"/>
  <c r="I1126" i="4"/>
  <c r="P1126" i="4" s="1"/>
  <c r="Q1125" i="4"/>
  <c r="M1125" i="4"/>
  <c r="L1125" i="4"/>
  <c r="K1125" i="4"/>
  <c r="J1125" i="4"/>
  <c r="I1125" i="4"/>
  <c r="R1125" i="4" s="1"/>
  <c r="Q1124" i="4"/>
  <c r="M1124" i="4"/>
  <c r="L1124" i="4"/>
  <c r="K1124" i="4"/>
  <c r="J1124" i="4"/>
  <c r="I1124" i="4"/>
  <c r="P1124" i="4" s="1"/>
  <c r="Q1123" i="4"/>
  <c r="M1123" i="4"/>
  <c r="L1123" i="4"/>
  <c r="K1123" i="4"/>
  <c r="J1123" i="4"/>
  <c r="I1123" i="4"/>
  <c r="R1123" i="4" s="1"/>
  <c r="Q1122" i="4"/>
  <c r="M1122" i="4"/>
  <c r="L1122" i="4"/>
  <c r="K1122" i="4"/>
  <c r="J1122" i="4"/>
  <c r="I1122" i="4"/>
  <c r="P1122" i="4" s="1"/>
  <c r="Q1121" i="4"/>
  <c r="M1121" i="4"/>
  <c r="L1121" i="4"/>
  <c r="K1121" i="4"/>
  <c r="J1121" i="4"/>
  <c r="I1121" i="4"/>
  <c r="R1121" i="4" s="1"/>
  <c r="Q1120" i="4"/>
  <c r="M1120" i="4"/>
  <c r="L1120" i="4"/>
  <c r="K1120" i="4"/>
  <c r="J1120" i="4"/>
  <c r="I1120" i="4"/>
  <c r="P1120" i="4" s="1"/>
  <c r="Q1119" i="4"/>
  <c r="M1119" i="4"/>
  <c r="L1119" i="4"/>
  <c r="K1119" i="4"/>
  <c r="J1119" i="4"/>
  <c r="I1119" i="4"/>
  <c r="R1119" i="4" s="1"/>
  <c r="Q1118" i="4"/>
  <c r="M1118" i="4"/>
  <c r="L1118" i="4"/>
  <c r="K1118" i="4"/>
  <c r="J1118" i="4"/>
  <c r="I1118" i="4"/>
  <c r="P1118" i="4" s="1"/>
  <c r="Q1117" i="4"/>
  <c r="M1117" i="4"/>
  <c r="L1117" i="4"/>
  <c r="K1117" i="4"/>
  <c r="J1117" i="4"/>
  <c r="I1117" i="4"/>
  <c r="R1117" i="4" s="1"/>
  <c r="Q1116" i="4"/>
  <c r="M1116" i="4"/>
  <c r="L1116" i="4"/>
  <c r="K1116" i="4"/>
  <c r="J1116" i="4"/>
  <c r="I1116" i="4"/>
  <c r="P1116" i="4" s="1"/>
  <c r="Q1115" i="4"/>
  <c r="M1115" i="4"/>
  <c r="L1115" i="4"/>
  <c r="K1115" i="4"/>
  <c r="J1115" i="4"/>
  <c r="I1115" i="4"/>
  <c r="R1115" i="4" s="1"/>
  <c r="Q1114" i="4"/>
  <c r="M1114" i="4"/>
  <c r="L1114" i="4"/>
  <c r="K1114" i="4"/>
  <c r="J1114" i="4"/>
  <c r="I1114" i="4"/>
  <c r="P1114" i="4" s="1"/>
  <c r="Q1113" i="4"/>
  <c r="M1113" i="4"/>
  <c r="L1113" i="4"/>
  <c r="K1113" i="4"/>
  <c r="J1113" i="4"/>
  <c r="I1113" i="4"/>
  <c r="R1113" i="4" s="1"/>
  <c r="Q1112" i="4"/>
  <c r="M1112" i="4"/>
  <c r="L1112" i="4"/>
  <c r="K1112" i="4"/>
  <c r="J1112" i="4"/>
  <c r="I1112" i="4"/>
  <c r="P1112" i="4" s="1"/>
  <c r="Q1111" i="4"/>
  <c r="M1111" i="4"/>
  <c r="L1111" i="4"/>
  <c r="K1111" i="4"/>
  <c r="J1111" i="4"/>
  <c r="I1111" i="4"/>
  <c r="R1111" i="4" s="1"/>
  <c r="Q1110" i="4"/>
  <c r="M1110" i="4"/>
  <c r="L1110" i="4"/>
  <c r="K1110" i="4"/>
  <c r="J1110" i="4"/>
  <c r="I1110" i="4"/>
  <c r="P1110" i="4" s="1"/>
  <c r="Q1109" i="4"/>
  <c r="M1109" i="4"/>
  <c r="L1109" i="4"/>
  <c r="K1109" i="4"/>
  <c r="J1109" i="4"/>
  <c r="I1109" i="4"/>
  <c r="R1109" i="4" s="1"/>
  <c r="Q1108" i="4"/>
  <c r="M1108" i="4"/>
  <c r="L1108" i="4"/>
  <c r="K1108" i="4"/>
  <c r="J1108" i="4"/>
  <c r="I1108" i="4"/>
  <c r="P1108" i="4" s="1"/>
  <c r="Q1107" i="4"/>
  <c r="M1107" i="4"/>
  <c r="L1107" i="4"/>
  <c r="K1107" i="4"/>
  <c r="J1107" i="4"/>
  <c r="I1107" i="4"/>
  <c r="R1107" i="4" s="1"/>
  <c r="Q1106" i="4"/>
  <c r="M1106" i="4"/>
  <c r="L1106" i="4"/>
  <c r="K1106" i="4"/>
  <c r="J1106" i="4"/>
  <c r="I1106" i="4"/>
  <c r="P1106" i="4" s="1"/>
  <c r="Q1105" i="4"/>
  <c r="M1105" i="4"/>
  <c r="L1105" i="4"/>
  <c r="K1105" i="4"/>
  <c r="J1105" i="4"/>
  <c r="I1105" i="4"/>
  <c r="R1105" i="4" s="1"/>
  <c r="Q1104" i="4"/>
  <c r="M1104" i="4"/>
  <c r="L1104" i="4"/>
  <c r="K1104" i="4"/>
  <c r="J1104" i="4"/>
  <c r="I1104" i="4"/>
  <c r="P1104" i="4" s="1"/>
  <c r="Q1103" i="4"/>
  <c r="M1103" i="4"/>
  <c r="L1103" i="4"/>
  <c r="K1103" i="4"/>
  <c r="J1103" i="4"/>
  <c r="I1103" i="4"/>
  <c r="R1103" i="4" s="1"/>
  <c r="Q1102" i="4"/>
  <c r="M1102" i="4"/>
  <c r="L1102" i="4"/>
  <c r="K1102" i="4"/>
  <c r="J1102" i="4"/>
  <c r="I1102" i="4"/>
  <c r="P1102" i="4" s="1"/>
  <c r="Q1101" i="4"/>
  <c r="M1101" i="4"/>
  <c r="L1101" i="4"/>
  <c r="K1101" i="4"/>
  <c r="J1101" i="4"/>
  <c r="I1101" i="4"/>
  <c r="R1101" i="4" s="1"/>
  <c r="Q1100" i="4"/>
  <c r="M1100" i="4"/>
  <c r="L1100" i="4"/>
  <c r="K1100" i="4"/>
  <c r="J1100" i="4"/>
  <c r="I1100" i="4"/>
  <c r="P1100" i="4" s="1"/>
  <c r="Q1099" i="4"/>
  <c r="M1099" i="4"/>
  <c r="L1099" i="4"/>
  <c r="K1099" i="4"/>
  <c r="J1099" i="4"/>
  <c r="I1099" i="4"/>
  <c r="R1099" i="4" s="1"/>
  <c r="Q1098" i="4"/>
  <c r="M1098" i="4"/>
  <c r="L1098" i="4"/>
  <c r="K1098" i="4"/>
  <c r="J1098" i="4"/>
  <c r="I1098" i="4"/>
  <c r="P1098" i="4" s="1"/>
  <c r="Q1097" i="4"/>
  <c r="M1097" i="4"/>
  <c r="L1097" i="4"/>
  <c r="K1097" i="4"/>
  <c r="J1097" i="4"/>
  <c r="I1097" i="4"/>
  <c r="R1097" i="4" s="1"/>
  <c r="Q1096" i="4"/>
  <c r="M1096" i="4"/>
  <c r="L1096" i="4"/>
  <c r="K1096" i="4"/>
  <c r="J1096" i="4"/>
  <c r="I1096" i="4"/>
  <c r="P1096" i="4" s="1"/>
  <c r="Q1095" i="4"/>
  <c r="M1095" i="4"/>
  <c r="L1095" i="4"/>
  <c r="K1095" i="4"/>
  <c r="J1095" i="4"/>
  <c r="I1095" i="4"/>
  <c r="R1095" i="4" s="1"/>
  <c r="Q1094" i="4"/>
  <c r="M1094" i="4"/>
  <c r="L1094" i="4"/>
  <c r="K1094" i="4"/>
  <c r="J1094" i="4"/>
  <c r="I1094" i="4"/>
  <c r="P1094" i="4" s="1"/>
  <c r="Q1093" i="4"/>
  <c r="M1093" i="4"/>
  <c r="L1093" i="4"/>
  <c r="K1093" i="4"/>
  <c r="J1093" i="4"/>
  <c r="I1093" i="4"/>
  <c r="R1093" i="4" s="1"/>
  <c r="Q1092" i="4"/>
  <c r="M1092" i="4"/>
  <c r="L1092" i="4"/>
  <c r="K1092" i="4"/>
  <c r="J1092" i="4"/>
  <c r="I1092" i="4"/>
  <c r="P1092" i="4" s="1"/>
  <c r="Q1091" i="4"/>
  <c r="M1091" i="4"/>
  <c r="L1091" i="4"/>
  <c r="K1091" i="4"/>
  <c r="J1091" i="4"/>
  <c r="I1091" i="4"/>
  <c r="R1091" i="4" s="1"/>
  <c r="Q1090" i="4"/>
  <c r="M1090" i="4"/>
  <c r="L1090" i="4"/>
  <c r="K1090" i="4"/>
  <c r="J1090" i="4"/>
  <c r="I1090" i="4"/>
  <c r="P1090" i="4" s="1"/>
  <c r="Q1089" i="4"/>
  <c r="M1089" i="4"/>
  <c r="L1089" i="4"/>
  <c r="K1089" i="4"/>
  <c r="J1089" i="4"/>
  <c r="I1089" i="4"/>
  <c r="R1089" i="4" s="1"/>
  <c r="Q1088" i="4"/>
  <c r="M1088" i="4"/>
  <c r="L1088" i="4"/>
  <c r="K1088" i="4"/>
  <c r="J1088" i="4"/>
  <c r="I1088" i="4"/>
  <c r="P1088" i="4" s="1"/>
  <c r="Q1087" i="4"/>
  <c r="M1087" i="4"/>
  <c r="L1087" i="4"/>
  <c r="K1087" i="4"/>
  <c r="J1087" i="4"/>
  <c r="I1087" i="4"/>
  <c r="R1087" i="4" s="1"/>
  <c r="Q1086" i="4"/>
  <c r="M1086" i="4"/>
  <c r="L1086" i="4"/>
  <c r="K1086" i="4"/>
  <c r="J1086" i="4"/>
  <c r="I1086" i="4"/>
  <c r="P1086" i="4" s="1"/>
  <c r="Q1085" i="4"/>
  <c r="M1085" i="4"/>
  <c r="L1085" i="4"/>
  <c r="K1085" i="4"/>
  <c r="J1085" i="4"/>
  <c r="I1085" i="4"/>
  <c r="R1085" i="4" s="1"/>
  <c r="Q1084" i="4"/>
  <c r="M1084" i="4"/>
  <c r="L1084" i="4"/>
  <c r="K1084" i="4"/>
  <c r="J1084" i="4"/>
  <c r="I1084" i="4"/>
  <c r="P1084" i="4" s="1"/>
  <c r="Q1083" i="4"/>
  <c r="M1083" i="4"/>
  <c r="L1083" i="4"/>
  <c r="K1083" i="4"/>
  <c r="J1083" i="4"/>
  <c r="I1083" i="4"/>
  <c r="R1083" i="4" s="1"/>
  <c r="Q1082" i="4"/>
  <c r="M1082" i="4"/>
  <c r="L1082" i="4"/>
  <c r="K1082" i="4"/>
  <c r="J1082" i="4"/>
  <c r="I1082" i="4"/>
  <c r="P1082" i="4" s="1"/>
  <c r="Q1081" i="4"/>
  <c r="M1081" i="4"/>
  <c r="L1081" i="4"/>
  <c r="K1081" i="4"/>
  <c r="J1081" i="4"/>
  <c r="I1081" i="4"/>
  <c r="R1081" i="4" s="1"/>
  <c r="Q1080" i="4"/>
  <c r="M1080" i="4"/>
  <c r="L1080" i="4"/>
  <c r="K1080" i="4"/>
  <c r="J1080" i="4"/>
  <c r="I1080" i="4"/>
  <c r="P1080" i="4" s="1"/>
  <c r="Q1079" i="4"/>
  <c r="M1079" i="4"/>
  <c r="L1079" i="4"/>
  <c r="K1079" i="4"/>
  <c r="J1079" i="4"/>
  <c r="I1079" i="4"/>
  <c r="R1079" i="4" s="1"/>
  <c r="Q1078" i="4"/>
  <c r="M1078" i="4"/>
  <c r="L1078" i="4"/>
  <c r="K1078" i="4"/>
  <c r="J1078" i="4"/>
  <c r="I1078" i="4"/>
  <c r="P1078" i="4" s="1"/>
  <c r="Q1077" i="4"/>
  <c r="M1077" i="4"/>
  <c r="L1077" i="4"/>
  <c r="K1077" i="4"/>
  <c r="J1077" i="4"/>
  <c r="I1077" i="4"/>
  <c r="R1077" i="4" s="1"/>
  <c r="Q1076" i="4"/>
  <c r="M1076" i="4"/>
  <c r="L1076" i="4"/>
  <c r="K1076" i="4"/>
  <c r="J1076" i="4"/>
  <c r="I1076" i="4"/>
  <c r="P1076" i="4" s="1"/>
  <c r="Q1075" i="4"/>
  <c r="M1075" i="4"/>
  <c r="L1075" i="4"/>
  <c r="K1075" i="4"/>
  <c r="J1075" i="4"/>
  <c r="I1075" i="4"/>
  <c r="R1075" i="4" s="1"/>
  <c r="Q1074" i="4"/>
  <c r="M1074" i="4"/>
  <c r="L1074" i="4"/>
  <c r="K1074" i="4"/>
  <c r="J1074" i="4"/>
  <c r="I1074" i="4"/>
  <c r="P1074" i="4" s="1"/>
  <c r="Q1073" i="4"/>
  <c r="M1073" i="4"/>
  <c r="L1073" i="4"/>
  <c r="K1073" i="4"/>
  <c r="J1073" i="4"/>
  <c r="I1073" i="4"/>
  <c r="R1073" i="4" s="1"/>
  <c r="Q1072" i="4"/>
  <c r="M1072" i="4"/>
  <c r="L1072" i="4"/>
  <c r="K1072" i="4"/>
  <c r="J1072" i="4"/>
  <c r="I1072" i="4"/>
  <c r="P1072" i="4" s="1"/>
  <c r="Q1071" i="4"/>
  <c r="M1071" i="4"/>
  <c r="L1071" i="4"/>
  <c r="K1071" i="4"/>
  <c r="J1071" i="4"/>
  <c r="I1071" i="4"/>
  <c r="R1071" i="4" s="1"/>
  <c r="Q1070" i="4"/>
  <c r="M1070" i="4"/>
  <c r="L1070" i="4"/>
  <c r="K1070" i="4"/>
  <c r="J1070" i="4"/>
  <c r="I1070" i="4"/>
  <c r="P1070" i="4" s="1"/>
  <c r="Q1069" i="4"/>
  <c r="M1069" i="4"/>
  <c r="L1069" i="4"/>
  <c r="K1069" i="4"/>
  <c r="J1069" i="4"/>
  <c r="I1069" i="4"/>
  <c r="R1069" i="4" s="1"/>
  <c r="Q1068" i="4"/>
  <c r="M1068" i="4"/>
  <c r="L1068" i="4"/>
  <c r="K1068" i="4"/>
  <c r="J1068" i="4"/>
  <c r="I1068" i="4"/>
  <c r="P1068" i="4" s="1"/>
  <c r="Q1067" i="4"/>
  <c r="M1067" i="4"/>
  <c r="L1067" i="4"/>
  <c r="K1067" i="4"/>
  <c r="J1067" i="4"/>
  <c r="I1067" i="4"/>
  <c r="R1067" i="4" s="1"/>
  <c r="Q1066" i="4"/>
  <c r="M1066" i="4"/>
  <c r="L1066" i="4"/>
  <c r="K1066" i="4"/>
  <c r="J1066" i="4"/>
  <c r="I1066" i="4"/>
  <c r="P1066" i="4" s="1"/>
  <c r="Q1065" i="4"/>
  <c r="M1065" i="4"/>
  <c r="L1065" i="4"/>
  <c r="K1065" i="4"/>
  <c r="J1065" i="4"/>
  <c r="I1065" i="4"/>
  <c r="R1065" i="4" s="1"/>
  <c r="Q1064" i="4"/>
  <c r="M1064" i="4"/>
  <c r="L1064" i="4"/>
  <c r="K1064" i="4"/>
  <c r="J1064" i="4"/>
  <c r="I1064" i="4"/>
  <c r="P1064" i="4" s="1"/>
  <c r="Q1063" i="4"/>
  <c r="M1063" i="4"/>
  <c r="L1063" i="4"/>
  <c r="K1063" i="4"/>
  <c r="J1063" i="4"/>
  <c r="I1063" i="4"/>
  <c r="R1063" i="4" s="1"/>
  <c r="Q1062" i="4"/>
  <c r="M1062" i="4"/>
  <c r="L1062" i="4"/>
  <c r="K1062" i="4"/>
  <c r="J1062" i="4"/>
  <c r="I1062" i="4"/>
  <c r="P1062" i="4" s="1"/>
  <c r="Q1061" i="4"/>
  <c r="M1061" i="4"/>
  <c r="L1061" i="4"/>
  <c r="K1061" i="4"/>
  <c r="J1061" i="4"/>
  <c r="I1061" i="4"/>
  <c r="R1061" i="4" s="1"/>
  <c r="Q1060" i="4"/>
  <c r="M1060" i="4"/>
  <c r="L1060" i="4"/>
  <c r="K1060" i="4"/>
  <c r="J1060" i="4"/>
  <c r="I1060" i="4"/>
  <c r="P1060" i="4" s="1"/>
  <c r="Q1059" i="4"/>
  <c r="M1059" i="4"/>
  <c r="L1059" i="4"/>
  <c r="K1059" i="4"/>
  <c r="J1059" i="4"/>
  <c r="I1059" i="4"/>
  <c r="R1059" i="4" s="1"/>
  <c r="Q1058" i="4"/>
  <c r="M1058" i="4"/>
  <c r="L1058" i="4"/>
  <c r="K1058" i="4"/>
  <c r="J1058" i="4"/>
  <c r="I1058" i="4"/>
  <c r="P1058" i="4" s="1"/>
  <c r="Q1057" i="4"/>
  <c r="M1057" i="4"/>
  <c r="L1057" i="4"/>
  <c r="K1057" i="4"/>
  <c r="J1057" i="4"/>
  <c r="I1057" i="4"/>
  <c r="R1057" i="4" s="1"/>
  <c r="Q1056" i="4"/>
  <c r="M1056" i="4"/>
  <c r="L1056" i="4"/>
  <c r="K1056" i="4"/>
  <c r="J1056" i="4"/>
  <c r="I1056" i="4"/>
  <c r="P1056" i="4" s="1"/>
  <c r="Q1055" i="4"/>
  <c r="M1055" i="4"/>
  <c r="L1055" i="4"/>
  <c r="K1055" i="4"/>
  <c r="J1055" i="4"/>
  <c r="I1055" i="4"/>
  <c r="R1055" i="4" s="1"/>
  <c r="Q1054" i="4"/>
  <c r="M1054" i="4"/>
  <c r="L1054" i="4"/>
  <c r="K1054" i="4"/>
  <c r="J1054" i="4"/>
  <c r="I1054" i="4"/>
  <c r="P1054" i="4" s="1"/>
  <c r="Q1053" i="4"/>
  <c r="M1053" i="4"/>
  <c r="L1053" i="4"/>
  <c r="K1053" i="4"/>
  <c r="J1053" i="4"/>
  <c r="I1053" i="4"/>
  <c r="R1053" i="4" s="1"/>
  <c r="Q1052" i="4"/>
  <c r="M1052" i="4"/>
  <c r="L1052" i="4"/>
  <c r="K1052" i="4"/>
  <c r="J1052" i="4"/>
  <c r="I1052" i="4"/>
  <c r="P1052" i="4" s="1"/>
  <c r="Q1051" i="4"/>
  <c r="M1051" i="4"/>
  <c r="L1051" i="4"/>
  <c r="K1051" i="4"/>
  <c r="J1051" i="4"/>
  <c r="I1051" i="4"/>
  <c r="R1051" i="4" s="1"/>
  <c r="Q1050" i="4"/>
  <c r="M1050" i="4"/>
  <c r="L1050" i="4"/>
  <c r="K1050" i="4"/>
  <c r="J1050" i="4"/>
  <c r="I1050" i="4"/>
  <c r="P1050" i="4" s="1"/>
  <c r="Q1049" i="4"/>
  <c r="M1049" i="4"/>
  <c r="L1049" i="4"/>
  <c r="K1049" i="4"/>
  <c r="J1049" i="4"/>
  <c r="I1049" i="4"/>
  <c r="R1049" i="4" s="1"/>
  <c r="Q1048" i="4"/>
  <c r="M1048" i="4"/>
  <c r="L1048" i="4"/>
  <c r="K1048" i="4"/>
  <c r="J1048" i="4"/>
  <c r="I1048" i="4"/>
  <c r="P1048" i="4" s="1"/>
  <c r="Q1047" i="4"/>
  <c r="M1047" i="4"/>
  <c r="L1047" i="4"/>
  <c r="K1047" i="4"/>
  <c r="J1047" i="4"/>
  <c r="I1047" i="4"/>
  <c r="R1047" i="4" s="1"/>
  <c r="Q1046" i="4"/>
  <c r="M1046" i="4"/>
  <c r="L1046" i="4"/>
  <c r="K1046" i="4"/>
  <c r="J1046" i="4"/>
  <c r="I1046" i="4"/>
  <c r="P1046" i="4" s="1"/>
  <c r="Q1045" i="4"/>
  <c r="M1045" i="4"/>
  <c r="L1045" i="4"/>
  <c r="K1045" i="4"/>
  <c r="J1045" i="4"/>
  <c r="I1045" i="4"/>
  <c r="R1045" i="4" s="1"/>
  <c r="Q1044" i="4"/>
  <c r="M1044" i="4"/>
  <c r="L1044" i="4"/>
  <c r="K1044" i="4"/>
  <c r="J1044" i="4"/>
  <c r="I1044" i="4"/>
  <c r="P1044" i="4" s="1"/>
  <c r="Q1043" i="4"/>
  <c r="M1043" i="4"/>
  <c r="L1043" i="4"/>
  <c r="K1043" i="4"/>
  <c r="J1043" i="4"/>
  <c r="I1043" i="4"/>
  <c r="R1043" i="4" s="1"/>
  <c r="Q1042" i="4"/>
  <c r="M1042" i="4"/>
  <c r="L1042" i="4"/>
  <c r="K1042" i="4"/>
  <c r="J1042" i="4"/>
  <c r="I1042" i="4"/>
  <c r="P1042" i="4" s="1"/>
  <c r="Q1041" i="4"/>
  <c r="M1041" i="4"/>
  <c r="L1041" i="4"/>
  <c r="K1041" i="4"/>
  <c r="J1041" i="4"/>
  <c r="I1041" i="4"/>
  <c r="R1041" i="4" s="1"/>
  <c r="Q1040" i="4"/>
  <c r="M1040" i="4"/>
  <c r="L1040" i="4"/>
  <c r="K1040" i="4"/>
  <c r="J1040" i="4"/>
  <c r="I1040" i="4"/>
  <c r="P1040" i="4" s="1"/>
  <c r="Q1039" i="4"/>
  <c r="M1039" i="4"/>
  <c r="L1039" i="4"/>
  <c r="K1039" i="4"/>
  <c r="J1039" i="4"/>
  <c r="I1039" i="4"/>
  <c r="R1039" i="4" s="1"/>
  <c r="Q1038" i="4"/>
  <c r="M1038" i="4"/>
  <c r="L1038" i="4"/>
  <c r="K1038" i="4"/>
  <c r="J1038" i="4"/>
  <c r="I1038" i="4"/>
  <c r="P1038" i="4" s="1"/>
  <c r="Q1037" i="4"/>
  <c r="M1037" i="4"/>
  <c r="L1037" i="4"/>
  <c r="K1037" i="4"/>
  <c r="J1037" i="4"/>
  <c r="I1037" i="4"/>
  <c r="R1037" i="4" s="1"/>
  <c r="Q1036" i="4"/>
  <c r="M1036" i="4"/>
  <c r="L1036" i="4"/>
  <c r="K1036" i="4"/>
  <c r="J1036" i="4"/>
  <c r="I1036" i="4"/>
  <c r="P1036" i="4" s="1"/>
  <c r="Q1035" i="4"/>
  <c r="M1035" i="4"/>
  <c r="L1035" i="4"/>
  <c r="K1035" i="4"/>
  <c r="J1035" i="4"/>
  <c r="I1035" i="4"/>
  <c r="R1035" i="4" s="1"/>
  <c r="Q1034" i="4"/>
  <c r="M1034" i="4"/>
  <c r="L1034" i="4"/>
  <c r="K1034" i="4"/>
  <c r="J1034" i="4"/>
  <c r="I1034" i="4"/>
  <c r="P1034" i="4" s="1"/>
  <c r="Q1033" i="4"/>
  <c r="M1033" i="4"/>
  <c r="L1033" i="4"/>
  <c r="K1033" i="4"/>
  <c r="J1033" i="4"/>
  <c r="I1033" i="4"/>
  <c r="R1033" i="4" s="1"/>
  <c r="Q1032" i="4"/>
  <c r="M1032" i="4"/>
  <c r="L1032" i="4"/>
  <c r="K1032" i="4"/>
  <c r="J1032" i="4"/>
  <c r="I1032" i="4"/>
  <c r="P1032" i="4" s="1"/>
  <c r="Q1031" i="4"/>
  <c r="M1031" i="4"/>
  <c r="L1031" i="4"/>
  <c r="K1031" i="4"/>
  <c r="J1031" i="4"/>
  <c r="I1031" i="4"/>
  <c r="R1031" i="4" s="1"/>
  <c r="Q1030" i="4"/>
  <c r="M1030" i="4"/>
  <c r="L1030" i="4"/>
  <c r="K1030" i="4"/>
  <c r="J1030" i="4"/>
  <c r="I1030" i="4"/>
  <c r="P1030" i="4" s="1"/>
  <c r="Q1029" i="4"/>
  <c r="M1029" i="4"/>
  <c r="L1029" i="4"/>
  <c r="K1029" i="4"/>
  <c r="J1029" i="4"/>
  <c r="I1029" i="4"/>
  <c r="R1029" i="4" s="1"/>
  <c r="Q1028" i="4"/>
  <c r="M1028" i="4"/>
  <c r="L1028" i="4"/>
  <c r="K1028" i="4"/>
  <c r="J1028" i="4"/>
  <c r="I1028" i="4"/>
  <c r="P1028" i="4" s="1"/>
  <c r="Q1027" i="4"/>
  <c r="M1027" i="4"/>
  <c r="L1027" i="4"/>
  <c r="K1027" i="4"/>
  <c r="J1027" i="4"/>
  <c r="I1027" i="4"/>
  <c r="R1027" i="4" s="1"/>
  <c r="Q1026" i="4"/>
  <c r="M1026" i="4"/>
  <c r="L1026" i="4"/>
  <c r="K1026" i="4"/>
  <c r="J1026" i="4"/>
  <c r="I1026" i="4"/>
  <c r="P1026" i="4" s="1"/>
  <c r="Q1025" i="4"/>
  <c r="M1025" i="4"/>
  <c r="L1025" i="4"/>
  <c r="K1025" i="4"/>
  <c r="J1025" i="4"/>
  <c r="I1025" i="4"/>
  <c r="R1025" i="4" s="1"/>
  <c r="Q1024" i="4"/>
  <c r="M1024" i="4"/>
  <c r="L1024" i="4"/>
  <c r="K1024" i="4"/>
  <c r="J1024" i="4"/>
  <c r="I1024" i="4"/>
  <c r="P1024" i="4" s="1"/>
  <c r="Q1023" i="4"/>
  <c r="M1023" i="4"/>
  <c r="L1023" i="4"/>
  <c r="K1023" i="4"/>
  <c r="J1023" i="4"/>
  <c r="I1023" i="4"/>
  <c r="R1023" i="4" s="1"/>
  <c r="Q1022" i="4"/>
  <c r="M1022" i="4"/>
  <c r="L1022" i="4"/>
  <c r="K1022" i="4"/>
  <c r="J1022" i="4"/>
  <c r="I1022" i="4"/>
  <c r="P1022" i="4" s="1"/>
  <c r="Q1021" i="4"/>
  <c r="M1021" i="4"/>
  <c r="L1021" i="4"/>
  <c r="K1021" i="4"/>
  <c r="J1021" i="4"/>
  <c r="I1021" i="4"/>
  <c r="R1021" i="4" s="1"/>
  <c r="Q1020" i="4"/>
  <c r="M1020" i="4"/>
  <c r="L1020" i="4"/>
  <c r="K1020" i="4"/>
  <c r="J1020" i="4"/>
  <c r="I1020" i="4"/>
  <c r="P1020" i="4" s="1"/>
  <c r="Q1019" i="4"/>
  <c r="M1019" i="4"/>
  <c r="L1019" i="4"/>
  <c r="K1019" i="4"/>
  <c r="J1019" i="4"/>
  <c r="I1019" i="4"/>
  <c r="R1019" i="4" s="1"/>
  <c r="Q1018" i="4"/>
  <c r="M1018" i="4"/>
  <c r="L1018" i="4"/>
  <c r="K1018" i="4"/>
  <c r="J1018" i="4"/>
  <c r="I1018" i="4"/>
  <c r="P1018" i="4" s="1"/>
  <c r="Q1017" i="4"/>
  <c r="M1017" i="4"/>
  <c r="L1017" i="4"/>
  <c r="K1017" i="4"/>
  <c r="J1017" i="4"/>
  <c r="I1017" i="4"/>
  <c r="R1017" i="4" s="1"/>
  <c r="Q1016" i="4"/>
  <c r="M1016" i="4"/>
  <c r="L1016" i="4"/>
  <c r="K1016" i="4"/>
  <c r="J1016" i="4"/>
  <c r="I1016" i="4"/>
  <c r="P1016" i="4" s="1"/>
  <c r="Q1015" i="4"/>
  <c r="M1015" i="4"/>
  <c r="L1015" i="4"/>
  <c r="K1015" i="4"/>
  <c r="J1015" i="4"/>
  <c r="I1015" i="4"/>
  <c r="R1015" i="4" s="1"/>
  <c r="Q1014" i="4"/>
  <c r="M1014" i="4"/>
  <c r="L1014" i="4"/>
  <c r="K1014" i="4"/>
  <c r="J1014" i="4"/>
  <c r="I1014" i="4"/>
  <c r="P1014" i="4" s="1"/>
  <c r="Q1013" i="4"/>
  <c r="M1013" i="4"/>
  <c r="L1013" i="4"/>
  <c r="K1013" i="4"/>
  <c r="J1013" i="4"/>
  <c r="I1013" i="4"/>
  <c r="R1013" i="4" s="1"/>
  <c r="Q1012" i="4"/>
  <c r="M1012" i="4"/>
  <c r="L1012" i="4"/>
  <c r="K1012" i="4"/>
  <c r="J1012" i="4"/>
  <c r="I1012" i="4"/>
  <c r="P1012" i="4" s="1"/>
  <c r="Q1011" i="4"/>
  <c r="M1011" i="4"/>
  <c r="L1011" i="4"/>
  <c r="K1011" i="4"/>
  <c r="J1011" i="4"/>
  <c r="I1011" i="4"/>
  <c r="R1011" i="4" s="1"/>
  <c r="Q1010" i="4"/>
  <c r="M1010" i="4"/>
  <c r="L1010" i="4"/>
  <c r="K1010" i="4"/>
  <c r="J1010" i="4"/>
  <c r="I1010" i="4"/>
  <c r="P1010" i="4" s="1"/>
  <c r="Q1009" i="4"/>
  <c r="M1009" i="4"/>
  <c r="L1009" i="4"/>
  <c r="K1009" i="4"/>
  <c r="J1009" i="4"/>
  <c r="I1009" i="4"/>
  <c r="R1009" i="4" s="1"/>
  <c r="Q1008" i="4"/>
  <c r="M1008" i="4"/>
  <c r="L1008" i="4"/>
  <c r="K1008" i="4"/>
  <c r="J1008" i="4"/>
  <c r="I1008" i="4"/>
  <c r="P1008" i="4" s="1"/>
  <c r="Q1007" i="4"/>
  <c r="M1007" i="4"/>
  <c r="L1007" i="4"/>
  <c r="K1007" i="4"/>
  <c r="J1007" i="4"/>
  <c r="I1007" i="4"/>
  <c r="R1007" i="4" s="1"/>
  <c r="Q1006" i="4"/>
  <c r="M1006" i="4"/>
  <c r="L1006" i="4"/>
  <c r="K1006" i="4"/>
  <c r="J1006" i="4"/>
  <c r="I1006" i="4"/>
  <c r="P1006" i="4" s="1"/>
  <c r="Q1005" i="4"/>
  <c r="M1005" i="4"/>
  <c r="L1005" i="4"/>
  <c r="K1005" i="4"/>
  <c r="J1005" i="4"/>
  <c r="I1005" i="4"/>
  <c r="R1005" i="4" s="1"/>
  <c r="Q1004" i="4"/>
  <c r="M1004" i="4"/>
  <c r="L1004" i="4"/>
  <c r="K1004" i="4"/>
  <c r="J1004" i="4"/>
  <c r="I1004" i="4"/>
  <c r="P1004" i="4" s="1"/>
  <c r="Q1003" i="4"/>
  <c r="M1003" i="4"/>
  <c r="L1003" i="4"/>
  <c r="K1003" i="4"/>
  <c r="J1003" i="4"/>
  <c r="I1003" i="4"/>
  <c r="R1003" i="4" s="1"/>
  <c r="Q1002" i="4"/>
  <c r="M1002" i="4"/>
  <c r="L1002" i="4"/>
  <c r="K1002" i="4"/>
  <c r="J1002" i="4"/>
  <c r="I1002" i="4"/>
  <c r="P1002" i="4" s="1"/>
  <c r="Q1001" i="4"/>
  <c r="M1001" i="4"/>
  <c r="L1001" i="4"/>
  <c r="K1001" i="4"/>
  <c r="J1001" i="4"/>
  <c r="I1001" i="4"/>
  <c r="R1001" i="4" s="1"/>
  <c r="Q1000" i="4"/>
  <c r="M1000" i="4"/>
  <c r="L1000" i="4"/>
  <c r="K1000" i="4"/>
  <c r="J1000" i="4"/>
  <c r="I1000" i="4"/>
  <c r="P1000" i="4" s="1"/>
  <c r="Q999" i="4"/>
  <c r="M999" i="4"/>
  <c r="L999" i="4"/>
  <c r="K999" i="4"/>
  <c r="J999" i="4"/>
  <c r="I999" i="4"/>
  <c r="R999" i="4" s="1"/>
  <c r="Q998" i="4"/>
  <c r="M998" i="4"/>
  <c r="L998" i="4"/>
  <c r="K998" i="4"/>
  <c r="J998" i="4"/>
  <c r="I998" i="4"/>
  <c r="P998" i="4" s="1"/>
  <c r="Q997" i="4"/>
  <c r="M997" i="4"/>
  <c r="L997" i="4"/>
  <c r="K997" i="4"/>
  <c r="J997" i="4"/>
  <c r="I997" i="4"/>
  <c r="R997" i="4" s="1"/>
  <c r="Q996" i="4"/>
  <c r="M996" i="4"/>
  <c r="L996" i="4"/>
  <c r="K996" i="4"/>
  <c r="J996" i="4"/>
  <c r="I996" i="4"/>
  <c r="P996" i="4" s="1"/>
  <c r="Q995" i="4"/>
  <c r="M995" i="4"/>
  <c r="L995" i="4"/>
  <c r="K995" i="4"/>
  <c r="J995" i="4"/>
  <c r="I995" i="4"/>
  <c r="R995" i="4" s="1"/>
  <c r="Q994" i="4"/>
  <c r="M994" i="4"/>
  <c r="L994" i="4"/>
  <c r="K994" i="4"/>
  <c r="J994" i="4"/>
  <c r="I994" i="4"/>
  <c r="P994" i="4" s="1"/>
  <c r="Q993" i="4"/>
  <c r="M993" i="4"/>
  <c r="L993" i="4"/>
  <c r="K993" i="4"/>
  <c r="J993" i="4"/>
  <c r="I993" i="4"/>
  <c r="R993" i="4" s="1"/>
  <c r="Q992" i="4"/>
  <c r="M992" i="4"/>
  <c r="L992" i="4"/>
  <c r="K992" i="4"/>
  <c r="J992" i="4"/>
  <c r="I992" i="4"/>
  <c r="P992" i="4" s="1"/>
  <c r="Q991" i="4"/>
  <c r="M991" i="4"/>
  <c r="L991" i="4"/>
  <c r="K991" i="4"/>
  <c r="J991" i="4"/>
  <c r="I991" i="4"/>
  <c r="R991" i="4" s="1"/>
  <c r="Q990" i="4"/>
  <c r="M990" i="4"/>
  <c r="L990" i="4"/>
  <c r="K990" i="4"/>
  <c r="J990" i="4"/>
  <c r="I990" i="4"/>
  <c r="P990" i="4" s="1"/>
  <c r="Q989" i="4"/>
  <c r="M989" i="4"/>
  <c r="L989" i="4"/>
  <c r="K989" i="4"/>
  <c r="J989" i="4"/>
  <c r="I989" i="4"/>
  <c r="R989" i="4" s="1"/>
  <c r="Q988" i="4"/>
  <c r="M988" i="4"/>
  <c r="L988" i="4"/>
  <c r="K988" i="4"/>
  <c r="J988" i="4"/>
  <c r="I988" i="4"/>
  <c r="P988" i="4" s="1"/>
  <c r="Q987" i="4"/>
  <c r="M987" i="4"/>
  <c r="L987" i="4"/>
  <c r="K987" i="4"/>
  <c r="J987" i="4"/>
  <c r="I987" i="4"/>
  <c r="R987" i="4" s="1"/>
  <c r="Q986" i="4"/>
  <c r="M986" i="4"/>
  <c r="L986" i="4"/>
  <c r="K986" i="4"/>
  <c r="J986" i="4"/>
  <c r="I986" i="4"/>
  <c r="P986" i="4" s="1"/>
  <c r="Q985" i="4"/>
  <c r="M985" i="4"/>
  <c r="L985" i="4"/>
  <c r="K985" i="4"/>
  <c r="J985" i="4"/>
  <c r="I985" i="4"/>
  <c r="R985" i="4" s="1"/>
  <c r="Q984" i="4"/>
  <c r="M984" i="4"/>
  <c r="L984" i="4"/>
  <c r="K984" i="4"/>
  <c r="J984" i="4"/>
  <c r="I984" i="4"/>
  <c r="P984" i="4" s="1"/>
  <c r="Q983" i="4"/>
  <c r="M983" i="4"/>
  <c r="L983" i="4"/>
  <c r="K983" i="4"/>
  <c r="J983" i="4"/>
  <c r="I983" i="4"/>
  <c r="R983" i="4" s="1"/>
  <c r="Q982" i="4"/>
  <c r="M982" i="4"/>
  <c r="L982" i="4"/>
  <c r="K982" i="4"/>
  <c r="J982" i="4"/>
  <c r="I982" i="4"/>
  <c r="P982" i="4" s="1"/>
  <c r="Q981" i="4"/>
  <c r="M981" i="4"/>
  <c r="L981" i="4"/>
  <c r="K981" i="4"/>
  <c r="J981" i="4"/>
  <c r="I981" i="4"/>
  <c r="R981" i="4" s="1"/>
  <c r="Q980" i="4"/>
  <c r="M980" i="4"/>
  <c r="L980" i="4"/>
  <c r="K980" i="4"/>
  <c r="J980" i="4"/>
  <c r="I980" i="4"/>
  <c r="P980" i="4" s="1"/>
  <c r="Q979" i="4"/>
  <c r="M979" i="4"/>
  <c r="L979" i="4"/>
  <c r="K979" i="4"/>
  <c r="J979" i="4"/>
  <c r="I979" i="4"/>
  <c r="R979" i="4" s="1"/>
  <c r="Q978" i="4"/>
  <c r="M978" i="4"/>
  <c r="L978" i="4"/>
  <c r="K978" i="4"/>
  <c r="J978" i="4"/>
  <c r="I978" i="4"/>
  <c r="P978" i="4" s="1"/>
  <c r="Q977" i="4"/>
  <c r="M977" i="4"/>
  <c r="L977" i="4"/>
  <c r="K977" i="4"/>
  <c r="J977" i="4"/>
  <c r="I977" i="4"/>
  <c r="R977" i="4" s="1"/>
  <c r="Q976" i="4"/>
  <c r="M976" i="4"/>
  <c r="L976" i="4"/>
  <c r="K976" i="4"/>
  <c r="J976" i="4"/>
  <c r="I976" i="4"/>
  <c r="P976" i="4" s="1"/>
  <c r="Q975" i="4"/>
  <c r="M975" i="4"/>
  <c r="L975" i="4"/>
  <c r="K975" i="4"/>
  <c r="J975" i="4"/>
  <c r="I975" i="4"/>
  <c r="R975" i="4" s="1"/>
  <c r="Q974" i="4"/>
  <c r="M974" i="4"/>
  <c r="L974" i="4"/>
  <c r="K974" i="4"/>
  <c r="J974" i="4"/>
  <c r="I974" i="4"/>
  <c r="P974" i="4" s="1"/>
  <c r="Q973" i="4"/>
  <c r="M973" i="4"/>
  <c r="L973" i="4"/>
  <c r="K973" i="4"/>
  <c r="J973" i="4"/>
  <c r="I973" i="4"/>
  <c r="R973" i="4" s="1"/>
  <c r="Q972" i="4"/>
  <c r="M972" i="4"/>
  <c r="L972" i="4"/>
  <c r="K972" i="4"/>
  <c r="J972" i="4"/>
  <c r="I972" i="4"/>
  <c r="P972" i="4" s="1"/>
  <c r="Q971" i="4"/>
  <c r="M971" i="4"/>
  <c r="L971" i="4"/>
  <c r="K971" i="4"/>
  <c r="J971" i="4"/>
  <c r="I971" i="4"/>
  <c r="R971" i="4" s="1"/>
  <c r="Q970" i="4"/>
  <c r="M970" i="4"/>
  <c r="L970" i="4"/>
  <c r="K970" i="4"/>
  <c r="J970" i="4"/>
  <c r="I970" i="4"/>
  <c r="P970" i="4" s="1"/>
  <c r="Q969" i="4"/>
  <c r="M969" i="4"/>
  <c r="L969" i="4"/>
  <c r="K969" i="4"/>
  <c r="J969" i="4"/>
  <c r="I969" i="4"/>
  <c r="R969" i="4" s="1"/>
  <c r="Q968" i="4"/>
  <c r="M968" i="4"/>
  <c r="L968" i="4"/>
  <c r="K968" i="4"/>
  <c r="J968" i="4"/>
  <c r="I968" i="4"/>
  <c r="P968" i="4" s="1"/>
  <c r="Q967" i="4"/>
  <c r="M967" i="4"/>
  <c r="L967" i="4"/>
  <c r="K967" i="4"/>
  <c r="J967" i="4"/>
  <c r="I967" i="4"/>
  <c r="R967" i="4" s="1"/>
  <c r="Q966" i="4"/>
  <c r="M966" i="4"/>
  <c r="L966" i="4"/>
  <c r="K966" i="4"/>
  <c r="J966" i="4"/>
  <c r="I966" i="4"/>
  <c r="P966" i="4" s="1"/>
  <c r="Q965" i="4"/>
  <c r="M965" i="4"/>
  <c r="L965" i="4"/>
  <c r="K965" i="4"/>
  <c r="J965" i="4"/>
  <c r="I965" i="4"/>
  <c r="R965" i="4" s="1"/>
  <c r="Q964" i="4"/>
  <c r="M964" i="4"/>
  <c r="L964" i="4"/>
  <c r="K964" i="4"/>
  <c r="J964" i="4"/>
  <c r="I964" i="4"/>
  <c r="P964" i="4" s="1"/>
  <c r="Q963" i="4"/>
  <c r="M963" i="4"/>
  <c r="L963" i="4"/>
  <c r="K963" i="4"/>
  <c r="J963" i="4"/>
  <c r="I963" i="4"/>
  <c r="R963" i="4" s="1"/>
  <c r="Q962" i="4"/>
  <c r="M962" i="4"/>
  <c r="L962" i="4"/>
  <c r="K962" i="4"/>
  <c r="J962" i="4"/>
  <c r="I962" i="4"/>
  <c r="P962" i="4" s="1"/>
  <c r="Q961" i="4"/>
  <c r="M961" i="4"/>
  <c r="L961" i="4"/>
  <c r="K961" i="4"/>
  <c r="J961" i="4"/>
  <c r="I961" i="4"/>
  <c r="R961" i="4" s="1"/>
  <c r="Q960" i="4"/>
  <c r="M960" i="4"/>
  <c r="L960" i="4"/>
  <c r="K960" i="4"/>
  <c r="J960" i="4"/>
  <c r="I960" i="4"/>
  <c r="P960" i="4" s="1"/>
  <c r="Q959" i="4"/>
  <c r="M959" i="4"/>
  <c r="L959" i="4"/>
  <c r="K959" i="4"/>
  <c r="J959" i="4"/>
  <c r="I959" i="4"/>
  <c r="R959" i="4" s="1"/>
  <c r="Q958" i="4"/>
  <c r="M958" i="4"/>
  <c r="L958" i="4"/>
  <c r="K958" i="4"/>
  <c r="J958" i="4"/>
  <c r="I958" i="4"/>
  <c r="P958" i="4" s="1"/>
  <c r="Q957" i="4"/>
  <c r="M957" i="4"/>
  <c r="L957" i="4"/>
  <c r="K957" i="4"/>
  <c r="J957" i="4"/>
  <c r="I957" i="4"/>
  <c r="R957" i="4" s="1"/>
  <c r="Q956" i="4"/>
  <c r="M956" i="4"/>
  <c r="L956" i="4"/>
  <c r="K956" i="4"/>
  <c r="J956" i="4"/>
  <c r="I956" i="4"/>
  <c r="P956" i="4" s="1"/>
  <c r="Q955" i="4"/>
  <c r="M955" i="4"/>
  <c r="L955" i="4"/>
  <c r="K955" i="4"/>
  <c r="J955" i="4"/>
  <c r="I955" i="4"/>
  <c r="R955" i="4" s="1"/>
  <c r="Q954" i="4"/>
  <c r="M954" i="4"/>
  <c r="L954" i="4"/>
  <c r="K954" i="4"/>
  <c r="J954" i="4"/>
  <c r="I954" i="4"/>
  <c r="P954" i="4" s="1"/>
  <c r="Q953" i="4"/>
  <c r="M953" i="4"/>
  <c r="L953" i="4"/>
  <c r="K953" i="4"/>
  <c r="J953" i="4"/>
  <c r="I953" i="4"/>
  <c r="R953" i="4" s="1"/>
  <c r="Q952" i="4"/>
  <c r="M952" i="4"/>
  <c r="L952" i="4"/>
  <c r="K952" i="4"/>
  <c r="J952" i="4"/>
  <c r="I952" i="4"/>
  <c r="P952" i="4" s="1"/>
  <c r="Q951" i="4"/>
  <c r="M951" i="4"/>
  <c r="L951" i="4"/>
  <c r="K951" i="4"/>
  <c r="J951" i="4"/>
  <c r="I951" i="4"/>
  <c r="R951" i="4" s="1"/>
  <c r="Q950" i="4"/>
  <c r="M950" i="4"/>
  <c r="L950" i="4"/>
  <c r="K950" i="4"/>
  <c r="J950" i="4"/>
  <c r="I950" i="4"/>
  <c r="P950" i="4" s="1"/>
  <c r="Q949" i="4"/>
  <c r="M949" i="4"/>
  <c r="L949" i="4"/>
  <c r="K949" i="4"/>
  <c r="J949" i="4"/>
  <c r="I949" i="4"/>
  <c r="R949" i="4" s="1"/>
  <c r="Q948" i="4"/>
  <c r="M948" i="4"/>
  <c r="L948" i="4"/>
  <c r="K948" i="4"/>
  <c r="J948" i="4"/>
  <c r="I948" i="4"/>
  <c r="P948" i="4" s="1"/>
  <c r="Q947" i="4"/>
  <c r="M947" i="4"/>
  <c r="L947" i="4"/>
  <c r="K947" i="4"/>
  <c r="J947" i="4"/>
  <c r="I947" i="4"/>
  <c r="R947" i="4" s="1"/>
  <c r="Q946" i="4"/>
  <c r="M946" i="4"/>
  <c r="L946" i="4"/>
  <c r="K946" i="4"/>
  <c r="J946" i="4"/>
  <c r="I946" i="4"/>
  <c r="P946" i="4" s="1"/>
  <c r="Q945" i="4"/>
  <c r="M945" i="4"/>
  <c r="L945" i="4"/>
  <c r="K945" i="4"/>
  <c r="J945" i="4"/>
  <c r="I945" i="4"/>
  <c r="R945" i="4" s="1"/>
  <c r="Q944" i="4"/>
  <c r="M944" i="4"/>
  <c r="L944" i="4"/>
  <c r="K944" i="4"/>
  <c r="J944" i="4"/>
  <c r="I944" i="4"/>
  <c r="P944" i="4" s="1"/>
  <c r="Q943" i="4"/>
  <c r="M943" i="4"/>
  <c r="L943" i="4"/>
  <c r="K943" i="4"/>
  <c r="J943" i="4"/>
  <c r="I943" i="4"/>
  <c r="R943" i="4" s="1"/>
  <c r="Q942" i="4"/>
  <c r="M942" i="4"/>
  <c r="L942" i="4"/>
  <c r="K942" i="4"/>
  <c r="J942" i="4"/>
  <c r="I942" i="4"/>
  <c r="P942" i="4" s="1"/>
  <c r="Q941" i="4"/>
  <c r="M941" i="4"/>
  <c r="L941" i="4"/>
  <c r="K941" i="4"/>
  <c r="J941" i="4"/>
  <c r="I941" i="4"/>
  <c r="R941" i="4" s="1"/>
  <c r="Q940" i="4"/>
  <c r="M940" i="4"/>
  <c r="L940" i="4"/>
  <c r="K940" i="4"/>
  <c r="J940" i="4"/>
  <c r="I940" i="4"/>
  <c r="P940" i="4" s="1"/>
  <c r="Q939" i="4"/>
  <c r="M939" i="4"/>
  <c r="L939" i="4"/>
  <c r="K939" i="4"/>
  <c r="J939" i="4"/>
  <c r="I939" i="4"/>
  <c r="R939" i="4" s="1"/>
  <c r="Q938" i="4"/>
  <c r="M938" i="4"/>
  <c r="L938" i="4"/>
  <c r="K938" i="4"/>
  <c r="J938" i="4"/>
  <c r="I938" i="4"/>
  <c r="P938" i="4" s="1"/>
  <c r="Q937" i="4"/>
  <c r="M937" i="4"/>
  <c r="L937" i="4"/>
  <c r="K937" i="4"/>
  <c r="J937" i="4"/>
  <c r="I937" i="4"/>
  <c r="R937" i="4" s="1"/>
  <c r="Q936" i="4"/>
  <c r="M936" i="4"/>
  <c r="L936" i="4"/>
  <c r="K936" i="4"/>
  <c r="J936" i="4"/>
  <c r="I936" i="4"/>
  <c r="P936" i="4" s="1"/>
  <c r="Q935" i="4"/>
  <c r="M935" i="4"/>
  <c r="L935" i="4"/>
  <c r="K935" i="4"/>
  <c r="J935" i="4"/>
  <c r="I935" i="4"/>
  <c r="R935" i="4" s="1"/>
  <c r="Q934" i="4"/>
  <c r="M934" i="4"/>
  <c r="L934" i="4"/>
  <c r="K934" i="4"/>
  <c r="J934" i="4"/>
  <c r="I934" i="4"/>
  <c r="P934" i="4" s="1"/>
  <c r="Q933" i="4"/>
  <c r="M933" i="4"/>
  <c r="L933" i="4"/>
  <c r="K933" i="4"/>
  <c r="J933" i="4"/>
  <c r="I933" i="4"/>
  <c r="R933" i="4" s="1"/>
  <c r="Q932" i="4"/>
  <c r="M932" i="4"/>
  <c r="L932" i="4"/>
  <c r="K932" i="4"/>
  <c r="J932" i="4"/>
  <c r="I932" i="4"/>
  <c r="P932" i="4" s="1"/>
  <c r="Q931" i="4"/>
  <c r="M931" i="4"/>
  <c r="L931" i="4"/>
  <c r="K931" i="4"/>
  <c r="J931" i="4"/>
  <c r="I931" i="4"/>
  <c r="R931" i="4" s="1"/>
  <c r="Q930" i="4"/>
  <c r="M930" i="4"/>
  <c r="L930" i="4"/>
  <c r="K930" i="4"/>
  <c r="J930" i="4"/>
  <c r="I930" i="4"/>
  <c r="P930" i="4" s="1"/>
  <c r="Q929" i="4"/>
  <c r="M929" i="4"/>
  <c r="L929" i="4"/>
  <c r="K929" i="4"/>
  <c r="J929" i="4"/>
  <c r="I929" i="4"/>
  <c r="R929" i="4" s="1"/>
  <c r="Q928" i="4"/>
  <c r="M928" i="4"/>
  <c r="L928" i="4"/>
  <c r="K928" i="4"/>
  <c r="J928" i="4"/>
  <c r="I928" i="4"/>
  <c r="P928" i="4" s="1"/>
  <c r="Q927" i="4"/>
  <c r="M927" i="4"/>
  <c r="L927" i="4"/>
  <c r="K927" i="4"/>
  <c r="J927" i="4"/>
  <c r="I927" i="4"/>
  <c r="R927" i="4" s="1"/>
  <c r="Q926" i="4"/>
  <c r="M926" i="4"/>
  <c r="L926" i="4"/>
  <c r="K926" i="4"/>
  <c r="J926" i="4"/>
  <c r="I926" i="4"/>
  <c r="P926" i="4" s="1"/>
  <c r="Q925" i="4"/>
  <c r="M925" i="4"/>
  <c r="L925" i="4"/>
  <c r="K925" i="4"/>
  <c r="J925" i="4"/>
  <c r="I925" i="4"/>
  <c r="R925" i="4" s="1"/>
  <c r="Q924" i="4"/>
  <c r="M924" i="4"/>
  <c r="L924" i="4"/>
  <c r="K924" i="4"/>
  <c r="J924" i="4"/>
  <c r="I924" i="4"/>
  <c r="P924" i="4" s="1"/>
  <c r="Q923" i="4"/>
  <c r="M923" i="4"/>
  <c r="L923" i="4"/>
  <c r="K923" i="4"/>
  <c r="J923" i="4"/>
  <c r="I923" i="4"/>
  <c r="R923" i="4" s="1"/>
  <c r="Q922" i="4"/>
  <c r="M922" i="4"/>
  <c r="L922" i="4"/>
  <c r="K922" i="4"/>
  <c r="J922" i="4"/>
  <c r="I922" i="4"/>
  <c r="P922" i="4" s="1"/>
  <c r="Q921" i="4"/>
  <c r="M921" i="4"/>
  <c r="L921" i="4"/>
  <c r="K921" i="4"/>
  <c r="J921" i="4"/>
  <c r="I921" i="4"/>
  <c r="R921" i="4" s="1"/>
  <c r="Q920" i="4"/>
  <c r="M920" i="4"/>
  <c r="L920" i="4"/>
  <c r="K920" i="4"/>
  <c r="J920" i="4"/>
  <c r="I920" i="4"/>
  <c r="P920" i="4" s="1"/>
  <c r="Q919" i="4"/>
  <c r="M919" i="4"/>
  <c r="L919" i="4"/>
  <c r="K919" i="4"/>
  <c r="J919" i="4"/>
  <c r="I919" i="4"/>
  <c r="R919" i="4" s="1"/>
  <c r="Q918" i="4"/>
  <c r="M918" i="4"/>
  <c r="L918" i="4"/>
  <c r="K918" i="4"/>
  <c r="J918" i="4"/>
  <c r="I918" i="4"/>
  <c r="P918" i="4" s="1"/>
  <c r="Q917" i="4"/>
  <c r="M917" i="4"/>
  <c r="L917" i="4"/>
  <c r="K917" i="4"/>
  <c r="J917" i="4"/>
  <c r="I917" i="4"/>
  <c r="R917" i="4" s="1"/>
  <c r="Q916" i="4"/>
  <c r="M916" i="4"/>
  <c r="L916" i="4"/>
  <c r="K916" i="4"/>
  <c r="J916" i="4"/>
  <c r="I916" i="4"/>
  <c r="P916" i="4" s="1"/>
  <c r="Q915" i="4"/>
  <c r="M915" i="4"/>
  <c r="L915" i="4"/>
  <c r="K915" i="4"/>
  <c r="J915" i="4"/>
  <c r="I915" i="4"/>
  <c r="R915" i="4" s="1"/>
  <c r="Q914" i="4"/>
  <c r="M914" i="4"/>
  <c r="L914" i="4"/>
  <c r="K914" i="4"/>
  <c r="J914" i="4"/>
  <c r="I914" i="4"/>
  <c r="P914" i="4" s="1"/>
  <c r="Q913" i="4"/>
  <c r="M913" i="4"/>
  <c r="L913" i="4"/>
  <c r="K913" i="4"/>
  <c r="J913" i="4"/>
  <c r="I913" i="4"/>
  <c r="R913" i="4" s="1"/>
  <c r="Q912" i="4"/>
  <c r="M912" i="4"/>
  <c r="L912" i="4"/>
  <c r="K912" i="4"/>
  <c r="J912" i="4"/>
  <c r="I912" i="4"/>
  <c r="P912" i="4" s="1"/>
  <c r="Q911" i="4"/>
  <c r="M911" i="4"/>
  <c r="L911" i="4"/>
  <c r="K911" i="4"/>
  <c r="J911" i="4"/>
  <c r="I911" i="4"/>
  <c r="R911" i="4" s="1"/>
  <c r="Q910" i="4"/>
  <c r="M910" i="4"/>
  <c r="L910" i="4"/>
  <c r="K910" i="4"/>
  <c r="J910" i="4"/>
  <c r="I910" i="4"/>
  <c r="P910" i="4" s="1"/>
  <c r="Q909" i="4"/>
  <c r="M909" i="4"/>
  <c r="L909" i="4"/>
  <c r="K909" i="4"/>
  <c r="J909" i="4"/>
  <c r="I909" i="4"/>
  <c r="R909" i="4" s="1"/>
  <c r="Q908" i="4"/>
  <c r="M908" i="4"/>
  <c r="L908" i="4"/>
  <c r="K908" i="4"/>
  <c r="J908" i="4"/>
  <c r="I908" i="4"/>
  <c r="P908" i="4" s="1"/>
  <c r="Q907" i="4"/>
  <c r="M907" i="4"/>
  <c r="L907" i="4"/>
  <c r="K907" i="4"/>
  <c r="J907" i="4"/>
  <c r="I907" i="4"/>
  <c r="R907" i="4" s="1"/>
  <c r="Q906" i="4"/>
  <c r="M906" i="4"/>
  <c r="L906" i="4"/>
  <c r="K906" i="4"/>
  <c r="J906" i="4"/>
  <c r="I906" i="4"/>
  <c r="P906" i="4" s="1"/>
  <c r="Q905" i="4"/>
  <c r="M905" i="4"/>
  <c r="L905" i="4"/>
  <c r="K905" i="4"/>
  <c r="J905" i="4"/>
  <c r="I905" i="4"/>
  <c r="R905" i="4" s="1"/>
  <c r="Q904" i="4"/>
  <c r="M904" i="4"/>
  <c r="L904" i="4"/>
  <c r="K904" i="4"/>
  <c r="J904" i="4"/>
  <c r="I904" i="4"/>
  <c r="P904" i="4" s="1"/>
  <c r="Q903" i="4"/>
  <c r="M903" i="4"/>
  <c r="L903" i="4"/>
  <c r="K903" i="4"/>
  <c r="J903" i="4"/>
  <c r="I903" i="4"/>
  <c r="R903" i="4" s="1"/>
  <c r="Q902" i="4"/>
  <c r="M902" i="4"/>
  <c r="L902" i="4"/>
  <c r="K902" i="4"/>
  <c r="J902" i="4"/>
  <c r="I902" i="4"/>
  <c r="P902" i="4" s="1"/>
  <c r="Q901" i="4"/>
  <c r="M901" i="4"/>
  <c r="L901" i="4"/>
  <c r="K901" i="4"/>
  <c r="J901" i="4"/>
  <c r="I901" i="4"/>
  <c r="R901" i="4" s="1"/>
  <c r="Q900" i="4"/>
  <c r="M900" i="4"/>
  <c r="L900" i="4"/>
  <c r="K900" i="4"/>
  <c r="J900" i="4"/>
  <c r="I900" i="4"/>
  <c r="P900" i="4" s="1"/>
  <c r="Q899" i="4"/>
  <c r="M899" i="4"/>
  <c r="L899" i="4"/>
  <c r="K899" i="4"/>
  <c r="J899" i="4"/>
  <c r="I899" i="4"/>
  <c r="R899" i="4" s="1"/>
  <c r="Q898" i="4"/>
  <c r="M898" i="4"/>
  <c r="L898" i="4"/>
  <c r="K898" i="4"/>
  <c r="J898" i="4"/>
  <c r="I898" i="4"/>
  <c r="P898" i="4" s="1"/>
  <c r="Q897" i="4"/>
  <c r="M897" i="4"/>
  <c r="L897" i="4"/>
  <c r="K897" i="4"/>
  <c r="J897" i="4"/>
  <c r="I897" i="4"/>
  <c r="R897" i="4" s="1"/>
  <c r="Q896" i="4"/>
  <c r="M896" i="4"/>
  <c r="L896" i="4"/>
  <c r="K896" i="4"/>
  <c r="J896" i="4"/>
  <c r="I896" i="4"/>
  <c r="P896" i="4" s="1"/>
  <c r="Q895" i="4"/>
  <c r="M895" i="4"/>
  <c r="L895" i="4"/>
  <c r="K895" i="4"/>
  <c r="J895" i="4"/>
  <c r="I895" i="4"/>
  <c r="R895" i="4" s="1"/>
  <c r="Q894" i="4"/>
  <c r="M894" i="4"/>
  <c r="L894" i="4"/>
  <c r="K894" i="4"/>
  <c r="J894" i="4"/>
  <c r="I894" i="4"/>
  <c r="P894" i="4" s="1"/>
  <c r="Q893" i="4"/>
  <c r="M893" i="4"/>
  <c r="L893" i="4"/>
  <c r="K893" i="4"/>
  <c r="J893" i="4"/>
  <c r="I893" i="4"/>
  <c r="R893" i="4" s="1"/>
  <c r="Q892" i="4"/>
  <c r="M892" i="4"/>
  <c r="L892" i="4"/>
  <c r="K892" i="4"/>
  <c r="J892" i="4"/>
  <c r="I892" i="4"/>
  <c r="P892" i="4" s="1"/>
  <c r="Q891" i="4"/>
  <c r="M891" i="4"/>
  <c r="L891" i="4"/>
  <c r="K891" i="4"/>
  <c r="J891" i="4"/>
  <c r="I891" i="4"/>
  <c r="R891" i="4" s="1"/>
  <c r="Q890" i="4"/>
  <c r="M890" i="4"/>
  <c r="L890" i="4"/>
  <c r="K890" i="4"/>
  <c r="J890" i="4"/>
  <c r="I890" i="4"/>
  <c r="P890" i="4" s="1"/>
  <c r="Q889" i="4"/>
  <c r="M889" i="4"/>
  <c r="L889" i="4"/>
  <c r="K889" i="4"/>
  <c r="J889" i="4"/>
  <c r="I889" i="4"/>
  <c r="R889" i="4" s="1"/>
  <c r="Q888" i="4"/>
  <c r="M888" i="4"/>
  <c r="L888" i="4"/>
  <c r="K888" i="4"/>
  <c r="J888" i="4"/>
  <c r="I888" i="4"/>
  <c r="P888" i="4" s="1"/>
  <c r="Q887" i="4"/>
  <c r="M887" i="4"/>
  <c r="L887" i="4"/>
  <c r="K887" i="4"/>
  <c r="J887" i="4"/>
  <c r="I887" i="4"/>
  <c r="R887" i="4" s="1"/>
  <c r="Q886" i="4"/>
  <c r="M886" i="4"/>
  <c r="L886" i="4"/>
  <c r="K886" i="4"/>
  <c r="J886" i="4"/>
  <c r="I886" i="4"/>
  <c r="P886" i="4" s="1"/>
  <c r="Q885" i="4"/>
  <c r="M885" i="4"/>
  <c r="L885" i="4"/>
  <c r="K885" i="4"/>
  <c r="J885" i="4"/>
  <c r="I885" i="4"/>
  <c r="R885" i="4" s="1"/>
  <c r="Q884" i="4"/>
  <c r="M884" i="4"/>
  <c r="L884" i="4"/>
  <c r="K884" i="4"/>
  <c r="J884" i="4"/>
  <c r="I884" i="4"/>
  <c r="P884" i="4" s="1"/>
  <c r="Q883" i="4"/>
  <c r="M883" i="4"/>
  <c r="L883" i="4"/>
  <c r="K883" i="4"/>
  <c r="J883" i="4"/>
  <c r="I883" i="4"/>
  <c r="R883" i="4" s="1"/>
  <c r="Q882" i="4"/>
  <c r="M882" i="4"/>
  <c r="L882" i="4"/>
  <c r="K882" i="4"/>
  <c r="J882" i="4"/>
  <c r="I882" i="4"/>
  <c r="P882" i="4" s="1"/>
  <c r="Q881" i="4"/>
  <c r="M881" i="4"/>
  <c r="L881" i="4"/>
  <c r="K881" i="4"/>
  <c r="J881" i="4"/>
  <c r="I881" i="4"/>
  <c r="R881" i="4" s="1"/>
  <c r="Q880" i="4"/>
  <c r="M880" i="4"/>
  <c r="L880" i="4"/>
  <c r="K880" i="4"/>
  <c r="J880" i="4"/>
  <c r="I880" i="4"/>
  <c r="P880" i="4" s="1"/>
  <c r="Q879" i="4"/>
  <c r="M879" i="4"/>
  <c r="L879" i="4"/>
  <c r="K879" i="4"/>
  <c r="J879" i="4"/>
  <c r="I879" i="4"/>
  <c r="R879" i="4" s="1"/>
  <c r="Q878" i="4"/>
  <c r="M878" i="4"/>
  <c r="L878" i="4"/>
  <c r="K878" i="4"/>
  <c r="J878" i="4"/>
  <c r="I878" i="4"/>
  <c r="P878" i="4" s="1"/>
  <c r="Q877" i="4"/>
  <c r="M877" i="4"/>
  <c r="L877" i="4"/>
  <c r="K877" i="4"/>
  <c r="J877" i="4"/>
  <c r="I877" i="4"/>
  <c r="R877" i="4" s="1"/>
  <c r="Q876" i="4"/>
  <c r="M876" i="4"/>
  <c r="L876" i="4"/>
  <c r="K876" i="4"/>
  <c r="J876" i="4"/>
  <c r="I876" i="4"/>
  <c r="P876" i="4" s="1"/>
  <c r="Q875" i="4"/>
  <c r="M875" i="4"/>
  <c r="L875" i="4"/>
  <c r="K875" i="4"/>
  <c r="J875" i="4"/>
  <c r="I875" i="4"/>
  <c r="R875" i="4" s="1"/>
  <c r="Q874" i="4"/>
  <c r="M874" i="4"/>
  <c r="L874" i="4"/>
  <c r="K874" i="4"/>
  <c r="J874" i="4"/>
  <c r="I874" i="4"/>
  <c r="P874" i="4" s="1"/>
  <c r="Q873" i="4"/>
  <c r="M873" i="4"/>
  <c r="L873" i="4"/>
  <c r="K873" i="4"/>
  <c r="J873" i="4"/>
  <c r="I873" i="4"/>
  <c r="R873" i="4" s="1"/>
  <c r="Q872" i="4"/>
  <c r="M872" i="4"/>
  <c r="L872" i="4"/>
  <c r="K872" i="4"/>
  <c r="J872" i="4"/>
  <c r="I872" i="4"/>
  <c r="P872" i="4" s="1"/>
  <c r="Q871" i="4"/>
  <c r="M871" i="4"/>
  <c r="L871" i="4"/>
  <c r="K871" i="4"/>
  <c r="J871" i="4"/>
  <c r="I871" i="4"/>
  <c r="R871" i="4" s="1"/>
  <c r="Q870" i="4"/>
  <c r="M870" i="4"/>
  <c r="L870" i="4"/>
  <c r="K870" i="4"/>
  <c r="J870" i="4"/>
  <c r="I870" i="4"/>
  <c r="P870" i="4" s="1"/>
  <c r="Q869" i="4"/>
  <c r="M869" i="4"/>
  <c r="L869" i="4"/>
  <c r="K869" i="4"/>
  <c r="J869" i="4"/>
  <c r="I869" i="4"/>
  <c r="R869" i="4" s="1"/>
  <c r="Q868" i="4"/>
  <c r="M868" i="4"/>
  <c r="L868" i="4"/>
  <c r="K868" i="4"/>
  <c r="J868" i="4"/>
  <c r="I868" i="4"/>
  <c r="P868" i="4" s="1"/>
  <c r="Q867" i="4"/>
  <c r="M867" i="4"/>
  <c r="L867" i="4"/>
  <c r="K867" i="4"/>
  <c r="J867" i="4"/>
  <c r="I867" i="4"/>
  <c r="R867" i="4" s="1"/>
  <c r="Q866" i="4"/>
  <c r="M866" i="4"/>
  <c r="L866" i="4"/>
  <c r="K866" i="4"/>
  <c r="J866" i="4"/>
  <c r="I866" i="4"/>
  <c r="Q865" i="4"/>
  <c r="M865" i="4"/>
  <c r="L865" i="4"/>
  <c r="K865" i="4"/>
  <c r="J865" i="4"/>
  <c r="I865" i="4"/>
  <c r="R865" i="4" s="1"/>
  <c r="N865" i="4" s="1"/>
  <c r="Q864" i="4"/>
  <c r="M864" i="4"/>
  <c r="L864" i="4"/>
  <c r="K864" i="4"/>
  <c r="J864" i="4"/>
  <c r="I864" i="4"/>
  <c r="Q863" i="4"/>
  <c r="M863" i="4"/>
  <c r="L863" i="4"/>
  <c r="K863" i="4"/>
  <c r="J863" i="4"/>
  <c r="I863" i="4"/>
  <c r="R863" i="4" s="1"/>
  <c r="N863" i="4" s="1"/>
  <c r="Q862" i="4"/>
  <c r="M862" i="4"/>
  <c r="L862" i="4"/>
  <c r="K862" i="4"/>
  <c r="J862" i="4"/>
  <c r="I862" i="4"/>
  <c r="Q861" i="4"/>
  <c r="O861" i="4"/>
  <c r="M861" i="4"/>
  <c r="L861" i="4"/>
  <c r="K861" i="4"/>
  <c r="J861" i="4"/>
  <c r="I861" i="4"/>
  <c r="R861" i="4" s="1"/>
  <c r="N861" i="4" s="1"/>
  <c r="Q860" i="4"/>
  <c r="M860" i="4"/>
  <c r="L860" i="4"/>
  <c r="K860" i="4"/>
  <c r="J860" i="4"/>
  <c r="I860" i="4"/>
  <c r="Q859" i="4"/>
  <c r="M859" i="4"/>
  <c r="L859" i="4"/>
  <c r="K859" i="4"/>
  <c r="J859" i="4"/>
  <c r="I859" i="4"/>
  <c r="R859" i="4" s="1"/>
  <c r="N859" i="4" s="1"/>
  <c r="Q858" i="4"/>
  <c r="M858" i="4"/>
  <c r="L858" i="4"/>
  <c r="K858" i="4"/>
  <c r="J858" i="4"/>
  <c r="I858" i="4"/>
  <c r="Q857" i="4"/>
  <c r="M857" i="4"/>
  <c r="L857" i="4"/>
  <c r="K857" i="4"/>
  <c r="J857" i="4"/>
  <c r="I857" i="4"/>
  <c r="R857" i="4" s="1"/>
  <c r="N857" i="4" s="1"/>
  <c r="Q856" i="4"/>
  <c r="M856" i="4"/>
  <c r="L856" i="4"/>
  <c r="K856" i="4"/>
  <c r="J856" i="4"/>
  <c r="I856" i="4"/>
  <c r="Q855" i="4"/>
  <c r="M855" i="4"/>
  <c r="L855" i="4"/>
  <c r="K855" i="4"/>
  <c r="J855" i="4"/>
  <c r="I855" i="4"/>
  <c r="R855" i="4" s="1"/>
  <c r="N855" i="4" s="1"/>
  <c r="Q854" i="4"/>
  <c r="M854" i="4"/>
  <c r="L854" i="4"/>
  <c r="K854" i="4"/>
  <c r="J854" i="4"/>
  <c r="I854" i="4"/>
  <c r="Q853" i="4"/>
  <c r="O853" i="4"/>
  <c r="M853" i="4"/>
  <c r="L853" i="4"/>
  <c r="K853" i="4"/>
  <c r="J853" i="4"/>
  <c r="I853" i="4"/>
  <c r="R853" i="4" s="1"/>
  <c r="N853" i="4" s="1"/>
  <c r="Q852" i="4"/>
  <c r="M852" i="4"/>
  <c r="L852" i="4"/>
  <c r="K852" i="4"/>
  <c r="J852" i="4"/>
  <c r="I852" i="4"/>
  <c r="Q851" i="4"/>
  <c r="M851" i="4"/>
  <c r="L851" i="4"/>
  <c r="K851" i="4"/>
  <c r="J851" i="4"/>
  <c r="I851" i="4"/>
  <c r="R851" i="4" s="1"/>
  <c r="N851" i="4" s="1"/>
  <c r="Q850" i="4"/>
  <c r="M850" i="4"/>
  <c r="L850" i="4"/>
  <c r="K850" i="4"/>
  <c r="J850" i="4"/>
  <c r="I850" i="4"/>
  <c r="Q849" i="4"/>
  <c r="M849" i="4"/>
  <c r="L849" i="4"/>
  <c r="K849" i="4"/>
  <c r="J849" i="4"/>
  <c r="I849" i="4"/>
  <c r="R849" i="4" s="1"/>
  <c r="N849" i="4" s="1"/>
  <c r="Q848" i="4"/>
  <c r="M848" i="4"/>
  <c r="L848" i="4"/>
  <c r="K848" i="4"/>
  <c r="J848" i="4"/>
  <c r="I848" i="4"/>
  <c r="Q847" i="4"/>
  <c r="M847" i="4"/>
  <c r="L847" i="4"/>
  <c r="K847" i="4"/>
  <c r="J847" i="4"/>
  <c r="I847" i="4"/>
  <c r="R847" i="4" s="1"/>
  <c r="N847" i="4" s="1"/>
  <c r="Q846" i="4"/>
  <c r="M846" i="4"/>
  <c r="L846" i="4"/>
  <c r="K846" i="4"/>
  <c r="J846" i="4"/>
  <c r="I846" i="4"/>
  <c r="Q845" i="4"/>
  <c r="O845" i="4"/>
  <c r="M845" i="4"/>
  <c r="L845" i="4"/>
  <c r="K845" i="4"/>
  <c r="J845" i="4"/>
  <c r="I845" i="4"/>
  <c r="R845" i="4" s="1"/>
  <c r="N845" i="4" s="1"/>
  <c r="Q844" i="4"/>
  <c r="M844" i="4"/>
  <c r="L844" i="4"/>
  <c r="K844" i="4"/>
  <c r="J844" i="4"/>
  <c r="I844" i="4"/>
  <c r="Q843" i="4"/>
  <c r="M843" i="4"/>
  <c r="L843" i="4"/>
  <c r="K843" i="4"/>
  <c r="J843" i="4"/>
  <c r="I843" i="4"/>
  <c r="R843" i="4" s="1"/>
  <c r="N843" i="4" s="1"/>
  <c r="Q842" i="4"/>
  <c r="M842" i="4"/>
  <c r="L842" i="4"/>
  <c r="K842" i="4"/>
  <c r="J842" i="4"/>
  <c r="I842" i="4"/>
  <c r="Q841" i="4"/>
  <c r="M841" i="4"/>
  <c r="L841" i="4"/>
  <c r="K841" i="4"/>
  <c r="J841" i="4"/>
  <c r="I841" i="4"/>
  <c r="R841" i="4" s="1"/>
  <c r="N841" i="4" s="1"/>
  <c r="Q840" i="4"/>
  <c r="M840" i="4"/>
  <c r="L840" i="4"/>
  <c r="K840" i="4"/>
  <c r="J840" i="4"/>
  <c r="I840" i="4"/>
  <c r="Q839" i="4"/>
  <c r="M839" i="4"/>
  <c r="L839" i="4"/>
  <c r="K839" i="4"/>
  <c r="J839" i="4"/>
  <c r="I839" i="4"/>
  <c r="R839" i="4" s="1"/>
  <c r="N839" i="4" s="1"/>
  <c r="Q838" i="4"/>
  <c r="M838" i="4"/>
  <c r="L838" i="4"/>
  <c r="K838" i="4"/>
  <c r="J838" i="4"/>
  <c r="I838" i="4"/>
  <c r="Q837" i="4"/>
  <c r="O837" i="4"/>
  <c r="M837" i="4"/>
  <c r="L837" i="4"/>
  <c r="K837" i="4"/>
  <c r="J837" i="4"/>
  <c r="I837" i="4"/>
  <c r="R837" i="4" s="1"/>
  <c r="N837" i="4" s="1"/>
  <c r="Q836" i="4"/>
  <c r="M836" i="4"/>
  <c r="L836" i="4"/>
  <c r="K836" i="4"/>
  <c r="J836" i="4"/>
  <c r="I836" i="4"/>
  <c r="Q835" i="4"/>
  <c r="M835" i="4"/>
  <c r="L835" i="4"/>
  <c r="K835" i="4"/>
  <c r="J835" i="4"/>
  <c r="I835" i="4"/>
  <c r="R835" i="4" s="1"/>
  <c r="N835" i="4" s="1"/>
  <c r="Q834" i="4"/>
  <c r="M834" i="4"/>
  <c r="L834" i="4"/>
  <c r="K834" i="4"/>
  <c r="J834" i="4"/>
  <c r="I834" i="4"/>
  <c r="Q833" i="4"/>
  <c r="M833" i="4"/>
  <c r="L833" i="4"/>
  <c r="K833" i="4"/>
  <c r="J833" i="4"/>
  <c r="I833" i="4"/>
  <c r="R833" i="4" s="1"/>
  <c r="N833" i="4" s="1"/>
  <c r="Q832" i="4"/>
  <c r="M832" i="4"/>
  <c r="L832" i="4"/>
  <c r="K832" i="4"/>
  <c r="J832" i="4"/>
  <c r="I832" i="4"/>
  <c r="Q831" i="4"/>
  <c r="M831" i="4"/>
  <c r="L831" i="4"/>
  <c r="K831" i="4"/>
  <c r="J831" i="4"/>
  <c r="I831" i="4"/>
  <c r="R831" i="4" s="1"/>
  <c r="N831" i="4" s="1"/>
  <c r="Q830" i="4"/>
  <c r="M830" i="4"/>
  <c r="L830" i="4"/>
  <c r="K830" i="4"/>
  <c r="J830" i="4"/>
  <c r="I830" i="4"/>
  <c r="Q829" i="4"/>
  <c r="O829" i="4"/>
  <c r="M829" i="4"/>
  <c r="L829" i="4"/>
  <c r="K829" i="4"/>
  <c r="J829" i="4"/>
  <c r="I829" i="4"/>
  <c r="R829" i="4" s="1"/>
  <c r="N829" i="4" s="1"/>
  <c r="Q828" i="4"/>
  <c r="M828" i="4"/>
  <c r="L828" i="4"/>
  <c r="K828" i="4"/>
  <c r="J828" i="4"/>
  <c r="I828" i="4"/>
  <c r="Q827" i="4"/>
  <c r="M827" i="4"/>
  <c r="L827" i="4"/>
  <c r="K827" i="4"/>
  <c r="J827" i="4"/>
  <c r="I827" i="4"/>
  <c r="R827" i="4" s="1"/>
  <c r="N827" i="4" s="1"/>
  <c r="Q826" i="4"/>
  <c r="M826" i="4"/>
  <c r="L826" i="4"/>
  <c r="K826" i="4"/>
  <c r="J826" i="4"/>
  <c r="I826" i="4"/>
  <c r="Q825" i="4"/>
  <c r="M825" i="4"/>
  <c r="L825" i="4"/>
  <c r="K825" i="4"/>
  <c r="J825" i="4"/>
  <c r="I825" i="4"/>
  <c r="R825" i="4" s="1"/>
  <c r="N825" i="4" s="1"/>
  <c r="Q824" i="4"/>
  <c r="M824" i="4"/>
  <c r="L824" i="4"/>
  <c r="K824" i="4"/>
  <c r="J824" i="4"/>
  <c r="I824" i="4"/>
  <c r="Q823" i="4"/>
  <c r="M823" i="4"/>
  <c r="L823" i="4"/>
  <c r="K823" i="4"/>
  <c r="J823" i="4"/>
  <c r="I823" i="4"/>
  <c r="R823" i="4" s="1"/>
  <c r="N823" i="4" s="1"/>
  <c r="Q822" i="4"/>
  <c r="M822" i="4"/>
  <c r="L822" i="4"/>
  <c r="K822" i="4"/>
  <c r="J822" i="4"/>
  <c r="I822" i="4"/>
  <c r="Q821" i="4"/>
  <c r="O821" i="4"/>
  <c r="M821" i="4"/>
  <c r="L821" i="4"/>
  <c r="K821" i="4"/>
  <c r="J821" i="4"/>
  <c r="I821" i="4"/>
  <c r="R821" i="4" s="1"/>
  <c r="N821" i="4" s="1"/>
  <c r="Q820" i="4"/>
  <c r="M820" i="4"/>
  <c r="L820" i="4"/>
  <c r="K820" i="4"/>
  <c r="J820" i="4"/>
  <c r="I820" i="4"/>
  <c r="Q819" i="4"/>
  <c r="M819" i="4"/>
  <c r="L819" i="4"/>
  <c r="K819" i="4"/>
  <c r="J819" i="4"/>
  <c r="I819" i="4"/>
  <c r="R819" i="4" s="1"/>
  <c r="N819" i="4" s="1"/>
  <c r="Q818" i="4"/>
  <c r="M818" i="4"/>
  <c r="L818" i="4"/>
  <c r="K818" i="4"/>
  <c r="J818" i="4"/>
  <c r="I818" i="4"/>
  <c r="Q817" i="4"/>
  <c r="M817" i="4"/>
  <c r="L817" i="4"/>
  <c r="K817" i="4"/>
  <c r="J817" i="4"/>
  <c r="I817" i="4"/>
  <c r="R817" i="4" s="1"/>
  <c r="N817" i="4" s="1"/>
  <c r="Q816" i="4"/>
  <c r="M816" i="4"/>
  <c r="L816" i="4"/>
  <c r="K816" i="4"/>
  <c r="J816" i="4"/>
  <c r="I816" i="4"/>
  <c r="Q815" i="4"/>
  <c r="M815" i="4"/>
  <c r="L815" i="4"/>
  <c r="K815" i="4"/>
  <c r="J815" i="4"/>
  <c r="I815" i="4"/>
  <c r="R815" i="4" s="1"/>
  <c r="N815" i="4" s="1"/>
  <c r="Q814" i="4"/>
  <c r="M814" i="4"/>
  <c r="L814" i="4"/>
  <c r="K814" i="4"/>
  <c r="J814" i="4"/>
  <c r="I814" i="4"/>
  <c r="Q813" i="4"/>
  <c r="O813" i="4"/>
  <c r="M813" i="4"/>
  <c r="L813" i="4"/>
  <c r="K813" i="4"/>
  <c r="J813" i="4"/>
  <c r="I813" i="4"/>
  <c r="R813" i="4" s="1"/>
  <c r="N813" i="4" s="1"/>
  <c r="Q812" i="4"/>
  <c r="M812" i="4"/>
  <c r="L812" i="4"/>
  <c r="K812" i="4"/>
  <c r="J812" i="4"/>
  <c r="I812" i="4"/>
  <c r="Q811" i="4"/>
  <c r="M811" i="4"/>
  <c r="L811" i="4"/>
  <c r="K811" i="4"/>
  <c r="J811" i="4"/>
  <c r="I811" i="4"/>
  <c r="R811" i="4" s="1"/>
  <c r="N811" i="4" s="1"/>
  <c r="Q810" i="4"/>
  <c r="M810" i="4"/>
  <c r="L810" i="4"/>
  <c r="K810" i="4"/>
  <c r="J810" i="4"/>
  <c r="I810" i="4"/>
  <c r="Q809" i="4"/>
  <c r="M809" i="4"/>
  <c r="L809" i="4"/>
  <c r="K809" i="4"/>
  <c r="J809" i="4"/>
  <c r="I809" i="4"/>
  <c r="R809" i="4" s="1"/>
  <c r="N809" i="4" s="1"/>
  <c r="Q808" i="4"/>
  <c r="M808" i="4"/>
  <c r="L808" i="4"/>
  <c r="K808" i="4"/>
  <c r="J808" i="4"/>
  <c r="I808" i="4"/>
  <c r="Q807" i="4"/>
  <c r="M807" i="4"/>
  <c r="L807" i="4"/>
  <c r="K807" i="4"/>
  <c r="J807" i="4"/>
  <c r="I807" i="4"/>
  <c r="R807" i="4" s="1"/>
  <c r="N807" i="4" s="1"/>
  <c r="Q806" i="4"/>
  <c r="M806" i="4"/>
  <c r="L806" i="4"/>
  <c r="K806" i="4"/>
  <c r="J806" i="4"/>
  <c r="I806" i="4"/>
  <c r="Q805" i="4"/>
  <c r="O805" i="4"/>
  <c r="M805" i="4"/>
  <c r="L805" i="4"/>
  <c r="K805" i="4"/>
  <c r="J805" i="4"/>
  <c r="I805" i="4"/>
  <c r="R805" i="4" s="1"/>
  <c r="N805" i="4" s="1"/>
  <c r="Q804" i="4"/>
  <c r="M804" i="4"/>
  <c r="L804" i="4"/>
  <c r="K804" i="4"/>
  <c r="J804" i="4"/>
  <c r="I804" i="4"/>
  <c r="Q803" i="4"/>
  <c r="M803" i="4"/>
  <c r="L803" i="4"/>
  <c r="K803" i="4"/>
  <c r="J803" i="4"/>
  <c r="I803" i="4"/>
  <c r="R803" i="4" s="1"/>
  <c r="N803" i="4" s="1"/>
  <c r="Q802" i="4"/>
  <c r="M802" i="4"/>
  <c r="L802" i="4"/>
  <c r="K802" i="4"/>
  <c r="J802" i="4"/>
  <c r="I802" i="4"/>
  <c r="Q801" i="4"/>
  <c r="M801" i="4"/>
  <c r="L801" i="4"/>
  <c r="K801" i="4"/>
  <c r="J801" i="4"/>
  <c r="I801" i="4"/>
  <c r="R801" i="4" s="1"/>
  <c r="N801" i="4" s="1"/>
  <c r="Q800" i="4"/>
  <c r="M800" i="4"/>
  <c r="L800" i="4"/>
  <c r="K800" i="4"/>
  <c r="J800" i="4"/>
  <c r="I800" i="4"/>
  <c r="Q799" i="4"/>
  <c r="M799" i="4"/>
  <c r="L799" i="4"/>
  <c r="K799" i="4"/>
  <c r="J799" i="4"/>
  <c r="I799" i="4"/>
  <c r="Q798" i="4"/>
  <c r="M798" i="4"/>
  <c r="L798" i="4"/>
  <c r="K798" i="4"/>
  <c r="J798" i="4"/>
  <c r="I798" i="4"/>
  <c r="Q797" i="4"/>
  <c r="M797" i="4"/>
  <c r="L797" i="4"/>
  <c r="K797" i="4"/>
  <c r="J797" i="4"/>
  <c r="I797" i="4"/>
  <c r="Q796" i="4"/>
  <c r="M796" i="4"/>
  <c r="L796" i="4"/>
  <c r="K796" i="4"/>
  <c r="J796" i="4"/>
  <c r="I796" i="4"/>
  <c r="Q795" i="4"/>
  <c r="M795" i="4"/>
  <c r="L795" i="4"/>
  <c r="K795" i="4"/>
  <c r="J795" i="4"/>
  <c r="I795" i="4"/>
  <c r="Q794" i="4"/>
  <c r="M794" i="4"/>
  <c r="L794" i="4"/>
  <c r="K794" i="4"/>
  <c r="J794" i="4"/>
  <c r="I794" i="4"/>
  <c r="Q793" i="4"/>
  <c r="M793" i="4"/>
  <c r="L793" i="4"/>
  <c r="K793" i="4"/>
  <c r="J793" i="4"/>
  <c r="I793" i="4"/>
  <c r="Q792" i="4"/>
  <c r="M792" i="4"/>
  <c r="L792" i="4"/>
  <c r="K792" i="4"/>
  <c r="J792" i="4"/>
  <c r="I792" i="4"/>
  <c r="Q791" i="4"/>
  <c r="M791" i="4"/>
  <c r="L791" i="4"/>
  <c r="K791" i="4"/>
  <c r="J791" i="4"/>
  <c r="I791" i="4"/>
  <c r="Q790" i="4"/>
  <c r="M790" i="4"/>
  <c r="L790" i="4"/>
  <c r="K790" i="4"/>
  <c r="J790" i="4"/>
  <c r="I790" i="4"/>
  <c r="Q789" i="4"/>
  <c r="M789" i="4"/>
  <c r="L789" i="4"/>
  <c r="K789" i="4"/>
  <c r="J789" i="4"/>
  <c r="I789" i="4"/>
  <c r="Q788" i="4"/>
  <c r="M788" i="4"/>
  <c r="L788" i="4"/>
  <c r="K788" i="4"/>
  <c r="J788" i="4"/>
  <c r="I788" i="4"/>
  <c r="Q787" i="4"/>
  <c r="M787" i="4"/>
  <c r="L787" i="4"/>
  <c r="K787" i="4"/>
  <c r="J787" i="4"/>
  <c r="I787" i="4"/>
  <c r="Q786" i="4"/>
  <c r="M786" i="4"/>
  <c r="L786" i="4"/>
  <c r="K786" i="4"/>
  <c r="J786" i="4"/>
  <c r="I786" i="4"/>
  <c r="Q785" i="4"/>
  <c r="M785" i="4"/>
  <c r="L785" i="4"/>
  <c r="K785" i="4"/>
  <c r="J785" i="4"/>
  <c r="I785" i="4"/>
  <c r="Q784" i="4"/>
  <c r="M784" i="4"/>
  <c r="L784" i="4"/>
  <c r="K784" i="4"/>
  <c r="J784" i="4"/>
  <c r="I784" i="4"/>
  <c r="Q783" i="4"/>
  <c r="M783" i="4"/>
  <c r="L783" i="4"/>
  <c r="K783" i="4"/>
  <c r="J783" i="4"/>
  <c r="I783" i="4"/>
  <c r="Q782" i="4"/>
  <c r="M782" i="4"/>
  <c r="L782" i="4"/>
  <c r="K782" i="4"/>
  <c r="J782" i="4"/>
  <c r="I782" i="4"/>
  <c r="Q781" i="4"/>
  <c r="M781" i="4"/>
  <c r="L781" i="4"/>
  <c r="K781" i="4"/>
  <c r="J781" i="4"/>
  <c r="I781" i="4"/>
  <c r="Q780" i="4"/>
  <c r="M780" i="4"/>
  <c r="L780" i="4"/>
  <c r="K780" i="4"/>
  <c r="J780" i="4"/>
  <c r="I780" i="4"/>
  <c r="Q779" i="4"/>
  <c r="M779" i="4"/>
  <c r="L779" i="4"/>
  <c r="K779" i="4"/>
  <c r="J779" i="4"/>
  <c r="I779" i="4"/>
  <c r="Q778" i="4"/>
  <c r="M778" i="4"/>
  <c r="L778" i="4"/>
  <c r="K778" i="4"/>
  <c r="J778" i="4"/>
  <c r="I778" i="4"/>
  <c r="Q777" i="4"/>
  <c r="M777" i="4"/>
  <c r="L777" i="4"/>
  <c r="K777" i="4"/>
  <c r="J777" i="4"/>
  <c r="I777" i="4"/>
  <c r="Q776" i="4"/>
  <c r="M776" i="4"/>
  <c r="L776" i="4"/>
  <c r="K776" i="4"/>
  <c r="J776" i="4"/>
  <c r="I776" i="4"/>
  <c r="Q775" i="4"/>
  <c r="M775" i="4"/>
  <c r="L775" i="4"/>
  <c r="K775" i="4"/>
  <c r="J775" i="4"/>
  <c r="I775" i="4"/>
  <c r="Q774" i="4"/>
  <c r="M774" i="4"/>
  <c r="L774" i="4"/>
  <c r="K774" i="4"/>
  <c r="J774" i="4"/>
  <c r="I774" i="4"/>
  <c r="Q773" i="4"/>
  <c r="M773" i="4"/>
  <c r="L773" i="4"/>
  <c r="K773" i="4"/>
  <c r="J773" i="4"/>
  <c r="I773" i="4"/>
  <c r="Q772" i="4"/>
  <c r="M772" i="4"/>
  <c r="L772" i="4"/>
  <c r="K772" i="4"/>
  <c r="J772" i="4"/>
  <c r="I772" i="4"/>
  <c r="Q771" i="4"/>
  <c r="M771" i="4"/>
  <c r="L771" i="4"/>
  <c r="K771" i="4"/>
  <c r="J771" i="4"/>
  <c r="I771" i="4"/>
  <c r="Q770" i="4"/>
  <c r="M770" i="4"/>
  <c r="L770" i="4"/>
  <c r="K770" i="4"/>
  <c r="J770" i="4"/>
  <c r="I770" i="4"/>
  <c r="Q769" i="4"/>
  <c r="M769" i="4"/>
  <c r="L769" i="4"/>
  <c r="K769" i="4"/>
  <c r="J769" i="4"/>
  <c r="I769" i="4"/>
  <c r="Q768" i="4"/>
  <c r="M768" i="4"/>
  <c r="L768" i="4"/>
  <c r="K768" i="4"/>
  <c r="J768" i="4"/>
  <c r="I768" i="4"/>
  <c r="Q767" i="4"/>
  <c r="M767" i="4"/>
  <c r="L767" i="4"/>
  <c r="K767" i="4"/>
  <c r="J767" i="4"/>
  <c r="I767" i="4"/>
  <c r="Q766" i="4"/>
  <c r="M766" i="4"/>
  <c r="L766" i="4"/>
  <c r="K766" i="4"/>
  <c r="J766" i="4"/>
  <c r="I766" i="4"/>
  <c r="Q765" i="4"/>
  <c r="M765" i="4"/>
  <c r="L765" i="4"/>
  <c r="K765" i="4"/>
  <c r="J765" i="4"/>
  <c r="I765" i="4"/>
  <c r="Q764" i="4"/>
  <c r="M764" i="4"/>
  <c r="L764" i="4"/>
  <c r="K764" i="4"/>
  <c r="J764" i="4"/>
  <c r="I764" i="4"/>
  <c r="Q763" i="4"/>
  <c r="M763" i="4"/>
  <c r="L763" i="4"/>
  <c r="K763" i="4"/>
  <c r="J763" i="4"/>
  <c r="I763" i="4"/>
  <c r="Q762" i="4"/>
  <c r="M762" i="4"/>
  <c r="L762" i="4"/>
  <c r="K762" i="4"/>
  <c r="J762" i="4"/>
  <c r="I762" i="4"/>
  <c r="Q761" i="4"/>
  <c r="M761" i="4"/>
  <c r="L761" i="4"/>
  <c r="K761" i="4"/>
  <c r="J761" i="4"/>
  <c r="I761" i="4"/>
  <c r="Q760" i="4"/>
  <c r="M760" i="4"/>
  <c r="L760" i="4"/>
  <c r="K760" i="4"/>
  <c r="J760" i="4"/>
  <c r="I760" i="4"/>
  <c r="Q759" i="4"/>
  <c r="M759" i="4"/>
  <c r="L759" i="4"/>
  <c r="K759" i="4"/>
  <c r="J759" i="4"/>
  <c r="I759" i="4"/>
  <c r="Q758" i="4"/>
  <c r="M758" i="4"/>
  <c r="L758" i="4"/>
  <c r="K758" i="4"/>
  <c r="J758" i="4"/>
  <c r="I758" i="4"/>
  <c r="Q757" i="4"/>
  <c r="M757" i="4"/>
  <c r="L757" i="4"/>
  <c r="K757" i="4"/>
  <c r="J757" i="4"/>
  <c r="I757" i="4"/>
  <c r="Q756" i="4"/>
  <c r="M756" i="4"/>
  <c r="L756" i="4"/>
  <c r="K756" i="4"/>
  <c r="J756" i="4"/>
  <c r="I756" i="4"/>
  <c r="Q755" i="4"/>
  <c r="M755" i="4"/>
  <c r="L755" i="4"/>
  <c r="K755" i="4"/>
  <c r="J755" i="4"/>
  <c r="I755" i="4"/>
  <c r="Q754" i="4"/>
  <c r="M754" i="4"/>
  <c r="L754" i="4"/>
  <c r="K754" i="4"/>
  <c r="J754" i="4"/>
  <c r="I754" i="4"/>
  <c r="Q753" i="4"/>
  <c r="M753" i="4"/>
  <c r="L753" i="4"/>
  <c r="K753" i="4"/>
  <c r="J753" i="4"/>
  <c r="I753" i="4"/>
  <c r="Q752" i="4"/>
  <c r="M752" i="4"/>
  <c r="L752" i="4"/>
  <c r="K752" i="4"/>
  <c r="J752" i="4"/>
  <c r="I752" i="4"/>
  <c r="Q751" i="4"/>
  <c r="M751" i="4"/>
  <c r="L751" i="4"/>
  <c r="K751" i="4"/>
  <c r="J751" i="4"/>
  <c r="I751" i="4"/>
  <c r="Q750" i="4"/>
  <c r="M750" i="4"/>
  <c r="L750" i="4"/>
  <c r="K750" i="4"/>
  <c r="J750" i="4"/>
  <c r="I750" i="4"/>
  <c r="Q749" i="4"/>
  <c r="M749" i="4"/>
  <c r="L749" i="4"/>
  <c r="K749" i="4"/>
  <c r="J749" i="4"/>
  <c r="I749" i="4"/>
  <c r="Q748" i="4"/>
  <c r="M748" i="4"/>
  <c r="L748" i="4"/>
  <c r="K748" i="4"/>
  <c r="J748" i="4"/>
  <c r="I748" i="4"/>
  <c r="Q747" i="4"/>
  <c r="M747" i="4"/>
  <c r="L747" i="4"/>
  <c r="K747" i="4"/>
  <c r="J747" i="4"/>
  <c r="I747" i="4"/>
  <c r="Q746" i="4"/>
  <c r="M746" i="4"/>
  <c r="L746" i="4"/>
  <c r="K746" i="4"/>
  <c r="J746" i="4"/>
  <c r="I746" i="4"/>
  <c r="Q745" i="4"/>
  <c r="M745" i="4"/>
  <c r="L745" i="4"/>
  <c r="K745" i="4"/>
  <c r="J745" i="4"/>
  <c r="I745" i="4"/>
  <c r="Q744" i="4"/>
  <c r="M744" i="4"/>
  <c r="L744" i="4"/>
  <c r="K744" i="4"/>
  <c r="J744" i="4"/>
  <c r="I744" i="4"/>
  <c r="Q743" i="4"/>
  <c r="M743" i="4"/>
  <c r="L743" i="4"/>
  <c r="K743" i="4"/>
  <c r="J743" i="4"/>
  <c r="I743" i="4"/>
  <c r="Q742" i="4"/>
  <c r="M742" i="4"/>
  <c r="L742" i="4"/>
  <c r="K742" i="4"/>
  <c r="J742" i="4"/>
  <c r="I742" i="4"/>
  <c r="Q741" i="4"/>
  <c r="M741" i="4"/>
  <c r="L741" i="4"/>
  <c r="K741" i="4"/>
  <c r="J741" i="4"/>
  <c r="I741" i="4"/>
  <c r="Q740" i="4"/>
  <c r="M740" i="4"/>
  <c r="L740" i="4"/>
  <c r="K740" i="4"/>
  <c r="J740" i="4"/>
  <c r="I740" i="4"/>
  <c r="Q739" i="4"/>
  <c r="M739" i="4"/>
  <c r="L739" i="4"/>
  <c r="K739" i="4"/>
  <c r="J739" i="4"/>
  <c r="I739" i="4"/>
  <c r="Q738" i="4"/>
  <c r="M738" i="4"/>
  <c r="L738" i="4"/>
  <c r="K738" i="4"/>
  <c r="J738" i="4"/>
  <c r="I738" i="4"/>
  <c r="Q737" i="4"/>
  <c r="M737" i="4"/>
  <c r="L737" i="4"/>
  <c r="K737" i="4"/>
  <c r="J737" i="4"/>
  <c r="I737" i="4"/>
  <c r="Q736" i="4"/>
  <c r="M736" i="4"/>
  <c r="L736" i="4"/>
  <c r="K736" i="4"/>
  <c r="J736" i="4"/>
  <c r="I736" i="4"/>
  <c r="Q735" i="4"/>
  <c r="M735" i="4"/>
  <c r="L735" i="4"/>
  <c r="K735" i="4"/>
  <c r="J735" i="4"/>
  <c r="I735" i="4"/>
  <c r="Q734" i="4"/>
  <c r="M734" i="4"/>
  <c r="L734" i="4"/>
  <c r="K734" i="4"/>
  <c r="J734" i="4"/>
  <c r="I734" i="4"/>
  <c r="Q733" i="4"/>
  <c r="M733" i="4"/>
  <c r="L733" i="4"/>
  <c r="K733" i="4"/>
  <c r="J733" i="4"/>
  <c r="I733" i="4"/>
  <c r="Q732" i="4"/>
  <c r="M732" i="4"/>
  <c r="L732" i="4"/>
  <c r="K732" i="4"/>
  <c r="J732" i="4"/>
  <c r="I732" i="4"/>
  <c r="Q731" i="4"/>
  <c r="M731" i="4"/>
  <c r="L731" i="4"/>
  <c r="K731" i="4"/>
  <c r="J731" i="4"/>
  <c r="I731" i="4"/>
  <c r="Q730" i="4"/>
  <c r="M730" i="4"/>
  <c r="L730" i="4"/>
  <c r="K730" i="4"/>
  <c r="J730" i="4"/>
  <c r="I730" i="4"/>
  <c r="Q729" i="4"/>
  <c r="M729" i="4"/>
  <c r="L729" i="4"/>
  <c r="K729" i="4"/>
  <c r="J729" i="4"/>
  <c r="I729" i="4"/>
  <c r="Q728" i="4"/>
  <c r="M728" i="4"/>
  <c r="L728" i="4"/>
  <c r="K728" i="4"/>
  <c r="J728" i="4"/>
  <c r="I728" i="4"/>
  <c r="Q727" i="4"/>
  <c r="M727" i="4"/>
  <c r="L727" i="4"/>
  <c r="K727" i="4"/>
  <c r="J727" i="4"/>
  <c r="I727" i="4"/>
  <c r="Q726" i="4"/>
  <c r="M726" i="4"/>
  <c r="L726" i="4"/>
  <c r="K726" i="4"/>
  <c r="J726" i="4"/>
  <c r="I726" i="4"/>
  <c r="Q725" i="4"/>
  <c r="M725" i="4"/>
  <c r="L725" i="4"/>
  <c r="K725" i="4"/>
  <c r="J725" i="4"/>
  <c r="I725" i="4"/>
  <c r="Q724" i="4"/>
  <c r="M724" i="4"/>
  <c r="L724" i="4"/>
  <c r="K724" i="4"/>
  <c r="J724" i="4"/>
  <c r="I724" i="4"/>
  <c r="Q723" i="4"/>
  <c r="M723" i="4"/>
  <c r="L723" i="4"/>
  <c r="K723" i="4"/>
  <c r="J723" i="4"/>
  <c r="I723" i="4"/>
  <c r="Q722" i="4"/>
  <c r="M722" i="4"/>
  <c r="L722" i="4"/>
  <c r="K722" i="4"/>
  <c r="J722" i="4"/>
  <c r="I722" i="4"/>
  <c r="Q721" i="4"/>
  <c r="M721" i="4"/>
  <c r="L721" i="4"/>
  <c r="K721" i="4"/>
  <c r="J721" i="4"/>
  <c r="I721" i="4"/>
  <c r="Q720" i="4"/>
  <c r="M720" i="4"/>
  <c r="L720" i="4"/>
  <c r="K720" i="4"/>
  <c r="J720" i="4"/>
  <c r="I720" i="4"/>
  <c r="Q719" i="4"/>
  <c r="M719" i="4"/>
  <c r="L719" i="4"/>
  <c r="K719" i="4"/>
  <c r="J719" i="4"/>
  <c r="I719" i="4"/>
  <c r="Q718" i="4"/>
  <c r="M718" i="4"/>
  <c r="L718" i="4"/>
  <c r="K718" i="4"/>
  <c r="J718" i="4"/>
  <c r="I718" i="4"/>
  <c r="Q717" i="4"/>
  <c r="M717" i="4"/>
  <c r="L717" i="4"/>
  <c r="K717" i="4"/>
  <c r="J717" i="4"/>
  <c r="I717" i="4"/>
  <c r="Q716" i="4"/>
  <c r="M716" i="4"/>
  <c r="L716" i="4"/>
  <c r="K716" i="4"/>
  <c r="J716" i="4"/>
  <c r="I716" i="4"/>
  <c r="Q715" i="4"/>
  <c r="M715" i="4"/>
  <c r="L715" i="4"/>
  <c r="K715" i="4"/>
  <c r="J715" i="4"/>
  <c r="I715" i="4"/>
  <c r="Q714" i="4"/>
  <c r="M714" i="4"/>
  <c r="L714" i="4"/>
  <c r="K714" i="4"/>
  <c r="J714" i="4"/>
  <c r="I714" i="4"/>
  <c r="Q713" i="4"/>
  <c r="M713" i="4"/>
  <c r="L713" i="4"/>
  <c r="K713" i="4"/>
  <c r="J713" i="4"/>
  <c r="I713" i="4"/>
  <c r="Q712" i="4"/>
  <c r="M712" i="4"/>
  <c r="L712" i="4"/>
  <c r="K712" i="4"/>
  <c r="J712" i="4"/>
  <c r="I712" i="4"/>
  <c r="Q711" i="4"/>
  <c r="M711" i="4"/>
  <c r="L711" i="4"/>
  <c r="K711" i="4"/>
  <c r="J711" i="4"/>
  <c r="I711" i="4"/>
  <c r="Q710" i="4"/>
  <c r="M710" i="4"/>
  <c r="L710" i="4"/>
  <c r="K710" i="4"/>
  <c r="J710" i="4"/>
  <c r="I710" i="4"/>
  <c r="Q709" i="4"/>
  <c r="M709" i="4"/>
  <c r="L709" i="4"/>
  <c r="K709" i="4"/>
  <c r="J709" i="4"/>
  <c r="I709" i="4"/>
  <c r="Q708" i="4"/>
  <c r="M708" i="4"/>
  <c r="L708" i="4"/>
  <c r="K708" i="4"/>
  <c r="J708" i="4"/>
  <c r="I708" i="4"/>
  <c r="Q707" i="4"/>
  <c r="M707" i="4"/>
  <c r="L707" i="4"/>
  <c r="K707" i="4"/>
  <c r="J707" i="4"/>
  <c r="I707" i="4"/>
  <c r="Q706" i="4"/>
  <c r="M706" i="4"/>
  <c r="L706" i="4"/>
  <c r="K706" i="4"/>
  <c r="J706" i="4"/>
  <c r="I706" i="4"/>
  <c r="Q705" i="4"/>
  <c r="M705" i="4"/>
  <c r="L705" i="4"/>
  <c r="K705" i="4"/>
  <c r="J705" i="4"/>
  <c r="I705" i="4"/>
  <c r="Q704" i="4"/>
  <c r="M704" i="4"/>
  <c r="L704" i="4"/>
  <c r="K704" i="4"/>
  <c r="J704" i="4"/>
  <c r="I704" i="4"/>
  <c r="Q703" i="4"/>
  <c r="M703" i="4"/>
  <c r="L703" i="4"/>
  <c r="K703" i="4"/>
  <c r="J703" i="4"/>
  <c r="I703" i="4"/>
  <c r="Q702" i="4"/>
  <c r="M702" i="4"/>
  <c r="L702" i="4"/>
  <c r="K702" i="4"/>
  <c r="J702" i="4"/>
  <c r="I702" i="4"/>
  <c r="Q701" i="4"/>
  <c r="M701" i="4"/>
  <c r="L701" i="4"/>
  <c r="K701" i="4"/>
  <c r="J701" i="4"/>
  <c r="I701" i="4"/>
  <c r="Q700" i="4"/>
  <c r="M700" i="4"/>
  <c r="L700" i="4"/>
  <c r="K700" i="4"/>
  <c r="J700" i="4"/>
  <c r="I700" i="4"/>
  <c r="Q699" i="4"/>
  <c r="M699" i="4"/>
  <c r="L699" i="4"/>
  <c r="K699" i="4"/>
  <c r="J699" i="4"/>
  <c r="I699" i="4"/>
  <c r="Q698" i="4"/>
  <c r="M698" i="4"/>
  <c r="L698" i="4"/>
  <c r="K698" i="4"/>
  <c r="J698" i="4"/>
  <c r="I698" i="4"/>
  <c r="R698" i="4" s="1"/>
  <c r="N698" i="4" s="1"/>
  <c r="Q697" i="4"/>
  <c r="L697" i="4"/>
  <c r="K697" i="4"/>
  <c r="J697" i="4"/>
  <c r="M697" i="4" s="1"/>
  <c r="I697" i="4"/>
  <c r="P697" i="4" s="1"/>
  <c r="Q696" i="4"/>
  <c r="P696" i="4"/>
  <c r="O696" i="4"/>
  <c r="M696" i="4"/>
  <c r="L696" i="4"/>
  <c r="K696" i="4"/>
  <c r="J696" i="4"/>
  <c r="I696" i="4"/>
  <c r="R696" i="4" s="1"/>
  <c r="N696" i="4" s="1"/>
  <c r="Q695" i="4"/>
  <c r="M695" i="4"/>
  <c r="L695" i="4"/>
  <c r="K695" i="4"/>
  <c r="J695" i="4"/>
  <c r="I695" i="4"/>
  <c r="P695" i="4" s="1"/>
  <c r="Q694" i="4"/>
  <c r="P694" i="4"/>
  <c r="M694" i="4"/>
  <c r="L694" i="4"/>
  <c r="K694" i="4"/>
  <c r="J694" i="4"/>
  <c r="I694" i="4"/>
  <c r="R694" i="4" s="1"/>
  <c r="N694" i="4" s="1"/>
  <c r="Q693" i="4"/>
  <c r="M693" i="4"/>
  <c r="L693" i="4"/>
  <c r="K693" i="4"/>
  <c r="J693" i="4"/>
  <c r="I693" i="4"/>
  <c r="P693" i="4" s="1"/>
  <c r="Q692" i="4"/>
  <c r="M692" i="4"/>
  <c r="L692" i="4"/>
  <c r="K692" i="4"/>
  <c r="J692" i="4"/>
  <c r="I692" i="4"/>
  <c r="R692" i="4" s="1"/>
  <c r="N692" i="4" s="1"/>
  <c r="Q691" i="4"/>
  <c r="M691" i="4"/>
  <c r="L691" i="4"/>
  <c r="K691" i="4"/>
  <c r="J691" i="4"/>
  <c r="I691" i="4"/>
  <c r="P691" i="4" s="1"/>
  <c r="Q690" i="4"/>
  <c r="M690" i="4"/>
  <c r="L690" i="4"/>
  <c r="K690" i="4"/>
  <c r="J690" i="4"/>
  <c r="I690" i="4"/>
  <c r="R690" i="4" s="1"/>
  <c r="N690" i="4" s="1"/>
  <c r="Q689" i="4"/>
  <c r="L689" i="4"/>
  <c r="K689" i="4"/>
  <c r="J689" i="4"/>
  <c r="M689" i="4" s="1"/>
  <c r="I689" i="4"/>
  <c r="P689" i="4" s="1"/>
  <c r="Q688" i="4"/>
  <c r="P688" i="4"/>
  <c r="O688" i="4"/>
  <c r="M688" i="4"/>
  <c r="L688" i="4"/>
  <c r="K688" i="4"/>
  <c r="J688" i="4"/>
  <c r="I688" i="4"/>
  <c r="R688" i="4" s="1"/>
  <c r="N688" i="4" s="1"/>
  <c r="Q687" i="4"/>
  <c r="M687" i="4"/>
  <c r="L687" i="4"/>
  <c r="K687" i="4"/>
  <c r="J687" i="4"/>
  <c r="I687" i="4"/>
  <c r="P687" i="4" s="1"/>
  <c r="Q686" i="4"/>
  <c r="P686" i="4"/>
  <c r="M686" i="4"/>
  <c r="L686" i="4"/>
  <c r="K686" i="4"/>
  <c r="J686" i="4"/>
  <c r="I686" i="4"/>
  <c r="R686" i="4" s="1"/>
  <c r="N686" i="4" s="1"/>
  <c r="Q685" i="4"/>
  <c r="M685" i="4"/>
  <c r="L685" i="4"/>
  <c r="K685" i="4"/>
  <c r="J685" i="4"/>
  <c r="I685" i="4"/>
  <c r="P685" i="4" s="1"/>
  <c r="Q684" i="4"/>
  <c r="M684" i="4"/>
  <c r="L684" i="4"/>
  <c r="K684" i="4"/>
  <c r="J684" i="4"/>
  <c r="I684" i="4"/>
  <c r="R684" i="4" s="1"/>
  <c r="N684" i="4" s="1"/>
  <c r="Q683" i="4"/>
  <c r="M683" i="4"/>
  <c r="L683" i="4"/>
  <c r="K683" i="4"/>
  <c r="J683" i="4"/>
  <c r="I683" i="4"/>
  <c r="P683" i="4" s="1"/>
  <c r="Q682" i="4"/>
  <c r="M682" i="4"/>
  <c r="L682" i="4"/>
  <c r="K682" i="4"/>
  <c r="J682" i="4"/>
  <c r="I682" i="4"/>
  <c r="R682" i="4" s="1"/>
  <c r="N682" i="4" s="1"/>
  <c r="Q681" i="4"/>
  <c r="L681" i="4"/>
  <c r="K681" i="4"/>
  <c r="J681" i="4"/>
  <c r="M681" i="4" s="1"/>
  <c r="I681" i="4"/>
  <c r="P681" i="4" s="1"/>
  <c r="Q680" i="4"/>
  <c r="P680" i="4"/>
  <c r="O680" i="4"/>
  <c r="M680" i="4"/>
  <c r="L680" i="4"/>
  <c r="K680" i="4"/>
  <c r="J680" i="4"/>
  <c r="I680" i="4"/>
  <c r="R680" i="4" s="1"/>
  <c r="N680" i="4" s="1"/>
  <c r="Q679" i="4"/>
  <c r="M679" i="4"/>
  <c r="L679" i="4"/>
  <c r="K679" i="4"/>
  <c r="J679" i="4"/>
  <c r="I679" i="4"/>
  <c r="P679" i="4" s="1"/>
  <c r="Q678" i="4"/>
  <c r="P678" i="4"/>
  <c r="M678" i="4"/>
  <c r="L678" i="4"/>
  <c r="K678" i="4"/>
  <c r="J678" i="4"/>
  <c r="I678" i="4"/>
  <c r="R678" i="4" s="1"/>
  <c r="N678" i="4" s="1"/>
  <c r="Q677" i="4"/>
  <c r="M677" i="4"/>
  <c r="L677" i="4"/>
  <c r="K677" i="4"/>
  <c r="J677" i="4"/>
  <c r="I677" i="4"/>
  <c r="P677" i="4" s="1"/>
  <c r="Q676" i="4"/>
  <c r="M676" i="4"/>
  <c r="L676" i="4"/>
  <c r="K676" i="4"/>
  <c r="J676" i="4"/>
  <c r="I676" i="4"/>
  <c r="R676" i="4" s="1"/>
  <c r="N676" i="4" s="1"/>
  <c r="Q675" i="4"/>
  <c r="M675" i="4"/>
  <c r="L675" i="4"/>
  <c r="K675" i="4"/>
  <c r="J675" i="4"/>
  <c r="I675" i="4"/>
  <c r="P675" i="4" s="1"/>
  <c r="Q674" i="4"/>
  <c r="M674" i="4"/>
  <c r="L674" i="4"/>
  <c r="K674" i="4"/>
  <c r="J674" i="4"/>
  <c r="I674" i="4"/>
  <c r="R674" i="4" s="1"/>
  <c r="N674" i="4" s="1"/>
  <c r="Q673" i="4"/>
  <c r="L673" i="4"/>
  <c r="K673" i="4"/>
  <c r="J673" i="4"/>
  <c r="M673" i="4" s="1"/>
  <c r="I673" i="4"/>
  <c r="P673" i="4" s="1"/>
  <c r="Q672" i="4"/>
  <c r="P672" i="4"/>
  <c r="O672" i="4"/>
  <c r="M672" i="4"/>
  <c r="L672" i="4"/>
  <c r="K672" i="4"/>
  <c r="J672" i="4"/>
  <c r="I672" i="4"/>
  <c r="R672" i="4" s="1"/>
  <c r="N672" i="4" s="1"/>
  <c r="Q671" i="4"/>
  <c r="M671" i="4"/>
  <c r="L671" i="4"/>
  <c r="K671" i="4"/>
  <c r="J671" i="4"/>
  <c r="I671" i="4"/>
  <c r="P671" i="4" s="1"/>
  <c r="Q670" i="4"/>
  <c r="P670" i="4"/>
  <c r="M670" i="4"/>
  <c r="L670" i="4"/>
  <c r="K670" i="4"/>
  <c r="J670" i="4"/>
  <c r="I670" i="4"/>
  <c r="R670" i="4" s="1"/>
  <c r="N670" i="4" s="1"/>
  <c r="Q669" i="4"/>
  <c r="M669" i="4"/>
  <c r="L669" i="4"/>
  <c r="K669" i="4"/>
  <c r="J669" i="4"/>
  <c r="I669" i="4"/>
  <c r="P669" i="4" s="1"/>
  <c r="Q668" i="4"/>
  <c r="M668" i="4"/>
  <c r="L668" i="4"/>
  <c r="K668" i="4"/>
  <c r="J668" i="4"/>
  <c r="I668" i="4"/>
  <c r="R668" i="4" s="1"/>
  <c r="N668" i="4" s="1"/>
  <c r="Q667" i="4"/>
  <c r="M667" i="4"/>
  <c r="L667" i="4"/>
  <c r="K667" i="4"/>
  <c r="J667" i="4"/>
  <c r="I667" i="4"/>
  <c r="P667" i="4" s="1"/>
  <c r="Q666" i="4"/>
  <c r="M666" i="4"/>
  <c r="L666" i="4"/>
  <c r="K666" i="4"/>
  <c r="J666" i="4"/>
  <c r="I666" i="4"/>
  <c r="R666" i="4" s="1"/>
  <c r="N666" i="4" s="1"/>
  <c r="Q665" i="4"/>
  <c r="L665" i="4"/>
  <c r="K665" i="4"/>
  <c r="J665" i="4"/>
  <c r="M665" i="4" s="1"/>
  <c r="I665" i="4"/>
  <c r="P665" i="4" s="1"/>
  <c r="Q664" i="4"/>
  <c r="P664" i="4"/>
  <c r="O664" i="4"/>
  <c r="M664" i="4"/>
  <c r="L664" i="4"/>
  <c r="K664" i="4"/>
  <c r="J664" i="4"/>
  <c r="I664" i="4"/>
  <c r="R664" i="4" s="1"/>
  <c r="N664" i="4" s="1"/>
  <c r="Q663" i="4"/>
  <c r="M663" i="4"/>
  <c r="L663" i="4"/>
  <c r="K663" i="4"/>
  <c r="J663" i="4"/>
  <c r="I663" i="4"/>
  <c r="P663" i="4" s="1"/>
  <c r="Q662" i="4"/>
  <c r="P662" i="4"/>
  <c r="M662" i="4"/>
  <c r="L662" i="4"/>
  <c r="K662" i="4"/>
  <c r="J662" i="4"/>
  <c r="I662" i="4"/>
  <c r="R662" i="4" s="1"/>
  <c r="N662" i="4" s="1"/>
  <c r="Q661" i="4"/>
  <c r="M661" i="4"/>
  <c r="L661" i="4"/>
  <c r="K661" i="4"/>
  <c r="J661" i="4"/>
  <c r="I661" i="4"/>
  <c r="P661" i="4" s="1"/>
  <c r="Q660" i="4"/>
  <c r="M660" i="4"/>
  <c r="L660" i="4"/>
  <c r="K660" i="4"/>
  <c r="J660" i="4"/>
  <c r="I660" i="4"/>
  <c r="R660" i="4" s="1"/>
  <c r="N660" i="4" s="1"/>
  <c r="Q659" i="4"/>
  <c r="M659" i="4"/>
  <c r="L659" i="4"/>
  <c r="K659" i="4"/>
  <c r="J659" i="4"/>
  <c r="I659" i="4"/>
  <c r="P659" i="4" s="1"/>
  <c r="Q658" i="4"/>
  <c r="M658" i="4"/>
  <c r="L658" i="4"/>
  <c r="K658" i="4"/>
  <c r="J658" i="4"/>
  <c r="I658" i="4"/>
  <c r="R658" i="4" s="1"/>
  <c r="N658" i="4" s="1"/>
  <c r="Q657" i="4"/>
  <c r="L657" i="4"/>
  <c r="K657" i="4"/>
  <c r="J657" i="4"/>
  <c r="M657" i="4" s="1"/>
  <c r="I657" i="4"/>
  <c r="P657" i="4" s="1"/>
  <c r="Q656" i="4"/>
  <c r="P656" i="4"/>
  <c r="O656" i="4"/>
  <c r="M656" i="4"/>
  <c r="L656" i="4"/>
  <c r="K656" i="4"/>
  <c r="J656" i="4"/>
  <c r="I656" i="4"/>
  <c r="R656" i="4" s="1"/>
  <c r="N656" i="4" s="1"/>
  <c r="Q655" i="4"/>
  <c r="M655" i="4"/>
  <c r="L655" i="4"/>
  <c r="K655" i="4"/>
  <c r="J655" i="4"/>
  <c r="I655" i="4"/>
  <c r="P655" i="4" s="1"/>
  <c r="Q654" i="4"/>
  <c r="P654" i="4"/>
  <c r="M654" i="4"/>
  <c r="L654" i="4"/>
  <c r="K654" i="4"/>
  <c r="J654" i="4"/>
  <c r="I654" i="4"/>
  <c r="R654" i="4" s="1"/>
  <c r="N654" i="4" s="1"/>
  <c r="Q653" i="4"/>
  <c r="M653" i="4"/>
  <c r="L653" i="4"/>
  <c r="K653" i="4"/>
  <c r="J653" i="4"/>
  <c r="I653" i="4"/>
  <c r="P653" i="4" s="1"/>
  <c r="Q652" i="4"/>
  <c r="M652" i="4"/>
  <c r="L652" i="4"/>
  <c r="K652" i="4"/>
  <c r="J652" i="4"/>
  <c r="I652" i="4"/>
  <c r="R652" i="4" s="1"/>
  <c r="N652" i="4" s="1"/>
  <c r="Q651" i="4"/>
  <c r="M651" i="4"/>
  <c r="L651" i="4"/>
  <c r="K651" i="4"/>
  <c r="J651" i="4"/>
  <c r="I651" i="4"/>
  <c r="P651" i="4" s="1"/>
  <c r="Q650" i="4"/>
  <c r="M650" i="4"/>
  <c r="L650" i="4"/>
  <c r="K650" i="4"/>
  <c r="J650" i="4"/>
  <c r="I650" i="4"/>
  <c r="R650" i="4" s="1"/>
  <c r="N650" i="4" s="1"/>
  <c r="Q649" i="4"/>
  <c r="L649" i="4"/>
  <c r="K649" i="4"/>
  <c r="J649" i="4"/>
  <c r="M649" i="4" s="1"/>
  <c r="I649" i="4"/>
  <c r="P649" i="4" s="1"/>
  <c r="Q648" i="4"/>
  <c r="P648" i="4"/>
  <c r="O648" i="4"/>
  <c r="M648" i="4"/>
  <c r="L648" i="4"/>
  <c r="K648" i="4"/>
  <c r="J648" i="4"/>
  <c r="I648" i="4"/>
  <c r="R648" i="4" s="1"/>
  <c r="N648" i="4" s="1"/>
  <c r="Q647" i="4"/>
  <c r="M647" i="4"/>
  <c r="L647" i="4"/>
  <c r="K647" i="4"/>
  <c r="J647" i="4"/>
  <c r="I647" i="4"/>
  <c r="P647" i="4" s="1"/>
  <c r="Q646" i="4"/>
  <c r="P646" i="4"/>
  <c r="M646" i="4"/>
  <c r="L646" i="4"/>
  <c r="K646" i="4"/>
  <c r="J646" i="4"/>
  <c r="I646" i="4"/>
  <c r="R646" i="4" s="1"/>
  <c r="N646" i="4" s="1"/>
  <c r="Q645" i="4"/>
  <c r="M645" i="4"/>
  <c r="L645" i="4"/>
  <c r="K645" i="4"/>
  <c r="J645" i="4"/>
  <c r="I645" i="4"/>
  <c r="P645" i="4" s="1"/>
  <c r="Q644" i="4"/>
  <c r="M644" i="4"/>
  <c r="L644" i="4"/>
  <c r="K644" i="4"/>
  <c r="J644" i="4"/>
  <c r="I644" i="4"/>
  <c r="R644" i="4" s="1"/>
  <c r="N644" i="4" s="1"/>
  <c r="Q643" i="4"/>
  <c r="M643" i="4"/>
  <c r="L643" i="4"/>
  <c r="K643" i="4"/>
  <c r="J643" i="4"/>
  <c r="I643" i="4"/>
  <c r="P643" i="4" s="1"/>
  <c r="Q642" i="4"/>
  <c r="M642" i="4"/>
  <c r="L642" i="4"/>
  <c r="K642" i="4"/>
  <c r="J642" i="4"/>
  <c r="I642" i="4"/>
  <c r="R642" i="4" s="1"/>
  <c r="N642" i="4" s="1"/>
  <c r="Q641" i="4"/>
  <c r="L641" i="4"/>
  <c r="K641" i="4"/>
  <c r="J641" i="4"/>
  <c r="M641" i="4" s="1"/>
  <c r="I641" i="4"/>
  <c r="P641" i="4" s="1"/>
  <c r="Q640" i="4"/>
  <c r="P640" i="4"/>
  <c r="O640" i="4"/>
  <c r="M640" i="4"/>
  <c r="L640" i="4"/>
  <c r="K640" i="4"/>
  <c r="J640" i="4"/>
  <c r="I640" i="4"/>
  <c r="R640" i="4" s="1"/>
  <c r="N640" i="4" s="1"/>
  <c r="Q639" i="4"/>
  <c r="M639" i="4"/>
  <c r="L639" i="4"/>
  <c r="K639" i="4"/>
  <c r="J639" i="4"/>
  <c r="I639" i="4"/>
  <c r="P639" i="4" s="1"/>
  <c r="Q638" i="4"/>
  <c r="P638" i="4"/>
  <c r="M638" i="4"/>
  <c r="L638" i="4"/>
  <c r="K638" i="4"/>
  <c r="J638" i="4"/>
  <c r="I638" i="4"/>
  <c r="R638" i="4" s="1"/>
  <c r="N638" i="4" s="1"/>
  <c r="Q637" i="4"/>
  <c r="M637" i="4"/>
  <c r="L637" i="4"/>
  <c r="K637" i="4"/>
  <c r="J637" i="4"/>
  <c r="I637" i="4"/>
  <c r="P637" i="4" s="1"/>
  <c r="Q636" i="4"/>
  <c r="M636" i="4"/>
  <c r="L636" i="4"/>
  <c r="K636" i="4"/>
  <c r="J636" i="4"/>
  <c r="I636" i="4"/>
  <c r="R636" i="4" s="1"/>
  <c r="N636" i="4" s="1"/>
  <c r="Q635" i="4"/>
  <c r="M635" i="4"/>
  <c r="L635" i="4"/>
  <c r="K635" i="4"/>
  <c r="J635" i="4"/>
  <c r="I635" i="4"/>
  <c r="P635" i="4" s="1"/>
  <c r="Q634" i="4"/>
  <c r="M634" i="4"/>
  <c r="L634" i="4"/>
  <c r="K634" i="4"/>
  <c r="J634" i="4"/>
  <c r="I634" i="4"/>
  <c r="R634" i="4" s="1"/>
  <c r="N634" i="4" s="1"/>
  <c r="Q633" i="4"/>
  <c r="L633" i="4"/>
  <c r="K633" i="4"/>
  <c r="J633" i="4"/>
  <c r="M633" i="4" s="1"/>
  <c r="I633" i="4"/>
  <c r="P633" i="4" s="1"/>
  <c r="Q632" i="4"/>
  <c r="P632" i="4"/>
  <c r="O632" i="4"/>
  <c r="M632" i="4"/>
  <c r="L632" i="4"/>
  <c r="K632" i="4"/>
  <c r="J632" i="4"/>
  <c r="I632" i="4"/>
  <c r="R632" i="4" s="1"/>
  <c r="N632" i="4" s="1"/>
  <c r="Q631" i="4"/>
  <c r="M631" i="4"/>
  <c r="L631" i="4"/>
  <c r="K631" i="4"/>
  <c r="J631" i="4"/>
  <c r="I631" i="4"/>
  <c r="P631" i="4" s="1"/>
  <c r="Q630" i="4"/>
  <c r="P630" i="4"/>
  <c r="M630" i="4"/>
  <c r="L630" i="4"/>
  <c r="K630" i="4"/>
  <c r="J630" i="4"/>
  <c r="I630" i="4"/>
  <c r="R630" i="4" s="1"/>
  <c r="N630" i="4" s="1"/>
  <c r="Q629" i="4"/>
  <c r="M629" i="4"/>
  <c r="L629" i="4"/>
  <c r="K629" i="4"/>
  <c r="J629" i="4"/>
  <c r="I629" i="4"/>
  <c r="P629" i="4" s="1"/>
  <c r="Q628" i="4"/>
  <c r="M628" i="4"/>
  <c r="L628" i="4"/>
  <c r="K628" i="4"/>
  <c r="J628" i="4"/>
  <c r="I628" i="4"/>
  <c r="R628" i="4" s="1"/>
  <c r="N628" i="4" s="1"/>
  <c r="Q627" i="4"/>
  <c r="M627" i="4"/>
  <c r="L627" i="4"/>
  <c r="K627" i="4"/>
  <c r="J627" i="4"/>
  <c r="I627" i="4"/>
  <c r="P627" i="4" s="1"/>
  <c r="Q626" i="4"/>
  <c r="M626" i="4"/>
  <c r="L626" i="4"/>
  <c r="K626" i="4"/>
  <c r="J626" i="4"/>
  <c r="I626" i="4"/>
  <c r="R626" i="4" s="1"/>
  <c r="N626" i="4" s="1"/>
  <c r="Q625" i="4"/>
  <c r="L625" i="4"/>
  <c r="K625" i="4"/>
  <c r="J625" i="4"/>
  <c r="M625" i="4" s="1"/>
  <c r="I625" i="4"/>
  <c r="P625" i="4" s="1"/>
  <c r="Q624" i="4"/>
  <c r="P624" i="4"/>
  <c r="O624" i="4"/>
  <c r="M624" i="4"/>
  <c r="L624" i="4"/>
  <c r="K624" i="4"/>
  <c r="J624" i="4"/>
  <c r="I624" i="4"/>
  <c r="R624" i="4" s="1"/>
  <c r="N624" i="4" s="1"/>
  <c r="Q623" i="4"/>
  <c r="M623" i="4"/>
  <c r="L623" i="4"/>
  <c r="K623" i="4"/>
  <c r="J623" i="4"/>
  <c r="I623" i="4"/>
  <c r="P623" i="4" s="1"/>
  <c r="Q622" i="4"/>
  <c r="P622" i="4"/>
  <c r="M622" i="4"/>
  <c r="L622" i="4"/>
  <c r="K622" i="4"/>
  <c r="J622" i="4"/>
  <c r="I622" i="4"/>
  <c r="R622" i="4" s="1"/>
  <c r="N622" i="4" s="1"/>
  <c r="Q621" i="4"/>
  <c r="M621" i="4"/>
  <c r="L621" i="4"/>
  <c r="K621" i="4"/>
  <c r="J621" i="4"/>
  <c r="I621" i="4"/>
  <c r="P621" i="4" s="1"/>
  <c r="Q620" i="4"/>
  <c r="M620" i="4"/>
  <c r="L620" i="4"/>
  <c r="K620" i="4"/>
  <c r="J620" i="4"/>
  <c r="I620" i="4"/>
  <c r="R620" i="4" s="1"/>
  <c r="N620" i="4" s="1"/>
  <c r="Q619" i="4"/>
  <c r="M619" i="4"/>
  <c r="L619" i="4"/>
  <c r="K619" i="4"/>
  <c r="J619" i="4"/>
  <c r="I619" i="4"/>
  <c r="P619" i="4" s="1"/>
  <c r="Q618" i="4"/>
  <c r="M618" i="4"/>
  <c r="L618" i="4"/>
  <c r="K618" i="4"/>
  <c r="J618" i="4"/>
  <c r="I618" i="4"/>
  <c r="R618" i="4" s="1"/>
  <c r="N618" i="4" s="1"/>
  <c r="Q617" i="4"/>
  <c r="L617" i="4"/>
  <c r="K617" i="4"/>
  <c r="J617" i="4"/>
  <c r="M617" i="4" s="1"/>
  <c r="I617" i="4"/>
  <c r="P617" i="4" s="1"/>
  <c r="Q616" i="4"/>
  <c r="P616" i="4"/>
  <c r="O616" i="4"/>
  <c r="M616" i="4"/>
  <c r="L616" i="4"/>
  <c r="K616" i="4"/>
  <c r="J616" i="4"/>
  <c r="I616" i="4"/>
  <c r="R616" i="4" s="1"/>
  <c r="N616" i="4" s="1"/>
  <c r="Q615" i="4"/>
  <c r="M615" i="4"/>
  <c r="L615" i="4"/>
  <c r="K615" i="4"/>
  <c r="J615" i="4"/>
  <c r="I615" i="4"/>
  <c r="P615" i="4" s="1"/>
  <c r="Q614" i="4"/>
  <c r="P614" i="4"/>
  <c r="M614" i="4"/>
  <c r="L614" i="4"/>
  <c r="K614" i="4"/>
  <c r="J614" i="4"/>
  <c r="I614" i="4"/>
  <c r="R614" i="4" s="1"/>
  <c r="N614" i="4" s="1"/>
  <c r="Q613" i="4"/>
  <c r="M613" i="4"/>
  <c r="L613" i="4"/>
  <c r="K613" i="4"/>
  <c r="J613" i="4"/>
  <c r="I613" i="4"/>
  <c r="P613" i="4" s="1"/>
  <c r="Q612" i="4"/>
  <c r="M612" i="4"/>
  <c r="L612" i="4"/>
  <c r="K612" i="4"/>
  <c r="J612" i="4"/>
  <c r="I612" i="4"/>
  <c r="R612" i="4" s="1"/>
  <c r="N612" i="4" s="1"/>
  <c r="Q611" i="4"/>
  <c r="M611" i="4"/>
  <c r="L611" i="4"/>
  <c r="K611" i="4"/>
  <c r="J611" i="4"/>
  <c r="I611" i="4"/>
  <c r="P611" i="4" s="1"/>
  <c r="Q610" i="4"/>
  <c r="M610" i="4"/>
  <c r="L610" i="4"/>
  <c r="K610" i="4"/>
  <c r="J610" i="4"/>
  <c r="I610" i="4"/>
  <c r="R610" i="4" s="1"/>
  <c r="N610" i="4" s="1"/>
  <c r="Q609" i="4"/>
  <c r="L609" i="4"/>
  <c r="K609" i="4"/>
  <c r="J609" i="4"/>
  <c r="M609" i="4" s="1"/>
  <c r="I609" i="4"/>
  <c r="P609" i="4" s="1"/>
  <c r="Q608" i="4"/>
  <c r="P608" i="4"/>
  <c r="O608" i="4"/>
  <c r="M608" i="4"/>
  <c r="L608" i="4"/>
  <c r="K608" i="4"/>
  <c r="J608" i="4"/>
  <c r="I608" i="4"/>
  <c r="R608" i="4" s="1"/>
  <c r="N608" i="4" s="1"/>
  <c r="Q607" i="4"/>
  <c r="M607" i="4"/>
  <c r="L607" i="4"/>
  <c r="K607" i="4"/>
  <c r="J607" i="4"/>
  <c r="I607" i="4"/>
  <c r="P607" i="4" s="1"/>
  <c r="Q606" i="4"/>
  <c r="P606" i="4"/>
  <c r="M606" i="4"/>
  <c r="L606" i="4"/>
  <c r="K606" i="4"/>
  <c r="J606" i="4"/>
  <c r="I606" i="4"/>
  <c r="R606" i="4" s="1"/>
  <c r="N606" i="4" s="1"/>
  <c r="Q605" i="4"/>
  <c r="M605" i="4"/>
  <c r="L605" i="4"/>
  <c r="K605" i="4"/>
  <c r="J605" i="4"/>
  <c r="I605" i="4"/>
  <c r="P605" i="4" s="1"/>
  <c r="Q604" i="4"/>
  <c r="M604" i="4"/>
  <c r="L604" i="4"/>
  <c r="K604" i="4"/>
  <c r="J604" i="4"/>
  <c r="I604" i="4"/>
  <c r="R604" i="4" s="1"/>
  <c r="N604" i="4" s="1"/>
  <c r="Q603" i="4"/>
  <c r="M603" i="4"/>
  <c r="L603" i="4"/>
  <c r="K603" i="4"/>
  <c r="J603" i="4"/>
  <c r="I603" i="4"/>
  <c r="P603" i="4" s="1"/>
  <c r="Q602" i="4"/>
  <c r="M602" i="4"/>
  <c r="L602" i="4"/>
  <c r="K602" i="4"/>
  <c r="J602" i="4"/>
  <c r="I602" i="4"/>
  <c r="R602" i="4" s="1"/>
  <c r="N602" i="4" s="1"/>
  <c r="Q601" i="4"/>
  <c r="L601" i="4"/>
  <c r="K601" i="4"/>
  <c r="J601" i="4"/>
  <c r="M601" i="4" s="1"/>
  <c r="I601" i="4"/>
  <c r="P601" i="4" s="1"/>
  <c r="Q600" i="4"/>
  <c r="P600" i="4"/>
  <c r="O600" i="4"/>
  <c r="M600" i="4"/>
  <c r="L600" i="4"/>
  <c r="K600" i="4"/>
  <c r="J600" i="4"/>
  <c r="I600" i="4"/>
  <c r="R600" i="4" s="1"/>
  <c r="N600" i="4" s="1"/>
  <c r="Q599" i="4"/>
  <c r="M599" i="4"/>
  <c r="L599" i="4"/>
  <c r="K599" i="4"/>
  <c r="J599" i="4"/>
  <c r="I599" i="4"/>
  <c r="P599" i="4" s="1"/>
  <c r="Q598" i="4"/>
  <c r="P598" i="4"/>
  <c r="M598" i="4"/>
  <c r="L598" i="4"/>
  <c r="K598" i="4"/>
  <c r="J598" i="4"/>
  <c r="I598" i="4"/>
  <c r="R598" i="4" s="1"/>
  <c r="N598" i="4" s="1"/>
  <c r="Q597" i="4"/>
  <c r="M597" i="4"/>
  <c r="L597" i="4"/>
  <c r="K597" i="4"/>
  <c r="J597" i="4"/>
  <c r="I597" i="4"/>
  <c r="P597" i="4" s="1"/>
  <c r="Q596" i="4"/>
  <c r="M596" i="4"/>
  <c r="L596" i="4"/>
  <c r="K596" i="4"/>
  <c r="J596" i="4"/>
  <c r="I596" i="4"/>
  <c r="R596" i="4" s="1"/>
  <c r="N596" i="4" s="1"/>
  <c r="Q595" i="4"/>
  <c r="M595" i="4"/>
  <c r="L595" i="4"/>
  <c r="K595" i="4"/>
  <c r="J595" i="4"/>
  <c r="I595" i="4"/>
  <c r="P595" i="4" s="1"/>
  <c r="Q594" i="4"/>
  <c r="M594" i="4"/>
  <c r="L594" i="4"/>
  <c r="K594" i="4"/>
  <c r="J594" i="4"/>
  <c r="I594" i="4"/>
  <c r="R594" i="4" s="1"/>
  <c r="N594" i="4" s="1"/>
  <c r="Q593" i="4"/>
  <c r="L593" i="4"/>
  <c r="K593" i="4"/>
  <c r="J593" i="4"/>
  <c r="M593" i="4" s="1"/>
  <c r="I593" i="4"/>
  <c r="P593" i="4" s="1"/>
  <c r="Q592" i="4"/>
  <c r="P592" i="4"/>
  <c r="O592" i="4"/>
  <c r="M592" i="4"/>
  <c r="L592" i="4"/>
  <c r="K592" i="4"/>
  <c r="J592" i="4"/>
  <c r="I592" i="4"/>
  <c r="R592" i="4" s="1"/>
  <c r="N592" i="4" s="1"/>
  <c r="Q591" i="4"/>
  <c r="M591" i="4"/>
  <c r="L591" i="4"/>
  <c r="K591" i="4"/>
  <c r="J591" i="4"/>
  <c r="I591" i="4"/>
  <c r="P591" i="4" s="1"/>
  <c r="Q590" i="4"/>
  <c r="P590" i="4"/>
  <c r="M590" i="4"/>
  <c r="L590" i="4"/>
  <c r="K590" i="4"/>
  <c r="J590" i="4"/>
  <c r="I590" i="4"/>
  <c r="R590" i="4" s="1"/>
  <c r="N590" i="4" s="1"/>
  <c r="Q589" i="4"/>
  <c r="M589" i="4"/>
  <c r="L589" i="4"/>
  <c r="K589" i="4"/>
  <c r="J589" i="4"/>
  <c r="I589" i="4"/>
  <c r="P589" i="4" s="1"/>
  <c r="Q588" i="4"/>
  <c r="M588" i="4"/>
  <c r="L588" i="4"/>
  <c r="K588" i="4"/>
  <c r="J588" i="4"/>
  <c r="I588" i="4"/>
  <c r="R588" i="4" s="1"/>
  <c r="N588" i="4" s="1"/>
  <c r="Q587" i="4"/>
  <c r="M587" i="4"/>
  <c r="L587" i="4"/>
  <c r="K587" i="4"/>
  <c r="J587" i="4"/>
  <c r="I587" i="4"/>
  <c r="P587" i="4" s="1"/>
  <c r="Q586" i="4"/>
  <c r="M586" i="4"/>
  <c r="L586" i="4"/>
  <c r="K586" i="4"/>
  <c r="J586" i="4"/>
  <c r="I586" i="4"/>
  <c r="R586" i="4" s="1"/>
  <c r="N586" i="4" s="1"/>
  <c r="Q585" i="4"/>
  <c r="L585" i="4"/>
  <c r="K585" i="4"/>
  <c r="J585" i="4"/>
  <c r="M585" i="4" s="1"/>
  <c r="I585" i="4"/>
  <c r="P585" i="4" s="1"/>
  <c r="Q584" i="4"/>
  <c r="P584" i="4"/>
  <c r="O584" i="4"/>
  <c r="M584" i="4"/>
  <c r="L584" i="4"/>
  <c r="K584" i="4"/>
  <c r="J584" i="4"/>
  <c r="I584" i="4"/>
  <c r="R584" i="4" s="1"/>
  <c r="N584" i="4" s="1"/>
  <c r="Q583" i="4"/>
  <c r="M583" i="4"/>
  <c r="L583" i="4"/>
  <c r="K583" i="4"/>
  <c r="J583" i="4"/>
  <c r="I583" i="4"/>
  <c r="P583" i="4" s="1"/>
  <c r="Q582" i="4"/>
  <c r="P582" i="4"/>
  <c r="M582" i="4"/>
  <c r="L582" i="4"/>
  <c r="K582" i="4"/>
  <c r="J582" i="4"/>
  <c r="I582" i="4"/>
  <c r="R582" i="4" s="1"/>
  <c r="N582" i="4" s="1"/>
  <c r="Q581" i="4"/>
  <c r="M581" i="4"/>
  <c r="L581" i="4"/>
  <c r="K581" i="4"/>
  <c r="J581" i="4"/>
  <c r="I581" i="4"/>
  <c r="P581" i="4" s="1"/>
  <c r="Q580" i="4"/>
  <c r="M580" i="4"/>
  <c r="L580" i="4"/>
  <c r="K580" i="4"/>
  <c r="J580" i="4"/>
  <c r="I580" i="4"/>
  <c r="R580" i="4" s="1"/>
  <c r="N580" i="4" s="1"/>
  <c r="Q579" i="4"/>
  <c r="M579" i="4"/>
  <c r="L579" i="4"/>
  <c r="K579" i="4"/>
  <c r="J579" i="4"/>
  <c r="I579" i="4"/>
  <c r="P579" i="4" s="1"/>
  <c r="Q578" i="4"/>
  <c r="M578" i="4"/>
  <c r="L578" i="4"/>
  <c r="K578" i="4"/>
  <c r="J578" i="4"/>
  <c r="I578" i="4"/>
  <c r="R578" i="4" s="1"/>
  <c r="N578" i="4" s="1"/>
  <c r="Q577" i="4"/>
  <c r="L577" i="4"/>
  <c r="K577" i="4"/>
  <c r="J577" i="4"/>
  <c r="M577" i="4" s="1"/>
  <c r="I577" i="4"/>
  <c r="P577" i="4" s="1"/>
  <c r="Q576" i="4"/>
  <c r="P576" i="4"/>
  <c r="O576" i="4"/>
  <c r="M576" i="4"/>
  <c r="L576" i="4"/>
  <c r="K576" i="4"/>
  <c r="J576" i="4"/>
  <c r="I576" i="4"/>
  <c r="R576" i="4" s="1"/>
  <c r="N576" i="4" s="1"/>
  <c r="Q575" i="4"/>
  <c r="M575" i="4"/>
  <c r="L575" i="4"/>
  <c r="K575" i="4"/>
  <c r="J575" i="4"/>
  <c r="I575" i="4"/>
  <c r="P575" i="4" s="1"/>
  <c r="Q574" i="4"/>
  <c r="P574" i="4"/>
  <c r="M574" i="4"/>
  <c r="L574" i="4"/>
  <c r="K574" i="4"/>
  <c r="J574" i="4"/>
  <c r="I574" i="4"/>
  <c r="R574" i="4" s="1"/>
  <c r="N574" i="4" s="1"/>
  <c r="Q573" i="4"/>
  <c r="M573" i="4"/>
  <c r="L573" i="4"/>
  <c r="K573" i="4"/>
  <c r="J573" i="4"/>
  <c r="I573" i="4"/>
  <c r="P573" i="4" s="1"/>
  <c r="Q572" i="4"/>
  <c r="M572" i="4"/>
  <c r="L572" i="4"/>
  <c r="K572" i="4"/>
  <c r="J572" i="4"/>
  <c r="I572" i="4"/>
  <c r="R572" i="4" s="1"/>
  <c r="N572" i="4" s="1"/>
  <c r="Q571" i="4"/>
  <c r="M571" i="4"/>
  <c r="L571" i="4"/>
  <c r="K571" i="4"/>
  <c r="J571" i="4"/>
  <c r="I571" i="4"/>
  <c r="P571" i="4" s="1"/>
  <c r="Q570" i="4"/>
  <c r="M570" i="4"/>
  <c r="L570" i="4"/>
  <c r="K570" i="4"/>
  <c r="J570" i="4"/>
  <c r="I570" i="4"/>
  <c r="R570" i="4" s="1"/>
  <c r="N570" i="4" s="1"/>
  <c r="Q569" i="4"/>
  <c r="L569" i="4"/>
  <c r="K569" i="4"/>
  <c r="J569" i="4"/>
  <c r="M569" i="4" s="1"/>
  <c r="I569" i="4"/>
  <c r="P569" i="4" s="1"/>
  <c r="Q568" i="4"/>
  <c r="P568" i="4"/>
  <c r="O568" i="4"/>
  <c r="M568" i="4"/>
  <c r="L568" i="4"/>
  <c r="K568" i="4"/>
  <c r="J568" i="4"/>
  <c r="I568" i="4"/>
  <c r="R568" i="4" s="1"/>
  <c r="N568" i="4" s="1"/>
  <c r="Q567" i="4"/>
  <c r="M567" i="4"/>
  <c r="L567" i="4"/>
  <c r="K567" i="4"/>
  <c r="J567" i="4"/>
  <c r="I567" i="4"/>
  <c r="P567" i="4" s="1"/>
  <c r="Q566" i="4"/>
  <c r="P566" i="4"/>
  <c r="M566" i="4"/>
  <c r="L566" i="4"/>
  <c r="K566" i="4"/>
  <c r="J566" i="4"/>
  <c r="I566" i="4"/>
  <c r="R566" i="4" s="1"/>
  <c r="N566" i="4" s="1"/>
  <c r="Q565" i="4"/>
  <c r="M565" i="4"/>
  <c r="L565" i="4"/>
  <c r="K565" i="4"/>
  <c r="J565" i="4"/>
  <c r="I565" i="4"/>
  <c r="P565" i="4" s="1"/>
  <c r="Q564" i="4"/>
  <c r="M564" i="4"/>
  <c r="L564" i="4"/>
  <c r="K564" i="4"/>
  <c r="J564" i="4"/>
  <c r="I564" i="4"/>
  <c r="R564" i="4" s="1"/>
  <c r="N564" i="4" s="1"/>
  <c r="Q563" i="4"/>
  <c r="M563" i="4"/>
  <c r="L563" i="4"/>
  <c r="K563" i="4"/>
  <c r="J563" i="4"/>
  <c r="I563" i="4"/>
  <c r="P563" i="4" s="1"/>
  <c r="Q562" i="4"/>
  <c r="M562" i="4"/>
  <c r="L562" i="4"/>
  <c r="K562" i="4"/>
  <c r="J562" i="4"/>
  <c r="I562" i="4"/>
  <c r="R562" i="4" s="1"/>
  <c r="N562" i="4" s="1"/>
  <c r="Q561" i="4"/>
  <c r="L561" i="4"/>
  <c r="K561" i="4"/>
  <c r="J561" i="4"/>
  <c r="M561" i="4" s="1"/>
  <c r="I561" i="4"/>
  <c r="P561" i="4" s="1"/>
  <c r="Q560" i="4"/>
  <c r="P560" i="4"/>
  <c r="O560" i="4"/>
  <c r="M560" i="4"/>
  <c r="L560" i="4"/>
  <c r="K560" i="4"/>
  <c r="J560" i="4"/>
  <c r="I560" i="4"/>
  <c r="R560" i="4" s="1"/>
  <c r="N560" i="4" s="1"/>
  <c r="Q559" i="4"/>
  <c r="M559" i="4"/>
  <c r="L559" i="4"/>
  <c r="K559" i="4"/>
  <c r="J559" i="4"/>
  <c r="I559" i="4"/>
  <c r="P559" i="4" s="1"/>
  <c r="Q558" i="4"/>
  <c r="P558" i="4"/>
  <c r="M558" i="4"/>
  <c r="L558" i="4"/>
  <c r="K558" i="4"/>
  <c r="J558" i="4"/>
  <c r="I558" i="4"/>
  <c r="R558" i="4" s="1"/>
  <c r="N558" i="4" s="1"/>
  <c r="Q557" i="4"/>
  <c r="M557" i="4"/>
  <c r="L557" i="4"/>
  <c r="K557" i="4"/>
  <c r="J557" i="4"/>
  <c r="I557" i="4"/>
  <c r="P557" i="4" s="1"/>
  <c r="Q556" i="4"/>
  <c r="M556" i="4"/>
  <c r="L556" i="4"/>
  <c r="K556" i="4"/>
  <c r="J556" i="4"/>
  <c r="I556" i="4"/>
  <c r="R556" i="4" s="1"/>
  <c r="N556" i="4" s="1"/>
  <c r="Q555" i="4"/>
  <c r="M555" i="4"/>
  <c r="L555" i="4"/>
  <c r="K555" i="4"/>
  <c r="J555" i="4"/>
  <c r="I555" i="4"/>
  <c r="P555" i="4" s="1"/>
  <c r="Q554" i="4"/>
  <c r="M554" i="4"/>
  <c r="L554" i="4"/>
  <c r="K554" i="4"/>
  <c r="J554" i="4"/>
  <c r="I554" i="4"/>
  <c r="R554" i="4" s="1"/>
  <c r="N554" i="4" s="1"/>
  <c r="Q553" i="4"/>
  <c r="L553" i="4"/>
  <c r="K553" i="4"/>
  <c r="J553" i="4"/>
  <c r="M553" i="4" s="1"/>
  <c r="I553" i="4"/>
  <c r="P553" i="4" s="1"/>
  <c r="Q552" i="4"/>
  <c r="P552" i="4"/>
  <c r="O552" i="4"/>
  <c r="M552" i="4"/>
  <c r="L552" i="4"/>
  <c r="K552" i="4"/>
  <c r="J552" i="4"/>
  <c r="I552" i="4"/>
  <c r="R552" i="4" s="1"/>
  <c r="N552" i="4" s="1"/>
  <c r="Q551" i="4"/>
  <c r="M551" i="4"/>
  <c r="L551" i="4"/>
  <c r="K551" i="4"/>
  <c r="J551" i="4"/>
  <c r="I551" i="4"/>
  <c r="P551" i="4" s="1"/>
  <c r="Q550" i="4"/>
  <c r="P550" i="4"/>
  <c r="M550" i="4"/>
  <c r="L550" i="4"/>
  <c r="K550" i="4"/>
  <c r="J550" i="4"/>
  <c r="I550" i="4"/>
  <c r="R550" i="4" s="1"/>
  <c r="N550" i="4" s="1"/>
  <c r="Q549" i="4"/>
  <c r="M549" i="4"/>
  <c r="L549" i="4"/>
  <c r="K549" i="4"/>
  <c r="J549" i="4"/>
  <c r="I549" i="4"/>
  <c r="P549" i="4" s="1"/>
  <c r="Q548" i="4"/>
  <c r="M548" i="4"/>
  <c r="L548" i="4"/>
  <c r="K548" i="4"/>
  <c r="J548" i="4"/>
  <c r="I548" i="4"/>
  <c r="R548" i="4" s="1"/>
  <c r="N548" i="4" s="1"/>
  <c r="Q547" i="4"/>
  <c r="M547" i="4"/>
  <c r="L547" i="4"/>
  <c r="K547" i="4"/>
  <c r="J547" i="4"/>
  <c r="I547" i="4"/>
  <c r="P547" i="4" s="1"/>
  <c r="Q546" i="4"/>
  <c r="M546" i="4"/>
  <c r="L546" i="4"/>
  <c r="K546" i="4"/>
  <c r="J546" i="4"/>
  <c r="I546" i="4"/>
  <c r="R546" i="4" s="1"/>
  <c r="N546" i="4" s="1"/>
  <c r="Q545" i="4"/>
  <c r="L545" i="4"/>
  <c r="K545" i="4"/>
  <c r="J545" i="4"/>
  <c r="M545" i="4" s="1"/>
  <c r="I545" i="4"/>
  <c r="P545" i="4" s="1"/>
  <c r="Q544" i="4"/>
  <c r="P544" i="4"/>
  <c r="O544" i="4"/>
  <c r="M544" i="4"/>
  <c r="L544" i="4"/>
  <c r="K544" i="4"/>
  <c r="J544" i="4"/>
  <c r="I544" i="4"/>
  <c r="R544" i="4" s="1"/>
  <c r="N544" i="4" s="1"/>
  <c r="Q543" i="4"/>
  <c r="M543" i="4"/>
  <c r="L543" i="4"/>
  <c r="K543" i="4"/>
  <c r="J543" i="4"/>
  <c r="I543" i="4"/>
  <c r="P543" i="4" s="1"/>
  <c r="Q542" i="4"/>
  <c r="P542" i="4"/>
  <c r="M542" i="4"/>
  <c r="L542" i="4"/>
  <c r="K542" i="4"/>
  <c r="J542" i="4"/>
  <c r="I542" i="4"/>
  <c r="R542" i="4" s="1"/>
  <c r="N542" i="4" s="1"/>
  <c r="Q541" i="4"/>
  <c r="M541" i="4"/>
  <c r="L541" i="4"/>
  <c r="K541" i="4"/>
  <c r="J541" i="4"/>
  <c r="I541" i="4"/>
  <c r="P541" i="4" s="1"/>
  <c r="Q540" i="4"/>
  <c r="M540" i="4"/>
  <c r="L540" i="4"/>
  <c r="K540" i="4"/>
  <c r="J540" i="4"/>
  <c r="I540" i="4"/>
  <c r="R540" i="4" s="1"/>
  <c r="N540" i="4" s="1"/>
  <c r="Q539" i="4"/>
  <c r="M539" i="4"/>
  <c r="L539" i="4"/>
  <c r="K539" i="4"/>
  <c r="J539" i="4"/>
  <c r="I539" i="4"/>
  <c r="P539" i="4" s="1"/>
  <c r="Q538" i="4"/>
  <c r="M538" i="4"/>
  <c r="L538" i="4"/>
  <c r="K538" i="4"/>
  <c r="J538" i="4"/>
  <c r="I538" i="4"/>
  <c r="R538" i="4" s="1"/>
  <c r="N538" i="4" s="1"/>
  <c r="Q537" i="4"/>
  <c r="L537" i="4"/>
  <c r="K537" i="4"/>
  <c r="J537" i="4"/>
  <c r="M537" i="4" s="1"/>
  <c r="I537" i="4"/>
  <c r="P537" i="4" s="1"/>
  <c r="Q536" i="4"/>
  <c r="P536" i="4"/>
  <c r="O536" i="4"/>
  <c r="M536" i="4"/>
  <c r="L536" i="4"/>
  <c r="K536" i="4"/>
  <c r="J536" i="4"/>
  <c r="I536" i="4"/>
  <c r="R536" i="4" s="1"/>
  <c r="N536" i="4" s="1"/>
  <c r="Q535" i="4"/>
  <c r="M535" i="4"/>
  <c r="L535" i="4"/>
  <c r="K535" i="4"/>
  <c r="J535" i="4"/>
  <c r="I535" i="4"/>
  <c r="P535" i="4" s="1"/>
  <c r="Q534" i="4"/>
  <c r="P534" i="4"/>
  <c r="M534" i="4"/>
  <c r="L534" i="4"/>
  <c r="K534" i="4"/>
  <c r="J534" i="4"/>
  <c r="I534" i="4"/>
  <c r="R534" i="4" s="1"/>
  <c r="N534" i="4" s="1"/>
  <c r="Q533" i="4"/>
  <c r="M533" i="4"/>
  <c r="L533" i="4"/>
  <c r="K533" i="4"/>
  <c r="J533" i="4"/>
  <c r="I533" i="4"/>
  <c r="P533" i="4" s="1"/>
  <c r="Q532" i="4"/>
  <c r="M532" i="4"/>
  <c r="L532" i="4"/>
  <c r="K532" i="4"/>
  <c r="J532" i="4"/>
  <c r="I532" i="4"/>
  <c r="R532" i="4" s="1"/>
  <c r="N532" i="4" s="1"/>
  <c r="Q531" i="4"/>
  <c r="M531" i="4"/>
  <c r="L531" i="4"/>
  <c r="K531" i="4"/>
  <c r="J531" i="4"/>
  <c r="I531" i="4"/>
  <c r="P531" i="4" s="1"/>
  <c r="Q530" i="4"/>
  <c r="M530" i="4"/>
  <c r="L530" i="4"/>
  <c r="K530" i="4"/>
  <c r="J530" i="4"/>
  <c r="I530" i="4"/>
  <c r="R530" i="4" s="1"/>
  <c r="N530" i="4" s="1"/>
  <c r="Q529" i="4"/>
  <c r="L529" i="4"/>
  <c r="K529" i="4"/>
  <c r="J529" i="4"/>
  <c r="M529" i="4" s="1"/>
  <c r="I529" i="4"/>
  <c r="P529" i="4" s="1"/>
  <c r="Q528" i="4"/>
  <c r="P528" i="4"/>
  <c r="O528" i="4"/>
  <c r="M528" i="4"/>
  <c r="L528" i="4"/>
  <c r="K528" i="4"/>
  <c r="J528" i="4"/>
  <c r="I528" i="4"/>
  <c r="R528" i="4" s="1"/>
  <c r="N528" i="4" s="1"/>
  <c r="Q527" i="4"/>
  <c r="M527" i="4"/>
  <c r="L527" i="4"/>
  <c r="K527" i="4"/>
  <c r="J527" i="4"/>
  <c r="I527" i="4"/>
  <c r="P527" i="4" s="1"/>
  <c r="Q526" i="4"/>
  <c r="P526" i="4"/>
  <c r="M526" i="4"/>
  <c r="L526" i="4"/>
  <c r="K526" i="4"/>
  <c r="J526" i="4"/>
  <c r="I526" i="4"/>
  <c r="R526" i="4" s="1"/>
  <c r="N526" i="4" s="1"/>
  <c r="Q525" i="4"/>
  <c r="M525" i="4"/>
  <c r="L525" i="4"/>
  <c r="K525" i="4"/>
  <c r="J525" i="4"/>
  <c r="I525" i="4"/>
  <c r="P525" i="4" s="1"/>
  <c r="Q524" i="4"/>
  <c r="M524" i="4"/>
  <c r="L524" i="4"/>
  <c r="K524" i="4"/>
  <c r="J524" i="4"/>
  <c r="I524" i="4"/>
  <c r="R524" i="4" s="1"/>
  <c r="N524" i="4" s="1"/>
  <c r="Q523" i="4"/>
  <c r="M523" i="4"/>
  <c r="L523" i="4"/>
  <c r="K523" i="4"/>
  <c r="J523" i="4"/>
  <c r="I523" i="4"/>
  <c r="P523" i="4" s="1"/>
  <c r="Q522" i="4"/>
  <c r="M522" i="4"/>
  <c r="L522" i="4"/>
  <c r="K522" i="4"/>
  <c r="J522" i="4"/>
  <c r="I522" i="4"/>
  <c r="R522" i="4" s="1"/>
  <c r="N522" i="4" s="1"/>
  <c r="Q521" i="4"/>
  <c r="L521" i="4"/>
  <c r="K521" i="4"/>
  <c r="J521" i="4"/>
  <c r="M521" i="4" s="1"/>
  <c r="I521" i="4"/>
  <c r="P521" i="4" s="1"/>
  <c r="Q520" i="4"/>
  <c r="P520" i="4"/>
  <c r="O520" i="4"/>
  <c r="M520" i="4"/>
  <c r="L520" i="4"/>
  <c r="K520" i="4"/>
  <c r="J520" i="4"/>
  <c r="I520" i="4"/>
  <c r="R520" i="4" s="1"/>
  <c r="N520" i="4" s="1"/>
  <c r="Q519" i="4"/>
  <c r="M519" i="4"/>
  <c r="L519" i="4"/>
  <c r="K519" i="4"/>
  <c r="J519" i="4"/>
  <c r="I519" i="4"/>
  <c r="P519" i="4" s="1"/>
  <c r="Q518" i="4"/>
  <c r="P518" i="4"/>
  <c r="M518" i="4"/>
  <c r="L518" i="4"/>
  <c r="K518" i="4"/>
  <c r="J518" i="4"/>
  <c r="I518" i="4"/>
  <c r="R518" i="4" s="1"/>
  <c r="N518" i="4" s="1"/>
  <c r="Q517" i="4"/>
  <c r="M517" i="4"/>
  <c r="L517" i="4"/>
  <c r="K517" i="4"/>
  <c r="J517" i="4"/>
  <c r="I517" i="4"/>
  <c r="P517" i="4" s="1"/>
  <c r="Q516" i="4"/>
  <c r="M516" i="4"/>
  <c r="L516" i="4"/>
  <c r="K516" i="4"/>
  <c r="J516" i="4"/>
  <c r="I516" i="4"/>
  <c r="R516" i="4" s="1"/>
  <c r="N516" i="4" s="1"/>
  <c r="Q515" i="4"/>
  <c r="M515" i="4"/>
  <c r="L515" i="4"/>
  <c r="K515" i="4"/>
  <c r="J515" i="4"/>
  <c r="I515" i="4"/>
  <c r="P515" i="4" s="1"/>
  <c r="Q514" i="4"/>
  <c r="M514" i="4"/>
  <c r="L514" i="4"/>
  <c r="K514" i="4"/>
  <c r="J514" i="4"/>
  <c r="I514" i="4"/>
  <c r="R514" i="4" s="1"/>
  <c r="N514" i="4" s="1"/>
  <c r="Q513" i="4"/>
  <c r="L513" i="4"/>
  <c r="K513" i="4"/>
  <c r="J513" i="4"/>
  <c r="M513" i="4" s="1"/>
  <c r="I513" i="4"/>
  <c r="P513" i="4" s="1"/>
  <c r="Q512" i="4"/>
  <c r="P512" i="4"/>
  <c r="O512" i="4"/>
  <c r="M512" i="4"/>
  <c r="L512" i="4"/>
  <c r="K512" i="4"/>
  <c r="J512" i="4"/>
  <c r="I512" i="4"/>
  <c r="R512" i="4" s="1"/>
  <c r="N512" i="4" s="1"/>
  <c r="Q511" i="4"/>
  <c r="M511" i="4"/>
  <c r="L511" i="4"/>
  <c r="K511" i="4"/>
  <c r="J511" i="4"/>
  <c r="I511" i="4"/>
  <c r="P511" i="4" s="1"/>
  <c r="Q510" i="4"/>
  <c r="P510" i="4"/>
  <c r="M510" i="4"/>
  <c r="L510" i="4"/>
  <c r="K510" i="4"/>
  <c r="J510" i="4"/>
  <c r="I510" i="4"/>
  <c r="R510" i="4" s="1"/>
  <c r="N510" i="4" s="1"/>
  <c r="Q509" i="4"/>
  <c r="M509" i="4"/>
  <c r="L509" i="4"/>
  <c r="K509" i="4"/>
  <c r="J509" i="4"/>
  <c r="I509" i="4"/>
  <c r="P509" i="4" s="1"/>
  <c r="Q508" i="4"/>
  <c r="M508" i="4"/>
  <c r="L508" i="4"/>
  <c r="K508" i="4"/>
  <c r="J508" i="4"/>
  <c r="I508" i="4"/>
  <c r="R508" i="4" s="1"/>
  <c r="N508" i="4" s="1"/>
  <c r="Q507" i="4"/>
  <c r="M507" i="4"/>
  <c r="L507" i="4"/>
  <c r="K507" i="4"/>
  <c r="J507" i="4"/>
  <c r="I507" i="4"/>
  <c r="P507" i="4" s="1"/>
  <c r="Q506" i="4"/>
  <c r="M506" i="4"/>
  <c r="L506" i="4"/>
  <c r="K506" i="4"/>
  <c r="J506" i="4"/>
  <c r="I506" i="4"/>
  <c r="R506" i="4" s="1"/>
  <c r="N506" i="4" s="1"/>
  <c r="Q505" i="4"/>
  <c r="L505" i="4"/>
  <c r="K505" i="4"/>
  <c r="J505" i="4"/>
  <c r="M505" i="4" s="1"/>
  <c r="I505" i="4"/>
  <c r="P505" i="4" s="1"/>
  <c r="Q504" i="4"/>
  <c r="P504" i="4"/>
  <c r="O504" i="4"/>
  <c r="M504" i="4"/>
  <c r="L504" i="4"/>
  <c r="K504" i="4"/>
  <c r="J504" i="4"/>
  <c r="I504" i="4"/>
  <c r="R504" i="4" s="1"/>
  <c r="N504" i="4" s="1"/>
  <c r="Q503" i="4"/>
  <c r="M503" i="4"/>
  <c r="L503" i="4"/>
  <c r="K503" i="4"/>
  <c r="J503" i="4"/>
  <c r="I503" i="4"/>
  <c r="P503" i="4" s="1"/>
  <c r="Q502" i="4"/>
  <c r="P502" i="4"/>
  <c r="M502" i="4"/>
  <c r="L502" i="4"/>
  <c r="K502" i="4"/>
  <c r="J502" i="4"/>
  <c r="I502" i="4"/>
  <c r="R502" i="4" s="1"/>
  <c r="N502" i="4" s="1"/>
  <c r="Q501" i="4"/>
  <c r="M501" i="4"/>
  <c r="L501" i="4"/>
  <c r="K501" i="4"/>
  <c r="J501" i="4"/>
  <c r="I501" i="4"/>
  <c r="P501" i="4" s="1"/>
  <c r="Q500" i="4"/>
  <c r="M500" i="4"/>
  <c r="L500" i="4"/>
  <c r="K500" i="4"/>
  <c r="J500" i="4"/>
  <c r="I500" i="4"/>
  <c r="R500" i="4" s="1"/>
  <c r="N500" i="4" s="1"/>
  <c r="Q499" i="4"/>
  <c r="M499" i="4"/>
  <c r="L499" i="4"/>
  <c r="K499" i="4"/>
  <c r="J499" i="4"/>
  <c r="I499" i="4"/>
  <c r="P499" i="4" s="1"/>
  <c r="Q498" i="4"/>
  <c r="M498" i="4"/>
  <c r="L498" i="4"/>
  <c r="K498" i="4"/>
  <c r="J498" i="4"/>
  <c r="I498" i="4"/>
  <c r="R498" i="4" s="1"/>
  <c r="N498" i="4" s="1"/>
  <c r="Q497" i="4"/>
  <c r="L497" i="4"/>
  <c r="K497" i="4"/>
  <c r="J497" i="4"/>
  <c r="M497" i="4" s="1"/>
  <c r="I497" i="4"/>
  <c r="P497" i="4" s="1"/>
  <c r="Q496" i="4"/>
  <c r="P496" i="4"/>
  <c r="O496" i="4"/>
  <c r="M496" i="4"/>
  <c r="L496" i="4"/>
  <c r="K496" i="4"/>
  <c r="J496" i="4"/>
  <c r="I496" i="4"/>
  <c r="R496" i="4" s="1"/>
  <c r="N496" i="4" s="1"/>
  <c r="Q495" i="4"/>
  <c r="M495" i="4"/>
  <c r="L495" i="4"/>
  <c r="K495" i="4"/>
  <c r="J495" i="4"/>
  <c r="I495" i="4"/>
  <c r="P495" i="4" s="1"/>
  <c r="Q494" i="4"/>
  <c r="P494" i="4"/>
  <c r="M494" i="4"/>
  <c r="L494" i="4"/>
  <c r="K494" i="4"/>
  <c r="J494" i="4"/>
  <c r="I494" i="4"/>
  <c r="R494" i="4" s="1"/>
  <c r="N494" i="4" s="1"/>
  <c r="Q493" i="4"/>
  <c r="M493" i="4"/>
  <c r="L493" i="4"/>
  <c r="K493" i="4"/>
  <c r="J493" i="4"/>
  <c r="I493" i="4"/>
  <c r="P493" i="4" s="1"/>
  <c r="Q492" i="4"/>
  <c r="M492" i="4"/>
  <c r="L492" i="4"/>
  <c r="K492" i="4"/>
  <c r="J492" i="4"/>
  <c r="I492" i="4"/>
  <c r="R492" i="4" s="1"/>
  <c r="N492" i="4" s="1"/>
  <c r="Q491" i="4"/>
  <c r="M491" i="4"/>
  <c r="L491" i="4"/>
  <c r="K491" i="4"/>
  <c r="J491" i="4"/>
  <c r="I491" i="4"/>
  <c r="P491" i="4" s="1"/>
  <c r="Q490" i="4"/>
  <c r="M490" i="4"/>
  <c r="L490" i="4"/>
  <c r="K490" i="4"/>
  <c r="J490" i="4"/>
  <c r="I490" i="4"/>
  <c r="R490" i="4" s="1"/>
  <c r="N490" i="4" s="1"/>
  <c r="Q489" i="4"/>
  <c r="L489" i="4"/>
  <c r="K489" i="4"/>
  <c r="J489" i="4"/>
  <c r="M489" i="4" s="1"/>
  <c r="I489" i="4"/>
  <c r="P489" i="4" s="1"/>
  <c r="Q488" i="4"/>
  <c r="P488" i="4"/>
  <c r="O488" i="4"/>
  <c r="M488" i="4"/>
  <c r="L488" i="4"/>
  <c r="K488" i="4"/>
  <c r="J488" i="4"/>
  <c r="I488" i="4"/>
  <c r="R488" i="4" s="1"/>
  <c r="N488" i="4" s="1"/>
  <c r="Q487" i="4"/>
  <c r="M487" i="4"/>
  <c r="L487" i="4"/>
  <c r="K487" i="4"/>
  <c r="J487" i="4"/>
  <c r="I487" i="4"/>
  <c r="P487" i="4" s="1"/>
  <c r="Q486" i="4"/>
  <c r="P486" i="4"/>
  <c r="M486" i="4"/>
  <c r="L486" i="4"/>
  <c r="K486" i="4"/>
  <c r="J486" i="4"/>
  <c r="I486" i="4"/>
  <c r="R486" i="4" s="1"/>
  <c r="N486" i="4" s="1"/>
  <c r="Q485" i="4"/>
  <c r="M485" i="4"/>
  <c r="L485" i="4"/>
  <c r="K485" i="4"/>
  <c r="J485" i="4"/>
  <c r="I485" i="4"/>
  <c r="P485" i="4" s="1"/>
  <c r="Q484" i="4"/>
  <c r="M484" i="4"/>
  <c r="L484" i="4"/>
  <c r="K484" i="4"/>
  <c r="J484" i="4"/>
  <c r="I484" i="4"/>
  <c r="R484" i="4" s="1"/>
  <c r="N484" i="4" s="1"/>
  <c r="Q483" i="4"/>
  <c r="M483" i="4"/>
  <c r="L483" i="4"/>
  <c r="K483" i="4"/>
  <c r="J483" i="4"/>
  <c r="I483" i="4"/>
  <c r="P483" i="4" s="1"/>
  <c r="Q482" i="4"/>
  <c r="M482" i="4"/>
  <c r="L482" i="4"/>
  <c r="K482" i="4"/>
  <c r="J482" i="4"/>
  <c r="I482" i="4"/>
  <c r="R482" i="4" s="1"/>
  <c r="N482" i="4" s="1"/>
  <c r="Q481" i="4"/>
  <c r="L481" i="4"/>
  <c r="K481" i="4"/>
  <c r="J481" i="4"/>
  <c r="M481" i="4" s="1"/>
  <c r="I481" i="4"/>
  <c r="P481" i="4" s="1"/>
  <c r="Q480" i="4"/>
  <c r="P480" i="4"/>
  <c r="O480" i="4"/>
  <c r="M480" i="4"/>
  <c r="L480" i="4"/>
  <c r="K480" i="4"/>
  <c r="J480" i="4"/>
  <c r="I480" i="4"/>
  <c r="R480" i="4" s="1"/>
  <c r="N480" i="4" s="1"/>
  <c r="Q479" i="4"/>
  <c r="M479" i="4"/>
  <c r="L479" i="4"/>
  <c r="K479" i="4"/>
  <c r="J479" i="4"/>
  <c r="I479" i="4"/>
  <c r="P479" i="4" s="1"/>
  <c r="Q478" i="4"/>
  <c r="P478" i="4"/>
  <c r="M478" i="4"/>
  <c r="L478" i="4"/>
  <c r="K478" i="4"/>
  <c r="J478" i="4"/>
  <c r="I478" i="4"/>
  <c r="R478" i="4" s="1"/>
  <c r="N478" i="4" s="1"/>
  <c r="Q477" i="4"/>
  <c r="M477" i="4"/>
  <c r="L477" i="4"/>
  <c r="K477" i="4"/>
  <c r="J477" i="4"/>
  <c r="I477" i="4"/>
  <c r="P477" i="4" s="1"/>
  <c r="Q476" i="4"/>
  <c r="M476" i="4"/>
  <c r="L476" i="4"/>
  <c r="K476" i="4"/>
  <c r="J476" i="4"/>
  <c r="I476" i="4"/>
  <c r="R476" i="4" s="1"/>
  <c r="N476" i="4" s="1"/>
  <c r="Q475" i="4"/>
  <c r="M475" i="4"/>
  <c r="L475" i="4"/>
  <c r="K475" i="4"/>
  <c r="J475" i="4"/>
  <c r="I475" i="4"/>
  <c r="P475" i="4" s="1"/>
  <c r="Q474" i="4"/>
  <c r="M474" i="4"/>
  <c r="L474" i="4"/>
  <c r="K474" i="4"/>
  <c r="J474" i="4"/>
  <c r="I474" i="4"/>
  <c r="R474" i="4" s="1"/>
  <c r="N474" i="4" s="1"/>
  <c r="Q473" i="4"/>
  <c r="L473" i="4"/>
  <c r="K473" i="4"/>
  <c r="J473" i="4"/>
  <c r="M473" i="4" s="1"/>
  <c r="I473" i="4"/>
  <c r="P473" i="4" s="1"/>
  <c r="Q472" i="4"/>
  <c r="P472" i="4"/>
  <c r="O472" i="4"/>
  <c r="M472" i="4"/>
  <c r="L472" i="4"/>
  <c r="K472" i="4"/>
  <c r="J472" i="4"/>
  <c r="I472" i="4"/>
  <c r="R472" i="4" s="1"/>
  <c r="N472" i="4" s="1"/>
  <c r="Q471" i="4"/>
  <c r="M471" i="4"/>
  <c r="L471" i="4"/>
  <c r="K471" i="4"/>
  <c r="J471" i="4"/>
  <c r="I471" i="4"/>
  <c r="P471" i="4" s="1"/>
  <c r="Q470" i="4"/>
  <c r="P470" i="4"/>
  <c r="M470" i="4"/>
  <c r="L470" i="4"/>
  <c r="K470" i="4"/>
  <c r="J470" i="4"/>
  <c r="I470" i="4"/>
  <c r="R470" i="4" s="1"/>
  <c r="N470" i="4" s="1"/>
  <c r="Q469" i="4"/>
  <c r="M469" i="4"/>
  <c r="L469" i="4"/>
  <c r="K469" i="4"/>
  <c r="J469" i="4"/>
  <c r="I469" i="4"/>
  <c r="P469" i="4" s="1"/>
  <c r="Q468" i="4"/>
  <c r="M468" i="4"/>
  <c r="L468" i="4"/>
  <c r="K468" i="4"/>
  <c r="J468" i="4"/>
  <c r="I468" i="4"/>
  <c r="R468" i="4" s="1"/>
  <c r="N468" i="4" s="1"/>
  <c r="Q467" i="4"/>
  <c r="M467" i="4"/>
  <c r="L467" i="4"/>
  <c r="K467" i="4"/>
  <c r="J467" i="4"/>
  <c r="I467" i="4"/>
  <c r="P467" i="4" s="1"/>
  <c r="Q466" i="4"/>
  <c r="M466" i="4"/>
  <c r="L466" i="4"/>
  <c r="K466" i="4"/>
  <c r="J466" i="4"/>
  <c r="I466" i="4"/>
  <c r="R466" i="4" s="1"/>
  <c r="N466" i="4" s="1"/>
  <c r="Q465" i="4"/>
  <c r="L465" i="4"/>
  <c r="K465" i="4"/>
  <c r="J465" i="4"/>
  <c r="M465" i="4" s="1"/>
  <c r="I465" i="4"/>
  <c r="P465" i="4" s="1"/>
  <c r="Q464" i="4"/>
  <c r="P464" i="4"/>
  <c r="O464" i="4"/>
  <c r="M464" i="4"/>
  <c r="L464" i="4"/>
  <c r="K464" i="4"/>
  <c r="J464" i="4"/>
  <c r="I464" i="4"/>
  <c r="R464" i="4" s="1"/>
  <c r="N464" i="4" s="1"/>
  <c r="Q463" i="4"/>
  <c r="M463" i="4"/>
  <c r="L463" i="4"/>
  <c r="K463" i="4"/>
  <c r="J463" i="4"/>
  <c r="I463" i="4"/>
  <c r="P463" i="4" s="1"/>
  <c r="Q462" i="4"/>
  <c r="P462" i="4"/>
  <c r="M462" i="4"/>
  <c r="L462" i="4"/>
  <c r="K462" i="4"/>
  <c r="J462" i="4"/>
  <c r="I462" i="4"/>
  <c r="R462" i="4" s="1"/>
  <c r="N462" i="4" s="1"/>
  <c r="Q461" i="4"/>
  <c r="M461" i="4"/>
  <c r="L461" i="4"/>
  <c r="K461" i="4"/>
  <c r="J461" i="4"/>
  <c r="I461" i="4"/>
  <c r="P461" i="4" s="1"/>
  <c r="Q460" i="4"/>
  <c r="M460" i="4"/>
  <c r="L460" i="4"/>
  <c r="K460" i="4"/>
  <c r="J460" i="4"/>
  <c r="I460" i="4"/>
  <c r="R460" i="4" s="1"/>
  <c r="N460" i="4" s="1"/>
  <c r="Q459" i="4"/>
  <c r="M459" i="4"/>
  <c r="L459" i="4"/>
  <c r="K459" i="4"/>
  <c r="J459" i="4"/>
  <c r="I459" i="4"/>
  <c r="P459" i="4" s="1"/>
  <c r="Q458" i="4"/>
  <c r="M458" i="4"/>
  <c r="L458" i="4"/>
  <c r="K458" i="4"/>
  <c r="J458" i="4"/>
  <c r="I458" i="4"/>
  <c r="R458" i="4" s="1"/>
  <c r="N458" i="4" s="1"/>
  <c r="Q457" i="4"/>
  <c r="L457" i="4"/>
  <c r="K457" i="4"/>
  <c r="J457" i="4"/>
  <c r="M457" i="4" s="1"/>
  <c r="I457" i="4"/>
  <c r="P457" i="4" s="1"/>
  <c r="Q456" i="4"/>
  <c r="P456" i="4"/>
  <c r="O456" i="4"/>
  <c r="M456" i="4"/>
  <c r="L456" i="4"/>
  <c r="K456" i="4"/>
  <c r="J456" i="4"/>
  <c r="I456" i="4"/>
  <c r="R456" i="4" s="1"/>
  <c r="N456" i="4" s="1"/>
  <c r="Q455" i="4"/>
  <c r="M455" i="4"/>
  <c r="L455" i="4"/>
  <c r="K455" i="4"/>
  <c r="J455" i="4"/>
  <c r="I455" i="4"/>
  <c r="P455" i="4" s="1"/>
  <c r="Q454" i="4"/>
  <c r="P454" i="4"/>
  <c r="M454" i="4"/>
  <c r="L454" i="4"/>
  <c r="K454" i="4"/>
  <c r="J454" i="4"/>
  <c r="I454" i="4"/>
  <c r="R454" i="4" s="1"/>
  <c r="N454" i="4" s="1"/>
  <c r="Q453" i="4"/>
  <c r="M453" i="4"/>
  <c r="L453" i="4"/>
  <c r="K453" i="4"/>
  <c r="J453" i="4"/>
  <c r="I453" i="4"/>
  <c r="P453" i="4" s="1"/>
  <c r="Q452" i="4"/>
  <c r="M452" i="4"/>
  <c r="L452" i="4"/>
  <c r="K452" i="4"/>
  <c r="J452" i="4"/>
  <c r="I452" i="4"/>
  <c r="R452" i="4" s="1"/>
  <c r="N452" i="4" s="1"/>
  <c r="Q451" i="4"/>
  <c r="M451" i="4"/>
  <c r="L451" i="4"/>
  <c r="K451" i="4"/>
  <c r="J451" i="4"/>
  <c r="I451" i="4"/>
  <c r="P451" i="4" s="1"/>
  <c r="Q450" i="4"/>
  <c r="M450" i="4"/>
  <c r="L450" i="4"/>
  <c r="K450" i="4"/>
  <c r="J450" i="4"/>
  <c r="I450" i="4"/>
  <c r="R450" i="4" s="1"/>
  <c r="N450" i="4" s="1"/>
  <c r="Q449" i="4"/>
  <c r="L449" i="4"/>
  <c r="K449" i="4"/>
  <c r="J449" i="4"/>
  <c r="M449" i="4" s="1"/>
  <c r="I449" i="4"/>
  <c r="P449" i="4" s="1"/>
  <c r="Q448" i="4"/>
  <c r="P448" i="4"/>
  <c r="O448" i="4"/>
  <c r="M448" i="4"/>
  <c r="L448" i="4"/>
  <c r="K448" i="4"/>
  <c r="J448" i="4"/>
  <c r="I448" i="4"/>
  <c r="R448" i="4" s="1"/>
  <c r="N448" i="4" s="1"/>
  <c r="Q447" i="4"/>
  <c r="M447" i="4"/>
  <c r="L447" i="4"/>
  <c r="K447" i="4"/>
  <c r="J447" i="4"/>
  <c r="I447" i="4"/>
  <c r="P447" i="4" s="1"/>
  <c r="Q446" i="4"/>
  <c r="P446" i="4"/>
  <c r="M446" i="4"/>
  <c r="L446" i="4"/>
  <c r="K446" i="4"/>
  <c r="J446" i="4"/>
  <c r="I446" i="4"/>
  <c r="R446" i="4" s="1"/>
  <c r="N446" i="4" s="1"/>
  <c r="Q445" i="4"/>
  <c r="M445" i="4"/>
  <c r="L445" i="4"/>
  <c r="K445" i="4"/>
  <c r="J445" i="4"/>
  <c r="I445" i="4"/>
  <c r="P445" i="4" s="1"/>
  <c r="Q444" i="4"/>
  <c r="M444" i="4"/>
  <c r="L444" i="4"/>
  <c r="K444" i="4"/>
  <c r="J444" i="4"/>
  <c r="I444" i="4"/>
  <c r="R444" i="4" s="1"/>
  <c r="N444" i="4" s="1"/>
  <c r="Q443" i="4"/>
  <c r="M443" i="4"/>
  <c r="L443" i="4"/>
  <c r="K443" i="4"/>
  <c r="J443" i="4"/>
  <c r="I443" i="4"/>
  <c r="P443" i="4" s="1"/>
  <c r="Q442" i="4"/>
  <c r="M442" i="4"/>
  <c r="L442" i="4"/>
  <c r="K442" i="4"/>
  <c r="J442" i="4"/>
  <c r="I442" i="4"/>
  <c r="R442" i="4" s="1"/>
  <c r="N442" i="4" s="1"/>
  <c r="Q441" i="4"/>
  <c r="L441" i="4"/>
  <c r="K441" i="4"/>
  <c r="J441" i="4"/>
  <c r="M441" i="4" s="1"/>
  <c r="I441" i="4"/>
  <c r="P441" i="4" s="1"/>
  <c r="Q440" i="4"/>
  <c r="P440" i="4"/>
  <c r="O440" i="4"/>
  <c r="M440" i="4"/>
  <c r="L440" i="4"/>
  <c r="K440" i="4"/>
  <c r="J440" i="4"/>
  <c r="I440" i="4"/>
  <c r="R440" i="4" s="1"/>
  <c r="N440" i="4" s="1"/>
  <c r="Q439" i="4"/>
  <c r="M439" i="4"/>
  <c r="L439" i="4"/>
  <c r="K439" i="4"/>
  <c r="J439" i="4"/>
  <c r="I439" i="4"/>
  <c r="P439" i="4" s="1"/>
  <c r="Q438" i="4"/>
  <c r="P438" i="4"/>
  <c r="M438" i="4"/>
  <c r="L438" i="4"/>
  <c r="K438" i="4"/>
  <c r="J438" i="4"/>
  <c r="I438" i="4"/>
  <c r="R438" i="4" s="1"/>
  <c r="N438" i="4" s="1"/>
  <c r="Q437" i="4"/>
  <c r="M437" i="4"/>
  <c r="L437" i="4"/>
  <c r="K437" i="4"/>
  <c r="J437" i="4"/>
  <c r="I437" i="4"/>
  <c r="P437" i="4" s="1"/>
  <c r="Q436" i="4"/>
  <c r="M436" i="4"/>
  <c r="L436" i="4"/>
  <c r="K436" i="4"/>
  <c r="J436" i="4"/>
  <c r="I436" i="4"/>
  <c r="R436" i="4" s="1"/>
  <c r="N436" i="4" s="1"/>
  <c r="Q435" i="4"/>
  <c r="M435" i="4"/>
  <c r="L435" i="4"/>
  <c r="K435" i="4"/>
  <c r="J435" i="4"/>
  <c r="I435" i="4"/>
  <c r="P435" i="4" s="1"/>
  <c r="Q434" i="4"/>
  <c r="M434" i="4"/>
  <c r="L434" i="4"/>
  <c r="K434" i="4"/>
  <c r="J434" i="4"/>
  <c r="I434" i="4"/>
  <c r="R434" i="4" s="1"/>
  <c r="N434" i="4" s="1"/>
  <c r="Q433" i="4"/>
  <c r="L433" i="4"/>
  <c r="K433" i="4"/>
  <c r="J433" i="4"/>
  <c r="M433" i="4" s="1"/>
  <c r="I433" i="4"/>
  <c r="P433" i="4" s="1"/>
  <c r="Q432" i="4"/>
  <c r="P432" i="4"/>
  <c r="O432" i="4"/>
  <c r="M432" i="4"/>
  <c r="L432" i="4"/>
  <c r="K432" i="4"/>
  <c r="J432" i="4"/>
  <c r="I432" i="4"/>
  <c r="R432" i="4" s="1"/>
  <c r="N432" i="4" s="1"/>
  <c r="Q431" i="4"/>
  <c r="M431" i="4"/>
  <c r="L431" i="4"/>
  <c r="K431" i="4"/>
  <c r="J431" i="4"/>
  <c r="I431" i="4"/>
  <c r="P431" i="4" s="1"/>
  <c r="Q430" i="4"/>
  <c r="P430" i="4"/>
  <c r="M430" i="4"/>
  <c r="L430" i="4"/>
  <c r="K430" i="4"/>
  <c r="J430" i="4"/>
  <c r="I430" i="4"/>
  <c r="R430" i="4" s="1"/>
  <c r="N430" i="4" s="1"/>
  <c r="Q429" i="4"/>
  <c r="M429" i="4"/>
  <c r="L429" i="4"/>
  <c r="K429" i="4"/>
  <c r="J429" i="4"/>
  <c r="I429" i="4"/>
  <c r="P429" i="4" s="1"/>
  <c r="Q428" i="4"/>
  <c r="M428" i="4"/>
  <c r="L428" i="4"/>
  <c r="K428" i="4"/>
  <c r="J428" i="4"/>
  <c r="I428" i="4"/>
  <c r="R428" i="4" s="1"/>
  <c r="N428" i="4" s="1"/>
  <c r="Q427" i="4"/>
  <c r="M427" i="4"/>
  <c r="L427" i="4"/>
  <c r="K427" i="4"/>
  <c r="J427" i="4"/>
  <c r="I427" i="4"/>
  <c r="P427" i="4" s="1"/>
  <c r="Q426" i="4"/>
  <c r="M426" i="4"/>
  <c r="L426" i="4"/>
  <c r="K426" i="4"/>
  <c r="J426" i="4"/>
  <c r="I426" i="4"/>
  <c r="R426" i="4" s="1"/>
  <c r="N426" i="4" s="1"/>
  <c r="Q425" i="4"/>
  <c r="L425" i="4"/>
  <c r="K425" i="4"/>
  <c r="J425" i="4"/>
  <c r="M425" i="4" s="1"/>
  <c r="I425" i="4"/>
  <c r="P425" i="4" s="1"/>
  <c r="Q424" i="4"/>
  <c r="P424" i="4"/>
  <c r="O424" i="4"/>
  <c r="M424" i="4"/>
  <c r="L424" i="4"/>
  <c r="K424" i="4"/>
  <c r="J424" i="4"/>
  <c r="I424" i="4"/>
  <c r="R424" i="4" s="1"/>
  <c r="N424" i="4" s="1"/>
  <c r="Q423" i="4"/>
  <c r="M423" i="4"/>
  <c r="L423" i="4"/>
  <c r="K423" i="4"/>
  <c r="J423" i="4"/>
  <c r="I423" i="4"/>
  <c r="P423" i="4" s="1"/>
  <c r="Q422" i="4"/>
  <c r="P422" i="4"/>
  <c r="M422" i="4"/>
  <c r="L422" i="4"/>
  <c r="K422" i="4"/>
  <c r="J422" i="4"/>
  <c r="I422" i="4"/>
  <c r="R422" i="4" s="1"/>
  <c r="N422" i="4" s="1"/>
  <c r="Q421" i="4"/>
  <c r="M421" i="4"/>
  <c r="L421" i="4"/>
  <c r="K421" i="4"/>
  <c r="J421" i="4"/>
  <c r="I421" i="4"/>
  <c r="P421" i="4" s="1"/>
  <c r="Q420" i="4"/>
  <c r="M420" i="4"/>
  <c r="L420" i="4"/>
  <c r="K420" i="4"/>
  <c r="J420" i="4"/>
  <c r="I420" i="4"/>
  <c r="R420" i="4" s="1"/>
  <c r="N420" i="4" s="1"/>
  <c r="Q419" i="4"/>
  <c r="M419" i="4"/>
  <c r="L419" i="4"/>
  <c r="K419" i="4"/>
  <c r="J419" i="4"/>
  <c r="I419" i="4"/>
  <c r="P419" i="4" s="1"/>
  <c r="Q418" i="4"/>
  <c r="M418" i="4"/>
  <c r="L418" i="4"/>
  <c r="K418" i="4"/>
  <c r="J418" i="4"/>
  <c r="I418" i="4"/>
  <c r="R418" i="4" s="1"/>
  <c r="N418" i="4" s="1"/>
  <c r="Q417" i="4"/>
  <c r="L417" i="4"/>
  <c r="K417" i="4"/>
  <c r="J417" i="4"/>
  <c r="M417" i="4" s="1"/>
  <c r="I417" i="4"/>
  <c r="P417" i="4" s="1"/>
  <c r="Q416" i="4"/>
  <c r="P416" i="4"/>
  <c r="O416" i="4"/>
  <c r="M416" i="4"/>
  <c r="L416" i="4"/>
  <c r="K416" i="4"/>
  <c r="J416" i="4"/>
  <c r="I416" i="4"/>
  <c r="R416" i="4" s="1"/>
  <c r="N416" i="4" s="1"/>
  <c r="Q415" i="4"/>
  <c r="M415" i="4"/>
  <c r="L415" i="4"/>
  <c r="K415" i="4"/>
  <c r="J415" i="4"/>
  <c r="I415" i="4"/>
  <c r="P415" i="4" s="1"/>
  <c r="Q414" i="4"/>
  <c r="P414" i="4"/>
  <c r="M414" i="4"/>
  <c r="L414" i="4"/>
  <c r="K414" i="4"/>
  <c r="J414" i="4"/>
  <c r="I414" i="4"/>
  <c r="R414" i="4" s="1"/>
  <c r="N414" i="4" s="1"/>
  <c r="Q413" i="4"/>
  <c r="L413" i="4"/>
  <c r="K413" i="4"/>
  <c r="J413" i="4"/>
  <c r="M413" i="4" s="1"/>
  <c r="I413" i="4"/>
  <c r="P413" i="4" s="1"/>
  <c r="Q412" i="4"/>
  <c r="O412" i="4"/>
  <c r="M412" i="4"/>
  <c r="L412" i="4"/>
  <c r="K412" i="4"/>
  <c r="J412" i="4"/>
  <c r="I412" i="4"/>
  <c r="R412" i="4" s="1"/>
  <c r="N412" i="4" s="1"/>
  <c r="Q411" i="4"/>
  <c r="M411" i="4"/>
  <c r="L411" i="4"/>
  <c r="K411" i="4"/>
  <c r="J411" i="4"/>
  <c r="I411" i="4"/>
  <c r="P411" i="4" s="1"/>
  <c r="Q410" i="4"/>
  <c r="M410" i="4"/>
  <c r="L410" i="4"/>
  <c r="K410" i="4"/>
  <c r="J410" i="4"/>
  <c r="I410" i="4"/>
  <c r="R410" i="4" s="1"/>
  <c r="N410" i="4" s="1"/>
  <c r="Q409" i="4"/>
  <c r="L409" i="4"/>
  <c r="K409" i="4"/>
  <c r="J409" i="4"/>
  <c r="M409" i="4" s="1"/>
  <c r="I409" i="4"/>
  <c r="P409" i="4" s="1"/>
  <c r="Q408" i="4"/>
  <c r="P408" i="4"/>
  <c r="O408" i="4"/>
  <c r="M408" i="4"/>
  <c r="L408" i="4"/>
  <c r="K408" i="4"/>
  <c r="J408" i="4"/>
  <c r="I408" i="4"/>
  <c r="R408" i="4" s="1"/>
  <c r="N408" i="4" s="1"/>
  <c r="Q407" i="4"/>
  <c r="M407" i="4"/>
  <c r="L407" i="4"/>
  <c r="K407" i="4"/>
  <c r="J407" i="4"/>
  <c r="I407" i="4"/>
  <c r="P407" i="4" s="1"/>
  <c r="Q406" i="4"/>
  <c r="P406" i="4"/>
  <c r="M406" i="4"/>
  <c r="L406" i="4"/>
  <c r="K406" i="4"/>
  <c r="J406" i="4"/>
  <c r="I406" i="4"/>
  <c r="R406" i="4" s="1"/>
  <c r="N406" i="4" s="1"/>
  <c r="Q405" i="4"/>
  <c r="L405" i="4"/>
  <c r="K405" i="4"/>
  <c r="J405" i="4"/>
  <c r="M405" i="4" s="1"/>
  <c r="I405" i="4"/>
  <c r="P405" i="4" s="1"/>
  <c r="Q404" i="4"/>
  <c r="O404" i="4"/>
  <c r="M404" i="4"/>
  <c r="L404" i="4"/>
  <c r="K404" i="4"/>
  <c r="J404" i="4"/>
  <c r="I404" i="4"/>
  <c r="R404" i="4" s="1"/>
  <c r="N404" i="4" s="1"/>
  <c r="Q403" i="4"/>
  <c r="M403" i="4"/>
  <c r="L403" i="4"/>
  <c r="K403" i="4"/>
  <c r="J403" i="4"/>
  <c r="I403" i="4"/>
  <c r="P403" i="4" s="1"/>
  <c r="Q402" i="4"/>
  <c r="M402" i="4"/>
  <c r="L402" i="4"/>
  <c r="K402" i="4"/>
  <c r="J402" i="4"/>
  <c r="I402" i="4"/>
  <c r="R402" i="4" s="1"/>
  <c r="N402" i="4" s="1"/>
  <c r="Q401" i="4"/>
  <c r="L401" i="4"/>
  <c r="K401" i="4"/>
  <c r="J401" i="4"/>
  <c r="M401" i="4" s="1"/>
  <c r="I401" i="4"/>
  <c r="P401" i="4" s="1"/>
  <c r="Q400" i="4"/>
  <c r="P400" i="4"/>
  <c r="O400" i="4"/>
  <c r="L400" i="4"/>
  <c r="K400" i="4"/>
  <c r="J400" i="4"/>
  <c r="M400" i="4" s="1"/>
  <c r="I400" i="4"/>
  <c r="R400" i="4" s="1"/>
  <c r="N400" i="4" s="1"/>
  <c r="R399" i="4"/>
  <c r="O399" i="4" s="1"/>
  <c r="Q399" i="4"/>
  <c r="P399" i="4"/>
  <c r="N399" i="4"/>
  <c r="L399" i="4"/>
  <c r="K399" i="4"/>
  <c r="J399" i="4"/>
  <c r="M399" i="4" s="1"/>
  <c r="I399" i="4"/>
  <c r="R398" i="4"/>
  <c r="O398" i="4" s="1"/>
  <c r="Q398" i="4"/>
  <c r="P398" i="4"/>
  <c r="N398" i="4"/>
  <c r="L398" i="4"/>
  <c r="K398" i="4"/>
  <c r="J398" i="4"/>
  <c r="M398" i="4" s="1"/>
  <c r="I398" i="4"/>
  <c r="R397" i="4"/>
  <c r="O397" i="4" s="1"/>
  <c r="Q397" i="4"/>
  <c r="P397" i="4"/>
  <c r="N397" i="4"/>
  <c r="L397" i="4"/>
  <c r="K397" i="4"/>
  <c r="J397" i="4"/>
  <c r="M397" i="4" s="1"/>
  <c r="I397" i="4"/>
  <c r="R396" i="4"/>
  <c r="O396" i="4" s="1"/>
  <c r="Q396" i="4"/>
  <c r="P396" i="4"/>
  <c r="N396" i="4"/>
  <c r="L396" i="4"/>
  <c r="K396" i="4"/>
  <c r="J396" i="4"/>
  <c r="M396" i="4" s="1"/>
  <c r="I396" i="4"/>
  <c r="R395" i="4"/>
  <c r="O395" i="4" s="1"/>
  <c r="Q395" i="4"/>
  <c r="P395" i="4"/>
  <c r="N395" i="4"/>
  <c r="L395" i="4"/>
  <c r="K395" i="4"/>
  <c r="J395" i="4"/>
  <c r="M395" i="4" s="1"/>
  <c r="I395" i="4"/>
  <c r="R394" i="4"/>
  <c r="O394" i="4" s="1"/>
  <c r="Q394" i="4"/>
  <c r="P394" i="4"/>
  <c r="N394" i="4"/>
  <c r="L394" i="4"/>
  <c r="K394" i="4"/>
  <c r="J394" i="4"/>
  <c r="M394" i="4" s="1"/>
  <c r="I394" i="4"/>
  <c r="R393" i="4"/>
  <c r="O393" i="4" s="1"/>
  <c r="Q393" i="4"/>
  <c r="P393" i="4"/>
  <c r="N393" i="4"/>
  <c r="L393" i="4"/>
  <c r="K393" i="4"/>
  <c r="J393" i="4"/>
  <c r="M393" i="4" s="1"/>
  <c r="I393" i="4"/>
  <c r="R392" i="4"/>
  <c r="O392" i="4" s="1"/>
  <c r="Q392" i="4"/>
  <c r="P392" i="4"/>
  <c r="N392" i="4"/>
  <c r="L392" i="4"/>
  <c r="K392" i="4"/>
  <c r="J392" i="4"/>
  <c r="M392" i="4" s="1"/>
  <c r="I392" i="4"/>
  <c r="R391" i="4"/>
  <c r="O391" i="4" s="1"/>
  <c r="Q391" i="4"/>
  <c r="P391" i="4"/>
  <c r="N391" i="4"/>
  <c r="L391" i="4"/>
  <c r="K391" i="4"/>
  <c r="J391" i="4"/>
  <c r="M391" i="4" s="1"/>
  <c r="I391" i="4"/>
  <c r="R390" i="4"/>
  <c r="O390" i="4" s="1"/>
  <c r="Q390" i="4"/>
  <c r="P390" i="4"/>
  <c r="N390" i="4"/>
  <c r="L390" i="4"/>
  <c r="K390" i="4"/>
  <c r="J390" i="4"/>
  <c r="M390" i="4" s="1"/>
  <c r="I390" i="4"/>
  <c r="R389" i="4"/>
  <c r="O389" i="4" s="1"/>
  <c r="Q389" i="4"/>
  <c r="P389" i="4"/>
  <c r="N389" i="4"/>
  <c r="L389" i="4"/>
  <c r="K389" i="4"/>
  <c r="J389" i="4"/>
  <c r="M389" i="4" s="1"/>
  <c r="I389" i="4"/>
  <c r="R388" i="4"/>
  <c r="O388" i="4" s="1"/>
  <c r="Q388" i="4"/>
  <c r="P388" i="4"/>
  <c r="N388" i="4"/>
  <c r="L388" i="4"/>
  <c r="K388" i="4"/>
  <c r="J388" i="4"/>
  <c r="M388" i="4" s="1"/>
  <c r="I388" i="4"/>
  <c r="R387" i="4"/>
  <c r="O387" i="4" s="1"/>
  <c r="Q387" i="4"/>
  <c r="P387" i="4"/>
  <c r="N387" i="4"/>
  <c r="L387" i="4"/>
  <c r="K387" i="4"/>
  <c r="J387" i="4"/>
  <c r="M387" i="4" s="1"/>
  <c r="I387" i="4"/>
  <c r="R386" i="4"/>
  <c r="O386" i="4" s="1"/>
  <c r="Q386" i="4"/>
  <c r="P386" i="4"/>
  <c r="N386" i="4"/>
  <c r="L386" i="4"/>
  <c r="K386" i="4"/>
  <c r="J386" i="4"/>
  <c r="M386" i="4" s="1"/>
  <c r="I386" i="4"/>
  <c r="R385" i="4"/>
  <c r="O385" i="4" s="1"/>
  <c r="Q385" i="4"/>
  <c r="P385" i="4"/>
  <c r="N385" i="4"/>
  <c r="L385" i="4"/>
  <c r="K385" i="4"/>
  <c r="J385" i="4"/>
  <c r="M385" i="4" s="1"/>
  <c r="I385" i="4"/>
  <c r="R384" i="4"/>
  <c r="O384" i="4" s="1"/>
  <c r="Q384" i="4"/>
  <c r="P384" i="4"/>
  <c r="N384" i="4"/>
  <c r="L384" i="4"/>
  <c r="K384" i="4"/>
  <c r="J384" i="4"/>
  <c r="M384" i="4" s="1"/>
  <c r="I384" i="4"/>
  <c r="R383" i="4"/>
  <c r="O383" i="4" s="1"/>
  <c r="Q383" i="4"/>
  <c r="P383" i="4"/>
  <c r="N383" i="4"/>
  <c r="L383" i="4"/>
  <c r="K383" i="4"/>
  <c r="J383" i="4"/>
  <c r="M383" i="4" s="1"/>
  <c r="I383" i="4"/>
  <c r="R382" i="4"/>
  <c r="O382" i="4" s="1"/>
  <c r="Q382" i="4"/>
  <c r="P382" i="4"/>
  <c r="N382" i="4"/>
  <c r="L382" i="4"/>
  <c r="K382" i="4"/>
  <c r="J382" i="4"/>
  <c r="M382" i="4" s="1"/>
  <c r="I382" i="4"/>
  <c r="R381" i="4"/>
  <c r="O381" i="4" s="1"/>
  <c r="Q381" i="4"/>
  <c r="P381" i="4"/>
  <c r="N381" i="4"/>
  <c r="L381" i="4"/>
  <c r="K381" i="4"/>
  <c r="J381" i="4"/>
  <c r="M381" i="4" s="1"/>
  <c r="I381" i="4"/>
  <c r="R380" i="4"/>
  <c r="O380" i="4" s="1"/>
  <c r="Q380" i="4"/>
  <c r="P380" i="4"/>
  <c r="N380" i="4"/>
  <c r="L380" i="4"/>
  <c r="K380" i="4"/>
  <c r="J380" i="4"/>
  <c r="M380" i="4" s="1"/>
  <c r="I380" i="4"/>
  <c r="R379" i="4"/>
  <c r="O379" i="4" s="1"/>
  <c r="Q379" i="4"/>
  <c r="P379" i="4"/>
  <c r="N379" i="4"/>
  <c r="L379" i="4"/>
  <c r="K379" i="4"/>
  <c r="J379" i="4"/>
  <c r="M379" i="4" s="1"/>
  <c r="I379" i="4"/>
  <c r="R378" i="4"/>
  <c r="O378" i="4" s="1"/>
  <c r="Q378" i="4"/>
  <c r="P378" i="4"/>
  <c r="N378" i="4"/>
  <c r="L378" i="4"/>
  <c r="K378" i="4"/>
  <c r="J378" i="4"/>
  <c r="M378" i="4" s="1"/>
  <c r="I378" i="4"/>
  <c r="R377" i="4"/>
  <c r="O377" i="4" s="1"/>
  <c r="Q377" i="4"/>
  <c r="P377" i="4"/>
  <c r="N377" i="4"/>
  <c r="L377" i="4"/>
  <c r="K377" i="4"/>
  <c r="J377" i="4"/>
  <c r="M377" i="4" s="1"/>
  <c r="I377" i="4"/>
  <c r="R376" i="4"/>
  <c r="O376" i="4" s="1"/>
  <c r="Q376" i="4"/>
  <c r="P376" i="4"/>
  <c r="N376" i="4"/>
  <c r="L376" i="4"/>
  <c r="K376" i="4"/>
  <c r="J376" i="4"/>
  <c r="M376" i="4" s="1"/>
  <c r="I376" i="4"/>
  <c r="R375" i="4"/>
  <c r="O375" i="4" s="1"/>
  <c r="Q375" i="4"/>
  <c r="P375" i="4"/>
  <c r="N375" i="4"/>
  <c r="L375" i="4"/>
  <c r="K375" i="4"/>
  <c r="J375" i="4"/>
  <c r="M375" i="4" s="1"/>
  <c r="I375" i="4"/>
  <c r="R374" i="4"/>
  <c r="O374" i="4" s="1"/>
  <c r="Q374" i="4"/>
  <c r="P374" i="4"/>
  <c r="N374" i="4"/>
  <c r="L374" i="4"/>
  <c r="K374" i="4"/>
  <c r="J374" i="4"/>
  <c r="M374" i="4" s="1"/>
  <c r="I374" i="4"/>
  <c r="R373" i="4"/>
  <c r="O373" i="4" s="1"/>
  <c r="Q373" i="4"/>
  <c r="P373" i="4"/>
  <c r="N373" i="4"/>
  <c r="L373" i="4"/>
  <c r="K373" i="4"/>
  <c r="J373" i="4"/>
  <c r="M373" i="4" s="1"/>
  <c r="I373" i="4"/>
  <c r="R372" i="4"/>
  <c r="O372" i="4" s="1"/>
  <c r="Q372" i="4"/>
  <c r="P372" i="4"/>
  <c r="N372" i="4"/>
  <c r="L372" i="4"/>
  <c r="K372" i="4"/>
  <c r="J372" i="4"/>
  <c r="M372" i="4" s="1"/>
  <c r="I372" i="4"/>
  <c r="R371" i="4"/>
  <c r="O371" i="4" s="1"/>
  <c r="Q371" i="4"/>
  <c r="P371" i="4"/>
  <c r="N371" i="4"/>
  <c r="L371" i="4"/>
  <c r="K371" i="4"/>
  <c r="J371" i="4"/>
  <c r="M371" i="4" s="1"/>
  <c r="I371" i="4"/>
  <c r="R370" i="4"/>
  <c r="O370" i="4" s="1"/>
  <c r="Q370" i="4"/>
  <c r="P370" i="4"/>
  <c r="N370" i="4"/>
  <c r="L370" i="4"/>
  <c r="K370" i="4"/>
  <c r="J370" i="4"/>
  <c r="M370" i="4" s="1"/>
  <c r="I370" i="4"/>
  <c r="R369" i="4"/>
  <c r="O369" i="4" s="1"/>
  <c r="Q369" i="4"/>
  <c r="P369" i="4"/>
  <c r="N369" i="4"/>
  <c r="L369" i="4"/>
  <c r="K369" i="4"/>
  <c r="J369" i="4"/>
  <c r="M369" i="4" s="1"/>
  <c r="I369" i="4"/>
  <c r="R368" i="4"/>
  <c r="O368" i="4" s="1"/>
  <c r="Q368" i="4"/>
  <c r="P368" i="4"/>
  <c r="N368" i="4"/>
  <c r="L368" i="4"/>
  <c r="K368" i="4"/>
  <c r="J368" i="4"/>
  <c r="M368" i="4" s="1"/>
  <c r="I368" i="4"/>
  <c r="R367" i="4"/>
  <c r="O367" i="4" s="1"/>
  <c r="Q367" i="4"/>
  <c r="P367" i="4"/>
  <c r="N367" i="4"/>
  <c r="L367" i="4"/>
  <c r="K367" i="4"/>
  <c r="J367" i="4"/>
  <c r="M367" i="4" s="1"/>
  <c r="I367" i="4"/>
  <c r="R366" i="4"/>
  <c r="O366" i="4" s="1"/>
  <c r="Q366" i="4"/>
  <c r="P366" i="4"/>
  <c r="N366" i="4"/>
  <c r="L366" i="4"/>
  <c r="K366" i="4"/>
  <c r="J366" i="4"/>
  <c r="M366" i="4" s="1"/>
  <c r="I366" i="4"/>
  <c r="R365" i="4"/>
  <c r="O365" i="4" s="1"/>
  <c r="Q365" i="4"/>
  <c r="P365" i="4"/>
  <c r="N365" i="4"/>
  <c r="L365" i="4"/>
  <c r="K365" i="4"/>
  <c r="J365" i="4"/>
  <c r="M365" i="4" s="1"/>
  <c r="I365" i="4"/>
  <c r="R364" i="4"/>
  <c r="O364" i="4" s="1"/>
  <c r="Q364" i="4"/>
  <c r="P364" i="4"/>
  <c r="N364" i="4"/>
  <c r="L364" i="4"/>
  <c r="K364" i="4"/>
  <c r="J364" i="4"/>
  <c r="M364" i="4" s="1"/>
  <c r="I364" i="4"/>
  <c r="R363" i="4"/>
  <c r="O363" i="4" s="1"/>
  <c r="Q363" i="4"/>
  <c r="P363" i="4"/>
  <c r="N363" i="4"/>
  <c r="L363" i="4"/>
  <c r="K363" i="4"/>
  <c r="J363" i="4"/>
  <c r="M363" i="4" s="1"/>
  <c r="I363" i="4"/>
  <c r="R362" i="4"/>
  <c r="O362" i="4" s="1"/>
  <c r="Q362" i="4"/>
  <c r="P362" i="4"/>
  <c r="N362" i="4"/>
  <c r="L362" i="4"/>
  <c r="K362" i="4"/>
  <c r="J362" i="4"/>
  <c r="M362" i="4" s="1"/>
  <c r="I362" i="4"/>
  <c r="R361" i="4"/>
  <c r="O361" i="4" s="1"/>
  <c r="Q361" i="4"/>
  <c r="P361" i="4"/>
  <c r="N361" i="4"/>
  <c r="L361" i="4"/>
  <c r="K361" i="4"/>
  <c r="J361" i="4"/>
  <c r="M361" i="4" s="1"/>
  <c r="I361" i="4"/>
  <c r="R360" i="4"/>
  <c r="O360" i="4" s="1"/>
  <c r="Q360" i="4"/>
  <c r="P360" i="4"/>
  <c r="N360" i="4"/>
  <c r="L360" i="4"/>
  <c r="K360" i="4"/>
  <c r="J360" i="4"/>
  <c r="M360" i="4" s="1"/>
  <c r="I360" i="4"/>
  <c r="R359" i="4"/>
  <c r="O359" i="4" s="1"/>
  <c r="Q359" i="4"/>
  <c r="P359" i="4"/>
  <c r="N359" i="4"/>
  <c r="L359" i="4"/>
  <c r="K359" i="4"/>
  <c r="J359" i="4"/>
  <c r="M359" i="4" s="1"/>
  <c r="I359" i="4"/>
  <c r="R358" i="4"/>
  <c r="O358" i="4" s="1"/>
  <c r="Q358" i="4"/>
  <c r="P358" i="4"/>
  <c r="N358" i="4"/>
  <c r="L358" i="4"/>
  <c r="K358" i="4"/>
  <c r="J358" i="4"/>
  <c r="M358" i="4" s="1"/>
  <c r="I358" i="4"/>
  <c r="R357" i="4"/>
  <c r="O357" i="4" s="1"/>
  <c r="Q357" i="4"/>
  <c r="P357" i="4"/>
  <c r="N357" i="4"/>
  <c r="L357" i="4"/>
  <c r="K357" i="4"/>
  <c r="J357" i="4"/>
  <c r="M357" i="4" s="1"/>
  <c r="I357" i="4"/>
  <c r="R356" i="4"/>
  <c r="O356" i="4" s="1"/>
  <c r="Q356" i="4"/>
  <c r="P356" i="4"/>
  <c r="N356" i="4"/>
  <c r="L356" i="4"/>
  <c r="K356" i="4"/>
  <c r="J356" i="4"/>
  <c r="M356" i="4" s="1"/>
  <c r="I356" i="4"/>
  <c r="R355" i="4"/>
  <c r="O355" i="4" s="1"/>
  <c r="Q355" i="4"/>
  <c r="P355" i="4"/>
  <c r="N355" i="4"/>
  <c r="L355" i="4"/>
  <c r="K355" i="4"/>
  <c r="J355" i="4"/>
  <c r="M355" i="4" s="1"/>
  <c r="I355" i="4"/>
  <c r="R354" i="4"/>
  <c r="O354" i="4" s="1"/>
  <c r="Q354" i="4"/>
  <c r="P354" i="4"/>
  <c r="N354" i="4"/>
  <c r="L354" i="4"/>
  <c r="K354" i="4"/>
  <c r="J354" i="4"/>
  <c r="M354" i="4" s="1"/>
  <c r="I354" i="4"/>
  <c r="R353" i="4"/>
  <c r="O353" i="4" s="1"/>
  <c r="Q353" i="4"/>
  <c r="P353" i="4"/>
  <c r="N353" i="4"/>
  <c r="L353" i="4"/>
  <c r="K353" i="4"/>
  <c r="J353" i="4"/>
  <c r="M353" i="4" s="1"/>
  <c r="I353" i="4"/>
  <c r="R352" i="4"/>
  <c r="O352" i="4" s="1"/>
  <c r="Q352" i="4"/>
  <c r="P352" i="4"/>
  <c r="N352" i="4"/>
  <c r="L352" i="4"/>
  <c r="K352" i="4"/>
  <c r="J352" i="4"/>
  <c r="M352" i="4" s="1"/>
  <c r="I352" i="4"/>
  <c r="R351" i="4"/>
  <c r="O351" i="4" s="1"/>
  <c r="Q351" i="4"/>
  <c r="P351" i="4"/>
  <c r="N351" i="4"/>
  <c r="L351" i="4"/>
  <c r="K351" i="4"/>
  <c r="J351" i="4"/>
  <c r="M351" i="4" s="1"/>
  <c r="I351" i="4"/>
  <c r="R350" i="4"/>
  <c r="O350" i="4" s="1"/>
  <c r="Q350" i="4"/>
  <c r="P350" i="4"/>
  <c r="N350" i="4"/>
  <c r="L350" i="4"/>
  <c r="K350" i="4"/>
  <c r="J350" i="4"/>
  <c r="M350" i="4" s="1"/>
  <c r="I350" i="4"/>
  <c r="R349" i="4"/>
  <c r="O349" i="4" s="1"/>
  <c r="Q349" i="4"/>
  <c r="P349" i="4"/>
  <c r="N349" i="4"/>
  <c r="L349" i="4"/>
  <c r="K349" i="4"/>
  <c r="J349" i="4"/>
  <c r="M349" i="4" s="1"/>
  <c r="I349" i="4"/>
  <c r="R348" i="4"/>
  <c r="O348" i="4" s="1"/>
  <c r="Q348" i="4"/>
  <c r="P348" i="4"/>
  <c r="N348" i="4"/>
  <c r="L348" i="4"/>
  <c r="K348" i="4"/>
  <c r="J348" i="4"/>
  <c r="M348" i="4" s="1"/>
  <c r="I348" i="4"/>
  <c r="R347" i="4"/>
  <c r="O347" i="4" s="1"/>
  <c r="Q347" i="4"/>
  <c r="P347" i="4"/>
  <c r="N347" i="4"/>
  <c r="L347" i="4"/>
  <c r="K347" i="4"/>
  <c r="J347" i="4"/>
  <c r="M347" i="4" s="1"/>
  <c r="I347" i="4"/>
  <c r="R346" i="4"/>
  <c r="O346" i="4" s="1"/>
  <c r="Q346" i="4"/>
  <c r="P346" i="4"/>
  <c r="N346" i="4"/>
  <c r="L346" i="4"/>
  <c r="K346" i="4"/>
  <c r="J346" i="4"/>
  <c r="M346" i="4" s="1"/>
  <c r="I346" i="4"/>
  <c r="R345" i="4"/>
  <c r="O345" i="4" s="1"/>
  <c r="Q345" i="4"/>
  <c r="P345" i="4"/>
  <c r="N345" i="4"/>
  <c r="L345" i="4"/>
  <c r="K345" i="4"/>
  <c r="J345" i="4"/>
  <c r="M345" i="4" s="1"/>
  <c r="I345" i="4"/>
  <c r="R344" i="4"/>
  <c r="O344" i="4" s="1"/>
  <c r="Q344" i="4"/>
  <c r="P344" i="4"/>
  <c r="N344" i="4"/>
  <c r="L344" i="4"/>
  <c r="K344" i="4"/>
  <c r="J344" i="4"/>
  <c r="M344" i="4" s="1"/>
  <c r="I344" i="4"/>
  <c r="R343" i="4"/>
  <c r="O343" i="4" s="1"/>
  <c r="Q343" i="4"/>
  <c r="P343" i="4"/>
  <c r="N343" i="4"/>
  <c r="L343" i="4"/>
  <c r="K343" i="4"/>
  <c r="J343" i="4"/>
  <c r="M343" i="4" s="1"/>
  <c r="I343" i="4"/>
  <c r="R342" i="4"/>
  <c r="O342" i="4" s="1"/>
  <c r="Q342" i="4"/>
  <c r="P342" i="4"/>
  <c r="N342" i="4"/>
  <c r="L342" i="4"/>
  <c r="K342" i="4"/>
  <c r="J342" i="4"/>
  <c r="M342" i="4" s="1"/>
  <c r="I342" i="4"/>
  <c r="R341" i="4"/>
  <c r="O341" i="4" s="1"/>
  <c r="Q341" i="4"/>
  <c r="P341" i="4"/>
  <c r="N341" i="4"/>
  <c r="L341" i="4"/>
  <c r="K341" i="4"/>
  <c r="J341" i="4"/>
  <c r="M341" i="4" s="1"/>
  <c r="I341" i="4"/>
  <c r="R340" i="4"/>
  <c r="O340" i="4" s="1"/>
  <c r="Q340" i="4"/>
  <c r="P340" i="4"/>
  <c r="N340" i="4"/>
  <c r="L340" i="4"/>
  <c r="K340" i="4"/>
  <c r="J340" i="4"/>
  <c r="M340" i="4" s="1"/>
  <c r="I340" i="4"/>
  <c r="R339" i="4"/>
  <c r="O339" i="4" s="1"/>
  <c r="Q339" i="4"/>
  <c r="P339" i="4"/>
  <c r="N339" i="4"/>
  <c r="L339" i="4"/>
  <c r="K339" i="4"/>
  <c r="J339" i="4"/>
  <c r="M339" i="4" s="1"/>
  <c r="I339" i="4"/>
  <c r="R338" i="4"/>
  <c r="O338" i="4" s="1"/>
  <c r="Q338" i="4"/>
  <c r="P338" i="4"/>
  <c r="N338" i="4"/>
  <c r="L338" i="4"/>
  <c r="K338" i="4"/>
  <c r="J338" i="4"/>
  <c r="M338" i="4" s="1"/>
  <c r="I338" i="4"/>
  <c r="R337" i="4"/>
  <c r="O337" i="4" s="1"/>
  <c r="Q337" i="4"/>
  <c r="P337" i="4"/>
  <c r="N337" i="4"/>
  <c r="L337" i="4"/>
  <c r="K337" i="4"/>
  <c r="J337" i="4"/>
  <c r="M337" i="4" s="1"/>
  <c r="I337" i="4"/>
  <c r="R336" i="4"/>
  <c r="O336" i="4" s="1"/>
  <c r="Q336" i="4"/>
  <c r="P336" i="4"/>
  <c r="N336" i="4"/>
  <c r="L336" i="4"/>
  <c r="K336" i="4"/>
  <c r="J336" i="4"/>
  <c r="M336" i="4" s="1"/>
  <c r="I336" i="4"/>
  <c r="R335" i="4"/>
  <c r="O335" i="4" s="1"/>
  <c r="Q335" i="4"/>
  <c r="P335" i="4"/>
  <c r="N335" i="4"/>
  <c r="L335" i="4"/>
  <c r="K335" i="4"/>
  <c r="J335" i="4"/>
  <c r="M335" i="4" s="1"/>
  <c r="I335" i="4"/>
  <c r="R334" i="4"/>
  <c r="O334" i="4" s="1"/>
  <c r="Q334" i="4"/>
  <c r="P334" i="4"/>
  <c r="N334" i="4"/>
  <c r="L334" i="4"/>
  <c r="K334" i="4"/>
  <c r="J334" i="4"/>
  <c r="M334" i="4" s="1"/>
  <c r="I334" i="4"/>
  <c r="Q333" i="4"/>
  <c r="P333" i="4"/>
  <c r="L333" i="4"/>
  <c r="K333" i="4"/>
  <c r="J333" i="4"/>
  <c r="M333" i="4" s="1"/>
  <c r="I333" i="4"/>
  <c r="R333" i="4" s="1"/>
  <c r="R332" i="4"/>
  <c r="O332" i="4" s="1"/>
  <c r="Q332" i="4"/>
  <c r="P332" i="4"/>
  <c r="N332" i="4"/>
  <c r="L332" i="4"/>
  <c r="K332" i="4"/>
  <c r="J332" i="4"/>
  <c r="M332" i="4" s="1"/>
  <c r="I332" i="4"/>
  <c r="Q331" i="4"/>
  <c r="P331" i="4"/>
  <c r="L331" i="4"/>
  <c r="K331" i="4"/>
  <c r="J331" i="4"/>
  <c r="M331" i="4" s="1"/>
  <c r="I331" i="4"/>
  <c r="R331" i="4" s="1"/>
  <c r="R330" i="4"/>
  <c r="O330" i="4" s="1"/>
  <c r="Q330" i="4"/>
  <c r="P330" i="4"/>
  <c r="N330" i="4"/>
  <c r="L330" i="4"/>
  <c r="K330" i="4"/>
  <c r="J330" i="4"/>
  <c r="M330" i="4" s="1"/>
  <c r="I330" i="4"/>
  <c r="Q329" i="4"/>
  <c r="P329" i="4"/>
  <c r="M329" i="4"/>
  <c r="L329" i="4"/>
  <c r="K329" i="4"/>
  <c r="J329" i="4"/>
  <c r="I329" i="4"/>
  <c r="R329" i="4" s="1"/>
  <c r="R328" i="4"/>
  <c r="O328" i="4" s="1"/>
  <c r="Q328" i="4"/>
  <c r="P328" i="4"/>
  <c r="N328" i="4"/>
  <c r="L328" i="4"/>
  <c r="K328" i="4"/>
  <c r="J328" i="4"/>
  <c r="M328" i="4" s="1"/>
  <c r="I328" i="4"/>
  <c r="Q327" i="4"/>
  <c r="P327" i="4"/>
  <c r="M327" i="4"/>
  <c r="L327" i="4"/>
  <c r="K327" i="4"/>
  <c r="J327" i="4"/>
  <c r="I327" i="4"/>
  <c r="R327" i="4" s="1"/>
  <c r="R326" i="4"/>
  <c r="O326" i="4" s="1"/>
  <c r="Q326" i="4"/>
  <c r="P326" i="4"/>
  <c r="N326" i="4"/>
  <c r="L326" i="4"/>
  <c r="K326" i="4"/>
  <c r="J326" i="4"/>
  <c r="M326" i="4" s="1"/>
  <c r="I326" i="4"/>
  <c r="Q325" i="4"/>
  <c r="P325" i="4"/>
  <c r="M325" i="4"/>
  <c r="L325" i="4"/>
  <c r="K325" i="4"/>
  <c r="J325" i="4"/>
  <c r="I325" i="4"/>
  <c r="R325" i="4" s="1"/>
  <c r="R324" i="4"/>
  <c r="O324" i="4" s="1"/>
  <c r="Q324" i="4"/>
  <c r="P324" i="4"/>
  <c r="N324" i="4"/>
  <c r="L324" i="4"/>
  <c r="K324" i="4"/>
  <c r="J324" i="4"/>
  <c r="M324" i="4" s="1"/>
  <c r="I324" i="4"/>
  <c r="Q323" i="4"/>
  <c r="P323" i="4"/>
  <c r="M323" i="4"/>
  <c r="L323" i="4"/>
  <c r="K323" i="4"/>
  <c r="J323" i="4"/>
  <c r="I323" i="4"/>
  <c r="R323" i="4" s="1"/>
  <c r="R322" i="4"/>
  <c r="O322" i="4" s="1"/>
  <c r="Q322" i="4"/>
  <c r="P322" i="4"/>
  <c r="N322" i="4"/>
  <c r="L322" i="4"/>
  <c r="K322" i="4"/>
  <c r="J322" i="4"/>
  <c r="M322" i="4" s="1"/>
  <c r="I322" i="4"/>
  <c r="Q321" i="4"/>
  <c r="P321" i="4"/>
  <c r="M321" i="4"/>
  <c r="L321" i="4"/>
  <c r="K321" i="4"/>
  <c r="J321" i="4"/>
  <c r="I321" i="4"/>
  <c r="R321" i="4" s="1"/>
  <c r="R320" i="4"/>
  <c r="O320" i="4" s="1"/>
  <c r="Q320" i="4"/>
  <c r="P320" i="4"/>
  <c r="N320" i="4"/>
  <c r="L320" i="4"/>
  <c r="K320" i="4"/>
  <c r="J320" i="4"/>
  <c r="M320" i="4" s="1"/>
  <c r="I320" i="4"/>
  <c r="Q319" i="4"/>
  <c r="P319" i="4"/>
  <c r="M319" i="4"/>
  <c r="L319" i="4"/>
  <c r="K319" i="4"/>
  <c r="J319" i="4"/>
  <c r="I319" i="4"/>
  <c r="R319" i="4" s="1"/>
  <c r="R318" i="4"/>
  <c r="O318" i="4" s="1"/>
  <c r="Q318" i="4"/>
  <c r="P318" i="4"/>
  <c r="N318" i="4"/>
  <c r="L318" i="4"/>
  <c r="K318" i="4"/>
  <c r="J318" i="4"/>
  <c r="M318" i="4" s="1"/>
  <c r="I318" i="4"/>
  <c r="Q317" i="4"/>
  <c r="P317" i="4"/>
  <c r="M317" i="4"/>
  <c r="L317" i="4"/>
  <c r="K317" i="4"/>
  <c r="J317" i="4"/>
  <c r="I317" i="4"/>
  <c r="R317" i="4" s="1"/>
  <c r="R316" i="4"/>
  <c r="O316" i="4" s="1"/>
  <c r="Q316" i="4"/>
  <c r="P316" i="4"/>
  <c r="N316" i="4"/>
  <c r="L316" i="4"/>
  <c r="K316" i="4"/>
  <c r="J316" i="4"/>
  <c r="M316" i="4" s="1"/>
  <c r="I316" i="4"/>
  <c r="Q315" i="4"/>
  <c r="P315" i="4"/>
  <c r="M315" i="4"/>
  <c r="L315" i="4"/>
  <c r="K315" i="4"/>
  <c r="J315" i="4"/>
  <c r="I315" i="4"/>
  <c r="R315" i="4" s="1"/>
  <c r="R314" i="4"/>
  <c r="O314" i="4" s="1"/>
  <c r="Q314" i="4"/>
  <c r="P314" i="4"/>
  <c r="N314" i="4"/>
  <c r="L314" i="4"/>
  <c r="K314" i="4"/>
  <c r="J314" i="4"/>
  <c r="M314" i="4" s="1"/>
  <c r="I314" i="4"/>
  <c r="R313" i="4"/>
  <c r="O313" i="4" s="1"/>
  <c r="Q313" i="4"/>
  <c r="P313" i="4"/>
  <c r="N313" i="4"/>
  <c r="L313" i="4"/>
  <c r="K313" i="4"/>
  <c r="J313" i="4"/>
  <c r="M313" i="4" s="1"/>
  <c r="I313" i="4"/>
  <c r="R312" i="4"/>
  <c r="O312" i="4" s="1"/>
  <c r="Q312" i="4"/>
  <c r="P312" i="4"/>
  <c r="N312" i="4"/>
  <c r="L312" i="4"/>
  <c r="K312" i="4"/>
  <c r="J312" i="4"/>
  <c r="M312" i="4" s="1"/>
  <c r="I312" i="4"/>
  <c r="R311" i="4"/>
  <c r="O311" i="4" s="1"/>
  <c r="Q311" i="4"/>
  <c r="P311" i="4"/>
  <c r="N311" i="4"/>
  <c r="L311" i="4"/>
  <c r="K311" i="4"/>
  <c r="J311" i="4"/>
  <c r="M311" i="4" s="1"/>
  <c r="I311" i="4"/>
  <c r="R310" i="4"/>
  <c r="O310" i="4" s="1"/>
  <c r="Q310" i="4"/>
  <c r="P310" i="4"/>
  <c r="N310" i="4"/>
  <c r="L310" i="4"/>
  <c r="K310" i="4"/>
  <c r="J310" i="4"/>
  <c r="M310" i="4" s="1"/>
  <c r="I310" i="4"/>
  <c r="R309" i="4"/>
  <c r="O309" i="4" s="1"/>
  <c r="Q309" i="4"/>
  <c r="P309" i="4"/>
  <c r="N309" i="4"/>
  <c r="L309" i="4"/>
  <c r="K309" i="4"/>
  <c r="J309" i="4"/>
  <c r="M309" i="4" s="1"/>
  <c r="I309" i="4"/>
  <c r="R308" i="4"/>
  <c r="O308" i="4" s="1"/>
  <c r="Q308" i="4"/>
  <c r="P308" i="4"/>
  <c r="N308" i="4"/>
  <c r="L308" i="4"/>
  <c r="K308" i="4"/>
  <c r="J308" i="4"/>
  <c r="M308" i="4" s="1"/>
  <c r="I308" i="4"/>
  <c r="R307" i="4"/>
  <c r="O307" i="4" s="1"/>
  <c r="Q307" i="4"/>
  <c r="P307" i="4"/>
  <c r="N307" i="4"/>
  <c r="L307" i="4"/>
  <c r="K307" i="4"/>
  <c r="J307" i="4"/>
  <c r="M307" i="4" s="1"/>
  <c r="I307" i="4"/>
  <c r="R306" i="4"/>
  <c r="O306" i="4" s="1"/>
  <c r="Q306" i="4"/>
  <c r="P306" i="4"/>
  <c r="N306" i="4"/>
  <c r="L306" i="4"/>
  <c r="K306" i="4"/>
  <c r="J306" i="4"/>
  <c r="M306" i="4" s="1"/>
  <c r="I306" i="4"/>
  <c r="R305" i="4"/>
  <c r="O305" i="4" s="1"/>
  <c r="Q305" i="4"/>
  <c r="P305" i="4"/>
  <c r="N305" i="4"/>
  <c r="L305" i="4"/>
  <c r="K305" i="4"/>
  <c r="J305" i="4"/>
  <c r="M305" i="4" s="1"/>
  <c r="I305" i="4"/>
  <c r="R304" i="4"/>
  <c r="O304" i="4" s="1"/>
  <c r="Q304" i="4"/>
  <c r="P304" i="4"/>
  <c r="N304" i="4"/>
  <c r="L304" i="4"/>
  <c r="K304" i="4"/>
  <c r="J304" i="4"/>
  <c r="M304" i="4" s="1"/>
  <c r="I304" i="4"/>
  <c r="R303" i="4"/>
  <c r="O303" i="4" s="1"/>
  <c r="Q303" i="4"/>
  <c r="P303" i="4"/>
  <c r="N303" i="4"/>
  <c r="L303" i="4"/>
  <c r="K303" i="4"/>
  <c r="J303" i="4"/>
  <c r="M303" i="4" s="1"/>
  <c r="I303" i="4"/>
  <c r="R302" i="4"/>
  <c r="O302" i="4" s="1"/>
  <c r="Q302" i="4"/>
  <c r="P302" i="4"/>
  <c r="N302" i="4"/>
  <c r="L302" i="4"/>
  <c r="K302" i="4"/>
  <c r="J302" i="4"/>
  <c r="M302" i="4" s="1"/>
  <c r="I302" i="4"/>
  <c r="R301" i="4"/>
  <c r="O301" i="4" s="1"/>
  <c r="Q301" i="4"/>
  <c r="P301" i="4"/>
  <c r="N301" i="4"/>
  <c r="L301" i="4"/>
  <c r="K301" i="4"/>
  <c r="J301" i="4"/>
  <c r="M301" i="4" s="1"/>
  <c r="I301" i="4"/>
  <c r="R300" i="4"/>
  <c r="O300" i="4" s="1"/>
  <c r="Q300" i="4"/>
  <c r="P300" i="4"/>
  <c r="N300" i="4"/>
  <c r="L300" i="4"/>
  <c r="K300" i="4"/>
  <c r="J300" i="4"/>
  <c r="M300" i="4" s="1"/>
  <c r="I300" i="4"/>
  <c r="R299" i="4"/>
  <c r="O299" i="4" s="1"/>
  <c r="Q299" i="4"/>
  <c r="P299" i="4"/>
  <c r="N299" i="4"/>
  <c r="L299" i="4"/>
  <c r="K299" i="4"/>
  <c r="J299" i="4"/>
  <c r="M299" i="4" s="1"/>
  <c r="I299" i="4"/>
  <c r="R298" i="4"/>
  <c r="O298" i="4" s="1"/>
  <c r="Q298" i="4"/>
  <c r="P298" i="4"/>
  <c r="N298" i="4"/>
  <c r="L298" i="4"/>
  <c r="K298" i="4"/>
  <c r="J298" i="4"/>
  <c r="M298" i="4" s="1"/>
  <c r="I298" i="4"/>
  <c r="R297" i="4"/>
  <c r="O297" i="4" s="1"/>
  <c r="Q297" i="4"/>
  <c r="P297" i="4"/>
  <c r="N297" i="4"/>
  <c r="L297" i="4"/>
  <c r="K297" i="4"/>
  <c r="J297" i="4"/>
  <c r="M297" i="4" s="1"/>
  <c r="I297" i="4"/>
  <c r="R296" i="4"/>
  <c r="O296" i="4" s="1"/>
  <c r="Q296" i="4"/>
  <c r="P296" i="4"/>
  <c r="N296" i="4"/>
  <c r="L296" i="4"/>
  <c r="K296" i="4"/>
  <c r="J296" i="4"/>
  <c r="M296" i="4" s="1"/>
  <c r="I296" i="4"/>
  <c r="R295" i="4"/>
  <c r="O295" i="4" s="1"/>
  <c r="Q295" i="4"/>
  <c r="P295" i="4"/>
  <c r="N295" i="4"/>
  <c r="L295" i="4"/>
  <c r="K295" i="4"/>
  <c r="J295" i="4"/>
  <c r="M295" i="4" s="1"/>
  <c r="I295" i="4"/>
  <c r="R294" i="4"/>
  <c r="O294" i="4" s="1"/>
  <c r="Q294" i="4"/>
  <c r="P294" i="4"/>
  <c r="N294" i="4"/>
  <c r="L294" i="4"/>
  <c r="K294" i="4"/>
  <c r="J294" i="4"/>
  <c r="M294" i="4" s="1"/>
  <c r="I294" i="4"/>
  <c r="R293" i="4"/>
  <c r="O293" i="4" s="1"/>
  <c r="Q293" i="4"/>
  <c r="P293" i="4"/>
  <c r="N293" i="4"/>
  <c r="L293" i="4"/>
  <c r="K293" i="4"/>
  <c r="J293" i="4"/>
  <c r="M293" i="4" s="1"/>
  <c r="I293" i="4"/>
  <c r="R292" i="4"/>
  <c r="O292" i="4" s="1"/>
  <c r="Q292" i="4"/>
  <c r="P292" i="4"/>
  <c r="N292" i="4"/>
  <c r="L292" i="4"/>
  <c r="K292" i="4"/>
  <c r="J292" i="4"/>
  <c r="M292" i="4" s="1"/>
  <c r="I292" i="4"/>
  <c r="R291" i="4"/>
  <c r="O291" i="4" s="1"/>
  <c r="Q291" i="4"/>
  <c r="P291" i="4"/>
  <c r="N291" i="4"/>
  <c r="L291" i="4"/>
  <c r="K291" i="4"/>
  <c r="J291" i="4"/>
  <c r="M291" i="4" s="1"/>
  <c r="I291" i="4"/>
  <c r="R290" i="4"/>
  <c r="O290" i="4" s="1"/>
  <c r="Q290" i="4"/>
  <c r="P290" i="4"/>
  <c r="N290" i="4"/>
  <c r="L290" i="4"/>
  <c r="K290" i="4"/>
  <c r="J290" i="4"/>
  <c r="M290" i="4" s="1"/>
  <c r="I290" i="4"/>
  <c r="R289" i="4"/>
  <c r="O289" i="4" s="1"/>
  <c r="Q289" i="4"/>
  <c r="P289" i="4"/>
  <c r="N289" i="4"/>
  <c r="L289" i="4"/>
  <c r="K289" i="4"/>
  <c r="J289" i="4"/>
  <c r="M289" i="4" s="1"/>
  <c r="I289" i="4"/>
  <c r="R288" i="4"/>
  <c r="O288" i="4" s="1"/>
  <c r="Q288" i="4"/>
  <c r="P288" i="4"/>
  <c r="N288" i="4"/>
  <c r="L288" i="4"/>
  <c r="K288" i="4"/>
  <c r="J288" i="4"/>
  <c r="M288" i="4" s="1"/>
  <c r="I288" i="4"/>
  <c r="R287" i="4"/>
  <c r="O287" i="4" s="1"/>
  <c r="Q287" i="4"/>
  <c r="P287" i="4"/>
  <c r="N287" i="4"/>
  <c r="L287" i="4"/>
  <c r="K287" i="4"/>
  <c r="J287" i="4"/>
  <c r="M287" i="4" s="1"/>
  <c r="I287" i="4"/>
  <c r="R286" i="4"/>
  <c r="O286" i="4" s="1"/>
  <c r="Q286" i="4"/>
  <c r="P286" i="4"/>
  <c r="N286" i="4"/>
  <c r="L286" i="4"/>
  <c r="K286" i="4"/>
  <c r="J286" i="4"/>
  <c r="M286" i="4" s="1"/>
  <c r="I286" i="4"/>
  <c r="R285" i="4"/>
  <c r="O285" i="4" s="1"/>
  <c r="Q285" i="4"/>
  <c r="P285" i="4"/>
  <c r="N285" i="4"/>
  <c r="L285" i="4"/>
  <c r="K285" i="4"/>
  <c r="J285" i="4"/>
  <c r="M285" i="4" s="1"/>
  <c r="I285" i="4"/>
  <c r="R284" i="4"/>
  <c r="O284" i="4" s="1"/>
  <c r="Q284" i="4"/>
  <c r="P284" i="4"/>
  <c r="N284" i="4"/>
  <c r="L284" i="4"/>
  <c r="K284" i="4"/>
  <c r="J284" i="4"/>
  <c r="M284" i="4" s="1"/>
  <c r="I284" i="4"/>
  <c r="R283" i="4"/>
  <c r="O283" i="4" s="1"/>
  <c r="Q283" i="4"/>
  <c r="P283" i="4"/>
  <c r="N283" i="4"/>
  <c r="L283" i="4"/>
  <c r="K283" i="4"/>
  <c r="J283" i="4"/>
  <c r="M283" i="4" s="1"/>
  <c r="I283" i="4"/>
  <c r="R282" i="4"/>
  <c r="O282" i="4" s="1"/>
  <c r="Q282" i="4"/>
  <c r="P282" i="4"/>
  <c r="N282" i="4"/>
  <c r="L282" i="4"/>
  <c r="K282" i="4"/>
  <c r="J282" i="4"/>
  <c r="M282" i="4" s="1"/>
  <c r="I282" i="4"/>
  <c r="R281" i="4"/>
  <c r="O281" i="4" s="1"/>
  <c r="Q281" i="4"/>
  <c r="P281" i="4"/>
  <c r="N281" i="4"/>
  <c r="L281" i="4"/>
  <c r="K281" i="4"/>
  <c r="J281" i="4"/>
  <c r="M281" i="4" s="1"/>
  <c r="I281" i="4"/>
  <c r="R280" i="4"/>
  <c r="O280" i="4" s="1"/>
  <c r="Q280" i="4"/>
  <c r="P280" i="4"/>
  <c r="N280" i="4"/>
  <c r="L280" i="4"/>
  <c r="K280" i="4"/>
  <c r="J280" i="4"/>
  <c r="M280" i="4" s="1"/>
  <c r="I280" i="4"/>
  <c r="R279" i="4"/>
  <c r="O279" i="4" s="1"/>
  <c r="Q279" i="4"/>
  <c r="P279" i="4"/>
  <c r="N279" i="4"/>
  <c r="L279" i="4"/>
  <c r="K279" i="4"/>
  <c r="J279" i="4"/>
  <c r="M279" i="4" s="1"/>
  <c r="I279" i="4"/>
  <c r="R278" i="4"/>
  <c r="O278" i="4" s="1"/>
  <c r="Q278" i="4"/>
  <c r="P278" i="4"/>
  <c r="N278" i="4"/>
  <c r="L278" i="4"/>
  <c r="K278" i="4"/>
  <c r="J278" i="4"/>
  <c r="M278" i="4" s="1"/>
  <c r="I278" i="4"/>
  <c r="R277" i="4"/>
  <c r="O277" i="4" s="1"/>
  <c r="Q277" i="4"/>
  <c r="P277" i="4"/>
  <c r="N277" i="4"/>
  <c r="L277" i="4"/>
  <c r="K277" i="4"/>
  <c r="J277" i="4"/>
  <c r="M277" i="4" s="1"/>
  <c r="I277" i="4"/>
  <c r="R276" i="4"/>
  <c r="O276" i="4" s="1"/>
  <c r="Q276" i="4"/>
  <c r="P276" i="4"/>
  <c r="N276" i="4"/>
  <c r="L276" i="4"/>
  <c r="K276" i="4"/>
  <c r="J276" i="4"/>
  <c r="M276" i="4" s="1"/>
  <c r="I276" i="4"/>
  <c r="R275" i="4"/>
  <c r="O275" i="4" s="1"/>
  <c r="Q275" i="4"/>
  <c r="P275" i="4"/>
  <c r="N275" i="4"/>
  <c r="L275" i="4"/>
  <c r="K275" i="4"/>
  <c r="J275" i="4"/>
  <c r="M275" i="4" s="1"/>
  <c r="I275" i="4"/>
  <c r="R274" i="4"/>
  <c r="O274" i="4" s="1"/>
  <c r="Q274" i="4"/>
  <c r="P274" i="4"/>
  <c r="N274" i="4"/>
  <c r="L274" i="4"/>
  <c r="K274" i="4"/>
  <c r="J274" i="4"/>
  <c r="M274" i="4" s="1"/>
  <c r="I274" i="4"/>
  <c r="R273" i="4"/>
  <c r="O273" i="4" s="1"/>
  <c r="Q273" i="4"/>
  <c r="P273" i="4"/>
  <c r="N273" i="4"/>
  <c r="L273" i="4"/>
  <c r="K273" i="4"/>
  <c r="J273" i="4"/>
  <c r="M273" i="4" s="1"/>
  <c r="I273" i="4"/>
  <c r="R272" i="4"/>
  <c r="O272" i="4" s="1"/>
  <c r="Q272" i="4"/>
  <c r="P272" i="4"/>
  <c r="N272" i="4"/>
  <c r="L272" i="4"/>
  <c r="K272" i="4"/>
  <c r="J272" i="4"/>
  <c r="M272" i="4" s="1"/>
  <c r="I272" i="4"/>
  <c r="R271" i="4"/>
  <c r="O271" i="4" s="1"/>
  <c r="Q271" i="4"/>
  <c r="P271" i="4"/>
  <c r="N271" i="4"/>
  <c r="L271" i="4"/>
  <c r="K271" i="4"/>
  <c r="J271" i="4"/>
  <c r="M271" i="4" s="1"/>
  <c r="I271" i="4"/>
  <c r="R270" i="4"/>
  <c r="O270" i="4" s="1"/>
  <c r="Q270" i="4"/>
  <c r="P270" i="4"/>
  <c r="N270" i="4"/>
  <c r="L270" i="4"/>
  <c r="K270" i="4"/>
  <c r="J270" i="4"/>
  <c r="M270" i="4" s="1"/>
  <c r="I270" i="4"/>
  <c r="R269" i="4"/>
  <c r="O269" i="4" s="1"/>
  <c r="Q269" i="4"/>
  <c r="P269" i="4"/>
  <c r="N269" i="4"/>
  <c r="L269" i="4"/>
  <c r="K269" i="4"/>
  <c r="J269" i="4"/>
  <c r="M269" i="4" s="1"/>
  <c r="I269" i="4"/>
  <c r="R268" i="4"/>
  <c r="O268" i="4" s="1"/>
  <c r="Q268" i="4"/>
  <c r="P268" i="4"/>
  <c r="N268" i="4"/>
  <c r="L268" i="4"/>
  <c r="K268" i="4"/>
  <c r="J268" i="4"/>
  <c r="M268" i="4" s="1"/>
  <c r="I268" i="4"/>
  <c r="R267" i="4"/>
  <c r="O267" i="4" s="1"/>
  <c r="Q267" i="4"/>
  <c r="P267" i="4"/>
  <c r="N267" i="4"/>
  <c r="L267" i="4"/>
  <c r="K267" i="4"/>
  <c r="J267" i="4"/>
  <c r="M267" i="4" s="1"/>
  <c r="I267" i="4"/>
  <c r="R266" i="4"/>
  <c r="O266" i="4" s="1"/>
  <c r="Q266" i="4"/>
  <c r="P266" i="4"/>
  <c r="N266" i="4"/>
  <c r="L266" i="4"/>
  <c r="K266" i="4"/>
  <c r="J266" i="4"/>
  <c r="M266" i="4" s="1"/>
  <c r="I266" i="4"/>
  <c r="R265" i="4"/>
  <c r="O265" i="4" s="1"/>
  <c r="Q265" i="4"/>
  <c r="P265" i="4"/>
  <c r="N265" i="4"/>
  <c r="L265" i="4"/>
  <c r="K265" i="4"/>
  <c r="J265" i="4"/>
  <c r="M265" i="4" s="1"/>
  <c r="I265" i="4"/>
  <c r="R264" i="4"/>
  <c r="O264" i="4" s="1"/>
  <c r="Q264" i="4"/>
  <c r="P264" i="4"/>
  <c r="N264" i="4"/>
  <c r="L264" i="4"/>
  <c r="K264" i="4"/>
  <c r="J264" i="4"/>
  <c r="M264" i="4" s="1"/>
  <c r="I264" i="4"/>
  <c r="R263" i="4"/>
  <c r="O263" i="4" s="1"/>
  <c r="Q263" i="4"/>
  <c r="P263" i="4"/>
  <c r="N263" i="4"/>
  <c r="L263" i="4"/>
  <c r="K263" i="4"/>
  <c r="J263" i="4"/>
  <c r="M263" i="4" s="1"/>
  <c r="I263" i="4"/>
  <c r="R262" i="4"/>
  <c r="O262" i="4" s="1"/>
  <c r="Q262" i="4"/>
  <c r="P262" i="4"/>
  <c r="N262" i="4"/>
  <c r="L262" i="4"/>
  <c r="K262" i="4"/>
  <c r="J262" i="4"/>
  <c r="M262" i="4" s="1"/>
  <c r="I262" i="4"/>
  <c r="R261" i="4"/>
  <c r="O261" i="4" s="1"/>
  <c r="Q261" i="4"/>
  <c r="P261" i="4"/>
  <c r="N261" i="4"/>
  <c r="L261" i="4"/>
  <c r="K261" i="4"/>
  <c r="J261" i="4"/>
  <c r="M261" i="4" s="1"/>
  <c r="I261" i="4"/>
  <c r="R260" i="4"/>
  <c r="O260" i="4" s="1"/>
  <c r="Q260" i="4"/>
  <c r="P260" i="4"/>
  <c r="N260" i="4"/>
  <c r="L260" i="4"/>
  <c r="K260" i="4"/>
  <c r="J260" i="4"/>
  <c r="M260" i="4" s="1"/>
  <c r="I260" i="4"/>
  <c r="R259" i="4"/>
  <c r="O259" i="4" s="1"/>
  <c r="Q259" i="4"/>
  <c r="P259" i="4"/>
  <c r="N259" i="4"/>
  <c r="L259" i="4"/>
  <c r="K259" i="4"/>
  <c r="J259" i="4"/>
  <c r="M259" i="4" s="1"/>
  <c r="I259" i="4"/>
  <c r="R258" i="4"/>
  <c r="O258" i="4" s="1"/>
  <c r="Q258" i="4"/>
  <c r="P258" i="4"/>
  <c r="N258" i="4"/>
  <c r="L258" i="4"/>
  <c r="K258" i="4"/>
  <c r="J258" i="4"/>
  <c r="M258" i="4" s="1"/>
  <c r="I258" i="4"/>
  <c r="R257" i="4"/>
  <c r="O257" i="4" s="1"/>
  <c r="Q257" i="4"/>
  <c r="P257" i="4"/>
  <c r="N257" i="4"/>
  <c r="L257" i="4"/>
  <c r="K257" i="4"/>
  <c r="J257" i="4"/>
  <c r="M257" i="4" s="1"/>
  <c r="I257" i="4"/>
  <c r="R256" i="4"/>
  <c r="O256" i="4" s="1"/>
  <c r="Q256" i="4"/>
  <c r="P256" i="4"/>
  <c r="N256" i="4"/>
  <c r="L256" i="4"/>
  <c r="K256" i="4"/>
  <c r="J256" i="4"/>
  <c r="M256" i="4" s="1"/>
  <c r="I256" i="4"/>
  <c r="R255" i="4"/>
  <c r="O255" i="4" s="1"/>
  <c r="Q255" i="4"/>
  <c r="P255" i="4"/>
  <c r="N255" i="4"/>
  <c r="L255" i="4"/>
  <c r="K255" i="4"/>
  <c r="J255" i="4"/>
  <c r="M255" i="4" s="1"/>
  <c r="I255" i="4"/>
  <c r="R254" i="4"/>
  <c r="O254" i="4" s="1"/>
  <c r="Q254" i="4"/>
  <c r="P254" i="4"/>
  <c r="N254" i="4"/>
  <c r="L254" i="4"/>
  <c r="K254" i="4"/>
  <c r="J254" i="4"/>
  <c r="M254" i="4" s="1"/>
  <c r="I254" i="4"/>
  <c r="R253" i="4"/>
  <c r="O253" i="4" s="1"/>
  <c r="Q253" i="4"/>
  <c r="P253" i="4"/>
  <c r="N253" i="4"/>
  <c r="L253" i="4"/>
  <c r="K253" i="4"/>
  <c r="J253" i="4"/>
  <c r="M253" i="4" s="1"/>
  <c r="I253" i="4"/>
  <c r="R252" i="4"/>
  <c r="O252" i="4" s="1"/>
  <c r="Q252" i="4"/>
  <c r="P252" i="4"/>
  <c r="N252" i="4"/>
  <c r="L252" i="4"/>
  <c r="K252" i="4"/>
  <c r="J252" i="4"/>
  <c r="M252" i="4" s="1"/>
  <c r="I252" i="4"/>
  <c r="R251" i="4"/>
  <c r="O251" i="4" s="1"/>
  <c r="Q251" i="4"/>
  <c r="P251" i="4"/>
  <c r="N251" i="4"/>
  <c r="L251" i="4"/>
  <c r="K251" i="4"/>
  <c r="J251" i="4"/>
  <c r="M251" i="4" s="1"/>
  <c r="I251" i="4"/>
  <c r="R250" i="4"/>
  <c r="O250" i="4" s="1"/>
  <c r="Q250" i="4"/>
  <c r="P250" i="4"/>
  <c r="N250" i="4"/>
  <c r="L250" i="4"/>
  <c r="K250" i="4"/>
  <c r="J250" i="4"/>
  <c r="M250" i="4" s="1"/>
  <c r="I250" i="4"/>
  <c r="R249" i="4"/>
  <c r="O249" i="4" s="1"/>
  <c r="Q249" i="4"/>
  <c r="P249" i="4"/>
  <c r="N249" i="4"/>
  <c r="L249" i="4"/>
  <c r="K249" i="4"/>
  <c r="J249" i="4"/>
  <c r="M249" i="4" s="1"/>
  <c r="I249" i="4"/>
  <c r="R248" i="4"/>
  <c r="O248" i="4" s="1"/>
  <c r="Q248" i="4"/>
  <c r="P248" i="4"/>
  <c r="N248" i="4"/>
  <c r="L248" i="4"/>
  <c r="K248" i="4"/>
  <c r="J248" i="4"/>
  <c r="M248" i="4" s="1"/>
  <c r="I248" i="4"/>
  <c r="R247" i="4"/>
  <c r="O247" i="4" s="1"/>
  <c r="Q247" i="4"/>
  <c r="P247" i="4"/>
  <c r="N247" i="4"/>
  <c r="L247" i="4"/>
  <c r="K247" i="4"/>
  <c r="J247" i="4"/>
  <c r="M247" i="4" s="1"/>
  <c r="I247" i="4"/>
  <c r="R246" i="4"/>
  <c r="O246" i="4" s="1"/>
  <c r="Q246" i="4"/>
  <c r="P246" i="4"/>
  <c r="N246" i="4"/>
  <c r="L246" i="4"/>
  <c r="K246" i="4"/>
  <c r="J246" i="4"/>
  <c r="M246" i="4" s="1"/>
  <c r="I246" i="4"/>
  <c r="R245" i="4"/>
  <c r="O245" i="4" s="1"/>
  <c r="Q245" i="4"/>
  <c r="P245" i="4"/>
  <c r="N245" i="4"/>
  <c r="L245" i="4"/>
  <c r="K245" i="4"/>
  <c r="J245" i="4"/>
  <c r="M245" i="4" s="1"/>
  <c r="I245" i="4"/>
  <c r="R244" i="4"/>
  <c r="O244" i="4" s="1"/>
  <c r="Q244" i="4"/>
  <c r="P244" i="4"/>
  <c r="N244" i="4"/>
  <c r="L244" i="4"/>
  <c r="K244" i="4"/>
  <c r="J244" i="4"/>
  <c r="M244" i="4" s="1"/>
  <c r="I244" i="4"/>
  <c r="R243" i="4"/>
  <c r="O243" i="4" s="1"/>
  <c r="Q243" i="4"/>
  <c r="P243" i="4"/>
  <c r="N243" i="4"/>
  <c r="L243" i="4"/>
  <c r="K243" i="4"/>
  <c r="J243" i="4"/>
  <c r="M243" i="4" s="1"/>
  <c r="I243" i="4"/>
  <c r="R242" i="4"/>
  <c r="O242" i="4" s="1"/>
  <c r="Q242" i="4"/>
  <c r="P242" i="4"/>
  <c r="N242" i="4"/>
  <c r="L242" i="4"/>
  <c r="K242" i="4"/>
  <c r="J242" i="4"/>
  <c r="M242" i="4" s="1"/>
  <c r="I242" i="4"/>
  <c r="R241" i="4"/>
  <c r="O241" i="4" s="1"/>
  <c r="Q241" i="4"/>
  <c r="P241" i="4"/>
  <c r="N241" i="4"/>
  <c r="L241" i="4"/>
  <c r="K241" i="4"/>
  <c r="J241" i="4"/>
  <c r="M241" i="4" s="1"/>
  <c r="I241" i="4"/>
  <c r="R240" i="4"/>
  <c r="O240" i="4" s="1"/>
  <c r="Q240" i="4"/>
  <c r="P240" i="4"/>
  <c r="N240" i="4"/>
  <c r="L240" i="4"/>
  <c r="K240" i="4"/>
  <c r="J240" i="4"/>
  <c r="M240" i="4" s="1"/>
  <c r="I240" i="4"/>
  <c r="R239" i="4"/>
  <c r="O239" i="4" s="1"/>
  <c r="Q239" i="4"/>
  <c r="P239" i="4"/>
  <c r="N239" i="4"/>
  <c r="L239" i="4"/>
  <c r="K239" i="4"/>
  <c r="J239" i="4"/>
  <c r="M239" i="4" s="1"/>
  <c r="I239" i="4"/>
  <c r="R238" i="4"/>
  <c r="O238" i="4" s="1"/>
  <c r="Q238" i="4"/>
  <c r="P238" i="4"/>
  <c r="N238" i="4"/>
  <c r="L238" i="4"/>
  <c r="K238" i="4"/>
  <c r="J238" i="4"/>
  <c r="M238" i="4" s="1"/>
  <c r="I238" i="4"/>
  <c r="R237" i="4"/>
  <c r="O237" i="4" s="1"/>
  <c r="Q237" i="4"/>
  <c r="P237" i="4"/>
  <c r="N237" i="4"/>
  <c r="L237" i="4"/>
  <c r="K237" i="4"/>
  <c r="J237" i="4"/>
  <c r="M237" i="4" s="1"/>
  <c r="I237" i="4"/>
  <c r="R236" i="4"/>
  <c r="O236" i="4" s="1"/>
  <c r="Q236" i="4"/>
  <c r="P236" i="4"/>
  <c r="N236" i="4"/>
  <c r="L236" i="4"/>
  <c r="K236" i="4"/>
  <c r="J236" i="4"/>
  <c r="M236" i="4" s="1"/>
  <c r="I236" i="4"/>
  <c r="R235" i="4"/>
  <c r="O235" i="4" s="1"/>
  <c r="Q235" i="4"/>
  <c r="P235" i="4"/>
  <c r="N235" i="4"/>
  <c r="L235" i="4"/>
  <c r="K235" i="4"/>
  <c r="J235" i="4"/>
  <c r="M235" i="4" s="1"/>
  <c r="I235" i="4"/>
  <c r="R234" i="4"/>
  <c r="O234" i="4" s="1"/>
  <c r="Q234" i="4"/>
  <c r="P234" i="4"/>
  <c r="N234" i="4"/>
  <c r="L234" i="4"/>
  <c r="K234" i="4"/>
  <c r="J234" i="4"/>
  <c r="M234" i="4" s="1"/>
  <c r="I234" i="4"/>
  <c r="R233" i="4"/>
  <c r="O233" i="4" s="1"/>
  <c r="Q233" i="4"/>
  <c r="P233" i="4"/>
  <c r="N233" i="4"/>
  <c r="L233" i="4"/>
  <c r="K233" i="4"/>
  <c r="J233" i="4"/>
  <c r="M233" i="4" s="1"/>
  <c r="I233" i="4"/>
  <c r="R232" i="4"/>
  <c r="O232" i="4" s="1"/>
  <c r="Q232" i="4"/>
  <c r="P232" i="4"/>
  <c r="N232" i="4"/>
  <c r="L232" i="4"/>
  <c r="K232" i="4"/>
  <c r="J232" i="4"/>
  <c r="M232" i="4" s="1"/>
  <c r="I232" i="4"/>
  <c r="R231" i="4"/>
  <c r="O231" i="4" s="1"/>
  <c r="Q231" i="4"/>
  <c r="P231" i="4"/>
  <c r="N231" i="4"/>
  <c r="L231" i="4"/>
  <c r="K231" i="4"/>
  <c r="J231" i="4"/>
  <c r="M231" i="4" s="1"/>
  <c r="I231" i="4"/>
  <c r="R230" i="4"/>
  <c r="O230" i="4" s="1"/>
  <c r="Q230" i="4"/>
  <c r="P230" i="4"/>
  <c r="N230" i="4"/>
  <c r="L230" i="4"/>
  <c r="K230" i="4"/>
  <c r="J230" i="4"/>
  <c r="M230" i="4" s="1"/>
  <c r="I230" i="4"/>
  <c r="R229" i="4"/>
  <c r="O229" i="4" s="1"/>
  <c r="Q229" i="4"/>
  <c r="P229" i="4"/>
  <c r="N229" i="4"/>
  <c r="L229" i="4"/>
  <c r="K229" i="4"/>
  <c r="J229" i="4"/>
  <c r="M229" i="4" s="1"/>
  <c r="I229" i="4"/>
  <c r="R228" i="4"/>
  <c r="O228" i="4" s="1"/>
  <c r="Q228" i="4"/>
  <c r="P228" i="4"/>
  <c r="N228" i="4"/>
  <c r="L228" i="4"/>
  <c r="K228" i="4"/>
  <c r="J228" i="4"/>
  <c r="M228" i="4" s="1"/>
  <c r="I228" i="4"/>
  <c r="R227" i="4"/>
  <c r="O227" i="4" s="1"/>
  <c r="Q227" i="4"/>
  <c r="P227" i="4"/>
  <c r="N227" i="4"/>
  <c r="L227" i="4"/>
  <c r="K227" i="4"/>
  <c r="J227" i="4"/>
  <c r="M227" i="4" s="1"/>
  <c r="I227" i="4"/>
  <c r="R226" i="4"/>
  <c r="O226" i="4" s="1"/>
  <c r="Q226" i="4"/>
  <c r="P226" i="4"/>
  <c r="N226" i="4"/>
  <c r="L226" i="4"/>
  <c r="K226" i="4"/>
  <c r="J226" i="4"/>
  <c r="M226" i="4" s="1"/>
  <c r="I226" i="4"/>
  <c r="R225" i="4"/>
  <c r="O225" i="4" s="1"/>
  <c r="Q225" i="4"/>
  <c r="P225" i="4"/>
  <c r="N225" i="4"/>
  <c r="L225" i="4"/>
  <c r="K225" i="4"/>
  <c r="J225" i="4"/>
  <c r="M225" i="4" s="1"/>
  <c r="I225" i="4"/>
  <c r="R224" i="4"/>
  <c r="O224" i="4" s="1"/>
  <c r="Q224" i="4"/>
  <c r="P224" i="4"/>
  <c r="N224" i="4"/>
  <c r="L224" i="4"/>
  <c r="K224" i="4"/>
  <c r="J224" i="4"/>
  <c r="M224" i="4" s="1"/>
  <c r="I224" i="4"/>
  <c r="R223" i="4"/>
  <c r="O223" i="4" s="1"/>
  <c r="Q223" i="4"/>
  <c r="P223" i="4"/>
  <c r="N223" i="4"/>
  <c r="L223" i="4"/>
  <c r="K223" i="4"/>
  <c r="J223" i="4"/>
  <c r="M223" i="4" s="1"/>
  <c r="I223" i="4"/>
  <c r="R222" i="4"/>
  <c r="O222" i="4" s="1"/>
  <c r="Q222" i="4"/>
  <c r="P222" i="4"/>
  <c r="N222" i="4"/>
  <c r="L222" i="4"/>
  <c r="K222" i="4"/>
  <c r="J222" i="4"/>
  <c r="M222" i="4" s="1"/>
  <c r="I222" i="4"/>
  <c r="R221" i="4"/>
  <c r="O221" i="4" s="1"/>
  <c r="Q221" i="4"/>
  <c r="P221" i="4"/>
  <c r="N221" i="4"/>
  <c r="L221" i="4"/>
  <c r="K221" i="4"/>
  <c r="J221" i="4"/>
  <c r="M221" i="4" s="1"/>
  <c r="I221" i="4"/>
  <c r="R220" i="4"/>
  <c r="O220" i="4" s="1"/>
  <c r="Q220" i="4"/>
  <c r="P220" i="4"/>
  <c r="N220" i="4"/>
  <c r="L220" i="4"/>
  <c r="K220" i="4"/>
  <c r="J220" i="4"/>
  <c r="M220" i="4" s="1"/>
  <c r="I220" i="4"/>
  <c r="R219" i="4"/>
  <c r="O219" i="4" s="1"/>
  <c r="Q219" i="4"/>
  <c r="P219" i="4"/>
  <c r="N219" i="4"/>
  <c r="L219" i="4"/>
  <c r="K219" i="4"/>
  <c r="J219" i="4"/>
  <c r="M219" i="4" s="1"/>
  <c r="I219" i="4"/>
  <c r="R218" i="4"/>
  <c r="O218" i="4" s="1"/>
  <c r="Q218" i="4"/>
  <c r="P218" i="4"/>
  <c r="N218" i="4"/>
  <c r="L218" i="4"/>
  <c r="K218" i="4"/>
  <c r="J218" i="4"/>
  <c r="M218" i="4" s="1"/>
  <c r="I218" i="4"/>
  <c r="R217" i="4"/>
  <c r="O217" i="4" s="1"/>
  <c r="Q217" i="4"/>
  <c r="P217" i="4"/>
  <c r="N217" i="4"/>
  <c r="L217" i="4"/>
  <c r="K217" i="4"/>
  <c r="J217" i="4"/>
  <c r="M217" i="4" s="1"/>
  <c r="I217" i="4"/>
  <c r="R216" i="4"/>
  <c r="O216" i="4" s="1"/>
  <c r="Q216" i="4"/>
  <c r="P216" i="4"/>
  <c r="N216" i="4"/>
  <c r="L216" i="4"/>
  <c r="K216" i="4"/>
  <c r="J216" i="4"/>
  <c r="M216" i="4" s="1"/>
  <c r="I216" i="4"/>
  <c r="R215" i="4"/>
  <c r="O215" i="4" s="1"/>
  <c r="Q215" i="4"/>
  <c r="P215" i="4"/>
  <c r="N215" i="4"/>
  <c r="L215" i="4"/>
  <c r="K215" i="4"/>
  <c r="J215" i="4"/>
  <c r="M215" i="4" s="1"/>
  <c r="I215" i="4"/>
  <c r="R214" i="4"/>
  <c r="O214" i="4" s="1"/>
  <c r="Q214" i="4"/>
  <c r="P214" i="4"/>
  <c r="N214" i="4"/>
  <c r="L214" i="4"/>
  <c r="K214" i="4"/>
  <c r="J214" i="4"/>
  <c r="M214" i="4" s="1"/>
  <c r="I214" i="4"/>
  <c r="R213" i="4"/>
  <c r="O213" i="4" s="1"/>
  <c r="Q213" i="4"/>
  <c r="P213" i="4"/>
  <c r="N213" i="4"/>
  <c r="L213" i="4"/>
  <c r="K213" i="4"/>
  <c r="J213" i="4"/>
  <c r="M213" i="4" s="1"/>
  <c r="I213" i="4"/>
  <c r="R212" i="4"/>
  <c r="O212" i="4" s="1"/>
  <c r="Q212" i="4"/>
  <c r="P212" i="4"/>
  <c r="N212" i="4"/>
  <c r="L212" i="4"/>
  <c r="K212" i="4"/>
  <c r="J212" i="4"/>
  <c r="M212" i="4" s="1"/>
  <c r="I212" i="4"/>
  <c r="R211" i="4"/>
  <c r="O211" i="4" s="1"/>
  <c r="Q211" i="4"/>
  <c r="P211" i="4"/>
  <c r="N211" i="4"/>
  <c r="L211" i="4"/>
  <c r="K211" i="4"/>
  <c r="J211" i="4"/>
  <c r="M211" i="4" s="1"/>
  <c r="I211" i="4"/>
  <c r="R210" i="4"/>
  <c r="O210" i="4" s="1"/>
  <c r="Q210" i="4"/>
  <c r="P210" i="4"/>
  <c r="N210" i="4"/>
  <c r="L210" i="4"/>
  <c r="K210" i="4"/>
  <c r="J210" i="4"/>
  <c r="M210" i="4" s="1"/>
  <c r="I210" i="4"/>
  <c r="R209" i="4"/>
  <c r="O209" i="4" s="1"/>
  <c r="Q209" i="4"/>
  <c r="P209" i="4"/>
  <c r="N209" i="4"/>
  <c r="L209" i="4"/>
  <c r="K209" i="4"/>
  <c r="J209" i="4"/>
  <c r="M209" i="4" s="1"/>
  <c r="I209" i="4"/>
  <c r="R208" i="4"/>
  <c r="O208" i="4" s="1"/>
  <c r="Q208" i="4"/>
  <c r="P208" i="4"/>
  <c r="N208" i="4"/>
  <c r="L208" i="4"/>
  <c r="K208" i="4"/>
  <c r="J208" i="4"/>
  <c r="M208" i="4" s="1"/>
  <c r="I208" i="4"/>
  <c r="R207" i="4"/>
  <c r="O207" i="4" s="1"/>
  <c r="Q207" i="4"/>
  <c r="P207" i="4"/>
  <c r="N207" i="4"/>
  <c r="L207" i="4"/>
  <c r="K207" i="4"/>
  <c r="J207" i="4"/>
  <c r="M207" i="4" s="1"/>
  <c r="I207" i="4"/>
  <c r="R206" i="4"/>
  <c r="O206" i="4" s="1"/>
  <c r="Q206" i="4"/>
  <c r="P206" i="4"/>
  <c r="N206" i="4"/>
  <c r="L206" i="4"/>
  <c r="K206" i="4"/>
  <c r="J206" i="4"/>
  <c r="M206" i="4" s="1"/>
  <c r="I206" i="4"/>
  <c r="R205" i="4"/>
  <c r="O205" i="4" s="1"/>
  <c r="Q205" i="4"/>
  <c r="P205" i="4"/>
  <c r="N205" i="4"/>
  <c r="L205" i="4"/>
  <c r="K205" i="4"/>
  <c r="J205" i="4"/>
  <c r="M205" i="4" s="1"/>
  <c r="I205" i="4"/>
  <c r="R204" i="4"/>
  <c r="O204" i="4" s="1"/>
  <c r="Q204" i="4"/>
  <c r="P204" i="4"/>
  <c r="N204" i="4"/>
  <c r="L204" i="4"/>
  <c r="K204" i="4"/>
  <c r="J204" i="4"/>
  <c r="M204" i="4" s="1"/>
  <c r="I204" i="4"/>
  <c r="R203" i="4"/>
  <c r="O203" i="4" s="1"/>
  <c r="Q203" i="4"/>
  <c r="P203" i="4"/>
  <c r="N203" i="4"/>
  <c r="L203" i="4"/>
  <c r="K203" i="4"/>
  <c r="J203" i="4"/>
  <c r="M203" i="4" s="1"/>
  <c r="I203" i="4"/>
  <c r="R202" i="4"/>
  <c r="O202" i="4" s="1"/>
  <c r="Q202" i="4"/>
  <c r="P202" i="4"/>
  <c r="N202" i="4"/>
  <c r="L202" i="4"/>
  <c r="K202" i="4"/>
  <c r="J202" i="4"/>
  <c r="M202" i="4" s="1"/>
  <c r="I202" i="4"/>
  <c r="R201" i="4"/>
  <c r="O201" i="4" s="1"/>
  <c r="Q201" i="4"/>
  <c r="P201" i="4"/>
  <c r="N201" i="4"/>
  <c r="L201" i="4"/>
  <c r="K201" i="4"/>
  <c r="J201" i="4"/>
  <c r="M201" i="4" s="1"/>
  <c r="I201" i="4"/>
  <c r="R200" i="4"/>
  <c r="O200" i="4" s="1"/>
  <c r="Q200" i="4"/>
  <c r="P200" i="4"/>
  <c r="N200" i="4"/>
  <c r="L200" i="4"/>
  <c r="K200" i="4"/>
  <c r="J200" i="4"/>
  <c r="M200" i="4" s="1"/>
  <c r="I200" i="4"/>
  <c r="R199" i="4"/>
  <c r="O199" i="4" s="1"/>
  <c r="Q199" i="4"/>
  <c r="P199" i="4"/>
  <c r="N199" i="4"/>
  <c r="L199" i="4"/>
  <c r="K199" i="4"/>
  <c r="J199" i="4"/>
  <c r="M199" i="4" s="1"/>
  <c r="I199" i="4"/>
  <c r="R198" i="4"/>
  <c r="O198" i="4" s="1"/>
  <c r="Q198" i="4"/>
  <c r="P198" i="4"/>
  <c r="N198" i="4"/>
  <c r="L198" i="4"/>
  <c r="K198" i="4"/>
  <c r="J198" i="4"/>
  <c r="M198" i="4" s="1"/>
  <c r="I198" i="4"/>
  <c r="R197" i="4"/>
  <c r="O197" i="4" s="1"/>
  <c r="Q197" i="4"/>
  <c r="P197" i="4"/>
  <c r="N197" i="4"/>
  <c r="L197" i="4"/>
  <c r="K197" i="4"/>
  <c r="J197" i="4"/>
  <c r="M197" i="4" s="1"/>
  <c r="I197" i="4"/>
  <c r="R196" i="4"/>
  <c r="O196" i="4" s="1"/>
  <c r="Q196" i="4"/>
  <c r="P196" i="4"/>
  <c r="N196" i="4"/>
  <c r="L196" i="4"/>
  <c r="K196" i="4"/>
  <c r="J196" i="4"/>
  <c r="M196" i="4" s="1"/>
  <c r="I196" i="4"/>
  <c r="R195" i="4"/>
  <c r="O195" i="4" s="1"/>
  <c r="Q195" i="4"/>
  <c r="P195" i="4"/>
  <c r="N195" i="4"/>
  <c r="L195" i="4"/>
  <c r="K195" i="4"/>
  <c r="J195" i="4"/>
  <c r="M195" i="4" s="1"/>
  <c r="I195" i="4"/>
  <c r="R194" i="4"/>
  <c r="O194" i="4" s="1"/>
  <c r="Q194" i="4"/>
  <c r="P194" i="4"/>
  <c r="N194" i="4"/>
  <c r="L194" i="4"/>
  <c r="K194" i="4"/>
  <c r="J194" i="4"/>
  <c r="M194" i="4" s="1"/>
  <c r="I194" i="4"/>
  <c r="R193" i="4"/>
  <c r="O193" i="4" s="1"/>
  <c r="Q193" i="4"/>
  <c r="P193" i="4"/>
  <c r="N193" i="4"/>
  <c r="L193" i="4"/>
  <c r="K193" i="4"/>
  <c r="J193" i="4"/>
  <c r="M193" i="4" s="1"/>
  <c r="I193" i="4"/>
  <c r="R192" i="4"/>
  <c r="O192" i="4" s="1"/>
  <c r="Q192" i="4"/>
  <c r="P192" i="4"/>
  <c r="N192" i="4"/>
  <c r="L192" i="4"/>
  <c r="K192" i="4"/>
  <c r="J192" i="4"/>
  <c r="M192" i="4" s="1"/>
  <c r="I192" i="4"/>
  <c r="R191" i="4"/>
  <c r="O191" i="4" s="1"/>
  <c r="Q191" i="4"/>
  <c r="P191" i="4"/>
  <c r="N191" i="4"/>
  <c r="L191" i="4"/>
  <c r="K191" i="4"/>
  <c r="J191" i="4"/>
  <c r="M191" i="4" s="1"/>
  <c r="I191" i="4"/>
  <c r="R190" i="4"/>
  <c r="O190" i="4" s="1"/>
  <c r="Q190" i="4"/>
  <c r="P190" i="4"/>
  <c r="N190" i="4"/>
  <c r="L190" i="4"/>
  <c r="K190" i="4"/>
  <c r="J190" i="4"/>
  <c r="M190" i="4" s="1"/>
  <c r="I190" i="4"/>
  <c r="R189" i="4"/>
  <c r="O189" i="4" s="1"/>
  <c r="Q189" i="4"/>
  <c r="P189" i="4"/>
  <c r="N189" i="4"/>
  <c r="L189" i="4"/>
  <c r="K189" i="4"/>
  <c r="J189" i="4"/>
  <c r="M189" i="4" s="1"/>
  <c r="I189" i="4"/>
  <c r="R188" i="4"/>
  <c r="O188" i="4" s="1"/>
  <c r="Q188" i="4"/>
  <c r="P188" i="4"/>
  <c r="N188" i="4"/>
  <c r="L188" i="4"/>
  <c r="K188" i="4"/>
  <c r="J188" i="4"/>
  <c r="M188" i="4" s="1"/>
  <c r="I188" i="4"/>
  <c r="R187" i="4"/>
  <c r="O187" i="4" s="1"/>
  <c r="Q187" i="4"/>
  <c r="P187" i="4"/>
  <c r="N187" i="4"/>
  <c r="L187" i="4"/>
  <c r="K187" i="4"/>
  <c r="J187" i="4"/>
  <c r="M187" i="4" s="1"/>
  <c r="I187" i="4"/>
  <c r="R186" i="4"/>
  <c r="O186" i="4" s="1"/>
  <c r="Q186" i="4"/>
  <c r="P186" i="4"/>
  <c r="N186" i="4"/>
  <c r="L186" i="4"/>
  <c r="K186" i="4"/>
  <c r="J186" i="4"/>
  <c r="M186" i="4" s="1"/>
  <c r="I186" i="4"/>
  <c r="R185" i="4"/>
  <c r="O185" i="4" s="1"/>
  <c r="Q185" i="4"/>
  <c r="P185" i="4"/>
  <c r="N185" i="4"/>
  <c r="L185" i="4"/>
  <c r="K185" i="4"/>
  <c r="J185" i="4"/>
  <c r="M185" i="4" s="1"/>
  <c r="I185" i="4"/>
  <c r="R184" i="4"/>
  <c r="O184" i="4" s="1"/>
  <c r="Q184" i="4"/>
  <c r="P184" i="4"/>
  <c r="N184" i="4"/>
  <c r="L184" i="4"/>
  <c r="K184" i="4"/>
  <c r="J184" i="4"/>
  <c r="M184" i="4" s="1"/>
  <c r="I184" i="4"/>
  <c r="R183" i="4"/>
  <c r="O183" i="4" s="1"/>
  <c r="Q183" i="4"/>
  <c r="P183" i="4"/>
  <c r="N183" i="4"/>
  <c r="L183" i="4"/>
  <c r="K183" i="4"/>
  <c r="J183" i="4"/>
  <c r="M183" i="4" s="1"/>
  <c r="I183" i="4"/>
  <c r="R182" i="4"/>
  <c r="O182" i="4" s="1"/>
  <c r="Q182" i="4"/>
  <c r="P182" i="4"/>
  <c r="N182" i="4"/>
  <c r="L182" i="4"/>
  <c r="K182" i="4"/>
  <c r="J182" i="4"/>
  <c r="M182" i="4" s="1"/>
  <c r="I182" i="4"/>
  <c r="R181" i="4"/>
  <c r="O181" i="4" s="1"/>
  <c r="Q181" i="4"/>
  <c r="P181" i="4"/>
  <c r="N181" i="4"/>
  <c r="L181" i="4"/>
  <c r="K181" i="4"/>
  <c r="J181" i="4"/>
  <c r="M181" i="4" s="1"/>
  <c r="I181" i="4"/>
  <c r="R180" i="4"/>
  <c r="O180" i="4" s="1"/>
  <c r="Q180" i="4"/>
  <c r="P180" i="4"/>
  <c r="N180" i="4"/>
  <c r="L180" i="4"/>
  <c r="K180" i="4"/>
  <c r="J180" i="4"/>
  <c r="M180" i="4" s="1"/>
  <c r="I180" i="4"/>
  <c r="R179" i="4"/>
  <c r="O179" i="4" s="1"/>
  <c r="Q179" i="4"/>
  <c r="P179" i="4"/>
  <c r="N179" i="4"/>
  <c r="L179" i="4"/>
  <c r="K179" i="4"/>
  <c r="J179" i="4"/>
  <c r="M179" i="4" s="1"/>
  <c r="I179" i="4"/>
  <c r="R178" i="4"/>
  <c r="O178" i="4" s="1"/>
  <c r="Q178" i="4"/>
  <c r="P178" i="4"/>
  <c r="N178" i="4"/>
  <c r="L178" i="4"/>
  <c r="K178" i="4"/>
  <c r="J178" i="4"/>
  <c r="M178" i="4" s="1"/>
  <c r="I178" i="4"/>
  <c r="R177" i="4"/>
  <c r="O177" i="4" s="1"/>
  <c r="Q177" i="4"/>
  <c r="P177" i="4"/>
  <c r="N177" i="4"/>
  <c r="L177" i="4"/>
  <c r="K177" i="4"/>
  <c r="J177" i="4"/>
  <c r="M177" i="4" s="1"/>
  <c r="I177" i="4"/>
  <c r="R176" i="4"/>
  <c r="O176" i="4" s="1"/>
  <c r="Q176" i="4"/>
  <c r="P176" i="4"/>
  <c r="N176" i="4"/>
  <c r="L176" i="4"/>
  <c r="K176" i="4"/>
  <c r="J176" i="4"/>
  <c r="M176" i="4" s="1"/>
  <c r="I176" i="4"/>
  <c r="R175" i="4"/>
  <c r="O175" i="4" s="1"/>
  <c r="Q175" i="4"/>
  <c r="P175" i="4"/>
  <c r="N175" i="4"/>
  <c r="L175" i="4"/>
  <c r="K175" i="4"/>
  <c r="J175" i="4"/>
  <c r="M175" i="4" s="1"/>
  <c r="I175" i="4"/>
  <c r="R174" i="4"/>
  <c r="O174" i="4" s="1"/>
  <c r="Q174" i="4"/>
  <c r="P174" i="4"/>
  <c r="N174" i="4"/>
  <c r="L174" i="4"/>
  <c r="K174" i="4"/>
  <c r="J174" i="4"/>
  <c r="M174" i="4" s="1"/>
  <c r="I174" i="4"/>
  <c r="R173" i="4"/>
  <c r="O173" i="4" s="1"/>
  <c r="Q173" i="4"/>
  <c r="P173" i="4"/>
  <c r="N173" i="4"/>
  <c r="L173" i="4"/>
  <c r="K173" i="4"/>
  <c r="J173" i="4"/>
  <c r="M173" i="4" s="1"/>
  <c r="I173" i="4"/>
  <c r="R172" i="4"/>
  <c r="O172" i="4" s="1"/>
  <c r="Q172" i="4"/>
  <c r="P172" i="4"/>
  <c r="N172" i="4"/>
  <c r="L172" i="4"/>
  <c r="K172" i="4"/>
  <c r="J172" i="4"/>
  <c r="M172" i="4" s="1"/>
  <c r="I172" i="4"/>
  <c r="Q171" i="4"/>
  <c r="P171" i="4"/>
  <c r="L171" i="4"/>
  <c r="K171" i="4"/>
  <c r="J171" i="4"/>
  <c r="M171" i="4" s="1"/>
  <c r="I171" i="4"/>
  <c r="R171" i="4" s="1"/>
  <c r="R170" i="4"/>
  <c r="O170" i="4" s="1"/>
  <c r="Q170" i="4"/>
  <c r="P170" i="4"/>
  <c r="N170" i="4"/>
  <c r="L170" i="4"/>
  <c r="K170" i="4"/>
  <c r="J170" i="4"/>
  <c r="M170" i="4" s="1"/>
  <c r="I170" i="4"/>
  <c r="Q169" i="4"/>
  <c r="P169" i="4"/>
  <c r="L169" i="4"/>
  <c r="K169" i="4"/>
  <c r="J169" i="4"/>
  <c r="M169" i="4" s="1"/>
  <c r="I169" i="4"/>
  <c r="R169" i="4" s="1"/>
  <c r="R168" i="4"/>
  <c r="O168" i="4" s="1"/>
  <c r="Q168" i="4"/>
  <c r="P168" i="4"/>
  <c r="N168" i="4"/>
  <c r="L168" i="4"/>
  <c r="K168" i="4"/>
  <c r="J168" i="4"/>
  <c r="M168" i="4" s="1"/>
  <c r="I168" i="4"/>
  <c r="Q167" i="4"/>
  <c r="P167" i="4"/>
  <c r="M167" i="4"/>
  <c r="L167" i="4"/>
  <c r="K167" i="4"/>
  <c r="J167" i="4"/>
  <c r="I167" i="4"/>
  <c r="R167" i="4" s="1"/>
  <c r="R166" i="4"/>
  <c r="O166" i="4" s="1"/>
  <c r="Q166" i="4"/>
  <c r="P166" i="4"/>
  <c r="N166" i="4"/>
  <c r="L166" i="4"/>
  <c r="K166" i="4"/>
  <c r="J166" i="4"/>
  <c r="M166" i="4" s="1"/>
  <c r="I166" i="4"/>
  <c r="Q165" i="4"/>
  <c r="P165" i="4"/>
  <c r="M165" i="4"/>
  <c r="L165" i="4"/>
  <c r="K165" i="4"/>
  <c r="J165" i="4"/>
  <c r="I165" i="4"/>
  <c r="R165" i="4" s="1"/>
  <c r="R164" i="4"/>
  <c r="O164" i="4" s="1"/>
  <c r="Q164" i="4"/>
  <c r="P164" i="4"/>
  <c r="N164" i="4"/>
  <c r="L164" i="4"/>
  <c r="K164" i="4"/>
  <c r="J164" i="4"/>
  <c r="M164" i="4" s="1"/>
  <c r="I164" i="4"/>
  <c r="Q163" i="4"/>
  <c r="P163" i="4"/>
  <c r="M163" i="4"/>
  <c r="L163" i="4"/>
  <c r="K163" i="4"/>
  <c r="J163" i="4"/>
  <c r="I163" i="4"/>
  <c r="R163" i="4" s="1"/>
  <c r="R162" i="4"/>
  <c r="O162" i="4" s="1"/>
  <c r="Q162" i="4"/>
  <c r="P162" i="4"/>
  <c r="N162" i="4"/>
  <c r="L162" i="4"/>
  <c r="K162" i="4"/>
  <c r="J162" i="4"/>
  <c r="M162" i="4" s="1"/>
  <c r="I162" i="4"/>
  <c r="Q161" i="4"/>
  <c r="P161" i="4"/>
  <c r="M161" i="4"/>
  <c r="L161" i="4"/>
  <c r="K161" i="4"/>
  <c r="J161" i="4"/>
  <c r="I161" i="4"/>
  <c r="R161" i="4" s="1"/>
  <c r="R160" i="4"/>
  <c r="O160" i="4" s="1"/>
  <c r="Q160" i="4"/>
  <c r="P160" i="4"/>
  <c r="N160" i="4"/>
  <c r="L160" i="4"/>
  <c r="K160" i="4"/>
  <c r="J160" i="4"/>
  <c r="M160" i="4" s="1"/>
  <c r="I160" i="4"/>
  <c r="Q159" i="4"/>
  <c r="P159" i="4"/>
  <c r="M159" i="4"/>
  <c r="L159" i="4"/>
  <c r="K159" i="4"/>
  <c r="J159" i="4"/>
  <c r="I159" i="4"/>
  <c r="R159" i="4" s="1"/>
  <c r="R158" i="4"/>
  <c r="O158" i="4" s="1"/>
  <c r="Q158" i="4"/>
  <c r="P158" i="4"/>
  <c r="L158" i="4"/>
  <c r="K158" i="4"/>
  <c r="J158" i="4"/>
  <c r="M158" i="4" s="1"/>
  <c r="I158" i="4"/>
  <c r="Q157" i="4"/>
  <c r="P157" i="4"/>
  <c r="M157" i="4"/>
  <c r="L157" i="4"/>
  <c r="K157" i="4"/>
  <c r="J157" i="4"/>
  <c r="I157" i="4"/>
  <c r="R157" i="4" s="1"/>
  <c r="R156" i="4"/>
  <c r="N156" i="4" s="1"/>
  <c r="Q156" i="4"/>
  <c r="P156" i="4"/>
  <c r="L156" i="4"/>
  <c r="K156" i="4"/>
  <c r="J156" i="4"/>
  <c r="M156" i="4" s="1"/>
  <c r="I156" i="4"/>
  <c r="Q155" i="4"/>
  <c r="P155" i="4"/>
  <c r="M155" i="4"/>
  <c r="L155" i="4"/>
  <c r="K155" i="4"/>
  <c r="J155" i="4"/>
  <c r="I155" i="4"/>
  <c r="R155" i="4" s="1"/>
  <c r="R154" i="4"/>
  <c r="O154" i="4" s="1"/>
  <c r="Q154" i="4"/>
  <c r="P154" i="4"/>
  <c r="L154" i="4"/>
  <c r="K154" i="4"/>
  <c r="J154" i="4"/>
  <c r="M154" i="4" s="1"/>
  <c r="I154" i="4"/>
  <c r="Q153" i="4"/>
  <c r="P153" i="4"/>
  <c r="M153" i="4"/>
  <c r="L153" i="4"/>
  <c r="K153" i="4"/>
  <c r="J153" i="4"/>
  <c r="I153" i="4"/>
  <c r="R153" i="4" s="1"/>
  <c r="R152" i="4"/>
  <c r="O152" i="4" s="1"/>
  <c r="Q152" i="4"/>
  <c r="P152" i="4"/>
  <c r="L152" i="4"/>
  <c r="K152" i="4"/>
  <c r="J152" i="4"/>
  <c r="M152" i="4" s="1"/>
  <c r="I152" i="4"/>
  <c r="Q151" i="4"/>
  <c r="P151" i="4"/>
  <c r="M151" i="4"/>
  <c r="L151" i="4"/>
  <c r="K151" i="4"/>
  <c r="J151" i="4"/>
  <c r="I151" i="4"/>
  <c r="R151" i="4" s="1"/>
  <c r="R150" i="4"/>
  <c r="O150" i="4" s="1"/>
  <c r="Q150" i="4"/>
  <c r="P150" i="4"/>
  <c r="L150" i="4"/>
  <c r="K150" i="4"/>
  <c r="J150" i="4"/>
  <c r="M150" i="4" s="1"/>
  <c r="I150" i="4"/>
  <c r="Q149" i="4"/>
  <c r="P149" i="4"/>
  <c r="M149" i="4"/>
  <c r="L149" i="4"/>
  <c r="K149" i="4"/>
  <c r="J149" i="4"/>
  <c r="I149" i="4"/>
  <c r="R149" i="4" s="1"/>
  <c r="R148" i="4"/>
  <c r="O148" i="4" s="1"/>
  <c r="Q148" i="4"/>
  <c r="P148" i="4"/>
  <c r="L148" i="4"/>
  <c r="K148" i="4"/>
  <c r="J148" i="4"/>
  <c r="M148" i="4" s="1"/>
  <c r="I148" i="4"/>
  <c r="Q147" i="4"/>
  <c r="P147" i="4"/>
  <c r="M147" i="4"/>
  <c r="L147" i="4"/>
  <c r="K147" i="4"/>
  <c r="J147" i="4"/>
  <c r="I147" i="4"/>
  <c r="R147" i="4" s="1"/>
  <c r="R146" i="4"/>
  <c r="O146" i="4" s="1"/>
  <c r="Q146" i="4"/>
  <c r="P146" i="4"/>
  <c r="L146" i="4"/>
  <c r="K146" i="4"/>
  <c r="J146" i="4"/>
  <c r="M146" i="4" s="1"/>
  <c r="I146" i="4"/>
  <c r="Q145" i="4"/>
  <c r="P145" i="4"/>
  <c r="M145" i="4"/>
  <c r="L145" i="4"/>
  <c r="K145" i="4"/>
  <c r="J145" i="4"/>
  <c r="I145" i="4"/>
  <c r="R145" i="4" s="1"/>
  <c r="R144" i="4"/>
  <c r="N144" i="4" s="1"/>
  <c r="Q144" i="4"/>
  <c r="P144" i="4"/>
  <c r="L144" i="4"/>
  <c r="K144" i="4"/>
  <c r="J144" i="4"/>
  <c r="M144" i="4" s="1"/>
  <c r="I144" i="4"/>
  <c r="Q143" i="4"/>
  <c r="P143" i="4"/>
  <c r="M143" i="4"/>
  <c r="L143" i="4"/>
  <c r="K143" i="4"/>
  <c r="J143" i="4"/>
  <c r="I143" i="4"/>
  <c r="R143" i="4" s="1"/>
  <c r="R142" i="4"/>
  <c r="N142" i="4" s="1"/>
  <c r="Q142" i="4"/>
  <c r="P142" i="4"/>
  <c r="L142" i="4"/>
  <c r="K142" i="4"/>
  <c r="J142" i="4"/>
  <c r="M142" i="4" s="1"/>
  <c r="I142" i="4"/>
  <c r="Q141" i="4"/>
  <c r="P141" i="4"/>
  <c r="M141" i="4"/>
  <c r="L141" i="4"/>
  <c r="K141" i="4"/>
  <c r="J141" i="4"/>
  <c r="I141" i="4"/>
  <c r="R141" i="4" s="1"/>
  <c r="R140" i="4"/>
  <c r="N140" i="4" s="1"/>
  <c r="Q140" i="4"/>
  <c r="P140" i="4"/>
  <c r="L140" i="4"/>
  <c r="K140" i="4"/>
  <c r="J140" i="4"/>
  <c r="M140" i="4" s="1"/>
  <c r="I140" i="4"/>
  <c r="Q139" i="4"/>
  <c r="P139" i="4"/>
  <c r="M139" i="4"/>
  <c r="L139" i="4"/>
  <c r="K139" i="4"/>
  <c r="J139" i="4"/>
  <c r="I139" i="4"/>
  <c r="R139" i="4" s="1"/>
  <c r="R138" i="4"/>
  <c r="O138" i="4" s="1"/>
  <c r="Q138" i="4"/>
  <c r="P138" i="4"/>
  <c r="L138" i="4"/>
  <c r="K138" i="4"/>
  <c r="J138" i="4"/>
  <c r="M138" i="4" s="1"/>
  <c r="I138" i="4"/>
  <c r="Q137" i="4"/>
  <c r="P137" i="4"/>
  <c r="M137" i="4"/>
  <c r="L137" i="4"/>
  <c r="K137" i="4"/>
  <c r="J137" i="4"/>
  <c r="I137" i="4"/>
  <c r="R137" i="4" s="1"/>
  <c r="R136" i="4"/>
  <c r="N136" i="4" s="1"/>
  <c r="Q136" i="4"/>
  <c r="P136" i="4"/>
  <c r="L136" i="4"/>
  <c r="K136" i="4"/>
  <c r="J136" i="4"/>
  <c r="M136" i="4" s="1"/>
  <c r="I136" i="4"/>
  <c r="Q135" i="4"/>
  <c r="P135" i="4"/>
  <c r="M135" i="4"/>
  <c r="L135" i="4"/>
  <c r="K135" i="4"/>
  <c r="J135" i="4"/>
  <c r="I135" i="4"/>
  <c r="R135" i="4" s="1"/>
  <c r="R134" i="4"/>
  <c r="N134" i="4" s="1"/>
  <c r="Q134" i="4"/>
  <c r="P134" i="4"/>
  <c r="L134" i="4"/>
  <c r="K134" i="4"/>
  <c r="J134" i="4"/>
  <c r="M134" i="4" s="1"/>
  <c r="I134" i="4"/>
  <c r="Q133" i="4"/>
  <c r="P133" i="4"/>
  <c r="M133" i="4"/>
  <c r="L133" i="4"/>
  <c r="K133" i="4"/>
  <c r="J133" i="4"/>
  <c r="I133" i="4"/>
  <c r="R133" i="4" s="1"/>
  <c r="R132" i="4"/>
  <c r="N132" i="4" s="1"/>
  <c r="Q132" i="4"/>
  <c r="P132" i="4"/>
  <c r="L132" i="4"/>
  <c r="K132" i="4"/>
  <c r="J132" i="4"/>
  <c r="M132" i="4" s="1"/>
  <c r="I132" i="4"/>
  <c r="Q131" i="4"/>
  <c r="P131" i="4"/>
  <c r="M131" i="4"/>
  <c r="L131" i="4"/>
  <c r="K131" i="4"/>
  <c r="J131" i="4"/>
  <c r="I131" i="4"/>
  <c r="R131" i="4" s="1"/>
  <c r="R130" i="4"/>
  <c r="O130" i="4" s="1"/>
  <c r="Q130" i="4"/>
  <c r="P130" i="4"/>
  <c r="L130" i="4"/>
  <c r="K130" i="4"/>
  <c r="J130" i="4"/>
  <c r="M130" i="4" s="1"/>
  <c r="I130" i="4"/>
  <c r="Q129" i="4"/>
  <c r="P129" i="4"/>
  <c r="M129" i="4"/>
  <c r="L129" i="4"/>
  <c r="K129" i="4"/>
  <c r="J129" i="4"/>
  <c r="I129" i="4"/>
  <c r="R129" i="4" s="1"/>
  <c r="R128" i="4"/>
  <c r="N128" i="4" s="1"/>
  <c r="Q128" i="4"/>
  <c r="P128" i="4"/>
  <c r="L128" i="4"/>
  <c r="K128" i="4"/>
  <c r="J128" i="4"/>
  <c r="M128" i="4" s="1"/>
  <c r="I128" i="4"/>
  <c r="Q127" i="4"/>
  <c r="P127" i="4"/>
  <c r="M127" i="4"/>
  <c r="L127" i="4"/>
  <c r="K127" i="4"/>
  <c r="J127" i="4"/>
  <c r="I127" i="4"/>
  <c r="R127" i="4" s="1"/>
  <c r="R126" i="4"/>
  <c r="O126" i="4" s="1"/>
  <c r="Q126" i="4"/>
  <c r="P126" i="4"/>
  <c r="L126" i="4"/>
  <c r="K126" i="4"/>
  <c r="J126" i="4"/>
  <c r="M126" i="4" s="1"/>
  <c r="I126" i="4"/>
  <c r="Q125" i="4"/>
  <c r="P125" i="4"/>
  <c r="M125" i="4"/>
  <c r="L125" i="4"/>
  <c r="K125" i="4"/>
  <c r="J125" i="4"/>
  <c r="I125" i="4"/>
  <c r="R125" i="4" s="1"/>
  <c r="R124" i="4"/>
  <c r="O124" i="4" s="1"/>
  <c r="Q124" i="4"/>
  <c r="P124" i="4"/>
  <c r="L124" i="4"/>
  <c r="K124" i="4"/>
  <c r="J124" i="4"/>
  <c r="M124" i="4" s="1"/>
  <c r="I124" i="4"/>
  <c r="Q123" i="4"/>
  <c r="P123" i="4"/>
  <c r="M123" i="4"/>
  <c r="L123" i="4"/>
  <c r="K123" i="4"/>
  <c r="J123" i="4"/>
  <c r="I123" i="4"/>
  <c r="R123" i="4" s="1"/>
  <c r="R122" i="4"/>
  <c r="O122" i="4" s="1"/>
  <c r="Q122" i="4"/>
  <c r="P122" i="4"/>
  <c r="L122" i="4"/>
  <c r="K122" i="4"/>
  <c r="J122" i="4"/>
  <c r="M122" i="4" s="1"/>
  <c r="I122" i="4"/>
  <c r="Q121" i="4"/>
  <c r="P121" i="4"/>
  <c r="M121" i="4"/>
  <c r="L121" i="4"/>
  <c r="K121" i="4"/>
  <c r="J121" i="4"/>
  <c r="I121" i="4"/>
  <c r="R121" i="4" s="1"/>
  <c r="R120" i="4"/>
  <c r="O120" i="4" s="1"/>
  <c r="Q120" i="4"/>
  <c r="P120" i="4"/>
  <c r="L120" i="4"/>
  <c r="K120" i="4"/>
  <c r="J120" i="4"/>
  <c r="M120" i="4" s="1"/>
  <c r="I120" i="4"/>
  <c r="Q119" i="4"/>
  <c r="P119" i="4"/>
  <c r="M119" i="4"/>
  <c r="L119" i="4"/>
  <c r="K119" i="4"/>
  <c r="J119" i="4"/>
  <c r="I119" i="4"/>
  <c r="R119" i="4" s="1"/>
  <c r="R118" i="4"/>
  <c r="O118" i="4" s="1"/>
  <c r="Q118" i="4"/>
  <c r="P118" i="4"/>
  <c r="L118" i="4"/>
  <c r="K118" i="4"/>
  <c r="J118" i="4"/>
  <c r="M118" i="4" s="1"/>
  <c r="I118" i="4"/>
  <c r="Q117" i="4"/>
  <c r="P117" i="4"/>
  <c r="M117" i="4"/>
  <c r="L117" i="4"/>
  <c r="K117" i="4"/>
  <c r="J117" i="4"/>
  <c r="I117" i="4"/>
  <c r="R117" i="4" s="1"/>
  <c r="R116" i="4"/>
  <c r="O116" i="4" s="1"/>
  <c r="Q116" i="4"/>
  <c r="P116" i="4"/>
  <c r="L116" i="4"/>
  <c r="K116" i="4"/>
  <c r="J116" i="4"/>
  <c r="M116" i="4" s="1"/>
  <c r="I116" i="4"/>
  <c r="Q115" i="4"/>
  <c r="P115" i="4"/>
  <c r="M115" i="4"/>
  <c r="L115" i="4"/>
  <c r="K115" i="4"/>
  <c r="J115" i="4"/>
  <c r="I115" i="4"/>
  <c r="R115" i="4" s="1"/>
  <c r="R114" i="4"/>
  <c r="O114" i="4" s="1"/>
  <c r="Q114" i="4"/>
  <c r="P114" i="4"/>
  <c r="L114" i="4"/>
  <c r="K114" i="4"/>
  <c r="J114" i="4"/>
  <c r="M114" i="4" s="1"/>
  <c r="I114" i="4"/>
  <c r="Q113" i="4"/>
  <c r="P113" i="4"/>
  <c r="M113" i="4"/>
  <c r="L113" i="4"/>
  <c r="K113" i="4"/>
  <c r="J113" i="4"/>
  <c r="I113" i="4"/>
  <c r="R113" i="4" s="1"/>
  <c r="R112" i="4"/>
  <c r="N112" i="4" s="1"/>
  <c r="Q112" i="4"/>
  <c r="P112" i="4"/>
  <c r="L112" i="4"/>
  <c r="K112" i="4"/>
  <c r="J112" i="4"/>
  <c r="M112" i="4" s="1"/>
  <c r="I112" i="4"/>
  <c r="Q111" i="4"/>
  <c r="P111" i="4"/>
  <c r="M111" i="4"/>
  <c r="L111" i="4"/>
  <c r="K111" i="4"/>
  <c r="J111" i="4"/>
  <c r="I111" i="4"/>
  <c r="R111" i="4" s="1"/>
  <c r="R110" i="4"/>
  <c r="O110" i="4" s="1"/>
  <c r="Q110" i="4"/>
  <c r="P110" i="4"/>
  <c r="L110" i="4"/>
  <c r="K110" i="4"/>
  <c r="J110" i="4"/>
  <c r="M110" i="4" s="1"/>
  <c r="I110" i="4"/>
  <c r="Q109" i="4"/>
  <c r="P109" i="4"/>
  <c r="M109" i="4"/>
  <c r="L109" i="4"/>
  <c r="K109" i="4"/>
  <c r="J109" i="4"/>
  <c r="I109" i="4"/>
  <c r="R109" i="4" s="1"/>
  <c r="R108" i="4"/>
  <c r="N108" i="4" s="1"/>
  <c r="Q108" i="4"/>
  <c r="P108" i="4"/>
  <c r="L108" i="4"/>
  <c r="K108" i="4"/>
  <c r="J108" i="4"/>
  <c r="M108" i="4" s="1"/>
  <c r="I108" i="4"/>
  <c r="Q107" i="4"/>
  <c r="P107" i="4"/>
  <c r="M107" i="4"/>
  <c r="L107" i="4"/>
  <c r="K107" i="4"/>
  <c r="J107" i="4"/>
  <c r="I107" i="4"/>
  <c r="R107" i="4" s="1"/>
  <c r="R106" i="4"/>
  <c r="O106" i="4" s="1"/>
  <c r="Q106" i="4"/>
  <c r="P106" i="4"/>
  <c r="L106" i="4"/>
  <c r="K106" i="4"/>
  <c r="J106" i="4"/>
  <c r="M106" i="4" s="1"/>
  <c r="I106" i="4"/>
  <c r="Q105" i="4"/>
  <c r="P105" i="4"/>
  <c r="M105" i="4"/>
  <c r="L105" i="4"/>
  <c r="K105" i="4"/>
  <c r="J105" i="4"/>
  <c r="I105" i="4"/>
  <c r="R105" i="4" s="1"/>
  <c r="R104" i="4"/>
  <c r="O104" i="4" s="1"/>
  <c r="Q104" i="4"/>
  <c r="P104" i="4"/>
  <c r="L104" i="4"/>
  <c r="K104" i="4"/>
  <c r="J104" i="4"/>
  <c r="M104" i="4" s="1"/>
  <c r="I104" i="4"/>
  <c r="Q103" i="4"/>
  <c r="P103" i="4"/>
  <c r="M103" i="4"/>
  <c r="L103" i="4"/>
  <c r="K103" i="4"/>
  <c r="J103" i="4"/>
  <c r="I103" i="4"/>
  <c r="R103" i="4" s="1"/>
  <c r="R102" i="4"/>
  <c r="O102" i="4" s="1"/>
  <c r="Q102" i="4"/>
  <c r="P102" i="4"/>
  <c r="L102" i="4"/>
  <c r="K102" i="4"/>
  <c r="J102" i="4"/>
  <c r="M102" i="4" s="1"/>
  <c r="I102" i="4"/>
  <c r="Q101" i="4"/>
  <c r="P101" i="4"/>
  <c r="M101" i="4"/>
  <c r="L101" i="4"/>
  <c r="K101" i="4"/>
  <c r="J101" i="4"/>
  <c r="I101" i="4"/>
  <c r="R101" i="4" s="1"/>
  <c r="R100" i="4"/>
  <c r="O100" i="4" s="1"/>
  <c r="Q100" i="4"/>
  <c r="P100" i="4"/>
  <c r="L100" i="4"/>
  <c r="K100" i="4"/>
  <c r="J100" i="4"/>
  <c r="M100" i="4" s="1"/>
  <c r="I100" i="4"/>
  <c r="Q99" i="4"/>
  <c r="P99" i="4"/>
  <c r="M99" i="4"/>
  <c r="L99" i="4"/>
  <c r="K99" i="4"/>
  <c r="J99" i="4"/>
  <c r="I99" i="4"/>
  <c r="R99" i="4" s="1"/>
  <c r="R98" i="4"/>
  <c r="O98" i="4" s="1"/>
  <c r="Q98" i="4"/>
  <c r="P98" i="4"/>
  <c r="L98" i="4"/>
  <c r="K98" i="4"/>
  <c r="J98" i="4"/>
  <c r="M98" i="4" s="1"/>
  <c r="I98" i="4"/>
  <c r="Q97" i="4"/>
  <c r="P97" i="4"/>
  <c r="M97" i="4"/>
  <c r="L97" i="4"/>
  <c r="K97" i="4"/>
  <c r="J97" i="4"/>
  <c r="I97" i="4"/>
  <c r="R97" i="4" s="1"/>
  <c r="R96" i="4"/>
  <c r="N96" i="4" s="1"/>
  <c r="Q96" i="4"/>
  <c r="P96" i="4"/>
  <c r="L96" i="4"/>
  <c r="K96" i="4"/>
  <c r="J96" i="4"/>
  <c r="M96" i="4" s="1"/>
  <c r="I96" i="4"/>
  <c r="Q95" i="4"/>
  <c r="P95" i="4"/>
  <c r="M95" i="4"/>
  <c r="L95" i="4"/>
  <c r="K95" i="4"/>
  <c r="J95" i="4"/>
  <c r="I95" i="4"/>
  <c r="R95" i="4" s="1"/>
  <c r="R94" i="4"/>
  <c r="N94" i="4" s="1"/>
  <c r="Q94" i="4"/>
  <c r="P94" i="4"/>
  <c r="L94" i="4"/>
  <c r="K94" i="4"/>
  <c r="J94" i="4"/>
  <c r="M94" i="4" s="1"/>
  <c r="I94" i="4"/>
  <c r="Q93" i="4"/>
  <c r="P93" i="4"/>
  <c r="M93" i="4"/>
  <c r="L93" i="4"/>
  <c r="K93" i="4"/>
  <c r="J93" i="4"/>
  <c r="I93" i="4"/>
  <c r="R93" i="4" s="1"/>
  <c r="R92" i="4"/>
  <c r="N92" i="4" s="1"/>
  <c r="Q92" i="4"/>
  <c r="P92" i="4"/>
  <c r="L92" i="4"/>
  <c r="K92" i="4"/>
  <c r="J92" i="4"/>
  <c r="M92" i="4" s="1"/>
  <c r="I92" i="4"/>
  <c r="Q91" i="4"/>
  <c r="P91" i="4"/>
  <c r="M91" i="4"/>
  <c r="L91" i="4"/>
  <c r="K91" i="4"/>
  <c r="J91" i="4"/>
  <c r="I91" i="4"/>
  <c r="R91" i="4" s="1"/>
  <c r="R90" i="4"/>
  <c r="N90" i="4" s="1"/>
  <c r="Q90" i="4"/>
  <c r="P90" i="4"/>
  <c r="L90" i="4"/>
  <c r="K90" i="4"/>
  <c r="J90" i="4"/>
  <c r="M90" i="4" s="1"/>
  <c r="I90" i="4"/>
  <c r="Q89" i="4"/>
  <c r="P89" i="4"/>
  <c r="M89" i="4"/>
  <c r="L89" i="4"/>
  <c r="K89" i="4"/>
  <c r="J89" i="4"/>
  <c r="I89" i="4"/>
  <c r="R89" i="4" s="1"/>
  <c r="R88" i="4"/>
  <c r="O88" i="4" s="1"/>
  <c r="Q88" i="4"/>
  <c r="P88" i="4"/>
  <c r="L88" i="4"/>
  <c r="K88" i="4"/>
  <c r="J88" i="4"/>
  <c r="M88" i="4" s="1"/>
  <c r="I88" i="4"/>
  <c r="Q87" i="4"/>
  <c r="P87" i="4"/>
  <c r="M87" i="4"/>
  <c r="L87" i="4"/>
  <c r="K87" i="4"/>
  <c r="J87" i="4"/>
  <c r="I87" i="4"/>
  <c r="R87" i="4" s="1"/>
  <c r="R86" i="4"/>
  <c r="O86" i="4" s="1"/>
  <c r="Q86" i="4"/>
  <c r="P86" i="4"/>
  <c r="L86" i="4"/>
  <c r="K86" i="4"/>
  <c r="J86" i="4"/>
  <c r="M86" i="4" s="1"/>
  <c r="I86" i="4"/>
  <c r="Q85" i="4"/>
  <c r="P85" i="4"/>
  <c r="M85" i="4"/>
  <c r="L85" i="4"/>
  <c r="K85" i="4"/>
  <c r="J85" i="4"/>
  <c r="I85" i="4"/>
  <c r="R85" i="4" s="1"/>
  <c r="R84" i="4"/>
  <c r="O84" i="4" s="1"/>
  <c r="Q84" i="4"/>
  <c r="P84" i="4"/>
  <c r="L84" i="4"/>
  <c r="K84" i="4"/>
  <c r="J84" i="4"/>
  <c r="M84" i="4" s="1"/>
  <c r="I84" i="4"/>
  <c r="Q83" i="4"/>
  <c r="P83" i="4"/>
  <c r="M83" i="4"/>
  <c r="L83" i="4"/>
  <c r="K83" i="4"/>
  <c r="J83" i="4"/>
  <c r="I83" i="4"/>
  <c r="R83" i="4" s="1"/>
  <c r="R82" i="4"/>
  <c r="O82" i="4" s="1"/>
  <c r="Q82" i="4"/>
  <c r="P82" i="4"/>
  <c r="L82" i="4"/>
  <c r="K82" i="4"/>
  <c r="J82" i="4"/>
  <c r="M82" i="4" s="1"/>
  <c r="I82" i="4"/>
  <c r="Q81" i="4"/>
  <c r="P81" i="4"/>
  <c r="M81" i="4"/>
  <c r="L81" i="4"/>
  <c r="K81" i="4"/>
  <c r="J81" i="4"/>
  <c r="I81" i="4"/>
  <c r="R81" i="4" s="1"/>
  <c r="R80" i="4"/>
  <c r="O80" i="4" s="1"/>
  <c r="Q80" i="4"/>
  <c r="P80" i="4"/>
  <c r="L80" i="4"/>
  <c r="K80" i="4"/>
  <c r="J80" i="4"/>
  <c r="M80" i="4" s="1"/>
  <c r="I80" i="4"/>
  <c r="Q79" i="4"/>
  <c r="P79" i="4"/>
  <c r="M79" i="4"/>
  <c r="L79" i="4"/>
  <c r="K79" i="4"/>
  <c r="J79" i="4"/>
  <c r="I79" i="4"/>
  <c r="R79" i="4" s="1"/>
  <c r="R78" i="4"/>
  <c r="O78" i="4" s="1"/>
  <c r="Q78" i="4"/>
  <c r="P78" i="4"/>
  <c r="L78" i="4"/>
  <c r="K78" i="4"/>
  <c r="J78" i="4"/>
  <c r="M78" i="4" s="1"/>
  <c r="I78" i="4"/>
  <c r="Q77" i="4"/>
  <c r="P77" i="4"/>
  <c r="M77" i="4"/>
  <c r="L77" i="4"/>
  <c r="K77" i="4"/>
  <c r="J77" i="4"/>
  <c r="I77" i="4"/>
  <c r="R77" i="4" s="1"/>
  <c r="R76" i="4"/>
  <c r="O76" i="4" s="1"/>
  <c r="Q76" i="4"/>
  <c r="P76" i="4"/>
  <c r="L76" i="4"/>
  <c r="K76" i="4"/>
  <c r="J76" i="4"/>
  <c r="M76" i="4" s="1"/>
  <c r="I76" i="4"/>
  <c r="Q75" i="4"/>
  <c r="P75" i="4"/>
  <c r="M75" i="4"/>
  <c r="L75" i="4"/>
  <c r="K75" i="4"/>
  <c r="J75" i="4"/>
  <c r="I75" i="4"/>
  <c r="R75" i="4" s="1"/>
  <c r="R74" i="4"/>
  <c r="N74" i="4" s="1"/>
  <c r="Q74" i="4"/>
  <c r="P74" i="4"/>
  <c r="L74" i="4"/>
  <c r="K74" i="4"/>
  <c r="J74" i="4"/>
  <c r="M74" i="4" s="1"/>
  <c r="I74" i="4"/>
  <c r="Q73" i="4"/>
  <c r="P73" i="4"/>
  <c r="M73" i="4"/>
  <c r="L73" i="4"/>
  <c r="K73" i="4"/>
  <c r="J73" i="4"/>
  <c r="I73" i="4"/>
  <c r="R73" i="4" s="1"/>
  <c r="R72" i="4"/>
  <c r="N72" i="4" s="1"/>
  <c r="Q72" i="4"/>
  <c r="P72" i="4"/>
  <c r="L72" i="4"/>
  <c r="K72" i="4"/>
  <c r="J72" i="4"/>
  <c r="M72" i="4" s="1"/>
  <c r="I72" i="4"/>
  <c r="Q71" i="4"/>
  <c r="P71" i="4"/>
  <c r="M71" i="4"/>
  <c r="L71" i="4"/>
  <c r="K71" i="4"/>
  <c r="J71" i="4"/>
  <c r="I71" i="4"/>
  <c r="R71" i="4" s="1"/>
  <c r="R70" i="4"/>
  <c r="O70" i="4" s="1"/>
  <c r="Q70" i="4"/>
  <c r="P70" i="4"/>
  <c r="L70" i="4"/>
  <c r="K70" i="4"/>
  <c r="J70" i="4"/>
  <c r="M70" i="4" s="1"/>
  <c r="I70" i="4"/>
  <c r="Q69" i="4"/>
  <c r="P69" i="4"/>
  <c r="M69" i="4"/>
  <c r="L69" i="4"/>
  <c r="K69" i="4"/>
  <c r="J69" i="4"/>
  <c r="I69" i="4"/>
  <c r="R69" i="4" s="1"/>
  <c r="R68" i="4"/>
  <c r="N68" i="4" s="1"/>
  <c r="Q68" i="4"/>
  <c r="P68" i="4"/>
  <c r="L68" i="4"/>
  <c r="K68" i="4"/>
  <c r="J68" i="4"/>
  <c r="M68" i="4" s="1"/>
  <c r="I68" i="4"/>
  <c r="Q67" i="4"/>
  <c r="P67" i="4"/>
  <c r="M67" i="4"/>
  <c r="L67" i="4"/>
  <c r="K67" i="4"/>
  <c r="J67" i="4"/>
  <c r="I67" i="4"/>
  <c r="R67" i="4" s="1"/>
  <c r="R66" i="4"/>
  <c r="N66" i="4" s="1"/>
  <c r="Q66" i="4"/>
  <c r="P66" i="4"/>
  <c r="L66" i="4"/>
  <c r="K66" i="4"/>
  <c r="J66" i="4"/>
  <c r="M66" i="4" s="1"/>
  <c r="I66" i="4"/>
  <c r="Q65" i="4"/>
  <c r="P65" i="4"/>
  <c r="M65" i="4"/>
  <c r="L65" i="4"/>
  <c r="K65" i="4"/>
  <c r="J65" i="4"/>
  <c r="I65" i="4"/>
  <c r="R65" i="4" s="1"/>
  <c r="R64" i="4"/>
  <c r="N64" i="4" s="1"/>
  <c r="Q64" i="4"/>
  <c r="P64" i="4"/>
  <c r="L64" i="4"/>
  <c r="K64" i="4"/>
  <c r="J64" i="4"/>
  <c r="M64" i="4" s="1"/>
  <c r="I64" i="4"/>
  <c r="Q63" i="4"/>
  <c r="P63" i="4"/>
  <c r="M63" i="4"/>
  <c r="L63" i="4"/>
  <c r="K63" i="4"/>
  <c r="J63" i="4"/>
  <c r="I63" i="4"/>
  <c r="R63" i="4" s="1"/>
  <c r="R62" i="4"/>
  <c r="N62" i="4" s="1"/>
  <c r="Q62" i="4"/>
  <c r="P62" i="4"/>
  <c r="L62" i="4"/>
  <c r="K62" i="4"/>
  <c r="J62" i="4"/>
  <c r="M62" i="4" s="1"/>
  <c r="I62" i="4"/>
  <c r="Q61" i="4"/>
  <c r="P61" i="4"/>
  <c r="M61" i="4"/>
  <c r="L61" i="4"/>
  <c r="K61" i="4"/>
  <c r="J61" i="4"/>
  <c r="I61" i="4"/>
  <c r="R61" i="4" s="1"/>
  <c r="R60" i="4"/>
  <c r="N60" i="4" s="1"/>
  <c r="Q60" i="4"/>
  <c r="P60" i="4"/>
  <c r="L60" i="4"/>
  <c r="K60" i="4"/>
  <c r="J60" i="4"/>
  <c r="M60" i="4" s="1"/>
  <c r="I60" i="4"/>
  <c r="Q59" i="4"/>
  <c r="P59" i="4"/>
  <c r="M59" i="4"/>
  <c r="L59" i="4"/>
  <c r="K59" i="4"/>
  <c r="J59" i="4"/>
  <c r="I59" i="4"/>
  <c r="R59" i="4" s="1"/>
  <c r="R58" i="4"/>
  <c r="N58" i="4" s="1"/>
  <c r="Q58" i="4"/>
  <c r="P58" i="4"/>
  <c r="L58" i="4"/>
  <c r="K58" i="4"/>
  <c r="J58" i="4"/>
  <c r="M58" i="4" s="1"/>
  <c r="I58" i="4"/>
  <c r="Q57" i="4"/>
  <c r="P57" i="4"/>
  <c r="M57" i="4"/>
  <c r="L57" i="4"/>
  <c r="K57" i="4"/>
  <c r="J57" i="4"/>
  <c r="I57" i="4"/>
  <c r="R57" i="4" s="1"/>
  <c r="R56" i="4"/>
  <c r="N56" i="4" s="1"/>
  <c r="Q56" i="4"/>
  <c r="P56" i="4"/>
  <c r="L56" i="4"/>
  <c r="K56" i="4"/>
  <c r="J56" i="4"/>
  <c r="M56" i="4" s="1"/>
  <c r="I56" i="4"/>
  <c r="Q55" i="4"/>
  <c r="P55" i="4"/>
  <c r="M55" i="4"/>
  <c r="L55" i="4"/>
  <c r="K55" i="4"/>
  <c r="J55" i="4"/>
  <c r="I55" i="4"/>
  <c r="R55" i="4" s="1"/>
  <c r="R54" i="4"/>
  <c r="O54" i="4" s="1"/>
  <c r="Q54" i="4"/>
  <c r="P54" i="4"/>
  <c r="N54" i="4"/>
  <c r="L54" i="4"/>
  <c r="K54" i="4"/>
  <c r="J54" i="4"/>
  <c r="M54" i="4" s="1"/>
  <c r="I54" i="4"/>
  <c r="Q53" i="4"/>
  <c r="P53" i="4"/>
  <c r="M53" i="4"/>
  <c r="L53" i="4"/>
  <c r="K53" i="4"/>
  <c r="J53" i="4"/>
  <c r="I53" i="4"/>
  <c r="R53" i="4" s="1"/>
  <c r="R52" i="4"/>
  <c r="O52" i="4" s="1"/>
  <c r="Q52" i="4"/>
  <c r="P52" i="4"/>
  <c r="L52" i="4"/>
  <c r="K52" i="4"/>
  <c r="J52" i="4"/>
  <c r="M52" i="4" s="1"/>
  <c r="I52" i="4"/>
  <c r="Q51" i="4"/>
  <c r="P51" i="4"/>
  <c r="M51" i="4"/>
  <c r="L51" i="4"/>
  <c r="K51" i="4"/>
  <c r="J51" i="4"/>
  <c r="I51" i="4"/>
  <c r="R51" i="4" s="1"/>
  <c r="R50" i="4"/>
  <c r="O50" i="4" s="1"/>
  <c r="Q50" i="4"/>
  <c r="P50" i="4"/>
  <c r="L50" i="4"/>
  <c r="K50" i="4"/>
  <c r="J50" i="4"/>
  <c r="M50" i="4" s="1"/>
  <c r="I50" i="4"/>
  <c r="Q49" i="4"/>
  <c r="P49" i="4"/>
  <c r="M49" i="4"/>
  <c r="L49" i="4"/>
  <c r="K49" i="4"/>
  <c r="J49" i="4"/>
  <c r="I49" i="4"/>
  <c r="R49" i="4" s="1"/>
  <c r="R48" i="4"/>
  <c r="O48" i="4" s="1"/>
  <c r="Q48" i="4"/>
  <c r="P48" i="4"/>
  <c r="N48" i="4"/>
  <c r="L48" i="4"/>
  <c r="K48" i="4"/>
  <c r="J48" i="4"/>
  <c r="M48" i="4" s="1"/>
  <c r="I48" i="4"/>
  <c r="Q47" i="4"/>
  <c r="P47" i="4"/>
  <c r="M47" i="4"/>
  <c r="L47" i="4"/>
  <c r="K47" i="4"/>
  <c r="J47" i="4"/>
  <c r="I47" i="4"/>
  <c r="R47" i="4" s="1"/>
  <c r="R46" i="4"/>
  <c r="O46" i="4" s="1"/>
  <c r="Q46" i="4"/>
  <c r="P46" i="4"/>
  <c r="L46" i="4"/>
  <c r="K46" i="4"/>
  <c r="J46" i="4"/>
  <c r="M46" i="4" s="1"/>
  <c r="I46" i="4"/>
  <c r="Q45" i="4"/>
  <c r="P45" i="4"/>
  <c r="M45" i="4"/>
  <c r="L45" i="4"/>
  <c r="K45" i="4"/>
  <c r="J45" i="4"/>
  <c r="I45" i="4"/>
  <c r="R45" i="4" s="1"/>
  <c r="R44" i="4"/>
  <c r="O44" i="4" s="1"/>
  <c r="Q44" i="4"/>
  <c r="P44" i="4"/>
  <c r="L44" i="4"/>
  <c r="K44" i="4"/>
  <c r="J44" i="4"/>
  <c r="M44" i="4" s="1"/>
  <c r="I44" i="4"/>
  <c r="Q43" i="4"/>
  <c r="P43" i="4"/>
  <c r="M43" i="4"/>
  <c r="L43" i="4"/>
  <c r="K43" i="4"/>
  <c r="J43" i="4"/>
  <c r="I43" i="4"/>
  <c r="R43" i="4" s="1"/>
  <c r="R42" i="4"/>
  <c r="N42" i="4" s="1"/>
  <c r="Q42" i="4"/>
  <c r="P42" i="4"/>
  <c r="L42" i="4"/>
  <c r="K42" i="4"/>
  <c r="J42" i="4"/>
  <c r="M42" i="4" s="1"/>
  <c r="I42" i="4"/>
  <c r="Q41" i="4"/>
  <c r="P41" i="4"/>
  <c r="M41" i="4"/>
  <c r="L41" i="4"/>
  <c r="K41" i="4"/>
  <c r="J41" i="4"/>
  <c r="I41" i="4"/>
  <c r="R41" i="4" s="1"/>
  <c r="R40" i="4"/>
  <c r="O40" i="4" s="1"/>
  <c r="Q40" i="4"/>
  <c r="P40" i="4"/>
  <c r="N40" i="4"/>
  <c r="L40" i="4"/>
  <c r="K40" i="4"/>
  <c r="J40" i="4"/>
  <c r="M40" i="4" s="1"/>
  <c r="I40" i="4"/>
  <c r="Q39" i="4"/>
  <c r="P39" i="4"/>
  <c r="M39" i="4"/>
  <c r="L39" i="4"/>
  <c r="K39" i="4"/>
  <c r="J39" i="4"/>
  <c r="I39" i="4"/>
  <c r="R39" i="4" s="1"/>
  <c r="R38" i="4"/>
  <c r="O38" i="4" s="1"/>
  <c r="Q38" i="4"/>
  <c r="P38" i="4"/>
  <c r="L38" i="4"/>
  <c r="K38" i="4"/>
  <c r="J38" i="4"/>
  <c r="M38" i="4" s="1"/>
  <c r="I38" i="4"/>
  <c r="Q37" i="4"/>
  <c r="P37" i="4"/>
  <c r="M37" i="4"/>
  <c r="L37" i="4"/>
  <c r="K37" i="4"/>
  <c r="J37" i="4"/>
  <c r="I37" i="4"/>
  <c r="R37" i="4" s="1"/>
  <c r="R36" i="4"/>
  <c r="N36" i="4" s="1"/>
  <c r="Q36" i="4"/>
  <c r="P36" i="4"/>
  <c r="L36" i="4"/>
  <c r="K36" i="4"/>
  <c r="J36" i="4"/>
  <c r="M36" i="4" s="1"/>
  <c r="I36" i="4"/>
  <c r="Q35" i="4"/>
  <c r="P35" i="4"/>
  <c r="M35" i="4"/>
  <c r="L35" i="4"/>
  <c r="K35" i="4"/>
  <c r="J35" i="4"/>
  <c r="I35" i="4"/>
  <c r="R35" i="4" s="1"/>
  <c r="R34" i="4"/>
  <c r="N34" i="4" s="1"/>
  <c r="Q34" i="4"/>
  <c r="P34" i="4"/>
  <c r="L34" i="4"/>
  <c r="K34" i="4"/>
  <c r="J34" i="4"/>
  <c r="M34" i="4" s="1"/>
  <c r="I34" i="4"/>
  <c r="Q33" i="4"/>
  <c r="P33" i="4"/>
  <c r="M33" i="4"/>
  <c r="L33" i="4"/>
  <c r="K33" i="4"/>
  <c r="J33" i="4"/>
  <c r="I33" i="4"/>
  <c r="R33" i="4" s="1"/>
  <c r="R32" i="4"/>
  <c r="O32" i="4" s="1"/>
  <c r="Q32" i="4"/>
  <c r="P32" i="4"/>
  <c r="N32" i="4"/>
  <c r="L32" i="4"/>
  <c r="K32" i="4"/>
  <c r="J32" i="4"/>
  <c r="M32" i="4" s="1"/>
  <c r="I32" i="4"/>
  <c r="Q31" i="4"/>
  <c r="P31" i="4"/>
  <c r="M31" i="4"/>
  <c r="L31" i="4"/>
  <c r="K31" i="4"/>
  <c r="J31" i="4"/>
  <c r="I31" i="4"/>
  <c r="R31" i="4" s="1"/>
  <c r="R30" i="4"/>
  <c r="O30" i="4" s="1"/>
  <c r="Q30" i="4"/>
  <c r="P30" i="4"/>
  <c r="L30" i="4"/>
  <c r="K30" i="4"/>
  <c r="J30" i="4"/>
  <c r="M30" i="4" s="1"/>
  <c r="I30" i="4"/>
  <c r="Q29" i="4"/>
  <c r="P29" i="4"/>
  <c r="M29" i="4"/>
  <c r="L29" i="4"/>
  <c r="K29" i="4"/>
  <c r="J29" i="4"/>
  <c r="I29" i="4"/>
  <c r="R29" i="4" s="1"/>
  <c r="R28" i="4"/>
  <c r="O28" i="4" s="1"/>
  <c r="Q28" i="4"/>
  <c r="P28" i="4"/>
  <c r="L28" i="4"/>
  <c r="K28" i="4"/>
  <c r="J28" i="4"/>
  <c r="M28" i="4" s="1"/>
  <c r="I28" i="4"/>
  <c r="Q27" i="4"/>
  <c r="P27" i="4"/>
  <c r="M27" i="4"/>
  <c r="L27" i="4"/>
  <c r="K27" i="4"/>
  <c r="J27" i="4"/>
  <c r="I27" i="4"/>
  <c r="R27" i="4" s="1"/>
  <c r="R26" i="4"/>
  <c r="N26" i="4" s="1"/>
  <c r="Q26" i="4"/>
  <c r="P26" i="4"/>
  <c r="L26" i="4"/>
  <c r="K26" i="4"/>
  <c r="J26" i="4"/>
  <c r="M26" i="4" s="1"/>
  <c r="I26" i="4"/>
  <c r="Q25" i="4"/>
  <c r="P25" i="4"/>
  <c r="M25" i="4"/>
  <c r="L25" i="4"/>
  <c r="K25" i="4"/>
  <c r="J25" i="4"/>
  <c r="I25" i="4"/>
  <c r="R25" i="4" s="1"/>
  <c r="R24" i="4"/>
  <c r="O24" i="4" s="1"/>
  <c r="Q24" i="4"/>
  <c r="P24" i="4"/>
  <c r="N24" i="4"/>
  <c r="L24" i="4"/>
  <c r="K24" i="4"/>
  <c r="J24" i="4"/>
  <c r="M24" i="4" s="1"/>
  <c r="I24" i="4"/>
  <c r="Q23" i="4"/>
  <c r="P23" i="4"/>
  <c r="M23" i="4"/>
  <c r="L23" i="4"/>
  <c r="K23" i="4"/>
  <c r="J23" i="4"/>
  <c r="I23" i="4"/>
  <c r="R23" i="4" s="1"/>
  <c r="R22" i="4"/>
  <c r="O22" i="4" s="1"/>
  <c r="Q22" i="4"/>
  <c r="P22" i="4"/>
  <c r="L22" i="4"/>
  <c r="K22" i="4"/>
  <c r="J22" i="4"/>
  <c r="M22" i="4" s="1"/>
  <c r="I22" i="4"/>
  <c r="Q21" i="4"/>
  <c r="P21" i="4"/>
  <c r="M21" i="4"/>
  <c r="L21" i="4"/>
  <c r="K21" i="4"/>
  <c r="J21" i="4"/>
  <c r="I21" i="4"/>
  <c r="R21" i="4" s="1"/>
  <c r="R20" i="4"/>
  <c r="N20" i="4" s="1"/>
  <c r="Q20" i="4"/>
  <c r="P20" i="4"/>
  <c r="L20" i="4"/>
  <c r="K20" i="4"/>
  <c r="J20" i="4"/>
  <c r="M20" i="4" s="1"/>
  <c r="I20" i="4"/>
  <c r="Q19" i="4"/>
  <c r="P19" i="4"/>
  <c r="M19" i="4"/>
  <c r="L19" i="4"/>
  <c r="K19" i="4"/>
  <c r="J19" i="4"/>
  <c r="I19" i="4"/>
  <c r="R19" i="4" s="1"/>
  <c r="R18" i="4"/>
  <c r="N18" i="4" s="1"/>
  <c r="Q18" i="4"/>
  <c r="P18" i="4"/>
  <c r="L18" i="4"/>
  <c r="K18" i="4"/>
  <c r="J18" i="4"/>
  <c r="M18" i="4" s="1"/>
  <c r="I18" i="4"/>
  <c r="Q17" i="4"/>
  <c r="P17" i="4"/>
  <c r="M17" i="4"/>
  <c r="L17" i="4"/>
  <c r="K17" i="4"/>
  <c r="J17" i="4"/>
  <c r="I17" i="4"/>
  <c r="R17" i="4" s="1"/>
  <c r="R16" i="4"/>
  <c r="O16" i="4" s="1"/>
  <c r="Q16" i="4"/>
  <c r="P16" i="4"/>
  <c r="L16" i="4"/>
  <c r="K16" i="4"/>
  <c r="J16" i="4"/>
  <c r="M16" i="4" s="1"/>
  <c r="I16" i="4"/>
  <c r="Q15" i="4"/>
  <c r="P15" i="4"/>
  <c r="M15" i="4"/>
  <c r="L15" i="4"/>
  <c r="K15" i="4"/>
  <c r="J15" i="4"/>
  <c r="I15" i="4"/>
  <c r="R15" i="4" s="1"/>
  <c r="R14" i="4"/>
  <c r="N14" i="4" s="1"/>
  <c r="Q14" i="4"/>
  <c r="P14" i="4"/>
  <c r="L14" i="4"/>
  <c r="K14" i="4"/>
  <c r="J14" i="4"/>
  <c r="M14" i="4" s="1"/>
  <c r="I14" i="4"/>
  <c r="Q13" i="4"/>
  <c r="P13" i="4"/>
  <c r="M13" i="4"/>
  <c r="L13" i="4"/>
  <c r="K13" i="4"/>
  <c r="J13" i="4"/>
  <c r="I13" i="4"/>
  <c r="R13" i="4" s="1"/>
  <c r="R12" i="4"/>
  <c r="N12" i="4" s="1"/>
  <c r="Q12" i="4"/>
  <c r="P12" i="4"/>
  <c r="L12" i="4"/>
  <c r="K12" i="4"/>
  <c r="J12" i="4"/>
  <c r="M12" i="4" s="1"/>
  <c r="I12" i="4"/>
  <c r="Q11" i="4"/>
  <c r="P11" i="4"/>
  <c r="M11" i="4"/>
  <c r="L11" i="4"/>
  <c r="K11" i="4"/>
  <c r="J11" i="4"/>
  <c r="I11" i="4"/>
  <c r="R11" i="4" s="1"/>
  <c r="R10" i="4"/>
  <c r="O10" i="4" s="1"/>
  <c r="Q10" i="4"/>
  <c r="P10" i="4"/>
  <c r="L10" i="4"/>
  <c r="K10" i="4"/>
  <c r="J10" i="4"/>
  <c r="M10" i="4" s="1"/>
  <c r="I10" i="4"/>
  <c r="Q9" i="4"/>
  <c r="P9" i="4"/>
  <c r="M9" i="4"/>
  <c r="L9" i="4"/>
  <c r="K9" i="4"/>
  <c r="J9" i="4"/>
  <c r="I9" i="4"/>
  <c r="R9" i="4" s="1"/>
  <c r="R8" i="4"/>
  <c r="N8" i="4" s="1"/>
  <c r="Q8" i="4"/>
  <c r="P8" i="4"/>
  <c r="L8" i="4"/>
  <c r="K8" i="4"/>
  <c r="J8" i="4"/>
  <c r="M8" i="4" s="1"/>
  <c r="I8" i="4"/>
  <c r="Q7" i="4"/>
  <c r="P7" i="4"/>
  <c r="M7" i="4"/>
  <c r="L7" i="4"/>
  <c r="K7" i="4"/>
  <c r="J7" i="4"/>
  <c r="I7" i="4"/>
  <c r="R7" i="4" s="1"/>
  <c r="R6" i="4"/>
  <c r="O6" i="4" s="1"/>
  <c r="Q6" i="4"/>
  <c r="P6" i="4"/>
  <c r="L6" i="4"/>
  <c r="K6" i="4"/>
  <c r="J6" i="4"/>
  <c r="M6" i="4" s="1"/>
  <c r="I6" i="4"/>
  <c r="Q5" i="4"/>
  <c r="P5" i="4"/>
  <c r="M5" i="4"/>
  <c r="L5" i="4"/>
  <c r="K5" i="4"/>
  <c r="J5" i="4"/>
  <c r="I5" i="4"/>
  <c r="R5" i="4" s="1"/>
  <c r="R4" i="4"/>
  <c r="N4" i="4" s="1"/>
  <c r="Q4" i="4"/>
  <c r="P4" i="4"/>
  <c r="L4" i="4"/>
  <c r="K4" i="4"/>
  <c r="J4" i="4"/>
  <c r="M4" i="4" s="1"/>
  <c r="I4" i="4"/>
  <c r="Q3" i="4"/>
  <c r="P3" i="4"/>
  <c r="M3" i="4"/>
  <c r="L3" i="4"/>
  <c r="K3" i="4"/>
  <c r="J3" i="4"/>
  <c r="I3" i="4"/>
  <c r="R3" i="4" s="1"/>
  <c r="R2" i="4"/>
  <c r="O2" i="4" s="1"/>
  <c r="Q2" i="4"/>
  <c r="P2" i="4"/>
  <c r="L2" i="4"/>
  <c r="K2" i="4"/>
  <c r="J2" i="4"/>
  <c r="M2" i="4" s="1"/>
  <c r="I2" i="4"/>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O35" i="4" l="1"/>
  <c r="N35" i="4"/>
  <c r="O39" i="4"/>
  <c r="N39" i="4"/>
  <c r="O49" i="4"/>
  <c r="N49" i="4"/>
  <c r="O53" i="4"/>
  <c r="N53" i="4"/>
  <c r="O319" i="4"/>
  <c r="N319" i="4"/>
  <c r="O333" i="4"/>
  <c r="N333" i="4"/>
  <c r="O65" i="4"/>
  <c r="N65" i="4"/>
  <c r="O69" i="4"/>
  <c r="N69" i="4"/>
  <c r="O73" i="4"/>
  <c r="N73" i="4"/>
  <c r="O77" i="4"/>
  <c r="N77" i="4"/>
  <c r="O81" i="4"/>
  <c r="N81" i="4"/>
  <c r="O85" i="4"/>
  <c r="N85" i="4"/>
  <c r="O93" i="4"/>
  <c r="N93" i="4"/>
  <c r="O97" i="4"/>
  <c r="N97" i="4"/>
  <c r="O109" i="4"/>
  <c r="N109" i="4"/>
  <c r="O113" i="4"/>
  <c r="N113" i="4"/>
  <c r="O121" i="4"/>
  <c r="N121" i="4"/>
  <c r="O125" i="4"/>
  <c r="N125" i="4"/>
  <c r="O129" i="4"/>
  <c r="N129" i="4"/>
  <c r="O133" i="4"/>
  <c r="N133" i="4"/>
  <c r="O137" i="4"/>
  <c r="N137" i="4"/>
  <c r="O141" i="4"/>
  <c r="N141" i="4"/>
  <c r="O145" i="4"/>
  <c r="N145" i="4"/>
  <c r="O149" i="4"/>
  <c r="N149" i="4"/>
  <c r="O153" i="4"/>
  <c r="N153" i="4"/>
  <c r="O157" i="4"/>
  <c r="N157" i="4"/>
  <c r="O163" i="4"/>
  <c r="N163" i="4"/>
  <c r="O317" i="4"/>
  <c r="N317" i="4"/>
  <c r="O325" i="4"/>
  <c r="N325" i="4"/>
  <c r="O25" i="4"/>
  <c r="N25" i="4"/>
  <c r="O29" i="4"/>
  <c r="N29" i="4"/>
  <c r="O43" i="4"/>
  <c r="N43" i="4"/>
  <c r="O47" i="4"/>
  <c r="N47" i="4"/>
  <c r="O57" i="4"/>
  <c r="N57" i="4"/>
  <c r="O61" i="4"/>
  <c r="N61" i="4"/>
  <c r="O89" i="4"/>
  <c r="N89" i="4"/>
  <c r="O101" i="4"/>
  <c r="N101" i="4"/>
  <c r="O105" i="4"/>
  <c r="N105" i="4"/>
  <c r="O117" i="4"/>
  <c r="N117" i="4"/>
  <c r="O3" i="4"/>
  <c r="N3" i="4"/>
  <c r="O7" i="4"/>
  <c r="N7" i="4"/>
  <c r="O11" i="4"/>
  <c r="N11" i="4"/>
  <c r="O15" i="4"/>
  <c r="N15" i="4"/>
  <c r="O19" i="4"/>
  <c r="N19" i="4"/>
  <c r="O23" i="4"/>
  <c r="N23" i="4"/>
  <c r="O33" i="4"/>
  <c r="N33" i="4"/>
  <c r="O37" i="4"/>
  <c r="N37" i="4"/>
  <c r="O51" i="4"/>
  <c r="N51" i="4"/>
  <c r="O161" i="4"/>
  <c r="N161" i="4"/>
  <c r="O169" i="4"/>
  <c r="N169" i="4"/>
  <c r="O315" i="4"/>
  <c r="N315" i="4"/>
  <c r="O323" i="4"/>
  <c r="N323" i="4"/>
  <c r="O331" i="4"/>
  <c r="N331" i="4"/>
  <c r="O5" i="4"/>
  <c r="N5" i="4"/>
  <c r="O9" i="4"/>
  <c r="N9" i="4"/>
  <c r="O13" i="4"/>
  <c r="N13" i="4"/>
  <c r="O17" i="4"/>
  <c r="N17" i="4"/>
  <c r="O21" i="4"/>
  <c r="N21" i="4"/>
  <c r="O165" i="4"/>
  <c r="N165" i="4"/>
  <c r="O171" i="4"/>
  <c r="N171" i="4"/>
  <c r="O327" i="4"/>
  <c r="N327" i="4"/>
  <c r="O27" i="4"/>
  <c r="N27" i="4"/>
  <c r="O31" i="4"/>
  <c r="N31" i="4"/>
  <c r="O41" i="4"/>
  <c r="N41" i="4"/>
  <c r="O45" i="4"/>
  <c r="N45" i="4"/>
  <c r="O55" i="4"/>
  <c r="N55" i="4"/>
  <c r="O59" i="4"/>
  <c r="N59" i="4"/>
  <c r="O63" i="4"/>
  <c r="N63" i="4"/>
  <c r="O67" i="4"/>
  <c r="N67" i="4"/>
  <c r="O71" i="4"/>
  <c r="N71" i="4"/>
  <c r="O75" i="4"/>
  <c r="N75" i="4"/>
  <c r="O79" i="4"/>
  <c r="N79" i="4"/>
  <c r="O83" i="4"/>
  <c r="N83" i="4"/>
  <c r="O87" i="4"/>
  <c r="N87" i="4"/>
  <c r="O91" i="4"/>
  <c r="N91" i="4"/>
  <c r="O95" i="4"/>
  <c r="N95" i="4"/>
  <c r="O99" i="4"/>
  <c r="N99" i="4"/>
  <c r="O103" i="4"/>
  <c r="N103" i="4"/>
  <c r="O107" i="4"/>
  <c r="N107" i="4"/>
  <c r="O111" i="4"/>
  <c r="N111" i="4"/>
  <c r="O115" i="4"/>
  <c r="N115" i="4"/>
  <c r="O119" i="4"/>
  <c r="N119" i="4"/>
  <c r="O123" i="4"/>
  <c r="N123" i="4"/>
  <c r="O127" i="4"/>
  <c r="N127" i="4"/>
  <c r="O131" i="4"/>
  <c r="N131" i="4"/>
  <c r="O135" i="4"/>
  <c r="N135" i="4"/>
  <c r="O139" i="4"/>
  <c r="N139" i="4"/>
  <c r="O143" i="4"/>
  <c r="N143" i="4"/>
  <c r="O147" i="4"/>
  <c r="N147" i="4"/>
  <c r="O151" i="4"/>
  <c r="N151" i="4"/>
  <c r="O155" i="4"/>
  <c r="N155" i="4"/>
  <c r="O159" i="4"/>
  <c r="N159" i="4"/>
  <c r="O167" i="4"/>
  <c r="N167" i="4"/>
  <c r="O321" i="4"/>
  <c r="N321" i="4"/>
  <c r="O329" i="4"/>
  <c r="N329" i="4"/>
  <c r="N16" i="4"/>
  <c r="N30" i="4"/>
  <c r="N38" i="4"/>
  <c r="N44" i="4"/>
  <c r="N52" i="4"/>
  <c r="N76" i="4"/>
  <c r="N82" i="4"/>
  <c r="N84" i="4"/>
  <c r="N86" i="4"/>
  <c r="N88" i="4"/>
  <c r="N100" i="4"/>
  <c r="N102" i="4"/>
  <c r="N106" i="4"/>
  <c r="N114" i="4"/>
  <c r="N118" i="4"/>
  <c r="N120" i="4"/>
  <c r="N124" i="4"/>
  <c r="N126" i="4"/>
  <c r="N130" i="4"/>
  <c r="N152" i="4"/>
  <c r="N154" i="4"/>
  <c r="R403" i="4"/>
  <c r="R411" i="4"/>
  <c r="R419" i="4"/>
  <c r="R427" i="4"/>
  <c r="R435" i="4"/>
  <c r="R443" i="4"/>
  <c r="R451" i="4"/>
  <c r="R459" i="4"/>
  <c r="R467" i="4"/>
  <c r="R475" i="4"/>
  <c r="R483" i="4"/>
  <c r="R491" i="4"/>
  <c r="R499" i="4"/>
  <c r="R507" i="4"/>
  <c r="R515" i="4"/>
  <c r="R523" i="4"/>
  <c r="R531" i="4"/>
  <c r="R539" i="4"/>
  <c r="R547" i="4"/>
  <c r="R555" i="4"/>
  <c r="R563" i="4"/>
  <c r="R571" i="4"/>
  <c r="R579" i="4"/>
  <c r="R587" i="4"/>
  <c r="R595" i="4"/>
  <c r="R603" i="4"/>
  <c r="R611" i="4"/>
  <c r="R619" i="4"/>
  <c r="R627" i="4"/>
  <c r="R635" i="4"/>
  <c r="R643" i="4"/>
  <c r="R651" i="4"/>
  <c r="R659" i="4"/>
  <c r="R667" i="4"/>
  <c r="R675" i="4"/>
  <c r="R683" i="4"/>
  <c r="R691" i="4"/>
  <c r="R699" i="4"/>
  <c r="P699" i="4"/>
  <c r="R703" i="4"/>
  <c r="P703" i="4"/>
  <c r="R707" i="4"/>
  <c r="P707" i="4"/>
  <c r="R711" i="4"/>
  <c r="P711" i="4"/>
  <c r="R715" i="4"/>
  <c r="P715" i="4"/>
  <c r="R719" i="4"/>
  <c r="P719" i="4"/>
  <c r="R723" i="4"/>
  <c r="P723" i="4"/>
  <c r="R727" i="4"/>
  <c r="P727" i="4"/>
  <c r="R731" i="4"/>
  <c r="P731" i="4"/>
  <c r="R735" i="4"/>
  <c r="P735" i="4"/>
  <c r="R739" i="4"/>
  <c r="P739" i="4"/>
  <c r="R743" i="4"/>
  <c r="P743" i="4"/>
  <c r="R747" i="4"/>
  <c r="P747" i="4"/>
  <c r="R751" i="4"/>
  <c r="P751" i="4"/>
  <c r="R755" i="4"/>
  <c r="P755" i="4"/>
  <c r="R759" i="4"/>
  <c r="P759" i="4"/>
  <c r="R763" i="4"/>
  <c r="P763" i="4"/>
  <c r="R767" i="4"/>
  <c r="P767" i="4"/>
  <c r="R771" i="4"/>
  <c r="P771" i="4"/>
  <c r="R775" i="4"/>
  <c r="P775" i="4"/>
  <c r="R779" i="4"/>
  <c r="P779" i="4"/>
  <c r="R783" i="4"/>
  <c r="P783" i="4"/>
  <c r="R787" i="4"/>
  <c r="P787" i="4"/>
  <c r="R791" i="4"/>
  <c r="P791" i="4"/>
  <c r="R795" i="4"/>
  <c r="P795" i="4"/>
  <c r="R799" i="4"/>
  <c r="P799" i="4"/>
  <c r="P802" i="4"/>
  <c r="R802" i="4"/>
  <c r="P810" i="4"/>
  <c r="R810" i="4"/>
  <c r="P818" i="4"/>
  <c r="R818" i="4"/>
  <c r="P826" i="4"/>
  <c r="R826" i="4"/>
  <c r="P834" i="4"/>
  <c r="R834" i="4"/>
  <c r="P842" i="4"/>
  <c r="R842" i="4"/>
  <c r="P850" i="4"/>
  <c r="R850" i="4"/>
  <c r="P858" i="4"/>
  <c r="R858" i="4"/>
  <c r="P866" i="4"/>
  <c r="R866" i="4"/>
  <c r="O1220" i="4"/>
  <c r="N1220" i="4"/>
  <c r="O1228" i="4"/>
  <c r="N1228" i="4"/>
  <c r="O1236" i="4"/>
  <c r="N1236" i="4"/>
  <c r="N6" i="4"/>
  <c r="N10" i="4"/>
  <c r="N22" i="4"/>
  <c r="N28" i="4"/>
  <c r="N46" i="4"/>
  <c r="N50" i="4"/>
  <c r="N70" i="4"/>
  <c r="N78" i="4"/>
  <c r="N80" i="4"/>
  <c r="N98" i="4"/>
  <c r="N104" i="4"/>
  <c r="N110" i="4"/>
  <c r="N116" i="4"/>
  <c r="N122" i="4"/>
  <c r="N138" i="4"/>
  <c r="N146" i="4"/>
  <c r="N148" i="4"/>
  <c r="N150" i="4"/>
  <c r="N158" i="4"/>
  <c r="O4" i="4"/>
  <c r="O8" i="4"/>
  <c r="O12" i="4"/>
  <c r="O14" i="4"/>
  <c r="O18" i="4"/>
  <c r="O20" i="4"/>
  <c r="O26" i="4"/>
  <c r="O34" i="4"/>
  <c r="O36" i="4"/>
  <c r="O42" i="4"/>
  <c r="O56" i="4"/>
  <c r="O58" i="4"/>
  <c r="O60" i="4"/>
  <c r="O62" i="4"/>
  <c r="O64" i="4"/>
  <c r="O66" i="4"/>
  <c r="O68" i="4"/>
  <c r="O72" i="4"/>
  <c r="O74" i="4"/>
  <c r="O90" i="4"/>
  <c r="O92" i="4"/>
  <c r="O94" i="4"/>
  <c r="O96" i="4"/>
  <c r="O108" i="4"/>
  <c r="O112" i="4"/>
  <c r="O128" i="4"/>
  <c r="O132" i="4"/>
  <c r="O134" i="4"/>
  <c r="O136" i="4"/>
  <c r="O140" i="4"/>
  <c r="O142" i="4"/>
  <c r="O144" i="4"/>
  <c r="O156" i="4"/>
  <c r="O402" i="4"/>
  <c r="R405" i="4"/>
  <c r="O410" i="4"/>
  <c r="R413" i="4"/>
  <c r="O418" i="4"/>
  <c r="R421" i="4"/>
  <c r="O426" i="4"/>
  <c r="R429" i="4"/>
  <c r="O434" i="4"/>
  <c r="R437" i="4"/>
  <c r="O442" i="4"/>
  <c r="R445" i="4"/>
  <c r="O450" i="4"/>
  <c r="R453" i="4"/>
  <c r="O458" i="4"/>
  <c r="R461" i="4"/>
  <c r="O466" i="4"/>
  <c r="R469" i="4"/>
  <c r="O474" i="4"/>
  <c r="R477" i="4"/>
  <c r="O482" i="4"/>
  <c r="R485" i="4"/>
  <c r="O490" i="4"/>
  <c r="R493" i="4"/>
  <c r="O498" i="4"/>
  <c r="R501" i="4"/>
  <c r="O506" i="4"/>
  <c r="R509" i="4"/>
  <c r="O514" i="4"/>
  <c r="R517" i="4"/>
  <c r="O522" i="4"/>
  <c r="R525" i="4"/>
  <c r="O530" i="4"/>
  <c r="R533" i="4"/>
  <c r="O538" i="4"/>
  <c r="R541" i="4"/>
  <c r="O546" i="4"/>
  <c r="R549" i="4"/>
  <c r="O554" i="4"/>
  <c r="R557" i="4"/>
  <c r="O562" i="4"/>
  <c r="R565" i="4"/>
  <c r="O570" i="4"/>
  <c r="R573" i="4"/>
  <c r="O578" i="4"/>
  <c r="R581" i="4"/>
  <c r="O586" i="4"/>
  <c r="R589" i="4"/>
  <c r="O594" i="4"/>
  <c r="R597" i="4"/>
  <c r="O602" i="4"/>
  <c r="R605" i="4"/>
  <c r="O610" i="4"/>
  <c r="R613" i="4"/>
  <c r="O618" i="4"/>
  <c r="R621" i="4"/>
  <c r="O626" i="4"/>
  <c r="R629" i="4"/>
  <c r="O634" i="4"/>
  <c r="R637" i="4"/>
  <c r="O642" i="4"/>
  <c r="R645" i="4"/>
  <c r="O650" i="4"/>
  <c r="R653" i="4"/>
  <c r="O658" i="4"/>
  <c r="R661" i="4"/>
  <c r="O666" i="4"/>
  <c r="R669" i="4"/>
  <c r="O674" i="4"/>
  <c r="R677" i="4"/>
  <c r="O682" i="4"/>
  <c r="R685" i="4"/>
  <c r="O690" i="4"/>
  <c r="R693" i="4"/>
  <c r="O698" i="4"/>
  <c r="P702" i="4"/>
  <c r="R702" i="4"/>
  <c r="P706" i="4"/>
  <c r="R706" i="4"/>
  <c r="P710" i="4"/>
  <c r="R710" i="4"/>
  <c r="P714" i="4"/>
  <c r="R714" i="4"/>
  <c r="P718" i="4"/>
  <c r="R718" i="4"/>
  <c r="P722" i="4"/>
  <c r="R722" i="4"/>
  <c r="P726" i="4"/>
  <c r="R726" i="4"/>
  <c r="P730" i="4"/>
  <c r="R730" i="4"/>
  <c r="P734" i="4"/>
  <c r="R734" i="4"/>
  <c r="P738" i="4"/>
  <c r="R738" i="4"/>
  <c r="P742" i="4"/>
  <c r="R742" i="4"/>
  <c r="P746" i="4"/>
  <c r="R746" i="4"/>
  <c r="P750" i="4"/>
  <c r="R750" i="4"/>
  <c r="P754" i="4"/>
  <c r="R754" i="4"/>
  <c r="P758" i="4"/>
  <c r="R758" i="4"/>
  <c r="P762" i="4"/>
  <c r="R762" i="4"/>
  <c r="P766" i="4"/>
  <c r="R766" i="4"/>
  <c r="P770" i="4"/>
  <c r="R770" i="4"/>
  <c r="P774" i="4"/>
  <c r="R774" i="4"/>
  <c r="P778" i="4"/>
  <c r="R778" i="4"/>
  <c r="P782" i="4"/>
  <c r="R782" i="4"/>
  <c r="P786" i="4"/>
  <c r="R786" i="4"/>
  <c r="P790" i="4"/>
  <c r="R790" i="4"/>
  <c r="P794" i="4"/>
  <c r="R794" i="4"/>
  <c r="P798" i="4"/>
  <c r="R798" i="4"/>
  <c r="P804" i="4"/>
  <c r="R804" i="4"/>
  <c r="O807" i="4"/>
  <c r="P812" i="4"/>
  <c r="R812" i="4"/>
  <c r="O815" i="4"/>
  <c r="P820" i="4"/>
  <c r="R820" i="4"/>
  <c r="O823" i="4"/>
  <c r="P828" i="4"/>
  <c r="R828" i="4"/>
  <c r="O831" i="4"/>
  <c r="P836" i="4"/>
  <c r="R836" i="4"/>
  <c r="O839" i="4"/>
  <c r="P844" i="4"/>
  <c r="R844" i="4"/>
  <c r="O847" i="4"/>
  <c r="P852" i="4"/>
  <c r="R852" i="4"/>
  <c r="O855" i="4"/>
  <c r="P860" i="4"/>
  <c r="R860" i="4"/>
  <c r="O863" i="4"/>
  <c r="N1147" i="4"/>
  <c r="O1147" i="4"/>
  <c r="O1204" i="4"/>
  <c r="N1204" i="4"/>
  <c r="O1208" i="4"/>
  <c r="N1208" i="4"/>
  <c r="O1212" i="4"/>
  <c r="N1212" i="4"/>
  <c r="O1218" i="4"/>
  <c r="N1218" i="4"/>
  <c r="O1226" i="4"/>
  <c r="N1226" i="4"/>
  <c r="O1234" i="4"/>
  <c r="N1234" i="4"/>
  <c r="O1242" i="4"/>
  <c r="N1242" i="4"/>
  <c r="P402" i="4"/>
  <c r="R407" i="4"/>
  <c r="P410" i="4"/>
  <c r="R415" i="4"/>
  <c r="P418" i="4"/>
  <c r="O420" i="4"/>
  <c r="R423" i="4"/>
  <c r="P426" i="4"/>
  <c r="O428" i="4"/>
  <c r="R431" i="4"/>
  <c r="P434" i="4"/>
  <c r="O436" i="4"/>
  <c r="R439" i="4"/>
  <c r="P442" i="4"/>
  <c r="O444" i="4"/>
  <c r="R447" i="4"/>
  <c r="P450" i="4"/>
  <c r="O452" i="4"/>
  <c r="R455" i="4"/>
  <c r="P458" i="4"/>
  <c r="O460" i="4"/>
  <c r="R463" i="4"/>
  <c r="P466" i="4"/>
  <c r="O468" i="4"/>
  <c r="R471" i="4"/>
  <c r="P474" i="4"/>
  <c r="O476" i="4"/>
  <c r="R479" i="4"/>
  <c r="P482" i="4"/>
  <c r="O484" i="4"/>
  <c r="R487" i="4"/>
  <c r="P490" i="4"/>
  <c r="O492" i="4"/>
  <c r="R495" i="4"/>
  <c r="P498" i="4"/>
  <c r="O500" i="4"/>
  <c r="R503" i="4"/>
  <c r="P506" i="4"/>
  <c r="O508" i="4"/>
  <c r="R511" i="4"/>
  <c r="P514" i="4"/>
  <c r="O516" i="4"/>
  <c r="R519" i="4"/>
  <c r="P522" i="4"/>
  <c r="O524" i="4"/>
  <c r="R527" i="4"/>
  <c r="P530" i="4"/>
  <c r="O532" i="4"/>
  <c r="R535" i="4"/>
  <c r="P538" i="4"/>
  <c r="O540" i="4"/>
  <c r="R543" i="4"/>
  <c r="P546" i="4"/>
  <c r="O548" i="4"/>
  <c r="R551" i="4"/>
  <c r="P554" i="4"/>
  <c r="O556" i="4"/>
  <c r="R559" i="4"/>
  <c r="P562" i="4"/>
  <c r="O564" i="4"/>
  <c r="R567" i="4"/>
  <c r="P570" i="4"/>
  <c r="O572" i="4"/>
  <c r="R575" i="4"/>
  <c r="P578" i="4"/>
  <c r="O580" i="4"/>
  <c r="R583" i="4"/>
  <c r="P586" i="4"/>
  <c r="O588" i="4"/>
  <c r="R591" i="4"/>
  <c r="P594" i="4"/>
  <c r="O596" i="4"/>
  <c r="R599" i="4"/>
  <c r="P602" i="4"/>
  <c r="O604" i="4"/>
  <c r="R607" i="4"/>
  <c r="P610" i="4"/>
  <c r="O612" i="4"/>
  <c r="R615" i="4"/>
  <c r="P618" i="4"/>
  <c r="O620" i="4"/>
  <c r="R623" i="4"/>
  <c r="P626" i="4"/>
  <c r="O628" i="4"/>
  <c r="R631" i="4"/>
  <c r="P634" i="4"/>
  <c r="O636" i="4"/>
  <c r="R639" i="4"/>
  <c r="P642" i="4"/>
  <c r="O644" i="4"/>
  <c r="R647" i="4"/>
  <c r="P650" i="4"/>
  <c r="O652" i="4"/>
  <c r="R655" i="4"/>
  <c r="P658" i="4"/>
  <c r="O660" i="4"/>
  <c r="R663" i="4"/>
  <c r="P666" i="4"/>
  <c r="O668" i="4"/>
  <c r="R671" i="4"/>
  <c r="P674" i="4"/>
  <c r="O676" i="4"/>
  <c r="R679" i="4"/>
  <c r="P682" i="4"/>
  <c r="O684" i="4"/>
  <c r="R687" i="4"/>
  <c r="P690" i="4"/>
  <c r="O692" i="4"/>
  <c r="R695" i="4"/>
  <c r="P698" i="4"/>
  <c r="R701" i="4"/>
  <c r="P701" i="4"/>
  <c r="R705" i="4"/>
  <c r="P705" i="4"/>
  <c r="R709" i="4"/>
  <c r="P709" i="4"/>
  <c r="R713" i="4"/>
  <c r="P713" i="4"/>
  <c r="R717" i="4"/>
  <c r="P717" i="4"/>
  <c r="R721" i="4"/>
  <c r="P721" i="4"/>
  <c r="R725" i="4"/>
  <c r="P725" i="4"/>
  <c r="R729" i="4"/>
  <c r="P729" i="4"/>
  <c r="R733" i="4"/>
  <c r="P733" i="4"/>
  <c r="R737" i="4"/>
  <c r="P737" i="4"/>
  <c r="R741" i="4"/>
  <c r="P741" i="4"/>
  <c r="R745" i="4"/>
  <c r="P745" i="4"/>
  <c r="R749" i="4"/>
  <c r="P749" i="4"/>
  <c r="R753" i="4"/>
  <c r="P753" i="4"/>
  <c r="R757" i="4"/>
  <c r="P757" i="4"/>
  <c r="R761" i="4"/>
  <c r="P761" i="4"/>
  <c r="R765" i="4"/>
  <c r="P765" i="4"/>
  <c r="R769" i="4"/>
  <c r="P769" i="4"/>
  <c r="R773" i="4"/>
  <c r="P773" i="4"/>
  <c r="R777" i="4"/>
  <c r="P777" i="4"/>
  <c r="R781" i="4"/>
  <c r="P781" i="4"/>
  <c r="R785" i="4"/>
  <c r="P785" i="4"/>
  <c r="R789" i="4"/>
  <c r="P789" i="4"/>
  <c r="R793" i="4"/>
  <c r="P793" i="4"/>
  <c r="R797" i="4"/>
  <c r="P797" i="4"/>
  <c r="O801" i="4"/>
  <c r="P806" i="4"/>
  <c r="R806" i="4"/>
  <c r="O809" i="4"/>
  <c r="P814" i="4"/>
  <c r="R814" i="4"/>
  <c r="O817" i="4"/>
  <c r="P822" i="4"/>
  <c r="R822" i="4"/>
  <c r="O825" i="4"/>
  <c r="P830" i="4"/>
  <c r="R830" i="4"/>
  <c r="O833" i="4"/>
  <c r="P838" i="4"/>
  <c r="R838" i="4"/>
  <c r="O841" i="4"/>
  <c r="P846" i="4"/>
  <c r="R846" i="4"/>
  <c r="O849" i="4"/>
  <c r="P854" i="4"/>
  <c r="R854" i="4"/>
  <c r="O857" i="4"/>
  <c r="P862" i="4"/>
  <c r="R862" i="4"/>
  <c r="O865" i="4"/>
  <c r="N867" i="4"/>
  <c r="O867" i="4"/>
  <c r="N869" i="4"/>
  <c r="O869" i="4"/>
  <c r="N871" i="4"/>
  <c r="O871" i="4"/>
  <c r="N873" i="4"/>
  <c r="O873" i="4"/>
  <c r="N875" i="4"/>
  <c r="O875" i="4"/>
  <c r="N877" i="4"/>
  <c r="O877" i="4"/>
  <c r="N879" i="4"/>
  <c r="O879" i="4"/>
  <c r="N881" i="4"/>
  <c r="O881" i="4"/>
  <c r="N883" i="4"/>
  <c r="O883" i="4"/>
  <c r="N885" i="4"/>
  <c r="O885" i="4"/>
  <c r="N887" i="4"/>
  <c r="O887" i="4"/>
  <c r="N889" i="4"/>
  <c r="O889" i="4"/>
  <c r="N891" i="4"/>
  <c r="O891" i="4"/>
  <c r="N893" i="4"/>
  <c r="O893" i="4"/>
  <c r="N895" i="4"/>
  <c r="O895" i="4"/>
  <c r="N897" i="4"/>
  <c r="O897" i="4"/>
  <c r="N899" i="4"/>
  <c r="O899" i="4"/>
  <c r="N901" i="4"/>
  <c r="O901" i="4"/>
  <c r="N903" i="4"/>
  <c r="O903" i="4"/>
  <c r="N905" i="4"/>
  <c r="O905" i="4"/>
  <c r="N907" i="4"/>
  <c r="O907" i="4"/>
  <c r="N909" i="4"/>
  <c r="O909" i="4"/>
  <c r="N911" i="4"/>
  <c r="O911" i="4"/>
  <c r="N913" i="4"/>
  <c r="O913" i="4"/>
  <c r="N915" i="4"/>
  <c r="O915" i="4"/>
  <c r="N917" i="4"/>
  <c r="O917" i="4"/>
  <c r="N919" i="4"/>
  <c r="O919" i="4"/>
  <c r="N921" i="4"/>
  <c r="O921" i="4"/>
  <c r="N923" i="4"/>
  <c r="O923" i="4"/>
  <c r="N925" i="4"/>
  <c r="O925" i="4"/>
  <c r="N927" i="4"/>
  <c r="O927" i="4"/>
  <c r="N929" i="4"/>
  <c r="O929" i="4"/>
  <c r="N931" i="4"/>
  <c r="O931" i="4"/>
  <c r="N933" i="4"/>
  <c r="O933" i="4"/>
  <c r="N935" i="4"/>
  <c r="O935" i="4"/>
  <c r="N937" i="4"/>
  <c r="O937" i="4"/>
  <c r="N939" i="4"/>
  <c r="O939" i="4"/>
  <c r="N941" i="4"/>
  <c r="O941" i="4"/>
  <c r="N943" i="4"/>
  <c r="O943" i="4"/>
  <c r="N945" i="4"/>
  <c r="O945" i="4"/>
  <c r="N947" i="4"/>
  <c r="O947" i="4"/>
  <c r="N949" i="4"/>
  <c r="O949" i="4"/>
  <c r="N951" i="4"/>
  <c r="O951" i="4"/>
  <c r="N953" i="4"/>
  <c r="O953" i="4"/>
  <c r="N955" i="4"/>
  <c r="O955" i="4"/>
  <c r="N957" i="4"/>
  <c r="O957" i="4"/>
  <c r="N959" i="4"/>
  <c r="O959" i="4"/>
  <c r="N961" i="4"/>
  <c r="O961" i="4"/>
  <c r="N963" i="4"/>
  <c r="O963" i="4"/>
  <c r="N965" i="4"/>
  <c r="O965" i="4"/>
  <c r="N967" i="4"/>
  <c r="O967" i="4"/>
  <c r="N969" i="4"/>
  <c r="O969" i="4"/>
  <c r="N971" i="4"/>
  <c r="O971" i="4"/>
  <c r="N973" i="4"/>
  <c r="O973" i="4"/>
  <c r="N975" i="4"/>
  <c r="O975" i="4"/>
  <c r="N977" i="4"/>
  <c r="O977" i="4"/>
  <c r="N979" i="4"/>
  <c r="O979" i="4"/>
  <c r="N981" i="4"/>
  <c r="O981" i="4"/>
  <c r="N983" i="4"/>
  <c r="O983" i="4"/>
  <c r="N985" i="4"/>
  <c r="O985" i="4"/>
  <c r="N987" i="4"/>
  <c r="O987" i="4"/>
  <c r="N989" i="4"/>
  <c r="O989" i="4"/>
  <c r="N991" i="4"/>
  <c r="O991" i="4"/>
  <c r="N993" i="4"/>
  <c r="O993" i="4"/>
  <c r="N995" i="4"/>
  <c r="O995" i="4"/>
  <c r="N997" i="4"/>
  <c r="O997" i="4"/>
  <c r="N999" i="4"/>
  <c r="O999" i="4"/>
  <c r="N1001" i="4"/>
  <c r="O1001" i="4"/>
  <c r="N1003" i="4"/>
  <c r="O1003" i="4"/>
  <c r="N1005" i="4"/>
  <c r="O1005" i="4"/>
  <c r="N1007" i="4"/>
  <c r="O1007" i="4"/>
  <c r="N1009" i="4"/>
  <c r="O1009" i="4"/>
  <c r="N1011" i="4"/>
  <c r="O1011" i="4"/>
  <c r="N1013" i="4"/>
  <c r="O1013" i="4"/>
  <c r="N1015" i="4"/>
  <c r="O1015" i="4"/>
  <c r="N1017" i="4"/>
  <c r="O1017" i="4"/>
  <c r="N1019" i="4"/>
  <c r="O1019" i="4"/>
  <c r="N1021" i="4"/>
  <c r="O1021" i="4"/>
  <c r="N1023" i="4"/>
  <c r="O1023" i="4"/>
  <c r="N1025" i="4"/>
  <c r="O1025" i="4"/>
  <c r="N1027" i="4"/>
  <c r="O1027" i="4"/>
  <c r="N1029" i="4"/>
  <c r="O1029" i="4"/>
  <c r="N1031" i="4"/>
  <c r="O1031" i="4"/>
  <c r="N1033" i="4"/>
  <c r="O1033" i="4"/>
  <c r="N1035" i="4"/>
  <c r="O1035" i="4"/>
  <c r="N1037" i="4"/>
  <c r="O1037" i="4"/>
  <c r="N1039" i="4"/>
  <c r="O1039" i="4"/>
  <c r="N1041" i="4"/>
  <c r="O1041" i="4"/>
  <c r="N1043" i="4"/>
  <c r="O1043" i="4"/>
  <c r="N1045" i="4"/>
  <c r="O1045" i="4"/>
  <c r="N1047" i="4"/>
  <c r="O1047" i="4"/>
  <c r="N1049" i="4"/>
  <c r="O1049" i="4"/>
  <c r="N1051" i="4"/>
  <c r="O1051" i="4"/>
  <c r="N1053" i="4"/>
  <c r="O1053" i="4"/>
  <c r="N1055" i="4"/>
  <c r="O1055" i="4"/>
  <c r="N1057" i="4"/>
  <c r="O1057" i="4"/>
  <c r="N1059" i="4"/>
  <c r="O1059" i="4"/>
  <c r="N1061" i="4"/>
  <c r="O1061" i="4"/>
  <c r="N1063" i="4"/>
  <c r="O1063" i="4"/>
  <c r="N1065" i="4"/>
  <c r="O1065" i="4"/>
  <c r="N1067" i="4"/>
  <c r="O1067" i="4"/>
  <c r="N1069" i="4"/>
  <c r="O1069" i="4"/>
  <c r="N1071" i="4"/>
  <c r="O1071" i="4"/>
  <c r="N1073" i="4"/>
  <c r="O1073" i="4"/>
  <c r="N1075" i="4"/>
  <c r="O1075" i="4"/>
  <c r="N1077" i="4"/>
  <c r="O1077" i="4"/>
  <c r="N1079" i="4"/>
  <c r="O1079" i="4"/>
  <c r="N1081" i="4"/>
  <c r="O1081" i="4"/>
  <c r="N1083" i="4"/>
  <c r="O1083" i="4"/>
  <c r="N1085" i="4"/>
  <c r="O1085" i="4"/>
  <c r="N1087" i="4"/>
  <c r="O1087" i="4"/>
  <c r="N1089" i="4"/>
  <c r="O1089" i="4"/>
  <c r="N1091" i="4"/>
  <c r="O1091" i="4"/>
  <c r="N1093" i="4"/>
  <c r="O1093" i="4"/>
  <c r="N1095" i="4"/>
  <c r="O1095" i="4"/>
  <c r="N1097" i="4"/>
  <c r="O1097" i="4"/>
  <c r="N1099" i="4"/>
  <c r="O1099" i="4"/>
  <c r="N1101" i="4"/>
  <c r="O1101" i="4"/>
  <c r="N1103" i="4"/>
  <c r="O1103" i="4"/>
  <c r="N1105" i="4"/>
  <c r="O1105" i="4"/>
  <c r="N1107" i="4"/>
  <c r="O1107" i="4"/>
  <c r="N1109" i="4"/>
  <c r="O1109" i="4"/>
  <c r="N1111" i="4"/>
  <c r="O1111" i="4"/>
  <c r="N1113" i="4"/>
  <c r="O1113" i="4"/>
  <c r="N1115" i="4"/>
  <c r="O1115" i="4"/>
  <c r="N1117" i="4"/>
  <c r="O1117" i="4"/>
  <c r="N1119" i="4"/>
  <c r="O1119" i="4"/>
  <c r="N1121" i="4"/>
  <c r="O1121" i="4"/>
  <c r="N1123" i="4"/>
  <c r="O1123" i="4"/>
  <c r="N1125" i="4"/>
  <c r="O1125" i="4"/>
  <c r="N1127" i="4"/>
  <c r="O1127" i="4"/>
  <c r="N1129" i="4"/>
  <c r="O1129" i="4"/>
  <c r="N1131" i="4"/>
  <c r="O1131" i="4"/>
  <c r="N1133" i="4"/>
  <c r="O1133" i="4"/>
  <c r="N1135" i="4"/>
  <c r="O1135" i="4"/>
  <c r="N1137" i="4"/>
  <c r="O1137" i="4"/>
  <c r="N1139" i="4"/>
  <c r="O1139" i="4"/>
  <c r="N1141" i="4"/>
  <c r="O1141" i="4"/>
  <c r="N1143" i="4"/>
  <c r="O1143" i="4"/>
  <c r="N1145" i="4"/>
  <c r="O1145" i="4"/>
  <c r="O1216" i="4"/>
  <c r="N1216" i="4"/>
  <c r="O1224" i="4"/>
  <c r="N1224" i="4"/>
  <c r="O1232" i="4"/>
  <c r="N1232" i="4"/>
  <c r="O1240" i="4"/>
  <c r="N1240" i="4"/>
  <c r="N2" i="4"/>
  <c r="R401" i="4"/>
  <c r="A2" i="5" s="1"/>
  <c r="P404" i="4"/>
  <c r="O406" i="4"/>
  <c r="R409" i="4"/>
  <c r="P412" i="4"/>
  <c r="O414" i="4"/>
  <c r="R417" i="4"/>
  <c r="P420" i="4"/>
  <c r="O422" i="4"/>
  <c r="R425" i="4"/>
  <c r="P428" i="4"/>
  <c r="O430" i="4"/>
  <c r="R433" i="4"/>
  <c r="P436" i="4"/>
  <c r="O438" i="4"/>
  <c r="R441" i="4"/>
  <c r="P444" i="4"/>
  <c r="O446" i="4"/>
  <c r="R449" i="4"/>
  <c r="P452" i="4"/>
  <c r="O454" i="4"/>
  <c r="R457" i="4"/>
  <c r="P460" i="4"/>
  <c r="O462" i="4"/>
  <c r="R465" i="4"/>
  <c r="P468" i="4"/>
  <c r="O470" i="4"/>
  <c r="R473" i="4"/>
  <c r="P476" i="4"/>
  <c r="O478" i="4"/>
  <c r="R481" i="4"/>
  <c r="P484" i="4"/>
  <c r="O486" i="4"/>
  <c r="R489" i="4"/>
  <c r="P492" i="4"/>
  <c r="O494" i="4"/>
  <c r="R497" i="4"/>
  <c r="P500" i="4"/>
  <c r="O502" i="4"/>
  <c r="R505" i="4"/>
  <c r="P508" i="4"/>
  <c r="O510" i="4"/>
  <c r="R513" i="4"/>
  <c r="P516" i="4"/>
  <c r="O518" i="4"/>
  <c r="R521" i="4"/>
  <c r="P524" i="4"/>
  <c r="O526" i="4"/>
  <c r="R529" i="4"/>
  <c r="P532" i="4"/>
  <c r="O534" i="4"/>
  <c r="R537" i="4"/>
  <c r="P540" i="4"/>
  <c r="O542" i="4"/>
  <c r="R545" i="4"/>
  <c r="P548" i="4"/>
  <c r="O550" i="4"/>
  <c r="R553" i="4"/>
  <c r="P556" i="4"/>
  <c r="O558" i="4"/>
  <c r="R561" i="4"/>
  <c r="P564" i="4"/>
  <c r="O566" i="4"/>
  <c r="R569" i="4"/>
  <c r="P572" i="4"/>
  <c r="O574" i="4"/>
  <c r="R577" i="4"/>
  <c r="P580" i="4"/>
  <c r="O582" i="4"/>
  <c r="R585" i="4"/>
  <c r="P588" i="4"/>
  <c r="O590" i="4"/>
  <c r="R593" i="4"/>
  <c r="P596" i="4"/>
  <c r="O598" i="4"/>
  <c r="R601" i="4"/>
  <c r="P604" i="4"/>
  <c r="O606" i="4"/>
  <c r="R609" i="4"/>
  <c r="P612" i="4"/>
  <c r="O614" i="4"/>
  <c r="R617" i="4"/>
  <c r="P620" i="4"/>
  <c r="O622" i="4"/>
  <c r="R625" i="4"/>
  <c r="P628" i="4"/>
  <c r="O630" i="4"/>
  <c r="R633" i="4"/>
  <c r="P636" i="4"/>
  <c r="O638" i="4"/>
  <c r="R641" i="4"/>
  <c r="P644" i="4"/>
  <c r="O646" i="4"/>
  <c r="R649" i="4"/>
  <c r="P652" i="4"/>
  <c r="O654" i="4"/>
  <c r="R657" i="4"/>
  <c r="P660" i="4"/>
  <c r="O662" i="4"/>
  <c r="R665" i="4"/>
  <c r="P668" i="4"/>
  <c r="O670" i="4"/>
  <c r="R673" i="4"/>
  <c r="P676" i="4"/>
  <c r="O678" i="4"/>
  <c r="R681" i="4"/>
  <c r="P684" i="4"/>
  <c r="O686" i="4"/>
  <c r="R689" i="4"/>
  <c r="P692" i="4"/>
  <c r="O694" i="4"/>
  <c r="R697" i="4"/>
  <c r="P700" i="4"/>
  <c r="R700" i="4"/>
  <c r="P704" i="4"/>
  <c r="R704" i="4"/>
  <c r="P708" i="4"/>
  <c r="R708" i="4"/>
  <c r="P712" i="4"/>
  <c r="R712" i="4"/>
  <c r="P716" i="4"/>
  <c r="R716" i="4"/>
  <c r="P720" i="4"/>
  <c r="R720" i="4"/>
  <c r="P724" i="4"/>
  <c r="R724" i="4"/>
  <c r="P728" i="4"/>
  <c r="R728" i="4"/>
  <c r="P732" i="4"/>
  <c r="R732" i="4"/>
  <c r="P736" i="4"/>
  <c r="R736" i="4"/>
  <c r="P740" i="4"/>
  <c r="R740" i="4"/>
  <c r="P744" i="4"/>
  <c r="R744" i="4"/>
  <c r="P748" i="4"/>
  <c r="R748" i="4"/>
  <c r="P752" i="4"/>
  <c r="R752" i="4"/>
  <c r="P756" i="4"/>
  <c r="R756" i="4"/>
  <c r="P760" i="4"/>
  <c r="R760" i="4"/>
  <c r="P764" i="4"/>
  <c r="R764" i="4"/>
  <c r="P768" i="4"/>
  <c r="R768" i="4"/>
  <c r="P772" i="4"/>
  <c r="R772" i="4"/>
  <c r="P776" i="4"/>
  <c r="R776" i="4"/>
  <c r="P780" i="4"/>
  <c r="R780" i="4"/>
  <c r="P784" i="4"/>
  <c r="R784" i="4"/>
  <c r="P788" i="4"/>
  <c r="R788" i="4"/>
  <c r="P792" i="4"/>
  <c r="R792" i="4"/>
  <c r="P796" i="4"/>
  <c r="R796" i="4"/>
  <c r="P800" i="4"/>
  <c r="R800" i="4"/>
  <c r="O803" i="4"/>
  <c r="P808" i="4"/>
  <c r="R808" i="4"/>
  <c r="O811" i="4"/>
  <c r="P816" i="4"/>
  <c r="R816" i="4"/>
  <c r="O819" i="4"/>
  <c r="P824" i="4"/>
  <c r="R824" i="4"/>
  <c r="O827" i="4"/>
  <c r="P832" i="4"/>
  <c r="R832" i="4"/>
  <c r="O835" i="4"/>
  <c r="P840" i="4"/>
  <c r="R840" i="4"/>
  <c r="O843" i="4"/>
  <c r="P848" i="4"/>
  <c r="R848" i="4"/>
  <c r="O851" i="4"/>
  <c r="P856" i="4"/>
  <c r="R856" i="4"/>
  <c r="O859" i="4"/>
  <c r="P864" i="4"/>
  <c r="R864" i="4"/>
  <c r="O1202" i="4"/>
  <c r="N1202" i="4"/>
  <c r="O1206" i="4"/>
  <c r="N1206" i="4"/>
  <c r="O1210" i="4"/>
  <c r="N1210" i="4"/>
  <c r="O1214" i="4"/>
  <c r="N1214" i="4"/>
  <c r="O1222" i="4"/>
  <c r="N1222" i="4"/>
  <c r="O1230" i="4"/>
  <c r="N1230" i="4"/>
  <c r="O1238" i="4"/>
  <c r="N1238" i="4"/>
  <c r="O1244" i="4"/>
  <c r="N1244" i="4"/>
  <c r="O1252" i="4"/>
  <c r="R1255" i="4"/>
  <c r="O1260" i="4"/>
  <c r="R1263" i="4"/>
  <c r="O1268" i="4"/>
  <c r="R1271" i="4"/>
  <c r="O1276" i="4"/>
  <c r="R1279" i="4"/>
  <c r="O1284" i="4"/>
  <c r="R1287" i="4"/>
  <c r="R1290" i="4"/>
  <c r="P1290" i="4"/>
  <c r="R1294" i="4"/>
  <c r="P1294" i="4"/>
  <c r="R1298" i="4"/>
  <c r="P1298" i="4"/>
  <c r="R1302" i="4"/>
  <c r="P1302" i="4"/>
  <c r="R1306" i="4"/>
  <c r="P1306" i="4"/>
  <c r="R1310" i="4"/>
  <c r="P1310" i="4"/>
  <c r="R1314" i="4"/>
  <c r="P1314" i="4"/>
  <c r="R1318" i="4"/>
  <c r="P1318" i="4"/>
  <c r="R1322" i="4"/>
  <c r="P1322" i="4"/>
  <c r="R1326" i="4"/>
  <c r="P1326" i="4"/>
  <c r="R1330" i="4"/>
  <c r="P1330" i="4"/>
  <c r="R1334" i="4"/>
  <c r="P1334" i="4"/>
  <c r="R1338" i="4"/>
  <c r="P1338" i="4"/>
  <c r="R1342" i="4"/>
  <c r="P1342" i="4"/>
  <c r="R1346" i="4"/>
  <c r="P1346" i="4"/>
  <c r="R1350" i="4"/>
  <c r="P1350" i="4"/>
  <c r="R1354" i="4"/>
  <c r="P1354" i="4"/>
  <c r="R1358" i="4"/>
  <c r="P1358" i="4"/>
  <c r="R1362" i="4"/>
  <c r="P1362" i="4"/>
  <c r="R1366" i="4"/>
  <c r="P1366" i="4"/>
  <c r="R1370" i="4"/>
  <c r="P1370" i="4"/>
  <c r="R1374" i="4"/>
  <c r="P1374" i="4"/>
  <c r="R1378" i="4"/>
  <c r="P1378" i="4"/>
  <c r="R1382" i="4"/>
  <c r="P1382" i="4"/>
  <c r="R1386" i="4"/>
  <c r="P1386" i="4"/>
  <c r="R1390" i="4"/>
  <c r="P1390" i="4"/>
  <c r="R1394" i="4"/>
  <c r="P1394" i="4"/>
  <c r="R1398" i="4"/>
  <c r="P1398" i="4"/>
  <c r="R1402" i="4"/>
  <c r="P1402" i="4"/>
  <c r="R1406" i="4"/>
  <c r="P1406" i="4"/>
  <c r="R1410" i="4"/>
  <c r="P1410" i="4"/>
  <c r="R1414" i="4"/>
  <c r="P1414" i="4"/>
  <c r="R1418" i="4"/>
  <c r="P1418" i="4"/>
  <c r="R1422" i="4"/>
  <c r="P1422" i="4"/>
  <c r="R1426" i="4"/>
  <c r="P1426" i="4"/>
  <c r="R1430" i="4"/>
  <c r="P1430" i="4"/>
  <c r="R1434" i="4"/>
  <c r="P1434" i="4"/>
  <c r="R1438" i="4"/>
  <c r="P1438" i="4"/>
  <c r="R1442" i="4"/>
  <c r="P1442" i="4"/>
  <c r="R1446" i="4"/>
  <c r="P1446" i="4"/>
  <c r="R1450" i="4"/>
  <c r="P1450" i="4"/>
  <c r="R1454" i="4"/>
  <c r="P1454" i="4"/>
  <c r="R1458" i="4"/>
  <c r="P1458" i="4"/>
  <c r="R1462" i="4"/>
  <c r="P1462" i="4"/>
  <c r="R1466" i="4"/>
  <c r="P1466" i="4"/>
  <c r="R1470" i="4"/>
  <c r="P1470" i="4"/>
  <c r="R1474" i="4"/>
  <c r="P1474" i="4"/>
  <c r="N1650" i="4"/>
  <c r="O1650" i="4"/>
  <c r="P801" i="4"/>
  <c r="P803" i="4"/>
  <c r="P805" i="4"/>
  <c r="P807" i="4"/>
  <c r="P809" i="4"/>
  <c r="P811" i="4"/>
  <c r="P813" i="4"/>
  <c r="P815" i="4"/>
  <c r="P817" i="4"/>
  <c r="P819" i="4"/>
  <c r="P821" i="4"/>
  <c r="P823" i="4"/>
  <c r="P825" i="4"/>
  <c r="P827" i="4"/>
  <c r="P829" i="4"/>
  <c r="P831" i="4"/>
  <c r="P833" i="4"/>
  <c r="P835" i="4"/>
  <c r="P837" i="4"/>
  <c r="P839" i="4"/>
  <c r="P841" i="4"/>
  <c r="P843" i="4"/>
  <c r="P845" i="4"/>
  <c r="P847" i="4"/>
  <c r="P849" i="4"/>
  <c r="P851" i="4"/>
  <c r="P853" i="4"/>
  <c r="P855" i="4"/>
  <c r="P857" i="4"/>
  <c r="P859" i="4"/>
  <c r="P861" i="4"/>
  <c r="P863" i="4"/>
  <c r="P865" i="4"/>
  <c r="P867" i="4"/>
  <c r="R868" i="4"/>
  <c r="P869" i="4"/>
  <c r="R870" i="4"/>
  <c r="P871" i="4"/>
  <c r="R872" i="4"/>
  <c r="P873" i="4"/>
  <c r="R874" i="4"/>
  <c r="P875" i="4"/>
  <c r="R876" i="4"/>
  <c r="P877" i="4"/>
  <c r="R878" i="4"/>
  <c r="P879" i="4"/>
  <c r="R880" i="4"/>
  <c r="P881" i="4"/>
  <c r="R882" i="4"/>
  <c r="P883" i="4"/>
  <c r="R884" i="4"/>
  <c r="P885" i="4"/>
  <c r="R886" i="4"/>
  <c r="P887" i="4"/>
  <c r="R888" i="4"/>
  <c r="P889" i="4"/>
  <c r="R890" i="4"/>
  <c r="P891" i="4"/>
  <c r="R892" i="4"/>
  <c r="P893" i="4"/>
  <c r="R894" i="4"/>
  <c r="P895" i="4"/>
  <c r="R896" i="4"/>
  <c r="P897" i="4"/>
  <c r="R898" i="4"/>
  <c r="P899" i="4"/>
  <c r="R900" i="4"/>
  <c r="P901" i="4"/>
  <c r="R902" i="4"/>
  <c r="P903" i="4"/>
  <c r="R904" i="4"/>
  <c r="P905" i="4"/>
  <c r="R906" i="4"/>
  <c r="P907" i="4"/>
  <c r="R908" i="4"/>
  <c r="P909" i="4"/>
  <c r="R910" i="4"/>
  <c r="P911" i="4"/>
  <c r="R912" i="4"/>
  <c r="P913" i="4"/>
  <c r="R914" i="4"/>
  <c r="P915" i="4"/>
  <c r="R916" i="4"/>
  <c r="P917" i="4"/>
  <c r="R918" i="4"/>
  <c r="P919" i="4"/>
  <c r="R920" i="4"/>
  <c r="P921" i="4"/>
  <c r="R922" i="4"/>
  <c r="P923" i="4"/>
  <c r="R924" i="4"/>
  <c r="P925" i="4"/>
  <c r="R926" i="4"/>
  <c r="P927" i="4"/>
  <c r="R928" i="4"/>
  <c r="P929" i="4"/>
  <c r="R930" i="4"/>
  <c r="P931" i="4"/>
  <c r="R932" i="4"/>
  <c r="P933" i="4"/>
  <c r="R934" i="4"/>
  <c r="P935" i="4"/>
  <c r="R936" i="4"/>
  <c r="P937" i="4"/>
  <c r="R938" i="4"/>
  <c r="P939" i="4"/>
  <c r="R940" i="4"/>
  <c r="P941" i="4"/>
  <c r="R942" i="4"/>
  <c r="P943" i="4"/>
  <c r="R944" i="4"/>
  <c r="P945" i="4"/>
  <c r="R946" i="4"/>
  <c r="P947" i="4"/>
  <c r="R948" i="4"/>
  <c r="P949" i="4"/>
  <c r="R950" i="4"/>
  <c r="P951" i="4"/>
  <c r="R952" i="4"/>
  <c r="P953" i="4"/>
  <c r="R954" i="4"/>
  <c r="P955" i="4"/>
  <c r="R956" i="4"/>
  <c r="P957" i="4"/>
  <c r="R958" i="4"/>
  <c r="P959" i="4"/>
  <c r="R960" i="4"/>
  <c r="P961" i="4"/>
  <c r="R962" i="4"/>
  <c r="P963" i="4"/>
  <c r="R964" i="4"/>
  <c r="P965" i="4"/>
  <c r="R966" i="4"/>
  <c r="P967" i="4"/>
  <c r="R968" i="4"/>
  <c r="P969" i="4"/>
  <c r="R970" i="4"/>
  <c r="P971" i="4"/>
  <c r="R972" i="4"/>
  <c r="P973" i="4"/>
  <c r="R974" i="4"/>
  <c r="P975" i="4"/>
  <c r="R976" i="4"/>
  <c r="P977" i="4"/>
  <c r="R978" i="4"/>
  <c r="P979" i="4"/>
  <c r="R980" i="4"/>
  <c r="P981" i="4"/>
  <c r="R982" i="4"/>
  <c r="P983" i="4"/>
  <c r="R984" i="4"/>
  <c r="P985" i="4"/>
  <c r="R986" i="4"/>
  <c r="P987" i="4"/>
  <c r="R988" i="4"/>
  <c r="P989" i="4"/>
  <c r="R990" i="4"/>
  <c r="P991" i="4"/>
  <c r="R992" i="4"/>
  <c r="P993" i="4"/>
  <c r="R994" i="4"/>
  <c r="P995" i="4"/>
  <c r="R996" i="4"/>
  <c r="P997" i="4"/>
  <c r="R998" i="4"/>
  <c r="P999" i="4"/>
  <c r="R1000" i="4"/>
  <c r="P1001" i="4"/>
  <c r="R1002" i="4"/>
  <c r="P1003" i="4"/>
  <c r="R1004" i="4"/>
  <c r="P1005" i="4"/>
  <c r="R1006" i="4"/>
  <c r="P1007" i="4"/>
  <c r="R1008" i="4"/>
  <c r="P1009" i="4"/>
  <c r="R1010" i="4"/>
  <c r="P1011" i="4"/>
  <c r="R1012" i="4"/>
  <c r="P1013" i="4"/>
  <c r="R1014" i="4"/>
  <c r="P1015" i="4"/>
  <c r="R1016" i="4"/>
  <c r="P1017" i="4"/>
  <c r="R1018" i="4"/>
  <c r="P1019" i="4"/>
  <c r="R1020" i="4"/>
  <c r="P1021" i="4"/>
  <c r="R1022" i="4"/>
  <c r="P1023" i="4"/>
  <c r="R1024" i="4"/>
  <c r="P1025" i="4"/>
  <c r="R1026" i="4"/>
  <c r="P1027" i="4"/>
  <c r="R1028" i="4"/>
  <c r="P1029" i="4"/>
  <c r="R1030" i="4"/>
  <c r="P1031" i="4"/>
  <c r="R1032" i="4"/>
  <c r="P1033" i="4"/>
  <c r="R1034" i="4"/>
  <c r="P1035" i="4"/>
  <c r="R1036" i="4"/>
  <c r="P1037" i="4"/>
  <c r="R1038" i="4"/>
  <c r="P1039" i="4"/>
  <c r="R1040" i="4"/>
  <c r="P1041" i="4"/>
  <c r="R1042" i="4"/>
  <c r="P1043" i="4"/>
  <c r="R1044" i="4"/>
  <c r="P1045" i="4"/>
  <c r="R1046" i="4"/>
  <c r="P1047" i="4"/>
  <c r="R1048" i="4"/>
  <c r="P1049" i="4"/>
  <c r="R1050" i="4"/>
  <c r="P1051" i="4"/>
  <c r="R1052" i="4"/>
  <c r="P1053" i="4"/>
  <c r="R1054" i="4"/>
  <c r="P1055" i="4"/>
  <c r="R1056" i="4"/>
  <c r="P1057" i="4"/>
  <c r="R1058" i="4"/>
  <c r="P1059" i="4"/>
  <c r="R1060" i="4"/>
  <c r="P1061" i="4"/>
  <c r="R1062" i="4"/>
  <c r="P1063" i="4"/>
  <c r="R1064" i="4"/>
  <c r="P1065" i="4"/>
  <c r="R1066" i="4"/>
  <c r="P1067" i="4"/>
  <c r="R1068" i="4"/>
  <c r="P1069" i="4"/>
  <c r="R1070" i="4"/>
  <c r="P1071" i="4"/>
  <c r="R1072" i="4"/>
  <c r="P1073" i="4"/>
  <c r="R1074" i="4"/>
  <c r="P1075" i="4"/>
  <c r="R1076" i="4"/>
  <c r="P1077" i="4"/>
  <c r="R1078" i="4"/>
  <c r="P1079" i="4"/>
  <c r="R1080" i="4"/>
  <c r="P1081" i="4"/>
  <c r="R1082" i="4"/>
  <c r="P1083" i="4"/>
  <c r="R1084" i="4"/>
  <c r="P1085" i="4"/>
  <c r="R1086" i="4"/>
  <c r="P1087" i="4"/>
  <c r="R1088" i="4"/>
  <c r="P1089" i="4"/>
  <c r="R1090" i="4"/>
  <c r="P1091" i="4"/>
  <c r="R1092" i="4"/>
  <c r="P1093" i="4"/>
  <c r="R1094" i="4"/>
  <c r="P1095" i="4"/>
  <c r="R1096" i="4"/>
  <c r="P1097" i="4"/>
  <c r="R1098" i="4"/>
  <c r="P1099" i="4"/>
  <c r="R1100" i="4"/>
  <c r="P1101" i="4"/>
  <c r="R1102" i="4"/>
  <c r="P1103" i="4"/>
  <c r="R1104" i="4"/>
  <c r="P1105" i="4"/>
  <c r="R1106" i="4"/>
  <c r="P1107" i="4"/>
  <c r="R1108" i="4"/>
  <c r="P1109" i="4"/>
  <c r="R1110" i="4"/>
  <c r="P1111" i="4"/>
  <c r="R1112" i="4"/>
  <c r="P1113" i="4"/>
  <c r="R1114" i="4"/>
  <c r="P1115" i="4"/>
  <c r="R1116" i="4"/>
  <c r="P1117" i="4"/>
  <c r="R1118" i="4"/>
  <c r="P1119" i="4"/>
  <c r="R1120" i="4"/>
  <c r="P1121" i="4"/>
  <c r="R1122" i="4"/>
  <c r="P1123" i="4"/>
  <c r="R1124" i="4"/>
  <c r="P1125" i="4"/>
  <c r="R1126" i="4"/>
  <c r="P1127" i="4"/>
  <c r="R1128" i="4"/>
  <c r="P1129" i="4"/>
  <c r="R1130" i="4"/>
  <c r="P1131" i="4"/>
  <c r="R1132" i="4"/>
  <c r="P1133" i="4"/>
  <c r="R1134" i="4"/>
  <c r="P1135" i="4"/>
  <c r="R1136" i="4"/>
  <c r="P1137" i="4"/>
  <c r="R1138" i="4"/>
  <c r="P1139" i="4"/>
  <c r="R1140" i="4"/>
  <c r="P1141" i="4"/>
  <c r="R1142" i="4"/>
  <c r="P1143" i="4"/>
  <c r="R1144" i="4"/>
  <c r="P1145" i="4"/>
  <c r="R1146" i="4"/>
  <c r="P1147" i="4"/>
  <c r="R1148" i="4"/>
  <c r="R1150" i="4"/>
  <c r="R1152" i="4"/>
  <c r="R1154" i="4"/>
  <c r="R1156" i="4"/>
  <c r="R1158" i="4"/>
  <c r="R1160" i="4"/>
  <c r="R1162" i="4"/>
  <c r="R1164" i="4"/>
  <c r="R1166" i="4"/>
  <c r="R1168" i="4"/>
  <c r="R1170" i="4"/>
  <c r="R1172" i="4"/>
  <c r="R1174" i="4"/>
  <c r="R1176" i="4"/>
  <c r="R1178" i="4"/>
  <c r="R1180" i="4"/>
  <c r="R1182" i="4"/>
  <c r="R1184" i="4"/>
  <c r="R1186" i="4"/>
  <c r="R1188" i="4"/>
  <c r="R1190" i="4"/>
  <c r="R1192" i="4"/>
  <c r="R1194" i="4"/>
  <c r="R1196" i="4"/>
  <c r="R1198" i="4"/>
  <c r="R1200" i="4"/>
  <c r="R1249" i="4"/>
  <c r="P1252" i="4"/>
  <c r="R1257" i="4"/>
  <c r="P1260" i="4"/>
  <c r="R1265" i="4"/>
  <c r="P1268" i="4"/>
  <c r="R1273" i="4"/>
  <c r="P1276" i="4"/>
  <c r="R1281" i="4"/>
  <c r="P1284" i="4"/>
  <c r="P1289" i="4"/>
  <c r="R1289" i="4"/>
  <c r="P1293" i="4"/>
  <c r="R1293" i="4"/>
  <c r="P1297" i="4"/>
  <c r="R1297" i="4"/>
  <c r="P1301" i="4"/>
  <c r="R1301" i="4"/>
  <c r="P1305" i="4"/>
  <c r="R1305" i="4"/>
  <c r="P1309" i="4"/>
  <c r="R1309" i="4"/>
  <c r="P1313" i="4"/>
  <c r="R1313" i="4"/>
  <c r="P1317" i="4"/>
  <c r="R1317" i="4"/>
  <c r="P1321" i="4"/>
  <c r="R1321" i="4"/>
  <c r="P1325" i="4"/>
  <c r="R1325" i="4"/>
  <c r="P1329" i="4"/>
  <c r="R1329" i="4"/>
  <c r="P1333" i="4"/>
  <c r="R1333" i="4"/>
  <c r="P1337" i="4"/>
  <c r="R1337" i="4"/>
  <c r="P1341" i="4"/>
  <c r="R1341" i="4"/>
  <c r="P1345" i="4"/>
  <c r="R1345" i="4"/>
  <c r="P1349" i="4"/>
  <c r="R1349" i="4"/>
  <c r="P1353" i="4"/>
  <c r="R1353" i="4"/>
  <c r="P1357" i="4"/>
  <c r="R1357" i="4"/>
  <c r="P1361" i="4"/>
  <c r="R1361" i="4"/>
  <c r="P1365" i="4"/>
  <c r="R1365" i="4"/>
  <c r="P1369" i="4"/>
  <c r="R1369" i="4"/>
  <c r="P1373" i="4"/>
  <c r="R1373" i="4"/>
  <c r="P1377" i="4"/>
  <c r="R1377" i="4"/>
  <c r="P1381" i="4"/>
  <c r="R1381" i="4"/>
  <c r="P1385" i="4"/>
  <c r="R1385" i="4"/>
  <c r="P1389" i="4"/>
  <c r="R1389" i="4"/>
  <c r="P1393" i="4"/>
  <c r="R1393" i="4"/>
  <c r="P1397" i="4"/>
  <c r="R1397" i="4"/>
  <c r="P1401" i="4"/>
  <c r="R1401" i="4"/>
  <c r="P1405" i="4"/>
  <c r="R1405" i="4"/>
  <c r="P1409" i="4"/>
  <c r="R1409" i="4"/>
  <c r="P1413" i="4"/>
  <c r="R1413" i="4"/>
  <c r="P1417" i="4"/>
  <c r="R1417" i="4"/>
  <c r="P1421" i="4"/>
  <c r="R1421" i="4"/>
  <c r="P1425" i="4"/>
  <c r="R1425" i="4"/>
  <c r="P1429" i="4"/>
  <c r="R1429" i="4"/>
  <c r="P1433" i="4"/>
  <c r="R1433" i="4"/>
  <c r="P1437" i="4"/>
  <c r="R1437" i="4"/>
  <c r="P1441" i="4"/>
  <c r="R1441" i="4"/>
  <c r="P1445" i="4"/>
  <c r="R1445" i="4"/>
  <c r="P1449" i="4"/>
  <c r="R1449" i="4"/>
  <c r="P1453" i="4"/>
  <c r="R1453" i="4"/>
  <c r="P1457" i="4"/>
  <c r="R1457" i="4"/>
  <c r="P1461" i="4"/>
  <c r="R1461" i="4"/>
  <c r="P1465" i="4"/>
  <c r="R1465" i="4"/>
  <c r="P1469" i="4"/>
  <c r="R1469" i="4"/>
  <c r="P1473" i="4"/>
  <c r="R1473" i="4"/>
  <c r="P1477" i="4"/>
  <c r="R1477" i="4"/>
  <c r="N1480" i="4"/>
  <c r="O1480" i="4"/>
  <c r="N1482" i="4"/>
  <c r="O1482" i="4"/>
  <c r="N1484" i="4"/>
  <c r="O1484" i="4"/>
  <c r="N1486" i="4"/>
  <c r="O1486" i="4"/>
  <c r="N1488" i="4"/>
  <c r="O1488" i="4"/>
  <c r="N1490" i="4"/>
  <c r="O1490" i="4"/>
  <c r="N1492" i="4"/>
  <c r="O1492" i="4"/>
  <c r="N1494" i="4"/>
  <c r="O1494" i="4"/>
  <c r="N1496" i="4"/>
  <c r="O1496" i="4"/>
  <c r="N1498" i="4"/>
  <c r="O1498" i="4"/>
  <c r="N1500" i="4"/>
  <c r="O1500" i="4"/>
  <c r="N1502" i="4"/>
  <c r="O1502" i="4"/>
  <c r="N1504" i="4"/>
  <c r="O1504" i="4"/>
  <c r="N1506" i="4"/>
  <c r="O1506" i="4"/>
  <c r="N1508" i="4"/>
  <c r="O1508" i="4"/>
  <c r="N1510" i="4"/>
  <c r="O1510" i="4"/>
  <c r="N1512" i="4"/>
  <c r="O1512" i="4"/>
  <c r="N1514" i="4"/>
  <c r="O1514" i="4"/>
  <c r="N1516" i="4"/>
  <c r="O1516" i="4"/>
  <c r="N1518" i="4"/>
  <c r="O1518" i="4"/>
  <c r="N1520" i="4"/>
  <c r="O1520" i="4"/>
  <c r="N1522" i="4"/>
  <c r="O1522" i="4"/>
  <c r="N1524" i="4"/>
  <c r="O1524" i="4"/>
  <c r="N1526" i="4"/>
  <c r="O1526" i="4"/>
  <c r="N1528" i="4"/>
  <c r="O1528" i="4"/>
  <c r="N1530" i="4"/>
  <c r="O1530" i="4"/>
  <c r="N1532" i="4"/>
  <c r="O1532" i="4"/>
  <c r="N1534" i="4"/>
  <c r="O1534" i="4"/>
  <c r="N1536" i="4"/>
  <c r="O1536" i="4"/>
  <c r="N1538" i="4"/>
  <c r="O1538" i="4"/>
  <c r="N1540" i="4"/>
  <c r="O1540" i="4"/>
  <c r="N1542" i="4"/>
  <c r="O1542" i="4"/>
  <c r="N1544" i="4"/>
  <c r="O1544" i="4"/>
  <c r="N1546" i="4"/>
  <c r="O1546" i="4"/>
  <c r="N1548" i="4"/>
  <c r="O1548" i="4"/>
  <c r="N1550" i="4"/>
  <c r="O1550" i="4"/>
  <c r="N1552" i="4"/>
  <c r="O1552" i="4"/>
  <c r="N1554" i="4"/>
  <c r="O1554" i="4"/>
  <c r="N1556" i="4"/>
  <c r="O1556" i="4"/>
  <c r="N1558" i="4"/>
  <c r="O1558" i="4"/>
  <c r="N1560" i="4"/>
  <c r="O1560" i="4"/>
  <c r="N1562" i="4"/>
  <c r="O1562" i="4"/>
  <c r="N1564" i="4"/>
  <c r="O1564" i="4"/>
  <c r="N1566" i="4"/>
  <c r="O1566" i="4"/>
  <c r="N1568" i="4"/>
  <c r="O1568" i="4"/>
  <c r="N1570" i="4"/>
  <c r="O1570" i="4"/>
  <c r="N1572" i="4"/>
  <c r="O1572" i="4"/>
  <c r="N1574" i="4"/>
  <c r="O1574" i="4"/>
  <c r="N1576" i="4"/>
  <c r="O1576" i="4"/>
  <c r="N1578" i="4"/>
  <c r="O1578" i="4"/>
  <c r="N1580" i="4"/>
  <c r="O1580" i="4"/>
  <c r="N1582" i="4"/>
  <c r="O1582" i="4"/>
  <c r="N1584" i="4"/>
  <c r="O1584" i="4"/>
  <c r="N1586" i="4"/>
  <c r="O1586" i="4"/>
  <c r="N1588" i="4"/>
  <c r="O1588" i="4"/>
  <c r="N1590" i="4"/>
  <c r="O1590" i="4"/>
  <c r="N1592" i="4"/>
  <c r="O1592" i="4"/>
  <c r="N1594" i="4"/>
  <c r="O1594" i="4"/>
  <c r="N1596" i="4"/>
  <c r="O1596" i="4"/>
  <c r="N1598" i="4"/>
  <c r="O1598" i="4"/>
  <c r="N1600" i="4"/>
  <c r="O1600" i="4"/>
  <c r="N1602" i="4"/>
  <c r="O1602" i="4"/>
  <c r="N1604" i="4"/>
  <c r="O1604" i="4"/>
  <c r="N1606" i="4"/>
  <c r="O1606" i="4"/>
  <c r="N1608" i="4"/>
  <c r="O1608" i="4"/>
  <c r="N1610" i="4"/>
  <c r="O1610" i="4"/>
  <c r="N1612" i="4"/>
  <c r="O1612" i="4"/>
  <c r="N1614" i="4"/>
  <c r="O1614" i="4"/>
  <c r="N1616" i="4"/>
  <c r="O1616" i="4"/>
  <c r="N1618" i="4"/>
  <c r="O1618" i="4"/>
  <c r="N1620" i="4"/>
  <c r="O1620" i="4"/>
  <c r="N1622" i="4"/>
  <c r="O1622" i="4"/>
  <c r="N1624" i="4"/>
  <c r="O1624" i="4"/>
  <c r="N1626" i="4"/>
  <c r="O1626" i="4"/>
  <c r="N1628" i="4"/>
  <c r="O1628" i="4"/>
  <c r="N1630" i="4"/>
  <c r="O1630" i="4"/>
  <c r="N1632" i="4"/>
  <c r="O1632" i="4"/>
  <c r="N1634" i="4"/>
  <c r="O1634" i="4"/>
  <c r="N1638" i="4"/>
  <c r="O1638" i="4"/>
  <c r="N1642" i="4"/>
  <c r="O1642" i="4"/>
  <c r="N1646" i="4"/>
  <c r="O1646" i="4"/>
  <c r="N1652" i="4"/>
  <c r="O1652" i="4"/>
  <c r="N1656" i="4"/>
  <c r="O1656" i="4"/>
  <c r="N1660" i="4"/>
  <c r="O1660" i="4"/>
  <c r="N1664" i="4"/>
  <c r="O1664" i="4"/>
  <c r="N1668" i="4"/>
  <c r="O1668" i="4"/>
  <c r="R1251" i="4"/>
  <c r="P1254" i="4"/>
  <c r="O1256" i="4"/>
  <c r="R1259" i="4"/>
  <c r="P1262" i="4"/>
  <c r="O1264" i="4"/>
  <c r="R1267" i="4"/>
  <c r="P1270" i="4"/>
  <c r="O1272" i="4"/>
  <c r="R1275" i="4"/>
  <c r="P1278" i="4"/>
  <c r="O1280" i="4"/>
  <c r="R1283" i="4"/>
  <c r="P1286" i="4"/>
  <c r="O1288" i="4"/>
  <c r="R1292" i="4"/>
  <c r="P1292" i="4"/>
  <c r="R1296" i="4"/>
  <c r="P1296" i="4"/>
  <c r="R1300" i="4"/>
  <c r="P1300" i="4"/>
  <c r="R1304" i="4"/>
  <c r="P1304" i="4"/>
  <c r="R1308" i="4"/>
  <c r="P1308" i="4"/>
  <c r="R1312" i="4"/>
  <c r="P1312" i="4"/>
  <c r="R1316" i="4"/>
  <c r="P1316" i="4"/>
  <c r="R1320" i="4"/>
  <c r="P1320" i="4"/>
  <c r="R1324" i="4"/>
  <c r="P1324" i="4"/>
  <c r="R1328" i="4"/>
  <c r="P1328" i="4"/>
  <c r="R1332" i="4"/>
  <c r="P1332" i="4"/>
  <c r="R1336" i="4"/>
  <c r="P1336" i="4"/>
  <c r="R1340" i="4"/>
  <c r="P1340" i="4"/>
  <c r="R1344" i="4"/>
  <c r="P1344" i="4"/>
  <c r="R1348" i="4"/>
  <c r="P1348" i="4"/>
  <c r="R1352" i="4"/>
  <c r="P1352" i="4"/>
  <c r="R1356" i="4"/>
  <c r="P1356" i="4"/>
  <c r="R1360" i="4"/>
  <c r="P1360" i="4"/>
  <c r="R1364" i="4"/>
  <c r="P1364" i="4"/>
  <c r="R1368" i="4"/>
  <c r="P1368" i="4"/>
  <c r="R1372" i="4"/>
  <c r="P1372" i="4"/>
  <c r="R1376" i="4"/>
  <c r="P1376" i="4"/>
  <c r="R1380" i="4"/>
  <c r="P1380" i="4"/>
  <c r="R1384" i="4"/>
  <c r="P1384" i="4"/>
  <c r="R1388" i="4"/>
  <c r="P1388" i="4"/>
  <c r="R1392" i="4"/>
  <c r="P1392" i="4"/>
  <c r="R1396" i="4"/>
  <c r="P1396" i="4"/>
  <c r="R1400" i="4"/>
  <c r="P1400" i="4"/>
  <c r="R1404" i="4"/>
  <c r="P1404" i="4"/>
  <c r="R1408" i="4"/>
  <c r="P1408" i="4"/>
  <c r="R1412" i="4"/>
  <c r="P1412" i="4"/>
  <c r="R1416" i="4"/>
  <c r="P1416" i="4"/>
  <c r="R1420" i="4"/>
  <c r="P1420" i="4"/>
  <c r="R1424" i="4"/>
  <c r="P1424" i="4"/>
  <c r="R1428" i="4"/>
  <c r="P1428" i="4"/>
  <c r="R1432" i="4"/>
  <c r="P1432" i="4"/>
  <c r="R1436" i="4"/>
  <c r="P1436" i="4"/>
  <c r="R1440" i="4"/>
  <c r="P1440" i="4"/>
  <c r="R1444" i="4"/>
  <c r="P1444" i="4"/>
  <c r="R1448" i="4"/>
  <c r="P1448" i="4"/>
  <c r="R1452" i="4"/>
  <c r="P1452" i="4"/>
  <c r="R1456" i="4"/>
  <c r="P1456" i="4"/>
  <c r="R1460" i="4"/>
  <c r="P1460" i="4"/>
  <c r="R1464" i="4"/>
  <c r="P1464" i="4"/>
  <c r="R1468" i="4"/>
  <c r="P1468" i="4"/>
  <c r="R1472" i="4"/>
  <c r="P1472" i="4"/>
  <c r="R1476" i="4"/>
  <c r="P1476" i="4"/>
  <c r="R1253" i="4"/>
  <c r="R1261" i="4"/>
  <c r="R1269" i="4"/>
  <c r="R1277" i="4"/>
  <c r="R1285" i="4"/>
  <c r="P1291" i="4"/>
  <c r="R1291" i="4"/>
  <c r="P1295" i="4"/>
  <c r="R1295" i="4"/>
  <c r="P1299" i="4"/>
  <c r="R1299" i="4"/>
  <c r="P1303" i="4"/>
  <c r="R1303" i="4"/>
  <c r="P1307" i="4"/>
  <c r="R1307" i="4"/>
  <c r="P1311" i="4"/>
  <c r="R1311" i="4"/>
  <c r="P1315" i="4"/>
  <c r="R1315" i="4"/>
  <c r="P1319" i="4"/>
  <c r="R1319" i="4"/>
  <c r="P1323" i="4"/>
  <c r="R1323" i="4"/>
  <c r="P1327" i="4"/>
  <c r="R1327" i="4"/>
  <c r="P1331" i="4"/>
  <c r="R1331" i="4"/>
  <c r="P1335" i="4"/>
  <c r="R1335" i="4"/>
  <c r="P1339" i="4"/>
  <c r="R1339" i="4"/>
  <c r="P1343" i="4"/>
  <c r="R1343" i="4"/>
  <c r="P1347" i="4"/>
  <c r="R1347" i="4"/>
  <c r="P1351" i="4"/>
  <c r="R1351" i="4"/>
  <c r="P1355" i="4"/>
  <c r="R1355" i="4"/>
  <c r="P1359" i="4"/>
  <c r="R1359" i="4"/>
  <c r="P1363" i="4"/>
  <c r="R1363" i="4"/>
  <c r="P1367" i="4"/>
  <c r="R1367" i="4"/>
  <c r="P1371" i="4"/>
  <c r="R1371" i="4"/>
  <c r="P1375" i="4"/>
  <c r="R1375" i="4"/>
  <c r="P1379" i="4"/>
  <c r="R1379" i="4"/>
  <c r="P1383" i="4"/>
  <c r="R1383" i="4"/>
  <c r="P1387" i="4"/>
  <c r="R1387" i="4"/>
  <c r="P1391" i="4"/>
  <c r="R1391" i="4"/>
  <c r="P1395" i="4"/>
  <c r="R1395" i="4"/>
  <c r="P1399" i="4"/>
  <c r="R1399" i="4"/>
  <c r="P1403" i="4"/>
  <c r="R1403" i="4"/>
  <c r="P1407" i="4"/>
  <c r="R1407" i="4"/>
  <c r="P1411" i="4"/>
  <c r="R1411" i="4"/>
  <c r="P1415" i="4"/>
  <c r="R1415" i="4"/>
  <c r="P1419" i="4"/>
  <c r="R1419" i="4"/>
  <c r="P1423" i="4"/>
  <c r="R1423" i="4"/>
  <c r="P1427" i="4"/>
  <c r="R1427" i="4"/>
  <c r="P1431" i="4"/>
  <c r="R1431" i="4"/>
  <c r="P1435" i="4"/>
  <c r="R1435" i="4"/>
  <c r="P1439" i="4"/>
  <c r="R1439" i="4"/>
  <c r="P1443" i="4"/>
  <c r="R1443" i="4"/>
  <c r="P1447" i="4"/>
  <c r="R1447" i="4"/>
  <c r="P1451" i="4"/>
  <c r="R1451" i="4"/>
  <c r="P1455" i="4"/>
  <c r="R1455" i="4"/>
  <c r="P1459" i="4"/>
  <c r="R1459" i="4"/>
  <c r="P1463" i="4"/>
  <c r="R1463" i="4"/>
  <c r="P1467" i="4"/>
  <c r="R1467" i="4"/>
  <c r="P1471" i="4"/>
  <c r="R1471" i="4"/>
  <c r="P1475" i="4"/>
  <c r="R1475" i="4"/>
  <c r="N1636" i="4"/>
  <c r="O1636" i="4"/>
  <c r="N1640" i="4"/>
  <c r="O1640" i="4"/>
  <c r="N1644" i="4"/>
  <c r="O1644" i="4"/>
  <c r="N1648" i="4"/>
  <c r="O1648" i="4"/>
  <c r="N1654" i="4"/>
  <c r="O1654" i="4"/>
  <c r="N1658" i="4"/>
  <c r="O1658" i="4"/>
  <c r="N1662" i="4"/>
  <c r="O1662" i="4"/>
  <c r="N1666" i="4"/>
  <c r="O1666" i="4"/>
  <c r="N1670" i="4"/>
  <c r="O1670" i="4"/>
  <c r="P1672" i="4"/>
  <c r="R1677" i="4"/>
  <c r="P1680" i="4"/>
  <c r="R1685" i="4"/>
  <c r="P1688" i="4"/>
  <c r="R1693" i="4"/>
  <c r="P1696" i="4"/>
  <c r="R1702" i="4"/>
  <c r="P1702" i="4"/>
  <c r="R1706" i="4"/>
  <c r="P1706" i="4"/>
  <c r="R1710" i="4"/>
  <c r="P1710" i="4"/>
  <c r="R1714" i="4"/>
  <c r="P1714" i="4"/>
  <c r="R1718" i="4"/>
  <c r="P1718" i="4"/>
  <c r="R1722" i="4"/>
  <c r="P1722" i="4"/>
  <c r="R1726" i="4"/>
  <c r="P1726" i="4"/>
  <c r="R1730" i="4"/>
  <c r="P1730" i="4"/>
  <c r="R1734" i="4"/>
  <c r="P1734" i="4"/>
  <c r="R1738" i="4"/>
  <c r="P1738" i="4"/>
  <c r="R1742" i="4"/>
  <c r="P1742" i="4"/>
  <c r="R1746" i="4"/>
  <c r="P1746" i="4"/>
  <c r="R1750" i="4"/>
  <c r="P1750" i="4"/>
  <c r="R1754" i="4"/>
  <c r="P1754" i="4"/>
  <c r="R1758" i="4"/>
  <c r="P1758" i="4"/>
  <c r="R1762" i="4"/>
  <c r="P1762" i="4"/>
  <c r="R1766" i="4"/>
  <c r="P1766" i="4"/>
  <c r="R1770" i="4"/>
  <c r="P1770" i="4"/>
  <c r="R1774" i="4"/>
  <c r="P1774" i="4"/>
  <c r="O1778" i="4"/>
  <c r="P1478" i="4"/>
  <c r="R1479" i="4"/>
  <c r="P1480" i="4"/>
  <c r="R1481" i="4"/>
  <c r="P1482" i="4"/>
  <c r="R1483" i="4"/>
  <c r="P1484" i="4"/>
  <c r="R1485" i="4"/>
  <c r="P1486" i="4"/>
  <c r="R1487" i="4"/>
  <c r="P1488" i="4"/>
  <c r="R1489" i="4"/>
  <c r="P1490" i="4"/>
  <c r="R1491" i="4"/>
  <c r="P1492" i="4"/>
  <c r="R1493" i="4"/>
  <c r="P1494" i="4"/>
  <c r="R1495" i="4"/>
  <c r="P1496" i="4"/>
  <c r="R1497" i="4"/>
  <c r="P1498" i="4"/>
  <c r="R1499" i="4"/>
  <c r="P1500" i="4"/>
  <c r="R1501" i="4"/>
  <c r="P1502" i="4"/>
  <c r="R1503" i="4"/>
  <c r="P1504" i="4"/>
  <c r="R1505" i="4"/>
  <c r="P1506" i="4"/>
  <c r="R1507" i="4"/>
  <c r="P1508" i="4"/>
  <c r="R1509" i="4"/>
  <c r="P1510" i="4"/>
  <c r="R1511" i="4"/>
  <c r="P1512" i="4"/>
  <c r="R1513" i="4"/>
  <c r="P1514" i="4"/>
  <c r="R1515" i="4"/>
  <c r="P1516" i="4"/>
  <c r="R1517" i="4"/>
  <c r="P1518" i="4"/>
  <c r="R1519" i="4"/>
  <c r="P1520" i="4"/>
  <c r="R1521" i="4"/>
  <c r="P1522" i="4"/>
  <c r="R1523" i="4"/>
  <c r="P1524" i="4"/>
  <c r="R1525" i="4"/>
  <c r="P1526" i="4"/>
  <c r="R1527" i="4"/>
  <c r="P1528" i="4"/>
  <c r="R1529" i="4"/>
  <c r="P1530" i="4"/>
  <c r="R1531" i="4"/>
  <c r="P1532" i="4"/>
  <c r="R1533" i="4"/>
  <c r="P1534" i="4"/>
  <c r="R1535" i="4"/>
  <c r="P1536" i="4"/>
  <c r="R1537" i="4"/>
  <c r="P1538" i="4"/>
  <c r="R1539" i="4"/>
  <c r="P1540" i="4"/>
  <c r="R1541" i="4"/>
  <c r="P1542" i="4"/>
  <c r="R1543" i="4"/>
  <c r="P1544" i="4"/>
  <c r="R1545" i="4"/>
  <c r="P1546" i="4"/>
  <c r="R1547" i="4"/>
  <c r="P1548" i="4"/>
  <c r="R1549" i="4"/>
  <c r="P1550" i="4"/>
  <c r="R1551" i="4"/>
  <c r="P1552" i="4"/>
  <c r="R1553" i="4"/>
  <c r="P1554" i="4"/>
  <c r="R1555" i="4"/>
  <c r="P1556" i="4"/>
  <c r="R1557" i="4"/>
  <c r="P1558" i="4"/>
  <c r="R1559" i="4"/>
  <c r="P1560" i="4"/>
  <c r="R1561" i="4"/>
  <c r="P1562" i="4"/>
  <c r="R1563" i="4"/>
  <c r="P1564" i="4"/>
  <c r="R1565" i="4"/>
  <c r="P1566" i="4"/>
  <c r="R1567" i="4"/>
  <c r="P1568" i="4"/>
  <c r="R1569" i="4"/>
  <c r="P1570" i="4"/>
  <c r="R1571" i="4"/>
  <c r="P1572" i="4"/>
  <c r="R1573" i="4"/>
  <c r="P1574" i="4"/>
  <c r="R1575" i="4"/>
  <c r="P1576" i="4"/>
  <c r="R1577" i="4"/>
  <c r="P1578" i="4"/>
  <c r="R1579" i="4"/>
  <c r="P1580" i="4"/>
  <c r="R1581" i="4"/>
  <c r="P1582" i="4"/>
  <c r="R1583" i="4"/>
  <c r="P1584" i="4"/>
  <c r="R1585" i="4"/>
  <c r="P1586" i="4"/>
  <c r="R1587" i="4"/>
  <c r="P1588" i="4"/>
  <c r="R1589" i="4"/>
  <c r="P1590" i="4"/>
  <c r="R1591" i="4"/>
  <c r="P1592" i="4"/>
  <c r="R1593" i="4"/>
  <c r="P1594" i="4"/>
  <c r="R1595" i="4"/>
  <c r="P1596" i="4"/>
  <c r="R1597" i="4"/>
  <c r="P1598" i="4"/>
  <c r="R1599" i="4"/>
  <c r="P1600" i="4"/>
  <c r="R1601" i="4"/>
  <c r="P1602" i="4"/>
  <c r="R1603" i="4"/>
  <c r="P1604" i="4"/>
  <c r="R1605" i="4"/>
  <c r="P1606" i="4"/>
  <c r="R1607" i="4"/>
  <c r="P1608" i="4"/>
  <c r="R1609" i="4"/>
  <c r="P1610" i="4"/>
  <c r="R1611" i="4"/>
  <c r="P1612" i="4"/>
  <c r="R1613" i="4"/>
  <c r="P1614" i="4"/>
  <c r="R1615" i="4"/>
  <c r="P1616" i="4"/>
  <c r="R1617" i="4"/>
  <c r="P1618" i="4"/>
  <c r="R1619" i="4"/>
  <c r="P1620" i="4"/>
  <c r="R1621" i="4"/>
  <c r="P1622" i="4"/>
  <c r="R1623" i="4"/>
  <c r="P1624" i="4"/>
  <c r="R1625" i="4"/>
  <c r="P1626" i="4"/>
  <c r="R1627" i="4"/>
  <c r="P1628" i="4"/>
  <c r="R1629" i="4"/>
  <c r="P1630" i="4"/>
  <c r="R1631" i="4"/>
  <c r="P1632" i="4"/>
  <c r="R1633" i="4"/>
  <c r="P1634" i="4"/>
  <c r="P1636" i="4"/>
  <c r="P1638" i="4"/>
  <c r="P1640" i="4"/>
  <c r="P1642" i="4"/>
  <c r="P1644" i="4"/>
  <c r="P1646" i="4"/>
  <c r="P1648" i="4"/>
  <c r="P1650" i="4"/>
  <c r="R1679" i="4"/>
  <c r="R1687" i="4"/>
  <c r="R1695" i="4"/>
  <c r="P1701" i="4"/>
  <c r="R1701" i="4"/>
  <c r="P1705" i="4"/>
  <c r="R1705" i="4"/>
  <c r="P1709" i="4"/>
  <c r="R1709" i="4"/>
  <c r="P1713" i="4"/>
  <c r="R1713" i="4"/>
  <c r="P1717" i="4"/>
  <c r="R1717" i="4"/>
  <c r="P1721" i="4"/>
  <c r="R1721" i="4"/>
  <c r="P1725" i="4"/>
  <c r="R1725" i="4"/>
  <c r="P1729" i="4"/>
  <c r="R1729" i="4"/>
  <c r="P1733" i="4"/>
  <c r="R1733" i="4"/>
  <c r="P1737" i="4"/>
  <c r="R1737" i="4"/>
  <c r="P1741" i="4"/>
  <c r="R1741" i="4"/>
  <c r="P1745" i="4"/>
  <c r="R1745" i="4"/>
  <c r="P1749" i="4"/>
  <c r="R1749" i="4"/>
  <c r="P1753" i="4"/>
  <c r="R1753" i="4"/>
  <c r="P1757" i="4"/>
  <c r="R1757" i="4"/>
  <c r="P1761" i="4"/>
  <c r="R1761" i="4"/>
  <c r="P1765" i="4"/>
  <c r="R1765" i="4"/>
  <c r="P1769" i="4"/>
  <c r="R1769" i="4"/>
  <c r="P1773" i="4"/>
  <c r="R1773" i="4"/>
  <c r="P1777" i="4"/>
  <c r="R1777" i="4"/>
  <c r="O1780" i="4"/>
  <c r="R1673" i="4"/>
  <c r="O1678" i="4"/>
  <c r="R1681" i="4"/>
  <c r="O1686" i="4"/>
  <c r="R1689" i="4"/>
  <c r="O1694" i="4"/>
  <c r="R1697" i="4"/>
  <c r="R1700" i="4"/>
  <c r="P1700" i="4"/>
  <c r="R1704" i="4"/>
  <c r="P1704" i="4"/>
  <c r="R1708" i="4"/>
  <c r="P1708" i="4"/>
  <c r="R1712" i="4"/>
  <c r="P1712" i="4"/>
  <c r="R1716" i="4"/>
  <c r="P1716" i="4"/>
  <c r="R1720" i="4"/>
  <c r="P1720" i="4"/>
  <c r="R1724" i="4"/>
  <c r="P1724" i="4"/>
  <c r="R1728" i="4"/>
  <c r="P1728" i="4"/>
  <c r="R1732" i="4"/>
  <c r="P1732" i="4"/>
  <c r="R1736" i="4"/>
  <c r="P1736" i="4"/>
  <c r="R1740" i="4"/>
  <c r="P1740" i="4"/>
  <c r="R1744" i="4"/>
  <c r="P1744" i="4"/>
  <c r="R1748" i="4"/>
  <c r="P1748" i="4"/>
  <c r="R1752" i="4"/>
  <c r="P1752" i="4"/>
  <c r="R1756" i="4"/>
  <c r="P1756" i="4"/>
  <c r="R1760" i="4"/>
  <c r="P1760" i="4"/>
  <c r="R1764" i="4"/>
  <c r="P1764" i="4"/>
  <c r="R1768" i="4"/>
  <c r="P1768" i="4"/>
  <c r="R1772" i="4"/>
  <c r="P1772" i="4"/>
  <c r="P1779" i="4"/>
  <c r="R1779" i="4"/>
  <c r="N1784" i="4"/>
  <c r="O1784" i="4"/>
  <c r="N1786" i="4"/>
  <c r="O1786" i="4"/>
  <c r="N1788" i="4"/>
  <c r="O1788" i="4"/>
  <c r="N1790" i="4"/>
  <c r="O1790" i="4"/>
  <c r="N1792" i="4"/>
  <c r="O1792" i="4"/>
  <c r="N1794" i="4"/>
  <c r="O1794" i="4"/>
  <c r="N1796" i="4"/>
  <c r="O1796" i="4"/>
  <c r="N1798" i="4"/>
  <c r="O1798" i="4"/>
  <c r="N1800" i="4"/>
  <c r="O1800" i="4"/>
  <c r="N1802" i="4"/>
  <c r="O1802" i="4"/>
  <c r="N1804" i="4"/>
  <c r="O1804" i="4"/>
  <c r="N1806" i="4"/>
  <c r="O1806" i="4"/>
  <c r="N1808" i="4"/>
  <c r="O1808" i="4"/>
  <c r="N1810" i="4"/>
  <c r="O1810" i="4"/>
  <c r="N1812" i="4"/>
  <c r="O1812" i="4"/>
  <c r="N1814" i="4"/>
  <c r="O1814" i="4"/>
  <c r="N1816" i="4"/>
  <c r="O1816" i="4"/>
  <c r="N1818" i="4"/>
  <c r="O1818" i="4"/>
  <c r="N1820" i="4"/>
  <c r="O1820" i="4"/>
  <c r="O1672" i="4"/>
  <c r="R1675" i="4"/>
  <c r="P1678" i="4"/>
  <c r="O1680" i="4"/>
  <c r="R1683" i="4"/>
  <c r="P1686" i="4"/>
  <c r="O1688" i="4"/>
  <c r="R1691" i="4"/>
  <c r="P1694" i="4"/>
  <c r="O1696" i="4"/>
  <c r="P1699" i="4"/>
  <c r="R1699" i="4"/>
  <c r="P1703" i="4"/>
  <c r="R1703" i="4"/>
  <c r="P1707" i="4"/>
  <c r="R1707" i="4"/>
  <c r="P1711" i="4"/>
  <c r="R1711" i="4"/>
  <c r="P1715" i="4"/>
  <c r="R1715" i="4"/>
  <c r="P1719" i="4"/>
  <c r="R1719" i="4"/>
  <c r="P1723" i="4"/>
  <c r="R1723" i="4"/>
  <c r="P1727" i="4"/>
  <c r="R1727" i="4"/>
  <c r="P1731" i="4"/>
  <c r="R1731" i="4"/>
  <c r="P1735" i="4"/>
  <c r="R1735" i="4"/>
  <c r="P1739" i="4"/>
  <c r="R1739" i="4"/>
  <c r="P1743" i="4"/>
  <c r="R1743" i="4"/>
  <c r="P1747" i="4"/>
  <c r="R1747" i="4"/>
  <c r="P1751" i="4"/>
  <c r="R1751" i="4"/>
  <c r="P1755" i="4"/>
  <c r="R1755" i="4"/>
  <c r="P1759" i="4"/>
  <c r="R1759" i="4"/>
  <c r="P1763" i="4"/>
  <c r="R1763" i="4"/>
  <c r="P1767" i="4"/>
  <c r="R1767" i="4"/>
  <c r="P1771" i="4"/>
  <c r="R1771" i="4"/>
  <c r="P1775" i="4"/>
  <c r="R1775" i="4"/>
  <c r="O1776" i="4"/>
  <c r="P1781" i="4"/>
  <c r="R1781" i="4"/>
  <c r="P1822" i="4"/>
  <c r="R1827" i="4"/>
  <c r="P1830" i="4"/>
  <c r="R1835" i="4"/>
  <c r="P1838" i="4"/>
  <c r="R1843" i="4"/>
  <c r="P1846" i="4"/>
  <c r="R1851" i="4"/>
  <c r="P1854" i="4"/>
  <c r="R1859" i="4"/>
  <c r="P1862" i="4"/>
  <c r="R1867" i="4"/>
  <c r="P1870" i="4"/>
  <c r="R1875" i="4"/>
  <c r="P1878" i="4"/>
  <c r="R1883" i="4"/>
  <c r="P1886" i="4"/>
  <c r="R1891" i="4"/>
  <c r="P1894" i="4"/>
  <c r="R1899" i="4"/>
  <c r="P1902" i="4"/>
  <c r="R1907" i="4"/>
  <c r="P1910" i="4"/>
  <c r="R1915" i="4"/>
  <c r="P1918" i="4"/>
  <c r="O1962" i="4"/>
  <c r="N1962" i="4"/>
  <c r="O1966" i="4"/>
  <c r="N1966" i="4"/>
  <c r="O1970" i="4"/>
  <c r="N1970" i="4"/>
  <c r="O1974" i="4"/>
  <c r="N1974" i="4"/>
  <c r="O1978" i="4"/>
  <c r="N1978" i="4"/>
  <c r="O1982" i="4"/>
  <c r="N1982" i="4"/>
  <c r="O1986" i="4"/>
  <c r="N1986" i="4"/>
  <c r="O1990" i="4"/>
  <c r="N1990" i="4"/>
  <c r="O1994" i="4"/>
  <c r="N1994" i="4"/>
  <c r="O1998" i="4"/>
  <c r="N1998" i="4"/>
  <c r="O2002" i="4"/>
  <c r="N2002" i="4"/>
  <c r="R2029" i="4"/>
  <c r="P2029" i="4"/>
  <c r="O2030" i="4"/>
  <c r="N2030" i="4"/>
  <c r="R2061" i="4"/>
  <c r="P2061" i="4"/>
  <c r="O2062" i="4"/>
  <c r="N2062" i="4"/>
  <c r="R2093" i="4"/>
  <c r="P2093" i="4"/>
  <c r="O2094" i="4"/>
  <c r="N2094" i="4"/>
  <c r="P1776" i="4"/>
  <c r="P1778" i="4"/>
  <c r="P1780" i="4"/>
  <c r="P1782" i="4"/>
  <c r="R1783" i="4"/>
  <c r="P1784" i="4"/>
  <c r="R1785" i="4"/>
  <c r="P1786" i="4"/>
  <c r="R1787" i="4"/>
  <c r="P1788" i="4"/>
  <c r="R1789" i="4"/>
  <c r="P1790" i="4"/>
  <c r="R1791" i="4"/>
  <c r="P1792" i="4"/>
  <c r="R1793" i="4"/>
  <c r="P1794" i="4"/>
  <c r="R1795" i="4"/>
  <c r="P1796" i="4"/>
  <c r="R1797" i="4"/>
  <c r="P1798" i="4"/>
  <c r="R1799" i="4"/>
  <c r="P1800" i="4"/>
  <c r="R1801" i="4"/>
  <c r="P1802" i="4"/>
  <c r="R1803" i="4"/>
  <c r="P1804" i="4"/>
  <c r="R1805" i="4"/>
  <c r="P1806" i="4"/>
  <c r="R1807" i="4"/>
  <c r="P1808" i="4"/>
  <c r="R1809" i="4"/>
  <c r="P1810" i="4"/>
  <c r="R1811" i="4"/>
  <c r="P1812" i="4"/>
  <c r="R1813" i="4"/>
  <c r="P1814" i="4"/>
  <c r="R1815" i="4"/>
  <c r="P1816" i="4"/>
  <c r="R1817" i="4"/>
  <c r="P1818" i="4"/>
  <c r="R1819" i="4"/>
  <c r="P1820" i="4"/>
  <c r="R1821" i="4"/>
  <c r="O1826" i="4"/>
  <c r="R1829" i="4"/>
  <c r="O1834" i="4"/>
  <c r="R1837" i="4"/>
  <c r="O1842" i="4"/>
  <c r="R1845" i="4"/>
  <c r="O1850" i="4"/>
  <c r="R1853" i="4"/>
  <c r="O1858" i="4"/>
  <c r="R1861" i="4"/>
  <c r="O1866" i="4"/>
  <c r="R1869" i="4"/>
  <c r="O1874" i="4"/>
  <c r="R1877" i="4"/>
  <c r="O1882" i="4"/>
  <c r="R1885" i="4"/>
  <c r="O1890" i="4"/>
  <c r="R1893" i="4"/>
  <c r="O1898" i="4"/>
  <c r="R1901" i="4"/>
  <c r="O1906" i="4"/>
  <c r="R1909" i="4"/>
  <c r="O1914" i="4"/>
  <c r="R1917" i="4"/>
  <c r="O1922" i="4"/>
  <c r="O1924" i="4"/>
  <c r="O1926" i="4"/>
  <c r="O1928" i="4"/>
  <c r="O1930" i="4"/>
  <c r="O1932" i="4"/>
  <c r="O1934" i="4"/>
  <c r="O1936" i="4"/>
  <c r="O1938" i="4"/>
  <c r="O1940" i="4"/>
  <c r="O2006" i="4"/>
  <c r="N2006" i="4"/>
  <c r="R2037" i="4"/>
  <c r="P2037" i="4"/>
  <c r="O2038" i="4"/>
  <c r="N2038" i="4"/>
  <c r="R2069" i="4"/>
  <c r="P2069" i="4"/>
  <c r="O2070" i="4"/>
  <c r="N2070" i="4"/>
  <c r="R2101" i="4"/>
  <c r="P2101" i="4"/>
  <c r="O2102" i="4"/>
  <c r="N2102" i="4"/>
  <c r="R1823" i="4"/>
  <c r="R1831" i="4"/>
  <c r="R1839" i="4"/>
  <c r="R1847" i="4"/>
  <c r="R1855" i="4"/>
  <c r="R1863" i="4"/>
  <c r="R1871" i="4"/>
  <c r="R1879" i="4"/>
  <c r="R1887" i="4"/>
  <c r="R1895" i="4"/>
  <c r="R1903" i="4"/>
  <c r="R1911" i="4"/>
  <c r="R1919" i="4"/>
  <c r="O1964" i="4"/>
  <c r="N1964" i="4"/>
  <c r="O1968" i="4"/>
  <c r="N1968" i="4"/>
  <c r="O1972" i="4"/>
  <c r="N1972" i="4"/>
  <c r="O1976" i="4"/>
  <c r="N1976" i="4"/>
  <c r="O1980" i="4"/>
  <c r="N1980" i="4"/>
  <c r="O1984" i="4"/>
  <c r="N1984" i="4"/>
  <c r="O1988" i="4"/>
  <c r="N1988" i="4"/>
  <c r="O1992" i="4"/>
  <c r="N1992" i="4"/>
  <c r="O1996" i="4"/>
  <c r="N1996" i="4"/>
  <c r="O2000" i="4"/>
  <c r="N2000" i="4"/>
  <c r="O2004" i="4"/>
  <c r="N2004" i="4"/>
  <c r="R2013" i="4"/>
  <c r="P2013" i="4"/>
  <c r="O2014" i="4"/>
  <c r="N2014" i="4"/>
  <c r="R2045" i="4"/>
  <c r="P2045" i="4"/>
  <c r="R2046" i="4"/>
  <c r="R2077" i="4"/>
  <c r="P2077" i="4"/>
  <c r="O2078" i="4"/>
  <c r="N2078" i="4"/>
  <c r="O1822" i="4"/>
  <c r="R1825" i="4"/>
  <c r="P1828" i="4"/>
  <c r="O1830" i="4"/>
  <c r="R1833" i="4"/>
  <c r="P1836" i="4"/>
  <c r="O1838" i="4"/>
  <c r="R1841" i="4"/>
  <c r="P1844" i="4"/>
  <c r="O1846" i="4"/>
  <c r="R1849" i="4"/>
  <c r="P1852" i="4"/>
  <c r="O1854" i="4"/>
  <c r="R1857" i="4"/>
  <c r="P1860" i="4"/>
  <c r="O1862" i="4"/>
  <c r="R1865" i="4"/>
  <c r="P1868" i="4"/>
  <c r="O1870" i="4"/>
  <c r="R1873" i="4"/>
  <c r="P1876" i="4"/>
  <c r="O1878" i="4"/>
  <c r="R1881" i="4"/>
  <c r="P1884" i="4"/>
  <c r="O1886" i="4"/>
  <c r="R1889" i="4"/>
  <c r="P1892" i="4"/>
  <c r="O1894" i="4"/>
  <c r="R1897" i="4"/>
  <c r="P1900" i="4"/>
  <c r="O1902" i="4"/>
  <c r="R1905" i="4"/>
  <c r="P1908" i="4"/>
  <c r="O1910" i="4"/>
  <c r="R1913" i="4"/>
  <c r="P1916" i="4"/>
  <c r="O1918" i="4"/>
  <c r="R1921" i="4"/>
  <c r="R1923" i="4"/>
  <c r="R1925" i="4"/>
  <c r="R1927" i="4"/>
  <c r="R1929" i="4"/>
  <c r="R1931" i="4"/>
  <c r="R1933" i="4"/>
  <c r="R1935" i="4"/>
  <c r="R1937" i="4"/>
  <c r="R1939" i="4"/>
  <c r="R1941" i="4"/>
  <c r="R1943" i="4"/>
  <c r="R1945" i="4"/>
  <c r="R1947" i="4"/>
  <c r="R1949" i="4"/>
  <c r="R1951" i="4"/>
  <c r="R1953" i="4"/>
  <c r="R1955" i="4"/>
  <c r="R1957" i="4"/>
  <c r="R1959" i="4"/>
  <c r="R1961" i="4"/>
  <c r="N1963" i="4"/>
  <c r="N1967" i="4"/>
  <c r="N1971" i="4"/>
  <c r="N1975" i="4"/>
  <c r="N1979" i="4"/>
  <c r="N1983" i="4"/>
  <c r="N1987" i="4"/>
  <c r="N1991" i="4"/>
  <c r="N1995" i="4"/>
  <c r="N1999" i="4"/>
  <c r="N2003" i="4"/>
  <c r="R2021" i="4"/>
  <c r="P2021" i="4"/>
  <c r="R2022" i="4"/>
  <c r="R2053" i="4"/>
  <c r="P2053" i="4"/>
  <c r="R2054" i="4"/>
  <c r="R2085" i="4"/>
  <c r="P2085" i="4"/>
  <c r="O2086" i="4"/>
  <c r="N2086" i="4"/>
  <c r="R2008" i="4"/>
  <c r="P2011" i="4"/>
  <c r="R2016" i="4"/>
  <c r="P2019" i="4"/>
  <c r="R2024" i="4"/>
  <c r="P2027" i="4"/>
  <c r="R2032" i="4"/>
  <c r="P2035" i="4"/>
  <c r="R2040" i="4"/>
  <c r="P2043" i="4"/>
  <c r="R2048" i="4"/>
  <c r="P2051" i="4"/>
  <c r="R2056" i="4"/>
  <c r="P2059" i="4"/>
  <c r="R2064" i="4"/>
  <c r="P2067" i="4"/>
  <c r="R2072" i="4"/>
  <c r="P2075" i="4"/>
  <c r="R2080" i="4"/>
  <c r="P2083" i="4"/>
  <c r="R2088" i="4"/>
  <c r="P2091" i="4"/>
  <c r="R2096" i="4"/>
  <c r="P2099" i="4"/>
  <c r="R2104" i="4"/>
  <c r="P2107" i="4"/>
  <c r="O2109" i="4"/>
  <c r="R2112" i="4"/>
  <c r="P2115" i="4"/>
  <c r="O2117" i="4"/>
  <c r="R2120" i="4"/>
  <c r="P2123" i="4"/>
  <c r="O2125" i="4"/>
  <c r="R2128" i="4"/>
  <c r="P2131" i="4"/>
  <c r="O2133" i="4"/>
  <c r="R2136" i="4"/>
  <c r="P2139" i="4"/>
  <c r="O2141" i="4"/>
  <c r="R2144" i="4"/>
  <c r="P2147" i="4"/>
  <c r="O2149" i="4"/>
  <c r="R2152" i="4"/>
  <c r="P2155" i="4"/>
  <c r="O2157" i="4"/>
  <c r="R2160" i="4"/>
  <c r="P2163" i="4"/>
  <c r="O2165" i="4"/>
  <c r="R2168" i="4"/>
  <c r="P2171" i="4"/>
  <c r="O2173" i="4"/>
  <c r="R2176" i="4"/>
  <c r="P2179" i="4"/>
  <c r="O2181" i="4"/>
  <c r="R2184" i="4"/>
  <c r="P2187" i="4"/>
  <c r="O2189" i="4"/>
  <c r="R2192" i="4"/>
  <c r="N2198" i="4"/>
  <c r="O2199" i="4"/>
  <c r="N2199" i="4"/>
  <c r="P2201" i="4"/>
  <c r="N2206" i="4"/>
  <c r="O2207" i="4"/>
  <c r="N2207" i="4"/>
  <c r="P2209" i="4"/>
  <c r="P2213" i="4"/>
  <c r="R2213" i="4"/>
  <c r="P2217" i="4"/>
  <c r="R2217" i="4"/>
  <c r="P2221" i="4"/>
  <c r="R2221" i="4"/>
  <c r="P2225" i="4"/>
  <c r="R2225" i="4"/>
  <c r="P2229" i="4"/>
  <c r="R2229" i="4"/>
  <c r="P2233" i="4"/>
  <c r="R2233" i="4"/>
  <c r="P2237" i="4"/>
  <c r="R2237" i="4"/>
  <c r="P2241" i="4"/>
  <c r="R2241" i="4"/>
  <c r="P2245" i="4"/>
  <c r="R2245" i="4"/>
  <c r="P2249" i="4"/>
  <c r="R2249" i="4"/>
  <c r="P2253" i="4"/>
  <c r="R2253" i="4"/>
  <c r="P2257" i="4"/>
  <c r="R2257" i="4"/>
  <c r="P2261" i="4"/>
  <c r="R2261" i="4"/>
  <c r="P2265" i="4"/>
  <c r="R2265" i="4"/>
  <c r="P2005" i="4"/>
  <c r="O2007" i="4"/>
  <c r="R2010" i="4"/>
  <c r="O2015" i="4"/>
  <c r="R2018" i="4"/>
  <c r="O2023" i="4"/>
  <c r="R2026" i="4"/>
  <c r="O2031" i="4"/>
  <c r="R2034" i="4"/>
  <c r="O2039" i="4"/>
  <c r="R2042" i="4"/>
  <c r="O2047" i="4"/>
  <c r="R2050" i="4"/>
  <c r="O2055" i="4"/>
  <c r="R2058" i="4"/>
  <c r="O2063" i="4"/>
  <c r="R2066" i="4"/>
  <c r="O2071" i="4"/>
  <c r="R2074" i="4"/>
  <c r="O2079" i="4"/>
  <c r="R2082" i="4"/>
  <c r="O2087" i="4"/>
  <c r="R2090" i="4"/>
  <c r="O2095" i="4"/>
  <c r="R2098" i="4"/>
  <c r="O2103" i="4"/>
  <c r="R2106" i="4"/>
  <c r="P2109" i="4"/>
  <c r="O2111" i="4"/>
  <c r="R2114" i="4"/>
  <c r="P2117" i="4"/>
  <c r="O2119" i="4"/>
  <c r="R2122" i="4"/>
  <c r="P2125" i="4"/>
  <c r="O2127" i="4"/>
  <c r="R2130" i="4"/>
  <c r="P2133" i="4"/>
  <c r="O2135" i="4"/>
  <c r="R2138" i="4"/>
  <c r="P2141" i="4"/>
  <c r="O2143" i="4"/>
  <c r="R2146" i="4"/>
  <c r="P2149" i="4"/>
  <c r="O2151" i="4"/>
  <c r="R2154" i="4"/>
  <c r="P2157" i="4"/>
  <c r="O2159" i="4"/>
  <c r="R2162" i="4"/>
  <c r="P2165" i="4"/>
  <c r="O2167" i="4"/>
  <c r="R2170" i="4"/>
  <c r="P2173" i="4"/>
  <c r="O2175" i="4"/>
  <c r="R2178" i="4"/>
  <c r="P2181" i="4"/>
  <c r="O2183" i="4"/>
  <c r="R2186" i="4"/>
  <c r="P2189" i="4"/>
  <c r="O2191" i="4"/>
  <c r="R2194" i="4"/>
  <c r="O2197" i="4"/>
  <c r="N2197" i="4"/>
  <c r="P2199" i="4"/>
  <c r="O2205" i="4"/>
  <c r="N2205" i="4"/>
  <c r="P2207" i="4"/>
  <c r="O2363" i="4"/>
  <c r="N2363" i="4"/>
  <c r="O2367" i="4"/>
  <c r="N2367" i="4"/>
  <c r="O2371" i="4"/>
  <c r="N2371" i="4"/>
  <c r="O2375" i="4"/>
  <c r="N2375" i="4"/>
  <c r="R2012" i="4"/>
  <c r="R2020" i="4"/>
  <c r="R2028" i="4"/>
  <c r="R2036" i="4"/>
  <c r="R2044" i="4"/>
  <c r="R2052" i="4"/>
  <c r="R2060" i="4"/>
  <c r="R2068" i="4"/>
  <c r="R2076" i="4"/>
  <c r="R2084" i="4"/>
  <c r="R2092" i="4"/>
  <c r="R2100" i="4"/>
  <c r="R2108" i="4"/>
  <c r="R2116" i="4"/>
  <c r="R2124" i="4"/>
  <c r="R2132" i="4"/>
  <c r="R2140" i="4"/>
  <c r="R2148" i="4"/>
  <c r="R2156" i="4"/>
  <c r="R2164" i="4"/>
  <c r="R2172" i="4"/>
  <c r="R2180" i="4"/>
  <c r="R2188" i="4"/>
  <c r="O2195" i="4"/>
  <c r="N2195" i="4"/>
  <c r="O2203" i="4"/>
  <c r="N2203" i="4"/>
  <c r="P2211" i="4"/>
  <c r="R2211" i="4"/>
  <c r="P2215" i="4"/>
  <c r="R2215" i="4"/>
  <c r="P2219" i="4"/>
  <c r="R2219" i="4"/>
  <c r="P2223" i="4"/>
  <c r="R2223" i="4"/>
  <c r="P2227" i="4"/>
  <c r="R2227" i="4"/>
  <c r="P2231" i="4"/>
  <c r="R2231" i="4"/>
  <c r="P2235" i="4"/>
  <c r="R2235" i="4"/>
  <c r="P2239" i="4"/>
  <c r="R2239" i="4"/>
  <c r="P2243" i="4"/>
  <c r="R2243" i="4"/>
  <c r="P2247" i="4"/>
  <c r="R2247" i="4"/>
  <c r="P2251" i="4"/>
  <c r="R2251" i="4"/>
  <c r="P2255" i="4"/>
  <c r="R2255" i="4"/>
  <c r="P2259" i="4"/>
  <c r="R2259" i="4"/>
  <c r="P2263" i="4"/>
  <c r="R2263" i="4"/>
  <c r="R2110" i="4"/>
  <c r="R2118" i="4"/>
  <c r="R2126" i="4"/>
  <c r="R2134" i="4"/>
  <c r="R2142" i="4"/>
  <c r="R2150" i="4"/>
  <c r="R2158" i="4"/>
  <c r="R2166" i="4"/>
  <c r="R2174" i="4"/>
  <c r="R2182" i="4"/>
  <c r="R2190" i="4"/>
  <c r="O2201" i="4"/>
  <c r="N2201" i="4"/>
  <c r="O2209" i="4"/>
  <c r="N2209" i="4"/>
  <c r="O2365" i="4"/>
  <c r="N2365" i="4"/>
  <c r="O2369" i="4"/>
  <c r="N2369" i="4"/>
  <c r="O2373" i="4"/>
  <c r="N2373" i="4"/>
  <c r="O2378" i="4"/>
  <c r="R2381" i="4"/>
  <c r="O2386" i="4"/>
  <c r="R2389" i="4"/>
  <c r="O2394" i="4"/>
  <c r="R2397" i="4"/>
  <c r="O2402" i="4"/>
  <c r="R2405" i="4"/>
  <c r="O2410" i="4"/>
  <c r="R2413" i="4"/>
  <c r="O2418" i="4"/>
  <c r="R2421" i="4"/>
  <c r="O2426" i="4"/>
  <c r="R2429" i="4"/>
  <c r="O2434" i="4"/>
  <c r="R2437" i="4"/>
  <c r="O2442" i="4"/>
  <c r="R2445" i="4"/>
  <c r="O2450" i="4"/>
  <c r="R2453" i="4"/>
  <c r="O2458" i="4"/>
  <c r="R2461" i="4"/>
  <c r="O2466" i="4"/>
  <c r="R2469" i="4"/>
  <c r="R2477" i="4"/>
  <c r="O2508" i="4"/>
  <c r="N2508" i="4"/>
  <c r="O2512" i="4"/>
  <c r="N2512" i="4"/>
  <c r="O2516" i="4"/>
  <c r="N2516" i="4"/>
  <c r="O2520" i="4"/>
  <c r="N2520" i="4"/>
  <c r="O2524" i="4"/>
  <c r="N2524" i="4"/>
  <c r="O2528" i="4"/>
  <c r="N2528" i="4"/>
  <c r="O2532" i="4"/>
  <c r="N2532" i="4"/>
  <c r="O2536" i="4"/>
  <c r="N2536" i="4"/>
  <c r="O2540" i="4"/>
  <c r="N2540" i="4"/>
  <c r="O2544" i="4"/>
  <c r="N2544" i="4"/>
  <c r="O2548" i="4"/>
  <c r="N2548" i="4"/>
  <c r="O2552" i="4"/>
  <c r="N2552" i="4"/>
  <c r="R2600" i="4"/>
  <c r="P2600" i="4"/>
  <c r="O2601" i="4"/>
  <c r="N2601" i="4"/>
  <c r="O2647" i="4"/>
  <c r="N2647" i="4"/>
  <c r="O2661" i="4"/>
  <c r="N2661" i="4"/>
  <c r="O2669" i="4"/>
  <c r="N2669" i="4"/>
  <c r="P2672" i="4"/>
  <c r="R2672" i="4"/>
  <c r="R2687" i="4"/>
  <c r="P2687" i="4"/>
  <c r="O2688" i="4"/>
  <c r="N2688" i="4"/>
  <c r="P2711" i="4"/>
  <c r="R2711" i="4"/>
  <c r="P2775" i="4"/>
  <c r="R2775" i="4"/>
  <c r="P2811" i="4"/>
  <c r="R2811" i="4"/>
  <c r="N2868" i="4"/>
  <c r="O2868" i="4"/>
  <c r="R2267" i="4"/>
  <c r="R2269" i="4"/>
  <c r="R2271" i="4"/>
  <c r="R2273" i="4"/>
  <c r="R2275" i="4"/>
  <c r="R2277" i="4"/>
  <c r="R2279" i="4"/>
  <c r="R2281" i="4"/>
  <c r="R2283" i="4"/>
  <c r="R2285" i="4"/>
  <c r="R2287" i="4"/>
  <c r="R2289" i="4"/>
  <c r="R2291" i="4"/>
  <c r="R2293" i="4"/>
  <c r="R2295" i="4"/>
  <c r="R2297" i="4"/>
  <c r="R2299" i="4"/>
  <c r="R2301" i="4"/>
  <c r="R2303" i="4"/>
  <c r="R2305" i="4"/>
  <c r="R2307" i="4"/>
  <c r="R2309" i="4"/>
  <c r="R2311" i="4"/>
  <c r="R2313" i="4"/>
  <c r="R2315" i="4"/>
  <c r="R2317" i="4"/>
  <c r="R2319" i="4"/>
  <c r="R2321" i="4"/>
  <c r="R2323" i="4"/>
  <c r="R2325" i="4"/>
  <c r="R2327" i="4"/>
  <c r="R2329" i="4"/>
  <c r="R2331" i="4"/>
  <c r="R2333" i="4"/>
  <c r="R2335" i="4"/>
  <c r="R2337" i="4"/>
  <c r="R2339" i="4"/>
  <c r="R2341" i="4"/>
  <c r="R2343" i="4"/>
  <c r="R2345" i="4"/>
  <c r="R2347" i="4"/>
  <c r="R2349" i="4"/>
  <c r="R2351" i="4"/>
  <c r="R2353" i="4"/>
  <c r="R2355" i="4"/>
  <c r="R2357" i="4"/>
  <c r="R2359" i="4"/>
  <c r="R2361" i="4"/>
  <c r="P2378" i="4"/>
  <c r="O2380" i="4"/>
  <c r="R2383" i="4"/>
  <c r="P2386" i="4"/>
  <c r="O2388" i="4"/>
  <c r="R2391" i="4"/>
  <c r="P2394" i="4"/>
  <c r="O2396" i="4"/>
  <c r="R2399" i="4"/>
  <c r="P2402" i="4"/>
  <c r="O2404" i="4"/>
  <c r="R2407" i="4"/>
  <c r="P2410" i="4"/>
  <c r="O2412" i="4"/>
  <c r="R2415" i="4"/>
  <c r="P2418" i="4"/>
  <c r="O2420" i="4"/>
  <c r="R2423" i="4"/>
  <c r="P2426" i="4"/>
  <c r="O2428" i="4"/>
  <c r="R2431" i="4"/>
  <c r="P2434" i="4"/>
  <c r="O2436" i="4"/>
  <c r="R2439" i="4"/>
  <c r="P2442" i="4"/>
  <c r="O2444" i="4"/>
  <c r="R2447" i="4"/>
  <c r="P2450" i="4"/>
  <c r="O2452" i="4"/>
  <c r="R2455" i="4"/>
  <c r="P2458" i="4"/>
  <c r="O2460" i="4"/>
  <c r="R2463" i="4"/>
  <c r="P2466" i="4"/>
  <c r="O2468" i="4"/>
  <c r="R2471" i="4"/>
  <c r="P2474" i="4"/>
  <c r="O2476" i="4"/>
  <c r="R2479" i="4"/>
  <c r="R2481" i="4"/>
  <c r="R2483" i="4"/>
  <c r="R2485" i="4"/>
  <c r="R2487" i="4"/>
  <c r="R2489" i="4"/>
  <c r="R2491" i="4"/>
  <c r="R2493" i="4"/>
  <c r="R2495" i="4"/>
  <c r="R2497" i="4"/>
  <c r="R2499" i="4"/>
  <c r="R2501" i="4"/>
  <c r="R2503" i="4"/>
  <c r="R2505" i="4"/>
  <c r="N2507" i="4"/>
  <c r="N2511" i="4"/>
  <c r="N2515" i="4"/>
  <c r="N2519" i="4"/>
  <c r="N2523" i="4"/>
  <c r="N2527" i="4"/>
  <c r="N2531" i="4"/>
  <c r="N2535" i="4"/>
  <c r="N2539" i="4"/>
  <c r="N2543" i="4"/>
  <c r="N2547" i="4"/>
  <c r="N2551" i="4"/>
  <c r="N2557" i="4"/>
  <c r="N2559" i="4"/>
  <c r="N2561" i="4"/>
  <c r="N2563" i="4"/>
  <c r="N2565" i="4"/>
  <c r="N2567" i="4"/>
  <c r="N2569" i="4"/>
  <c r="N2571" i="4"/>
  <c r="N2573" i="4"/>
  <c r="N2575" i="4"/>
  <c r="N2577" i="4"/>
  <c r="N2579" i="4"/>
  <c r="N2581" i="4"/>
  <c r="N2583" i="4"/>
  <c r="N2585" i="4"/>
  <c r="N2587" i="4"/>
  <c r="R2608" i="4"/>
  <c r="P2608" i="4"/>
  <c r="R2609" i="4"/>
  <c r="O2643" i="4"/>
  <c r="N2643" i="4"/>
  <c r="O2660" i="4"/>
  <c r="N2660" i="4"/>
  <c r="O2667" i="4"/>
  <c r="N2667" i="4"/>
  <c r="P2727" i="4"/>
  <c r="R2727" i="4"/>
  <c r="P2791" i="4"/>
  <c r="R2791" i="4"/>
  <c r="R2377" i="4"/>
  <c r="P2380" i="4"/>
  <c r="R2385" i="4"/>
  <c r="P2388" i="4"/>
  <c r="R2393" i="4"/>
  <c r="P2396" i="4"/>
  <c r="R2401" i="4"/>
  <c r="P2404" i="4"/>
  <c r="R2409" i="4"/>
  <c r="P2412" i="4"/>
  <c r="R2417" i="4"/>
  <c r="P2420" i="4"/>
  <c r="R2425" i="4"/>
  <c r="P2428" i="4"/>
  <c r="R2433" i="4"/>
  <c r="P2436" i="4"/>
  <c r="R2441" i="4"/>
  <c r="P2444" i="4"/>
  <c r="R2449" i="4"/>
  <c r="P2452" i="4"/>
  <c r="R2457" i="4"/>
  <c r="P2460" i="4"/>
  <c r="R2465" i="4"/>
  <c r="P2468" i="4"/>
  <c r="R2473" i="4"/>
  <c r="P2476" i="4"/>
  <c r="O2506" i="4"/>
  <c r="N2506" i="4"/>
  <c r="O2510" i="4"/>
  <c r="N2510" i="4"/>
  <c r="O2514" i="4"/>
  <c r="N2514" i="4"/>
  <c r="O2518" i="4"/>
  <c r="N2518" i="4"/>
  <c r="O2522" i="4"/>
  <c r="N2522" i="4"/>
  <c r="O2526" i="4"/>
  <c r="N2526" i="4"/>
  <c r="O2530" i="4"/>
  <c r="N2530" i="4"/>
  <c r="O2534" i="4"/>
  <c r="N2534" i="4"/>
  <c r="O2538" i="4"/>
  <c r="N2538" i="4"/>
  <c r="O2542" i="4"/>
  <c r="N2542" i="4"/>
  <c r="O2546" i="4"/>
  <c r="N2546" i="4"/>
  <c r="O2550" i="4"/>
  <c r="N2550" i="4"/>
  <c r="O2554" i="4"/>
  <c r="N2554" i="4"/>
  <c r="R2616" i="4"/>
  <c r="P2616" i="4"/>
  <c r="R2617" i="4"/>
  <c r="O2655" i="4"/>
  <c r="N2655" i="4"/>
  <c r="O2665" i="4"/>
  <c r="N2665" i="4"/>
  <c r="P2743" i="4"/>
  <c r="R2743" i="4"/>
  <c r="R2379" i="4"/>
  <c r="R2387" i="4"/>
  <c r="R2395" i="4"/>
  <c r="R2403" i="4"/>
  <c r="R2411" i="4"/>
  <c r="R2419" i="4"/>
  <c r="R2427" i="4"/>
  <c r="R2435" i="4"/>
  <c r="R2443" i="4"/>
  <c r="R2451" i="4"/>
  <c r="R2459" i="4"/>
  <c r="R2467" i="4"/>
  <c r="R2475" i="4"/>
  <c r="O2556" i="4"/>
  <c r="N2556" i="4"/>
  <c r="R2592" i="4"/>
  <c r="P2592" i="4"/>
  <c r="O2593" i="4"/>
  <c r="N2593" i="4"/>
  <c r="R2624" i="4"/>
  <c r="P2624" i="4"/>
  <c r="O2625" i="4"/>
  <c r="N2625" i="4"/>
  <c r="O2651" i="4"/>
  <c r="N2651" i="4"/>
  <c r="O2663" i="4"/>
  <c r="N2663" i="4"/>
  <c r="P2695" i="4"/>
  <c r="R2695" i="4"/>
  <c r="P2759" i="4"/>
  <c r="R2759" i="4"/>
  <c r="P2590" i="4"/>
  <c r="R2595" i="4"/>
  <c r="P2598" i="4"/>
  <c r="R2603" i="4"/>
  <c r="P2606" i="4"/>
  <c r="R2611" i="4"/>
  <c r="P2614" i="4"/>
  <c r="R2619" i="4"/>
  <c r="P2622" i="4"/>
  <c r="R2627" i="4"/>
  <c r="R2629" i="4"/>
  <c r="R2631" i="4"/>
  <c r="R2633" i="4"/>
  <c r="R2635" i="4"/>
  <c r="R2637" i="4"/>
  <c r="R2639" i="4"/>
  <c r="R2641" i="4"/>
  <c r="O2644" i="4"/>
  <c r="N2644" i="4"/>
  <c r="O2648" i="4"/>
  <c r="N2648" i="4"/>
  <c r="O2652" i="4"/>
  <c r="N2652" i="4"/>
  <c r="O2656" i="4"/>
  <c r="N2656" i="4"/>
  <c r="N2659" i="4"/>
  <c r="P2699" i="4"/>
  <c r="R2699" i="4"/>
  <c r="P2715" i="4"/>
  <c r="R2715" i="4"/>
  <c r="P2731" i="4"/>
  <c r="R2731" i="4"/>
  <c r="P2747" i="4"/>
  <c r="R2747" i="4"/>
  <c r="P2763" i="4"/>
  <c r="R2763" i="4"/>
  <c r="P2779" i="4"/>
  <c r="R2779" i="4"/>
  <c r="P2803" i="4"/>
  <c r="R2803" i="4"/>
  <c r="N2808" i="4"/>
  <c r="O2808" i="4"/>
  <c r="R2589" i="4"/>
  <c r="R2597" i="4"/>
  <c r="R2605" i="4"/>
  <c r="R2613" i="4"/>
  <c r="R2621" i="4"/>
  <c r="P2703" i="4"/>
  <c r="R2703" i="4"/>
  <c r="P2719" i="4"/>
  <c r="R2719" i="4"/>
  <c r="P2735" i="4"/>
  <c r="R2735" i="4"/>
  <c r="P2751" i="4"/>
  <c r="R2751" i="4"/>
  <c r="P2767" i="4"/>
  <c r="R2767" i="4"/>
  <c r="P2783" i="4"/>
  <c r="R2783" i="4"/>
  <c r="P2795" i="4"/>
  <c r="R2795" i="4"/>
  <c r="N2800" i="4"/>
  <c r="O2800" i="4"/>
  <c r="R2591" i="4"/>
  <c r="R2599" i="4"/>
  <c r="R2607" i="4"/>
  <c r="R2615" i="4"/>
  <c r="R2623" i="4"/>
  <c r="O2646" i="4"/>
  <c r="N2646" i="4"/>
  <c r="O2650" i="4"/>
  <c r="N2650" i="4"/>
  <c r="O2654" i="4"/>
  <c r="N2654" i="4"/>
  <c r="O2658" i="4"/>
  <c r="N2658" i="4"/>
  <c r="R2679" i="4"/>
  <c r="P2679" i="4"/>
  <c r="O2680" i="4"/>
  <c r="N2680" i="4"/>
  <c r="P2691" i="4"/>
  <c r="R2691" i="4"/>
  <c r="P2707" i="4"/>
  <c r="R2707" i="4"/>
  <c r="P2723" i="4"/>
  <c r="R2723" i="4"/>
  <c r="P2739" i="4"/>
  <c r="R2739" i="4"/>
  <c r="P2755" i="4"/>
  <c r="R2755" i="4"/>
  <c r="P2771" i="4"/>
  <c r="R2771" i="4"/>
  <c r="P2787" i="4"/>
  <c r="R2787" i="4"/>
  <c r="R2674" i="4"/>
  <c r="P2677" i="4"/>
  <c r="R2682" i="4"/>
  <c r="P2685" i="4"/>
  <c r="R2690" i="4"/>
  <c r="P2690" i="4"/>
  <c r="R2694" i="4"/>
  <c r="P2694" i="4"/>
  <c r="R2698" i="4"/>
  <c r="P2698" i="4"/>
  <c r="R2702" i="4"/>
  <c r="P2702" i="4"/>
  <c r="R2706" i="4"/>
  <c r="P2706" i="4"/>
  <c r="R2710" i="4"/>
  <c r="P2710" i="4"/>
  <c r="R2714" i="4"/>
  <c r="P2714" i="4"/>
  <c r="R2718" i="4"/>
  <c r="P2718" i="4"/>
  <c r="R2722" i="4"/>
  <c r="P2722" i="4"/>
  <c r="R2726" i="4"/>
  <c r="P2726" i="4"/>
  <c r="R2730" i="4"/>
  <c r="P2730" i="4"/>
  <c r="R2734" i="4"/>
  <c r="P2734" i="4"/>
  <c r="R2738" i="4"/>
  <c r="P2738" i="4"/>
  <c r="R2742" i="4"/>
  <c r="P2742" i="4"/>
  <c r="R2746" i="4"/>
  <c r="P2746" i="4"/>
  <c r="R2750" i="4"/>
  <c r="P2750" i="4"/>
  <c r="R2754" i="4"/>
  <c r="P2754" i="4"/>
  <c r="R2758" i="4"/>
  <c r="P2758" i="4"/>
  <c r="R2762" i="4"/>
  <c r="P2762" i="4"/>
  <c r="R2766" i="4"/>
  <c r="P2766" i="4"/>
  <c r="R2770" i="4"/>
  <c r="P2770" i="4"/>
  <c r="R2774" i="4"/>
  <c r="P2774" i="4"/>
  <c r="R2778" i="4"/>
  <c r="P2778" i="4"/>
  <c r="R2782" i="4"/>
  <c r="P2782" i="4"/>
  <c r="R2786" i="4"/>
  <c r="P2786" i="4"/>
  <c r="R2790" i="4"/>
  <c r="P2790" i="4"/>
  <c r="P2797" i="4"/>
  <c r="R2797" i="4"/>
  <c r="P2805" i="4"/>
  <c r="R2805" i="4"/>
  <c r="N2866" i="4"/>
  <c r="O2866" i="4"/>
  <c r="P2671" i="4"/>
  <c r="R2676" i="4"/>
  <c r="R2684" i="4"/>
  <c r="P2693" i="4"/>
  <c r="R2693" i="4"/>
  <c r="P2697" i="4"/>
  <c r="R2697" i="4"/>
  <c r="P2701" i="4"/>
  <c r="R2701" i="4"/>
  <c r="P2705" i="4"/>
  <c r="R2705" i="4"/>
  <c r="P2709" i="4"/>
  <c r="R2709" i="4"/>
  <c r="P2713" i="4"/>
  <c r="R2713" i="4"/>
  <c r="P2717" i="4"/>
  <c r="R2717" i="4"/>
  <c r="P2721" i="4"/>
  <c r="R2721" i="4"/>
  <c r="P2725" i="4"/>
  <c r="R2725" i="4"/>
  <c r="P2729" i="4"/>
  <c r="R2729" i="4"/>
  <c r="P2733" i="4"/>
  <c r="R2733" i="4"/>
  <c r="P2737" i="4"/>
  <c r="R2737" i="4"/>
  <c r="P2741" i="4"/>
  <c r="R2741" i="4"/>
  <c r="P2745" i="4"/>
  <c r="R2745" i="4"/>
  <c r="P2749" i="4"/>
  <c r="R2749" i="4"/>
  <c r="P2753" i="4"/>
  <c r="R2753" i="4"/>
  <c r="P2757" i="4"/>
  <c r="R2757" i="4"/>
  <c r="P2761" i="4"/>
  <c r="R2761" i="4"/>
  <c r="P2765" i="4"/>
  <c r="R2765" i="4"/>
  <c r="P2769" i="4"/>
  <c r="R2769" i="4"/>
  <c r="P2773" i="4"/>
  <c r="R2773" i="4"/>
  <c r="P2777" i="4"/>
  <c r="R2777" i="4"/>
  <c r="P2781" i="4"/>
  <c r="R2781" i="4"/>
  <c r="P2785" i="4"/>
  <c r="R2785" i="4"/>
  <c r="P2789" i="4"/>
  <c r="R2789" i="4"/>
  <c r="P2793" i="4"/>
  <c r="R2793" i="4"/>
  <c r="P2799" i="4"/>
  <c r="R2799" i="4"/>
  <c r="P2807" i="4"/>
  <c r="R2807" i="4"/>
  <c r="N2812" i="4"/>
  <c r="O2812" i="4"/>
  <c r="N2814" i="4"/>
  <c r="O2814" i="4"/>
  <c r="N2816" i="4"/>
  <c r="O2816" i="4"/>
  <c r="N2818" i="4"/>
  <c r="O2818" i="4"/>
  <c r="N2820" i="4"/>
  <c r="O2820" i="4"/>
  <c r="N2822" i="4"/>
  <c r="O2822" i="4"/>
  <c r="N2824" i="4"/>
  <c r="O2824" i="4"/>
  <c r="N2826" i="4"/>
  <c r="O2826" i="4"/>
  <c r="N2828" i="4"/>
  <c r="O2828" i="4"/>
  <c r="N2830" i="4"/>
  <c r="O2830" i="4"/>
  <c r="N2832" i="4"/>
  <c r="O2832" i="4"/>
  <c r="N2834" i="4"/>
  <c r="O2834" i="4"/>
  <c r="N2836" i="4"/>
  <c r="O2836" i="4"/>
  <c r="N2838" i="4"/>
  <c r="O2838" i="4"/>
  <c r="N2840" i="4"/>
  <c r="O2840" i="4"/>
  <c r="N2842" i="4"/>
  <c r="O2842" i="4"/>
  <c r="N2844" i="4"/>
  <c r="O2844" i="4"/>
  <c r="N2846" i="4"/>
  <c r="O2846" i="4"/>
  <c r="N2848" i="4"/>
  <c r="O2848" i="4"/>
  <c r="N2850" i="4"/>
  <c r="O2850" i="4"/>
  <c r="N2852" i="4"/>
  <c r="O2852" i="4"/>
  <c r="N2854" i="4"/>
  <c r="O2854" i="4"/>
  <c r="N2856" i="4"/>
  <c r="O2856" i="4"/>
  <c r="N2858" i="4"/>
  <c r="O2858" i="4"/>
  <c r="N2860" i="4"/>
  <c r="O2860" i="4"/>
  <c r="N2862" i="4"/>
  <c r="O2862" i="4"/>
  <c r="N2864" i="4"/>
  <c r="O2864" i="4"/>
  <c r="R2678" i="4"/>
  <c r="R2686" i="4"/>
  <c r="R2692" i="4"/>
  <c r="P2692" i="4"/>
  <c r="R2696" i="4"/>
  <c r="P2696" i="4"/>
  <c r="R2700" i="4"/>
  <c r="P2700" i="4"/>
  <c r="R2704" i="4"/>
  <c r="P2704" i="4"/>
  <c r="R2708" i="4"/>
  <c r="P2708" i="4"/>
  <c r="R2712" i="4"/>
  <c r="P2712" i="4"/>
  <c r="R2716" i="4"/>
  <c r="P2716" i="4"/>
  <c r="R2720" i="4"/>
  <c r="P2720" i="4"/>
  <c r="R2724" i="4"/>
  <c r="P2724" i="4"/>
  <c r="R2728" i="4"/>
  <c r="P2728" i="4"/>
  <c r="R2732" i="4"/>
  <c r="P2732" i="4"/>
  <c r="R2736" i="4"/>
  <c r="P2736" i="4"/>
  <c r="R2740" i="4"/>
  <c r="P2740" i="4"/>
  <c r="R2744" i="4"/>
  <c r="P2744" i="4"/>
  <c r="R2748" i="4"/>
  <c r="P2748" i="4"/>
  <c r="R2752" i="4"/>
  <c r="P2752" i="4"/>
  <c r="R2756" i="4"/>
  <c r="P2756" i="4"/>
  <c r="R2760" i="4"/>
  <c r="P2760" i="4"/>
  <c r="R2764" i="4"/>
  <c r="P2764" i="4"/>
  <c r="R2768" i="4"/>
  <c r="P2768" i="4"/>
  <c r="R2772" i="4"/>
  <c r="P2772" i="4"/>
  <c r="R2776" i="4"/>
  <c r="P2776" i="4"/>
  <c r="R2780" i="4"/>
  <c r="P2780" i="4"/>
  <c r="R2784" i="4"/>
  <c r="P2784" i="4"/>
  <c r="R2788" i="4"/>
  <c r="P2788" i="4"/>
  <c r="R2792" i="4"/>
  <c r="P2792" i="4"/>
  <c r="P2801" i="4"/>
  <c r="R2801" i="4"/>
  <c r="P2809" i="4"/>
  <c r="R2809" i="4"/>
  <c r="R2898" i="4"/>
  <c r="R2906" i="4"/>
  <c r="R2914" i="4"/>
  <c r="O2929" i="4"/>
  <c r="N2929" i="4"/>
  <c r="P2794" i="4"/>
  <c r="P2796" i="4"/>
  <c r="P2798" i="4"/>
  <c r="P2800" i="4"/>
  <c r="P2802" i="4"/>
  <c r="P2804" i="4"/>
  <c r="P2806" i="4"/>
  <c r="P2808" i="4"/>
  <c r="P2810" i="4"/>
  <c r="P2812" i="4"/>
  <c r="R2813" i="4"/>
  <c r="P2814" i="4"/>
  <c r="R2815" i="4"/>
  <c r="P2816" i="4"/>
  <c r="R2817" i="4"/>
  <c r="P2818" i="4"/>
  <c r="R2819" i="4"/>
  <c r="P2820" i="4"/>
  <c r="R2821" i="4"/>
  <c r="P2822" i="4"/>
  <c r="R2823" i="4"/>
  <c r="P2824" i="4"/>
  <c r="R2825" i="4"/>
  <c r="P2826" i="4"/>
  <c r="R2827" i="4"/>
  <c r="P2828" i="4"/>
  <c r="R2829" i="4"/>
  <c r="P2830" i="4"/>
  <c r="R2831" i="4"/>
  <c r="P2832" i="4"/>
  <c r="R2833" i="4"/>
  <c r="P2834" i="4"/>
  <c r="R2835" i="4"/>
  <c r="P2836" i="4"/>
  <c r="R2837" i="4"/>
  <c r="P2838" i="4"/>
  <c r="R2839" i="4"/>
  <c r="P2840" i="4"/>
  <c r="R2841" i="4"/>
  <c r="P2842" i="4"/>
  <c r="R2843" i="4"/>
  <c r="P2844" i="4"/>
  <c r="R2845" i="4"/>
  <c r="P2846" i="4"/>
  <c r="R2847" i="4"/>
  <c r="P2848" i="4"/>
  <c r="R2849" i="4"/>
  <c r="P2850" i="4"/>
  <c r="R2851" i="4"/>
  <c r="P2852" i="4"/>
  <c r="R2853" i="4"/>
  <c r="P2854" i="4"/>
  <c r="R2855" i="4"/>
  <c r="P2856" i="4"/>
  <c r="R2857" i="4"/>
  <c r="P2858" i="4"/>
  <c r="R2859" i="4"/>
  <c r="P2860" i="4"/>
  <c r="R2861" i="4"/>
  <c r="P2862" i="4"/>
  <c r="R2863" i="4"/>
  <c r="P2864" i="4"/>
  <c r="R2865" i="4"/>
  <c r="P2866" i="4"/>
  <c r="R2867" i="4"/>
  <c r="P2868" i="4"/>
  <c r="R2869" i="4"/>
  <c r="R2871" i="4"/>
  <c r="R2873" i="4"/>
  <c r="R2875" i="4"/>
  <c r="R2877" i="4"/>
  <c r="R2879" i="4"/>
  <c r="R2881" i="4"/>
  <c r="R2883" i="4"/>
  <c r="R2885" i="4"/>
  <c r="R2887" i="4"/>
  <c r="R2889" i="4"/>
  <c r="R2891" i="4"/>
  <c r="R2893" i="4"/>
  <c r="R2895" i="4"/>
  <c r="O2897" i="4"/>
  <c r="R2900" i="4"/>
  <c r="P2903" i="4"/>
  <c r="O2905" i="4"/>
  <c r="R2908" i="4"/>
  <c r="P2911" i="4"/>
  <c r="O2913" i="4"/>
  <c r="R2916" i="4"/>
  <c r="P2919" i="4"/>
  <c r="N2928" i="4"/>
  <c r="R2931" i="4"/>
  <c r="P2931" i="4"/>
  <c r="R2932" i="4"/>
  <c r="P2897" i="4"/>
  <c r="O2899" i="4"/>
  <c r="R2902" i="4"/>
  <c r="P2905" i="4"/>
  <c r="O2907" i="4"/>
  <c r="R2910" i="4"/>
  <c r="P2913" i="4"/>
  <c r="O2915" i="4"/>
  <c r="R2918" i="4"/>
  <c r="R2920" i="4"/>
  <c r="R2922" i="4"/>
  <c r="R2924" i="4"/>
  <c r="O2927" i="4"/>
  <c r="N2927" i="4"/>
  <c r="R2939" i="4"/>
  <c r="P2939" i="4"/>
  <c r="R2940" i="4"/>
  <c r="R2904" i="4"/>
  <c r="R2912" i="4"/>
  <c r="R2947" i="4"/>
  <c r="P2947" i="4"/>
  <c r="O2948" i="4"/>
  <c r="N2948" i="4"/>
  <c r="P2952" i="4"/>
  <c r="R2952" i="4"/>
  <c r="P2956" i="4"/>
  <c r="R2956" i="4"/>
  <c r="P2960" i="4"/>
  <c r="R2960" i="4"/>
  <c r="P2964" i="4"/>
  <c r="R2964" i="4"/>
  <c r="P2968" i="4"/>
  <c r="R2968" i="4"/>
  <c r="P2972" i="4"/>
  <c r="R2972" i="4"/>
  <c r="P2976" i="4"/>
  <c r="R2976" i="4"/>
  <c r="P2980" i="4"/>
  <c r="R2980" i="4"/>
  <c r="P2984" i="4"/>
  <c r="R2984" i="4"/>
  <c r="P2988" i="4"/>
  <c r="R2988" i="4"/>
  <c r="P2992" i="4"/>
  <c r="R2992" i="4"/>
  <c r="P2996" i="4"/>
  <c r="R2996" i="4"/>
  <c r="P3000" i="4"/>
  <c r="R3000" i="4"/>
  <c r="R3003" i="4"/>
  <c r="P3003" i="4"/>
  <c r="R3011" i="4"/>
  <c r="P3011" i="4"/>
  <c r="N3039" i="4"/>
  <c r="O3039" i="4"/>
  <c r="R2934" i="4"/>
  <c r="P2937" i="4"/>
  <c r="R2942" i="4"/>
  <c r="P2945" i="4"/>
  <c r="P2950" i="4"/>
  <c r="R2950" i="4"/>
  <c r="R2951" i="4"/>
  <c r="P2951" i="4"/>
  <c r="R2955" i="4"/>
  <c r="P2955" i="4"/>
  <c r="R2959" i="4"/>
  <c r="P2959" i="4"/>
  <c r="R2963" i="4"/>
  <c r="P2963" i="4"/>
  <c r="R2967" i="4"/>
  <c r="P2967" i="4"/>
  <c r="R2971" i="4"/>
  <c r="P2971" i="4"/>
  <c r="R2975" i="4"/>
  <c r="P2975" i="4"/>
  <c r="R2979" i="4"/>
  <c r="P2979" i="4"/>
  <c r="R2983" i="4"/>
  <c r="P2983" i="4"/>
  <c r="R2987" i="4"/>
  <c r="P2987" i="4"/>
  <c r="R2991" i="4"/>
  <c r="P2991" i="4"/>
  <c r="R2995" i="4"/>
  <c r="P2995" i="4"/>
  <c r="R2999" i="4"/>
  <c r="P2999" i="4"/>
  <c r="R3005" i="4"/>
  <c r="P3005" i="4"/>
  <c r="R3013" i="4"/>
  <c r="P3013" i="4"/>
  <c r="N3015" i="4"/>
  <c r="O3015" i="4"/>
  <c r="N3017" i="4"/>
  <c r="O3017" i="4"/>
  <c r="N3019" i="4"/>
  <c r="O3019" i="4"/>
  <c r="N3021" i="4"/>
  <c r="O3021" i="4"/>
  <c r="N3023" i="4"/>
  <c r="O3023" i="4"/>
  <c r="N3025" i="4"/>
  <c r="O3025" i="4"/>
  <c r="N3027" i="4"/>
  <c r="O3027" i="4"/>
  <c r="N3029" i="4"/>
  <c r="O3029" i="4"/>
  <c r="N3031" i="4"/>
  <c r="O3031" i="4"/>
  <c r="N3033" i="4"/>
  <c r="O3033" i="4"/>
  <c r="N3035" i="4"/>
  <c r="O3035" i="4"/>
  <c r="N3037" i="4"/>
  <c r="O3037" i="4"/>
  <c r="N3043" i="4"/>
  <c r="O3043" i="4"/>
  <c r="N3047" i="4"/>
  <c r="O3047" i="4"/>
  <c r="N3051" i="4"/>
  <c r="O3051" i="4"/>
  <c r="N3055" i="4"/>
  <c r="O3055" i="4"/>
  <c r="N3059" i="4"/>
  <c r="O3059" i="4"/>
  <c r="N3063" i="4"/>
  <c r="O3063" i="4"/>
  <c r="O2933" i="4"/>
  <c r="R2936" i="4"/>
  <c r="O2941" i="4"/>
  <c r="R2944" i="4"/>
  <c r="O2949" i="4"/>
  <c r="P2954" i="4"/>
  <c r="R2954" i="4"/>
  <c r="P2958" i="4"/>
  <c r="R2958" i="4"/>
  <c r="P2962" i="4"/>
  <c r="R2962" i="4"/>
  <c r="P2966" i="4"/>
  <c r="R2966" i="4"/>
  <c r="P2970" i="4"/>
  <c r="R2970" i="4"/>
  <c r="P2974" i="4"/>
  <c r="R2974" i="4"/>
  <c r="P2978" i="4"/>
  <c r="R2978" i="4"/>
  <c r="P2982" i="4"/>
  <c r="R2982" i="4"/>
  <c r="P2986" i="4"/>
  <c r="R2986" i="4"/>
  <c r="P2990" i="4"/>
  <c r="R2990" i="4"/>
  <c r="P2994" i="4"/>
  <c r="R2994" i="4"/>
  <c r="P2998" i="4"/>
  <c r="R2998" i="4"/>
  <c r="R3007" i="4"/>
  <c r="P3007" i="4"/>
  <c r="R2930" i="4"/>
  <c r="R2938" i="4"/>
  <c r="R2946" i="4"/>
  <c r="R2953" i="4"/>
  <c r="P2953" i="4"/>
  <c r="R2957" i="4"/>
  <c r="P2957" i="4"/>
  <c r="R2961" i="4"/>
  <c r="P2961" i="4"/>
  <c r="R2965" i="4"/>
  <c r="P2965" i="4"/>
  <c r="R2969" i="4"/>
  <c r="P2969" i="4"/>
  <c r="R2973" i="4"/>
  <c r="P2973" i="4"/>
  <c r="R2977" i="4"/>
  <c r="P2977" i="4"/>
  <c r="R2981" i="4"/>
  <c r="P2981" i="4"/>
  <c r="R2985" i="4"/>
  <c r="P2985" i="4"/>
  <c r="R2989" i="4"/>
  <c r="P2989" i="4"/>
  <c r="R2993" i="4"/>
  <c r="P2993" i="4"/>
  <c r="R2997" i="4"/>
  <c r="P2997" i="4"/>
  <c r="R3001" i="4"/>
  <c r="P3001" i="4"/>
  <c r="R3009" i="4"/>
  <c r="P3009" i="4"/>
  <c r="N3041" i="4"/>
  <c r="O3041" i="4"/>
  <c r="N3045" i="4"/>
  <c r="O3045" i="4"/>
  <c r="N3049" i="4"/>
  <c r="O3049" i="4"/>
  <c r="N3053" i="4"/>
  <c r="O3053" i="4"/>
  <c r="N3057" i="4"/>
  <c r="O3057" i="4"/>
  <c r="N3061" i="4"/>
  <c r="O3061" i="4"/>
  <c r="P3066" i="4"/>
  <c r="O3068" i="4"/>
  <c r="R3071" i="4"/>
  <c r="R3074" i="4"/>
  <c r="P3074" i="4"/>
  <c r="R3078" i="4"/>
  <c r="P3078" i="4"/>
  <c r="R3082" i="4"/>
  <c r="P3082" i="4"/>
  <c r="R3086" i="4"/>
  <c r="P3086" i="4"/>
  <c r="R3090" i="4"/>
  <c r="P3090" i="4"/>
  <c r="R3094" i="4"/>
  <c r="P3094" i="4"/>
  <c r="R3098" i="4"/>
  <c r="P3098" i="4"/>
  <c r="R3102" i="4"/>
  <c r="P3102" i="4"/>
  <c r="R3106" i="4"/>
  <c r="P3106" i="4"/>
  <c r="R3110" i="4"/>
  <c r="P3110" i="4"/>
  <c r="R3114" i="4"/>
  <c r="P3114" i="4"/>
  <c r="R3118" i="4"/>
  <c r="P3118" i="4"/>
  <c r="P3121" i="4"/>
  <c r="R3121" i="4"/>
  <c r="P3129" i="4"/>
  <c r="R3129" i="4"/>
  <c r="P3137" i="4"/>
  <c r="R3137" i="4"/>
  <c r="P3145" i="4"/>
  <c r="R3145" i="4"/>
  <c r="P3153" i="4"/>
  <c r="R3153" i="4"/>
  <c r="O3156" i="4"/>
  <c r="N3166" i="4"/>
  <c r="O3166" i="4"/>
  <c r="R3002" i="4"/>
  <c r="R3004" i="4"/>
  <c r="R3006" i="4"/>
  <c r="R3008" i="4"/>
  <c r="R3010" i="4"/>
  <c r="R3012" i="4"/>
  <c r="R3014" i="4"/>
  <c r="P3015" i="4"/>
  <c r="R3016" i="4"/>
  <c r="P3017" i="4"/>
  <c r="R3018" i="4"/>
  <c r="P3019" i="4"/>
  <c r="R3020" i="4"/>
  <c r="P3021" i="4"/>
  <c r="R3022" i="4"/>
  <c r="P3023" i="4"/>
  <c r="R3024" i="4"/>
  <c r="P3025" i="4"/>
  <c r="R3026" i="4"/>
  <c r="P3027" i="4"/>
  <c r="R3028" i="4"/>
  <c r="P3029" i="4"/>
  <c r="R3030" i="4"/>
  <c r="P3031" i="4"/>
  <c r="R3032" i="4"/>
  <c r="P3033" i="4"/>
  <c r="R3034" i="4"/>
  <c r="P3035" i="4"/>
  <c r="R3036" i="4"/>
  <c r="P3037" i="4"/>
  <c r="R3038" i="4"/>
  <c r="P3039" i="4"/>
  <c r="R3040" i="4"/>
  <c r="P3041" i="4"/>
  <c r="P3043" i="4"/>
  <c r="P3045" i="4"/>
  <c r="P3047" i="4"/>
  <c r="P3049" i="4"/>
  <c r="P3051" i="4"/>
  <c r="P3053" i="4"/>
  <c r="P3055" i="4"/>
  <c r="P3057" i="4"/>
  <c r="P3059" i="4"/>
  <c r="P3061" i="4"/>
  <c r="P3063" i="4"/>
  <c r="R3065" i="4"/>
  <c r="P3073" i="4"/>
  <c r="R3073" i="4"/>
  <c r="P3077" i="4"/>
  <c r="R3077" i="4"/>
  <c r="P3081" i="4"/>
  <c r="R3081" i="4"/>
  <c r="P3085" i="4"/>
  <c r="R3085" i="4"/>
  <c r="P3089" i="4"/>
  <c r="R3089" i="4"/>
  <c r="P3093" i="4"/>
  <c r="R3093" i="4"/>
  <c r="P3097" i="4"/>
  <c r="R3097" i="4"/>
  <c r="P3101" i="4"/>
  <c r="R3101" i="4"/>
  <c r="P3105" i="4"/>
  <c r="R3105" i="4"/>
  <c r="P3109" i="4"/>
  <c r="R3109" i="4"/>
  <c r="P3113" i="4"/>
  <c r="R3113" i="4"/>
  <c r="P3117" i="4"/>
  <c r="R3117" i="4"/>
  <c r="P3123" i="4"/>
  <c r="R3123" i="4"/>
  <c r="P3131" i="4"/>
  <c r="R3131" i="4"/>
  <c r="P3139" i="4"/>
  <c r="R3139" i="4"/>
  <c r="P3147" i="4"/>
  <c r="R3147" i="4"/>
  <c r="P3155" i="4"/>
  <c r="R3155" i="4"/>
  <c r="N3160" i="4"/>
  <c r="O3160" i="4"/>
  <c r="N3162" i="4"/>
  <c r="O3162" i="4"/>
  <c r="N3164" i="4"/>
  <c r="O3164" i="4"/>
  <c r="R3067" i="4"/>
  <c r="O3072" i="4"/>
  <c r="R3076" i="4"/>
  <c r="P3076" i="4"/>
  <c r="R3080" i="4"/>
  <c r="P3080" i="4"/>
  <c r="R3084" i="4"/>
  <c r="P3084" i="4"/>
  <c r="R3088" i="4"/>
  <c r="P3088" i="4"/>
  <c r="R3092" i="4"/>
  <c r="P3092" i="4"/>
  <c r="R3096" i="4"/>
  <c r="P3096" i="4"/>
  <c r="R3100" i="4"/>
  <c r="P3100" i="4"/>
  <c r="R3104" i="4"/>
  <c r="P3104" i="4"/>
  <c r="R3108" i="4"/>
  <c r="P3108" i="4"/>
  <c r="R3112" i="4"/>
  <c r="P3112" i="4"/>
  <c r="R3116" i="4"/>
  <c r="P3116" i="4"/>
  <c r="O3120" i="4"/>
  <c r="P3125" i="4"/>
  <c r="R3125" i="4"/>
  <c r="O3128" i="4"/>
  <c r="P3133" i="4"/>
  <c r="R3133" i="4"/>
  <c r="O3136" i="4"/>
  <c r="P3141" i="4"/>
  <c r="R3141" i="4"/>
  <c r="O3144" i="4"/>
  <c r="P3149" i="4"/>
  <c r="R3149" i="4"/>
  <c r="O3152" i="4"/>
  <c r="P3157" i="4"/>
  <c r="R3157" i="4"/>
  <c r="P3064" i="4"/>
  <c r="O3066" i="4"/>
  <c r="R3069" i="4"/>
  <c r="P3072" i="4"/>
  <c r="P3075" i="4"/>
  <c r="R3075" i="4"/>
  <c r="P3079" i="4"/>
  <c r="R3079" i="4"/>
  <c r="P3083" i="4"/>
  <c r="R3083" i="4"/>
  <c r="P3087" i="4"/>
  <c r="R3087" i="4"/>
  <c r="P3091" i="4"/>
  <c r="R3091" i="4"/>
  <c r="P3095" i="4"/>
  <c r="R3095" i="4"/>
  <c r="P3099" i="4"/>
  <c r="R3099" i="4"/>
  <c r="P3103" i="4"/>
  <c r="R3103" i="4"/>
  <c r="P3107" i="4"/>
  <c r="R3107" i="4"/>
  <c r="P3111" i="4"/>
  <c r="R3111" i="4"/>
  <c r="P3115" i="4"/>
  <c r="R3115" i="4"/>
  <c r="P3119" i="4"/>
  <c r="R3119" i="4"/>
  <c r="O3122" i="4"/>
  <c r="P3127" i="4"/>
  <c r="R3127" i="4"/>
  <c r="O3130" i="4"/>
  <c r="P3135" i="4"/>
  <c r="R3135" i="4"/>
  <c r="O3138" i="4"/>
  <c r="P3143" i="4"/>
  <c r="R3143" i="4"/>
  <c r="O3146" i="4"/>
  <c r="P3151" i="4"/>
  <c r="R3151" i="4"/>
  <c r="O3154" i="4"/>
  <c r="P3159" i="4"/>
  <c r="R3159" i="4"/>
  <c r="R3176" i="4"/>
  <c r="P3178" i="4"/>
  <c r="R3178" i="4"/>
  <c r="P3182" i="4"/>
  <c r="R3182" i="4"/>
  <c r="P3186" i="4"/>
  <c r="R3186" i="4"/>
  <c r="P3190" i="4"/>
  <c r="R3190" i="4"/>
  <c r="P3194" i="4"/>
  <c r="R3194" i="4"/>
  <c r="P3198" i="4"/>
  <c r="R3198" i="4"/>
  <c r="P3206" i="4"/>
  <c r="R3206" i="4"/>
  <c r="R3217" i="4"/>
  <c r="P3217" i="4"/>
  <c r="O3218" i="4"/>
  <c r="N3218" i="4"/>
  <c r="R3225" i="4"/>
  <c r="P3225" i="4"/>
  <c r="O3226" i="4"/>
  <c r="N3226" i="4"/>
  <c r="R3233" i="4"/>
  <c r="P3233" i="4"/>
  <c r="R3257" i="4"/>
  <c r="P3257" i="4"/>
  <c r="O3258" i="4"/>
  <c r="N3258" i="4"/>
  <c r="O3264" i="4"/>
  <c r="N3264" i="4"/>
  <c r="P3120" i="4"/>
  <c r="P3122" i="4"/>
  <c r="P3124" i="4"/>
  <c r="P3126" i="4"/>
  <c r="P3128" i="4"/>
  <c r="P3130" i="4"/>
  <c r="P3132" i="4"/>
  <c r="P3134" i="4"/>
  <c r="P3136" i="4"/>
  <c r="P3138" i="4"/>
  <c r="P3140" i="4"/>
  <c r="P3142" i="4"/>
  <c r="P3144" i="4"/>
  <c r="P3146" i="4"/>
  <c r="P3148" i="4"/>
  <c r="P3150" i="4"/>
  <c r="P3152" i="4"/>
  <c r="P3154" i="4"/>
  <c r="P3156" i="4"/>
  <c r="P3158" i="4"/>
  <c r="P3160" i="4"/>
  <c r="R3161" i="4"/>
  <c r="P3162" i="4"/>
  <c r="R3163" i="4"/>
  <c r="P3164" i="4"/>
  <c r="R3165" i="4"/>
  <c r="R3167" i="4"/>
  <c r="R3169" i="4"/>
  <c r="R3171" i="4"/>
  <c r="P3173" i="4"/>
  <c r="O3175" i="4"/>
  <c r="R3177" i="4"/>
  <c r="P3177" i="4"/>
  <c r="R3181" i="4"/>
  <c r="P3181" i="4"/>
  <c r="R3185" i="4"/>
  <c r="P3185" i="4"/>
  <c r="R3189" i="4"/>
  <c r="P3189" i="4"/>
  <c r="R3193" i="4"/>
  <c r="P3193" i="4"/>
  <c r="R3197" i="4"/>
  <c r="P3197" i="4"/>
  <c r="P3200" i="4"/>
  <c r="R3200" i="4"/>
  <c r="O3203" i="4"/>
  <c r="O3230" i="4"/>
  <c r="N3230" i="4"/>
  <c r="R3247" i="4"/>
  <c r="P3247" i="4"/>
  <c r="R3172" i="4"/>
  <c r="P3175" i="4"/>
  <c r="P3180" i="4"/>
  <c r="R3180" i="4"/>
  <c r="P3184" i="4"/>
  <c r="R3184" i="4"/>
  <c r="P3188" i="4"/>
  <c r="R3188" i="4"/>
  <c r="P3192" i="4"/>
  <c r="R3192" i="4"/>
  <c r="P3196" i="4"/>
  <c r="R3196" i="4"/>
  <c r="P3202" i="4"/>
  <c r="R3202" i="4"/>
  <c r="R3241" i="4"/>
  <c r="P3241" i="4"/>
  <c r="P3256" i="4"/>
  <c r="R3256" i="4"/>
  <c r="R3174" i="4"/>
  <c r="R3179" i="4"/>
  <c r="P3179" i="4"/>
  <c r="R3183" i="4"/>
  <c r="P3183" i="4"/>
  <c r="R3187" i="4"/>
  <c r="P3187" i="4"/>
  <c r="R3191" i="4"/>
  <c r="P3191" i="4"/>
  <c r="R3195" i="4"/>
  <c r="P3195" i="4"/>
  <c r="P3204" i="4"/>
  <c r="R3204" i="4"/>
  <c r="R3209" i="4"/>
  <c r="P3209" i="4"/>
  <c r="O3210" i="4"/>
  <c r="N3210" i="4"/>
  <c r="O3238" i="4"/>
  <c r="N3238" i="4"/>
  <c r="P3199" i="4"/>
  <c r="P3201" i="4"/>
  <c r="P3203" i="4"/>
  <c r="P3205" i="4"/>
  <c r="P3207" i="4"/>
  <c r="R3212" i="4"/>
  <c r="R3220" i="4"/>
  <c r="R3228" i="4"/>
  <c r="O3231" i="4"/>
  <c r="N3231" i="4"/>
  <c r="O3239" i="4"/>
  <c r="N3239" i="4"/>
  <c r="R3255" i="4"/>
  <c r="P3255" i="4"/>
  <c r="R3265" i="4"/>
  <c r="P3265" i="4"/>
  <c r="P3267" i="4"/>
  <c r="R3267" i="4"/>
  <c r="R3270" i="4"/>
  <c r="P3270" i="4"/>
  <c r="P3275" i="4"/>
  <c r="R3275" i="4"/>
  <c r="R3278" i="4"/>
  <c r="P3278" i="4"/>
  <c r="P3283" i="4"/>
  <c r="R3283" i="4"/>
  <c r="R3286" i="4"/>
  <c r="P3286" i="4"/>
  <c r="P3291" i="4"/>
  <c r="R3291" i="4"/>
  <c r="R3294" i="4"/>
  <c r="P3294" i="4"/>
  <c r="P3299" i="4"/>
  <c r="R3299" i="4"/>
  <c r="R3214" i="4"/>
  <c r="R3222" i="4"/>
  <c r="O3227" i="4"/>
  <c r="O3229" i="4"/>
  <c r="N3229" i="4"/>
  <c r="P3231" i="4"/>
  <c r="N3236" i="4"/>
  <c r="O3237" i="4"/>
  <c r="N3237" i="4"/>
  <c r="P3239" i="4"/>
  <c r="N3244" i="4"/>
  <c r="O3245" i="4"/>
  <c r="N3245" i="4"/>
  <c r="R3248" i="4"/>
  <c r="R3263" i="4"/>
  <c r="P3263" i="4"/>
  <c r="R3208" i="4"/>
  <c r="P3211" i="4"/>
  <c r="O3213" i="4"/>
  <c r="R3216" i="4"/>
  <c r="P3219" i="4"/>
  <c r="O3221" i="4"/>
  <c r="R3224" i="4"/>
  <c r="P3227" i="4"/>
  <c r="O3235" i="4"/>
  <c r="N3235" i="4"/>
  <c r="O3243" i="4"/>
  <c r="N3243" i="4"/>
  <c r="R3249" i="4"/>
  <c r="P3249" i="4"/>
  <c r="R3250" i="4"/>
  <c r="R3266" i="4"/>
  <c r="P3266" i="4"/>
  <c r="P3271" i="4"/>
  <c r="R3271" i="4"/>
  <c r="R3274" i="4"/>
  <c r="P3274" i="4"/>
  <c r="P3279" i="4"/>
  <c r="R3279" i="4"/>
  <c r="R3282" i="4"/>
  <c r="P3282" i="4"/>
  <c r="P3287" i="4"/>
  <c r="R3287" i="4"/>
  <c r="R3290" i="4"/>
  <c r="P3290" i="4"/>
  <c r="P3295" i="4"/>
  <c r="R3295" i="4"/>
  <c r="R3298" i="4"/>
  <c r="P3298" i="4"/>
  <c r="R3252" i="4"/>
  <c r="R3260" i="4"/>
  <c r="P3269" i="4"/>
  <c r="R3269" i="4"/>
  <c r="P3273" i="4"/>
  <c r="R3273" i="4"/>
  <c r="P3277" i="4"/>
  <c r="R3277" i="4"/>
  <c r="P3281" i="4"/>
  <c r="R3281" i="4"/>
  <c r="P3285" i="4"/>
  <c r="R3285" i="4"/>
  <c r="P3289" i="4"/>
  <c r="R3289" i="4"/>
  <c r="P3293" i="4"/>
  <c r="R3293" i="4"/>
  <c r="P3297" i="4"/>
  <c r="R3297" i="4"/>
  <c r="O3301" i="4"/>
  <c r="N3301" i="4"/>
  <c r="R3246" i="4"/>
  <c r="R3254" i="4"/>
  <c r="R3262" i="4"/>
  <c r="R3268" i="4"/>
  <c r="P3268" i="4"/>
  <c r="R3272" i="4"/>
  <c r="P3272" i="4"/>
  <c r="R3276" i="4"/>
  <c r="P3276" i="4"/>
  <c r="R3280" i="4"/>
  <c r="P3280" i="4"/>
  <c r="R3284" i="4"/>
  <c r="P3284" i="4"/>
  <c r="R3288" i="4"/>
  <c r="P3288" i="4"/>
  <c r="R3292" i="4"/>
  <c r="P3292" i="4"/>
  <c r="R3296" i="4"/>
  <c r="P3296" i="4"/>
  <c r="R3300" i="4"/>
  <c r="P3300" i="4"/>
  <c r="P3301" i="4"/>
  <c r="N3276" i="4" l="1"/>
  <c r="O3276" i="4"/>
  <c r="N3285" i="4"/>
  <c r="O3285" i="4"/>
  <c r="N3249" i="4"/>
  <c r="O3249" i="4"/>
  <c r="O3208" i="4"/>
  <c r="N3208" i="4"/>
  <c r="N3214" i="4"/>
  <c r="O3214" i="4"/>
  <c r="N3294" i="4"/>
  <c r="O3294" i="4"/>
  <c r="N3286" i="4"/>
  <c r="O3286" i="4"/>
  <c r="N3278" i="4"/>
  <c r="O3278" i="4"/>
  <c r="N3270" i="4"/>
  <c r="O3270" i="4"/>
  <c r="N3265" i="4"/>
  <c r="O3265" i="4"/>
  <c r="O3220" i="4"/>
  <c r="N3220" i="4"/>
  <c r="N3209" i="4"/>
  <c r="O3209" i="4"/>
  <c r="N3195" i="4"/>
  <c r="O3195" i="4"/>
  <c r="N3187" i="4"/>
  <c r="O3187" i="4"/>
  <c r="N3179" i="4"/>
  <c r="O3179" i="4"/>
  <c r="N3196" i="4"/>
  <c r="O3196" i="4"/>
  <c r="N3188" i="4"/>
  <c r="O3188" i="4"/>
  <c r="N3180" i="4"/>
  <c r="O3180" i="4"/>
  <c r="N3197" i="4"/>
  <c r="O3197" i="4"/>
  <c r="N3189" i="4"/>
  <c r="O3189" i="4"/>
  <c r="N3181" i="4"/>
  <c r="O3181" i="4"/>
  <c r="O3165" i="4"/>
  <c r="N3165" i="4"/>
  <c r="O3161" i="4"/>
  <c r="N3161" i="4"/>
  <c r="O3198" i="4"/>
  <c r="N3198" i="4"/>
  <c r="N3190" i="4"/>
  <c r="O3190" i="4"/>
  <c r="N3182" i="4"/>
  <c r="O3182" i="4"/>
  <c r="O3176" i="4"/>
  <c r="N3176" i="4"/>
  <c r="O3151" i="4"/>
  <c r="N3151" i="4"/>
  <c r="O3119" i="4"/>
  <c r="N3119" i="4"/>
  <c r="N3111" i="4"/>
  <c r="O3111" i="4"/>
  <c r="N3103" i="4"/>
  <c r="O3103" i="4"/>
  <c r="N3095" i="4"/>
  <c r="O3095" i="4"/>
  <c r="N3087" i="4"/>
  <c r="O3087" i="4"/>
  <c r="N3079" i="4"/>
  <c r="O3079" i="4"/>
  <c r="O3157" i="4"/>
  <c r="N3157" i="4"/>
  <c r="O3125" i="4"/>
  <c r="N3125" i="4"/>
  <c r="N3116" i="4"/>
  <c r="O3116" i="4"/>
  <c r="N3108" i="4"/>
  <c r="O3108" i="4"/>
  <c r="N3100" i="4"/>
  <c r="O3100" i="4"/>
  <c r="N3092" i="4"/>
  <c r="O3092" i="4"/>
  <c r="N3084" i="4"/>
  <c r="O3084" i="4"/>
  <c r="N3076" i="4"/>
  <c r="O3076" i="4"/>
  <c r="O3040" i="4"/>
  <c r="N3040" i="4"/>
  <c r="O3036" i="4"/>
  <c r="N3036" i="4"/>
  <c r="O3032" i="4"/>
  <c r="N3032" i="4"/>
  <c r="O3028" i="4"/>
  <c r="N3028" i="4"/>
  <c r="O3024" i="4"/>
  <c r="N3024" i="4"/>
  <c r="O3020" i="4"/>
  <c r="N3020" i="4"/>
  <c r="O3016" i="4"/>
  <c r="N3016" i="4"/>
  <c r="N3010" i="4"/>
  <c r="O3010" i="4"/>
  <c r="N3002" i="4"/>
  <c r="O3002" i="4"/>
  <c r="O3153" i="4"/>
  <c r="N3153" i="4"/>
  <c r="O3137" i="4"/>
  <c r="N3137" i="4"/>
  <c r="O3121" i="4"/>
  <c r="N3121" i="4"/>
  <c r="N3001" i="4"/>
  <c r="O3001" i="4"/>
  <c r="N2993" i="4"/>
  <c r="O2993" i="4"/>
  <c r="N2985" i="4"/>
  <c r="O2985" i="4"/>
  <c r="N2977" i="4"/>
  <c r="O2977" i="4"/>
  <c r="N2969" i="4"/>
  <c r="O2969" i="4"/>
  <c r="N2961" i="4"/>
  <c r="O2961" i="4"/>
  <c r="N2953" i="4"/>
  <c r="O2953" i="4"/>
  <c r="N2994" i="4"/>
  <c r="O2994" i="4"/>
  <c r="N2986" i="4"/>
  <c r="O2986" i="4"/>
  <c r="N2978" i="4"/>
  <c r="O2978" i="4"/>
  <c r="N2970" i="4"/>
  <c r="O2970" i="4"/>
  <c r="N2962" i="4"/>
  <c r="O2962" i="4"/>
  <c r="N2954" i="4"/>
  <c r="O2954" i="4"/>
  <c r="N3013" i="4"/>
  <c r="O3013" i="4"/>
  <c r="N2999" i="4"/>
  <c r="O2999" i="4"/>
  <c r="N2991" i="4"/>
  <c r="O2991" i="4"/>
  <c r="N2983" i="4"/>
  <c r="O2983" i="4"/>
  <c r="N2975" i="4"/>
  <c r="O2975" i="4"/>
  <c r="N2967" i="4"/>
  <c r="O2967" i="4"/>
  <c r="N2959" i="4"/>
  <c r="O2959" i="4"/>
  <c r="N2951" i="4"/>
  <c r="O2951" i="4"/>
  <c r="O2942" i="4"/>
  <c r="N2942" i="4"/>
  <c r="N3003" i="4"/>
  <c r="O3003" i="4"/>
  <c r="O2904" i="4"/>
  <c r="N2904" i="4"/>
  <c r="O2920" i="4"/>
  <c r="N2920" i="4"/>
  <c r="N2910" i="4"/>
  <c r="O2910" i="4"/>
  <c r="N2931" i="4"/>
  <c r="O2931" i="4"/>
  <c r="O2893" i="4"/>
  <c r="N2893" i="4"/>
  <c r="O2885" i="4"/>
  <c r="N2885" i="4"/>
  <c r="O2877" i="4"/>
  <c r="N2877" i="4"/>
  <c r="O2869" i="4"/>
  <c r="N2869" i="4"/>
  <c r="O2865" i="4"/>
  <c r="N2865" i="4"/>
  <c r="O2861" i="4"/>
  <c r="N2861" i="4"/>
  <c r="O2857" i="4"/>
  <c r="N2857" i="4"/>
  <c r="O2853" i="4"/>
  <c r="N2853" i="4"/>
  <c r="O2849" i="4"/>
  <c r="N2849" i="4"/>
  <c r="O2845" i="4"/>
  <c r="N2845" i="4"/>
  <c r="O2841" i="4"/>
  <c r="N2841" i="4"/>
  <c r="O2837" i="4"/>
  <c r="N2837" i="4"/>
  <c r="O2833" i="4"/>
  <c r="N2833" i="4"/>
  <c r="O2829" i="4"/>
  <c r="N2829" i="4"/>
  <c r="O2825" i="4"/>
  <c r="N2825" i="4"/>
  <c r="O2821" i="4"/>
  <c r="N2821" i="4"/>
  <c r="O2817" i="4"/>
  <c r="N2817" i="4"/>
  <c r="O2813" i="4"/>
  <c r="N2813" i="4"/>
  <c r="O2809" i="4"/>
  <c r="N2809" i="4"/>
  <c r="O2686" i="4"/>
  <c r="N2686" i="4"/>
  <c r="O2807" i="4"/>
  <c r="N2807" i="4"/>
  <c r="N2793" i="4"/>
  <c r="O2793" i="4"/>
  <c r="N2785" i="4"/>
  <c r="O2785" i="4"/>
  <c r="N2777" i="4"/>
  <c r="O2777" i="4"/>
  <c r="N2769" i="4"/>
  <c r="O2769" i="4"/>
  <c r="N2761" i="4"/>
  <c r="O2761" i="4"/>
  <c r="N2753" i="4"/>
  <c r="O2753" i="4"/>
  <c r="N2745" i="4"/>
  <c r="O2745" i="4"/>
  <c r="N2737" i="4"/>
  <c r="O2737" i="4"/>
  <c r="N2729" i="4"/>
  <c r="O2729" i="4"/>
  <c r="N2721" i="4"/>
  <c r="O2721" i="4"/>
  <c r="N2713" i="4"/>
  <c r="O2713" i="4"/>
  <c r="N2705" i="4"/>
  <c r="O2705" i="4"/>
  <c r="N2697" i="4"/>
  <c r="O2697" i="4"/>
  <c r="N2684" i="4"/>
  <c r="O2684" i="4"/>
  <c r="N2786" i="4"/>
  <c r="O2786" i="4"/>
  <c r="N2778" i="4"/>
  <c r="O2778" i="4"/>
  <c r="N2770" i="4"/>
  <c r="O2770" i="4"/>
  <c r="N2762" i="4"/>
  <c r="O2762" i="4"/>
  <c r="N2754" i="4"/>
  <c r="O2754" i="4"/>
  <c r="N2746" i="4"/>
  <c r="O2746" i="4"/>
  <c r="N2738" i="4"/>
  <c r="O2738" i="4"/>
  <c r="N2730" i="4"/>
  <c r="O2730" i="4"/>
  <c r="N2722" i="4"/>
  <c r="O2722" i="4"/>
  <c r="N2714" i="4"/>
  <c r="O2714" i="4"/>
  <c r="N2706" i="4"/>
  <c r="O2706" i="4"/>
  <c r="N2698" i="4"/>
  <c r="O2698" i="4"/>
  <c r="N2690" i="4"/>
  <c r="O2690" i="4"/>
  <c r="O2674" i="4"/>
  <c r="N2674" i="4"/>
  <c r="O2615" i="4"/>
  <c r="N2615" i="4"/>
  <c r="N2783" i="4"/>
  <c r="O2783" i="4"/>
  <c r="N2751" i="4"/>
  <c r="O2751" i="4"/>
  <c r="N2719" i="4"/>
  <c r="O2719" i="4"/>
  <c r="N2621" i="4"/>
  <c r="O2621" i="4"/>
  <c r="N2589" i="4"/>
  <c r="O2589" i="4"/>
  <c r="O2637" i="4"/>
  <c r="N2637" i="4"/>
  <c r="O2629" i="4"/>
  <c r="N2629" i="4"/>
  <c r="O2451" i="4"/>
  <c r="N2451" i="4"/>
  <c r="O2419" i="4"/>
  <c r="N2419" i="4"/>
  <c r="O2387" i="4"/>
  <c r="N2387" i="4"/>
  <c r="O2617" i="4"/>
  <c r="N2617" i="4"/>
  <c r="N2465" i="4"/>
  <c r="O2465" i="4"/>
  <c r="N2449" i="4"/>
  <c r="O2449" i="4"/>
  <c r="N2433" i="4"/>
  <c r="O2433" i="4"/>
  <c r="N2417" i="4"/>
  <c r="O2417" i="4"/>
  <c r="N2401" i="4"/>
  <c r="O2401" i="4"/>
  <c r="N2385" i="4"/>
  <c r="O2385" i="4"/>
  <c r="O2505" i="4"/>
  <c r="N2505" i="4"/>
  <c r="O2497" i="4"/>
  <c r="N2497" i="4"/>
  <c r="O2489" i="4"/>
  <c r="N2489" i="4"/>
  <c r="O2481" i="4"/>
  <c r="N2481" i="4"/>
  <c r="O2471" i="4"/>
  <c r="N2471" i="4"/>
  <c r="O2439" i="4"/>
  <c r="N2439" i="4"/>
  <c r="O2407" i="4"/>
  <c r="N2407" i="4"/>
  <c r="O2361" i="4"/>
  <c r="N2361" i="4"/>
  <c r="O2353" i="4"/>
  <c r="N2353" i="4"/>
  <c r="O2345" i="4"/>
  <c r="N2345" i="4"/>
  <c r="O2337" i="4"/>
  <c r="N2337" i="4"/>
  <c r="O2329" i="4"/>
  <c r="N2329" i="4"/>
  <c r="O2321" i="4"/>
  <c r="N2321" i="4"/>
  <c r="O2313" i="4"/>
  <c r="N2313" i="4"/>
  <c r="O2305" i="4"/>
  <c r="N2305" i="4"/>
  <c r="O2297" i="4"/>
  <c r="N2297" i="4"/>
  <c r="O2289" i="4"/>
  <c r="N2289" i="4"/>
  <c r="O2281" i="4"/>
  <c r="N2281" i="4"/>
  <c r="O2273" i="4"/>
  <c r="N2273" i="4"/>
  <c r="N2775" i="4"/>
  <c r="O2775" i="4"/>
  <c r="O2672" i="4"/>
  <c r="N2672" i="4"/>
  <c r="O2477" i="4"/>
  <c r="N2477" i="4"/>
  <c r="O2182" i="4"/>
  <c r="N2182" i="4"/>
  <c r="O2150" i="4"/>
  <c r="N2150" i="4"/>
  <c r="O2118" i="4"/>
  <c r="N2118" i="4"/>
  <c r="O2259" i="4"/>
  <c r="N2259" i="4"/>
  <c r="O2251" i="4"/>
  <c r="N2251" i="4"/>
  <c r="O2243" i="4"/>
  <c r="N2243" i="4"/>
  <c r="O2235" i="4"/>
  <c r="N2235" i="4"/>
  <c r="O2227" i="4"/>
  <c r="N2227" i="4"/>
  <c r="O2219" i="4"/>
  <c r="N2219" i="4"/>
  <c r="O2211" i="4"/>
  <c r="N2211" i="4"/>
  <c r="N2172" i="4"/>
  <c r="O2172" i="4"/>
  <c r="N2140" i="4"/>
  <c r="O2140" i="4"/>
  <c r="N2108" i="4"/>
  <c r="O2108" i="4"/>
  <c r="O2076" i="4"/>
  <c r="N2076" i="4"/>
  <c r="O2044" i="4"/>
  <c r="N2044" i="4"/>
  <c r="O2012" i="4"/>
  <c r="N2012" i="4"/>
  <c r="O2170" i="4"/>
  <c r="N2170" i="4"/>
  <c r="O2138" i="4"/>
  <c r="N2138" i="4"/>
  <c r="O2106" i="4"/>
  <c r="N2106" i="4"/>
  <c r="N2090" i="4"/>
  <c r="O2090" i="4"/>
  <c r="N2074" i="4"/>
  <c r="O2074" i="4"/>
  <c r="N2058" i="4"/>
  <c r="O2058" i="4"/>
  <c r="N2042" i="4"/>
  <c r="O2042" i="4"/>
  <c r="N2026" i="4"/>
  <c r="O2026" i="4"/>
  <c r="N2010" i="4"/>
  <c r="O2010" i="4"/>
  <c r="O2168" i="4"/>
  <c r="N2168" i="4"/>
  <c r="O2136" i="4"/>
  <c r="N2136" i="4"/>
  <c r="O2104" i="4"/>
  <c r="N2104" i="4"/>
  <c r="O2088" i="4"/>
  <c r="N2088" i="4"/>
  <c r="O2072" i="4"/>
  <c r="N2072" i="4"/>
  <c r="O2056" i="4"/>
  <c r="N2056" i="4"/>
  <c r="O2040" i="4"/>
  <c r="N2040" i="4"/>
  <c r="O2024" i="4"/>
  <c r="N2024" i="4"/>
  <c r="O2008" i="4"/>
  <c r="N2008" i="4"/>
  <c r="N2085" i="4"/>
  <c r="O2085" i="4"/>
  <c r="O2022" i="4"/>
  <c r="N2022" i="4"/>
  <c r="O1957" i="4"/>
  <c r="N1957" i="4"/>
  <c r="O1949" i="4"/>
  <c r="N1949" i="4"/>
  <c r="O1941" i="4"/>
  <c r="N1941" i="4"/>
  <c r="O1933" i="4"/>
  <c r="N1933" i="4"/>
  <c r="O1925" i="4"/>
  <c r="N1925" i="4"/>
  <c r="O1905" i="4"/>
  <c r="N1905" i="4"/>
  <c r="O1873" i="4"/>
  <c r="N1873" i="4"/>
  <c r="O1841" i="4"/>
  <c r="N1841" i="4"/>
  <c r="O2046" i="4"/>
  <c r="N2046" i="4"/>
  <c r="N1895" i="4"/>
  <c r="O1895" i="4"/>
  <c r="N1863" i="4"/>
  <c r="O1863" i="4"/>
  <c r="N1831" i="4"/>
  <c r="O1831" i="4"/>
  <c r="O1909" i="4"/>
  <c r="N1909" i="4"/>
  <c r="O1893" i="4"/>
  <c r="N1893" i="4"/>
  <c r="O1877" i="4"/>
  <c r="N1877" i="4"/>
  <c r="O1861" i="4"/>
  <c r="N1861" i="4"/>
  <c r="O1845" i="4"/>
  <c r="N1845" i="4"/>
  <c r="O1829" i="4"/>
  <c r="N1829" i="4"/>
  <c r="O1819" i="4"/>
  <c r="N1819" i="4"/>
  <c r="O1815" i="4"/>
  <c r="N1815" i="4"/>
  <c r="O1811" i="4"/>
  <c r="N1811" i="4"/>
  <c r="O1807" i="4"/>
  <c r="N1807" i="4"/>
  <c r="O1803" i="4"/>
  <c r="N1803" i="4"/>
  <c r="O1799" i="4"/>
  <c r="N1799" i="4"/>
  <c r="O1795" i="4"/>
  <c r="N1795" i="4"/>
  <c r="O1791" i="4"/>
  <c r="N1791" i="4"/>
  <c r="O1787" i="4"/>
  <c r="N1787" i="4"/>
  <c r="O1783" i="4"/>
  <c r="N1783" i="4"/>
  <c r="N2093" i="4"/>
  <c r="O2093" i="4"/>
  <c r="N2061" i="4"/>
  <c r="O2061" i="4"/>
  <c r="N2029" i="4"/>
  <c r="O2029" i="4"/>
  <c r="O1915" i="4"/>
  <c r="N1915" i="4"/>
  <c r="O1899" i="4"/>
  <c r="N1899" i="4"/>
  <c r="O1883" i="4"/>
  <c r="N1883" i="4"/>
  <c r="O1867" i="4"/>
  <c r="N1867" i="4"/>
  <c r="O1851" i="4"/>
  <c r="N1851" i="4"/>
  <c r="O1835" i="4"/>
  <c r="N1835" i="4"/>
  <c r="O1781" i="4"/>
  <c r="N1781" i="4"/>
  <c r="O1683" i="4"/>
  <c r="N1683" i="4"/>
  <c r="N1768" i="4"/>
  <c r="O1768" i="4"/>
  <c r="N1760" i="4"/>
  <c r="O1760" i="4"/>
  <c r="N1752" i="4"/>
  <c r="O1752" i="4"/>
  <c r="N1744" i="4"/>
  <c r="O1744" i="4"/>
  <c r="N1736" i="4"/>
  <c r="O1736" i="4"/>
  <c r="N1728" i="4"/>
  <c r="O1728" i="4"/>
  <c r="N1720" i="4"/>
  <c r="O1720" i="4"/>
  <c r="N1712" i="4"/>
  <c r="O1712" i="4"/>
  <c r="N1704" i="4"/>
  <c r="O1704" i="4"/>
  <c r="O1687" i="4"/>
  <c r="N1687" i="4"/>
  <c r="O1261" i="4"/>
  <c r="N1261" i="4"/>
  <c r="N1267" i="4"/>
  <c r="O1267" i="4"/>
  <c r="O1281" i="4"/>
  <c r="N1281" i="4"/>
  <c r="O1265" i="4"/>
  <c r="N1265" i="4"/>
  <c r="O1249" i="4"/>
  <c r="N1249" i="4"/>
  <c r="O1194" i="4"/>
  <c r="N1194" i="4"/>
  <c r="O1186" i="4"/>
  <c r="N1186" i="4"/>
  <c r="O1178" i="4"/>
  <c r="N1178" i="4"/>
  <c r="O1170" i="4"/>
  <c r="N1170" i="4"/>
  <c r="O1162" i="4"/>
  <c r="N1162" i="4"/>
  <c r="O1154" i="4"/>
  <c r="N1154" i="4"/>
  <c r="O1279" i="4"/>
  <c r="N1279" i="4"/>
  <c r="O1263" i="4"/>
  <c r="N1263" i="4"/>
  <c r="O864" i="4"/>
  <c r="N864" i="4"/>
  <c r="O832" i="4"/>
  <c r="N832" i="4"/>
  <c r="O800" i="4"/>
  <c r="N800" i="4"/>
  <c r="N792" i="4"/>
  <c r="O792" i="4"/>
  <c r="N784" i="4"/>
  <c r="O784" i="4"/>
  <c r="N776" i="4"/>
  <c r="O776" i="4"/>
  <c r="N768" i="4"/>
  <c r="O768" i="4"/>
  <c r="N760" i="4"/>
  <c r="O760" i="4"/>
  <c r="N752" i="4"/>
  <c r="O752" i="4"/>
  <c r="N744" i="4"/>
  <c r="O744" i="4"/>
  <c r="N736" i="4"/>
  <c r="O736" i="4"/>
  <c r="N728" i="4"/>
  <c r="O728" i="4"/>
  <c r="N720" i="4"/>
  <c r="O720" i="4"/>
  <c r="N712" i="4"/>
  <c r="O712" i="4"/>
  <c r="N704" i="4"/>
  <c r="O704" i="4"/>
  <c r="O697" i="4"/>
  <c r="N697" i="4"/>
  <c r="O665" i="4"/>
  <c r="N665" i="4"/>
  <c r="O633" i="4"/>
  <c r="N633" i="4"/>
  <c r="O601" i="4"/>
  <c r="N601" i="4"/>
  <c r="O569" i="4"/>
  <c r="N569" i="4"/>
  <c r="O537" i="4"/>
  <c r="N537" i="4"/>
  <c r="O505" i="4"/>
  <c r="N505" i="4"/>
  <c r="O473" i="4"/>
  <c r="N473" i="4"/>
  <c r="O441" i="4"/>
  <c r="N441" i="4"/>
  <c r="O409" i="4"/>
  <c r="N409" i="4"/>
  <c r="O846" i="4"/>
  <c r="N846" i="4"/>
  <c r="O814" i="4"/>
  <c r="N814" i="4"/>
  <c r="N687" i="4"/>
  <c r="O687" i="4"/>
  <c r="N655" i="4"/>
  <c r="O655" i="4"/>
  <c r="N623" i="4"/>
  <c r="O623" i="4"/>
  <c r="N591" i="4"/>
  <c r="O591" i="4"/>
  <c r="N559" i="4"/>
  <c r="O559" i="4"/>
  <c r="N527" i="4"/>
  <c r="O527" i="4"/>
  <c r="N495" i="4"/>
  <c r="O495" i="4"/>
  <c r="N463" i="4"/>
  <c r="O463" i="4"/>
  <c r="N431" i="4"/>
  <c r="O431" i="4"/>
  <c r="N407" i="4"/>
  <c r="O407" i="4"/>
  <c r="A5" i="5"/>
  <c r="O836" i="4"/>
  <c r="N836" i="4"/>
  <c r="O804" i="4"/>
  <c r="N804" i="4"/>
  <c r="N794" i="4"/>
  <c r="O794" i="4"/>
  <c r="N786" i="4"/>
  <c r="O786" i="4"/>
  <c r="N778" i="4"/>
  <c r="O778" i="4"/>
  <c r="N770" i="4"/>
  <c r="O770" i="4"/>
  <c r="N762" i="4"/>
  <c r="O762" i="4"/>
  <c r="N754" i="4"/>
  <c r="O754" i="4"/>
  <c r="N746" i="4"/>
  <c r="O746" i="4"/>
  <c r="N738" i="4"/>
  <c r="O738" i="4"/>
  <c r="N730" i="4"/>
  <c r="O730" i="4"/>
  <c r="N722" i="4"/>
  <c r="O722" i="4"/>
  <c r="N714" i="4"/>
  <c r="O714" i="4"/>
  <c r="N706" i="4"/>
  <c r="O706" i="4"/>
  <c r="N799" i="4"/>
  <c r="O799" i="4"/>
  <c r="N791" i="4"/>
  <c r="O791" i="4"/>
  <c r="N783" i="4"/>
  <c r="O783" i="4"/>
  <c r="N775" i="4"/>
  <c r="O775" i="4"/>
  <c r="N767" i="4"/>
  <c r="O767" i="4"/>
  <c r="N759" i="4"/>
  <c r="O759" i="4"/>
  <c r="N751" i="4"/>
  <c r="O751" i="4"/>
  <c r="N743" i="4"/>
  <c r="O743" i="4"/>
  <c r="N735" i="4"/>
  <c r="O735" i="4"/>
  <c r="N727" i="4"/>
  <c r="O727" i="4"/>
  <c r="N719" i="4"/>
  <c r="O719" i="4"/>
  <c r="N711" i="4"/>
  <c r="O711" i="4"/>
  <c r="N703" i="4"/>
  <c r="O703" i="4"/>
  <c r="O683" i="4"/>
  <c r="N683" i="4"/>
  <c r="O651" i="4"/>
  <c r="N651" i="4"/>
  <c r="O619" i="4"/>
  <c r="N619" i="4"/>
  <c r="O587" i="4"/>
  <c r="N587" i="4"/>
  <c r="O555" i="4"/>
  <c r="N555" i="4"/>
  <c r="O523" i="4"/>
  <c r="N523" i="4"/>
  <c r="O491" i="4"/>
  <c r="N491" i="4"/>
  <c r="O459" i="4"/>
  <c r="N459" i="4"/>
  <c r="O427" i="4"/>
  <c r="N427" i="4"/>
  <c r="N3292" i="4"/>
  <c r="O3292" i="4"/>
  <c r="N3268" i="4"/>
  <c r="O3268" i="4"/>
  <c r="N3277" i="4"/>
  <c r="O3277" i="4"/>
  <c r="N3262" i="4"/>
  <c r="O3262" i="4"/>
  <c r="N3298" i="4"/>
  <c r="O3298" i="4"/>
  <c r="N3290" i="4"/>
  <c r="O3290" i="4"/>
  <c r="N3282" i="4"/>
  <c r="O3282" i="4"/>
  <c r="N3274" i="4"/>
  <c r="O3274" i="4"/>
  <c r="N3266" i="4"/>
  <c r="O3266" i="4"/>
  <c r="O3216" i="4"/>
  <c r="N3216" i="4"/>
  <c r="N3299" i="4"/>
  <c r="O3299" i="4"/>
  <c r="N3291" i="4"/>
  <c r="O3291" i="4"/>
  <c r="N3283" i="4"/>
  <c r="O3283" i="4"/>
  <c r="N3275" i="4"/>
  <c r="O3275" i="4"/>
  <c r="N3267" i="4"/>
  <c r="O3267" i="4"/>
  <c r="O3212" i="4"/>
  <c r="N3212" i="4"/>
  <c r="O3204" i="4"/>
  <c r="N3204" i="4"/>
  <c r="O3174" i="4"/>
  <c r="N3174" i="4"/>
  <c r="O3241" i="4"/>
  <c r="N3241" i="4"/>
  <c r="N3247" i="4"/>
  <c r="O3247" i="4"/>
  <c r="O3200" i="4"/>
  <c r="N3200" i="4"/>
  <c r="O3171" i="4"/>
  <c r="N3171" i="4"/>
  <c r="O3233" i="4"/>
  <c r="N3233" i="4"/>
  <c r="N3225" i="4"/>
  <c r="O3225" i="4"/>
  <c r="N3217" i="4"/>
  <c r="O3217" i="4"/>
  <c r="O3159" i="4"/>
  <c r="N3159" i="4"/>
  <c r="O3127" i="4"/>
  <c r="N3127" i="4"/>
  <c r="O3069" i="4"/>
  <c r="N3069" i="4"/>
  <c r="O3133" i="4"/>
  <c r="N3133" i="4"/>
  <c r="O3155" i="4"/>
  <c r="N3155" i="4"/>
  <c r="O3139" i="4"/>
  <c r="N3139" i="4"/>
  <c r="O3123" i="4"/>
  <c r="N3123" i="4"/>
  <c r="N3113" i="4"/>
  <c r="O3113" i="4"/>
  <c r="N3105" i="4"/>
  <c r="O3105" i="4"/>
  <c r="N3097" i="4"/>
  <c r="O3097" i="4"/>
  <c r="N3089" i="4"/>
  <c r="O3089" i="4"/>
  <c r="N3081" i="4"/>
  <c r="O3081" i="4"/>
  <c r="N3073" i="4"/>
  <c r="O3073" i="4"/>
  <c r="N3008" i="4"/>
  <c r="O3008" i="4"/>
  <c r="N3114" i="4"/>
  <c r="O3114" i="4"/>
  <c r="N3106" i="4"/>
  <c r="O3106" i="4"/>
  <c r="N3098" i="4"/>
  <c r="O3098" i="4"/>
  <c r="N3090" i="4"/>
  <c r="O3090" i="4"/>
  <c r="N3082" i="4"/>
  <c r="O3082" i="4"/>
  <c r="N3074" i="4"/>
  <c r="O3074" i="4"/>
  <c r="O2946" i="4"/>
  <c r="N2946" i="4"/>
  <c r="N3007" i="4"/>
  <c r="O3007" i="4"/>
  <c r="N2936" i="4"/>
  <c r="O2936" i="4"/>
  <c r="O2950" i="4"/>
  <c r="N2950" i="4"/>
  <c r="N3000" i="4"/>
  <c r="O3000" i="4"/>
  <c r="N2992" i="4"/>
  <c r="O2992" i="4"/>
  <c r="N2984" i="4"/>
  <c r="O2984" i="4"/>
  <c r="N2976" i="4"/>
  <c r="O2976" i="4"/>
  <c r="N2968" i="4"/>
  <c r="O2968" i="4"/>
  <c r="N2960" i="4"/>
  <c r="O2960" i="4"/>
  <c r="N2952" i="4"/>
  <c r="O2952" i="4"/>
  <c r="O2940" i="4"/>
  <c r="N2940" i="4"/>
  <c r="N2918" i="4"/>
  <c r="O2918" i="4"/>
  <c r="O2900" i="4"/>
  <c r="N2900" i="4"/>
  <c r="O2891" i="4"/>
  <c r="N2891" i="4"/>
  <c r="O2883" i="4"/>
  <c r="N2883" i="4"/>
  <c r="O2875" i="4"/>
  <c r="N2875" i="4"/>
  <c r="O2914" i="4"/>
  <c r="N2914" i="4"/>
  <c r="N2792" i="4"/>
  <c r="O2792" i="4"/>
  <c r="N2784" i="4"/>
  <c r="O2784" i="4"/>
  <c r="N2776" i="4"/>
  <c r="O2776" i="4"/>
  <c r="N2768" i="4"/>
  <c r="O2768" i="4"/>
  <c r="N2760" i="4"/>
  <c r="O2760" i="4"/>
  <c r="N2752" i="4"/>
  <c r="O2752" i="4"/>
  <c r="N2744" i="4"/>
  <c r="O2744" i="4"/>
  <c r="N2736" i="4"/>
  <c r="O2736" i="4"/>
  <c r="N2728" i="4"/>
  <c r="O2728" i="4"/>
  <c r="N2720" i="4"/>
  <c r="O2720" i="4"/>
  <c r="N2712" i="4"/>
  <c r="O2712" i="4"/>
  <c r="N2704" i="4"/>
  <c r="O2704" i="4"/>
  <c r="N2696" i="4"/>
  <c r="O2696" i="4"/>
  <c r="O2678" i="4"/>
  <c r="N2678" i="4"/>
  <c r="N2676" i="4"/>
  <c r="O2676" i="4"/>
  <c r="O2805" i="4"/>
  <c r="N2805" i="4"/>
  <c r="N2787" i="4"/>
  <c r="O2787" i="4"/>
  <c r="N2755" i="4"/>
  <c r="O2755" i="4"/>
  <c r="N2723" i="4"/>
  <c r="O2723" i="4"/>
  <c r="N2691" i="4"/>
  <c r="O2691" i="4"/>
  <c r="O2607" i="4"/>
  <c r="N2607" i="4"/>
  <c r="N2613" i="4"/>
  <c r="O2613" i="4"/>
  <c r="N2779" i="4"/>
  <c r="O2779" i="4"/>
  <c r="N2747" i="4"/>
  <c r="O2747" i="4"/>
  <c r="N2715" i="4"/>
  <c r="O2715" i="4"/>
  <c r="O2635" i="4"/>
  <c r="N2635" i="4"/>
  <c r="O2627" i="4"/>
  <c r="N2627" i="4"/>
  <c r="O2611" i="4"/>
  <c r="N2611" i="4"/>
  <c r="O2595" i="4"/>
  <c r="N2595" i="4"/>
  <c r="N2695" i="4"/>
  <c r="O2695" i="4"/>
  <c r="O2475" i="4"/>
  <c r="N2475" i="4"/>
  <c r="O2443" i="4"/>
  <c r="N2443" i="4"/>
  <c r="O2411" i="4"/>
  <c r="N2411" i="4"/>
  <c r="O2379" i="4"/>
  <c r="N2379" i="4"/>
  <c r="N2727" i="4"/>
  <c r="O2727" i="4"/>
  <c r="O2609" i="4"/>
  <c r="N2609" i="4"/>
  <c r="O2503" i="4"/>
  <c r="N2503" i="4"/>
  <c r="O2495" i="4"/>
  <c r="N2495" i="4"/>
  <c r="O2487" i="4"/>
  <c r="N2487" i="4"/>
  <c r="O2479" i="4"/>
  <c r="N2479" i="4"/>
  <c r="O2447" i="4"/>
  <c r="N2447" i="4"/>
  <c r="O2415" i="4"/>
  <c r="N2415" i="4"/>
  <c r="O2383" i="4"/>
  <c r="N2383" i="4"/>
  <c r="O2359" i="4"/>
  <c r="N2359" i="4"/>
  <c r="O2351" i="4"/>
  <c r="N2351" i="4"/>
  <c r="O2343" i="4"/>
  <c r="N2343" i="4"/>
  <c r="O2335" i="4"/>
  <c r="N2335" i="4"/>
  <c r="O2327" i="4"/>
  <c r="N2327" i="4"/>
  <c r="O2319" i="4"/>
  <c r="N2319" i="4"/>
  <c r="O2311" i="4"/>
  <c r="N2311" i="4"/>
  <c r="O2303" i="4"/>
  <c r="N2303" i="4"/>
  <c r="O2295" i="4"/>
  <c r="N2295" i="4"/>
  <c r="O2287" i="4"/>
  <c r="N2287" i="4"/>
  <c r="O2279" i="4"/>
  <c r="N2279" i="4"/>
  <c r="O2271" i="4"/>
  <c r="N2271" i="4"/>
  <c r="O2469" i="4"/>
  <c r="N2469" i="4"/>
  <c r="O2453" i="4"/>
  <c r="N2453" i="4"/>
  <c r="O2437" i="4"/>
  <c r="N2437" i="4"/>
  <c r="O2421" i="4"/>
  <c r="N2421" i="4"/>
  <c r="O2405" i="4"/>
  <c r="N2405" i="4"/>
  <c r="O2389" i="4"/>
  <c r="N2389" i="4"/>
  <c r="O2174" i="4"/>
  <c r="N2174" i="4"/>
  <c r="O2142" i="4"/>
  <c r="N2142" i="4"/>
  <c r="O2110" i="4"/>
  <c r="N2110" i="4"/>
  <c r="N2164" i="4"/>
  <c r="O2164" i="4"/>
  <c r="N2132" i="4"/>
  <c r="O2132" i="4"/>
  <c r="O2100" i="4"/>
  <c r="N2100" i="4"/>
  <c r="O2068" i="4"/>
  <c r="N2068" i="4"/>
  <c r="O2036" i="4"/>
  <c r="N2036" i="4"/>
  <c r="O2178" i="4"/>
  <c r="N2178" i="4"/>
  <c r="O2146" i="4"/>
  <c r="N2146" i="4"/>
  <c r="O2114" i="4"/>
  <c r="N2114" i="4"/>
  <c r="O2261" i="4"/>
  <c r="N2261" i="4"/>
  <c r="O2253" i="4"/>
  <c r="N2253" i="4"/>
  <c r="O2245" i="4"/>
  <c r="N2245" i="4"/>
  <c r="O2237" i="4"/>
  <c r="N2237" i="4"/>
  <c r="O2229" i="4"/>
  <c r="N2229" i="4"/>
  <c r="O2221" i="4"/>
  <c r="N2221" i="4"/>
  <c r="O2213" i="4"/>
  <c r="N2213" i="4"/>
  <c r="O2176" i="4"/>
  <c r="N2176" i="4"/>
  <c r="O2144" i="4"/>
  <c r="N2144" i="4"/>
  <c r="O2112" i="4"/>
  <c r="N2112" i="4"/>
  <c r="O2054" i="4"/>
  <c r="N2054" i="4"/>
  <c r="O1955" i="4"/>
  <c r="N1955" i="4"/>
  <c r="O1947" i="4"/>
  <c r="N1947" i="4"/>
  <c r="O1939" i="4"/>
  <c r="N1939" i="4"/>
  <c r="O1931" i="4"/>
  <c r="N1931" i="4"/>
  <c r="O1923" i="4"/>
  <c r="N1923" i="4"/>
  <c r="O1913" i="4"/>
  <c r="N1913" i="4"/>
  <c r="O1881" i="4"/>
  <c r="N1881" i="4"/>
  <c r="O1849" i="4"/>
  <c r="N1849" i="4"/>
  <c r="N1919" i="4"/>
  <c r="O1919" i="4"/>
  <c r="N1887" i="4"/>
  <c r="O1887" i="4"/>
  <c r="N1855" i="4"/>
  <c r="O1855" i="4"/>
  <c r="N1823" i="4"/>
  <c r="O1823" i="4"/>
  <c r="N2101" i="4"/>
  <c r="O2101" i="4"/>
  <c r="N2069" i="4"/>
  <c r="O2069" i="4"/>
  <c r="N2037" i="4"/>
  <c r="O2037" i="4"/>
  <c r="N1771" i="4"/>
  <c r="O1771" i="4"/>
  <c r="N1763" i="4"/>
  <c r="O1763" i="4"/>
  <c r="N1755" i="4"/>
  <c r="O1755" i="4"/>
  <c r="N1747" i="4"/>
  <c r="O1747" i="4"/>
  <c r="N1739" i="4"/>
  <c r="O1739" i="4"/>
  <c r="N1731" i="4"/>
  <c r="O1731" i="4"/>
  <c r="N1723" i="4"/>
  <c r="O1723" i="4"/>
  <c r="N1715" i="4"/>
  <c r="O1715" i="4"/>
  <c r="N1707" i="4"/>
  <c r="O1707" i="4"/>
  <c r="N1699" i="4"/>
  <c r="O1699" i="4"/>
  <c r="O1691" i="4"/>
  <c r="N1691" i="4"/>
  <c r="N1689" i="4"/>
  <c r="O1689" i="4"/>
  <c r="N1673" i="4"/>
  <c r="O1673" i="4"/>
  <c r="N1773" i="4"/>
  <c r="O1773" i="4"/>
  <c r="N1765" i="4"/>
  <c r="O1765" i="4"/>
  <c r="N1757" i="4"/>
  <c r="O1757" i="4"/>
  <c r="N1749" i="4"/>
  <c r="O1749" i="4"/>
  <c r="N1741" i="4"/>
  <c r="O1741" i="4"/>
  <c r="N1733" i="4"/>
  <c r="O1733" i="4"/>
  <c r="N1725" i="4"/>
  <c r="O1725" i="4"/>
  <c r="N1717" i="4"/>
  <c r="O1717" i="4"/>
  <c r="N1709" i="4"/>
  <c r="O1709" i="4"/>
  <c r="N1701" i="4"/>
  <c r="O1701" i="4"/>
  <c r="O1679" i="4"/>
  <c r="N1679" i="4"/>
  <c r="O1631" i="4"/>
  <c r="N1631" i="4"/>
  <c r="O1627" i="4"/>
  <c r="N1627" i="4"/>
  <c r="O1623" i="4"/>
  <c r="N1623" i="4"/>
  <c r="O1619" i="4"/>
  <c r="N1619" i="4"/>
  <c r="O1615" i="4"/>
  <c r="N1615" i="4"/>
  <c r="O1611" i="4"/>
  <c r="N1611" i="4"/>
  <c r="O1607" i="4"/>
  <c r="N1607" i="4"/>
  <c r="O1603" i="4"/>
  <c r="N1603" i="4"/>
  <c r="O1599" i="4"/>
  <c r="N1599" i="4"/>
  <c r="O1595" i="4"/>
  <c r="N1595" i="4"/>
  <c r="O1591" i="4"/>
  <c r="N1591" i="4"/>
  <c r="O1587" i="4"/>
  <c r="N1587" i="4"/>
  <c r="O1583" i="4"/>
  <c r="N1583" i="4"/>
  <c r="O1579" i="4"/>
  <c r="N1579" i="4"/>
  <c r="O1575" i="4"/>
  <c r="N1575" i="4"/>
  <c r="O1571" i="4"/>
  <c r="N1571" i="4"/>
  <c r="O1567" i="4"/>
  <c r="N1567" i="4"/>
  <c r="O1563" i="4"/>
  <c r="N1563" i="4"/>
  <c r="O1559" i="4"/>
  <c r="N1559" i="4"/>
  <c r="O1555" i="4"/>
  <c r="N1555" i="4"/>
  <c r="O1551" i="4"/>
  <c r="N1551" i="4"/>
  <c r="O1547" i="4"/>
  <c r="N1547" i="4"/>
  <c r="O1543" i="4"/>
  <c r="N1543" i="4"/>
  <c r="O1539" i="4"/>
  <c r="N1539" i="4"/>
  <c r="O1535" i="4"/>
  <c r="N1535" i="4"/>
  <c r="O1531" i="4"/>
  <c r="N1531" i="4"/>
  <c r="O1527" i="4"/>
  <c r="N1527" i="4"/>
  <c r="O1523" i="4"/>
  <c r="N1523" i="4"/>
  <c r="O1519" i="4"/>
  <c r="N1519" i="4"/>
  <c r="O1515" i="4"/>
  <c r="N1515" i="4"/>
  <c r="O1511" i="4"/>
  <c r="N1511" i="4"/>
  <c r="O1507" i="4"/>
  <c r="N1507" i="4"/>
  <c r="O1503" i="4"/>
  <c r="N1503" i="4"/>
  <c r="O1499" i="4"/>
  <c r="N1499" i="4"/>
  <c r="O1495" i="4"/>
  <c r="N1495" i="4"/>
  <c r="O1491" i="4"/>
  <c r="N1491" i="4"/>
  <c r="O1487" i="4"/>
  <c r="N1487" i="4"/>
  <c r="O1483" i="4"/>
  <c r="N1483" i="4"/>
  <c r="O1479" i="4"/>
  <c r="N1479" i="4"/>
  <c r="N1774" i="4"/>
  <c r="O1774" i="4"/>
  <c r="N1766" i="4"/>
  <c r="O1766" i="4"/>
  <c r="N1758" i="4"/>
  <c r="O1758" i="4"/>
  <c r="N1750" i="4"/>
  <c r="O1750" i="4"/>
  <c r="N1742" i="4"/>
  <c r="O1742" i="4"/>
  <c r="N1734" i="4"/>
  <c r="O1734" i="4"/>
  <c r="N1726" i="4"/>
  <c r="O1726" i="4"/>
  <c r="N1718" i="4"/>
  <c r="O1718" i="4"/>
  <c r="N1710" i="4"/>
  <c r="O1710" i="4"/>
  <c r="N1702" i="4"/>
  <c r="O1702" i="4"/>
  <c r="O1685" i="4"/>
  <c r="N1685" i="4"/>
  <c r="N1471" i="4"/>
  <c r="O1471" i="4"/>
  <c r="N1463" i="4"/>
  <c r="O1463" i="4"/>
  <c r="N1455" i="4"/>
  <c r="O1455" i="4"/>
  <c r="N1447" i="4"/>
  <c r="O1447" i="4"/>
  <c r="N1439" i="4"/>
  <c r="O1439" i="4"/>
  <c r="N1431" i="4"/>
  <c r="O1431" i="4"/>
  <c r="N1423" i="4"/>
  <c r="O1423" i="4"/>
  <c r="N1415" i="4"/>
  <c r="O1415" i="4"/>
  <c r="N1407" i="4"/>
  <c r="O1407" i="4"/>
  <c r="N1399" i="4"/>
  <c r="O1399" i="4"/>
  <c r="N1391" i="4"/>
  <c r="O1391" i="4"/>
  <c r="N1383" i="4"/>
  <c r="O1383" i="4"/>
  <c r="N1375" i="4"/>
  <c r="O1375" i="4"/>
  <c r="N1367" i="4"/>
  <c r="O1367" i="4"/>
  <c r="N1359" i="4"/>
  <c r="O1359" i="4"/>
  <c r="N1351" i="4"/>
  <c r="O1351" i="4"/>
  <c r="N1343" i="4"/>
  <c r="O1343" i="4"/>
  <c r="N1335" i="4"/>
  <c r="O1335" i="4"/>
  <c r="N1327" i="4"/>
  <c r="O1327" i="4"/>
  <c r="N1319" i="4"/>
  <c r="O1319" i="4"/>
  <c r="N1311" i="4"/>
  <c r="O1311" i="4"/>
  <c r="N1303" i="4"/>
  <c r="O1303" i="4"/>
  <c r="N1295" i="4"/>
  <c r="O1295" i="4"/>
  <c r="O1285" i="4"/>
  <c r="N1285" i="4"/>
  <c r="O1253" i="4"/>
  <c r="N1253" i="4"/>
  <c r="N1472" i="4"/>
  <c r="O1472" i="4"/>
  <c r="N1464" i="4"/>
  <c r="O1464" i="4"/>
  <c r="N1456" i="4"/>
  <c r="O1456" i="4"/>
  <c r="N1448" i="4"/>
  <c r="O1448" i="4"/>
  <c r="N1440" i="4"/>
  <c r="O1440" i="4"/>
  <c r="N1432" i="4"/>
  <c r="O1432" i="4"/>
  <c r="N1424" i="4"/>
  <c r="O1424" i="4"/>
  <c r="N1416" i="4"/>
  <c r="O1416" i="4"/>
  <c r="N1408" i="4"/>
  <c r="O1408" i="4"/>
  <c r="N1400" i="4"/>
  <c r="O1400" i="4"/>
  <c r="N1392" i="4"/>
  <c r="O1392" i="4"/>
  <c r="N1384" i="4"/>
  <c r="O1384" i="4"/>
  <c r="N1376" i="4"/>
  <c r="O1376" i="4"/>
  <c r="N1368" i="4"/>
  <c r="O1368" i="4"/>
  <c r="N1360" i="4"/>
  <c r="O1360" i="4"/>
  <c r="N1352" i="4"/>
  <c r="O1352" i="4"/>
  <c r="N1344" i="4"/>
  <c r="O1344" i="4"/>
  <c r="N1336" i="4"/>
  <c r="O1336" i="4"/>
  <c r="N1328" i="4"/>
  <c r="O1328" i="4"/>
  <c r="N1320" i="4"/>
  <c r="O1320" i="4"/>
  <c r="N1312" i="4"/>
  <c r="O1312" i="4"/>
  <c r="N1304" i="4"/>
  <c r="O1304" i="4"/>
  <c r="N1296" i="4"/>
  <c r="O1296" i="4"/>
  <c r="N1275" i="4"/>
  <c r="O1275" i="4"/>
  <c r="N1473" i="4"/>
  <c r="O1473" i="4"/>
  <c r="N1465" i="4"/>
  <c r="O1465" i="4"/>
  <c r="N1457" i="4"/>
  <c r="O1457" i="4"/>
  <c r="N1449" i="4"/>
  <c r="O1449" i="4"/>
  <c r="N1441" i="4"/>
  <c r="O1441" i="4"/>
  <c r="N1433" i="4"/>
  <c r="O1433" i="4"/>
  <c r="N1425" i="4"/>
  <c r="O1425" i="4"/>
  <c r="N1417" i="4"/>
  <c r="O1417" i="4"/>
  <c r="N1409" i="4"/>
  <c r="O1409" i="4"/>
  <c r="N1401" i="4"/>
  <c r="O1401" i="4"/>
  <c r="N1393" i="4"/>
  <c r="O1393" i="4"/>
  <c r="N1385" i="4"/>
  <c r="O1385" i="4"/>
  <c r="N1377" i="4"/>
  <c r="O1377" i="4"/>
  <c r="N1369" i="4"/>
  <c r="O1369" i="4"/>
  <c r="N1361" i="4"/>
  <c r="O1361" i="4"/>
  <c r="N1353" i="4"/>
  <c r="O1353" i="4"/>
  <c r="N1345" i="4"/>
  <c r="O1345" i="4"/>
  <c r="N1337" i="4"/>
  <c r="O1337" i="4"/>
  <c r="N1329" i="4"/>
  <c r="O1329" i="4"/>
  <c r="N1321" i="4"/>
  <c r="O1321" i="4"/>
  <c r="N1313" i="4"/>
  <c r="O1313" i="4"/>
  <c r="N1305" i="4"/>
  <c r="O1305" i="4"/>
  <c r="N1297" i="4"/>
  <c r="O1297" i="4"/>
  <c r="N1289" i="4"/>
  <c r="O1289" i="4"/>
  <c r="O1200" i="4"/>
  <c r="N1200" i="4"/>
  <c r="O1192" i="4"/>
  <c r="N1192" i="4"/>
  <c r="O1184" i="4"/>
  <c r="N1184" i="4"/>
  <c r="O1176" i="4"/>
  <c r="N1176" i="4"/>
  <c r="O1168" i="4"/>
  <c r="N1168" i="4"/>
  <c r="O1160" i="4"/>
  <c r="N1160" i="4"/>
  <c r="O1152" i="4"/>
  <c r="N1152" i="4"/>
  <c r="O1146" i="4"/>
  <c r="N1146" i="4"/>
  <c r="O1142" i="4"/>
  <c r="N1142" i="4"/>
  <c r="O1138" i="4"/>
  <c r="N1138" i="4"/>
  <c r="O1134" i="4"/>
  <c r="N1134" i="4"/>
  <c r="O1130" i="4"/>
  <c r="N1130" i="4"/>
  <c r="O1126" i="4"/>
  <c r="N1126" i="4"/>
  <c r="O1122" i="4"/>
  <c r="N1122" i="4"/>
  <c r="O1118" i="4"/>
  <c r="N1118" i="4"/>
  <c r="O1114" i="4"/>
  <c r="N1114" i="4"/>
  <c r="O1110" i="4"/>
  <c r="N1110" i="4"/>
  <c r="O1106" i="4"/>
  <c r="N1106" i="4"/>
  <c r="O1102" i="4"/>
  <c r="N1102" i="4"/>
  <c r="O1098" i="4"/>
  <c r="N1098" i="4"/>
  <c r="O1094" i="4"/>
  <c r="N1094" i="4"/>
  <c r="O1090" i="4"/>
  <c r="N1090" i="4"/>
  <c r="O1086" i="4"/>
  <c r="N1086" i="4"/>
  <c r="O1082" i="4"/>
  <c r="N1082" i="4"/>
  <c r="O1078" i="4"/>
  <c r="N1078" i="4"/>
  <c r="O1074" i="4"/>
  <c r="N1074" i="4"/>
  <c r="O1070" i="4"/>
  <c r="N1070" i="4"/>
  <c r="O1066" i="4"/>
  <c r="N1066" i="4"/>
  <c r="O1062" i="4"/>
  <c r="N1062" i="4"/>
  <c r="O1058" i="4"/>
  <c r="N1058" i="4"/>
  <c r="O1054" i="4"/>
  <c r="N1054" i="4"/>
  <c r="O1050" i="4"/>
  <c r="N1050" i="4"/>
  <c r="O1046" i="4"/>
  <c r="N1046" i="4"/>
  <c r="O1042" i="4"/>
  <c r="N1042" i="4"/>
  <c r="O1038" i="4"/>
  <c r="N1038" i="4"/>
  <c r="O1034" i="4"/>
  <c r="N1034" i="4"/>
  <c r="O1030" i="4"/>
  <c r="N1030" i="4"/>
  <c r="O1026" i="4"/>
  <c r="N1026" i="4"/>
  <c r="O1022" i="4"/>
  <c r="N1022" i="4"/>
  <c r="O1018" i="4"/>
  <c r="N1018" i="4"/>
  <c r="O1014" i="4"/>
  <c r="N1014" i="4"/>
  <c r="O1010" i="4"/>
  <c r="N1010" i="4"/>
  <c r="O1006" i="4"/>
  <c r="N1006" i="4"/>
  <c r="O1002" i="4"/>
  <c r="N1002" i="4"/>
  <c r="O998" i="4"/>
  <c r="N998" i="4"/>
  <c r="O994" i="4"/>
  <c r="N994" i="4"/>
  <c r="O990" i="4"/>
  <c r="N990" i="4"/>
  <c r="O986" i="4"/>
  <c r="N986" i="4"/>
  <c r="O982" i="4"/>
  <c r="N982" i="4"/>
  <c r="O978" i="4"/>
  <c r="N978" i="4"/>
  <c r="O974" i="4"/>
  <c r="N974" i="4"/>
  <c r="O970" i="4"/>
  <c r="N970" i="4"/>
  <c r="O966" i="4"/>
  <c r="N966" i="4"/>
  <c r="O962" i="4"/>
  <c r="N962" i="4"/>
  <c r="O958" i="4"/>
  <c r="N958" i="4"/>
  <c r="O954" i="4"/>
  <c r="N954" i="4"/>
  <c r="O950" i="4"/>
  <c r="N950" i="4"/>
  <c r="O946" i="4"/>
  <c r="N946" i="4"/>
  <c r="O942" i="4"/>
  <c r="N942" i="4"/>
  <c r="O938" i="4"/>
  <c r="N938" i="4"/>
  <c r="O934" i="4"/>
  <c r="N934" i="4"/>
  <c r="O930" i="4"/>
  <c r="N930" i="4"/>
  <c r="O926" i="4"/>
  <c r="N926" i="4"/>
  <c r="O922" i="4"/>
  <c r="N922" i="4"/>
  <c r="O918" i="4"/>
  <c r="N918" i="4"/>
  <c r="O914" i="4"/>
  <c r="N914" i="4"/>
  <c r="O910" i="4"/>
  <c r="N910" i="4"/>
  <c r="O906" i="4"/>
  <c r="N906" i="4"/>
  <c r="O902" i="4"/>
  <c r="N902" i="4"/>
  <c r="O898" i="4"/>
  <c r="N898" i="4"/>
  <c r="O894" i="4"/>
  <c r="N894" i="4"/>
  <c r="O890" i="4"/>
  <c r="N890" i="4"/>
  <c r="O886" i="4"/>
  <c r="N886" i="4"/>
  <c r="O882" i="4"/>
  <c r="N882" i="4"/>
  <c r="O878" i="4"/>
  <c r="N878" i="4"/>
  <c r="O874" i="4"/>
  <c r="N874" i="4"/>
  <c r="O870" i="4"/>
  <c r="N870" i="4"/>
  <c r="N1474" i="4"/>
  <c r="O1474" i="4"/>
  <c r="N1466" i="4"/>
  <c r="O1466" i="4"/>
  <c r="N1458" i="4"/>
  <c r="O1458" i="4"/>
  <c r="N1450" i="4"/>
  <c r="O1450" i="4"/>
  <c r="N1442" i="4"/>
  <c r="O1442" i="4"/>
  <c r="N1434" i="4"/>
  <c r="O1434" i="4"/>
  <c r="N1426" i="4"/>
  <c r="O1426" i="4"/>
  <c r="N1418" i="4"/>
  <c r="O1418" i="4"/>
  <c r="N1410" i="4"/>
  <c r="O1410" i="4"/>
  <c r="N1402" i="4"/>
  <c r="O1402" i="4"/>
  <c r="N1394" i="4"/>
  <c r="O1394" i="4"/>
  <c r="N1386" i="4"/>
  <c r="O1386" i="4"/>
  <c r="N1378" i="4"/>
  <c r="O1378" i="4"/>
  <c r="N1370" i="4"/>
  <c r="O1370" i="4"/>
  <c r="N1362" i="4"/>
  <c r="O1362" i="4"/>
  <c r="N1354" i="4"/>
  <c r="O1354" i="4"/>
  <c r="N1346" i="4"/>
  <c r="O1346" i="4"/>
  <c r="N1338" i="4"/>
  <c r="O1338" i="4"/>
  <c r="N1330" i="4"/>
  <c r="O1330" i="4"/>
  <c r="N1322" i="4"/>
  <c r="O1322" i="4"/>
  <c r="N1314" i="4"/>
  <c r="O1314" i="4"/>
  <c r="N1306" i="4"/>
  <c r="O1306" i="4"/>
  <c r="N1298" i="4"/>
  <c r="O1298" i="4"/>
  <c r="N1290" i="4"/>
  <c r="O1290" i="4"/>
  <c r="O840" i="4"/>
  <c r="N840" i="4"/>
  <c r="O808" i="4"/>
  <c r="N808" i="4"/>
  <c r="O673" i="4"/>
  <c r="N673" i="4"/>
  <c r="O641" i="4"/>
  <c r="N641" i="4"/>
  <c r="O609" i="4"/>
  <c r="N609" i="4"/>
  <c r="O577" i="4"/>
  <c r="N577" i="4"/>
  <c r="O545" i="4"/>
  <c r="N545" i="4"/>
  <c r="O513" i="4"/>
  <c r="N513" i="4"/>
  <c r="O481" i="4"/>
  <c r="N481" i="4"/>
  <c r="O449" i="4"/>
  <c r="N449" i="4"/>
  <c r="O417" i="4"/>
  <c r="N417" i="4"/>
  <c r="O854" i="4"/>
  <c r="N854" i="4"/>
  <c r="O822" i="4"/>
  <c r="N822" i="4"/>
  <c r="N793" i="4"/>
  <c r="O793" i="4"/>
  <c r="N785" i="4"/>
  <c r="O785" i="4"/>
  <c r="N777" i="4"/>
  <c r="O777" i="4"/>
  <c r="N769" i="4"/>
  <c r="O769" i="4"/>
  <c r="N761" i="4"/>
  <c r="O761" i="4"/>
  <c r="N753" i="4"/>
  <c r="O753" i="4"/>
  <c r="N745" i="4"/>
  <c r="O745" i="4"/>
  <c r="N737" i="4"/>
  <c r="O737" i="4"/>
  <c r="N729" i="4"/>
  <c r="O729" i="4"/>
  <c r="N721" i="4"/>
  <c r="O721" i="4"/>
  <c r="N713" i="4"/>
  <c r="O713" i="4"/>
  <c r="N705" i="4"/>
  <c r="O705" i="4"/>
  <c r="N695" i="4"/>
  <c r="O695" i="4"/>
  <c r="N663" i="4"/>
  <c r="O663" i="4"/>
  <c r="N631" i="4"/>
  <c r="O631" i="4"/>
  <c r="N599" i="4"/>
  <c r="O599" i="4"/>
  <c r="N567" i="4"/>
  <c r="O567" i="4"/>
  <c r="N535" i="4"/>
  <c r="O535" i="4"/>
  <c r="N503" i="4"/>
  <c r="O503" i="4"/>
  <c r="N471" i="4"/>
  <c r="O471" i="4"/>
  <c r="N439" i="4"/>
  <c r="O439" i="4"/>
  <c r="A17" i="5"/>
  <c r="O844" i="4"/>
  <c r="N844" i="4"/>
  <c r="O812" i="4"/>
  <c r="N812" i="4"/>
  <c r="O693" i="4"/>
  <c r="N693" i="4"/>
  <c r="O677" i="4"/>
  <c r="N677" i="4"/>
  <c r="O661" i="4"/>
  <c r="N661" i="4"/>
  <c r="O645" i="4"/>
  <c r="N645" i="4"/>
  <c r="O629" i="4"/>
  <c r="N629" i="4"/>
  <c r="O613" i="4"/>
  <c r="N613" i="4"/>
  <c r="O597" i="4"/>
  <c r="N597" i="4"/>
  <c r="O581" i="4"/>
  <c r="N581" i="4"/>
  <c r="O565" i="4"/>
  <c r="N565" i="4"/>
  <c r="O549" i="4"/>
  <c r="N549" i="4"/>
  <c r="O533" i="4"/>
  <c r="N533" i="4"/>
  <c r="O517" i="4"/>
  <c r="N517" i="4"/>
  <c r="O501" i="4"/>
  <c r="N501" i="4"/>
  <c r="O485" i="4"/>
  <c r="N485" i="4"/>
  <c r="O469" i="4"/>
  <c r="N469" i="4"/>
  <c r="O453" i="4"/>
  <c r="N453" i="4"/>
  <c r="O437" i="4"/>
  <c r="N437" i="4"/>
  <c r="O421" i="4"/>
  <c r="N421" i="4"/>
  <c r="O405" i="4"/>
  <c r="N405" i="4"/>
  <c r="O866" i="4"/>
  <c r="N866" i="4"/>
  <c r="O850" i="4"/>
  <c r="N850" i="4"/>
  <c r="O834" i="4"/>
  <c r="N834" i="4"/>
  <c r="O818" i="4"/>
  <c r="N818" i="4"/>
  <c r="O802" i="4"/>
  <c r="N802" i="4"/>
  <c r="O675" i="4"/>
  <c r="N675" i="4"/>
  <c r="O643" i="4"/>
  <c r="N643" i="4"/>
  <c r="O611" i="4"/>
  <c r="N611" i="4"/>
  <c r="O579" i="4"/>
  <c r="N579" i="4"/>
  <c r="O547" i="4"/>
  <c r="N547" i="4"/>
  <c r="O515" i="4"/>
  <c r="N515" i="4"/>
  <c r="O483" i="4"/>
  <c r="N483" i="4"/>
  <c r="O451" i="4"/>
  <c r="N451" i="4"/>
  <c r="O419" i="4"/>
  <c r="N419" i="4"/>
  <c r="A23" i="5"/>
  <c r="N3300" i="4"/>
  <c r="O3300" i="4"/>
  <c r="N3269" i="4"/>
  <c r="O3269" i="4"/>
  <c r="N3296" i="4"/>
  <c r="O3296" i="4"/>
  <c r="N3288" i="4"/>
  <c r="O3288" i="4"/>
  <c r="N3280" i="4"/>
  <c r="O3280" i="4"/>
  <c r="N3272" i="4"/>
  <c r="O3272" i="4"/>
  <c r="O3254" i="4"/>
  <c r="N3254" i="4"/>
  <c r="N3297" i="4"/>
  <c r="O3297" i="4"/>
  <c r="N3289" i="4"/>
  <c r="O3289" i="4"/>
  <c r="N3281" i="4"/>
  <c r="O3281" i="4"/>
  <c r="N3273" i="4"/>
  <c r="O3273" i="4"/>
  <c r="N3260" i="4"/>
  <c r="O3260" i="4"/>
  <c r="N3295" i="4"/>
  <c r="O3295" i="4"/>
  <c r="N3287" i="4"/>
  <c r="O3287" i="4"/>
  <c r="N3279" i="4"/>
  <c r="O3279" i="4"/>
  <c r="N3271" i="4"/>
  <c r="O3271" i="4"/>
  <c r="O3250" i="4"/>
  <c r="N3250" i="4"/>
  <c r="O3224" i="4"/>
  <c r="N3224" i="4"/>
  <c r="N3263" i="4"/>
  <c r="O3263" i="4"/>
  <c r="N3255" i="4"/>
  <c r="O3255" i="4"/>
  <c r="N3191" i="4"/>
  <c r="O3191" i="4"/>
  <c r="N3183" i="4"/>
  <c r="O3183" i="4"/>
  <c r="O3256" i="4"/>
  <c r="N3256" i="4"/>
  <c r="O3202" i="4"/>
  <c r="N3202" i="4"/>
  <c r="N3192" i="4"/>
  <c r="O3192" i="4"/>
  <c r="N3184" i="4"/>
  <c r="O3184" i="4"/>
  <c r="N3193" i="4"/>
  <c r="O3193" i="4"/>
  <c r="N3185" i="4"/>
  <c r="O3185" i="4"/>
  <c r="N3177" i="4"/>
  <c r="O3177" i="4"/>
  <c r="O3169" i="4"/>
  <c r="N3169" i="4"/>
  <c r="O3163" i="4"/>
  <c r="N3163" i="4"/>
  <c r="O3206" i="4"/>
  <c r="N3206" i="4"/>
  <c r="N3194" i="4"/>
  <c r="O3194" i="4"/>
  <c r="N3186" i="4"/>
  <c r="O3186" i="4"/>
  <c r="N3178" i="4"/>
  <c r="O3178" i="4"/>
  <c r="O3135" i="4"/>
  <c r="N3135" i="4"/>
  <c r="N3115" i="4"/>
  <c r="O3115" i="4"/>
  <c r="N3107" i="4"/>
  <c r="O3107" i="4"/>
  <c r="N3099" i="4"/>
  <c r="O3099" i="4"/>
  <c r="N3091" i="4"/>
  <c r="O3091" i="4"/>
  <c r="N3083" i="4"/>
  <c r="O3083" i="4"/>
  <c r="N3075" i="4"/>
  <c r="O3075" i="4"/>
  <c r="O3141" i="4"/>
  <c r="N3141" i="4"/>
  <c r="N3112" i="4"/>
  <c r="O3112" i="4"/>
  <c r="N3104" i="4"/>
  <c r="O3104" i="4"/>
  <c r="N3096" i="4"/>
  <c r="O3096" i="4"/>
  <c r="N3088" i="4"/>
  <c r="O3088" i="4"/>
  <c r="N3080" i="4"/>
  <c r="O3080" i="4"/>
  <c r="N3067" i="4"/>
  <c r="O3067" i="4"/>
  <c r="O3038" i="4"/>
  <c r="N3038" i="4"/>
  <c r="O3034" i="4"/>
  <c r="N3034" i="4"/>
  <c r="O3030" i="4"/>
  <c r="N3030" i="4"/>
  <c r="O3026" i="4"/>
  <c r="N3026" i="4"/>
  <c r="O3022" i="4"/>
  <c r="N3022" i="4"/>
  <c r="O3018" i="4"/>
  <c r="N3018" i="4"/>
  <c r="O3014" i="4"/>
  <c r="N3014" i="4"/>
  <c r="N3006" i="4"/>
  <c r="O3006" i="4"/>
  <c r="O3145" i="4"/>
  <c r="N3145" i="4"/>
  <c r="O3129" i="4"/>
  <c r="N3129" i="4"/>
  <c r="O3071" i="4"/>
  <c r="N3071" i="4"/>
  <c r="N3009" i="4"/>
  <c r="O3009" i="4"/>
  <c r="N2997" i="4"/>
  <c r="O2997" i="4"/>
  <c r="N2989" i="4"/>
  <c r="O2989" i="4"/>
  <c r="N2981" i="4"/>
  <c r="O2981" i="4"/>
  <c r="N2973" i="4"/>
  <c r="O2973" i="4"/>
  <c r="N2965" i="4"/>
  <c r="O2965" i="4"/>
  <c r="N2957" i="4"/>
  <c r="O2957" i="4"/>
  <c r="O2938" i="4"/>
  <c r="N2938" i="4"/>
  <c r="N2998" i="4"/>
  <c r="O2998" i="4"/>
  <c r="N2990" i="4"/>
  <c r="O2990" i="4"/>
  <c r="N2982" i="4"/>
  <c r="O2982" i="4"/>
  <c r="N2974" i="4"/>
  <c r="O2974" i="4"/>
  <c r="N2966" i="4"/>
  <c r="O2966" i="4"/>
  <c r="N2958" i="4"/>
  <c r="O2958" i="4"/>
  <c r="N3005" i="4"/>
  <c r="O3005" i="4"/>
  <c r="N2995" i="4"/>
  <c r="O2995" i="4"/>
  <c r="N2987" i="4"/>
  <c r="O2987" i="4"/>
  <c r="N2979" i="4"/>
  <c r="O2979" i="4"/>
  <c r="N2971" i="4"/>
  <c r="O2971" i="4"/>
  <c r="N2963" i="4"/>
  <c r="O2963" i="4"/>
  <c r="N2955" i="4"/>
  <c r="O2955" i="4"/>
  <c r="O2934" i="4"/>
  <c r="N2934" i="4"/>
  <c r="N3011" i="4"/>
  <c r="O3011" i="4"/>
  <c r="N2947" i="4"/>
  <c r="O2947" i="4"/>
  <c r="O2924" i="4"/>
  <c r="N2924" i="4"/>
  <c r="O2932" i="4"/>
  <c r="N2932" i="4"/>
  <c r="O2908" i="4"/>
  <c r="N2908" i="4"/>
  <c r="O2889" i="4"/>
  <c r="N2889" i="4"/>
  <c r="O2881" i="4"/>
  <c r="N2881" i="4"/>
  <c r="O2873" i="4"/>
  <c r="N2873" i="4"/>
  <c r="O2867" i="4"/>
  <c r="N2867" i="4"/>
  <c r="O2863" i="4"/>
  <c r="N2863" i="4"/>
  <c r="O2859" i="4"/>
  <c r="N2859" i="4"/>
  <c r="O2855" i="4"/>
  <c r="N2855" i="4"/>
  <c r="O2851" i="4"/>
  <c r="N2851" i="4"/>
  <c r="O2847" i="4"/>
  <c r="N2847" i="4"/>
  <c r="O2843" i="4"/>
  <c r="N2843" i="4"/>
  <c r="O2839" i="4"/>
  <c r="N2839" i="4"/>
  <c r="O2835" i="4"/>
  <c r="N2835" i="4"/>
  <c r="O2831" i="4"/>
  <c r="N2831" i="4"/>
  <c r="O2827" i="4"/>
  <c r="N2827" i="4"/>
  <c r="O2823" i="4"/>
  <c r="N2823" i="4"/>
  <c r="O2819" i="4"/>
  <c r="N2819" i="4"/>
  <c r="O2815" i="4"/>
  <c r="N2815" i="4"/>
  <c r="O2906" i="4"/>
  <c r="N2906" i="4"/>
  <c r="O2801" i="4"/>
  <c r="N2801" i="4"/>
  <c r="O2799" i="4"/>
  <c r="N2799" i="4"/>
  <c r="N2789" i="4"/>
  <c r="O2789" i="4"/>
  <c r="N2781" i="4"/>
  <c r="O2781" i="4"/>
  <c r="N2773" i="4"/>
  <c r="O2773" i="4"/>
  <c r="N2765" i="4"/>
  <c r="O2765" i="4"/>
  <c r="N2757" i="4"/>
  <c r="O2757" i="4"/>
  <c r="N2749" i="4"/>
  <c r="O2749" i="4"/>
  <c r="N2741" i="4"/>
  <c r="O2741" i="4"/>
  <c r="N2733" i="4"/>
  <c r="O2733" i="4"/>
  <c r="N2725" i="4"/>
  <c r="O2725" i="4"/>
  <c r="N2717" i="4"/>
  <c r="O2717" i="4"/>
  <c r="N2709" i="4"/>
  <c r="O2709" i="4"/>
  <c r="N2701" i="4"/>
  <c r="O2701" i="4"/>
  <c r="N2693" i="4"/>
  <c r="O2693" i="4"/>
  <c r="N2790" i="4"/>
  <c r="O2790" i="4"/>
  <c r="N2782" i="4"/>
  <c r="O2782" i="4"/>
  <c r="N2774" i="4"/>
  <c r="O2774" i="4"/>
  <c r="N2766" i="4"/>
  <c r="O2766" i="4"/>
  <c r="N2758" i="4"/>
  <c r="O2758" i="4"/>
  <c r="N2750" i="4"/>
  <c r="O2750" i="4"/>
  <c r="N2742" i="4"/>
  <c r="O2742" i="4"/>
  <c r="N2734" i="4"/>
  <c r="O2734" i="4"/>
  <c r="N2726" i="4"/>
  <c r="O2726" i="4"/>
  <c r="N2718" i="4"/>
  <c r="O2718" i="4"/>
  <c r="N2710" i="4"/>
  <c r="O2710" i="4"/>
  <c r="N2702" i="4"/>
  <c r="O2702" i="4"/>
  <c r="N2694" i="4"/>
  <c r="O2694" i="4"/>
  <c r="O2682" i="4"/>
  <c r="N2682" i="4"/>
  <c r="N2679" i="4"/>
  <c r="O2679" i="4"/>
  <c r="O2599" i="4"/>
  <c r="N2599" i="4"/>
  <c r="O2795" i="4"/>
  <c r="N2795" i="4"/>
  <c r="N2767" i="4"/>
  <c r="O2767" i="4"/>
  <c r="N2735" i="4"/>
  <c r="O2735" i="4"/>
  <c r="N2703" i="4"/>
  <c r="O2703" i="4"/>
  <c r="N2605" i="4"/>
  <c r="O2605" i="4"/>
  <c r="O2641" i="4"/>
  <c r="N2641" i="4"/>
  <c r="O2633" i="4"/>
  <c r="N2633" i="4"/>
  <c r="N2624" i="4"/>
  <c r="O2624" i="4"/>
  <c r="N2592" i="4"/>
  <c r="O2592" i="4"/>
  <c r="O2467" i="4"/>
  <c r="N2467" i="4"/>
  <c r="O2435" i="4"/>
  <c r="N2435" i="4"/>
  <c r="O2403" i="4"/>
  <c r="N2403" i="4"/>
  <c r="N2743" i="4"/>
  <c r="O2743" i="4"/>
  <c r="N2616" i="4"/>
  <c r="O2616" i="4"/>
  <c r="N2473" i="4"/>
  <c r="O2473" i="4"/>
  <c r="N2457" i="4"/>
  <c r="O2457" i="4"/>
  <c r="N2441" i="4"/>
  <c r="O2441" i="4"/>
  <c r="N2425" i="4"/>
  <c r="O2425" i="4"/>
  <c r="N2409" i="4"/>
  <c r="O2409" i="4"/>
  <c r="N2393" i="4"/>
  <c r="O2393" i="4"/>
  <c r="N2377" i="4"/>
  <c r="O2377" i="4"/>
  <c r="O2501" i="4"/>
  <c r="N2501" i="4"/>
  <c r="O2493" i="4"/>
  <c r="N2493" i="4"/>
  <c r="O2485" i="4"/>
  <c r="N2485" i="4"/>
  <c r="O2455" i="4"/>
  <c r="N2455" i="4"/>
  <c r="O2423" i="4"/>
  <c r="N2423" i="4"/>
  <c r="O2391" i="4"/>
  <c r="N2391" i="4"/>
  <c r="O2357" i="4"/>
  <c r="N2357" i="4"/>
  <c r="O2349" i="4"/>
  <c r="N2349" i="4"/>
  <c r="O2341" i="4"/>
  <c r="N2341" i="4"/>
  <c r="O2333" i="4"/>
  <c r="N2333" i="4"/>
  <c r="O2325" i="4"/>
  <c r="N2325" i="4"/>
  <c r="O2317" i="4"/>
  <c r="N2317" i="4"/>
  <c r="O2309" i="4"/>
  <c r="N2309" i="4"/>
  <c r="O2301" i="4"/>
  <c r="N2301" i="4"/>
  <c r="O2293" i="4"/>
  <c r="N2293" i="4"/>
  <c r="O2285" i="4"/>
  <c r="N2285" i="4"/>
  <c r="O2277" i="4"/>
  <c r="N2277" i="4"/>
  <c r="O2269" i="4"/>
  <c r="N2269" i="4"/>
  <c r="O2811" i="4"/>
  <c r="N2811" i="4"/>
  <c r="N2711" i="4"/>
  <c r="O2711" i="4"/>
  <c r="O2166" i="4"/>
  <c r="N2166" i="4"/>
  <c r="O2134" i="4"/>
  <c r="N2134" i="4"/>
  <c r="O2263" i="4"/>
  <c r="N2263" i="4"/>
  <c r="O2255" i="4"/>
  <c r="N2255" i="4"/>
  <c r="O2247" i="4"/>
  <c r="N2247" i="4"/>
  <c r="O2239" i="4"/>
  <c r="N2239" i="4"/>
  <c r="O2231" i="4"/>
  <c r="N2231" i="4"/>
  <c r="O2223" i="4"/>
  <c r="N2223" i="4"/>
  <c r="O2215" i="4"/>
  <c r="N2215" i="4"/>
  <c r="N2188" i="4"/>
  <c r="O2188" i="4"/>
  <c r="N2156" i="4"/>
  <c r="O2156" i="4"/>
  <c r="N2124" i="4"/>
  <c r="O2124" i="4"/>
  <c r="O2092" i="4"/>
  <c r="N2092" i="4"/>
  <c r="O2060" i="4"/>
  <c r="N2060" i="4"/>
  <c r="O2028" i="4"/>
  <c r="N2028" i="4"/>
  <c r="O2186" i="4"/>
  <c r="N2186" i="4"/>
  <c r="O2154" i="4"/>
  <c r="N2154" i="4"/>
  <c r="O2122" i="4"/>
  <c r="N2122" i="4"/>
  <c r="N2098" i="4"/>
  <c r="O2098" i="4"/>
  <c r="N2082" i="4"/>
  <c r="O2082" i="4"/>
  <c r="N2066" i="4"/>
  <c r="O2066" i="4"/>
  <c r="N2050" i="4"/>
  <c r="O2050" i="4"/>
  <c r="N2034" i="4"/>
  <c r="O2034" i="4"/>
  <c r="N2018" i="4"/>
  <c r="O2018" i="4"/>
  <c r="O2184" i="4"/>
  <c r="N2184" i="4"/>
  <c r="O2152" i="4"/>
  <c r="N2152" i="4"/>
  <c r="O2120" i="4"/>
  <c r="N2120" i="4"/>
  <c r="O2096" i="4"/>
  <c r="N2096" i="4"/>
  <c r="O2080" i="4"/>
  <c r="N2080" i="4"/>
  <c r="O2064" i="4"/>
  <c r="N2064" i="4"/>
  <c r="O2048" i="4"/>
  <c r="N2048" i="4"/>
  <c r="O2032" i="4"/>
  <c r="N2032" i="4"/>
  <c r="O2016" i="4"/>
  <c r="N2016" i="4"/>
  <c r="N2021" i="4"/>
  <c r="O2021" i="4"/>
  <c r="O1961" i="4"/>
  <c r="N1961" i="4"/>
  <c r="O1953" i="4"/>
  <c r="N1953" i="4"/>
  <c r="O1945" i="4"/>
  <c r="N1945" i="4"/>
  <c r="O1937" i="4"/>
  <c r="N1937" i="4"/>
  <c r="O1929" i="4"/>
  <c r="N1929" i="4"/>
  <c r="O1921" i="4"/>
  <c r="N1921" i="4"/>
  <c r="O1889" i="4"/>
  <c r="N1889" i="4"/>
  <c r="O1857" i="4"/>
  <c r="N1857" i="4"/>
  <c r="O1825" i="4"/>
  <c r="N1825" i="4"/>
  <c r="N2045" i="4"/>
  <c r="O2045" i="4"/>
  <c r="N2013" i="4"/>
  <c r="O2013" i="4"/>
  <c r="N1911" i="4"/>
  <c r="O1911" i="4"/>
  <c r="N1879" i="4"/>
  <c r="O1879" i="4"/>
  <c r="N1847" i="4"/>
  <c r="O1847" i="4"/>
  <c r="O1917" i="4"/>
  <c r="N1917" i="4"/>
  <c r="O1901" i="4"/>
  <c r="N1901" i="4"/>
  <c r="O1885" i="4"/>
  <c r="N1885" i="4"/>
  <c r="O1869" i="4"/>
  <c r="N1869" i="4"/>
  <c r="O1853" i="4"/>
  <c r="N1853" i="4"/>
  <c r="O1837" i="4"/>
  <c r="N1837" i="4"/>
  <c r="O1821" i="4"/>
  <c r="N1821" i="4"/>
  <c r="O1817" i="4"/>
  <c r="N1817" i="4"/>
  <c r="O1813" i="4"/>
  <c r="N1813" i="4"/>
  <c r="O1809" i="4"/>
  <c r="N1809" i="4"/>
  <c r="O1805" i="4"/>
  <c r="N1805" i="4"/>
  <c r="O1801" i="4"/>
  <c r="N1801" i="4"/>
  <c r="O1797" i="4"/>
  <c r="N1797" i="4"/>
  <c r="O1793" i="4"/>
  <c r="N1793" i="4"/>
  <c r="O1789" i="4"/>
  <c r="N1789" i="4"/>
  <c r="O1785" i="4"/>
  <c r="N1785" i="4"/>
  <c r="O1907" i="4"/>
  <c r="N1907" i="4"/>
  <c r="O1891" i="4"/>
  <c r="N1891" i="4"/>
  <c r="O1875" i="4"/>
  <c r="N1875" i="4"/>
  <c r="O1859" i="4"/>
  <c r="N1859" i="4"/>
  <c r="O1843" i="4"/>
  <c r="N1843" i="4"/>
  <c r="O1827" i="4"/>
  <c r="N1827" i="4"/>
  <c r="N1772" i="4"/>
  <c r="O1772" i="4"/>
  <c r="N1764" i="4"/>
  <c r="O1764" i="4"/>
  <c r="N1756" i="4"/>
  <c r="O1756" i="4"/>
  <c r="N1748" i="4"/>
  <c r="O1748" i="4"/>
  <c r="N1740" i="4"/>
  <c r="O1740" i="4"/>
  <c r="N1732" i="4"/>
  <c r="O1732" i="4"/>
  <c r="N1724" i="4"/>
  <c r="O1724" i="4"/>
  <c r="N1716" i="4"/>
  <c r="O1716" i="4"/>
  <c r="N1708" i="4"/>
  <c r="O1708" i="4"/>
  <c r="N1700" i="4"/>
  <c r="O1700" i="4"/>
  <c r="O1277" i="4"/>
  <c r="N1277" i="4"/>
  <c r="N1283" i="4"/>
  <c r="O1283" i="4"/>
  <c r="N1251" i="4"/>
  <c r="O1251" i="4"/>
  <c r="O1273" i="4"/>
  <c r="N1273" i="4"/>
  <c r="O1257" i="4"/>
  <c r="N1257" i="4"/>
  <c r="O1198" i="4"/>
  <c r="N1198" i="4"/>
  <c r="O1190" i="4"/>
  <c r="N1190" i="4"/>
  <c r="O1182" i="4"/>
  <c r="N1182" i="4"/>
  <c r="O1174" i="4"/>
  <c r="N1174" i="4"/>
  <c r="O1166" i="4"/>
  <c r="N1166" i="4"/>
  <c r="O1158" i="4"/>
  <c r="N1158" i="4"/>
  <c r="O1150" i="4"/>
  <c r="N1150" i="4"/>
  <c r="O1287" i="4"/>
  <c r="N1287" i="4"/>
  <c r="O1271" i="4"/>
  <c r="N1271" i="4"/>
  <c r="O1255" i="4"/>
  <c r="N1255" i="4"/>
  <c r="O848" i="4"/>
  <c r="N848" i="4"/>
  <c r="O816" i="4"/>
  <c r="N816" i="4"/>
  <c r="N796" i="4"/>
  <c r="O796" i="4"/>
  <c r="N788" i="4"/>
  <c r="O788" i="4"/>
  <c r="N780" i="4"/>
  <c r="O780" i="4"/>
  <c r="N772" i="4"/>
  <c r="O772" i="4"/>
  <c r="N764" i="4"/>
  <c r="O764" i="4"/>
  <c r="N756" i="4"/>
  <c r="O756" i="4"/>
  <c r="N748" i="4"/>
  <c r="O748" i="4"/>
  <c r="N740" i="4"/>
  <c r="O740" i="4"/>
  <c r="N732" i="4"/>
  <c r="O732" i="4"/>
  <c r="N724" i="4"/>
  <c r="O724" i="4"/>
  <c r="N716" i="4"/>
  <c r="O716" i="4"/>
  <c r="N708" i="4"/>
  <c r="O708" i="4"/>
  <c r="N700" i="4"/>
  <c r="O700" i="4"/>
  <c r="O681" i="4"/>
  <c r="N681" i="4"/>
  <c r="O649" i="4"/>
  <c r="N649" i="4"/>
  <c r="O617" i="4"/>
  <c r="N617" i="4"/>
  <c r="O585" i="4"/>
  <c r="N585" i="4"/>
  <c r="O553" i="4"/>
  <c r="N553" i="4"/>
  <c r="O521" i="4"/>
  <c r="N521" i="4"/>
  <c r="O489" i="4"/>
  <c r="N489" i="4"/>
  <c r="O457" i="4"/>
  <c r="N457" i="4"/>
  <c r="O425" i="4"/>
  <c r="N425" i="4"/>
  <c r="O862" i="4"/>
  <c r="N862" i="4"/>
  <c r="O830" i="4"/>
  <c r="N830" i="4"/>
  <c r="N671" i="4"/>
  <c r="O671" i="4"/>
  <c r="N639" i="4"/>
  <c r="O639" i="4"/>
  <c r="N607" i="4"/>
  <c r="O607" i="4"/>
  <c r="N575" i="4"/>
  <c r="O575" i="4"/>
  <c r="N543" i="4"/>
  <c r="O543" i="4"/>
  <c r="N511" i="4"/>
  <c r="O511" i="4"/>
  <c r="N479" i="4"/>
  <c r="O479" i="4"/>
  <c r="N447" i="4"/>
  <c r="O447" i="4"/>
  <c r="N415" i="4"/>
  <c r="O415" i="4"/>
  <c r="O852" i="4"/>
  <c r="N852" i="4"/>
  <c r="O820" i="4"/>
  <c r="N820" i="4"/>
  <c r="N798" i="4"/>
  <c r="O798" i="4"/>
  <c r="N790" i="4"/>
  <c r="O790" i="4"/>
  <c r="N782" i="4"/>
  <c r="O782" i="4"/>
  <c r="N774" i="4"/>
  <c r="O774" i="4"/>
  <c r="N766" i="4"/>
  <c r="O766" i="4"/>
  <c r="N758" i="4"/>
  <c r="O758" i="4"/>
  <c r="N750" i="4"/>
  <c r="O750" i="4"/>
  <c r="N742" i="4"/>
  <c r="O742" i="4"/>
  <c r="N734" i="4"/>
  <c r="O734" i="4"/>
  <c r="N726" i="4"/>
  <c r="O726" i="4"/>
  <c r="N718" i="4"/>
  <c r="O718" i="4"/>
  <c r="N710" i="4"/>
  <c r="O710" i="4"/>
  <c r="N702" i="4"/>
  <c r="O702" i="4"/>
  <c r="N795" i="4"/>
  <c r="O795" i="4"/>
  <c r="N787" i="4"/>
  <c r="O787" i="4"/>
  <c r="N779" i="4"/>
  <c r="O779" i="4"/>
  <c r="N771" i="4"/>
  <c r="O771" i="4"/>
  <c r="N763" i="4"/>
  <c r="O763" i="4"/>
  <c r="N755" i="4"/>
  <c r="O755" i="4"/>
  <c r="N747" i="4"/>
  <c r="O747" i="4"/>
  <c r="N739" i="4"/>
  <c r="O739" i="4"/>
  <c r="N731" i="4"/>
  <c r="O731" i="4"/>
  <c r="N723" i="4"/>
  <c r="O723" i="4"/>
  <c r="N715" i="4"/>
  <c r="O715" i="4"/>
  <c r="N707" i="4"/>
  <c r="O707" i="4"/>
  <c r="N699" i="4"/>
  <c r="O699" i="4"/>
  <c r="O667" i="4"/>
  <c r="N667" i="4"/>
  <c r="O635" i="4"/>
  <c r="N635" i="4"/>
  <c r="O603" i="4"/>
  <c r="N603" i="4"/>
  <c r="O571" i="4"/>
  <c r="N571" i="4"/>
  <c r="O539" i="4"/>
  <c r="N539" i="4"/>
  <c r="O507" i="4"/>
  <c r="N507" i="4"/>
  <c r="O475" i="4"/>
  <c r="N475" i="4"/>
  <c r="O443" i="4"/>
  <c r="N443" i="4"/>
  <c r="O411" i="4"/>
  <c r="N411" i="4"/>
  <c r="N3284" i="4"/>
  <c r="O3284" i="4"/>
  <c r="N3293" i="4"/>
  <c r="O3293" i="4"/>
  <c r="O3246" i="4"/>
  <c r="N3246" i="4"/>
  <c r="N3252" i="4"/>
  <c r="O3252" i="4"/>
  <c r="O3248" i="4"/>
  <c r="N3248" i="4"/>
  <c r="N3222" i="4"/>
  <c r="O3222" i="4"/>
  <c r="O3228" i="4"/>
  <c r="N3228" i="4"/>
  <c r="N3172" i="4"/>
  <c r="O3172" i="4"/>
  <c r="O3167" i="4"/>
  <c r="N3167" i="4"/>
  <c r="N3257" i="4"/>
  <c r="O3257" i="4"/>
  <c r="O3143" i="4"/>
  <c r="N3143" i="4"/>
  <c r="O3149" i="4"/>
  <c r="N3149" i="4"/>
  <c r="O3147" i="4"/>
  <c r="N3147" i="4"/>
  <c r="O3131" i="4"/>
  <c r="N3131" i="4"/>
  <c r="N3117" i="4"/>
  <c r="O3117" i="4"/>
  <c r="N3109" i="4"/>
  <c r="O3109" i="4"/>
  <c r="N3101" i="4"/>
  <c r="O3101" i="4"/>
  <c r="N3093" i="4"/>
  <c r="O3093" i="4"/>
  <c r="N3085" i="4"/>
  <c r="O3085" i="4"/>
  <c r="N3077" i="4"/>
  <c r="O3077" i="4"/>
  <c r="O3065" i="4"/>
  <c r="N3065" i="4"/>
  <c r="N3012" i="4"/>
  <c r="O3012" i="4"/>
  <c r="N3004" i="4"/>
  <c r="O3004" i="4"/>
  <c r="N3118" i="4"/>
  <c r="O3118" i="4"/>
  <c r="N3110" i="4"/>
  <c r="O3110" i="4"/>
  <c r="N3102" i="4"/>
  <c r="O3102" i="4"/>
  <c r="N3094" i="4"/>
  <c r="O3094" i="4"/>
  <c r="N3086" i="4"/>
  <c r="O3086" i="4"/>
  <c r="N3078" i="4"/>
  <c r="O3078" i="4"/>
  <c r="O2930" i="4"/>
  <c r="N2930" i="4"/>
  <c r="N2944" i="4"/>
  <c r="O2944" i="4"/>
  <c r="N2996" i="4"/>
  <c r="O2996" i="4"/>
  <c r="N2988" i="4"/>
  <c r="O2988" i="4"/>
  <c r="N2980" i="4"/>
  <c r="O2980" i="4"/>
  <c r="N2972" i="4"/>
  <c r="O2972" i="4"/>
  <c r="N2964" i="4"/>
  <c r="O2964" i="4"/>
  <c r="N2956" i="4"/>
  <c r="O2956" i="4"/>
  <c r="O2912" i="4"/>
  <c r="N2912" i="4"/>
  <c r="N2939" i="4"/>
  <c r="O2939" i="4"/>
  <c r="O2922" i="4"/>
  <c r="N2922" i="4"/>
  <c r="N2902" i="4"/>
  <c r="O2902" i="4"/>
  <c r="O2916" i="4"/>
  <c r="N2916" i="4"/>
  <c r="O2895" i="4"/>
  <c r="N2895" i="4"/>
  <c r="O2887" i="4"/>
  <c r="N2887" i="4"/>
  <c r="O2879" i="4"/>
  <c r="N2879" i="4"/>
  <c r="O2871" i="4"/>
  <c r="N2871" i="4"/>
  <c r="O2898" i="4"/>
  <c r="N2898" i="4"/>
  <c r="N2788" i="4"/>
  <c r="O2788" i="4"/>
  <c r="N2780" i="4"/>
  <c r="O2780" i="4"/>
  <c r="N2772" i="4"/>
  <c r="O2772" i="4"/>
  <c r="N2764" i="4"/>
  <c r="O2764" i="4"/>
  <c r="N2756" i="4"/>
  <c r="O2756" i="4"/>
  <c r="N2748" i="4"/>
  <c r="O2748" i="4"/>
  <c r="N2740" i="4"/>
  <c r="O2740" i="4"/>
  <c r="N2732" i="4"/>
  <c r="O2732" i="4"/>
  <c r="N2724" i="4"/>
  <c r="O2724" i="4"/>
  <c r="N2716" i="4"/>
  <c r="O2716" i="4"/>
  <c r="N2708" i="4"/>
  <c r="O2708" i="4"/>
  <c r="N2700" i="4"/>
  <c r="O2700" i="4"/>
  <c r="N2692" i="4"/>
  <c r="O2692" i="4"/>
  <c r="O2797" i="4"/>
  <c r="N2797" i="4"/>
  <c r="N2771" i="4"/>
  <c r="O2771" i="4"/>
  <c r="N2739" i="4"/>
  <c r="O2739" i="4"/>
  <c r="N2707" i="4"/>
  <c r="O2707" i="4"/>
  <c r="O2623" i="4"/>
  <c r="N2623" i="4"/>
  <c r="O2591" i="4"/>
  <c r="N2591" i="4"/>
  <c r="N2597" i="4"/>
  <c r="O2597" i="4"/>
  <c r="O2803" i="4"/>
  <c r="N2803" i="4"/>
  <c r="N2763" i="4"/>
  <c r="O2763" i="4"/>
  <c r="N2731" i="4"/>
  <c r="O2731" i="4"/>
  <c r="N2699" i="4"/>
  <c r="O2699" i="4"/>
  <c r="O2639" i="4"/>
  <c r="N2639" i="4"/>
  <c r="O2631" i="4"/>
  <c r="N2631" i="4"/>
  <c r="O2619" i="4"/>
  <c r="N2619" i="4"/>
  <c r="O2603" i="4"/>
  <c r="N2603" i="4"/>
  <c r="N2759" i="4"/>
  <c r="O2759" i="4"/>
  <c r="O2459" i="4"/>
  <c r="N2459" i="4"/>
  <c r="O2427" i="4"/>
  <c r="N2427" i="4"/>
  <c r="O2395" i="4"/>
  <c r="N2395" i="4"/>
  <c r="N2791" i="4"/>
  <c r="O2791" i="4"/>
  <c r="N2608" i="4"/>
  <c r="O2608" i="4"/>
  <c r="O2499" i="4"/>
  <c r="N2499" i="4"/>
  <c r="O2491" i="4"/>
  <c r="N2491" i="4"/>
  <c r="O2483" i="4"/>
  <c r="N2483" i="4"/>
  <c r="O2463" i="4"/>
  <c r="N2463" i="4"/>
  <c r="O2431" i="4"/>
  <c r="N2431" i="4"/>
  <c r="O2399" i="4"/>
  <c r="N2399" i="4"/>
  <c r="O2355" i="4"/>
  <c r="N2355" i="4"/>
  <c r="O2347" i="4"/>
  <c r="N2347" i="4"/>
  <c r="O2339" i="4"/>
  <c r="N2339" i="4"/>
  <c r="O2331" i="4"/>
  <c r="N2331" i="4"/>
  <c r="O2323" i="4"/>
  <c r="N2323" i="4"/>
  <c r="O2315" i="4"/>
  <c r="N2315" i="4"/>
  <c r="O2307" i="4"/>
  <c r="N2307" i="4"/>
  <c r="O2299" i="4"/>
  <c r="N2299" i="4"/>
  <c r="O2291" i="4"/>
  <c r="N2291" i="4"/>
  <c r="O2283" i="4"/>
  <c r="N2283" i="4"/>
  <c r="O2275" i="4"/>
  <c r="N2275" i="4"/>
  <c r="O2267" i="4"/>
  <c r="N2267" i="4"/>
  <c r="N2687" i="4"/>
  <c r="O2687" i="4"/>
  <c r="N2600" i="4"/>
  <c r="O2600" i="4"/>
  <c r="O2461" i="4"/>
  <c r="N2461" i="4"/>
  <c r="O2445" i="4"/>
  <c r="N2445" i="4"/>
  <c r="O2429" i="4"/>
  <c r="N2429" i="4"/>
  <c r="O2413" i="4"/>
  <c r="N2413" i="4"/>
  <c r="O2397" i="4"/>
  <c r="N2397" i="4"/>
  <c r="O2381" i="4"/>
  <c r="N2381" i="4"/>
  <c r="O2190" i="4"/>
  <c r="N2190" i="4"/>
  <c r="O2158" i="4"/>
  <c r="N2158" i="4"/>
  <c r="O2126" i="4"/>
  <c r="N2126" i="4"/>
  <c r="N2180" i="4"/>
  <c r="O2180" i="4"/>
  <c r="N2148" i="4"/>
  <c r="O2148" i="4"/>
  <c r="N2116" i="4"/>
  <c r="O2116" i="4"/>
  <c r="O2084" i="4"/>
  <c r="N2084" i="4"/>
  <c r="O2052" i="4"/>
  <c r="N2052" i="4"/>
  <c r="O2020" i="4"/>
  <c r="N2020" i="4"/>
  <c r="O2194" i="4"/>
  <c r="N2194" i="4"/>
  <c r="O2162" i="4"/>
  <c r="N2162" i="4"/>
  <c r="O2130" i="4"/>
  <c r="N2130" i="4"/>
  <c r="O2265" i="4"/>
  <c r="N2265" i="4"/>
  <c r="O2257" i="4"/>
  <c r="N2257" i="4"/>
  <c r="O2249" i="4"/>
  <c r="N2249" i="4"/>
  <c r="O2241" i="4"/>
  <c r="N2241" i="4"/>
  <c r="O2233" i="4"/>
  <c r="N2233" i="4"/>
  <c r="O2225" i="4"/>
  <c r="N2225" i="4"/>
  <c r="O2217" i="4"/>
  <c r="N2217" i="4"/>
  <c r="O2192" i="4"/>
  <c r="N2192" i="4"/>
  <c r="O2160" i="4"/>
  <c r="N2160" i="4"/>
  <c r="O2128" i="4"/>
  <c r="N2128" i="4"/>
  <c r="N2053" i="4"/>
  <c r="O2053" i="4"/>
  <c r="O1959" i="4"/>
  <c r="N1959" i="4"/>
  <c r="O1951" i="4"/>
  <c r="N1951" i="4"/>
  <c r="O1943" i="4"/>
  <c r="N1943" i="4"/>
  <c r="O1935" i="4"/>
  <c r="N1935" i="4"/>
  <c r="O1927" i="4"/>
  <c r="N1927" i="4"/>
  <c r="O1897" i="4"/>
  <c r="N1897" i="4"/>
  <c r="O1865" i="4"/>
  <c r="N1865" i="4"/>
  <c r="O1833" i="4"/>
  <c r="N1833" i="4"/>
  <c r="N2077" i="4"/>
  <c r="O2077" i="4"/>
  <c r="N1903" i="4"/>
  <c r="O1903" i="4"/>
  <c r="N1871" i="4"/>
  <c r="O1871" i="4"/>
  <c r="N1839" i="4"/>
  <c r="O1839" i="4"/>
  <c r="N1775" i="4"/>
  <c r="O1775" i="4"/>
  <c r="N1767" i="4"/>
  <c r="O1767" i="4"/>
  <c r="N1759" i="4"/>
  <c r="O1759" i="4"/>
  <c r="N1751" i="4"/>
  <c r="O1751" i="4"/>
  <c r="N1743" i="4"/>
  <c r="O1743" i="4"/>
  <c r="N1735" i="4"/>
  <c r="O1735" i="4"/>
  <c r="N1727" i="4"/>
  <c r="O1727" i="4"/>
  <c r="N1719" i="4"/>
  <c r="O1719" i="4"/>
  <c r="N1711" i="4"/>
  <c r="O1711" i="4"/>
  <c r="N1703" i="4"/>
  <c r="O1703" i="4"/>
  <c r="O1675" i="4"/>
  <c r="N1675" i="4"/>
  <c r="O1779" i="4"/>
  <c r="N1779" i="4"/>
  <c r="N1697" i="4"/>
  <c r="O1697" i="4"/>
  <c r="N1681" i="4"/>
  <c r="O1681" i="4"/>
  <c r="O1777" i="4"/>
  <c r="N1777" i="4"/>
  <c r="N1769" i="4"/>
  <c r="O1769" i="4"/>
  <c r="N1761" i="4"/>
  <c r="O1761" i="4"/>
  <c r="N1753" i="4"/>
  <c r="O1753" i="4"/>
  <c r="N1745" i="4"/>
  <c r="O1745" i="4"/>
  <c r="N1737" i="4"/>
  <c r="O1737" i="4"/>
  <c r="N1729" i="4"/>
  <c r="O1729" i="4"/>
  <c r="N1721" i="4"/>
  <c r="O1721" i="4"/>
  <c r="N1713" i="4"/>
  <c r="O1713" i="4"/>
  <c r="N1705" i="4"/>
  <c r="O1705" i="4"/>
  <c r="O1695" i="4"/>
  <c r="N1695" i="4"/>
  <c r="O1633" i="4"/>
  <c r="N1633" i="4"/>
  <c r="O1629" i="4"/>
  <c r="N1629" i="4"/>
  <c r="O1625" i="4"/>
  <c r="N1625" i="4"/>
  <c r="O1621" i="4"/>
  <c r="N1621" i="4"/>
  <c r="O1617" i="4"/>
  <c r="N1617" i="4"/>
  <c r="O1613" i="4"/>
  <c r="N1613" i="4"/>
  <c r="O1609" i="4"/>
  <c r="N1609" i="4"/>
  <c r="O1605" i="4"/>
  <c r="N1605" i="4"/>
  <c r="O1601" i="4"/>
  <c r="N1601" i="4"/>
  <c r="O1597" i="4"/>
  <c r="N1597" i="4"/>
  <c r="O1593" i="4"/>
  <c r="N1593" i="4"/>
  <c r="O1589" i="4"/>
  <c r="N1589" i="4"/>
  <c r="O1585" i="4"/>
  <c r="N1585" i="4"/>
  <c r="O1581" i="4"/>
  <c r="N1581" i="4"/>
  <c r="O1577" i="4"/>
  <c r="N1577" i="4"/>
  <c r="O1573" i="4"/>
  <c r="N1573" i="4"/>
  <c r="O1569" i="4"/>
  <c r="N1569" i="4"/>
  <c r="O1565" i="4"/>
  <c r="N1565" i="4"/>
  <c r="O1561" i="4"/>
  <c r="N1561" i="4"/>
  <c r="O1557" i="4"/>
  <c r="N1557" i="4"/>
  <c r="O1553" i="4"/>
  <c r="N1553" i="4"/>
  <c r="O1549" i="4"/>
  <c r="N1549" i="4"/>
  <c r="O1545" i="4"/>
  <c r="N1545" i="4"/>
  <c r="O1541" i="4"/>
  <c r="N1541" i="4"/>
  <c r="O1537" i="4"/>
  <c r="N1537" i="4"/>
  <c r="O1533" i="4"/>
  <c r="N1533" i="4"/>
  <c r="O1529" i="4"/>
  <c r="N1529" i="4"/>
  <c r="O1525" i="4"/>
  <c r="N1525" i="4"/>
  <c r="O1521" i="4"/>
  <c r="N1521" i="4"/>
  <c r="O1517" i="4"/>
  <c r="N1517" i="4"/>
  <c r="O1513" i="4"/>
  <c r="N1513" i="4"/>
  <c r="O1509" i="4"/>
  <c r="N1509" i="4"/>
  <c r="O1505" i="4"/>
  <c r="N1505" i="4"/>
  <c r="O1501" i="4"/>
  <c r="N1501" i="4"/>
  <c r="O1497" i="4"/>
  <c r="N1497" i="4"/>
  <c r="O1493" i="4"/>
  <c r="N1493" i="4"/>
  <c r="O1489" i="4"/>
  <c r="N1489" i="4"/>
  <c r="O1485" i="4"/>
  <c r="N1485" i="4"/>
  <c r="O1481" i="4"/>
  <c r="N1481" i="4"/>
  <c r="N1770" i="4"/>
  <c r="O1770" i="4"/>
  <c r="N1762" i="4"/>
  <c r="O1762" i="4"/>
  <c r="N1754" i="4"/>
  <c r="O1754" i="4"/>
  <c r="N1746" i="4"/>
  <c r="O1746" i="4"/>
  <c r="N1738" i="4"/>
  <c r="O1738" i="4"/>
  <c r="N1730" i="4"/>
  <c r="O1730" i="4"/>
  <c r="N1722" i="4"/>
  <c r="O1722" i="4"/>
  <c r="N1714" i="4"/>
  <c r="O1714" i="4"/>
  <c r="N1706" i="4"/>
  <c r="O1706" i="4"/>
  <c r="O1693" i="4"/>
  <c r="N1693" i="4"/>
  <c r="O1677" i="4"/>
  <c r="N1677" i="4"/>
  <c r="N1475" i="4"/>
  <c r="O1475" i="4"/>
  <c r="N1467" i="4"/>
  <c r="O1467" i="4"/>
  <c r="N1459" i="4"/>
  <c r="O1459" i="4"/>
  <c r="N1451" i="4"/>
  <c r="O1451" i="4"/>
  <c r="N1443" i="4"/>
  <c r="O1443" i="4"/>
  <c r="N1435" i="4"/>
  <c r="O1435" i="4"/>
  <c r="N1427" i="4"/>
  <c r="O1427" i="4"/>
  <c r="N1419" i="4"/>
  <c r="O1419" i="4"/>
  <c r="N1411" i="4"/>
  <c r="O1411" i="4"/>
  <c r="N1403" i="4"/>
  <c r="O1403" i="4"/>
  <c r="N1395" i="4"/>
  <c r="O1395" i="4"/>
  <c r="N1387" i="4"/>
  <c r="O1387" i="4"/>
  <c r="N1379" i="4"/>
  <c r="O1379" i="4"/>
  <c r="N1371" i="4"/>
  <c r="O1371" i="4"/>
  <c r="N1363" i="4"/>
  <c r="O1363" i="4"/>
  <c r="N1355" i="4"/>
  <c r="O1355" i="4"/>
  <c r="N1347" i="4"/>
  <c r="O1347" i="4"/>
  <c r="N1339" i="4"/>
  <c r="O1339" i="4"/>
  <c r="N1331" i="4"/>
  <c r="O1331" i="4"/>
  <c r="N1323" i="4"/>
  <c r="O1323" i="4"/>
  <c r="N1315" i="4"/>
  <c r="O1315" i="4"/>
  <c r="N1307" i="4"/>
  <c r="O1307" i="4"/>
  <c r="N1299" i="4"/>
  <c r="O1299" i="4"/>
  <c r="N1291" i="4"/>
  <c r="O1291" i="4"/>
  <c r="O1269" i="4"/>
  <c r="N1269" i="4"/>
  <c r="N1476" i="4"/>
  <c r="O1476" i="4"/>
  <c r="N1468" i="4"/>
  <c r="O1468" i="4"/>
  <c r="N1460" i="4"/>
  <c r="O1460" i="4"/>
  <c r="N1452" i="4"/>
  <c r="O1452" i="4"/>
  <c r="N1444" i="4"/>
  <c r="O1444" i="4"/>
  <c r="N1436" i="4"/>
  <c r="O1436" i="4"/>
  <c r="N1428" i="4"/>
  <c r="O1428" i="4"/>
  <c r="N1420" i="4"/>
  <c r="O1420" i="4"/>
  <c r="N1412" i="4"/>
  <c r="O1412" i="4"/>
  <c r="N1404" i="4"/>
  <c r="O1404" i="4"/>
  <c r="N1396" i="4"/>
  <c r="O1396" i="4"/>
  <c r="N1388" i="4"/>
  <c r="O1388" i="4"/>
  <c r="N1380" i="4"/>
  <c r="O1380" i="4"/>
  <c r="N1372" i="4"/>
  <c r="O1372" i="4"/>
  <c r="N1364" i="4"/>
  <c r="O1364" i="4"/>
  <c r="N1356" i="4"/>
  <c r="O1356" i="4"/>
  <c r="N1348" i="4"/>
  <c r="O1348" i="4"/>
  <c r="N1340" i="4"/>
  <c r="O1340" i="4"/>
  <c r="N1332" i="4"/>
  <c r="O1332" i="4"/>
  <c r="N1324" i="4"/>
  <c r="O1324" i="4"/>
  <c r="N1316" i="4"/>
  <c r="O1316" i="4"/>
  <c r="N1308" i="4"/>
  <c r="O1308" i="4"/>
  <c r="N1300" i="4"/>
  <c r="O1300" i="4"/>
  <c r="N1292" i="4"/>
  <c r="O1292" i="4"/>
  <c r="N1259" i="4"/>
  <c r="O1259" i="4"/>
  <c r="N1477" i="4"/>
  <c r="O1477" i="4"/>
  <c r="N1469" i="4"/>
  <c r="O1469" i="4"/>
  <c r="N1461" i="4"/>
  <c r="O1461" i="4"/>
  <c r="N1453" i="4"/>
  <c r="O1453" i="4"/>
  <c r="N1445" i="4"/>
  <c r="O1445" i="4"/>
  <c r="N1437" i="4"/>
  <c r="O1437" i="4"/>
  <c r="N1429" i="4"/>
  <c r="O1429" i="4"/>
  <c r="N1421" i="4"/>
  <c r="O1421" i="4"/>
  <c r="N1413" i="4"/>
  <c r="O1413" i="4"/>
  <c r="N1405" i="4"/>
  <c r="O1405" i="4"/>
  <c r="N1397" i="4"/>
  <c r="O1397" i="4"/>
  <c r="N1389" i="4"/>
  <c r="O1389" i="4"/>
  <c r="N1381" i="4"/>
  <c r="O1381" i="4"/>
  <c r="N1373" i="4"/>
  <c r="O1373" i="4"/>
  <c r="N1365" i="4"/>
  <c r="O1365" i="4"/>
  <c r="N1357" i="4"/>
  <c r="O1357" i="4"/>
  <c r="N1349" i="4"/>
  <c r="O1349" i="4"/>
  <c r="N1341" i="4"/>
  <c r="O1341" i="4"/>
  <c r="N1333" i="4"/>
  <c r="O1333" i="4"/>
  <c r="N1325" i="4"/>
  <c r="O1325" i="4"/>
  <c r="N1317" i="4"/>
  <c r="O1317" i="4"/>
  <c r="N1309" i="4"/>
  <c r="O1309" i="4"/>
  <c r="N1301" i="4"/>
  <c r="O1301" i="4"/>
  <c r="N1293" i="4"/>
  <c r="O1293" i="4"/>
  <c r="O1196" i="4"/>
  <c r="N1196" i="4"/>
  <c r="O1188" i="4"/>
  <c r="N1188" i="4"/>
  <c r="O1180" i="4"/>
  <c r="N1180" i="4"/>
  <c r="O1172" i="4"/>
  <c r="N1172" i="4"/>
  <c r="O1164" i="4"/>
  <c r="N1164" i="4"/>
  <c r="O1156" i="4"/>
  <c r="N1156" i="4"/>
  <c r="O1148" i="4"/>
  <c r="N1148" i="4"/>
  <c r="O1144" i="4"/>
  <c r="N1144" i="4"/>
  <c r="O1140" i="4"/>
  <c r="N1140" i="4"/>
  <c r="O1136" i="4"/>
  <c r="N1136" i="4"/>
  <c r="O1132" i="4"/>
  <c r="N1132" i="4"/>
  <c r="O1128" i="4"/>
  <c r="N1128" i="4"/>
  <c r="O1124" i="4"/>
  <c r="N1124" i="4"/>
  <c r="O1120" i="4"/>
  <c r="N1120" i="4"/>
  <c r="O1116" i="4"/>
  <c r="N1116" i="4"/>
  <c r="O1112" i="4"/>
  <c r="N1112" i="4"/>
  <c r="O1108" i="4"/>
  <c r="N1108" i="4"/>
  <c r="O1104" i="4"/>
  <c r="N1104" i="4"/>
  <c r="O1100" i="4"/>
  <c r="N1100" i="4"/>
  <c r="O1096" i="4"/>
  <c r="N1096" i="4"/>
  <c r="O1092" i="4"/>
  <c r="N1092" i="4"/>
  <c r="O1088" i="4"/>
  <c r="N1088" i="4"/>
  <c r="O1084" i="4"/>
  <c r="N1084" i="4"/>
  <c r="O1080" i="4"/>
  <c r="N1080" i="4"/>
  <c r="O1076" i="4"/>
  <c r="N1076" i="4"/>
  <c r="O1072" i="4"/>
  <c r="N1072" i="4"/>
  <c r="O1068" i="4"/>
  <c r="N1068" i="4"/>
  <c r="O1064" i="4"/>
  <c r="N1064" i="4"/>
  <c r="O1060" i="4"/>
  <c r="N1060" i="4"/>
  <c r="O1056" i="4"/>
  <c r="N1056" i="4"/>
  <c r="O1052" i="4"/>
  <c r="N1052" i="4"/>
  <c r="O1048" i="4"/>
  <c r="N1048" i="4"/>
  <c r="O1044" i="4"/>
  <c r="N1044" i="4"/>
  <c r="O1040" i="4"/>
  <c r="N1040" i="4"/>
  <c r="O1036" i="4"/>
  <c r="N1036" i="4"/>
  <c r="O1032" i="4"/>
  <c r="N1032" i="4"/>
  <c r="O1028" i="4"/>
  <c r="N1028" i="4"/>
  <c r="O1024" i="4"/>
  <c r="N1024" i="4"/>
  <c r="O1020" i="4"/>
  <c r="N1020" i="4"/>
  <c r="O1016" i="4"/>
  <c r="N1016" i="4"/>
  <c r="O1012" i="4"/>
  <c r="N1012" i="4"/>
  <c r="O1008" i="4"/>
  <c r="N1008" i="4"/>
  <c r="O1004" i="4"/>
  <c r="N1004" i="4"/>
  <c r="O1000" i="4"/>
  <c r="N1000" i="4"/>
  <c r="O996" i="4"/>
  <c r="N996" i="4"/>
  <c r="O992" i="4"/>
  <c r="N992" i="4"/>
  <c r="O988" i="4"/>
  <c r="N988" i="4"/>
  <c r="O984" i="4"/>
  <c r="N984" i="4"/>
  <c r="O980" i="4"/>
  <c r="N980" i="4"/>
  <c r="O976" i="4"/>
  <c r="N976" i="4"/>
  <c r="O972" i="4"/>
  <c r="N972" i="4"/>
  <c r="O968" i="4"/>
  <c r="N968" i="4"/>
  <c r="O964" i="4"/>
  <c r="N964" i="4"/>
  <c r="O960" i="4"/>
  <c r="N960" i="4"/>
  <c r="O956" i="4"/>
  <c r="N956" i="4"/>
  <c r="O952" i="4"/>
  <c r="N952" i="4"/>
  <c r="O948" i="4"/>
  <c r="N948" i="4"/>
  <c r="O944" i="4"/>
  <c r="N944" i="4"/>
  <c r="O940" i="4"/>
  <c r="N940" i="4"/>
  <c r="O936" i="4"/>
  <c r="N936" i="4"/>
  <c r="O932" i="4"/>
  <c r="N932" i="4"/>
  <c r="O928" i="4"/>
  <c r="N928" i="4"/>
  <c r="O924" i="4"/>
  <c r="N924" i="4"/>
  <c r="O920" i="4"/>
  <c r="N920" i="4"/>
  <c r="O916" i="4"/>
  <c r="N916" i="4"/>
  <c r="O912" i="4"/>
  <c r="N912" i="4"/>
  <c r="O908" i="4"/>
  <c r="N908" i="4"/>
  <c r="O904" i="4"/>
  <c r="N904" i="4"/>
  <c r="O900" i="4"/>
  <c r="N900" i="4"/>
  <c r="O896" i="4"/>
  <c r="N896" i="4"/>
  <c r="O892" i="4"/>
  <c r="N892" i="4"/>
  <c r="O888" i="4"/>
  <c r="N888" i="4"/>
  <c r="O884" i="4"/>
  <c r="N884" i="4"/>
  <c r="O880" i="4"/>
  <c r="N880" i="4"/>
  <c r="O876" i="4"/>
  <c r="N876" i="4"/>
  <c r="O872" i="4"/>
  <c r="N872" i="4"/>
  <c r="O868" i="4"/>
  <c r="N868" i="4"/>
  <c r="N1470" i="4"/>
  <c r="O1470" i="4"/>
  <c r="N1462" i="4"/>
  <c r="O1462" i="4"/>
  <c r="N1454" i="4"/>
  <c r="O1454" i="4"/>
  <c r="N1446" i="4"/>
  <c r="O1446" i="4"/>
  <c r="N1438" i="4"/>
  <c r="O1438" i="4"/>
  <c r="N1430" i="4"/>
  <c r="O1430" i="4"/>
  <c r="N1422" i="4"/>
  <c r="O1422" i="4"/>
  <c r="N1414" i="4"/>
  <c r="O1414" i="4"/>
  <c r="N1406" i="4"/>
  <c r="O1406" i="4"/>
  <c r="N1398" i="4"/>
  <c r="O1398" i="4"/>
  <c r="N1390" i="4"/>
  <c r="O1390" i="4"/>
  <c r="N1382" i="4"/>
  <c r="O1382" i="4"/>
  <c r="N1374" i="4"/>
  <c r="O1374" i="4"/>
  <c r="N1366" i="4"/>
  <c r="O1366" i="4"/>
  <c r="N1358" i="4"/>
  <c r="O1358" i="4"/>
  <c r="N1350" i="4"/>
  <c r="O1350" i="4"/>
  <c r="N1342" i="4"/>
  <c r="O1342" i="4"/>
  <c r="N1334" i="4"/>
  <c r="O1334" i="4"/>
  <c r="N1326" i="4"/>
  <c r="O1326" i="4"/>
  <c r="N1318" i="4"/>
  <c r="O1318" i="4"/>
  <c r="N1310" i="4"/>
  <c r="O1310" i="4"/>
  <c r="N1302" i="4"/>
  <c r="O1302" i="4"/>
  <c r="N1294" i="4"/>
  <c r="O1294" i="4"/>
  <c r="O856" i="4"/>
  <c r="N856" i="4"/>
  <c r="O824" i="4"/>
  <c r="N824" i="4"/>
  <c r="O689" i="4"/>
  <c r="N689" i="4"/>
  <c r="O657" i="4"/>
  <c r="N657" i="4"/>
  <c r="O625" i="4"/>
  <c r="N625" i="4"/>
  <c r="O593" i="4"/>
  <c r="N593" i="4"/>
  <c r="O561" i="4"/>
  <c r="N561" i="4"/>
  <c r="O529" i="4"/>
  <c r="N529" i="4"/>
  <c r="O497" i="4"/>
  <c r="N497" i="4"/>
  <c r="O465" i="4"/>
  <c r="N465" i="4"/>
  <c r="O433" i="4"/>
  <c r="N433" i="4"/>
  <c r="O401" i="4"/>
  <c r="N401" i="4"/>
  <c r="O838" i="4"/>
  <c r="N838" i="4"/>
  <c r="O806" i="4"/>
  <c r="N806" i="4"/>
  <c r="N797" i="4"/>
  <c r="O797" i="4"/>
  <c r="N789" i="4"/>
  <c r="O789" i="4"/>
  <c r="N781" i="4"/>
  <c r="O781" i="4"/>
  <c r="N773" i="4"/>
  <c r="O773" i="4"/>
  <c r="N765" i="4"/>
  <c r="O765" i="4"/>
  <c r="N757" i="4"/>
  <c r="O757" i="4"/>
  <c r="N749" i="4"/>
  <c r="O749" i="4"/>
  <c r="N741" i="4"/>
  <c r="O741" i="4"/>
  <c r="N733" i="4"/>
  <c r="O733" i="4"/>
  <c r="N725" i="4"/>
  <c r="O725" i="4"/>
  <c r="N717" i="4"/>
  <c r="O717" i="4"/>
  <c r="N709" i="4"/>
  <c r="O709" i="4"/>
  <c r="N701" i="4"/>
  <c r="O701" i="4"/>
  <c r="N679" i="4"/>
  <c r="O679" i="4"/>
  <c r="N647" i="4"/>
  <c r="O647" i="4"/>
  <c r="N615" i="4"/>
  <c r="O615" i="4"/>
  <c r="N583" i="4"/>
  <c r="O583" i="4"/>
  <c r="N551" i="4"/>
  <c r="O551" i="4"/>
  <c r="N519" i="4"/>
  <c r="O519" i="4"/>
  <c r="N487" i="4"/>
  <c r="O487" i="4"/>
  <c r="N455" i="4"/>
  <c r="O455" i="4"/>
  <c r="N423" i="4"/>
  <c r="O423" i="4"/>
  <c r="A14" i="5"/>
  <c r="O860" i="4"/>
  <c r="N860" i="4"/>
  <c r="O828" i="4"/>
  <c r="N828" i="4"/>
  <c r="O685" i="4"/>
  <c r="N685" i="4"/>
  <c r="O669" i="4"/>
  <c r="N669" i="4"/>
  <c r="O653" i="4"/>
  <c r="N653" i="4"/>
  <c r="O637" i="4"/>
  <c r="N637" i="4"/>
  <c r="O621" i="4"/>
  <c r="N621" i="4"/>
  <c r="O605" i="4"/>
  <c r="N605" i="4"/>
  <c r="O589" i="4"/>
  <c r="N589" i="4"/>
  <c r="O573" i="4"/>
  <c r="N573" i="4"/>
  <c r="O557" i="4"/>
  <c r="N557" i="4"/>
  <c r="O541" i="4"/>
  <c r="N541" i="4"/>
  <c r="O525" i="4"/>
  <c r="N525" i="4"/>
  <c r="O509" i="4"/>
  <c r="N509" i="4"/>
  <c r="O493" i="4"/>
  <c r="N493" i="4"/>
  <c r="O477" i="4"/>
  <c r="N477" i="4"/>
  <c r="O461" i="4"/>
  <c r="N461" i="4"/>
  <c r="O445" i="4"/>
  <c r="N445" i="4"/>
  <c r="O429" i="4"/>
  <c r="N429" i="4"/>
  <c r="O413" i="4"/>
  <c r="N413" i="4"/>
  <c r="O858" i="4"/>
  <c r="N858" i="4"/>
  <c r="O842" i="4"/>
  <c r="N842" i="4"/>
  <c r="O826" i="4"/>
  <c r="N826" i="4"/>
  <c r="O810" i="4"/>
  <c r="N810" i="4"/>
  <c r="O691" i="4"/>
  <c r="N691" i="4"/>
  <c r="O659" i="4"/>
  <c r="N659" i="4"/>
  <c r="O627" i="4"/>
  <c r="N627" i="4"/>
  <c r="O595" i="4"/>
  <c r="N595" i="4"/>
  <c r="O563" i="4"/>
  <c r="N563" i="4"/>
  <c r="O531" i="4"/>
  <c r="N531" i="4"/>
  <c r="O499" i="4"/>
  <c r="N499" i="4"/>
  <c r="O467" i="4"/>
  <c r="N467" i="4"/>
  <c r="O435" i="4"/>
  <c r="N435" i="4"/>
  <c r="O403" i="4"/>
  <c r="N403" i="4"/>
</calcChain>
</file>

<file path=xl/sharedStrings.xml><?xml version="1.0" encoding="utf-8"?>
<sst xmlns="http://schemas.openxmlformats.org/spreadsheetml/2006/main" count="43480" uniqueCount="3712">
  <si>
    <t>Order ID</t>
  </si>
  <si>
    <t>Order Date</t>
  </si>
  <si>
    <t>Customer ID</t>
  </si>
  <si>
    <t>Product_ID</t>
  </si>
  <si>
    <t>Segment</t>
  </si>
  <si>
    <t>Region</t>
  </si>
  <si>
    <t>Category</t>
  </si>
  <si>
    <t>Quantity</t>
  </si>
  <si>
    <t>ORD-1000</t>
  </si>
  <si>
    <t>CUST-106</t>
  </si>
  <si>
    <t>PROD-003</t>
  </si>
  <si>
    <t>Consumer</t>
  </si>
  <si>
    <t>North</t>
  </si>
  <si>
    <t>Electronics</t>
  </si>
  <si>
    <t>ORD-1001</t>
  </si>
  <si>
    <t>CUST-113</t>
  </si>
  <si>
    <t>PROD-005</t>
  </si>
  <si>
    <t>Corporate</t>
  </si>
  <si>
    <t xml:space="preserve"> Central </t>
  </si>
  <si>
    <t>ORD-1002</t>
  </si>
  <si>
    <t>CUST-144</t>
  </si>
  <si>
    <t>PROD-021</t>
  </si>
  <si>
    <t>Home Office</t>
  </si>
  <si>
    <t>Toys</t>
  </si>
  <si>
    <t>ORD-1003</t>
  </si>
  <si>
    <t>CUST-100</t>
  </si>
  <si>
    <t>PROD-009</t>
  </si>
  <si>
    <t>West</t>
  </si>
  <si>
    <t>Clothing</t>
  </si>
  <si>
    <t>ORD-1004</t>
  </si>
  <si>
    <t>CUST-121</t>
  </si>
  <si>
    <t>PROD-013</t>
  </si>
  <si>
    <t>Home &amp; Kitchen</t>
  </si>
  <si>
    <t>ORD-1005</t>
  </si>
  <si>
    <t>CUST-116</t>
  </si>
  <si>
    <t>PROD-016</t>
  </si>
  <si>
    <t>Office Supplies</t>
  </si>
  <si>
    <t>ORD-1006</t>
  </si>
  <si>
    <t>CUST-140</t>
  </si>
  <si>
    <t>ORD-1007</t>
  </si>
  <si>
    <t>CUST-114</t>
  </si>
  <si>
    <t>PROD-022</t>
  </si>
  <si>
    <t>East</t>
  </si>
  <si>
    <t>ORD-1008</t>
  </si>
  <si>
    <t>CUST-123</t>
  </si>
  <si>
    <t>PROD-006</t>
  </si>
  <si>
    <t>ORD-1009</t>
  </si>
  <si>
    <t>CUST-143</t>
  </si>
  <si>
    <t>PROD-012</t>
  </si>
  <si>
    <t>home &amp; kitchen</t>
  </si>
  <si>
    <t>ORD-1010</t>
  </si>
  <si>
    <t>CUST-129</t>
  </si>
  <si>
    <t>ORD-1011</t>
  </si>
  <si>
    <t>CUST-149</t>
  </si>
  <si>
    <t>ORD-1012</t>
  </si>
  <si>
    <t>CUST-136</t>
  </si>
  <si>
    <t>South</t>
  </si>
  <si>
    <t>ORD-1013</t>
  </si>
  <si>
    <t>CUST-108</t>
  </si>
  <si>
    <t>PROD-019</t>
  </si>
  <si>
    <t>ORD-1014</t>
  </si>
  <si>
    <t>CUST-137</t>
  </si>
  <si>
    <t>PROD-023</t>
  </si>
  <si>
    <t>ORD-1015</t>
  </si>
  <si>
    <t>CUST-103</t>
  </si>
  <si>
    <t>PROD-007</t>
  </si>
  <si>
    <t>clothing</t>
  </si>
  <si>
    <t>ORD-1016</t>
  </si>
  <si>
    <t>CUST-138</t>
  </si>
  <si>
    <t>ORD-1017</t>
  </si>
  <si>
    <t>PROD-015</t>
  </si>
  <si>
    <t>ORD-1018</t>
  </si>
  <si>
    <t>PROD-011</t>
  </si>
  <si>
    <t>ORD-1019</t>
  </si>
  <si>
    <t>PROD-010</t>
  </si>
  <si>
    <t>ORD-1020</t>
  </si>
  <si>
    <t>ORD-1021</t>
  </si>
  <si>
    <t>ORD-1022</t>
  </si>
  <si>
    <t>CUST-131</t>
  </si>
  <si>
    <t>PROD-002</t>
  </si>
  <si>
    <t>ORD-1023</t>
  </si>
  <si>
    <t>CUST-110</t>
  </si>
  <si>
    <t>ORD-1024</t>
  </si>
  <si>
    <t>CUST-146</t>
  </si>
  <si>
    <t>PROD-024</t>
  </si>
  <si>
    <t>ORD-1025</t>
  </si>
  <si>
    <t>CUST-133</t>
  </si>
  <si>
    <t>PROD-014</t>
  </si>
  <si>
    <t>ORD-1026</t>
  </si>
  <si>
    <t>CUST-135</t>
  </si>
  <si>
    <t>ORD-1027</t>
  </si>
  <si>
    <t>ORD-1028</t>
  </si>
  <si>
    <t>ORD-1029</t>
  </si>
  <si>
    <t>CUST-130</t>
  </si>
  <si>
    <t>ORD-1030</t>
  </si>
  <si>
    <t>CUST-126</t>
  </si>
  <si>
    <t>PROD-001</t>
  </si>
  <si>
    <t>ORD-1031</t>
  </si>
  <si>
    <t>ORD-1032</t>
  </si>
  <si>
    <t>CUST-117</t>
  </si>
  <si>
    <t>ORD-1033</t>
  </si>
  <si>
    <t>CUST-134</t>
  </si>
  <si>
    <t>PROD-004</t>
  </si>
  <si>
    <t>ORD-1034</t>
  </si>
  <si>
    <t>CUST-125</t>
  </si>
  <si>
    <t>ORD-1035</t>
  </si>
  <si>
    <t>CUST-150</t>
  </si>
  <si>
    <t>ORD-1036</t>
  </si>
  <si>
    <t>CUST-112</t>
  </si>
  <si>
    <t>PROD-020</t>
  </si>
  <si>
    <t>ORD-1037</t>
  </si>
  <si>
    <t>CUST-120</t>
  </si>
  <si>
    <t>ORD-1038</t>
  </si>
  <si>
    <t>ORD-1039</t>
  </si>
  <si>
    <t>CUST-115</t>
  </si>
  <si>
    <t>ORD-1040</t>
  </si>
  <si>
    <t>CUST-105</t>
  </si>
  <si>
    <t>ORD-1041</t>
  </si>
  <si>
    <t>CUST-142</t>
  </si>
  <si>
    <t>PROD-025</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</si>
  <si>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</si>
  <si>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</si>
  <si>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</si>
  <si>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</si>
  <si>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</si>
  <si>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</si>
  <si>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</si>
  <si>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</si>
  <si>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</si>
  <si>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</si>
  <si>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</si>
  <si>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</si>
  <si>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</si>
  <si>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</si>
  <si>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</si>
  <si>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</si>
  <si>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</si>
  <si>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</si>
  <si>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</si>
  <si>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</si>
  <si>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</si>
  <si>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</si>
  <si>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</si>
  <si>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</si>
  <si>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</si>
  <si>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</si>
  <si>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</si>
  <si>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</si>
  <si>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</si>
  <si>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</si>
  <si>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</si>
  <si>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</si>
  <si>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toys</t>
  </si>
  <si>
    <t>ORD-1066</t>
  </si>
  <si>
    <t>ORD-1067</t>
  </si>
  <si>
    <t>ORD-1068</t>
  </si>
  <si>
    <t>ORD-1069</t>
  </si>
  <si>
    <t>ORD-1070</t>
  </si>
  <si>
    <t>ORD-1071</t>
  </si>
  <si>
    <t>CUST-148</t>
  </si>
  <si>
    <t>PROD-017</t>
  </si>
  <si>
    <t>ORD-1072</t>
  </si>
  <si>
    <t>ORD-1073</t>
  </si>
  <si>
    <t>office supplies</t>
  </si>
  <si>
    <t>ORD-1074</t>
  </si>
  <si>
    <t>ORD-1075</t>
  </si>
  <si>
    <t>ORD-1076</t>
  </si>
  <si>
    <t>CUST-118</t>
  </si>
  <si>
    <t>ORD-1077</t>
  </si>
  <si>
    <t>ORD-1078</t>
  </si>
  <si>
    <t>ORD-1079</t>
  </si>
  <si>
    <t>ORD-1080</t>
  </si>
  <si>
    <t>ORD-1081</t>
  </si>
  <si>
    <t>ORD-1082</t>
  </si>
  <si>
    <t>PROD-018</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</si>
  <si>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</si>
  <si>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</si>
  <si>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</si>
  <si>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</si>
  <si>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</si>
  <si>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</si>
  <si>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</si>
  <si>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</si>
  <si>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</si>
  <si>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</si>
  <si>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</si>
  <si>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</si>
  <si>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</si>
  <si>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</si>
  <si>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</si>
  <si>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</si>
  <si>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</si>
  <si>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</si>
  <si>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</si>
  <si>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</si>
  <si>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</si>
  <si>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</si>
  <si>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PROD-008</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</si>
  <si>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</si>
  <si>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</si>
  <si>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</si>
  <si>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</si>
  <si>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</si>
  <si>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</si>
  <si>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</si>
  <si>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</si>
  <si>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</si>
  <si>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</si>
  <si>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</si>
  <si>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</si>
  <si>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</si>
  <si>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</si>
  <si>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</si>
  <si>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</si>
  <si>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</si>
  <si>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</si>
  <si>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</si>
  <si>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</si>
  <si>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</si>
  <si>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</si>
  <si>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</si>
  <si>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</si>
  <si>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</si>
  <si>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</si>
  <si>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</si>
  <si>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</si>
  <si>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</si>
  <si>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</si>
  <si>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</si>
  <si>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</si>
  <si>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</si>
  <si>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</si>
  <si>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</si>
  <si>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</si>
  <si>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</si>
  <si>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</si>
  <si>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</si>
  <si>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</si>
  <si>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</si>
  <si>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</si>
  <si>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</si>
  <si>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</si>
  <si>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</si>
  <si>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</si>
  <si>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</si>
  <si>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electronics</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</si>
  <si>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</si>
  <si>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</si>
  <si>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</si>
  <si>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</si>
  <si>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</si>
  <si>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</si>
  <si>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</si>
  <si>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</si>
  <si>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</si>
  <si>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</si>
  <si>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</si>
  <si>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</si>
  <si>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</si>
  <si>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</si>
  <si>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</si>
  <si>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</si>
  <si>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</si>
  <si>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</si>
  <si>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</si>
  <si>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</si>
  <si>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</si>
  <si>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</si>
  <si>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</si>
  <si>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</si>
  <si>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</si>
  <si>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</si>
  <si>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</si>
  <si>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</si>
  <si>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</si>
  <si>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</si>
  <si>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</si>
  <si>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</si>
  <si>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</si>
  <si>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</si>
  <si>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</si>
  <si>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</si>
  <si>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</si>
  <si>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</si>
  <si>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</si>
  <si>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</si>
  <si>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</si>
  <si>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</si>
  <si>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</si>
  <si>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</si>
  <si>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</si>
  <si>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</si>
  <si>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</si>
  <si>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</si>
  <si>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</si>
  <si>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</si>
  <si>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</si>
  <si>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</si>
  <si>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</si>
  <si>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</si>
  <si>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</si>
  <si>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</si>
  <si>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</si>
  <si>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</si>
  <si>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CUST-194</t>
  </si>
  <si>
    <t>ORD-1202</t>
  </si>
  <si>
    <t>Central</t>
  </si>
  <si>
    <t>ORD-1203</t>
  </si>
  <si>
    <t>ORD-1204</t>
  </si>
  <si>
    <t>CUST-154</t>
  </si>
  <si>
    <t>ORD-1205</t>
  </si>
  <si>
    <t>ORD-1206</t>
  </si>
  <si>
    <t>CUST-168</t>
  </si>
  <si>
    <t>ORD-1207</t>
  </si>
  <si>
    <t>CUST-173</t>
  </si>
  <si>
    <t>ORD-1208</t>
  </si>
  <si>
    <t>ORD-1209</t>
  </si>
  <si>
    <t>CUST-185</t>
  </si>
  <si>
    <t>ORD-1210</t>
  </si>
  <si>
    <t>CUST-159</t>
  </si>
  <si>
    <t>ORD-1211</t>
  </si>
  <si>
    <t>ORD-1212</t>
  </si>
  <si>
    <t>ORD-1213</t>
  </si>
  <si>
    <t>CUST-195</t>
  </si>
  <si>
    <t>ORD-1214</t>
  </si>
  <si>
    <t>ORD-1215</t>
  </si>
  <si>
    <t>ORD-1216</t>
  </si>
  <si>
    <t>CUST-176</t>
  </si>
  <si>
    <t>ORD-1217</t>
  </si>
  <si>
    <t>CUST-192</t>
  </si>
  <si>
    <t>ORD-1218</t>
  </si>
  <si>
    <t>ORD-1219</t>
  </si>
  <si>
    <t>CUST-197</t>
  </si>
  <si>
    <t>ORD-1220</t>
  </si>
  <si>
    <t>ORD-1221</t>
  </si>
  <si>
    <t>ORD-1222</t>
  </si>
  <si>
    <t>ORD-1223</t>
  </si>
  <si>
    <t>CUST-198</t>
  </si>
  <si>
    <t>ORD-1224</t>
  </si>
  <si>
    <t>CUST-167</t>
  </si>
  <si>
    <t>ORD-1225</t>
  </si>
  <si>
    <t>CUST-151</t>
  </si>
  <si>
    <t>ORD-1226</t>
  </si>
  <si>
    <t>ORD-1227</t>
  </si>
  <si>
    <t>ORD-1228</t>
  </si>
  <si>
    <t>CUST-165</t>
  </si>
  <si>
    <t>ORD-1229</t>
  </si>
  <si>
    <t>ORD-1230</t>
  </si>
  <si>
    <t>CUST-155</t>
  </si>
  <si>
    <t>ORD-1231</t>
  </si>
  <si>
    <t>CUST-183</t>
  </si>
  <si>
    <t>ORD-1232</t>
  </si>
  <si>
    <t>ORD-1233</t>
  </si>
  <si>
    <t>ORD-1234</t>
  </si>
  <si>
    <t>ORD-1235</t>
  </si>
  <si>
    <t>ORD-1236</t>
  </si>
  <si>
    <t>ORD-1237</t>
  </si>
  <si>
    <t>ORD-1238</t>
  </si>
  <si>
    <t>CUST-164</t>
  </si>
  <si>
    <t>ORD-1239</t>
  </si>
  <si>
    <t>ORD-1240</t>
  </si>
  <si>
    <t>CUST-174</t>
  </si>
  <si>
    <t>ORD-1241</t>
  </si>
  <si>
    <t>CUST-166</t>
  </si>
  <si>
    <t>ORD-1242</t>
  </si>
  <si>
    <t>ORD-1243</t>
  </si>
  <si>
    <t>CUST-158</t>
  </si>
  <si>
    <t>ORD-1244</t>
  </si>
  <si>
    <t>ORD-1245</t>
  </si>
  <si>
    <t>CUST-190</t>
  </si>
  <si>
    <t>ORD-1246</t>
  </si>
  <si>
    <t>CUST-184</t>
  </si>
  <si>
    <t>ORD-1247</t>
  </si>
  <si>
    <t>ORD-1248</t>
  </si>
  <si>
    <t>CUST-162</t>
  </si>
  <si>
    <t>ORD-1249</t>
  </si>
  <si>
    <t>ORD-1250</t>
  </si>
  <si>
    <t>ORD-1251</t>
  </si>
  <si>
    <t>CUST-170</t>
  </si>
  <si>
    <t>ORD-1252</t>
  </si>
  <si>
    <t>ORD-1253</t>
  </si>
  <si>
    <t>CUST-179</t>
  </si>
  <si>
    <t>ORD-1254</t>
  </si>
  <si>
    <t>ORD-1255</t>
  </si>
  <si>
    <t>ORD-1256</t>
  </si>
  <si>
    <t>ORD-1257</t>
  </si>
  <si>
    <t>ORD-1258</t>
  </si>
  <si>
    <t>ORD-1259</t>
  </si>
  <si>
    <t>CUST-193</t>
  </si>
  <si>
    <t>ORD-1260</t>
  </si>
  <si>
    <t>ORD-1261</t>
  </si>
  <si>
    <t>ORD-1262</t>
  </si>
  <si>
    <t>ORD-1263</t>
  </si>
  <si>
    <t>ORD-1264</t>
  </si>
  <si>
    <t>ORD-1265</t>
  </si>
  <si>
    <t>ORD-1266</t>
  </si>
  <si>
    <t>CUST-156</t>
  </si>
  <si>
    <t>ORD-1267</t>
  </si>
  <si>
    <t>ORD-1268</t>
  </si>
  <si>
    <t>ORD-1269</t>
  </si>
  <si>
    <t>ORD-1270</t>
  </si>
  <si>
    <t>ORD-1271</t>
  </si>
  <si>
    <t>ORD-1272</t>
  </si>
  <si>
    <t>ORD-1273</t>
  </si>
  <si>
    <t>ORD-1274</t>
  </si>
  <si>
    <t>ORD-1275</t>
  </si>
  <si>
    <t>ORD-1276</t>
  </si>
  <si>
    <t>ORD-1277</t>
  </si>
  <si>
    <t>CUST-152</t>
  </si>
  <si>
    <t>ORD-1278</t>
  </si>
  <si>
    <t>ORD-1279</t>
  </si>
  <si>
    <t>ORD-1280</t>
  </si>
  <si>
    <t>ORD-1281</t>
  </si>
  <si>
    <t>ORD-1282</t>
  </si>
  <si>
    <t>ORD-1283</t>
  </si>
  <si>
    <t>ORD-1284</t>
  </si>
  <si>
    <t>ORD-1285</t>
  </si>
  <si>
    <t>ORD-1286</t>
  </si>
  <si>
    <t>ORD-1287</t>
  </si>
  <si>
    <t>ORD-1288</t>
  </si>
  <si>
    <t>CUST-199</t>
  </si>
  <si>
    <t>ORD-1289</t>
  </si>
  <si>
    <t>CUST-186</t>
  </si>
  <si>
    <t>ORD-1290</t>
  </si>
  <si>
    <t>CUST-189</t>
  </si>
  <si>
    <t>ORD-1291</t>
  </si>
  <si>
    <t>ORD-1292</t>
  </si>
  <si>
    <t>ORD-1293</t>
  </si>
  <si>
    <t>ORD-1294</t>
  </si>
  <si>
    <t>ORD-1295</t>
  </si>
  <si>
    <t>CUST-157</t>
  </si>
  <si>
    <t>ORD-1296</t>
  </si>
  <si>
    <t>CUST-163</t>
  </si>
  <si>
    <t>ORD-1297</t>
  </si>
  <si>
    <t>ORD-1298</t>
  </si>
  <si>
    <t>ORD-1299</t>
  </si>
  <si>
    <t>CUST-191</t>
  </si>
  <si>
    <t>ORD-1300</t>
  </si>
  <si>
    <t>ORD-1301</t>
  </si>
  <si>
    <t>ORD-1302</t>
  </si>
  <si>
    <t>ORD-1303</t>
  </si>
  <si>
    <t>ORD-1304</t>
  </si>
  <si>
    <t>ORD-1305</t>
  </si>
  <si>
    <t>ORD-1306</t>
  </si>
  <si>
    <t>ORD-1307</t>
  </si>
  <si>
    <t>ORD-1308</t>
  </si>
  <si>
    <t>ORD-1309</t>
  </si>
  <si>
    <t>ORD-1310</t>
  </si>
  <si>
    <t>ORD-1311</t>
  </si>
  <si>
    <t>CUST-175</t>
  </si>
  <si>
    <t>ORD-1312</t>
  </si>
  <si>
    <t>CUST-180</t>
  </si>
  <si>
    <t>ORD-1313</t>
  </si>
  <si>
    <t>ORD-1314</t>
  </si>
  <si>
    <t>ORD-1315</t>
  </si>
  <si>
    <t>CUST-187</t>
  </si>
  <si>
    <t>ORD-1316</t>
  </si>
  <si>
    <t>ORD-1317</t>
  </si>
  <si>
    <t>ORD-1318</t>
  </si>
  <si>
    <t>ORD-1319</t>
  </si>
  <si>
    <t>ORD-1320</t>
  </si>
  <si>
    <t>ORD-1321</t>
  </si>
  <si>
    <t>ORD-1322</t>
  </si>
  <si>
    <t>ORD-1323</t>
  </si>
  <si>
    <t>ORD-1324</t>
  </si>
  <si>
    <t>CUST-188</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</si>
  <si>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</si>
  <si>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</si>
  <si>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</si>
  <si>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</si>
  <si>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</si>
  <si>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</si>
  <si>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</si>
  <si>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</si>
  <si>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</si>
  <si>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</si>
  <si>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</si>
  <si>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</si>
  <si>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</si>
  <si>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</si>
  <si>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</si>
  <si>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</si>
  <si>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</si>
  <si>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</si>
  <si>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</si>
  <si>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</si>
  <si>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</si>
  <si>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</si>
  <si>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</si>
  <si>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</si>
  <si>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</si>
  <si>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</si>
  <si>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</si>
  <si>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CUST-177</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</si>
  <si>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</si>
  <si>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</si>
  <si>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</si>
  <si>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</si>
  <si>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</si>
  <si>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</si>
  <si>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</si>
  <si>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</si>
  <si>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</si>
  <si>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</si>
  <si>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</si>
  <si>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</si>
  <si>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</si>
  <si>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</si>
  <si>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</si>
  <si>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</si>
  <si>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</si>
  <si>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</si>
  <si>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</si>
  <si>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</si>
  <si>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</si>
  <si>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</si>
  <si>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</si>
  <si>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CUST-161</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</si>
  <si>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</si>
  <si>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</si>
  <si>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</si>
  <si>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</si>
  <si>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</si>
  <si>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</si>
  <si>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</si>
  <si>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</si>
  <si>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</si>
  <si>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</si>
  <si>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</si>
  <si>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</si>
  <si>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</si>
  <si>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</si>
  <si>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</si>
  <si>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</si>
  <si>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</si>
  <si>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</si>
  <si>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</si>
  <si>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</si>
  <si>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</si>
  <si>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</si>
  <si>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</si>
  <si>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CUST-181</t>
  </si>
  <si>
    <t>ORD-1398</t>
  </si>
  <si>
    <t>ORD-1399</t>
  </si>
  <si>
    <t>ORD-1400</t>
  </si>
  <si>
    <t>ORD-1401</t>
  </si>
  <si>
    <t>ORD-1402</t>
  </si>
  <si>
    <t>ORD-1403</t>
  </si>
  <si>
    <t>ORD-1404</t>
  </si>
  <si>
    <t>ORD-1405</t>
  </si>
  <si>
    <t>ORD-1406</t>
  </si>
  <si>
    <t>ORD-1407</t>
  </si>
  <si>
    <t>ORD-1408</t>
  </si>
  <si>
    <t>CUST-160</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</si>
  <si>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</si>
  <si>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</si>
  <si>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</si>
  <si>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</si>
  <si>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</si>
  <si>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</si>
  <si>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</si>
  <si>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</si>
  <si>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</si>
  <si>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</si>
  <si>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</si>
  <si>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</si>
  <si>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</si>
  <si>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</si>
  <si>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</si>
  <si>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</si>
  <si>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</si>
  <si>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</si>
  <si>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CUST-153</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</si>
  <si>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</si>
  <si>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</si>
  <si>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</si>
  <si>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</si>
  <si>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</si>
  <si>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</si>
  <si>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</si>
  <si>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</si>
  <si>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</si>
  <si>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</si>
  <si>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</si>
  <si>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</si>
  <si>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</si>
  <si>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</si>
  <si>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</si>
  <si>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</si>
  <si>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</si>
  <si>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</si>
  <si>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CUST-169</t>
  </si>
  <si>
    <t>ORD-1445</t>
  </si>
  <si>
    <t>ORD-1446</t>
  </si>
  <si>
    <t>CUST-178</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</si>
  <si>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</si>
  <si>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</si>
  <si>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</si>
  <si>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</si>
  <si>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</si>
  <si>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</si>
  <si>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</si>
  <si>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</si>
  <si>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</si>
  <si>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</si>
  <si>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</si>
  <si>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</si>
  <si>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</si>
  <si>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</si>
  <si>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</si>
  <si>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</si>
  <si>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</si>
  <si>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</si>
  <si>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</si>
  <si>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CUST-172</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</si>
  <si>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</si>
  <si>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</si>
  <si>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</si>
  <si>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</si>
  <si>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</si>
  <si>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</si>
  <si>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</si>
  <si>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</si>
  <si>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</si>
  <si>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</si>
  <si>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</si>
  <si>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</si>
  <si>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</si>
  <si>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</si>
  <si>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</si>
  <si>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</si>
  <si>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</si>
  <si>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</si>
  <si>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</si>
  <si>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</si>
  <si>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</si>
  <si>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</si>
  <si>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</si>
  <si>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</si>
  <si>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</si>
  <si>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</si>
  <si>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</si>
  <si>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CUST-171</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</si>
  <si>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</si>
  <si>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</si>
  <si>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</si>
  <si>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</si>
  <si>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</si>
  <si>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</si>
  <si>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</si>
  <si>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</si>
  <si>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</si>
  <si>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</si>
  <si>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</si>
  <si>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</si>
  <si>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</si>
  <si>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</si>
  <si>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</si>
  <si>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</si>
  <si>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</si>
  <si>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</si>
  <si>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</si>
  <si>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</si>
  <si>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</si>
  <si>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CUST-196</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</si>
  <si>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</si>
  <si>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</si>
  <si>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</si>
  <si>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</si>
  <si>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</si>
  <si>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</si>
  <si>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</si>
  <si>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</si>
  <si>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</si>
  <si>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</si>
  <si>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</si>
  <si>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</si>
  <si>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</si>
  <si>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</si>
  <si>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</si>
  <si>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</si>
  <si>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</si>
  <si>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</si>
  <si>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</si>
  <si>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</si>
  <si>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</si>
  <si>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</si>
  <si>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</si>
  <si>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</si>
  <si>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</si>
  <si>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</si>
  <si>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</si>
  <si>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</si>
  <si>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</si>
  <si>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</si>
  <si>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</si>
  <si>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</si>
  <si>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</si>
  <si>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</si>
  <si>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</si>
  <si>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</si>
  <si>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</si>
  <si>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</si>
  <si>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</si>
  <si>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</si>
  <si>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</si>
  <si>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</si>
  <si>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</si>
  <si>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</si>
  <si>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</si>
  <si>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</si>
  <si>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</si>
  <si>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</si>
  <si>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</si>
  <si>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</si>
  <si>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</si>
  <si>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</si>
  <si>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</si>
  <si>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</si>
  <si>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</si>
  <si>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</si>
  <si>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</si>
  <si>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</si>
  <si>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</si>
  <si>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</si>
  <si>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</si>
  <si>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</si>
  <si>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</si>
  <si>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CUST-200</t>
  </si>
  <si>
    <t>ORD-1577</t>
  </si>
  <si>
    <t>ORD-1578</t>
  </si>
  <si>
    <t>ORD-1579</t>
  </si>
  <si>
    <t>ORD-1580</t>
  </si>
  <si>
    <t>ORD-1581</t>
  </si>
  <si>
    <t>ORD-1582</t>
  </si>
  <si>
    <t>ORD-1583</t>
  </si>
  <si>
    <t>CUST-182</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</si>
  <si>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</si>
  <si>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</si>
  <si>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</si>
  <si>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</si>
  <si>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</si>
  <si>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</si>
  <si>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</si>
  <si>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</si>
  <si>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</si>
  <si>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</si>
  <si>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</si>
  <si>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</si>
  <si>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</si>
  <si>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</si>
  <si>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</si>
  <si>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</si>
  <si>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</si>
  <si>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</si>
  <si>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</si>
  <si>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</si>
  <si>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</si>
  <si>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</si>
  <si>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</si>
  <si>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</si>
  <si>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</si>
  <si>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</si>
  <si>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</si>
  <si>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</si>
  <si>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</si>
  <si>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</si>
  <si>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</si>
  <si>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</si>
  <si>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</si>
  <si>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</si>
  <si>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</si>
  <si>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</si>
  <si>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</si>
  <si>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</si>
  <si>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</si>
  <si>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</si>
  <si>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</si>
  <si>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</si>
  <si>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</si>
  <si>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</si>
  <si>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</si>
  <si>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</si>
  <si>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</si>
  <si>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</si>
  <si>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</si>
  <si>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</si>
  <si>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</si>
  <si>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</si>
  <si>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</si>
  <si>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</si>
  <si>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</si>
  <si>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</si>
  <si>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</si>
  <si>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</si>
  <si>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</si>
  <si>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</si>
  <si>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</si>
  <si>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</si>
  <si>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</si>
  <si>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</si>
  <si>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</si>
  <si>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</si>
  <si>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</si>
  <si>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</si>
  <si>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</si>
  <si>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</si>
  <si>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</si>
  <si>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</si>
  <si>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</si>
  <si>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</si>
  <si>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</si>
  <si>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</si>
  <si>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</si>
  <si>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</si>
  <si>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</si>
  <si>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</si>
  <si>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</si>
  <si>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</si>
  <si>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</si>
  <si>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</si>
  <si>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</si>
  <si>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</si>
  <si>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</si>
  <si>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</si>
  <si>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</si>
  <si>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</si>
  <si>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</si>
  <si>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</si>
  <si>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</si>
  <si>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</si>
  <si>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</si>
  <si>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</si>
  <si>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</si>
  <si>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</si>
  <si>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</si>
  <si>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</si>
  <si>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</si>
  <si>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</si>
  <si>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</si>
  <si>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</si>
  <si>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</si>
  <si>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</si>
  <si>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</si>
  <si>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</si>
  <si>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</si>
  <si>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</si>
  <si>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</si>
  <si>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</si>
  <si>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</si>
  <si>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</si>
  <si>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</si>
  <si>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</si>
  <si>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</si>
  <si>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</si>
  <si>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</si>
  <si>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</si>
  <si>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</si>
  <si>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</si>
  <si>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</si>
  <si>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</si>
  <si>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</si>
  <si>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</si>
  <si>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</si>
  <si>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</si>
  <si>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</si>
  <si>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</si>
  <si>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</si>
  <si>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</si>
  <si>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</si>
  <si>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</si>
  <si>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</si>
  <si>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</si>
  <si>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</si>
  <si>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</si>
  <si>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</si>
  <si>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</si>
  <si>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</si>
  <si>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</si>
  <si>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</si>
  <si>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</si>
  <si>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</si>
  <si>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</si>
  <si>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</si>
  <si>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</si>
  <si>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</si>
  <si>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</si>
  <si>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</si>
  <si>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</si>
  <si>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</si>
  <si>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</si>
  <si>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</si>
  <si>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</si>
  <si>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</si>
  <si>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</si>
  <si>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</si>
  <si>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</si>
  <si>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</si>
  <si>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</si>
  <si>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</si>
  <si>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</si>
  <si>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</si>
  <si>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</si>
  <si>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</si>
  <si>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</si>
  <si>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</si>
  <si>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</si>
  <si>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</si>
  <si>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</si>
  <si>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</si>
  <si>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</si>
  <si>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</si>
  <si>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</si>
  <si>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</si>
  <si>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</si>
  <si>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</si>
  <si>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</si>
  <si>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</si>
  <si>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</si>
  <si>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</si>
  <si>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</si>
  <si>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</si>
  <si>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</si>
  <si>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</si>
  <si>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</si>
  <si>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</si>
  <si>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</si>
  <si>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</si>
  <si>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</si>
  <si>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</si>
  <si>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</si>
  <si>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</si>
  <si>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</si>
  <si>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</si>
  <si>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</si>
  <si>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</si>
  <si>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</si>
  <si>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</si>
  <si>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</si>
  <si>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</si>
  <si>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</si>
  <si>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</si>
  <si>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</si>
  <si>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</si>
  <si>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</si>
  <si>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</si>
  <si>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</si>
  <si>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</si>
  <si>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</si>
  <si>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</si>
  <si>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</si>
  <si>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</si>
  <si>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</si>
  <si>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</si>
  <si>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</si>
  <si>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</si>
  <si>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</si>
  <si>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</si>
  <si>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</si>
  <si>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</si>
  <si>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</si>
  <si>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</si>
  <si>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</si>
  <si>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</si>
  <si>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</si>
  <si>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</si>
  <si>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</si>
  <si>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</si>
  <si>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</si>
  <si>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</si>
  <si>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</si>
  <si>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</si>
  <si>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</si>
  <si>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</si>
  <si>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</si>
  <si>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</si>
  <si>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</si>
  <si>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</si>
  <si>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</si>
  <si>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</si>
  <si>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</si>
  <si>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</si>
  <si>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</si>
  <si>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</si>
  <si>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</si>
  <si>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</si>
  <si>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</si>
  <si>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</si>
  <si>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</si>
  <si>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</si>
  <si>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</si>
  <si>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</si>
  <si>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</si>
  <si>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</si>
  <si>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</si>
  <si>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</si>
  <si>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</si>
  <si>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</si>
  <si>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</si>
  <si>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</si>
  <si>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</si>
  <si>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</si>
  <si>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</si>
  <si>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</si>
  <si>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</si>
  <si>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</si>
  <si>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</si>
  <si>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</si>
  <si>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</si>
  <si>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</si>
  <si>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</si>
  <si>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</si>
  <si>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</si>
  <si>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</si>
  <si>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</si>
  <si>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</si>
  <si>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</si>
  <si>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</si>
  <si>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</si>
  <si>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</si>
  <si>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</si>
  <si>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</si>
  <si>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</si>
  <si>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</si>
  <si>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</si>
  <si>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</si>
  <si>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</si>
  <si>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</si>
  <si>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</si>
  <si>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</si>
  <si>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</si>
  <si>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</si>
  <si>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</si>
  <si>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</si>
  <si>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</si>
  <si>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</si>
  <si>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</si>
  <si>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</si>
  <si>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</si>
  <si>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</si>
  <si>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</si>
  <si>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</si>
  <si>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</si>
  <si>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</si>
  <si>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</si>
  <si>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</si>
  <si>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</si>
  <si>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</si>
  <si>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</si>
  <si>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</si>
  <si>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</si>
  <si>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</si>
  <si>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</si>
  <si>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</si>
  <si>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</si>
  <si>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</si>
  <si>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</si>
  <si>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</si>
  <si>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</si>
  <si>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</si>
  <si>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</si>
  <si>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</si>
  <si>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</si>
  <si>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</si>
  <si>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</si>
  <si>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</si>
  <si>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</si>
  <si>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</si>
  <si>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</si>
  <si>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</si>
  <si>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</si>
  <si>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</si>
  <si>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</si>
  <si>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</si>
  <si>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</si>
  <si>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</si>
  <si>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</si>
  <si>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</si>
  <si>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</si>
  <si>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</si>
  <si>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</si>
  <si>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</si>
  <si>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</si>
  <si>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</si>
  <si>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</si>
  <si>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</si>
  <si>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</si>
  <si>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</si>
  <si>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</si>
  <si>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</si>
  <si>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</si>
  <si>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</si>
  <si>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</si>
  <si>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</si>
  <si>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</si>
  <si>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</si>
  <si>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</si>
  <si>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</si>
  <si>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</si>
  <si>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</si>
  <si>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</si>
  <si>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</si>
  <si>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</si>
  <si>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</si>
  <si>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</si>
  <si>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</si>
  <si>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</si>
  <si>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</si>
  <si>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</si>
  <si>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</si>
  <si>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</si>
  <si>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</si>
  <si>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</si>
  <si>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</si>
  <si>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</si>
  <si>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</si>
  <si>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</si>
  <si>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</si>
  <si>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</si>
  <si>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</si>
  <si>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</si>
  <si>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</si>
  <si>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</si>
  <si>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</si>
  <si>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</si>
  <si>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</si>
  <si>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</si>
  <si>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</si>
  <si>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</si>
  <si>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</si>
  <si>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</si>
  <si>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</si>
  <si>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</si>
  <si>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</si>
  <si>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</si>
  <si>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</si>
  <si>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</si>
  <si>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</si>
  <si>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</si>
  <si>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</si>
  <si>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</si>
  <si>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</si>
  <si>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</si>
  <si>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</si>
  <si>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</si>
  <si>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</si>
  <si>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</si>
  <si>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</si>
  <si>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</si>
  <si>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</si>
  <si>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</si>
  <si>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</si>
  <si>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</si>
  <si>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</si>
  <si>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</si>
  <si>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</si>
  <si>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</si>
  <si>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</si>
  <si>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</si>
  <si>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</si>
  <si>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</si>
  <si>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</si>
  <si>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</si>
  <si>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</si>
  <si>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</si>
  <si>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</si>
  <si>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</si>
  <si>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</si>
  <si>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</si>
  <si>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</si>
  <si>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</si>
  <si>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</si>
  <si>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</si>
  <si>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</si>
  <si>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</si>
  <si>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</si>
  <si>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</si>
  <si>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</si>
  <si>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</si>
  <si>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</si>
  <si>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</si>
  <si>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</si>
  <si>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</si>
  <si>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</si>
  <si>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</si>
  <si>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</si>
  <si>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</si>
  <si>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</si>
  <si>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</si>
  <si>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</si>
  <si>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</si>
  <si>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</si>
  <si>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</si>
  <si>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</si>
  <si>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</si>
  <si>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</si>
  <si>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</si>
  <si>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</si>
  <si>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</si>
  <si>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</si>
  <si>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</si>
  <si>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</si>
  <si>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</si>
  <si>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</si>
  <si>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</si>
  <si>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</si>
  <si>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</si>
  <si>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</si>
  <si>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</si>
  <si>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</si>
  <si>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</si>
  <si>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</si>
  <si>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</si>
  <si>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</si>
  <si>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</si>
  <si>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</si>
  <si>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</si>
  <si>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</si>
  <si>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</si>
  <si>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</si>
  <si>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</si>
  <si>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</si>
  <si>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</si>
  <si>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</si>
  <si>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</si>
  <si>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</si>
  <si>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</si>
  <si>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</si>
  <si>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</si>
  <si>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</si>
  <si>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</si>
  <si>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</si>
  <si>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</si>
  <si>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</si>
  <si>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</si>
  <si>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</si>
  <si>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</si>
  <si>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</si>
  <si>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</si>
  <si>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</si>
  <si>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</si>
  <si>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</si>
  <si>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</si>
  <si>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</si>
  <si>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</si>
  <si>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</si>
  <si>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</si>
  <si>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</si>
  <si>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</si>
  <si>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</si>
  <si>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</si>
  <si>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</si>
  <si>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</si>
  <si>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</si>
  <si>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</si>
  <si>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</si>
  <si>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</si>
  <si>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</si>
  <si>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</si>
  <si>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</si>
  <si>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</si>
  <si>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</si>
  <si>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</si>
  <si>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</si>
  <si>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</si>
  <si>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</si>
  <si>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</si>
  <si>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</si>
  <si>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</si>
  <si>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</si>
  <si>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</si>
  <si>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</si>
  <si>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</si>
  <si>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</si>
  <si>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</si>
  <si>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</si>
  <si>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</si>
  <si>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</si>
  <si>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</si>
  <si>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</si>
  <si>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</si>
  <si>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</si>
  <si>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</si>
  <si>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</si>
  <si>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</si>
  <si>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</si>
  <si>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</si>
  <si>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</si>
  <si>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</si>
  <si>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</si>
  <si>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</si>
  <si>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</si>
  <si>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</si>
  <si>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</si>
  <si>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</si>
  <si>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</si>
  <si>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</si>
  <si>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</si>
  <si>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</si>
  <si>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</si>
  <si>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</si>
  <si>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</si>
  <si>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</si>
  <si>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</si>
  <si>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</si>
  <si>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</si>
  <si>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</si>
  <si>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</si>
  <si>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</si>
  <si>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</si>
  <si>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</si>
  <si>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</si>
  <si>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</si>
  <si>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</si>
  <si>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</si>
  <si>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</si>
  <si>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</si>
  <si>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</si>
  <si>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</si>
  <si>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</si>
  <si>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</si>
  <si>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</si>
  <si>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</si>
  <si>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</si>
  <si>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</si>
  <si>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</si>
  <si>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</si>
  <si>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</si>
  <si>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</si>
  <si>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</si>
  <si>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</si>
  <si>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</si>
  <si>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</si>
  <si>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</si>
  <si>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</si>
  <si>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</si>
  <si>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</si>
  <si>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</si>
  <si>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</si>
  <si>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</si>
  <si>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</si>
  <si>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</si>
  <si>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</si>
  <si>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</si>
  <si>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</si>
  <si>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</si>
  <si>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</si>
  <si>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</si>
  <si>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</si>
  <si>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</si>
  <si>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</si>
  <si>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</si>
  <si>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</si>
  <si>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</si>
  <si>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</si>
  <si>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</si>
  <si>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</si>
  <si>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</si>
  <si>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</si>
  <si>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</si>
  <si>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</si>
  <si>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</si>
  <si>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</si>
  <si>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</si>
  <si>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</si>
  <si>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</si>
  <si>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</si>
  <si>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</si>
  <si>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</si>
  <si>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</si>
  <si>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</si>
  <si>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</si>
  <si>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</si>
  <si>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</si>
  <si>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</si>
  <si>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</si>
  <si>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</si>
  <si>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</si>
  <si>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</si>
  <si>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</si>
  <si>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</si>
  <si>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</si>
  <si>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</si>
  <si>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</si>
  <si>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</si>
  <si>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</si>
  <si>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</si>
  <si>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</si>
  <si>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</si>
  <si>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</si>
  <si>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</si>
  <si>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</si>
  <si>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</si>
  <si>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</si>
  <si>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</si>
  <si>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</si>
  <si>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</si>
  <si>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</si>
  <si>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</si>
  <si>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</si>
  <si>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</si>
  <si>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</si>
  <si>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</si>
  <si>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</si>
  <si>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</si>
  <si>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</si>
  <si>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</si>
  <si>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</si>
  <si>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</si>
  <si>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</si>
  <si>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</si>
  <si>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</si>
  <si>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</si>
  <si>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</si>
  <si>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</si>
  <si>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</si>
  <si>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</si>
  <si>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</si>
  <si>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</si>
  <si>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</si>
  <si>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</si>
  <si>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</si>
  <si>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</si>
  <si>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</si>
  <si>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</si>
  <si>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</si>
  <si>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</si>
  <si>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</si>
  <si>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</si>
  <si>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</si>
  <si>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</si>
  <si>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</si>
  <si>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</si>
  <si>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</si>
  <si>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</si>
  <si>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</si>
  <si>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</si>
  <si>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</si>
  <si>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</si>
  <si>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</si>
  <si>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</si>
  <si>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</si>
  <si>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</si>
  <si>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</si>
  <si>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</si>
  <si>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</si>
  <si>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</si>
  <si>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</si>
  <si>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</si>
  <si>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</si>
  <si>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</si>
  <si>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</si>
  <si>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</si>
  <si>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</si>
  <si>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</si>
  <si>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</si>
  <si>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</si>
  <si>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</si>
  <si>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</si>
  <si>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</si>
  <si>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</si>
  <si>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</si>
  <si>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</si>
  <si>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</si>
  <si>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</si>
  <si>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</si>
  <si>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</si>
  <si>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</si>
  <si>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</si>
  <si>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</si>
  <si>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</si>
  <si>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</si>
  <si>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</si>
  <si>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</si>
  <si>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</si>
  <si>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</si>
  <si>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</si>
  <si>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</si>
  <si>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</si>
  <si>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</si>
  <si>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</si>
  <si>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</si>
  <si>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</si>
  <si>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</si>
  <si>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</si>
  <si>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</si>
  <si>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</si>
  <si>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</si>
  <si>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</si>
  <si>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</si>
  <si>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</si>
  <si>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</si>
  <si>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</si>
  <si>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</si>
  <si>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</si>
  <si>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</si>
  <si>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</si>
  <si>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</si>
  <si>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</si>
  <si>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</si>
  <si>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</si>
  <si>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</si>
  <si>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</si>
  <si>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</si>
  <si>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</si>
  <si>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</si>
  <si>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</si>
  <si>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</si>
  <si>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</si>
  <si>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</si>
  <si>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</si>
  <si>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</si>
  <si>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</si>
  <si>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</si>
  <si>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</si>
  <si>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</si>
  <si>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</si>
  <si>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</si>
  <si>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</si>
  <si>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</si>
  <si>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</si>
  <si>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</si>
  <si>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</si>
  <si>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</si>
  <si>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</si>
  <si>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</si>
  <si>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</si>
  <si>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</si>
  <si>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</si>
  <si>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</si>
  <si>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</si>
  <si>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</si>
  <si>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</si>
  <si>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</si>
  <si>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</si>
  <si>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</si>
  <si>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</si>
  <si>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</si>
  <si>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</si>
  <si>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</si>
  <si>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</si>
  <si>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</si>
  <si>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</si>
  <si>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</si>
  <si>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</si>
  <si>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</si>
  <si>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</si>
  <si>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</si>
  <si>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</si>
  <si>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</si>
  <si>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</si>
  <si>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</si>
  <si>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</si>
  <si>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</si>
  <si>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</si>
  <si>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</si>
  <si>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</si>
  <si>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</si>
  <si>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</si>
  <si>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</si>
  <si>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</si>
  <si>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</si>
  <si>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</si>
  <si>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</si>
  <si>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</si>
  <si>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</si>
  <si>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</si>
  <si>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</si>
  <si>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</si>
  <si>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</si>
  <si>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</si>
  <si>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</si>
  <si>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</si>
  <si>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</si>
  <si>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</si>
  <si>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</si>
  <si>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</si>
  <si>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</si>
  <si>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</si>
  <si>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</si>
  <si>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</si>
  <si>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</si>
  <si>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</si>
  <si>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</si>
  <si>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</si>
  <si>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</si>
  <si>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</si>
  <si>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</si>
  <si>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</si>
  <si>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</si>
  <si>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</si>
  <si>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</si>
  <si>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</si>
  <si>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</si>
  <si>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</si>
  <si>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</si>
  <si>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</si>
  <si>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</si>
  <si>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</si>
  <si>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</si>
  <si>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</si>
  <si>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</si>
  <si>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</si>
  <si>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</si>
  <si>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</si>
  <si>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</si>
  <si>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</si>
  <si>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</si>
  <si>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</si>
  <si>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</si>
  <si>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</si>
  <si>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</si>
  <si>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</si>
  <si>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</si>
  <si>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</si>
  <si>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</si>
  <si>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</si>
  <si>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</si>
  <si>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</si>
  <si>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</si>
  <si>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</si>
  <si>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</si>
  <si>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</si>
  <si>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</si>
  <si>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</si>
  <si>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</si>
  <si>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</si>
  <si>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</si>
  <si>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</si>
  <si>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</si>
  <si>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</si>
  <si>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</si>
  <si>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</si>
  <si>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</si>
  <si>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</si>
  <si>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</si>
  <si>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</si>
  <si>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</si>
  <si>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</si>
  <si>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</si>
  <si>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</si>
  <si>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</si>
  <si>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</si>
  <si>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</si>
  <si>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</si>
  <si>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</si>
  <si>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</si>
  <si>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</si>
  <si>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</si>
  <si>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</si>
  <si>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</si>
  <si>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</si>
  <si>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</si>
  <si>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</si>
  <si>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</si>
  <si>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</si>
  <si>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</si>
  <si>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</si>
  <si>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</si>
  <si>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</si>
  <si>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</si>
  <si>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</si>
  <si>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</si>
  <si>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</si>
  <si>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</si>
  <si>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</si>
  <si>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</si>
  <si>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</si>
  <si>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</si>
  <si>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</si>
  <si>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</si>
  <si>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</si>
  <si>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</si>
  <si>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</si>
  <si>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</si>
  <si>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</si>
  <si>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</si>
  <si>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</si>
  <si>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</si>
  <si>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</si>
  <si>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</si>
  <si>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</si>
  <si>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</si>
  <si>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</si>
  <si>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</si>
  <si>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</si>
  <si>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</si>
  <si>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</si>
  <si>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</si>
  <si>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</si>
  <si>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</si>
  <si>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</si>
  <si>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</si>
  <si>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</si>
  <si>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</si>
  <si>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</si>
  <si>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</si>
  <si>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</si>
  <si>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</si>
  <si>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</si>
  <si>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</si>
  <si>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</si>
  <si>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</si>
  <si>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</si>
  <si>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</si>
  <si>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</si>
  <si>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</si>
  <si>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</si>
  <si>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</si>
  <si>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</si>
  <si>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</si>
  <si>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</si>
  <si>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</si>
  <si>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</si>
  <si>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</si>
  <si>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</si>
  <si>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</si>
  <si>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</si>
  <si>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</si>
  <si>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</si>
  <si>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</si>
  <si>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</si>
  <si>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</si>
  <si>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</si>
  <si>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</si>
  <si>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</si>
  <si>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</si>
  <si>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</si>
  <si>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</si>
  <si>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</si>
  <si>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</si>
  <si>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</si>
  <si>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</si>
  <si>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</si>
  <si>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</si>
  <si>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</si>
  <si>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</si>
  <si>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</si>
  <si>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</si>
  <si>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</si>
  <si>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</si>
  <si>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</si>
  <si>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</si>
  <si>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</si>
  <si>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</si>
  <si>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</si>
  <si>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</si>
  <si>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</si>
  <si>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</si>
  <si>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</si>
  <si>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</si>
  <si>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</si>
  <si>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</si>
  <si>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</si>
  <si>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</si>
  <si>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</si>
  <si>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</si>
  <si>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</si>
  <si>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</si>
  <si>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</si>
  <si>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</si>
  <si>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</si>
  <si>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</si>
  <si>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</si>
  <si>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</si>
  <si>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</si>
  <si>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</si>
  <si>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</si>
  <si>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</si>
  <si>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</si>
  <si>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</si>
  <si>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</si>
  <si>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</si>
  <si>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</si>
  <si>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</si>
  <si>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</si>
  <si>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</si>
  <si>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</si>
  <si>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</si>
  <si>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</si>
  <si>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</si>
  <si>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</si>
  <si>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</si>
  <si>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</si>
  <si>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</si>
  <si>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</si>
  <si>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</si>
  <si>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</si>
  <si>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</si>
  <si>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</si>
  <si>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</si>
  <si>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</si>
  <si>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</si>
  <si>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</si>
  <si>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</si>
  <si>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</si>
  <si>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</si>
  <si>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</si>
  <si>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</si>
  <si>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</si>
  <si>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</si>
  <si>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</si>
  <si>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</si>
  <si>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</si>
  <si>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</si>
  <si>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</si>
  <si>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</si>
  <si>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</si>
  <si>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</si>
  <si>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</si>
  <si>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</si>
  <si>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</si>
  <si>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</si>
  <si>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</si>
  <si>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</si>
  <si>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</si>
  <si>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</si>
  <si>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</si>
  <si>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</si>
  <si>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</si>
  <si>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</si>
  <si>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</si>
  <si>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</si>
  <si>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</si>
  <si>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</si>
  <si>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</si>
  <si>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</si>
  <si>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</si>
  <si>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</si>
  <si>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</si>
  <si>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</si>
  <si>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</si>
  <si>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</si>
  <si>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</si>
  <si>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</si>
  <si>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</si>
  <si>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</si>
  <si>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</si>
  <si>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</si>
  <si>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</si>
  <si>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</si>
  <si>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</si>
  <si>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</si>
  <si>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</si>
  <si>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</si>
  <si>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</si>
  <si>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</si>
  <si>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</si>
  <si>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</si>
  <si>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</si>
  <si>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</si>
  <si>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</si>
  <si>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</si>
  <si>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</si>
  <si>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</si>
  <si>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</si>
  <si>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</si>
  <si>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</si>
  <si>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</si>
  <si>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</si>
  <si>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</si>
  <si>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</si>
  <si>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</si>
  <si>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</si>
  <si>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</si>
  <si>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</si>
  <si>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</si>
  <si>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</si>
  <si>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</si>
  <si>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</si>
  <si>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</si>
  <si>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</si>
  <si>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</si>
  <si>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</si>
  <si>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</si>
  <si>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</si>
  <si>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</si>
  <si>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</si>
  <si>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</si>
  <si>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</si>
  <si>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</si>
  <si>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</si>
  <si>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</si>
  <si>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</si>
  <si>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</si>
  <si>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</si>
  <si>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</si>
  <si>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</si>
  <si>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</si>
  <si>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</si>
  <si>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</si>
  <si>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</si>
  <si>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</si>
  <si>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</si>
  <si>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</si>
  <si>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</si>
  <si>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</si>
  <si>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</si>
  <si>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</si>
  <si>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</si>
  <si>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</si>
  <si>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</si>
  <si>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</si>
  <si>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</si>
  <si>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</si>
  <si>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</si>
  <si>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</si>
  <si>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</si>
  <si>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</si>
  <si>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</si>
  <si>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</si>
  <si>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</si>
  <si>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</si>
  <si>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</si>
  <si>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</si>
  <si>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</si>
  <si>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</si>
  <si>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</si>
  <si>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</si>
  <si>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</si>
  <si>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</si>
  <si>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</si>
  <si>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</si>
  <si>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</si>
  <si>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</si>
  <si>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</si>
  <si>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</si>
  <si>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</si>
  <si>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</si>
  <si>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</si>
  <si>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</si>
  <si>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</si>
  <si>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</si>
  <si>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</si>
  <si>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</si>
  <si>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</si>
  <si>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</si>
  <si>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</si>
  <si>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</si>
  <si>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</si>
  <si>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</si>
  <si>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</si>
  <si>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</si>
  <si>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</si>
  <si>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</si>
  <si>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</si>
  <si>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</si>
  <si>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</si>
  <si>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</si>
  <si>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</si>
  <si>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</si>
  <si>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</si>
  <si>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</si>
  <si>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</si>
  <si>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</si>
  <si>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</si>
  <si>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</si>
  <si>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</si>
  <si>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</si>
  <si>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</si>
  <si>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</si>
  <si>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</si>
  <si>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</si>
  <si>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</si>
  <si>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</si>
  <si>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</si>
  <si>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</si>
  <si>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</si>
  <si>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</si>
  <si>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</si>
  <si>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</si>
  <si>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</si>
  <si>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</si>
  <si>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</si>
  <si>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</si>
  <si>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</si>
  <si>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</si>
  <si>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</si>
  <si>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</si>
  <si>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</si>
  <si>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</si>
  <si>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</si>
  <si>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</si>
  <si>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</si>
  <si>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</si>
  <si>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</si>
  <si>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</si>
  <si>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</si>
  <si>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</si>
  <si>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</si>
  <si>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</si>
  <si>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</si>
  <si>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</si>
  <si>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</si>
  <si>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</si>
  <si>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</si>
  <si>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</si>
  <si>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</si>
  <si>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</si>
  <si>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</si>
  <si>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</si>
  <si>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</si>
  <si>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</si>
  <si>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</si>
  <si>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</si>
  <si>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</si>
  <si>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</si>
  <si>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</si>
  <si>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</si>
  <si>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</si>
  <si>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</si>
  <si>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</si>
  <si>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</si>
  <si>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</si>
  <si>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</si>
  <si>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</si>
  <si>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</si>
  <si>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</si>
  <si>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</si>
  <si>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</si>
  <si>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</si>
  <si>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</si>
  <si>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</si>
  <si>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</si>
  <si>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</si>
  <si>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</si>
  <si>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</si>
  <si>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</si>
  <si>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</si>
  <si>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</si>
  <si>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</si>
  <si>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</si>
  <si>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</si>
  <si>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</si>
  <si>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</si>
  <si>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</si>
  <si>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</si>
  <si>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</si>
  <si>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</si>
  <si>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</si>
  <si>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</si>
  <si>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</si>
  <si>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</si>
  <si>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</si>
  <si>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</si>
  <si>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</si>
  <si>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</si>
  <si>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</si>
  <si>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</si>
  <si>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</si>
  <si>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</si>
  <si>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</si>
  <si>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</si>
  <si>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</si>
  <si>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</si>
  <si>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</si>
  <si>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</si>
  <si>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</si>
  <si>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</si>
  <si>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</si>
  <si>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</si>
  <si>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</si>
  <si>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</si>
  <si>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</si>
  <si>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</si>
  <si>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</si>
  <si>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</si>
  <si>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</si>
  <si>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</si>
  <si>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</si>
  <si>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</si>
  <si>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</si>
  <si>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</si>
  <si>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</si>
  <si>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</si>
  <si>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</si>
  <si>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</si>
  <si>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</si>
  <si>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</si>
  <si>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</si>
  <si>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</si>
  <si>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</si>
  <si>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</si>
  <si>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</si>
  <si>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</si>
  <si>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</si>
  <si>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</si>
  <si>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</si>
  <si>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</si>
  <si>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</si>
  <si>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</si>
  <si>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</si>
  <si>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</si>
  <si>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</si>
  <si>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</si>
  <si>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</si>
  <si>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</si>
  <si>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</si>
  <si>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</si>
  <si>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</si>
  <si>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</si>
  <si>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</si>
  <si>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</si>
  <si>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</si>
  <si>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</si>
  <si>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</si>
  <si>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</si>
  <si>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</si>
  <si>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</si>
  <si>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</si>
  <si>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</si>
  <si>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</si>
  <si>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</si>
  <si>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</si>
  <si>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</si>
  <si>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</si>
  <si>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</si>
  <si>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</si>
  <si>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</si>
  <si>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</si>
  <si>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</si>
  <si>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</si>
  <si>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</si>
  <si>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</si>
  <si>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</si>
  <si>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</si>
  <si>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</si>
  <si>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</si>
  <si>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</si>
  <si>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</si>
  <si>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</si>
  <si>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</si>
  <si>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</si>
  <si>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</si>
  <si>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</si>
  <si>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</si>
  <si>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</si>
  <si>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</si>
  <si>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</si>
  <si>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</si>
  <si>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</si>
  <si>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</si>
  <si>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</si>
  <si>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</si>
  <si>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</si>
  <si>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</si>
  <si>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</si>
  <si>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</si>
  <si>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</si>
  <si>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</si>
  <si>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</si>
  <si>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</si>
  <si>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</si>
  <si>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</si>
  <si>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</si>
  <si>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</si>
  <si>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</si>
  <si>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</si>
  <si>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</si>
  <si>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</si>
  <si>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</si>
  <si>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</si>
  <si>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</si>
  <si>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</si>
  <si>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</si>
  <si>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</si>
  <si>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</si>
  <si>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</si>
  <si>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</si>
  <si>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</si>
  <si>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</si>
  <si>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</si>
  <si>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</si>
  <si>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</si>
  <si>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</si>
  <si>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</si>
  <si>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</si>
  <si>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</si>
  <si>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</si>
  <si>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</si>
  <si>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</si>
  <si>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</si>
  <si>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</si>
  <si>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</si>
  <si>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</si>
  <si>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</si>
  <si>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</si>
  <si>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</si>
  <si>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</si>
  <si>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</si>
  <si>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</si>
  <si>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</si>
  <si>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</si>
  <si>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</si>
  <si>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</si>
  <si>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</si>
  <si>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</si>
  <si>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</si>
  <si>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</si>
  <si>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</si>
  <si>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</si>
  <si>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</si>
  <si>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</si>
  <si>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</si>
  <si>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</si>
  <si>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</si>
  <si>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</si>
  <si>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</si>
  <si>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</si>
  <si>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</si>
  <si>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</si>
  <si>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</si>
  <si>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</si>
  <si>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</si>
  <si>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</si>
  <si>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</si>
  <si>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</si>
  <si>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</si>
  <si>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</si>
  <si>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</si>
  <si>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</si>
  <si>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</si>
  <si>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</si>
  <si>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</si>
  <si>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</si>
  <si>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</si>
  <si>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</si>
  <si>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</si>
  <si>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</si>
  <si>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</si>
  <si>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</si>
  <si>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</si>
  <si>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</si>
  <si>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</si>
  <si>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</si>
  <si>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</si>
  <si>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</si>
  <si>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</si>
  <si>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</si>
  <si>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</si>
  <si>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</si>
  <si>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</si>
  <si>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</si>
  <si>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</si>
  <si>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</si>
  <si>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</si>
  <si>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</si>
  <si>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</si>
  <si>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</si>
  <si>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</si>
  <si>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</si>
  <si>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</si>
  <si>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</si>
  <si>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</si>
  <si>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</si>
  <si>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</si>
  <si>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</si>
  <si>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</si>
  <si>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</si>
  <si>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</si>
  <si>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</si>
  <si>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</si>
  <si>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</si>
  <si>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</si>
  <si>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</si>
  <si>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</si>
  <si>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</si>
  <si>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</si>
  <si>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</si>
  <si>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</si>
  <si>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</si>
  <si>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</si>
  <si>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</si>
  <si>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</si>
  <si>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</si>
  <si>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</si>
  <si>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</si>
  <si>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</si>
  <si>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</si>
  <si>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</si>
  <si>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</si>
  <si>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</si>
  <si>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</si>
  <si>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</si>
  <si>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</si>
  <si>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</si>
  <si>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</si>
  <si>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</si>
  <si>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</si>
  <si>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</si>
  <si>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</si>
  <si>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</si>
  <si>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</si>
  <si>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</si>
  <si>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</si>
  <si>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</si>
  <si>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</si>
  <si>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</si>
  <si>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</si>
  <si>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</si>
  <si>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</si>
  <si>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</si>
  <si>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</si>
  <si>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</si>
  <si>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</si>
  <si>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</si>
  <si>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</si>
  <si>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</si>
  <si>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</si>
  <si>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</si>
  <si>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</si>
  <si>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</si>
  <si>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</si>
  <si>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</si>
  <si>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</si>
  <si>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</si>
  <si>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</si>
  <si>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</si>
  <si>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</si>
  <si>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</si>
  <si>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</si>
  <si>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</si>
  <si>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</si>
  <si>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</si>
  <si>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</si>
  <si>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</si>
  <si>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</si>
  <si>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</si>
  <si>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</si>
  <si>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</si>
  <si>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</si>
  <si>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</si>
  <si>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</si>
  <si>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</si>
  <si>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</si>
  <si>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</si>
  <si>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</si>
  <si>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</si>
  <si>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</si>
  <si>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</si>
  <si>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</si>
  <si>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</si>
  <si>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</si>
  <si>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</si>
  <si>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</si>
  <si>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</si>
  <si>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</si>
  <si>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</si>
  <si>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</si>
  <si>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</si>
  <si>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</si>
  <si>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</si>
  <si>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</si>
  <si>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</si>
  <si>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</si>
  <si>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</si>
  <si>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</si>
  <si>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</si>
  <si>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</si>
  <si>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</si>
  <si>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</si>
  <si>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</si>
  <si>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</si>
  <si>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</si>
  <si>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</si>
  <si>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</si>
  <si>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</si>
  <si>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</si>
  <si>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</si>
  <si>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</si>
  <si>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</si>
  <si>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</si>
  <si>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</si>
  <si>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</si>
  <si>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</si>
  <si>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</si>
  <si>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</si>
  <si>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</si>
  <si>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</si>
  <si>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</si>
  <si>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</si>
  <si>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</si>
  <si>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</si>
  <si>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</si>
  <si>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</si>
  <si>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</si>
  <si>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</si>
  <si>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</si>
  <si>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</si>
  <si>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</si>
  <si>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</si>
  <si>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</si>
  <si>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</si>
  <si>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</si>
  <si>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</si>
  <si>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</si>
  <si>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</si>
  <si>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</si>
  <si>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</si>
  <si>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</si>
  <si>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</si>
  <si>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</si>
  <si>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</si>
  <si>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</si>
  <si>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</si>
  <si>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</si>
  <si>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</si>
  <si>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</si>
  <si>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</si>
  <si>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</si>
  <si>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</si>
  <si>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</si>
  <si>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</si>
  <si>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</si>
  <si>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</si>
  <si>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</si>
  <si>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</si>
  <si>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</si>
  <si>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</si>
  <si>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</si>
  <si>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</si>
  <si>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</si>
  <si>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</si>
  <si>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</si>
  <si>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</si>
  <si>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</si>
  <si>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</si>
  <si>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</si>
  <si>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</si>
  <si>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</si>
  <si>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</si>
  <si>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</si>
  <si>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</si>
  <si>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</si>
  <si>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</si>
  <si>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</si>
  <si>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</si>
  <si>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</si>
  <si>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</si>
  <si>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</si>
  <si>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</si>
  <si>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</si>
  <si>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</si>
  <si>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</si>
  <si>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</si>
  <si>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</si>
  <si>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</si>
  <si>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</si>
  <si>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</si>
  <si>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</si>
  <si>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</si>
  <si>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</si>
  <si>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</si>
  <si>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</si>
  <si>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</si>
  <si>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</si>
  <si>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</si>
  <si>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</si>
  <si>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</si>
  <si>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</si>
  <si>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</si>
  <si>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</si>
  <si>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</si>
  <si>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</si>
  <si>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</si>
  <si>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</si>
  <si>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</si>
  <si>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</si>
  <si>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</si>
  <si>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</si>
  <si>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</si>
  <si>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</si>
  <si>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</si>
  <si>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</si>
  <si>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</si>
  <si>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</si>
  <si>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</si>
  <si>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</si>
  <si>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</si>
  <si>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</si>
  <si>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</si>
  <si>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</si>
  <si>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</si>
  <si>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</si>
  <si>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</si>
  <si>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</si>
  <si>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</si>
  <si>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</si>
  <si>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</si>
  <si>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</si>
  <si>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</si>
  <si>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</si>
  <si>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</si>
  <si>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</si>
  <si>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</si>
  <si>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</si>
  <si>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</si>
  <si>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</si>
  <si>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</si>
  <si>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</si>
  <si>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</si>
  <si>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</si>
  <si>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</si>
  <si>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</si>
  <si>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</si>
  <si>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</si>
  <si>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</si>
  <si>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</si>
  <si>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</si>
  <si>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</si>
  <si>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</si>
  <si>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</si>
  <si>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</si>
  <si>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</si>
  <si>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</si>
  <si>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</si>
  <si>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</si>
  <si>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</si>
  <si>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</si>
  <si>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</si>
  <si>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</si>
  <si>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</si>
  <si>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</si>
  <si>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</si>
  <si>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</si>
  <si>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</si>
  <si>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</si>
  <si>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</si>
  <si>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</si>
  <si>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</si>
  <si>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</si>
  <si>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</si>
  <si>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</si>
  <si>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</si>
  <si>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</si>
  <si>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</si>
  <si>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</si>
  <si>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</si>
  <si>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</si>
  <si>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</si>
  <si>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</si>
  <si>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</si>
  <si>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</si>
  <si>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</si>
  <si>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</si>
  <si>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</si>
  <si>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</si>
  <si>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</si>
  <si>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</si>
  <si>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</si>
  <si>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</si>
  <si>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</si>
  <si>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</si>
  <si>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</si>
  <si>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</si>
  <si>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</si>
  <si>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</si>
  <si>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</si>
  <si>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</si>
  <si>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</si>
  <si>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</si>
  <si>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</si>
  <si>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</si>
  <si>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</si>
  <si>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</si>
  <si>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</si>
  <si>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</si>
  <si>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</si>
  <si>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</si>
  <si>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</si>
  <si>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</si>
  <si>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</si>
  <si>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</si>
  <si>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</si>
  <si>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</si>
  <si>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</si>
  <si>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</si>
  <si>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</si>
  <si>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</si>
  <si>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</si>
  <si>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</si>
  <si>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</si>
  <si>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</si>
  <si>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</si>
  <si>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</si>
  <si>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</si>
  <si>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</si>
  <si>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</si>
  <si>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</si>
  <si>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</si>
  <si>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</si>
  <si>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</si>
  <si>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</si>
  <si>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</si>
  <si>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</si>
  <si>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</si>
  <si>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</si>
  <si>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</si>
  <si>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</si>
  <si>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</si>
  <si>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</si>
  <si>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</si>
  <si>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</si>
  <si>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</si>
  <si>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</si>
  <si>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</si>
  <si>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</si>
  <si>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</si>
  <si>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</si>
  <si>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</si>
  <si>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</si>
  <si>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</si>
  <si>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</si>
  <si>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</si>
  <si>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</si>
  <si>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</si>
  <si>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</si>
  <si>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</si>
  <si>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</si>
  <si>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</si>
  <si>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</si>
  <si>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</si>
  <si>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</si>
  <si>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</si>
  <si>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</si>
  <si>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</si>
  <si>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</si>
  <si>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</si>
  <si>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</si>
  <si>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</si>
  <si>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</si>
  <si>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</si>
  <si>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</si>
  <si>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</si>
  <si>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</si>
  <si>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</si>
  <si>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</si>
  <si>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</si>
  <si>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</si>
  <si>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</si>
  <si>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</si>
  <si>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</si>
  <si>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</si>
  <si>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</si>
  <si>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</si>
  <si>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</si>
  <si>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</si>
  <si>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</si>
  <si>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</si>
  <si>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</si>
  <si>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</si>
  <si>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</si>
  <si>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</si>
  <si>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</si>
  <si>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</si>
  <si>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</si>
  <si>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</si>
  <si>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</si>
  <si>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</si>
  <si>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</si>
  <si>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</si>
  <si>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</si>
  <si>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</si>
  <si>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</si>
  <si>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</si>
  <si>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</si>
  <si>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</si>
  <si>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</si>
  <si>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</si>
  <si>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</si>
  <si>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</si>
  <si>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</si>
  <si>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</si>
  <si>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</si>
  <si>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</si>
  <si>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</si>
  <si>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</si>
  <si>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</si>
  <si>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</si>
  <si>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</si>
  <si>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</si>
  <si>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</si>
  <si>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</si>
  <si>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</si>
  <si>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</si>
  <si>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</si>
  <si>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</si>
  <si>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</si>
  <si>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</si>
  <si>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</si>
  <si>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</si>
  <si>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</si>
  <si>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</si>
  <si>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</si>
  <si>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</si>
  <si>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</si>
  <si>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</si>
  <si>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</si>
  <si>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</si>
  <si>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</si>
  <si>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</si>
  <si>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</si>
  <si>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</si>
  <si>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</si>
  <si>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</si>
  <si>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</si>
  <si>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</si>
  <si>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</si>
  <si>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</si>
  <si>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</si>
  <si>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</si>
  <si>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</si>
  <si>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</si>
  <si>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</si>
  <si>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</si>
  <si>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</si>
  <si>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</si>
  <si>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</si>
  <si>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</si>
  <si>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</si>
  <si>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</si>
  <si>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</si>
  <si>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</si>
  <si>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</si>
  <si>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</si>
  <si>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</si>
  <si>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</si>
  <si>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</si>
  <si>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</si>
  <si>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</si>
  <si>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</si>
  <si>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</si>
  <si>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</si>
  <si>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</si>
  <si>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</si>
  <si>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</si>
  <si>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</si>
  <si>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</si>
  <si>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</si>
  <si>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</si>
  <si>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</si>
  <si>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</si>
  <si>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</si>
  <si>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</si>
  <si>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</si>
  <si>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</si>
  <si>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</si>
  <si>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</si>
  <si>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</si>
  <si>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</si>
  <si>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</si>
  <si>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</si>
  <si>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</si>
  <si>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</si>
  <si>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</si>
  <si>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</si>
  <si>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</si>
  <si>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</si>
  <si>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</si>
  <si>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</si>
  <si>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</si>
  <si>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</si>
  <si>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</si>
  <si>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</si>
  <si>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</si>
  <si>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</si>
  <si>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</si>
  <si>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</si>
  <si>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</si>
  <si>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</si>
  <si>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</si>
  <si>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</si>
  <si>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</si>
  <si>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</si>
  <si>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</si>
  <si>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</si>
  <si>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</si>
  <si>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</si>
  <si>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</si>
  <si>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</si>
  <si>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</si>
  <si>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</si>
  <si>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</si>
  <si>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</si>
  <si>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</si>
  <si>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</si>
  <si>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</si>
  <si>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</si>
  <si>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</si>
  <si>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</si>
  <si>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</si>
  <si>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</si>
  <si>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</si>
  <si>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</si>
  <si>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</si>
  <si>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</si>
  <si>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</si>
  <si>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</si>
  <si>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</si>
  <si>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</si>
  <si>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</si>
  <si>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</si>
  <si>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</si>
  <si>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</si>
  <si>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</si>
  <si>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</si>
  <si>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</si>
  <si>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</si>
  <si>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</si>
  <si>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</si>
  <si>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</si>
  <si>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</si>
  <si>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</si>
  <si>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</si>
  <si>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</si>
  <si>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</si>
  <si>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</si>
  <si>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</si>
  <si>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</si>
  <si>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</si>
  <si>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</si>
  <si>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</si>
  <si>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</si>
  <si>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</si>
  <si>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</si>
  <si>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</si>
  <si>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</si>
  <si>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</si>
  <si>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</si>
  <si>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</si>
  <si>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</si>
  <si>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</si>
  <si>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</si>
  <si>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</si>
  <si>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</si>
  <si>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</si>
  <si>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</si>
  <si>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</si>
  <si>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</si>
  <si>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</si>
  <si>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</si>
  <si>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</si>
  <si>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</si>
  <si>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</si>
  <si>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</si>
  <si>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</si>
  <si>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</si>
  <si>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</si>
  <si>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</si>
  <si>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</si>
  <si>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</si>
  <si>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</si>
  <si>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</si>
  <si>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</si>
  <si>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</si>
  <si>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</si>
  <si>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</si>
  <si>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</si>
  <si>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</si>
  <si>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</si>
  <si>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</si>
  <si>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</si>
  <si>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</si>
  <si>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</si>
  <si>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</si>
  <si>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</si>
  <si>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</si>
  <si>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</si>
  <si>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</si>
  <si>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</si>
  <si>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</si>
  <si>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</si>
  <si>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</si>
  <si>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</si>
  <si>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</si>
  <si>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</si>
  <si>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</si>
  <si>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</si>
  <si>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</si>
  <si>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</si>
  <si>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</si>
  <si>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</si>
  <si>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</si>
  <si>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</si>
  <si>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</si>
  <si>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</si>
  <si>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</si>
  <si>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</si>
  <si>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</si>
  <si>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</si>
  <si>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</si>
  <si>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</si>
  <si>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</si>
  <si>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</si>
  <si>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</si>
  <si>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</si>
  <si>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</si>
  <si>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</si>
  <si>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</si>
  <si>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</si>
  <si>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</si>
  <si>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</si>
  <si>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</si>
  <si>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</si>
  <si>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</si>
  <si>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</si>
  <si>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</si>
  <si>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</si>
  <si>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</si>
  <si>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</si>
  <si>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</si>
  <si>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</si>
  <si>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</si>
  <si>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</si>
  <si>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</si>
  <si>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</si>
  <si>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</si>
  <si>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</si>
  <si>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</si>
  <si>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</si>
  <si>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</si>
  <si>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</si>
  <si>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</si>
  <si>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</si>
  <si>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</si>
  <si>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</si>
  <si>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</si>
  <si>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</si>
  <si>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</si>
  <si>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</si>
  <si>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</si>
  <si>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</si>
  <si>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</si>
  <si>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</si>
  <si>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</si>
  <si>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</si>
  <si>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</si>
  <si>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</si>
  <si>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</si>
  <si>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</si>
  <si>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</si>
  <si>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</si>
  <si>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</si>
  <si>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</si>
  <si>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</si>
  <si>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</si>
  <si>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</si>
  <si>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</si>
  <si>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</si>
  <si>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</si>
  <si>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</si>
  <si>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</si>
  <si>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</si>
  <si>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</si>
  <si>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</si>
  <si>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</si>
  <si>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</si>
  <si>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</si>
  <si>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</si>
  <si>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</si>
  <si>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</si>
  <si>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</si>
  <si>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</si>
  <si>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</si>
  <si>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</si>
  <si>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</si>
  <si>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</si>
  <si>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</si>
  <si>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</si>
  <si>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</si>
  <si>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</si>
  <si>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</si>
  <si>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</si>
  <si>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</si>
  <si>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</si>
  <si>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</si>
  <si>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</si>
  <si>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</si>
  <si>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</si>
  <si>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</si>
  <si>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</si>
  <si>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</si>
  <si>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</si>
  <si>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</si>
  <si>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</si>
  <si>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</si>
  <si>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</si>
  <si>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</si>
  <si>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</si>
  <si>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</si>
  <si>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</si>
  <si>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</si>
  <si>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</si>
  <si>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</si>
  <si>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</si>
  <si>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</si>
  <si>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</si>
  <si>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</si>
  <si>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</si>
  <si>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</si>
  <si>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</si>
  <si>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</si>
  <si>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</si>
  <si>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</si>
  <si>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</si>
  <si>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</si>
  <si>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</si>
  <si>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</si>
  <si>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</si>
  <si>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</si>
  <si>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</si>
  <si>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</si>
  <si>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</si>
  <si>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</si>
  <si>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</si>
  <si>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</si>
  <si>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</si>
  <si>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</si>
  <si>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</si>
  <si>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</si>
  <si>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</si>
  <si>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</si>
  <si>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</si>
  <si>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</si>
  <si>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</si>
  <si>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</si>
  <si>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</si>
  <si>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</si>
  <si>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</si>
  <si>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</si>
  <si>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</si>
  <si>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</si>
  <si>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</si>
  <si>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</si>
  <si>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</si>
  <si>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</si>
  <si>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</si>
  <si>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</si>
  <si>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</si>
  <si>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</si>
  <si>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</si>
  <si>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</si>
  <si>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</si>
  <si>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</si>
  <si>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</si>
  <si>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</si>
  <si>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</si>
  <si>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</si>
  <si>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</si>
  <si>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</si>
  <si>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</si>
  <si>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</si>
  <si>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</si>
  <si>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</si>
  <si>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</si>
  <si>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</si>
  <si>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</si>
  <si>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</si>
  <si>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</si>
  <si>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</si>
  <si>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</si>
  <si>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</si>
  <si>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</si>
  <si>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</si>
  <si>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</si>
  <si>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</si>
  <si>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</si>
  <si>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</si>
  <si>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</si>
  <si>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</si>
  <si>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</si>
  <si>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</si>
  <si>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</si>
  <si>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</si>
  <si>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</si>
  <si>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</si>
  <si>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</si>
  <si>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</si>
  <si>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</si>
  <si>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</si>
  <si>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</si>
  <si>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</si>
  <si>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</si>
  <si>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</si>
  <si>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</si>
  <si>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</si>
  <si>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</si>
  <si>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</si>
  <si>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</si>
  <si>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</si>
  <si>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</si>
  <si>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</si>
  <si>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</si>
  <si>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</si>
  <si>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</si>
  <si>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</si>
  <si>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</si>
  <si>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</si>
  <si>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</si>
  <si>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</si>
  <si>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</si>
  <si>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</si>
  <si>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</si>
  <si>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</si>
  <si>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</si>
  <si>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</si>
  <si>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</si>
  <si>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</si>
  <si>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</si>
  <si>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</si>
  <si>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</si>
  <si>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</si>
  <si>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</si>
  <si>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</si>
  <si>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</si>
  <si>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</si>
  <si>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</si>
  <si>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</si>
  <si>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</si>
  <si>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</si>
  <si>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</si>
  <si>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</si>
  <si>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</si>
  <si>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</si>
  <si>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</si>
  <si>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</si>
  <si>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</si>
  <si>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</si>
  <si>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</si>
  <si>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</si>
  <si>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</si>
  <si>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</si>
  <si>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</si>
  <si>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</si>
  <si>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</si>
  <si>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</si>
  <si>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</si>
  <si>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</si>
  <si>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</si>
  <si>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</si>
  <si>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</si>
  <si>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</si>
  <si>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</si>
  <si>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</si>
  <si>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</si>
  <si>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</si>
  <si>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</si>
  <si>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</si>
  <si>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</si>
  <si>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</si>
  <si>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</si>
  <si>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</si>
  <si>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</si>
  <si>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</si>
  <si>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</si>
  <si>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</si>
  <si>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</si>
  <si>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</si>
  <si>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</si>
  <si>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</si>
  <si>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</si>
  <si>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</si>
  <si>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</si>
  <si>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</si>
  <si>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</si>
  <si>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</si>
  <si>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</si>
  <si>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</si>
  <si>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</si>
  <si>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</si>
  <si>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</si>
  <si>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</si>
  <si>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</si>
  <si>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</si>
  <si>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</si>
  <si>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</si>
  <si>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</si>
  <si>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</si>
  <si>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</si>
  <si>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</si>
  <si>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</si>
  <si>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</si>
  <si>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</si>
  <si>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</si>
  <si>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</si>
  <si>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</si>
  <si>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</si>
  <si>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</si>
  <si>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</si>
  <si>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</si>
  <si>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</si>
  <si>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</si>
  <si>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</si>
  <si>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</si>
  <si>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</si>
  <si>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</si>
  <si>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</si>
  <si>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</si>
  <si>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</si>
  <si>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</si>
  <si>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</si>
  <si>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</si>
  <si>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</si>
  <si>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</si>
  <si>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</si>
  <si>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</si>
  <si>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</si>
  <si>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</si>
  <si>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</si>
  <si>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</si>
  <si>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</si>
  <si>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</si>
  <si>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</si>
  <si>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</si>
  <si>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</si>
  <si>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</si>
  <si>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</si>
  <si>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</si>
  <si>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</si>
  <si>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</si>
  <si>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</si>
  <si>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</si>
  <si>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</si>
  <si>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</si>
  <si>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</si>
  <si>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</si>
  <si>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</si>
  <si>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</si>
  <si>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</si>
  <si>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</si>
  <si>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</si>
  <si>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</si>
  <si>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</si>
  <si>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</si>
  <si>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</si>
  <si>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</si>
  <si>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</si>
  <si>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</si>
  <si>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</si>
  <si>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</si>
  <si>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</si>
  <si>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</si>
  <si>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</si>
  <si>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</si>
  <si>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</si>
  <si>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</si>
  <si>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</si>
  <si>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</si>
  <si>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</si>
  <si>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</si>
  <si>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</si>
  <si>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</si>
  <si>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</si>
  <si>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</si>
  <si>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</si>
  <si>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</si>
  <si>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</si>
  <si>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</si>
  <si>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</si>
  <si>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</si>
  <si>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</si>
  <si>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</si>
  <si>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</si>
  <si>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</si>
  <si>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</si>
  <si>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</si>
  <si>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</si>
  <si>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</si>
  <si>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</si>
  <si>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</si>
  <si>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</si>
  <si>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</si>
  <si>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</si>
  <si>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</si>
  <si>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</si>
  <si>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</si>
  <si>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</si>
  <si>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</si>
  <si>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</si>
  <si>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</si>
  <si>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</si>
  <si>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</si>
  <si>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</si>
  <si>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</si>
  <si>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</si>
  <si>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</si>
  <si>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</si>
  <si>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</si>
  <si>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</si>
  <si>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</si>
  <si>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</si>
  <si>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</si>
  <si>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</si>
  <si>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</si>
  <si>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</si>
  <si>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</si>
  <si>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</si>
  <si>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</si>
  <si>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</si>
  <si>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</si>
  <si>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</si>
  <si>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</si>
  <si>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</si>
  <si>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</si>
  <si>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</si>
  <si>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</si>
  <si>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</si>
  <si>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</si>
  <si>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</si>
  <si>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</si>
  <si>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</si>
  <si>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</si>
  <si>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</si>
  <si>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</si>
  <si>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</si>
  <si>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</si>
  <si>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</si>
  <si>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</si>
  <si>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</si>
  <si>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</si>
  <si>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</si>
  <si>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</si>
  <si>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</si>
  <si>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</si>
  <si>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</si>
  <si>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</si>
  <si>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</si>
  <si>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</si>
  <si>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</si>
  <si>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</si>
  <si>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</si>
  <si>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</si>
  <si>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</si>
  <si>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</si>
  <si>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</si>
  <si>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</si>
  <si>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</si>
  <si>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</si>
  <si>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</si>
  <si>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</si>
  <si>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</si>
  <si>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</si>
  <si>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</si>
  <si>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</si>
  <si>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</si>
  <si>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</si>
  <si>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</si>
  <si>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</si>
  <si>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</si>
  <si>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</si>
  <si>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</si>
  <si>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</si>
  <si>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</si>
  <si>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</si>
  <si>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</si>
  <si>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</si>
  <si>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</si>
  <si>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</si>
  <si>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</si>
  <si>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</si>
  <si>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</si>
  <si>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</si>
  <si>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</si>
  <si>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</si>
  <si>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</si>
  <si>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</si>
  <si>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</si>
  <si>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</si>
  <si>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</si>
  <si>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</si>
  <si>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</si>
  <si>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</si>
  <si>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</si>
  <si>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</si>
  <si>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</si>
  <si>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</si>
  <si>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</si>
  <si>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</si>
  <si>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</si>
  <si>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</si>
  <si>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</si>
  <si>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</si>
  <si>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</si>
  <si>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</si>
  <si>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</si>
  <si>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</si>
  <si>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</si>
  <si>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</si>
  <si>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</si>
  <si>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</si>
  <si>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</si>
  <si>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</si>
  <si>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</si>
  <si>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</si>
  <si>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</si>
  <si>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</si>
  <si>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</si>
  <si>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</si>
  <si>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</si>
  <si>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</si>
  <si>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</si>
  <si>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</si>
  <si>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</si>
  <si>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</si>
  <si>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</si>
  <si>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</si>
  <si>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</si>
  <si>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</si>
  <si>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</si>
  <si>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</si>
  <si>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</si>
  <si>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</si>
  <si>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</si>
  <si>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</si>
  <si>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</si>
  <si>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</si>
  <si>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</si>
  <si>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</si>
  <si>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</si>
  <si>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</si>
  <si>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</si>
  <si>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</si>
  <si>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</si>
  <si>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</si>
  <si>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</si>
  <si>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</si>
  <si>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</si>
  <si>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</si>
  <si>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</si>
  <si>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</si>
  <si>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</si>
  <si>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</si>
  <si>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</si>
  <si>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</si>
  <si>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</si>
  <si>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</si>
  <si>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</si>
  <si>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</si>
  <si>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</si>
  <si>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</si>
  <si>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</si>
  <si>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</si>
  <si>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</si>
  <si>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</si>
  <si>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</si>
  <si>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</si>
  <si>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</si>
  <si>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</si>
  <si>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</si>
  <si>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</si>
  <si>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</si>
  <si>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</si>
  <si>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</si>
  <si>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Product</t>
  </si>
  <si>
    <t>Product Cost</t>
  </si>
  <si>
    <t>Laptop</t>
  </si>
  <si>
    <t>Smartphone</t>
  </si>
  <si>
    <t>Tablet</t>
  </si>
  <si>
    <t>Monitor</t>
  </si>
  <si>
    <t>Headphones</t>
  </si>
  <si>
    <t>T-Shirt</t>
  </si>
  <si>
    <t>Jeans</t>
  </si>
  <si>
    <t>Jacket</t>
  </si>
  <si>
    <t>Sweater</t>
  </si>
  <si>
    <t>Socks</t>
  </si>
  <si>
    <t>Blender</t>
  </si>
  <si>
    <t>Toaster</t>
  </si>
  <si>
    <t>Coffee Maker</t>
  </si>
  <si>
    <t>Vacuum</t>
  </si>
  <si>
    <t>Air Fryer</t>
  </si>
  <si>
    <t>Stapler</t>
  </si>
  <si>
    <t>Notebook</t>
  </si>
  <si>
    <t>Pen Set</t>
  </si>
  <si>
    <t>Desk Lamp</t>
  </si>
  <si>
    <t>Paper Shredder</t>
  </si>
  <si>
    <t>Action Figure</t>
  </si>
  <si>
    <t>Board Game</t>
  </si>
  <si>
    <t>Puzzle</t>
  </si>
  <si>
    <t>Lego Set</t>
  </si>
  <si>
    <t>Doll</t>
  </si>
  <si>
    <t>Customer_ID</t>
  </si>
  <si>
    <t>Fullname</t>
  </si>
  <si>
    <t>Email_Address</t>
  </si>
  <si>
    <t>Date_of_Birth</t>
  </si>
  <si>
    <t>Country_Location</t>
  </si>
  <si>
    <t>John Smith</t>
  </si>
  <si>
    <t>john.smith100@email.com</t>
  </si>
  <si>
    <t>USA</t>
  </si>
  <si>
    <t>Jane Brown</t>
  </si>
  <si>
    <t>jane.brown101@email.com</t>
  </si>
  <si>
    <t>Canada</t>
  </si>
  <si>
    <t>Michael Miller</t>
  </si>
  <si>
    <t>michael.miller102@email.com</t>
  </si>
  <si>
    <t>UK</t>
  </si>
  <si>
    <t>Sarah Martinez</t>
  </si>
  <si>
    <t>sarah.martinez103@email.com</t>
  </si>
  <si>
    <t>Australia</t>
  </si>
  <si>
    <t>David Gonzalez</t>
  </si>
  <si>
    <t>david.gonzalez104@email.com</t>
  </si>
  <si>
    <t>Germany</t>
  </si>
  <si>
    <t>Emily Thomas</t>
  </si>
  <si>
    <t>emily.thomas105@email.com</t>
  </si>
  <si>
    <t>France</t>
  </si>
  <si>
    <t>Robert Jackson</t>
  </si>
  <si>
    <t>robert.jackson106@email.com</t>
  </si>
  <si>
    <t>Spain</t>
  </si>
  <si>
    <t>Jessica Johnson</t>
  </si>
  <si>
    <t>jessica.johnson107@email.com</t>
  </si>
  <si>
    <t>Italy</t>
  </si>
  <si>
    <t>James Jones</t>
  </si>
  <si>
    <t>james.jones108@email.com</t>
  </si>
  <si>
    <t>Netherlands</t>
  </si>
  <si>
    <t>Mary Davis</t>
  </si>
  <si>
    <t>mary.davis109@email.com</t>
  </si>
  <si>
    <t>Belgium</t>
  </si>
  <si>
    <t>William Hernandez</t>
  </si>
  <si>
    <t>william.hernandez110@email.com</t>
  </si>
  <si>
    <t>Sweden</t>
  </si>
  <si>
    <t>Patricia Wilson</t>
  </si>
  <si>
    <t>patricia.wilson111@email.com</t>
  </si>
  <si>
    <t>Norway</t>
  </si>
  <si>
    <t>Richard Taylor</t>
  </si>
  <si>
    <t>richard.taylor112@email.com</t>
  </si>
  <si>
    <t>Denmark</t>
  </si>
  <si>
    <t>Jennifer Martin</t>
  </si>
  <si>
    <t>jennifer.martin113@email.com</t>
  </si>
  <si>
    <t>Ireland</t>
  </si>
  <si>
    <t>Joseph Williams</t>
  </si>
  <si>
    <t>joseph.williams114@email.com</t>
  </si>
  <si>
    <t>New Zealand</t>
  </si>
  <si>
    <t>Linda Garcia</t>
  </si>
  <si>
    <t>linda.garcia115@email.com</t>
  </si>
  <si>
    <t>Mexico</t>
  </si>
  <si>
    <t>Thomas Rodriguez</t>
  </si>
  <si>
    <t>thomas.rodriguez116@email.com</t>
  </si>
  <si>
    <t>Brazil</t>
  </si>
  <si>
    <t>Barbara Lopez</t>
  </si>
  <si>
    <t>barbara.lopez117@email.com</t>
  </si>
  <si>
    <t>Japan</t>
  </si>
  <si>
    <t>Charles Anderson</t>
  </si>
  <si>
    <t>charles.anderson118@email.com</t>
  </si>
  <si>
    <t>China</t>
  </si>
  <si>
    <t>Susan Moore</t>
  </si>
  <si>
    <t>susan.moore119@email.com</t>
  </si>
  <si>
    <t>India</t>
  </si>
  <si>
    <t>john.smith120@email.com</t>
  </si>
  <si>
    <t>jane.brown121@email.com</t>
  </si>
  <si>
    <t>michael.miller122@email.com</t>
  </si>
  <si>
    <t>sarah.martinez123@email.com</t>
  </si>
  <si>
    <t>david.gonzalez124@email.com</t>
  </si>
  <si>
    <t>emily.thomas125@email.com</t>
  </si>
  <si>
    <t>robert.jackson126@email.com</t>
  </si>
  <si>
    <t>jessica.johnson127@email.com</t>
  </si>
  <si>
    <t>james.jones128@email.com</t>
  </si>
  <si>
    <t>mary.davis129@email.com</t>
  </si>
  <si>
    <t>william.hernandez130@email.com</t>
  </si>
  <si>
    <t>patricia.wilson131@email.com</t>
  </si>
  <si>
    <t>richard.taylor132@email.com</t>
  </si>
  <si>
    <t>jennifer.martin133@email.com</t>
  </si>
  <si>
    <t>joseph.williams134@email.com</t>
  </si>
  <si>
    <t>linda.garcia135@email.com</t>
  </si>
  <si>
    <t>thomas.rodriguez136@email.com</t>
  </si>
  <si>
    <t>barbara.lopez137@email.com</t>
  </si>
  <si>
    <t>charles.anderson138@email.com</t>
  </si>
  <si>
    <t>susan.moore139@email.com</t>
  </si>
  <si>
    <t>john.smith140@email.com</t>
  </si>
  <si>
    <t>jane.brown141@email.com</t>
  </si>
  <si>
    <t>michael.miller142@email.com</t>
  </si>
  <si>
    <t>sarah.martinez143@email.com</t>
  </si>
  <si>
    <t>david.gonzalez144@email.com</t>
  </si>
  <si>
    <t>emily.thomas145@email.com</t>
  </si>
  <si>
    <t>robert.jackson146@email.com</t>
  </si>
  <si>
    <t>jessica.johnson147@email.com</t>
  </si>
  <si>
    <t>james.jones148@email.com</t>
  </si>
  <si>
    <t>mary.davis149@email.com</t>
  </si>
  <si>
    <t>william.hernandez150@email.com</t>
  </si>
  <si>
    <t>patricia.wilson151@email.com</t>
  </si>
  <si>
    <t>richard.taylor152@email.com</t>
  </si>
  <si>
    <t>jennifer.martin153@email.com</t>
  </si>
  <si>
    <t>joseph.williams154@email.com</t>
  </si>
  <si>
    <t>linda.garcia155@email.com</t>
  </si>
  <si>
    <t>thomas.rodriguez156@email.com</t>
  </si>
  <si>
    <t>barbara.lopez157@email.com</t>
  </si>
  <si>
    <t>charles.anderson158@email.com</t>
  </si>
  <si>
    <t>susan.moore159@email.com</t>
  </si>
  <si>
    <t>john.smith160@email.com</t>
  </si>
  <si>
    <t>jane.brown161@email.com</t>
  </si>
  <si>
    <t>michael.miller162@email.com</t>
  </si>
  <si>
    <t>sarah.martinez163@email.com</t>
  </si>
  <si>
    <t>david.gonzalez164@email.com</t>
  </si>
  <si>
    <t>emily.thomas165@email.com</t>
  </si>
  <si>
    <t>robert.jackson166@email.com</t>
  </si>
  <si>
    <t>jessica.johnson167@email.com</t>
  </si>
  <si>
    <t>james.jones168@email.com</t>
  </si>
  <si>
    <t>mary.davis169@email.com</t>
  </si>
  <si>
    <t>william.hernandez170@email.com</t>
  </si>
  <si>
    <t>patricia.wilson171@email.com</t>
  </si>
  <si>
    <t>richard.taylor172@email.com</t>
  </si>
  <si>
    <t>jennifer.martin173@email.com</t>
  </si>
  <si>
    <t>joseph.williams174@email.com</t>
  </si>
  <si>
    <t>linda.garcia175@email.com</t>
  </si>
  <si>
    <t>thomas.rodriguez176@email.com</t>
  </si>
  <si>
    <t>barbara.lopez177@email.com</t>
  </si>
  <si>
    <t>charles.anderson178@email.com</t>
  </si>
  <si>
    <t>susan.moore179@email.com</t>
  </si>
  <si>
    <t>john.smith180@email.com</t>
  </si>
  <si>
    <t>jane.brown181@email.com</t>
  </si>
  <si>
    <t>michael.miller182@email.com</t>
  </si>
  <si>
    <t>sarah.martinez183@email.com</t>
  </si>
  <si>
    <t>david.gonzalez184@email.com</t>
  </si>
  <si>
    <t>emily.thomas185@email.com</t>
  </si>
  <si>
    <t>robert.jackson186@email.com</t>
  </si>
  <si>
    <t>jessica.johnson187@email.com</t>
  </si>
  <si>
    <t>james.jones188@email.com</t>
  </si>
  <si>
    <t>mary.davis189@email.com</t>
  </si>
  <si>
    <t>william.hernandez190@email.com</t>
  </si>
  <si>
    <t>patricia.wilson191@email.com</t>
  </si>
  <si>
    <t>richard.taylor192@email.com</t>
  </si>
  <si>
    <t>jennifer.martin193@email.com</t>
  </si>
  <si>
    <t>joseph.williams194@email.com</t>
  </si>
  <si>
    <t>linda.garcia195@email.com</t>
  </si>
  <si>
    <t>thomas.rodriguez196@email.com</t>
  </si>
  <si>
    <t>barbara.lopez197@email.com</t>
  </si>
  <si>
    <t>charles.anderson198@email.com</t>
  </si>
  <si>
    <t>susan.moore199@email.com</t>
  </si>
  <si>
    <t>john.smith200@email.com</t>
  </si>
  <si>
    <t>Product_Cost</t>
  </si>
  <si>
    <t>Sales</t>
  </si>
  <si>
    <t>$230.68</t>
  </si>
  <si>
    <t>$216.22</t>
  </si>
  <si>
    <t>$146.06</t>
  </si>
  <si>
    <t>$145.48</t>
  </si>
  <si>
    <t>$178.83</t>
  </si>
  <si>
    <t>$107.34</t>
  </si>
  <si>
    <t>$33.22</t>
  </si>
  <si>
    <t>$10.11</t>
  </si>
  <si>
    <t>$84.57</t>
  </si>
  <si>
    <t>$201.32</t>
  </si>
  <si>
    <t>$156.44</t>
  </si>
  <si>
    <t>$208.85</t>
  </si>
  <si>
    <t>$230.34</t>
  </si>
  <si>
    <t>$26.59</t>
  </si>
  <si>
    <t>$211.9</t>
  </si>
  <si>
    <t>$64.61</t>
  </si>
  <si>
    <t>$149.27</t>
  </si>
  <si>
    <t>$133.37</t>
  </si>
  <si>
    <t>$101.96</t>
  </si>
  <si>
    <t>$81.02</t>
  </si>
  <si>
    <t>$88.18</t>
  </si>
  <si>
    <t>$86.6</t>
  </si>
  <si>
    <t>$46.19</t>
  </si>
  <si>
    <t>$130.07</t>
  </si>
  <si>
    <t>$32.94</t>
  </si>
  <si>
    <t/>
  </si>
  <si>
    <t>Year</t>
  </si>
  <si>
    <t>Monthname</t>
  </si>
  <si>
    <t>Unknown</t>
  </si>
  <si>
    <t>Day of week</t>
  </si>
  <si>
    <t>Total Sales Amount</t>
  </si>
  <si>
    <t>Average Order Value</t>
  </si>
  <si>
    <t>Number of orders</t>
  </si>
  <si>
    <t>Median Quantity Sold per Order</t>
  </si>
  <si>
    <t>Discounted Amount</t>
  </si>
  <si>
    <t xml:space="preserve">      Discounted Rates</t>
  </si>
  <si>
    <t>Order Status</t>
  </si>
  <si>
    <t>OR</t>
  </si>
  <si>
    <t>AND</t>
  </si>
  <si>
    <t>Target Sales</t>
  </si>
  <si>
    <t xml:space="preserve">Total Sales for "Electronics" </t>
  </si>
  <si>
    <t>Average sales for North region</t>
  </si>
  <si>
    <t>Total Profits for clothing category in west Region</t>
  </si>
  <si>
    <t>Row Labels</t>
  </si>
  <si>
    <t>Grand Total</t>
  </si>
  <si>
    <t>Sum of Sales</t>
  </si>
  <si>
    <t>Sales by Regions</t>
  </si>
  <si>
    <t>Sum of Quantity</t>
  </si>
  <si>
    <t>Average of Quantity</t>
  </si>
  <si>
    <t>Monthly Sales Trend</t>
  </si>
  <si>
    <t>January</t>
  </si>
  <si>
    <t>February</t>
  </si>
  <si>
    <t>March</t>
  </si>
  <si>
    <t>April</t>
  </si>
  <si>
    <t>May</t>
  </si>
  <si>
    <t>June</t>
  </si>
  <si>
    <t>July</t>
  </si>
  <si>
    <t>August</t>
  </si>
  <si>
    <t>September</t>
  </si>
  <si>
    <t>October</t>
  </si>
  <si>
    <t>November</t>
  </si>
  <si>
    <t>December</t>
  </si>
  <si>
    <t>Products</t>
  </si>
  <si>
    <t>Orders Count with Quantity</t>
  </si>
  <si>
    <t>Sales By Top 5 categories</t>
  </si>
  <si>
    <t xml:space="preserve">Average Quantity sold by segment </t>
  </si>
  <si>
    <t>Sales by Product</t>
  </si>
  <si>
    <t>Total Quantity Sold by Category</t>
  </si>
  <si>
    <t>Key Metrics</t>
  </si>
  <si>
    <t>Revenue by Top 5 Products</t>
  </si>
  <si>
    <t>Revenue by Product Categories</t>
  </si>
  <si>
    <t>Total Quantity by Category</t>
  </si>
  <si>
    <t>Revenue by Region</t>
  </si>
  <si>
    <t>Insights</t>
  </si>
  <si>
    <t>Revenue by Product categories</t>
  </si>
  <si>
    <t>Office supplier product category produced the highest revenue sales with $860,86.24 leaving electronics as the least category</t>
  </si>
  <si>
    <t>The toys, clothing and Home Kitchen equipment has the same proportion o quantity sold by 20% while office suplier had the largest proportion o quantity sold by 21%</t>
  </si>
  <si>
    <t xml:space="preserve">The East region was seen to dominate the sales revenue with a total sum of $888,726.30 while south had the least contribution </t>
  </si>
  <si>
    <t xml:space="preserve">In monthly sales across the year 2024, the higest sales revenue was recorded in October with a total sum of $406,552.40 while the lowest revenue was  </t>
  </si>
  <si>
    <t>Recommendations</t>
  </si>
  <si>
    <t xml:space="preserve">Stapler generated the highest revenue with a total amount of $203,693.31 among the 5 products while smartphone was the least of the 5 products </t>
  </si>
  <si>
    <t>The least product "Smartphone" should be moved to the high performing growth region "East" to improve the sales revenue</t>
  </si>
  <si>
    <t>During the Monthly sales trend, October has the highest sales revenue and the company should supply more products during this period of sales to ensure income  revenue</t>
  </si>
  <si>
    <t>The company should prioritize the office supplier product caetegory across regions to ensure and maintain the sales perormance in generaing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</si>
</sst>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yyyy\-mm\-dd\ hh:mm:ss"/>
    <numFmt numFmtId="165" formatCode="&quot;$&quot;#,##0.00"/>
    <numFmt numFmtId="166" formatCode="[$-F800]dddd\,\ mmmm\ dd\,\ yyyy"/>
  </numFmts>
  <fonts count="7">
    <font>
      <sz val="11"/>
      <color theme="1"/>
      <name val="Calibri"/>
      <scheme val="minor"/>
    </font>
    <font>
      <sz val="11"/>
      <color theme="1"/>
      <name val="Calibri"/>
      <family val="2"/>
      <scheme val="minor"/>
    </font>
    <font>
      <sz val="11"/>
      <color theme="1"/>
      <name val="Calibri"/>
      <family val="2"/>
      <scheme val="minor"/>
    </font>
    <font>
      <b/>
      <sz val="11"/>
      <name val="Calibri"/>
      <family val="2"/>
    </font>
    <font>
      <b/>
      <sz val="11"/>
      <name val="Calibri"/>
      <family val="2"/>
    </font>
    <font>
      <b/>
      <sz val="11"/>
      <color theme="1"/>
      <name val="Calibri"/>
      <family val="2"/>
      <scheme val="minor"/>
    </font>
    <font>
      <sz val="11"/>
      <color theme="3" tint="-0.249977111117893"/>
      <name val="Clarendon BT"/>
      <family val="1"/>
    </font>
  </fonts>
  <fills count="2">
    <fill>
      <patternFill patternType="none"/>
    </fill>
    <fill>
      <patternFill patternType="gray125"/>
    </fill>
  </fills>
  <borders count="1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1"/>
  </cellStyleXfs>
  <cellXfs count="34">
    <xf numFmtId="0" fontId="0" fillId="0" borderId="1" xfId="0"/>
    <xf numFmtId="0" fontId="0" fillId="0" borderId="1" xfId="0" applyAlignment="1">
      <alignment horizontal="center" vertical="center"/>
    </xf>
    <xf numFmtId="0" fontId="4" fillId="0" borderId="2" xfId="0" applyFont="1" applyBorder="1" applyAlignment="1">
      <alignment horizontal="center" vertical="top"/>
    </xf>
    <xf numFmtId="164" fontId="0" fillId="0" borderId="1" xfId="0" applyNumberFormat="1"/>
    <xf numFmtId="0" fontId="3" fillId="0" borderId="2" xfId="0" applyFont="1" applyBorder="1" applyAlignment="1">
      <alignment horizontal="center" vertical="top"/>
    </xf>
    <xf numFmtId="0" fontId="3" fillId="0" borderId="3" xfId="0" applyFont="1" applyFill="1" applyBorder="1" applyAlignment="1">
      <alignment horizontal="center" vertical="top"/>
    </xf>
    <xf numFmtId="14" fontId="0" fillId="0" borderId="1" xfId="0" applyNumberFormat="1"/>
    <xf numFmtId="165" fontId="0" fillId="0" borderId="1" xfId="0" applyNumberFormat="1"/>
    <xf numFmtId="0" fontId="3" fillId="0" borderId="3" xfId="0" applyFont="1" applyBorder="1" applyAlignment="1">
      <alignment horizontal="center" vertical="top"/>
    </xf>
    <xf numFmtId="166" fontId="3" fillId="0" borderId="3" xfId="0" applyNumberFormat="1" applyFont="1" applyBorder="1" applyAlignment="1">
      <alignment horizontal="center" vertical="top"/>
    </xf>
    <xf numFmtId="166" fontId="0" fillId="0" borderId="1" xfId="0" applyNumberFormat="1"/>
    <xf numFmtId="0" fontId="5" fillId="0" borderId="1" xfId="0" applyFont="1"/>
    <xf numFmtId="9" fontId="0" fillId="0" borderId="1"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pivotButton="1"/>
    <xf numFmtId="0" fontId="0" fillId="0" borderId="1" xfId="0" applyAlignment="1">
      <alignment horizontal="left"/>
    </xf>
    <xf numFmtId="0" fontId="0" fillId="0" borderId="1" xfId="0" applyNumberFormat="1"/>
    <xf numFmtId="0" fontId="5" fillId="0" borderId="1" xfId="0" applyFont="1" applyAlignment="1">
      <alignment horizontal="left"/>
    </xf>
    <xf numFmtId="165" fontId="2" fillId="0" borderId="1" xfId="0" applyNumberFormat="1" applyFont="1"/>
    <xf numFmtId="10" fontId="0" fillId="0" borderId="1" xfId="0" applyNumberFormat="1"/>
    <xf numFmtId="0" fontId="6" fillId="0" borderId="1" xfId="0" applyFont="1"/>
    <xf numFmtId="0" fontId="1" fillId="0" borderId="1" xfId="0" applyFont="1"/>
    <xf numFmtId="165" fontId="1" fillId="0" borderId="1" xfId="0" applyNumberFormat="1" applyFont="1"/>
    <xf numFmtId="0" fontId="1" fillId="0" borderId="1" xfId="0" applyNumberFormat="1" applyFont="1"/>
    <xf numFmtId="0" fontId="1" fillId="0" borderId="1" xfId="0" applyFont="1" applyAlignment="1">
      <alignment horizontal="left"/>
    </xf>
    <xf numFmtId="8" fontId="1" fillId="0" borderId="1" xfId="0" applyNumberFormat="1" applyFont="1" applyAlignment="1">
      <alignment horizontal="left"/>
    </xf>
  </cellXfs>
  <cellStyles count="1">
    <cellStyle name="Normal" xfId="0" builtinId="0"/>
  </cellStyles>
  <dxfs count="5">
    <dxf>
      <font>
        <color rgb="FF9C0006"/>
      </font>
      <fill>
        <patternFill>
          <bgColor rgb="FFFFC7CE"/>
        </patternFill>
      </fill>
    </dxf>
    <dxf>
      <font>
        <b/>
        <i val="0"/>
        <sz val="11"/>
        <color theme="3" tint="-0.24994659260841701"/>
        <name val="Clarendon BT"/>
        <scheme val="none"/>
      </font>
      <fill>
        <patternFill>
          <bgColor theme="0"/>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3" defaultTableStyle="TableStyleMedium9" defaultPivotStyle="PivotStyleLight16">
    <tableStyle name="Slicer Style 1" pivot="0" table="0" count="1" xr9:uid="{00000000-0011-0000-FFFF-FFFF00000000}">
      <tableStyleElement type="wholeTable" dxfId="4"/>
    </tableStyle>
    <tableStyle name="Slicer Style 2" pivot="0" table="0" count="1" xr9:uid="{00000000-0011-0000-FFFF-FFFF01000000}">
      <tableStyleElement type="wholeTable" dxfId="3"/>
    </tableStyle>
    <tableStyle name="Slicer Style 3" pivot="0" table="0" count="4" xr9:uid="{00000000-0011-0000-FFFF-FFFF02000000}">
      <tableStyleElement type="wholeTable" dxfId="2"/>
      <tableStyleElement type="headerRow" dxfId="1"/>
    </tableStyle>
  </tableStyles>
  <extLst>
    <ext xmlns:x14="http://schemas.microsoft.com/office/spreadsheetml/2009/9/main" uri="{46F421CA-312F-682f-3DD2-61675219B42D}">
      <x14:dxfs count="2">
        <dxf>
          <font>
            <b/>
            <i val="0"/>
            <sz val="11"/>
            <color theme="1"/>
            <name val="Clarendon BT"/>
            <scheme val="none"/>
          </font>
          <fill>
            <patternFill>
              <bgColor theme="3" tint="-0.24994659260841701"/>
            </patternFill>
          </fill>
          <border diagonalUp="0" diagonalDown="0">
            <left/>
            <right/>
            <top/>
            <bottom/>
            <vertical/>
            <horizontal/>
          </border>
        </dxf>
        <dxf>
          <font>
            <b/>
            <i val="0"/>
            <sz val="11"/>
            <color theme="0" tint="-4.9989318521683403E-2"/>
            <name val="Clarendon BT"/>
            <scheme val="none"/>
          </font>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Revenue by product Categories</a:t>
            </a:r>
            <a:endParaRPr lang="en-US" b="1"/>
          </a:p>
        </c:rich>
      </c:tx>
      <c:layout>
        <c:manualLayout>
          <c:xMode val="edge"/>
          <c:yMode val="edge"/>
          <c:x val="0.32264588801399824"/>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888888888888888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77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3656672040099964E-18"/>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3888888888888888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267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3333333333332309E-3"/>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2BD3-4861-B0CD-21B0A5F1365A}"/>
              </c:ext>
            </c:extLst>
          </c:dPt>
          <c:dPt>
            <c:idx val="1"/>
            <c:invertIfNegative val="0"/>
            <c:bubble3D val="0"/>
            <c:extLst>
              <c:ext xmlns:c16="http://schemas.microsoft.com/office/drawing/2014/chart" uri="{C3380CC4-5D6E-409C-BE32-E72D297353CC}">
                <c16:uniqueId val="{00000003-2BD3-4861-B0CD-21B0A5F1365A}"/>
              </c:ext>
            </c:extLst>
          </c:dPt>
          <c:dPt>
            <c:idx val="2"/>
            <c:invertIfNegative val="0"/>
            <c:bubble3D val="0"/>
            <c:extLst>
              <c:ext xmlns:c16="http://schemas.microsoft.com/office/drawing/2014/chart" uri="{C3380CC4-5D6E-409C-BE32-E72D297353CC}">
                <c16:uniqueId val="{00000004-2BD3-4861-B0CD-21B0A5F1365A}"/>
              </c:ext>
            </c:extLst>
          </c:dPt>
          <c:dPt>
            <c:idx val="3"/>
            <c:invertIfNegative val="0"/>
            <c:bubble3D val="0"/>
            <c:extLst>
              <c:ext xmlns:c16="http://schemas.microsoft.com/office/drawing/2014/chart" uri="{C3380CC4-5D6E-409C-BE32-E72D297353CC}">
                <c16:uniqueId val="{00000005-2BD3-4861-B0CD-21B0A5F1365A}"/>
              </c:ext>
            </c:extLst>
          </c:dPt>
          <c:dPt>
            <c:idx val="4"/>
            <c:invertIfNegative val="0"/>
            <c:bubble3D val="0"/>
            <c:extLst>
              <c:ext xmlns:c16="http://schemas.microsoft.com/office/drawing/2014/chart" uri="{C3380CC4-5D6E-409C-BE32-E72D297353CC}">
                <c16:uniqueId val="{00000001-2BD3-4861-B0CD-21B0A5F1365A}"/>
              </c:ext>
            </c:extLst>
          </c:dPt>
          <c:dLbls>
            <c:dLbl>
              <c:idx val="0"/>
              <c:layout>
                <c:manualLayout>
                  <c:x val="-6.3656672040099964E-18"/>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3-4861-B0CD-21B0A5F1365A}"/>
                </c:ext>
              </c:extLst>
            </c:dLbl>
            <c:dLbl>
              <c:idx val="1"/>
              <c:layout>
                <c:manualLayout>
                  <c:x val="-1.3888888888888888E-2"/>
                  <c:y val="-0.16666666666666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3-4861-B0CD-21B0A5F1365A}"/>
                </c:ext>
              </c:extLst>
            </c:dLbl>
            <c:dLbl>
              <c:idx val="2"/>
              <c:layout>
                <c:manualLayout>
                  <c:x val="-2.7777777777777267E-3"/>
                  <c:y val="-0.23611111111111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3-4861-B0CD-21B0A5F1365A}"/>
                </c:ext>
              </c:extLst>
            </c:dLbl>
            <c:dLbl>
              <c:idx val="3"/>
              <c:layout>
                <c:manualLayout>
                  <c:x val="0"/>
                  <c:y val="-0.305555555555555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3-4861-B0CD-21B0A5F1365A}"/>
                </c:ext>
              </c:extLst>
            </c:dLbl>
            <c:dLbl>
              <c:idx val="4"/>
              <c:layout>
                <c:manualLayout>
                  <c:x val="8.3333333333332309E-3"/>
                  <c:y val="-0.324074074074074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3-4861-B0CD-21B0A5F136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Electronics</c:v>
                </c:pt>
                <c:pt idx="1">
                  <c:v>Clothing</c:v>
                </c:pt>
                <c:pt idx="2">
                  <c:v>Toys</c:v>
                </c:pt>
                <c:pt idx="3">
                  <c:v>Home &amp; Kitchen</c:v>
                </c:pt>
                <c:pt idx="4">
                  <c:v>Office Supplies</c:v>
                </c:pt>
              </c:strCache>
            </c:strRef>
          </c:cat>
          <c:val>
            <c:numRef>
              <c:f>'Pivot Tables'!$B$4:$B$9</c:f>
              <c:numCache>
                <c:formatCode>"$"#,##0.00</c:formatCode>
                <c:ptCount val="5"/>
                <c:pt idx="0">
                  <c:v>816382.14000000036</c:v>
                </c:pt>
                <c:pt idx="1">
                  <c:v>821087.40999999968</c:v>
                </c:pt>
                <c:pt idx="2">
                  <c:v>837011.34999999974</c:v>
                </c:pt>
                <c:pt idx="3">
                  <c:v>856183.26999999979</c:v>
                </c:pt>
                <c:pt idx="4">
                  <c:v>860786.24000000046</c:v>
                </c:pt>
              </c:numCache>
            </c:numRef>
          </c:val>
          <c:extLst>
            <c:ext xmlns:c16="http://schemas.microsoft.com/office/drawing/2014/chart" uri="{C3380CC4-5D6E-409C-BE32-E72D297353CC}">
              <c16:uniqueId val="{00000000-2BD3-4861-B0CD-21B0A5F1365A}"/>
            </c:ext>
          </c:extLst>
        </c:ser>
        <c:dLbls>
          <c:dLblPos val="ctr"/>
          <c:showLegendKey val="0"/>
          <c:showVal val="1"/>
          <c:showCatName val="0"/>
          <c:showSerName val="0"/>
          <c:showPercent val="0"/>
          <c:showBubbleSize val="0"/>
        </c:dLbls>
        <c:gapWidth val="150"/>
        <c:overlap val="100"/>
        <c:axId val="475944728"/>
        <c:axId val="475945712"/>
      </c:barChart>
      <c:catAx>
        <c:axId val="475944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5945712"/>
        <c:crosses val="autoZero"/>
        <c:auto val="1"/>
        <c:lblAlgn val="ctr"/>
        <c:lblOffset val="100"/>
        <c:noMultiLvlLbl val="0"/>
      </c:catAx>
      <c:valAx>
        <c:axId val="475945712"/>
        <c:scaling>
          <c:orientation val="minMax"/>
        </c:scaling>
        <c:delete val="1"/>
        <c:axPos val="l"/>
        <c:numFmt formatCode="&quot;$&quot;#,##0.00" sourceLinked="1"/>
        <c:majorTickMark val="none"/>
        <c:minorTickMark val="none"/>
        <c:tickLblPos val="nextTo"/>
        <c:crossAx val="475944728"/>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0CFF-47B3-B722-44FC4BD1483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0CFF-47B3-B722-44FC4BD1483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0CFF-47B3-B722-44FC4BD1483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0CFF-47B3-B722-44FC4BD1483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0CFF-47B3-B722-44FC4BD1483F}"/>
              </c:ext>
            </c:extLst>
          </c:dPt>
          <c:dLbls>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FF-47B3-B722-44FC4BD1483F}"/>
                </c:ext>
              </c:extLst>
            </c:dLbl>
            <c:dLbl>
              <c:idx val="1"/>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FF-47B3-B722-44FC4BD1483F}"/>
                </c:ext>
              </c:extLst>
            </c:dLbl>
            <c:dLbl>
              <c:idx val="2"/>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FF-47B3-B722-44FC4BD1483F}"/>
                </c:ext>
              </c:extLst>
            </c:dLbl>
            <c:dLbl>
              <c:idx val="3"/>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FF-47B3-B722-44FC4BD1483F}"/>
                </c:ext>
              </c:extLst>
            </c:dLbl>
            <c:dLbl>
              <c:idx val="4"/>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FF-47B3-B722-44FC4BD148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Tables'!$E$4:$E$9</c:f>
              <c:strCache>
                <c:ptCount val="5"/>
                <c:pt idx="0">
                  <c:v>South</c:v>
                </c:pt>
                <c:pt idx="1">
                  <c:v>West</c:v>
                </c:pt>
                <c:pt idx="2">
                  <c:v>Central</c:v>
                </c:pt>
                <c:pt idx="3">
                  <c:v>North</c:v>
                </c:pt>
                <c:pt idx="4">
                  <c:v>East</c:v>
                </c:pt>
              </c:strCache>
            </c:strRef>
          </c:cat>
          <c:val>
            <c:numRef>
              <c:f>'Pivot Tables'!$F$4:$F$9</c:f>
              <c:numCache>
                <c:formatCode>"$"#,##0.00</c:formatCode>
                <c:ptCount val="5"/>
                <c:pt idx="0">
                  <c:v>809831.38999999955</c:v>
                </c:pt>
                <c:pt idx="1">
                  <c:v>823085.73999999953</c:v>
                </c:pt>
                <c:pt idx="2">
                  <c:v>830154.32000000123</c:v>
                </c:pt>
                <c:pt idx="3">
                  <c:v>839652.75999999954</c:v>
                </c:pt>
                <c:pt idx="4">
                  <c:v>888726.1999999996</c:v>
                </c:pt>
              </c:numCache>
            </c:numRef>
          </c:val>
          <c:extLst>
            <c:ext xmlns:c16="http://schemas.microsoft.com/office/drawing/2014/chart" uri="{C3380CC4-5D6E-409C-BE32-E72D297353CC}">
              <c16:uniqueId val="{00000000-8E36-4F75-A265-03BEB2D0DD83}"/>
            </c:ext>
          </c:extLst>
        </c:ser>
        <c:dLbls>
          <c:dLblPos val="ctr"/>
          <c:showLegendKey val="0"/>
          <c:showVal val="1"/>
          <c:showCatName val="0"/>
          <c:showSerName val="0"/>
          <c:showPercent val="0"/>
          <c:showBubbleSize val="0"/>
        </c:dLbls>
        <c:gapWidth val="150"/>
        <c:overlap val="100"/>
        <c:axId val="484803368"/>
        <c:axId val="484812552"/>
      </c:barChart>
      <c:catAx>
        <c:axId val="4848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4812552"/>
        <c:crosses val="autoZero"/>
        <c:auto val="1"/>
        <c:lblAlgn val="ctr"/>
        <c:lblOffset val="100"/>
        <c:noMultiLvlLbl val="0"/>
      </c:catAx>
      <c:valAx>
        <c:axId val="484812552"/>
        <c:scaling>
          <c:orientation val="minMax"/>
        </c:scaling>
        <c:delete val="1"/>
        <c:axPos val="b"/>
        <c:numFmt formatCode="&quot;$&quot;#,##0.00" sourceLinked="1"/>
        <c:majorTickMark val="none"/>
        <c:minorTickMark val="none"/>
        <c:tickLblPos val="nextTo"/>
        <c:crossAx val="484803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EA90-4359-A3A6-326FD6C64DEF}"/>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EA90-4359-A3A6-326FD6C64DEF}"/>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EA90-4359-A3A6-326FD6C64DEF}"/>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EA90-4359-A3A6-326FD6C64DEF}"/>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EA90-4359-A3A6-326FD6C64DEF}"/>
              </c:ext>
            </c:extLst>
          </c:dPt>
          <c:cat>
            <c:strRef>
              <c:f>'Pivot Tables'!$A$15:$A$27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Tables'!$B$15:$B$27</c:f>
              <c:numCache>
                <c:formatCode>"$"#,##0.00</c:formatCode>
                <c:ptCount val="12"/>
                <c:pt idx="0">
                  <c:v>329754.35000000021</c:v>
                </c:pt>
                <c:pt idx="1">
                  <c:v>300805.61000000039</c:v>
                </c:pt>
                <c:pt idx="2">
                  <c:v>349502.46999999991</c:v>
                </c:pt>
                <c:pt idx="3">
                  <c:v>311993.55000000005</c:v>
                </c:pt>
                <c:pt idx="4">
                  <c:v>362602.4</c:v>
                </c:pt>
                <c:pt idx="5">
                  <c:v>321455.08000000007</c:v>
                </c:pt>
                <c:pt idx="6">
                  <c:v>406002.67000000004</c:v>
                </c:pt>
                <c:pt idx="7">
                  <c:v>364609.85000000003</c:v>
                </c:pt>
                <c:pt idx="8">
                  <c:v>300978.76999999967</c:v>
                </c:pt>
                <c:pt idx="9">
                  <c:v>406552.39999999967</c:v>
                </c:pt>
                <c:pt idx="10">
                  <c:v>361404.55000000022</c:v>
                </c:pt>
                <c:pt idx="11">
                  <c:v>375788.7100000002</c:v>
                </c:pt>
              </c:numCache>
            </c:numRef>
          </c:val>
          <c:smooth val="0"/>
          <c:extLst>
            <c:ext xmlns:c16="http://schemas.microsoft.com/office/drawing/2014/chart" uri="{C3380CC4-5D6E-409C-BE32-E72D297353CC}">
              <c16:uniqueId val="{00000000-CFCC-4FC4-B425-B643B4CD162B}"/>
            </c:ext>
          </c:extLst>
        </c:ser>
        <c:dLbls>
          <c:showLegendKey val="0"/>
          <c:showVal val="0"/>
          <c:showCatName val="0"/>
          <c:showSerName val="0"/>
          <c:showPercent val="0"/>
          <c:showBubbleSize val="0"/>
        </c:dLbls>
        <c:marker val="1"/>
        <c:smooth val="0"/>
        <c:axId val="475946040"/>
        <c:axId val="475942104"/>
      </c:lineChart>
      <c:catAx>
        <c:axId val="475946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5942104"/>
        <c:crosses val="autoZero"/>
        <c:auto val="1"/>
        <c:lblAlgn val="ctr"/>
        <c:lblOffset val="100"/>
        <c:noMultiLvlLbl val="0"/>
      </c:catAx>
      <c:valAx>
        <c:axId val="475942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5946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Tables!PivotTable5</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5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2777777777777789"/>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33333333333333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E543-46C5-A10B-6200CAAE357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543-46C5-A10B-6200CAAE357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E543-46C5-A10B-6200CAAE357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E543-46C5-A10B-6200CAAE357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E543-46C5-A10B-6200CAAE3570}"/>
              </c:ext>
            </c:extLst>
          </c:dPt>
          <c:dLbls>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43-46C5-A10B-6200CAAE3570}"/>
                </c:ext>
              </c:extLst>
            </c:dLbl>
            <c:dLbl>
              <c:idx val="1"/>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43-46C5-A10B-6200CAAE3570}"/>
                </c:ext>
              </c:extLst>
            </c:dLbl>
            <c:dLbl>
              <c:idx val="2"/>
              <c:layout>
                <c:manualLayout>
                  <c:x val="0.205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43-46C5-A10B-6200CAAE3570}"/>
                </c:ext>
              </c:extLst>
            </c:dLbl>
            <c:dLbl>
              <c:idx val="3"/>
              <c:layout>
                <c:manualLayout>
                  <c:x val="0.333333333333333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43-46C5-A10B-6200CAAE3570}"/>
                </c:ext>
              </c:extLst>
            </c:dLbl>
            <c:dLbl>
              <c:idx val="4"/>
              <c:layout>
                <c:manualLayout>
                  <c:x val="0.32777777777777789"/>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43-46C5-A10B-6200CAAE35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Tables'!$E$15:$E$20</c:f>
              <c:strCache>
                <c:ptCount val="5"/>
                <c:pt idx="0">
                  <c:v>Smartphone</c:v>
                </c:pt>
                <c:pt idx="1">
                  <c:v>Lego Set</c:v>
                </c:pt>
                <c:pt idx="2">
                  <c:v>T-Shirt</c:v>
                </c:pt>
                <c:pt idx="3">
                  <c:v>Air Fryer</c:v>
                </c:pt>
                <c:pt idx="4">
                  <c:v>Stapler</c:v>
                </c:pt>
              </c:strCache>
            </c:strRef>
          </c:cat>
          <c:val>
            <c:numRef>
              <c:f>'Pivot Tables'!$F$15:$F$20</c:f>
              <c:numCache>
                <c:formatCode>"$"#,##0.00</c:formatCode>
                <c:ptCount val="5"/>
                <c:pt idx="0">
                  <c:v>185519.40999999992</c:v>
                </c:pt>
                <c:pt idx="1">
                  <c:v>188083.87</c:v>
                </c:pt>
                <c:pt idx="2">
                  <c:v>188715.31000000006</c:v>
                </c:pt>
                <c:pt idx="3">
                  <c:v>203127.31000000006</c:v>
                </c:pt>
                <c:pt idx="4">
                  <c:v>203693.31000000008</c:v>
                </c:pt>
              </c:numCache>
            </c:numRef>
          </c:val>
          <c:extLst>
            <c:ext xmlns:c16="http://schemas.microsoft.com/office/drawing/2014/chart" uri="{C3380CC4-5D6E-409C-BE32-E72D297353CC}">
              <c16:uniqueId val="{00000000-7B9A-4AD4-B34E-D3BF469CF30B}"/>
            </c:ext>
          </c:extLst>
        </c:ser>
        <c:dLbls>
          <c:dLblPos val="ctr"/>
          <c:showLegendKey val="0"/>
          <c:showVal val="1"/>
          <c:showCatName val="0"/>
          <c:showSerName val="0"/>
          <c:showPercent val="0"/>
          <c:showBubbleSize val="0"/>
        </c:dLbls>
        <c:gapWidth val="219"/>
        <c:overlap val="100"/>
        <c:axId val="484813208"/>
        <c:axId val="484755152"/>
      </c:barChart>
      <c:catAx>
        <c:axId val="484813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4755152"/>
        <c:crosses val="autoZero"/>
        <c:auto val="1"/>
        <c:lblAlgn val="ctr"/>
        <c:lblOffset val="100"/>
        <c:noMultiLvlLbl val="0"/>
      </c:catAx>
      <c:valAx>
        <c:axId val="484755152"/>
        <c:scaling>
          <c:orientation val="minMax"/>
        </c:scaling>
        <c:delete val="1"/>
        <c:axPos val="b"/>
        <c:numFmt formatCode="&quot;$&quot;#,##0.00" sourceLinked="1"/>
        <c:majorTickMark val="none"/>
        <c:minorTickMark val="none"/>
        <c:tickLblPos val="nextTo"/>
        <c:crossAx val="4848132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[CharlyStore Sales Analysis.xlsx]Pivot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Sold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s>
    <c:plotArea>
      <c:layout/>
      <c:pieChart>
        <c:varyColors val="1"/>
        <c:ser>
          <c:idx val="0"/>
          <c:order val="0"/>
          <c:tx>
            <c:strRef>
              <c:f>'Pivot Tables'!$I$14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F34C-4851-925F-07E0F69AF840}"/>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F34C-4851-925F-07E0F69AF84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F34C-4851-925F-07E0F69AF840}"/>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F34C-4851-925F-07E0F69AF84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F34C-4851-925F-07E0F69AF84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Tables'!$H$15:$H$20</c:f>
              <c:strCache>
                <c:ptCount val="5"/>
                <c:pt idx="0">
                  <c:v>Clothing</c:v>
                </c:pt>
                <c:pt idx="1">
                  <c:v>Electronics</c:v>
                </c:pt>
                <c:pt idx="2">
                  <c:v>Home &amp; Kitchen</c:v>
                </c:pt>
                <c:pt idx="3">
                  <c:v>Office Supplies</c:v>
                </c:pt>
                <c:pt idx="4">
                  <c:v>Toys</c:v>
                </c:pt>
              </c:strCache>
            </c:strRef>
          </c:cat>
          <c:val>
            <c:numRef>
              <c:f>'Pivot Tables'!$I$15:$I$20</c:f>
              <c:numCache>
                <c:formatCode>0.00%</c:formatCode>
                <c:ptCount val="5"/>
                <c:pt idx="0">
                  <c:v>0.19586959728573536</c:v>
                </c:pt>
                <c:pt idx="1">
                  <c:v>0.19035255937453902</c:v>
                </c:pt>
                <c:pt idx="2">
                  <c:v>0.19970497123469538</c:v>
                </c:pt>
                <c:pt idx="3">
                  <c:v>0.20876235432954712</c:v>
                </c:pt>
                <c:pt idx="4">
                  <c:v>0.20531051777548312</c:v>
                </c:pt>
              </c:numCache>
            </c:numRef>
          </c:val>
          <c:extLst>
            <c:ext xmlns:c16="http://schemas.microsoft.com/office/drawing/2014/chart" uri="{C3380CC4-5D6E-409C-BE32-E72D297353CC}">
              <c16:uniqueId val="{00000000-5F2E-4960-803C-C65737134C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230096237970248"/>
          <c:y val="0.33144648585593467"/>
          <c:w val="0.2010323709536308"/>
          <c:h val="0.4578940653251676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[CharlyStore Sales Analysis.xlsx]Pivot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600" b="1">
                <a:solidFill>
                  <a:schemeClr val="tx2">
                    <a:lumMod val="75000"/>
                  </a:schemeClr>
                </a:solidFill>
                <a:latin typeface="Clarendon BT" panose="02040704040505020204" pitchFamily="18" charset="0"/>
              </a:rPr>
              <a:t>Total Quantity Sold by Category</a:t>
            </a:r>
          </a:p>
        </c:rich>
      </c:tx>
      <c:layout>
        <c:manualLayout>
          <c:xMode val="edge"/>
          <c:yMode val="edge"/>
          <c:x val="0.16174741134554363"/>
          <c:y val="7.69934703921338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53000"/>
            </a:schemeClr>
          </a:solidFill>
          <a:ln w="19050">
            <a:solidFill>
              <a:schemeClr val="lt1"/>
            </a:solidFill>
          </a:ln>
          <a:effectLst/>
        </c:spPr>
      </c:pivotFmt>
      <c:pivotFmt>
        <c:idx val="4"/>
        <c:spPr>
          <a:solidFill>
            <a:schemeClr val="accent1">
              <a:shade val="76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
        <c:idx val="7"/>
        <c:spPr>
          <a:solidFill>
            <a:schemeClr val="accent1">
              <a:tint val="54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53000"/>
            </a:schemeClr>
          </a:solidFill>
          <a:ln w="19050">
            <a:solidFill>
              <a:schemeClr val="lt1"/>
            </a:solidFill>
          </a:ln>
          <a:effectLst/>
        </c:spPr>
      </c:pivotFmt>
      <c:pivotFmt>
        <c:idx val="10"/>
        <c:spPr>
          <a:solidFill>
            <a:schemeClr val="accent1">
              <a:shade val="76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s>
    <c:plotArea>
      <c:layout/>
      <c:pieChart>
        <c:varyColors val="1"/>
        <c:ser>
          <c:idx val="0"/>
          <c:order val="0"/>
          <c:tx>
            <c:strRef>
              <c:f>'Pivot Tables'!$I$14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1BC-48FD-BC20-72B3A7A0969E}"/>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1BC-48FD-BC20-72B3A7A0969E}"/>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1BC-48FD-BC20-72B3A7A0969E}"/>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1BC-48FD-BC20-72B3A7A0969E}"/>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71BC-48FD-BC20-72B3A7A096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Tables'!$H$15:$H$20</c:f>
              <c:strCache>
                <c:ptCount val="5"/>
                <c:pt idx="0">
                  <c:v>Clothing</c:v>
                </c:pt>
                <c:pt idx="1">
                  <c:v>Electronics</c:v>
                </c:pt>
                <c:pt idx="2">
                  <c:v>Home &amp; Kitchen</c:v>
                </c:pt>
                <c:pt idx="3">
                  <c:v>Office Supplies</c:v>
                </c:pt>
                <c:pt idx="4">
                  <c:v>Toys</c:v>
                </c:pt>
              </c:strCache>
            </c:strRef>
          </c:cat>
          <c:val>
            <c:numRef>
              <c:f>'Pivot Tables'!$I$15:$I$20</c:f>
              <c:numCache>
                <c:formatCode>0.00%</c:formatCode>
                <c:ptCount val="5"/>
                <c:pt idx="0">
                  <c:v>0.19586959728573536</c:v>
                </c:pt>
                <c:pt idx="1">
                  <c:v>0.19035255937453902</c:v>
                </c:pt>
                <c:pt idx="2">
                  <c:v>0.19970497123469538</c:v>
                </c:pt>
                <c:pt idx="3">
                  <c:v>0.20876235432954712</c:v>
                </c:pt>
                <c:pt idx="4">
                  <c:v>0.20531051777548312</c:v>
                </c:pt>
              </c:numCache>
            </c:numRef>
          </c:val>
          <c:extLst>
            <c:ext xmlns:c16="http://schemas.microsoft.com/office/drawing/2014/chart" uri="{C3380CC4-5D6E-409C-BE32-E72D297353CC}">
              <c16:uniqueId val="{0000000A-71BC-48FD-BC20-72B3A7A0969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US" sz="1600" b="1">
                <a:solidFill>
                  <a:schemeClr val="tx2">
                    <a:lumMod val="75000"/>
                  </a:schemeClr>
                </a:solidFill>
                <a:latin typeface="Clarendon BT" panose="02040704040505020204" pitchFamily="18"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tx2">
                <a:lumMod val="75000"/>
              </a:schemeClr>
            </a:solidFill>
            <a:round/>
          </a:ln>
          <a:effectLst/>
        </c:spPr>
        <c:marker>
          <c:symbol val="circle"/>
          <c:size val="5"/>
          <c:spPr>
            <a:solidFill>
              <a:schemeClr val="accent1"/>
            </a:solidFill>
            <a:ln w="9525">
              <a:solidFill>
                <a:schemeClr val="tx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c:f>
              <c:strCache>
                <c:ptCount val="1"/>
                <c:pt idx="0">
                  <c:v>Total</c:v>
                </c:pt>
              </c:strCache>
            </c:strRef>
          </c:tx>
          <c:spPr>
            <a:ln w="28575" cap="rnd">
              <a:solidFill>
                <a:schemeClr val="tx2">
                  <a:lumMod val="75000"/>
                </a:schemeClr>
              </a:solidFill>
              <a:round/>
            </a:ln>
            <a:effectLst/>
          </c:spPr>
          <c:marker>
            <c:symbol val="circle"/>
            <c:size val="5"/>
            <c:spPr>
              <a:solidFill>
                <a:schemeClr val="accent1"/>
              </a:solidFill>
              <a:ln w="9525">
                <a:solidFill>
                  <a:schemeClr val="tx2">
                    <a:lumMod val="75000"/>
                  </a:schemeClr>
                </a:solidFill>
              </a:ln>
              <a:effectLst/>
            </c:spPr>
          </c:marker>
          <c:cat>
            <c:strRef>
              <c:f>'Pivot Tables'!$A$15:$A$27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Tables'!$B$15:$B$27</c:f>
              <c:numCache>
                <c:formatCode>"$"#,##0.00</c:formatCode>
                <c:ptCount val="12"/>
                <c:pt idx="0">
                  <c:v>329754.35000000021</c:v>
                </c:pt>
                <c:pt idx="1">
                  <c:v>300805.61000000039</c:v>
                </c:pt>
                <c:pt idx="2">
                  <c:v>349502.46999999991</c:v>
                </c:pt>
                <c:pt idx="3">
                  <c:v>311993.55000000005</c:v>
                </c:pt>
                <c:pt idx="4">
                  <c:v>362602.4</c:v>
                </c:pt>
                <c:pt idx="5">
                  <c:v>321455.08000000007</c:v>
                </c:pt>
                <c:pt idx="6">
                  <c:v>406002.67000000004</c:v>
                </c:pt>
                <c:pt idx="7">
                  <c:v>364609.85000000003</c:v>
                </c:pt>
                <c:pt idx="8">
                  <c:v>300978.76999999967</c:v>
                </c:pt>
                <c:pt idx="9">
                  <c:v>406552.39999999967</c:v>
                </c:pt>
                <c:pt idx="10">
                  <c:v>361404.55000000022</c:v>
                </c:pt>
                <c:pt idx="11">
                  <c:v>375788.7100000002</c:v>
                </c:pt>
              </c:numCache>
            </c:numRef>
          </c:val>
          <c:smooth val="0"/>
          <c:extLst>
            <c:ext xmlns:c16="http://schemas.microsoft.com/office/drawing/2014/chart" uri="{C3380CC4-5D6E-409C-BE32-E72D297353CC}">
              <c16:uniqueId val="{00000000-6933-4D0A-9383-7B3260DC7EED}"/>
            </c:ext>
          </c:extLst>
        </c:ser>
        <c:dLbls>
          <c:showLegendKey val="0"/>
          <c:showVal val="0"/>
          <c:showCatName val="0"/>
          <c:showSerName val="0"/>
          <c:showPercent val="0"/>
          <c:showBubbleSize val="0"/>
        </c:dLbls>
        <c:marker val="1"/>
        <c:smooth val="0"/>
        <c:axId val="475946040"/>
        <c:axId val="475942104"/>
      </c:lineChart>
      <c:catAx>
        <c:axId val="475946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Clarendon BT" panose="02040704040505020204" pitchFamily="18" charset="0"/>
                <a:ea typeface="+mn-ea"/>
                <a:cs typeface="+mn-cs"/>
              </a:defRPr>
            </a:pPr>
            <a:endParaRPr lang="en-US"/>
          </a:p>
        </c:txPr>
        <c:crossAx val="475942104"/>
        <c:crosses val="autoZero"/>
        <c:auto val="1"/>
        <c:lblAlgn val="ctr"/>
        <c:lblOffset val="100"/>
        <c:noMultiLvlLbl val="0"/>
      </c:catAx>
      <c:valAx>
        <c:axId val="475942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75946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Tables!PivotTable5</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solidFill>
                  <a:schemeClr val="tx2">
                    <a:lumMod val="75000"/>
                  </a:schemeClr>
                </a:solidFill>
                <a:latin typeface="Clarendon BT" panose="02040704040505020204" pitchFamily="18" charset="0"/>
              </a:rPr>
              <a:t>Revenue by Top 5 Products</a:t>
            </a:r>
          </a:p>
        </c:rich>
      </c:tx>
      <c:layout>
        <c:manualLayout>
          <c:xMode val="edge"/>
          <c:yMode val="edge"/>
          <c:x val="0.24205868053856558"/>
          <c:y val="4.80000000000000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5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2777777777777789"/>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33333333333333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7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9444444444444445"/>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055555555555555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333333333333333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32777777777777789"/>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722222222222222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9444444444444445"/>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20555555555555555"/>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33333333333333331"/>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32777777777777789"/>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75000"/>
            </a:schemeClr>
          </a:solidFill>
          <a:ln>
            <a:noFill/>
          </a:ln>
          <a:effectLst/>
        </c:spPr>
        <c:dLbl>
          <c:idx val="0"/>
          <c:layout>
            <c:manualLayout>
              <c:x val="0.171034480281879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75000"/>
            </a:schemeClr>
          </a:solidFill>
          <a:ln>
            <a:noFill/>
          </a:ln>
          <a:effectLst/>
        </c:spPr>
        <c:dLbl>
          <c:idx val="0"/>
          <c:layout>
            <c:manualLayout>
              <c:x val="0.193839077652796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75000"/>
            </a:schemeClr>
          </a:solidFill>
          <a:ln>
            <a:noFill/>
          </a:ln>
          <a:effectLst/>
        </c:spPr>
        <c:dLbl>
          <c:idx val="0"/>
          <c:layout>
            <c:manualLayout>
              <c:x val="0.199540226995525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75000"/>
            </a:schemeClr>
          </a:solidFill>
          <a:ln>
            <a:noFill/>
          </a:ln>
          <a:effectLst/>
        </c:spPr>
        <c:dLbl>
          <c:idx val="0"/>
          <c:layout>
            <c:manualLayout>
              <c:x val="0.30371930413656534"/>
              <c:y val="-4.0000000000000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75000"/>
            </a:schemeClr>
          </a:solidFill>
          <a:ln>
            <a:noFill/>
          </a:ln>
          <a:effectLst/>
        </c:spPr>
        <c:dLbl>
          <c:idx val="0"/>
          <c:layout>
            <c:manualLayout>
              <c:x val="0.29882102925048731"/>
              <c:y val="-5.1999999999999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Tables'!$F$14</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1-289F-4831-81F7-01D7FB006B3B}"/>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289F-4831-81F7-01D7FB006B3B}"/>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289F-4831-81F7-01D7FB006B3B}"/>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7-289F-4831-81F7-01D7FB006B3B}"/>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9-289F-4831-81F7-01D7FB006B3B}"/>
              </c:ext>
            </c:extLst>
          </c:dPt>
          <c:dLbls>
            <c:dLbl>
              <c:idx val="0"/>
              <c:layout>
                <c:manualLayout>
                  <c:x val="0.1710344802818791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9F-4831-81F7-01D7FB006B3B}"/>
                </c:ext>
              </c:extLst>
            </c:dLbl>
            <c:dLbl>
              <c:idx val="1"/>
              <c:layout>
                <c:manualLayout>
                  <c:x val="0.193839077652796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9F-4831-81F7-01D7FB006B3B}"/>
                </c:ext>
              </c:extLst>
            </c:dLbl>
            <c:dLbl>
              <c:idx val="2"/>
              <c:layout>
                <c:manualLayout>
                  <c:x val="0.199540226995525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9F-4831-81F7-01D7FB006B3B}"/>
                </c:ext>
              </c:extLst>
            </c:dLbl>
            <c:dLbl>
              <c:idx val="3"/>
              <c:layout>
                <c:manualLayout>
                  <c:x val="0.30371930413656534"/>
                  <c:y val="-4.0000000000000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9F-4831-81F7-01D7FB006B3B}"/>
                </c:ext>
              </c:extLst>
            </c:dLbl>
            <c:dLbl>
              <c:idx val="4"/>
              <c:layout>
                <c:manualLayout>
                  <c:x val="0.29882102925048731"/>
                  <c:y val="-5.1999999999999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9F-4831-81F7-01D7FB006B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Tables'!$E$15:$E$20</c:f>
              <c:strCache>
                <c:ptCount val="5"/>
                <c:pt idx="0">
                  <c:v>Smartphone</c:v>
                </c:pt>
                <c:pt idx="1">
                  <c:v>Lego Set</c:v>
                </c:pt>
                <c:pt idx="2">
                  <c:v>T-Shirt</c:v>
                </c:pt>
                <c:pt idx="3">
                  <c:v>Air Fryer</c:v>
                </c:pt>
                <c:pt idx="4">
                  <c:v>Stapler</c:v>
                </c:pt>
              </c:strCache>
            </c:strRef>
          </c:cat>
          <c:val>
            <c:numRef>
              <c:f>'Pivot Tables'!$F$15:$F$20</c:f>
              <c:numCache>
                <c:formatCode>"$"#,##0.00</c:formatCode>
                <c:ptCount val="5"/>
                <c:pt idx="0">
                  <c:v>185519.40999999992</c:v>
                </c:pt>
                <c:pt idx="1">
                  <c:v>188083.87</c:v>
                </c:pt>
                <c:pt idx="2">
                  <c:v>188715.31000000006</c:v>
                </c:pt>
                <c:pt idx="3">
                  <c:v>203127.31000000006</c:v>
                </c:pt>
                <c:pt idx="4">
                  <c:v>203693.31000000008</c:v>
                </c:pt>
              </c:numCache>
            </c:numRef>
          </c:val>
          <c:extLst>
            <c:ext xmlns:c16="http://schemas.microsoft.com/office/drawing/2014/chart" uri="{C3380CC4-5D6E-409C-BE32-E72D297353CC}">
              <c16:uniqueId val="{0000000A-289F-4831-81F7-01D7FB006B3B}"/>
            </c:ext>
          </c:extLst>
        </c:ser>
        <c:dLbls>
          <c:dLblPos val="ctr"/>
          <c:showLegendKey val="0"/>
          <c:showVal val="1"/>
          <c:showCatName val="0"/>
          <c:showSerName val="0"/>
          <c:showPercent val="0"/>
          <c:showBubbleSize val="0"/>
        </c:dLbls>
        <c:gapWidth val="219"/>
        <c:overlap val="100"/>
        <c:axId val="484813208"/>
        <c:axId val="484755152"/>
      </c:barChart>
      <c:catAx>
        <c:axId val="484813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lumMod val="75000"/>
                  </a:schemeClr>
                </a:solidFill>
                <a:latin typeface="Clarendon BT" panose="02040704040505020204" pitchFamily="18" charset="0"/>
                <a:ea typeface="+mn-ea"/>
                <a:cs typeface="+mn-cs"/>
              </a:defRPr>
            </a:pPr>
            <a:endParaRPr lang="en-US"/>
          </a:p>
        </c:txPr>
        <c:crossAx val="484755152"/>
        <c:crosses val="autoZero"/>
        <c:auto val="1"/>
        <c:lblAlgn val="ctr"/>
        <c:lblOffset val="100"/>
        <c:noMultiLvlLbl val="0"/>
      </c:catAx>
      <c:valAx>
        <c:axId val="484755152"/>
        <c:scaling>
          <c:orientation val="minMax"/>
        </c:scaling>
        <c:delete val="1"/>
        <c:axPos val="b"/>
        <c:numFmt formatCode="&quot;$&quot;#,##0.00" sourceLinked="1"/>
        <c:majorTickMark val="none"/>
        <c:minorTickMark val="none"/>
        <c:tickLblPos val="nextTo"/>
        <c:crossAx val="484813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020-4B2C-BB34-0CD0E8BF1507}"/>
              </c:ext>
            </c:extLst>
          </c:dPt>
          <c:dPt>
            <c:idx val="1"/>
            <c:invertIfNegative val="0"/>
            <c:bubble3D val="0"/>
            <c:extLst>
              <c:ext xmlns:c16="http://schemas.microsoft.com/office/drawing/2014/chart" uri="{C3380CC4-5D6E-409C-BE32-E72D297353CC}">
                <c16:uniqueId val="{00000001-1020-4B2C-BB34-0CD0E8BF1507}"/>
              </c:ext>
            </c:extLst>
          </c:dPt>
          <c:dPt>
            <c:idx val="2"/>
            <c:invertIfNegative val="0"/>
            <c:bubble3D val="0"/>
            <c:extLst>
              <c:ext xmlns:c16="http://schemas.microsoft.com/office/drawing/2014/chart" uri="{C3380CC4-5D6E-409C-BE32-E72D297353CC}">
                <c16:uniqueId val="{00000002-1020-4B2C-BB34-0CD0E8BF1507}"/>
              </c:ext>
            </c:extLst>
          </c:dPt>
          <c:dPt>
            <c:idx val="3"/>
            <c:invertIfNegative val="0"/>
            <c:bubble3D val="0"/>
            <c:extLst>
              <c:ext xmlns:c16="http://schemas.microsoft.com/office/drawing/2014/chart" uri="{C3380CC4-5D6E-409C-BE32-E72D297353CC}">
                <c16:uniqueId val="{00000003-1020-4B2C-BB34-0CD0E8BF1507}"/>
              </c:ext>
            </c:extLst>
          </c:dPt>
          <c:dPt>
            <c:idx val="4"/>
            <c:invertIfNegative val="0"/>
            <c:bubble3D val="0"/>
            <c:extLst>
              <c:ext xmlns:c16="http://schemas.microsoft.com/office/drawing/2014/chart" uri="{C3380CC4-5D6E-409C-BE32-E72D297353CC}">
                <c16:uniqueId val="{00000004-1020-4B2C-BB34-0CD0E8BF1507}"/>
              </c:ext>
            </c:extLst>
          </c:dPt>
          <c:dLbls>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20-4B2C-BB34-0CD0E8BF1507}"/>
                </c:ext>
              </c:extLst>
            </c:dLbl>
            <c:dLbl>
              <c:idx val="1"/>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20-4B2C-BB34-0CD0E8BF1507}"/>
                </c:ext>
              </c:extLst>
            </c:dLbl>
            <c:dLbl>
              <c:idx val="2"/>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20-4B2C-BB34-0CD0E8BF1507}"/>
                </c:ext>
              </c:extLst>
            </c:dLbl>
            <c:dLbl>
              <c:idx val="3"/>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20-4B2C-BB34-0CD0E8BF1507}"/>
                </c:ext>
              </c:extLst>
            </c:dLbl>
            <c:dLbl>
              <c:idx val="4"/>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20-4B2C-BB34-0CD0E8BF15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Tables'!$E$4:$E$9</c:f>
              <c:strCache>
                <c:ptCount val="5"/>
                <c:pt idx="0">
                  <c:v>South</c:v>
                </c:pt>
                <c:pt idx="1">
                  <c:v>West</c:v>
                </c:pt>
                <c:pt idx="2">
                  <c:v>Central</c:v>
                </c:pt>
                <c:pt idx="3">
                  <c:v>North</c:v>
                </c:pt>
                <c:pt idx="4">
                  <c:v>East</c:v>
                </c:pt>
              </c:strCache>
            </c:strRef>
          </c:cat>
          <c:val>
            <c:numRef>
              <c:f>'Pivot Tables'!$F$4:$F$9</c:f>
              <c:numCache>
                <c:formatCode>"$"#,##0.00</c:formatCode>
                <c:ptCount val="5"/>
                <c:pt idx="0">
                  <c:v>809831.38999999955</c:v>
                </c:pt>
                <c:pt idx="1">
                  <c:v>823085.73999999953</c:v>
                </c:pt>
                <c:pt idx="2">
                  <c:v>830154.32000000123</c:v>
                </c:pt>
                <c:pt idx="3">
                  <c:v>839652.75999999954</c:v>
                </c:pt>
                <c:pt idx="4">
                  <c:v>888726.1999999996</c:v>
                </c:pt>
              </c:numCache>
            </c:numRef>
          </c:val>
          <c:extLst>
            <c:ext xmlns:c16="http://schemas.microsoft.com/office/drawing/2014/chart" uri="{C3380CC4-5D6E-409C-BE32-E72D297353CC}">
              <c16:uniqueId val="{00000005-1020-4B2C-BB34-0CD0E8BF1507}"/>
            </c:ext>
          </c:extLst>
        </c:ser>
        <c:dLbls>
          <c:dLblPos val="ctr"/>
          <c:showLegendKey val="0"/>
          <c:showVal val="1"/>
          <c:showCatName val="0"/>
          <c:showSerName val="0"/>
          <c:showPercent val="0"/>
          <c:showBubbleSize val="0"/>
        </c:dLbls>
        <c:gapWidth val="150"/>
        <c:overlap val="100"/>
        <c:axId val="484803368"/>
        <c:axId val="484812552"/>
      </c:barChart>
      <c:catAx>
        <c:axId val="4848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4812552"/>
        <c:crosses val="autoZero"/>
        <c:auto val="1"/>
        <c:lblAlgn val="ctr"/>
        <c:lblOffset val="100"/>
        <c:noMultiLvlLbl val="0"/>
      </c:catAx>
      <c:valAx>
        <c:axId val="484812552"/>
        <c:scaling>
          <c:orientation val="minMax"/>
        </c:scaling>
        <c:delete val="1"/>
        <c:axPos val="b"/>
        <c:numFmt formatCode="&quot;$&quot;#,##0.00" sourceLinked="1"/>
        <c:majorTickMark val="none"/>
        <c:minorTickMark val="none"/>
        <c:tickLblPos val="nextTo"/>
        <c:crossAx val="484803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Tables!PivotTable2</c:name>
    <c:fmtId val="12"/>
  </c:pivotSource>
  <c:chart>
    <c:title>
      <c:tx>
        <c:rich>
          <a:bodyPr rot="0" spcFirstLastPara="1" vertOverflow="ellipsis" vert="horz" wrap="square" anchor="ctr" anchorCtr="1"/>
          <a:lstStyle/>
          <a:p>
            <a:pPr>
              <a:defRPr sz="1600" b="0" i="0" u="none" strike="noStrike" kern="1200" spc="0" baseline="0">
                <a:solidFill>
                  <a:schemeClr val="tx2">
                    <a:lumMod val="75000"/>
                  </a:schemeClr>
                </a:solidFill>
                <a:latin typeface="Clarendon BT" panose="02040704040505020204" pitchFamily="18" charset="0"/>
                <a:ea typeface="+mn-ea"/>
                <a:cs typeface="+mn-cs"/>
              </a:defRPr>
            </a:pPr>
            <a:r>
              <a:rPr lang="en-US" sz="1600" b="1">
                <a:solidFill>
                  <a:schemeClr val="tx2">
                    <a:lumMod val="75000"/>
                  </a:schemeClr>
                </a:solidFill>
                <a:latin typeface="Clarendon BT" panose="02040704040505020204" pitchFamily="18" charset="0"/>
              </a:rPr>
              <a:t>Revenue by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2">
                  <a:lumMod val="7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33333333333333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2583333333333333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61111111111111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75000"/>
            </a:schemeClr>
          </a:solidFill>
          <a:ln>
            <a:noFill/>
          </a:ln>
          <a:effectLst/>
        </c:spPr>
        <c:dLbl>
          <c:idx val="0"/>
          <c:layout>
            <c:manualLayout>
              <c:x val="0.1944444444444443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75000"/>
            </a:schemeClr>
          </a:solidFill>
          <a:ln>
            <a:noFill/>
          </a:ln>
          <a:effectLst/>
        </c:spPr>
        <c:dLbl>
          <c:idx val="0"/>
          <c:layout>
            <c:manualLayout>
              <c:x val="0.236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75000"/>
            </a:schemeClr>
          </a:solidFill>
          <a:ln>
            <a:noFill/>
          </a:ln>
          <a:effectLst/>
        </c:spPr>
        <c:dLbl>
          <c:idx val="0"/>
          <c:layout>
            <c:manualLayout>
              <c:x val="0.2592824862756143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a:noFill/>
          </a:ln>
          <a:effectLst/>
        </c:spPr>
        <c:dLbl>
          <c:idx val="0"/>
          <c:layout>
            <c:manualLayout>
              <c:x val="0.2898431154774874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schemeClr>
          </a:solidFill>
          <a:ln>
            <a:noFill/>
          </a:ln>
          <a:effectLst/>
        </c:spPr>
        <c:dLbl>
          <c:idx val="0"/>
          <c:layout>
            <c:manualLayout>
              <c:x val="0.39076731775555656"/>
              <c:y val="-5.2279111242289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0-0680-43DF-BD0F-E6DD6793EEC9}"/>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0680-43DF-BD0F-E6DD6793EEC9}"/>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2-0680-43DF-BD0F-E6DD6793EEC9}"/>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3-0680-43DF-BD0F-E6DD6793EEC9}"/>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4-0680-43DF-BD0F-E6DD6793EEC9}"/>
              </c:ext>
            </c:extLst>
          </c:dPt>
          <c:dLbls>
            <c:dLbl>
              <c:idx val="0"/>
              <c:layout>
                <c:manualLayout>
                  <c:x val="0.1944444444444443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80-43DF-BD0F-E6DD6793EEC9}"/>
                </c:ext>
              </c:extLst>
            </c:dLbl>
            <c:dLbl>
              <c:idx val="1"/>
              <c:layout>
                <c:manualLayout>
                  <c:x val="0.236111111111111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80-43DF-BD0F-E6DD6793EEC9}"/>
                </c:ext>
              </c:extLst>
            </c:dLbl>
            <c:dLbl>
              <c:idx val="2"/>
              <c:layout>
                <c:manualLayout>
                  <c:x val="0.2592824862756143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80-43DF-BD0F-E6DD6793EEC9}"/>
                </c:ext>
              </c:extLst>
            </c:dLbl>
            <c:dLbl>
              <c:idx val="3"/>
              <c:layout>
                <c:manualLayout>
                  <c:x val="0.289843115477487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80-43DF-BD0F-E6DD6793EEC9}"/>
                </c:ext>
              </c:extLst>
            </c:dLbl>
            <c:dLbl>
              <c:idx val="4"/>
              <c:layout>
                <c:manualLayout>
                  <c:x val="0.39076731775555656"/>
                  <c:y val="-5.227911124228981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80-43DF-BD0F-E6DD6793EE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Tables'!$E$4:$E$9</c:f>
              <c:strCache>
                <c:ptCount val="5"/>
                <c:pt idx="0">
                  <c:v>South</c:v>
                </c:pt>
                <c:pt idx="1">
                  <c:v>West</c:v>
                </c:pt>
                <c:pt idx="2">
                  <c:v>Central</c:v>
                </c:pt>
                <c:pt idx="3">
                  <c:v>North</c:v>
                </c:pt>
                <c:pt idx="4">
                  <c:v>East</c:v>
                </c:pt>
              </c:strCache>
            </c:strRef>
          </c:cat>
          <c:val>
            <c:numRef>
              <c:f>'Pivot Tables'!$F$4:$F$9</c:f>
              <c:numCache>
                <c:formatCode>"$"#,##0.00</c:formatCode>
                <c:ptCount val="5"/>
                <c:pt idx="0">
                  <c:v>809831.38999999955</c:v>
                </c:pt>
                <c:pt idx="1">
                  <c:v>823085.73999999953</c:v>
                </c:pt>
                <c:pt idx="2">
                  <c:v>830154.32000000123</c:v>
                </c:pt>
                <c:pt idx="3">
                  <c:v>839652.75999999954</c:v>
                </c:pt>
                <c:pt idx="4">
                  <c:v>888726.1999999996</c:v>
                </c:pt>
              </c:numCache>
            </c:numRef>
          </c:val>
          <c:extLst>
            <c:ext xmlns:c16="http://schemas.microsoft.com/office/drawing/2014/chart" uri="{C3380CC4-5D6E-409C-BE32-E72D297353CC}">
              <c16:uniqueId val="{00000005-0680-43DF-BD0F-E6DD6793EEC9}"/>
            </c:ext>
          </c:extLst>
        </c:ser>
        <c:dLbls>
          <c:dLblPos val="ctr"/>
          <c:showLegendKey val="0"/>
          <c:showVal val="1"/>
          <c:showCatName val="0"/>
          <c:showSerName val="0"/>
          <c:showPercent val="0"/>
          <c:showBubbleSize val="0"/>
        </c:dLbls>
        <c:gapWidth val="150"/>
        <c:overlap val="100"/>
        <c:axId val="484803368"/>
        <c:axId val="484812552"/>
      </c:barChart>
      <c:catAx>
        <c:axId val="484803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Clarendon BT" panose="02040704040505020204" pitchFamily="18" charset="0"/>
                <a:ea typeface="+mn-ea"/>
                <a:cs typeface="+mn-cs"/>
              </a:defRPr>
            </a:pPr>
            <a:endParaRPr lang="en-US"/>
          </a:p>
        </c:txPr>
        <c:crossAx val="484812552"/>
        <c:crosses val="autoZero"/>
        <c:auto val="1"/>
        <c:lblAlgn val="ctr"/>
        <c:lblOffset val="100"/>
        <c:noMultiLvlLbl val="0"/>
      </c:catAx>
      <c:valAx>
        <c:axId val="484812552"/>
        <c:scaling>
          <c:orientation val="minMax"/>
        </c:scaling>
        <c:delete val="1"/>
        <c:axPos val="b"/>
        <c:numFmt formatCode="&quot;$&quot;#,##0.00" sourceLinked="1"/>
        <c:majorTickMark val="none"/>
        <c:minorTickMark val="none"/>
        <c:tickLblPos val="nextTo"/>
        <c:crossAx val="484803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[CharlyStore Sales Analysis.xlsx]Pivot Tables!PivotTable1</c:name>
    <c:fmtId val="16"/>
  </c:pivotSource>
  <c:chart>
    <c:title>
      <c:tx>
        <c:rich>
          <a:bodyPr rot="0" spcFirstLastPara="1" vertOverflow="ellipsis" vert="horz" wrap="square" anchor="ctr" anchorCtr="1"/>
          <a:lstStyle/>
          <a:p>
            <a:pPr>
              <a:defRPr sz="1600" b="0" i="0" u="none" strike="noStrike" kern="1200" spc="0" baseline="0">
                <a:solidFill>
                  <a:schemeClr val="tx2">
                    <a:lumMod val="75000"/>
                  </a:schemeClr>
                </a:solidFill>
                <a:latin typeface="Clarendon BT" panose="02040704040505020204" pitchFamily="18" charset="0"/>
                <a:ea typeface="+mn-ea"/>
                <a:cs typeface="+mn-cs"/>
              </a:defRPr>
            </a:pPr>
            <a:r>
              <a:rPr lang="en-US" sz="1600" b="1" baseline="0">
                <a:solidFill>
                  <a:schemeClr val="tx2">
                    <a:lumMod val="75000"/>
                  </a:schemeClr>
                </a:solidFill>
                <a:latin typeface="Clarendon BT" panose="02040704040505020204" pitchFamily="18" charset="0"/>
              </a:rPr>
              <a:t>Revenue by product Categories</a:t>
            </a:r>
            <a:endParaRPr lang="en-US" sz="1600" b="1">
              <a:solidFill>
                <a:schemeClr val="tx2">
                  <a:lumMod val="75000"/>
                </a:schemeClr>
              </a:solidFill>
              <a:latin typeface="Clarendon BT" panose="02040704040505020204" pitchFamily="18" charset="0"/>
            </a:endParaRPr>
          </a:p>
        </c:rich>
      </c:tx>
      <c:layout>
        <c:manualLayout>
          <c:xMode val="edge"/>
          <c:yMode val="edge"/>
          <c:x val="0.13108333333333333"/>
          <c:y val="5.092592592592592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2">
                  <a:lumMod val="7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2111111111111111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8888888888888888"/>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083333333333332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77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3656672040099964E-18"/>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3888888888888888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267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3333333333332309E-3"/>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6.3656672040099964E-18"/>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3888888888888888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267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3333333333332309E-3"/>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75000"/>
            </a:schemeClr>
          </a:solidFill>
          <a:ln>
            <a:noFill/>
          </a:ln>
          <a:effectLst/>
        </c:spPr>
        <c:dLbl>
          <c:idx val="0"/>
          <c:layout>
            <c:manualLayout>
              <c:x val="-6.3656672040099964E-18"/>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2">
              <a:lumMod val="75000"/>
            </a:schemeClr>
          </a:solidFill>
          <a:ln>
            <a:noFill/>
          </a:ln>
          <a:effectLst/>
        </c:spPr>
        <c:dLbl>
          <c:idx val="0"/>
          <c:layout>
            <c:manualLayout>
              <c:x val="-1.3888888888888888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75000"/>
            </a:schemeClr>
          </a:solidFill>
          <a:ln>
            <a:noFill/>
          </a:ln>
          <a:effectLst/>
        </c:spPr>
        <c:dLbl>
          <c:idx val="0"/>
          <c:layout>
            <c:manualLayout>
              <c:x val="-2.7777777777777267E-3"/>
              <c:y val="-0.236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75000"/>
            </a:schemeClr>
          </a:solidFill>
          <a:ln>
            <a:noFill/>
          </a:ln>
          <a:effectLst/>
        </c:spPr>
        <c:dLbl>
          <c:idx val="0"/>
          <c:layout>
            <c:manualLayout>
              <c:x val="0"/>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75000"/>
            </a:schemeClr>
          </a:solidFill>
          <a:ln>
            <a:noFill/>
          </a:ln>
          <a:effectLst/>
        </c:spPr>
        <c:dLbl>
          <c:idx val="0"/>
          <c:layout>
            <c:manualLayout>
              <c:x val="8.3333333333332309E-3"/>
              <c:y val="-0.32407407407407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0-067F-4C2A-A1F3-4D2FD2B434B9}"/>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067F-4C2A-A1F3-4D2FD2B434B9}"/>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2-067F-4C2A-A1F3-4D2FD2B434B9}"/>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3-067F-4C2A-A1F3-4D2FD2B434B9}"/>
              </c:ext>
            </c:extLst>
          </c:dPt>
          <c:dPt>
            <c:idx val="4"/>
            <c:invertIfNegative val="0"/>
            <c:bubble3D val="0"/>
            <c:spPr>
              <a:solidFill>
                <a:schemeClr val="tx2">
                  <a:lumMod val="75000"/>
                </a:schemeClr>
              </a:solidFill>
              <a:ln>
                <a:noFill/>
              </a:ln>
              <a:effectLst/>
            </c:spPr>
            <c:extLst>
              <c:ext xmlns:c16="http://schemas.microsoft.com/office/drawing/2014/chart" uri="{C3380CC4-5D6E-409C-BE32-E72D297353CC}">
                <c16:uniqueId val="{00000004-067F-4C2A-A1F3-4D2FD2B434B9}"/>
              </c:ext>
            </c:extLst>
          </c:dPt>
          <c:dLbls>
            <c:dLbl>
              <c:idx val="0"/>
              <c:layout>
                <c:manualLayout>
                  <c:x val="-6.3656672040099964E-18"/>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7F-4C2A-A1F3-4D2FD2B434B9}"/>
                </c:ext>
              </c:extLst>
            </c:dLbl>
            <c:dLbl>
              <c:idx val="1"/>
              <c:layout>
                <c:manualLayout>
                  <c:x val="-1.3888888888888888E-2"/>
                  <c:y val="-0.16666666666666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7F-4C2A-A1F3-4D2FD2B434B9}"/>
                </c:ext>
              </c:extLst>
            </c:dLbl>
            <c:dLbl>
              <c:idx val="2"/>
              <c:layout>
                <c:manualLayout>
                  <c:x val="-2.7777777777777267E-3"/>
                  <c:y val="-0.23611111111111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7F-4C2A-A1F3-4D2FD2B434B9}"/>
                </c:ext>
              </c:extLst>
            </c:dLbl>
            <c:dLbl>
              <c:idx val="3"/>
              <c:layout>
                <c:manualLayout>
                  <c:x val="0"/>
                  <c:y val="-0.305555555555555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7F-4C2A-A1F3-4D2FD2B434B9}"/>
                </c:ext>
              </c:extLst>
            </c:dLbl>
            <c:dLbl>
              <c:idx val="4"/>
              <c:layout>
                <c:manualLayout>
                  <c:x val="8.3333333333332309E-3"/>
                  <c:y val="-0.324074074074074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7F-4C2A-A1F3-4D2FD2B434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Clarendon BT" panose="0204070404050502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Electronics</c:v>
                </c:pt>
                <c:pt idx="1">
                  <c:v>Clothing</c:v>
                </c:pt>
                <c:pt idx="2">
                  <c:v>Toys</c:v>
                </c:pt>
                <c:pt idx="3">
                  <c:v>Home &amp; Kitchen</c:v>
                </c:pt>
                <c:pt idx="4">
                  <c:v>Office Supplies</c:v>
                </c:pt>
              </c:strCache>
            </c:strRef>
          </c:cat>
          <c:val>
            <c:numRef>
              <c:f>'Pivot Tables'!$B$4:$B$9</c:f>
              <c:numCache>
                <c:formatCode>"$"#,##0.00</c:formatCode>
                <c:ptCount val="5"/>
                <c:pt idx="0">
                  <c:v>816382.14000000036</c:v>
                </c:pt>
                <c:pt idx="1">
                  <c:v>821087.40999999968</c:v>
                </c:pt>
                <c:pt idx="2">
                  <c:v>837011.34999999974</c:v>
                </c:pt>
                <c:pt idx="3">
                  <c:v>856183.26999999979</c:v>
                </c:pt>
                <c:pt idx="4">
                  <c:v>860786.24000000046</c:v>
                </c:pt>
              </c:numCache>
            </c:numRef>
          </c:val>
          <c:extLst>
            <c:ext xmlns:c16="http://schemas.microsoft.com/office/drawing/2014/chart" uri="{C3380CC4-5D6E-409C-BE32-E72D297353CC}">
              <c16:uniqueId val="{00000005-067F-4C2A-A1F3-4D2FD2B434B9}"/>
            </c:ext>
          </c:extLst>
        </c:ser>
        <c:dLbls>
          <c:dLblPos val="ctr"/>
          <c:showLegendKey val="0"/>
          <c:showVal val="1"/>
          <c:showCatName val="0"/>
          <c:showSerName val="0"/>
          <c:showPercent val="0"/>
          <c:showBubbleSize val="0"/>
        </c:dLbls>
        <c:gapWidth val="150"/>
        <c:overlap val="100"/>
        <c:axId val="475944728"/>
        <c:axId val="475945712"/>
      </c:barChart>
      <c:catAx>
        <c:axId val="475944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lumMod val="75000"/>
                  </a:schemeClr>
                </a:solidFill>
                <a:latin typeface="Clarendon BT" panose="02040704040505020204" pitchFamily="18" charset="0"/>
                <a:ea typeface="+mn-ea"/>
                <a:cs typeface="+mn-cs"/>
              </a:defRPr>
            </a:pPr>
            <a:endParaRPr lang="en-US"/>
          </a:p>
        </c:txPr>
        <c:crossAx val="475945712"/>
        <c:crosses val="autoZero"/>
        <c:auto val="1"/>
        <c:lblAlgn val="ctr"/>
        <c:lblOffset val="100"/>
        <c:noMultiLvlLbl val="0"/>
      </c:catAx>
      <c:valAx>
        <c:axId val="475945712"/>
        <c:scaling>
          <c:orientation val="minMax"/>
        </c:scaling>
        <c:delete val="1"/>
        <c:axPos val="l"/>
        <c:numFmt formatCode="&quot;$&quot;#,##0.00" sourceLinked="1"/>
        <c:majorTickMark val="none"/>
        <c:minorTickMark val="none"/>
        <c:tickLblPos val="nextTo"/>
        <c:crossAx val="475944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585787</xdr:colOff>
      <xdr:row>2</xdr:row>
      <xdr:rowOff>76200</xdr:rowOff>
    </xdr:from>
    <xdr:to>
      <xdr:col>25</xdr:col>
      <xdr:colOff>138112</xdr:colOff>
      <xdr:row>16</xdr:row>
      <xdr:rowOff>152400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552450</xdr:colOff>
      <xdr:row>17</xdr:row>
      <xdr:rowOff>114300</xdr:rowOff>
    </xdr:from>
    <xdr:to>
      <xdr:col>25</xdr:col>
      <xdr:colOff>104775</xdr:colOff>
      <xdr:row>32</xdr:row>
      <xdr:rowOff>0</xdr:rowOff>
    </xdr:to>
    <xdr:graphicFrame macro="">
      <xdr:nvGraphicFramePr>
        <xdr:cNvPr id="8" name="Chart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9525</xdr:colOff>
      <xdr:row>1</xdr:row>
      <xdr:rowOff>180975</xdr:rowOff>
    </xdr:from>
    <xdr:to>
      <xdr:col>35</xdr:col>
      <xdr:colOff>171450</xdr:colOff>
      <xdr:row>16</xdr:row>
      <xdr:rowOff>66675</xdr:rowOff>
    </xdr:to>
    <xdr:graphicFrame macro="">
      <xdr:nvGraphicFramePr>
        <xdr:cNvPr id="9" name="Chart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19050</xdr:colOff>
      <xdr:row>17</xdr:row>
      <xdr:rowOff>171450</xdr:rowOff>
    </xdr:from>
    <xdr:to>
      <xdr:col>35</xdr:col>
      <xdr:colOff>180975</xdr:colOff>
      <xdr:row>32</xdr:row>
      <xdr:rowOff>57150</xdr:rowOff>
    </xdr:to>
    <xdr:graphicFrame macro="">
      <xdr:nvGraphicFramePr>
        <xdr:cNvPr id="10" name="Chart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466725</xdr:colOff>
      <xdr:row>33</xdr:row>
      <xdr:rowOff>19050</xdr:rowOff>
    </xdr:from>
    <xdr:to>
      <xdr:col>25</xdr:col>
      <xdr:colOff>19050</xdr:colOff>
      <xdr:row>47</xdr:row>
      <xdr:rowOff>95250</xdr:rowOff>
    </xdr:to>
    <xdr:graphicFrame macro="">
      <xdr:nvGraphicFramePr>
        <xdr:cNvPr id="11" name="Chart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25</xdr:col>
      <xdr:colOff>238125</xdr:colOff>
      <xdr:row>43</xdr:row>
      <xdr:rowOff>51210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0" y="1"/>
          <a:ext cx="15601028" cy="841887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29293</xdr:colOff>
      <xdr:row>0</xdr:row>
      <xdr:rowOff>151402</xdr:rowOff>
    </xdr:from>
    <xdr:to>
      <xdr:col>2</xdr:col>
      <xdr:colOff>534117</xdr:colOff>
      <xdr:row>43</xdr:row>
      <xdr:rowOff>130918</xdr:rowOff>
    </xdr:to>
    <xdr:sp macro="" textlink="">
      <xdr:nvSpPr>
        <xdr:cNvPr id="5" name="Rounded Rectangle 4">
          <a:extLst>
            <a:ext uri="{FF2B5EF4-FFF2-40B4-BE49-F238E27FC236}">
              <a16:creationId xmlns:a16="http://schemas.microsoft.com/office/drawing/2014/main" id="{00000000-0008-0000-0600-000005000000}"/>
            </a:ext>
          </a:extLst>
        </xdr:cNvPr>
        <xdr:cNvSpPr/>
      </xdr:nvSpPr>
      <xdr:spPr>
        <a:xfrm>
          <a:off x="29293" y="151402"/>
          <a:ext cx="1719607" cy="8289733"/>
        </a:xfrm>
        <a:prstGeom prst="roundRect">
          <a:avLst>
            <a:gd name="adj" fmla="val 6170"/>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561258</xdr:colOff>
      <xdr:row>0</xdr:row>
      <xdr:rowOff>51415</xdr:rowOff>
    </xdr:from>
    <xdr:to>
      <xdr:col>25</xdr:col>
      <xdr:colOff>199308</xdr:colOff>
      <xdr:row>4</xdr:row>
      <xdr:rowOff>79990</xdr:rowOff>
    </xdr:to>
    <xdr:sp macro="" textlink="">
      <xdr:nvSpPr>
        <xdr:cNvPr id="7" name="Rounded Rectangle 6">
          <a:extLst>
            <a:ext uri="{FF2B5EF4-FFF2-40B4-BE49-F238E27FC236}">
              <a16:creationId xmlns:a16="http://schemas.microsoft.com/office/drawing/2014/main" id="{00000000-0008-0000-0600-000007000000}"/>
            </a:ext>
          </a:extLst>
        </xdr:cNvPr>
        <xdr:cNvSpPr/>
      </xdr:nvSpPr>
      <xdr:spPr>
        <a:xfrm>
          <a:off x="1790290" y="51415"/>
          <a:ext cx="13771921"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601404</xdr:colOff>
      <xdr:row>0</xdr:row>
      <xdr:rowOff>41889</xdr:rowOff>
    </xdr:from>
    <xdr:to>
      <xdr:col>21</xdr:col>
      <xdr:colOff>44039</xdr:colOff>
      <xdr:row>3</xdr:row>
      <xdr:rowOff>41889</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3673985" y="41889"/>
          <a:ext cx="9274893" cy="583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2"/>
              </a:solidFill>
              <a:latin typeface="Clarendon BT" panose="02040704040505020204" pitchFamily="18" charset="0"/>
            </a:rPr>
            <a:t>Charly Store</a:t>
          </a:r>
          <a:r>
            <a:rPr lang="en-US" sz="3600" b="1" baseline="0">
              <a:solidFill>
                <a:schemeClr val="tx2"/>
              </a:solidFill>
              <a:latin typeface="Clarendon BT" panose="02040704040505020204" pitchFamily="18" charset="0"/>
            </a:rPr>
            <a:t> Sale anaysis Dashboard</a:t>
          </a:r>
          <a:endParaRPr lang="en-US" sz="3600" b="1">
            <a:solidFill>
              <a:schemeClr val="tx2"/>
            </a:solidFill>
            <a:latin typeface="Clarendon BT" panose="02040704040505020204" pitchFamily="18" charset="0"/>
          </a:endParaRPr>
        </a:p>
      </xdr:txBody>
    </xdr:sp>
    <xdr:clientData/>
  </xdr:twoCellAnchor>
  <xdr:twoCellAnchor>
    <xdr:from>
      <xdr:col>2</xdr:col>
      <xdr:colOff>580308</xdr:colOff>
      <xdr:row>4</xdr:row>
      <xdr:rowOff>164076</xdr:rowOff>
    </xdr:from>
    <xdr:to>
      <xdr:col>7</xdr:col>
      <xdr:colOff>180258</xdr:colOff>
      <xdr:row>8</xdr:row>
      <xdr:rowOff>192651</xdr:rowOff>
    </xdr:to>
    <xdr:sp macro="" textlink="">
      <xdr:nvSpPr>
        <xdr:cNvPr id="10" name="Rounded Rectangle 9">
          <a:extLst>
            <a:ext uri="{FF2B5EF4-FFF2-40B4-BE49-F238E27FC236}">
              <a16:creationId xmlns:a16="http://schemas.microsoft.com/office/drawing/2014/main" id="{00000000-0008-0000-0600-00000A000000}"/>
            </a:ext>
          </a:extLst>
        </xdr:cNvPr>
        <xdr:cNvSpPr/>
      </xdr:nvSpPr>
      <xdr:spPr>
        <a:xfrm>
          <a:off x="1809340" y="942463"/>
          <a:ext cx="2672531"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244783</xdr:colOff>
      <xdr:row>4</xdr:row>
      <xdr:rowOff>174318</xdr:rowOff>
    </xdr:from>
    <xdr:to>
      <xdr:col>11</xdr:col>
      <xdr:colOff>454333</xdr:colOff>
      <xdr:row>9</xdr:row>
      <xdr:rowOff>8296</xdr:rowOff>
    </xdr:to>
    <xdr:sp macro="" textlink="">
      <xdr:nvSpPr>
        <xdr:cNvPr id="11" name="Rounded Rectangle 10">
          <a:extLst>
            <a:ext uri="{FF2B5EF4-FFF2-40B4-BE49-F238E27FC236}">
              <a16:creationId xmlns:a16="http://schemas.microsoft.com/office/drawing/2014/main" id="{00000000-0008-0000-0600-00000B000000}"/>
            </a:ext>
          </a:extLst>
        </xdr:cNvPr>
        <xdr:cNvSpPr/>
      </xdr:nvSpPr>
      <xdr:spPr>
        <a:xfrm>
          <a:off x="4546396" y="952705"/>
          <a:ext cx="2667614"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531249</xdr:colOff>
      <xdr:row>4</xdr:row>
      <xdr:rowOff>184560</xdr:rowOff>
    </xdr:from>
    <xdr:to>
      <xdr:col>16</xdr:col>
      <xdr:colOff>131199</xdr:colOff>
      <xdr:row>9</xdr:row>
      <xdr:rowOff>18538</xdr:rowOff>
    </xdr:to>
    <xdr:sp macro="" textlink="">
      <xdr:nvSpPr>
        <xdr:cNvPr id="12" name="Rounded Rectangle 11">
          <a:extLst>
            <a:ext uri="{FF2B5EF4-FFF2-40B4-BE49-F238E27FC236}">
              <a16:creationId xmlns:a16="http://schemas.microsoft.com/office/drawing/2014/main" id="{00000000-0008-0000-0600-00000C000000}"/>
            </a:ext>
          </a:extLst>
        </xdr:cNvPr>
        <xdr:cNvSpPr/>
      </xdr:nvSpPr>
      <xdr:spPr>
        <a:xfrm>
          <a:off x="7290926" y="962947"/>
          <a:ext cx="2672531"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185482</xdr:colOff>
      <xdr:row>4</xdr:row>
      <xdr:rowOff>173601</xdr:rowOff>
    </xdr:from>
    <xdr:to>
      <xdr:col>20</xdr:col>
      <xdr:colOff>395032</xdr:colOff>
      <xdr:row>9</xdr:row>
      <xdr:rowOff>7579</xdr:rowOff>
    </xdr:to>
    <xdr:sp macro="" textlink="">
      <xdr:nvSpPr>
        <xdr:cNvPr id="13" name="Rounded Rectangle 12">
          <a:extLst>
            <a:ext uri="{FF2B5EF4-FFF2-40B4-BE49-F238E27FC236}">
              <a16:creationId xmlns:a16="http://schemas.microsoft.com/office/drawing/2014/main" id="{00000000-0008-0000-0600-00000D000000}"/>
            </a:ext>
          </a:extLst>
        </xdr:cNvPr>
        <xdr:cNvSpPr/>
      </xdr:nvSpPr>
      <xdr:spPr>
        <a:xfrm>
          <a:off x="10017740" y="951988"/>
          <a:ext cx="2667615"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260759</xdr:colOff>
      <xdr:row>5</xdr:row>
      <xdr:rowOff>19255</xdr:rowOff>
    </xdr:from>
    <xdr:to>
      <xdr:col>6</xdr:col>
      <xdr:colOff>479834</xdr:colOff>
      <xdr:row>6</xdr:row>
      <xdr:rowOff>137651</xdr:rowOff>
    </xdr:to>
    <xdr:sp macro="" textlink="">
      <xdr:nvSpPr>
        <xdr:cNvPr id="15" name="TextBox 14">
          <a:extLst>
            <a:ext uri="{FF2B5EF4-FFF2-40B4-BE49-F238E27FC236}">
              <a16:creationId xmlns:a16="http://schemas.microsoft.com/office/drawing/2014/main" id="{00000000-0008-0000-0600-00000F000000}"/>
            </a:ext>
          </a:extLst>
        </xdr:cNvPr>
        <xdr:cNvSpPr txBox="1"/>
      </xdr:nvSpPr>
      <xdr:spPr>
        <a:xfrm>
          <a:off x="2104307" y="992239"/>
          <a:ext cx="2062624" cy="312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solidFill>
              <a:latin typeface="Clarendon BT" panose="02040704040505020204" pitchFamily="18" charset="0"/>
            </a:rPr>
            <a:t>Total</a:t>
          </a:r>
          <a:r>
            <a:rPr lang="en-US" sz="1400" b="1" baseline="0">
              <a:solidFill>
                <a:schemeClr val="tx2"/>
              </a:solidFill>
              <a:latin typeface="Clarendon BT" panose="02040704040505020204" pitchFamily="18" charset="0"/>
            </a:rPr>
            <a:t> Sales Amount</a:t>
          </a:r>
        </a:p>
        <a:p>
          <a:endParaRPr lang="en-US" sz="1200" b="1">
            <a:solidFill>
              <a:schemeClr val="tx2"/>
            </a:solidFill>
            <a:latin typeface="Clarendon BT" panose="02040704040505020204" pitchFamily="18" charset="0"/>
          </a:endParaRPr>
        </a:p>
      </xdr:txBody>
    </xdr:sp>
    <xdr:clientData/>
  </xdr:twoCellAnchor>
  <xdr:twoCellAnchor>
    <xdr:from>
      <xdr:col>3</xdr:col>
      <xdr:colOff>308385</xdr:colOff>
      <xdr:row>6</xdr:row>
      <xdr:rowOff>35949</xdr:rowOff>
    </xdr:from>
    <xdr:to>
      <xdr:col>6</xdr:col>
      <xdr:colOff>394109</xdr:colOff>
      <xdr:row>7</xdr:row>
      <xdr:rowOff>150250</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2151933" y="1203530"/>
          <a:ext cx="1929273" cy="308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2"/>
              </a:solidFill>
              <a:effectLst/>
              <a:latin typeface="Clarendon BT" panose="02040704040505020204" pitchFamily="18" charset="0"/>
              <a:ea typeface="+mn-ea"/>
              <a:cs typeface="+mn-cs"/>
            </a:rPr>
            <a:t>$4,191,450.41</a:t>
          </a:r>
          <a:r>
            <a:rPr lang="en-US" sz="2000" b="1">
              <a:solidFill>
                <a:schemeClr val="tx2"/>
              </a:solidFill>
              <a:latin typeface="Clarendon BT" panose="02040704040505020204" pitchFamily="18" charset="0"/>
            </a:rPr>
            <a:t> </a:t>
          </a:r>
          <a:endParaRPr lang="en-US" sz="2000" b="1" baseline="0">
            <a:solidFill>
              <a:schemeClr val="tx2"/>
            </a:solidFill>
            <a:latin typeface="Clarendon BT" panose="02040704040505020204" pitchFamily="18" charset="0"/>
          </a:endParaRPr>
        </a:p>
        <a:p>
          <a:endParaRPr lang="en-US" sz="1600" b="1">
            <a:solidFill>
              <a:schemeClr val="tx2"/>
            </a:solidFill>
            <a:latin typeface="Clarendon BT" panose="02040704040505020204" pitchFamily="18" charset="0"/>
          </a:endParaRPr>
        </a:p>
      </xdr:txBody>
    </xdr:sp>
    <xdr:clientData/>
  </xdr:twoCellAnchor>
  <xdr:twoCellAnchor>
    <xdr:from>
      <xdr:col>7</xdr:col>
      <xdr:colOff>530532</xdr:colOff>
      <xdr:row>5</xdr:row>
      <xdr:rowOff>19972</xdr:rowOff>
    </xdr:from>
    <xdr:to>
      <xdr:col>11</xdr:col>
      <xdr:colOff>254307</xdr:colOff>
      <xdr:row>6</xdr:row>
      <xdr:rowOff>138368</xdr:rowOff>
    </xdr:to>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4832145" y="992956"/>
          <a:ext cx="2181839" cy="312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tx2"/>
              </a:solidFill>
              <a:latin typeface="Clarendon BT" panose="02040704040505020204" pitchFamily="18" charset="0"/>
            </a:rPr>
            <a:t>Average Order Value</a:t>
          </a:r>
        </a:p>
        <a:p>
          <a:endParaRPr lang="en-US" sz="1200" b="1">
            <a:solidFill>
              <a:schemeClr val="tx2"/>
            </a:solidFill>
            <a:latin typeface="Clarendon BT" panose="02040704040505020204" pitchFamily="18" charset="0"/>
          </a:endParaRPr>
        </a:p>
      </xdr:txBody>
    </xdr:sp>
    <xdr:clientData/>
  </xdr:twoCellAnchor>
  <xdr:twoCellAnchor>
    <xdr:from>
      <xdr:col>8</xdr:col>
      <xdr:colOff>146664</xdr:colOff>
      <xdr:row>6</xdr:row>
      <xdr:rowOff>106208</xdr:rowOff>
    </xdr:from>
    <xdr:to>
      <xdr:col>11</xdr:col>
      <xdr:colOff>41888</xdr:colOff>
      <xdr:row>8</xdr:row>
      <xdr:rowOff>30009</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5062793" y="1273789"/>
          <a:ext cx="1738772" cy="31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solidFill>
              <a:latin typeface="Clarendon BT" panose="02040704040505020204" pitchFamily="18" charset="0"/>
            </a:rPr>
            <a:t>$1,270.14  </a:t>
          </a:r>
          <a:endParaRPr lang="en-US" sz="1800" b="1" baseline="0">
            <a:solidFill>
              <a:schemeClr val="tx2"/>
            </a:solidFill>
            <a:latin typeface="Clarendon BT" panose="02040704040505020204" pitchFamily="18" charset="0"/>
          </a:endParaRPr>
        </a:p>
        <a:p>
          <a:endParaRPr lang="en-US" sz="1600" b="1">
            <a:solidFill>
              <a:schemeClr val="tx2"/>
            </a:solidFill>
            <a:latin typeface="Clarendon BT" panose="02040704040505020204" pitchFamily="18" charset="0"/>
          </a:endParaRPr>
        </a:p>
      </xdr:txBody>
    </xdr:sp>
    <xdr:clientData/>
  </xdr:twoCellAnchor>
  <xdr:twoCellAnchor>
    <xdr:from>
      <xdr:col>12</xdr:col>
      <xdr:colOff>315759</xdr:colOff>
      <xdr:row>5</xdr:row>
      <xdr:rowOff>9730</xdr:rowOff>
    </xdr:from>
    <xdr:to>
      <xdr:col>16</xdr:col>
      <xdr:colOff>39534</xdr:colOff>
      <xdr:row>6</xdr:row>
      <xdr:rowOff>128126</xdr:rowOff>
    </xdr:to>
    <xdr:sp macro="" textlink="">
      <xdr:nvSpPr>
        <xdr:cNvPr id="20" name="TextBox 19">
          <a:extLst>
            <a:ext uri="{FF2B5EF4-FFF2-40B4-BE49-F238E27FC236}">
              <a16:creationId xmlns:a16="http://schemas.microsoft.com/office/drawing/2014/main" id="{00000000-0008-0000-0600-000014000000}"/>
            </a:ext>
          </a:extLst>
        </xdr:cNvPr>
        <xdr:cNvSpPr txBox="1"/>
      </xdr:nvSpPr>
      <xdr:spPr>
        <a:xfrm>
          <a:off x="7689953" y="982714"/>
          <a:ext cx="2181839" cy="312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tx2"/>
              </a:solidFill>
              <a:latin typeface="Clarendon BT" panose="02040704040505020204" pitchFamily="18" charset="0"/>
            </a:rPr>
            <a:t>Number of Orders</a:t>
          </a:r>
        </a:p>
        <a:p>
          <a:endParaRPr lang="en-US" sz="1200" b="1">
            <a:solidFill>
              <a:schemeClr val="tx2"/>
            </a:solidFill>
            <a:latin typeface="Clarendon BT" panose="02040704040505020204" pitchFamily="18" charset="0"/>
          </a:endParaRPr>
        </a:p>
      </xdr:txBody>
    </xdr:sp>
    <xdr:clientData/>
  </xdr:twoCellAnchor>
  <xdr:twoCellAnchor>
    <xdr:from>
      <xdr:col>13</xdr:col>
      <xdr:colOff>46191</xdr:colOff>
      <xdr:row>6</xdr:row>
      <xdr:rowOff>75482</xdr:rowOff>
    </xdr:from>
    <xdr:to>
      <xdr:col>15</xdr:col>
      <xdr:colOff>370041</xdr:colOff>
      <xdr:row>7</xdr:row>
      <xdr:rowOff>193880</xdr:rowOff>
    </xdr:to>
    <xdr:sp macro="" textlink="">
      <xdr:nvSpPr>
        <xdr:cNvPr id="21" name="TextBox 20">
          <a:extLst>
            <a:ext uri="{FF2B5EF4-FFF2-40B4-BE49-F238E27FC236}">
              <a16:creationId xmlns:a16="http://schemas.microsoft.com/office/drawing/2014/main" id="{00000000-0008-0000-0600-000015000000}"/>
            </a:ext>
          </a:extLst>
        </xdr:cNvPr>
        <xdr:cNvSpPr txBox="1"/>
      </xdr:nvSpPr>
      <xdr:spPr>
        <a:xfrm>
          <a:off x="8034901" y="1243063"/>
          <a:ext cx="1552882" cy="31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solidFill>
              <a:latin typeface="Clarendon BT" panose="02040704040505020204" pitchFamily="18" charset="0"/>
            </a:rPr>
            <a:t>3300 </a:t>
          </a:r>
          <a:endParaRPr lang="en-US" sz="1600" b="1">
            <a:solidFill>
              <a:schemeClr val="tx2"/>
            </a:solidFill>
            <a:latin typeface="Clarendon BT" panose="02040704040505020204" pitchFamily="18" charset="0"/>
          </a:endParaRPr>
        </a:p>
      </xdr:txBody>
    </xdr:sp>
    <xdr:clientData/>
  </xdr:twoCellAnchor>
  <xdr:twoCellAnchor>
    <xdr:from>
      <xdr:col>16</xdr:col>
      <xdr:colOff>411009</xdr:colOff>
      <xdr:row>5</xdr:row>
      <xdr:rowOff>59506</xdr:rowOff>
    </xdr:from>
    <xdr:to>
      <xdr:col>20</xdr:col>
      <xdr:colOff>277659</xdr:colOff>
      <xdr:row>6</xdr:row>
      <xdr:rowOff>177902</xdr:rowOff>
    </xdr:to>
    <xdr:sp macro="" textlink="">
      <xdr:nvSpPr>
        <xdr:cNvPr id="22" name="TextBox 21">
          <a:extLst>
            <a:ext uri="{FF2B5EF4-FFF2-40B4-BE49-F238E27FC236}">
              <a16:creationId xmlns:a16="http://schemas.microsoft.com/office/drawing/2014/main" id="{00000000-0008-0000-0600-000016000000}"/>
            </a:ext>
          </a:extLst>
        </xdr:cNvPr>
        <xdr:cNvSpPr txBox="1"/>
      </xdr:nvSpPr>
      <xdr:spPr>
        <a:xfrm>
          <a:off x="10243267" y="1032490"/>
          <a:ext cx="2324715" cy="312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tx2"/>
              </a:solidFill>
              <a:latin typeface="Clarendon BT" panose="02040704040505020204" pitchFamily="18" charset="0"/>
            </a:rPr>
            <a:t>Median Quantity Sold</a:t>
          </a:r>
        </a:p>
        <a:p>
          <a:endParaRPr lang="en-US" sz="1200" b="1">
            <a:solidFill>
              <a:schemeClr val="tx2"/>
            </a:solidFill>
            <a:latin typeface="Clarendon BT" panose="02040704040505020204" pitchFamily="18" charset="0"/>
          </a:endParaRPr>
        </a:p>
      </xdr:txBody>
    </xdr:sp>
    <xdr:clientData/>
  </xdr:twoCellAnchor>
  <xdr:twoCellAnchor>
    <xdr:from>
      <xdr:col>17</xdr:col>
      <xdr:colOff>489565</xdr:colOff>
      <xdr:row>6</xdr:row>
      <xdr:rowOff>137650</xdr:rowOff>
    </xdr:from>
    <xdr:to>
      <xdr:col>20</xdr:col>
      <xdr:colOff>203815</xdr:colOff>
      <xdr:row>8</xdr:row>
      <xdr:rowOff>61451</xdr:rowOff>
    </xdr:to>
    <xdr:sp macro="" textlink="">
      <xdr:nvSpPr>
        <xdr:cNvPr id="26" name="TextBox 25">
          <a:extLst>
            <a:ext uri="{FF2B5EF4-FFF2-40B4-BE49-F238E27FC236}">
              <a16:creationId xmlns:a16="http://schemas.microsoft.com/office/drawing/2014/main" id="{00000000-0008-0000-0600-00001A000000}"/>
            </a:ext>
          </a:extLst>
        </xdr:cNvPr>
        <xdr:cNvSpPr txBox="1"/>
      </xdr:nvSpPr>
      <xdr:spPr>
        <a:xfrm>
          <a:off x="10936339" y="1305231"/>
          <a:ext cx="1557799" cy="31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solidFill>
              <a:latin typeface="Clarendon BT" panose="02040704040505020204" pitchFamily="18" charset="0"/>
            </a:rPr>
            <a:t>9</a:t>
          </a:r>
          <a:endParaRPr lang="en-US" sz="1600" b="1">
            <a:solidFill>
              <a:schemeClr val="tx2"/>
            </a:solidFill>
            <a:latin typeface="Clarendon BT" panose="02040704040505020204" pitchFamily="18" charset="0"/>
          </a:endParaRPr>
        </a:p>
      </xdr:txBody>
    </xdr:sp>
    <xdr:clientData/>
  </xdr:twoCellAnchor>
  <xdr:twoCellAnchor>
    <xdr:from>
      <xdr:col>20</xdr:col>
      <xdr:colOff>491715</xdr:colOff>
      <xdr:row>4</xdr:row>
      <xdr:rowOff>175752</xdr:rowOff>
    </xdr:from>
    <xdr:to>
      <xdr:col>25</xdr:col>
      <xdr:colOff>204839</xdr:colOff>
      <xdr:row>9</xdr:row>
      <xdr:rowOff>9730</xdr:rowOff>
    </xdr:to>
    <xdr:sp macro="" textlink="">
      <xdr:nvSpPr>
        <xdr:cNvPr id="27" name="Rounded Rectangle 26">
          <a:extLst>
            <a:ext uri="{FF2B5EF4-FFF2-40B4-BE49-F238E27FC236}">
              <a16:creationId xmlns:a16="http://schemas.microsoft.com/office/drawing/2014/main" id="{00000000-0008-0000-0600-00001B000000}"/>
            </a:ext>
          </a:extLst>
        </xdr:cNvPr>
        <xdr:cNvSpPr/>
      </xdr:nvSpPr>
      <xdr:spPr>
        <a:xfrm>
          <a:off x="12782038" y="954139"/>
          <a:ext cx="2785704" cy="806962"/>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473381</xdr:colOff>
      <xdr:row>5</xdr:row>
      <xdr:rowOff>59505</xdr:rowOff>
    </xdr:from>
    <xdr:to>
      <xdr:col>25</xdr:col>
      <xdr:colOff>273357</xdr:colOff>
      <xdr:row>6</xdr:row>
      <xdr:rowOff>177901</xdr:rowOff>
    </xdr:to>
    <xdr:sp macro="" textlink="">
      <xdr:nvSpPr>
        <xdr:cNvPr id="28" name="TextBox 27">
          <a:extLst>
            <a:ext uri="{FF2B5EF4-FFF2-40B4-BE49-F238E27FC236}">
              <a16:creationId xmlns:a16="http://schemas.microsoft.com/office/drawing/2014/main" id="{00000000-0008-0000-0600-00001C000000}"/>
            </a:ext>
          </a:extLst>
        </xdr:cNvPr>
        <xdr:cNvSpPr txBox="1"/>
      </xdr:nvSpPr>
      <xdr:spPr>
        <a:xfrm>
          <a:off x="12763704" y="1032489"/>
          <a:ext cx="2872556" cy="312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tx2"/>
              </a:solidFill>
              <a:latin typeface="Clarendon BT" panose="02040704040505020204" pitchFamily="18" charset="0"/>
            </a:rPr>
            <a:t>Orders Count with Quantity</a:t>
          </a:r>
          <a:endParaRPr lang="en-US" sz="1200" b="1">
            <a:solidFill>
              <a:schemeClr val="tx2"/>
            </a:solidFill>
            <a:latin typeface="Clarendon BT" panose="02040704040505020204" pitchFamily="18" charset="0"/>
          </a:endParaRPr>
        </a:p>
      </xdr:txBody>
    </xdr:sp>
    <xdr:clientData/>
  </xdr:twoCellAnchor>
  <xdr:twoCellAnchor>
    <xdr:from>
      <xdr:col>21</xdr:col>
      <xdr:colOff>521109</xdr:colOff>
      <xdr:row>6</xdr:row>
      <xdr:rowOff>158135</xdr:rowOff>
    </xdr:from>
    <xdr:to>
      <xdr:col>24</xdr:col>
      <xdr:colOff>230443</xdr:colOff>
      <xdr:row>8</xdr:row>
      <xdr:rowOff>81936</xdr:rowOff>
    </xdr:to>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3425948" y="1325716"/>
          <a:ext cx="1552882" cy="31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2"/>
              </a:solidFill>
              <a:latin typeface="Clarendon BT" panose="02040704040505020204" pitchFamily="18" charset="0"/>
            </a:rPr>
            <a:t>2454 </a:t>
          </a:r>
          <a:endParaRPr lang="en-US" sz="1600" b="1">
            <a:solidFill>
              <a:schemeClr val="tx2"/>
            </a:solidFill>
            <a:latin typeface="Clarendon BT" panose="02040704040505020204" pitchFamily="18" charset="0"/>
          </a:endParaRPr>
        </a:p>
      </xdr:txBody>
    </xdr:sp>
    <xdr:clientData/>
  </xdr:twoCellAnchor>
  <xdr:twoCellAnchor>
    <xdr:from>
      <xdr:col>2</xdr:col>
      <xdr:colOff>562690</xdr:colOff>
      <xdr:row>9</xdr:row>
      <xdr:rowOff>76917</xdr:rowOff>
    </xdr:from>
    <xdr:to>
      <xdr:col>10</xdr:col>
      <xdr:colOff>181691</xdr:colOff>
      <xdr:row>25</xdr:row>
      <xdr:rowOff>191217</xdr:rowOff>
    </xdr:to>
    <xdr:sp macro="" textlink="">
      <xdr:nvSpPr>
        <xdr:cNvPr id="31" name="Rounded Rectangle 30">
          <a:extLst>
            <a:ext uri="{FF2B5EF4-FFF2-40B4-BE49-F238E27FC236}">
              <a16:creationId xmlns:a16="http://schemas.microsoft.com/office/drawing/2014/main" id="{00000000-0008-0000-0600-00001F000000}"/>
            </a:ext>
          </a:extLst>
        </xdr:cNvPr>
        <xdr:cNvSpPr/>
      </xdr:nvSpPr>
      <xdr:spPr>
        <a:xfrm>
          <a:off x="1791722" y="1828288"/>
          <a:ext cx="4535130" cy="3227848"/>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208832</xdr:colOff>
      <xdr:row>9</xdr:row>
      <xdr:rowOff>87159</xdr:rowOff>
    </xdr:from>
    <xdr:to>
      <xdr:col>17</xdr:col>
      <xdr:colOff>475533</xdr:colOff>
      <xdr:row>26</xdr:row>
      <xdr:rowOff>6862</xdr:rowOff>
    </xdr:to>
    <xdr:sp macro="" textlink="">
      <xdr:nvSpPr>
        <xdr:cNvPr id="39" name="Rounded Rectangle 38">
          <a:extLst>
            <a:ext uri="{FF2B5EF4-FFF2-40B4-BE49-F238E27FC236}">
              <a16:creationId xmlns:a16="http://schemas.microsoft.com/office/drawing/2014/main" id="{00000000-0008-0000-0600-000027000000}"/>
            </a:ext>
          </a:extLst>
        </xdr:cNvPr>
        <xdr:cNvSpPr/>
      </xdr:nvSpPr>
      <xdr:spPr>
        <a:xfrm>
          <a:off x="6353993" y="1838530"/>
          <a:ext cx="4568314" cy="3227848"/>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512198</xdr:colOff>
      <xdr:row>9</xdr:row>
      <xdr:rowOff>96684</xdr:rowOff>
    </xdr:from>
    <xdr:to>
      <xdr:col>25</xdr:col>
      <xdr:colOff>207399</xdr:colOff>
      <xdr:row>26</xdr:row>
      <xdr:rowOff>20484</xdr:rowOff>
    </xdr:to>
    <xdr:sp macro="" textlink="">
      <xdr:nvSpPr>
        <xdr:cNvPr id="40" name="Rounded Rectangle 39">
          <a:extLst>
            <a:ext uri="{FF2B5EF4-FFF2-40B4-BE49-F238E27FC236}">
              <a16:creationId xmlns:a16="http://schemas.microsoft.com/office/drawing/2014/main" id="{00000000-0008-0000-0600-000028000000}"/>
            </a:ext>
          </a:extLst>
        </xdr:cNvPr>
        <xdr:cNvSpPr/>
      </xdr:nvSpPr>
      <xdr:spPr>
        <a:xfrm>
          <a:off x="10958972" y="1848055"/>
          <a:ext cx="4611330" cy="3231945"/>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542923</xdr:colOff>
      <xdr:row>26</xdr:row>
      <xdr:rowOff>58584</xdr:rowOff>
    </xdr:from>
    <xdr:to>
      <xdr:col>14</xdr:col>
      <xdr:colOff>66674</xdr:colOff>
      <xdr:row>42</xdr:row>
      <xdr:rowOff>172883</xdr:rowOff>
    </xdr:to>
    <xdr:sp macro="" textlink="">
      <xdr:nvSpPr>
        <xdr:cNvPr id="44" name="Rounded Rectangle 43">
          <a:extLst>
            <a:ext uri="{FF2B5EF4-FFF2-40B4-BE49-F238E27FC236}">
              <a16:creationId xmlns:a16="http://schemas.microsoft.com/office/drawing/2014/main" id="{00000000-0008-0000-0600-00002C000000}"/>
            </a:ext>
          </a:extLst>
        </xdr:cNvPr>
        <xdr:cNvSpPr/>
      </xdr:nvSpPr>
      <xdr:spPr>
        <a:xfrm>
          <a:off x="1771955" y="5118100"/>
          <a:ext cx="6897945" cy="3227848"/>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84290</xdr:colOff>
      <xdr:row>26</xdr:row>
      <xdr:rowOff>68109</xdr:rowOff>
    </xdr:from>
    <xdr:to>
      <xdr:col>25</xdr:col>
      <xdr:colOff>217641</xdr:colOff>
      <xdr:row>42</xdr:row>
      <xdr:rowOff>182408</xdr:rowOff>
    </xdr:to>
    <xdr:sp macro="" textlink="">
      <xdr:nvSpPr>
        <xdr:cNvPr id="52" name="Rounded Rectangle 51">
          <a:extLst>
            <a:ext uri="{FF2B5EF4-FFF2-40B4-BE49-F238E27FC236}">
              <a16:creationId xmlns:a16="http://schemas.microsoft.com/office/drawing/2014/main" id="{00000000-0008-0000-0600-000034000000}"/>
            </a:ext>
          </a:extLst>
        </xdr:cNvPr>
        <xdr:cNvSpPr/>
      </xdr:nvSpPr>
      <xdr:spPr>
        <a:xfrm>
          <a:off x="8687516" y="5127625"/>
          <a:ext cx="6893028" cy="3227848"/>
        </a:xfrm>
        <a:prstGeom prst="roundRect">
          <a:avLst>
            <a:gd name="adj" fmla="val 5824"/>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512198</xdr:colOff>
      <xdr:row>9</xdr:row>
      <xdr:rowOff>143387</xdr:rowOff>
    </xdr:from>
    <xdr:to>
      <xdr:col>25</xdr:col>
      <xdr:colOff>194597</xdr:colOff>
      <xdr:row>25</xdr:row>
      <xdr:rowOff>163871</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125257</xdr:colOff>
      <xdr:row>26</xdr:row>
      <xdr:rowOff>81936</xdr:rowOff>
    </xdr:from>
    <xdr:to>
      <xdr:col>25</xdr:col>
      <xdr:colOff>225323</xdr:colOff>
      <xdr:row>42</xdr:row>
      <xdr:rowOff>153629</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174113</xdr:rowOff>
    </xdr:from>
    <xdr:to>
      <xdr:col>2</xdr:col>
      <xdr:colOff>542823</xdr:colOff>
      <xdr:row>3</xdr:row>
      <xdr:rowOff>178722</xdr:rowOff>
    </xdr:to>
    <mc:AlternateContent xmlns:mc="http://schemas.openxmlformats.org/markup-compatibility/2006" xmlns:a14="http://schemas.microsoft.com/office/drawing/2010/main">
      <mc:Choice Requires="a14">
        <xdr:graphicFrame macro="">
          <xdr:nvGraphicFramePr>
            <xdr:cNvPr id="42" name="Year 1">
              <a:extLst>
                <a:ext uri="{FF2B5EF4-FFF2-40B4-BE49-F238E27FC236}">
                  <a16:creationId xmlns:a16="http://schemas.microsoft.com/office/drawing/2014/main" id="{00000000-0008-0000-0600-00002A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74113"/>
              <a:ext cx="1771855" cy="58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33740</xdr:rowOff>
    </xdr:from>
    <xdr:to>
      <xdr:col>2</xdr:col>
      <xdr:colOff>542823</xdr:colOff>
      <xdr:row>24</xdr:row>
      <xdr:rowOff>188959</xdr:rowOff>
    </xdr:to>
    <mc:AlternateContent xmlns:mc="http://schemas.openxmlformats.org/markup-compatibility/2006" xmlns:a14="http://schemas.microsoft.com/office/drawing/2010/main">
      <mc:Choice Requires="a14">
        <xdr:graphicFrame macro="">
          <xdr:nvGraphicFramePr>
            <xdr:cNvPr id="43" name="Monthname 1">
              <a:extLst>
                <a:ext uri="{FF2B5EF4-FFF2-40B4-BE49-F238E27FC236}">
                  <a16:creationId xmlns:a16="http://schemas.microsoft.com/office/drawing/2014/main" id="{00000000-0008-0000-0600-00002B000000}"/>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mlns="">
        <xdr:sp macro="" textlink="">
          <xdr:nvSpPr>
            <xdr:cNvPr id="0" name=""/>
            <xdr:cNvSpPr>
              <a:spLocks noTextEdit="1"/>
            </xdr:cNvSpPr>
          </xdr:nvSpPr>
          <xdr:spPr>
            <a:xfrm>
              <a:off x="0" y="996942"/>
              <a:ext cx="1762879" cy="3815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46708</xdr:rowOff>
    </xdr:from>
    <xdr:to>
      <xdr:col>2</xdr:col>
      <xdr:colOff>532581</xdr:colOff>
      <xdr:row>33</xdr:row>
      <xdr:rowOff>129437</xdr:rowOff>
    </xdr:to>
    <mc:AlternateContent xmlns:mc="http://schemas.openxmlformats.org/markup-compatibility/2006" xmlns:a14="http://schemas.microsoft.com/office/drawing/2010/main">
      <mc:Choice Requires="a14">
        <xdr:graphicFrame macro="">
          <xdr:nvGraphicFramePr>
            <xdr:cNvPr id="45" name="Region 1">
              <a:extLst>
                <a:ext uri="{FF2B5EF4-FFF2-40B4-BE49-F238E27FC236}">
                  <a16:creationId xmlns:a16="http://schemas.microsoft.com/office/drawing/2014/main" id="{00000000-0008-0000-0600-00002D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4670079"/>
              <a:ext cx="1752637" cy="1816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61851</xdr:rowOff>
    </xdr:from>
    <xdr:to>
      <xdr:col>2</xdr:col>
      <xdr:colOff>512097</xdr:colOff>
      <xdr:row>43</xdr:row>
      <xdr:rowOff>29928</xdr:rowOff>
    </xdr:to>
    <mc:AlternateContent xmlns:mc="http://schemas.openxmlformats.org/markup-compatibility/2006" xmlns:a14="http://schemas.microsoft.com/office/drawing/2010/main">
      <mc:Choice Requires="a14">
        <xdr:graphicFrame macro="">
          <xdr:nvGraphicFramePr>
            <xdr:cNvPr id="46" name="Category 1">
              <a:extLst>
                <a:ext uri="{FF2B5EF4-FFF2-40B4-BE49-F238E27FC236}">
                  <a16:creationId xmlns:a16="http://schemas.microsoft.com/office/drawing/2014/main" id="{00000000-0008-0000-0600-00002E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611626"/>
              <a:ext cx="1732153" cy="1701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604274</xdr:colOff>
      <xdr:row>9</xdr:row>
      <xdr:rowOff>122903</xdr:rowOff>
    </xdr:from>
    <xdr:to>
      <xdr:col>10</xdr:col>
      <xdr:colOff>143387</xdr:colOff>
      <xdr:row>25</xdr:row>
      <xdr:rowOff>184355</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46</xdr:row>
      <xdr:rowOff>0</xdr:rowOff>
    </xdr:from>
    <xdr:to>
      <xdr:col>7</xdr:col>
      <xdr:colOff>270387</xdr:colOff>
      <xdr:row>60</xdr:row>
      <xdr:rowOff>18846</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553064</xdr:colOff>
      <xdr:row>26</xdr:row>
      <xdr:rowOff>58584</xdr:rowOff>
    </xdr:from>
    <xdr:to>
      <xdr:col>14</xdr:col>
      <xdr:colOff>30725</xdr:colOff>
      <xdr:row>42</xdr:row>
      <xdr:rowOff>143387</xdr:rowOff>
    </xdr:to>
    <xdr:graphicFrame macro="">
      <xdr:nvGraphicFramePr>
        <xdr:cNvPr id="48" name="Chart 47">
          <a:extLst>
            <a:ext uri="{FF2B5EF4-FFF2-40B4-BE49-F238E27FC236}">
              <a16:creationId xmlns:a16="http://schemas.microsoft.com/office/drawing/2014/main" id="{00000000-0008-0000-06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208832</xdr:colOff>
      <xdr:row>9</xdr:row>
      <xdr:rowOff>112661</xdr:rowOff>
    </xdr:from>
    <xdr:to>
      <xdr:col>17</xdr:col>
      <xdr:colOff>440403</xdr:colOff>
      <xdr:row>25</xdr:row>
      <xdr:rowOff>174113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9.915484143516" createdVersion="6" refreshedVersion="6" minRefreshableVersion="3" recordCount="3300" xr:uid="{00000000-000A-0000-FFFF-FFFF00000000}">
  <cacheSource type="worksheet">
    <worksheetSource ref="A1:S3301" sheet="Raw_Sales_Data _Cleaned"/>
  </cacheSource>
  <cacheFields count="19">
    <cacheField name="Order ID" numFmtId="0">
      <sharedItems/>
    </cacheField>
    <cacheField name="Order Date" numFmtId="14">
      <sharedItems containsSemiMixedTypes="0" containsNonDate="0" containsDate="1" containsString="0" minDate="2024-01-01T00:00:00" maxDate="2024-12-31T00:00:00"/>
    </cacheField>
    <cacheField name="Customer ID" numFmtId="0">
      <sharedItems/>
    </cacheField>
    <cacheField name="Product_ID" numFmtId="0">
      <sharedItems count="25">
        <s v="PROD-003"/>
        <s v="PROD-005"/>
        <s v="PROD-021"/>
        <s v="PROD-009"/>
        <s v="PROD-013"/>
        <s v="PROD-016"/>
        <s v="PROD-022"/>
        <s v="PROD-006"/>
        <s v="PROD-012"/>
        <s v="PROD-019"/>
        <s v="PROD-023"/>
        <s v="PROD-007"/>
        <s v="PROD-015"/>
        <s v="PROD-011"/>
        <s v="PROD-010"/>
        <s v="PROD-002"/>
        <s v="PROD-024"/>
        <s v="PROD-014"/>
        <s v="PROD-001"/>
        <s v="PROD-004"/>
        <s v="PROD-020"/>
        <s v="PROD-025"/>
        <s v="PROD-017"/>
        <s v="PROD-018"/>
        <s v="PROD-008"/>
      </sharedItems>
    </cacheField>
    <cacheField name="Segment" numFmtId="0">
      <sharedItems count="4">
        <s v="Consumer"/>
        <s v="Corporate"/>
        <s v="Home Office"/>
        <s v="Unknown"/>
      </sharedItems>
    </cacheField>
    <cacheField name="Region" numFmtId="0">
      <sharedItems count="5">
        <s v="North"/>
        <s v="Central"/>
        <s v="West"/>
        <s v="East"/>
        <s v="South"/>
      </sharedItems>
    </cacheField>
    <cacheField name="Category" numFmtId="0">
      <sharedItems count="5">
        <s v="Electronics"/>
        <s v="Toys"/>
        <s v="Clothing"/>
        <s v="Home &amp; Kitchen"/>
        <s v="Office Supplies"/>
      </sharedItems>
    </cacheField>
    <cacheField name="Quantity" numFmtId="0">
      <sharedItems containsSemiMixedTypes="0" containsString="0" containsNumber="1" containsInteger="1" minValue="1" maxValue="20" count="20">
        <n v="4"/>
        <n v="1"/>
        <n v="5"/>
        <n v="14"/>
        <n v="2"/>
        <n v="12"/>
        <n v="6"/>
        <n v="8"/>
        <n v="10"/>
        <n v="11"/>
        <n v="7"/>
        <n v="13"/>
        <n v="15"/>
        <n v="3"/>
        <n v="9"/>
        <n v="18"/>
        <n v="19"/>
        <n v="16"/>
        <n v="17"/>
        <n v="20"/>
      </sharedItems>
    </cacheField>
    <cacheField name="Product_Cost" numFmtId="0">
      <sharedItems/>
    </cacheField>
    <cacheField name="Day of week" numFmtId="0">
      <sharedItems/>
    </cacheField>
    <cacheField name="Monthname" numFmtId="166">
      <sharedItems count="12">
        <s v="November"/>
        <s v="December"/>
        <s v="April"/>
        <s v="October"/>
        <s v="March"/>
        <s v="February"/>
        <s v="January"/>
        <s v="May"/>
        <s v="July"/>
        <s v="June"/>
        <s v="August"/>
        <s v="September"/>
      </sharedItems>
    </cacheField>
    <cacheField name="Year" numFmtId="0">
      <sharedItems containsSemiMixedTypes="0" containsString="0" containsNumber="1" containsInteger="1" minValue="2024" maxValue="2024" count="1">
        <n v="2024"/>
      </sharedItems>
    </cacheField>
    <cacheField name="OR" numFmtId="0">
      <sharedItems/>
    </cacheField>
    <cacheField name="AND" numFmtId="0">
      <sharedItems/>
    </cacheField>
    <cacheField name="Order Status" numFmtId="0">
      <sharedItems/>
    </cacheField>
    <cacheField name="Discounted Amount" numFmtId="165">
      <sharedItems containsSemiMixedTypes="0" containsString="0" containsNumber="1" minValue="0.50549999999999995" maxValue="11.534000000000001"/>
    </cacheField>
    <cacheField name="Products" numFmtId="165">
      <sharedItems count="26">
        <s v="Headphones"/>
        <s v="Action Figure"/>
        <s v="Sweater"/>
        <s v="Coffee Maker"/>
        <s v="Stapler"/>
        <s v="Board Game"/>
        <s v="T-Shirt"/>
        <s v="Toaster"/>
        <s v="Tablet"/>
        <s v="Desk Lamp"/>
        <s v="Puzzle"/>
        <s v="Jeans"/>
        <s v="Air Fryer"/>
        <s v="Blender"/>
        <s v="Socks"/>
        <s v="Smartphone"/>
        <s v="Lego Set"/>
        <s v="Vacuum"/>
        <s v="Laptop"/>
        <s v="Monitor"/>
        <s v="Paper Shredder"/>
        <s v="Doll"/>
        <s v="Notebook"/>
        <s v="Pen Set"/>
        <s v="Jacket"/>
        <s v="Unknown"/>
      </sharedItems>
    </cacheField>
    <cacheField name="Sales" numFmtId="165">
      <sharedItems containsSemiMixedTypes="0" containsString="0" containsNumber="1" minValue="10.11" maxValue="4613.6000000000004"/>
    </cacheField>
    <cacheField name="      Discounted Rates" numFmtId="0">
      <sharedItems containsString="0" containsBlank="1" containsNumber="1" minValue="0.05" maxValue="0.1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300">
  <r>
    <s v="ORD-1000"/>
    <d v="2024-11-23T00:00:00"/>
    <s v="CUST-106"/>
    <x v="0"/>
    <x v="0"/>
    <x v="0"/>
    <x v="0"/>
    <x v="0"/>
    <s v="$146.06"/>
    <s v="Saturday"/>
    <x v="0"/>
    <x v="0"/>
    <b v="1"/>
    <b v="0"/>
    <s v="Large Order"/>
    <n v="7.3030000000000008"/>
    <x v="0"/>
    <n v="584.24"/>
    <n v="0.05"/>
  </r>
  <r>
    <s v="ORD-1001"/>
    <d v="2024-12-12T00:00:00"/>
    <s v="CUST-113"/>
    <x v="1"/>
    <x v="1"/>
    <x v="1"/>
    <x v="0"/>
    <x v="1"/>
    <s v="$178.83"/>
    <s v="Thursday"/>
    <x v="1"/>
    <x v="0"/>
    <b v="0"/>
    <b v="0"/>
    <s v="Standard order"/>
    <n v="8.9415000000000013"/>
    <x v="1"/>
    <n v="178.83"/>
    <n v="0.1"/>
  </r>
  <r>
    <s v="ORD-1002"/>
    <d v="2024-04-29T00:00:00"/>
    <s v="CUST-144"/>
    <x v="2"/>
    <x v="2"/>
    <x v="1"/>
    <x v="1"/>
    <x v="0"/>
    <s v="$88.18"/>
    <s v="Monday"/>
    <x v="2"/>
    <x v="0"/>
    <b v="0"/>
    <b v="0"/>
    <s v="Standard order"/>
    <n v="4.4090000000000007"/>
    <x v="2"/>
    <n v="352.72"/>
    <n v="0.15"/>
  </r>
  <r>
    <s v="ORD-1003"/>
    <d v="2024-10-06T00:00:00"/>
    <s v="CUST-100"/>
    <x v="3"/>
    <x v="2"/>
    <x v="2"/>
    <x v="2"/>
    <x v="2"/>
    <s v="$84.57"/>
    <s v="Sunday"/>
    <x v="3"/>
    <x v="0"/>
    <b v="1"/>
    <b v="0"/>
    <s v="Standard order"/>
    <n v="4.2284999999999995"/>
    <x v="3"/>
    <n v="422.84999999999997"/>
    <m/>
  </r>
  <r>
    <s v="ORD-1004"/>
    <d v="2024-03-22T00:00:00"/>
    <s v="CUST-121"/>
    <x v="4"/>
    <x v="0"/>
    <x v="2"/>
    <x v="3"/>
    <x v="0"/>
    <s v="$230.34"/>
    <s v="Friday"/>
    <x v="4"/>
    <x v="0"/>
    <b v="0"/>
    <b v="0"/>
    <s v="Large Order"/>
    <n v="11.517000000000001"/>
    <x v="4"/>
    <n v="921.36"/>
    <m/>
  </r>
  <r>
    <s v="ORD-1005"/>
    <d v="2024-02-22T00:00:00"/>
    <s v="CUST-116"/>
    <x v="5"/>
    <x v="1"/>
    <x v="0"/>
    <x v="4"/>
    <x v="3"/>
    <s v="$64.61"/>
    <s v="Thursday"/>
    <x v="5"/>
    <x v="0"/>
    <b v="0"/>
    <b v="1"/>
    <s v="Large Order"/>
    <n v="3.2305000000000001"/>
    <x v="1"/>
    <n v="904.54"/>
    <m/>
  </r>
  <r>
    <s v="ORD-1006"/>
    <d v="2024-01-23T00:00:00"/>
    <s v="CUST-140"/>
    <x v="2"/>
    <x v="1"/>
    <x v="2"/>
    <x v="1"/>
    <x v="4"/>
    <s v="$88.18"/>
    <s v="Tuesday"/>
    <x v="6"/>
    <x v="0"/>
    <b v="0"/>
    <b v="0"/>
    <s v="Standard order"/>
    <n v="4.4090000000000007"/>
    <x v="5"/>
    <n v="176.36"/>
    <m/>
  </r>
  <r>
    <s v="ORD-1007"/>
    <d v="2024-11-12T00:00:00"/>
    <s v="CUST-114"/>
    <x v="6"/>
    <x v="2"/>
    <x v="3"/>
    <x v="1"/>
    <x v="4"/>
    <s v="$86.6"/>
    <s v="Tuesday"/>
    <x v="0"/>
    <x v="0"/>
    <b v="0"/>
    <b v="0"/>
    <s v="Standard order"/>
    <n v="4.33"/>
    <x v="6"/>
    <n v="173.2"/>
    <m/>
  </r>
  <r>
    <s v="ORD-1008"/>
    <d v="2024-05-28T00:00:00"/>
    <s v="CUST-123"/>
    <x v="7"/>
    <x v="1"/>
    <x v="0"/>
    <x v="2"/>
    <x v="2"/>
    <s v="$107.34"/>
    <s v="Tuesday"/>
    <x v="7"/>
    <x v="0"/>
    <b v="0"/>
    <b v="0"/>
    <s v="Large Order"/>
    <n v="5.3670000000000009"/>
    <x v="7"/>
    <n v="536.70000000000005"/>
    <m/>
  </r>
  <r>
    <s v="ORD-1009"/>
    <d v="2024-03-24T00:00:00"/>
    <s v="CUST-143"/>
    <x v="8"/>
    <x v="2"/>
    <x v="3"/>
    <x v="3"/>
    <x v="2"/>
    <s v="$208.85"/>
    <s v="Sunday"/>
    <x v="4"/>
    <x v="0"/>
    <b v="1"/>
    <b v="0"/>
    <s v="Large Order"/>
    <n v="10.442500000000001"/>
    <x v="5"/>
    <n v="1044.25"/>
    <m/>
  </r>
  <r>
    <s v="ORD-1010"/>
    <d v="2024-11-27T00:00:00"/>
    <s v="CUST-129"/>
    <x v="6"/>
    <x v="2"/>
    <x v="0"/>
    <x v="1"/>
    <x v="5"/>
    <s v="$86.6"/>
    <s v="Wednesday"/>
    <x v="0"/>
    <x v="0"/>
    <b v="0"/>
    <b v="1"/>
    <s v="Large Order"/>
    <n v="4.33"/>
    <x v="5"/>
    <n v="1039.1999999999998"/>
    <m/>
  </r>
  <r>
    <s v="ORD-1011"/>
    <d v="2024-07-13T00:00:00"/>
    <s v="CUST-149"/>
    <x v="6"/>
    <x v="2"/>
    <x v="3"/>
    <x v="1"/>
    <x v="6"/>
    <s v="$86.6"/>
    <s v="Saturday"/>
    <x v="8"/>
    <x v="0"/>
    <b v="1"/>
    <b v="0"/>
    <s v="Large Order"/>
    <n v="4.33"/>
    <x v="8"/>
    <n v="519.59999999999991"/>
    <m/>
  </r>
  <r>
    <s v="ORD-1012"/>
    <d v="2024-01-29T00:00:00"/>
    <s v="CUST-136"/>
    <x v="0"/>
    <x v="1"/>
    <x v="4"/>
    <x v="0"/>
    <x v="2"/>
    <s v="$146.06"/>
    <s v="Monday"/>
    <x v="6"/>
    <x v="0"/>
    <b v="0"/>
    <b v="0"/>
    <s v="Large Order"/>
    <n v="7.3030000000000008"/>
    <x v="9"/>
    <n v="730.3"/>
    <m/>
  </r>
  <r>
    <s v="ORD-1013"/>
    <d v="2024-06-10T00:00:00"/>
    <s v="CUST-108"/>
    <x v="9"/>
    <x v="2"/>
    <x v="4"/>
    <x v="4"/>
    <x v="7"/>
    <s v="$101.96"/>
    <s v="Monday"/>
    <x v="9"/>
    <x v="0"/>
    <b v="0"/>
    <b v="1"/>
    <s v="Large Order"/>
    <n v="5.0979999999999999"/>
    <x v="10"/>
    <n v="815.68"/>
    <m/>
  </r>
  <r>
    <s v="ORD-1014"/>
    <d v="2024-05-06T00:00:00"/>
    <s v="CUST-137"/>
    <x v="10"/>
    <x v="2"/>
    <x v="1"/>
    <x v="1"/>
    <x v="8"/>
    <s v="$46.19"/>
    <s v="Monday"/>
    <x v="7"/>
    <x v="0"/>
    <b v="0"/>
    <b v="0"/>
    <s v="Standard order"/>
    <n v="2.3094999999999999"/>
    <x v="11"/>
    <n v="461.9"/>
    <m/>
  </r>
  <r>
    <s v="ORD-1015"/>
    <d v="2024-07-23T00:00:00"/>
    <s v="CUST-103"/>
    <x v="11"/>
    <x v="2"/>
    <x v="3"/>
    <x v="2"/>
    <x v="7"/>
    <s v="$33.22"/>
    <s v="Tuesday"/>
    <x v="8"/>
    <x v="0"/>
    <b v="0"/>
    <b v="0"/>
    <s v="Standard order"/>
    <n v="1.661"/>
    <x v="2"/>
    <n v="265.76"/>
    <m/>
  </r>
  <r>
    <s v="ORD-1016"/>
    <d v="2024-02-26T00:00:00"/>
    <s v="CUST-138"/>
    <x v="3"/>
    <x v="2"/>
    <x v="4"/>
    <x v="2"/>
    <x v="4"/>
    <s v="$84.57"/>
    <s v="Monday"/>
    <x v="5"/>
    <x v="0"/>
    <b v="0"/>
    <b v="0"/>
    <s v="Standard order"/>
    <n v="4.2284999999999995"/>
    <x v="12"/>
    <n v="169.14"/>
    <m/>
  </r>
  <r>
    <s v="ORD-1017"/>
    <d v="2024-08-27T00:00:00"/>
    <s v="CUST-143"/>
    <x v="12"/>
    <x v="0"/>
    <x v="1"/>
    <x v="3"/>
    <x v="9"/>
    <s v="$211.9"/>
    <s v="Tuesday"/>
    <x v="10"/>
    <x v="0"/>
    <b v="0"/>
    <b v="1"/>
    <s v="Large Order"/>
    <n v="10.595000000000001"/>
    <x v="13"/>
    <n v="2330.9"/>
    <m/>
  </r>
  <r>
    <s v="ORD-1018"/>
    <d v="2024-10-01T00:00:00"/>
    <s v="CUST-100"/>
    <x v="13"/>
    <x v="1"/>
    <x v="3"/>
    <x v="3"/>
    <x v="10"/>
    <s v="$156.44"/>
    <s v="Tuesday"/>
    <x v="3"/>
    <x v="0"/>
    <b v="0"/>
    <b v="1"/>
    <s v="Large Order"/>
    <n v="7.8220000000000001"/>
    <x v="14"/>
    <n v="1095.08"/>
    <m/>
  </r>
  <r>
    <s v="ORD-1019"/>
    <d v="2024-05-14T00:00:00"/>
    <s v="CUST-140"/>
    <x v="14"/>
    <x v="0"/>
    <x v="1"/>
    <x v="2"/>
    <x v="3"/>
    <s v="$201.32"/>
    <s v="Tuesday"/>
    <x v="7"/>
    <x v="0"/>
    <b v="0"/>
    <b v="1"/>
    <s v="Large Order"/>
    <n v="10.066000000000001"/>
    <x v="11"/>
    <n v="2818.48"/>
    <m/>
  </r>
  <r>
    <s v="ORD-1020"/>
    <d v="2024-09-16T00:00:00"/>
    <s v="CUST-149"/>
    <x v="11"/>
    <x v="1"/>
    <x v="1"/>
    <x v="2"/>
    <x v="11"/>
    <s v="$33.22"/>
    <s v="Monday"/>
    <x v="11"/>
    <x v="0"/>
    <b v="0"/>
    <b v="0"/>
    <s v="Standard order"/>
    <n v="1.661"/>
    <x v="10"/>
    <n v="431.86"/>
    <m/>
  </r>
  <r>
    <s v="ORD-1021"/>
    <d v="2024-09-28T00:00:00"/>
    <s v="CUST-123"/>
    <x v="10"/>
    <x v="1"/>
    <x v="0"/>
    <x v="1"/>
    <x v="1"/>
    <s v="$46.19"/>
    <s v="Saturday"/>
    <x v="11"/>
    <x v="0"/>
    <b v="1"/>
    <b v="0"/>
    <s v="Standard order"/>
    <n v="2.3094999999999999"/>
    <x v="15"/>
    <n v="46.19"/>
    <m/>
  </r>
  <r>
    <s v="ORD-1022"/>
    <d v="2024-06-06T00:00:00"/>
    <s v="CUST-131"/>
    <x v="15"/>
    <x v="2"/>
    <x v="4"/>
    <x v="0"/>
    <x v="4"/>
    <s v="$216.22"/>
    <s v="Thursday"/>
    <x v="9"/>
    <x v="0"/>
    <b v="0"/>
    <b v="0"/>
    <s v="Standard order"/>
    <n v="10.811"/>
    <x v="11"/>
    <n v="432.44"/>
    <m/>
  </r>
  <r>
    <s v="ORD-1023"/>
    <d v="2024-02-05T00:00:00"/>
    <s v="CUST-110"/>
    <x v="11"/>
    <x v="2"/>
    <x v="1"/>
    <x v="2"/>
    <x v="7"/>
    <s v="$33.22"/>
    <s v="Monday"/>
    <x v="5"/>
    <x v="0"/>
    <b v="0"/>
    <b v="0"/>
    <s v="Standard order"/>
    <n v="1.661"/>
    <x v="16"/>
    <n v="265.76"/>
    <m/>
  </r>
  <r>
    <s v="ORD-1024"/>
    <d v="2024-05-15T00:00:00"/>
    <s v="CUST-146"/>
    <x v="16"/>
    <x v="0"/>
    <x v="1"/>
    <x v="1"/>
    <x v="12"/>
    <s v="$130.07"/>
    <s v="Wednesday"/>
    <x v="7"/>
    <x v="0"/>
    <b v="0"/>
    <b v="1"/>
    <s v="Large Order"/>
    <n v="6.5034999999999998"/>
    <x v="17"/>
    <n v="1951.05"/>
    <m/>
  </r>
  <r>
    <s v="ORD-1025"/>
    <d v="2024-12-19T00:00:00"/>
    <s v="CUST-133"/>
    <x v="17"/>
    <x v="2"/>
    <x v="4"/>
    <x v="3"/>
    <x v="9"/>
    <s v="$26.59"/>
    <s v="Thursday"/>
    <x v="1"/>
    <x v="0"/>
    <b v="0"/>
    <b v="0"/>
    <s v="Standard order"/>
    <n v="1.3295000000000001"/>
    <x v="11"/>
    <n v="292.49"/>
    <m/>
  </r>
  <r>
    <s v="ORD-1026"/>
    <d v="2024-08-19T00:00:00"/>
    <s v="CUST-135"/>
    <x v="11"/>
    <x v="0"/>
    <x v="0"/>
    <x v="2"/>
    <x v="6"/>
    <s v="$33.22"/>
    <s v="Monday"/>
    <x v="10"/>
    <x v="0"/>
    <b v="0"/>
    <b v="0"/>
    <s v="Standard order"/>
    <n v="1.661"/>
    <x v="6"/>
    <n v="199.32"/>
    <m/>
  </r>
  <r>
    <s v="ORD-1027"/>
    <d v="2024-04-27T00:00:00"/>
    <s v="CUST-114"/>
    <x v="7"/>
    <x v="0"/>
    <x v="1"/>
    <x v="2"/>
    <x v="5"/>
    <s v="$107.34"/>
    <s v="Saturday"/>
    <x v="2"/>
    <x v="0"/>
    <b v="1"/>
    <b v="1"/>
    <s v="Large Order"/>
    <n v="5.3670000000000009"/>
    <x v="13"/>
    <n v="1288.08"/>
    <m/>
  </r>
  <r>
    <s v="ORD-1028"/>
    <d v="2024-02-04T00:00:00"/>
    <s v="CUST-131"/>
    <x v="13"/>
    <x v="2"/>
    <x v="0"/>
    <x v="3"/>
    <x v="0"/>
    <s v="$156.44"/>
    <s v="Sunday"/>
    <x v="5"/>
    <x v="0"/>
    <b v="1"/>
    <b v="0"/>
    <s v="Large Order"/>
    <n v="7.8220000000000001"/>
    <x v="14"/>
    <n v="625.76"/>
    <m/>
  </r>
  <r>
    <s v="ORD-1029"/>
    <d v="2024-04-19T00:00:00"/>
    <s v="CUST-130"/>
    <x v="14"/>
    <x v="2"/>
    <x v="1"/>
    <x v="2"/>
    <x v="7"/>
    <s v="$201.32"/>
    <s v="Friday"/>
    <x v="2"/>
    <x v="0"/>
    <b v="0"/>
    <b v="1"/>
    <s v="Large Order"/>
    <n v="10.066000000000001"/>
    <x v="18"/>
    <n v="1610.56"/>
    <m/>
  </r>
  <r>
    <s v="ORD-1030"/>
    <d v="2024-07-27T00:00:00"/>
    <s v="CUST-126"/>
    <x v="18"/>
    <x v="2"/>
    <x v="4"/>
    <x v="0"/>
    <x v="10"/>
    <s v="$230.68"/>
    <s v="Saturday"/>
    <x v="8"/>
    <x v="0"/>
    <b v="1"/>
    <b v="1"/>
    <s v="Large Order"/>
    <n v="11.534000000000001"/>
    <x v="18"/>
    <n v="1614.76"/>
    <m/>
  </r>
  <r>
    <s v="ORD-1031"/>
    <d v="2024-08-27T00:00:00"/>
    <s v="CUST-106"/>
    <x v="18"/>
    <x v="1"/>
    <x v="0"/>
    <x v="0"/>
    <x v="5"/>
    <s v="$230.68"/>
    <s v="Tuesday"/>
    <x v="10"/>
    <x v="0"/>
    <b v="0"/>
    <b v="1"/>
    <s v="Large Order"/>
    <n v="11.534000000000001"/>
    <x v="14"/>
    <n v="2768.16"/>
    <m/>
  </r>
  <r>
    <s v="ORD-1032"/>
    <d v="2024-05-07T00:00:00"/>
    <s v="CUST-117"/>
    <x v="14"/>
    <x v="1"/>
    <x v="4"/>
    <x v="2"/>
    <x v="13"/>
    <s v="$201.32"/>
    <s v="Tuesday"/>
    <x v="7"/>
    <x v="0"/>
    <b v="0"/>
    <b v="0"/>
    <s v="Large Order"/>
    <n v="10.066000000000001"/>
    <x v="19"/>
    <n v="603.96"/>
    <m/>
  </r>
  <r>
    <s v="ORD-1033"/>
    <d v="2024-08-24T00:00:00"/>
    <s v="CUST-134"/>
    <x v="19"/>
    <x v="2"/>
    <x v="4"/>
    <x v="0"/>
    <x v="4"/>
    <s v="$145.48"/>
    <s v="Saturday"/>
    <x v="10"/>
    <x v="0"/>
    <b v="1"/>
    <b v="0"/>
    <s v="Standard order"/>
    <n v="7.274"/>
    <x v="11"/>
    <n v="290.95999999999998"/>
    <m/>
  </r>
  <r>
    <s v="ORD-1034"/>
    <d v="2024-01-08T00:00:00"/>
    <s v="CUST-125"/>
    <x v="11"/>
    <x v="1"/>
    <x v="0"/>
    <x v="2"/>
    <x v="7"/>
    <s v="$33.22"/>
    <s v="Monday"/>
    <x v="6"/>
    <x v="0"/>
    <b v="0"/>
    <b v="0"/>
    <s v="Standard order"/>
    <n v="1.661"/>
    <x v="4"/>
    <n v="265.76"/>
    <m/>
  </r>
  <r>
    <s v="ORD-1035"/>
    <d v="2024-01-31T00:00:00"/>
    <s v="CUST-150"/>
    <x v="5"/>
    <x v="1"/>
    <x v="4"/>
    <x v="4"/>
    <x v="2"/>
    <s v="$64.61"/>
    <s v="Wednesday"/>
    <x v="6"/>
    <x v="0"/>
    <b v="0"/>
    <b v="0"/>
    <s v="Standard order"/>
    <n v="3.2305000000000001"/>
    <x v="20"/>
    <n v="323.05"/>
    <m/>
  </r>
  <r>
    <s v="ORD-1036"/>
    <d v="2024-08-20T00:00:00"/>
    <s v="CUST-112"/>
    <x v="20"/>
    <x v="2"/>
    <x v="3"/>
    <x v="4"/>
    <x v="5"/>
    <s v="$81.02"/>
    <s v="Tuesday"/>
    <x v="10"/>
    <x v="0"/>
    <b v="0"/>
    <b v="1"/>
    <s v="Large Order"/>
    <n v="4.0510000000000002"/>
    <x v="0"/>
    <n v="972.24"/>
    <m/>
  </r>
  <r>
    <s v="ORD-1037"/>
    <d v="2024-05-31T00:00:00"/>
    <s v="CUST-120"/>
    <x v="1"/>
    <x v="2"/>
    <x v="4"/>
    <x v="0"/>
    <x v="14"/>
    <s v="$178.83"/>
    <s v="Friday"/>
    <x v="7"/>
    <x v="0"/>
    <b v="0"/>
    <b v="1"/>
    <s v="Large Order"/>
    <n v="8.9415000000000013"/>
    <x v="16"/>
    <n v="1609.47"/>
    <m/>
  </r>
  <r>
    <s v="ORD-1038"/>
    <d v="2024-01-30T00:00:00"/>
    <s v="CUST-110"/>
    <x v="16"/>
    <x v="2"/>
    <x v="0"/>
    <x v="1"/>
    <x v="12"/>
    <s v="$130.07"/>
    <s v="Tuesday"/>
    <x v="6"/>
    <x v="0"/>
    <b v="0"/>
    <b v="1"/>
    <s v="Large Order"/>
    <n v="6.5034999999999998"/>
    <x v="15"/>
    <n v="1951.05"/>
    <m/>
  </r>
  <r>
    <s v="ORD-1039"/>
    <d v="2024-01-30T00:00:00"/>
    <s v="CUST-115"/>
    <x v="15"/>
    <x v="0"/>
    <x v="1"/>
    <x v="0"/>
    <x v="8"/>
    <s v="$216.22"/>
    <s v="Tuesday"/>
    <x v="6"/>
    <x v="0"/>
    <b v="0"/>
    <b v="1"/>
    <s v="Large Order"/>
    <n v="10.811"/>
    <x v="5"/>
    <n v="2162.1999999999998"/>
    <m/>
  </r>
  <r>
    <s v="ORD-1040"/>
    <d v="2024-07-25T00:00:00"/>
    <s v="CUST-105"/>
    <x v="6"/>
    <x v="2"/>
    <x v="0"/>
    <x v="1"/>
    <x v="8"/>
    <s v="$86.6"/>
    <s v="Thursday"/>
    <x v="8"/>
    <x v="0"/>
    <b v="0"/>
    <b v="1"/>
    <s v="Large Order"/>
    <n v="4.33"/>
    <x v="21"/>
    <n v="866"/>
    <m/>
  </r>
  <r>
    <s v="ORD-1041"/>
    <d v="2024-08-02T00:00:00"/>
    <s v="CUST-142"/>
    <x v="21"/>
    <x v="1"/>
    <x v="1"/>
    <x v="1"/>
    <x v="12"/>
    <s v="$32.94"/>
    <s v="Friday"/>
    <x v="10"/>
    <x v="0"/>
    <b v="0"/>
    <b v="0"/>
    <s v="Standard order"/>
    <n v="1.647"/>
    <x v="17"/>
    <n v="494.09999999999997"/>
    <m/>
  </r>
  <r>
    <s v="ORD-1042"/>
    <d v="2024-06-09T00:00:00"/>
    <s v="CUST-129"/>
    <x v="17"/>
    <x v="0"/>
    <x v="4"/>
    <x v="3"/>
    <x v="9"/>
    <s v="$26.59"/>
    <s v="Sunday"/>
    <x v="9"/>
    <x v="0"/>
    <b v="1"/>
    <b v="0"/>
    <s v="Standard order"/>
    <n v="1.3295000000000001"/>
    <x v="19"/>
    <n v="292.49"/>
    <m/>
  </r>
  <r>
    <s v="ORD-1043"/>
    <d v="2024-06-10T00:00:00"/>
    <s v="CUST-104"/>
    <x v="19"/>
    <x v="2"/>
    <x v="0"/>
    <x v="0"/>
    <x v="8"/>
    <s v="$145.48"/>
    <s v="Monday"/>
    <x v="9"/>
    <x v="0"/>
    <b v="0"/>
    <b v="1"/>
    <s v="Large Order"/>
    <n v="7.274"/>
    <x v="10"/>
    <n v="1454.8"/>
    <m/>
  </r>
  <r>
    <s v="ORD-1044"/>
    <d v="2024-10-02T00:00:00"/>
    <s v="CUST-104"/>
    <x v="10"/>
    <x v="0"/>
    <x v="4"/>
    <x v="1"/>
    <x v="12"/>
    <s v="$46.19"/>
    <s v="Wednesday"/>
    <x v="3"/>
    <x v="0"/>
    <b v="0"/>
    <b v="0"/>
    <s v="Large Order"/>
    <n v="2.3094999999999999"/>
    <x v="7"/>
    <n v="692.84999999999991"/>
    <m/>
  </r>
  <r>
    <s v="ORD-1045"/>
    <d v="2024-05-05T00:00:00"/>
    <s v="CUST-119"/>
    <x v="8"/>
    <x v="1"/>
    <x v="3"/>
    <x v="3"/>
    <x v="3"/>
    <s v="$208.85"/>
    <s v="Sunday"/>
    <x v="7"/>
    <x v="0"/>
    <b v="1"/>
    <b v="1"/>
    <s v="Large Order"/>
    <n v="10.442500000000001"/>
    <x v="0"/>
    <n v="2923.9"/>
    <m/>
  </r>
  <r>
    <s v="ORD-1046"/>
    <d v="2024-11-09T00:00:00"/>
    <s v="CUST-108"/>
    <x v="1"/>
    <x v="1"/>
    <x v="1"/>
    <x v="0"/>
    <x v="12"/>
    <s v="$178.83"/>
    <s v="Saturday"/>
    <x v="0"/>
    <x v="0"/>
    <b v="1"/>
    <b v="1"/>
    <s v="Large Order"/>
    <n v="8.9415000000000013"/>
    <x v="0"/>
    <n v="2682.4500000000003"/>
    <m/>
  </r>
  <r>
    <s v="ORD-1047"/>
    <d v="2024-05-15T00:00:00"/>
    <s v="CUST-113"/>
    <x v="1"/>
    <x v="0"/>
    <x v="0"/>
    <x v="0"/>
    <x v="2"/>
    <s v="$178.83"/>
    <s v="Wednesday"/>
    <x v="7"/>
    <x v="0"/>
    <b v="0"/>
    <b v="0"/>
    <s v="Large Order"/>
    <n v="8.9415000000000013"/>
    <x v="12"/>
    <n v="894.15000000000009"/>
    <m/>
  </r>
  <r>
    <s v="ORD-1048"/>
    <d v="2024-06-24T00:00:00"/>
    <s v="CUST-103"/>
    <x v="12"/>
    <x v="1"/>
    <x v="4"/>
    <x v="3"/>
    <x v="2"/>
    <s v="$211.9"/>
    <s v="Monday"/>
    <x v="9"/>
    <x v="0"/>
    <b v="0"/>
    <b v="0"/>
    <s v="Large Order"/>
    <n v="10.595000000000001"/>
    <x v="13"/>
    <n v="1059.5"/>
    <m/>
  </r>
  <r>
    <s v="ORD-1049"/>
    <d v="2024-02-17T00:00:00"/>
    <s v="CUST-140"/>
    <x v="13"/>
    <x v="0"/>
    <x v="2"/>
    <x v="3"/>
    <x v="6"/>
    <s v="$156.44"/>
    <s v="Saturday"/>
    <x v="5"/>
    <x v="0"/>
    <b v="1"/>
    <b v="1"/>
    <s v="Large Order"/>
    <n v="7.8220000000000001"/>
    <x v="20"/>
    <n v="938.64"/>
    <m/>
  </r>
  <r>
    <s v="ORD-1050"/>
    <d v="2024-05-14T00:00:00"/>
    <s v="CUST-107"/>
    <x v="20"/>
    <x v="2"/>
    <x v="4"/>
    <x v="4"/>
    <x v="10"/>
    <s v="$81.02"/>
    <s v="Tuesday"/>
    <x v="7"/>
    <x v="0"/>
    <b v="0"/>
    <b v="0"/>
    <s v="Large Order"/>
    <n v="4.0510000000000002"/>
    <x v="1"/>
    <n v="567.14"/>
    <m/>
  </r>
  <r>
    <s v="ORD-1051"/>
    <d v="2024-02-08T00:00:00"/>
    <s v="CUST-127"/>
    <x v="2"/>
    <x v="1"/>
    <x v="4"/>
    <x v="1"/>
    <x v="8"/>
    <s v="$88.18"/>
    <s v="Thursday"/>
    <x v="5"/>
    <x v="0"/>
    <b v="0"/>
    <b v="1"/>
    <s v="Large Order"/>
    <n v="4.4090000000000007"/>
    <x v="3"/>
    <n v="881.80000000000007"/>
    <m/>
  </r>
  <r>
    <s v="ORD-1052"/>
    <d v="2024-03-06T00:00:00"/>
    <s v="CUST-143"/>
    <x v="4"/>
    <x v="0"/>
    <x v="0"/>
    <x v="3"/>
    <x v="12"/>
    <s v="$230.34"/>
    <s v="Wednesday"/>
    <x v="4"/>
    <x v="0"/>
    <b v="0"/>
    <b v="1"/>
    <s v="Large Order"/>
    <n v="11.517000000000001"/>
    <x v="12"/>
    <n v="3455.1"/>
    <m/>
  </r>
  <r>
    <s v="ORD-1053"/>
    <d v="2024-05-07T00:00:00"/>
    <s v="CUST-115"/>
    <x v="12"/>
    <x v="1"/>
    <x v="0"/>
    <x v="3"/>
    <x v="8"/>
    <s v="$211.9"/>
    <s v="Tuesday"/>
    <x v="7"/>
    <x v="0"/>
    <b v="0"/>
    <b v="1"/>
    <s v="Large Order"/>
    <n v="10.595000000000001"/>
    <x v="4"/>
    <n v="2119"/>
    <m/>
  </r>
  <r>
    <s v="ORD-1054"/>
    <d v="2024-03-24T00:00:00"/>
    <s v="CUST-150"/>
    <x v="5"/>
    <x v="0"/>
    <x v="4"/>
    <x v="4"/>
    <x v="5"/>
    <s v="$64.61"/>
    <s v="Sunday"/>
    <x v="4"/>
    <x v="0"/>
    <b v="1"/>
    <b v="1"/>
    <s v="Large Order"/>
    <n v="3.2305000000000001"/>
    <x v="7"/>
    <n v="775.31999999999994"/>
    <m/>
  </r>
  <r>
    <s v="ORD-1055"/>
    <d v="2024-07-29T00:00:00"/>
    <s v="CUST-102"/>
    <x v="8"/>
    <x v="3"/>
    <x v="4"/>
    <x v="3"/>
    <x v="4"/>
    <s v="$208.85"/>
    <s v="Monday"/>
    <x v="8"/>
    <x v="0"/>
    <b v="0"/>
    <b v="0"/>
    <s v="Standard order"/>
    <n v="10.442500000000001"/>
    <x v="2"/>
    <n v="417.7"/>
    <m/>
  </r>
  <r>
    <s v="ORD-1056"/>
    <d v="2024-08-28T00:00:00"/>
    <s v="CUST-114"/>
    <x v="3"/>
    <x v="3"/>
    <x v="4"/>
    <x v="2"/>
    <x v="2"/>
    <s v="$84.57"/>
    <s v="Wednesday"/>
    <x v="10"/>
    <x v="0"/>
    <b v="0"/>
    <b v="0"/>
    <s v="Standard order"/>
    <n v="4.2284999999999995"/>
    <x v="2"/>
    <n v="422.84999999999997"/>
    <m/>
  </r>
  <r>
    <s v="ORD-1057"/>
    <d v="2024-04-24T00:00:00"/>
    <s v="CUST-149"/>
    <x v="3"/>
    <x v="1"/>
    <x v="0"/>
    <x v="2"/>
    <x v="2"/>
    <s v="$84.57"/>
    <s v="Wednesday"/>
    <x v="2"/>
    <x v="0"/>
    <b v="0"/>
    <b v="0"/>
    <s v="Standard order"/>
    <n v="4.2284999999999995"/>
    <x v="16"/>
    <n v="422.84999999999997"/>
    <m/>
  </r>
  <r>
    <s v="ORD-1058"/>
    <d v="2024-05-22T00:00:00"/>
    <s v="CUST-101"/>
    <x v="16"/>
    <x v="2"/>
    <x v="3"/>
    <x v="1"/>
    <x v="3"/>
    <s v="$130.07"/>
    <s v="Wednesday"/>
    <x v="7"/>
    <x v="0"/>
    <b v="0"/>
    <b v="1"/>
    <s v="Large Order"/>
    <n v="6.5034999999999998"/>
    <x v="14"/>
    <n v="1820.98"/>
    <m/>
  </r>
  <r>
    <s v="ORD-1059"/>
    <d v="2024-02-29T00:00:00"/>
    <s v="CUST-127"/>
    <x v="14"/>
    <x v="1"/>
    <x v="3"/>
    <x v="2"/>
    <x v="1"/>
    <s v="$201.32"/>
    <s v="Thursday"/>
    <x v="5"/>
    <x v="0"/>
    <b v="0"/>
    <b v="0"/>
    <s v="Standard order"/>
    <n v="10.066000000000001"/>
    <x v="20"/>
    <n v="201.32"/>
    <m/>
  </r>
  <r>
    <s v="ORD-1060"/>
    <d v="2024-06-25T00:00:00"/>
    <s v="CUST-136"/>
    <x v="20"/>
    <x v="2"/>
    <x v="3"/>
    <x v="4"/>
    <x v="4"/>
    <s v="$81.02"/>
    <s v="Tuesday"/>
    <x v="9"/>
    <x v="0"/>
    <b v="0"/>
    <b v="0"/>
    <s v="Standard order"/>
    <n v="4.0510000000000002"/>
    <x v="19"/>
    <n v="162.04"/>
    <m/>
  </r>
  <r>
    <s v="ORD-1061"/>
    <d v="2024-04-07T00:00:00"/>
    <s v="CUST-134"/>
    <x v="19"/>
    <x v="3"/>
    <x v="3"/>
    <x v="0"/>
    <x v="14"/>
    <s v="$145.48"/>
    <s v="Sunday"/>
    <x v="2"/>
    <x v="0"/>
    <b v="1"/>
    <b v="1"/>
    <s v="Large Order"/>
    <n v="7.274"/>
    <x v="17"/>
    <n v="1309.32"/>
    <m/>
  </r>
  <r>
    <s v="ORD-1062"/>
    <d v="2024-12-17T00:00:00"/>
    <s v="CUST-139"/>
    <x v="17"/>
    <x v="0"/>
    <x v="4"/>
    <x v="3"/>
    <x v="9"/>
    <s v="$26.59"/>
    <s v="Tuesday"/>
    <x v="1"/>
    <x v="0"/>
    <b v="0"/>
    <b v="0"/>
    <s v="Standard order"/>
    <n v="1.3295000000000001"/>
    <x v="12"/>
    <n v="292.49"/>
    <m/>
  </r>
  <r>
    <s v="ORD-1063"/>
    <d v="2024-06-09T00:00:00"/>
    <s v="CUST-125"/>
    <x v="12"/>
    <x v="1"/>
    <x v="0"/>
    <x v="3"/>
    <x v="9"/>
    <s v="$211.9"/>
    <s v="Sunday"/>
    <x v="9"/>
    <x v="0"/>
    <b v="1"/>
    <b v="1"/>
    <s v="Large Order"/>
    <n v="10.595000000000001"/>
    <x v="5"/>
    <n v="2330.9"/>
    <m/>
  </r>
  <r>
    <s v="ORD-1064"/>
    <d v="2024-12-22T00:00:00"/>
    <s v="CUST-124"/>
    <x v="6"/>
    <x v="0"/>
    <x v="3"/>
    <x v="1"/>
    <x v="10"/>
    <s v="$86.6"/>
    <s v="Sunday"/>
    <x v="1"/>
    <x v="0"/>
    <b v="1"/>
    <b v="0"/>
    <s v="Large Order"/>
    <n v="4.33"/>
    <x v="21"/>
    <n v="606.19999999999993"/>
    <m/>
  </r>
  <r>
    <s v="ORD-1065"/>
    <d v="2024-12-12T00:00:00"/>
    <s v="CUST-100"/>
    <x v="21"/>
    <x v="1"/>
    <x v="4"/>
    <x v="1"/>
    <x v="10"/>
    <s v="$32.94"/>
    <s v="Thursday"/>
    <x v="1"/>
    <x v="0"/>
    <b v="0"/>
    <b v="0"/>
    <s v="Standard order"/>
    <n v="1.647"/>
    <x v="2"/>
    <n v="230.57999999999998"/>
    <m/>
  </r>
  <r>
    <s v="ORD-1066"/>
    <d v="2024-06-04T00:00:00"/>
    <s v="CUST-129"/>
    <x v="3"/>
    <x v="2"/>
    <x v="3"/>
    <x v="2"/>
    <x v="8"/>
    <s v="$84.57"/>
    <s v="Tuesday"/>
    <x v="9"/>
    <x v="0"/>
    <b v="0"/>
    <b v="1"/>
    <s v="Large Order"/>
    <n v="4.2284999999999995"/>
    <x v="14"/>
    <n v="845.69999999999993"/>
    <m/>
  </r>
  <r>
    <s v="ORD-1067"/>
    <d v="2024-08-14T00:00:00"/>
    <s v="CUST-150"/>
    <x v="14"/>
    <x v="1"/>
    <x v="2"/>
    <x v="2"/>
    <x v="11"/>
    <s v="$201.32"/>
    <s v="Wednesday"/>
    <x v="10"/>
    <x v="0"/>
    <b v="0"/>
    <b v="1"/>
    <s v="Large Order"/>
    <n v="10.066000000000001"/>
    <x v="12"/>
    <n v="2617.16"/>
    <m/>
  </r>
  <r>
    <s v="ORD-1068"/>
    <d v="2024-03-27T00:00:00"/>
    <s v="CUST-105"/>
    <x v="12"/>
    <x v="2"/>
    <x v="0"/>
    <x v="3"/>
    <x v="9"/>
    <s v="$211.9"/>
    <s v="Wednesday"/>
    <x v="4"/>
    <x v="0"/>
    <b v="0"/>
    <b v="1"/>
    <s v="Large Order"/>
    <n v="10.595000000000001"/>
    <x v="11"/>
    <n v="2330.9"/>
    <m/>
  </r>
  <r>
    <s v="ORD-1069"/>
    <d v="2024-04-30T00:00:00"/>
    <s v="CUST-130"/>
    <x v="11"/>
    <x v="0"/>
    <x v="3"/>
    <x v="2"/>
    <x v="1"/>
    <s v="$33.22"/>
    <s v="Tuesday"/>
    <x v="2"/>
    <x v="0"/>
    <b v="0"/>
    <b v="0"/>
    <s v="Standard order"/>
    <n v="1.661"/>
    <x v="9"/>
    <n v="33.22"/>
    <m/>
  </r>
  <r>
    <s v="ORD-1070"/>
    <d v="2024-11-08T00:00:00"/>
    <s v="CUST-144"/>
    <x v="9"/>
    <x v="2"/>
    <x v="0"/>
    <x v="4"/>
    <x v="8"/>
    <s v="$101.96"/>
    <s v="Friday"/>
    <x v="0"/>
    <x v="0"/>
    <b v="0"/>
    <b v="1"/>
    <s v="Large Order"/>
    <n v="5.0979999999999999"/>
    <x v="22"/>
    <n v="1019.5999999999999"/>
    <m/>
  </r>
  <r>
    <s v="ORD-1071"/>
    <d v="2024-07-15T00:00:00"/>
    <s v="CUST-148"/>
    <x v="22"/>
    <x v="0"/>
    <x v="2"/>
    <x v="4"/>
    <x v="9"/>
    <s v="$149.27"/>
    <s v="Monday"/>
    <x v="8"/>
    <x v="0"/>
    <b v="0"/>
    <b v="1"/>
    <s v="Large Order"/>
    <n v="7.4635000000000007"/>
    <x v="11"/>
    <n v="1641.97"/>
    <m/>
  </r>
  <r>
    <s v="ORD-1072"/>
    <d v="2024-02-24T00:00:00"/>
    <s v="CUST-135"/>
    <x v="11"/>
    <x v="2"/>
    <x v="2"/>
    <x v="2"/>
    <x v="14"/>
    <s v="$33.22"/>
    <s v="Saturday"/>
    <x v="5"/>
    <x v="0"/>
    <b v="1"/>
    <b v="0"/>
    <s v="Standard order"/>
    <n v="1.661"/>
    <x v="22"/>
    <n v="298.98"/>
    <m/>
  </r>
  <r>
    <s v="ORD-1073"/>
    <d v="2024-05-07T00:00:00"/>
    <s v="CUST-135"/>
    <x v="22"/>
    <x v="1"/>
    <x v="0"/>
    <x v="4"/>
    <x v="9"/>
    <s v="$149.27"/>
    <s v="Tuesday"/>
    <x v="7"/>
    <x v="0"/>
    <b v="0"/>
    <b v="1"/>
    <s v="Large Order"/>
    <n v="7.4635000000000007"/>
    <x v="20"/>
    <n v="1641.97"/>
    <m/>
  </r>
  <r>
    <s v="ORD-1074"/>
    <d v="2024-10-31T00:00:00"/>
    <s v="CUST-135"/>
    <x v="20"/>
    <x v="2"/>
    <x v="3"/>
    <x v="4"/>
    <x v="12"/>
    <s v="$81.02"/>
    <s v="Thursday"/>
    <x v="3"/>
    <x v="0"/>
    <b v="0"/>
    <b v="1"/>
    <s v="Large Order"/>
    <n v="4.0510000000000002"/>
    <x v="9"/>
    <n v="1215.3"/>
    <m/>
  </r>
  <r>
    <s v="ORD-1075"/>
    <d v="2024-08-16T00:00:00"/>
    <s v="CUST-140"/>
    <x v="9"/>
    <x v="1"/>
    <x v="4"/>
    <x v="4"/>
    <x v="11"/>
    <s v="$101.96"/>
    <s v="Friday"/>
    <x v="10"/>
    <x v="0"/>
    <b v="0"/>
    <b v="1"/>
    <s v="Large Order"/>
    <n v="5.0979999999999999"/>
    <x v="22"/>
    <n v="1325.48"/>
    <m/>
  </r>
  <r>
    <s v="ORD-1076"/>
    <d v="2024-05-21T00:00:00"/>
    <s v="CUST-118"/>
    <x v="22"/>
    <x v="1"/>
    <x v="1"/>
    <x v="4"/>
    <x v="7"/>
    <s v="$149.27"/>
    <s v="Tuesday"/>
    <x v="7"/>
    <x v="0"/>
    <b v="0"/>
    <b v="1"/>
    <s v="Large Order"/>
    <n v="7.4635000000000007"/>
    <x v="3"/>
    <n v="1194.1600000000001"/>
    <m/>
  </r>
  <r>
    <s v="ORD-1077"/>
    <d v="2024-04-30T00:00:00"/>
    <s v="CUST-114"/>
    <x v="4"/>
    <x v="2"/>
    <x v="3"/>
    <x v="3"/>
    <x v="4"/>
    <s v="$230.34"/>
    <s v="Tuesday"/>
    <x v="2"/>
    <x v="0"/>
    <b v="0"/>
    <b v="0"/>
    <s v="Standard order"/>
    <n v="11.517000000000001"/>
    <x v="6"/>
    <n v="460.68"/>
    <m/>
  </r>
  <r>
    <s v="ORD-1078"/>
    <d v="2024-07-15T00:00:00"/>
    <s v="CUST-129"/>
    <x v="7"/>
    <x v="1"/>
    <x v="4"/>
    <x v="2"/>
    <x v="10"/>
    <s v="$107.34"/>
    <s v="Monday"/>
    <x v="8"/>
    <x v="0"/>
    <b v="0"/>
    <b v="1"/>
    <s v="Large Order"/>
    <n v="5.3670000000000009"/>
    <x v="2"/>
    <n v="751.38"/>
    <m/>
  </r>
  <r>
    <s v="ORD-1079"/>
    <d v="2024-07-31T00:00:00"/>
    <s v="CUST-144"/>
    <x v="3"/>
    <x v="1"/>
    <x v="0"/>
    <x v="2"/>
    <x v="12"/>
    <s v="$84.57"/>
    <s v="Wednesday"/>
    <x v="8"/>
    <x v="0"/>
    <b v="0"/>
    <b v="1"/>
    <s v="Large Order"/>
    <n v="4.2284999999999995"/>
    <x v="9"/>
    <n v="1268.55"/>
    <m/>
  </r>
  <r>
    <s v="ORD-1080"/>
    <d v="2024-01-11T00:00:00"/>
    <s v="CUST-124"/>
    <x v="9"/>
    <x v="0"/>
    <x v="1"/>
    <x v="4"/>
    <x v="6"/>
    <s v="$101.96"/>
    <s v="Thursday"/>
    <x v="6"/>
    <x v="0"/>
    <b v="0"/>
    <b v="0"/>
    <s v="Large Order"/>
    <n v="5.0979999999999999"/>
    <x v="21"/>
    <n v="611.76"/>
    <m/>
  </r>
  <r>
    <s v="ORD-1081"/>
    <d v="2024-08-02T00:00:00"/>
    <s v="CUST-127"/>
    <x v="21"/>
    <x v="0"/>
    <x v="1"/>
    <x v="1"/>
    <x v="7"/>
    <s v="$32.94"/>
    <s v="Friday"/>
    <x v="10"/>
    <x v="0"/>
    <b v="0"/>
    <b v="0"/>
    <s v="Standard order"/>
    <n v="1.647"/>
    <x v="23"/>
    <n v="263.52"/>
    <m/>
  </r>
  <r>
    <s v="ORD-1082"/>
    <d v="2024-09-05T00:00:00"/>
    <s v="CUST-146"/>
    <x v="23"/>
    <x v="2"/>
    <x v="0"/>
    <x v="4"/>
    <x v="9"/>
    <s v="$133.37"/>
    <s v="Thursday"/>
    <x v="11"/>
    <x v="0"/>
    <b v="0"/>
    <b v="1"/>
    <s v="Large Order"/>
    <n v="6.6685000000000008"/>
    <x v="14"/>
    <n v="1467.0700000000002"/>
    <m/>
  </r>
  <r>
    <s v="ORD-1083"/>
    <d v="2024-03-25T00:00:00"/>
    <s v="CUST-137"/>
    <x v="14"/>
    <x v="2"/>
    <x v="2"/>
    <x v="2"/>
    <x v="1"/>
    <s v="$201.32"/>
    <s v="Monday"/>
    <x v="4"/>
    <x v="0"/>
    <b v="0"/>
    <b v="0"/>
    <s v="Standard order"/>
    <n v="10.066000000000001"/>
    <x v="19"/>
    <n v="201.32"/>
    <m/>
  </r>
  <r>
    <s v="ORD-1084"/>
    <d v="2024-10-15T00:00:00"/>
    <s v="CUST-103"/>
    <x v="19"/>
    <x v="0"/>
    <x v="0"/>
    <x v="0"/>
    <x v="3"/>
    <s v="$145.48"/>
    <s v="Tuesday"/>
    <x v="3"/>
    <x v="0"/>
    <b v="0"/>
    <b v="1"/>
    <s v="Large Order"/>
    <n v="7.274"/>
    <x v="7"/>
    <n v="2036.7199999999998"/>
    <m/>
  </r>
  <r>
    <s v="ORD-1085"/>
    <d v="2024-05-13T00:00:00"/>
    <s v="CUST-124"/>
    <x v="8"/>
    <x v="1"/>
    <x v="2"/>
    <x v="3"/>
    <x v="6"/>
    <s v="$208.85"/>
    <s v="Monday"/>
    <x v="7"/>
    <x v="0"/>
    <b v="0"/>
    <b v="1"/>
    <s v="Large Order"/>
    <n v="10.442500000000001"/>
    <x v="13"/>
    <n v="1253.0999999999999"/>
    <m/>
  </r>
  <r>
    <s v="ORD-1086"/>
    <d v="2024-05-22T00:00:00"/>
    <s v="CUST-103"/>
    <x v="13"/>
    <x v="1"/>
    <x v="2"/>
    <x v="3"/>
    <x v="1"/>
    <s v="$156.44"/>
    <s v="Wednesday"/>
    <x v="7"/>
    <x v="0"/>
    <b v="0"/>
    <b v="0"/>
    <s v="Standard order"/>
    <n v="7.8220000000000001"/>
    <x v="18"/>
    <n v="156.44"/>
    <m/>
  </r>
  <r>
    <s v="ORD-1087"/>
    <d v="2024-06-28T00:00:00"/>
    <s v="CUST-101"/>
    <x v="18"/>
    <x v="0"/>
    <x v="4"/>
    <x v="0"/>
    <x v="0"/>
    <s v="$230.68"/>
    <s v="Friday"/>
    <x v="9"/>
    <x v="0"/>
    <b v="0"/>
    <b v="0"/>
    <s v="Large Order"/>
    <n v="11.534000000000001"/>
    <x v="11"/>
    <n v="922.72"/>
    <m/>
  </r>
  <r>
    <s v="ORD-1088"/>
    <d v="2024-11-14T00:00:00"/>
    <s v="CUST-113"/>
    <x v="11"/>
    <x v="1"/>
    <x v="4"/>
    <x v="2"/>
    <x v="9"/>
    <s v="$33.22"/>
    <s v="Thursday"/>
    <x v="0"/>
    <x v="0"/>
    <b v="0"/>
    <b v="0"/>
    <s v="Standard order"/>
    <n v="1.661"/>
    <x v="7"/>
    <n v="365.41999999999996"/>
    <m/>
  </r>
  <r>
    <s v="ORD-1089"/>
    <d v="2024-08-26T00:00:00"/>
    <s v="CUST-145"/>
    <x v="8"/>
    <x v="2"/>
    <x v="3"/>
    <x v="3"/>
    <x v="8"/>
    <s v="$208.85"/>
    <s v="Monday"/>
    <x v="10"/>
    <x v="0"/>
    <b v="0"/>
    <b v="1"/>
    <s v="Large Order"/>
    <n v="10.442500000000001"/>
    <x v="13"/>
    <n v="2088.5"/>
    <m/>
  </r>
  <r>
    <s v="ORD-1090"/>
    <d v="2024-02-28T00:00:00"/>
    <s v="CUST-136"/>
    <x v="13"/>
    <x v="2"/>
    <x v="4"/>
    <x v="3"/>
    <x v="1"/>
    <s v="$156.44"/>
    <s v="Wednesday"/>
    <x v="5"/>
    <x v="0"/>
    <b v="0"/>
    <b v="0"/>
    <s v="Standard order"/>
    <n v="7.8220000000000001"/>
    <x v="22"/>
    <n v="156.44"/>
    <m/>
  </r>
  <r>
    <s v="ORD-1091"/>
    <d v="2024-12-12T00:00:00"/>
    <s v="CUST-140"/>
    <x v="22"/>
    <x v="0"/>
    <x v="2"/>
    <x v="4"/>
    <x v="8"/>
    <s v="$149.27"/>
    <s v="Thursday"/>
    <x v="1"/>
    <x v="0"/>
    <b v="0"/>
    <b v="1"/>
    <s v="Large Order"/>
    <n v="7.4635000000000007"/>
    <x v="12"/>
    <n v="1492.7"/>
    <m/>
  </r>
  <r>
    <s v="ORD-1092"/>
    <d v="2024-05-04T00:00:00"/>
    <s v="CUST-150"/>
    <x v="12"/>
    <x v="0"/>
    <x v="0"/>
    <x v="3"/>
    <x v="11"/>
    <s v="$211.9"/>
    <s v="Saturday"/>
    <x v="7"/>
    <x v="0"/>
    <b v="1"/>
    <b v="1"/>
    <s v="Large Order"/>
    <n v="10.595000000000001"/>
    <x v="16"/>
    <n v="2754.7000000000003"/>
    <m/>
  </r>
  <r>
    <s v="ORD-1093"/>
    <d v="2024-01-22T00:00:00"/>
    <s v="CUST-141"/>
    <x v="16"/>
    <x v="2"/>
    <x v="3"/>
    <x v="1"/>
    <x v="6"/>
    <s v="$130.07"/>
    <s v="Monday"/>
    <x v="6"/>
    <x v="0"/>
    <b v="0"/>
    <b v="1"/>
    <s v="Large Order"/>
    <n v="6.5034999999999998"/>
    <x v="9"/>
    <n v="780.42"/>
    <m/>
  </r>
  <r>
    <s v="ORD-1094"/>
    <d v="2024-06-23T00:00:00"/>
    <s v="CUST-140"/>
    <x v="9"/>
    <x v="0"/>
    <x v="0"/>
    <x v="4"/>
    <x v="10"/>
    <s v="$101.96"/>
    <s v="Sunday"/>
    <x v="9"/>
    <x v="0"/>
    <b v="1"/>
    <b v="0"/>
    <s v="Large Order"/>
    <n v="5.0979999999999999"/>
    <x v="22"/>
    <n v="713.71999999999991"/>
    <m/>
  </r>
  <r>
    <s v="ORD-1095"/>
    <d v="2024-08-23T00:00:00"/>
    <s v="CUST-117"/>
    <x v="22"/>
    <x v="2"/>
    <x v="4"/>
    <x v="4"/>
    <x v="14"/>
    <s v="$149.27"/>
    <s v="Friday"/>
    <x v="10"/>
    <x v="0"/>
    <b v="0"/>
    <b v="1"/>
    <s v="Large Order"/>
    <n v="7.4635000000000007"/>
    <x v="9"/>
    <n v="1343.43"/>
    <m/>
  </r>
  <r>
    <s v="ORD-1096"/>
    <d v="2024-11-11T00:00:00"/>
    <s v="CUST-117"/>
    <x v="9"/>
    <x v="1"/>
    <x v="1"/>
    <x v="4"/>
    <x v="3"/>
    <s v="$101.96"/>
    <s v="Monday"/>
    <x v="0"/>
    <x v="0"/>
    <b v="0"/>
    <b v="1"/>
    <s v="Large Order"/>
    <n v="5.0979999999999999"/>
    <x v="8"/>
    <n v="1427.4399999999998"/>
    <m/>
  </r>
  <r>
    <s v="ORD-1097"/>
    <d v="2024-06-14T00:00:00"/>
    <s v="CUST-136"/>
    <x v="0"/>
    <x v="1"/>
    <x v="4"/>
    <x v="0"/>
    <x v="0"/>
    <s v="$146.06"/>
    <s v="Friday"/>
    <x v="9"/>
    <x v="0"/>
    <b v="0"/>
    <b v="0"/>
    <s v="Large Order"/>
    <n v="7.3030000000000008"/>
    <x v="13"/>
    <n v="584.24"/>
    <m/>
  </r>
  <r>
    <s v="ORD-1098"/>
    <d v="2024-11-08T00:00:00"/>
    <s v="CUST-131"/>
    <x v="13"/>
    <x v="1"/>
    <x v="2"/>
    <x v="3"/>
    <x v="3"/>
    <s v="$156.44"/>
    <s v="Friday"/>
    <x v="0"/>
    <x v="0"/>
    <b v="0"/>
    <b v="1"/>
    <s v="Large Order"/>
    <n v="7.8220000000000001"/>
    <x v="3"/>
    <n v="2190.16"/>
    <m/>
  </r>
  <r>
    <s v="ORD-1099"/>
    <d v="2024-04-18T00:00:00"/>
    <s v="CUST-117"/>
    <x v="4"/>
    <x v="1"/>
    <x v="3"/>
    <x v="3"/>
    <x v="12"/>
    <s v="$230.34"/>
    <s v="Thursday"/>
    <x v="2"/>
    <x v="0"/>
    <b v="0"/>
    <b v="1"/>
    <s v="Large Order"/>
    <n v="11.517000000000001"/>
    <x v="5"/>
    <n v="3455.1"/>
    <m/>
  </r>
  <r>
    <s v="ORD-1100"/>
    <d v="2024-10-11T00:00:00"/>
    <s v="CUST-131"/>
    <x v="6"/>
    <x v="0"/>
    <x v="0"/>
    <x v="1"/>
    <x v="0"/>
    <s v="$86.6"/>
    <s v="Friday"/>
    <x v="3"/>
    <x v="0"/>
    <b v="0"/>
    <b v="0"/>
    <s v="Standard order"/>
    <n v="4.33"/>
    <x v="9"/>
    <n v="346.4"/>
    <m/>
  </r>
  <r>
    <s v="ORD-1101"/>
    <d v="2024-10-11T00:00:00"/>
    <s v="CUST-118"/>
    <x v="9"/>
    <x v="1"/>
    <x v="4"/>
    <x v="4"/>
    <x v="11"/>
    <s v="$101.96"/>
    <s v="Friday"/>
    <x v="3"/>
    <x v="0"/>
    <b v="0"/>
    <b v="1"/>
    <s v="Large Order"/>
    <n v="5.0979999999999999"/>
    <x v="24"/>
    <n v="1325.48"/>
    <m/>
  </r>
  <r>
    <s v="ORD-1102"/>
    <d v="2024-04-23T00:00:00"/>
    <s v="CUST-135"/>
    <x v="24"/>
    <x v="2"/>
    <x v="2"/>
    <x v="2"/>
    <x v="8"/>
    <s v="$10.11"/>
    <s v="Tuesday"/>
    <x v="2"/>
    <x v="0"/>
    <b v="0"/>
    <b v="0"/>
    <s v="Standard order"/>
    <n v="0.50549999999999995"/>
    <x v="20"/>
    <n v="101.1"/>
    <m/>
  </r>
  <r>
    <s v="ORD-1103"/>
    <d v="2024-09-28T00:00:00"/>
    <s v="CUST-117"/>
    <x v="20"/>
    <x v="1"/>
    <x v="3"/>
    <x v="4"/>
    <x v="6"/>
    <s v="$81.02"/>
    <s v="Saturday"/>
    <x v="11"/>
    <x v="0"/>
    <b v="1"/>
    <b v="0"/>
    <s v="Standard order"/>
    <n v="4.0510000000000002"/>
    <x v="6"/>
    <n v="486.12"/>
    <m/>
  </r>
  <r>
    <s v="ORD-1104"/>
    <d v="2024-06-05T00:00:00"/>
    <s v="CUST-147"/>
    <x v="7"/>
    <x v="2"/>
    <x v="3"/>
    <x v="2"/>
    <x v="0"/>
    <s v="$107.34"/>
    <s v="Wednesday"/>
    <x v="9"/>
    <x v="0"/>
    <b v="0"/>
    <b v="0"/>
    <s v="Standard order"/>
    <n v="5.3670000000000009"/>
    <x v="11"/>
    <n v="429.36"/>
    <m/>
  </r>
  <r>
    <s v="ORD-1105"/>
    <d v="2024-10-01T00:00:00"/>
    <s v="CUST-137"/>
    <x v="11"/>
    <x v="3"/>
    <x v="4"/>
    <x v="2"/>
    <x v="7"/>
    <s v="$33.22"/>
    <s v="Tuesday"/>
    <x v="3"/>
    <x v="0"/>
    <b v="0"/>
    <b v="0"/>
    <s v="Standard order"/>
    <n v="1.661"/>
    <x v="13"/>
    <n v="265.76"/>
    <m/>
  </r>
  <r>
    <s v="ORD-1106"/>
    <d v="2024-09-25T00:00:00"/>
    <s v="CUST-111"/>
    <x v="13"/>
    <x v="0"/>
    <x v="1"/>
    <x v="3"/>
    <x v="2"/>
    <s v="$156.44"/>
    <s v="Wednesday"/>
    <x v="11"/>
    <x v="0"/>
    <b v="0"/>
    <b v="0"/>
    <s v="Large Order"/>
    <n v="7.8220000000000001"/>
    <x v="5"/>
    <n v="782.2"/>
    <m/>
  </r>
  <r>
    <s v="ORD-1107"/>
    <d v="2024-06-03T00:00:00"/>
    <s v="CUST-135"/>
    <x v="6"/>
    <x v="1"/>
    <x v="0"/>
    <x v="1"/>
    <x v="1"/>
    <s v="$86.6"/>
    <s v="Monday"/>
    <x v="9"/>
    <x v="0"/>
    <b v="0"/>
    <b v="0"/>
    <s v="Standard order"/>
    <n v="4.33"/>
    <x v="4"/>
    <n v="86.6"/>
    <m/>
  </r>
  <r>
    <s v="ORD-1108"/>
    <d v="2024-05-29T00:00:00"/>
    <s v="CUST-130"/>
    <x v="5"/>
    <x v="0"/>
    <x v="4"/>
    <x v="4"/>
    <x v="8"/>
    <s v="$64.61"/>
    <s v="Wednesday"/>
    <x v="7"/>
    <x v="0"/>
    <b v="0"/>
    <b v="0"/>
    <s v="Large Order"/>
    <n v="3.2305000000000001"/>
    <x v="6"/>
    <n v="646.1"/>
    <m/>
  </r>
  <r>
    <s v="ORD-1109"/>
    <d v="2024-08-13T00:00:00"/>
    <s v="CUST-104"/>
    <x v="7"/>
    <x v="1"/>
    <x v="3"/>
    <x v="2"/>
    <x v="3"/>
    <s v="$107.34"/>
    <s v="Tuesday"/>
    <x v="10"/>
    <x v="0"/>
    <b v="0"/>
    <b v="1"/>
    <s v="Large Order"/>
    <n v="5.3670000000000009"/>
    <x v="0"/>
    <n v="1502.76"/>
    <m/>
  </r>
  <r>
    <s v="ORD-1110"/>
    <d v="2024-07-24T00:00:00"/>
    <s v="CUST-109"/>
    <x v="1"/>
    <x v="2"/>
    <x v="2"/>
    <x v="0"/>
    <x v="9"/>
    <s v="$178.83"/>
    <s v="Wednesday"/>
    <x v="8"/>
    <x v="0"/>
    <b v="0"/>
    <b v="1"/>
    <s v="Large Order"/>
    <n v="8.9415000000000013"/>
    <x v="15"/>
    <n v="1967.13"/>
    <m/>
  </r>
  <r>
    <s v="ORD-1111"/>
    <d v="2024-10-15T00:00:00"/>
    <s v="CUST-138"/>
    <x v="15"/>
    <x v="0"/>
    <x v="3"/>
    <x v="0"/>
    <x v="14"/>
    <s v="$216.22"/>
    <s v="Tuesday"/>
    <x v="3"/>
    <x v="0"/>
    <b v="0"/>
    <b v="1"/>
    <s v="Large Order"/>
    <n v="10.811"/>
    <x v="14"/>
    <n v="1945.98"/>
    <m/>
  </r>
  <r>
    <s v="ORD-1112"/>
    <d v="2024-11-01T00:00:00"/>
    <s v="CUST-119"/>
    <x v="14"/>
    <x v="1"/>
    <x v="1"/>
    <x v="2"/>
    <x v="7"/>
    <s v="$201.32"/>
    <s v="Friday"/>
    <x v="0"/>
    <x v="0"/>
    <b v="0"/>
    <b v="1"/>
    <s v="Large Order"/>
    <n v="10.066000000000001"/>
    <x v="12"/>
    <n v="1610.56"/>
    <m/>
  </r>
  <r>
    <s v="ORD-1113"/>
    <d v="2024-10-28T00:00:00"/>
    <s v="CUST-147"/>
    <x v="12"/>
    <x v="2"/>
    <x v="2"/>
    <x v="3"/>
    <x v="1"/>
    <s v="$211.9"/>
    <s v="Monday"/>
    <x v="3"/>
    <x v="0"/>
    <b v="0"/>
    <b v="0"/>
    <s v="Standard order"/>
    <n v="10.595000000000001"/>
    <x v="24"/>
    <n v="211.9"/>
    <m/>
  </r>
  <r>
    <s v="ORD-1114"/>
    <d v="2024-02-20T00:00:00"/>
    <s v="CUST-111"/>
    <x v="24"/>
    <x v="2"/>
    <x v="4"/>
    <x v="2"/>
    <x v="4"/>
    <s v="$10.11"/>
    <s v="Tuesday"/>
    <x v="5"/>
    <x v="0"/>
    <b v="0"/>
    <b v="0"/>
    <s v="Standard order"/>
    <n v="0.50549999999999995"/>
    <x v="6"/>
    <n v="20.22"/>
    <m/>
  </r>
  <r>
    <s v="ORD-1115"/>
    <d v="2024-10-09T00:00:00"/>
    <s v="CUST-130"/>
    <x v="7"/>
    <x v="1"/>
    <x v="0"/>
    <x v="2"/>
    <x v="7"/>
    <s v="$107.34"/>
    <s v="Wednesday"/>
    <x v="3"/>
    <x v="0"/>
    <b v="0"/>
    <b v="1"/>
    <s v="Large Order"/>
    <n v="5.3670000000000009"/>
    <x v="24"/>
    <n v="858.72"/>
    <m/>
  </r>
  <r>
    <s v="ORD-1116"/>
    <d v="2024-05-29T00:00:00"/>
    <s v="CUST-129"/>
    <x v="24"/>
    <x v="2"/>
    <x v="0"/>
    <x v="2"/>
    <x v="2"/>
    <s v="$10.11"/>
    <s v="Wednesday"/>
    <x v="7"/>
    <x v="0"/>
    <b v="0"/>
    <b v="0"/>
    <s v="Standard order"/>
    <n v="0.50549999999999995"/>
    <x v="12"/>
    <n v="50.55"/>
    <m/>
  </r>
  <r>
    <s v="ORD-1117"/>
    <d v="2024-02-06T00:00:00"/>
    <s v="CUST-127"/>
    <x v="12"/>
    <x v="2"/>
    <x v="4"/>
    <x v="3"/>
    <x v="11"/>
    <s v="$211.9"/>
    <s v="Tuesday"/>
    <x v="5"/>
    <x v="0"/>
    <b v="0"/>
    <b v="1"/>
    <s v="Large Order"/>
    <n v="10.595000000000001"/>
    <x v="11"/>
    <n v="2754.7000000000003"/>
    <m/>
  </r>
  <r>
    <s v="ORD-1118"/>
    <d v="2024-02-28T00:00:00"/>
    <s v="CUST-103"/>
    <x v="11"/>
    <x v="1"/>
    <x v="1"/>
    <x v="2"/>
    <x v="3"/>
    <s v="$33.22"/>
    <s v="Wednesday"/>
    <x v="5"/>
    <x v="0"/>
    <b v="0"/>
    <b v="0"/>
    <s v="Standard order"/>
    <n v="1.661"/>
    <x v="21"/>
    <n v="465.08"/>
    <m/>
  </r>
  <r>
    <s v="ORD-1119"/>
    <d v="2024-03-25T00:00:00"/>
    <s v="CUST-144"/>
    <x v="21"/>
    <x v="1"/>
    <x v="3"/>
    <x v="1"/>
    <x v="7"/>
    <s v="$32.94"/>
    <s v="Monday"/>
    <x v="4"/>
    <x v="0"/>
    <b v="0"/>
    <b v="0"/>
    <s v="Standard order"/>
    <n v="1.647"/>
    <x v="12"/>
    <n v="263.52"/>
    <m/>
  </r>
  <r>
    <s v="ORD-1120"/>
    <d v="2024-06-04T00:00:00"/>
    <s v="CUST-138"/>
    <x v="12"/>
    <x v="3"/>
    <x v="2"/>
    <x v="3"/>
    <x v="7"/>
    <s v="$211.9"/>
    <s v="Tuesday"/>
    <x v="9"/>
    <x v="0"/>
    <b v="0"/>
    <b v="1"/>
    <s v="Large Order"/>
    <n v="10.595000000000001"/>
    <x v="12"/>
    <n v="1695.2"/>
    <m/>
  </r>
  <r>
    <s v="ORD-1121"/>
    <d v="2024-01-21T00:00:00"/>
    <s v="CUST-143"/>
    <x v="12"/>
    <x v="1"/>
    <x v="2"/>
    <x v="3"/>
    <x v="1"/>
    <s v="$211.9"/>
    <s v="Sunday"/>
    <x v="6"/>
    <x v="0"/>
    <b v="1"/>
    <b v="0"/>
    <s v="Standard order"/>
    <n v="10.595000000000001"/>
    <x v="8"/>
    <n v="211.9"/>
    <m/>
  </r>
  <r>
    <s v="ORD-1122"/>
    <d v="2024-10-21T00:00:00"/>
    <s v="CUST-111"/>
    <x v="0"/>
    <x v="2"/>
    <x v="1"/>
    <x v="0"/>
    <x v="1"/>
    <s v="$146.06"/>
    <s v="Monday"/>
    <x v="3"/>
    <x v="0"/>
    <b v="0"/>
    <b v="0"/>
    <s v="Standard order"/>
    <n v="7.3030000000000008"/>
    <x v="23"/>
    <n v="146.06"/>
    <m/>
  </r>
  <r>
    <s v="ORD-1123"/>
    <d v="2024-08-28T00:00:00"/>
    <s v="CUST-131"/>
    <x v="23"/>
    <x v="0"/>
    <x v="1"/>
    <x v="4"/>
    <x v="8"/>
    <s v="$133.37"/>
    <s v="Wednesday"/>
    <x v="10"/>
    <x v="0"/>
    <b v="0"/>
    <b v="1"/>
    <s v="Large Order"/>
    <n v="6.6685000000000008"/>
    <x v="17"/>
    <n v="1333.7"/>
    <m/>
  </r>
  <r>
    <s v="ORD-1124"/>
    <d v="2024-02-16T00:00:00"/>
    <s v="CUST-110"/>
    <x v="17"/>
    <x v="1"/>
    <x v="2"/>
    <x v="3"/>
    <x v="6"/>
    <s v="$26.59"/>
    <s v="Friday"/>
    <x v="5"/>
    <x v="0"/>
    <b v="0"/>
    <b v="0"/>
    <s v="Standard order"/>
    <n v="1.3295000000000001"/>
    <x v="23"/>
    <n v="159.54"/>
    <m/>
  </r>
  <r>
    <s v="ORD-1125"/>
    <d v="2024-06-17T00:00:00"/>
    <s v="CUST-135"/>
    <x v="23"/>
    <x v="2"/>
    <x v="2"/>
    <x v="4"/>
    <x v="10"/>
    <s v="$133.37"/>
    <s v="Monday"/>
    <x v="9"/>
    <x v="0"/>
    <b v="0"/>
    <b v="1"/>
    <s v="Large Order"/>
    <n v="6.6685000000000008"/>
    <x v="8"/>
    <n v="933.59"/>
    <m/>
  </r>
  <r>
    <s v="ORD-1126"/>
    <d v="2024-01-19T00:00:00"/>
    <s v="CUST-149"/>
    <x v="0"/>
    <x v="1"/>
    <x v="2"/>
    <x v="0"/>
    <x v="6"/>
    <s v="$146.06"/>
    <s v="Friday"/>
    <x v="6"/>
    <x v="0"/>
    <b v="0"/>
    <b v="1"/>
    <s v="Large Order"/>
    <n v="7.3030000000000008"/>
    <x v="0"/>
    <n v="876.36"/>
    <m/>
  </r>
  <r>
    <s v="ORD-1127"/>
    <d v="2024-07-25T00:00:00"/>
    <s v="CUST-133"/>
    <x v="1"/>
    <x v="1"/>
    <x v="1"/>
    <x v="0"/>
    <x v="10"/>
    <s v="$178.83"/>
    <s v="Thursday"/>
    <x v="8"/>
    <x v="0"/>
    <b v="0"/>
    <b v="1"/>
    <s v="Large Order"/>
    <n v="8.9415000000000013"/>
    <x v="9"/>
    <n v="1251.8100000000002"/>
    <m/>
  </r>
  <r>
    <s v="ORD-1128"/>
    <d v="2024-07-04T00:00:00"/>
    <s v="CUST-108"/>
    <x v="9"/>
    <x v="0"/>
    <x v="1"/>
    <x v="4"/>
    <x v="0"/>
    <s v="$101.96"/>
    <s v="Thursday"/>
    <x v="8"/>
    <x v="0"/>
    <b v="0"/>
    <b v="0"/>
    <s v="Standard order"/>
    <n v="5.0979999999999999"/>
    <x v="4"/>
    <n v="407.84"/>
    <m/>
  </r>
  <r>
    <s v="ORD-1129"/>
    <d v="2024-05-27T00:00:00"/>
    <s v="CUST-115"/>
    <x v="5"/>
    <x v="0"/>
    <x v="2"/>
    <x v="4"/>
    <x v="9"/>
    <s v="$64.61"/>
    <s v="Monday"/>
    <x v="7"/>
    <x v="0"/>
    <b v="0"/>
    <b v="0"/>
    <s v="Large Order"/>
    <n v="3.2305000000000001"/>
    <x v="12"/>
    <n v="710.71"/>
    <m/>
  </r>
  <r>
    <s v="ORD-1130"/>
    <d v="2024-12-29T00:00:00"/>
    <s v="CUST-114"/>
    <x v="12"/>
    <x v="0"/>
    <x v="4"/>
    <x v="3"/>
    <x v="14"/>
    <s v="$211.9"/>
    <s v="Sunday"/>
    <x v="1"/>
    <x v="0"/>
    <b v="1"/>
    <b v="1"/>
    <s v="Large Order"/>
    <n v="10.595000000000001"/>
    <x v="15"/>
    <n v="1907.1000000000001"/>
    <m/>
  </r>
  <r>
    <s v="ORD-1131"/>
    <d v="2024-02-28T00:00:00"/>
    <s v="CUST-132"/>
    <x v="15"/>
    <x v="1"/>
    <x v="2"/>
    <x v="0"/>
    <x v="12"/>
    <s v="$216.22"/>
    <s v="Wednesday"/>
    <x v="5"/>
    <x v="0"/>
    <b v="0"/>
    <b v="1"/>
    <s v="Large Order"/>
    <n v="10.811"/>
    <x v="9"/>
    <n v="3243.3"/>
    <m/>
  </r>
  <r>
    <s v="ORD-1132"/>
    <d v="2024-12-27T00:00:00"/>
    <s v="CUST-109"/>
    <x v="9"/>
    <x v="1"/>
    <x v="3"/>
    <x v="4"/>
    <x v="0"/>
    <s v="$101.96"/>
    <s v="Friday"/>
    <x v="1"/>
    <x v="0"/>
    <b v="0"/>
    <b v="0"/>
    <s v="Standard order"/>
    <n v="5.0979999999999999"/>
    <x v="21"/>
    <n v="407.84"/>
    <m/>
  </r>
  <r>
    <s v="ORD-1133"/>
    <d v="2024-07-15T00:00:00"/>
    <s v="CUST-104"/>
    <x v="21"/>
    <x v="2"/>
    <x v="4"/>
    <x v="1"/>
    <x v="12"/>
    <s v="$32.94"/>
    <s v="Monday"/>
    <x v="8"/>
    <x v="0"/>
    <b v="0"/>
    <b v="0"/>
    <s v="Standard order"/>
    <n v="1.647"/>
    <x v="12"/>
    <n v="494.09999999999997"/>
    <m/>
  </r>
  <r>
    <s v="ORD-1134"/>
    <d v="2024-05-21T00:00:00"/>
    <s v="CUST-146"/>
    <x v="12"/>
    <x v="1"/>
    <x v="2"/>
    <x v="3"/>
    <x v="3"/>
    <s v="$211.9"/>
    <s v="Tuesday"/>
    <x v="7"/>
    <x v="0"/>
    <b v="0"/>
    <b v="1"/>
    <s v="Large Order"/>
    <n v="10.595000000000001"/>
    <x v="16"/>
    <n v="2966.6"/>
    <m/>
  </r>
  <r>
    <s v="ORD-1135"/>
    <d v="2024-06-01T00:00:00"/>
    <s v="CUST-122"/>
    <x v="16"/>
    <x v="0"/>
    <x v="1"/>
    <x v="1"/>
    <x v="7"/>
    <s v="$130.07"/>
    <s v="Saturday"/>
    <x v="9"/>
    <x v="0"/>
    <b v="1"/>
    <b v="1"/>
    <s v="Large Order"/>
    <n v="6.5034999999999998"/>
    <x v="16"/>
    <n v="1040.56"/>
    <m/>
  </r>
  <r>
    <s v="ORD-1136"/>
    <d v="2024-06-19T00:00:00"/>
    <s v="CUST-112"/>
    <x v="16"/>
    <x v="1"/>
    <x v="1"/>
    <x v="1"/>
    <x v="12"/>
    <s v="$130.07"/>
    <s v="Wednesday"/>
    <x v="9"/>
    <x v="0"/>
    <b v="0"/>
    <b v="1"/>
    <s v="Large Order"/>
    <n v="6.5034999999999998"/>
    <x v="16"/>
    <n v="1951.05"/>
    <m/>
  </r>
  <r>
    <s v="ORD-1137"/>
    <d v="2024-12-23T00:00:00"/>
    <s v="CUST-102"/>
    <x v="16"/>
    <x v="0"/>
    <x v="4"/>
    <x v="1"/>
    <x v="3"/>
    <s v="$130.07"/>
    <s v="Monday"/>
    <x v="1"/>
    <x v="0"/>
    <b v="0"/>
    <b v="1"/>
    <s v="Large Order"/>
    <n v="6.5034999999999998"/>
    <x v="9"/>
    <n v="1820.98"/>
    <m/>
  </r>
  <r>
    <s v="ORD-1138"/>
    <d v="2024-06-11T00:00:00"/>
    <s v="CUST-109"/>
    <x v="9"/>
    <x v="2"/>
    <x v="2"/>
    <x v="4"/>
    <x v="11"/>
    <s v="$101.96"/>
    <s v="Tuesday"/>
    <x v="9"/>
    <x v="0"/>
    <b v="0"/>
    <b v="1"/>
    <s v="Large Order"/>
    <n v="5.0979999999999999"/>
    <x v="14"/>
    <n v="1325.48"/>
    <m/>
  </r>
  <r>
    <s v="ORD-1139"/>
    <d v="2024-09-10T00:00:00"/>
    <s v="CUST-128"/>
    <x v="14"/>
    <x v="2"/>
    <x v="0"/>
    <x v="2"/>
    <x v="6"/>
    <s v="$201.32"/>
    <s v="Tuesday"/>
    <x v="11"/>
    <x v="0"/>
    <b v="0"/>
    <b v="1"/>
    <s v="Large Order"/>
    <n v="10.066000000000001"/>
    <x v="4"/>
    <n v="1207.92"/>
    <m/>
  </r>
  <r>
    <s v="ORD-1140"/>
    <d v="2024-02-21T00:00:00"/>
    <s v="CUST-141"/>
    <x v="5"/>
    <x v="3"/>
    <x v="1"/>
    <x v="4"/>
    <x v="13"/>
    <s v="$64.61"/>
    <s v="Wednesday"/>
    <x v="5"/>
    <x v="0"/>
    <b v="0"/>
    <b v="0"/>
    <s v="Standard order"/>
    <n v="3.2305000000000001"/>
    <x v="23"/>
    <n v="193.82999999999998"/>
    <m/>
  </r>
  <r>
    <s v="ORD-1141"/>
    <d v="2024-03-20T00:00:00"/>
    <s v="CUST-141"/>
    <x v="23"/>
    <x v="1"/>
    <x v="0"/>
    <x v="4"/>
    <x v="8"/>
    <s v="$133.37"/>
    <s v="Wednesday"/>
    <x v="4"/>
    <x v="0"/>
    <b v="0"/>
    <b v="1"/>
    <s v="Large Order"/>
    <n v="6.6685000000000008"/>
    <x v="16"/>
    <n v="1333.7"/>
    <m/>
  </r>
  <r>
    <s v="ORD-1142"/>
    <d v="2024-02-11T00:00:00"/>
    <s v="CUST-148"/>
    <x v="16"/>
    <x v="1"/>
    <x v="3"/>
    <x v="1"/>
    <x v="9"/>
    <s v="$130.07"/>
    <s v="Sunday"/>
    <x v="5"/>
    <x v="0"/>
    <b v="1"/>
    <b v="1"/>
    <s v="Large Order"/>
    <n v="6.5034999999999998"/>
    <x v="0"/>
    <n v="1430.77"/>
    <m/>
  </r>
  <r>
    <s v="ORD-1143"/>
    <d v="2024-09-06T00:00:00"/>
    <s v="CUST-118"/>
    <x v="1"/>
    <x v="0"/>
    <x v="1"/>
    <x v="0"/>
    <x v="0"/>
    <s v="$178.83"/>
    <s v="Friday"/>
    <x v="11"/>
    <x v="0"/>
    <b v="0"/>
    <b v="0"/>
    <s v="Large Order"/>
    <n v="8.9415000000000013"/>
    <x v="4"/>
    <n v="715.32"/>
    <m/>
  </r>
  <r>
    <s v="ORD-1144"/>
    <d v="2024-04-26T00:00:00"/>
    <s v="CUST-128"/>
    <x v="5"/>
    <x v="2"/>
    <x v="0"/>
    <x v="4"/>
    <x v="5"/>
    <s v="$64.61"/>
    <s v="Friday"/>
    <x v="2"/>
    <x v="0"/>
    <b v="0"/>
    <b v="1"/>
    <s v="Large Order"/>
    <n v="3.2305000000000001"/>
    <x v="18"/>
    <n v="775.31999999999994"/>
    <m/>
  </r>
  <r>
    <s v="ORD-1145"/>
    <d v="2024-03-26T00:00:00"/>
    <s v="CUST-122"/>
    <x v="18"/>
    <x v="1"/>
    <x v="3"/>
    <x v="0"/>
    <x v="11"/>
    <s v="$230.68"/>
    <s v="Tuesday"/>
    <x v="4"/>
    <x v="0"/>
    <b v="0"/>
    <b v="1"/>
    <s v="Large Order"/>
    <n v="11.534000000000001"/>
    <x v="11"/>
    <n v="2998.84"/>
    <m/>
  </r>
  <r>
    <s v="ORD-1146"/>
    <d v="2024-07-10T00:00:00"/>
    <s v="CUST-150"/>
    <x v="11"/>
    <x v="2"/>
    <x v="2"/>
    <x v="2"/>
    <x v="10"/>
    <s v="$33.22"/>
    <s v="Wednesday"/>
    <x v="8"/>
    <x v="0"/>
    <b v="0"/>
    <b v="0"/>
    <s v="Standard order"/>
    <n v="1.661"/>
    <x v="6"/>
    <n v="232.54"/>
    <m/>
  </r>
  <r>
    <s v="ORD-1147"/>
    <d v="2024-04-02T00:00:00"/>
    <s v="CUST-143"/>
    <x v="7"/>
    <x v="2"/>
    <x v="4"/>
    <x v="2"/>
    <x v="3"/>
    <s v="$107.34"/>
    <s v="Tuesday"/>
    <x v="2"/>
    <x v="0"/>
    <b v="0"/>
    <b v="1"/>
    <s v="Large Order"/>
    <n v="5.3670000000000009"/>
    <x v="5"/>
    <n v="1502.76"/>
    <m/>
  </r>
  <r>
    <s v="ORD-1148"/>
    <d v="2024-05-03T00:00:00"/>
    <s v="CUST-129"/>
    <x v="6"/>
    <x v="0"/>
    <x v="2"/>
    <x v="1"/>
    <x v="7"/>
    <s v="$86.6"/>
    <s v="Friday"/>
    <x v="7"/>
    <x v="0"/>
    <b v="0"/>
    <b v="0"/>
    <s v="Large Order"/>
    <n v="4.33"/>
    <x v="23"/>
    <n v="692.8"/>
    <m/>
  </r>
  <r>
    <s v="ORD-1149"/>
    <d v="2024-05-10T00:00:00"/>
    <s v="CUST-128"/>
    <x v="23"/>
    <x v="2"/>
    <x v="0"/>
    <x v="4"/>
    <x v="14"/>
    <s v="$133.37"/>
    <s v="Friday"/>
    <x v="7"/>
    <x v="0"/>
    <b v="0"/>
    <b v="1"/>
    <s v="Large Order"/>
    <n v="6.6685000000000008"/>
    <x v="17"/>
    <n v="1200.33"/>
    <m/>
  </r>
  <r>
    <s v="ORD-1150"/>
    <d v="2024-06-25T00:00:00"/>
    <s v="CUST-119"/>
    <x v="17"/>
    <x v="2"/>
    <x v="1"/>
    <x v="3"/>
    <x v="2"/>
    <s v="$26.59"/>
    <s v="Tuesday"/>
    <x v="9"/>
    <x v="0"/>
    <b v="0"/>
    <b v="0"/>
    <s v="Standard order"/>
    <n v="1.3295000000000001"/>
    <x v="4"/>
    <n v="132.94999999999999"/>
    <m/>
  </r>
  <r>
    <s v="ORD-1151"/>
    <d v="2024-04-11T00:00:00"/>
    <s v="CUST-136"/>
    <x v="5"/>
    <x v="0"/>
    <x v="2"/>
    <x v="4"/>
    <x v="10"/>
    <s v="$64.61"/>
    <s v="Thursday"/>
    <x v="2"/>
    <x v="0"/>
    <b v="0"/>
    <b v="0"/>
    <s v="Standard order"/>
    <n v="3.2305000000000001"/>
    <x v="19"/>
    <n v="452.27"/>
    <m/>
  </r>
  <r>
    <s v="ORD-1152"/>
    <d v="2024-05-31T00:00:00"/>
    <s v="CUST-143"/>
    <x v="19"/>
    <x v="1"/>
    <x v="3"/>
    <x v="0"/>
    <x v="1"/>
    <s v="$145.48"/>
    <s v="Friday"/>
    <x v="7"/>
    <x v="0"/>
    <b v="0"/>
    <b v="0"/>
    <s v="Standard order"/>
    <n v="7.274"/>
    <x v="23"/>
    <n v="145.47999999999999"/>
    <m/>
  </r>
  <r>
    <s v="ORD-1153"/>
    <d v="2024-01-26T00:00:00"/>
    <s v="CUST-114"/>
    <x v="23"/>
    <x v="0"/>
    <x v="1"/>
    <x v="4"/>
    <x v="8"/>
    <s v="$133.37"/>
    <s v="Friday"/>
    <x v="6"/>
    <x v="0"/>
    <b v="0"/>
    <b v="1"/>
    <s v="Large Order"/>
    <n v="6.6685000000000008"/>
    <x v="10"/>
    <n v="1333.7"/>
    <m/>
  </r>
  <r>
    <s v="ORD-1154"/>
    <d v="2024-11-21T00:00:00"/>
    <s v="CUST-142"/>
    <x v="10"/>
    <x v="2"/>
    <x v="4"/>
    <x v="1"/>
    <x v="11"/>
    <s v="$46.19"/>
    <s v="Thursday"/>
    <x v="0"/>
    <x v="0"/>
    <b v="0"/>
    <b v="0"/>
    <s v="Large Order"/>
    <n v="2.3094999999999999"/>
    <x v="18"/>
    <n v="600.47"/>
    <m/>
  </r>
  <r>
    <s v="ORD-1155"/>
    <d v="2024-12-14T00:00:00"/>
    <s v="CUST-137"/>
    <x v="18"/>
    <x v="1"/>
    <x v="4"/>
    <x v="0"/>
    <x v="11"/>
    <s v="$230.68"/>
    <s v="Saturday"/>
    <x v="1"/>
    <x v="0"/>
    <b v="1"/>
    <b v="1"/>
    <s v="Large Order"/>
    <n v="11.534000000000001"/>
    <x v="8"/>
    <n v="2998.84"/>
    <m/>
  </r>
  <r>
    <s v="ORD-1156"/>
    <d v="2024-07-05T00:00:00"/>
    <s v="CUST-112"/>
    <x v="0"/>
    <x v="1"/>
    <x v="4"/>
    <x v="0"/>
    <x v="5"/>
    <s v="$146.06"/>
    <s v="Friday"/>
    <x v="8"/>
    <x v="0"/>
    <b v="0"/>
    <b v="1"/>
    <s v="Large Order"/>
    <n v="7.3030000000000008"/>
    <x v="12"/>
    <n v="1752.72"/>
    <m/>
  </r>
  <r>
    <s v="ORD-1157"/>
    <d v="2024-03-08T00:00:00"/>
    <s v="CUST-110"/>
    <x v="12"/>
    <x v="2"/>
    <x v="1"/>
    <x v="3"/>
    <x v="12"/>
    <s v="$211.9"/>
    <s v="Friday"/>
    <x v="4"/>
    <x v="0"/>
    <b v="0"/>
    <b v="1"/>
    <s v="Large Order"/>
    <n v="10.595000000000001"/>
    <x v="3"/>
    <n v="3178.5"/>
    <m/>
  </r>
  <r>
    <s v="ORD-1158"/>
    <d v="2024-05-11T00:00:00"/>
    <s v="CUST-109"/>
    <x v="4"/>
    <x v="0"/>
    <x v="2"/>
    <x v="3"/>
    <x v="7"/>
    <s v="$230.34"/>
    <s v="Saturday"/>
    <x v="7"/>
    <x v="0"/>
    <b v="1"/>
    <b v="1"/>
    <s v="Large Order"/>
    <n v="11.517000000000001"/>
    <x v="10"/>
    <n v="1842.72"/>
    <m/>
  </r>
  <r>
    <s v="ORD-1159"/>
    <d v="2024-04-25T00:00:00"/>
    <s v="CUST-116"/>
    <x v="10"/>
    <x v="0"/>
    <x v="2"/>
    <x v="1"/>
    <x v="11"/>
    <s v="$46.19"/>
    <s v="Thursday"/>
    <x v="2"/>
    <x v="0"/>
    <b v="0"/>
    <b v="0"/>
    <s v="Large Order"/>
    <n v="2.3094999999999999"/>
    <x v="23"/>
    <n v="600.47"/>
    <m/>
  </r>
  <r>
    <s v="ORD-1160"/>
    <d v="2024-10-01T00:00:00"/>
    <s v="CUST-137"/>
    <x v="23"/>
    <x v="2"/>
    <x v="0"/>
    <x v="4"/>
    <x v="5"/>
    <s v="$133.37"/>
    <s v="Tuesday"/>
    <x v="3"/>
    <x v="0"/>
    <b v="0"/>
    <b v="1"/>
    <s v="Large Order"/>
    <n v="6.6685000000000008"/>
    <x v="15"/>
    <n v="1600.44"/>
    <m/>
  </r>
  <r>
    <s v="ORD-1161"/>
    <d v="2024-07-14T00:00:00"/>
    <s v="CUST-135"/>
    <x v="15"/>
    <x v="1"/>
    <x v="3"/>
    <x v="0"/>
    <x v="1"/>
    <s v="$216.22"/>
    <s v="Sunday"/>
    <x v="8"/>
    <x v="0"/>
    <b v="1"/>
    <b v="0"/>
    <s v="Standard order"/>
    <n v="10.811"/>
    <x v="6"/>
    <n v="216.22"/>
    <m/>
  </r>
  <r>
    <s v="ORD-1162"/>
    <d v="2024-06-16T00:00:00"/>
    <s v="CUST-144"/>
    <x v="7"/>
    <x v="2"/>
    <x v="1"/>
    <x v="2"/>
    <x v="3"/>
    <s v="$107.34"/>
    <s v="Sunday"/>
    <x v="9"/>
    <x v="0"/>
    <b v="1"/>
    <b v="1"/>
    <s v="Large Order"/>
    <n v="5.3670000000000009"/>
    <x v="15"/>
    <n v="1502.76"/>
    <m/>
  </r>
  <r>
    <s v="ORD-1163"/>
    <d v="2024-06-03T00:00:00"/>
    <s v="CUST-131"/>
    <x v="15"/>
    <x v="0"/>
    <x v="2"/>
    <x v="0"/>
    <x v="1"/>
    <s v="$216.22"/>
    <s v="Monday"/>
    <x v="9"/>
    <x v="0"/>
    <b v="0"/>
    <b v="0"/>
    <s v="Standard order"/>
    <n v="10.811"/>
    <x v="14"/>
    <n v="216.22"/>
    <m/>
  </r>
  <r>
    <s v="ORD-1164"/>
    <d v="2024-02-29T00:00:00"/>
    <s v="CUST-142"/>
    <x v="14"/>
    <x v="0"/>
    <x v="0"/>
    <x v="2"/>
    <x v="10"/>
    <s v="$201.32"/>
    <s v="Thursday"/>
    <x v="5"/>
    <x v="0"/>
    <b v="0"/>
    <b v="1"/>
    <s v="Large Order"/>
    <n v="10.066000000000001"/>
    <x v="20"/>
    <n v="1409.24"/>
    <m/>
  </r>
  <r>
    <s v="ORD-1165"/>
    <d v="2024-12-22T00:00:00"/>
    <s v="CUST-126"/>
    <x v="20"/>
    <x v="2"/>
    <x v="1"/>
    <x v="4"/>
    <x v="5"/>
    <s v="$81.02"/>
    <s v="Sunday"/>
    <x v="1"/>
    <x v="0"/>
    <b v="1"/>
    <b v="1"/>
    <s v="Large Order"/>
    <n v="4.0510000000000002"/>
    <x v="20"/>
    <n v="972.24"/>
    <m/>
  </r>
  <r>
    <s v="ORD-1166"/>
    <d v="2024-12-01T00:00:00"/>
    <s v="CUST-123"/>
    <x v="20"/>
    <x v="1"/>
    <x v="0"/>
    <x v="4"/>
    <x v="2"/>
    <s v="$81.02"/>
    <s v="Sunday"/>
    <x v="1"/>
    <x v="0"/>
    <b v="1"/>
    <b v="0"/>
    <s v="Standard order"/>
    <n v="4.0510000000000002"/>
    <x v="22"/>
    <n v="405.09999999999997"/>
    <m/>
  </r>
  <r>
    <s v="ORD-1167"/>
    <d v="2024-04-21T00:00:00"/>
    <s v="CUST-123"/>
    <x v="22"/>
    <x v="1"/>
    <x v="2"/>
    <x v="4"/>
    <x v="4"/>
    <s v="$149.27"/>
    <s v="Sunday"/>
    <x v="2"/>
    <x v="0"/>
    <b v="1"/>
    <b v="0"/>
    <s v="Standard order"/>
    <n v="7.4635000000000007"/>
    <x v="19"/>
    <n v="298.54000000000002"/>
    <m/>
  </r>
  <r>
    <s v="ORD-1168"/>
    <d v="2024-10-05T00:00:00"/>
    <s v="CUST-129"/>
    <x v="19"/>
    <x v="1"/>
    <x v="3"/>
    <x v="0"/>
    <x v="0"/>
    <s v="$145.48"/>
    <s v="Saturday"/>
    <x v="3"/>
    <x v="0"/>
    <b v="1"/>
    <b v="0"/>
    <s v="Large Order"/>
    <n v="7.274"/>
    <x v="1"/>
    <n v="581.91999999999996"/>
    <m/>
  </r>
  <r>
    <s v="ORD-1169"/>
    <d v="2024-02-16T00:00:00"/>
    <s v="CUST-108"/>
    <x v="2"/>
    <x v="0"/>
    <x v="4"/>
    <x v="1"/>
    <x v="11"/>
    <s v="$88.18"/>
    <s v="Friday"/>
    <x v="5"/>
    <x v="0"/>
    <b v="0"/>
    <b v="1"/>
    <s v="Large Order"/>
    <n v="4.4090000000000007"/>
    <x v="0"/>
    <n v="1146.3400000000001"/>
    <m/>
  </r>
  <r>
    <s v="ORD-1170"/>
    <d v="2024-10-16T00:00:00"/>
    <s v="CUST-114"/>
    <x v="1"/>
    <x v="0"/>
    <x v="4"/>
    <x v="0"/>
    <x v="8"/>
    <s v="$178.83"/>
    <s v="Wednesday"/>
    <x v="3"/>
    <x v="0"/>
    <b v="0"/>
    <b v="1"/>
    <s v="Large Order"/>
    <n v="8.9415000000000013"/>
    <x v="1"/>
    <n v="1788.3000000000002"/>
    <m/>
  </r>
  <r>
    <s v="ORD-1171"/>
    <d v="2024-06-17T00:00:00"/>
    <s v="CUST-108"/>
    <x v="2"/>
    <x v="1"/>
    <x v="4"/>
    <x v="1"/>
    <x v="3"/>
    <s v="$88.18"/>
    <s v="Monday"/>
    <x v="9"/>
    <x v="0"/>
    <b v="0"/>
    <b v="1"/>
    <s v="Large Order"/>
    <n v="4.4090000000000007"/>
    <x v="6"/>
    <n v="1234.52"/>
    <m/>
  </r>
  <r>
    <s v="ORD-1172"/>
    <d v="2024-10-03T00:00:00"/>
    <s v="CUST-100"/>
    <x v="7"/>
    <x v="2"/>
    <x v="3"/>
    <x v="2"/>
    <x v="3"/>
    <s v="$107.34"/>
    <s v="Thursday"/>
    <x v="3"/>
    <x v="0"/>
    <b v="0"/>
    <b v="1"/>
    <s v="Large Order"/>
    <n v="5.3670000000000009"/>
    <x v="10"/>
    <n v="1502.76"/>
    <m/>
  </r>
  <r>
    <s v="ORD-1173"/>
    <d v="2024-07-02T00:00:00"/>
    <s v="CUST-108"/>
    <x v="10"/>
    <x v="0"/>
    <x v="4"/>
    <x v="1"/>
    <x v="13"/>
    <s v="$46.19"/>
    <s v="Tuesday"/>
    <x v="8"/>
    <x v="0"/>
    <b v="0"/>
    <b v="0"/>
    <s v="Standard order"/>
    <n v="2.3094999999999999"/>
    <x v="18"/>
    <n v="138.57"/>
    <m/>
  </r>
  <r>
    <s v="ORD-1174"/>
    <d v="2024-08-03T00:00:00"/>
    <s v="CUST-132"/>
    <x v="18"/>
    <x v="3"/>
    <x v="1"/>
    <x v="0"/>
    <x v="7"/>
    <s v="$230.68"/>
    <s v="Saturday"/>
    <x v="10"/>
    <x v="0"/>
    <b v="1"/>
    <b v="1"/>
    <s v="Large Order"/>
    <n v="11.534000000000001"/>
    <x v="20"/>
    <n v="1845.44"/>
    <m/>
  </r>
  <r>
    <s v="ORD-1175"/>
    <d v="2024-10-30T00:00:00"/>
    <s v="CUST-150"/>
    <x v="20"/>
    <x v="3"/>
    <x v="0"/>
    <x v="4"/>
    <x v="8"/>
    <s v="$81.02"/>
    <s v="Wednesday"/>
    <x v="3"/>
    <x v="0"/>
    <b v="0"/>
    <b v="1"/>
    <s v="Large Order"/>
    <n v="4.0510000000000002"/>
    <x v="17"/>
    <n v="810.19999999999993"/>
    <m/>
  </r>
  <r>
    <s v="ORD-1176"/>
    <d v="2024-12-03T00:00:00"/>
    <s v="CUST-130"/>
    <x v="17"/>
    <x v="3"/>
    <x v="1"/>
    <x v="3"/>
    <x v="1"/>
    <s v="$26.59"/>
    <s v="Tuesday"/>
    <x v="1"/>
    <x v="0"/>
    <b v="0"/>
    <b v="0"/>
    <s v="Standard order"/>
    <n v="1.3295000000000001"/>
    <x v="19"/>
    <n v="26.59"/>
    <m/>
  </r>
  <r>
    <s v="ORD-1177"/>
    <d v="2024-07-24T00:00:00"/>
    <s v="CUST-105"/>
    <x v="19"/>
    <x v="2"/>
    <x v="2"/>
    <x v="0"/>
    <x v="12"/>
    <s v="$145.48"/>
    <s v="Wednesday"/>
    <x v="8"/>
    <x v="0"/>
    <b v="0"/>
    <b v="1"/>
    <s v="Large Order"/>
    <n v="7.274"/>
    <x v="6"/>
    <n v="2182.1999999999998"/>
    <m/>
  </r>
  <r>
    <s v="ORD-1178"/>
    <d v="2024-06-13T00:00:00"/>
    <s v="CUST-137"/>
    <x v="7"/>
    <x v="0"/>
    <x v="1"/>
    <x v="2"/>
    <x v="2"/>
    <s v="$107.34"/>
    <s v="Thursday"/>
    <x v="9"/>
    <x v="0"/>
    <b v="0"/>
    <b v="0"/>
    <s v="Large Order"/>
    <n v="5.3670000000000009"/>
    <x v="20"/>
    <n v="536.70000000000005"/>
    <m/>
  </r>
  <r>
    <s v="ORD-1179"/>
    <d v="2024-10-07T00:00:00"/>
    <s v="CUST-138"/>
    <x v="20"/>
    <x v="2"/>
    <x v="3"/>
    <x v="4"/>
    <x v="2"/>
    <s v="$81.02"/>
    <s v="Monday"/>
    <x v="3"/>
    <x v="0"/>
    <b v="0"/>
    <b v="0"/>
    <s v="Standard order"/>
    <n v="4.0510000000000002"/>
    <x v="0"/>
    <n v="405.09999999999997"/>
    <m/>
  </r>
  <r>
    <s v="ORD-1180"/>
    <d v="2024-08-08T00:00:00"/>
    <s v="CUST-128"/>
    <x v="1"/>
    <x v="2"/>
    <x v="0"/>
    <x v="0"/>
    <x v="3"/>
    <s v="$178.83"/>
    <s v="Thursday"/>
    <x v="10"/>
    <x v="0"/>
    <b v="0"/>
    <b v="1"/>
    <s v="Large Order"/>
    <n v="8.9415000000000013"/>
    <x v="17"/>
    <n v="2503.6200000000003"/>
    <m/>
  </r>
  <r>
    <s v="ORD-1181"/>
    <d v="2024-04-26T00:00:00"/>
    <s v="CUST-120"/>
    <x v="17"/>
    <x v="1"/>
    <x v="2"/>
    <x v="3"/>
    <x v="10"/>
    <s v="$26.59"/>
    <s v="Friday"/>
    <x v="2"/>
    <x v="0"/>
    <b v="0"/>
    <b v="0"/>
    <s v="Standard order"/>
    <n v="1.3295000000000001"/>
    <x v="3"/>
    <n v="186.13"/>
    <m/>
  </r>
  <r>
    <s v="ORD-1182"/>
    <d v="2024-08-06T00:00:00"/>
    <s v="CUST-104"/>
    <x v="4"/>
    <x v="0"/>
    <x v="3"/>
    <x v="3"/>
    <x v="9"/>
    <s v="$230.34"/>
    <s v="Tuesday"/>
    <x v="10"/>
    <x v="0"/>
    <b v="0"/>
    <b v="1"/>
    <s v="Large Order"/>
    <n v="11.517000000000001"/>
    <x v="19"/>
    <n v="2533.7400000000002"/>
    <m/>
  </r>
  <r>
    <s v="ORD-1183"/>
    <d v="2024-02-16T00:00:00"/>
    <s v="CUST-108"/>
    <x v="19"/>
    <x v="0"/>
    <x v="0"/>
    <x v="0"/>
    <x v="5"/>
    <s v="$145.48"/>
    <s v="Friday"/>
    <x v="5"/>
    <x v="0"/>
    <b v="0"/>
    <b v="1"/>
    <s v="Large Order"/>
    <n v="7.274"/>
    <x v="21"/>
    <n v="1745.7599999999998"/>
    <m/>
  </r>
  <r>
    <s v="ORD-1184"/>
    <d v="2024-10-11T00:00:00"/>
    <s v="CUST-126"/>
    <x v="21"/>
    <x v="2"/>
    <x v="0"/>
    <x v="1"/>
    <x v="6"/>
    <s v="$32.94"/>
    <s v="Friday"/>
    <x v="3"/>
    <x v="0"/>
    <b v="0"/>
    <b v="0"/>
    <s v="Standard order"/>
    <n v="1.647"/>
    <x v="8"/>
    <n v="197.64"/>
    <m/>
  </r>
  <r>
    <s v="ORD-1185"/>
    <d v="2024-06-30T00:00:00"/>
    <s v="CUST-136"/>
    <x v="0"/>
    <x v="2"/>
    <x v="2"/>
    <x v="0"/>
    <x v="2"/>
    <s v="$146.06"/>
    <s v="Sunday"/>
    <x v="9"/>
    <x v="0"/>
    <b v="1"/>
    <b v="0"/>
    <s v="Large Order"/>
    <n v="7.3030000000000008"/>
    <x v="2"/>
    <n v="730.3"/>
    <m/>
  </r>
  <r>
    <s v="ORD-1186"/>
    <d v="2024-09-16T00:00:00"/>
    <s v="CUST-135"/>
    <x v="3"/>
    <x v="0"/>
    <x v="4"/>
    <x v="2"/>
    <x v="3"/>
    <s v="$84.57"/>
    <s v="Monday"/>
    <x v="11"/>
    <x v="0"/>
    <b v="0"/>
    <b v="1"/>
    <s v="Large Order"/>
    <n v="4.2284999999999995"/>
    <x v="12"/>
    <n v="1183.98"/>
    <m/>
  </r>
  <r>
    <s v="ORD-1187"/>
    <d v="2024-07-07T00:00:00"/>
    <s v="CUST-135"/>
    <x v="12"/>
    <x v="0"/>
    <x v="0"/>
    <x v="3"/>
    <x v="11"/>
    <s v="$211.9"/>
    <s v="Sunday"/>
    <x v="8"/>
    <x v="0"/>
    <b v="1"/>
    <b v="1"/>
    <s v="Large Order"/>
    <n v="10.595000000000001"/>
    <x v="1"/>
    <n v="2754.7000000000003"/>
    <m/>
  </r>
  <r>
    <s v="ORD-1188"/>
    <d v="2024-11-14T00:00:00"/>
    <s v="CUST-144"/>
    <x v="2"/>
    <x v="2"/>
    <x v="1"/>
    <x v="1"/>
    <x v="12"/>
    <s v="$88.18"/>
    <s v="Thursday"/>
    <x v="0"/>
    <x v="0"/>
    <b v="0"/>
    <b v="1"/>
    <s v="Large Order"/>
    <n v="4.4090000000000007"/>
    <x v="24"/>
    <n v="1322.7"/>
    <m/>
  </r>
  <r>
    <s v="ORD-1189"/>
    <d v="2024-05-16T00:00:00"/>
    <s v="CUST-121"/>
    <x v="24"/>
    <x v="2"/>
    <x v="0"/>
    <x v="2"/>
    <x v="11"/>
    <s v="$10.11"/>
    <s v="Thursday"/>
    <x v="7"/>
    <x v="0"/>
    <b v="0"/>
    <b v="0"/>
    <s v="Standard order"/>
    <n v="0.50549999999999995"/>
    <x v="11"/>
    <n v="131.43"/>
    <m/>
  </r>
  <r>
    <s v="ORD-1190"/>
    <d v="2024-06-28T00:00:00"/>
    <s v="CUST-109"/>
    <x v="11"/>
    <x v="2"/>
    <x v="0"/>
    <x v="2"/>
    <x v="9"/>
    <s v="$33.22"/>
    <s v="Friday"/>
    <x v="9"/>
    <x v="0"/>
    <b v="0"/>
    <b v="0"/>
    <s v="Standard order"/>
    <n v="1.661"/>
    <x v="0"/>
    <n v="365.41999999999996"/>
    <m/>
  </r>
  <r>
    <s v="ORD-1191"/>
    <d v="2024-11-20T00:00:00"/>
    <s v="CUST-121"/>
    <x v="1"/>
    <x v="0"/>
    <x v="0"/>
    <x v="0"/>
    <x v="10"/>
    <s v="$178.83"/>
    <s v="Wednesday"/>
    <x v="0"/>
    <x v="0"/>
    <b v="0"/>
    <b v="1"/>
    <s v="Large Order"/>
    <n v="8.9415000000000013"/>
    <x v="3"/>
    <n v="1251.8100000000002"/>
    <m/>
  </r>
  <r>
    <s v="ORD-1192"/>
    <d v="2024-03-21T00:00:00"/>
    <s v="CUST-103"/>
    <x v="4"/>
    <x v="2"/>
    <x v="3"/>
    <x v="3"/>
    <x v="8"/>
    <s v="$230.34"/>
    <s v="Thursday"/>
    <x v="4"/>
    <x v="0"/>
    <b v="0"/>
    <b v="1"/>
    <s v="Large Order"/>
    <n v="11.517000000000001"/>
    <x v="1"/>
    <n v="2303.4"/>
    <m/>
  </r>
  <r>
    <s v="ORD-1193"/>
    <d v="2024-03-20T00:00:00"/>
    <s v="CUST-142"/>
    <x v="2"/>
    <x v="2"/>
    <x v="4"/>
    <x v="1"/>
    <x v="4"/>
    <s v="$88.18"/>
    <s v="Wednesday"/>
    <x v="4"/>
    <x v="0"/>
    <b v="0"/>
    <b v="0"/>
    <s v="Standard order"/>
    <n v="4.4090000000000007"/>
    <x v="16"/>
    <n v="176.36"/>
    <m/>
  </r>
  <r>
    <s v="ORD-1194"/>
    <d v="2024-08-05T00:00:00"/>
    <s v="CUST-132"/>
    <x v="16"/>
    <x v="1"/>
    <x v="2"/>
    <x v="1"/>
    <x v="2"/>
    <s v="$130.07"/>
    <s v="Monday"/>
    <x v="10"/>
    <x v="0"/>
    <b v="0"/>
    <b v="0"/>
    <s v="Large Order"/>
    <n v="6.5034999999999998"/>
    <x v="4"/>
    <n v="650.34999999999991"/>
    <m/>
  </r>
  <r>
    <s v="ORD-1195"/>
    <d v="2024-02-28T00:00:00"/>
    <s v="CUST-131"/>
    <x v="5"/>
    <x v="1"/>
    <x v="3"/>
    <x v="4"/>
    <x v="9"/>
    <s v="$64.61"/>
    <s v="Wednesday"/>
    <x v="5"/>
    <x v="0"/>
    <b v="0"/>
    <b v="0"/>
    <s v="Large Order"/>
    <n v="3.2305000000000001"/>
    <x v="15"/>
    <n v="710.71"/>
    <m/>
  </r>
  <r>
    <s v="ORD-1196"/>
    <d v="2024-09-26T00:00:00"/>
    <s v="CUST-113"/>
    <x v="15"/>
    <x v="1"/>
    <x v="3"/>
    <x v="0"/>
    <x v="8"/>
    <s v="$216.22"/>
    <s v="Thursday"/>
    <x v="11"/>
    <x v="0"/>
    <b v="0"/>
    <b v="1"/>
    <s v="Large Order"/>
    <n v="10.811"/>
    <x v="24"/>
    <n v="2162.1999999999998"/>
    <m/>
  </r>
  <r>
    <s v="ORD-1197"/>
    <d v="2024-06-03T00:00:00"/>
    <s v="CUST-131"/>
    <x v="24"/>
    <x v="1"/>
    <x v="4"/>
    <x v="2"/>
    <x v="6"/>
    <s v="$10.11"/>
    <s v="Monday"/>
    <x v="9"/>
    <x v="0"/>
    <b v="0"/>
    <b v="0"/>
    <s v="Standard order"/>
    <n v="0.50549999999999995"/>
    <x v="2"/>
    <n v="60.66"/>
    <m/>
  </r>
  <r>
    <s v="ORD-1198"/>
    <d v="2024-08-08T00:00:00"/>
    <s v="CUST-135"/>
    <x v="3"/>
    <x v="3"/>
    <x v="4"/>
    <x v="2"/>
    <x v="5"/>
    <s v="$84.57"/>
    <s v="Thursday"/>
    <x v="10"/>
    <x v="0"/>
    <b v="0"/>
    <b v="1"/>
    <s v="Large Order"/>
    <n v="4.2284999999999995"/>
    <x v="19"/>
    <n v="1014.8399999999999"/>
    <m/>
  </r>
  <r>
    <s v="ORD-1199"/>
    <d v="2024-12-08T00:00:00"/>
    <s v="CUST-129"/>
    <x v="19"/>
    <x v="2"/>
    <x v="3"/>
    <x v="0"/>
    <x v="1"/>
    <s v="$145.48"/>
    <s v="Sunday"/>
    <x v="1"/>
    <x v="0"/>
    <b v="1"/>
    <b v="0"/>
    <s v="Standard order"/>
    <n v="7.274"/>
    <x v="24"/>
    <n v="145.47999999999999"/>
    <m/>
  </r>
  <r>
    <s v="ORD-1200"/>
    <d v="2024-11-23T00:00:00"/>
    <s v="CUST-114"/>
    <x v="24"/>
    <x v="0"/>
    <x v="3"/>
    <x v="0"/>
    <x v="7"/>
    <s v="$10.11"/>
    <s v="Saturday"/>
    <x v="0"/>
    <x v="0"/>
    <b v="1"/>
    <b v="0"/>
    <s v="Standard order"/>
    <n v="0.50549999999999995"/>
    <x v="9"/>
    <n v="80.88"/>
    <m/>
  </r>
  <r>
    <s v="ORD-1201"/>
    <d v="2024-12-12T00:00:00"/>
    <s v="CUST-194"/>
    <x v="9"/>
    <x v="2"/>
    <x v="0"/>
    <x v="0"/>
    <x v="3"/>
    <s v="$101.96"/>
    <s v="Thursday"/>
    <x v="1"/>
    <x v="0"/>
    <b v="0"/>
    <b v="1"/>
    <s v="Large Order"/>
    <n v="5.0979999999999999"/>
    <x v="18"/>
    <n v="1427.4399999999998"/>
    <m/>
  </r>
  <r>
    <s v="ORD-1202"/>
    <d v="2024-04-21T00:00:00"/>
    <s v="CUST-129"/>
    <x v="18"/>
    <x v="2"/>
    <x v="1"/>
    <x v="4"/>
    <x v="15"/>
    <s v="$230.68"/>
    <s v="Sunday"/>
    <x v="2"/>
    <x v="0"/>
    <b v="1"/>
    <b v="1"/>
    <s v="Large Order"/>
    <n v="11.534000000000001"/>
    <x v="2"/>
    <n v="4152.24"/>
    <m/>
  </r>
  <r>
    <s v="ORD-1203"/>
    <d v="2024-08-02T00:00:00"/>
    <s v="CUST-128"/>
    <x v="3"/>
    <x v="1"/>
    <x v="1"/>
    <x v="2"/>
    <x v="1"/>
    <s v="$84.57"/>
    <s v="Friday"/>
    <x v="10"/>
    <x v="0"/>
    <b v="0"/>
    <b v="0"/>
    <s v="Standard order"/>
    <n v="4.2284999999999995"/>
    <x v="0"/>
    <n v="84.57"/>
    <m/>
  </r>
  <r>
    <s v="ORD-1204"/>
    <d v="2024-12-23T00:00:00"/>
    <s v="CUST-154"/>
    <x v="1"/>
    <x v="1"/>
    <x v="3"/>
    <x v="3"/>
    <x v="10"/>
    <s v="$178.83"/>
    <s v="Monday"/>
    <x v="1"/>
    <x v="0"/>
    <b v="0"/>
    <b v="1"/>
    <s v="Large Order"/>
    <n v="8.9415000000000013"/>
    <x v="7"/>
    <n v="1251.8100000000002"/>
    <m/>
  </r>
  <r>
    <s v="ORD-1205"/>
    <d v="2024-02-22T00:00:00"/>
    <s v="CUST-111"/>
    <x v="8"/>
    <x v="1"/>
    <x v="0"/>
    <x v="0"/>
    <x v="5"/>
    <s v="$208.85"/>
    <s v="Thursday"/>
    <x v="5"/>
    <x v="0"/>
    <b v="0"/>
    <b v="1"/>
    <s v="Large Order"/>
    <n v="10.442500000000001"/>
    <x v="8"/>
    <n v="2506.1999999999998"/>
    <m/>
  </r>
  <r>
    <s v="ORD-1206"/>
    <d v="2024-08-23T00:00:00"/>
    <s v="CUST-168"/>
    <x v="0"/>
    <x v="0"/>
    <x v="2"/>
    <x v="4"/>
    <x v="15"/>
    <s v="$146.06"/>
    <s v="Friday"/>
    <x v="10"/>
    <x v="0"/>
    <b v="0"/>
    <b v="1"/>
    <s v="Large Order"/>
    <n v="7.3030000000000008"/>
    <x v="15"/>
    <n v="2629.08"/>
    <m/>
  </r>
  <r>
    <s v="ORD-1207"/>
    <d v="2024-07-04T00:00:00"/>
    <s v="CUST-173"/>
    <x v="15"/>
    <x v="0"/>
    <x v="0"/>
    <x v="0"/>
    <x v="7"/>
    <s v="$216.22"/>
    <s v="Thursday"/>
    <x v="8"/>
    <x v="0"/>
    <b v="0"/>
    <b v="1"/>
    <s v="Large Order"/>
    <n v="10.811"/>
    <x v="12"/>
    <n v="1729.76"/>
    <m/>
  </r>
  <r>
    <s v="ORD-1208"/>
    <d v="2024-04-29T00:00:00"/>
    <s v="CUST-112"/>
    <x v="12"/>
    <x v="1"/>
    <x v="3"/>
    <x v="3"/>
    <x v="5"/>
    <s v="$211.9"/>
    <s v="Monday"/>
    <x v="2"/>
    <x v="0"/>
    <b v="0"/>
    <b v="1"/>
    <s v="Large Order"/>
    <n v="10.595000000000001"/>
    <x v="20"/>
    <n v="2542.8000000000002"/>
    <m/>
  </r>
  <r>
    <s v="ORD-1209"/>
    <d v="2024-04-17T00:00:00"/>
    <s v="CUST-185"/>
    <x v="20"/>
    <x v="1"/>
    <x v="0"/>
    <x v="2"/>
    <x v="6"/>
    <s v="$81.02"/>
    <s v="Wednesday"/>
    <x v="2"/>
    <x v="0"/>
    <b v="0"/>
    <b v="0"/>
    <s v="Standard order"/>
    <n v="4.0510000000000002"/>
    <x v="1"/>
    <n v="486.12"/>
    <m/>
  </r>
  <r>
    <s v="ORD-1210"/>
    <d v="2024-03-24T00:00:00"/>
    <s v="CUST-159"/>
    <x v="2"/>
    <x v="1"/>
    <x v="3"/>
    <x v="3"/>
    <x v="15"/>
    <s v="$88.18"/>
    <s v="Sunday"/>
    <x v="4"/>
    <x v="0"/>
    <b v="1"/>
    <b v="1"/>
    <s v="Large Order"/>
    <n v="4.4090000000000007"/>
    <x v="3"/>
    <n v="1587.2400000000002"/>
    <m/>
  </r>
  <r>
    <s v="ORD-1211"/>
    <d v="2024-01-29T00:00:00"/>
    <s v="CUST-129"/>
    <x v="4"/>
    <x v="0"/>
    <x v="3"/>
    <x v="4"/>
    <x v="14"/>
    <s v="$230.34"/>
    <s v="Monday"/>
    <x v="6"/>
    <x v="0"/>
    <b v="0"/>
    <b v="1"/>
    <s v="Large Order"/>
    <n v="11.517000000000001"/>
    <x v="3"/>
    <n v="2073.06"/>
    <m/>
  </r>
  <r>
    <s v="ORD-1212"/>
    <d v="2024-06-10T00:00:00"/>
    <s v="CUST-127"/>
    <x v="4"/>
    <x v="2"/>
    <x v="2"/>
    <x v="2"/>
    <x v="12"/>
    <s v="$230.34"/>
    <s v="Monday"/>
    <x v="9"/>
    <x v="0"/>
    <b v="0"/>
    <b v="1"/>
    <s v="Large Order"/>
    <n v="11.517000000000001"/>
    <x v="2"/>
    <n v="3455.1"/>
    <m/>
  </r>
  <r>
    <s v="ORD-1213"/>
    <d v="2024-05-06T00:00:00"/>
    <s v="CUST-195"/>
    <x v="3"/>
    <x v="2"/>
    <x v="1"/>
    <x v="4"/>
    <x v="16"/>
    <s v="$84.57"/>
    <s v="Monday"/>
    <x v="7"/>
    <x v="0"/>
    <b v="0"/>
    <b v="1"/>
    <s v="Large Order"/>
    <n v="4.2284999999999995"/>
    <x v="22"/>
    <n v="1606.83"/>
    <m/>
  </r>
  <r>
    <s v="ORD-1214"/>
    <d v="2024-07-23T00:00:00"/>
    <s v="CUST-146"/>
    <x v="22"/>
    <x v="0"/>
    <x v="4"/>
    <x v="0"/>
    <x v="17"/>
    <s v="$149.27"/>
    <s v="Tuesday"/>
    <x v="8"/>
    <x v="0"/>
    <b v="0"/>
    <b v="1"/>
    <s v="Large Order"/>
    <n v="7.4635000000000007"/>
    <x v="5"/>
    <n v="2388.3200000000002"/>
    <m/>
  </r>
  <r>
    <s v="ORD-1215"/>
    <d v="2024-02-26T00:00:00"/>
    <s v="CUST-119"/>
    <x v="6"/>
    <x v="2"/>
    <x v="4"/>
    <x v="1"/>
    <x v="3"/>
    <s v="$86.6"/>
    <s v="Monday"/>
    <x v="5"/>
    <x v="0"/>
    <b v="0"/>
    <b v="1"/>
    <s v="Large Order"/>
    <n v="4.33"/>
    <x v="2"/>
    <n v="1212.3999999999999"/>
    <m/>
  </r>
  <r>
    <s v="ORD-1216"/>
    <d v="2024-07-14T00:00:00"/>
    <s v="CUST-176"/>
    <x v="3"/>
    <x v="1"/>
    <x v="1"/>
    <x v="0"/>
    <x v="15"/>
    <s v="$84.57"/>
    <s v="Sunday"/>
    <x v="8"/>
    <x v="0"/>
    <b v="1"/>
    <b v="1"/>
    <s v="Large Order"/>
    <n v="4.2284999999999995"/>
    <x v="21"/>
    <n v="1522.2599999999998"/>
    <m/>
  </r>
  <r>
    <s v="ORD-1217"/>
    <d v="2024-12-14T00:00:00"/>
    <s v="CUST-192"/>
    <x v="21"/>
    <x v="0"/>
    <x v="1"/>
    <x v="3"/>
    <x v="14"/>
    <s v="$32.94"/>
    <s v="Saturday"/>
    <x v="1"/>
    <x v="0"/>
    <b v="1"/>
    <b v="0"/>
    <s v="Standard order"/>
    <n v="1.647"/>
    <x v="12"/>
    <n v="296.45999999999998"/>
    <m/>
  </r>
  <r>
    <s v="ORD-1218"/>
    <d v="2024-02-27T00:00:00"/>
    <s v="CUST-137"/>
    <x v="12"/>
    <x v="1"/>
    <x v="4"/>
    <x v="3"/>
    <x v="1"/>
    <s v="$211.9"/>
    <s v="Tuesday"/>
    <x v="5"/>
    <x v="0"/>
    <b v="0"/>
    <b v="0"/>
    <s v="Standard order"/>
    <n v="10.595000000000001"/>
    <x v="19"/>
    <n v="211.9"/>
    <m/>
  </r>
  <r>
    <s v="ORD-1219"/>
    <d v="2024-09-13T00:00:00"/>
    <s v="CUST-197"/>
    <x v="19"/>
    <x v="0"/>
    <x v="1"/>
    <x v="4"/>
    <x v="8"/>
    <s v="$145.48"/>
    <s v="Friday"/>
    <x v="11"/>
    <x v="0"/>
    <b v="0"/>
    <b v="1"/>
    <s v="Large Order"/>
    <n v="7.274"/>
    <x v="21"/>
    <n v="1454.8"/>
    <m/>
  </r>
  <r>
    <s v="ORD-1220"/>
    <d v="2024-11-07T00:00:00"/>
    <s v="CUST-125"/>
    <x v="21"/>
    <x v="0"/>
    <x v="3"/>
    <x v="4"/>
    <x v="6"/>
    <s v="$32.94"/>
    <s v="Thursday"/>
    <x v="0"/>
    <x v="0"/>
    <b v="0"/>
    <b v="0"/>
    <s v="Standard order"/>
    <n v="1.647"/>
    <x v="18"/>
    <n v="197.64"/>
    <m/>
  </r>
  <r>
    <s v="ORD-1221"/>
    <d v="2024-01-01T00:00:00"/>
    <s v="CUST-176"/>
    <x v="18"/>
    <x v="1"/>
    <x v="2"/>
    <x v="3"/>
    <x v="0"/>
    <s v="$230.68"/>
    <s v="Monday"/>
    <x v="6"/>
    <x v="0"/>
    <b v="0"/>
    <b v="0"/>
    <s v="Large Order"/>
    <n v="11.534000000000001"/>
    <x v="8"/>
    <n v="922.72"/>
    <m/>
  </r>
  <r>
    <s v="ORD-1222"/>
    <d v="2024-05-02T00:00:00"/>
    <s v="CUST-107"/>
    <x v="0"/>
    <x v="0"/>
    <x v="1"/>
    <x v="0"/>
    <x v="13"/>
    <s v="$146.06"/>
    <s v="Thursday"/>
    <x v="7"/>
    <x v="0"/>
    <b v="0"/>
    <b v="0"/>
    <s v="Standard order"/>
    <n v="7.3030000000000008"/>
    <x v="5"/>
    <n v="438.18"/>
    <m/>
  </r>
  <r>
    <s v="ORD-1223"/>
    <d v="2024-09-29T00:00:00"/>
    <s v="CUST-198"/>
    <x v="6"/>
    <x v="0"/>
    <x v="4"/>
    <x v="2"/>
    <x v="17"/>
    <s v="$86.6"/>
    <s v="Sunday"/>
    <x v="11"/>
    <x v="0"/>
    <b v="1"/>
    <b v="1"/>
    <s v="Large Order"/>
    <n v="4.33"/>
    <x v="11"/>
    <n v="1385.6"/>
    <m/>
  </r>
  <r>
    <s v="ORD-1224"/>
    <d v="2024-05-15T00:00:00"/>
    <s v="CUST-167"/>
    <x v="11"/>
    <x v="2"/>
    <x v="2"/>
    <x v="2"/>
    <x v="15"/>
    <s v="$33.22"/>
    <s v="Wednesday"/>
    <x v="7"/>
    <x v="0"/>
    <b v="0"/>
    <b v="0"/>
    <s v="Large Order"/>
    <n v="1.661"/>
    <x v="12"/>
    <n v="597.96"/>
    <m/>
  </r>
  <r>
    <s v="ORD-1225"/>
    <d v="2024-06-08T00:00:00"/>
    <s v="CUST-151"/>
    <x v="12"/>
    <x v="2"/>
    <x v="3"/>
    <x v="2"/>
    <x v="18"/>
    <s v="$211.9"/>
    <s v="Saturday"/>
    <x v="9"/>
    <x v="0"/>
    <b v="1"/>
    <b v="1"/>
    <s v="Large Order"/>
    <n v="10.595000000000001"/>
    <x v="9"/>
    <n v="3602.3"/>
    <m/>
  </r>
  <r>
    <s v="ORD-1226"/>
    <d v="2024-04-25T00:00:00"/>
    <s v="CUST-108"/>
    <x v="9"/>
    <x v="1"/>
    <x v="0"/>
    <x v="2"/>
    <x v="15"/>
    <s v="$101.96"/>
    <s v="Thursday"/>
    <x v="2"/>
    <x v="0"/>
    <b v="0"/>
    <b v="1"/>
    <s v="Large Order"/>
    <n v="5.0979999999999999"/>
    <x v="24"/>
    <n v="1835.28"/>
    <m/>
  </r>
  <r>
    <s v="ORD-1227"/>
    <d v="2024-01-04T00:00:00"/>
    <s v="CUST-109"/>
    <x v="24"/>
    <x v="2"/>
    <x v="0"/>
    <x v="3"/>
    <x v="13"/>
    <s v="$10.11"/>
    <s v="Thursday"/>
    <x v="6"/>
    <x v="0"/>
    <b v="0"/>
    <b v="0"/>
    <s v="Standard order"/>
    <n v="0.50549999999999995"/>
    <x v="5"/>
    <n v="30.33"/>
    <m/>
  </r>
  <r>
    <s v="ORD-1228"/>
    <d v="2024-02-06T00:00:00"/>
    <s v="CUST-165"/>
    <x v="6"/>
    <x v="0"/>
    <x v="3"/>
    <x v="2"/>
    <x v="17"/>
    <s v="$86.6"/>
    <s v="Tuesday"/>
    <x v="5"/>
    <x v="0"/>
    <b v="0"/>
    <b v="1"/>
    <s v="Large Order"/>
    <n v="4.33"/>
    <x v="4"/>
    <n v="1385.6"/>
    <m/>
  </r>
  <r>
    <s v="ORD-1229"/>
    <d v="2024-10-19T00:00:00"/>
    <s v="CUST-173"/>
    <x v="5"/>
    <x v="1"/>
    <x v="4"/>
    <x v="0"/>
    <x v="3"/>
    <s v="$64.61"/>
    <s v="Saturday"/>
    <x v="3"/>
    <x v="0"/>
    <b v="1"/>
    <b v="1"/>
    <s v="Large Order"/>
    <n v="3.2305000000000001"/>
    <x v="17"/>
    <n v="904.54"/>
    <m/>
  </r>
  <r>
    <s v="ORD-1230"/>
    <d v="2024-12-03T00:00:00"/>
    <s v="CUST-155"/>
    <x v="17"/>
    <x v="1"/>
    <x v="2"/>
    <x v="0"/>
    <x v="12"/>
    <s v="$26.59"/>
    <s v="Tuesday"/>
    <x v="1"/>
    <x v="0"/>
    <b v="0"/>
    <b v="0"/>
    <s v="Standard order"/>
    <n v="1.3295000000000001"/>
    <x v="15"/>
    <n v="398.85"/>
    <m/>
  </r>
  <r>
    <s v="ORD-1231"/>
    <d v="2024-12-10T00:00:00"/>
    <s v="CUST-183"/>
    <x v="15"/>
    <x v="2"/>
    <x v="0"/>
    <x v="0"/>
    <x v="11"/>
    <s v="$216.22"/>
    <s v="Tuesday"/>
    <x v="1"/>
    <x v="0"/>
    <b v="0"/>
    <b v="1"/>
    <s v="Large Order"/>
    <n v="10.811"/>
    <x v="12"/>
    <n v="2810.86"/>
    <m/>
  </r>
  <r>
    <s v="ORD-1232"/>
    <d v="2024-05-07T00:00:00"/>
    <s v="CUST-124"/>
    <x v="12"/>
    <x v="0"/>
    <x v="1"/>
    <x v="3"/>
    <x v="2"/>
    <s v="$211.9"/>
    <s v="Tuesday"/>
    <x v="7"/>
    <x v="0"/>
    <b v="0"/>
    <b v="0"/>
    <s v="Large Order"/>
    <n v="10.595000000000001"/>
    <x v="23"/>
    <n v="1059.5"/>
    <m/>
  </r>
  <r>
    <s v="ORD-1233"/>
    <d v="2024-08-24T00:00:00"/>
    <s v="CUST-131"/>
    <x v="23"/>
    <x v="0"/>
    <x v="2"/>
    <x v="4"/>
    <x v="0"/>
    <s v="$133.37"/>
    <s v="Saturday"/>
    <x v="10"/>
    <x v="0"/>
    <b v="1"/>
    <b v="0"/>
    <s v="Large Order"/>
    <n v="6.6685000000000008"/>
    <x v="17"/>
    <n v="533.48"/>
    <m/>
  </r>
  <r>
    <s v="ORD-1234"/>
    <d v="2024-01-08T00:00:00"/>
    <s v="CUST-111"/>
    <x v="17"/>
    <x v="0"/>
    <x v="4"/>
    <x v="1"/>
    <x v="17"/>
    <s v="$26.59"/>
    <s v="Monday"/>
    <x v="6"/>
    <x v="0"/>
    <b v="0"/>
    <b v="0"/>
    <s v="Standard order"/>
    <n v="1.3295000000000001"/>
    <x v="3"/>
    <n v="425.44"/>
    <m/>
  </r>
  <r>
    <s v="ORD-1235"/>
    <d v="2024-01-31T00:00:00"/>
    <s v="CUST-121"/>
    <x v="4"/>
    <x v="1"/>
    <x v="0"/>
    <x v="1"/>
    <x v="14"/>
    <s v="$230.34"/>
    <s v="Wednesday"/>
    <x v="6"/>
    <x v="0"/>
    <b v="0"/>
    <b v="1"/>
    <s v="Large Order"/>
    <n v="11.517000000000001"/>
    <x v="5"/>
    <n v="2073.06"/>
    <m/>
  </r>
  <r>
    <s v="ORD-1236"/>
    <d v="2024-05-26T00:00:00"/>
    <s v="CUST-154"/>
    <x v="6"/>
    <x v="2"/>
    <x v="1"/>
    <x v="3"/>
    <x v="17"/>
    <s v="$86.6"/>
    <s v="Sunday"/>
    <x v="7"/>
    <x v="0"/>
    <b v="1"/>
    <b v="1"/>
    <s v="Large Order"/>
    <n v="4.33"/>
    <x v="15"/>
    <n v="1385.6"/>
    <m/>
  </r>
  <r>
    <s v="ORD-1237"/>
    <d v="2024-04-21T00:00:00"/>
    <s v="CUST-107"/>
    <x v="15"/>
    <x v="2"/>
    <x v="1"/>
    <x v="4"/>
    <x v="9"/>
    <s v="$216.22"/>
    <s v="Sunday"/>
    <x v="2"/>
    <x v="0"/>
    <b v="1"/>
    <b v="1"/>
    <s v="Large Order"/>
    <n v="10.811"/>
    <x v="15"/>
    <n v="2378.42"/>
    <m/>
  </r>
  <r>
    <s v="ORD-1238"/>
    <d v="2024-09-01T00:00:00"/>
    <s v="CUST-164"/>
    <x v="15"/>
    <x v="2"/>
    <x v="4"/>
    <x v="2"/>
    <x v="18"/>
    <s v="$216.22"/>
    <s v="Sunday"/>
    <x v="11"/>
    <x v="0"/>
    <b v="1"/>
    <b v="1"/>
    <s v="Large Order"/>
    <n v="10.811"/>
    <x v="3"/>
    <n v="3675.74"/>
    <m/>
  </r>
  <r>
    <s v="ORD-1239"/>
    <d v="2024-02-05T00:00:00"/>
    <s v="CUST-176"/>
    <x v="4"/>
    <x v="0"/>
    <x v="4"/>
    <x v="4"/>
    <x v="0"/>
    <s v="$230.34"/>
    <s v="Monday"/>
    <x v="5"/>
    <x v="0"/>
    <b v="0"/>
    <b v="0"/>
    <s v="Large Order"/>
    <n v="11.517000000000001"/>
    <x v="20"/>
    <n v="921.36"/>
    <m/>
  </r>
  <r>
    <s v="ORD-1240"/>
    <d v="2024-05-06T00:00:00"/>
    <s v="CUST-174"/>
    <x v="20"/>
    <x v="2"/>
    <x v="0"/>
    <x v="4"/>
    <x v="13"/>
    <s v="$81.02"/>
    <s v="Monday"/>
    <x v="7"/>
    <x v="0"/>
    <b v="0"/>
    <b v="0"/>
    <s v="Standard order"/>
    <n v="4.0510000000000002"/>
    <x v="11"/>
    <n v="243.06"/>
    <m/>
  </r>
  <r>
    <s v="ORD-1241"/>
    <d v="2024-10-16T00:00:00"/>
    <s v="CUST-166"/>
    <x v="11"/>
    <x v="1"/>
    <x v="3"/>
    <x v="1"/>
    <x v="9"/>
    <s v="$33.22"/>
    <s v="Wednesday"/>
    <x v="3"/>
    <x v="0"/>
    <b v="0"/>
    <b v="0"/>
    <s v="Standard order"/>
    <n v="1.661"/>
    <x v="12"/>
    <n v="365.41999999999996"/>
    <m/>
  </r>
  <r>
    <s v="ORD-1242"/>
    <d v="2024-03-08T00:00:00"/>
    <s v="CUST-185"/>
    <x v="12"/>
    <x v="2"/>
    <x v="3"/>
    <x v="0"/>
    <x v="9"/>
    <s v="$211.9"/>
    <s v="Friday"/>
    <x v="4"/>
    <x v="0"/>
    <b v="0"/>
    <b v="1"/>
    <s v="Large Order"/>
    <n v="10.595000000000001"/>
    <x v="19"/>
    <n v="2330.9"/>
    <m/>
  </r>
  <r>
    <s v="ORD-1243"/>
    <d v="2024-01-05T00:00:00"/>
    <s v="CUST-158"/>
    <x v="19"/>
    <x v="2"/>
    <x v="1"/>
    <x v="4"/>
    <x v="13"/>
    <s v="$145.48"/>
    <s v="Friday"/>
    <x v="6"/>
    <x v="0"/>
    <b v="0"/>
    <b v="0"/>
    <s v="Standard order"/>
    <n v="7.274"/>
    <x v="24"/>
    <n v="436.43999999999994"/>
    <m/>
  </r>
  <r>
    <s v="ORD-1244"/>
    <d v="2024-05-15T00:00:00"/>
    <s v="CUST-116"/>
    <x v="24"/>
    <x v="1"/>
    <x v="0"/>
    <x v="1"/>
    <x v="5"/>
    <s v="$10.11"/>
    <s v="Wednesday"/>
    <x v="7"/>
    <x v="0"/>
    <b v="0"/>
    <b v="0"/>
    <s v="Standard order"/>
    <n v="0.50549999999999995"/>
    <x v="1"/>
    <n v="121.32"/>
    <m/>
  </r>
  <r>
    <s v="ORD-1245"/>
    <d v="2024-10-05T00:00:00"/>
    <s v="CUST-190"/>
    <x v="2"/>
    <x v="1"/>
    <x v="1"/>
    <x v="4"/>
    <x v="18"/>
    <s v="$88.18"/>
    <s v="Saturday"/>
    <x v="3"/>
    <x v="0"/>
    <b v="1"/>
    <b v="1"/>
    <s v="Large Order"/>
    <n v="4.4090000000000007"/>
    <x v="2"/>
    <n v="1499.0600000000002"/>
    <m/>
  </r>
  <r>
    <s v="ORD-1246"/>
    <d v="2024-06-02T00:00:00"/>
    <s v="CUST-184"/>
    <x v="3"/>
    <x v="0"/>
    <x v="4"/>
    <x v="4"/>
    <x v="0"/>
    <s v="$84.57"/>
    <s v="Sunday"/>
    <x v="9"/>
    <x v="0"/>
    <b v="1"/>
    <b v="0"/>
    <s v="Standard order"/>
    <n v="4.2284999999999995"/>
    <x v="11"/>
    <n v="338.28"/>
    <m/>
  </r>
  <r>
    <s v="ORD-1247"/>
    <d v="2024-03-20T00:00:00"/>
    <s v="CUST-134"/>
    <x v="11"/>
    <x v="1"/>
    <x v="1"/>
    <x v="3"/>
    <x v="9"/>
    <s v="$33.22"/>
    <s v="Wednesday"/>
    <x v="4"/>
    <x v="0"/>
    <b v="0"/>
    <b v="0"/>
    <s v="Standard order"/>
    <n v="1.661"/>
    <x v="8"/>
    <n v="365.41999999999996"/>
    <m/>
  </r>
  <r>
    <s v="ORD-1248"/>
    <d v="2024-09-15T00:00:00"/>
    <s v="CUST-162"/>
    <x v="0"/>
    <x v="1"/>
    <x v="0"/>
    <x v="0"/>
    <x v="3"/>
    <s v="$146.06"/>
    <s v="Sunday"/>
    <x v="11"/>
    <x v="0"/>
    <b v="1"/>
    <b v="1"/>
    <s v="Large Order"/>
    <n v="7.3030000000000008"/>
    <x v="6"/>
    <n v="2044.8400000000001"/>
    <m/>
  </r>
  <r>
    <s v="ORD-1249"/>
    <d v="2024-01-02T00:00:00"/>
    <s v="CUST-142"/>
    <x v="7"/>
    <x v="0"/>
    <x v="3"/>
    <x v="1"/>
    <x v="12"/>
    <s v="$107.34"/>
    <s v="Tuesday"/>
    <x v="6"/>
    <x v="0"/>
    <b v="0"/>
    <b v="1"/>
    <s v="Large Order"/>
    <n v="5.3670000000000009"/>
    <x v="10"/>
    <n v="1610.1000000000001"/>
    <m/>
  </r>
  <r>
    <s v="ORD-1250"/>
    <d v="2024-10-14T00:00:00"/>
    <s v="CUST-101"/>
    <x v="10"/>
    <x v="0"/>
    <x v="0"/>
    <x v="3"/>
    <x v="2"/>
    <s v="$46.19"/>
    <s v="Monday"/>
    <x v="3"/>
    <x v="0"/>
    <b v="0"/>
    <b v="0"/>
    <s v="Standard order"/>
    <n v="2.3094999999999999"/>
    <x v="0"/>
    <n v="230.95"/>
    <m/>
  </r>
  <r>
    <s v="ORD-1251"/>
    <d v="2024-10-25T00:00:00"/>
    <s v="CUST-170"/>
    <x v="1"/>
    <x v="0"/>
    <x v="2"/>
    <x v="0"/>
    <x v="4"/>
    <s v="$178.83"/>
    <s v="Friday"/>
    <x v="3"/>
    <x v="0"/>
    <b v="0"/>
    <b v="0"/>
    <s v="Standard order"/>
    <n v="8.9415000000000013"/>
    <x v="5"/>
    <n v="357.66"/>
    <m/>
  </r>
  <r>
    <s v="ORD-1252"/>
    <d v="2024-07-02T00:00:00"/>
    <s v="CUST-126"/>
    <x v="6"/>
    <x v="2"/>
    <x v="4"/>
    <x v="4"/>
    <x v="0"/>
    <s v="$86.6"/>
    <s v="Tuesday"/>
    <x v="8"/>
    <x v="0"/>
    <b v="0"/>
    <b v="0"/>
    <s v="Standard order"/>
    <n v="4.33"/>
    <x v="24"/>
    <n v="346.4"/>
    <m/>
  </r>
  <r>
    <s v="ORD-1253"/>
    <d v="2024-07-27T00:00:00"/>
    <s v="CUST-179"/>
    <x v="24"/>
    <x v="2"/>
    <x v="4"/>
    <x v="2"/>
    <x v="6"/>
    <s v="$10.11"/>
    <s v="Saturday"/>
    <x v="8"/>
    <x v="0"/>
    <b v="1"/>
    <b v="0"/>
    <s v="Standard order"/>
    <n v="0.50549999999999995"/>
    <x v="17"/>
    <n v="60.66"/>
    <m/>
  </r>
  <r>
    <s v="ORD-1254"/>
    <d v="2024-07-30T00:00:00"/>
    <s v="CUST-103"/>
    <x v="17"/>
    <x v="0"/>
    <x v="3"/>
    <x v="0"/>
    <x v="7"/>
    <s v="$26.59"/>
    <s v="Tuesday"/>
    <x v="8"/>
    <x v="0"/>
    <b v="0"/>
    <b v="0"/>
    <s v="Standard order"/>
    <n v="1.3295000000000001"/>
    <x v="11"/>
    <n v="212.72"/>
    <m/>
  </r>
  <r>
    <s v="ORD-1255"/>
    <d v="2024-07-14T00:00:00"/>
    <s v="CUST-104"/>
    <x v="11"/>
    <x v="1"/>
    <x v="4"/>
    <x v="2"/>
    <x v="12"/>
    <s v="$33.22"/>
    <s v="Sunday"/>
    <x v="8"/>
    <x v="0"/>
    <b v="1"/>
    <b v="0"/>
    <s v="Standard order"/>
    <n v="1.661"/>
    <x v="3"/>
    <n v="498.29999999999995"/>
    <m/>
  </r>
  <r>
    <s v="ORD-1256"/>
    <d v="2024-04-24T00:00:00"/>
    <s v="CUST-103"/>
    <x v="4"/>
    <x v="2"/>
    <x v="4"/>
    <x v="0"/>
    <x v="9"/>
    <s v="$230.34"/>
    <s v="Wednesday"/>
    <x v="2"/>
    <x v="0"/>
    <b v="0"/>
    <b v="1"/>
    <s v="Large Order"/>
    <n v="11.517000000000001"/>
    <x v="3"/>
    <n v="2533.7400000000002"/>
    <m/>
  </r>
  <r>
    <s v="ORD-1257"/>
    <d v="2024-05-22T00:00:00"/>
    <s v="CUST-144"/>
    <x v="4"/>
    <x v="2"/>
    <x v="1"/>
    <x v="0"/>
    <x v="15"/>
    <s v="$230.34"/>
    <s v="Wednesday"/>
    <x v="7"/>
    <x v="0"/>
    <b v="0"/>
    <b v="1"/>
    <s v="Large Order"/>
    <n v="11.517000000000001"/>
    <x v="2"/>
    <n v="4146.12"/>
    <m/>
  </r>
  <r>
    <s v="ORD-1258"/>
    <d v="2024-02-29T00:00:00"/>
    <s v="CUST-133"/>
    <x v="3"/>
    <x v="0"/>
    <x v="1"/>
    <x v="1"/>
    <x v="4"/>
    <s v="$84.57"/>
    <s v="Thursday"/>
    <x v="5"/>
    <x v="0"/>
    <b v="0"/>
    <b v="0"/>
    <s v="Standard order"/>
    <n v="4.2284999999999995"/>
    <x v="20"/>
    <n v="169.14"/>
    <m/>
  </r>
  <r>
    <s v="ORD-1259"/>
    <d v="2024-06-25T00:00:00"/>
    <s v="CUST-193"/>
    <x v="20"/>
    <x v="1"/>
    <x v="2"/>
    <x v="4"/>
    <x v="18"/>
    <s v="$81.02"/>
    <s v="Tuesday"/>
    <x v="9"/>
    <x v="0"/>
    <b v="0"/>
    <b v="1"/>
    <s v="Large Order"/>
    <n v="4.0510000000000002"/>
    <x v="18"/>
    <n v="1377.34"/>
    <m/>
  </r>
  <r>
    <s v="ORD-1260"/>
    <d v="2024-04-07T00:00:00"/>
    <s v="CUST-132"/>
    <x v="18"/>
    <x v="0"/>
    <x v="2"/>
    <x v="4"/>
    <x v="18"/>
    <s v="$230.68"/>
    <s v="Sunday"/>
    <x v="2"/>
    <x v="0"/>
    <b v="1"/>
    <b v="1"/>
    <s v="Large Order"/>
    <n v="11.534000000000001"/>
    <x v="7"/>
    <n v="3921.56"/>
    <m/>
  </r>
  <r>
    <s v="ORD-1261"/>
    <d v="2024-12-17T00:00:00"/>
    <s v="CUST-192"/>
    <x v="8"/>
    <x v="2"/>
    <x v="4"/>
    <x v="3"/>
    <x v="3"/>
    <s v="$208.85"/>
    <s v="Tuesday"/>
    <x v="1"/>
    <x v="0"/>
    <b v="0"/>
    <b v="1"/>
    <s v="Large Order"/>
    <n v="10.442500000000001"/>
    <x v="16"/>
    <n v="2923.9"/>
    <m/>
  </r>
  <r>
    <s v="ORD-1262"/>
    <d v="2024-11-15T00:00:00"/>
    <s v="CUST-140"/>
    <x v="16"/>
    <x v="2"/>
    <x v="0"/>
    <x v="1"/>
    <x v="8"/>
    <s v="$130.07"/>
    <s v="Friday"/>
    <x v="0"/>
    <x v="0"/>
    <b v="0"/>
    <b v="1"/>
    <s v="Large Order"/>
    <n v="6.5034999999999998"/>
    <x v="23"/>
    <n v="1300.6999999999998"/>
    <m/>
  </r>
  <r>
    <s v="ORD-1263"/>
    <d v="2024-06-16T00:00:00"/>
    <s v="CUST-151"/>
    <x v="23"/>
    <x v="2"/>
    <x v="3"/>
    <x v="1"/>
    <x v="2"/>
    <s v="$133.37"/>
    <s v="Sunday"/>
    <x v="9"/>
    <x v="0"/>
    <b v="1"/>
    <b v="0"/>
    <s v="Large Order"/>
    <n v="6.6685000000000008"/>
    <x v="9"/>
    <n v="666.85"/>
    <m/>
  </r>
  <r>
    <s v="ORD-1264"/>
    <d v="2024-12-12T00:00:00"/>
    <s v="CUST-195"/>
    <x v="9"/>
    <x v="0"/>
    <x v="1"/>
    <x v="0"/>
    <x v="8"/>
    <s v="$101.96"/>
    <s v="Thursday"/>
    <x v="1"/>
    <x v="0"/>
    <b v="0"/>
    <b v="1"/>
    <s v="Large Order"/>
    <n v="5.0979999999999999"/>
    <x v="9"/>
    <n v="1019.5999999999999"/>
    <m/>
  </r>
  <r>
    <s v="ORD-1265"/>
    <d v="2024-06-04T00:00:00"/>
    <s v="CUST-136"/>
    <x v="9"/>
    <x v="0"/>
    <x v="2"/>
    <x v="1"/>
    <x v="19"/>
    <s v="$101.96"/>
    <s v="Tuesday"/>
    <x v="9"/>
    <x v="0"/>
    <b v="0"/>
    <b v="1"/>
    <s v="Large Order"/>
    <n v="5.0979999999999999"/>
    <x v="22"/>
    <n v="2039.1999999999998"/>
    <m/>
  </r>
  <r>
    <s v="ORD-1266"/>
    <d v="2024-08-14T00:00:00"/>
    <s v="CUST-156"/>
    <x v="22"/>
    <x v="2"/>
    <x v="4"/>
    <x v="2"/>
    <x v="17"/>
    <s v="$149.27"/>
    <s v="Wednesday"/>
    <x v="10"/>
    <x v="0"/>
    <b v="0"/>
    <b v="1"/>
    <s v="Large Order"/>
    <n v="7.4635000000000007"/>
    <x v="5"/>
    <n v="2388.3200000000002"/>
    <m/>
  </r>
  <r>
    <s v="ORD-1267"/>
    <d v="2024-12-03T00:00:00"/>
    <s v="CUST-110"/>
    <x v="6"/>
    <x v="1"/>
    <x v="1"/>
    <x v="2"/>
    <x v="19"/>
    <s v="$86.6"/>
    <s v="Tuesday"/>
    <x v="1"/>
    <x v="0"/>
    <b v="0"/>
    <b v="1"/>
    <s v="Large Order"/>
    <n v="4.33"/>
    <x v="0"/>
    <n v="1732"/>
    <m/>
  </r>
  <r>
    <s v="ORD-1268"/>
    <d v="2024-12-10T00:00:00"/>
    <s v="CUST-139"/>
    <x v="1"/>
    <x v="0"/>
    <x v="4"/>
    <x v="1"/>
    <x v="1"/>
    <s v="$178.83"/>
    <s v="Tuesday"/>
    <x v="1"/>
    <x v="0"/>
    <b v="0"/>
    <b v="0"/>
    <s v="Standard order"/>
    <n v="8.9415000000000013"/>
    <x v="17"/>
    <n v="178.83"/>
    <m/>
  </r>
  <r>
    <s v="ORD-1269"/>
    <d v="2024-11-08T00:00:00"/>
    <s v="CUST-198"/>
    <x v="17"/>
    <x v="0"/>
    <x v="2"/>
    <x v="1"/>
    <x v="16"/>
    <s v="$26.59"/>
    <s v="Friday"/>
    <x v="0"/>
    <x v="0"/>
    <b v="0"/>
    <b v="0"/>
    <s v="Large Order"/>
    <n v="1.3295000000000001"/>
    <x v="1"/>
    <n v="505.21"/>
    <m/>
  </r>
  <r>
    <s v="ORD-1270"/>
    <d v="2024-09-10T00:00:00"/>
    <s v="CUST-151"/>
    <x v="2"/>
    <x v="0"/>
    <x v="4"/>
    <x v="0"/>
    <x v="1"/>
    <s v="$88.18"/>
    <s v="Tuesday"/>
    <x v="11"/>
    <x v="0"/>
    <b v="0"/>
    <b v="0"/>
    <s v="Standard order"/>
    <n v="4.4090000000000007"/>
    <x v="12"/>
    <n v="88.18"/>
    <m/>
  </r>
  <r>
    <s v="ORD-1271"/>
    <d v="2024-08-05T00:00:00"/>
    <s v="CUST-128"/>
    <x v="12"/>
    <x v="0"/>
    <x v="1"/>
    <x v="0"/>
    <x v="4"/>
    <s v="$211.9"/>
    <s v="Monday"/>
    <x v="10"/>
    <x v="0"/>
    <b v="0"/>
    <b v="0"/>
    <s v="Standard order"/>
    <n v="10.595000000000001"/>
    <x v="23"/>
    <n v="423.8"/>
    <m/>
  </r>
  <r>
    <s v="ORD-1272"/>
    <d v="2024-08-21T00:00:00"/>
    <s v="CUST-117"/>
    <x v="23"/>
    <x v="1"/>
    <x v="1"/>
    <x v="1"/>
    <x v="19"/>
    <s v="$133.37"/>
    <s v="Wednesday"/>
    <x v="10"/>
    <x v="0"/>
    <b v="0"/>
    <b v="1"/>
    <s v="Large Order"/>
    <n v="6.6685000000000008"/>
    <x v="23"/>
    <n v="2667.4"/>
    <m/>
  </r>
  <r>
    <s v="ORD-1273"/>
    <d v="2024-11-09T00:00:00"/>
    <s v="CUST-192"/>
    <x v="23"/>
    <x v="2"/>
    <x v="2"/>
    <x v="1"/>
    <x v="12"/>
    <s v="$133.37"/>
    <s v="Saturday"/>
    <x v="0"/>
    <x v="0"/>
    <b v="1"/>
    <b v="1"/>
    <s v="Large Order"/>
    <n v="6.6685000000000008"/>
    <x v="21"/>
    <n v="2000.5500000000002"/>
    <m/>
  </r>
  <r>
    <s v="ORD-1274"/>
    <d v="2024-08-18T00:00:00"/>
    <s v="CUST-133"/>
    <x v="21"/>
    <x v="0"/>
    <x v="3"/>
    <x v="2"/>
    <x v="18"/>
    <s v="$32.94"/>
    <s v="Sunday"/>
    <x v="10"/>
    <x v="0"/>
    <b v="1"/>
    <b v="0"/>
    <s v="Large Order"/>
    <n v="1.647"/>
    <x v="24"/>
    <n v="559.98"/>
    <m/>
  </r>
  <r>
    <s v="ORD-1275"/>
    <d v="2024-05-20T00:00:00"/>
    <s v="CUST-156"/>
    <x v="24"/>
    <x v="0"/>
    <x v="3"/>
    <x v="4"/>
    <x v="14"/>
    <s v="$10.11"/>
    <s v="Monday"/>
    <x v="7"/>
    <x v="0"/>
    <b v="0"/>
    <b v="0"/>
    <s v="Standard order"/>
    <n v="0.50549999999999995"/>
    <x v="3"/>
    <n v="90.99"/>
    <m/>
  </r>
  <r>
    <s v="ORD-1276"/>
    <d v="2024-02-11T00:00:00"/>
    <s v="CUST-117"/>
    <x v="4"/>
    <x v="0"/>
    <x v="4"/>
    <x v="0"/>
    <x v="2"/>
    <s v="$230.34"/>
    <s v="Sunday"/>
    <x v="5"/>
    <x v="0"/>
    <b v="1"/>
    <b v="0"/>
    <s v="Large Order"/>
    <n v="11.517000000000001"/>
    <x v="12"/>
    <n v="1151.7"/>
    <m/>
  </r>
  <r>
    <s v="ORD-1277"/>
    <d v="2024-07-31T00:00:00"/>
    <s v="CUST-152"/>
    <x v="12"/>
    <x v="1"/>
    <x v="1"/>
    <x v="1"/>
    <x v="3"/>
    <s v="$211.9"/>
    <s v="Wednesday"/>
    <x v="8"/>
    <x v="0"/>
    <b v="0"/>
    <b v="1"/>
    <s v="Large Order"/>
    <n v="10.595000000000001"/>
    <x v="21"/>
    <n v="2966.6"/>
    <m/>
  </r>
  <r>
    <s v="ORD-1278"/>
    <d v="2024-07-18T00:00:00"/>
    <s v="CUST-198"/>
    <x v="21"/>
    <x v="2"/>
    <x v="0"/>
    <x v="0"/>
    <x v="16"/>
    <s v="$32.94"/>
    <s v="Thursday"/>
    <x v="8"/>
    <x v="0"/>
    <b v="0"/>
    <b v="0"/>
    <s v="Large Order"/>
    <n v="1.647"/>
    <x v="23"/>
    <n v="625.8599999999999"/>
    <m/>
  </r>
  <r>
    <s v="ORD-1279"/>
    <d v="2024-06-29T00:00:00"/>
    <s v="CUST-138"/>
    <x v="23"/>
    <x v="1"/>
    <x v="2"/>
    <x v="2"/>
    <x v="15"/>
    <s v="$133.37"/>
    <s v="Saturday"/>
    <x v="9"/>
    <x v="0"/>
    <b v="1"/>
    <b v="1"/>
    <s v="Large Order"/>
    <n v="6.6685000000000008"/>
    <x v="4"/>
    <n v="2400.66"/>
    <m/>
  </r>
  <r>
    <s v="ORD-1280"/>
    <d v="2024-09-06T00:00:00"/>
    <s v="CUST-128"/>
    <x v="5"/>
    <x v="1"/>
    <x v="2"/>
    <x v="1"/>
    <x v="1"/>
    <s v="$64.61"/>
    <s v="Friday"/>
    <x v="11"/>
    <x v="0"/>
    <b v="0"/>
    <b v="0"/>
    <s v="Standard order"/>
    <n v="3.2305000000000001"/>
    <x v="23"/>
    <n v="64.61"/>
    <m/>
  </r>
  <r>
    <s v="ORD-1281"/>
    <d v="2024-03-25T00:00:00"/>
    <s v="CUST-159"/>
    <x v="23"/>
    <x v="0"/>
    <x v="1"/>
    <x v="4"/>
    <x v="1"/>
    <s v="$133.37"/>
    <s v="Monday"/>
    <x v="4"/>
    <x v="0"/>
    <b v="0"/>
    <b v="0"/>
    <s v="Standard order"/>
    <n v="6.6685000000000008"/>
    <x v="1"/>
    <n v="133.37"/>
    <m/>
  </r>
  <r>
    <s v="ORD-1282"/>
    <d v="2024-10-15T00:00:00"/>
    <s v="CUST-184"/>
    <x v="2"/>
    <x v="0"/>
    <x v="0"/>
    <x v="1"/>
    <x v="3"/>
    <s v="$88.18"/>
    <s v="Tuesday"/>
    <x v="3"/>
    <x v="0"/>
    <b v="0"/>
    <b v="1"/>
    <s v="Large Order"/>
    <n v="4.4090000000000007"/>
    <x v="13"/>
    <n v="1234.52"/>
    <m/>
  </r>
  <r>
    <s v="ORD-1283"/>
    <d v="2024-04-03T00:00:00"/>
    <s v="CUST-106"/>
    <x v="13"/>
    <x v="1"/>
    <x v="2"/>
    <x v="3"/>
    <x v="10"/>
    <s v="$156.44"/>
    <s v="Wednesday"/>
    <x v="2"/>
    <x v="0"/>
    <b v="0"/>
    <b v="1"/>
    <s v="Large Order"/>
    <n v="7.8220000000000001"/>
    <x v="8"/>
    <n v="1095.08"/>
    <m/>
  </r>
  <r>
    <s v="ORD-1284"/>
    <d v="2024-07-13T00:00:00"/>
    <s v="CUST-135"/>
    <x v="0"/>
    <x v="1"/>
    <x v="3"/>
    <x v="4"/>
    <x v="17"/>
    <s v="$146.06"/>
    <s v="Saturday"/>
    <x v="8"/>
    <x v="0"/>
    <b v="1"/>
    <b v="1"/>
    <s v="Large Order"/>
    <n v="7.3030000000000008"/>
    <x v="21"/>
    <n v="2336.96"/>
    <m/>
  </r>
  <r>
    <s v="ORD-1285"/>
    <d v="2024-01-27T00:00:00"/>
    <s v="CUST-144"/>
    <x v="21"/>
    <x v="0"/>
    <x v="0"/>
    <x v="2"/>
    <x v="4"/>
    <s v="$32.94"/>
    <s v="Saturday"/>
    <x v="6"/>
    <x v="0"/>
    <b v="1"/>
    <b v="0"/>
    <s v="Standard order"/>
    <n v="1.647"/>
    <x v="24"/>
    <n v="65.88"/>
    <m/>
  </r>
  <r>
    <s v="ORD-1286"/>
    <d v="2024-04-12T00:00:00"/>
    <s v="CUST-102"/>
    <x v="24"/>
    <x v="2"/>
    <x v="4"/>
    <x v="0"/>
    <x v="2"/>
    <s v="$10.11"/>
    <s v="Friday"/>
    <x v="2"/>
    <x v="0"/>
    <b v="0"/>
    <b v="0"/>
    <s v="Standard order"/>
    <n v="0.50549999999999995"/>
    <x v="21"/>
    <n v="50.55"/>
    <m/>
  </r>
  <r>
    <s v="ORD-1287"/>
    <d v="2024-10-15T00:00:00"/>
    <s v="CUST-127"/>
    <x v="21"/>
    <x v="1"/>
    <x v="3"/>
    <x v="4"/>
    <x v="5"/>
    <s v="$32.94"/>
    <s v="Tuesday"/>
    <x v="3"/>
    <x v="0"/>
    <b v="0"/>
    <b v="0"/>
    <s v="Standard order"/>
    <n v="1.647"/>
    <x v="19"/>
    <n v="395.28"/>
    <m/>
  </r>
  <r>
    <s v="ORD-1288"/>
    <d v="2024-02-28T00:00:00"/>
    <s v="CUST-199"/>
    <x v="19"/>
    <x v="0"/>
    <x v="3"/>
    <x v="3"/>
    <x v="16"/>
    <s v="$145.48"/>
    <s v="Wednesday"/>
    <x v="5"/>
    <x v="0"/>
    <b v="0"/>
    <b v="1"/>
    <s v="Large Order"/>
    <n v="7.274"/>
    <x v="10"/>
    <n v="2764.12"/>
    <m/>
  </r>
  <r>
    <s v="ORD-1289"/>
    <d v="2024-10-21T00:00:00"/>
    <s v="CUST-186"/>
    <x v="10"/>
    <x v="1"/>
    <x v="2"/>
    <x v="2"/>
    <x v="10"/>
    <s v="$46.19"/>
    <s v="Monday"/>
    <x v="3"/>
    <x v="0"/>
    <b v="0"/>
    <b v="0"/>
    <s v="Standard order"/>
    <n v="2.3094999999999999"/>
    <x v="19"/>
    <n v="323.33"/>
    <m/>
  </r>
  <r>
    <s v="ORD-1290"/>
    <d v="2024-02-22T00:00:00"/>
    <s v="CUST-189"/>
    <x v="19"/>
    <x v="1"/>
    <x v="1"/>
    <x v="3"/>
    <x v="16"/>
    <s v="$145.48"/>
    <s v="Thursday"/>
    <x v="5"/>
    <x v="0"/>
    <b v="0"/>
    <b v="1"/>
    <s v="Large Order"/>
    <n v="7.274"/>
    <x v="8"/>
    <n v="2764.12"/>
    <m/>
  </r>
  <r>
    <s v="ORD-1291"/>
    <d v="2024-09-29T00:00:00"/>
    <s v="CUST-154"/>
    <x v="0"/>
    <x v="2"/>
    <x v="3"/>
    <x v="0"/>
    <x v="18"/>
    <s v="$146.06"/>
    <s v="Sunday"/>
    <x v="11"/>
    <x v="0"/>
    <b v="1"/>
    <b v="1"/>
    <s v="Large Order"/>
    <n v="7.3030000000000008"/>
    <x v="7"/>
    <n v="2483.02"/>
    <m/>
  </r>
  <r>
    <s v="ORD-1292"/>
    <d v="2024-08-03T00:00:00"/>
    <s v="CUST-162"/>
    <x v="8"/>
    <x v="0"/>
    <x v="2"/>
    <x v="1"/>
    <x v="12"/>
    <s v="$208.85"/>
    <s v="Saturday"/>
    <x v="10"/>
    <x v="0"/>
    <b v="1"/>
    <b v="1"/>
    <s v="Large Order"/>
    <n v="10.442500000000001"/>
    <x v="20"/>
    <n v="3132.75"/>
    <m/>
  </r>
  <r>
    <s v="ORD-1293"/>
    <d v="2024-03-31T00:00:00"/>
    <s v="CUST-193"/>
    <x v="20"/>
    <x v="2"/>
    <x v="3"/>
    <x v="1"/>
    <x v="15"/>
    <s v="$81.02"/>
    <s v="Sunday"/>
    <x v="4"/>
    <x v="0"/>
    <b v="1"/>
    <b v="1"/>
    <s v="Large Order"/>
    <n v="4.0510000000000002"/>
    <x v="13"/>
    <n v="1458.36"/>
    <m/>
  </r>
  <r>
    <s v="ORD-1294"/>
    <d v="2024-08-11T00:00:00"/>
    <s v="CUST-193"/>
    <x v="13"/>
    <x v="2"/>
    <x v="3"/>
    <x v="0"/>
    <x v="7"/>
    <s v="$156.44"/>
    <s v="Sunday"/>
    <x v="10"/>
    <x v="0"/>
    <b v="1"/>
    <b v="1"/>
    <s v="Large Order"/>
    <n v="7.8220000000000001"/>
    <x v="9"/>
    <n v="1251.52"/>
    <m/>
  </r>
  <r>
    <s v="ORD-1295"/>
    <d v="2024-05-22T00:00:00"/>
    <s v="CUST-157"/>
    <x v="9"/>
    <x v="0"/>
    <x v="2"/>
    <x v="3"/>
    <x v="19"/>
    <s v="$101.96"/>
    <s v="Wednesday"/>
    <x v="7"/>
    <x v="0"/>
    <b v="0"/>
    <b v="1"/>
    <s v="Large Order"/>
    <n v="5.0979999999999999"/>
    <x v="4"/>
    <n v="2039.1999999999998"/>
    <m/>
  </r>
  <r>
    <s v="ORD-1296"/>
    <d v="2024-01-15T00:00:00"/>
    <s v="CUST-163"/>
    <x v="5"/>
    <x v="1"/>
    <x v="4"/>
    <x v="3"/>
    <x v="10"/>
    <s v="$64.61"/>
    <s v="Monday"/>
    <x v="6"/>
    <x v="0"/>
    <b v="0"/>
    <b v="0"/>
    <s v="Standard order"/>
    <n v="3.2305000000000001"/>
    <x v="23"/>
    <n v="452.27"/>
    <m/>
  </r>
  <r>
    <s v="ORD-1297"/>
    <d v="2024-06-23T00:00:00"/>
    <s v="CUST-135"/>
    <x v="23"/>
    <x v="2"/>
    <x v="3"/>
    <x v="2"/>
    <x v="1"/>
    <s v="$133.37"/>
    <s v="Sunday"/>
    <x v="9"/>
    <x v="0"/>
    <b v="1"/>
    <b v="0"/>
    <s v="Standard order"/>
    <n v="6.6685000000000008"/>
    <x v="4"/>
    <n v="133.37"/>
    <m/>
  </r>
  <r>
    <s v="ORD-1298"/>
    <d v="2024-02-13T00:00:00"/>
    <s v="CUST-130"/>
    <x v="5"/>
    <x v="2"/>
    <x v="2"/>
    <x v="1"/>
    <x v="15"/>
    <s v="$64.61"/>
    <s v="Tuesday"/>
    <x v="5"/>
    <x v="0"/>
    <b v="0"/>
    <b v="1"/>
    <s v="Large Order"/>
    <n v="3.2305000000000001"/>
    <x v="18"/>
    <n v="1162.98"/>
    <m/>
  </r>
  <r>
    <s v="ORD-1299"/>
    <d v="2024-11-26T00:00:00"/>
    <s v="CUST-191"/>
    <x v="18"/>
    <x v="1"/>
    <x v="2"/>
    <x v="1"/>
    <x v="13"/>
    <s v="$230.68"/>
    <s v="Tuesday"/>
    <x v="0"/>
    <x v="0"/>
    <b v="0"/>
    <b v="0"/>
    <s v="Large Order"/>
    <n v="11.534000000000001"/>
    <x v="7"/>
    <n v="692.04"/>
    <m/>
  </r>
  <r>
    <s v="ORD-1300"/>
    <d v="2024-12-20T00:00:00"/>
    <s v="CUST-131"/>
    <x v="8"/>
    <x v="1"/>
    <x v="1"/>
    <x v="3"/>
    <x v="17"/>
    <s v="$208.85"/>
    <s v="Friday"/>
    <x v="1"/>
    <x v="0"/>
    <b v="0"/>
    <b v="1"/>
    <s v="Large Order"/>
    <n v="10.442500000000001"/>
    <x v="7"/>
    <n v="3341.6"/>
    <m/>
  </r>
  <r>
    <s v="ORD-1301"/>
    <d v="2024-08-05T00:00:00"/>
    <s v="CUST-195"/>
    <x v="8"/>
    <x v="2"/>
    <x v="3"/>
    <x v="3"/>
    <x v="12"/>
    <s v="$208.85"/>
    <s v="Monday"/>
    <x v="10"/>
    <x v="0"/>
    <b v="0"/>
    <b v="1"/>
    <s v="Large Order"/>
    <n v="10.442500000000001"/>
    <x v="13"/>
    <n v="3132.75"/>
    <m/>
  </r>
  <r>
    <s v="ORD-1302"/>
    <d v="2024-04-28T00:00:00"/>
    <s v="CUST-115"/>
    <x v="13"/>
    <x v="2"/>
    <x v="4"/>
    <x v="2"/>
    <x v="0"/>
    <s v="$156.44"/>
    <s v="Sunday"/>
    <x v="2"/>
    <x v="0"/>
    <b v="1"/>
    <b v="0"/>
    <s v="Large Order"/>
    <n v="7.8220000000000001"/>
    <x v="2"/>
    <n v="625.76"/>
    <m/>
  </r>
  <r>
    <s v="ORD-1303"/>
    <d v="2024-04-08T00:00:00"/>
    <s v="CUST-127"/>
    <x v="3"/>
    <x v="2"/>
    <x v="2"/>
    <x v="4"/>
    <x v="16"/>
    <s v="$84.57"/>
    <s v="Monday"/>
    <x v="2"/>
    <x v="0"/>
    <b v="0"/>
    <b v="1"/>
    <s v="Large Order"/>
    <n v="4.2284999999999995"/>
    <x v="14"/>
    <n v="1606.83"/>
    <m/>
  </r>
  <r>
    <s v="ORD-1304"/>
    <d v="2024-11-01T00:00:00"/>
    <s v="CUST-136"/>
    <x v="14"/>
    <x v="0"/>
    <x v="4"/>
    <x v="3"/>
    <x v="7"/>
    <s v="$201.32"/>
    <s v="Friday"/>
    <x v="0"/>
    <x v="0"/>
    <b v="0"/>
    <b v="1"/>
    <s v="Large Order"/>
    <n v="10.066000000000001"/>
    <x v="2"/>
    <n v="1610.56"/>
    <m/>
  </r>
  <r>
    <s v="ORD-1305"/>
    <d v="2024-01-08T00:00:00"/>
    <s v="CUST-190"/>
    <x v="3"/>
    <x v="2"/>
    <x v="4"/>
    <x v="4"/>
    <x v="4"/>
    <s v="$84.57"/>
    <s v="Monday"/>
    <x v="6"/>
    <x v="0"/>
    <b v="0"/>
    <b v="0"/>
    <s v="Standard order"/>
    <n v="4.2284999999999995"/>
    <x v="19"/>
    <n v="169.14"/>
    <m/>
  </r>
  <r>
    <s v="ORD-1306"/>
    <d v="2024-05-29T00:00:00"/>
    <s v="CUST-189"/>
    <x v="19"/>
    <x v="0"/>
    <x v="2"/>
    <x v="1"/>
    <x v="1"/>
    <s v="$145.48"/>
    <s v="Wednesday"/>
    <x v="7"/>
    <x v="0"/>
    <b v="0"/>
    <b v="0"/>
    <s v="Standard order"/>
    <n v="7.274"/>
    <x v="15"/>
    <n v="145.47999999999999"/>
    <m/>
  </r>
  <r>
    <s v="ORD-1307"/>
    <d v="2024-09-02T00:00:00"/>
    <s v="CUST-156"/>
    <x v="15"/>
    <x v="1"/>
    <x v="4"/>
    <x v="1"/>
    <x v="14"/>
    <s v="$216.22"/>
    <s v="Monday"/>
    <x v="11"/>
    <x v="0"/>
    <b v="0"/>
    <b v="1"/>
    <s v="Large Order"/>
    <n v="10.811"/>
    <x v="8"/>
    <n v="1945.98"/>
    <m/>
  </r>
  <r>
    <s v="ORD-1308"/>
    <d v="2024-02-28T00:00:00"/>
    <s v="CUST-108"/>
    <x v="0"/>
    <x v="1"/>
    <x v="2"/>
    <x v="0"/>
    <x v="16"/>
    <s v="$146.06"/>
    <s v="Wednesday"/>
    <x v="5"/>
    <x v="0"/>
    <b v="0"/>
    <b v="1"/>
    <s v="Large Order"/>
    <n v="7.3030000000000008"/>
    <x v="8"/>
    <n v="2775.14"/>
    <m/>
  </r>
  <r>
    <s v="ORD-1309"/>
    <d v="2024-03-18T00:00:00"/>
    <s v="CUST-119"/>
    <x v="0"/>
    <x v="2"/>
    <x v="3"/>
    <x v="1"/>
    <x v="7"/>
    <s v="$146.06"/>
    <s v="Monday"/>
    <x v="4"/>
    <x v="0"/>
    <b v="0"/>
    <b v="1"/>
    <s v="Large Order"/>
    <n v="7.3030000000000008"/>
    <x v="21"/>
    <n v="1168.48"/>
    <m/>
  </r>
  <r>
    <s v="ORD-1310"/>
    <d v="2024-11-06T00:00:00"/>
    <s v="CUST-176"/>
    <x v="21"/>
    <x v="2"/>
    <x v="4"/>
    <x v="1"/>
    <x v="18"/>
    <s v="$32.94"/>
    <s v="Wednesday"/>
    <x v="0"/>
    <x v="0"/>
    <b v="0"/>
    <b v="0"/>
    <s v="Large Order"/>
    <n v="1.647"/>
    <x v="9"/>
    <n v="559.98"/>
    <m/>
  </r>
  <r>
    <s v="ORD-1311"/>
    <d v="2024-06-01T00:00:00"/>
    <s v="CUST-175"/>
    <x v="9"/>
    <x v="1"/>
    <x v="3"/>
    <x v="0"/>
    <x v="19"/>
    <s v="$101.96"/>
    <s v="Saturday"/>
    <x v="9"/>
    <x v="0"/>
    <b v="1"/>
    <b v="1"/>
    <s v="Large Order"/>
    <n v="5.0979999999999999"/>
    <x v="5"/>
    <n v="2039.1999999999998"/>
    <m/>
  </r>
  <r>
    <s v="ORD-1312"/>
    <d v="2024-04-16T00:00:00"/>
    <s v="CUST-180"/>
    <x v="6"/>
    <x v="0"/>
    <x v="3"/>
    <x v="2"/>
    <x v="13"/>
    <s v="$86.6"/>
    <s v="Tuesday"/>
    <x v="2"/>
    <x v="0"/>
    <b v="0"/>
    <b v="0"/>
    <s v="Standard order"/>
    <n v="4.33"/>
    <x v="17"/>
    <n v="259.79999999999995"/>
    <m/>
  </r>
  <r>
    <s v="ORD-1313"/>
    <d v="2024-10-09T00:00:00"/>
    <s v="CUST-109"/>
    <x v="17"/>
    <x v="0"/>
    <x v="0"/>
    <x v="1"/>
    <x v="12"/>
    <s v="$26.59"/>
    <s v="Wednesday"/>
    <x v="3"/>
    <x v="0"/>
    <b v="0"/>
    <b v="0"/>
    <s v="Standard order"/>
    <n v="1.3295000000000001"/>
    <x v="10"/>
    <n v="398.85"/>
    <m/>
  </r>
  <r>
    <s v="ORD-1314"/>
    <d v="2024-05-29T00:00:00"/>
    <s v="CUST-104"/>
    <x v="10"/>
    <x v="0"/>
    <x v="3"/>
    <x v="1"/>
    <x v="8"/>
    <s v="$46.19"/>
    <s v="Wednesday"/>
    <x v="7"/>
    <x v="0"/>
    <b v="0"/>
    <b v="0"/>
    <s v="Standard order"/>
    <n v="2.3094999999999999"/>
    <x v="1"/>
    <n v="461.9"/>
    <m/>
  </r>
  <r>
    <s v="ORD-1315"/>
    <d v="2024-02-06T00:00:00"/>
    <s v="CUST-187"/>
    <x v="2"/>
    <x v="0"/>
    <x v="3"/>
    <x v="2"/>
    <x v="16"/>
    <s v="$88.18"/>
    <s v="Tuesday"/>
    <x v="5"/>
    <x v="0"/>
    <b v="0"/>
    <b v="1"/>
    <s v="Large Order"/>
    <n v="4.4090000000000007"/>
    <x v="1"/>
    <n v="1675.42"/>
    <m/>
  </r>
  <r>
    <s v="ORD-1316"/>
    <d v="2024-08-05T00:00:00"/>
    <s v="CUST-114"/>
    <x v="2"/>
    <x v="2"/>
    <x v="4"/>
    <x v="2"/>
    <x v="2"/>
    <s v="$88.18"/>
    <s v="Monday"/>
    <x v="10"/>
    <x v="0"/>
    <b v="0"/>
    <b v="0"/>
    <s v="Standard order"/>
    <n v="4.4090000000000007"/>
    <x v="20"/>
    <n v="440.90000000000003"/>
    <m/>
  </r>
  <r>
    <s v="ORD-1317"/>
    <d v="2024-02-06T00:00:00"/>
    <s v="CUST-107"/>
    <x v="20"/>
    <x v="0"/>
    <x v="3"/>
    <x v="1"/>
    <x v="16"/>
    <s v="$81.02"/>
    <s v="Tuesday"/>
    <x v="5"/>
    <x v="0"/>
    <b v="0"/>
    <b v="1"/>
    <s v="Large Order"/>
    <n v="4.0510000000000002"/>
    <x v="10"/>
    <n v="1539.3799999999999"/>
    <m/>
  </r>
  <r>
    <s v="ORD-1318"/>
    <d v="2024-03-04T00:00:00"/>
    <s v="CUST-159"/>
    <x v="10"/>
    <x v="2"/>
    <x v="3"/>
    <x v="4"/>
    <x v="11"/>
    <s v="$46.19"/>
    <s v="Monday"/>
    <x v="4"/>
    <x v="0"/>
    <b v="0"/>
    <b v="0"/>
    <s v="Large Order"/>
    <n v="2.3094999999999999"/>
    <x v="20"/>
    <n v="600.47"/>
    <m/>
  </r>
  <r>
    <s v="ORD-1319"/>
    <d v="2024-10-03T00:00:00"/>
    <s v="CUST-163"/>
    <x v="20"/>
    <x v="1"/>
    <x v="0"/>
    <x v="3"/>
    <x v="4"/>
    <s v="$81.02"/>
    <s v="Thursday"/>
    <x v="3"/>
    <x v="0"/>
    <b v="0"/>
    <b v="0"/>
    <s v="Standard order"/>
    <n v="4.0510000000000002"/>
    <x v="24"/>
    <n v="162.04"/>
    <m/>
  </r>
  <r>
    <s v="ORD-1320"/>
    <d v="2024-11-05T00:00:00"/>
    <s v="CUST-132"/>
    <x v="24"/>
    <x v="0"/>
    <x v="0"/>
    <x v="0"/>
    <x v="16"/>
    <s v="$10.11"/>
    <s v="Tuesday"/>
    <x v="0"/>
    <x v="0"/>
    <b v="0"/>
    <b v="0"/>
    <s v="Standard order"/>
    <n v="0.50549999999999995"/>
    <x v="21"/>
    <n v="192.08999999999997"/>
    <m/>
  </r>
  <r>
    <s v="ORD-1321"/>
    <d v="2024-12-10T00:00:00"/>
    <s v="CUST-134"/>
    <x v="21"/>
    <x v="2"/>
    <x v="0"/>
    <x v="1"/>
    <x v="6"/>
    <s v="$32.94"/>
    <s v="Tuesday"/>
    <x v="1"/>
    <x v="0"/>
    <b v="0"/>
    <b v="0"/>
    <s v="Standard order"/>
    <n v="1.647"/>
    <x v="1"/>
    <n v="197.64"/>
    <m/>
  </r>
  <r>
    <s v="ORD-1322"/>
    <d v="2024-05-22T00:00:00"/>
    <s v="CUST-123"/>
    <x v="2"/>
    <x v="2"/>
    <x v="2"/>
    <x v="1"/>
    <x v="17"/>
    <s v="$88.18"/>
    <s v="Wednesday"/>
    <x v="7"/>
    <x v="0"/>
    <b v="0"/>
    <b v="1"/>
    <s v="Large Order"/>
    <n v="4.4090000000000007"/>
    <x v="5"/>
    <n v="1410.88"/>
    <m/>
  </r>
  <r>
    <s v="ORD-1323"/>
    <d v="2024-06-27T00:00:00"/>
    <s v="CUST-152"/>
    <x v="6"/>
    <x v="1"/>
    <x v="3"/>
    <x v="3"/>
    <x v="0"/>
    <s v="$86.6"/>
    <s v="Thursday"/>
    <x v="9"/>
    <x v="0"/>
    <b v="0"/>
    <b v="0"/>
    <s v="Standard order"/>
    <n v="4.33"/>
    <x v="5"/>
    <n v="346.4"/>
    <m/>
  </r>
  <r>
    <s v="ORD-1324"/>
    <d v="2024-07-29T00:00:00"/>
    <s v="CUST-188"/>
    <x v="6"/>
    <x v="1"/>
    <x v="3"/>
    <x v="4"/>
    <x v="11"/>
    <s v="$86.6"/>
    <s v="Monday"/>
    <x v="8"/>
    <x v="0"/>
    <b v="0"/>
    <b v="1"/>
    <s v="Large Order"/>
    <n v="4.33"/>
    <x v="2"/>
    <n v="1125.8"/>
    <m/>
  </r>
  <r>
    <s v="ORD-1325"/>
    <d v="2024-01-19T00:00:00"/>
    <s v="CUST-158"/>
    <x v="3"/>
    <x v="0"/>
    <x v="3"/>
    <x v="1"/>
    <x v="9"/>
    <s v="$84.57"/>
    <s v="Friday"/>
    <x v="6"/>
    <x v="0"/>
    <b v="0"/>
    <b v="1"/>
    <s v="Large Order"/>
    <n v="4.2284999999999995"/>
    <x v="12"/>
    <n v="930.27"/>
    <m/>
  </r>
  <r>
    <s v="ORD-1326"/>
    <d v="2024-09-20T00:00:00"/>
    <s v="CUST-100"/>
    <x v="12"/>
    <x v="2"/>
    <x v="1"/>
    <x v="4"/>
    <x v="3"/>
    <s v="$211.9"/>
    <s v="Friday"/>
    <x v="11"/>
    <x v="0"/>
    <b v="0"/>
    <b v="1"/>
    <s v="Large Order"/>
    <n v="10.595000000000001"/>
    <x v="21"/>
    <n v="2966.6"/>
    <m/>
  </r>
  <r>
    <s v="ORD-1327"/>
    <d v="2024-07-04T00:00:00"/>
    <s v="CUST-179"/>
    <x v="21"/>
    <x v="1"/>
    <x v="2"/>
    <x v="4"/>
    <x v="4"/>
    <s v="$32.94"/>
    <s v="Thursday"/>
    <x v="8"/>
    <x v="0"/>
    <b v="0"/>
    <b v="0"/>
    <s v="Standard order"/>
    <n v="1.647"/>
    <x v="19"/>
    <n v="65.88"/>
    <m/>
  </r>
  <r>
    <s v="ORD-1328"/>
    <d v="2024-03-08T00:00:00"/>
    <s v="CUST-136"/>
    <x v="19"/>
    <x v="1"/>
    <x v="2"/>
    <x v="4"/>
    <x v="1"/>
    <s v="$145.48"/>
    <s v="Friday"/>
    <x v="4"/>
    <x v="0"/>
    <b v="0"/>
    <b v="0"/>
    <s v="Standard order"/>
    <n v="7.274"/>
    <x v="23"/>
    <n v="145.47999999999999"/>
    <m/>
  </r>
  <r>
    <s v="ORD-1329"/>
    <d v="2024-05-02T00:00:00"/>
    <s v="CUST-190"/>
    <x v="23"/>
    <x v="0"/>
    <x v="3"/>
    <x v="0"/>
    <x v="1"/>
    <s v="$133.37"/>
    <s v="Thursday"/>
    <x v="7"/>
    <x v="0"/>
    <b v="0"/>
    <b v="0"/>
    <s v="Standard order"/>
    <n v="6.6685000000000008"/>
    <x v="1"/>
    <n v="133.37"/>
    <m/>
  </r>
  <r>
    <s v="ORD-1330"/>
    <d v="2024-04-25T00:00:00"/>
    <s v="CUST-114"/>
    <x v="2"/>
    <x v="1"/>
    <x v="0"/>
    <x v="3"/>
    <x v="2"/>
    <s v="$88.18"/>
    <s v="Thursday"/>
    <x v="2"/>
    <x v="0"/>
    <b v="0"/>
    <b v="0"/>
    <s v="Standard order"/>
    <n v="4.4090000000000007"/>
    <x v="4"/>
    <n v="440.90000000000003"/>
    <m/>
  </r>
  <r>
    <s v="ORD-1331"/>
    <d v="2024-09-17T00:00:00"/>
    <s v="CUST-190"/>
    <x v="5"/>
    <x v="1"/>
    <x v="2"/>
    <x v="4"/>
    <x v="17"/>
    <s v="$64.61"/>
    <s v="Tuesday"/>
    <x v="11"/>
    <x v="0"/>
    <b v="0"/>
    <b v="1"/>
    <s v="Large Order"/>
    <n v="3.2305000000000001"/>
    <x v="22"/>
    <n v="1033.76"/>
    <m/>
  </r>
  <r>
    <s v="ORD-1332"/>
    <d v="2024-03-15T00:00:00"/>
    <s v="CUST-149"/>
    <x v="22"/>
    <x v="0"/>
    <x v="1"/>
    <x v="3"/>
    <x v="2"/>
    <s v="$149.27"/>
    <s v="Friday"/>
    <x v="4"/>
    <x v="0"/>
    <b v="0"/>
    <b v="0"/>
    <s v="Large Order"/>
    <n v="7.4635000000000007"/>
    <x v="18"/>
    <n v="746.35"/>
    <m/>
  </r>
  <r>
    <s v="ORD-1333"/>
    <d v="2024-07-31T00:00:00"/>
    <s v="CUST-143"/>
    <x v="18"/>
    <x v="2"/>
    <x v="3"/>
    <x v="4"/>
    <x v="8"/>
    <s v="$230.68"/>
    <s v="Wednesday"/>
    <x v="8"/>
    <x v="0"/>
    <b v="0"/>
    <b v="1"/>
    <s v="Large Order"/>
    <n v="11.534000000000001"/>
    <x v="12"/>
    <n v="2306.8000000000002"/>
    <m/>
  </r>
  <r>
    <s v="ORD-1334"/>
    <d v="2024-10-23T00:00:00"/>
    <s v="CUST-184"/>
    <x v="12"/>
    <x v="1"/>
    <x v="4"/>
    <x v="3"/>
    <x v="15"/>
    <s v="$211.9"/>
    <s v="Wednesday"/>
    <x v="3"/>
    <x v="0"/>
    <b v="0"/>
    <b v="1"/>
    <s v="Large Order"/>
    <n v="10.595000000000001"/>
    <x v="12"/>
    <n v="3814.2000000000003"/>
    <m/>
  </r>
  <r>
    <s v="ORD-1335"/>
    <d v="2024-10-09T00:00:00"/>
    <s v="CUST-197"/>
    <x v="12"/>
    <x v="2"/>
    <x v="2"/>
    <x v="2"/>
    <x v="9"/>
    <s v="$211.9"/>
    <s v="Wednesday"/>
    <x v="3"/>
    <x v="0"/>
    <b v="0"/>
    <b v="1"/>
    <s v="Large Order"/>
    <n v="10.595000000000001"/>
    <x v="15"/>
    <n v="2330.9"/>
    <m/>
  </r>
  <r>
    <s v="ORD-1336"/>
    <d v="2024-10-19T00:00:00"/>
    <s v="CUST-149"/>
    <x v="15"/>
    <x v="0"/>
    <x v="2"/>
    <x v="1"/>
    <x v="9"/>
    <s v="$216.22"/>
    <s v="Saturday"/>
    <x v="3"/>
    <x v="0"/>
    <b v="1"/>
    <b v="1"/>
    <s v="Large Order"/>
    <n v="10.811"/>
    <x v="4"/>
    <n v="2378.42"/>
    <m/>
  </r>
  <r>
    <s v="ORD-1337"/>
    <d v="2024-07-16T00:00:00"/>
    <s v="CUST-184"/>
    <x v="5"/>
    <x v="2"/>
    <x v="4"/>
    <x v="4"/>
    <x v="4"/>
    <s v="$64.61"/>
    <s v="Tuesday"/>
    <x v="8"/>
    <x v="0"/>
    <b v="0"/>
    <b v="0"/>
    <s v="Standard order"/>
    <n v="3.2305000000000001"/>
    <x v="22"/>
    <n v="129.22"/>
    <m/>
  </r>
  <r>
    <s v="ORD-1338"/>
    <d v="2024-06-18T00:00:00"/>
    <s v="CUST-112"/>
    <x v="22"/>
    <x v="1"/>
    <x v="0"/>
    <x v="2"/>
    <x v="12"/>
    <s v="$149.27"/>
    <s v="Tuesday"/>
    <x v="9"/>
    <x v="0"/>
    <b v="0"/>
    <b v="1"/>
    <s v="Large Order"/>
    <n v="7.4635000000000007"/>
    <x v="4"/>
    <n v="2239.0500000000002"/>
    <m/>
  </r>
  <r>
    <s v="ORD-1339"/>
    <d v="2024-07-28T00:00:00"/>
    <s v="CUST-183"/>
    <x v="5"/>
    <x v="0"/>
    <x v="0"/>
    <x v="1"/>
    <x v="14"/>
    <s v="$64.61"/>
    <s v="Sunday"/>
    <x v="8"/>
    <x v="0"/>
    <b v="1"/>
    <b v="0"/>
    <s v="Large Order"/>
    <n v="3.2305000000000001"/>
    <x v="3"/>
    <n v="581.49"/>
    <m/>
  </r>
  <r>
    <s v="ORD-1340"/>
    <d v="2024-11-28T00:00:00"/>
    <s v="CUST-110"/>
    <x v="4"/>
    <x v="1"/>
    <x v="1"/>
    <x v="1"/>
    <x v="9"/>
    <s v="$230.34"/>
    <s v="Thursday"/>
    <x v="0"/>
    <x v="0"/>
    <b v="0"/>
    <b v="1"/>
    <s v="Large Order"/>
    <n v="11.517000000000001"/>
    <x v="24"/>
    <n v="2533.7400000000002"/>
    <m/>
  </r>
  <r>
    <s v="ORD-1341"/>
    <d v="2024-10-04T00:00:00"/>
    <s v="CUST-104"/>
    <x v="24"/>
    <x v="2"/>
    <x v="0"/>
    <x v="0"/>
    <x v="8"/>
    <s v="$10.11"/>
    <s v="Friday"/>
    <x v="3"/>
    <x v="0"/>
    <b v="0"/>
    <b v="0"/>
    <s v="Standard order"/>
    <n v="0.50549999999999995"/>
    <x v="12"/>
    <n v="101.1"/>
    <m/>
  </r>
  <r>
    <s v="ORD-1342"/>
    <d v="2024-08-10T00:00:00"/>
    <s v="CUST-112"/>
    <x v="12"/>
    <x v="2"/>
    <x v="0"/>
    <x v="0"/>
    <x v="6"/>
    <s v="$211.9"/>
    <s v="Saturday"/>
    <x v="10"/>
    <x v="0"/>
    <b v="1"/>
    <b v="1"/>
    <s v="Large Order"/>
    <n v="10.595000000000001"/>
    <x v="7"/>
    <n v="1271.4000000000001"/>
    <m/>
  </r>
  <r>
    <s v="ORD-1343"/>
    <d v="2024-01-24T00:00:00"/>
    <s v="CUST-141"/>
    <x v="8"/>
    <x v="0"/>
    <x v="3"/>
    <x v="2"/>
    <x v="5"/>
    <s v="$208.85"/>
    <s v="Wednesday"/>
    <x v="6"/>
    <x v="0"/>
    <b v="0"/>
    <b v="1"/>
    <s v="Large Order"/>
    <n v="10.442500000000001"/>
    <x v="6"/>
    <n v="2506.1999999999998"/>
    <m/>
  </r>
  <r>
    <s v="ORD-1344"/>
    <d v="2024-09-28T00:00:00"/>
    <s v="CUST-152"/>
    <x v="7"/>
    <x v="2"/>
    <x v="4"/>
    <x v="1"/>
    <x v="6"/>
    <s v="$107.34"/>
    <s v="Saturday"/>
    <x v="11"/>
    <x v="0"/>
    <b v="1"/>
    <b v="0"/>
    <s v="Large Order"/>
    <n v="5.3670000000000009"/>
    <x v="9"/>
    <n v="644.04"/>
    <m/>
  </r>
  <r>
    <s v="ORD-1345"/>
    <d v="2024-11-13T00:00:00"/>
    <s v="CUST-187"/>
    <x v="9"/>
    <x v="0"/>
    <x v="2"/>
    <x v="3"/>
    <x v="2"/>
    <s v="$101.96"/>
    <s v="Wednesday"/>
    <x v="0"/>
    <x v="0"/>
    <b v="0"/>
    <b v="0"/>
    <s v="Large Order"/>
    <n v="5.0979999999999999"/>
    <x v="12"/>
    <n v="509.79999999999995"/>
    <m/>
  </r>
  <r>
    <s v="ORD-1346"/>
    <d v="2024-08-23T00:00:00"/>
    <s v="CUST-132"/>
    <x v="12"/>
    <x v="2"/>
    <x v="0"/>
    <x v="2"/>
    <x v="8"/>
    <s v="$211.9"/>
    <s v="Friday"/>
    <x v="10"/>
    <x v="0"/>
    <b v="0"/>
    <b v="1"/>
    <s v="Large Order"/>
    <n v="10.595000000000001"/>
    <x v="14"/>
    <n v="2119"/>
    <m/>
  </r>
  <r>
    <s v="ORD-1347"/>
    <d v="2024-02-07T00:00:00"/>
    <s v="CUST-156"/>
    <x v="14"/>
    <x v="1"/>
    <x v="1"/>
    <x v="1"/>
    <x v="3"/>
    <s v="$201.32"/>
    <s v="Wednesday"/>
    <x v="5"/>
    <x v="0"/>
    <b v="0"/>
    <b v="1"/>
    <s v="Large Order"/>
    <n v="10.066000000000001"/>
    <x v="19"/>
    <n v="2818.48"/>
    <m/>
  </r>
  <r>
    <s v="ORD-1348"/>
    <d v="2024-06-03T00:00:00"/>
    <s v="CUST-125"/>
    <x v="19"/>
    <x v="1"/>
    <x v="2"/>
    <x v="3"/>
    <x v="7"/>
    <s v="$145.48"/>
    <s v="Monday"/>
    <x v="9"/>
    <x v="0"/>
    <b v="0"/>
    <b v="1"/>
    <s v="Large Order"/>
    <n v="7.274"/>
    <x v="18"/>
    <n v="1163.8399999999999"/>
    <m/>
  </r>
  <r>
    <s v="ORD-1349"/>
    <d v="2024-10-21T00:00:00"/>
    <s v="CUST-137"/>
    <x v="18"/>
    <x v="2"/>
    <x v="3"/>
    <x v="4"/>
    <x v="11"/>
    <s v="$230.68"/>
    <s v="Monday"/>
    <x v="3"/>
    <x v="0"/>
    <b v="0"/>
    <b v="1"/>
    <s v="Large Order"/>
    <n v="11.534000000000001"/>
    <x v="20"/>
    <n v="2998.84"/>
    <m/>
  </r>
  <r>
    <s v="ORD-1350"/>
    <d v="2024-12-17T00:00:00"/>
    <s v="CUST-199"/>
    <x v="20"/>
    <x v="2"/>
    <x v="0"/>
    <x v="3"/>
    <x v="17"/>
    <s v="$81.02"/>
    <s v="Tuesday"/>
    <x v="1"/>
    <x v="0"/>
    <b v="0"/>
    <b v="1"/>
    <s v="Large Order"/>
    <n v="4.0510000000000002"/>
    <x v="1"/>
    <n v="1296.32"/>
    <m/>
  </r>
  <r>
    <s v="ORD-1351"/>
    <d v="2024-04-27T00:00:00"/>
    <s v="CUST-177"/>
    <x v="2"/>
    <x v="1"/>
    <x v="4"/>
    <x v="2"/>
    <x v="10"/>
    <s v="$88.18"/>
    <s v="Saturday"/>
    <x v="2"/>
    <x v="0"/>
    <b v="1"/>
    <b v="0"/>
    <s v="Large Order"/>
    <n v="4.4090000000000007"/>
    <x v="14"/>
    <n v="617.26"/>
    <m/>
  </r>
  <r>
    <s v="ORD-1352"/>
    <d v="2024-11-17T00:00:00"/>
    <s v="CUST-112"/>
    <x v="14"/>
    <x v="2"/>
    <x v="0"/>
    <x v="3"/>
    <x v="12"/>
    <s v="$201.32"/>
    <s v="Sunday"/>
    <x v="0"/>
    <x v="0"/>
    <b v="1"/>
    <b v="1"/>
    <s v="Large Order"/>
    <n v="10.066000000000001"/>
    <x v="16"/>
    <n v="3019.7999999999997"/>
    <m/>
  </r>
  <r>
    <s v="ORD-1353"/>
    <d v="2024-03-08T00:00:00"/>
    <s v="CUST-111"/>
    <x v="16"/>
    <x v="1"/>
    <x v="3"/>
    <x v="2"/>
    <x v="3"/>
    <s v="$130.07"/>
    <s v="Friday"/>
    <x v="4"/>
    <x v="0"/>
    <b v="0"/>
    <b v="1"/>
    <s v="Large Order"/>
    <n v="6.5034999999999998"/>
    <x v="2"/>
    <n v="1820.98"/>
    <m/>
  </r>
  <r>
    <s v="ORD-1354"/>
    <d v="2024-10-03T00:00:00"/>
    <s v="CUST-146"/>
    <x v="3"/>
    <x v="2"/>
    <x v="1"/>
    <x v="1"/>
    <x v="6"/>
    <s v="$84.57"/>
    <s v="Thursday"/>
    <x v="3"/>
    <x v="0"/>
    <b v="0"/>
    <b v="0"/>
    <s v="Large Order"/>
    <n v="4.2284999999999995"/>
    <x v="12"/>
    <n v="507.41999999999996"/>
    <m/>
  </r>
  <r>
    <s v="ORD-1355"/>
    <d v="2024-05-31T00:00:00"/>
    <s v="CUST-195"/>
    <x v="12"/>
    <x v="1"/>
    <x v="0"/>
    <x v="2"/>
    <x v="13"/>
    <s v="$211.9"/>
    <s v="Friday"/>
    <x v="7"/>
    <x v="0"/>
    <b v="0"/>
    <b v="0"/>
    <s v="Large Order"/>
    <n v="10.595000000000001"/>
    <x v="23"/>
    <n v="635.70000000000005"/>
    <m/>
  </r>
  <r>
    <s v="ORD-1356"/>
    <d v="2024-12-12T00:00:00"/>
    <s v="CUST-192"/>
    <x v="23"/>
    <x v="2"/>
    <x v="2"/>
    <x v="1"/>
    <x v="5"/>
    <s v="$133.37"/>
    <s v="Thursday"/>
    <x v="1"/>
    <x v="0"/>
    <b v="0"/>
    <b v="1"/>
    <s v="Large Order"/>
    <n v="6.6685000000000008"/>
    <x v="12"/>
    <n v="1600.44"/>
    <m/>
  </r>
  <r>
    <s v="ORD-1357"/>
    <d v="2024-01-08T00:00:00"/>
    <s v="CUST-133"/>
    <x v="12"/>
    <x v="2"/>
    <x v="0"/>
    <x v="3"/>
    <x v="5"/>
    <s v="$211.9"/>
    <s v="Monday"/>
    <x v="6"/>
    <x v="0"/>
    <b v="0"/>
    <b v="1"/>
    <s v="Large Order"/>
    <n v="10.595000000000001"/>
    <x v="19"/>
    <n v="2542.8000000000002"/>
    <m/>
  </r>
  <r>
    <s v="ORD-1358"/>
    <d v="2024-10-26T00:00:00"/>
    <s v="CUST-148"/>
    <x v="19"/>
    <x v="2"/>
    <x v="3"/>
    <x v="4"/>
    <x v="7"/>
    <s v="$145.48"/>
    <s v="Saturday"/>
    <x v="3"/>
    <x v="0"/>
    <b v="1"/>
    <b v="1"/>
    <s v="Large Order"/>
    <n v="7.274"/>
    <x v="1"/>
    <n v="1163.8399999999999"/>
    <m/>
  </r>
  <r>
    <s v="ORD-1359"/>
    <d v="2024-10-14T00:00:00"/>
    <s v="CUST-141"/>
    <x v="2"/>
    <x v="2"/>
    <x v="4"/>
    <x v="1"/>
    <x v="13"/>
    <s v="$88.18"/>
    <s v="Monday"/>
    <x v="3"/>
    <x v="0"/>
    <b v="0"/>
    <b v="0"/>
    <s v="Standard order"/>
    <n v="4.4090000000000007"/>
    <x v="19"/>
    <n v="264.54000000000002"/>
    <m/>
  </r>
  <r>
    <s v="ORD-1360"/>
    <d v="2024-12-24T00:00:00"/>
    <s v="CUST-138"/>
    <x v="19"/>
    <x v="2"/>
    <x v="2"/>
    <x v="0"/>
    <x v="2"/>
    <s v="$145.48"/>
    <s v="Tuesday"/>
    <x v="1"/>
    <x v="0"/>
    <b v="0"/>
    <b v="0"/>
    <s v="Large Order"/>
    <n v="7.274"/>
    <x v="24"/>
    <n v="727.4"/>
    <m/>
  </r>
  <r>
    <s v="ORD-1361"/>
    <d v="2024-06-04T00:00:00"/>
    <s v="CUST-163"/>
    <x v="24"/>
    <x v="0"/>
    <x v="0"/>
    <x v="1"/>
    <x v="15"/>
    <s v="$10.11"/>
    <s v="Tuesday"/>
    <x v="9"/>
    <x v="0"/>
    <b v="0"/>
    <b v="0"/>
    <s v="Standard order"/>
    <n v="0.50549999999999995"/>
    <x v="17"/>
    <n v="181.98"/>
    <m/>
  </r>
  <r>
    <s v="ORD-1362"/>
    <d v="2024-07-08T00:00:00"/>
    <s v="CUST-185"/>
    <x v="17"/>
    <x v="2"/>
    <x v="1"/>
    <x v="2"/>
    <x v="16"/>
    <s v="$26.59"/>
    <s v="Monday"/>
    <x v="8"/>
    <x v="0"/>
    <b v="0"/>
    <b v="0"/>
    <s v="Large Order"/>
    <n v="1.3295000000000001"/>
    <x v="20"/>
    <n v="505.21"/>
    <m/>
  </r>
  <r>
    <s v="ORD-1363"/>
    <d v="2024-07-31T00:00:00"/>
    <s v="CUST-183"/>
    <x v="20"/>
    <x v="0"/>
    <x v="2"/>
    <x v="3"/>
    <x v="3"/>
    <s v="$81.02"/>
    <s v="Wednesday"/>
    <x v="8"/>
    <x v="0"/>
    <b v="0"/>
    <b v="1"/>
    <s v="Large Order"/>
    <n v="4.0510000000000002"/>
    <x v="12"/>
    <n v="1134.28"/>
    <m/>
  </r>
  <r>
    <s v="ORD-1364"/>
    <d v="2024-01-17T00:00:00"/>
    <s v="CUST-188"/>
    <x v="12"/>
    <x v="1"/>
    <x v="4"/>
    <x v="3"/>
    <x v="12"/>
    <s v="$211.9"/>
    <s v="Wednesday"/>
    <x v="6"/>
    <x v="0"/>
    <b v="0"/>
    <b v="1"/>
    <s v="Large Order"/>
    <n v="10.595000000000001"/>
    <x v="1"/>
    <n v="3178.5"/>
    <m/>
  </r>
  <r>
    <s v="ORD-1365"/>
    <d v="2024-02-20T00:00:00"/>
    <s v="CUST-187"/>
    <x v="2"/>
    <x v="1"/>
    <x v="1"/>
    <x v="3"/>
    <x v="5"/>
    <s v="$88.18"/>
    <s v="Tuesday"/>
    <x v="5"/>
    <x v="0"/>
    <b v="0"/>
    <b v="1"/>
    <s v="Large Order"/>
    <n v="4.4090000000000007"/>
    <x v="5"/>
    <n v="1058.1600000000001"/>
    <m/>
  </r>
  <r>
    <s v="ORD-1366"/>
    <d v="2024-04-07T00:00:00"/>
    <s v="CUST-115"/>
    <x v="6"/>
    <x v="1"/>
    <x v="0"/>
    <x v="4"/>
    <x v="10"/>
    <s v="$86.6"/>
    <s v="Sunday"/>
    <x v="2"/>
    <x v="0"/>
    <b v="1"/>
    <b v="0"/>
    <s v="Large Order"/>
    <n v="4.33"/>
    <x v="0"/>
    <n v="606.19999999999993"/>
    <m/>
  </r>
  <r>
    <s v="ORD-1367"/>
    <d v="2024-01-11T00:00:00"/>
    <s v="CUST-106"/>
    <x v="1"/>
    <x v="1"/>
    <x v="4"/>
    <x v="4"/>
    <x v="16"/>
    <s v="$178.83"/>
    <s v="Thursday"/>
    <x v="6"/>
    <x v="0"/>
    <b v="0"/>
    <b v="1"/>
    <s v="Large Order"/>
    <n v="8.9415000000000013"/>
    <x v="13"/>
    <n v="3397.7700000000004"/>
    <m/>
  </r>
  <r>
    <s v="ORD-1368"/>
    <d v="2024-04-16T00:00:00"/>
    <s v="CUST-175"/>
    <x v="13"/>
    <x v="0"/>
    <x v="4"/>
    <x v="4"/>
    <x v="2"/>
    <s v="$156.44"/>
    <s v="Tuesday"/>
    <x v="2"/>
    <x v="0"/>
    <b v="0"/>
    <b v="0"/>
    <s v="Large Order"/>
    <n v="7.8220000000000001"/>
    <x v="23"/>
    <n v="782.2"/>
    <m/>
  </r>
  <r>
    <s v="ORD-1369"/>
    <d v="2024-01-02T00:00:00"/>
    <s v="CUST-135"/>
    <x v="23"/>
    <x v="0"/>
    <x v="4"/>
    <x v="0"/>
    <x v="14"/>
    <s v="$133.37"/>
    <s v="Tuesday"/>
    <x v="6"/>
    <x v="0"/>
    <b v="0"/>
    <b v="1"/>
    <s v="Large Order"/>
    <n v="6.6685000000000008"/>
    <x v="7"/>
    <n v="1200.33"/>
    <m/>
  </r>
  <r>
    <s v="ORD-1370"/>
    <d v="2024-12-04T00:00:00"/>
    <s v="CUST-103"/>
    <x v="8"/>
    <x v="0"/>
    <x v="0"/>
    <x v="0"/>
    <x v="7"/>
    <s v="$208.85"/>
    <s v="Wednesday"/>
    <x v="1"/>
    <x v="0"/>
    <b v="0"/>
    <b v="1"/>
    <s v="Large Order"/>
    <n v="10.442500000000001"/>
    <x v="16"/>
    <n v="1670.8"/>
    <m/>
  </r>
  <r>
    <s v="ORD-1371"/>
    <d v="2024-03-30T00:00:00"/>
    <s v="CUST-133"/>
    <x v="16"/>
    <x v="0"/>
    <x v="4"/>
    <x v="0"/>
    <x v="3"/>
    <s v="$130.07"/>
    <s v="Saturday"/>
    <x v="4"/>
    <x v="0"/>
    <b v="1"/>
    <b v="1"/>
    <s v="Large Order"/>
    <n v="6.5034999999999998"/>
    <x v="9"/>
    <n v="1820.98"/>
    <m/>
  </r>
  <r>
    <s v="ORD-1372"/>
    <d v="2024-08-31T00:00:00"/>
    <s v="CUST-157"/>
    <x v="9"/>
    <x v="1"/>
    <x v="1"/>
    <x v="2"/>
    <x v="0"/>
    <s v="$101.96"/>
    <s v="Saturday"/>
    <x v="10"/>
    <x v="0"/>
    <b v="1"/>
    <b v="0"/>
    <s v="Standard order"/>
    <n v="5.0979999999999999"/>
    <x v="14"/>
    <n v="407.84"/>
    <m/>
  </r>
  <r>
    <s v="ORD-1373"/>
    <d v="2024-11-10T00:00:00"/>
    <s v="CUST-105"/>
    <x v="14"/>
    <x v="2"/>
    <x v="1"/>
    <x v="0"/>
    <x v="12"/>
    <s v="$201.32"/>
    <s v="Sunday"/>
    <x v="0"/>
    <x v="0"/>
    <b v="1"/>
    <b v="1"/>
    <s v="Large Order"/>
    <n v="10.066000000000001"/>
    <x v="5"/>
    <n v="3019.7999999999997"/>
    <m/>
  </r>
  <r>
    <s v="ORD-1374"/>
    <d v="2024-02-01T00:00:00"/>
    <s v="CUST-161"/>
    <x v="6"/>
    <x v="1"/>
    <x v="2"/>
    <x v="1"/>
    <x v="0"/>
    <s v="$86.6"/>
    <s v="Thursday"/>
    <x v="5"/>
    <x v="0"/>
    <b v="0"/>
    <b v="0"/>
    <s v="Standard order"/>
    <n v="4.33"/>
    <x v="0"/>
    <n v="346.4"/>
    <m/>
  </r>
  <r>
    <s v="ORD-1375"/>
    <d v="2024-02-07T00:00:00"/>
    <s v="CUST-110"/>
    <x v="1"/>
    <x v="1"/>
    <x v="1"/>
    <x v="4"/>
    <x v="13"/>
    <s v="$178.83"/>
    <s v="Wednesday"/>
    <x v="5"/>
    <x v="0"/>
    <b v="0"/>
    <b v="0"/>
    <s v="Large Order"/>
    <n v="8.9415000000000013"/>
    <x v="3"/>
    <n v="536.49"/>
    <m/>
  </r>
  <r>
    <s v="ORD-1376"/>
    <d v="2024-11-20T00:00:00"/>
    <s v="CUST-174"/>
    <x v="4"/>
    <x v="2"/>
    <x v="3"/>
    <x v="1"/>
    <x v="19"/>
    <s v="$230.34"/>
    <s v="Wednesday"/>
    <x v="0"/>
    <x v="0"/>
    <b v="0"/>
    <b v="1"/>
    <s v="Large Order"/>
    <n v="11.517000000000001"/>
    <x v="10"/>
    <n v="4606.8"/>
    <m/>
  </r>
  <r>
    <s v="ORD-1377"/>
    <d v="2024-09-15T00:00:00"/>
    <s v="CUST-177"/>
    <x v="10"/>
    <x v="1"/>
    <x v="0"/>
    <x v="4"/>
    <x v="0"/>
    <s v="$46.19"/>
    <s v="Sunday"/>
    <x v="11"/>
    <x v="0"/>
    <b v="1"/>
    <b v="0"/>
    <s v="Standard order"/>
    <n v="2.3094999999999999"/>
    <x v="17"/>
    <n v="184.76"/>
    <m/>
  </r>
  <r>
    <s v="ORD-1378"/>
    <d v="2024-04-20T00:00:00"/>
    <s v="CUST-155"/>
    <x v="17"/>
    <x v="1"/>
    <x v="4"/>
    <x v="1"/>
    <x v="9"/>
    <s v="$26.59"/>
    <s v="Saturday"/>
    <x v="2"/>
    <x v="0"/>
    <b v="1"/>
    <b v="0"/>
    <s v="Standard order"/>
    <n v="1.3295000000000001"/>
    <x v="17"/>
    <n v="292.49"/>
    <m/>
  </r>
  <r>
    <s v="ORD-1379"/>
    <d v="2024-07-31T00:00:00"/>
    <s v="CUST-193"/>
    <x v="17"/>
    <x v="0"/>
    <x v="3"/>
    <x v="3"/>
    <x v="9"/>
    <s v="$26.59"/>
    <s v="Wednesday"/>
    <x v="8"/>
    <x v="0"/>
    <b v="0"/>
    <b v="0"/>
    <s v="Standard order"/>
    <n v="1.3295000000000001"/>
    <x v="8"/>
    <n v="292.49"/>
    <m/>
  </r>
  <r>
    <s v="ORD-1380"/>
    <d v="2024-03-19T00:00:00"/>
    <s v="CUST-187"/>
    <x v="0"/>
    <x v="1"/>
    <x v="0"/>
    <x v="0"/>
    <x v="13"/>
    <s v="$146.06"/>
    <s v="Tuesday"/>
    <x v="4"/>
    <x v="0"/>
    <b v="0"/>
    <b v="0"/>
    <s v="Standard order"/>
    <n v="7.3030000000000008"/>
    <x v="9"/>
    <n v="438.18"/>
    <m/>
  </r>
  <r>
    <s v="ORD-1381"/>
    <d v="2024-07-09T00:00:00"/>
    <s v="CUST-116"/>
    <x v="9"/>
    <x v="2"/>
    <x v="0"/>
    <x v="0"/>
    <x v="15"/>
    <s v="$101.96"/>
    <s v="Tuesday"/>
    <x v="8"/>
    <x v="0"/>
    <b v="0"/>
    <b v="1"/>
    <s v="Large Order"/>
    <n v="5.0979999999999999"/>
    <x v="16"/>
    <n v="1835.28"/>
    <m/>
  </r>
  <r>
    <s v="ORD-1382"/>
    <d v="2024-07-29T00:00:00"/>
    <s v="CUST-145"/>
    <x v="16"/>
    <x v="2"/>
    <x v="2"/>
    <x v="4"/>
    <x v="4"/>
    <s v="$130.07"/>
    <s v="Monday"/>
    <x v="8"/>
    <x v="0"/>
    <b v="0"/>
    <b v="0"/>
    <s v="Standard order"/>
    <n v="6.5034999999999998"/>
    <x v="22"/>
    <n v="260.14"/>
    <m/>
  </r>
  <r>
    <s v="ORD-1383"/>
    <d v="2024-06-08T00:00:00"/>
    <s v="CUST-145"/>
    <x v="22"/>
    <x v="0"/>
    <x v="1"/>
    <x v="1"/>
    <x v="10"/>
    <s v="$149.27"/>
    <s v="Saturday"/>
    <x v="9"/>
    <x v="0"/>
    <b v="1"/>
    <b v="1"/>
    <s v="Large Order"/>
    <n v="7.4635000000000007"/>
    <x v="7"/>
    <n v="1044.8900000000001"/>
    <m/>
  </r>
  <r>
    <s v="ORD-1384"/>
    <d v="2024-04-24T00:00:00"/>
    <s v="CUST-113"/>
    <x v="8"/>
    <x v="1"/>
    <x v="1"/>
    <x v="4"/>
    <x v="0"/>
    <s v="$208.85"/>
    <s v="Wednesday"/>
    <x v="2"/>
    <x v="0"/>
    <b v="0"/>
    <b v="0"/>
    <s v="Large Order"/>
    <n v="10.442500000000001"/>
    <x v="20"/>
    <n v="835.4"/>
    <m/>
  </r>
  <r>
    <s v="ORD-1385"/>
    <d v="2024-04-25T00:00:00"/>
    <s v="CUST-154"/>
    <x v="20"/>
    <x v="2"/>
    <x v="1"/>
    <x v="3"/>
    <x v="15"/>
    <s v="$81.02"/>
    <s v="Thursday"/>
    <x v="2"/>
    <x v="0"/>
    <b v="0"/>
    <b v="1"/>
    <s v="Large Order"/>
    <n v="4.0510000000000002"/>
    <x v="13"/>
    <n v="1458.36"/>
    <m/>
  </r>
  <r>
    <s v="ORD-1386"/>
    <d v="2024-01-15T00:00:00"/>
    <s v="CUST-123"/>
    <x v="13"/>
    <x v="1"/>
    <x v="3"/>
    <x v="2"/>
    <x v="5"/>
    <s v="$156.44"/>
    <s v="Monday"/>
    <x v="6"/>
    <x v="0"/>
    <b v="0"/>
    <b v="1"/>
    <s v="Large Order"/>
    <n v="7.8220000000000001"/>
    <x v="0"/>
    <n v="1877.28"/>
    <m/>
  </r>
  <r>
    <s v="ORD-1387"/>
    <d v="2024-10-16T00:00:00"/>
    <s v="CUST-184"/>
    <x v="1"/>
    <x v="1"/>
    <x v="0"/>
    <x v="4"/>
    <x v="1"/>
    <s v="$178.83"/>
    <s v="Wednesday"/>
    <x v="3"/>
    <x v="0"/>
    <b v="0"/>
    <b v="0"/>
    <s v="Standard order"/>
    <n v="8.9415000000000013"/>
    <x v="13"/>
    <n v="178.83"/>
    <m/>
  </r>
  <r>
    <s v="ORD-1388"/>
    <d v="2024-04-20T00:00:00"/>
    <s v="CUST-148"/>
    <x v="13"/>
    <x v="1"/>
    <x v="2"/>
    <x v="3"/>
    <x v="6"/>
    <s v="$156.44"/>
    <s v="Saturday"/>
    <x v="2"/>
    <x v="0"/>
    <b v="1"/>
    <b v="1"/>
    <s v="Large Order"/>
    <n v="7.8220000000000001"/>
    <x v="0"/>
    <n v="938.64"/>
    <m/>
  </r>
  <r>
    <s v="ORD-1389"/>
    <d v="2024-10-17T00:00:00"/>
    <s v="CUST-176"/>
    <x v="1"/>
    <x v="0"/>
    <x v="0"/>
    <x v="0"/>
    <x v="6"/>
    <s v="$178.83"/>
    <s v="Thursday"/>
    <x v="3"/>
    <x v="0"/>
    <b v="0"/>
    <b v="1"/>
    <s v="Large Order"/>
    <n v="8.9415000000000013"/>
    <x v="5"/>
    <n v="1072.98"/>
    <m/>
  </r>
  <r>
    <s v="ORD-1390"/>
    <d v="2024-12-11T00:00:00"/>
    <s v="CUST-110"/>
    <x v="6"/>
    <x v="1"/>
    <x v="2"/>
    <x v="1"/>
    <x v="3"/>
    <s v="$86.6"/>
    <s v="Wednesday"/>
    <x v="1"/>
    <x v="0"/>
    <b v="0"/>
    <b v="1"/>
    <s v="Large Order"/>
    <n v="4.33"/>
    <x v="19"/>
    <n v="1212.3999999999999"/>
    <m/>
  </r>
  <r>
    <s v="ORD-1391"/>
    <d v="2024-07-31T00:00:00"/>
    <s v="CUST-134"/>
    <x v="19"/>
    <x v="0"/>
    <x v="1"/>
    <x v="3"/>
    <x v="5"/>
    <s v="$145.48"/>
    <s v="Wednesday"/>
    <x v="8"/>
    <x v="0"/>
    <b v="0"/>
    <b v="1"/>
    <s v="Large Order"/>
    <n v="7.274"/>
    <x v="22"/>
    <n v="1745.7599999999998"/>
    <m/>
  </r>
  <r>
    <s v="ORD-1392"/>
    <d v="2024-12-13T00:00:00"/>
    <s v="CUST-186"/>
    <x v="22"/>
    <x v="2"/>
    <x v="2"/>
    <x v="1"/>
    <x v="8"/>
    <s v="$149.27"/>
    <s v="Friday"/>
    <x v="1"/>
    <x v="0"/>
    <b v="0"/>
    <b v="1"/>
    <s v="Large Order"/>
    <n v="7.4635000000000007"/>
    <x v="14"/>
    <n v="1492.7"/>
    <m/>
  </r>
  <r>
    <s v="ORD-1393"/>
    <d v="2024-11-02T00:00:00"/>
    <s v="CUST-107"/>
    <x v="14"/>
    <x v="0"/>
    <x v="4"/>
    <x v="3"/>
    <x v="10"/>
    <s v="$201.32"/>
    <s v="Saturday"/>
    <x v="0"/>
    <x v="0"/>
    <b v="1"/>
    <b v="1"/>
    <s v="Large Order"/>
    <n v="10.066000000000001"/>
    <x v="4"/>
    <n v="1409.24"/>
    <m/>
  </r>
  <r>
    <s v="ORD-1394"/>
    <d v="2024-05-28T00:00:00"/>
    <s v="CUST-141"/>
    <x v="5"/>
    <x v="0"/>
    <x v="0"/>
    <x v="1"/>
    <x v="3"/>
    <s v="$64.61"/>
    <s v="Tuesday"/>
    <x v="7"/>
    <x v="0"/>
    <b v="0"/>
    <b v="1"/>
    <s v="Large Order"/>
    <n v="3.2305000000000001"/>
    <x v="23"/>
    <n v="904.54"/>
    <m/>
  </r>
  <r>
    <s v="ORD-1395"/>
    <d v="2024-09-29T00:00:00"/>
    <s v="CUST-190"/>
    <x v="23"/>
    <x v="0"/>
    <x v="1"/>
    <x v="0"/>
    <x v="5"/>
    <s v="$133.37"/>
    <s v="Sunday"/>
    <x v="11"/>
    <x v="0"/>
    <b v="1"/>
    <b v="1"/>
    <s v="Large Order"/>
    <n v="6.6685000000000008"/>
    <x v="13"/>
    <n v="1600.44"/>
    <m/>
  </r>
  <r>
    <s v="ORD-1396"/>
    <d v="2024-08-11T00:00:00"/>
    <s v="CUST-102"/>
    <x v="13"/>
    <x v="1"/>
    <x v="0"/>
    <x v="1"/>
    <x v="16"/>
    <s v="$156.44"/>
    <s v="Sunday"/>
    <x v="10"/>
    <x v="0"/>
    <b v="1"/>
    <b v="1"/>
    <s v="Large Order"/>
    <n v="7.8220000000000001"/>
    <x v="19"/>
    <n v="2972.36"/>
    <m/>
  </r>
  <r>
    <s v="ORD-1397"/>
    <d v="2024-12-29T00:00:00"/>
    <s v="CUST-181"/>
    <x v="19"/>
    <x v="1"/>
    <x v="3"/>
    <x v="3"/>
    <x v="11"/>
    <s v="$145.48"/>
    <s v="Sunday"/>
    <x v="1"/>
    <x v="0"/>
    <b v="1"/>
    <b v="1"/>
    <s v="Large Order"/>
    <n v="7.274"/>
    <x v="8"/>
    <n v="1891.2399999999998"/>
    <m/>
  </r>
  <r>
    <s v="ORD-1398"/>
    <d v="2024-03-28T00:00:00"/>
    <s v="CUST-179"/>
    <x v="0"/>
    <x v="1"/>
    <x v="3"/>
    <x v="2"/>
    <x v="3"/>
    <s v="$146.06"/>
    <s v="Thursday"/>
    <x v="4"/>
    <x v="0"/>
    <b v="0"/>
    <b v="1"/>
    <s v="Large Order"/>
    <n v="7.3030000000000008"/>
    <x v="8"/>
    <n v="2044.8400000000001"/>
    <m/>
  </r>
  <r>
    <s v="ORD-1399"/>
    <d v="2024-08-11T00:00:00"/>
    <s v="CUST-175"/>
    <x v="0"/>
    <x v="1"/>
    <x v="1"/>
    <x v="3"/>
    <x v="11"/>
    <s v="$146.06"/>
    <s v="Sunday"/>
    <x v="10"/>
    <x v="0"/>
    <b v="1"/>
    <b v="1"/>
    <s v="Large Order"/>
    <n v="7.3030000000000008"/>
    <x v="22"/>
    <n v="1898.78"/>
    <m/>
  </r>
  <r>
    <s v="ORD-1400"/>
    <d v="2024-04-23T00:00:00"/>
    <s v="CUST-142"/>
    <x v="22"/>
    <x v="0"/>
    <x v="0"/>
    <x v="2"/>
    <x v="0"/>
    <s v="$149.27"/>
    <s v="Tuesday"/>
    <x v="2"/>
    <x v="0"/>
    <b v="0"/>
    <b v="0"/>
    <s v="Large Order"/>
    <n v="7.4635000000000007"/>
    <x v="24"/>
    <n v="597.08000000000004"/>
    <m/>
  </r>
  <r>
    <s v="ORD-1401"/>
    <d v="2024-06-27T00:00:00"/>
    <s v="CUST-144"/>
    <x v="24"/>
    <x v="2"/>
    <x v="4"/>
    <x v="2"/>
    <x v="0"/>
    <s v="$10.11"/>
    <s v="Thursday"/>
    <x v="9"/>
    <x v="0"/>
    <b v="0"/>
    <b v="0"/>
    <s v="Standard order"/>
    <n v="0.50549999999999995"/>
    <x v="6"/>
    <n v="40.44"/>
    <m/>
  </r>
  <r>
    <s v="ORD-1402"/>
    <d v="2024-03-29T00:00:00"/>
    <s v="CUST-177"/>
    <x v="7"/>
    <x v="0"/>
    <x v="0"/>
    <x v="4"/>
    <x v="17"/>
    <s v="$107.34"/>
    <s v="Friday"/>
    <x v="4"/>
    <x v="0"/>
    <b v="0"/>
    <b v="1"/>
    <s v="Large Order"/>
    <n v="5.3670000000000009"/>
    <x v="1"/>
    <n v="1717.44"/>
    <m/>
  </r>
  <r>
    <s v="ORD-1403"/>
    <d v="2024-10-23T00:00:00"/>
    <s v="CUST-157"/>
    <x v="2"/>
    <x v="2"/>
    <x v="1"/>
    <x v="3"/>
    <x v="19"/>
    <s v="$88.18"/>
    <s v="Wednesday"/>
    <x v="3"/>
    <x v="0"/>
    <b v="0"/>
    <b v="1"/>
    <s v="Large Order"/>
    <n v="4.4090000000000007"/>
    <x v="12"/>
    <n v="1763.6000000000001"/>
    <m/>
  </r>
  <r>
    <s v="ORD-1404"/>
    <d v="2024-03-18T00:00:00"/>
    <s v="CUST-156"/>
    <x v="12"/>
    <x v="0"/>
    <x v="2"/>
    <x v="4"/>
    <x v="8"/>
    <s v="$211.9"/>
    <s v="Monday"/>
    <x v="4"/>
    <x v="0"/>
    <b v="0"/>
    <b v="1"/>
    <s v="Large Order"/>
    <n v="10.595000000000001"/>
    <x v="14"/>
    <n v="2119"/>
    <m/>
  </r>
  <r>
    <s v="ORD-1405"/>
    <d v="2024-01-29T00:00:00"/>
    <s v="CUST-145"/>
    <x v="14"/>
    <x v="2"/>
    <x v="0"/>
    <x v="0"/>
    <x v="12"/>
    <s v="$201.32"/>
    <s v="Monday"/>
    <x v="6"/>
    <x v="0"/>
    <b v="0"/>
    <b v="1"/>
    <s v="Large Order"/>
    <n v="10.066000000000001"/>
    <x v="20"/>
    <n v="3019.7999999999997"/>
    <m/>
  </r>
  <r>
    <s v="ORD-1406"/>
    <d v="2024-07-07T00:00:00"/>
    <s v="CUST-136"/>
    <x v="20"/>
    <x v="0"/>
    <x v="0"/>
    <x v="1"/>
    <x v="19"/>
    <s v="$81.02"/>
    <s v="Sunday"/>
    <x v="8"/>
    <x v="0"/>
    <b v="1"/>
    <b v="1"/>
    <s v="Large Order"/>
    <n v="4.0510000000000002"/>
    <x v="12"/>
    <n v="1620.3999999999999"/>
    <m/>
  </r>
  <r>
    <s v="ORD-1407"/>
    <d v="2024-10-24T00:00:00"/>
    <s v="CUST-170"/>
    <x v="12"/>
    <x v="2"/>
    <x v="0"/>
    <x v="3"/>
    <x v="16"/>
    <s v="$211.9"/>
    <s v="Thursday"/>
    <x v="3"/>
    <x v="0"/>
    <b v="0"/>
    <b v="1"/>
    <s v="Large Order"/>
    <n v="10.595000000000001"/>
    <x v="15"/>
    <n v="4026.1"/>
    <m/>
  </r>
  <r>
    <s v="ORD-1408"/>
    <d v="2024-11-05T00:00:00"/>
    <s v="CUST-160"/>
    <x v="15"/>
    <x v="2"/>
    <x v="4"/>
    <x v="3"/>
    <x v="12"/>
    <s v="$216.22"/>
    <s v="Tuesday"/>
    <x v="0"/>
    <x v="0"/>
    <b v="0"/>
    <b v="1"/>
    <s v="Large Order"/>
    <n v="10.811"/>
    <x v="15"/>
    <n v="3243.3"/>
    <m/>
  </r>
  <r>
    <s v="ORD-1409"/>
    <d v="2024-02-13T00:00:00"/>
    <s v="CUST-164"/>
    <x v="15"/>
    <x v="2"/>
    <x v="4"/>
    <x v="1"/>
    <x v="7"/>
    <s v="$216.22"/>
    <s v="Tuesday"/>
    <x v="5"/>
    <x v="0"/>
    <b v="0"/>
    <b v="1"/>
    <s v="Large Order"/>
    <n v="10.811"/>
    <x v="7"/>
    <n v="1729.76"/>
    <m/>
  </r>
  <r>
    <s v="ORD-1410"/>
    <d v="2024-09-25T00:00:00"/>
    <s v="CUST-166"/>
    <x v="8"/>
    <x v="2"/>
    <x v="4"/>
    <x v="1"/>
    <x v="5"/>
    <s v="$208.85"/>
    <s v="Wednesday"/>
    <x v="11"/>
    <x v="0"/>
    <b v="0"/>
    <b v="1"/>
    <s v="Large Order"/>
    <n v="10.442500000000001"/>
    <x v="15"/>
    <n v="2506.1999999999998"/>
    <m/>
  </r>
  <r>
    <s v="ORD-1411"/>
    <d v="2024-07-28T00:00:00"/>
    <s v="CUST-199"/>
    <x v="15"/>
    <x v="1"/>
    <x v="1"/>
    <x v="0"/>
    <x v="9"/>
    <s v="$216.22"/>
    <s v="Sunday"/>
    <x v="8"/>
    <x v="0"/>
    <b v="1"/>
    <b v="1"/>
    <s v="Large Order"/>
    <n v="10.811"/>
    <x v="2"/>
    <n v="2378.42"/>
    <m/>
  </r>
  <r>
    <s v="ORD-1412"/>
    <d v="2024-10-12T00:00:00"/>
    <s v="CUST-186"/>
    <x v="3"/>
    <x v="1"/>
    <x v="3"/>
    <x v="3"/>
    <x v="19"/>
    <s v="$84.57"/>
    <s v="Saturday"/>
    <x v="3"/>
    <x v="0"/>
    <b v="1"/>
    <b v="1"/>
    <s v="Large Order"/>
    <n v="4.2284999999999995"/>
    <x v="7"/>
    <n v="1691.3999999999999"/>
    <m/>
  </r>
  <r>
    <s v="ORD-1413"/>
    <d v="2024-02-11T00:00:00"/>
    <s v="CUST-174"/>
    <x v="8"/>
    <x v="2"/>
    <x v="4"/>
    <x v="1"/>
    <x v="8"/>
    <s v="$208.85"/>
    <s v="Sunday"/>
    <x v="5"/>
    <x v="0"/>
    <b v="1"/>
    <b v="1"/>
    <s v="Large Order"/>
    <n v="10.442500000000001"/>
    <x v="14"/>
    <n v="2088.5"/>
    <m/>
  </r>
  <r>
    <s v="ORD-1414"/>
    <d v="2024-03-07T00:00:00"/>
    <s v="CUST-176"/>
    <x v="14"/>
    <x v="2"/>
    <x v="0"/>
    <x v="3"/>
    <x v="15"/>
    <s v="$201.32"/>
    <s v="Thursday"/>
    <x v="4"/>
    <x v="0"/>
    <b v="0"/>
    <b v="1"/>
    <s v="Large Order"/>
    <n v="10.066000000000001"/>
    <x v="8"/>
    <n v="3623.7599999999998"/>
    <m/>
  </r>
  <r>
    <s v="ORD-1415"/>
    <d v="2024-03-06T00:00:00"/>
    <s v="CUST-185"/>
    <x v="0"/>
    <x v="2"/>
    <x v="1"/>
    <x v="0"/>
    <x v="3"/>
    <s v="$146.06"/>
    <s v="Wednesday"/>
    <x v="4"/>
    <x v="0"/>
    <b v="0"/>
    <b v="1"/>
    <s v="Large Order"/>
    <n v="7.3030000000000008"/>
    <x v="13"/>
    <n v="2044.8400000000001"/>
    <m/>
  </r>
  <r>
    <s v="ORD-1416"/>
    <d v="2024-07-04T00:00:00"/>
    <s v="CUST-139"/>
    <x v="13"/>
    <x v="0"/>
    <x v="4"/>
    <x v="2"/>
    <x v="17"/>
    <s v="$156.44"/>
    <s v="Thursday"/>
    <x v="8"/>
    <x v="0"/>
    <b v="0"/>
    <b v="1"/>
    <s v="Large Order"/>
    <n v="7.8220000000000001"/>
    <x v="22"/>
    <n v="2503.04"/>
    <m/>
  </r>
  <r>
    <s v="ORD-1417"/>
    <d v="2024-03-20T00:00:00"/>
    <s v="CUST-109"/>
    <x v="22"/>
    <x v="1"/>
    <x v="0"/>
    <x v="4"/>
    <x v="15"/>
    <s v="$149.27"/>
    <s v="Wednesday"/>
    <x v="4"/>
    <x v="0"/>
    <b v="0"/>
    <b v="1"/>
    <s v="Large Order"/>
    <n v="7.4635000000000007"/>
    <x v="0"/>
    <n v="2686.86"/>
    <m/>
  </r>
  <r>
    <s v="ORD-1418"/>
    <d v="2024-01-20T00:00:00"/>
    <s v="CUST-184"/>
    <x v="1"/>
    <x v="1"/>
    <x v="1"/>
    <x v="2"/>
    <x v="19"/>
    <s v="$178.83"/>
    <s v="Saturday"/>
    <x v="6"/>
    <x v="0"/>
    <b v="1"/>
    <b v="1"/>
    <s v="Large Order"/>
    <n v="8.9415000000000013"/>
    <x v="16"/>
    <n v="3576.6000000000004"/>
    <m/>
  </r>
  <r>
    <s v="ORD-1419"/>
    <d v="2024-04-02T00:00:00"/>
    <s v="CUST-188"/>
    <x v="16"/>
    <x v="2"/>
    <x v="4"/>
    <x v="3"/>
    <x v="12"/>
    <s v="$130.07"/>
    <s v="Tuesday"/>
    <x v="2"/>
    <x v="0"/>
    <b v="0"/>
    <b v="1"/>
    <s v="Large Order"/>
    <n v="6.5034999999999998"/>
    <x v="20"/>
    <n v="1951.05"/>
    <m/>
  </r>
  <r>
    <s v="ORD-1420"/>
    <d v="2024-12-12T00:00:00"/>
    <s v="CUST-192"/>
    <x v="20"/>
    <x v="0"/>
    <x v="2"/>
    <x v="1"/>
    <x v="8"/>
    <s v="$81.02"/>
    <s v="Thursday"/>
    <x v="1"/>
    <x v="0"/>
    <b v="0"/>
    <b v="1"/>
    <s v="Large Order"/>
    <n v="4.0510000000000002"/>
    <x v="4"/>
    <n v="810.19999999999993"/>
    <m/>
  </r>
  <r>
    <s v="ORD-1421"/>
    <d v="2024-04-29T00:00:00"/>
    <s v="CUST-168"/>
    <x v="5"/>
    <x v="0"/>
    <x v="3"/>
    <x v="4"/>
    <x v="10"/>
    <s v="$64.61"/>
    <s v="Monday"/>
    <x v="2"/>
    <x v="0"/>
    <b v="0"/>
    <b v="0"/>
    <s v="Standard order"/>
    <n v="3.2305000000000001"/>
    <x v="22"/>
    <n v="452.27"/>
    <m/>
  </r>
  <r>
    <s v="ORD-1422"/>
    <d v="2024-08-13T00:00:00"/>
    <s v="CUST-159"/>
    <x v="22"/>
    <x v="1"/>
    <x v="2"/>
    <x v="2"/>
    <x v="18"/>
    <s v="$149.27"/>
    <s v="Tuesday"/>
    <x v="10"/>
    <x v="0"/>
    <b v="0"/>
    <b v="1"/>
    <s v="Large Order"/>
    <n v="7.4635000000000007"/>
    <x v="15"/>
    <n v="2537.59"/>
    <m/>
  </r>
  <r>
    <s v="ORD-1423"/>
    <d v="2024-04-12T00:00:00"/>
    <s v="CUST-177"/>
    <x v="15"/>
    <x v="0"/>
    <x v="3"/>
    <x v="4"/>
    <x v="17"/>
    <s v="$216.22"/>
    <s v="Friday"/>
    <x v="2"/>
    <x v="0"/>
    <b v="0"/>
    <b v="1"/>
    <s v="Large Order"/>
    <n v="10.811"/>
    <x v="14"/>
    <n v="3459.52"/>
    <m/>
  </r>
  <r>
    <s v="ORD-1424"/>
    <d v="2024-02-22T00:00:00"/>
    <s v="CUST-191"/>
    <x v="14"/>
    <x v="2"/>
    <x v="0"/>
    <x v="3"/>
    <x v="13"/>
    <s v="$201.32"/>
    <s v="Thursday"/>
    <x v="5"/>
    <x v="0"/>
    <b v="0"/>
    <b v="0"/>
    <s v="Large Order"/>
    <n v="10.066000000000001"/>
    <x v="8"/>
    <n v="603.96"/>
    <m/>
  </r>
  <r>
    <s v="ORD-1425"/>
    <d v="2024-08-18T00:00:00"/>
    <s v="CUST-165"/>
    <x v="0"/>
    <x v="0"/>
    <x v="2"/>
    <x v="3"/>
    <x v="7"/>
    <s v="$146.06"/>
    <s v="Sunday"/>
    <x v="10"/>
    <x v="0"/>
    <b v="1"/>
    <b v="1"/>
    <s v="Large Order"/>
    <n v="7.3030000000000008"/>
    <x v="22"/>
    <n v="1168.48"/>
    <m/>
  </r>
  <r>
    <s v="ORD-1426"/>
    <d v="2024-01-14T00:00:00"/>
    <s v="CUST-153"/>
    <x v="22"/>
    <x v="0"/>
    <x v="2"/>
    <x v="0"/>
    <x v="5"/>
    <s v="$149.27"/>
    <s v="Sunday"/>
    <x v="6"/>
    <x v="0"/>
    <b v="1"/>
    <b v="1"/>
    <s v="Large Order"/>
    <n v="7.4635000000000007"/>
    <x v="19"/>
    <n v="1791.2400000000002"/>
    <m/>
  </r>
  <r>
    <s v="ORD-1427"/>
    <d v="2024-07-10T00:00:00"/>
    <s v="CUST-128"/>
    <x v="19"/>
    <x v="0"/>
    <x v="3"/>
    <x v="2"/>
    <x v="9"/>
    <s v="$145.48"/>
    <s v="Wednesday"/>
    <x v="8"/>
    <x v="0"/>
    <b v="0"/>
    <b v="1"/>
    <s v="Large Order"/>
    <n v="7.274"/>
    <x v="21"/>
    <n v="1600.28"/>
    <m/>
  </r>
  <r>
    <s v="ORD-1428"/>
    <d v="2024-01-20T00:00:00"/>
    <s v="CUST-136"/>
    <x v="21"/>
    <x v="1"/>
    <x v="4"/>
    <x v="0"/>
    <x v="17"/>
    <s v="$32.94"/>
    <s v="Saturday"/>
    <x v="6"/>
    <x v="0"/>
    <b v="1"/>
    <b v="0"/>
    <s v="Large Order"/>
    <n v="1.647"/>
    <x v="0"/>
    <n v="527.04"/>
    <m/>
  </r>
  <r>
    <s v="ORD-1429"/>
    <d v="2024-02-10T00:00:00"/>
    <s v="CUST-102"/>
    <x v="1"/>
    <x v="1"/>
    <x v="4"/>
    <x v="4"/>
    <x v="15"/>
    <s v="$178.83"/>
    <s v="Saturday"/>
    <x v="5"/>
    <x v="0"/>
    <b v="1"/>
    <b v="1"/>
    <s v="Large Order"/>
    <n v="8.9415000000000013"/>
    <x v="24"/>
    <n v="3218.94"/>
    <m/>
  </r>
  <r>
    <s v="ORD-1430"/>
    <d v="2024-09-27T00:00:00"/>
    <s v="CUST-154"/>
    <x v="24"/>
    <x v="0"/>
    <x v="3"/>
    <x v="2"/>
    <x v="8"/>
    <s v="$10.11"/>
    <s v="Friday"/>
    <x v="11"/>
    <x v="0"/>
    <b v="0"/>
    <b v="0"/>
    <s v="Standard order"/>
    <n v="0.50549999999999995"/>
    <x v="8"/>
    <n v="101.1"/>
    <m/>
  </r>
  <r>
    <s v="ORD-1431"/>
    <d v="2024-08-02T00:00:00"/>
    <s v="CUST-181"/>
    <x v="0"/>
    <x v="2"/>
    <x v="2"/>
    <x v="1"/>
    <x v="0"/>
    <s v="$146.06"/>
    <s v="Friday"/>
    <x v="10"/>
    <x v="0"/>
    <b v="0"/>
    <b v="0"/>
    <s v="Large Order"/>
    <n v="7.3030000000000008"/>
    <x v="9"/>
    <n v="584.24"/>
    <m/>
  </r>
  <r>
    <s v="ORD-1432"/>
    <d v="2024-11-01T00:00:00"/>
    <s v="CUST-168"/>
    <x v="9"/>
    <x v="0"/>
    <x v="1"/>
    <x v="3"/>
    <x v="7"/>
    <s v="$101.96"/>
    <s v="Friday"/>
    <x v="0"/>
    <x v="0"/>
    <b v="0"/>
    <b v="1"/>
    <s v="Large Order"/>
    <n v="5.0979999999999999"/>
    <x v="24"/>
    <n v="815.68"/>
    <m/>
  </r>
  <r>
    <s v="ORD-1433"/>
    <d v="2024-08-07T00:00:00"/>
    <s v="CUST-100"/>
    <x v="24"/>
    <x v="2"/>
    <x v="3"/>
    <x v="0"/>
    <x v="16"/>
    <s v="$10.11"/>
    <s v="Wednesday"/>
    <x v="10"/>
    <x v="0"/>
    <b v="0"/>
    <b v="0"/>
    <s v="Standard order"/>
    <n v="0.50549999999999995"/>
    <x v="23"/>
    <n v="192.08999999999997"/>
    <m/>
  </r>
  <r>
    <s v="ORD-1434"/>
    <d v="2024-09-25T00:00:00"/>
    <s v="CUST-146"/>
    <x v="23"/>
    <x v="0"/>
    <x v="1"/>
    <x v="4"/>
    <x v="18"/>
    <s v="$133.37"/>
    <s v="Wednesday"/>
    <x v="11"/>
    <x v="0"/>
    <b v="0"/>
    <b v="1"/>
    <s v="Large Order"/>
    <n v="6.6685000000000008"/>
    <x v="15"/>
    <n v="2267.29"/>
    <m/>
  </r>
  <r>
    <s v="ORD-1435"/>
    <d v="2024-10-10T00:00:00"/>
    <s v="CUST-102"/>
    <x v="15"/>
    <x v="1"/>
    <x v="2"/>
    <x v="3"/>
    <x v="11"/>
    <s v="$216.22"/>
    <s v="Thursday"/>
    <x v="3"/>
    <x v="0"/>
    <b v="0"/>
    <b v="1"/>
    <s v="Large Order"/>
    <n v="10.811"/>
    <x v="24"/>
    <n v="2810.86"/>
    <m/>
  </r>
  <r>
    <s v="ORD-1436"/>
    <d v="2024-01-09T00:00:00"/>
    <s v="CUST-145"/>
    <x v="24"/>
    <x v="0"/>
    <x v="3"/>
    <x v="3"/>
    <x v="0"/>
    <s v="$10.11"/>
    <s v="Tuesday"/>
    <x v="6"/>
    <x v="0"/>
    <b v="0"/>
    <b v="0"/>
    <s v="Standard order"/>
    <n v="0.50549999999999995"/>
    <x v="13"/>
    <n v="40.44"/>
    <m/>
  </r>
  <r>
    <s v="ORD-1437"/>
    <d v="2024-03-09T00:00:00"/>
    <s v="CUST-105"/>
    <x v="13"/>
    <x v="1"/>
    <x v="1"/>
    <x v="1"/>
    <x v="6"/>
    <s v="$156.44"/>
    <s v="Saturday"/>
    <x v="4"/>
    <x v="0"/>
    <b v="1"/>
    <b v="1"/>
    <s v="Large Order"/>
    <n v="7.8220000000000001"/>
    <x v="0"/>
    <n v="938.64"/>
    <m/>
  </r>
  <r>
    <s v="ORD-1438"/>
    <d v="2024-12-22T00:00:00"/>
    <s v="CUST-161"/>
    <x v="1"/>
    <x v="2"/>
    <x v="4"/>
    <x v="1"/>
    <x v="13"/>
    <s v="$178.83"/>
    <s v="Sunday"/>
    <x v="1"/>
    <x v="0"/>
    <b v="1"/>
    <b v="0"/>
    <s v="Large Order"/>
    <n v="8.9415000000000013"/>
    <x v="11"/>
    <n v="536.49"/>
    <m/>
  </r>
  <r>
    <s v="ORD-1439"/>
    <d v="2024-01-19T00:00:00"/>
    <s v="CUST-137"/>
    <x v="11"/>
    <x v="0"/>
    <x v="0"/>
    <x v="3"/>
    <x v="4"/>
    <s v="$33.22"/>
    <s v="Friday"/>
    <x v="6"/>
    <x v="0"/>
    <b v="0"/>
    <b v="0"/>
    <s v="Standard order"/>
    <n v="1.661"/>
    <x v="2"/>
    <n v="66.44"/>
    <m/>
  </r>
  <r>
    <s v="ORD-1440"/>
    <d v="2024-09-20T00:00:00"/>
    <s v="CUST-150"/>
    <x v="3"/>
    <x v="2"/>
    <x v="2"/>
    <x v="2"/>
    <x v="4"/>
    <s v="$84.57"/>
    <s v="Friday"/>
    <x v="11"/>
    <x v="0"/>
    <b v="0"/>
    <b v="0"/>
    <s v="Standard order"/>
    <n v="4.2284999999999995"/>
    <x v="2"/>
    <n v="169.14"/>
    <m/>
  </r>
  <r>
    <s v="ORD-1441"/>
    <d v="2024-05-26T00:00:00"/>
    <s v="CUST-145"/>
    <x v="3"/>
    <x v="0"/>
    <x v="3"/>
    <x v="1"/>
    <x v="0"/>
    <s v="$84.57"/>
    <s v="Sunday"/>
    <x v="7"/>
    <x v="0"/>
    <b v="1"/>
    <b v="0"/>
    <s v="Standard order"/>
    <n v="4.2284999999999995"/>
    <x v="13"/>
    <n v="338.28"/>
    <m/>
  </r>
  <r>
    <s v="ORD-1442"/>
    <d v="2024-07-23T00:00:00"/>
    <s v="CUST-195"/>
    <x v="13"/>
    <x v="1"/>
    <x v="2"/>
    <x v="1"/>
    <x v="6"/>
    <s v="$156.44"/>
    <s v="Tuesday"/>
    <x v="8"/>
    <x v="0"/>
    <b v="0"/>
    <b v="1"/>
    <s v="Large Order"/>
    <n v="7.8220000000000001"/>
    <x v="16"/>
    <n v="938.64"/>
    <m/>
  </r>
  <r>
    <s v="ORD-1443"/>
    <d v="2024-07-07T00:00:00"/>
    <s v="CUST-166"/>
    <x v="16"/>
    <x v="1"/>
    <x v="0"/>
    <x v="4"/>
    <x v="3"/>
    <s v="$130.07"/>
    <s v="Sunday"/>
    <x v="8"/>
    <x v="0"/>
    <b v="1"/>
    <b v="1"/>
    <s v="Large Order"/>
    <n v="6.5034999999999998"/>
    <x v="19"/>
    <n v="1820.98"/>
    <m/>
  </r>
  <r>
    <s v="ORD-1444"/>
    <d v="2024-04-02T00:00:00"/>
    <s v="CUST-169"/>
    <x v="19"/>
    <x v="1"/>
    <x v="3"/>
    <x v="3"/>
    <x v="13"/>
    <s v="$145.48"/>
    <s v="Tuesday"/>
    <x v="2"/>
    <x v="0"/>
    <b v="0"/>
    <b v="0"/>
    <s v="Standard order"/>
    <n v="7.274"/>
    <x v="6"/>
    <n v="436.43999999999994"/>
    <m/>
  </r>
  <r>
    <s v="ORD-1445"/>
    <d v="2024-06-05T00:00:00"/>
    <s v="CUST-157"/>
    <x v="7"/>
    <x v="2"/>
    <x v="2"/>
    <x v="0"/>
    <x v="12"/>
    <s v="$107.34"/>
    <s v="Wednesday"/>
    <x v="9"/>
    <x v="0"/>
    <b v="0"/>
    <b v="1"/>
    <s v="Large Order"/>
    <n v="5.3670000000000009"/>
    <x v="1"/>
    <n v="1610.1000000000001"/>
    <m/>
  </r>
  <r>
    <s v="ORD-1446"/>
    <d v="2024-06-29T00:00:00"/>
    <s v="CUST-178"/>
    <x v="2"/>
    <x v="1"/>
    <x v="3"/>
    <x v="1"/>
    <x v="4"/>
    <s v="$88.18"/>
    <s v="Saturday"/>
    <x v="9"/>
    <x v="0"/>
    <b v="1"/>
    <b v="0"/>
    <s v="Standard order"/>
    <n v="4.4090000000000007"/>
    <x v="18"/>
    <n v="176.36"/>
    <m/>
  </r>
  <r>
    <s v="ORD-1447"/>
    <d v="2024-07-05T00:00:00"/>
    <s v="CUST-165"/>
    <x v="18"/>
    <x v="2"/>
    <x v="4"/>
    <x v="1"/>
    <x v="2"/>
    <s v="$230.68"/>
    <s v="Friday"/>
    <x v="8"/>
    <x v="0"/>
    <b v="0"/>
    <b v="0"/>
    <s v="Large Order"/>
    <n v="11.534000000000001"/>
    <x v="21"/>
    <n v="1153.4000000000001"/>
    <m/>
  </r>
  <r>
    <s v="ORD-1448"/>
    <d v="2024-01-18T00:00:00"/>
    <s v="CUST-116"/>
    <x v="21"/>
    <x v="0"/>
    <x v="4"/>
    <x v="4"/>
    <x v="5"/>
    <s v="$32.94"/>
    <s v="Thursday"/>
    <x v="6"/>
    <x v="0"/>
    <b v="0"/>
    <b v="0"/>
    <s v="Standard order"/>
    <n v="1.647"/>
    <x v="7"/>
    <n v="395.28"/>
    <m/>
  </r>
  <r>
    <s v="ORD-1449"/>
    <d v="2024-01-17T00:00:00"/>
    <s v="CUST-177"/>
    <x v="8"/>
    <x v="0"/>
    <x v="2"/>
    <x v="0"/>
    <x v="5"/>
    <s v="$208.85"/>
    <s v="Wednesday"/>
    <x v="6"/>
    <x v="0"/>
    <b v="0"/>
    <b v="1"/>
    <s v="Large Order"/>
    <n v="10.442500000000001"/>
    <x v="3"/>
    <n v="2506.1999999999998"/>
    <m/>
  </r>
  <r>
    <s v="ORD-1450"/>
    <d v="2024-10-20T00:00:00"/>
    <s v="CUST-117"/>
    <x v="4"/>
    <x v="2"/>
    <x v="3"/>
    <x v="2"/>
    <x v="9"/>
    <s v="$230.34"/>
    <s v="Sunday"/>
    <x v="3"/>
    <x v="0"/>
    <b v="1"/>
    <b v="1"/>
    <s v="Large Order"/>
    <n v="11.517000000000001"/>
    <x v="4"/>
    <n v="2533.7400000000002"/>
    <m/>
  </r>
  <r>
    <s v="ORD-1451"/>
    <d v="2024-02-28T00:00:00"/>
    <s v="CUST-103"/>
    <x v="5"/>
    <x v="2"/>
    <x v="4"/>
    <x v="4"/>
    <x v="18"/>
    <s v="$64.61"/>
    <s v="Wednesday"/>
    <x v="5"/>
    <x v="0"/>
    <b v="0"/>
    <b v="1"/>
    <s v="Large Order"/>
    <n v="3.2305000000000001"/>
    <x v="11"/>
    <n v="1098.3699999999999"/>
    <m/>
  </r>
  <r>
    <s v="ORD-1452"/>
    <d v="2024-03-01T00:00:00"/>
    <s v="CUST-133"/>
    <x v="11"/>
    <x v="1"/>
    <x v="2"/>
    <x v="1"/>
    <x v="19"/>
    <s v="$33.22"/>
    <s v="Friday"/>
    <x v="4"/>
    <x v="0"/>
    <b v="0"/>
    <b v="0"/>
    <s v="Large Order"/>
    <n v="1.661"/>
    <x v="12"/>
    <n v="664.4"/>
    <m/>
  </r>
  <r>
    <s v="ORD-1453"/>
    <d v="2024-04-12T00:00:00"/>
    <s v="CUST-115"/>
    <x v="12"/>
    <x v="0"/>
    <x v="0"/>
    <x v="1"/>
    <x v="6"/>
    <s v="$211.9"/>
    <s v="Friday"/>
    <x v="2"/>
    <x v="0"/>
    <b v="0"/>
    <b v="1"/>
    <s v="Large Order"/>
    <n v="10.595000000000001"/>
    <x v="10"/>
    <n v="1271.4000000000001"/>
    <m/>
  </r>
  <r>
    <s v="ORD-1454"/>
    <d v="2024-02-14T00:00:00"/>
    <s v="CUST-187"/>
    <x v="10"/>
    <x v="1"/>
    <x v="3"/>
    <x v="3"/>
    <x v="13"/>
    <s v="$46.19"/>
    <s v="Wednesday"/>
    <x v="5"/>
    <x v="0"/>
    <b v="0"/>
    <b v="0"/>
    <s v="Standard order"/>
    <n v="2.3094999999999999"/>
    <x v="7"/>
    <n v="138.57"/>
    <m/>
  </r>
  <r>
    <s v="ORD-1455"/>
    <d v="2024-06-02T00:00:00"/>
    <s v="CUST-120"/>
    <x v="8"/>
    <x v="2"/>
    <x v="4"/>
    <x v="2"/>
    <x v="18"/>
    <s v="$208.85"/>
    <s v="Sunday"/>
    <x v="9"/>
    <x v="0"/>
    <b v="1"/>
    <b v="1"/>
    <s v="Large Order"/>
    <n v="10.442500000000001"/>
    <x v="7"/>
    <n v="3550.45"/>
    <m/>
  </r>
  <r>
    <s v="ORD-1456"/>
    <d v="2024-03-12T00:00:00"/>
    <s v="CUST-130"/>
    <x v="8"/>
    <x v="1"/>
    <x v="0"/>
    <x v="1"/>
    <x v="15"/>
    <s v="$208.85"/>
    <s v="Tuesday"/>
    <x v="4"/>
    <x v="0"/>
    <b v="0"/>
    <b v="1"/>
    <s v="Large Order"/>
    <n v="10.442500000000001"/>
    <x v="8"/>
    <n v="3759.2999999999997"/>
    <m/>
  </r>
  <r>
    <s v="ORD-1457"/>
    <d v="2024-10-09T00:00:00"/>
    <s v="CUST-116"/>
    <x v="0"/>
    <x v="2"/>
    <x v="0"/>
    <x v="1"/>
    <x v="8"/>
    <s v="$146.06"/>
    <s v="Wednesday"/>
    <x v="3"/>
    <x v="0"/>
    <b v="0"/>
    <b v="1"/>
    <s v="Large Order"/>
    <n v="7.3030000000000008"/>
    <x v="8"/>
    <n v="1460.6"/>
    <m/>
  </r>
  <r>
    <s v="ORD-1458"/>
    <d v="2024-09-26T00:00:00"/>
    <s v="CUST-152"/>
    <x v="0"/>
    <x v="1"/>
    <x v="1"/>
    <x v="0"/>
    <x v="2"/>
    <s v="$146.06"/>
    <s v="Thursday"/>
    <x v="11"/>
    <x v="0"/>
    <b v="0"/>
    <b v="0"/>
    <s v="Large Order"/>
    <n v="7.3030000000000008"/>
    <x v="7"/>
    <n v="730.3"/>
    <m/>
  </r>
  <r>
    <s v="ORD-1459"/>
    <d v="2024-08-18T00:00:00"/>
    <s v="CUST-159"/>
    <x v="8"/>
    <x v="2"/>
    <x v="1"/>
    <x v="4"/>
    <x v="2"/>
    <s v="$208.85"/>
    <s v="Sunday"/>
    <x v="10"/>
    <x v="0"/>
    <b v="1"/>
    <b v="0"/>
    <s v="Large Order"/>
    <n v="10.442500000000001"/>
    <x v="17"/>
    <n v="1044.25"/>
    <m/>
  </r>
  <r>
    <s v="ORD-1460"/>
    <d v="2024-11-23T00:00:00"/>
    <s v="CUST-175"/>
    <x v="17"/>
    <x v="0"/>
    <x v="4"/>
    <x v="0"/>
    <x v="18"/>
    <s v="$26.59"/>
    <s v="Saturday"/>
    <x v="0"/>
    <x v="0"/>
    <b v="1"/>
    <b v="0"/>
    <s v="Standard order"/>
    <n v="1.3295000000000001"/>
    <x v="6"/>
    <n v="452.03"/>
    <m/>
  </r>
  <r>
    <s v="ORD-1461"/>
    <d v="2024-03-04T00:00:00"/>
    <s v="CUST-166"/>
    <x v="7"/>
    <x v="0"/>
    <x v="3"/>
    <x v="2"/>
    <x v="6"/>
    <s v="$107.34"/>
    <s v="Monday"/>
    <x v="4"/>
    <x v="0"/>
    <b v="0"/>
    <b v="0"/>
    <s v="Large Order"/>
    <n v="5.3670000000000009"/>
    <x v="2"/>
    <n v="644.04"/>
    <m/>
  </r>
  <r>
    <s v="ORD-1462"/>
    <d v="2024-06-26T00:00:00"/>
    <s v="CUST-166"/>
    <x v="3"/>
    <x v="1"/>
    <x v="0"/>
    <x v="4"/>
    <x v="10"/>
    <s v="$84.57"/>
    <s v="Wednesday"/>
    <x v="9"/>
    <x v="0"/>
    <b v="0"/>
    <b v="0"/>
    <s v="Large Order"/>
    <n v="4.2284999999999995"/>
    <x v="20"/>
    <n v="591.99"/>
    <m/>
  </r>
  <r>
    <s v="ORD-1463"/>
    <d v="2024-05-20T00:00:00"/>
    <s v="CUST-116"/>
    <x v="20"/>
    <x v="2"/>
    <x v="3"/>
    <x v="2"/>
    <x v="15"/>
    <s v="$81.02"/>
    <s v="Monday"/>
    <x v="7"/>
    <x v="0"/>
    <b v="0"/>
    <b v="1"/>
    <s v="Large Order"/>
    <n v="4.0510000000000002"/>
    <x v="5"/>
    <n v="1458.36"/>
    <m/>
  </r>
  <r>
    <s v="ORD-1464"/>
    <d v="2024-10-30T00:00:00"/>
    <s v="CUST-174"/>
    <x v="6"/>
    <x v="0"/>
    <x v="4"/>
    <x v="4"/>
    <x v="19"/>
    <s v="$86.6"/>
    <s v="Wednesday"/>
    <x v="3"/>
    <x v="0"/>
    <b v="0"/>
    <b v="1"/>
    <s v="Large Order"/>
    <n v="4.33"/>
    <x v="8"/>
    <n v="1732"/>
    <m/>
  </r>
  <r>
    <s v="ORD-1465"/>
    <d v="2024-06-21T00:00:00"/>
    <s v="CUST-172"/>
    <x v="0"/>
    <x v="0"/>
    <x v="0"/>
    <x v="4"/>
    <x v="4"/>
    <s v="$146.06"/>
    <s v="Friday"/>
    <x v="9"/>
    <x v="0"/>
    <b v="0"/>
    <b v="0"/>
    <s v="Standard order"/>
    <n v="7.3030000000000008"/>
    <x v="17"/>
    <n v="292.12"/>
    <m/>
  </r>
  <r>
    <s v="ORD-1466"/>
    <d v="2024-05-15T00:00:00"/>
    <s v="CUST-183"/>
    <x v="17"/>
    <x v="0"/>
    <x v="1"/>
    <x v="1"/>
    <x v="19"/>
    <s v="$26.59"/>
    <s v="Wednesday"/>
    <x v="7"/>
    <x v="0"/>
    <b v="0"/>
    <b v="0"/>
    <s v="Large Order"/>
    <n v="1.3295000000000001"/>
    <x v="4"/>
    <n v="531.79999999999995"/>
    <m/>
  </r>
  <r>
    <s v="ORD-1467"/>
    <d v="2024-11-17T00:00:00"/>
    <s v="CUST-169"/>
    <x v="5"/>
    <x v="1"/>
    <x v="3"/>
    <x v="1"/>
    <x v="7"/>
    <s v="$64.61"/>
    <s v="Sunday"/>
    <x v="0"/>
    <x v="0"/>
    <b v="1"/>
    <b v="0"/>
    <s v="Large Order"/>
    <n v="3.2305000000000001"/>
    <x v="6"/>
    <n v="516.88"/>
    <m/>
  </r>
  <r>
    <s v="ORD-1468"/>
    <d v="2024-06-01T00:00:00"/>
    <s v="CUST-158"/>
    <x v="7"/>
    <x v="0"/>
    <x v="0"/>
    <x v="1"/>
    <x v="12"/>
    <s v="$107.34"/>
    <s v="Saturday"/>
    <x v="9"/>
    <x v="0"/>
    <b v="1"/>
    <b v="1"/>
    <s v="Large Order"/>
    <n v="5.3670000000000009"/>
    <x v="13"/>
    <n v="1610.1000000000001"/>
    <m/>
  </r>
  <r>
    <s v="ORD-1469"/>
    <d v="2024-04-14T00:00:00"/>
    <s v="CUST-143"/>
    <x v="13"/>
    <x v="2"/>
    <x v="4"/>
    <x v="3"/>
    <x v="9"/>
    <s v="$156.44"/>
    <s v="Sunday"/>
    <x v="2"/>
    <x v="0"/>
    <b v="1"/>
    <b v="1"/>
    <s v="Large Order"/>
    <n v="7.8220000000000001"/>
    <x v="23"/>
    <n v="1720.84"/>
    <m/>
  </r>
  <r>
    <s v="ORD-1470"/>
    <d v="2024-07-23T00:00:00"/>
    <s v="CUST-116"/>
    <x v="23"/>
    <x v="1"/>
    <x v="1"/>
    <x v="1"/>
    <x v="0"/>
    <s v="$133.37"/>
    <s v="Tuesday"/>
    <x v="8"/>
    <x v="0"/>
    <b v="0"/>
    <b v="0"/>
    <s v="Large Order"/>
    <n v="6.6685000000000008"/>
    <x v="0"/>
    <n v="533.48"/>
    <m/>
  </r>
  <r>
    <s v="ORD-1471"/>
    <d v="2024-03-03T00:00:00"/>
    <s v="CUST-134"/>
    <x v="1"/>
    <x v="1"/>
    <x v="4"/>
    <x v="1"/>
    <x v="0"/>
    <s v="$178.83"/>
    <s v="Sunday"/>
    <x v="4"/>
    <x v="0"/>
    <b v="1"/>
    <b v="0"/>
    <s v="Large Order"/>
    <n v="8.9415000000000013"/>
    <x v="13"/>
    <n v="715.32"/>
    <m/>
  </r>
  <r>
    <s v="ORD-1472"/>
    <d v="2024-11-11T00:00:00"/>
    <s v="CUST-153"/>
    <x v="13"/>
    <x v="0"/>
    <x v="4"/>
    <x v="2"/>
    <x v="16"/>
    <s v="$156.44"/>
    <s v="Monday"/>
    <x v="0"/>
    <x v="0"/>
    <b v="0"/>
    <b v="1"/>
    <s v="Large Order"/>
    <n v="7.8220000000000001"/>
    <x v="4"/>
    <n v="2972.36"/>
    <m/>
  </r>
  <r>
    <s v="ORD-1473"/>
    <d v="2024-03-22T00:00:00"/>
    <s v="CUST-163"/>
    <x v="5"/>
    <x v="2"/>
    <x v="2"/>
    <x v="0"/>
    <x v="8"/>
    <s v="$64.61"/>
    <s v="Friday"/>
    <x v="4"/>
    <x v="0"/>
    <b v="0"/>
    <b v="0"/>
    <s v="Large Order"/>
    <n v="3.2305000000000001"/>
    <x v="11"/>
    <n v="646.1"/>
    <m/>
  </r>
  <r>
    <s v="ORD-1474"/>
    <d v="2024-07-20T00:00:00"/>
    <s v="CUST-164"/>
    <x v="11"/>
    <x v="1"/>
    <x v="4"/>
    <x v="0"/>
    <x v="16"/>
    <s v="$33.22"/>
    <s v="Saturday"/>
    <x v="8"/>
    <x v="0"/>
    <b v="1"/>
    <b v="0"/>
    <s v="Large Order"/>
    <n v="1.661"/>
    <x v="14"/>
    <n v="631.17999999999995"/>
    <m/>
  </r>
  <r>
    <s v="ORD-1475"/>
    <d v="2024-05-24T00:00:00"/>
    <s v="CUST-163"/>
    <x v="14"/>
    <x v="2"/>
    <x v="2"/>
    <x v="0"/>
    <x v="15"/>
    <s v="$201.32"/>
    <s v="Friday"/>
    <x v="7"/>
    <x v="0"/>
    <b v="0"/>
    <b v="1"/>
    <s v="Large Order"/>
    <n v="10.066000000000001"/>
    <x v="21"/>
    <n v="3623.7599999999998"/>
    <m/>
  </r>
  <r>
    <s v="ORD-1476"/>
    <d v="2024-08-08T00:00:00"/>
    <s v="CUST-117"/>
    <x v="21"/>
    <x v="1"/>
    <x v="3"/>
    <x v="1"/>
    <x v="11"/>
    <s v="$32.94"/>
    <s v="Thursday"/>
    <x v="10"/>
    <x v="0"/>
    <b v="0"/>
    <b v="0"/>
    <s v="Standard order"/>
    <n v="1.647"/>
    <x v="7"/>
    <n v="428.21999999999997"/>
    <m/>
  </r>
  <r>
    <s v="ORD-1477"/>
    <d v="2024-01-27T00:00:00"/>
    <s v="CUST-172"/>
    <x v="8"/>
    <x v="2"/>
    <x v="4"/>
    <x v="1"/>
    <x v="15"/>
    <s v="$208.85"/>
    <s v="Saturday"/>
    <x v="6"/>
    <x v="0"/>
    <b v="1"/>
    <b v="1"/>
    <s v="Large Order"/>
    <n v="10.442500000000001"/>
    <x v="20"/>
    <n v="3759.2999999999997"/>
    <m/>
  </r>
  <r>
    <s v="ORD-1478"/>
    <d v="2024-09-15T00:00:00"/>
    <s v="CUST-157"/>
    <x v="20"/>
    <x v="2"/>
    <x v="3"/>
    <x v="0"/>
    <x v="19"/>
    <s v="$81.02"/>
    <s v="Sunday"/>
    <x v="11"/>
    <x v="0"/>
    <b v="1"/>
    <b v="1"/>
    <s v="Large Order"/>
    <n v="4.0510000000000002"/>
    <x v="7"/>
    <n v="1620.3999999999999"/>
    <m/>
  </r>
  <r>
    <s v="ORD-1479"/>
    <d v="2024-07-20T00:00:00"/>
    <s v="CUST-147"/>
    <x v="8"/>
    <x v="1"/>
    <x v="1"/>
    <x v="4"/>
    <x v="2"/>
    <s v="$208.85"/>
    <s v="Saturday"/>
    <x v="8"/>
    <x v="0"/>
    <b v="1"/>
    <b v="0"/>
    <s v="Large Order"/>
    <n v="10.442500000000001"/>
    <x v="15"/>
    <n v="1044.25"/>
    <m/>
  </r>
  <r>
    <s v="ORD-1480"/>
    <d v="2024-07-24T00:00:00"/>
    <s v="CUST-164"/>
    <x v="15"/>
    <x v="0"/>
    <x v="0"/>
    <x v="1"/>
    <x v="2"/>
    <s v="$216.22"/>
    <s v="Wednesday"/>
    <x v="8"/>
    <x v="0"/>
    <b v="0"/>
    <b v="0"/>
    <s v="Large Order"/>
    <n v="10.811"/>
    <x v="22"/>
    <n v="1081.0999999999999"/>
    <m/>
  </r>
  <r>
    <s v="ORD-1481"/>
    <d v="2024-09-22T00:00:00"/>
    <s v="CUST-158"/>
    <x v="22"/>
    <x v="0"/>
    <x v="1"/>
    <x v="4"/>
    <x v="2"/>
    <s v="$149.27"/>
    <s v="Sunday"/>
    <x v="11"/>
    <x v="0"/>
    <b v="1"/>
    <b v="0"/>
    <s v="Large Order"/>
    <n v="7.4635000000000007"/>
    <x v="16"/>
    <n v="746.35"/>
    <m/>
  </r>
  <r>
    <s v="ORD-1482"/>
    <d v="2024-06-12T00:00:00"/>
    <s v="CUST-120"/>
    <x v="16"/>
    <x v="1"/>
    <x v="1"/>
    <x v="4"/>
    <x v="8"/>
    <s v="$130.07"/>
    <s v="Wednesday"/>
    <x v="9"/>
    <x v="0"/>
    <b v="0"/>
    <b v="1"/>
    <s v="Large Order"/>
    <n v="6.5034999999999998"/>
    <x v="14"/>
    <n v="1300.6999999999998"/>
    <m/>
  </r>
  <r>
    <s v="ORD-1483"/>
    <d v="2024-09-17T00:00:00"/>
    <s v="CUST-168"/>
    <x v="14"/>
    <x v="1"/>
    <x v="1"/>
    <x v="3"/>
    <x v="17"/>
    <s v="$201.32"/>
    <s v="Tuesday"/>
    <x v="11"/>
    <x v="0"/>
    <b v="0"/>
    <b v="1"/>
    <s v="Large Order"/>
    <n v="10.066000000000001"/>
    <x v="9"/>
    <n v="3221.12"/>
    <m/>
  </r>
  <r>
    <s v="ORD-1484"/>
    <d v="2024-06-18T00:00:00"/>
    <s v="CUST-186"/>
    <x v="9"/>
    <x v="0"/>
    <x v="2"/>
    <x v="0"/>
    <x v="8"/>
    <s v="$101.96"/>
    <s v="Tuesday"/>
    <x v="9"/>
    <x v="0"/>
    <b v="0"/>
    <b v="1"/>
    <s v="Large Order"/>
    <n v="5.0979999999999999"/>
    <x v="9"/>
    <n v="1019.5999999999999"/>
    <m/>
  </r>
  <r>
    <s v="ORD-1485"/>
    <d v="2024-11-01T00:00:00"/>
    <s v="CUST-160"/>
    <x v="9"/>
    <x v="1"/>
    <x v="1"/>
    <x v="4"/>
    <x v="7"/>
    <s v="$101.96"/>
    <s v="Friday"/>
    <x v="0"/>
    <x v="0"/>
    <b v="0"/>
    <b v="1"/>
    <s v="Large Order"/>
    <n v="5.0979999999999999"/>
    <x v="21"/>
    <n v="815.68"/>
    <m/>
  </r>
  <r>
    <s v="ORD-1486"/>
    <d v="2024-09-02T00:00:00"/>
    <s v="CUST-121"/>
    <x v="21"/>
    <x v="2"/>
    <x v="1"/>
    <x v="2"/>
    <x v="11"/>
    <s v="$32.94"/>
    <s v="Monday"/>
    <x v="11"/>
    <x v="0"/>
    <b v="0"/>
    <b v="0"/>
    <s v="Standard order"/>
    <n v="1.647"/>
    <x v="11"/>
    <n v="428.21999999999997"/>
    <m/>
  </r>
  <r>
    <s v="ORD-1487"/>
    <d v="2024-01-17T00:00:00"/>
    <s v="CUST-173"/>
    <x v="11"/>
    <x v="2"/>
    <x v="0"/>
    <x v="1"/>
    <x v="1"/>
    <s v="$33.22"/>
    <s v="Wednesday"/>
    <x v="6"/>
    <x v="0"/>
    <b v="0"/>
    <b v="0"/>
    <s v="Standard order"/>
    <n v="1.661"/>
    <x v="17"/>
    <n v="33.22"/>
    <m/>
  </r>
  <r>
    <s v="ORD-1488"/>
    <d v="2024-03-18T00:00:00"/>
    <s v="CUST-152"/>
    <x v="17"/>
    <x v="2"/>
    <x v="4"/>
    <x v="1"/>
    <x v="18"/>
    <s v="$26.59"/>
    <s v="Monday"/>
    <x v="4"/>
    <x v="0"/>
    <b v="0"/>
    <b v="0"/>
    <s v="Standard order"/>
    <n v="1.3295000000000001"/>
    <x v="11"/>
    <n v="452.03"/>
    <m/>
  </r>
  <r>
    <s v="ORD-1489"/>
    <d v="2024-02-01T00:00:00"/>
    <s v="CUST-190"/>
    <x v="11"/>
    <x v="0"/>
    <x v="1"/>
    <x v="1"/>
    <x v="15"/>
    <s v="$33.22"/>
    <s v="Thursday"/>
    <x v="5"/>
    <x v="0"/>
    <b v="0"/>
    <b v="0"/>
    <s v="Large Order"/>
    <n v="1.661"/>
    <x v="12"/>
    <n v="597.96"/>
    <m/>
  </r>
  <r>
    <s v="ORD-1490"/>
    <d v="2024-09-26T00:00:00"/>
    <s v="CUST-148"/>
    <x v="12"/>
    <x v="1"/>
    <x v="4"/>
    <x v="3"/>
    <x v="15"/>
    <s v="$211.9"/>
    <s v="Thursday"/>
    <x v="11"/>
    <x v="0"/>
    <b v="0"/>
    <b v="1"/>
    <s v="Large Order"/>
    <n v="10.595000000000001"/>
    <x v="20"/>
    <n v="3814.2000000000003"/>
    <m/>
  </r>
  <r>
    <s v="ORD-1491"/>
    <d v="2024-12-12T00:00:00"/>
    <s v="CUST-198"/>
    <x v="20"/>
    <x v="2"/>
    <x v="3"/>
    <x v="2"/>
    <x v="17"/>
    <s v="$81.02"/>
    <s v="Thursday"/>
    <x v="1"/>
    <x v="0"/>
    <b v="0"/>
    <b v="1"/>
    <s v="Large Order"/>
    <n v="4.0510000000000002"/>
    <x v="14"/>
    <n v="1296.32"/>
    <m/>
  </r>
  <r>
    <s v="ORD-1492"/>
    <d v="2024-05-22T00:00:00"/>
    <s v="CUST-171"/>
    <x v="14"/>
    <x v="1"/>
    <x v="4"/>
    <x v="1"/>
    <x v="8"/>
    <s v="$201.32"/>
    <s v="Wednesday"/>
    <x v="7"/>
    <x v="0"/>
    <b v="0"/>
    <b v="1"/>
    <s v="Large Order"/>
    <n v="10.066000000000001"/>
    <x v="16"/>
    <n v="2013.1999999999998"/>
    <m/>
  </r>
  <r>
    <s v="ORD-1493"/>
    <d v="2024-06-11T00:00:00"/>
    <s v="CUST-161"/>
    <x v="16"/>
    <x v="1"/>
    <x v="1"/>
    <x v="4"/>
    <x v="14"/>
    <s v="$130.07"/>
    <s v="Tuesday"/>
    <x v="9"/>
    <x v="0"/>
    <b v="0"/>
    <b v="1"/>
    <s v="Large Order"/>
    <n v="6.5034999999999998"/>
    <x v="7"/>
    <n v="1170.6299999999999"/>
    <m/>
  </r>
  <r>
    <s v="ORD-1494"/>
    <d v="2024-12-12T00:00:00"/>
    <s v="CUST-169"/>
    <x v="8"/>
    <x v="1"/>
    <x v="2"/>
    <x v="3"/>
    <x v="2"/>
    <s v="$208.85"/>
    <s v="Thursday"/>
    <x v="1"/>
    <x v="0"/>
    <b v="0"/>
    <b v="0"/>
    <s v="Large Order"/>
    <n v="10.442500000000001"/>
    <x v="16"/>
    <n v="1044.25"/>
    <m/>
  </r>
  <r>
    <s v="ORD-1495"/>
    <d v="2024-02-10T00:00:00"/>
    <s v="CUST-144"/>
    <x v="16"/>
    <x v="1"/>
    <x v="3"/>
    <x v="4"/>
    <x v="17"/>
    <s v="$130.07"/>
    <s v="Saturday"/>
    <x v="5"/>
    <x v="0"/>
    <b v="1"/>
    <b v="1"/>
    <s v="Large Order"/>
    <n v="6.5034999999999998"/>
    <x v="0"/>
    <n v="2081.12"/>
    <m/>
  </r>
  <r>
    <s v="ORD-1496"/>
    <d v="2024-05-18T00:00:00"/>
    <s v="CUST-171"/>
    <x v="1"/>
    <x v="2"/>
    <x v="3"/>
    <x v="4"/>
    <x v="0"/>
    <s v="$178.83"/>
    <s v="Saturday"/>
    <x v="7"/>
    <x v="0"/>
    <b v="1"/>
    <b v="0"/>
    <s v="Large Order"/>
    <n v="8.9415000000000013"/>
    <x v="24"/>
    <n v="715.32"/>
    <m/>
  </r>
  <r>
    <s v="ORD-1497"/>
    <d v="2024-05-02T00:00:00"/>
    <s v="CUST-131"/>
    <x v="24"/>
    <x v="0"/>
    <x v="1"/>
    <x v="1"/>
    <x v="7"/>
    <s v="$10.11"/>
    <s v="Thursday"/>
    <x v="7"/>
    <x v="0"/>
    <b v="0"/>
    <b v="0"/>
    <s v="Standard order"/>
    <n v="0.50549999999999995"/>
    <x v="5"/>
    <n v="80.88"/>
    <m/>
  </r>
  <r>
    <s v="ORD-1498"/>
    <d v="2024-06-18T00:00:00"/>
    <s v="CUST-191"/>
    <x v="6"/>
    <x v="1"/>
    <x v="0"/>
    <x v="4"/>
    <x v="2"/>
    <s v="$86.6"/>
    <s v="Tuesday"/>
    <x v="9"/>
    <x v="0"/>
    <b v="0"/>
    <b v="0"/>
    <s v="Standard order"/>
    <n v="4.33"/>
    <x v="4"/>
    <n v="433"/>
    <m/>
  </r>
  <r>
    <s v="ORD-1499"/>
    <d v="2024-03-21T00:00:00"/>
    <s v="CUST-152"/>
    <x v="5"/>
    <x v="2"/>
    <x v="2"/>
    <x v="3"/>
    <x v="10"/>
    <s v="$64.61"/>
    <s v="Thursday"/>
    <x v="4"/>
    <x v="0"/>
    <b v="0"/>
    <b v="0"/>
    <s v="Standard order"/>
    <n v="3.2305000000000001"/>
    <x v="21"/>
    <n v="452.27"/>
    <m/>
  </r>
  <r>
    <s v="ORD-1500"/>
    <d v="2024-06-13T00:00:00"/>
    <s v="CUST-136"/>
    <x v="21"/>
    <x v="2"/>
    <x v="0"/>
    <x v="2"/>
    <x v="13"/>
    <s v="$32.94"/>
    <s v="Thursday"/>
    <x v="9"/>
    <x v="0"/>
    <b v="0"/>
    <b v="0"/>
    <s v="Standard order"/>
    <n v="1.647"/>
    <x v="6"/>
    <n v="98.82"/>
    <m/>
  </r>
  <r>
    <s v="ORD-1501"/>
    <d v="2024-09-30T00:00:00"/>
    <s v="CUST-194"/>
    <x v="7"/>
    <x v="2"/>
    <x v="0"/>
    <x v="2"/>
    <x v="3"/>
    <s v="$107.34"/>
    <s v="Monday"/>
    <x v="11"/>
    <x v="0"/>
    <b v="0"/>
    <b v="1"/>
    <s v="Large Order"/>
    <n v="5.3670000000000009"/>
    <x v="16"/>
    <n v="1502.76"/>
    <m/>
  </r>
  <r>
    <s v="ORD-1502"/>
    <d v="2024-01-19T00:00:00"/>
    <s v="CUST-150"/>
    <x v="16"/>
    <x v="1"/>
    <x v="4"/>
    <x v="0"/>
    <x v="8"/>
    <s v="$130.07"/>
    <s v="Friday"/>
    <x v="6"/>
    <x v="0"/>
    <b v="0"/>
    <b v="1"/>
    <s v="Large Order"/>
    <n v="6.5034999999999998"/>
    <x v="13"/>
    <n v="1300.6999999999998"/>
    <m/>
  </r>
  <r>
    <s v="ORD-1503"/>
    <d v="2024-06-01T00:00:00"/>
    <s v="CUST-172"/>
    <x v="13"/>
    <x v="2"/>
    <x v="0"/>
    <x v="4"/>
    <x v="8"/>
    <s v="$156.44"/>
    <s v="Saturday"/>
    <x v="9"/>
    <x v="0"/>
    <b v="1"/>
    <b v="1"/>
    <s v="Large Order"/>
    <n v="7.8220000000000001"/>
    <x v="12"/>
    <n v="1564.4"/>
    <m/>
  </r>
  <r>
    <s v="ORD-1504"/>
    <d v="2024-09-25T00:00:00"/>
    <s v="CUST-163"/>
    <x v="12"/>
    <x v="0"/>
    <x v="1"/>
    <x v="0"/>
    <x v="14"/>
    <s v="$211.9"/>
    <s v="Wednesday"/>
    <x v="11"/>
    <x v="0"/>
    <b v="0"/>
    <b v="1"/>
    <s v="Large Order"/>
    <n v="10.595000000000001"/>
    <x v="1"/>
    <n v="1907.1000000000001"/>
    <m/>
  </r>
  <r>
    <s v="ORD-1505"/>
    <d v="2024-06-18T00:00:00"/>
    <s v="CUST-120"/>
    <x v="2"/>
    <x v="2"/>
    <x v="2"/>
    <x v="0"/>
    <x v="14"/>
    <s v="$88.18"/>
    <s v="Tuesday"/>
    <x v="9"/>
    <x v="0"/>
    <b v="0"/>
    <b v="1"/>
    <s v="Large Order"/>
    <n v="4.4090000000000007"/>
    <x v="6"/>
    <n v="793.62000000000012"/>
    <m/>
  </r>
  <r>
    <s v="ORD-1506"/>
    <d v="2024-06-21T00:00:00"/>
    <s v="CUST-137"/>
    <x v="7"/>
    <x v="2"/>
    <x v="4"/>
    <x v="1"/>
    <x v="19"/>
    <s v="$107.34"/>
    <s v="Friday"/>
    <x v="9"/>
    <x v="0"/>
    <b v="0"/>
    <b v="1"/>
    <s v="Large Order"/>
    <n v="5.3670000000000009"/>
    <x v="3"/>
    <n v="2146.8000000000002"/>
    <m/>
  </r>
  <r>
    <s v="ORD-1507"/>
    <d v="2024-08-06T00:00:00"/>
    <s v="CUST-165"/>
    <x v="4"/>
    <x v="1"/>
    <x v="0"/>
    <x v="2"/>
    <x v="0"/>
    <s v="$230.34"/>
    <s v="Tuesday"/>
    <x v="10"/>
    <x v="0"/>
    <b v="0"/>
    <b v="0"/>
    <s v="Large Order"/>
    <n v="11.517000000000001"/>
    <x v="2"/>
    <n v="921.36"/>
    <m/>
  </r>
  <r>
    <s v="ORD-1508"/>
    <d v="2024-09-01T00:00:00"/>
    <s v="CUST-141"/>
    <x v="3"/>
    <x v="0"/>
    <x v="0"/>
    <x v="3"/>
    <x v="11"/>
    <s v="$84.57"/>
    <s v="Sunday"/>
    <x v="11"/>
    <x v="0"/>
    <b v="1"/>
    <b v="1"/>
    <s v="Large Order"/>
    <n v="4.2284999999999995"/>
    <x v="18"/>
    <n v="1099.4099999999999"/>
    <m/>
  </r>
  <r>
    <s v="ORD-1509"/>
    <d v="2024-06-17T00:00:00"/>
    <s v="CUST-138"/>
    <x v="18"/>
    <x v="2"/>
    <x v="1"/>
    <x v="2"/>
    <x v="14"/>
    <s v="$230.68"/>
    <s v="Monday"/>
    <x v="9"/>
    <x v="0"/>
    <b v="0"/>
    <b v="1"/>
    <s v="Large Order"/>
    <n v="11.534000000000001"/>
    <x v="14"/>
    <n v="2076.12"/>
    <m/>
  </r>
  <r>
    <s v="ORD-1510"/>
    <d v="2024-02-01T00:00:00"/>
    <s v="CUST-185"/>
    <x v="14"/>
    <x v="0"/>
    <x v="2"/>
    <x v="4"/>
    <x v="6"/>
    <s v="$201.32"/>
    <s v="Thursday"/>
    <x v="5"/>
    <x v="0"/>
    <b v="0"/>
    <b v="1"/>
    <s v="Large Order"/>
    <n v="10.066000000000001"/>
    <x v="1"/>
    <n v="1207.92"/>
    <m/>
  </r>
  <r>
    <s v="ORD-1511"/>
    <d v="2024-12-26T00:00:00"/>
    <s v="CUST-198"/>
    <x v="2"/>
    <x v="1"/>
    <x v="0"/>
    <x v="2"/>
    <x v="8"/>
    <s v="$88.18"/>
    <s v="Thursday"/>
    <x v="1"/>
    <x v="0"/>
    <b v="0"/>
    <b v="1"/>
    <s v="Large Order"/>
    <n v="4.4090000000000007"/>
    <x v="12"/>
    <n v="881.80000000000007"/>
    <m/>
  </r>
  <r>
    <s v="ORD-1512"/>
    <d v="2024-04-22T00:00:00"/>
    <s v="CUST-117"/>
    <x v="12"/>
    <x v="1"/>
    <x v="4"/>
    <x v="4"/>
    <x v="19"/>
    <s v="$211.9"/>
    <s v="Monday"/>
    <x v="2"/>
    <x v="0"/>
    <b v="0"/>
    <b v="1"/>
    <s v="Large Order"/>
    <n v="10.595000000000001"/>
    <x v="21"/>
    <n v="4238"/>
    <m/>
  </r>
  <r>
    <s v="ORD-1513"/>
    <d v="2024-08-29T00:00:00"/>
    <s v="CUST-196"/>
    <x v="21"/>
    <x v="2"/>
    <x v="4"/>
    <x v="4"/>
    <x v="7"/>
    <s v="$32.94"/>
    <s v="Thursday"/>
    <x v="10"/>
    <x v="0"/>
    <b v="0"/>
    <b v="0"/>
    <s v="Standard order"/>
    <n v="1.647"/>
    <x v="10"/>
    <n v="263.52"/>
    <m/>
  </r>
  <r>
    <s v="ORD-1514"/>
    <d v="2024-02-11T00:00:00"/>
    <s v="CUST-167"/>
    <x v="10"/>
    <x v="1"/>
    <x v="1"/>
    <x v="4"/>
    <x v="5"/>
    <s v="$46.19"/>
    <s v="Sunday"/>
    <x v="5"/>
    <x v="0"/>
    <b v="1"/>
    <b v="0"/>
    <s v="Large Order"/>
    <n v="2.3094999999999999"/>
    <x v="11"/>
    <n v="554.28"/>
    <m/>
  </r>
  <r>
    <s v="ORD-1515"/>
    <d v="2024-02-27T00:00:00"/>
    <s v="CUST-107"/>
    <x v="11"/>
    <x v="2"/>
    <x v="1"/>
    <x v="2"/>
    <x v="16"/>
    <s v="$33.22"/>
    <s v="Tuesday"/>
    <x v="5"/>
    <x v="0"/>
    <b v="0"/>
    <b v="0"/>
    <s v="Large Order"/>
    <n v="1.661"/>
    <x v="5"/>
    <n v="631.17999999999995"/>
    <m/>
  </r>
  <r>
    <s v="ORD-1516"/>
    <d v="2024-06-16T00:00:00"/>
    <s v="CUST-166"/>
    <x v="6"/>
    <x v="1"/>
    <x v="0"/>
    <x v="1"/>
    <x v="10"/>
    <s v="$86.6"/>
    <s v="Sunday"/>
    <x v="9"/>
    <x v="0"/>
    <b v="1"/>
    <b v="0"/>
    <s v="Large Order"/>
    <n v="4.33"/>
    <x v="12"/>
    <n v="606.19999999999993"/>
    <m/>
  </r>
  <r>
    <s v="ORD-1517"/>
    <d v="2024-02-16T00:00:00"/>
    <s v="CUST-165"/>
    <x v="12"/>
    <x v="1"/>
    <x v="0"/>
    <x v="1"/>
    <x v="2"/>
    <s v="$211.9"/>
    <s v="Friday"/>
    <x v="5"/>
    <x v="0"/>
    <b v="0"/>
    <b v="0"/>
    <s v="Large Order"/>
    <n v="10.595000000000001"/>
    <x v="5"/>
    <n v="1059.5"/>
    <m/>
  </r>
  <r>
    <s v="ORD-1518"/>
    <d v="2024-10-15T00:00:00"/>
    <s v="CUST-107"/>
    <x v="6"/>
    <x v="2"/>
    <x v="2"/>
    <x v="1"/>
    <x v="8"/>
    <s v="$86.6"/>
    <s v="Tuesday"/>
    <x v="3"/>
    <x v="0"/>
    <b v="0"/>
    <b v="1"/>
    <s v="Large Order"/>
    <n v="4.33"/>
    <x v="9"/>
    <n v="866"/>
    <m/>
  </r>
  <r>
    <s v="ORD-1519"/>
    <d v="2024-05-10T00:00:00"/>
    <s v="CUST-100"/>
    <x v="9"/>
    <x v="2"/>
    <x v="4"/>
    <x v="3"/>
    <x v="13"/>
    <s v="$101.96"/>
    <s v="Friday"/>
    <x v="7"/>
    <x v="0"/>
    <b v="0"/>
    <b v="0"/>
    <s v="Standard order"/>
    <n v="5.0979999999999999"/>
    <x v="8"/>
    <n v="305.88"/>
    <m/>
  </r>
  <r>
    <s v="ORD-1520"/>
    <d v="2024-12-24T00:00:00"/>
    <s v="CUST-108"/>
    <x v="0"/>
    <x v="2"/>
    <x v="0"/>
    <x v="1"/>
    <x v="17"/>
    <s v="$146.06"/>
    <s v="Tuesday"/>
    <x v="1"/>
    <x v="0"/>
    <b v="0"/>
    <b v="1"/>
    <s v="Large Order"/>
    <n v="7.3030000000000008"/>
    <x v="7"/>
    <n v="2336.96"/>
    <m/>
  </r>
  <r>
    <s v="ORD-1521"/>
    <d v="2024-04-02T00:00:00"/>
    <s v="CUST-198"/>
    <x v="8"/>
    <x v="0"/>
    <x v="2"/>
    <x v="1"/>
    <x v="11"/>
    <s v="$208.85"/>
    <s v="Tuesday"/>
    <x v="2"/>
    <x v="0"/>
    <b v="0"/>
    <b v="1"/>
    <s v="Large Order"/>
    <n v="10.442500000000001"/>
    <x v="0"/>
    <n v="2715.0499999999997"/>
    <m/>
  </r>
  <r>
    <s v="ORD-1522"/>
    <d v="2024-07-11T00:00:00"/>
    <s v="CUST-110"/>
    <x v="1"/>
    <x v="2"/>
    <x v="1"/>
    <x v="4"/>
    <x v="5"/>
    <s v="$178.83"/>
    <s v="Thursday"/>
    <x v="8"/>
    <x v="0"/>
    <b v="0"/>
    <b v="1"/>
    <s v="Large Order"/>
    <n v="8.9415000000000013"/>
    <x v="18"/>
    <n v="2145.96"/>
    <m/>
  </r>
  <r>
    <s v="ORD-1523"/>
    <d v="2024-07-20T00:00:00"/>
    <s v="CUST-167"/>
    <x v="18"/>
    <x v="0"/>
    <x v="4"/>
    <x v="1"/>
    <x v="1"/>
    <s v="$230.68"/>
    <s v="Saturday"/>
    <x v="8"/>
    <x v="0"/>
    <b v="1"/>
    <b v="0"/>
    <s v="Standard order"/>
    <n v="11.534000000000001"/>
    <x v="23"/>
    <n v="230.68"/>
    <m/>
  </r>
  <r>
    <s v="ORD-1524"/>
    <d v="2024-12-10T00:00:00"/>
    <s v="CUST-192"/>
    <x v="23"/>
    <x v="2"/>
    <x v="2"/>
    <x v="2"/>
    <x v="11"/>
    <s v="$133.37"/>
    <s v="Tuesday"/>
    <x v="1"/>
    <x v="0"/>
    <b v="0"/>
    <b v="1"/>
    <s v="Large Order"/>
    <n v="6.6685000000000008"/>
    <x v="11"/>
    <n v="1733.81"/>
    <m/>
  </r>
  <r>
    <s v="ORD-1525"/>
    <d v="2024-08-23T00:00:00"/>
    <s v="CUST-144"/>
    <x v="11"/>
    <x v="0"/>
    <x v="3"/>
    <x v="1"/>
    <x v="0"/>
    <s v="$33.22"/>
    <s v="Friday"/>
    <x v="10"/>
    <x v="0"/>
    <b v="0"/>
    <b v="0"/>
    <s v="Standard order"/>
    <n v="1.661"/>
    <x v="11"/>
    <n v="132.88"/>
    <m/>
  </r>
  <r>
    <s v="ORD-1526"/>
    <d v="2024-11-10T00:00:00"/>
    <s v="CUST-198"/>
    <x v="11"/>
    <x v="0"/>
    <x v="4"/>
    <x v="0"/>
    <x v="13"/>
    <s v="$33.22"/>
    <s v="Sunday"/>
    <x v="0"/>
    <x v="0"/>
    <b v="1"/>
    <b v="0"/>
    <s v="Standard order"/>
    <n v="1.661"/>
    <x v="24"/>
    <n v="99.66"/>
    <m/>
  </r>
  <r>
    <s v="ORD-1527"/>
    <d v="2024-08-16T00:00:00"/>
    <s v="CUST-176"/>
    <x v="24"/>
    <x v="2"/>
    <x v="0"/>
    <x v="2"/>
    <x v="4"/>
    <s v="$10.11"/>
    <s v="Friday"/>
    <x v="10"/>
    <x v="0"/>
    <b v="0"/>
    <b v="0"/>
    <s v="Standard order"/>
    <n v="0.50549999999999995"/>
    <x v="22"/>
    <n v="20.22"/>
    <m/>
  </r>
  <r>
    <s v="ORD-1528"/>
    <d v="2024-10-03T00:00:00"/>
    <s v="CUST-127"/>
    <x v="22"/>
    <x v="0"/>
    <x v="4"/>
    <x v="4"/>
    <x v="8"/>
    <s v="$149.27"/>
    <s v="Thursday"/>
    <x v="3"/>
    <x v="0"/>
    <b v="0"/>
    <b v="1"/>
    <s v="Large Order"/>
    <n v="7.4635000000000007"/>
    <x v="24"/>
    <n v="1492.7"/>
    <m/>
  </r>
  <r>
    <s v="ORD-1529"/>
    <d v="2024-06-12T00:00:00"/>
    <s v="CUST-173"/>
    <x v="24"/>
    <x v="2"/>
    <x v="3"/>
    <x v="4"/>
    <x v="8"/>
    <s v="$10.11"/>
    <s v="Wednesday"/>
    <x v="9"/>
    <x v="0"/>
    <b v="0"/>
    <b v="0"/>
    <s v="Standard order"/>
    <n v="0.50549999999999995"/>
    <x v="15"/>
    <n v="101.1"/>
    <m/>
  </r>
  <r>
    <s v="ORD-1530"/>
    <d v="2024-04-23T00:00:00"/>
    <s v="CUST-152"/>
    <x v="15"/>
    <x v="1"/>
    <x v="3"/>
    <x v="2"/>
    <x v="15"/>
    <s v="$216.22"/>
    <s v="Tuesday"/>
    <x v="2"/>
    <x v="0"/>
    <b v="0"/>
    <b v="1"/>
    <s v="Large Order"/>
    <n v="10.811"/>
    <x v="4"/>
    <n v="3891.96"/>
    <m/>
  </r>
  <r>
    <s v="ORD-1531"/>
    <d v="2024-11-16T00:00:00"/>
    <s v="CUST-186"/>
    <x v="5"/>
    <x v="1"/>
    <x v="1"/>
    <x v="1"/>
    <x v="4"/>
    <s v="$64.61"/>
    <s v="Saturday"/>
    <x v="0"/>
    <x v="0"/>
    <b v="1"/>
    <b v="0"/>
    <s v="Standard order"/>
    <n v="3.2305000000000001"/>
    <x v="17"/>
    <n v="129.22"/>
    <m/>
  </r>
  <r>
    <s v="ORD-1532"/>
    <d v="2024-09-25T00:00:00"/>
    <s v="CUST-140"/>
    <x v="17"/>
    <x v="2"/>
    <x v="2"/>
    <x v="2"/>
    <x v="2"/>
    <s v="$26.59"/>
    <s v="Wednesday"/>
    <x v="11"/>
    <x v="0"/>
    <b v="0"/>
    <b v="0"/>
    <s v="Standard order"/>
    <n v="1.3295000000000001"/>
    <x v="14"/>
    <n v="132.94999999999999"/>
    <m/>
  </r>
  <r>
    <s v="ORD-1533"/>
    <d v="2024-10-02T00:00:00"/>
    <s v="CUST-160"/>
    <x v="14"/>
    <x v="0"/>
    <x v="4"/>
    <x v="0"/>
    <x v="2"/>
    <s v="$201.32"/>
    <s v="Wednesday"/>
    <x v="3"/>
    <x v="0"/>
    <b v="0"/>
    <b v="0"/>
    <s v="Large Order"/>
    <n v="10.066000000000001"/>
    <x v="22"/>
    <n v="1006.5999999999999"/>
    <m/>
  </r>
  <r>
    <s v="ORD-1534"/>
    <d v="2024-10-14T00:00:00"/>
    <s v="CUST-152"/>
    <x v="22"/>
    <x v="1"/>
    <x v="1"/>
    <x v="3"/>
    <x v="2"/>
    <s v="$149.27"/>
    <s v="Monday"/>
    <x v="3"/>
    <x v="0"/>
    <b v="0"/>
    <b v="0"/>
    <s v="Large Order"/>
    <n v="7.4635000000000007"/>
    <x v="12"/>
    <n v="746.35"/>
    <m/>
  </r>
  <r>
    <s v="ORD-1535"/>
    <d v="2024-04-14T00:00:00"/>
    <s v="CUST-142"/>
    <x v="12"/>
    <x v="2"/>
    <x v="0"/>
    <x v="2"/>
    <x v="5"/>
    <s v="$211.9"/>
    <s v="Sunday"/>
    <x v="2"/>
    <x v="0"/>
    <b v="1"/>
    <b v="1"/>
    <s v="Large Order"/>
    <n v="10.595000000000001"/>
    <x v="20"/>
    <n v="2542.8000000000002"/>
    <m/>
  </r>
  <r>
    <s v="ORD-1536"/>
    <d v="2024-01-27T00:00:00"/>
    <s v="CUST-134"/>
    <x v="20"/>
    <x v="1"/>
    <x v="1"/>
    <x v="2"/>
    <x v="4"/>
    <s v="$81.02"/>
    <s v="Saturday"/>
    <x v="6"/>
    <x v="0"/>
    <b v="1"/>
    <b v="0"/>
    <s v="Standard order"/>
    <n v="4.0510000000000002"/>
    <x v="11"/>
    <n v="162.04"/>
    <m/>
  </r>
  <r>
    <s v="ORD-1537"/>
    <d v="2024-10-27T00:00:00"/>
    <s v="CUST-192"/>
    <x v="11"/>
    <x v="2"/>
    <x v="1"/>
    <x v="3"/>
    <x v="17"/>
    <s v="$33.22"/>
    <s v="Sunday"/>
    <x v="3"/>
    <x v="0"/>
    <b v="1"/>
    <b v="0"/>
    <s v="Large Order"/>
    <n v="1.661"/>
    <x v="16"/>
    <n v="531.52"/>
    <m/>
  </r>
  <r>
    <s v="ORD-1538"/>
    <d v="2024-06-04T00:00:00"/>
    <s v="CUST-101"/>
    <x v="16"/>
    <x v="0"/>
    <x v="4"/>
    <x v="1"/>
    <x v="0"/>
    <s v="$130.07"/>
    <s v="Tuesday"/>
    <x v="9"/>
    <x v="0"/>
    <b v="0"/>
    <b v="0"/>
    <s v="Large Order"/>
    <n v="6.5034999999999998"/>
    <x v="3"/>
    <n v="520.28"/>
    <m/>
  </r>
  <r>
    <s v="ORD-1539"/>
    <d v="2024-05-04T00:00:00"/>
    <s v="CUST-189"/>
    <x v="4"/>
    <x v="2"/>
    <x v="4"/>
    <x v="3"/>
    <x v="7"/>
    <s v="$230.34"/>
    <s v="Saturday"/>
    <x v="7"/>
    <x v="0"/>
    <b v="1"/>
    <b v="1"/>
    <s v="Large Order"/>
    <n v="11.517000000000001"/>
    <x v="14"/>
    <n v="1842.72"/>
    <m/>
  </r>
  <r>
    <s v="ORD-1540"/>
    <d v="2024-07-13T00:00:00"/>
    <s v="CUST-159"/>
    <x v="14"/>
    <x v="2"/>
    <x v="3"/>
    <x v="1"/>
    <x v="14"/>
    <s v="$201.32"/>
    <s v="Saturday"/>
    <x v="8"/>
    <x v="0"/>
    <b v="1"/>
    <b v="1"/>
    <s v="Large Order"/>
    <n v="10.066000000000001"/>
    <x v="21"/>
    <n v="1811.8799999999999"/>
    <m/>
  </r>
  <r>
    <s v="ORD-1541"/>
    <d v="2024-08-26T00:00:00"/>
    <s v="CUST-112"/>
    <x v="21"/>
    <x v="2"/>
    <x v="2"/>
    <x v="3"/>
    <x v="9"/>
    <s v="$32.94"/>
    <s v="Monday"/>
    <x v="10"/>
    <x v="0"/>
    <b v="0"/>
    <b v="0"/>
    <s v="Standard order"/>
    <n v="1.647"/>
    <x v="24"/>
    <n v="362.34"/>
    <m/>
  </r>
  <r>
    <s v="ORD-1542"/>
    <d v="2024-06-09T00:00:00"/>
    <s v="CUST-152"/>
    <x v="24"/>
    <x v="0"/>
    <x v="1"/>
    <x v="4"/>
    <x v="2"/>
    <s v="$10.11"/>
    <s v="Sunday"/>
    <x v="9"/>
    <x v="0"/>
    <b v="1"/>
    <b v="0"/>
    <s v="Standard order"/>
    <n v="0.50549999999999995"/>
    <x v="14"/>
    <n v="50.55"/>
    <m/>
  </r>
  <r>
    <s v="ORD-1543"/>
    <d v="2024-10-26T00:00:00"/>
    <s v="CUST-174"/>
    <x v="14"/>
    <x v="2"/>
    <x v="2"/>
    <x v="2"/>
    <x v="2"/>
    <s v="$201.32"/>
    <s v="Saturday"/>
    <x v="3"/>
    <x v="0"/>
    <b v="1"/>
    <b v="0"/>
    <s v="Large Order"/>
    <n v="10.066000000000001"/>
    <x v="23"/>
    <n v="1006.5999999999999"/>
    <m/>
  </r>
  <r>
    <s v="ORD-1544"/>
    <d v="2024-07-13T00:00:00"/>
    <s v="CUST-172"/>
    <x v="23"/>
    <x v="0"/>
    <x v="2"/>
    <x v="1"/>
    <x v="9"/>
    <s v="$133.37"/>
    <s v="Saturday"/>
    <x v="8"/>
    <x v="0"/>
    <b v="1"/>
    <b v="1"/>
    <s v="Large Order"/>
    <n v="6.6685000000000008"/>
    <x v="6"/>
    <n v="1467.0700000000002"/>
    <m/>
  </r>
  <r>
    <s v="ORD-1545"/>
    <d v="2024-11-24T00:00:00"/>
    <s v="CUST-194"/>
    <x v="7"/>
    <x v="1"/>
    <x v="2"/>
    <x v="4"/>
    <x v="5"/>
    <s v="$107.34"/>
    <s v="Sunday"/>
    <x v="0"/>
    <x v="0"/>
    <b v="1"/>
    <b v="1"/>
    <s v="Large Order"/>
    <n v="5.3670000000000009"/>
    <x v="22"/>
    <n v="1288.08"/>
    <m/>
  </r>
  <r>
    <s v="ORD-1546"/>
    <d v="2024-09-07T00:00:00"/>
    <s v="CUST-123"/>
    <x v="22"/>
    <x v="2"/>
    <x v="0"/>
    <x v="0"/>
    <x v="4"/>
    <s v="$149.27"/>
    <s v="Saturday"/>
    <x v="11"/>
    <x v="0"/>
    <b v="1"/>
    <b v="0"/>
    <s v="Standard order"/>
    <n v="7.4635000000000007"/>
    <x v="0"/>
    <n v="298.54000000000002"/>
    <m/>
  </r>
  <r>
    <s v="ORD-1547"/>
    <d v="2024-12-08T00:00:00"/>
    <s v="CUST-106"/>
    <x v="1"/>
    <x v="0"/>
    <x v="2"/>
    <x v="2"/>
    <x v="7"/>
    <s v="$178.83"/>
    <s v="Sunday"/>
    <x v="1"/>
    <x v="0"/>
    <b v="1"/>
    <b v="1"/>
    <s v="Large Order"/>
    <n v="8.9415000000000013"/>
    <x v="7"/>
    <n v="1430.64"/>
    <m/>
  </r>
  <r>
    <s v="ORD-1548"/>
    <d v="2024-01-05T00:00:00"/>
    <s v="CUST-127"/>
    <x v="8"/>
    <x v="2"/>
    <x v="2"/>
    <x v="4"/>
    <x v="4"/>
    <s v="$208.85"/>
    <s v="Friday"/>
    <x v="6"/>
    <x v="0"/>
    <b v="0"/>
    <b v="0"/>
    <s v="Standard order"/>
    <n v="10.442500000000001"/>
    <x v="18"/>
    <n v="417.7"/>
    <m/>
  </r>
  <r>
    <s v="ORD-1549"/>
    <d v="2024-09-04T00:00:00"/>
    <s v="CUST-184"/>
    <x v="18"/>
    <x v="1"/>
    <x v="0"/>
    <x v="0"/>
    <x v="15"/>
    <s v="$230.68"/>
    <s v="Wednesday"/>
    <x v="11"/>
    <x v="0"/>
    <b v="0"/>
    <b v="1"/>
    <s v="Large Order"/>
    <n v="11.534000000000001"/>
    <x v="23"/>
    <n v="4152.24"/>
    <m/>
  </r>
  <r>
    <s v="ORD-1550"/>
    <d v="2024-01-09T00:00:00"/>
    <s v="CUST-167"/>
    <x v="23"/>
    <x v="2"/>
    <x v="3"/>
    <x v="1"/>
    <x v="8"/>
    <s v="$133.37"/>
    <s v="Tuesday"/>
    <x v="6"/>
    <x v="0"/>
    <b v="0"/>
    <b v="1"/>
    <s v="Large Order"/>
    <n v="6.6685000000000008"/>
    <x v="0"/>
    <n v="1333.7"/>
    <m/>
  </r>
  <r>
    <s v="ORD-1551"/>
    <d v="2024-04-01T00:00:00"/>
    <s v="CUST-113"/>
    <x v="1"/>
    <x v="0"/>
    <x v="1"/>
    <x v="4"/>
    <x v="7"/>
    <s v="$178.83"/>
    <s v="Monday"/>
    <x v="2"/>
    <x v="0"/>
    <b v="0"/>
    <b v="1"/>
    <s v="Large Order"/>
    <n v="8.9415000000000013"/>
    <x v="8"/>
    <n v="1430.64"/>
    <m/>
  </r>
  <r>
    <s v="ORD-1552"/>
    <d v="2024-05-09T00:00:00"/>
    <s v="CUST-145"/>
    <x v="0"/>
    <x v="1"/>
    <x v="2"/>
    <x v="1"/>
    <x v="5"/>
    <s v="$146.06"/>
    <s v="Thursday"/>
    <x v="7"/>
    <x v="0"/>
    <b v="0"/>
    <b v="1"/>
    <s v="Large Order"/>
    <n v="7.3030000000000008"/>
    <x v="14"/>
    <n v="1752.72"/>
    <m/>
  </r>
  <r>
    <s v="ORD-1553"/>
    <d v="2024-10-16T00:00:00"/>
    <s v="CUST-131"/>
    <x v="14"/>
    <x v="2"/>
    <x v="4"/>
    <x v="0"/>
    <x v="13"/>
    <s v="$201.32"/>
    <s v="Wednesday"/>
    <x v="3"/>
    <x v="0"/>
    <b v="0"/>
    <b v="0"/>
    <s v="Large Order"/>
    <n v="10.066000000000001"/>
    <x v="23"/>
    <n v="603.96"/>
    <m/>
  </r>
  <r>
    <s v="ORD-1554"/>
    <d v="2024-02-17T00:00:00"/>
    <s v="CUST-151"/>
    <x v="23"/>
    <x v="1"/>
    <x v="2"/>
    <x v="0"/>
    <x v="17"/>
    <s v="$133.37"/>
    <s v="Saturday"/>
    <x v="5"/>
    <x v="0"/>
    <b v="1"/>
    <b v="1"/>
    <s v="Large Order"/>
    <n v="6.6685000000000008"/>
    <x v="17"/>
    <n v="2133.92"/>
    <m/>
  </r>
  <r>
    <s v="ORD-1555"/>
    <d v="2024-12-25T00:00:00"/>
    <s v="CUST-121"/>
    <x v="17"/>
    <x v="0"/>
    <x v="2"/>
    <x v="0"/>
    <x v="9"/>
    <s v="$26.59"/>
    <s v="Wednesday"/>
    <x v="1"/>
    <x v="0"/>
    <b v="0"/>
    <b v="0"/>
    <s v="Standard order"/>
    <n v="1.3295000000000001"/>
    <x v="10"/>
    <n v="292.49"/>
    <m/>
  </r>
  <r>
    <s v="ORD-1556"/>
    <d v="2024-09-27T00:00:00"/>
    <s v="CUST-105"/>
    <x v="10"/>
    <x v="0"/>
    <x v="4"/>
    <x v="0"/>
    <x v="16"/>
    <s v="$46.19"/>
    <s v="Friday"/>
    <x v="11"/>
    <x v="0"/>
    <b v="0"/>
    <b v="1"/>
    <s v="Large Order"/>
    <n v="2.3094999999999999"/>
    <x v="9"/>
    <n v="877.6099999999999"/>
    <m/>
  </r>
  <r>
    <s v="ORD-1557"/>
    <d v="2024-02-08T00:00:00"/>
    <s v="CUST-187"/>
    <x v="9"/>
    <x v="1"/>
    <x v="1"/>
    <x v="3"/>
    <x v="4"/>
    <s v="$101.96"/>
    <s v="Thursday"/>
    <x v="5"/>
    <x v="0"/>
    <b v="0"/>
    <b v="0"/>
    <s v="Standard order"/>
    <n v="5.0979999999999999"/>
    <x v="21"/>
    <n v="203.92"/>
    <m/>
  </r>
  <r>
    <s v="ORD-1558"/>
    <d v="2024-01-09T00:00:00"/>
    <s v="CUST-126"/>
    <x v="21"/>
    <x v="2"/>
    <x v="4"/>
    <x v="3"/>
    <x v="11"/>
    <s v="$32.94"/>
    <s v="Tuesday"/>
    <x v="6"/>
    <x v="0"/>
    <b v="0"/>
    <b v="0"/>
    <s v="Standard order"/>
    <n v="1.647"/>
    <x v="3"/>
    <n v="428.21999999999997"/>
    <m/>
  </r>
  <r>
    <s v="ORD-1559"/>
    <d v="2024-03-24T00:00:00"/>
    <s v="CUST-172"/>
    <x v="4"/>
    <x v="0"/>
    <x v="1"/>
    <x v="2"/>
    <x v="15"/>
    <s v="$230.34"/>
    <s v="Sunday"/>
    <x v="4"/>
    <x v="0"/>
    <b v="1"/>
    <b v="1"/>
    <s v="Large Order"/>
    <n v="11.517000000000001"/>
    <x v="16"/>
    <n v="4146.12"/>
    <m/>
  </r>
  <r>
    <s v="ORD-1560"/>
    <d v="2024-12-18T00:00:00"/>
    <s v="CUST-192"/>
    <x v="16"/>
    <x v="0"/>
    <x v="1"/>
    <x v="1"/>
    <x v="5"/>
    <s v="$130.07"/>
    <s v="Wednesday"/>
    <x v="1"/>
    <x v="0"/>
    <b v="0"/>
    <b v="1"/>
    <s v="Large Order"/>
    <n v="6.5034999999999998"/>
    <x v="21"/>
    <n v="1560.84"/>
    <m/>
  </r>
  <r>
    <s v="ORD-1561"/>
    <d v="2024-04-28T00:00:00"/>
    <s v="CUST-109"/>
    <x v="21"/>
    <x v="1"/>
    <x v="1"/>
    <x v="1"/>
    <x v="19"/>
    <s v="$32.94"/>
    <s v="Sunday"/>
    <x v="2"/>
    <x v="0"/>
    <b v="1"/>
    <b v="0"/>
    <s v="Large Order"/>
    <n v="1.647"/>
    <x v="12"/>
    <n v="658.8"/>
    <m/>
  </r>
  <r>
    <s v="ORD-1562"/>
    <d v="2024-06-16T00:00:00"/>
    <s v="CUST-103"/>
    <x v="12"/>
    <x v="2"/>
    <x v="3"/>
    <x v="4"/>
    <x v="17"/>
    <s v="$211.9"/>
    <s v="Sunday"/>
    <x v="9"/>
    <x v="0"/>
    <b v="1"/>
    <b v="1"/>
    <s v="Large Order"/>
    <n v="10.595000000000001"/>
    <x v="5"/>
    <n v="3390.4"/>
    <m/>
  </r>
  <r>
    <s v="ORD-1563"/>
    <d v="2024-07-11T00:00:00"/>
    <s v="CUST-155"/>
    <x v="6"/>
    <x v="0"/>
    <x v="1"/>
    <x v="4"/>
    <x v="11"/>
    <s v="$86.6"/>
    <s v="Thursday"/>
    <x v="8"/>
    <x v="0"/>
    <b v="0"/>
    <b v="1"/>
    <s v="Large Order"/>
    <n v="4.33"/>
    <x v="8"/>
    <n v="1125.8"/>
    <m/>
  </r>
  <r>
    <s v="ORD-1564"/>
    <d v="2024-05-31T00:00:00"/>
    <s v="CUST-131"/>
    <x v="0"/>
    <x v="2"/>
    <x v="0"/>
    <x v="2"/>
    <x v="14"/>
    <s v="$146.06"/>
    <s v="Friday"/>
    <x v="7"/>
    <x v="0"/>
    <b v="0"/>
    <b v="1"/>
    <s v="Large Order"/>
    <n v="7.3030000000000008"/>
    <x v="8"/>
    <n v="1314.54"/>
    <m/>
  </r>
  <r>
    <s v="ORD-1565"/>
    <d v="2024-07-18T00:00:00"/>
    <s v="CUST-140"/>
    <x v="0"/>
    <x v="1"/>
    <x v="0"/>
    <x v="1"/>
    <x v="1"/>
    <s v="$146.06"/>
    <s v="Thursday"/>
    <x v="8"/>
    <x v="0"/>
    <b v="0"/>
    <b v="0"/>
    <s v="Standard order"/>
    <n v="7.3030000000000008"/>
    <x v="0"/>
    <n v="146.06"/>
    <m/>
  </r>
  <r>
    <s v="ORD-1566"/>
    <d v="2024-07-03T00:00:00"/>
    <s v="CUST-197"/>
    <x v="1"/>
    <x v="1"/>
    <x v="0"/>
    <x v="1"/>
    <x v="13"/>
    <s v="$178.83"/>
    <s v="Wednesday"/>
    <x v="8"/>
    <x v="0"/>
    <b v="0"/>
    <b v="0"/>
    <s v="Large Order"/>
    <n v="8.9415000000000013"/>
    <x v="19"/>
    <n v="536.49"/>
    <m/>
  </r>
  <r>
    <s v="ORD-1567"/>
    <d v="2024-10-12T00:00:00"/>
    <s v="CUST-171"/>
    <x v="19"/>
    <x v="2"/>
    <x v="2"/>
    <x v="4"/>
    <x v="1"/>
    <s v="$145.48"/>
    <s v="Saturday"/>
    <x v="3"/>
    <x v="0"/>
    <b v="1"/>
    <b v="0"/>
    <s v="Standard order"/>
    <n v="7.274"/>
    <x v="3"/>
    <n v="145.47999999999999"/>
    <m/>
  </r>
  <r>
    <s v="ORD-1568"/>
    <d v="2024-02-17T00:00:00"/>
    <s v="CUST-176"/>
    <x v="4"/>
    <x v="2"/>
    <x v="3"/>
    <x v="1"/>
    <x v="1"/>
    <s v="$230.34"/>
    <s v="Saturday"/>
    <x v="5"/>
    <x v="0"/>
    <b v="1"/>
    <b v="0"/>
    <s v="Standard order"/>
    <n v="11.517000000000001"/>
    <x v="9"/>
    <n v="230.34"/>
    <m/>
  </r>
  <r>
    <s v="ORD-1569"/>
    <d v="2024-02-13T00:00:00"/>
    <s v="CUST-192"/>
    <x v="9"/>
    <x v="2"/>
    <x v="4"/>
    <x v="1"/>
    <x v="18"/>
    <s v="$101.96"/>
    <s v="Tuesday"/>
    <x v="5"/>
    <x v="0"/>
    <b v="0"/>
    <b v="1"/>
    <s v="Large Order"/>
    <n v="5.0979999999999999"/>
    <x v="2"/>
    <n v="1733.32"/>
    <m/>
  </r>
  <r>
    <s v="ORD-1570"/>
    <d v="2024-03-27T00:00:00"/>
    <s v="CUST-117"/>
    <x v="3"/>
    <x v="1"/>
    <x v="3"/>
    <x v="2"/>
    <x v="17"/>
    <s v="$84.57"/>
    <s v="Wednesday"/>
    <x v="4"/>
    <x v="0"/>
    <b v="0"/>
    <b v="1"/>
    <s v="Large Order"/>
    <n v="4.2284999999999995"/>
    <x v="4"/>
    <n v="1353.12"/>
    <m/>
  </r>
  <r>
    <s v="ORD-1571"/>
    <d v="2024-08-10T00:00:00"/>
    <s v="CUST-135"/>
    <x v="5"/>
    <x v="1"/>
    <x v="3"/>
    <x v="2"/>
    <x v="13"/>
    <s v="$64.61"/>
    <s v="Saturday"/>
    <x v="10"/>
    <x v="0"/>
    <b v="1"/>
    <b v="0"/>
    <s v="Standard order"/>
    <n v="3.2305000000000001"/>
    <x v="11"/>
    <n v="193.82999999999998"/>
    <m/>
  </r>
  <r>
    <s v="ORD-1572"/>
    <d v="2024-11-16T00:00:00"/>
    <s v="CUST-163"/>
    <x v="11"/>
    <x v="2"/>
    <x v="1"/>
    <x v="3"/>
    <x v="12"/>
    <s v="$33.22"/>
    <s v="Saturday"/>
    <x v="0"/>
    <x v="0"/>
    <b v="1"/>
    <b v="0"/>
    <s v="Standard order"/>
    <n v="1.661"/>
    <x v="3"/>
    <n v="498.29999999999995"/>
    <m/>
  </r>
  <r>
    <s v="ORD-1573"/>
    <d v="2024-01-04T00:00:00"/>
    <s v="CUST-150"/>
    <x v="4"/>
    <x v="1"/>
    <x v="1"/>
    <x v="1"/>
    <x v="9"/>
    <s v="$230.34"/>
    <s v="Thursday"/>
    <x v="6"/>
    <x v="0"/>
    <b v="0"/>
    <b v="1"/>
    <s v="Large Order"/>
    <n v="11.517000000000001"/>
    <x v="13"/>
    <n v="2533.7400000000002"/>
    <m/>
  </r>
  <r>
    <s v="ORD-1574"/>
    <d v="2024-11-29T00:00:00"/>
    <s v="CUST-176"/>
    <x v="13"/>
    <x v="0"/>
    <x v="3"/>
    <x v="2"/>
    <x v="19"/>
    <s v="$156.44"/>
    <s v="Friday"/>
    <x v="0"/>
    <x v="0"/>
    <b v="0"/>
    <b v="1"/>
    <s v="Large Order"/>
    <n v="7.8220000000000001"/>
    <x v="13"/>
    <n v="3128.8"/>
    <m/>
  </r>
  <r>
    <s v="ORD-1575"/>
    <d v="2024-09-02T00:00:00"/>
    <s v="CUST-140"/>
    <x v="13"/>
    <x v="0"/>
    <x v="2"/>
    <x v="1"/>
    <x v="8"/>
    <s v="$156.44"/>
    <s v="Monday"/>
    <x v="11"/>
    <x v="0"/>
    <b v="0"/>
    <b v="1"/>
    <s v="Large Order"/>
    <n v="7.8220000000000001"/>
    <x v="3"/>
    <n v="1564.4"/>
    <m/>
  </r>
  <r>
    <s v="ORD-1576"/>
    <d v="2024-10-21T00:00:00"/>
    <s v="CUST-200"/>
    <x v="4"/>
    <x v="0"/>
    <x v="3"/>
    <x v="1"/>
    <x v="14"/>
    <s v="$230.34"/>
    <s v="Monday"/>
    <x v="3"/>
    <x v="0"/>
    <b v="0"/>
    <b v="1"/>
    <s v="Large Order"/>
    <n v="11.517000000000001"/>
    <x v="9"/>
    <n v="2073.06"/>
    <m/>
  </r>
  <r>
    <s v="ORD-1577"/>
    <d v="2024-07-05T00:00:00"/>
    <s v="CUST-114"/>
    <x v="9"/>
    <x v="2"/>
    <x v="4"/>
    <x v="4"/>
    <x v="15"/>
    <s v="$101.96"/>
    <s v="Friday"/>
    <x v="8"/>
    <x v="0"/>
    <b v="0"/>
    <b v="1"/>
    <s v="Large Order"/>
    <n v="5.0979999999999999"/>
    <x v="12"/>
    <n v="1835.28"/>
    <m/>
  </r>
  <r>
    <s v="ORD-1578"/>
    <d v="2024-01-14T00:00:00"/>
    <s v="CUST-193"/>
    <x v="12"/>
    <x v="1"/>
    <x v="4"/>
    <x v="0"/>
    <x v="8"/>
    <s v="$211.9"/>
    <s v="Sunday"/>
    <x v="6"/>
    <x v="0"/>
    <b v="1"/>
    <b v="1"/>
    <s v="Large Order"/>
    <n v="10.595000000000001"/>
    <x v="1"/>
    <n v="2119"/>
    <m/>
  </r>
  <r>
    <s v="ORD-1579"/>
    <d v="2024-07-28T00:00:00"/>
    <s v="CUST-186"/>
    <x v="2"/>
    <x v="1"/>
    <x v="4"/>
    <x v="2"/>
    <x v="8"/>
    <s v="$88.18"/>
    <s v="Sunday"/>
    <x v="8"/>
    <x v="0"/>
    <b v="1"/>
    <b v="1"/>
    <s v="Large Order"/>
    <n v="4.4090000000000007"/>
    <x v="20"/>
    <n v="881.80000000000007"/>
    <m/>
  </r>
  <r>
    <s v="ORD-1580"/>
    <d v="2024-08-04T00:00:00"/>
    <s v="CUST-148"/>
    <x v="20"/>
    <x v="0"/>
    <x v="2"/>
    <x v="4"/>
    <x v="17"/>
    <s v="$81.02"/>
    <s v="Sunday"/>
    <x v="10"/>
    <x v="0"/>
    <b v="1"/>
    <b v="1"/>
    <s v="Large Order"/>
    <n v="4.0510000000000002"/>
    <x v="15"/>
    <n v="1296.32"/>
    <m/>
  </r>
  <r>
    <s v="ORD-1581"/>
    <d v="2024-09-16T00:00:00"/>
    <s v="CUST-188"/>
    <x v="15"/>
    <x v="1"/>
    <x v="1"/>
    <x v="4"/>
    <x v="5"/>
    <s v="$216.22"/>
    <s v="Monday"/>
    <x v="11"/>
    <x v="0"/>
    <b v="0"/>
    <b v="1"/>
    <s v="Large Order"/>
    <n v="10.811"/>
    <x v="21"/>
    <n v="2594.64"/>
    <m/>
  </r>
  <r>
    <s v="ORD-1582"/>
    <d v="2024-10-31T00:00:00"/>
    <s v="CUST-181"/>
    <x v="21"/>
    <x v="0"/>
    <x v="0"/>
    <x v="3"/>
    <x v="7"/>
    <s v="$32.94"/>
    <s v="Thursday"/>
    <x v="3"/>
    <x v="0"/>
    <b v="0"/>
    <b v="0"/>
    <s v="Standard order"/>
    <n v="1.647"/>
    <x v="9"/>
    <n v="263.52"/>
    <m/>
  </r>
  <r>
    <s v="ORD-1583"/>
    <d v="2024-03-26T00:00:00"/>
    <s v="CUST-182"/>
    <x v="9"/>
    <x v="2"/>
    <x v="0"/>
    <x v="3"/>
    <x v="11"/>
    <s v="$101.96"/>
    <s v="Tuesday"/>
    <x v="4"/>
    <x v="0"/>
    <b v="0"/>
    <b v="1"/>
    <s v="Large Order"/>
    <n v="5.0979999999999999"/>
    <x v="2"/>
    <n v="1325.48"/>
    <m/>
  </r>
  <r>
    <s v="ORD-1584"/>
    <d v="2024-08-08T00:00:00"/>
    <s v="CUST-113"/>
    <x v="3"/>
    <x v="0"/>
    <x v="0"/>
    <x v="4"/>
    <x v="7"/>
    <s v="$84.57"/>
    <s v="Thursday"/>
    <x v="10"/>
    <x v="0"/>
    <b v="0"/>
    <b v="0"/>
    <s v="Large Order"/>
    <n v="4.2284999999999995"/>
    <x v="24"/>
    <n v="676.56"/>
    <m/>
  </r>
  <r>
    <s v="ORD-1585"/>
    <d v="2024-10-12T00:00:00"/>
    <s v="CUST-174"/>
    <x v="24"/>
    <x v="2"/>
    <x v="1"/>
    <x v="1"/>
    <x v="12"/>
    <s v="$10.11"/>
    <s v="Saturday"/>
    <x v="3"/>
    <x v="0"/>
    <b v="1"/>
    <b v="0"/>
    <s v="Standard order"/>
    <n v="0.50549999999999995"/>
    <x v="0"/>
    <n v="151.64999999999998"/>
    <m/>
  </r>
  <r>
    <s v="ORD-1586"/>
    <d v="2024-12-13T00:00:00"/>
    <s v="CUST-175"/>
    <x v="1"/>
    <x v="2"/>
    <x v="1"/>
    <x v="1"/>
    <x v="5"/>
    <s v="$178.83"/>
    <s v="Friday"/>
    <x v="1"/>
    <x v="0"/>
    <b v="0"/>
    <b v="1"/>
    <s v="Large Order"/>
    <n v="8.9415000000000013"/>
    <x v="19"/>
    <n v="2145.96"/>
    <m/>
  </r>
  <r>
    <s v="ORD-1587"/>
    <d v="2024-02-23T00:00:00"/>
    <s v="CUST-137"/>
    <x v="19"/>
    <x v="1"/>
    <x v="0"/>
    <x v="3"/>
    <x v="2"/>
    <s v="$145.48"/>
    <s v="Friday"/>
    <x v="5"/>
    <x v="0"/>
    <b v="0"/>
    <b v="0"/>
    <s v="Large Order"/>
    <n v="7.274"/>
    <x v="4"/>
    <n v="727.4"/>
    <m/>
  </r>
  <r>
    <s v="ORD-1588"/>
    <d v="2024-08-21T00:00:00"/>
    <s v="CUST-200"/>
    <x v="5"/>
    <x v="0"/>
    <x v="1"/>
    <x v="1"/>
    <x v="5"/>
    <s v="$64.61"/>
    <s v="Wednesday"/>
    <x v="10"/>
    <x v="0"/>
    <b v="0"/>
    <b v="1"/>
    <s v="Large Order"/>
    <n v="3.2305000000000001"/>
    <x v="14"/>
    <n v="775.31999999999994"/>
    <m/>
  </r>
  <r>
    <s v="ORD-1589"/>
    <d v="2024-12-22T00:00:00"/>
    <s v="CUST-157"/>
    <x v="14"/>
    <x v="1"/>
    <x v="0"/>
    <x v="0"/>
    <x v="4"/>
    <s v="$201.32"/>
    <s v="Sunday"/>
    <x v="1"/>
    <x v="0"/>
    <b v="1"/>
    <b v="0"/>
    <s v="Standard order"/>
    <n v="10.066000000000001"/>
    <x v="5"/>
    <n v="402.64"/>
    <m/>
  </r>
  <r>
    <s v="ORD-1590"/>
    <d v="2024-01-12T00:00:00"/>
    <s v="CUST-143"/>
    <x v="6"/>
    <x v="2"/>
    <x v="0"/>
    <x v="2"/>
    <x v="6"/>
    <s v="$86.6"/>
    <s v="Friday"/>
    <x v="6"/>
    <x v="0"/>
    <b v="0"/>
    <b v="0"/>
    <s v="Large Order"/>
    <n v="4.33"/>
    <x v="13"/>
    <n v="519.59999999999991"/>
    <m/>
  </r>
  <r>
    <s v="ORD-1591"/>
    <d v="2024-09-21T00:00:00"/>
    <s v="CUST-122"/>
    <x v="13"/>
    <x v="2"/>
    <x v="4"/>
    <x v="1"/>
    <x v="15"/>
    <s v="$156.44"/>
    <s v="Saturday"/>
    <x v="11"/>
    <x v="0"/>
    <b v="1"/>
    <b v="1"/>
    <s v="Large Order"/>
    <n v="7.8220000000000001"/>
    <x v="6"/>
    <n v="2815.92"/>
    <m/>
  </r>
  <r>
    <s v="ORD-1592"/>
    <d v="2024-04-28T00:00:00"/>
    <s v="CUST-151"/>
    <x v="7"/>
    <x v="2"/>
    <x v="4"/>
    <x v="4"/>
    <x v="3"/>
    <s v="$107.34"/>
    <s v="Sunday"/>
    <x v="2"/>
    <x v="0"/>
    <b v="1"/>
    <b v="1"/>
    <s v="Large Order"/>
    <n v="5.3670000000000009"/>
    <x v="3"/>
    <n v="1502.76"/>
    <m/>
  </r>
  <r>
    <s v="ORD-1593"/>
    <d v="2024-04-11T00:00:00"/>
    <s v="CUST-157"/>
    <x v="4"/>
    <x v="2"/>
    <x v="2"/>
    <x v="2"/>
    <x v="1"/>
    <s v="$230.34"/>
    <s v="Thursday"/>
    <x v="2"/>
    <x v="0"/>
    <b v="0"/>
    <b v="0"/>
    <s v="Standard order"/>
    <n v="11.517000000000001"/>
    <x v="9"/>
    <n v="230.34"/>
    <m/>
  </r>
  <r>
    <s v="ORD-1594"/>
    <d v="2024-05-22T00:00:00"/>
    <s v="CUST-196"/>
    <x v="9"/>
    <x v="2"/>
    <x v="0"/>
    <x v="4"/>
    <x v="0"/>
    <s v="$101.96"/>
    <s v="Wednesday"/>
    <x v="7"/>
    <x v="0"/>
    <b v="0"/>
    <b v="0"/>
    <s v="Standard order"/>
    <n v="5.0979999999999999"/>
    <x v="12"/>
    <n v="407.84"/>
    <m/>
  </r>
  <r>
    <s v="ORD-1595"/>
    <d v="2024-04-05T00:00:00"/>
    <s v="CUST-146"/>
    <x v="12"/>
    <x v="1"/>
    <x v="4"/>
    <x v="1"/>
    <x v="0"/>
    <s v="$211.9"/>
    <s v="Friday"/>
    <x v="2"/>
    <x v="0"/>
    <b v="0"/>
    <b v="0"/>
    <s v="Large Order"/>
    <n v="10.595000000000001"/>
    <x v="3"/>
    <n v="847.6"/>
    <m/>
  </r>
  <r>
    <s v="ORD-1596"/>
    <d v="2024-09-27T00:00:00"/>
    <s v="CUST-181"/>
    <x v="4"/>
    <x v="1"/>
    <x v="1"/>
    <x v="0"/>
    <x v="19"/>
    <s v="$230.34"/>
    <s v="Friday"/>
    <x v="11"/>
    <x v="0"/>
    <b v="0"/>
    <b v="1"/>
    <s v="Large Order"/>
    <n v="11.517000000000001"/>
    <x v="6"/>
    <n v="4606.8"/>
    <m/>
  </r>
  <r>
    <s v="ORD-1597"/>
    <d v="2024-06-27T00:00:00"/>
    <s v="CUST-145"/>
    <x v="7"/>
    <x v="1"/>
    <x v="1"/>
    <x v="4"/>
    <x v="8"/>
    <s v="$107.34"/>
    <s v="Thursday"/>
    <x v="9"/>
    <x v="0"/>
    <b v="0"/>
    <b v="1"/>
    <s v="Large Order"/>
    <n v="5.3670000000000009"/>
    <x v="19"/>
    <n v="1073.4000000000001"/>
    <m/>
  </r>
  <r>
    <s v="ORD-1598"/>
    <d v="2024-02-13T00:00:00"/>
    <s v="CUST-186"/>
    <x v="19"/>
    <x v="0"/>
    <x v="3"/>
    <x v="2"/>
    <x v="7"/>
    <s v="$145.48"/>
    <s v="Tuesday"/>
    <x v="5"/>
    <x v="0"/>
    <b v="0"/>
    <b v="1"/>
    <s v="Large Order"/>
    <n v="7.274"/>
    <x v="3"/>
    <n v="1163.8399999999999"/>
    <m/>
  </r>
  <r>
    <s v="ORD-1599"/>
    <d v="2024-07-10T00:00:00"/>
    <s v="CUST-188"/>
    <x v="4"/>
    <x v="0"/>
    <x v="1"/>
    <x v="4"/>
    <x v="3"/>
    <s v="$230.34"/>
    <s v="Wednesday"/>
    <x v="8"/>
    <x v="0"/>
    <b v="0"/>
    <b v="1"/>
    <s v="Large Order"/>
    <n v="11.517000000000001"/>
    <x v="1"/>
    <n v="3224.76"/>
    <m/>
  </r>
  <r>
    <s v="ORD-1600"/>
    <d v="2024-07-15T00:00:00"/>
    <s v="CUST-154"/>
    <x v="2"/>
    <x v="0"/>
    <x v="2"/>
    <x v="2"/>
    <x v="15"/>
    <s v="$88.18"/>
    <s v="Monday"/>
    <x v="8"/>
    <x v="0"/>
    <b v="0"/>
    <b v="1"/>
    <s v="Large Order"/>
    <n v="4.4090000000000007"/>
    <x v="0"/>
    <n v="1587.2400000000002"/>
    <m/>
  </r>
  <r>
    <s v="ORD-1601"/>
    <d v="2024-10-11T00:00:00"/>
    <s v="CUST-121"/>
    <x v="1"/>
    <x v="1"/>
    <x v="3"/>
    <x v="1"/>
    <x v="6"/>
    <s v="$178.83"/>
    <s v="Friday"/>
    <x v="3"/>
    <x v="0"/>
    <b v="0"/>
    <b v="1"/>
    <s v="Large Order"/>
    <n v="8.9415000000000013"/>
    <x v="4"/>
    <n v="1072.98"/>
    <m/>
  </r>
  <r>
    <s v="ORD-1602"/>
    <d v="2024-11-13T00:00:00"/>
    <s v="CUST-106"/>
    <x v="5"/>
    <x v="1"/>
    <x v="0"/>
    <x v="1"/>
    <x v="2"/>
    <s v="$64.61"/>
    <s v="Wednesday"/>
    <x v="0"/>
    <x v="0"/>
    <b v="0"/>
    <b v="0"/>
    <s v="Standard order"/>
    <n v="3.2305000000000001"/>
    <x v="17"/>
    <n v="323.05"/>
    <m/>
  </r>
  <r>
    <s v="ORD-1603"/>
    <d v="2024-10-14T00:00:00"/>
    <s v="CUST-164"/>
    <x v="17"/>
    <x v="2"/>
    <x v="2"/>
    <x v="1"/>
    <x v="17"/>
    <s v="$26.59"/>
    <s v="Monday"/>
    <x v="3"/>
    <x v="0"/>
    <b v="0"/>
    <b v="0"/>
    <s v="Standard order"/>
    <n v="1.3295000000000001"/>
    <x v="18"/>
    <n v="425.44"/>
    <m/>
  </r>
  <r>
    <s v="ORD-1604"/>
    <d v="2024-09-07T00:00:00"/>
    <s v="CUST-121"/>
    <x v="18"/>
    <x v="0"/>
    <x v="1"/>
    <x v="3"/>
    <x v="7"/>
    <s v="$230.68"/>
    <s v="Saturday"/>
    <x v="11"/>
    <x v="0"/>
    <b v="1"/>
    <b v="1"/>
    <s v="Large Order"/>
    <n v="11.534000000000001"/>
    <x v="21"/>
    <n v="1845.44"/>
    <m/>
  </r>
  <r>
    <s v="ORD-1605"/>
    <d v="2024-04-25T00:00:00"/>
    <s v="CUST-168"/>
    <x v="21"/>
    <x v="1"/>
    <x v="4"/>
    <x v="1"/>
    <x v="12"/>
    <s v="$32.94"/>
    <s v="Thursday"/>
    <x v="2"/>
    <x v="0"/>
    <b v="0"/>
    <b v="0"/>
    <s v="Standard order"/>
    <n v="1.647"/>
    <x v="19"/>
    <n v="494.09999999999997"/>
    <m/>
  </r>
  <r>
    <s v="ORD-1606"/>
    <d v="2024-10-08T00:00:00"/>
    <s v="CUST-165"/>
    <x v="19"/>
    <x v="0"/>
    <x v="1"/>
    <x v="3"/>
    <x v="14"/>
    <s v="$145.48"/>
    <s v="Tuesday"/>
    <x v="3"/>
    <x v="0"/>
    <b v="0"/>
    <b v="1"/>
    <s v="Large Order"/>
    <n v="7.274"/>
    <x v="23"/>
    <n v="1309.32"/>
    <m/>
  </r>
  <r>
    <s v="ORD-1607"/>
    <d v="2024-10-04T00:00:00"/>
    <s v="CUST-196"/>
    <x v="23"/>
    <x v="0"/>
    <x v="2"/>
    <x v="0"/>
    <x v="10"/>
    <s v="$133.37"/>
    <s v="Friday"/>
    <x v="3"/>
    <x v="0"/>
    <b v="0"/>
    <b v="1"/>
    <s v="Large Order"/>
    <n v="6.6685000000000008"/>
    <x v="15"/>
    <n v="933.59"/>
    <m/>
  </r>
  <r>
    <s v="ORD-1608"/>
    <d v="2024-11-30T00:00:00"/>
    <s v="CUST-196"/>
    <x v="15"/>
    <x v="0"/>
    <x v="3"/>
    <x v="0"/>
    <x v="12"/>
    <s v="$216.22"/>
    <s v="Saturday"/>
    <x v="0"/>
    <x v="0"/>
    <b v="1"/>
    <b v="1"/>
    <s v="Large Order"/>
    <n v="10.811"/>
    <x v="16"/>
    <n v="3243.3"/>
    <m/>
  </r>
  <r>
    <s v="ORD-1609"/>
    <d v="2024-08-12T00:00:00"/>
    <s v="CUST-115"/>
    <x v="16"/>
    <x v="0"/>
    <x v="4"/>
    <x v="4"/>
    <x v="16"/>
    <s v="$130.07"/>
    <s v="Monday"/>
    <x v="10"/>
    <x v="0"/>
    <b v="0"/>
    <b v="1"/>
    <s v="Large Order"/>
    <n v="6.5034999999999998"/>
    <x v="0"/>
    <n v="2471.33"/>
    <m/>
  </r>
  <r>
    <s v="ORD-1610"/>
    <d v="2024-11-19T00:00:00"/>
    <s v="CUST-154"/>
    <x v="1"/>
    <x v="0"/>
    <x v="1"/>
    <x v="0"/>
    <x v="10"/>
    <s v="$178.83"/>
    <s v="Tuesday"/>
    <x v="0"/>
    <x v="0"/>
    <b v="0"/>
    <b v="1"/>
    <s v="Large Order"/>
    <n v="8.9415000000000013"/>
    <x v="20"/>
    <n v="1251.8100000000002"/>
    <m/>
  </r>
  <r>
    <s v="ORD-1611"/>
    <d v="2024-10-18T00:00:00"/>
    <s v="CUST-144"/>
    <x v="20"/>
    <x v="2"/>
    <x v="3"/>
    <x v="3"/>
    <x v="15"/>
    <s v="$81.02"/>
    <s v="Friday"/>
    <x v="3"/>
    <x v="0"/>
    <b v="0"/>
    <b v="1"/>
    <s v="Large Order"/>
    <n v="4.0510000000000002"/>
    <x v="5"/>
    <n v="1458.36"/>
    <m/>
  </r>
  <r>
    <s v="ORD-1612"/>
    <d v="2024-05-28T00:00:00"/>
    <s v="CUST-173"/>
    <x v="6"/>
    <x v="1"/>
    <x v="1"/>
    <x v="1"/>
    <x v="0"/>
    <s v="$86.6"/>
    <s v="Tuesday"/>
    <x v="7"/>
    <x v="0"/>
    <b v="0"/>
    <b v="0"/>
    <s v="Standard order"/>
    <n v="4.33"/>
    <x v="10"/>
    <n v="346.4"/>
    <m/>
  </r>
  <r>
    <s v="ORD-1613"/>
    <d v="2024-01-31T00:00:00"/>
    <s v="CUST-135"/>
    <x v="10"/>
    <x v="2"/>
    <x v="4"/>
    <x v="3"/>
    <x v="2"/>
    <s v="$46.19"/>
    <s v="Wednesday"/>
    <x v="6"/>
    <x v="0"/>
    <b v="0"/>
    <b v="0"/>
    <s v="Standard order"/>
    <n v="2.3094999999999999"/>
    <x v="4"/>
    <n v="230.95"/>
    <m/>
  </r>
  <r>
    <s v="ORD-1614"/>
    <d v="2024-05-06T00:00:00"/>
    <s v="CUST-197"/>
    <x v="5"/>
    <x v="2"/>
    <x v="2"/>
    <x v="3"/>
    <x v="2"/>
    <s v="$64.61"/>
    <s v="Monday"/>
    <x v="7"/>
    <x v="0"/>
    <b v="0"/>
    <b v="0"/>
    <s v="Standard order"/>
    <n v="3.2305000000000001"/>
    <x v="8"/>
    <n v="323.05"/>
    <m/>
  </r>
  <r>
    <s v="ORD-1615"/>
    <d v="2024-11-17T00:00:00"/>
    <s v="CUST-153"/>
    <x v="0"/>
    <x v="1"/>
    <x v="2"/>
    <x v="3"/>
    <x v="13"/>
    <s v="$146.06"/>
    <s v="Sunday"/>
    <x v="0"/>
    <x v="0"/>
    <b v="1"/>
    <b v="0"/>
    <s v="Standard order"/>
    <n v="7.3030000000000008"/>
    <x v="13"/>
    <n v="438.18"/>
    <m/>
  </r>
  <r>
    <s v="ORD-1616"/>
    <d v="2024-12-21T00:00:00"/>
    <s v="CUST-147"/>
    <x v="13"/>
    <x v="1"/>
    <x v="2"/>
    <x v="0"/>
    <x v="16"/>
    <s v="$156.44"/>
    <s v="Saturday"/>
    <x v="1"/>
    <x v="0"/>
    <b v="1"/>
    <b v="1"/>
    <s v="Large Order"/>
    <n v="7.8220000000000001"/>
    <x v="8"/>
    <n v="2972.36"/>
    <m/>
  </r>
  <r>
    <s v="ORD-1617"/>
    <d v="2024-08-22T00:00:00"/>
    <s v="CUST-181"/>
    <x v="0"/>
    <x v="2"/>
    <x v="3"/>
    <x v="1"/>
    <x v="15"/>
    <s v="$146.06"/>
    <s v="Thursday"/>
    <x v="10"/>
    <x v="0"/>
    <b v="0"/>
    <b v="1"/>
    <s v="Large Order"/>
    <n v="7.3030000000000008"/>
    <x v="14"/>
    <n v="2629.08"/>
    <m/>
  </r>
  <r>
    <s v="ORD-1618"/>
    <d v="2024-04-18T00:00:00"/>
    <s v="CUST-163"/>
    <x v="14"/>
    <x v="1"/>
    <x v="3"/>
    <x v="2"/>
    <x v="9"/>
    <s v="$201.32"/>
    <s v="Thursday"/>
    <x v="2"/>
    <x v="0"/>
    <b v="0"/>
    <b v="1"/>
    <s v="Large Order"/>
    <n v="10.066000000000001"/>
    <x v="15"/>
    <n v="2214.52"/>
    <m/>
  </r>
  <r>
    <s v="ORD-1619"/>
    <d v="2024-10-16T00:00:00"/>
    <s v="CUST-162"/>
    <x v="15"/>
    <x v="1"/>
    <x v="0"/>
    <x v="1"/>
    <x v="0"/>
    <s v="$216.22"/>
    <s v="Wednesday"/>
    <x v="3"/>
    <x v="0"/>
    <b v="0"/>
    <b v="0"/>
    <s v="Large Order"/>
    <n v="10.811"/>
    <x v="12"/>
    <n v="864.88"/>
    <m/>
  </r>
  <r>
    <s v="ORD-1620"/>
    <d v="2024-01-09T00:00:00"/>
    <s v="CUST-115"/>
    <x v="12"/>
    <x v="0"/>
    <x v="2"/>
    <x v="1"/>
    <x v="1"/>
    <s v="$211.9"/>
    <s v="Tuesday"/>
    <x v="6"/>
    <x v="0"/>
    <b v="0"/>
    <b v="0"/>
    <s v="Standard order"/>
    <n v="10.595000000000001"/>
    <x v="6"/>
    <n v="211.9"/>
    <m/>
  </r>
  <r>
    <s v="ORD-1621"/>
    <d v="2024-04-13T00:00:00"/>
    <s v="CUST-188"/>
    <x v="7"/>
    <x v="0"/>
    <x v="3"/>
    <x v="3"/>
    <x v="14"/>
    <s v="$107.34"/>
    <s v="Saturday"/>
    <x v="2"/>
    <x v="0"/>
    <b v="1"/>
    <b v="1"/>
    <s v="Large Order"/>
    <n v="5.3670000000000009"/>
    <x v="15"/>
    <n v="966.06000000000006"/>
    <m/>
  </r>
  <r>
    <s v="ORD-1622"/>
    <d v="2024-05-08T00:00:00"/>
    <s v="CUST-110"/>
    <x v="15"/>
    <x v="1"/>
    <x v="4"/>
    <x v="2"/>
    <x v="11"/>
    <s v="$216.22"/>
    <s v="Wednesday"/>
    <x v="7"/>
    <x v="0"/>
    <b v="0"/>
    <b v="1"/>
    <s v="Large Order"/>
    <n v="10.811"/>
    <x v="18"/>
    <n v="2810.86"/>
    <m/>
  </r>
  <r>
    <s v="ORD-1623"/>
    <d v="2024-08-07T00:00:00"/>
    <s v="CUST-183"/>
    <x v="18"/>
    <x v="0"/>
    <x v="0"/>
    <x v="2"/>
    <x v="10"/>
    <s v="$230.68"/>
    <s v="Wednesday"/>
    <x v="10"/>
    <x v="0"/>
    <b v="0"/>
    <b v="1"/>
    <s v="Large Order"/>
    <n v="11.534000000000001"/>
    <x v="18"/>
    <n v="1614.76"/>
    <m/>
  </r>
  <r>
    <s v="ORD-1624"/>
    <d v="2024-10-30T00:00:00"/>
    <s v="CUST-128"/>
    <x v="18"/>
    <x v="2"/>
    <x v="2"/>
    <x v="0"/>
    <x v="1"/>
    <s v="$230.68"/>
    <s v="Wednesday"/>
    <x v="3"/>
    <x v="0"/>
    <b v="0"/>
    <b v="0"/>
    <s v="Standard order"/>
    <n v="11.534000000000001"/>
    <x v="8"/>
    <n v="230.68"/>
    <m/>
  </r>
  <r>
    <s v="ORD-1625"/>
    <d v="2024-08-04T00:00:00"/>
    <s v="CUST-188"/>
    <x v="0"/>
    <x v="0"/>
    <x v="2"/>
    <x v="0"/>
    <x v="7"/>
    <s v="$146.06"/>
    <s v="Sunday"/>
    <x v="10"/>
    <x v="0"/>
    <b v="1"/>
    <b v="1"/>
    <s v="Large Order"/>
    <n v="7.3030000000000008"/>
    <x v="0"/>
    <n v="1168.48"/>
    <m/>
  </r>
  <r>
    <s v="ORD-1626"/>
    <d v="2024-02-22T00:00:00"/>
    <s v="CUST-140"/>
    <x v="1"/>
    <x v="1"/>
    <x v="3"/>
    <x v="2"/>
    <x v="11"/>
    <s v="$178.83"/>
    <s v="Thursday"/>
    <x v="5"/>
    <x v="0"/>
    <b v="0"/>
    <b v="1"/>
    <s v="Large Order"/>
    <n v="8.9415000000000013"/>
    <x v="22"/>
    <n v="2324.79"/>
    <m/>
  </r>
  <r>
    <s v="ORD-1627"/>
    <d v="2024-11-24T00:00:00"/>
    <s v="CUST-186"/>
    <x v="22"/>
    <x v="0"/>
    <x v="0"/>
    <x v="2"/>
    <x v="16"/>
    <s v="$149.27"/>
    <s v="Sunday"/>
    <x v="0"/>
    <x v="0"/>
    <b v="1"/>
    <b v="1"/>
    <s v="Large Order"/>
    <n v="7.4635000000000007"/>
    <x v="1"/>
    <n v="2836.13"/>
    <m/>
  </r>
  <r>
    <s v="ORD-1628"/>
    <d v="2024-08-13T00:00:00"/>
    <s v="CUST-144"/>
    <x v="2"/>
    <x v="2"/>
    <x v="4"/>
    <x v="4"/>
    <x v="2"/>
    <s v="$88.18"/>
    <s v="Tuesday"/>
    <x v="10"/>
    <x v="0"/>
    <b v="0"/>
    <b v="0"/>
    <s v="Standard order"/>
    <n v="4.4090000000000007"/>
    <x v="19"/>
    <n v="440.90000000000003"/>
    <m/>
  </r>
  <r>
    <s v="ORD-1629"/>
    <d v="2024-12-17T00:00:00"/>
    <s v="CUST-156"/>
    <x v="19"/>
    <x v="0"/>
    <x v="0"/>
    <x v="4"/>
    <x v="2"/>
    <s v="$145.48"/>
    <s v="Tuesday"/>
    <x v="1"/>
    <x v="0"/>
    <b v="0"/>
    <b v="0"/>
    <s v="Large Order"/>
    <n v="7.274"/>
    <x v="0"/>
    <n v="727.4"/>
    <m/>
  </r>
  <r>
    <s v="ORD-1630"/>
    <d v="2024-07-15T00:00:00"/>
    <s v="CUST-144"/>
    <x v="1"/>
    <x v="1"/>
    <x v="3"/>
    <x v="0"/>
    <x v="7"/>
    <s v="$178.83"/>
    <s v="Monday"/>
    <x v="8"/>
    <x v="0"/>
    <b v="0"/>
    <b v="1"/>
    <s v="Large Order"/>
    <n v="8.9415000000000013"/>
    <x v="16"/>
    <n v="1430.64"/>
    <m/>
  </r>
  <r>
    <s v="ORD-1631"/>
    <d v="2024-05-07T00:00:00"/>
    <s v="CUST-170"/>
    <x v="16"/>
    <x v="2"/>
    <x v="1"/>
    <x v="0"/>
    <x v="19"/>
    <s v="$130.07"/>
    <s v="Tuesday"/>
    <x v="7"/>
    <x v="0"/>
    <b v="0"/>
    <b v="1"/>
    <s v="Large Order"/>
    <n v="6.5034999999999998"/>
    <x v="20"/>
    <n v="2601.3999999999996"/>
    <m/>
  </r>
  <r>
    <s v="ORD-1632"/>
    <d v="2024-12-03T00:00:00"/>
    <s v="CUST-138"/>
    <x v="20"/>
    <x v="0"/>
    <x v="1"/>
    <x v="1"/>
    <x v="18"/>
    <s v="$81.02"/>
    <s v="Tuesday"/>
    <x v="1"/>
    <x v="0"/>
    <b v="0"/>
    <b v="1"/>
    <s v="Large Order"/>
    <n v="4.0510000000000002"/>
    <x v="4"/>
    <n v="1377.34"/>
    <m/>
  </r>
  <r>
    <s v="ORD-1633"/>
    <d v="2024-05-31T00:00:00"/>
    <s v="CUST-182"/>
    <x v="5"/>
    <x v="0"/>
    <x v="4"/>
    <x v="1"/>
    <x v="11"/>
    <s v="$64.61"/>
    <s v="Friday"/>
    <x v="7"/>
    <x v="0"/>
    <b v="0"/>
    <b v="1"/>
    <s v="Large Order"/>
    <n v="3.2305000000000001"/>
    <x v="18"/>
    <n v="839.93"/>
    <m/>
  </r>
  <r>
    <s v="ORD-1634"/>
    <d v="2024-11-22T00:00:00"/>
    <s v="CUST-176"/>
    <x v="18"/>
    <x v="0"/>
    <x v="1"/>
    <x v="2"/>
    <x v="5"/>
    <s v="$230.68"/>
    <s v="Friday"/>
    <x v="0"/>
    <x v="0"/>
    <b v="0"/>
    <b v="1"/>
    <s v="Large Order"/>
    <n v="11.534000000000001"/>
    <x v="23"/>
    <n v="2768.16"/>
    <m/>
  </r>
  <r>
    <s v="ORD-1635"/>
    <d v="2024-07-17T00:00:00"/>
    <s v="CUST-172"/>
    <x v="23"/>
    <x v="1"/>
    <x v="3"/>
    <x v="0"/>
    <x v="6"/>
    <s v="$133.37"/>
    <s v="Wednesday"/>
    <x v="8"/>
    <x v="0"/>
    <b v="0"/>
    <b v="1"/>
    <s v="Large Order"/>
    <n v="6.6685000000000008"/>
    <x v="2"/>
    <n v="800.22"/>
    <m/>
  </r>
  <r>
    <s v="ORD-1636"/>
    <d v="2024-01-09T00:00:00"/>
    <s v="CUST-175"/>
    <x v="3"/>
    <x v="0"/>
    <x v="0"/>
    <x v="0"/>
    <x v="10"/>
    <s v="$84.57"/>
    <s v="Tuesday"/>
    <x v="6"/>
    <x v="0"/>
    <b v="0"/>
    <b v="0"/>
    <s v="Large Order"/>
    <n v="4.2284999999999995"/>
    <x v="21"/>
    <n v="591.99"/>
    <m/>
  </r>
  <r>
    <s v="ORD-1637"/>
    <d v="2024-07-22T00:00:00"/>
    <s v="CUST-164"/>
    <x v="21"/>
    <x v="1"/>
    <x v="1"/>
    <x v="1"/>
    <x v="3"/>
    <s v="$32.94"/>
    <s v="Monday"/>
    <x v="8"/>
    <x v="0"/>
    <b v="0"/>
    <b v="0"/>
    <s v="Standard order"/>
    <n v="1.647"/>
    <x v="20"/>
    <n v="461.15999999999997"/>
    <m/>
  </r>
  <r>
    <s v="ORD-1638"/>
    <d v="2024-02-12T00:00:00"/>
    <s v="CUST-181"/>
    <x v="20"/>
    <x v="2"/>
    <x v="1"/>
    <x v="3"/>
    <x v="2"/>
    <s v="$81.02"/>
    <s v="Monday"/>
    <x v="5"/>
    <x v="0"/>
    <b v="0"/>
    <b v="0"/>
    <s v="Standard order"/>
    <n v="4.0510000000000002"/>
    <x v="23"/>
    <n v="405.09999999999997"/>
    <m/>
  </r>
  <r>
    <s v="ORD-1639"/>
    <d v="2024-02-10T00:00:00"/>
    <s v="CUST-165"/>
    <x v="23"/>
    <x v="0"/>
    <x v="4"/>
    <x v="0"/>
    <x v="9"/>
    <s v="$133.37"/>
    <s v="Saturday"/>
    <x v="5"/>
    <x v="0"/>
    <b v="1"/>
    <b v="1"/>
    <s v="Large Order"/>
    <n v="6.6685000000000008"/>
    <x v="15"/>
    <n v="1467.0700000000002"/>
    <m/>
  </r>
  <r>
    <s v="ORD-1640"/>
    <d v="2024-06-07T00:00:00"/>
    <s v="CUST-189"/>
    <x v="15"/>
    <x v="1"/>
    <x v="4"/>
    <x v="1"/>
    <x v="7"/>
    <s v="$216.22"/>
    <s v="Friday"/>
    <x v="9"/>
    <x v="0"/>
    <b v="0"/>
    <b v="1"/>
    <s v="Large Order"/>
    <n v="10.811"/>
    <x v="15"/>
    <n v="1729.76"/>
    <m/>
  </r>
  <r>
    <s v="ORD-1641"/>
    <d v="2024-02-29T00:00:00"/>
    <s v="CUST-158"/>
    <x v="15"/>
    <x v="2"/>
    <x v="1"/>
    <x v="2"/>
    <x v="8"/>
    <s v="$216.22"/>
    <s v="Thursday"/>
    <x v="5"/>
    <x v="0"/>
    <b v="0"/>
    <b v="1"/>
    <s v="Large Order"/>
    <n v="10.811"/>
    <x v="10"/>
    <n v="2162.1999999999998"/>
    <m/>
  </r>
  <r>
    <s v="ORD-1642"/>
    <d v="2024-03-02T00:00:00"/>
    <s v="CUST-101"/>
    <x v="10"/>
    <x v="2"/>
    <x v="4"/>
    <x v="3"/>
    <x v="1"/>
    <s v="$46.19"/>
    <s v="Saturday"/>
    <x v="4"/>
    <x v="0"/>
    <b v="1"/>
    <b v="0"/>
    <s v="Standard order"/>
    <n v="2.3094999999999999"/>
    <x v="6"/>
    <n v="46.19"/>
    <m/>
  </r>
  <r>
    <s v="ORD-1643"/>
    <d v="2024-09-24T00:00:00"/>
    <s v="CUST-166"/>
    <x v="7"/>
    <x v="2"/>
    <x v="3"/>
    <x v="3"/>
    <x v="5"/>
    <s v="$107.34"/>
    <s v="Tuesday"/>
    <x v="11"/>
    <x v="0"/>
    <b v="0"/>
    <b v="1"/>
    <s v="Large Order"/>
    <n v="5.3670000000000009"/>
    <x v="17"/>
    <n v="1288.08"/>
    <m/>
  </r>
  <r>
    <s v="ORD-1644"/>
    <d v="2024-03-01T00:00:00"/>
    <s v="CUST-198"/>
    <x v="17"/>
    <x v="0"/>
    <x v="3"/>
    <x v="3"/>
    <x v="14"/>
    <s v="$26.59"/>
    <s v="Friday"/>
    <x v="4"/>
    <x v="0"/>
    <b v="0"/>
    <b v="0"/>
    <s v="Standard order"/>
    <n v="1.3295000000000001"/>
    <x v="4"/>
    <n v="239.31"/>
    <m/>
  </r>
  <r>
    <s v="ORD-1645"/>
    <d v="2024-12-30T00:00:00"/>
    <s v="CUST-173"/>
    <x v="5"/>
    <x v="2"/>
    <x v="0"/>
    <x v="0"/>
    <x v="12"/>
    <s v="$64.61"/>
    <s v="Monday"/>
    <x v="1"/>
    <x v="0"/>
    <b v="0"/>
    <b v="1"/>
    <s v="Large Order"/>
    <n v="3.2305000000000001"/>
    <x v="6"/>
    <n v="969.15"/>
    <m/>
  </r>
  <r>
    <s v="ORD-1646"/>
    <d v="2024-09-12T00:00:00"/>
    <s v="CUST-172"/>
    <x v="7"/>
    <x v="0"/>
    <x v="3"/>
    <x v="4"/>
    <x v="14"/>
    <s v="$107.34"/>
    <s v="Thursday"/>
    <x v="11"/>
    <x v="0"/>
    <b v="0"/>
    <b v="1"/>
    <s v="Large Order"/>
    <n v="5.3670000000000009"/>
    <x v="16"/>
    <n v="966.06000000000006"/>
    <m/>
  </r>
  <r>
    <s v="ORD-1647"/>
    <d v="2024-12-11T00:00:00"/>
    <s v="CUST-192"/>
    <x v="16"/>
    <x v="0"/>
    <x v="4"/>
    <x v="0"/>
    <x v="18"/>
    <s v="$130.07"/>
    <s v="Wednesday"/>
    <x v="1"/>
    <x v="0"/>
    <b v="0"/>
    <b v="1"/>
    <s v="Large Order"/>
    <n v="6.5034999999999998"/>
    <x v="3"/>
    <n v="2211.19"/>
    <m/>
  </r>
  <r>
    <s v="ORD-1648"/>
    <d v="2024-05-05T00:00:00"/>
    <s v="CUST-105"/>
    <x v="4"/>
    <x v="1"/>
    <x v="3"/>
    <x v="0"/>
    <x v="2"/>
    <s v="$230.34"/>
    <s v="Sunday"/>
    <x v="7"/>
    <x v="0"/>
    <b v="1"/>
    <b v="0"/>
    <s v="Large Order"/>
    <n v="11.517000000000001"/>
    <x v="24"/>
    <n v="1151.7"/>
    <m/>
  </r>
  <r>
    <s v="ORD-1649"/>
    <d v="2024-10-10T00:00:00"/>
    <s v="CUST-191"/>
    <x v="24"/>
    <x v="2"/>
    <x v="2"/>
    <x v="3"/>
    <x v="9"/>
    <s v="$10.11"/>
    <s v="Thursday"/>
    <x v="3"/>
    <x v="0"/>
    <b v="0"/>
    <b v="0"/>
    <s v="Standard order"/>
    <n v="0.50549999999999995"/>
    <x v="19"/>
    <n v="111.21"/>
    <m/>
  </r>
  <r>
    <s v="ORD-1650"/>
    <d v="2024-05-18T00:00:00"/>
    <s v="CUST-109"/>
    <x v="19"/>
    <x v="2"/>
    <x v="3"/>
    <x v="0"/>
    <x v="18"/>
    <s v="$145.48"/>
    <s v="Saturday"/>
    <x v="7"/>
    <x v="0"/>
    <b v="1"/>
    <b v="1"/>
    <s v="Large Order"/>
    <n v="7.274"/>
    <x v="3"/>
    <n v="2473.16"/>
    <m/>
  </r>
  <r>
    <s v="ORD-1651"/>
    <d v="2024-04-01T00:00:00"/>
    <s v="CUST-128"/>
    <x v="4"/>
    <x v="2"/>
    <x v="0"/>
    <x v="3"/>
    <x v="13"/>
    <s v="$230.34"/>
    <s v="Monday"/>
    <x v="2"/>
    <x v="0"/>
    <b v="0"/>
    <b v="0"/>
    <s v="Large Order"/>
    <n v="11.517000000000001"/>
    <x v="12"/>
    <n v="691.02"/>
    <m/>
  </r>
  <r>
    <s v="ORD-1652"/>
    <d v="2024-06-08T00:00:00"/>
    <s v="CUST-141"/>
    <x v="12"/>
    <x v="0"/>
    <x v="1"/>
    <x v="3"/>
    <x v="1"/>
    <s v="$211.9"/>
    <s v="Saturday"/>
    <x v="9"/>
    <x v="0"/>
    <b v="1"/>
    <b v="0"/>
    <s v="Standard order"/>
    <n v="10.595000000000001"/>
    <x v="24"/>
    <n v="211.9"/>
    <m/>
  </r>
  <r>
    <s v="ORD-1653"/>
    <d v="2024-10-15T00:00:00"/>
    <s v="CUST-200"/>
    <x v="24"/>
    <x v="1"/>
    <x v="1"/>
    <x v="1"/>
    <x v="12"/>
    <s v="$10.11"/>
    <s v="Tuesday"/>
    <x v="3"/>
    <x v="0"/>
    <b v="0"/>
    <b v="0"/>
    <s v="Standard order"/>
    <n v="0.50549999999999995"/>
    <x v="0"/>
    <n v="151.64999999999998"/>
    <m/>
  </r>
  <r>
    <s v="ORD-1654"/>
    <d v="2024-04-10T00:00:00"/>
    <s v="CUST-193"/>
    <x v="1"/>
    <x v="2"/>
    <x v="4"/>
    <x v="0"/>
    <x v="1"/>
    <s v="$178.83"/>
    <s v="Wednesday"/>
    <x v="2"/>
    <x v="0"/>
    <b v="0"/>
    <b v="0"/>
    <s v="Standard order"/>
    <n v="8.9415000000000013"/>
    <x v="13"/>
    <n v="178.83"/>
    <m/>
  </r>
  <r>
    <s v="ORD-1655"/>
    <d v="2024-04-29T00:00:00"/>
    <s v="CUST-169"/>
    <x v="13"/>
    <x v="1"/>
    <x v="0"/>
    <x v="1"/>
    <x v="1"/>
    <s v="$156.44"/>
    <s v="Monday"/>
    <x v="2"/>
    <x v="0"/>
    <b v="0"/>
    <b v="0"/>
    <s v="Standard order"/>
    <n v="7.8220000000000001"/>
    <x v="24"/>
    <n v="156.44"/>
    <m/>
  </r>
  <r>
    <s v="ORD-1656"/>
    <d v="2024-06-06T00:00:00"/>
    <s v="CUST-113"/>
    <x v="24"/>
    <x v="0"/>
    <x v="1"/>
    <x v="0"/>
    <x v="3"/>
    <s v="$10.11"/>
    <s v="Thursday"/>
    <x v="9"/>
    <x v="0"/>
    <b v="0"/>
    <b v="0"/>
    <s v="Standard order"/>
    <n v="0.50549999999999995"/>
    <x v="15"/>
    <n v="141.54"/>
    <m/>
  </r>
  <r>
    <s v="ORD-1657"/>
    <d v="2024-03-13T00:00:00"/>
    <s v="CUST-191"/>
    <x v="15"/>
    <x v="1"/>
    <x v="0"/>
    <x v="4"/>
    <x v="7"/>
    <s v="$216.22"/>
    <s v="Wednesday"/>
    <x v="4"/>
    <x v="0"/>
    <b v="0"/>
    <b v="1"/>
    <s v="Large Order"/>
    <n v="10.811"/>
    <x v="16"/>
    <n v="1729.76"/>
    <m/>
  </r>
  <r>
    <s v="ORD-1658"/>
    <d v="2024-07-30T00:00:00"/>
    <s v="CUST-189"/>
    <x v="16"/>
    <x v="1"/>
    <x v="2"/>
    <x v="4"/>
    <x v="13"/>
    <s v="$130.07"/>
    <s v="Tuesday"/>
    <x v="8"/>
    <x v="0"/>
    <b v="0"/>
    <b v="0"/>
    <s v="Standard order"/>
    <n v="6.5034999999999998"/>
    <x v="9"/>
    <n v="390.21"/>
    <m/>
  </r>
  <r>
    <s v="ORD-1659"/>
    <d v="2024-03-09T00:00:00"/>
    <s v="CUST-181"/>
    <x v="9"/>
    <x v="1"/>
    <x v="0"/>
    <x v="2"/>
    <x v="16"/>
    <s v="$101.96"/>
    <s v="Saturday"/>
    <x v="4"/>
    <x v="0"/>
    <b v="1"/>
    <b v="1"/>
    <s v="Large Order"/>
    <n v="5.0979999999999999"/>
    <x v="3"/>
    <n v="1937.2399999999998"/>
    <m/>
  </r>
  <r>
    <s v="ORD-1660"/>
    <d v="2024-05-01T00:00:00"/>
    <s v="CUST-137"/>
    <x v="4"/>
    <x v="1"/>
    <x v="3"/>
    <x v="3"/>
    <x v="9"/>
    <s v="$230.34"/>
    <s v="Wednesday"/>
    <x v="7"/>
    <x v="0"/>
    <b v="0"/>
    <b v="1"/>
    <s v="Large Order"/>
    <n v="11.517000000000001"/>
    <x v="21"/>
    <n v="2533.7400000000002"/>
    <m/>
  </r>
  <r>
    <s v="ORD-1661"/>
    <d v="2024-04-29T00:00:00"/>
    <s v="CUST-109"/>
    <x v="21"/>
    <x v="0"/>
    <x v="4"/>
    <x v="0"/>
    <x v="16"/>
    <s v="$32.94"/>
    <s v="Monday"/>
    <x v="2"/>
    <x v="0"/>
    <b v="0"/>
    <b v="0"/>
    <s v="Large Order"/>
    <n v="1.647"/>
    <x v="17"/>
    <n v="625.8599999999999"/>
    <m/>
  </r>
  <r>
    <s v="ORD-1662"/>
    <d v="2024-03-25T00:00:00"/>
    <s v="CUST-157"/>
    <x v="17"/>
    <x v="1"/>
    <x v="3"/>
    <x v="2"/>
    <x v="0"/>
    <s v="$26.59"/>
    <s v="Monday"/>
    <x v="4"/>
    <x v="0"/>
    <b v="0"/>
    <b v="0"/>
    <s v="Standard order"/>
    <n v="1.3295000000000001"/>
    <x v="19"/>
    <n v="106.36"/>
    <m/>
  </r>
  <r>
    <s v="ORD-1663"/>
    <d v="2024-08-19T00:00:00"/>
    <s v="CUST-139"/>
    <x v="19"/>
    <x v="1"/>
    <x v="3"/>
    <x v="3"/>
    <x v="13"/>
    <s v="$145.48"/>
    <s v="Monday"/>
    <x v="10"/>
    <x v="0"/>
    <b v="0"/>
    <b v="0"/>
    <s v="Standard order"/>
    <n v="7.274"/>
    <x v="11"/>
    <n v="436.43999999999994"/>
    <m/>
  </r>
  <r>
    <s v="ORD-1664"/>
    <d v="2024-12-26T00:00:00"/>
    <s v="CUST-189"/>
    <x v="11"/>
    <x v="2"/>
    <x v="0"/>
    <x v="2"/>
    <x v="9"/>
    <s v="$33.22"/>
    <s v="Thursday"/>
    <x v="1"/>
    <x v="0"/>
    <b v="0"/>
    <b v="0"/>
    <s v="Standard order"/>
    <n v="1.661"/>
    <x v="5"/>
    <n v="365.41999999999996"/>
    <m/>
  </r>
  <r>
    <s v="ORD-1665"/>
    <d v="2024-07-01T00:00:00"/>
    <s v="CUST-150"/>
    <x v="6"/>
    <x v="2"/>
    <x v="0"/>
    <x v="2"/>
    <x v="8"/>
    <s v="$86.6"/>
    <s v="Monday"/>
    <x v="8"/>
    <x v="0"/>
    <b v="0"/>
    <b v="1"/>
    <s v="Large Order"/>
    <n v="4.33"/>
    <x v="16"/>
    <n v="866"/>
    <m/>
  </r>
  <r>
    <s v="ORD-1666"/>
    <d v="2024-01-16T00:00:00"/>
    <s v="CUST-151"/>
    <x v="16"/>
    <x v="1"/>
    <x v="1"/>
    <x v="1"/>
    <x v="15"/>
    <s v="$130.07"/>
    <s v="Tuesday"/>
    <x v="6"/>
    <x v="0"/>
    <b v="0"/>
    <b v="1"/>
    <s v="Large Order"/>
    <n v="6.5034999999999998"/>
    <x v="15"/>
    <n v="2341.2599999999998"/>
    <m/>
  </r>
  <r>
    <s v="ORD-1667"/>
    <d v="2024-02-22T00:00:00"/>
    <s v="CUST-117"/>
    <x v="15"/>
    <x v="0"/>
    <x v="0"/>
    <x v="1"/>
    <x v="7"/>
    <s v="$216.22"/>
    <s v="Thursday"/>
    <x v="5"/>
    <x v="0"/>
    <b v="0"/>
    <b v="1"/>
    <s v="Large Order"/>
    <n v="10.811"/>
    <x v="9"/>
    <n v="1729.76"/>
    <m/>
  </r>
  <r>
    <s v="ORD-1668"/>
    <d v="2024-07-09T00:00:00"/>
    <s v="CUST-187"/>
    <x v="9"/>
    <x v="2"/>
    <x v="0"/>
    <x v="0"/>
    <x v="16"/>
    <s v="$101.96"/>
    <s v="Tuesday"/>
    <x v="8"/>
    <x v="0"/>
    <b v="0"/>
    <b v="1"/>
    <s v="Large Order"/>
    <n v="5.0979999999999999"/>
    <x v="0"/>
    <n v="1937.2399999999998"/>
    <m/>
  </r>
  <r>
    <s v="ORD-1669"/>
    <d v="2024-01-12T00:00:00"/>
    <s v="CUST-108"/>
    <x v="1"/>
    <x v="0"/>
    <x v="2"/>
    <x v="3"/>
    <x v="13"/>
    <s v="$178.83"/>
    <s v="Friday"/>
    <x v="6"/>
    <x v="0"/>
    <b v="0"/>
    <b v="0"/>
    <s v="Large Order"/>
    <n v="8.9415000000000013"/>
    <x v="6"/>
    <n v="536.49"/>
    <m/>
  </r>
  <r>
    <s v="ORD-1670"/>
    <d v="2024-03-03T00:00:00"/>
    <s v="CUST-105"/>
    <x v="7"/>
    <x v="1"/>
    <x v="0"/>
    <x v="1"/>
    <x v="16"/>
    <s v="$107.34"/>
    <s v="Sunday"/>
    <x v="4"/>
    <x v="0"/>
    <b v="1"/>
    <b v="1"/>
    <s v="Large Order"/>
    <n v="5.3670000000000009"/>
    <x v="6"/>
    <n v="2039.46"/>
    <m/>
  </r>
  <r>
    <s v="ORD-1671"/>
    <d v="2024-09-11T00:00:00"/>
    <s v="CUST-103"/>
    <x v="7"/>
    <x v="1"/>
    <x v="2"/>
    <x v="2"/>
    <x v="5"/>
    <s v="$107.34"/>
    <s v="Wednesday"/>
    <x v="11"/>
    <x v="0"/>
    <b v="0"/>
    <b v="1"/>
    <s v="Large Order"/>
    <n v="5.3670000000000009"/>
    <x v="15"/>
    <n v="1288.08"/>
    <m/>
  </r>
  <r>
    <s v="ORD-1672"/>
    <d v="2024-05-20T00:00:00"/>
    <s v="CUST-135"/>
    <x v="15"/>
    <x v="1"/>
    <x v="4"/>
    <x v="2"/>
    <x v="19"/>
    <s v="$216.22"/>
    <s v="Monday"/>
    <x v="7"/>
    <x v="0"/>
    <b v="0"/>
    <b v="1"/>
    <s v="Large Order"/>
    <n v="10.811"/>
    <x v="23"/>
    <n v="4324.3999999999996"/>
    <m/>
  </r>
  <r>
    <s v="ORD-1673"/>
    <d v="2024-11-27T00:00:00"/>
    <s v="CUST-137"/>
    <x v="23"/>
    <x v="1"/>
    <x v="2"/>
    <x v="3"/>
    <x v="17"/>
    <s v="$133.37"/>
    <s v="Wednesday"/>
    <x v="0"/>
    <x v="0"/>
    <b v="0"/>
    <b v="1"/>
    <s v="Large Order"/>
    <n v="6.6685000000000008"/>
    <x v="1"/>
    <n v="2133.92"/>
    <m/>
  </r>
  <r>
    <s v="ORD-1674"/>
    <d v="2024-07-15T00:00:00"/>
    <s v="CUST-117"/>
    <x v="2"/>
    <x v="1"/>
    <x v="4"/>
    <x v="4"/>
    <x v="18"/>
    <s v="$88.18"/>
    <s v="Monday"/>
    <x v="8"/>
    <x v="0"/>
    <b v="0"/>
    <b v="1"/>
    <s v="Large Order"/>
    <n v="4.4090000000000007"/>
    <x v="4"/>
    <n v="1499.0600000000002"/>
    <m/>
  </r>
  <r>
    <s v="ORD-1675"/>
    <d v="2024-01-10T00:00:00"/>
    <s v="CUST-148"/>
    <x v="5"/>
    <x v="2"/>
    <x v="3"/>
    <x v="3"/>
    <x v="15"/>
    <s v="$64.61"/>
    <s v="Wednesday"/>
    <x v="6"/>
    <x v="0"/>
    <b v="0"/>
    <b v="1"/>
    <s v="Large Order"/>
    <n v="3.2305000000000001"/>
    <x v="2"/>
    <n v="1162.98"/>
    <m/>
  </r>
  <r>
    <s v="ORD-1676"/>
    <d v="2024-10-16T00:00:00"/>
    <s v="CUST-164"/>
    <x v="3"/>
    <x v="1"/>
    <x v="2"/>
    <x v="4"/>
    <x v="6"/>
    <s v="$84.57"/>
    <s v="Wednesday"/>
    <x v="3"/>
    <x v="0"/>
    <b v="0"/>
    <b v="0"/>
    <s v="Large Order"/>
    <n v="4.2284999999999995"/>
    <x v="4"/>
    <n v="507.41999999999996"/>
    <m/>
  </r>
  <r>
    <s v="ORD-1677"/>
    <d v="2024-04-22T00:00:00"/>
    <s v="CUST-103"/>
    <x v="5"/>
    <x v="1"/>
    <x v="0"/>
    <x v="4"/>
    <x v="18"/>
    <s v="$64.61"/>
    <s v="Monday"/>
    <x v="2"/>
    <x v="0"/>
    <b v="0"/>
    <b v="1"/>
    <s v="Large Order"/>
    <n v="3.2305000000000001"/>
    <x v="5"/>
    <n v="1098.3699999999999"/>
    <m/>
  </r>
  <r>
    <s v="ORD-1678"/>
    <d v="2024-04-29T00:00:00"/>
    <s v="CUST-120"/>
    <x v="6"/>
    <x v="0"/>
    <x v="4"/>
    <x v="0"/>
    <x v="7"/>
    <s v="$86.6"/>
    <s v="Monday"/>
    <x v="2"/>
    <x v="0"/>
    <b v="0"/>
    <b v="0"/>
    <s v="Large Order"/>
    <n v="4.33"/>
    <x v="6"/>
    <n v="692.8"/>
    <m/>
  </r>
  <r>
    <s v="ORD-1679"/>
    <d v="2024-04-22T00:00:00"/>
    <s v="CUST-173"/>
    <x v="7"/>
    <x v="1"/>
    <x v="3"/>
    <x v="3"/>
    <x v="6"/>
    <s v="$107.34"/>
    <s v="Monday"/>
    <x v="2"/>
    <x v="0"/>
    <b v="0"/>
    <b v="0"/>
    <s v="Large Order"/>
    <n v="5.3670000000000009"/>
    <x v="10"/>
    <n v="644.04"/>
    <m/>
  </r>
  <r>
    <s v="ORD-1680"/>
    <d v="2024-12-23T00:00:00"/>
    <s v="CUST-145"/>
    <x v="10"/>
    <x v="2"/>
    <x v="0"/>
    <x v="4"/>
    <x v="5"/>
    <s v="$46.19"/>
    <s v="Monday"/>
    <x v="1"/>
    <x v="0"/>
    <b v="0"/>
    <b v="0"/>
    <s v="Large Order"/>
    <n v="2.3094999999999999"/>
    <x v="23"/>
    <n v="554.28"/>
    <m/>
  </r>
  <r>
    <s v="ORD-1681"/>
    <d v="2024-03-13T00:00:00"/>
    <s v="CUST-172"/>
    <x v="23"/>
    <x v="0"/>
    <x v="2"/>
    <x v="0"/>
    <x v="8"/>
    <s v="$133.37"/>
    <s v="Wednesday"/>
    <x v="4"/>
    <x v="0"/>
    <b v="0"/>
    <b v="1"/>
    <s v="Large Order"/>
    <n v="6.6685000000000008"/>
    <x v="24"/>
    <n v="1333.7"/>
    <m/>
  </r>
  <r>
    <s v="ORD-1682"/>
    <d v="2024-02-16T00:00:00"/>
    <s v="CUST-107"/>
    <x v="24"/>
    <x v="0"/>
    <x v="1"/>
    <x v="0"/>
    <x v="1"/>
    <s v="$10.11"/>
    <s v="Friday"/>
    <x v="5"/>
    <x v="0"/>
    <b v="0"/>
    <b v="0"/>
    <s v="Standard order"/>
    <n v="0.50549999999999995"/>
    <x v="13"/>
    <n v="10.11"/>
    <m/>
  </r>
  <r>
    <s v="ORD-1683"/>
    <d v="2024-06-18T00:00:00"/>
    <s v="CUST-178"/>
    <x v="13"/>
    <x v="0"/>
    <x v="4"/>
    <x v="3"/>
    <x v="6"/>
    <s v="$156.44"/>
    <s v="Tuesday"/>
    <x v="9"/>
    <x v="0"/>
    <b v="0"/>
    <b v="1"/>
    <s v="Large Order"/>
    <n v="7.8220000000000001"/>
    <x v="10"/>
    <n v="938.64"/>
    <m/>
  </r>
  <r>
    <s v="ORD-1684"/>
    <d v="2024-01-31T00:00:00"/>
    <s v="CUST-102"/>
    <x v="10"/>
    <x v="0"/>
    <x v="1"/>
    <x v="4"/>
    <x v="2"/>
    <s v="$46.19"/>
    <s v="Wednesday"/>
    <x v="6"/>
    <x v="0"/>
    <b v="0"/>
    <b v="0"/>
    <s v="Standard order"/>
    <n v="2.3094999999999999"/>
    <x v="9"/>
    <n v="230.95"/>
    <m/>
  </r>
  <r>
    <s v="ORD-1685"/>
    <d v="2024-07-05T00:00:00"/>
    <s v="CUST-109"/>
    <x v="9"/>
    <x v="1"/>
    <x v="2"/>
    <x v="3"/>
    <x v="0"/>
    <s v="$101.96"/>
    <s v="Friday"/>
    <x v="8"/>
    <x v="0"/>
    <b v="0"/>
    <b v="0"/>
    <s v="Standard order"/>
    <n v="5.0979999999999999"/>
    <x v="1"/>
    <n v="407.84"/>
    <m/>
  </r>
  <r>
    <s v="ORD-1686"/>
    <d v="2024-03-10T00:00:00"/>
    <s v="CUST-120"/>
    <x v="2"/>
    <x v="2"/>
    <x v="2"/>
    <x v="2"/>
    <x v="17"/>
    <s v="$88.18"/>
    <s v="Sunday"/>
    <x v="4"/>
    <x v="0"/>
    <b v="1"/>
    <b v="1"/>
    <s v="Large Order"/>
    <n v="4.4090000000000007"/>
    <x v="7"/>
    <n v="1410.88"/>
    <m/>
  </r>
  <r>
    <s v="ORD-1687"/>
    <d v="2024-12-28T00:00:00"/>
    <s v="CUST-171"/>
    <x v="8"/>
    <x v="2"/>
    <x v="1"/>
    <x v="2"/>
    <x v="7"/>
    <s v="$208.85"/>
    <s v="Saturday"/>
    <x v="1"/>
    <x v="0"/>
    <b v="1"/>
    <b v="1"/>
    <s v="Large Order"/>
    <n v="10.442500000000001"/>
    <x v="0"/>
    <n v="1670.8"/>
    <m/>
  </r>
  <r>
    <s v="ORD-1688"/>
    <d v="2024-07-12T00:00:00"/>
    <s v="CUST-139"/>
    <x v="1"/>
    <x v="2"/>
    <x v="3"/>
    <x v="4"/>
    <x v="6"/>
    <s v="$178.83"/>
    <s v="Friday"/>
    <x v="8"/>
    <x v="0"/>
    <b v="0"/>
    <b v="1"/>
    <s v="Large Order"/>
    <n v="8.9415000000000013"/>
    <x v="6"/>
    <n v="1072.98"/>
    <m/>
  </r>
  <r>
    <s v="ORD-1689"/>
    <d v="2024-07-19T00:00:00"/>
    <s v="CUST-198"/>
    <x v="7"/>
    <x v="2"/>
    <x v="0"/>
    <x v="4"/>
    <x v="19"/>
    <s v="$107.34"/>
    <s v="Friday"/>
    <x v="8"/>
    <x v="0"/>
    <b v="0"/>
    <b v="1"/>
    <s v="Large Order"/>
    <n v="5.3670000000000009"/>
    <x v="4"/>
    <n v="2146.8000000000002"/>
    <m/>
  </r>
  <r>
    <s v="ORD-1690"/>
    <d v="2024-04-23T00:00:00"/>
    <s v="CUST-181"/>
    <x v="5"/>
    <x v="2"/>
    <x v="0"/>
    <x v="0"/>
    <x v="2"/>
    <s v="$64.61"/>
    <s v="Tuesday"/>
    <x v="2"/>
    <x v="0"/>
    <b v="0"/>
    <b v="0"/>
    <s v="Standard order"/>
    <n v="3.2305000000000001"/>
    <x v="1"/>
    <n v="323.05"/>
    <m/>
  </r>
  <r>
    <s v="ORD-1691"/>
    <d v="2024-05-01T00:00:00"/>
    <s v="CUST-144"/>
    <x v="2"/>
    <x v="1"/>
    <x v="4"/>
    <x v="3"/>
    <x v="13"/>
    <s v="$88.18"/>
    <s v="Wednesday"/>
    <x v="7"/>
    <x v="0"/>
    <b v="0"/>
    <b v="0"/>
    <s v="Standard order"/>
    <n v="4.4090000000000007"/>
    <x v="24"/>
    <n v="264.54000000000002"/>
    <m/>
  </r>
  <r>
    <s v="ORD-1692"/>
    <d v="2024-08-16T00:00:00"/>
    <s v="CUST-101"/>
    <x v="24"/>
    <x v="1"/>
    <x v="4"/>
    <x v="0"/>
    <x v="13"/>
    <s v="$10.11"/>
    <s v="Friday"/>
    <x v="10"/>
    <x v="0"/>
    <b v="0"/>
    <b v="0"/>
    <s v="Standard order"/>
    <n v="0.50549999999999995"/>
    <x v="16"/>
    <n v="30.33"/>
    <m/>
  </r>
  <r>
    <s v="ORD-1693"/>
    <d v="2024-01-01T00:00:00"/>
    <s v="CUST-106"/>
    <x v="16"/>
    <x v="1"/>
    <x v="2"/>
    <x v="1"/>
    <x v="3"/>
    <s v="$130.07"/>
    <s v="Monday"/>
    <x v="6"/>
    <x v="0"/>
    <b v="0"/>
    <b v="1"/>
    <s v="Large Order"/>
    <n v="6.5034999999999998"/>
    <x v="3"/>
    <n v="1820.98"/>
    <m/>
  </r>
  <r>
    <s v="ORD-1694"/>
    <d v="2024-09-09T00:00:00"/>
    <s v="CUST-148"/>
    <x v="4"/>
    <x v="1"/>
    <x v="1"/>
    <x v="4"/>
    <x v="0"/>
    <s v="$230.34"/>
    <s v="Monday"/>
    <x v="11"/>
    <x v="0"/>
    <b v="0"/>
    <b v="0"/>
    <s v="Large Order"/>
    <n v="11.517000000000001"/>
    <x v="6"/>
    <n v="921.36"/>
    <m/>
  </r>
  <r>
    <s v="ORD-1695"/>
    <d v="2024-11-29T00:00:00"/>
    <s v="CUST-197"/>
    <x v="7"/>
    <x v="2"/>
    <x v="4"/>
    <x v="0"/>
    <x v="12"/>
    <s v="$107.34"/>
    <s v="Friday"/>
    <x v="0"/>
    <x v="0"/>
    <b v="0"/>
    <b v="1"/>
    <s v="Large Order"/>
    <n v="5.3670000000000009"/>
    <x v="19"/>
    <n v="1610.1000000000001"/>
    <m/>
  </r>
  <r>
    <s v="ORD-1696"/>
    <d v="2024-05-30T00:00:00"/>
    <s v="CUST-102"/>
    <x v="19"/>
    <x v="1"/>
    <x v="3"/>
    <x v="1"/>
    <x v="13"/>
    <s v="$145.48"/>
    <s v="Thursday"/>
    <x v="7"/>
    <x v="0"/>
    <b v="0"/>
    <b v="0"/>
    <s v="Standard order"/>
    <n v="7.274"/>
    <x v="8"/>
    <n v="436.43999999999994"/>
    <m/>
  </r>
  <r>
    <s v="ORD-1697"/>
    <d v="2024-03-23T00:00:00"/>
    <s v="CUST-193"/>
    <x v="0"/>
    <x v="0"/>
    <x v="1"/>
    <x v="4"/>
    <x v="9"/>
    <s v="$146.06"/>
    <s v="Saturday"/>
    <x v="4"/>
    <x v="0"/>
    <b v="1"/>
    <b v="1"/>
    <s v="Large Order"/>
    <n v="7.3030000000000008"/>
    <x v="1"/>
    <n v="1606.66"/>
    <m/>
  </r>
  <r>
    <s v="ORD-1698"/>
    <d v="2024-09-04T00:00:00"/>
    <s v="CUST-190"/>
    <x v="2"/>
    <x v="0"/>
    <x v="2"/>
    <x v="1"/>
    <x v="6"/>
    <s v="$88.18"/>
    <s v="Wednesday"/>
    <x v="11"/>
    <x v="0"/>
    <b v="0"/>
    <b v="0"/>
    <s v="Large Order"/>
    <n v="4.4090000000000007"/>
    <x v="11"/>
    <n v="529.08000000000004"/>
    <m/>
  </r>
  <r>
    <s v="ORD-1699"/>
    <d v="2024-03-21T00:00:00"/>
    <s v="CUST-106"/>
    <x v="11"/>
    <x v="0"/>
    <x v="3"/>
    <x v="4"/>
    <x v="10"/>
    <s v="$33.22"/>
    <s v="Thursday"/>
    <x v="4"/>
    <x v="0"/>
    <b v="0"/>
    <b v="0"/>
    <s v="Standard order"/>
    <n v="1.661"/>
    <x v="14"/>
    <n v="232.54"/>
    <m/>
  </r>
  <r>
    <s v="ORD-1700"/>
    <d v="2024-10-03T00:00:00"/>
    <s v="CUST-133"/>
    <x v="14"/>
    <x v="2"/>
    <x v="3"/>
    <x v="1"/>
    <x v="7"/>
    <s v="$201.32"/>
    <s v="Thursday"/>
    <x v="3"/>
    <x v="0"/>
    <b v="0"/>
    <b v="1"/>
    <s v="Large Order"/>
    <n v="10.066000000000001"/>
    <x v="15"/>
    <n v="1610.56"/>
    <m/>
  </r>
  <r>
    <s v="ORD-1701"/>
    <d v="2024-10-19T00:00:00"/>
    <s v="CUST-170"/>
    <x v="15"/>
    <x v="1"/>
    <x v="4"/>
    <x v="0"/>
    <x v="5"/>
    <s v="$216.22"/>
    <s v="Saturday"/>
    <x v="3"/>
    <x v="0"/>
    <b v="1"/>
    <b v="1"/>
    <s v="Large Order"/>
    <n v="10.811"/>
    <x v="4"/>
    <n v="2594.64"/>
    <m/>
  </r>
  <r>
    <s v="ORD-1702"/>
    <d v="2024-05-30T00:00:00"/>
    <s v="CUST-184"/>
    <x v="5"/>
    <x v="2"/>
    <x v="1"/>
    <x v="2"/>
    <x v="10"/>
    <s v="$64.61"/>
    <s v="Thursday"/>
    <x v="7"/>
    <x v="0"/>
    <b v="0"/>
    <b v="0"/>
    <s v="Standard order"/>
    <n v="3.2305000000000001"/>
    <x v="4"/>
    <n v="452.27"/>
    <m/>
  </r>
  <r>
    <s v="ORD-1703"/>
    <d v="2024-03-28T00:00:00"/>
    <s v="CUST-181"/>
    <x v="5"/>
    <x v="1"/>
    <x v="0"/>
    <x v="1"/>
    <x v="0"/>
    <s v="$64.61"/>
    <s v="Thursday"/>
    <x v="4"/>
    <x v="0"/>
    <b v="0"/>
    <b v="0"/>
    <s v="Standard order"/>
    <n v="3.2305000000000001"/>
    <x v="8"/>
    <n v="258.44"/>
    <m/>
  </r>
  <r>
    <s v="ORD-1704"/>
    <d v="2024-08-29T00:00:00"/>
    <s v="CUST-162"/>
    <x v="0"/>
    <x v="2"/>
    <x v="3"/>
    <x v="3"/>
    <x v="15"/>
    <s v="$146.06"/>
    <s v="Thursday"/>
    <x v="10"/>
    <x v="0"/>
    <b v="0"/>
    <b v="1"/>
    <s v="Large Order"/>
    <n v="7.3030000000000008"/>
    <x v="15"/>
    <n v="2629.08"/>
    <m/>
  </r>
  <r>
    <s v="ORD-1705"/>
    <d v="2024-07-14T00:00:00"/>
    <s v="CUST-147"/>
    <x v="15"/>
    <x v="0"/>
    <x v="2"/>
    <x v="3"/>
    <x v="14"/>
    <s v="$216.22"/>
    <s v="Sunday"/>
    <x v="8"/>
    <x v="0"/>
    <b v="1"/>
    <b v="1"/>
    <s v="Large Order"/>
    <n v="10.811"/>
    <x v="0"/>
    <n v="1945.98"/>
    <m/>
  </r>
  <r>
    <s v="ORD-1706"/>
    <d v="2024-04-25T00:00:00"/>
    <s v="CUST-134"/>
    <x v="1"/>
    <x v="2"/>
    <x v="0"/>
    <x v="3"/>
    <x v="0"/>
    <s v="$178.83"/>
    <s v="Thursday"/>
    <x v="2"/>
    <x v="0"/>
    <b v="0"/>
    <b v="0"/>
    <s v="Large Order"/>
    <n v="8.9415000000000013"/>
    <x v="23"/>
    <n v="715.32"/>
    <m/>
  </r>
  <r>
    <s v="ORD-1707"/>
    <d v="2024-10-04T00:00:00"/>
    <s v="CUST-152"/>
    <x v="23"/>
    <x v="2"/>
    <x v="4"/>
    <x v="4"/>
    <x v="4"/>
    <s v="$133.37"/>
    <s v="Friday"/>
    <x v="3"/>
    <x v="0"/>
    <b v="0"/>
    <b v="0"/>
    <s v="Standard order"/>
    <n v="6.6685000000000008"/>
    <x v="9"/>
    <n v="266.74"/>
    <m/>
  </r>
  <r>
    <s v="ORD-1708"/>
    <d v="2024-08-02T00:00:00"/>
    <s v="CUST-168"/>
    <x v="9"/>
    <x v="2"/>
    <x v="2"/>
    <x v="0"/>
    <x v="7"/>
    <s v="$101.96"/>
    <s v="Friday"/>
    <x v="10"/>
    <x v="0"/>
    <b v="0"/>
    <b v="1"/>
    <s v="Large Order"/>
    <n v="5.0979999999999999"/>
    <x v="9"/>
    <n v="815.68"/>
    <m/>
  </r>
  <r>
    <s v="ORD-1709"/>
    <d v="2024-07-21T00:00:00"/>
    <s v="CUST-191"/>
    <x v="9"/>
    <x v="0"/>
    <x v="1"/>
    <x v="4"/>
    <x v="18"/>
    <s v="$101.96"/>
    <s v="Sunday"/>
    <x v="8"/>
    <x v="0"/>
    <b v="1"/>
    <b v="1"/>
    <s v="Large Order"/>
    <n v="5.0979999999999999"/>
    <x v="6"/>
    <n v="1733.32"/>
    <m/>
  </r>
  <r>
    <s v="ORD-1710"/>
    <d v="2024-03-16T00:00:00"/>
    <s v="CUST-115"/>
    <x v="7"/>
    <x v="1"/>
    <x v="4"/>
    <x v="2"/>
    <x v="10"/>
    <s v="$107.34"/>
    <s v="Saturday"/>
    <x v="4"/>
    <x v="0"/>
    <b v="1"/>
    <b v="1"/>
    <s v="Large Order"/>
    <n v="5.3670000000000009"/>
    <x v="11"/>
    <n v="751.38"/>
    <m/>
  </r>
  <r>
    <s v="ORD-1711"/>
    <d v="2024-01-22T00:00:00"/>
    <s v="CUST-154"/>
    <x v="11"/>
    <x v="0"/>
    <x v="2"/>
    <x v="3"/>
    <x v="2"/>
    <s v="$33.22"/>
    <s v="Monday"/>
    <x v="6"/>
    <x v="0"/>
    <b v="0"/>
    <b v="0"/>
    <s v="Standard order"/>
    <n v="1.661"/>
    <x v="3"/>
    <n v="166.1"/>
    <m/>
  </r>
  <r>
    <s v="ORD-1712"/>
    <d v="2024-06-12T00:00:00"/>
    <s v="CUST-193"/>
    <x v="4"/>
    <x v="0"/>
    <x v="0"/>
    <x v="3"/>
    <x v="15"/>
    <s v="$230.34"/>
    <s v="Wednesday"/>
    <x v="9"/>
    <x v="0"/>
    <b v="0"/>
    <b v="1"/>
    <s v="Large Order"/>
    <n v="11.517000000000001"/>
    <x v="10"/>
    <n v="4146.12"/>
    <m/>
  </r>
  <r>
    <s v="ORD-1713"/>
    <d v="2024-05-21T00:00:00"/>
    <s v="CUST-166"/>
    <x v="10"/>
    <x v="1"/>
    <x v="0"/>
    <x v="1"/>
    <x v="19"/>
    <s v="$46.19"/>
    <s v="Tuesday"/>
    <x v="7"/>
    <x v="0"/>
    <b v="0"/>
    <b v="1"/>
    <s v="Large Order"/>
    <n v="2.3094999999999999"/>
    <x v="9"/>
    <n v="923.8"/>
    <m/>
  </r>
  <r>
    <s v="ORD-1714"/>
    <d v="2024-02-27T00:00:00"/>
    <s v="CUST-153"/>
    <x v="9"/>
    <x v="0"/>
    <x v="4"/>
    <x v="0"/>
    <x v="16"/>
    <s v="$101.96"/>
    <s v="Tuesday"/>
    <x v="5"/>
    <x v="0"/>
    <b v="0"/>
    <b v="1"/>
    <s v="Large Order"/>
    <n v="5.0979999999999999"/>
    <x v="23"/>
    <n v="1937.2399999999998"/>
    <m/>
  </r>
  <r>
    <s v="ORD-1715"/>
    <d v="2024-02-24T00:00:00"/>
    <s v="CUST-172"/>
    <x v="23"/>
    <x v="0"/>
    <x v="3"/>
    <x v="3"/>
    <x v="5"/>
    <s v="$133.37"/>
    <s v="Saturday"/>
    <x v="5"/>
    <x v="0"/>
    <b v="1"/>
    <b v="1"/>
    <s v="Large Order"/>
    <n v="6.6685000000000008"/>
    <x v="20"/>
    <n v="1600.44"/>
    <m/>
  </r>
  <r>
    <s v="ORD-1716"/>
    <d v="2024-07-15T00:00:00"/>
    <s v="CUST-183"/>
    <x v="20"/>
    <x v="1"/>
    <x v="1"/>
    <x v="3"/>
    <x v="17"/>
    <s v="$81.02"/>
    <s v="Monday"/>
    <x v="8"/>
    <x v="0"/>
    <b v="0"/>
    <b v="1"/>
    <s v="Large Order"/>
    <n v="4.0510000000000002"/>
    <x v="5"/>
    <n v="1296.32"/>
    <m/>
  </r>
  <r>
    <s v="ORD-1717"/>
    <d v="2024-07-25T00:00:00"/>
    <s v="CUST-118"/>
    <x v="6"/>
    <x v="2"/>
    <x v="1"/>
    <x v="3"/>
    <x v="11"/>
    <s v="$86.6"/>
    <s v="Thursday"/>
    <x v="8"/>
    <x v="0"/>
    <b v="0"/>
    <b v="1"/>
    <s v="Large Order"/>
    <n v="4.33"/>
    <x v="2"/>
    <n v="1125.8"/>
    <m/>
  </r>
  <r>
    <s v="ORD-1718"/>
    <d v="2024-12-19T00:00:00"/>
    <s v="CUST-130"/>
    <x v="3"/>
    <x v="0"/>
    <x v="2"/>
    <x v="3"/>
    <x v="5"/>
    <s v="$84.57"/>
    <s v="Thursday"/>
    <x v="1"/>
    <x v="0"/>
    <b v="0"/>
    <b v="1"/>
    <s v="Large Order"/>
    <n v="4.2284999999999995"/>
    <x v="24"/>
    <n v="1014.8399999999999"/>
    <m/>
  </r>
  <r>
    <s v="ORD-1719"/>
    <d v="2024-06-08T00:00:00"/>
    <s v="CUST-135"/>
    <x v="24"/>
    <x v="1"/>
    <x v="0"/>
    <x v="1"/>
    <x v="2"/>
    <s v="$10.11"/>
    <s v="Saturday"/>
    <x v="9"/>
    <x v="0"/>
    <b v="1"/>
    <b v="0"/>
    <s v="Standard order"/>
    <n v="0.50549999999999995"/>
    <x v="20"/>
    <n v="50.55"/>
    <m/>
  </r>
  <r>
    <s v="ORD-1720"/>
    <d v="2024-06-13T00:00:00"/>
    <s v="CUST-134"/>
    <x v="20"/>
    <x v="2"/>
    <x v="2"/>
    <x v="2"/>
    <x v="13"/>
    <s v="$81.02"/>
    <s v="Thursday"/>
    <x v="9"/>
    <x v="0"/>
    <b v="0"/>
    <b v="0"/>
    <s v="Standard order"/>
    <n v="4.0510000000000002"/>
    <x v="7"/>
    <n v="243.06"/>
    <m/>
  </r>
  <r>
    <s v="ORD-1721"/>
    <d v="2024-07-27T00:00:00"/>
    <s v="CUST-194"/>
    <x v="8"/>
    <x v="1"/>
    <x v="1"/>
    <x v="2"/>
    <x v="4"/>
    <s v="$208.85"/>
    <s v="Saturday"/>
    <x v="8"/>
    <x v="0"/>
    <b v="1"/>
    <b v="0"/>
    <s v="Standard order"/>
    <n v="10.442500000000001"/>
    <x v="3"/>
    <n v="417.7"/>
    <m/>
  </r>
  <r>
    <s v="ORD-1722"/>
    <d v="2024-02-03T00:00:00"/>
    <s v="CUST-139"/>
    <x v="4"/>
    <x v="2"/>
    <x v="1"/>
    <x v="4"/>
    <x v="2"/>
    <s v="$230.34"/>
    <s v="Saturday"/>
    <x v="5"/>
    <x v="0"/>
    <b v="1"/>
    <b v="0"/>
    <s v="Large Order"/>
    <n v="11.517000000000001"/>
    <x v="11"/>
    <n v="1151.7"/>
    <m/>
  </r>
  <r>
    <s v="ORD-1723"/>
    <d v="2024-10-18T00:00:00"/>
    <s v="CUST-103"/>
    <x v="11"/>
    <x v="0"/>
    <x v="4"/>
    <x v="1"/>
    <x v="4"/>
    <s v="$33.22"/>
    <s v="Friday"/>
    <x v="3"/>
    <x v="0"/>
    <b v="0"/>
    <b v="0"/>
    <s v="Standard order"/>
    <n v="1.661"/>
    <x v="2"/>
    <n v="66.44"/>
    <m/>
  </r>
  <r>
    <s v="ORD-1724"/>
    <d v="2024-01-26T00:00:00"/>
    <s v="CUST-146"/>
    <x v="3"/>
    <x v="2"/>
    <x v="4"/>
    <x v="4"/>
    <x v="5"/>
    <s v="$84.57"/>
    <s v="Friday"/>
    <x v="6"/>
    <x v="0"/>
    <b v="0"/>
    <b v="1"/>
    <s v="Large Order"/>
    <n v="4.2284999999999995"/>
    <x v="24"/>
    <n v="1014.8399999999999"/>
    <m/>
  </r>
  <r>
    <s v="ORD-1725"/>
    <d v="2024-07-22T00:00:00"/>
    <s v="CUST-181"/>
    <x v="24"/>
    <x v="0"/>
    <x v="0"/>
    <x v="1"/>
    <x v="5"/>
    <s v="$10.11"/>
    <s v="Monday"/>
    <x v="8"/>
    <x v="0"/>
    <b v="0"/>
    <b v="0"/>
    <s v="Standard order"/>
    <n v="0.50549999999999995"/>
    <x v="7"/>
    <n v="121.32"/>
    <m/>
  </r>
  <r>
    <s v="ORD-1726"/>
    <d v="2024-03-31T00:00:00"/>
    <s v="CUST-160"/>
    <x v="8"/>
    <x v="2"/>
    <x v="1"/>
    <x v="3"/>
    <x v="5"/>
    <s v="$208.85"/>
    <s v="Sunday"/>
    <x v="4"/>
    <x v="0"/>
    <b v="1"/>
    <b v="1"/>
    <s v="Large Order"/>
    <n v="10.442500000000001"/>
    <x v="3"/>
    <n v="2506.1999999999998"/>
    <m/>
  </r>
  <r>
    <s v="ORD-1727"/>
    <d v="2024-12-18T00:00:00"/>
    <s v="CUST-111"/>
    <x v="4"/>
    <x v="1"/>
    <x v="0"/>
    <x v="4"/>
    <x v="4"/>
    <s v="$230.34"/>
    <s v="Wednesday"/>
    <x v="1"/>
    <x v="0"/>
    <b v="0"/>
    <b v="0"/>
    <s v="Standard order"/>
    <n v="11.517000000000001"/>
    <x v="5"/>
    <n v="460.68"/>
    <m/>
  </r>
  <r>
    <s v="ORD-1728"/>
    <d v="2024-04-19T00:00:00"/>
    <s v="CUST-128"/>
    <x v="6"/>
    <x v="2"/>
    <x v="4"/>
    <x v="1"/>
    <x v="10"/>
    <s v="$86.6"/>
    <s v="Friday"/>
    <x v="2"/>
    <x v="0"/>
    <b v="0"/>
    <b v="0"/>
    <s v="Large Order"/>
    <n v="4.33"/>
    <x v="4"/>
    <n v="606.19999999999993"/>
    <m/>
  </r>
  <r>
    <s v="ORD-1729"/>
    <d v="2024-09-19T00:00:00"/>
    <s v="CUST-102"/>
    <x v="5"/>
    <x v="2"/>
    <x v="0"/>
    <x v="4"/>
    <x v="2"/>
    <s v="$64.61"/>
    <s v="Thursday"/>
    <x v="11"/>
    <x v="0"/>
    <b v="0"/>
    <b v="0"/>
    <s v="Standard order"/>
    <n v="3.2305000000000001"/>
    <x v="14"/>
    <n v="323.05"/>
    <m/>
  </r>
  <r>
    <s v="ORD-1730"/>
    <d v="2024-01-05T00:00:00"/>
    <s v="CUST-128"/>
    <x v="14"/>
    <x v="1"/>
    <x v="1"/>
    <x v="1"/>
    <x v="14"/>
    <s v="$201.32"/>
    <s v="Friday"/>
    <x v="6"/>
    <x v="0"/>
    <b v="0"/>
    <b v="1"/>
    <s v="Large Order"/>
    <n v="10.066000000000001"/>
    <x v="12"/>
    <n v="1811.8799999999999"/>
    <m/>
  </r>
  <r>
    <s v="ORD-1731"/>
    <d v="2024-06-27T00:00:00"/>
    <s v="CUST-158"/>
    <x v="12"/>
    <x v="1"/>
    <x v="4"/>
    <x v="4"/>
    <x v="8"/>
    <s v="$211.9"/>
    <s v="Thursday"/>
    <x v="9"/>
    <x v="0"/>
    <b v="0"/>
    <b v="1"/>
    <s v="Large Order"/>
    <n v="10.595000000000001"/>
    <x v="22"/>
    <n v="2119"/>
    <m/>
  </r>
  <r>
    <s v="ORD-1732"/>
    <d v="2024-07-22T00:00:00"/>
    <s v="CUST-174"/>
    <x v="22"/>
    <x v="0"/>
    <x v="0"/>
    <x v="4"/>
    <x v="5"/>
    <s v="$149.27"/>
    <s v="Monday"/>
    <x v="8"/>
    <x v="0"/>
    <b v="0"/>
    <b v="1"/>
    <s v="Large Order"/>
    <n v="7.4635000000000007"/>
    <x v="4"/>
    <n v="1791.2400000000002"/>
    <m/>
  </r>
  <r>
    <s v="ORD-1733"/>
    <d v="2024-11-07T00:00:00"/>
    <s v="CUST-136"/>
    <x v="5"/>
    <x v="1"/>
    <x v="0"/>
    <x v="3"/>
    <x v="13"/>
    <s v="$64.61"/>
    <s v="Thursday"/>
    <x v="0"/>
    <x v="0"/>
    <b v="0"/>
    <b v="0"/>
    <s v="Standard order"/>
    <n v="3.2305000000000001"/>
    <x v="1"/>
    <n v="193.82999999999998"/>
    <m/>
  </r>
  <r>
    <s v="ORD-1734"/>
    <d v="2024-11-23T00:00:00"/>
    <s v="CUST-141"/>
    <x v="2"/>
    <x v="1"/>
    <x v="3"/>
    <x v="4"/>
    <x v="8"/>
    <s v="$88.18"/>
    <s v="Saturday"/>
    <x v="0"/>
    <x v="0"/>
    <b v="1"/>
    <b v="1"/>
    <s v="Large Order"/>
    <n v="4.4090000000000007"/>
    <x v="5"/>
    <n v="881.80000000000007"/>
    <m/>
  </r>
  <r>
    <s v="ORD-1735"/>
    <d v="2024-05-03T00:00:00"/>
    <s v="CUST-107"/>
    <x v="6"/>
    <x v="2"/>
    <x v="2"/>
    <x v="0"/>
    <x v="9"/>
    <s v="$86.6"/>
    <s v="Friday"/>
    <x v="7"/>
    <x v="0"/>
    <b v="0"/>
    <b v="1"/>
    <s v="Large Order"/>
    <n v="4.33"/>
    <x v="17"/>
    <n v="952.59999999999991"/>
    <m/>
  </r>
  <r>
    <s v="ORD-1736"/>
    <d v="2024-12-01T00:00:00"/>
    <s v="CUST-163"/>
    <x v="17"/>
    <x v="1"/>
    <x v="3"/>
    <x v="0"/>
    <x v="11"/>
    <s v="$26.59"/>
    <s v="Sunday"/>
    <x v="1"/>
    <x v="0"/>
    <b v="1"/>
    <b v="0"/>
    <s v="Standard order"/>
    <n v="1.3295000000000001"/>
    <x v="13"/>
    <n v="345.67"/>
    <m/>
  </r>
  <r>
    <s v="ORD-1737"/>
    <d v="2024-10-25T00:00:00"/>
    <s v="CUST-190"/>
    <x v="13"/>
    <x v="2"/>
    <x v="4"/>
    <x v="1"/>
    <x v="7"/>
    <s v="$156.44"/>
    <s v="Friday"/>
    <x v="3"/>
    <x v="0"/>
    <b v="0"/>
    <b v="1"/>
    <s v="Large Order"/>
    <n v="7.8220000000000001"/>
    <x v="6"/>
    <n v="1251.52"/>
    <m/>
  </r>
  <r>
    <s v="ORD-1738"/>
    <d v="2024-12-09T00:00:00"/>
    <s v="CUST-145"/>
    <x v="7"/>
    <x v="2"/>
    <x v="3"/>
    <x v="0"/>
    <x v="15"/>
    <s v="$107.34"/>
    <s v="Monday"/>
    <x v="1"/>
    <x v="0"/>
    <b v="0"/>
    <b v="1"/>
    <s v="Large Order"/>
    <n v="5.3670000000000009"/>
    <x v="16"/>
    <n v="1932.1200000000001"/>
    <m/>
  </r>
  <r>
    <s v="ORD-1739"/>
    <d v="2024-08-29T00:00:00"/>
    <s v="CUST-116"/>
    <x v="16"/>
    <x v="2"/>
    <x v="3"/>
    <x v="2"/>
    <x v="15"/>
    <s v="$130.07"/>
    <s v="Thursday"/>
    <x v="10"/>
    <x v="0"/>
    <b v="0"/>
    <b v="1"/>
    <s v="Large Order"/>
    <n v="6.5034999999999998"/>
    <x v="24"/>
    <n v="2341.2599999999998"/>
    <m/>
  </r>
  <r>
    <s v="ORD-1740"/>
    <d v="2024-12-14T00:00:00"/>
    <s v="CUST-142"/>
    <x v="24"/>
    <x v="2"/>
    <x v="0"/>
    <x v="3"/>
    <x v="5"/>
    <s v="$10.11"/>
    <s v="Saturday"/>
    <x v="1"/>
    <x v="0"/>
    <b v="1"/>
    <b v="0"/>
    <s v="Standard order"/>
    <n v="0.50549999999999995"/>
    <x v="2"/>
    <n v="121.32"/>
    <m/>
  </r>
  <r>
    <s v="ORD-1741"/>
    <d v="2024-08-03T00:00:00"/>
    <s v="CUST-200"/>
    <x v="3"/>
    <x v="1"/>
    <x v="3"/>
    <x v="0"/>
    <x v="16"/>
    <s v="$84.57"/>
    <s v="Saturday"/>
    <x v="10"/>
    <x v="0"/>
    <b v="1"/>
    <b v="1"/>
    <s v="Large Order"/>
    <n v="4.2284999999999995"/>
    <x v="9"/>
    <n v="1606.83"/>
    <m/>
  </r>
  <r>
    <s v="ORD-1742"/>
    <d v="2024-08-28T00:00:00"/>
    <s v="CUST-106"/>
    <x v="9"/>
    <x v="2"/>
    <x v="1"/>
    <x v="2"/>
    <x v="19"/>
    <s v="$101.96"/>
    <s v="Wednesday"/>
    <x v="10"/>
    <x v="0"/>
    <b v="0"/>
    <b v="1"/>
    <s v="Large Order"/>
    <n v="5.0979999999999999"/>
    <x v="22"/>
    <n v="2039.1999999999998"/>
    <m/>
  </r>
  <r>
    <s v="ORD-1743"/>
    <d v="2024-09-13T00:00:00"/>
    <s v="CUST-115"/>
    <x v="22"/>
    <x v="2"/>
    <x v="2"/>
    <x v="2"/>
    <x v="8"/>
    <s v="$149.27"/>
    <s v="Friday"/>
    <x v="11"/>
    <x v="0"/>
    <b v="0"/>
    <b v="1"/>
    <s v="Large Order"/>
    <n v="7.4635000000000007"/>
    <x v="9"/>
    <n v="1492.7"/>
    <m/>
  </r>
  <r>
    <s v="ORD-1744"/>
    <d v="2024-03-11T00:00:00"/>
    <s v="CUST-125"/>
    <x v="9"/>
    <x v="1"/>
    <x v="2"/>
    <x v="2"/>
    <x v="12"/>
    <s v="$101.96"/>
    <s v="Monday"/>
    <x v="4"/>
    <x v="0"/>
    <b v="0"/>
    <b v="1"/>
    <s v="Large Order"/>
    <n v="5.0979999999999999"/>
    <x v="13"/>
    <n v="1529.3999999999999"/>
    <m/>
  </r>
  <r>
    <s v="ORD-1745"/>
    <d v="2024-02-11T00:00:00"/>
    <s v="CUST-162"/>
    <x v="13"/>
    <x v="1"/>
    <x v="4"/>
    <x v="3"/>
    <x v="4"/>
    <s v="$156.44"/>
    <s v="Sunday"/>
    <x v="5"/>
    <x v="0"/>
    <b v="1"/>
    <b v="0"/>
    <s v="Standard order"/>
    <n v="7.8220000000000001"/>
    <x v="21"/>
    <n v="312.88"/>
    <m/>
  </r>
  <r>
    <s v="ORD-1746"/>
    <d v="2024-04-17T00:00:00"/>
    <s v="CUST-197"/>
    <x v="21"/>
    <x v="0"/>
    <x v="1"/>
    <x v="0"/>
    <x v="6"/>
    <s v="$32.94"/>
    <s v="Wednesday"/>
    <x v="2"/>
    <x v="0"/>
    <b v="0"/>
    <b v="0"/>
    <s v="Standard order"/>
    <n v="1.647"/>
    <x v="3"/>
    <n v="197.64"/>
    <m/>
  </r>
  <r>
    <s v="ORD-1747"/>
    <d v="2024-03-07T00:00:00"/>
    <s v="CUST-178"/>
    <x v="4"/>
    <x v="1"/>
    <x v="2"/>
    <x v="1"/>
    <x v="3"/>
    <s v="$230.34"/>
    <s v="Thursday"/>
    <x v="4"/>
    <x v="0"/>
    <b v="0"/>
    <b v="1"/>
    <s v="Large Order"/>
    <n v="11.517000000000001"/>
    <x v="16"/>
    <n v="3224.76"/>
    <m/>
  </r>
  <r>
    <s v="ORD-1748"/>
    <d v="2024-01-03T00:00:00"/>
    <s v="CUST-104"/>
    <x v="16"/>
    <x v="2"/>
    <x v="4"/>
    <x v="3"/>
    <x v="5"/>
    <s v="$130.07"/>
    <s v="Wednesday"/>
    <x v="6"/>
    <x v="0"/>
    <b v="0"/>
    <b v="1"/>
    <s v="Large Order"/>
    <n v="6.5034999999999998"/>
    <x v="1"/>
    <n v="1560.84"/>
    <m/>
  </r>
  <r>
    <s v="ORD-1749"/>
    <d v="2024-09-28T00:00:00"/>
    <s v="CUST-124"/>
    <x v="2"/>
    <x v="0"/>
    <x v="0"/>
    <x v="3"/>
    <x v="7"/>
    <s v="$88.18"/>
    <s v="Saturday"/>
    <x v="11"/>
    <x v="0"/>
    <b v="1"/>
    <b v="0"/>
    <s v="Large Order"/>
    <n v="4.4090000000000007"/>
    <x v="22"/>
    <n v="705.44"/>
    <m/>
  </r>
  <r>
    <s v="ORD-1750"/>
    <d v="2024-06-08T00:00:00"/>
    <s v="CUST-116"/>
    <x v="22"/>
    <x v="0"/>
    <x v="2"/>
    <x v="0"/>
    <x v="16"/>
    <s v="$149.27"/>
    <s v="Saturday"/>
    <x v="9"/>
    <x v="0"/>
    <b v="1"/>
    <b v="1"/>
    <s v="Large Order"/>
    <n v="7.4635000000000007"/>
    <x v="16"/>
    <n v="2836.13"/>
    <m/>
  </r>
  <r>
    <s v="ORD-1751"/>
    <d v="2024-01-24T00:00:00"/>
    <s v="CUST-138"/>
    <x v="16"/>
    <x v="1"/>
    <x v="2"/>
    <x v="3"/>
    <x v="18"/>
    <s v="$130.07"/>
    <s v="Wednesday"/>
    <x v="6"/>
    <x v="0"/>
    <b v="0"/>
    <b v="1"/>
    <s v="Large Order"/>
    <n v="6.5034999999999998"/>
    <x v="4"/>
    <n v="2211.19"/>
    <m/>
  </r>
  <r>
    <s v="ORD-1752"/>
    <d v="2024-08-10T00:00:00"/>
    <s v="CUST-187"/>
    <x v="5"/>
    <x v="0"/>
    <x v="3"/>
    <x v="2"/>
    <x v="5"/>
    <s v="$64.61"/>
    <s v="Saturday"/>
    <x v="10"/>
    <x v="0"/>
    <b v="1"/>
    <b v="1"/>
    <s v="Large Order"/>
    <n v="3.2305000000000001"/>
    <x v="16"/>
    <n v="775.31999999999994"/>
    <m/>
  </r>
  <r>
    <s v="ORD-1753"/>
    <d v="2024-07-25T00:00:00"/>
    <s v="CUST-102"/>
    <x v="16"/>
    <x v="0"/>
    <x v="4"/>
    <x v="0"/>
    <x v="2"/>
    <s v="$130.07"/>
    <s v="Thursday"/>
    <x v="8"/>
    <x v="0"/>
    <b v="0"/>
    <b v="0"/>
    <s v="Large Order"/>
    <n v="6.5034999999999998"/>
    <x v="7"/>
    <n v="650.34999999999991"/>
    <m/>
  </r>
  <r>
    <s v="ORD-1754"/>
    <d v="2024-10-28T00:00:00"/>
    <s v="CUST-164"/>
    <x v="8"/>
    <x v="0"/>
    <x v="0"/>
    <x v="3"/>
    <x v="4"/>
    <s v="$208.85"/>
    <s v="Monday"/>
    <x v="3"/>
    <x v="0"/>
    <b v="0"/>
    <b v="0"/>
    <s v="Standard order"/>
    <n v="10.442500000000001"/>
    <x v="15"/>
    <n v="417.7"/>
    <m/>
  </r>
  <r>
    <s v="ORD-1755"/>
    <d v="2024-09-30T00:00:00"/>
    <s v="CUST-179"/>
    <x v="15"/>
    <x v="0"/>
    <x v="1"/>
    <x v="0"/>
    <x v="0"/>
    <s v="$216.22"/>
    <s v="Monday"/>
    <x v="11"/>
    <x v="0"/>
    <b v="0"/>
    <b v="0"/>
    <s v="Large Order"/>
    <n v="10.811"/>
    <x v="12"/>
    <n v="864.88"/>
    <m/>
  </r>
  <r>
    <s v="ORD-1756"/>
    <d v="2024-01-25T00:00:00"/>
    <s v="CUST-188"/>
    <x v="12"/>
    <x v="0"/>
    <x v="2"/>
    <x v="3"/>
    <x v="11"/>
    <s v="$211.9"/>
    <s v="Thursday"/>
    <x v="6"/>
    <x v="0"/>
    <b v="0"/>
    <b v="1"/>
    <s v="Large Order"/>
    <n v="10.595000000000001"/>
    <x v="10"/>
    <n v="2754.7000000000003"/>
    <m/>
  </r>
  <r>
    <s v="ORD-1757"/>
    <d v="2024-08-30T00:00:00"/>
    <s v="CUST-189"/>
    <x v="10"/>
    <x v="0"/>
    <x v="4"/>
    <x v="0"/>
    <x v="1"/>
    <s v="$46.19"/>
    <s v="Friday"/>
    <x v="10"/>
    <x v="0"/>
    <b v="0"/>
    <b v="0"/>
    <s v="Standard order"/>
    <n v="2.3094999999999999"/>
    <x v="20"/>
    <n v="46.19"/>
    <m/>
  </r>
  <r>
    <s v="ORD-1758"/>
    <d v="2024-12-05T00:00:00"/>
    <s v="CUST-166"/>
    <x v="20"/>
    <x v="1"/>
    <x v="1"/>
    <x v="0"/>
    <x v="2"/>
    <s v="$81.02"/>
    <s v="Thursday"/>
    <x v="1"/>
    <x v="0"/>
    <b v="0"/>
    <b v="0"/>
    <s v="Standard order"/>
    <n v="4.0510000000000002"/>
    <x v="14"/>
    <n v="405.09999999999997"/>
    <m/>
  </r>
  <r>
    <s v="ORD-1759"/>
    <d v="2024-09-18T00:00:00"/>
    <s v="CUST-192"/>
    <x v="14"/>
    <x v="2"/>
    <x v="0"/>
    <x v="1"/>
    <x v="0"/>
    <s v="$201.32"/>
    <s v="Wednesday"/>
    <x v="11"/>
    <x v="0"/>
    <b v="0"/>
    <b v="0"/>
    <s v="Large Order"/>
    <n v="10.066000000000001"/>
    <x v="22"/>
    <n v="805.28"/>
    <m/>
  </r>
  <r>
    <s v="ORD-1760"/>
    <d v="2024-04-11T00:00:00"/>
    <s v="CUST-177"/>
    <x v="22"/>
    <x v="0"/>
    <x v="3"/>
    <x v="1"/>
    <x v="10"/>
    <s v="$149.27"/>
    <s v="Thursday"/>
    <x v="2"/>
    <x v="0"/>
    <b v="0"/>
    <b v="1"/>
    <s v="Large Order"/>
    <n v="7.4635000000000007"/>
    <x v="4"/>
    <n v="1044.8900000000001"/>
    <m/>
  </r>
  <r>
    <s v="ORD-1761"/>
    <d v="2024-05-31T00:00:00"/>
    <s v="CUST-120"/>
    <x v="5"/>
    <x v="0"/>
    <x v="1"/>
    <x v="1"/>
    <x v="10"/>
    <s v="$64.61"/>
    <s v="Friday"/>
    <x v="7"/>
    <x v="0"/>
    <b v="0"/>
    <b v="0"/>
    <s v="Standard order"/>
    <n v="3.2305000000000001"/>
    <x v="5"/>
    <n v="452.27"/>
    <m/>
  </r>
  <r>
    <s v="ORD-1762"/>
    <d v="2024-06-18T00:00:00"/>
    <s v="CUST-130"/>
    <x v="6"/>
    <x v="0"/>
    <x v="0"/>
    <x v="4"/>
    <x v="13"/>
    <s v="$86.6"/>
    <s v="Tuesday"/>
    <x v="9"/>
    <x v="0"/>
    <b v="0"/>
    <b v="0"/>
    <s v="Standard order"/>
    <n v="4.33"/>
    <x v="21"/>
    <n v="259.79999999999995"/>
    <m/>
  </r>
  <r>
    <s v="ORD-1763"/>
    <d v="2024-12-08T00:00:00"/>
    <s v="CUST-163"/>
    <x v="21"/>
    <x v="0"/>
    <x v="0"/>
    <x v="0"/>
    <x v="18"/>
    <s v="$32.94"/>
    <s v="Sunday"/>
    <x v="1"/>
    <x v="0"/>
    <b v="1"/>
    <b v="0"/>
    <s v="Large Order"/>
    <n v="1.647"/>
    <x v="14"/>
    <n v="559.98"/>
    <m/>
  </r>
  <r>
    <s v="ORD-1764"/>
    <d v="2024-05-11T00:00:00"/>
    <s v="CUST-182"/>
    <x v="14"/>
    <x v="0"/>
    <x v="2"/>
    <x v="0"/>
    <x v="14"/>
    <s v="$201.32"/>
    <s v="Saturday"/>
    <x v="7"/>
    <x v="0"/>
    <b v="1"/>
    <b v="1"/>
    <s v="Large Order"/>
    <n v="10.066000000000001"/>
    <x v="5"/>
    <n v="1811.8799999999999"/>
    <m/>
  </r>
  <r>
    <s v="ORD-1765"/>
    <d v="2024-03-30T00:00:00"/>
    <s v="CUST-105"/>
    <x v="6"/>
    <x v="1"/>
    <x v="3"/>
    <x v="0"/>
    <x v="9"/>
    <s v="$86.6"/>
    <s v="Saturday"/>
    <x v="4"/>
    <x v="0"/>
    <b v="1"/>
    <b v="1"/>
    <s v="Large Order"/>
    <n v="4.33"/>
    <x v="0"/>
    <n v="952.59999999999991"/>
    <m/>
  </r>
  <r>
    <s v="ORD-1766"/>
    <d v="2024-02-18T00:00:00"/>
    <s v="CUST-197"/>
    <x v="1"/>
    <x v="0"/>
    <x v="0"/>
    <x v="1"/>
    <x v="6"/>
    <s v="$178.83"/>
    <s v="Sunday"/>
    <x v="5"/>
    <x v="0"/>
    <b v="1"/>
    <b v="1"/>
    <s v="Large Order"/>
    <n v="8.9415000000000013"/>
    <x v="7"/>
    <n v="1072.98"/>
    <m/>
  </r>
  <r>
    <s v="ORD-1767"/>
    <d v="2024-11-14T00:00:00"/>
    <s v="CUST-134"/>
    <x v="8"/>
    <x v="2"/>
    <x v="0"/>
    <x v="1"/>
    <x v="9"/>
    <s v="$208.85"/>
    <s v="Thursday"/>
    <x v="0"/>
    <x v="0"/>
    <b v="0"/>
    <b v="1"/>
    <s v="Large Order"/>
    <n v="10.442500000000001"/>
    <x v="10"/>
    <n v="2297.35"/>
    <m/>
  </r>
  <r>
    <s v="ORD-1768"/>
    <d v="2024-07-23T00:00:00"/>
    <s v="CUST-158"/>
    <x v="10"/>
    <x v="1"/>
    <x v="2"/>
    <x v="2"/>
    <x v="17"/>
    <s v="$46.19"/>
    <s v="Tuesday"/>
    <x v="8"/>
    <x v="0"/>
    <b v="0"/>
    <b v="0"/>
    <s v="Large Order"/>
    <n v="2.3094999999999999"/>
    <x v="6"/>
    <n v="739.04"/>
    <m/>
  </r>
  <r>
    <s v="ORD-1769"/>
    <d v="2024-02-27T00:00:00"/>
    <s v="CUST-116"/>
    <x v="7"/>
    <x v="2"/>
    <x v="0"/>
    <x v="4"/>
    <x v="0"/>
    <s v="$107.34"/>
    <s v="Tuesday"/>
    <x v="5"/>
    <x v="0"/>
    <b v="0"/>
    <b v="0"/>
    <s v="Standard order"/>
    <n v="5.3670000000000009"/>
    <x v="6"/>
    <n v="429.36"/>
    <m/>
  </r>
  <r>
    <s v="ORD-1770"/>
    <d v="2024-09-04T00:00:00"/>
    <s v="CUST-172"/>
    <x v="7"/>
    <x v="2"/>
    <x v="2"/>
    <x v="3"/>
    <x v="19"/>
    <s v="$107.34"/>
    <s v="Wednesday"/>
    <x v="11"/>
    <x v="0"/>
    <b v="0"/>
    <b v="1"/>
    <s v="Large Order"/>
    <n v="5.3670000000000009"/>
    <x v="4"/>
    <n v="2146.8000000000002"/>
    <m/>
  </r>
  <r>
    <s v="ORD-1771"/>
    <d v="2024-11-09T00:00:00"/>
    <s v="CUST-103"/>
    <x v="5"/>
    <x v="2"/>
    <x v="4"/>
    <x v="1"/>
    <x v="17"/>
    <s v="$64.61"/>
    <s v="Saturday"/>
    <x v="0"/>
    <x v="0"/>
    <b v="1"/>
    <b v="1"/>
    <s v="Large Order"/>
    <n v="3.2305000000000001"/>
    <x v="1"/>
    <n v="1033.76"/>
    <m/>
  </r>
  <r>
    <s v="ORD-1772"/>
    <d v="2024-08-13T00:00:00"/>
    <s v="CUST-105"/>
    <x v="2"/>
    <x v="0"/>
    <x v="3"/>
    <x v="4"/>
    <x v="9"/>
    <s v="$88.18"/>
    <s v="Tuesday"/>
    <x v="10"/>
    <x v="0"/>
    <b v="0"/>
    <b v="1"/>
    <s v="Large Order"/>
    <n v="4.4090000000000007"/>
    <x v="5"/>
    <n v="969.98"/>
    <m/>
  </r>
  <r>
    <s v="ORD-1773"/>
    <d v="2024-10-22T00:00:00"/>
    <s v="CUST-192"/>
    <x v="6"/>
    <x v="2"/>
    <x v="4"/>
    <x v="4"/>
    <x v="9"/>
    <s v="$86.6"/>
    <s v="Tuesday"/>
    <x v="3"/>
    <x v="0"/>
    <b v="0"/>
    <b v="1"/>
    <s v="Large Order"/>
    <n v="4.33"/>
    <x v="4"/>
    <n v="952.59999999999991"/>
    <m/>
  </r>
  <r>
    <s v="ORD-1774"/>
    <d v="2024-02-18T00:00:00"/>
    <s v="CUST-155"/>
    <x v="5"/>
    <x v="2"/>
    <x v="4"/>
    <x v="1"/>
    <x v="5"/>
    <s v="$64.61"/>
    <s v="Sunday"/>
    <x v="5"/>
    <x v="0"/>
    <b v="1"/>
    <b v="1"/>
    <s v="Large Order"/>
    <n v="3.2305000000000001"/>
    <x v="18"/>
    <n v="775.31999999999994"/>
    <m/>
  </r>
  <r>
    <s v="ORD-1775"/>
    <d v="2024-03-17T00:00:00"/>
    <s v="CUST-171"/>
    <x v="18"/>
    <x v="2"/>
    <x v="0"/>
    <x v="1"/>
    <x v="6"/>
    <s v="$230.68"/>
    <s v="Sunday"/>
    <x v="4"/>
    <x v="0"/>
    <b v="1"/>
    <b v="1"/>
    <s v="Large Order"/>
    <n v="11.534000000000001"/>
    <x v="13"/>
    <n v="1384.08"/>
    <m/>
  </r>
  <r>
    <s v="ORD-1776"/>
    <d v="2024-09-10T00:00:00"/>
    <s v="CUST-121"/>
    <x v="13"/>
    <x v="0"/>
    <x v="2"/>
    <x v="3"/>
    <x v="7"/>
    <s v="$156.44"/>
    <s v="Tuesday"/>
    <x v="11"/>
    <x v="0"/>
    <b v="0"/>
    <b v="1"/>
    <s v="Large Order"/>
    <n v="7.8220000000000001"/>
    <x v="1"/>
    <n v="1251.52"/>
    <m/>
  </r>
  <r>
    <s v="ORD-1777"/>
    <d v="2024-01-26T00:00:00"/>
    <s v="CUST-164"/>
    <x v="2"/>
    <x v="0"/>
    <x v="1"/>
    <x v="2"/>
    <x v="11"/>
    <s v="$88.18"/>
    <s v="Friday"/>
    <x v="6"/>
    <x v="0"/>
    <b v="0"/>
    <b v="1"/>
    <s v="Large Order"/>
    <n v="4.4090000000000007"/>
    <x v="12"/>
    <n v="1146.3400000000001"/>
    <m/>
  </r>
  <r>
    <s v="ORD-1778"/>
    <d v="2024-02-10T00:00:00"/>
    <s v="CUST-158"/>
    <x v="12"/>
    <x v="1"/>
    <x v="1"/>
    <x v="1"/>
    <x v="13"/>
    <s v="$211.9"/>
    <s v="Saturday"/>
    <x v="5"/>
    <x v="0"/>
    <b v="1"/>
    <b v="0"/>
    <s v="Large Order"/>
    <n v="10.595000000000001"/>
    <x v="19"/>
    <n v="635.70000000000005"/>
    <m/>
  </r>
  <r>
    <s v="ORD-1779"/>
    <d v="2024-06-10T00:00:00"/>
    <s v="CUST-115"/>
    <x v="19"/>
    <x v="1"/>
    <x v="0"/>
    <x v="4"/>
    <x v="11"/>
    <s v="$145.48"/>
    <s v="Monday"/>
    <x v="9"/>
    <x v="0"/>
    <b v="0"/>
    <b v="1"/>
    <s v="Large Order"/>
    <n v="7.274"/>
    <x v="20"/>
    <n v="1891.2399999999998"/>
    <m/>
  </r>
  <r>
    <s v="ORD-1780"/>
    <d v="2024-10-08T00:00:00"/>
    <s v="CUST-100"/>
    <x v="20"/>
    <x v="0"/>
    <x v="1"/>
    <x v="4"/>
    <x v="8"/>
    <s v="$81.02"/>
    <s v="Tuesday"/>
    <x v="3"/>
    <x v="0"/>
    <b v="0"/>
    <b v="1"/>
    <s v="Large Order"/>
    <n v="4.0510000000000002"/>
    <x v="13"/>
    <n v="810.19999999999993"/>
    <m/>
  </r>
  <r>
    <s v="ORD-1781"/>
    <d v="2024-04-15T00:00:00"/>
    <s v="CUST-183"/>
    <x v="13"/>
    <x v="2"/>
    <x v="2"/>
    <x v="2"/>
    <x v="5"/>
    <s v="$156.44"/>
    <s v="Monday"/>
    <x v="2"/>
    <x v="0"/>
    <b v="0"/>
    <b v="1"/>
    <s v="Large Order"/>
    <n v="7.8220000000000001"/>
    <x v="20"/>
    <n v="1877.28"/>
    <m/>
  </r>
  <r>
    <s v="ORD-1782"/>
    <d v="2024-08-20T00:00:00"/>
    <s v="CUST-142"/>
    <x v="20"/>
    <x v="2"/>
    <x v="1"/>
    <x v="3"/>
    <x v="17"/>
    <s v="$81.02"/>
    <s v="Tuesday"/>
    <x v="10"/>
    <x v="0"/>
    <b v="0"/>
    <b v="1"/>
    <s v="Large Order"/>
    <n v="4.0510000000000002"/>
    <x v="18"/>
    <n v="1296.32"/>
    <m/>
  </r>
  <r>
    <s v="ORD-1783"/>
    <d v="2024-08-19T00:00:00"/>
    <s v="CUST-114"/>
    <x v="18"/>
    <x v="0"/>
    <x v="4"/>
    <x v="3"/>
    <x v="9"/>
    <s v="$230.68"/>
    <s v="Monday"/>
    <x v="10"/>
    <x v="0"/>
    <b v="0"/>
    <b v="1"/>
    <s v="Large Order"/>
    <n v="11.534000000000001"/>
    <x v="15"/>
    <n v="2537.48"/>
    <m/>
  </r>
  <r>
    <s v="ORD-1784"/>
    <d v="2024-10-07T00:00:00"/>
    <s v="CUST-166"/>
    <x v="15"/>
    <x v="1"/>
    <x v="0"/>
    <x v="1"/>
    <x v="6"/>
    <s v="$216.22"/>
    <s v="Monday"/>
    <x v="3"/>
    <x v="0"/>
    <b v="0"/>
    <b v="1"/>
    <s v="Large Order"/>
    <n v="10.811"/>
    <x v="11"/>
    <n v="1297.32"/>
    <m/>
  </r>
  <r>
    <s v="ORD-1785"/>
    <d v="2024-02-24T00:00:00"/>
    <s v="CUST-132"/>
    <x v="11"/>
    <x v="2"/>
    <x v="4"/>
    <x v="1"/>
    <x v="0"/>
    <s v="$33.22"/>
    <s v="Saturday"/>
    <x v="5"/>
    <x v="0"/>
    <b v="1"/>
    <b v="0"/>
    <s v="Standard order"/>
    <n v="1.661"/>
    <x v="19"/>
    <n v="132.88"/>
    <m/>
  </r>
  <r>
    <s v="ORD-1786"/>
    <d v="2024-04-20T00:00:00"/>
    <s v="CUST-158"/>
    <x v="19"/>
    <x v="0"/>
    <x v="3"/>
    <x v="4"/>
    <x v="3"/>
    <s v="$145.48"/>
    <s v="Saturday"/>
    <x v="2"/>
    <x v="0"/>
    <b v="1"/>
    <b v="1"/>
    <s v="Large Order"/>
    <n v="7.274"/>
    <x v="5"/>
    <n v="2036.7199999999998"/>
    <m/>
  </r>
  <r>
    <s v="ORD-1787"/>
    <d v="2024-03-04T00:00:00"/>
    <s v="CUST-198"/>
    <x v="6"/>
    <x v="1"/>
    <x v="2"/>
    <x v="2"/>
    <x v="16"/>
    <s v="$86.6"/>
    <s v="Monday"/>
    <x v="4"/>
    <x v="0"/>
    <b v="0"/>
    <b v="1"/>
    <s v="Large Order"/>
    <n v="4.33"/>
    <x v="23"/>
    <n v="1645.3999999999999"/>
    <m/>
  </r>
  <r>
    <s v="ORD-1788"/>
    <d v="2024-09-12T00:00:00"/>
    <s v="CUST-100"/>
    <x v="23"/>
    <x v="2"/>
    <x v="0"/>
    <x v="1"/>
    <x v="3"/>
    <s v="$133.37"/>
    <s v="Thursday"/>
    <x v="11"/>
    <x v="0"/>
    <b v="0"/>
    <b v="1"/>
    <s v="Large Order"/>
    <n v="6.6685000000000008"/>
    <x v="6"/>
    <n v="1867.18"/>
    <m/>
  </r>
  <r>
    <s v="ORD-1789"/>
    <d v="2024-09-17T00:00:00"/>
    <s v="CUST-199"/>
    <x v="7"/>
    <x v="0"/>
    <x v="1"/>
    <x v="4"/>
    <x v="2"/>
    <s v="$107.34"/>
    <s v="Tuesday"/>
    <x v="11"/>
    <x v="0"/>
    <b v="0"/>
    <b v="0"/>
    <s v="Large Order"/>
    <n v="5.3670000000000009"/>
    <x v="17"/>
    <n v="536.70000000000005"/>
    <m/>
  </r>
  <r>
    <s v="ORD-1790"/>
    <d v="2024-11-06T00:00:00"/>
    <s v="CUST-141"/>
    <x v="17"/>
    <x v="2"/>
    <x v="2"/>
    <x v="2"/>
    <x v="19"/>
    <s v="$26.59"/>
    <s v="Wednesday"/>
    <x v="0"/>
    <x v="0"/>
    <b v="0"/>
    <b v="0"/>
    <s v="Large Order"/>
    <n v="1.3295000000000001"/>
    <x v="12"/>
    <n v="531.79999999999995"/>
    <m/>
  </r>
  <r>
    <s v="ORD-1791"/>
    <d v="2024-05-20T00:00:00"/>
    <s v="CUST-150"/>
    <x v="12"/>
    <x v="1"/>
    <x v="3"/>
    <x v="4"/>
    <x v="2"/>
    <s v="$211.9"/>
    <s v="Monday"/>
    <x v="7"/>
    <x v="0"/>
    <b v="0"/>
    <b v="0"/>
    <s v="Large Order"/>
    <n v="10.595000000000001"/>
    <x v="10"/>
    <n v="1059.5"/>
    <m/>
  </r>
  <r>
    <s v="ORD-1792"/>
    <d v="2024-12-24T00:00:00"/>
    <s v="CUST-195"/>
    <x v="10"/>
    <x v="2"/>
    <x v="3"/>
    <x v="4"/>
    <x v="15"/>
    <s v="$46.19"/>
    <s v="Tuesday"/>
    <x v="1"/>
    <x v="0"/>
    <b v="0"/>
    <b v="1"/>
    <s v="Large Order"/>
    <n v="2.3094999999999999"/>
    <x v="20"/>
    <n v="831.42"/>
    <m/>
  </r>
  <r>
    <s v="ORD-1793"/>
    <d v="2024-11-19T00:00:00"/>
    <s v="CUST-127"/>
    <x v="20"/>
    <x v="0"/>
    <x v="4"/>
    <x v="2"/>
    <x v="8"/>
    <s v="$81.02"/>
    <s v="Tuesday"/>
    <x v="0"/>
    <x v="0"/>
    <b v="0"/>
    <b v="1"/>
    <s v="Large Order"/>
    <n v="4.0510000000000002"/>
    <x v="23"/>
    <n v="810.19999999999993"/>
    <m/>
  </r>
  <r>
    <s v="ORD-1794"/>
    <d v="2024-12-29T00:00:00"/>
    <s v="CUST-183"/>
    <x v="23"/>
    <x v="0"/>
    <x v="1"/>
    <x v="3"/>
    <x v="9"/>
    <s v="$133.37"/>
    <s v="Sunday"/>
    <x v="1"/>
    <x v="0"/>
    <b v="1"/>
    <b v="1"/>
    <s v="Large Order"/>
    <n v="6.6685000000000008"/>
    <x v="5"/>
    <n v="1467.0700000000002"/>
    <m/>
  </r>
  <r>
    <s v="ORD-1795"/>
    <d v="2024-10-14T00:00:00"/>
    <s v="CUST-161"/>
    <x v="6"/>
    <x v="2"/>
    <x v="1"/>
    <x v="4"/>
    <x v="3"/>
    <s v="$86.6"/>
    <s v="Monday"/>
    <x v="3"/>
    <x v="0"/>
    <b v="0"/>
    <b v="1"/>
    <s v="Large Order"/>
    <n v="4.33"/>
    <x v="19"/>
    <n v="1212.3999999999999"/>
    <m/>
  </r>
  <r>
    <s v="ORD-1796"/>
    <d v="2024-05-26T00:00:00"/>
    <s v="CUST-154"/>
    <x v="19"/>
    <x v="0"/>
    <x v="1"/>
    <x v="0"/>
    <x v="1"/>
    <s v="$145.48"/>
    <s v="Sunday"/>
    <x v="7"/>
    <x v="0"/>
    <b v="1"/>
    <b v="0"/>
    <s v="Standard order"/>
    <n v="7.274"/>
    <x v="21"/>
    <n v="145.47999999999999"/>
    <m/>
  </r>
  <r>
    <s v="ORD-1797"/>
    <d v="2024-12-09T00:00:00"/>
    <s v="CUST-107"/>
    <x v="21"/>
    <x v="0"/>
    <x v="3"/>
    <x v="3"/>
    <x v="6"/>
    <s v="$32.94"/>
    <s v="Monday"/>
    <x v="1"/>
    <x v="0"/>
    <b v="0"/>
    <b v="0"/>
    <s v="Standard order"/>
    <n v="1.647"/>
    <x v="11"/>
    <n v="197.64"/>
    <m/>
  </r>
  <r>
    <s v="ORD-1798"/>
    <d v="2024-03-15T00:00:00"/>
    <s v="CUST-107"/>
    <x v="11"/>
    <x v="2"/>
    <x v="3"/>
    <x v="1"/>
    <x v="15"/>
    <s v="$33.22"/>
    <s v="Friday"/>
    <x v="4"/>
    <x v="0"/>
    <b v="0"/>
    <b v="0"/>
    <s v="Large Order"/>
    <n v="1.661"/>
    <x v="24"/>
    <n v="597.96"/>
    <m/>
  </r>
  <r>
    <s v="ORD-1799"/>
    <d v="2024-02-22T00:00:00"/>
    <s v="CUST-178"/>
    <x v="24"/>
    <x v="2"/>
    <x v="1"/>
    <x v="4"/>
    <x v="15"/>
    <s v="$10.11"/>
    <s v="Thursday"/>
    <x v="5"/>
    <x v="0"/>
    <b v="0"/>
    <b v="0"/>
    <s v="Standard order"/>
    <n v="0.50549999999999995"/>
    <x v="3"/>
    <n v="181.98"/>
    <m/>
  </r>
  <r>
    <s v="ORD-1800"/>
    <d v="2024-12-22T00:00:00"/>
    <s v="CUST-136"/>
    <x v="4"/>
    <x v="2"/>
    <x v="0"/>
    <x v="3"/>
    <x v="11"/>
    <s v="$230.34"/>
    <s v="Sunday"/>
    <x v="1"/>
    <x v="0"/>
    <b v="1"/>
    <b v="1"/>
    <s v="Large Order"/>
    <n v="11.517000000000001"/>
    <x v="11"/>
    <n v="2994.42"/>
    <m/>
  </r>
  <r>
    <s v="ORD-1801"/>
    <d v="2024-10-09T00:00:00"/>
    <s v="CUST-106"/>
    <x v="11"/>
    <x v="0"/>
    <x v="3"/>
    <x v="1"/>
    <x v="19"/>
    <s v="$33.22"/>
    <s v="Wednesday"/>
    <x v="3"/>
    <x v="0"/>
    <b v="0"/>
    <b v="0"/>
    <s v="Large Order"/>
    <n v="1.661"/>
    <x v="21"/>
    <n v="664.4"/>
    <m/>
  </r>
  <r>
    <s v="ORD-1802"/>
    <d v="2024-04-25T00:00:00"/>
    <s v="CUST-181"/>
    <x v="21"/>
    <x v="2"/>
    <x v="3"/>
    <x v="4"/>
    <x v="16"/>
    <s v="$32.94"/>
    <s v="Thursday"/>
    <x v="2"/>
    <x v="0"/>
    <b v="0"/>
    <b v="0"/>
    <s v="Large Order"/>
    <n v="1.647"/>
    <x v="14"/>
    <n v="625.8599999999999"/>
    <m/>
  </r>
  <r>
    <s v="ORD-1803"/>
    <d v="2024-04-10T00:00:00"/>
    <s v="CUST-199"/>
    <x v="14"/>
    <x v="2"/>
    <x v="4"/>
    <x v="0"/>
    <x v="12"/>
    <s v="$201.32"/>
    <s v="Wednesday"/>
    <x v="2"/>
    <x v="0"/>
    <b v="0"/>
    <b v="1"/>
    <s v="Large Order"/>
    <n v="10.066000000000001"/>
    <x v="19"/>
    <n v="3019.7999999999997"/>
    <m/>
  </r>
  <r>
    <s v="ORD-1804"/>
    <d v="2024-04-05T00:00:00"/>
    <s v="CUST-122"/>
    <x v="19"/>
    <x v="2"/>
    <x v="1"/>
    <x v="3"/>
    <x v="11"/>
    <s v="$145.48"/>
    <s v="Friday"/>
    <x v="2"/>
    <x v="0"/>
    <b v="0"/>
    <b v="1"/>
    <s v="Large Order"/>
    <n v="7.274"/>
    <x v="9"/>
    <n v="1891.2399999999998"/>
    <m/>
  </r>
  <r>
    <s v="ORD-1805"/>
    <d v="2024-10-11T00:00:00"/>
    <s v="CUST-133"/>
    <x v="9"/>
    <x v="0"/>
    <x v="4"/>
    <x v="1"/>
    <x v="14"/>
    <s v="$101.96"/>
    <s v="Friday"/>
    <x v="3"/>
    <x v="0"/>
    <b v="0"/>
    <b v="1"/>
    <s v="Large Order"/>
    <n v="5.0979999999999999"/>
    <x v="13"/>
    <n v="917.64"/>
    <m/>
  </r>
  <r>
    <s v="ORD-1806"/>
    <d v="2024-12-29T00:00:00"/>
    <s v="CUST-119"/>
    <x v="13"/>
    <x v="0"/>
    <x v="4"/>
    <x v="4"/>
    <x v="19"/>
    <s v="$156.44"/>
    <s v="Sunday"/>
    <x v="1"/>
    <x v="0"/>
    <b v="1"/>
    <b v="1"/>
    <s v="Large Order"/>
    <n v="7.8220000000000001"/>
    <x v="23"/>
    <n v="3128.8"/>
    <m/>
  </r>
  <r>
    <s v="ORD-1807"/>
    <d v="2024-12-04T00:00:00"/>
    <s v="CUST-138"/>
    <x v="23"/>
    <x v="1"/>
    <x v="1"/>
    <x v="3"/>
    <x v="5"/>
    <s v="$133.37"/>
    <s v="Wednesday"/>
    <x v="1"/>
    <x v="0"/>
    <b v="0"/>
    <b v="1"/>
    <s v="Large Order"/>
    <n v="6.6685000000000008"/>
    <x v="8"/>
    <n v="1600.44"/>
    <m/>
  </r>
  <r>
    <s v="ORD-1808"/>
    <d v="2024-09-26T00:00:00"/>
    <s v="CUST-128"/>
    <x v="0"/>
    <x v="0"/>
    <x v="1"/>
    <x v="4"/>
    <x v="18"/>
    <s v="$146.06"/>
    <s v="Thursday"/>
    <x v="11"/>
    <x v="0"/>
    <b v="0"/>
    <b v="1"/>
    <s v="Large Order"/>
    <n v="7.3030000000000008"/>
    <x v="24"/>
    <n v="2483.02"/>
    <m/>
  </r>
  <r>
    <s v="ORD-1809"/>
    <d v="2024-10-01T00:00:00"/>
    <s v="CUST-151"/>
    <x v="24"/>
    <x v="0"/>
    <x v="3"/>
    <x v="3"/>
    <x v="10"/>
    <s v="$10.11"/>
    <s v="Tuesday"/>
    <x v="3"/>
    <x v="0"/>
    <b v="0"/>
    <b v="0"/>
    <s v="Standard order"/>
    <n v="0.50549999999999995"/>
    <x v="22"/>
    <n v="70.77"/>
    <m/>
  </r>
  <r>
    <s v="ORD-1810"/>
    <d v="2024-07-03T00:00:00"/>
    <s v="CUST-137"/>
    <x v="22"/>
    <x v="0"/>
    <x v="1"/>
    <x v="0"/>
    <x v="17"/>
    <s v="$149.27"/>
    <s v="Wednesday"/>
    <x v="8"/>
    <x v="0"/>
    <b v="0"/>
    <b v="1"/>
    <s v="Large Order"/>
    <n v="7.4635000000000007"/>
    <x v="24"/>
    <n v="2388.3200000000002"/>
    <m/>
  </r>
  <r>
    <s v="ORD-1811"/>
    <d v="2024-02-28T00:00:00"/>
    <s v="CUST-185"/>
    <x v="24"/>
    <x v="1"/>
    <x v="2"/>
    <x v="2"/>
    <x v="19"/>
    <s v="$10.11"/>
    <s v="Wednesday"/>
    <x v="5"/>
    <x v="0"/>
    <b v="0"/>
    <b v="0"/>
    <s v="Standard order"/>
    <n v="0.50549999999999995"/>
    <x v="19"/>
    <n v="202.2"/>
    <m/>
  </r>
  <r>
    <s v="ORD-1812"/>
    <d v="2024-01-21T00:00:00"/>
    <s v="CUST-187"/>
    <x v="19"/>
    <x v="1"/>
    <x v="2"/>
    <x v="3"/>
    <x v="11"/>
    <s v="$145.48"/>
    <s v="Sunday"/>
    <x v="6"/>
    <x v="0"/>
    <b v="1"/>
    <b v="1"/>
    <s v="Large Order"/>
    <n v="7.274"/>
    <x v="22"/>
    <n v="1891.2399999999998"/>
    <m/>
  </r>
  <r>
    <s v="ORD-1813"/>
    <d v="2024-01-13T00:00:00"/>
    <s v="CUST-166"/>
    <x v="22"/>
    <x v="1"/>
    <x v="1"/>
    <x v="3"/>
    <x v="12"/>
    <s v="$149.27"/>
    <s v="Saturday"/>
    <x v="6"/>
    <x v="0"/>
    <b v="1"/>
    <b v="1"/>
    <s v="Large Order"/>
    <n v="7.4635000000000007"/>
    <x v="8"/>
    <n v="2239.0500000000002"/>
    <m/>
  </r>
  <r>
    <s v="ORD-1814"/>
    <d v="2024-11-29T00:00:00"/>
    <s v="CUST-124"/>
    <x v="0"/>
    <x v="1"/>
    <x v="1"/>
    <x v="4"/>
    <x v="0"/>
    <s v="$146.06"/>
    <s v="Friday"/>
    <x v="0"/>
    <x v="0"/>
    <b v="0"/>
    <b v="0"/>
    <s v="Large Order"/>
    <n v="7.3030000000000008"/>
    <x v="11"/>
    <n v="584.24"/>
    <m/>
  </r>
  <r>
    <s v="ORD-1815"/>
    <d v="2024-09-30T00:00:00"/>
    <s v="CUST-100"/>
    <x v="11"/>
    <x v="2"/>
    <x v="0"/>
    <x v="1"/>
    <x v="10"/>
    <s v="$33.22"/>
    <s v="Monday"/>
    <x v="11"/>
    <x v="0"/>
    <b v="0"/>
    <b v="0"/>
    <s v="Standard order"/>
    <n v="1.661"/>
    <x v="1"/>
    <n v="232.54"/>
    <m/>
  </r>
  <r>
    <s v="ORD-1816"/>
    <d v="2024-02-23T00:00:00"/>
    <s v="CUST-126"/>
    <x v="2"/>
    <x v="2"/>
    <x v="2"/>
    <x v="2"/>
    <x v="13"/>
    <s v="$88.18"/>
    <s v="Friday"/>
    <x v="5"/>
    <x v="0"/>
    <b v="0"/>
    <b v="0"/>
    <s v="Standard order"/>
    <n v="4.4090000000000007"/>
    <x v="15"/>
    <n v="264.54000000000002"/>
    <m/>
  </r>
  <r>
    <s v="ORD-1817"/>
    <d v="2024-01-13T00:00:00"/>
    <s v="CUST-158"/>
    <x v="15"/>
    <x v="2"/>
    <x v="3"/>
    <x v="2"/>
    <x v="13"/>
    <s v="$216.22"/>
    <s v="Saturday"/>
    <x v="6"/>
    <x v="0"/>
    <b v="1"/>
    <b v="0"/>
    <s v="Large Order"/>
    <n v="10.811"/>
    <x v="24"/>
    <n v="648.66"/>
    <m/>
  </r>
  <r>
    <s v="ORD-1818"/>
    <d v="2024-05-08T00:00:00"/>
    <s v="CUST-171"/>
    <x v="24"/>
    <x v="0"/>
    <x v="1"/>
    <x v="1"/>
    <x v="14"/>
    <s v="$10.11"/>
    <s v="Wednesday"/>
    <x v="7"/>
    <x v="0"/>
    <b v="0"/>
    <b v="0"/>
    <s v="Standard order"/>
    <n v="0.50549999999999995"/>
    <x v="18"/>
    <n v="90.99"/>
    <m/>
  </r>
  <r>
    <s v="ORD-1819"/>
    <d v="2024-11-18T00:00:00"/>
    <s v="CUST-151"/>
    <x v="18"/>
    <x v="1"/>
    <x v="3"/>
    <x v="4"/>
    <x v="11"/>
    <s v="$230.68"/>
    <s v="Monday"/>
    <x v="0"/>
    <x v="0"/>
    <b v="0"/>
    <b v="1"/>
    <s v="Large Order"/>
    <n v="11.534000000000001"/>
    <x v="8"/>
    <n v="2998.84"/>
    <m/>
  </r>
  <r>
    <s v="ORD-1820"/>
    <d v="2024-01-04T00:00:00"/>
    <s v="CUST-182"/>
    <x v="0"/>
    <x v="2"/>
    <x v="1"/>
    <x v="0"/>
    <x v="16"/>
    <s v="$146.06"/>
    <s v="Thursday"/>
    <x v="6"/>
    <x v="0"/>
    <b v="0"/>
    <b v="1"/>
    <s v="Large Order"/>
    <n v="7.3030000000000008"/>
    <x v="5"/>
    <n v="2775.14"/>
    <m/>
  </r>
  <r>
    <s v="ORD-1821"/>
    <d v="2024-07-02T00:00:00"/>
    <s v="CUST-164"/>
    <x v="6"/>
    <x v="0"/>
    <x v="3"/>
    <x v="3"/>
    <x v="8"/>
    <s v="$86.6"/>
    <s v="Tuesday"/>
    <x v="8"/>
    <x v="0"/>
    <b v="0"/>
    <b v="1"/>
    <s v="Large Order"/>
    <n v="4.33"/>
    <x v="4"/>
    <n v="866"/>
    <m/>
  </r>
  <r>
    <s v="ORD-1822"/>
    <d v="2024-08-12T00:00:00"/>
    <s v="CUST-148"/>
    <x v="5"/>
    <x v="1"/>
    <x v="0"/>
    <x v="2"/>
    <x v="6"/>
    <s v="$64.61"/>
    <s v="Monday"/>
    <x v="10"/>
    <x v="0"/>
    <b v="0"/>
    <b v="0"/>
    <s v="Standard order"/>
    <n v="3.2305000000000001"/>
    <x v="14"/>
    <n v="387.65999999999997"/>
    <m/>
  </r>
  <r>
    <s v="ORD-1823"/>
    <d v="2024-07-19T00:00:00"/>
    <s v="CUST-169"/>
    <x v="14"/>
    <x v="1"/>
    <x v="4"/>
    <x v="0"/>
    <x v="5"/>
    <s v="$201.32"/>
    <s v="Friday"/>
    <x v="8"/>
    <x v="0"/>
    <b v="0"/>
    <b v="1"/>
    <s v="Large Order"/>
    <n v="10.066000000000001"/>
    <x v="15"/>
    <n v="2415.84"/>
    <m/>
  </r>
  <r>
    <s v="ORD-1824"/>
    <d v="2024-10-10T00:00:00"/>
    <s v="CUST-171"/>
    <x v="15"/>
    <x v="0"/>
    <x v="0"/>
    <x v="1"/>
    <x v="1"/>
    <s v="$216.22"/>
    <s v="Thursday"/>
    <x v="3"/>
    <x v="0"/>
    <b v="0"/>
    <b v="0"/>
    <s v="Standard order"/>
    <n v="10.811"/>
    <x v="11"/>
    <n v="216.22"/>
    <m/>
  </r>
  <r>
    <s v="ORD-1825"/>
    <d v="2024-10-02T00:00:00"/>
    <s v="CUST-170"/>
    <x v="11"/>
    <x v="0"/>
    <x v="3"/>
    <x v="4"/>
    <x v="5"/>
    <s v="$33.22"/>
    <s v="Wednesday"/>
    <x v="3"/>
    <x v="0"/>
    <b v="0"/>
    <b v="0"/>
    <s v="Standard order"/>
    <n v="1.661"/>
    <x v="20"/>
    <n v="398.64"/>
    <m/>
  </r>
  <r>
    <s v="ORD-1826"/>
    <d v="2024-03-13T00:00:00"/>
    <s v="CUST-120"/>
    <x v="20"/>
    <x v="0"/>
    <x v="4"/>
    <x v="2"/>
    <x v="14"/>
    <s v="$81.02"/>
    <s v="Wednesday"/>
    <x v="4"/>
    <x v="0"/>
    <b v="0"/>
    <b v="0"/>
    <s v="Large Order"/>
    <n v="4.0510000000000002"/>
    <x v="12"/>
    <n v="729.18"/>
    <m/>
  </r>
  <r>
    <s v="ORD-1827"/>
    <d v="2024-12-09T00:00:00"/>
    <s v="CUST-172"/>
    <x v="12"/>
    <x v="0"/>
    <x v="1"/>
    <x v="0"/>
    <x v="15"/>
    <s v="$211.9"/>
    <s v="Monday"/>
    <x v="1"/>
    <x v="0"/>
    <b v="0"/>
    <b v="1"/>
    <s v="Large Order"/>
    <n v="10.595000000000001"/>
    <x v="4"/>
    <n v="3814.2000000000003"/>
    <m/>
  </r>
  <r>
    <s v="ORD-1828"/>
    <d v="2024-05-08T00:00:00"/>
    <s v="CUST-112"/>
    <x v="5"/>
    <x v="0"/>
    <x v="1"/>
    <x v="2"/>
    <x v="9"/>
    <s v="$64.61"/>
    <s v="Wednesday"/>
    <x v="7"/>
    <x v="0"/>
    <b v="0"/>
    <b v="0"/>
    <s v="Large Order"/>
    <n v="3.2305000000000001"/>
    <x v="11"/>
    <n v="710.71"/>
    <m/>
  </r>
  <r>
    <s v="ORD-1829"/>
    <d v="2024-02-21T00:00:00"/>
    <s v="CUST-136"/>
    <x v="11"/>
    <x v="2"/>
    <x v="0"/>
    <x v="3"/>
    <x v="9"/>
    <s v="$33.22"/>
    <s v="Wednesday"/>
    <x v="5"/>
    <x v="0"/>
    <b v="0"/>
    <b v="0"/>
    <s v="Standard order"/>
    <n v="1.661"/>
    <x v="0"/>
    <n v="365.41999999999996"/>
    <m/>
  </r>
  <r>
    <s v="ORD-1830"/>
    <d v="2024-11-11T00:00:00"/>
    <s v="CUST-184"/>
    <x v="1"/>
    <x v="1"/>
    <x v="1"/>
    <x v="3"/>
    <x v="16"/>
    <s v="$178.83"/>
    <s v="Monday"/>
    <x v="0"/>
    <x v="0"/>
    <b v="0"/>
    <b v="1"/>
    <s v="Large Order"/>
    <n v="8.9415000000000013"/>
    <x v="24"/>
    <n v="3397.7700000000004"/>
    <m/>
  </r>
  <r>
    <s v="ORD-1831"/>
    <d v="2024-08-07T00:00:00"/>
    <s v="CUST-121"/>
    <x v="24"/>
    <x v="0"/>
    <x v="3"/>
    <x v="1"/>
    <x v="7"/>
    <s v="$10.11"/>
    <s v="Wednesday"/>
    <x v="10"/>
    <x v="0"/>
    <b v="0"/>
    <b v="0"/>
    <s v="Standard order"/>
    <n v="0.50549999999999995"/>
    <x v="4"/>
    <n v="80.88"/>
    <m/>
  </r>
  <r>
    <s v="ORD-1832"/>
    <d v="2024-05-21T00:00:00"/>
    <s v="CUST-146"/>
    <x v="5"/>
    <x v="0"/>
    <x v="3"/>
    <x v="3"/>
    <x v="12"/>
    <s v="$64.61"/>
    <s v="Tuesday"/>
    <x v="7"/>
    <x v="0"/>
    <b v="0"/>
    <b v="1"/>
    <s v="Large Order"/>
    <n v="3.2305000000000001"/>
    <x v="1"/>
    <n v="969.15"/>
    <m/>
  </r>
  <r>
    <s v="ORD-1833"/>
    <d v="2024-09-06T00:00:00"/>
    <s v="CUST-170"/>
    <x v="2"/>
    <x v="0"/>
    <x v="4"/>
    <x v="3"/>
    <x v="19"/>
    <s v="$88.18"/>
    <s v="Friday"/>
    <x v="11"/>
    <x v="0"/>
    <b v="0"/>
    <b v="1"/>
    <s v="Large Order"/>
    <n v="4.4090000000000007"/>
    <x v="16"/>
    <n v="1763.6000000000001"/>
    <m/>
  </r>
  <r>
    <s v="ORD-1834"/>
    <d v="2024-03-12T00:00:00"/>
    <s v="CUST-168"/>
    <x v="16"/>
    <x v="0"/>
    <x v="3"/>
    <x v="0"/>
    <x v="13"/>
    <s v="$130.07"/>
    <s v="Tuesday"/>
    <x v="4"/>
    <x v="0"/>
    <b v="0"/>
    <b v="0"/>
    <s v="Standard order"/>
    <n v="6.5034999999999998"/>
    <x v="9"/>
    <n v="390.21"/>
    <m/>
  </r>
  <r>
    <s v="ORD-1835"/>
    <d v="2024-09-16T00:00:00"/>
    <s v="CUST-180"/>
    <x v="9"/>
    <x v="0"/>
    <x v="1"/>
    <x v="2"/>
    <x v="11"/>
    <s v="$101.96"/>
    <s v="Monday"/>
    <x v="11"/>
    <x v="0"/>
    <b v="0"/>
    <b v="1"/>
    <s v="Large Order"/>
    <n v="5.0979999999999999"/>
    <x v="23"/>
    <n v="1325.48"/>
    <m/>
  </r>
  <r>
    <s v="ORD-1836"/>
    <d v="2024-01-19T00:00:00"/>
    <s v="CUST-170"/>
    <x v="23"/>
    <x v="1"/>
    <x v="1"/>
    <x v="2"/>
    <x v="17"/>
    <s v="$133.37"/>
    <s v="Friday"/>
    <x v="6"/>
    <x v="0"/>
    <b v="0"/>
    <b v="1"/>
    <s v="Large Order"/>
    <n v="6.6685000000000008"/>
    <x v="16"/>
    <n v="2133.92"/>
    <m/>
  </r>
  <r>
    <s v="ORD-1837"/>
    <d v="2024-07-06T00:00:00"/>
    <s v="CUST-150"/>
    <x v="16"/>
    <x v="0"/>
    <x v="1"/>
    <x v="4"/>
    <x v="8"/>
    <s v="$130.07"/>
    <s v="Saturday"/>
    <x v="8"/>
    <x v="0"/>
    <b v="1"/>
    <b v="1"/>
    <s v="Large Order"/>
    <n v="6.5034999999999998"/>
    <x v="22"/>
    <n v="1300.6999999999998"/>
    <m/>
  </r>
  <r>
    <s v="ORD-1838"/>
    <d v="2024-09-18T00:00:00"/>
    <s v="CUST-111"/>
    <x v="22"/>
    <x v="1"/>
    <x v="3"/>
    <x v="4"/>
    <x v="1"/>
    <s v="$149.27"/>
    <s v="Wednesday"/>
    <x v="11"/>
    <x v="0"/>
    <b v="0"/>
    <b v="0"/>
    <s v="Standard order"/>
    <n v="7.4635000000000007"/>
    <x v="12"/>
    <n v="149.27000000000001"/>
    <m/>
  </r>
  <r>
    <s v="ORD-1839"/>
    <d v="2024-12-16T00:00:00"/>
    <s v="CUST-121"/>
    <x v="12"/>
    <x v="2"/>
    <x v="4"/>
    <x v="4"/>
    <x v="6"/>
    <s v="$211.9"/>
    <s v="Monday"/>
    <x v="1"/>
    <x v="0"/>
    <b v="0"/>
    <b v="1"/>
    <s v="Large Order"/>
    <n v="10.595000000000001"/>
    <x v="7"/>
    <n v="1271.4000000000001"/>
    <m/>
  </r>
  <r>
    <s v="ORD-1840"/>
    <d v="2024-12-03T00:00:00"/>
    <s v="CUST-118"/>
    <x v="8"/>
    <x v="2"/>
    <x v="2"/>
    <x v="1"/>
    <x v="4"/>
    <s v="$208.85"/>
    <s v="Tuesday"/>
    <x v="1"/>
    <x v="0"/>
    <b v="0"/>
    <b v="0"/>
    <s v="Standard order"/>
    <n v="10.442500000000001"/>
    <x v="24"/>
    <n v="417.7"/>
    <m/>
  </r>
  <r>
    <s v="ORD-1841"/>
    <d v="2024-04-28T00:00:00"/>
    <s v="CUST-108"/>
    <x v="24"/>
    <x v="1"/>
    <x v="3"/>
    <x v="4"/>
    <x v="4"/>
    <s v="$10.11"/>
    <s v="Sunday"/>
    <x v="2"/>
    <x v="0"/>
    <b v="1"/>
    <b v="0"/>
    <s v="Standard order"/>
    <n v="0.50549999999999995"/>
    <x v="15"/>
    <n v="20.22"/>
    <m/>
  </r>
  <r>
    <s v="ORD-1842"/>
    <d v="2024-07-03T00:00:00"/>
    <s v="CUST-149"/>
    <x v="15"/>
    <x v="1"/>
    <x v="2"/>
    <x v="3"/>
    <x v="4"/>
    <s v="$216.22"/>
    <s v="Wednesday"/>
    <x v="8"/>
    <x v="0"/>
    <b v="0"/>
    <b v="0"/>
    <s v="Standard order"/>
    <n v="10.811"/>
    <x v="16"/>
    <n v="432.44"/>
    <m/>
  </r>
  <r>
    <s v="ORD-1843"/>
    <d v="2024-02-22T00:00:00"/>
    <s v="CUST-190"/>
    <x v="16"/>
    <x v="2"/>
    <x v="3"/>
    <x v="4"/>
    <x v="14"/>
    <s v="$130.07"/>
    <s v="Thursday"/>
    <x v="5"/>
    <x v="0"/>
    <b v="0"/>
    <b v="1"/>
    <s v="Large Order"/>
    <n v="6.5034999999999998"/>
    <x v="7"/>
    <n v="1170.6299999999999"/>
    <m/>
  </r>
  <r>
    <s v="ORD-1844"/>
    <d v="2024-03-30T00:00:00"/>
    <s v="CUST-148"/>
    <x v="8"/>
    <x v="2"/>
    <x v="2"/>
    <x v="0"/>
    <x v="16"/>
    <s v="$208.85"/>
    <s v="Saturday"/>
    <x v="4"/>
    <x v="0"/>
    <b v="1"/>
    <b v="1"/>
    <s v="Large Order"/>
    <n v="10.442500000000001"/>
    <x v="22"/>
    <n v="3968.15"/>
    <m/>
  </r>
  <r>
    <s v="ORD-1845"/>
    <d v="2024-09-21T00:00:00"/>
    <s v="CUST-132"/>
    <x v="22"/>
    <x v="1"/>
    <x v="4"/>
    <x v="3"/>
    <x v="11"/>
    <s v="$149.27"/>
    <s v="Saturday"/>
    <x v="11"/>
    <x v="0"/>
    <b v="1"/>
    <b v="1"/>
    <s v="Large Order"/>
    <n v="7.4635000000000007"/>
    <x v="22"/>
    <n v="1940.5100000000002"/>
    <m/>
  </r>
  <r>
    <s v="ORD-1846"/>
    <d v="2024-09-06T00:00:00"/>
    <s v="CUST-161"/>
    <x v="22"/>
    <x v="2"/>
    <x v="0"/>
    <x v="2"/>
    <x v="2"/>
    <s v="$149.27"/>
    <s v="Friday"/>
    <x v="11"/>
    <x v="0"/>
    <b v="0"/>
    <b v="0"/>
    <s v="Large Order"/>
    <n v="7.4635000000000007"/>
    <x v="11"/>
    <n v="746.35"/>
    <m/>
  </r>
  <r>
    <s v="ORD-1847"/>
    <d v="2024-02-09T00:00:00"/>
    <s v="CUST-165"/>
    <x v="11"/>
    <x v="2"/>
    <x v="3"/>
    <x v="3"/>
    <x v="2"/>
    <s v="$33.22"/>
    <s v="Friday"/>
    <x v="5"/>
    <x v="0"/>
    <b v="0"/>
    <b v="0"/>
    <s v="Standard order"/>
    <n v="1.661"/>
    <x v="17"/>
    <n v="166.1"/>
    <m/>
  </r>
  <r>
    <s v="ORD-1848"/>
    <d v="2024-11-04T00:00:00"/>
    <s v="CUST-191"/>
    <x v="17"/>
    <x v="0"/>
    <x v="4"/>
    <x v="1"/>
    <x v="9"/>
    <s v="$26.59"/>
    <s v="Monday"/>
    <x v="0"/>
    <x v="0"/>
    <b v="0"/>
    <b v="0"/>
    <s v="Standard order"/>
    <n v="1.3295000000000001"/>
    <x v="9"/>
    <n v="292.49"/>
    <m/>
  </r>
  <r>
    <s v="ORD-1849"/>
    <d v="2024-12-11T00:00:00"/>
    <s v="CUST-161"/>
    <x v="9"/>
    <x v="1"/>
    <x v="4"/>
    <x v="1"/>
    <x v="6"/>
    <s v="$101.96"/>
    <s v="Wednesday"/>
    <x v="1"/>
    <x v="0"/>
    <b v="0"/>
    <b v="0"/>
    <s v="Large Order"/>
    <n v="5.0979999999999999"/>
    <x v="9"/>
    <n v="611.76"/>
    <m/>
  </r>
  <r>
    <s v="ORD-1850"/>
    <d v="2024-01-12T00:00:00"/>
    <s v="CUST-131"/>
    <x v="9"/>
    <x v="0"/>
    <x v="4"/>
    <x v="4"/>
    <x v="16"/>
    <s v="$101.96"/>
    <s v="Friday"/>
    <x v="6"/>
    <x v="0"/>
    <b v="0"/>
    <b v="1"/>
    <s v="Large Order"/>
    <n v="5.0979999999999999"/>
    <x v="6"/>
    <n v="1937.2399999999998"/>
    <m/>
  </r>
  <r>
    <s v="ORD-1851"/>
    <d v="2024-01-21T00:00:00"/>
    <s v="CUST-173"/>
    <x v="7"/>
    <x v="0"/>
    <x v="0"/>
    <x v="4"/>
    <x v="14"/>
    <s v="$107.34"/>
    <s v="Sunday"/>
    <x v="6"/>
    <x v="0"/>
    <b v="1"/>
    <b v="1"/>
    <s v="Large Order"/>
    <n v="5.3670000000000009"/>
    <x v="16"/>
    <n v="966.06000000000006"/>
    <m/>
  </r>
  <r>
    <s v="ORD-1852"/>
    <d v="2024-07-26T00:00:00"/>
    <s v="CUST-176"/>
    <x v="16"/>
    <x v="2"/>
    <x v="0"/>
    <x v="2"/>
    <x v="8"/>
    <s v="$130.07"/>
    <s v="Friday"/>
    <x v="8"/>
    <x v="0"/>
    <b v="0"/>
    <b v="1"/>
    <s v="Large Order"/>
    <n v="6.5034999999999998"/>
    <x v="6"/>
    <n v="1300.6999999999998"/>
    <m/>
  </r>
  <r>
    <s v="ORD-1853"/>
    <d v="2024-08-17T00:00:00"/>
    <s v="CUST-177"/>
    <x v="7"/>
    <x v="1"/>
    <x v="2"/>
    <x v="4"/>
    <x v="7"/>
    <s v="$107.34"/>
    <s v="Saturday"/>
    <x v="10"/>
    <x v="0"/>
    <b v="1"/>
    <b v="1"/>
    <s v="Large Order"/>
    <n v="5.3670000000000009"/>
    <x v="5"/>
    <n v="858.72"/>
    <m/>
  </r>
  <r>
    <s v="ORD-1854"/>
    <d v="2024-03-14T00:00:00"/>
    <s v="CUST-174"/>
    <x v="6"/>
    <x v="0"/>
    <x v="1"/>
    <x v="3"/>
    <x v="18"/>
    <s v="$86.6"/>
    <s v="Thursday"/>
    <x v="4"/>
    <x v="0"/>
    <b v="0"/>
    <b v="1"/>
    <s v="Large Order"/>
    <n v="4.33"/>
    <x v="24"/>
    <n v="1472.1999999999998"/>
    <m/>
  </r>
  <r>
    <s v="ORD-1855"/>
    <d v="2024-08-20T00:00:00"/>
    <s v="CUST-176"/>
    <x v="24"/>
    <x v="2"/>
    <x v="0"/>
    <x v="0"/>
    <x v="11"/>
    <s v="$10.11"/>
    <s v="Tuesday"/>
    <x v="10"/>
    <x v="0"/>
    <b v="0"/>
    <b v="0"/>
    <s v="Standard order"/>
    <n v="0.50549999999999995"/>
    <x v="5"/>
    <n v="131.43"/>
    <m/>
  </r>
  <r>
    <s v="ORD-1856"/>
    <d v="2024-01-09T00:00:00"/>
    <s v="CUST-125"/>
    <x v="6"/>
    <x v="2"/>
    <x v="1"/>
    <x v="4"/>
    <x v="3"/>
    <s v="$86.6"/>
    <s v="Tuesday"/>
    <x v="6"/>
    <x v="0"/>
    <b v="0"/>
    <b v="1"/>
    <s v="Large Order"/>
    <n v="4.33"/>
    <x v="20"/>
    <n v="1212.3999999999999"/>
    <m/>
  </r>
  <r>
    <s v="ORD-1857"/>
    <d v="2024-02-19T00:00:00"/>
    <s v="CUST-122"/>
    <x v="20"/>
    <x v="1"/>
    <x v="1"/>
    <x v="4"/>
    <x v="4"/>
    <s v="$81.02"/>
    <s v="Monday"/>
    <x v="5"/>
    <x v="0"/>
    <b v="0"/>
    <b v="0"/>
    <s v="Standard order"/>
    <n v="4.0510000000000002"/>
    <x v="4"/>
    <n v="162.04"/>
    <m/>
  </r>
  <r>
    <s v="ORD-1858"/>
    <d v="2024-09-14T00:00:00"/>
    <s v="CUST-196"/>
    <x v="5"/>
    <x v="0"/>
    <x v="0"/>
    <x v="4"/>
    <x v="2"/>
    <s v="$64.61"/>
    <s v="Saturday"/>
    <x v="11"/>
    <x v="0"/>
    <b v="1"/>
    <b v="0"/>
    <s v="Standard order"/>
    <n v="3.2305000000000001"/>
    <x v="22"/>
    <n v="323.05"/>
    <m/>
  </r>
  <r>
    <s v="ORD-1859"/>
    <d v="2024-01-01T00:00:00"/>
    <s v="CUST-199"/>
    <x v="22"/>
    <x v="2"/>
    <x v="2"/>
    <x v="0"/>
    <x v="3"/>
    <s v="$149.27"/>
    <s v="Monday"/>
    <x v="6"/>
    <x v="0"/>
    <b v="0"/>
    <b v="1"/>
    <s v="Large Order"/>
    <n v="7.4635000000000007"/>
    <x v="4"/>
    <n v="2089.7800000000002"/>
    <m/>
  </r>
  <r>
    <s v="ORD-1860"/>
    <d v="2024-12-23T00:00:00"/>
    <s v="CUST-167"/>
    <x v="5"/>
    <x v="1"/>
    <x v="4"/>
    <x v="4"/>
    <x v="11"/>
    <s v="$64.61"/>
    <s v="Monday"/>
    <x v="1"/>
    <x v="0"/>
    <b v="0"/>
    <b v="1"/>
    <s v="Large Order"/>
    <n v="3.2305000000000001"/>
    <x v="4"/>
    <n v="839.93"/>
    <m/>
  </r>
  <r>
    <s v="ORD-1861"/>
    <d v="2024-02-20T00:00:00"/>
    <s v="CUST-154"/>
    <x v="5"/>
    <x v="0"/>
    <x v="3"/>
    <x v="0"/>
    <x v="7"/>
    <s v="$64.61"/>
    <s v="Tuesday"/>
    <x v="5"/>
    <x v="0"/>
    <b v="0"/>
    <b v="0"/>
    <s v="Large Order"/>
    <n v="3.2305000000000001"/>
    <x v="2"/>
    <n v="516.88"/>
    <m/>
  </r>
  <r>
    <s v="ORD-1862"/>
    <d v="2024-05-25T00:00:00"/>
    <s v="CUST-176"/>
    <x v="3"/>
    <x v="2"/>
    <x v="2"/>
    <x v="0"/>
    <x v="10"/>
    <s v="$84.57"/>
    <s v="Saturday"/>
    <x v="7"/>
    <x v="0"/>
    <b v="1"/>
    <b v="0"/>
    <s v="Large Order"/>
    <n v="4.2284999999999995"/>
    <x v="18"/>
    <n v="591.99"/>
    <m/>
  </r>
  <r>
    <s v="ORD-1863"/>
    <d v="2024-10-22T00:00:00"/>
    <s v="CUST-166"/>
    <x v="18"/>
    <x v="0"/>
    <x v="1"/>
    <x v="3"/>
    <x v="11"/>
    <s v="$230.68"/>
    <s v="Tuesday"/>
    <x v="3"/>
    <x v="0"/>
    <b v="0"/>
    <b v="1"/>
    <s v="Large Order"/>
    <n v="11.534000000000001"/>
    <x v="17"/>
    <n v="2998.84"/>
    <m/>
  </r>
  <r>
    <s v="ORD-1864"/>
    <d v="2024-07-28T00:00:00"/>
    <s v="CUST-146"/>
    <x v="17"/>
    <x v="0"/>
    <x v="4"/>
    <x v="4"/>
    <x v="16"/>
    <s v="$26.59"/>
    <s v="Sunday"/>
    <x v="8"/>
    <x v="0"/>
    <b v="1"/>
    <b v="0"/>
    <s v="Large Order"/>
    <n v="1.3295000000000001"/>
    <x v="2"/>
    <n v="505.21"/>
    <m/>
  </r>
  <r>
    <s v="ORD-1865"/>
    <d v="2024-08-04T00:00:00"/>
    <s v="CUST-172"/>
    <x v="3"/>
    <x v="1"/>
    <x v="1"/>
    <x v="1"/>
    <x v="11"/>
    <s v="$84.57"/>
    <s v="Sunday"/>
    <x v="10"/>
    <x v="0"/>
    <b v="1"/>
    <b v="1"/>
    <s v="Large Order"/>
    <n v="4.2284999999999995"/>
    <x v="6"/>
    <n v="1099.4099999999999"/>
    <m/>
  </r>
  <r>
    <s v="ORD-1866"/>
    <d v="2024-10-09T00:00:00"/>
    <s v="CUST-200"/>
    <x v="7"/>
    <x v="2"/>
    <x v="2"/>
    <x v="1"/>
    <x v="5"/>
    <s v="$107.34"/>
    <s v="Wednesday"/>
    <x v="3"/>
    <x v="0"/>
    <b v="0"/>
    <b v="1"/>
    <s v="Large Order"/>
    <n v="5.3670000000000009"/>
    <x v="21"/>
    <n v="1288.08"/>
    <m/>
  </r>
  <r>
    <s v="ORD-1867"/>
    <d v="2024-05-09T00:00:00"/>
    <s v="CUST-139"/>
    <x v="21"/>
    <x v="2"/>
    <x v="3"/>
    <x v="0"/>
    <x v="11"/>
    <s v="$32.94"/>
    <s v="Thursday"/>
    <x v="7"/>
    <x v="0"/>
    <b v="0"/>
    <b v="0"/>
    <s v="Standard order"/>
    <n v="1.647"/>
    <x v="19"/>
    <n v="428.21999999999997"/>
    <m/>
  </r>
  <r>
    <s v="ORD-1868"/>
    <d v="2024-04-27T00:00:00"/>
    <s v="CUST-157"/>
    <x v="19"/>
    <x v="2"/>
    <x v="4"/>
    <x v="3"/>
    <x v="10"/>
    <s v="$145.48"/>
    <s v="Saturday"/>
    <x v="2"/>
    <x v="0"/>
    <b v="1"/>
    <b v="1"/>
    <s v="Large Order"/>
    <n v="7.274"/>
    <x v="6"/>
    <n v="1018.3599999999999"/>
    <m/>
  </r>
  <r>
    <s v="ORD-1869"/>
    <d v="2024-10-08T00:00:00"/>
    <s v="CUST-178"/>
    <x v="7"/>
    <x v="2"/>
    <x v="0"/>
    <x v="0"/>
    <x v="11"/>
    <s v="$107.34"/>
    <s v="Tuesday"/>
    <x v="3"/>
    <x v="0"/>
    <b v="0"/>
    <b v="1"/>
    <s v="Large Order"/>
    <n v="5.3670000000000009"/>
    <x v="17"/>
    <n v="1395.42"/>
    <m/>
  </r>
  <r>
    <s v="ORD-1870"/>
    <d v="2024-02-16T00:00:00"/>
    <s v="CUST-118"/>
    <x v="17"/>
    <x v="1"/>
    <x v="1"/>
    <x v="2"/>
    <x v="13"/>
    <s v="$26.59"/>
    <s v="Friday"/>
    <x v="5"/>
    <x v="0"/>
    <b v="0"/>
    <b v="0"/>
    <s v="Standard order"/>
    <n v="1.3295000000000001"/>
    <x v="16"/>
    <n v="79.77"/>
    <m/>
  </r>
  <r>
    <s v="ORD-1871"/>
    <d v="2024-07-08T00:00:00"/>
    <s v="CUST-110"/>
    <x v="16"/>
    <x v="2"/>
    <x v="0"/>
    <x v="1"/>
    <x v="11"/>
    <s v="$130.07"/>
    <s v="Monday"/>
    <x v="8"/>
    <x v="0"/>
    <b v="0"/>
    <b v="1"/>
    <s v="Large Order"/>
    <n v="6.5034999999999998"/>
    <x v="10"/>
    <n v="1690.9099999999999"/>
    <m/>
  </r>
  <r>
    <s v="ORD-1872"/>
    <d v="2024-11-10T00:00:00"/>
    <s v="CUST-183"/>
    <x v="10"/>
    <x v="2"/>
    <x v="3"/>
    <x v="2"/>
    <x v="19"/>
    <s v="$46.19"/>
    <s v="Sunday"/>
    <x v="0"/>
    <x v="0"/>
    <b v="1"/>
    <b v="1"/>
    <s v="Large Order"/>
    <n v="2.3094999999999999"/>
    <x v="11"/>
    <n v="923.8"/>
    <m/>
  </r>
  <r>
    <s v="ORD-1873"/>
    <d v="2024-11-23T00:00:00"/>
    <s v="CUST-163"/>
    <x v="11"/>
    <x v="1"/>
    <x v="0"/>
    <x v="0"/>
    <x v="18"/>
    <s v="$33.22"/>
    <s v="Saturday"/>
    <x v="0"/>
    <x v="0"/>
    <b v="1"/>
    <b v="0"/>
    <s v="Large Order"/>
    <n v="1.661"/>
    <x v="20"/>
    <n v="564.74"/>
    <m/>
  </r>
  <r>
    <s v="ORD-1874"/>
    <d v="2024-11-02T00:00:00"/>
    <s v="CUST-165"/>
    <x v="20"/>
    <x v="2"/>
    <x v="4"/>
    <x v="3"/>
    <x v="6"/>
    <s v="$81.02"/>
    <s v="Saturday"/>
    <x v="0"/>
    <x v="0"/>
    <b v="1"/>
    <b v="0"/>
    <s v="Standard order"/>
    <n v="4.0510000000000002"/>
    <x v="8"/>
    <n v="486.12"/>
    <m/>
  </r>
  <r>
    <s v="ORD-1875"/>
    <d v="2024-05-02T00:00:00"/>
    <s v="CUST-183"/>
    <x v="0"/>
    <x v="0"/>
    <x v="4"/>
    <x v="3"/>
    <x v="14"/>
    <s v="$146.06"/>
    <s v="Thursday"/>
    <x v="7"/>
    <x v="0"/>
    <b v="0"/>
    <b v="1"/>
    <s v="Large Order"/>
    <n v="7.3030000000000008"/>
    <x v="11"/>
    <n v="1314.54"/>
    <m/>
  </r>
  <r>
    <s v="ORD-1876"/>
    <d v="2024-12-08T00:00:00"/>
    <s v="CUST-150"/>
    <x v="11"/>
    <x v="1"/>
    <x v="1"/>
    <x v="0"/>
    <x v="18"/>
    <s v="$33.22"/>
    <s v="Sunday"/>
    <x v="1"/>
    <x v="0"/>
    <b v="1"/>
    <b v="0"/>
    <s v="Large Order"/>
    <n v="1.661"/>
    <x v="9"/>
    <n v="564.74"/>
    <m/>
  </r>
  <r>
    <s v="ORD-1877"/>
    <d v="2024-02-16T00:00:00"/>
    <s v="CUST-170"/>
    <x v="9"/>
    <x v="1"/>
    <x v="1"/>
    <x v="3"/>
    <x v="5"/>
    <s v="$101.96"/>
    <s v="Friday"/>
    <x v="5"/>
    <x v="0"/>
    <b v="0"/>
    <b v="1"/>
    <s v="Large Order"/>
    <n v="5.0979999999999999"/>
    <x v="3"/>
    <n v="1223.52"/>
    <m/>
  </r>
  <r>
    <s v="ORD-1878"/>
    <d v="2024-04-25T00:00:00"/>
    <s v="CUST-177"/>
    <x v="4"/>
    <x v="0"/>
    <x v="2"/>
    <x v="2"/>
    <x v="16"/>
    <s v="$230.34"/>
    <s v="Thursday"/>
    <x v="2"/>
    <x v="0"/>
    <b v="0"/>
    <b v="1"/>
    <s v="Large Order"/>
    <n v="11.517000000000001"/>
    <x v="8"/>
    <n v="4376.46"/>
    <m/>
  </r>
  <r>
    <s v="ORD-1879"/>
    <d v="2024-07-27T00:00:00"/>
    <s v="CUST-164"/>
    <x v="0"/>
    <x v="0"/>
    <x v="1"/>
    <x v="0"/>
    <x v="18"/>
    <s v="$146.06"/>
    <s v="Saturday"/>
    <x v="8"/>
    <x v="0"/>
    <b v="1"/>
    <b v="1"/>
    <s v="Large Order"/>
    <n v="7.3030000000000008"/>
    <x v="2"/>
    <n v="2483.02"/>
    <m/>
  </r>
  <r>
    <s v="ORD-1880"/>
    <d v="2024-09-19T00:00:00"/>
    <s v="CUST-132"/>
    <x v="3"/>
    <x v="2"/>
    <x v="1"/>
    <x v="4"/>
    <x v="12"/>
    <s v="$84.57"/>
    <s v="Thursday"/>
    <x v="11"/>
    <x v="0"/>
    <b v="0"/>
    <b v="1"/>
    <s v="Large Order"/>
    <n v="4.2284999999999995"/>
    <x v="21"/>
    <n v="1268.55"/>
    <m/>
  </r>
  <r>
    <s v="ORD-1881"/>
    <d v="2024-09-04T00:00:00"/>
    <s v="CUST-198"/>
    <x v="21"/>
    <x v="0"/>
    <x v="3"/>
    <x v="4"/>
    <x v="12"/>
    <s v="$32.94"/>
    <s v="Wednesday"/>
    <x v="11"/>
    <x v="0"/>
    <b v="0"/>
    <b v="0"/>
    <s v="Standard order"/>
    <n v="1.647"/>
    <x v="8"/>
    <n v="494.09999999999997"/>
    <m/>
  </r>
  <r>
    <s v="ORD-1882"/>
    <d v="2024-01-15T00:00:00"/>
    <s v="CUST-161"/>
    <x v="0"/>
    <x v="0"/>
    <x v="3"/>
    <x v="2"/>
    <x v="11"/>
    <s v="$146.06"/>
    <s v="Monday"/>
    <x v="6"/>
    <x v="0"/>
    <b v="0"/>
    <b v="1"/>
    <s v="Large Order"/>
    <n v="7.3030000000000008"/>
    <x v="17"/>
    <n v="1898.78"/>
    <m/>
  </r>
  <r>
    <s v="ORD-1883"/>
    <d v="2024-12-12T00:00:00"/>
    <s v="CUST-189"/>
    <x v="17"/>
    <x v="0"/>
    <x v="3"/>
    <x v="0"/>
    <x v="5"/>
    <s v="$26.59"/>
    <s v="Thursday"/>
    <x v="1"/>
    <x v="0"/>
    <b v="0"/>
    <b v="0"/>
    <s v="Standard order"/>
    <n v="1.3295000000000001"/>
    <x v="8"/>
    <n v="319.08"/>
    <m/>
  </r>
  <r>
    <s v="ORD-1884"/>
    <d v="2024-12-24T00:00:00"/>
    <s v="CUST-133"/>
    <x v="0"/>
    <x v="0"/>
    <x v="3"/>
    <x v="3"/>
    <x v="11"/>
    <s v="$146.06"/>
    <s v="Tuesday"/>
    <x v="1"/>
    <x v="0"/>
    <b v="0"/>
    <b v="1"/>
    <s v="Large Order"/>
    <n v="7.3030000000000008"/>
    <x v="13"/>
    <n v="1898.78"/>
    <m/>
  </r>
  <r>
    <s v="ORD-1885"/>
    <d v="2024-02-08T00:00:00"/>
    <s v="CUST-170"/>
    <x v="13"/>
    <x v="0"/>
    <x v="2"/>
    <x v="4"/>
    <x v="5"/>
    <s v="$156.44"/>
    <s v="Thursday"/>
    <x v="5"/>
    <x v="0"/>
    <b v="0"/>
    <b v="1"/>
    <s v="Large Order"/>
    <n v="7.8220000000000001"/>
    <x v="4"/>
    <n v="1877.28"/>
    <m/>
  </r>
  <r>
    <s v="ORD-1886"/>
    <d v="2024-05-17T00:00:00"/>
    <s v="CUST-123"/>
    <x v="5"/>
    <x v="2"/>
    <x v="4"/>
    <x v="2"/>
    <x v="10"/>
    <s v="$64.61"/>
    <s v="Friday"/>
    <x v="7"/>
    <x v="0"/>
    <b v="0"/>
    <b v="0"/>
    <s v="Standard order"/>
    <n v="3.2305000000000001"/>
    <x v="24"/>
    <n v="452.27"/>
    <m/>
  </r>
  <r>
    <s v="ORD-1887"/>
    <d v="2024-05-15T00:00:00"/>
    <s v="CUST-126"/>
    <x v="24"/>
    <x v="0"/>
    <x v="4"/>
    <x v="0"/>
    <x v="19"/>
    <s v="$10.11"/>
    <s v="Wednesday"/>
    <x v="7"/>
    <x v="0"/>
    <b v="0"/>
    <b v="0"/>
    <s v="Standard order"/>
    <n v="0.50549999999999995"/>
    <x v="20"/>
    <n v="202.2"/>
    <m/>
  </r>
  <r>
    <s v="ORD-1888"/>
    <d v="2024-03-02T00:00:00"/>
    <s v="CUST-110"/>
    <x v="20"/>
    <x v="2"/>
    <x v="2"/>
    <x v="4"/>
    <x v="1"/>
    <s v="$81.02"/>
    <s v="Saturday"/>
    <x v="4"/>
    <x v="0"/>
    <b v="1"/>
    <b v="0"/>
    <s v="Standard order"/>
    <n v="4.0510000000000002"/>
    <x v="13"/>
    <n v="81.02"/>
    <m/>
  </r>
  <r>
    <s v="ORD-1889"/>
    <d v="2024-01-22T00:00:00"/>
    <s v="CUST-161"/>
    <x v="13"/>
    <x v="1"/>
    <x v="1"/>
    <x v="4"/>
    <x v="17"/>
    <s v="$156.44"/>
    <s v="Monday"/>
    <x v="6"/>
    <x v="0"/>
    <b v="0"/>
    <b v="1"/>
    <s v="Large Order"/>
    <n v="7.8220000000000001"/>
    <x v="2"/>
    <n v="2503.04"/>
    <m/>
  </r>
  <r>
    <s v="ORD-1890"/>
    <d v="2024-05-20T00:00:00"/>
    <s v="CUST-162"/>
    <x v="3"/>
    <x v="0"/>
    <x v="1"/>
    <x v="4"/>
    <x v="11"/>
    <s v="$84.57"/>
    <s v="Monday"/>
    <x v="7"/>
    <x v="0"/>
    <b v="0"/>
    <b v="1"/>
    <s v="Large Order"/>
    <n v="4.2284999999999995"/>
    <x v="4"/>
    <n v="1099.4099999999999"/>
    <m/>
  </r>
  <r>
    <s v="ORD-1891"/>
    <d v="2024-03-06T00:00:00"/>
    <s v="CUST-106"/>
    <x v="5"/>
    <x v="2"/>
    <x v="2"/>
    <x v="3"/>
    <x v="15"/>
    <s v="$64.61"/>
    <s v="Wednesday"/>
    <x v="4"/>
    <x v="0"/>
    <b v="0"/>
    <b v="1"/>
    <s v="Large Order"/>
    <n v="3.2305000000000001"/>
    <x v="19"/>
    <n v="1162.98"/>
    <m/>
  </r>
  <r>
    <s v="ORD-1892"/>
    <d v="2024-07-20T00:00:00"/>
    <s v="CUST-187"/>
    <x v="19"/>
    <x v="0"/>
    <x v="2"/>
    <x v="0"/>
    <x v="18"/>
    <s v="$145.48"/>
    <s v="Saturday"/>
    <x v="8"/>
    <x v="0"/>
    <b v="1"/>
    <b v="1"/>
    <s v="Large Order"/>
    <n v="7.274"/>
    <x v="9"/>
    <n v="2473.16"/>
    <m/>
  </r>
  <r>
    <s v="ORD-1893"/>
    <d v="2024-01-07T00:00:00"/>
    <s v="CUST-186"/>
    <x v="9"/>
    <x v="0"/>
    <x v="2"/>
    <x v="4"/>
    <x v="0"/>
    <s v="$101.96"/>
    <s v="Sunday"/>
    <x v="6"/>
    <x v="0"/>
    <b v="1"/>
    <b v="0"/>
    <s v="Standard order"/>
    <n v="5.0979999999999999"/>
    <x v="24"/>
    <n v="407.84"/>
    <m/>
  </r>
  <r>
    <s v="ORD-1894"/>
    <d v="2024-05-12T00:00:00"/>
    <s v="CUST-123"/>
    <x v="24"/>
    <x v="2"/>
    <x v="3"/>
    <x v="4"/>
    <x v="14"/>
    <s v="$10.11"/>
    <s v="Sunday"/>
    <x v="7"/>
    <x v="0"/>
    <b v="1"/>
    <b v="0"/>
    <s v="Standard order"/>
    <n v="0.50549999999999995"/>
    <x v="17"/>
    <n v="90.99"/>
    <m/>
  </r>
  <r>
    <s v="ORD-1895"/>
    <d v="2024-06-24T00:00:00"/>
    <s v="CUST-146"/>
    <x v="17"/>
    <x v="0"/>
    <x v="2"/>
    <x v="3"/>
    <x v="10"/>
    <s v="$26.59"/>
    <s v="Monday"/>
    <x v="9"/>
    <x v="0"/>
    <b v="0"/>
    <b v="0"/>
    <s v="Standard order"/>
    <n v="1.3295000000000001"/>
    <x v="6"/>
    <n v="186.13"/>
    <m/>
  </r>
  <r>
    <s v="ORD-1896"/>
    <d v="2024-07-05T00:00:00"/>
    <s v="CUST-151"/>
    <x v="7"/>
    <x v="1"/>
    <x v="2"/>
    <x v="4"/>
    <x v="16"/>
    <s v="$107.34"/>
    <s v="Friday"/>
    <x v="8"/>
    <x v="0"/>
    <b v="0"/>
    <b v="1"/>
    <s v="Large Order"/>
    <n v="5.3670000000000009"/>
    <x v="24"/>
    <n v="2039.46"/>
    <m/>
  </r>
  <r>
    <s v="ORD-1897"/>
    <d v="2024-12-17T00:00:00"/>
    <s v="CUST-129"/>
    <x v="24"/>
    <x v="0"/>
    <x v="3"/>
    <x v="1"/>
    <x v="15"/>
    <s v="$10.11"/>
    <s v="Tuesday"/>
    <x v="1"/>
    <x v="0"/>
    <b v="0"/>
    <b v="0"/>
    <s v="Standard order"/>
    <n v="0.50549999999999995"/>
    <x v="4"/>
    <n v="181.98"/>
    <m/>
  </r>
  <r>
    <s v="ORD-1898"/>
    <d v="2024-04-10T00:00:00"/>
    <s v="CUST-118"/>
    <x v="5"/>
    <x v="2"/>
    <x v="4"/>
    <x v="1"/>
    <x v="1"/>
    <s v="$64.61"/>
    <s v="Wednesday"/>
    <x v="2"/>
    <x v="0"/>
    <b v="0"/>
    <b v="0"/>
    <s v="Standard order"/>
    <n v="3.2305000000000001"/>
    <x v="16"/>
    <n v="64.61"/>
    <m/>
  </r>
  <r>
    <s v="ORD-1899"/>
    <d v="2024-03-09T00:00:00"/>
    <s v="CUST-180"/>
    <x v="16"/>
    <x v="2"/>
    <x v="1"/>
    <x v="3"/>
    <x v="9"/>
    <s v="$130.07"/>
    <s v="Saturday"/>
    <x v="4"/>
    <x v="0"/>
    <b v="1"/>
    <b v="1"/>
    <s v="Large Order"/>
    <n v="6.5034999999999998"/>
    <x v="3"/>
    <n v="1430.77"/>
    <m/>
  </r>
  <r>
    <s v="ORD-1900"/>
    <d v="2024-05-08T00:00:00"/>
    <s v="CUST-171"/>
    <x v="4"/>
    <x v="2"/>
    <x v="0"/>
    <x v="0"/>
    <x v="0"/>
    <s v="$230.34"/>
    <s v="Wednesday"/>
    <x v="7"/>
    <x v="0"/>
    <b v="0"/>
    <b v="0"/>
    <s v="Large Order"/>
    <n v="11.517000000000001"/>
    <x v="12"/>
    <n v="921.36"/>
    <m/>
  </r>
  <r>
    <s v="ORD-1901"/>
    <d v="2024-04-20T00:00:00"/>
    <s v="CUST-132"/>
    <x v="12"/>
    <x v="1"/>
    <x v="0"/>
    <x v="3"/>
    <x v="9"/>
    <s v="$211.9"/>
    <s v="Saturday"/>
    <x v="2"/>
    <x v="0"/>
    <b v="1"/>
    <b v="1"/>
    <s v="Large Order"/>
    <n v="10.595000000000001"/>
    <x v="18"/>
    <n v="2330.9"/>
    <m/>
  </r>
  <r>
    <s v="ORD-1902"/>
    <d v="2024-10-13T00:00:00"/>
    <s v="CUST-171"/>
    <x v="18"/>
    <x v="1"/>
    <x v="3"/>
    <x v="4"/>
    <x v="3"/>
    <s v="$230.68"/>
    <s v="Sunday"/>
    <x v="3"/>
    <x v="0"/>
    <b v="1"/>
    <b v="1"/>
    <s v="Large Order"/>
    <n v="11.534000000000001"/>
    <x v="6"/>
    <n v="3229.52"/>
    <m/>
  </r>
  <r>
    <s v="ORD-1903"/>
    <d v="2024-04-11T00:00:00"/>
    <s v="CUST-173"/>
    <x v="7"/>
    <x v="2"/>
    <x v="1"/>
    <x v="4"/>
    <x v="8"/>
    <s v="$107.34"/>
    <s v="Thursday"/>
    <x v="2"/>
    <x v="0"/>
    <b v="0"/>
    <b v="1"/>
    <s v="Large Order"/>
    <n v="5.3670000000000009"/>
    <x v="8"/>
    <n v="1073.4000000000001"/>
    <m/>
  </r>
  <r>
    <s v="ORD-1904"/>
    <d v="2024-09-06T00:00:00"/>
    <s v="CUST-199"/>
    <x v="0"/>
    <x v="2"/>
    <x v="2"/>
    <x v="1"/>
    <x v="11"/>
    <s v="$146.06"/>
    <s v="Friday"/>
    <x v="11"/>
    <x v="0"/>
    <b v="0"/>
    <b v="1"/>
    <s v="Large Order"/>
    <n v="7.3030000000000008"/>
    <x v="17"/>
    <n v="1898.78"/>
    <m/>
  </r>
  <r>
    <s v="ORD-1905"/>
    <d v="2024-11-19T00:00:00"/>
    <s v="CUST-118"/>
    <x v="17"/>
    <x v="0"/>
    <x v="3"/>
    <x v="0"/>
    <x v="19"/>
    <s v="$26.59"/>
    <s v="Tuesday"/>
    <x v="0"/>
    <x v="0"/>
    <b v="0"/>
    <b v="0"/>
    <s v="Large Order"/>
    <n v="1.3295000000000001"/>
    <x v="13"/>
    <n v="531.79999999999995"/>
    <m/>
  </r>
  <r>
    <s v="ORD-1906"/>
    <d v="2024-02-10T00:00:00"/>
    <s v="CUST-120"/>
    <x v="13"/>
    <x v="1"/>
    <x v="4"/>
    <x v="3"/>
    <x v="9"/>
    <s v="$156.44"/>
    <s v="Saturday"/>
    <x v="5"/>
    <x v="0"/>
    <b v="1"/>
    <b v="1"/>
    <s v="Large Order"/>
    <n v="7.8220000000000001"/>
    <x v="12"/>
    <n v="1720.84"/>
    <m/>
  </r>
  <r>
    <s v="ORD-1907"/>
    <d v="2024-11-05T00:00:00"/>
    <s v="CUST-182"/>
    <x v="12"/>
    <x v="1"/>
    <x v="3"/>
    <x v="4"/>
    <x v="5"/>
    <s v="$211.9"/>
    <s v="Tuesday"/>
    <x v="0"/>
    <x v="0"/>
    <b v="0"/>
    <b v="1"/>
    <s v="Large Order"/>
    <n v="10.595000000000001"/>
    <x v="18"/>
    <n v="2542.8000000000002"/>
    <m/>
  </r>
  <r>
    <s v="ORD-1908"/>
    <d v="2024-08-18T00:00:00"/>
    <s v="CUST-152"/>
    <x v="18"/>
    <x v="0"/>
    <x v="4"/>
    <x v="3"/>
    <x v="2"/>
    <s v="$230.68"/>
    <s v="Sunday"/>
    <x v="10"/>
    <x v="0"/>
    <b v="1"/>
    <b v="0"/>
    <s v="Large Order"/>
    <n v="11.534000000000001"/>
    <x v="6"/>
    <n v="1153.4000000000001"/>
    <m/>
  </r>
  <r>
    <s v="ORD-1909"/>
    <d v="2024-12-24T00:00:00"/>
    <s v="CUST-195"/>
    <x v="7"/>
    <x v="0"/>
    <x v="4"/>
    <x v="0"/>
    <x v="11"/>
    <s v="$107.34"/>
    <s v="Tuesday"/>
    <x v="1"/>
    <x v="0"/>
    <b v="0"/>
    <b v="1"/>
    <s v="Large Order"/>
    <n v="5.3670000000000009"/>
    <x v="21"/>
    <n v="1395.42"/>
    <m/>
  </r>
  <r>
    <s v="ORD-1910"/>
    <d v="2024-08-30T00:00:00"/>
    <s v="CUST-170"/>
    <x v="21"/>
    <x v="0"/>
    <x v="0"/>
    <x v="0"/>
    <x v="11"/>
    <s v="$32.94"/>
    <s v="Friday"/>
    <x v="10"/>
    <x v="0"/>
    <b v="0"/>
    <b v="0"/>
    <s v="Standard order"/>
    <n v="1.647"/>
    <x v="8"/>
    <n v="428.21999999999997"/>
    <m/>
  </r>
  <r>
    <s v="ORD-1911"/>
    <d v="2024-02-23T00:00:00"/>
    <s v="CUST-133"/>
    <x v="0"/>
    <x v="2"/>
    <x v="4"/>
    <x v="2"/>
    <x v="11"/>
    <s v="$146.06"/>
    <s v="Friday"/>
    <x v="5"/>
    <x v="0"/>
    <b v="0"/>
    <b v="1"/>
    <s v="Large Order"/>
    <n v="7.3030000000000008"/>
    <x v="0"/>
    <n v="1898.78"/>
    <m/>
  </r>
  <r>
    <s v="ORD-1912"/>
    <d v="2024-05-25T00:00:00"/>
    <s v="CUST-156"/>
    <x v="1"/>
    <x v="2"/>
    <x v="4"/>
    <x v="0"/>
    <x v="18"/>
    <s v="$178.83"/>
    <s v="Saturday"/>
    <x v="7"/>
    <x v="0"/>
    <b v="1"/>
    <b v="1"/>
    <s v="Large Order"/>
    <n v="8.9415000000000013"/>
    <x v="4"/>
    <n v="3040.11"/>
    <m/>
  </r>
  <r>
    <s v="ORD-1913"/>
    <d v="2024-01-18T00:00:00"/>
    <s v="CUST-184"/>
    <x v="5"/>
    <x v="1"/>
    <x v="3"/>
    <x v="4"/>
    <x v="12"/>
    <s v="$64.61"/>
    <s v="Thursday"/>
    <x v="6"/>
    <x v="0"/>
    <b v="0"/>
    <b v="1"/>
    <s v="Large Order"/>
    <n v="3.2305000000000001"/>
    <x v="10"/>
    <n v="969.15"/>
    <m/>
  </r>
  <r>
    <s v="ORD-1914"/>
    <d v="2024-05-19T00:00:00"/>
    <s v="CUST-170"/>
    <x v="10"/>
    <x v="1"/>
    <x v="4"/>
    <x v="4"/>
    <x v="15"/>
    <s v="$46.19"/>
    <s v="Sunday"/>
    <x v="7"/>
    <x v="0"/>
    <b v="1"/>
    <b v="1"/>
    <s v="Large Order"/>
    <n v="2.3094999999999999"/>
    <x v="17"/>
    <n v="831.42"/>
    <m/>
  </r>
  <r>
    <s v="ORD-1915"/>
    <d v="2024-08-21T00:00:00"/>
    <s v="CUST-180"/>
    <x v="17"/>
    <x v="2"/>
    <x v="1"/>
    <x v="4"/>
    <x v="18"/>
    <s v="$26.59"/>
    <s v="Wednesday"/>
    <x v="10"/>
    <x v="0"/>
    <b v="0"/>
    <b v="0"/>
    <s v="Standard order"/>
    <n v="1.3295000000000001"/>
    <x v="24"/>
    <n v="452.03"/>
    <m/>
  </r>
  <r>
    <s v="ORD-1916"/>
    <d v="2024-06-07T00:00:00"/>
    <s v="CUST-144"/>
    <x v="24"/>
    <x v="1"/>
    <x v="1"/>
    <x v="3"/>
    <x v="13"/>
    <s v="$10.11"/>
    <s v="Friday"/>
    <x v="9"/>
    <x v="0"/>
    <b v="0"/>
    <b v="0"/>
    <s v="Standard order"/>
    <n v="0.50549999999999995"/>
    <x v="18"/>
    <n v="30.33"/>
    <m/>
  </r>
  <r>
    <s v="ORD-1917"/>
    <d v="2024-07-30T00:00:00"/>
    <s v="CUST-133"/>
    <x v="18"/>
    <x v="0"/>
    <x v="3"/>
    <x v="2"/>
    <x v="1"/>
    <s v="$230.68"/>
    <s v="Tuesday"/>
    <x v="8"/>
    <x v="0"/>
    <b v="0"/>
    <b v="0"/>
    <s v="Standard order"/>
    <n v="11.534000000000001"/>
    <x v="18"/>
    <n v="230.68"/>
    <m/>
  </r>
  <r>
    <s v="ORD-1918"/>
    <d v="2024-06-25T00:00:00"/>
    <s v="CUST-136"/>
    <x v="18"/>
    <x v="1"/>
    <x v="1"/>
    <x v="1"/>
    <x v="17"/>
    <s v="$230.68"/>
    <s v="Tuesday"/>
    <x v="9"/>
    <x v="0"/>
    <b v="0"/>
    <b v="1"/>
    <s v="Large Order"/>
    <n v="11.534000000000001"/>
    <x v="20"/>
    <n v="3690.88"/>
    <m/>
  </r>
  <r>
    <s v="ORD-1919"/>
    <d v="2024-06-02T00:00:00"/>
    <s v="CUST-101"/>
    <x v="20"/>
    <x v="1"/>
    <x v="3"/>
    <x v="4"/>
    <x v="7"/>
    <s v="$81.02"/>
    <s v="Sunday"/>
    <x v="9"/>
    <x v="0"/>
    <b v="1"/>
    <b v="0"/>
    <s v="Large Order"/>
    <n v="4.0510000000000002"/>
    <x v="17"/>
    <n v="648.16"/>
    <m/>
  </r>
  <r>
    <s v="ORD-1920"/>
    <d v="2024-07-10T00:00:00"/>
    <s v="CUST-124"/>
    <x v="17"/>
    <x v="1"/>
    <x v="1"/>
    <x v="1"/>
    <x v="11"/>
    <s v="$26.59"/>
    <s v="Wednesday"/>
    <x v="8"/>
    <x v="0"/>
    <b v="0"/>
    <b v="0"/>
    <s v="Standard order"/>
    <n v="1.3295000000000001"/>
    <x v="17"/>
    <n v="345.67"/>
    <m/>
  </r>
  <r>
    <s v="ORD-1921"/>
    <d v="2024-07-12T00:00:00"/>
    <s v="CUST-128"/>
    <x v="17"/>
    <x v="1"/>
    <x v="0"/>
    <x v="4"/>
    <x v="7"/>
    <s v="$26.59"/>
    <s v="Friday"/>
    <x v="8"/>
    <x v="0"/>
    <b v="0"/>
    <b v="0"/>
    <s v="Standard order"/>
    <n v="1.3295000000000001"/>
    <x v="1"/>
    <n v="212.72"/>
    <m/>
  </r>
  <r>
    <s v="ORD-1922"/>
    <d v="2024-12-21T00:00:00"/>
    <s v="CUST-187"/>
    <x v="2"/>
    <x v="1"/>
    <x v="3"/>
    <x v="1"/>
    <x v="15"/>
    <s v="$88.18"/>
    <s v="Saturday"/>
    <x v="1"/>
    <x v="0"/>
    <b v="1"/>
    <b v="1"/>
    <s v="Large Order"/>
    <n v="4.4090000000000007"/>
    <x v="14"/>
    <n v="1587.2400000000002"/>
    <m/>
  </r>
  <r>
    <s v="ORD-1923"/>
    <d v="2024-04-06T00:00:00"/>
    <s v="CUST-108"/>
    <x v="14"/>
    <x v="0"/>
    <x v="4"/>
    <x v="4"/>
    <x v="0"/>
    <s v="$201.32"/>
    <s v="Saturday"/>
    <x v="2"/>
    <x v="0"/>
    <b v="1"/>
    <b v="0"/>
    <s v="Large Order"/>
    <n v="10.066000000000001"/>
    <x v="4"/>
    <n v="805.28"/>
    <m/>
  </r>
  <r>
    <s v="ORD-1924"/>
    <d v="2024-08-19T00:00:00"/>
    <s v="CUST-134"/>
    <x v="5"/>
    <x v="2"/>
    <x v="1"/>
    <x v="2"/>
    <x v="10"/>
    <s v="$64.61"/>
    <s v="Monday"/>
    <x v="10"/>
    <x v="0"/>
    <b v="0"/>
    <b v="0"/>
    <s v="Standard order"/>
    <n v="3.2305000000000001"/>
    <x v="19"/>
    <n v="452.27"/>
    <m/>
  </r>
  <r>
    <s v="ORD-1925"/>
    <d v="2024-01-26T00:00:00"/>
    <s v="CUST-168"/>
    <x v="19"/>
    <x v="0"/>
    <x v="4"/>
    <x v="1"/>
    <x v="8"/>
    <s v="$145.48"/>
    <s v="Friday"/>
    <x v="6"/>
    <x v="0"/>
    <b v="0"/>
    <b v="1"/>
    <s v="Large Order"/>
    <n v="7.274"/>
    <x v="18"/>
    <n v="1454.8"/>
    <m/>
  </r>
  <r>
    <s v="ORD-1926"/>
    <d v="2024-01-05T00:00:00"/>
    <s v="CUST-129"/>
    <x v="18"/>
    <x v="0"/>
    <x v="4"/>
    <x v="1"/>
    <x v="17"/>
    <s v="$230.68"/>
    <s v="Friday"/>
    <x v="6"/>
    <x v="0"/>
    <b v="0"/>
    <b v="1"/>
    <s v="Large Order"/>
    <n v="11.534000000000001"/>
    <x v="12"/>
    <n v="3690.88"/>
    <m/>
  </r>
  <r>
    <s v="ORD-1927"/>
    <d v="2024-06-08T00:00:00"/>
    <s v="CUST-200"/>
    <x v="12"/>
    <x v="1"/>
    <x v="3"/>
    <x v="2"/>
    <x v="4"/>
    <s v="$211.9"/>
    <s v="Saturday"/>
    <x v="9"/>
    <x v="0"/>
    <b v="1"/>
    <b v="0"/>
    <s v="Standard order"/>
    <n v="10.595000000000001"/>
    <x v="23"/>
    <n v="423.8"/>
    <m/>
  </r>
  <r>
    <s v="ORD-1928"/>
    <d v="2024-01-29T00:00:00"/>
    <s v="CUST-134"/>
    <x v="23"/>
    <x v="1"/>
    <x v="0"/>
    <x v="3"/>
    <x v="17"/>
    <s v="$133.37"/>
    <s v="Monday"/>
    <x v="6"/>
    <x v="0"/>
    <b v="0"/>
    <b v="1"/>
    <s v="Large Order"/>
    <n v="6.6685000000000008"/>
    <x v="3"/>
    <n v="2133.92"/>
    <m/>
  </r>
  <r>
    <s v="ORD-1929"/>
    <d v="2024-07-14T00:00:00"/>
    <s v="CUST-101"/>
    <x v="4"/>
    <x v="0"/>
    <x v="4"/>
    <x v="0"/>
    <x v="12"/>
    <s v="$230.34"/>
    <s v="Sunday"/>
    <x v="8"/>
    <x v="0"/>
    <b v="1"/>
    <b v="1"/>
    <s v="Large Order"/>
    <n v="11.517000000000001"/>
    <x v="22"/>
    <n v="3455.1"/>
    <m/>
  </r>
  <r>
    <s v="ORD-1930"/>
    <d v="2024-04-11T00:00:00"/>
    <s v="CUST-158"/>
    <x v="22"/>
    <x v="2"/>
    <x v="0"/>
    <x v="3"/>
    <x v="10"/>
    <s v="$149.27"/>
    <s v="Thursday"/>
    <x v="2"/>
    <x v="0"/>
    <b v="0"/>
    <b v="1"/>
    <s v="Large Order"/>
    <n v="7.4635000000000007"/>
    <x v="16"/>
    <n v="1044.8900000000001"/>
    <m/>
  </r>
  <r>
    <s v="ORD-1931"/>
    <d v="2024-06-14T00:00:00"/>
    <s v="CUST-120"/>
    <x v="16"/>
    <x v="2"/>
    <x v="0"/>
    <x v="3"/>
    <x v="15"/>
    <s v="$130.07"/>
    <s v="Friday"/>
    <x v="9"/>
    <x v="0"/>
    <b v="0"/>
    <b v="1"/>
    <s v="Large Order"/>
    <n v="6.5034999999999998"/>
    <x v="7"/>
    <n v="2341.2599999999998"/>
    <m/>
  </r>
  <r>
    <s v="ORD-1932"/>
    <d v="2024-09-03T00:00:00"/>
    <s v="CUST-181"/>
    <x v="8"/>
    <x v="1"/>
    <x v="4"/>
    <x v="2"/>
    <x v="4"/>
    <s v="$208.85"/>
    <s v="Tuesday"/>
    <x v="11"/>
    <x v="0"/>
    <b v="0"/>
    <b v="0"/>
    <s v="Standard order"/>
    <n v="10.442500000000001"/>
    <x v="13"/>
    <n v="417.7"/>
    <m/>
  </r>
  <r>
    <s v="ORD-1933"/>
    <d v="2024-02-27T00:00:00"/>
    <s v="CUST-130"/>
    <x v="13"/>
    <x v="2"/>
    <x v="2"/>
    <x v="3"/>
    <x v="1"/>
    <s v="$156.44"/>
    <s v="Tuesday"/>
    <x v="5"/>
    <x v="0"/>
    <b v="0"/>
    <b v="0"/>
    <s v="Standard order"/>
    <n v="7.8220000000000001"/>
    <x v="18"/>
    <n v="156.44"/>
    <m/>
  </r>
  <r>
    <s v="ORD-1934"/>
    <d v="2024-10-26T00:00:00"/>
    <s v="CUST-115"/>
    <x v="18"/>
    <x v="1"/>
    <x v="4"/>
    <x v="1"/>
    <x v="4"/>
    <s v="$230.68"/>
    <s v="Saturday"/>
    <x v="3"/>
    <x v="0"/>
    <b v="1"/>
    <b v="0"/>
    <s v="Standard order"/>
    <n v="11.534000000000001"/>
    <x v="21"/>
    <n v="461.36"/>
    <m/>
  </r>
  <r>
    <s v="ORD-1935"/>
    <d v="2024-12-18T00:00:00"/>
    <s v="CUST-176"/>
    <x v="21"/>
    <x v="0"/>
    <x v="3"/>
    <x v="1"/>
    <x v="13"/>
    <s v="$32.94"/>
    <s v="Wednesday"/>
    <x v="1"/>
    <x v="0"/>
    <b v="0"/>
    <b v="0"/>
    <s v="Standard order"/>
    <n v="1.647"/>
    <x v="21"/>
    <n v="98.82"/>
    <m/>
  </r>
  <r>
    <s v="ORD-1936"/>
    <d v="2024-02-16T00:00:00"/>
    <s v="CUST-187"/>
    <x v="21"/>
    <x v="2"/>
    <x v="3"/>
    <x v="2"/>
    <x v="4"/>
    <s v="$32.94"/>
    <s v="Friday"/>
    <x v="5"/>
    <x v="0"/>
    <b v="0"/>
    <b v="0"/>
    <s v="Standard order"/>
    <n v="1.647"/>
    <x v="4"/>
    <n v="65.88"/>
    <m/>
  </r>
  <r>
    <s v="ORD-1937"/>
    <d v="2024-12-25T00:00:00"/>
    <s v="CUST-168"/>
    <x v="5"/>
    <x v="0"/>
    <x v="4"/>
    <x v="4"/>
    <x v="7"/>
    <s v="$64.61"/>
    <s v="Wednesday"/>
    <x v="1"/>
    <x v="0"/>
    <b v="0"/>
    <b v="0"/>
    <s v="Large Order"/>
    <n v="3.2305000000000001"/>
    <x v="16"/>
    <n v="516.88"/>
    <m/>
  </r>
  <r>
    <s v="ORD-1938"/>
    <d v="2024-11-26T00:00:00"/>
    <s v="CUST-196"/>
    <x v="16"/>
    <x v="1"/>
    <x v="2"/>
    <x v="1"/>
    <x v="10"/>
    <s v="$130.07"/>
    <s v="Tuesday"/>
    <x v="0"/>
    <x v="0"/>
    <b v="0"/>
    <b v="1"/>
    <s v="Large Order"/>
    <n v="6.5034999999999998"/>
    <x v="15"/>
    <n v="910.49"/>
    <m/>
  </r>
  <r>
    <s v="ORD-1939"/>
    <d v="2024-07-02T00:00:00"/>
    <s v="CUST-192"/>
    <x v="15"/>
    <x v="0"/>
    <x v="3"/>
    <x v="4"/>
    <x v="17"/>
    <s v="$216.22"/>
    <s v="Tuesday"/>
    <x v="8"/>
    <x v="0"/>
    <b v="0"/>
    <b v="1"/>
    <s v="Large Order"/>
    <n v="10.811"/>
    <x v="11"/>
    <n v="3459.52"/>
    <m/>
  </r>
  <r>
    <s v="ORD-1940"/>
    <d v="2024-05-30T00:00:00"/>
    <s v="CUST-169"/>
    <x v="11"/>
    <x v="2"/>
    <x v="2"/>
    <x v="3"/>
    <x v="16"/>
    <s v="$33.22"/>
    <s v="Thursday"/>
    <x v="7"/>
    <x v="0"/>
    <b v="0"/>
    <b v="0"/>
    <s v="Large Order"/>
    <n v="1.661"/>
    <x v="20"/>
    <n v="631.17999999999995"/>
    <m/>
  </r>
  <r>
    <s v="ORD-1941"/>
    <d v="2024-06-14T00:00:00"/>
    <s v="CUST-193"/>
    <x v="20"/>
    <x v="1"/>
    <x v="3"/>
    <x v="4"/>
    <x v="15"/>
    <s v="$81.02"/>
    <s v="Friday"/>
    <x v="9"/>
    <x v="0"/>
    <b v="0"/>
    <b v="1"/>
    <s v="Large Order"/>
    <n v="4.0510000000000002"/>
    <x v="23"/>
    <n v="1458.36"/>
    <m/>
  </r>
  <r>
    <s v="ORD-1942"/>
    <d v="2024-03-20T00:00:00"/>
    <s v="CUST-157"/>
    <x v="23"/>
    <x v="1"/>
    <x v="3"/>
    <x v="4"/>
    <x v="5"/>
    <s v="$133.37"/>
    <s v="Wednesday"/>
    <x v="4"/>
    <x v="0"/>
    <b v="0"/>
    <b v="1"/>
    <s v="Large Order"/>
    <n v="6.6685000000000008"/>
    <x v="20"/>
    <n v="1600.44"/>
    <m/>
  </r>
  <r>
    <s v="ORD-1943"/>
    <d v="2024-07-13T00:00:00"/>
    <s v="CUST-193"/>
    <x v="20"/>
    <x v="0"/>
    <x v="0"/>
    <x v="2"/>
    <x v="5"/>
    <s v="$81.02"/>
    <s v="Saturday"/>
    <x v="8"/>
    <x v="0"/>
    <b v="1"/>
    <b v="1"/>
    <s v="Large Order"/>
    <n v="4.0510000000000002"/>
    <x v="3"/>
    <n v="972.24"/>
    <m/>
  </r>
  <r>
    <s v="ORD-1944"/>
    <d v="2024-06-13T00:00:00"/>
    <s v="CUST-192"/>
    <x v="4"/>
    <x v="0"/>
    <x v="1"/>
    <x v="1"/>
    <x v="10"/>
    <s v="$230.34"/>
    <s v="Thursday"/>
    <x v="9"/>
    <x v="0"/>
    <b v="0"/>
    <b v="1"/>
    <s v="Large Order"/>
    <n v="11.517000000000001"/>
    <x v="13"/>
    <n v="1612.38"/>
    <m/>
  </r>
  <r>
    <s v="ORD-1945"/>
    <d v="2024-10-09T00:00:00"/>
    <s v="CUST-119"/>
    <x v="13"/>
    <x v="2"/>
    <x v="3"/>
    <x v="0"/>
    <x v="3"/>
    <s v="$156.44"/>
    <s v="Wednesday"/>
    <x v="3"/>
    <x v="0"/>
    <b v="0"/>
    <b v="1"/>
    <s v="Large Order"/>
    <n v="7.8220000000000001"/>
    <x v="15"/>
    <n v="2190.16"/>
    <m/>
  </r>
  <r>
    <s v="ORD-1946"/>
    <d v="2024-02-19T00:00:00"/>
    <s v="CUST-166"/>
    <x v="15"/>
    <x v="2"/>
    <x v="0"/>
    <x v="0"/>
    <x v="2"/>
    <s v="$216.22"/>
    <s v="Monday"/>
    <x v="5"/>
    <x v="0"/>
    <b v="0"/>
    <b v="0"/>
    <s v="Large Order"/>
    <n v="10.811"/>
    <x v="19"/>
    <n v="1081.0999999999999"/>
    <m/>
  </r>
  <r>
    <s v="ORD-1947"/>
    <d v="2024-04-13T00:00:00"/>
    <s v="CUST-113"/>
    <x v="19"/>
    <x v="1"/>
    <x v="4"/>
    <x v="1"/>
    <x v="4"/>
    <s v="$145.48"/>
    <s v="Saturday"/>
    <x v="2"/>
    <x v="0"/>
    <b v="1"/>
    <b v="0"/>
    <s v="Standard order"/>
    <n v="7.274"/>
    <x v="10"/>
    <n v="290.95999999999998"/>
    <m/>
  </r>
  <r>
    <s v="ORD-1948"/>
    <d v="2024-12-02T00:00:00"/>
    <s v="CUST-162"/>
    <x v="10"/>
    <x v="2"/>
    <x v="1"/>
    <x v="3"/>
    <x v="16"/>
    <s v="$46.19"/>
    <s v="Monday"/>
    <x v="1"/>
    <x v="0"/>
    <b v="0"/>
    <b v="1"/>
    <s v="Large Order"/>
    <n v="2.3094999999999999"/>
    <x v="18"/>
    <n v="877.6099999999999"/>
    <m/>
  </r>
  <r>
    <s v="ORD-1949"/>
    <d v="2024-04-23T00:00:00"/>
    <s v="CUST-177"/>
    <x v="18"/>
    <x v="2"/>
    <x v="0"/>
    <x v="0"/>
    <x v="10"/>
    <s v="$230.68"/>
    <s v="Tuesday"/>
    <x v="2"/>
    <x v="0"/>
    <b v="0"/>
    <b v="1"/>
    <s v="Large Order"/>
    <n v="11.534000000000001"/>
    <x v="23"/>
    <n v="1614.76"/>
    <m/>
  </r>
  <r>
    <s v="ORD-1950"/>
    <d v="2024-08-27T00:00:00"/>
    <s v="CUST-181"/>
    <x v="23"/>
    <x v="0"/>
    <x v="3"/>
    <x v="0"/>
    <x v="3"/>
    <s v="$133.37"/>
    <s v="Tuesday"/>
    <x v="10"/>
    <x v="0"/>
    <b v="0"/>
    <b v="1"/>
    <s v="Large Order"/>
    <n v="6.6685000000000008"/>
    <x v="16"/>
    <n v="1867.18"/>
    <m/>
  </r>
  <r>
    <s v="ORD-1951"/>
    <d v="2024-11-11T00:00:00"/>
    <s v="CUST-134"/>
    <x v="16"/>
    <x v="2"/>
    <x v="0"/>
    <x v="0"/>
    <x v="13"/>
    <s v="$130.07"/>
    <s v="Monday"/>
    <x v="0"/>
    <x v="0"/>
    <b v="0"/>
    <b v="0"/>
    <s v="Standard order"/>
    <n v="6.5034999999999998"/>
    <x v="16"/>
    <n v="390.21"/>
    <m/>
  </r>
  <r>
    <s v="ORD-1952"/>
    <d v="2024-04-20T00:00:00"/>
    <s v="CUST-166"/>
    <x v="16"/>
    <x v="0"/>
    <x v="0"/>
    <x v="2"/>
    <x v="7"/>
    <s v="$130.07"/>
    <s v="Saturday"/>
    <x v="2"/>
    <x v="0"/>
    <b v="1"/>
    <b v="1"/>
    <s v="Large Order"/>
    <n v="6.5034999999999998"/>
    <x v="9"/>
    <n v="1040.56"/>
    <m/>
  </r>
  <r>
    <s v="ORD-1953"/>
    <d v="2024-04-08T00:00:00"/>
    <s v="CUST-167"/>
    <x v="9"/>
    <x v="2"/>
    <x v="4"/>
    <x v="4"/>
    <x v="6"/>
    <s v="$101.96"/>
    <s v="Monday"/>
    <x v="2"/>
    <x v="0"/>
    <b v="0"/>
    <b v="0"/>
    <s v="Large Order"/>
    <n v="5.0979999999999999"/>
    <x v="7"/>
    <n v="611.76"/>
    <m/>
  </r>
  <r>
    <s v="ORD-1954"/>
    <d v="2024-07-31T00:00:00"/>
    <s v="CUST-195"/>
    <x v="8"/>
    <x v="0"/>
    <x v="1"/>
    <x v="1"/>
    <x v="12"/>
    <s v="$208.85"/>
    <s v="Wednesday"/>
    <x v="8"/>
    <x v="0"/>
    <b v="0"/>
    <b v="1"/>
    <s v="Large Order"/>
    <n v="10.442500000000001"/>
    <x v="3"/>
    <n v="3132.75"/>
    <m/>
  </r>
  <r>
    <s v="ORD-1955"/>
    <d v="2024-02-23T00:00:00"/>
    <s v="CUST-121"/>
    <x v="4"/>
    <x v="0"/>
    <x v="1"/>
    <x v="2"/>
    <x v="18"/>
    <s v="$230.34"/>
    <s v="Friday"/>
    <x v="5"/>
    <x v="0"/>
    <b v="0"/>
    <b v="1"/>
    <s v="Large Order"/>
    <n v="11.517000000000001"/>
    <x v="13"/>
    <n v="3915.78"/>
    <m/>
  </r>
  <r>
    <s v="ORD-1956"/>
    <d v="2024-09-30T00:00:00"/>
    <s v="CUST-176"/>
    <x v="13"/>
    <x v="1"/>
    <x v="3"/>
    <x v="3"/>
    <x v="15"/>
    <s v="$156.44"/>
    <s v="Monday"/>
    <x v="11"/>
    <x v="0"/>
    <b v="0"/>
    <b v="1"/>
    <s v="Large Order"/>
    <n v="7.8220000000000001"/>
    <x v="16"/>
    <n v="2815.92"/>
    <m/>
  </r>
  <r>
    <s v="ORD-1957"/>
    <d v="2024-07-09T00:00:00"/>
    <s v="CUST-152"/>
    <x v="16"/>
    <x v="2"/>
    <x v="2"/>
    <x v="4"/>
    <x v="9"/>
    <s v="$130.07"/>
    <s v="Tuesday"/>
    <x v="8"/>
    <x v="0"/>
    <b v="0"/>
    <b v="1"/>
    <s v="Large Order"/>
    <n v="6.5034999999999998"/>
    <x v="16"/>
    <n v="1430.77"/>
    <m/>
  </r>
  <r>
    <s v="ORD-1958"/>
    <d v="2024-10-06T00:00:00"/>
    <s v="CUST-127"/>
    <x v="16"/>
    <x v="1"/>
    <x v="1"/>
    <x v="1"/>
    <x v="14"/>
    <s v="$130.07"/>
    <s v="Sunday"/>
    <x v="3"/>
    <x v="0"/>
    <b v="1"/>
    <b v="1"/>
    <s v="Large Order"/>
    <n v="6.5034999999999998"/>
    <x v="14"/>
    <n v="1170.6299999999999"/>
    <m/>
  </r>
  <r>
    <s v="ORD-1959"/>
    <d v="2024-08-17T00:00:00"/>
    <s v="CUST-150"/>
    <x v="14"/>
    <x v="0"/>
    <x v="0"/>
    <x v="2"/>
    <x v="19"/>
    <s v="$201.32"/>
    <s v="Saturday"/>
    <x v="10"/>
    <x v="0"/>
    <b v="1"/>
    <b v="1"/>
    <s v="Large Order"/>
    <n v="10.066000000000001"/>
    <x v="11"/>
    <n v="4026.3999999999996"/>
    <m/>
  </r>
  <r>
    <s v="ORD-1960"/>
    <d v="2024-06-03T00:00:00"/>
    <s v="CUST-100"/>
    <x v="11"/>
    <x v="1"/>
    <x v="4"/>
    <x v="3"/>
    <x v="9"/>
    <s v="$33.22"/>
    <s v="Monday"/>
    <x v="9"/>
    <x v="0"/>
    <b v="0"/>
    <b v="0"/>
    <s v="Standard order"/>
    <n v="1.661"/>
    <x v="9"/>
    <n v="365.41999999999996"/>
    <m/>
  </r>
  <r>
    <s v="ORD-1961"/>
    <d v="2024-10-10T00:00:00"/>
    <s v="CUST-165"/>
    <x v="9"/>
    <x v="2"/>
    <x v="1"/>
    <x v="1"/>
    <x v="2"/>
    <s v="$101.96"/>
    <s v="Thursday"/>
    <x v="3"/>
    <x v="0"/>
    <b v="0"/>
    <b v="0"/>
    <s v="Large Order"/>
    <n v="5.0979999999999999"/>
    <x v="7"/>
    <n v="509.79999999999995"/>
    <m/>
  </r>
  <r>
    <s v="ORD-1962"/>
    <d v="2024-07-01T00:00:00"/>
    <s v="CUST-119"/>
    <x v="8"/>
    <x v="0"/>
    <x v="3"/>
    <x v="3"/>
    <x v="16"/>
    <s v="$208.85"/>
    <s v="Monday"/>
    <x v="8"/>
    <x v="0"/>
    <b v="0"/>
    <b v="1"/>
    <s v="Large Order"/>
    <n v="10.442500000000001"/>
    <x v="9"/>
    <n v="3968.15"/>
    <m/>
  </r>
  <r>
    <s v="ORD-1963"/>
    <d v="2024-06-02T00:00:00"/>
    <s v="CUST-111"/>
    <x v="9"/>
    <x v="2"/>
    <x v="2"/>
    <x v="3"/>
    <x v="10"/>
    <s v="$101.96"/>
    <s v="Sunday"/>
    <x v="9"/>
    <x v="0"/>
    <b v="1"/>
    <b v="0"/>
    <s v="Large Order"/>
    <n v="5.0979999999999999"/>
    <x v="19"/>
    <n v="713.71999999999991"/>
    <m/>
  </r>
  <r>
    <s v="ORD-1964"/>
    <d v="2024-09-04T00:00:00"/>
    <s v="CUST-122"/>
    <x v="19"/>
    <x v="1"/>
    <x v="1"/>
    <x v="0"/>
    <x v="19"/>
    <s v="$145.48"/>
    <s v="Wednesday"/>
    <x v="11"/>
    <x v="0"/>
    <b v="0"/>
    <b v="1"/>
    <s v="Large Order"/>
    <n v="7.274"/>
    <x v="21"/>
    <n v="2909.6"/>
    <m/>
  </r>
  <r>
    <s v="ORD-1965"/>
    <d v="2024-10-22T00:00:00"/>
    <s v="CUST-148"/>
    <x v="21"/>
    <x v="0"/>
    <x v="0"/>
    <x v="1"/>
    <x v="9"/>
    <s v="$32.94"/>
    <s v="Tuesday"/>
    <x v="3"/>
    <x v="0"/>
    <b v="0"/>
    <b v="0"/>
    <s v="Standard order"/>
    <n v="1.647"/>
    <x v="18"/>
    <n v="362.34"/>
    <m/>
  </r>
  <r>
    <s v="ORD-1966"/>
    <d v="2024-08-01T00:00:00"/>
    <s v="CUST-115"/>
    <x v="18"/>
    <x v="0"/>
    <x v="1"/>
    <x v="4"/>
    <x v="11"/>
    <s v="$230.68"/>
    <s v="Thursday"/>
    <x v="10"/>
    <x v="0"/>
    <b v="0"/>
    <b v="1"/>
    <s v="Large Order"/>
    <n v="11.534000000000001"/>
    <x v="0"/>
    <n v="2998.84"/>
    <m/>
  </r>
  <r>
    <s v="ORD-1967"/>
    <d v="2024-01-22T00:00:00"/>
    <s v="CUST-140"/>
    <x v="1"/>
    <x v="2"/>
    <x v="1"/>
    <x v="2"/>
    <x v="9"/>
    <s v="$178.83"/>
    <s v="Monday"/>
    <x v="6"/>
    <x v="0"/>
    <b v="0"/>
    <b v="1"/>
    <s v="Large Order"/>
    <n v="8.9415000000000013"/>
    <x v="12"/>
    <n v="1967.13"/>
    <m/>
  </r>
  <r>
    <s v="ORD-1968"/>
    <d v="2024-03-19T00:00:00"/>
    <s v="CUST-106"/>
    <x v="12"/>
    <x v="2"/>
    <x v="2"/>
    <x v="0"/>
    <x v="19"/>
    <s v="$211.9"/>
    <s v="Tuesday"/>
    <x v="4"/>
    <x v="0"/>
    <b v="0"/>
    <b v="1"/>
    <s v="Large Order"/>
    <n v="10.595000000000001"/>
    <x v="0"/>
    <n v="4238"/>
    <m/>
  </r>
  <r>
    <s v="ORD-1969"/>
    <d v="2024-04-23T00:00:00"/>
    <s v="CUST-155"/>
    <x v="1"/>
    <x v="1"/>
    <x v="2"/>
    <x v="1"/>
    <x v="2"/>
    <s v="$178.83"/>
    <s v="Tuesday"/>
    <x v="2"/>
    <x v="0"/>
    <b v="0"/>
    <b v="0"/>
    <s v="Large Order"/>
    <n v="8.9415000000000013"/>
    <x v="3"/>
    <n v="894.15000000000009"/>
    <m/>
  </r>
  <r>
    <s v="ORD-1970"/>
    <d v="2024-10-19T00:00:00"/>
    <s v="CUST-195"/>
    <x v="4"/>
    <x v="0"/>
    <x v="1"/>
    <x v="4"/>
    <x v="14"/>
    <s v="$230.34"/>
    <s v="Saturday"/>
    <x v="3"/>
    <x v="0"/>
    <b v="1"/>
    <b v="1"/>
    <s v="Large Order"/>
    <n v="11.517000000000001"/>
    <x v="21"/>
    <n v="2073.06"/>
    <m/>
  </r>
  <r>
    <s v="ORD-1971"/>
    <d v="2024-08-10T00:00:00"/>
    <s v="CUST-199"/>
    <x v="21"/>
    <x v="2"/>
    <x v="4"/>
    <x v="2"/>
    <x v="2"/>
    <s v="$32.94"/>
    <s v="Saturday"/>
    <x v="10"/>
    <x v="0"/>
    <b v="1"/>
    <b v="0"/>
    <s v="Standard order"/>
    <n v="1.647"/>
    <x v="11"/>
    <n v="164.7"/>
    <m/>
  </r>
  <r>
    <s v="ORD-1972"/>
    <d v="2024-09-06T00:00:00"/>
    <s v="CUST-150"/>
    <x v="11"/>
    <x v="2"/>
    <x v="1"/>
    <x v="4"/>
    <x v="15"/>
    <s v="$33.22"/>
    <s v="Friday"/>
    <x v="11"/>
    <x v="0"/>
    <b v="0"/>
    <b v="0"/>
    <s v="Large Order"/>
    <n v="1.661"/>
    <x v="21"/>
    <n v="597.96"/>
    <m/>
  </r>
  <r>
    <s v="ORD-1973"/>
    <d v="2024-05-06T00:00:00"/>
    <s v="CUST-131"/>
    <x v="21"/>
    <x v="0"/>
    <x v="3"/>
    <x v="4"/>
    <x v="3"/>
    <s v="$32.94"/>
    <s v="Monday"/>
    <x v="7"/>
    <x v="0"/>
    <b v="0"/>
    <b v="0"/>
    <s v="Standard order"/>
    <n v="1.647"/>
    <x v="17"/>
    <n v="461.15999999999997"/>
    <m/>
  </r>
  <r>
    <s v="ORD-1974"/>
    <d v="2024-02-15T00:00:00"/>
    <s v="CUST-114"/>
    <x v="17"/>
    <x v="2"/>
    <x v="2"/>
    <x v="3"/>
    <x v="5"/>
    <s v="$26.59"/>
    <s v="Thursday"/>
    <x v="5"/>
    <x v="0"/>
    <b v="0"/>
    <b v="0"/>
    <s v="Standard order"/>
    <n v="1.3295000000000001"/>
    <x v="21"/>
    <n v="319.08"/>
    <m/>
  </r>
  <r>
    <s v="ORD-1975"/>
    <d v="2024-06-25T00:00:00"/>
    <s v="CUST-176"/>
    <x v="21"/>
    <x v="2"/>
    <x v="0"/>
    <x v="3"/>
    <x v="8"/>
    <s v="$32.94"/>
    <s v="Tuesday"/>
    <x v="9"/>
    <x v="0"/>
    <b v="0"/>
    <b v="0"/>
    <s v="Standard order"/>
    <n v="1.647"/>
    <x v="12"/>
    <n v="329.4"/>
    <m/>
  </r>
  <r>
    <s v="ORD-1976"/>
    <d v="2024-11-11T00:00:00"/>
    <s v="CUST-156"/>
    <x v="12"/>
    <x v="2"/>
    <x v="4"/>
    <x v="2"/>
    <x v="4"/>
    <s v="$211.9"/>
    <s v="Monday"/>
    <x v="0"/>
    <x v="0"/>
    <b v="0"/>
    <b v="0"/>
    <s v="Standard order"/>
    <n v="10.595000000000001"/>
    <x v="21"/>
    <n v="423.8"/>
    <m/>
  </r>
  <r>
    <s v="ORD-1977"/>
    <d v="2024-04-12T00:00:00"/>
    <s v="CUST-187"/>
    <x v="21"/>
    <x v="1"/>
    <x v="4"/>
    <x v="0"/>
    <x v="13"/>
    <s v="$32.94"/>
    <s v="Friday"/>
    <x v="2"/>
    <x v="0"/>
    <b v="0"/>
    <b v="0"/>
    <s v="Standard order"/>
    <n v="1.647"/>
    <x v="18"/>
    <n v="98.82"/>
    <m/>
  </r>
  <r>
    <s v="ORD-1978"/>
    <d v="2024-05-04T00:00:00"/>
    <s v="CUST-179"/>
    <x v="18"/>
    <x v="0"/>
    <x v="3"/>
    <x v="0"/>
    <x v="9"/>
    <s v="$230.68"/>
    <s v="Saturday"/>
    <x v="7"/>
    <x v="0"/>
    <b v="1"/>
    <b v="1"/>
    <s v="Large Order"/>
    <n v="11.534000000000001"/>
    <x v="13"/>
    <n v="2537.48"/>
    <m/>
  </r>
  <r>
    <s v="ORD-1979"/>
    <d v="2024-06-05T00:00:00"/>
    <s v="CUST-157"/>
    <x v="13"/>
    <x v="1"/>
    <x v="0"/>
    <x v="2"/>
    <x v="10"/>
    <s v="$156.44"/>
    <s v="Wednesday"/>
    <x v="9"/>
    <x v="0"/>
    <b v="0"/>
    <b v="1"/>
    <s v="Large Order"/>
    <n v="7.8220000000000001"/>
    <x v="23"/>
    <n v="1095.08"/>
    <m/>
  </r>
  <r>
    <s v="ORD-1980"/>
    <d v="2024-04-14T00:00:00"/>
    <s v="CUST-169"/>
    <x v="23"/>
    <x v="2"/>
    <x v="3"/>
    <x v="2"/>
    <x v="17"/>
    <s v="$133.37"/>
    <s v="Sunday"/>
    <x v="2"/>
    <x v="0"/>
    <b v="1"/>
    <b v="1"/>
    <s v="Large Order"/>
    <n v="6.6685000000000008"/>
    <x v="3"/>
    <n v="2133.92"/>
    <m/>
  </r>
  <r>
    <s v="ORD-1981"/>
    <d v="2024-12-21T00:00:00"/>
    <s v="CUST-189"/>
    <x v="4"/>
    <x v="2"/>
    <x v="0"/>
    <x v="4"/>
    <x v="16"/>
    <s v="$230.34"/>
    <s v="Saturday"/>
    <x v="1"/>
    <x v="0"/>
    <b v="1"/>
    <b v="1"/>
    <s v="Large Order"/>
    <n v="11.517000000000001"/>
    <x v="14"/>
    <n v="4376.46"/>
    <m/>
  </r>
  <r>
    <s v="ORD-1982"/>
    <d v="2024-01-23T00:00:00"/>
    <s v="CUST-132"/>
    <x v="14"/>
    <x v="0"/>
    <x v="0"/>
    <x v="4"/>
    <x v="10"/>
    <s v="$201.32"/>
    <s v="Tuesday"/>
    <x v="6"/>
    <x v="0"/>
    <b v="0"/>
    <b v="1"/>
    <s v="Large Order"/>
    <n v="10.066000000000001"/>
    <x v="8"/>
    <n v="1409.24"/>
    <m/>
  </r>
  <r>
    <s v="ORD-1983"/>
    <d v="2024-05-18T00:00:00"/>
    <s v="CUST-106"/>
    <x v="0"/>
    <x v="1"/>
    <x v="0"/>
    <x v="3"/>
    <x v="11"/>
    <s v="$146.06"/>
    <s v="Saturday"/>
    <x v="7"/>
    <x v="0"/>
    <b v="1"/>
    <b v="1"/>
    <s v="Large Order"/>
    <n v="7.3030000000000008"/>
    <x v="24"/>
    <n v="1898.78"/>
    <m/>
  </r>
  <r>
    <s v="ORD-1984"/>
    <d v="2024-02-25T00:00:00"/>
    <s v="CUST-102"/>
    <x v="24"/>
    <x v="1"/>
    <x v="2"/>
    <x v="0"/>
    <x v="11"/>
    <s v="$10.11"/>
    <s v="Sunday"/>
    <x v="5"/>
    <x v="0"/>
    <b v="1"/>
    <b v="0"/>
    <s v="Standard order"/>
    <n v="0.50549999999999995"/>
    <x v="8"/>
    <n v="131.43"/>
    <m/>
  </r>
  <r>
    <s v="ORD-1985"/>
    <d v="2024-06-10T00:00:00"/>
    <s v="CUST-162"/>
    <x v="0"/>
    <x v="2"/>
    <x v="1"/>
    <x v="1"/>
    <x v="6"/>
    <s v="$146.06"/>
    <s v="Monday"/>
    <x v="9"/>
    <x v="0"/>
    <b v="0"/>
    <b v="1"/>
    <s v="Large Order"/>
    <n v="7.3030000000000008"/>
    <x v="24"/>
    <n v="876.36"/>
    <m/>
  </r>
  <r>
    <s v="ORD-1986"/>
    <d v="2024-10-14T00:00:00"/>
    <s v="CUST-191"/>
    <x v="24"/>
    <x v="0"/>
    <x v="0"/>
    <x v="1"/>
    <x v="18"/>
    <s v="$10.11"/>
    <s v="Monday"/>
    <x v="3"/>
    <x v="0"/>
    <b v="0"/>
    <b v="0"/>
    <s v="Standard order"/>
    <n v="0.50549999999999995"/>
    <x v="7"/>
    <n v="171.87"/>
    <m/>
  </r>
  <r>
    <s v="ORD-1987"/>
    <d v="2024-07-20T00:00:00"/>
    <s v="CUST-195"/>
    <x v="8"/>
    <x v="0"/>
    <x v="0"/>
    <x v="3"/>
    <x v="5"/>
    <s v="$208.85"/>
    <s v="Saturday"/>
    <x v="8"/>
    <x v="0"/>
    <b v="1"/>
    <b v="1"/>
    <s v="Large Order"/>
    <n v="10.442500000000001"/>
    <x v="1"/>
    <n v="2506.1999999999998"/>
    <m/>
  </r>
  <r>
    <s v="ORD-1988"/>
    <d v="2024-04-30T00:00:00"/>
    <s v="CUST-164"/>
    <x v="2"/>
    <x v="1"/>
    <x v="0"/>
    <x v="0"/>
    <x v="14"/>
    <s v="$88.18"/>
    <s v="Tuesday"/>
    <x v="2"/>
    <x v="0"/>
    <b v="0"/>
    <b v="1"/>
    <s v="Large Order"/>
    <n v="4.4090000000000007"/>
    <x v="13"/>
    <n v="793.62000000000012"/>
    <m/>
  </r>
  <r>
    <s v="ORD-1989"/>
    <d v="2024-10-11T00:00:00"/>
    <s v="CUST-135"/>
    <x v="13"/>
    <x v="0"/>
    <x v="4"/>
    <x v="0"/>
    <x v="11"/>
    <s v="$156.44"/>
    <s v="Friday"/>
    <x v="3"/>
    <x v="0"/>
    <b v="0"/>
    <b v="1"/>
    <s v="Large Order"/>
    <n v="7.8220000000000001"/>
    <x v="1"/>
    <n v="2033.72"/>
    <m/>
  </r>
  <r>
    <s v="ORD-1990"/>
    <d v="2024-07-14T00:00:00"/>
    <s v="CUST-166"/>
    <x v="2"/>
    <x v="2"/>
    <x v="1"/>
    <x v="4"/>
    <x v="7"/>
    <s v="$88.18"/>
    <s v="Sunday"/>
    <x v="8"/>
    <x v="0"/>
    <b v="1"/>
    <b v="0"/>
    <s v="Large Order"/>
    <n v="4.4090000000000007"/>
    <x v="13"/>
    <n v="705.44"/>
    <m/>
  </r>
  <r>
    <s v="ORD-1991"/>
    <d v="2024-03-19T00:00:00"/>
    <s v="CUST-154"/>
    <x v="13"/>
    <x v="1"/>
    <x v="1"/>
    <x v="2"/>
    <x v="12"/>
    <s v="$156.44"/>
    <s v="Tuesday"/>
    <x v="4"/>
    <x v="0"/>
    <b v="0"/>
    <b v="1"/>
    <s v="Large Order"/>
    <n v="7.8220000000000001"/>
    <x v="5"/>
    <n v="2346.6"/>
    <m/>
  </r>
  <r>
    <s v="ORD-1992"/>
    <d v="2024-11-30T00:00:00"/>
    <s v="CUST-117"/>
    <x v="6"/>
    <x v="2"/>
    <x v="1"/>
    <x v="3"/>
    <x v="10"/>
    <s v="$86.6"/>
    <s v="Saturday"/>
    <x v="0"/>
    <x v="0"/>
    <b v="1"/>
    <b v="0"/>
    <s v="Large Order"/>
    <n v="4.33"/>
    <x v="17"/>
    <n v="606.19999999999993"/>
    <m/>
  </r>
  <r>
    <s v="ORD-1993"/>
    <d v="2024-12-18T00:00:00"/>
    <s v="CUST-190"/>
    <x v="17"/>
    <x v="2"/>
    <x v="4"/>
    <x v="4"/>
    <x v="2"/>
    <s v="$26.59"/>
    <s v="Wednesday"/>
    <x v="1"/>
    <x v="0"/>
    <b v="0"/>
    <b v="0"/>
    <s v="Standard order"/>
    <n v="1.3295000000000001"/>
    <x v="23"/>
    <n v="132.94999999999999"/>
    <m/>
  </r>
  <r>
    <s v="ORD-1994"/>
    <d v="2024-03-21T00:00:00"/>
    <s v="CUST-140"/>
    <x v="23"/>
    <x v="0"/>
    <x v="1"/>
    <x v="2"/>
    <x v="0"/>
    <s v="$133.37"/>
    <s v="Thursday"/>
    <x v="4"/>
    <x v="0"/>
    <b v="0"/>
    <b v="0"/>
    <s v="Large Order"/>
    <n v="6.6685000000000008"/>
    <x v="17"/>
    <n v="533.48"/>
    <m/>
  </r>
  <r>
    <s v="ORD-1995"/>
    <d v="2024-01-16T00:00:00"/>
    <s v="CUST-197"/>
    <x v="17"/>
    <x v="1"/>
    <x v="2"/>
    <x v="3"/>
    <x v="8"/>
    <s v="$26.59"/>
    <s v="Tuesday"/>
    <x v="6"/>
    <x v="0"/>
    <b v="0"/>
    <b v="0"/>
    <s v="Standard order"/>
    <n v="1.3295000000000001"/>
    <x v="0"/>
    <n v="265.89999999999998"/>
    <m/>
  </r>
  <r>
    <s v="ORD-1996"/>
    <d v="2024-03-18T00:00:00"/>
    <s v="CUST-199"/>
    <x v="1"/>
    <x v="0"/>
    <x v="0"/>
    <x v="4"/>
    <x v="6"/>
    <s v="$178.83"/>
    <s v="Monday"/>
    <x v="4"/>
    <x v="0"/>
    <b v="0"/>
    <b v="1"/>
    <s v="Large Order"/>
    <n v="8.9415000000000013"/>
    <x v="20"/>
    <n v="1072.98"/>
    <m/>
  </r>
  <r>
    <s v="ORD-1997"/>
    <d v="2024-11-11T00:00:00"/>
    <s v="CUST-134"/>
    <x v="20"/>
    <x v="2"/>
    <x v="1"/>
    <x v="2"/>
    <x v="7"/>
    <s v="$81.02"/>
    <s v="Monday"/>
    <x v="0"/>
    <x v="0"/>
    <b v="0"/>
    <b v="0"/>
    <s v="Large Order"/>
    <n v="4.0510000000000002"/>
    <x v="10"/>
    <n v="648.16"/>
    <m/>
  </r>
  <r>
    <s v="ORD-1998"/>
    <d v="2024-12-17T00:00:00"/>
    <s v="CUST-103"/>
    <x v="10"/>
    <x v="1"/>
    <x v="0"/>
    <x v="4"/>
    <x v="17"/>
    <s v="$46.19"/>
    <s v="Tuesday"/>
    <x v="1"/>
    <x v="0"/>
    <b v="0"/>
    <b v="0"/>
    <s v="Large Order"/>
    <n v="2.3094999999999999"/>
    <x v="6"/>
    <n v="739.04"/>
    <m/>
  </r>
  <r>
    <s v="ORD-1999"/>
    <d v="2024-08-28T00:00:00"/>
    <s v="CUST-191"/>
    <x v="7"/>
    <x v="2"/>
    <x v="3"/>
    <x v="2"/>
    <x v="11"/>
    <s v="$107.34"/>
    <s v="Wednesday"/>
    <x v="10"/>
    <x v="0"/>
    <b v="0"/>
    <b v="1"/>
    <s v="Large Order"/>
    <n v="5.3670000000000009"/>
    <x v="17"/>
    <n v="1395.42"/>
    <m/>
  </r>
  <r>
    <s v="ORD-2000"/>
    <d v="2024-03-24T00:00:00"/>
    <s v="CUST-124"/>
    <x v="17"/>
    <x v="0"/>
    <x v="0"/>
    <x v="1"/>
    <x v="1"/>
    <s v="$26.59"/>
    <s v="Sunday"/>
    <x v="4"/>
    <x v="0"/>
    <b v="1"/>
    <b v="0"/>
    <s v="Standard order"/>
    <n v="1.3295000000000001"/>
    <x v="21"/>
    <n v="26.59"/>
    <m/>
  </r>
  <r>
    <s v="ORD-2001"/>
    <d v="2024-04-23T00:00:00"/>
    <s v="CUST-195"/>
    <x v="21"/>
    <x v="2"/>
    <x v="4"/>
    <x v="1"/>
    <x v="10"/>
    <s v="$32.94"/>
    <s v="Tuesday"/>
    <x v="2"/>
    <x v="0"/>
    <b v="0"/>
    <b v="0"/>
    <s v="Standard order"/>
    <n v="1.647"/>
    <x v="12"/>
    <n v="230.57999999999998"/>
    <m/>
  </r>
  <r>
    <s v="ORD-2002"/>
    <d v="2024-11-11T00:00:00"/>
    <s v="CUST-162"/>
    <x v="12"/>
    <x v="2"/>
    <x v="3"/>
    <x v="0"/>
    <x v="7"/>
    <s v="$211.9"/>
    <s v="Monday"/>
    <x v="0"/>
    <x v="0"/>
    <b v="0"/>
    <b v="1"/>
    <s v="Large Order"/>
    <n v="10.595000000000001"/>
    <x v="3"/>
    <n v="1695.2"/>
    <m/>
  </r>
  <r>
    <s v="ORD-2003"/>
    <d v="2024-11-07T00:00:00"/>
    <s v="CUST-194"/>
    <x v="4"/>
    <x v="1"/>
    <x v="3"/>
    <x v="4"/>
    <x v="19"/>
    <s v="$230.34"/>
    <s v="Thursday"/>
    <x v="0"/>
    <x v="0"/>
    <b v="0"/>
    <b v="1"/>
    <s v="Large Order"/>
    <n v="11.517000000000001"/>
    <x v="22"/>
    <n v="4606.8"/>
    <m/>
  </r>
  <r>
    <s v="ORD-2004"/>
    <d v="2024-10-31T00:00:00"/>
    <s v="CUST-168"/>
    <x v="22"/>
    <x v="2"/>
    <x v="0"/>
    <x v="0"/>
    <x v="0"/>
    <s v="$149.27"/>
    <s v="Thursday"/>
    <x v="3"/>
    <x v="0"/>
    <b v="0"/>
    <b v="0"/>
    <s v="Large Order"/>
    <n v="7.4635000000000007"/>
    <x v="16"/>
    <n v="597.08000000000004"/>
    <m/>
  </r>
  <r>
    <s v="ORD-2005"/>
    <d v="2024-05-05T00:00:00"/>
    <s v="CUST-166"/>
    <x v="16"/>
    <x v="2"/>
    <x v="2"/>
    <x v="4"/>
    <x v="4"/>
    <s v="$130.07"/>
    <s v="Sunday"/>
    <x v="7"/>
    <x v="0"/>
    <b v="1"/>
    <b v="0"/>
    <s v="Standard order"/>
    <n v="6.5034999999999998"/>
    <x v="12"/>
    <n v="260.14"/>
    <m/>
  </r>
  <r>
    <s v="ORD-2006"/>
    <d v="2024-11-18T00:00:00"/>
    <s v="CUST-106"/>
    <x v="12"/>
    <x v="0"/>
    <x v="3"/>
    <x v="3"/>
    <x v="11"/>
    <s v="$211.9"/>
    <s v="Monday"/>
    <x v="0"/>
    <x v="0"/>
    <b v="0"/>
    <b v="1"/>
    <s v="Large Order"/>
    <n v="10.595000000000001"/>
    <x v="20"/>
    <n v="2754.7000000000003"/>
    <m/>
  </r>
  <r>
    <s v="ORD-2007"/>
    <d v="2024-08-24T00:00:00"/>
    <s v="CUST-121"/>
    <x v="20"/>
    <x v="1"/>
    <x v="3"/>
    <x v="2"/>
    <x v="4"/>
    <s v="$81.02"/>
    <s v="Saturday"/>
    <x v="10"/>
    <x v="0"/>
    <b v="1"/>
    <b v="0"/>
    <s v="Standard order"/>
    <n v="4.0510000000000002"/>
    <x v="16"/>
    <n v="162.04"/>
    <m/>
  </r>
  <r>
    <s v="ORD-2008"/>
    <d v="2024-08-25T00:00:00"/>
    <s v="CUST-182"/>
    <x v="16"/>
    <x v="1"/>
    <x v="0"/>
    <x v="4"/>
    <x v="18"/>
    <s v="$130.07"/>
    <s v="Sunday"/>
    <x v="10"/>
    <x v="0"/>
    <b v="1"/>
    <b v="1"/>
    <s v="Large Order"/>
    <n v="6.5034999999999998"/>
    <x v="17"/>
    <n v="2211.19"/>
    <m/>
  </r>
  <r>
    <s v="ORD-2009"/>
    <d v="2024-12-22T00:00:00"/>
    <s v="CUST-169"/>
    <x v="17"/>
    <x v="0"/>
    <x v="2"/>
    <x v="2"/>
    <x v="9"/>
    <s v="$26.59"/>
    <s v="Sunday"/>
    <x v="1"/>
    <x v="0"/>
    <b v="1"/>
    <b v="0"/>
    <s v="Standard order"/>
    <n v="1.3295000000000001"/>
    <x v="12"/>
    <n v="292.49"/>
    <m/>
  </r>
  <r>
    <s v="ORD-2010"/>
    <d v="2024-08-20T00:00:00"/>
    <s v="CUST-175"/>
    <x v="12"/>
    <x v="2"/>
    <x v="4"/>
    <x v="2"/>
    <x v="13"/>
    <s v="$211.9"/>
    <s v="Tuesday"/>
    <x v="10"/>
    <x v="0"/>
    <b v="0"/>
    <b v="0"/>
    <s v="Large Order"/>
    <n v="10.595000000000001"/>
    <x v="1"/>
    <n v="635.70000000000005"/>
    <m/>
  </r>
  <r>
    <s v="ORD-2011"/>
    <d v="2024-03-04T00:00:00"/>
    <s v="CUST-111"/>
    <x v="2"/>
    <x v="0"/>
    <x v="2"/>
    <x v="1"/>
    <x v="5"/>
    <s v="$88.18"/>
    <s v="Monday"/>
    <x v="4"/>
    <x v="0"/>
    <b v="0"/>
    <b v="1"/>
    <s v="Large Order"/>
    <n v="4.4090000000000007"/>
    <x v="23"/>
    <n v="1058.1600000000001"/>
    <m/>
  </r>
  <r>
    <s v="ORD-2012"/>
    <d v="2024-09-18T00:00:00"/>
    <s v="CUST-178"/>
    <x v="23"/>
    <x v="0"/>
    <x v="2"/>
    <x v="2"/>
    <x v="11"/>
    <s v="$133.37"/>
    <s v="Wednesday"/>
    <x v="11"/>
    <x v="0"/>
    <b v="0"/>
    <b v="1"/>
    <s v="Large Order"/>
    <n v="6.6685000000000008"/>
    <x v="6"/>
    <n v="1733.81"/>
    <m/>
  </r>
  <r>
    <s v="ORD-2013"/>
    <d v="2024-06-20T00:00:00"/>
    <s v="CUST-172"/>
    <x v="7"/>
    <x v="2"/>
    <x v="4"/>
    <x v="0"/>
    <x v="2"/>
    <s v="$107.34"/>
    <s v="Thursday"/>
    <x v="9"/>
    <x v="0"/>
    <b v="0"/>
    <b v="0"/>
    <s v="Large Order"/>
    <n v="5.3670000000000009"/>
    <x v="14"/>
    <n v="536.70000000000005"/>
    <m/>
  </r>
  <r>
    <s v="ORD-2014"/>
    <d v="2024-08-02T00:00:00"/>
    <s v="CUST-139"/>
    <x v="14"/>
    <x v="1"/>
    <x v="2"/>
    <x v="2"/>
    <x v="6"/>
    <s v="$201.32"/>
    <s v="Friday"/>
    <x v="10"/>
    <x v="0"/>
    <b v="0"/>
    <b v="1"/>
    <s v="Large Order"/>
    <n v="10.066000000000001"/>
    <x v="18"/>
    <n v="1207.92"/>
    <m/>
  </r>
  <r>
    <s v="ORD-2015"/>
    <d v="2024-04-13T00:00:00"/>
    <s v="CUST-100"/>
    <x v="18"/>
    <x v="2"/>
    <x v="3"/>
    <x v="1"/>
    <x v="12"/>
    <s v="$230.68"/>
    <s v="Saturday"/>
    <x v="2"/>
    <x v="0"/>
    <b v="1"/>
    <b v="1"/>
    <s v="Large Order"/>
    <n v="11.534000000000001"/>
    <x v="24"/>
    <n v="3460.2000000000003"/>
    <m/>
  </r>
  <r>
    <s v="ORD-2016"/>
    <d v="2024-10-05T00:00:00"/>
    <s v="CUST-100"/>
    <x v="24"/>
    <x v="2"/>
    <x v="2"/>
    <x v="1"/>
    <x v="10"/>
    <s v="$10.11"/>
    <s v="Saturday"/>
    <x v="3"/>
    <x v="0"/>
    <b v="1"/>
    <b v="0"/>
    <s v="Standard order"/>
    <n v="0.50549999999999995"/>
    <x v="20"/>
    <n v="70.77"/>
    <m/>
  </r>
  <r>
    <s v="ORD-2017"/>
    <d v="2024-08-20T00:00:00"/>
    <s v="CUST-152"/>
    <x v="20"/>
    <x v="1"/>
    <x v="0"/>
    <x v="4"/>
    <x v="19"/>
    <s v="$81.02"/>
    <s v="Tuesday"/>
    <x v="10"/>
    <x v="0"/>
    <b v="0"/>
    <b v="1"/>
    <s v="Large Order"/>
    <n v="4.0510000000000002"/>
    <x v="11"/>
    <n v="1620.3999999999999"/>
    <m/>
  </r>
  <r>
    <s v="ORD-2018"/>
    <d v="2024-05-22T00:00:00"/>
    <s v="CUST-179"/>
    <x v="11"/>
    <x v="2"/>
    <x v="1"/>
    <x v="0"/>
    <x v="4"/>
    <s v="$33.22"/>
    <s v="Wednesday"/>
    <x v="7"/>
    <x v="0"/>
    <b v="0"/>
    <b v="0"/>
    <s v="Standard order"/>
    <n v="1.661"/>
    <x v="15"/>
    <n v="66.44"/>
    <m/>
  </r>
  <r>
    <s v="ORD-2019"/>
    <d v="2024-11-30T00:00:00"/>
    <s v="CUST-144"/>
    <x v="15"/>
    <x v="0"/>
    <x v="4"/>
    <x v="3"/>
    <x v="16"/>
    <s v="$216.22"/>
    <s v="Saturday"/>
    <x v="0"/>
    <x v="0"/>
    <b v="1"/>
    <b v="1"/>
    <s v="Large Order"/>
    <n v="10.811"/>
    <x v="17"/>
    <n v="4108.18"/>
    <m/>
  </r>
  <r>
    <s v="ORD-2020"/>
    <d v="2024-06-18T00:00:00"/>
    <s v="CUST-111"/>
    <x v="17"/>
    <x v="0"/>
    <x v="0"/>
    <x v="3"/>
    <x v="6"/>
    <s v="$26.59"/>
    <s v="Tuesday"/>
    <x v="9"/>
    <x v="0"/>
    <b v="0"/>
    <b v="0"/>
    <s v="Standard order"/>
    <n v="1.3295000000000001"/>
    <x v="9"/>
    <n v="159.54"/>
    <m/>
  </r>
  <r>
    <s v="ORD-2021"/>
    <d v="2024-11-08T00:00:00"/>
    <s v="CUST-184"/>
    <x v="9"/>
    <x v="2"/>
    <x v="1"/>
    <x v="1"/>
    <x v="15"/>
    <s v="$101.96"/>
    <s v="Friday"/>
    <x v="0"/>
    <x v="0"/>
    <b v="0"/>
    <b v="1"/>
    <s v="Large Order"/>
    <n v="5.0979999999999999"/>
    <x v="21"/>
    <n v="1835.28"/>
    <m/>
  </r>
  <r>
    <s v="ORD-2022"/>
    <d v="2024-10-23T00:00:00"/>
    <s v="CUST-146"/>
    <x v="21"/>
    <x v="0"/>
    <x v="0"/>
    <x v="1"/>
    <x v="8"/>
    <s v="$32.94"/>
    <s v="Wednesday"/>
    <x v="3"/>
    <x v="0"/>
    <b v="0"/>
    <b v="0"/>
    <s v="Standard order"/>
    <n v="1.647"/>
    <x v="8"/>
    <n v="329.4"/>
    <m/>
  </r>
  <r>
    <s v="ORD-2023"/>
    <d v="2024-02-04T00:00:00"/>
    <s v="CUST-197"/>
    <x v="0"/>
    <x v="1"/>
    <x v="1"/>
    <x v="0"/>
    <x v="8"/>
    <s v="$146.06"/>
    <s v="Sunday"/>
    <x v="5"/>
    <x v="0"/>
    <b v="1"/>
    <b v="1"/>
    <s v="Large Order"/>
    <n v="7.3030000000000008"/>
    <x v="17"/>
    <n v="1460.6"/>
    <m/>
  </r>
  <r>
    <s v="ORD-2024"/>
    <d v="2024-12-21T00:00:00"/>
    <s v="CUST-135"/>
    <x v="17"/>
    <x v="1"/>
    <x v="1"/>
    <x v="2"/>
    <x v="18"/>
    <s v="$26.59"/>
    <s v="Saturday"/>
    <x v="1"/>
    <x v="0"/>
    <b v="1"/>
    <b v="0"/>
    <s v="Standard order"/>
    <n v="1.3295000000000001"/>
    <x v="16"/>
    <n v="452.03"/>
    <m/>
  </r>
  <r>
    <s v="ORD-2025"/>
    <d v="2024-11-09T00:00:00"/>
    <s v="CUST-107"/>
    <x v="16"/>
    <x v="0"/>
    <x v="1"/>
    <x v="1"/>
    <x v="18"/>
    <s v="$130.07"/>
    <s v="Saturday"/>
    <x v="0"/>
    <x v="0"/>
    <b v="1"/>
    <b v="1"/>
    <s v="Large Order"/>
    <n v="6.5034999999999998"/>
    <x v="17"/>
    <n v="2211.19"/>
    <m/>
  </r>
  <r>
    <s v="ORD-2026"/>
    <d v="2024-12-18T00:00:00"/>
    <s v="CUST-177"/>
    <x v="17"/>
    <x v="2"/>
    <x v="3"/>
    <x v="3"/>
    <x v="19"/>
    <s v="$26.59"/>
    <s v="Wednesday"/>
    <x v="1"/>
    <x v="0"/>
    <b v="0"/>
    <b v="0"/>
    <s v="Large Order"/>
    <n v="1.3295000000000001"/>
    <x v="0"/>
    <n v="531.79999999999995"/>
    <m/>
  </r>
  <r>
    <s v="ORD-2027"/>
    <d v="2024-09-26T00:00:00"/>
    <s v="CUST-173"/>
    <x v="1"/>
    <x v="2"/>
    <x v="3"/>
    <x v="4"/>
    <x v="19"/>
    <s v="$178.83"/>
    <s v="Thursday"/>
    <x v="11"/>
    <x v="0"/>
    <b v="0"/>
    <b v="1"/>
    <s v="Large Order"/>
    <n v="8.9415000000000013"/>
    <x v="20"/>
    <n v="3576.6000000000004"/>
    <m/>
  </r>
  <r>
    <s v="ORD-2028"/>
    <d v="2024-11-19T00:00:00"/>
    <s v="CUST-163"/>
    <x v="20"/>
    <x v="1"/>
    <x v="4"/>
    <x v="2"/>
    <x v="7"/>
    <s v="$81.02"/>
    <s v="Tuesday"/>
    <x v="0"/>
    <x v="0"/>
    <b v="0"/>
    <b v="0"/>
    <s v="Large Order"/>
    <n v="4.0510000000000002"/>
    <x v="1"/>
    <n v="648.16"/>
    <m/>
  </r>
  <r>
    <s v="ORD-2029"/>
    <d v="2024-01-01T00:00:00"/>
    <s v="CUST-115"/>
    <x v="2"/>
    <x v="0"/>
    <x v="2"/>
    <x v="2"/>
    <x v="0"/>
    <s v="$88.18"/>
    <s v="Monday"/>
    <x v="6"/>
    <x v="0"/>
    <b v="0"/>
    <b v="0"/>
    <s v="Standard order"/>
    <n v="4.4090000000000007"/>
    <x v="13"/>
    <n v="352.72"/>
    <m/>
  </r>
  <r>
    <s v="ORD-2030"/>
    <d v="2024-11-11T00:00:00"/>
    <s v="CUST-153"/>
    <x v="13"/>
    <x v="1"/>
    <x v="0"/>
    <x v="2"/>
    <x v="5"/>
    <s v="$156.44"/>
    <s v="Monday"/>
    <x v="0"/>
    <x v="0"/>
    <b v="0"/>
    <b v="1"/>
    <s v="Large Order"/>
    <n v="7.8220000000000001"/>
    <x v="2"/>
    <n v="1877.28"/>
    <m/>
  </r>
  <r>
    <s v="ORD-2031"/>
    <d v="2024-01-06T00:00:00"/>
    <s v="CUST-181"/>
    <x v="3"/>
    <x v="0"/>
    <x v="3"/>
    <x v="4"/>
    <x v="13"/>
    <s v="$84.57"/>
    <s v="Saturday"/>
    <x v="6"/>
    <x v="0"/>
    <b v="1"/>
    <b v="0"/>
    <s v="Standard order"/>
    <n v="4.2284999999999995"/>
    <x v="5"/>
    <n v="253.70999999999998"/>
    <m/>
  </r>
  <r>
    <s v="ORD-2032"/>
    <d v="2024-10-08T00:00:00"/>
    <s v="CUST-141"/>
    <x v="6"/>
    <x v="0"/>
    <x v="0"/>
    <x v="4"/>
    <x v="9"/>
    <s v="$86.6"/>
    <s v="Tuesday"/>
    <x v="3"/>
    <x v="0"/>
    <b v="0"/>
    <b v="1"/>
    <s v="Large Order"/>
    <n v="4.33"/>
    <x v="13"/>
    <n v="952.59999999999991"/>
    <m/>
  </r>
  <r>
    <s v="ORD-2033"/>
    <d v="2024-11-11T00:00:00"/>
    <s v="CUST-103"/>
    <x v="13"/>
    <x v="0"/>
    <x v="4"/>
    <x v="1"/>
    <x v="9"/>
    <s v="$156.44"/>
    <s v="Monday"/>
    <x v="0"/>
    <x v="0"/>
    <b v="0"/>
    <b v="1"/>
    <s v="Large Order"/>
    <n v="7.8220000000000001"/>
    <x v="4"/>
    <n v="1720.84"/>
    <m/>
  </r>
  <r>
    <s v="ORD-2034"/>
    <d v="2024-08-30T00:00:00"/>
    <s v="CUST-104"/>
    <x v="5"/>
    <x v="2"/>
    <x v="4"/>
    <x v="4"/>
    <x v="2"/>
    <s v="$64.61"/>
    <s v="Friday"/>
    <x v="10"/>
    <x v="0"/>
    <b v="0"/>
    <b v="0"/>
    <s v="Standard order"/>
    <n v="3.2305000000000001"/>
    <x v="22"/>
    <n v="323.05"/>
    <m/>
  </r>
  <r>
    <s v="ORD-2035"/>
    <d v="2024-06-20T00:00:00"/>
    <s v="CUST-159"/>
    <x v="22"/>
    <x v="1"/>
    <x v="0"/>
    <x v="3"/>
    <x v="8"/>
    <s v="$149.27"/>
    <s v="Thursday"/>
    <x v="9"/>
    <x v="0"/>
    <b v="0"/>
    <b v="1"/>
    <s v="Large Order"/>
    <n v="7.4635000000000007"/>
    <x v="9"/>
    <n v="1492.7"/>
    <m/>
  </r>
  <r>
    <s v="ORD-2036"/>
    <d v="2024-10-11T00:00:00"/>
    <s v="CUST-168"/>
    <x v="9"/>
    <x v="0"/>
    <x v="4"/>
    <x v="3"/>
    <x v="9"/>
    <s v="$101.96"/>
    <s v="Friday"/>
    <x v="3"/>
    <x v="0"/>
    <b v="0"/>
    <b v="1"/>
    <s v="Large Order"/>
    <n v="5.0979999999999999"/>
    <x v="13"/>
    <n v="1121.56"/>
    <m/>
  </r>
  <r>
    <s v="ORD-2037"/>
    <d v="2024-02-03T00:00:00"/>
    <s v="CUST-119"/>
    <x v="13"/>
    <x v="1"/>
    <x v="0"/>
    <x v="2"/>
    <x v="11"/>
    <s v="$156.44"/>
    <s v="Saturday"/>
    <x v="5"/>
    <x v="0"/>
    <b v="1"/>
    <b v="1"/>
    <s v="Large Order"/>
    <n v="7.8220000000000001"/>
    <x v="20"/>
    <n v="2033.72"/>
    <m/>
  </r>
  <r>
    <s v="ORD-2038"/>
    <d v="2024-10-19T00:00:00"/>
    <s v="CUST-177"/>
    <x v="20"/>
    <x v="1"/>
    <x v="4"/>
    <x v="3"/>
    <x v="0"/>
    <s v="$81.02"/>
    <s v="Saturday"/>
    <x v="3"/>
    <x v="0"/>
    <b v="1"/>
    <b v="0"/>
    <s v="Standard order"/>
    <n v="4.0510000000000002"/>
    <x v="2"/>
    <n v="324.08"/>
    <m/>
  </r>
  <r>
    <s v="ORD-2039"/>
    <d v="2024-12-27T00:00:00"/>
    <s v="CUST-140"/>
    <x v="3"/>
    <x v="2"/>
    <x v="0"/>
    <x v="2"/>
    <x v="3"/>
    <s v="$84.57"/>
    <s v="Friday"/>
    <x v="1"/>
    <x v="0"/>
    <b v="0"/>
    <b v="1"/>
    <s v="Large Order"/>
    <n v="4.2284999999999995"/>
    <x v="22"/>
    <n v="1183.98"/>
    <m/>
  </r>
  <r>
    <s v="ORD-2040"/>
    <d v="2024-07-09T00:00:00"/>
    <s v="CUST-157"/>
    <x v="22"/>
    <x v="1"/>
    <x v="4"/>
    <x v="3"/>
    <x v="8"/>
    <s v="$149.27"/>
    <s v="Tuesday"/>
    <x v="8"/>
    <x v="0"/>
    <b v="0"/>
    <b v="1"/>
    <s v="Large Order"/>
    <n v="7.4635000000000007"/>
    <x v="12"/>
    <n v="1492.7"/>
    <m/>
  </r>
  <r>
    <s v="ORD-2041"/>
    <d v="2024-01-20T00:00:00"/>
    <s v="CUST-199"/>
    <x v="12"/>
    <x v="0"/>
    <x v="0"/>
    <x v="1"/>
    <x v="18"/>
    <s v="$211.9"/>
    <s v="Saturday"/>
    <x v="6"/>
    <x v="0"/>
    <b v="1"/>
    <b v="1"/>
    <s v="Large Order"/>
    <n v="10.595000000000001"/>
    <x v="4"/>
    <n v="3602.3"/>
    <m/>
  </r>
  <r>
    <s v="ORD-2042"/>
    <d v="2024-09-13T00:00:00"/>
    <s v="CUST-119"/>
    <x v="5"/>
    <x v="0"/>
    <x v="3"/>
    <x v="3"/>
    <x v="18"/>
    <s v="$64.61"/>
    <s v="Friday"/>
    <x v="11"/>
    <x v="0"/>
    <b v="0"/>
    <b v="1"/>
    <s v="Large Order"/>
    <n v="3.2305000000000001"/>
    <x v="5"/>
    <n v="1098.3699999999999"/>
    <m/>
  </r>
  <r>
    <s v="ORD-2043"/>
    <d v="2024-03-14T00:00:00"/>
    <s v="CUST-198"/>
    <x v="6"/>
    <x v="0"/>
    <x v="1"/>
    <x v="0"/>
    <x v="2"/>
    <s v="$86.6"/>
    <s v="Thursday"/>
    <x v="4"/>
    <x v="0"/>
    <b v="0"/>
    <b v="0"/>
    <s v="Standard order"/>
    <n v="4.33"/>
    <x v="19"/>
    <n v="433"/>
    <m/>
  </r>
  <r>
    <s v="ORD-2044"/>
    <d v="2024-08-23T00:00:00"/>
    <s v="CUST-149"/>
    <x v="19"/>
    <x v="2"/>
    <x v="1"/>
    <x v="0"/>
    <x v="1"/>
    <s v="$145.48"/>
    <s v="Friday"/>
    <x v="10"/>
    <x v="0"/>
    <b v="0"/>
    <b v="0"/>
    <s v="Standard order"/>
    <n v="7.274"/>
    <x v="12"/>
    <n v="145.47999999999999"/>
    <m/>
  </r>
  <r>
    <s v="ORD-2045"/>
    <d v="2024-12-17T00:00:00"/>
    <s v="CUST-176"/>
    <x v="12"/>
    <x v="0"/>
    <x v="3"/>
    <x v="3"/>
    <x v="4"/>
    <s v="$211.9"/>
    <s v="Tuesday"/>
    <x v="1"/>
    <x v="0"/>
    <b v="0"/>
    <b v="0"/>
    <s v="Standard order"/>
    <n v="10.595000000000001"/>
    <x v="13"/>
    <n v="423.8"/>
    <m/>
  </r>
  <r>
    <s v="ORD-2046"/>
    <d v="2024-01-12T00:00:00"/>
    <s v="CUST-173"/>
    <x v="13"/>
    <x v="1"/>
    <x v="4"/>
    <x v="3"/>
    <x v="10"/>
    <s v="$156.44"/>
    <s v="Friday"/>
    <x v="6"/>
    <x v="0"/>
    <b v="0"/>
    <b v="1"/>
    <s v="Large Order"/>
    <n v="7.8220000000000001"/>
    <x v="2"/>
    <n v="1095.08"/>
    <m/>
  </r>
  <r>
    <s v="ORD-2047"/>
    <d v="2024-09-29T00:00:00"/>
    <s v="CUST-140"/>
    <x v="3"/>
    <x v="1"/>
    <x v="0"/>
    <x v="0"/>
    <x v="2"/>
    <s v="$84.57"/>
    <s v="Sunday"/>
    <x v="11"/>
    <x v="0"/>
    <b v="1"/>
    <b v="0"/>
    <s v="Standard order"/>
    <n v="4.2284999999999995"/>
    <x v="19"/>
    <n v="422.84999999999997"/>
    <m/>
  </r>
  <r>
    <s v="ORD-2048"/>
    <d v="2024-01-08T00:00:00"/>
    <s v="CUST-179"/>
    <x v="19"/>
    <x v="2"/>
    <x v="1"/>
    <x v="4"/>
    <x v="10"/>
    <s v="$145.48"/>
    <s v="Monday"/>
    <x v="6"/>
    <x v="0"/>
    <b v="0"/>
    <b v="1"/>
    <s v="Large Order"/>
    <n v="7.274"/>
    <x v="9"/>
    <n v="1018.3599999999999"/>
    <m/>
  </r>
  <r>
    <s v="ORD-2049"/>
    <d v="2024-06-12T00:00:00"/>
    <s v="CUST-134"/>
    <x v="9"/>
    <x v="0"/>
    <x v="3"/>
    <x v="3"/>
    <x v="7"/>
    <s v="$101.96"/>
    <s v="Wednesday"/>
    <x v="9"/>
    <x v="0"/>
    <b v="0"/>
    <b v="1"/>
    <s v="Large Order"/>
    <n v="5.0979999999999999"/>
    <x v="15"/>
    <n v="815.68"/>
    <m/>
  </r>
  <r>
    <s v="ORD-2050"/>
    <d v="2024-11-09T00:00:00"/>
    <s v="CUST-143"/>
    <x v="15"/>
    <x v="2"/>
    <x v="2"/>
    <x v="0"/>
    <x v="2"/>
    <s v="$216.22"/>
    <s v="Saturday"/>
    <x v="0"/>
    <x v="0"/>
    <b v="1"/>
    <b v="0"/>
    <s v="Large Order"/>
    <n v="10.811"/>
    <x v="17"/>
    <n v="1081.0999999999999"/>
    <m/>
  </r>
  <r>
    <s v="ORD-2051"/>
    <d v="2024-02-24T00:00:00"/>
    <s v="CUST-149"/>
    <x v="17"/>
    <x v="0"/>
    <x v="0"/>
    <x v="4"/>
    <x v="11"/>
    <s v="$26.59"/>
    <s v="Saturday"/>
    <x v="5"/>
    <x v="0"/>
    <b v="1"/>
    <b v="0"/>
    <s v="Standard order"/>
    <n v="1.3295000000000001"/>
    <x v="20"/>
    <n v="345.67"/>
    <m/>
  </r>
  <r>
    <s v="ORD-2052"/>
    <d v="2024-10-30T00:00:00"/>
    <s v="CUST-180"/>
    <x v="20"/>
    <x v="2"/>
    <x v="2"/>
    <x v="2"/>
    <x v="5"/>
    <s v="$81.02"/>
    <s v="Wednesday"/>
    <x v="3"/>
    <x v="0"/>
    <b v="0"/>
    <b v="1"/>
    <s v="Large Order"/>
    <n v="4.0510000000000002"/>
    <x v="9"/>
    <n v="972.24"/>
    <m/>
  </r>
  <r>
    <s v="ORD-2053"/>
    <d v="2024-12-09T00:00:00"/>
    <s v="CUST-168"/>
    <x v="9"/>
    <x v="0"/>
    <x v="2"/>
    <x v="1"/>
    <x v="2"/>
    <s v="$101.96"/>
    <s v="Monday"/>
    <x v="1"/>
    <x v="0"/>
    <b v="0"/>
    <b v="0"/>
    <s v="Large Order"/>
    <n v="5.0979999999999999"/>
    <x v="4"/>
    <n v="509.79999999999995"/>
    <m/>
  </r>
  <r>
    <s v="ORD-2054"/>
    <d v="2024-02-19T00:00:00"/>
    <s v="CUST-158"/>
    <x v="5"/>
    <x v="1"/>
    <x v="2"/>
    <x v="2"/>
    <x v="7"/>
    <s v="$64.61"/>
    <s v="Monday"/>
    <x v="5"/>
    <x v="0"/>
    <b v="0"/>
    <b v="0"/>
    <s v="Large Order"/>
    <n v="3.2305000000000001"/>
    <x v="6"/>
    <n v="516.88"/>
    <m/>
  </r>
  <r>
    <s v="ORD-2055"/>
    <d v="2024-11-11T00:00:00"/>
    <s v="CUST-133"/>
    <x v="7"/>
    <x v="1"/>
    <x v="2"/>
    <x v="3"/>
    <x v="9"/>
    <s v="$107.34"/>
    <s v="Monday"/>
    <x v="0"/>
    <x v="0"/>
    <b v="0"/>
    <b v="1"/>
    <s v="Large Order"/>
    <n v="5.3670000000000009"/>
    <x v="4"/>
    <n v="1180.74"/>
    <m/>
  </r>
  <r>
    <s v="ORD-2056"/>
    <d v="2024-08-20T00:00:00"/>
    <s v="CUST-162"/>
    <x v="5"/>
    <x v="0"/>
    <x v="0"/>
    <x v="1"/>
    <x v="0"/>
    <s v="$64.61"/>
    <s v="Tuesday"/>
    <x v="10"/>
    <x v="0"/>
    <b v="0"/>
    <b v="0"/>
    <s v="Standard order"/>
    <n v="3.2305000000000001"/>
    <x v="9"/>
    <n v="258.44"/>
    <m/>
  </r>
  <r>
    <s v="ORD-2057"/>
    <d v="2024-03-28T00:00:00"/>
    <s v="CUST-136"/>
    <x v="9"/>
    <x v="1"/>
    <x v="1"/>
    <x v="1"/>
    <x v="2"/>
    <s v="$101.96"/>
    <s v="Thursday"/>
    <x v="4"/>
    <x v="0"/>
    <b v="0"/>
    <b v="0"/>
    <s v="Large Order"/>
    <n v="5.0979999999999999"/>
    <x v="14"/>
    <n v="509.79999999999995"/>
    <m/>
  </r>
  <r>
    <s v="ORD-2058"/>
    <d v="2024-02-24T00:00:00"/>
    <s v="CUST-141"/>
    <x v="14"/>
    <x v="2"/>
    <x v="0"/>
    <x v="4"/>
    <x v="15"/>
    <s v="$201.32"/>
    <s v="Saturday"/>
    <x v="5"/>
    <x v="0"/>
    <b v="1"/>
    <b v="1"/>
    <s v="Large Order"/>
    <n v="10.066000000000001"/>
    <x v="23"/>
    <n v="3623.7599999999998"/>
    <m/>
  </r>
  <r>
    <s v="ORD-2059"/>
    <d v="2024-07-30T00:00:00"/>
    <s v="CUST-130"/>
    <x v="23"/>
    <x v="2"/>
    <x v="4"/>
    <x v="1"/>
    <x v="6"/>
    <s v="$133.37"/>
    <s v="Tuesday"/>
    <x v="8"/>
    <x v="0"/>
    <b v="0"/>
    <b v="1"/>
    <s v="Large Order"/>
    <n v="6.6685000000000008"/>
    <x v="17"/>
    <n v="800.22"/>
    <m/>
  </r>
  <r>
    <s v="ORD-2060"/>
    <d v="2024-02-03T00:00:00"/>
    <s v="CUST-143"/>
    <x v="17"/>
    <x v="0"/>
    <x v="1"/>
    <x v="3"/>
    <x v="3"/>
    <s v="$26.59"/>
    <s v="Saturday"/>
    <x v="5"/>
    <x v="0"/>
    <b v="1"/>
    <b v="0"/>
    <s v="Standard order"/>
    <n v="1.3295000000000001"/>
    <x v="5"/>
    <n v="372.26"/>
    <m/>
  </r>
  <r>
    <s v="ORD-2061"/>
    <d v="2024-10-05T00:00:00"/>
    <s v="CUST-188"/>
    <x v="6"/>
    <x v="0"/>
    <x v="4"/>
    <x v="4"/>
    <x v="13"/>
    <s v="$86.6"/>
    <s v="Saturday"/>
    <x v="3"/>
    <x v="0"/>
    <b v="1"/>
    <b v="0"/>
    <s v="Standard order"/>
    <n v="4.33"/>
    <x v="12"/>
    <n v="259.79999999999995"/>
    <m/>
  </r>
  <r>
    <s v="ORD-2062"/>
    <d v="2024-09-06T00:00:00"/>
    <s v="CUST-114"/>
    <x v="12"/>
    <x v="2"/>
    <x v="1"/>
    <x v="1"/>
    <x v="9"/>
    <s v="$211.9"/>
    <s v="Friday"/>
    <x v="11"/>
    <x v="0"/>
    <b v="0"/>
    <b v="1"/>
    <s v="Large Order"/>
    <n v="10.595000000000001"/>
    <x v="20"/>
    <n v="2330.9"/>
    <m/>
  </r>
  <r>
    <s v="ORD-2063"/>
    <d v="2024-03-31T00:00:00"/>
    <s v="CUST-139"/>
    <x v="20"/>
    <x v="1"/>
    <x v="0"/>
    <x v="4"/>
    <x v="0"/>
    <s v="$81.02"/>
    <s v="Sunday"/>
    <x v="4"/>
    <x v="0"/>
    <b v="1"/>
    <b v="0"/>
    <s v="Standard order"/>
    <n v="4.0510000000000002"/>
    <x v="8"/>
    <n v="324.08"/>
    <m/>
  </r>
  <r>
    <s v="ORD-2064"/>
    <d v="2024-07-13T00:00:00"/>
    <s v="CUST-141"/>
    <x v="0"/>
    <x v="1"/>
    <x v="0"/>
    <x v="4"/>
    <x v="10"/>
    <s v="$146.06"/>
    <s v="Saturday"/>
    <x v="8"/>
    <x v="0"/>
    <b v="1"/>
    <b v="1"/>
    <s v="Large Order"/>
    <n v="7.3030000000000008"/>
    <x v="12"/>
    <n v="1022.4200000000001"/>
    <m/>
  </r>
  <r>
    <s v="ORD-2065"/>
    <d v="2024-11-21T00:00:00"/>
    <s v="CUST-100"/>
    <x v="12"/>
    <x v="0"/>
    <x v="4"/>
    <x v="4"/>
    <x v="15"/>
    <s v="$211.9"/>
    <s v="Thursday"/>
    <x v="0"/>
    <x v="0"/>
    <b v="0"/>
    <b v="1"/>
    <s v="Large Order"/>
    <n v="10.595000000000001"/>
    <x v="5"/>
    <n v="3814.2000000000003"/>
    <m/>
  </r>
  <r>
    <s v="ORD-2066"/>
    <d v="2024-10-22T00:00:00"/>
    <s v="CUST-157"/>
    <x v="6"/>
    <x v="0"/>
    <x v="4"/>
    <x v="3"/>
    <x v="9"/>
    <s v="$86.6"/>
    <s v="Tuesday"/>
    <x v="3"/>
    <x v="0"/>
    <b v="0"/>
    <b v="1"/>
    <s v="Large Order"/>
    <n v="4.33"/>
    <x v="9"/>
    <n v="952.59999999999991"/>
    <m/>
  </r>
  <r>
    <s v="ORD-2067"/>
    <d v="2024-08-10T00:00:00"/>
    <s v="CUST-191"/>
    <x v="9"/>
    <x v="1"/>
    <x v="0"/>
    <x v="4"/>
    <x v="1"/>
    <s v="$101.96"/>
    <s v="Saturday"/>
    <x v="10"/>
    <x v="0"/>
    <b v="1"/>
    <b v="0"/>
    <s v="Standard order"/>
    <n v="5.0979999999999999"/>
    <x v="7"/>
    <n v="101.96"/>
    <m/>
  </r>
  <r>
    <s v="ORD-2068"/>
    <d v="2024-07-25T00:00:00"/>
    <s v="CUST-116"/>
    <x v="8"/>
    <x v="1"/>
    <x v="0"/>
    <x v="0"/>
    <x v="15"/>
    <s v="$208.85"/>
    <s v="Thursday"/>
    <x v="8"/>
    <x v="0"/>
    <b v="0"/>
    <b v="1"/>
    <s v="Large Order"/>
    <n v="10.442500000000001"/>
    <x v="14"/>
    <n v="3759.2999999999997"/>
    <m/>
  </r>
  <r>
    <s v="ORD-2069"/>
    <d v="2024-12-26T00:00:00"/>
    <s v="CUST-171"/>
    <x v="14"/>
    <x v="1"/>
    <x v="0"/>
    <x v="4"/>
    <x v="1"/>
    <s v="$201.32"/>
    <s v="Thursday"/>
    <x v="1"/>
    <x v="0"/>
    <b v="0"/>
    <b v="0"/>
    <s v="Standard order"/>
    <n v="10.066000000000001"/>
    <x v="3"/>
    <n v="201.32"/>
    <m/>
  </r>
  <r>
    <s v="ORD-2070"/>
    <d v="2024-07-20T00:00:00"/>
    <s v="CUST-180"/>
    <x v="4"/>
    <x v="1"/>
    <x v="2"/>
    <x v="2"/>
    <x v="11"/>
    <s v="$230.34"/>
    <s v="Saturday"/>
    <x v="8"/>
    <x v="0"/>
    <b v="1"/>
    <b v="1"/>
    <s v="Large Order"/>
    <n v="11.517000000000001"/>
    <x v="11"/>
    <n v="2994.42"/>
    <m/>
  </r>
  <r>
    <s v="ORD-2071"/>
    <d v="2024-12-05T00:00:00"/>
    <s v="CUST-122"/>
    <x v="11"/>
    <x v="1"/>
    <x v="4"/>
    <x v="3"/>
    <x v="15"/>
    <s v="$33.22"/>
    <s v="Thursday"/>
    <x v="1"/>
    <x v="0"/>
    <b v="0"/>
    <b v="0"/>
    <s v="Large Order"/>
    <n v="1.661"/>
    <x v="0"/>
    <n v="597.96"/>
    <m/>
  </r>
  <r>
    <s v="ORD-2072"/>
    <d v="2024-08-01T00:00:00"/>
    <s v="CUST-119"/>
    <x v="1"/>
    <x v="1"/>
    <x v="4"/>
    <x v="0"/>
    <x v="1"/>
    <s v="$178.83"/>
    <s v="Thursday"/>
    <x v="10"/>
    <x v="0"/>
    <b v="0"/>
    <b v="0"/>
    <s v="Standard order"/>
    <n v="8.9415000000000013"/>
    <x v="0"/>
    <n v="178.83"/>
    <m/>
  </r>
  <r>
    <s v="ORD-2073"/>
    <d v="2024-03-14T00:00:00"/>
    <s v="CUST-192"/>
    <x v="1"/>
    <x v="1"/>
    <x v="2"/>
    <x v="1"/>
    <x v="13"/>
    <s v="$178.83"/>
    <s v="Thursday"/>
    <x v="4"/>
    <x v="0"/>
    <b v="0"/>
    <b v="0"/>
    <s v="Large Order"/>
    <n v="8.9415000000000013"/>
    <x v="17"/>
    <n v="536.49"/>
    <m/>
  </r>
  <r>
    <s v="ORD-2074"/>
    <d v="2024-08-21T00:00:00"/>
    <s v="CUST-200"/>
    <x v="17"/>
    <x v="2"/>
    <x v="1"/>
    <x v="4"/>
    <x v="19"/>
    <s v="$26.59"/>
    <s v="Wednesday"/>
    <x v="10"/>
    <x v="0"/>
    <b v="0"/>
    <b v="0"/>
    <s v="Large Order"/>
    <n v="1.3295000000000001"/>
    <x v="7"/>
    <n v="531.79999999999995"/>
    <m/>
  </r>
  <r>
    <s v="ORD-2075"/>
    <d v="2024-08-05T00:00:00"/>
    <s v="CUST-170"/>
    <x v="8"/>
    <x v="1"/>
    <x v="2"/>
    <x v="4"/>
    <x v="7"/>
    <s v="$208.85"/>
    <s v="Monday"/>
    <x v="10"/>
    <x v="0"/>
    <b v="0"/>
    <b v="1"/>
    <s v="Large Order"/>
    <n v="10.442500000000001"/>
    <x v="10"/>
    <n v="1670.8"/>
    <m/>
  </r>
  <r>
    <s v="ORD-2076"/>
    <d v="2024-01-04T00:00:00"/>
    <s v="CUST-173"/>
    <x v="10"/>
    <x v="1"/>
    <x v="4"/>
    <x v="4"/>
    <x v="18"/>
    <s v="$46.19"/>
    <s v="Thursday"/>
    <x v="6"/>
    <x v="0"/>
    <b v="0"/>
    <b v="1"/>
    <s v="Large Order"/>
    <n v="2.3094999999999999"/>
    <x v="9"/>
    <n v="785.23"/>
    <m/>
  </r>
  <r>
    <s v="ORD-2077"/>
    <d v="2024-10-22T00:00:00"/>
    <s v="CUST-146"/>
    <x v="9"/>
    <x v="0"/>
    <x v="0"/>
    <x v="0"/>
    <x v="17"/>
    <s v="$101.96"/>
    <s v="Tuesday"/>
    <x v="3"/>
    <x v="0"/>
    <b v="0"/>
    <b v="1"/>
    <s v="Large Order"/>
    <n v="5.0979999999999999"/>
    <x v="0"/>
    <n v="1631.36"/>
    <m/>
  </r>
  <r>
    <s v="ORD-2078"/>
    <d v="2024-10-24T00:00:00"/>
    <s v="CUST-161"/>
    <x v="1"/>
    <x v="2"/>
    <x v="0"/>
    <x v="3"/>
    <x v="18"/>
    <s v="$178.83"/>
    <s v="Thursday"/>
    <x v="3"/>
    <x v="0"/>
    <b v="0"/>
    <b v="1"/>
    <s v="Large Order"/>
    <n v="8.9415000000000013"/>
    <x v="20"/>
    <n v="3040.11"/>
    <m/>
  </r>
  <r>
    <s v="ORD-2079"/>
    <d v="2024-08-26T00:00:00"/>
    <s v="CUST-166"/>
    <x v="20"/>
    <x v="0"/>
    <x v="1"/>
    <x v="0"/>
    <x v="13"/>
    <s v="$81.02"/>
    <s v="Monday"/>
    <x v="10"/>
    <x v="0"/>
    <b v="0"/>
    <b v="0"/>
    <s v="Standard order"/>
    <n v="4.0510000000000002"/>
    <x v="14"/>
    <n v="243.06"/>
    <m/>
  </r>
  <r>
    <s v="ORD-2080"/>
    <d v="2024-12-16T00:00:00"/>
    <s v="CUST-181"/>
    <x v="14"/>
    <x v="2"/>
    <x v="1"/>
    <x v="3"/>
    <x v="19"/>
    <s v="$201.32"/>
    <s v="Monday"/>
    <x v="1"/>
    <x v="0"/>
    <b v="0"/>
    <b v="1"/>
    <s v="Large Order"/>
    <n v="10.066000000000001"/>
    <x v="12"/>
    <n v="4026.3999999999996"/>
    <m/>
  </r>
  <r>
    <s v="ORD-2081"/>
    <d v="2024-09-30T00:00:00"/>
    <s v="CUST-199"/>
    <x v="12"/>
    <x v="0"/>
    <x v="2"/>
    <x v="4"/>
    <x v="18"/>
    <s v="$211.9"/>
    <s v="Monday"/>
    <x v="11"/>
    <x v="0"/>
    <b v="0"/>
    <b v="1"/>
    <s v="Large Order"/>
    <n v="10.595000000000001"/>
    <x v="14"/>
    <n v="3602.3"/>
    <m/>
  </r>
  <r>
    <s v="ORD-2082"/>
    <d v="2024-06-18T00:00:00"/>
    <s v="CUST-153"/>
    <x v="14"/>
    <x v="1"/>
    <x v="3"/>
    <x v="4"/>
    <x v="6"/>
    <s v="$201.32"/>
    <s v="Tuesday"/>
    <x v="9"/>
    <x v="0"/>
    <b v="0"/>
    <b v="1"/>
    <s v="Large Order"/>
    <n v="10.066000000000001"/>
    <x v="15"/>
    <n v="1207.92"/>
    <m/>
  </r>
  <r>
    <s v="ORD-2083"/>
    <d v="2024-06-04T00:00:00"/>
    <s v="CUST-193"/>
    <x v="15"/>
    <x v="2"/>
    <x v="3"/>
    <x v="4"/>
    <x v="17"/>
    <s v="$216.22"/>
    <s v="Tuesday"/>
    <x v="9"/>
    <x v="0"/>
    <b v="0"/>
    <b v="1"/>
    <s v="Large Order"/>
    <n v="10.811"/>
    <x v="18"/>
    <n v="3459.52"/>
    <m/>
  </r>
  <r>
    <s v="ORD-2084"/>
    <d v="2024-01-27T00:00:00"/>
    <s v="CUST-184"/>
    <x v="18"/>
    <x v="1"/>
    <x v="1"/>
    <x v="2"/>
    <x v="8"/>
    <s v="$230.68"/>
    <s v="Saturday"/>
    <x v="6"/>
    <x v="0"/>
    <b v="1"/>
    <b v="1"/>
    <s v="Large Order"/>
    <n v="11.534000000000001"/>
    <x v="0"/>
    <n v="2306.8000000000002"/>
    <m/>
  </r>
  <r>
    <s v="ORD-2085"/>
    <d v="2024-09-15T00:00:00"/>
    <s v="CUST-109"/>
    <x v="1"/>
    <x v="1"/>
    <x v="3"/>
    <x v="3"/>
    <x v="19"/>
    <s v="$178.83"/>
    <s v="Sunday"/>
    <x v="11"/>
    <x v="0"/>
    <b v="1"/>
    <b v="1"/>
    <s v="Large Order"/>
    <n v="8.9415000000000013"/>
    <x v="6"/>
    <n v="3576.6000000000004"/>
    <m/>
  </r>
  <r>
    <s v="ORD-2086"/>
    <d v="2024-01-08T00:00:00"/>
    <s v="CUST-194"/>
    <x v="7"/>
    <x v="0"/>
    <x v="1"/>
    <x v="1"/>
    <x v="16"/>
    <s v="$107.34"/>
    <s v="Monday"/>
    <x v="6"/>
    <x v="0"/>
    <b v="0"/>
    <b v="1"/>
    <s v="Large Order"/>
    <n v="5.3670000000000009"/>
    <x v="4"/>
    <n v="2039.46"/>
    <m/>
  </r>
  <r>
    <s v="ORD-2087"/>
    <d v="2024-07-08T00:00:00"/>
    <s v="CUST-122"/>
    <x v="5"/>
    <x v="1"/>
    <x v="4"/>
    <x v="0"/>
    <x v="6"/>
    <s v="$64.61"/>
    <s v="Monday"/>
    <x v="8"/>
    <x v="0"/>
    <b v="0"/>
    <b v="0"/>
    <s v="Standard order"/>
    <n v="3.2305000000000001"/>
    <x v="0"/>
    <n v="387.65999999999997"/>
    <m/>
  </r>
  <r>
    <s v="ORD-2088"/>
    <d v="2024-06-24T00:00:00"/>
    <s v="CUST-110"/>
    <x v="1"/>
    <x v="0"/>
    <x v="1"/>
    <x v="1"/>
    <x v="17"/>
    <s v="$178.83"/>
    <s v="Monday"/>
    <x v="9"/>
    <x v="0"/>
    <b v="0"/>
    <b v="1"/>
    <s v="Large Order"/>
    <n v="8.9415000000000013"/>
    <x v="16"/>
    <n v="2861.28"/>
    <m/>
  </r>
  <r>
    <s v="ORD-2089"/>
    <d v="2024-07-15T00:00:00"/>
    <s v="CUST-130"/>
    <x v="16"/>
    <x v="2"/>
    <x v="2"/>
    <x v="3"/>
    <x v="6"/>
    <s v="$130.07"/>
    <s v="Monday"/>
    <x v="8"/>
    <x v="0"/>
    <b v="0"/>
    <b v="1"/>
    <s v="Large Order"/>
    <n v="6.5034999999999998"/>
    <x v="15"/>
    <n v="780.42"/>
    <m/>
  </r>
  <r>
    <s v="ORD-2090"/>
    <d v="2024-01-28T00:00:00"/>
    <s v="CUST-182"/>
    <x v="15"/>
    <x v="1"/>
    <x v="0"/>
    <x v="1"/>
    <x v="6"/>
    <s v="$216.22"/>
    <s v="Sunday"/>
    <x v="6"/>
    <x v="0"/>
    <b v="1"/>
    <b v="1"/>
    <s v="Large Order"/>
    <n v="10.811"/>
    <x v="24"/>
    <n v="1297.32"/>
    <m/>
  </r>
  <r>
    <s v="ORD-2091"/>
    <d v="2024-06-03T00:00:00"/>
    <s v="CUST-160"/>
    <x v="24"/>
    <x v="2"/>
    <x v="1"/>
    <x v="1"/>
    <x v="11"/>
    <s v="$10.11"/>
    <s v="Monday"/>
    <x v="9"/>
    <x v="0"/>
    <b v="0"/>
    <b v="0"/>
    <s v="Standard order"/>
    <n v="0.50549999999999995"/>
    <x v="17"/>
    <n v="131.43"/>
    <m/>
  </r>
  <r>
    <s v="ORD-2092"/>
    <d v="2024-08-30T00:00:00"/>
    <s v="CUST-133"/>
    <x v="17"/>
    <x v="0"/>
    <x v="1"/>
    <x v="1"/>
    <x v="1"/>
    <s v="$26.59"/>
    <s v="Friday"/>
    <x v="10"/>
    <x v="0"/>
    <b v="0"/>
    <b v="0"/>
    <s v="Standard order"/>
    <n v="1.3295000000000001"/>
    <x v="5"/>
    <n v="26.59"/>
    <m/>
  </r>
  <r>
    <s v="ORD-2093"/>
    <d v="2024-07-14T00:00:00"/>
    <s v="CUST-186"/>
    <x v="6"/>
    <x v="1"/>
    <x v="1"/>
    <x v="4"/>
    <x v="4"/>
    <s v="$86.6"/>
    <s v="Sunday"/>
    <x v="8"/>
    <x v="0"/>
    <b v="1"/>
    <b v="0"/>
    <s v="Standard order"/>
    <n v="4.33"/>
    <x v="1"/>
    <n v="173.2"/>
    <m/>
  </r>
  <r>
    <s v="ORD-2094"/>
    <d v="2024-11-22T00:00:00"/>
    <s v="CUST-145"/>
    <x v="2"/>
    <x v="1"/>
    <x v="1"/>
    <x v="3"/>
    <x v="14"/>
    <s v="$88.18"/>
    <s v="Friday"/>
    <x v="0"/>
    <x v="0"/>
    <b v="0"/>
    <b v="1"/>
    <s v="Large Order"/>
    <n v="4.4090000000000007"/>
    <x v="3"/>
    <n v="793.62000000000012"/>
    <m/>
  </r>
  <r>
    <s v="ORD-2095"/>
    <d v="2024-02-20T00:00:00"/>
    <s v="CUST-132"/>
    <x v="4"/>
    <x v="2"/>
    <x v="1"/>
    <x v="2"/>
    <x v="12"/>
    <s v="$230.34"/>
    <s v="Tuesday"/>
    <x v="5"/>
    <x v="0"/>
    <b v="0"/>
    <b v="1"/>
    <s v="Large Order"/>
    <n v="11.517000000000001"/>
    <x v="13"/>
    <n v="3455.1"/>
    <m/>
  </r>
  <r>
    <s v="ORD-2096"/>
    <d v="2024-12-10T00:00:00"/>
    <s v="CUST-175"/>
    <x v="13"/>
    <x v="0"/>
    <x v="1"/>
    <x v="0"/>
    <x v="6"/>
    <s v="$156.44"/>
    <s v="Tuesday"/>
    <x v="1"/>
    <x v="0"/>
    <b v="0"/>
    <b v="1"/>
    <s v="Large Order"/>
    <n v="7.8220000000000001"/>
    <x v="17"/>
    <n v="938.64"/>
    <m/>
  </r>
  <r>
    <s v="ORD-2097"/>
    <d v="2024-12-10T00:00:00"/>
    <s v="CUST-101"/>
    <x v="17"/>
    <x v="0"/>
    <x v="0"/>
    <x v="1"/>
    <x v="0"/>
    <s v="$26.59"/>
    <s v="Tuesday"/>
    <x v="1"/>
    <x v="0"/>
    <b v="0"/>
    <b v="0"/>
    <s v="Standard order"/>
    <n v="1.3295000000000001"/>
    <x v="2"/>
    <n v="106.36"/>
    <m/>
  </r>
  <r>
    <s v="ORD-2098"/>
    <d v="2024-06-28T00:00:00"/>
    <s v="CUST-128"/>
    <x v="3"/>
    <x v="2"/>
    <x v="3"/>
    <x v="4"/>
    <x v="10"/>
    <s v="$84.57"/>
    <s v="Friday"/>
    <x v="9"/>
    <x v="0"/>
    <b v="0"/>
    <b v="0"/>
    <s v="Large Order"/>
    <n v="4.2284999999999995"/>
    <x v="20"/>
    <n v="591.99"/>
    <m/>
  </r>
  <r>
    <s v="ORD-2099"/>
    <d v="2024-02-17T00:00:00"/>
    <s v="CUST-107"/>
    <x v="20"/>
    <x v="2"/>
    <x v="4"/>
    <x v="0"/>
    <x v="0"/>
    <s v="$81.02"/>
    <s v="Saturday"/>
    <x v="5"/>
    <x v="0"/>
    <b v="1"/>
    <b v="0"/>
    <s v="Standard order"/>
    <n v="4.0510000000000002"/>
    <x v="5"/>
    <n v="324.08"/>
    <m/>
  </r>
  <r>
    <s v="ORD-2100"/>
    <d v="2024-02-14T00:00:00"/>
    <s v="CUST-177"/>
    <x v="6"/>
    <x v="0"/>
    <x v="2"/>
    <x v="2"/>
    <x v="16"/>
    <s v="$86.6"/>
    <s v="Wednesday"/>
    <x v="5"/>
    <x v="0"/>
    <b v="0"/>
    <b v="1"/>
    <s v="Large Order"/>
    <n v="4.33"/>
    <x v="14"/>
    <n v="1645.3999999999999"/>
    <m/>
  </r>
  <r>
    <s v="ORD-2101"/>
    <d v="2024-02-26T00:00:00"/>
    <s v="CUST-189"/>
    <x v="14"/>
    <x v="0"/>
    <x v="3"/>
    <x v="0"/>
    <x v="12"/>
    <s v="$201.32"/>
    <s v="Monday"/>
    <x v="5"/>
    <x v="0"/>
    <b v="0"/>
    <b v="1"/>
    <s v="Large Order"/>
    <n v="10.066000000000001"/>
    <x v="10"/>
    <n v="3019.7999999999997"/>
    <m/>
  </r>
  <r>
    <s v="ORD-2102"/>
    <d v="2024-11-23T00:00:00"/>
    <s v="CUST-158"/>
    <x v="10"/>
    <x v="1"/>
    <x v="2"/>
    <x v="0"/>
    <x v="9"/>
    <s v="$46.19"/>
    <s v="Saturday"/>
    <x v="0"/>
    <x v="0"/>
    <b v="1"/>
    <b v="0"/>
    <s v="Large Order"/>
    <n v="2.3094999999999999"/>
    <x v="3"/>
    <n v="508.09"/>
    <m/>
  </r>
  <r>
    <s v="ORD-2103"/>
    <d v="2024-05-21T00:00:00"/>
    <s v="CUST-199"/>
    <x v="4"/>
    <x v="0"/>
    <x v="2"/>
    <x v="3"/>
    <x v="9"/>
    <s v="$230.34"/>
    <s v="Tuesday"/>
    <x v="7"/>
    <x v="0"/>
    <b v="0"/>
    <b v="1"/>
    <s v="Large Order"/>
    <n v="11.517000000000001"/>
    <x v="4"/>
    <n v="2533.7400000000002"/>
    <m/>
  </r>
  <r>
    <s v="ORD-2104"/>
    <d v="2024-05-15T00:00:00"/>
    <s v="CUST-122"/>
    <x v="5"/>
    <x v="1"/>
    <x v="0"/>
    <x v="2"/>
    <x v="10"/>
    <s v="$64.61"/>
    <s v="Wednesday"/>
    <x v="7"/>
    <x v="0"/>
    <b v="0"/>
    <b v="0"/>
    <s v="Standard order"/>
    <n v="3.2305000000000001"/>
    <x v="23"/>
    <n v="452.27"/>
    <m/>
  </r>
  <r>
    <s v="ORD-2105"/>
    <d v="2024-11-26T00:00:00"/>
    <s v="CUST-162"/>
    <x v="23"/>
    <x v="0"/>
    <x v="4"/>
    <x v="0"/>
    <x v="3"/>
    <s v="$133.37"/>
    <s v="Tuesday"/>
    <x v="0"/>
    <x v="0"/>
    <b v="0"/>
    <b v="1"/>
    <s v="Large Order"/>
    <n v="6.6685000000000008"/>
    <x v="15"/>
    <n v="1867.18"/>
    <m/>
  </r>
  <r>
    <s v="ORD-2106"/>
    <d v="2024-08-14T00:00:00"/>
    <s v="CUST-191"/>
    <x v="15"/>
    <x v="1"/>
    <x v="0"/>
    <x v="3"/>
    <x v="13"/>
    <s v="$216.22"/>
    <s v="Wednesday"/>
    <x v="10"/>
    <x v="0"/>
    <b v="0"/>
    <b v="0"/>
    <s v="Large Order"/>
    <n v="10.811"/>
    <x v="1"/>
    <n v="648.66"/>
    <m/>
  </r>
  <r>
    <s v="ORD-2107"/>
    <d v="2024-08-16T00:00:00"/>
    <s v="CUST-102"/>
    <x v="2"/>
    <x v="1"/>
    <x v="4"/>
    <x v="1"/>
    <x v="1"/>
    <s v="$88.18"/>
    <s v="Friday"/>
    <x v="10"/>
    <x v="0"/>
    <b v="0"/>
    <b v="0"/>
    <s v="Standard order"/>
    <n v="4.4090000000000007"/>
    <x v="3"/>
    <n v="88.18"/>
    <m/>
  </r>
  <r>
    <s v="ORD-2108"/>
    <d v="2024-05-16T00:00:00"/>
    <s v="CUST-119"/>
    <x v="4"/>
    <x v="2"/>
    <x v="3"/>
    <x v="1"/>
    <x v="16"/>
    <s v="$230.34"/>
    <s v="Thursday"/>
    <x v="7"/>
    <x v="0"/>
    <b v="0"/>
    <b v="1"/>
    <s v="Large Order"/>
    <n v="11.517000000000001"/>
    <x v="23"/>
    <n v="4376.46"/>
    <m/>
  </r>
  <r>
    <s v="ORD-2109"/>
    <d v="2024-09-01T00:00:00"/>
    <s v="CUST-155"/>
    <x v="23"/>
    <x v="1"/>
    <x v="0"/>
    <x v="1"/>
    <x v="7"/>
    <s v="$133.37"/>
    <s v="Sunday"/>
    <x v="11"/>
    <x v="0"/>
    <b v="1"/>
    <b v="1"/>
    <s v="Large Order"/>
    <n v="6.6685000000000008"/>
    <x v="13"/>
    <n v="1066.96"/>
    <m/>
  </r>
  <r>
    <s v="ORD-2110"/>
    <d v="2024-03-03T00:00:00"/>
    <s v="CUST-172"/>
    <x v="13"/>
    <x v="2"/>
    <x v="3"/>
    <x v="0"/>
    <x v="8"/>
    <s v="$156.44"/>
    <s v="Sunday"/>
    <x v="4"/>
    <x v="0"/>
    <b v="1"/>
    <b v="1"/>
    <s v="Large Order"/>
    <n v="7.8220000000000001"/>
    <x v="12"/>
    <n v="1564.4"/>
    <m/>
  </r>
  <r>
    <s v="ORD-2111"/>
    <d v="2024-07-06T00:00:00"/>
    <s v="CUST-168"/>
    <x v="12"/>
    <x v="1"/>
    <x v="0"/>
    <x v="2"/>
    <x v="8"/>
    <s v="$211.9"/>
    <s v="Saturday"/>
    <x v="8"/>
    <x v="0"/>
    <b v="1"/>
    <b v="1"/>
    <s v="Large Order"/>
    <n v="10.595000000000001"/>
    <x v="14"/>
    <n v="2119"/>
    <m/>
  </r>
  <r>
    <s v="ORD-2112"/>
    <d v="2024-10-10T00:00:00"/>
    <s v="CUST-105"/>
    <x v="14"/>
    <x v="1"/>
    <x v="4"/>
    <x v="3"/>
    <x v="11"/>
    <s v="$201.32"/>
    <s v="Thursday"/>
    <x v="3"/>
    <x v="0"/>
    <b v="0"/>
    <b v="1"/>
    <s v="Large Order"/>
    <n v="10.066000000000001"/>
    <x v="16"/>
    <n v="2617.16"/>
    <m/>
  </r>
  <r>
    <s v="ORD-2113"/>
    <d v="2024-09-06T00:00:00"/>
    <s v="CUST-110"/>
    <x v="16"/>
    <x v="2"/>
    <x v="2"/>
    <x v="2"/>
    <x v="10"/>
    <s v="$130.07"/>
    <s v="Friday"/>
    <x v="11"/>
    <x v="0"/>
    <b v="0"/>
    <b v="1"/>
    <s v="Large Order"/>
    <n v="6.5034999999999998"/>
    <x v="4"/>
    <n v="910.49"/>
    <m/>
  </r>
  <r>
    <s v="ORD-2114"/>
    <d v="2024-01-13T00:00:00"/>
    <s v="CUST-192"/>
    <x v="5"/>
    <x v="2"/>
    <x v="4"/>
    <x v="4"/>
    <x v="11"/>
    <s v="$64.61"/>
    <s v="Saturday"/>
    <x v="6"/>
    <x v="0"/>
    <b v="1"/>
    <b v="1"/>
    <s v="Large Order"/>
    <n v="3.2305000000000001"/>
    <x v="12"/>
    <n v="839.93"/>
    <m/>
  </r>
  <r>
    <s v="ORD-2115"/>
    <d v="2024-11-25T00:00:00"/>
    <s v="CUST-139"/>
    <x v="12"/>
    <x v="1"/>
    <x v="1"/>
    <x v="0"/>
    <x v="1"/>
    <s v="$211.9"/>
    <s v="Monday"/>
    <x v="0"/>
    <x v="0"/>
    <b v="0"/>
    <b v="0"/>
    <s v="Standard order"/>
    <n v="10.595000000000001"/>
    <x v="3"/>
    <n v="211.9"/>
    <m/>
  </r>
  <r>
    <s v="ORD-2116"/>
    <d v="2024-06-21T00:00:00"/>
    <s v="CUST-200"/>
    <x v="4"/>
    <x v="2"/>
    <x v="0"/>
    <x v="4"/>
    <x v="0"/>
    <s v="$230.34"/>
    <s v="Friday"/>
    <x v="9"/>
    <x v="0"/>
    <b v="0"/>
    <b v="0"/>
    <s v="Large Order"/>
    <n v="11.517000000000001"/>
    <x v="16"/>
    <n v="921.36"/>
    <m/>
  </r>
  <r>
    <s v="ORD-2117"/>
    <d v="2024-08-22T00:00:00"/>
    <s v="CUST-186"/>
    <x v="16"/>
    <x v="2"/>
    <x v="4"/>
    <x v="0"/>
    <x v="16"/>
    <s v="$130.07"/>
    <s v="Thursday"/>
    <x v="10"/>
    <x v="0"/>
    <b v="0"/>
    <b v="1"/>
    <s v="Large Order"/>
    <n v="6.5034999999999998"/>
    <x v="1"/>
    <n v="2471.33"/>
    <m/>
  </r>
  <r>
    <s v="ORD-2118"/>
    <d v="2024-01-19T00:00:00"/>
    <s v="CUST-194"/>
    <x v="2"/>
    <x v="0"/>
    <x v="2"/>
    <x v="4"/>
    <x v="1"/>
    <s v="$88.18"/>
    <s v="Friday"/>
    <x v="6"/>
    <x v="0"/>
    <b v="0"/>
    <b v="0"/>
    <s v="Standard order"/>
    <n v="4.4090000000000007"/>
    <x v="18"/>
    <n v="88.18"/>
    <m/>
  </r>
  <r>
    <s v="ORD-2119"/>
    <d v="2024-01-24T00:00:00"/>
    <s v="CUST-131"/>
    <x v="18"/>
    <x v="2"/>
    <x v="4"/>
    <x v="3"/>
    <x v="6"/>
    <s v="$230.68"/>
    <s v="Wednesday"/>
    <x v="6"/>
    <x v="0"/>
    <b v="0"/>
    <b v="1"/>
    <s v="Large Order"/>
    <n v="11.534000000000001"/>
    <x v="9"/>
    <n v="1384.08"/>
    <m/>
  </r>
  <r>
    <s v="ORD-2120"/>
    <d v="2024-02-19T00:00:00"/>
    <s v="CUST-158"/>
    <x v="9"/>
    <x v="2"/>
    <x v="4"/>
    <x v="0"/>
    <x v="13"/>
    <s v="$101.96"/>
    <s v="Monday"/>
    <x v="5"/>
    <x v="0"/>
    <b v="0"/>
    <b v="0"/>
    <s v="Standard order"/>
    <n v="5.0979999999999999"/>
    <x v="24"/>
    <n v="305.88"/>
    <m/>
  </r>
  <r>
    <s v="ORD-2121"/>
    <d v="2024-02-28T00:00:00"/>
    <s v="CUST-163"/>
    <x v="24"/>
    <x v="2"/>
    <x v="1"/>
    <x v="1"/>
    <x v="13"/>
    <s v="$10.11"/>
    <s v="Wednesday"/>
    <x v="5"/>
    <x v="0"/>
    <b v="0"/>
    <b v="0"/>
    <s v="Standard order"/>
    <n v="0.50549999999999995"/>
    <x v="13"/>
    <n v="30.33"/>
    <m/>
  </r>
  <r>
    <s v="ORD-2122"/>
    <d v="2024-06-21T00:00:00"/>
    <s v="CUST-194"/>
    <x v="13"/>
    <x v="2"/>
    <x v="2"/>
    <x v="4"/>
    <x v="0"/>
    <s v="$156.44"/>
    <s v="Friday"/>
    <x v="9"/>
    <x v="0"/>
    <b v="0"/>
    <b v="0"/>
    <s v="Large Order"/>
    <n v="7.8220000000000001"/>
    <x v="21"/>
    <n v="625.76"/>
    <m/>
  </r>
  <r>
    <s v="ORD-2123"/>
    <d v="2024-10-06T00:00:00"/>
    <s v="CUST-117"/>
    <x v="21"/>
    <x v="1"/>
    <x v="4"/>
    <x v="3"/>
    <x v="4"/>
    <s v="$32.94"/>
    <s v="Sunday"/>
    <x v="3"/>
    <x v="0"/>
    <b v="1"/>
    <b v="0"/>
    <s v="Standard order"/>
    <n v="1.647"/>
    <x v="21"/>
    <n v="65.88"/>
    <m/>
  </r>
  <r>
    <s v="ORD-2124"/>
    <d v="2024-02-02T00:00:00"/>
    <s v="CUST-115"/>
    <x v="21"/>
    <x v="1"/>
    <x v="4"/>
    <x v="3"/>
    <x v="3"/>
    <s v="$32.94"/>
    <s v="Friday"/>
    <x v="5"/>
    <x v="0"/>
    <b v="0"/>
    <b v="0"/>
    <s v="Standard order"/>
    <n v="1.647"/>
    <x v="9"/>
    <n v="461.15999999999997"/>
    <m/>
  </r>
  <r>
    <s v="ORD-2125"/>
    <d v="2024-10-10T00:00:00"/>
    <s v="CUST-121"/>
    <x v="9"/>
    <x v="1"/>
    <x v="4"/>
    <x v="4"/>
    <x v="4"/>
    <s v="$101.96"/>
    <s v="Thursday"/>
    <x v="3"/>
    <x v="0"/>
    <b v="0"/>
    <b v="0"/>
    <s v="Standard order"/>
    <n v="5.0979999999999999"/>
    <x v="4"/>
    <n v="203.92"/>
    <m/>
  </r>
  <r>
    <s v="ORD-2126"/>
    <d v="2024-07-11T00:00:00"/>
    <s v="CUST-199"/>
    <x v="5"/>
    <x v="0"/>
    <x v="0"/>
    <x v="2"/>
    <x v="13"/>
    <s v="$64.61"/>
    <s v="Thursday"/>
    <x v="8"/>
    <x v="0"/>
    <b v="0"/>
    <b v="0"/>
    <s v="Standard order"/>
    <n v="3.2305000000000001"/>
    <x v="14"/>
    <n v="193.82999999999998"/>
    <m/>
  </r>
  <r>
    <s v="ORD-2127"/>
    <d v="2024-02-15T00:00:00"/>
    <s v="CUST-190"/>
    <x v="14"/>
    <x v="2"/>
    <x v="1"/>
    <x v="1"/>
    <x v="3"/>
    <s v="$201.32"/>
    <s v="Thursday"/>
    <x v="5"/>
    <x v="0"/>
    <b v="0"/>
    <b v="1"/>
    <s v="Large Order"/>
    <n v="10.066000000000001"/>
    <x v="1"/>
    <n v="2818.48"/>
    <m/>
  </r>
  <r>
    <s v="ORD-2128"/>
    <d v="2024-12-20T00:00:00"/>
    <s v="CUST-116"/>
    <x v="2"/>
    <x v="0"/>
    <x v="4"/>
    <x v="1"/>
    <x v="14"/>
    <s v="$88.18"/>
    <s v="Friday"/>
    <x v="1"/>
    <x v="0"/>
    <b v="0"/>
    <b v="1"/>
    <s v="Large Order"/>
    <n v="4.4090000000000007"/>
    <x v="20"/>
    <n v="793.62000000000012"/>
    <m/>
  </r>
  <r>
    <s v="ORD-2129"/>
    <d v="2024-05-02T00:00:00"/>
    <s v="CUST-122"/>
    <x v="20"/>
    <x v="2"/>
    <x v="0"/>
    <x v="4"/>
    <x v="6"/>
    <s v="$81.02"/>
    <s v="Thursday"/>
    <x v="7"/>
    <x v="0"/>
    <b v="0"/>
    <b v="0"/>
    <s v="Standard order"/>
    <n v="4.0510000000000002"/>
    <x v="17"/>
    <n v="486.12"/>
    <m/>
  </r>
  <r>
    <s v="ORD-2130"/>
    <d v="2024-02-15T00:00:00"/>
    <s v="CUST-180"/>
    <x v="17"/>
    <x v="1"/>
    <x v="3"/>
    <x v="2"/>
    <x v="1"/>
    <s v="$26.59"/>
    <s v="Thursday"/>
    <x v="5"/>
    <x v="0"/>
    <b v="0"/>
    <b v="0"/>
    <s v="Standard order"/>
    <n v="1.3295000000000001"/>
    <x v="7"/>
    <n v="26.59"/>
    <m/>
  </r>
  <r>
    <s v="ORD-2131"/>
    <d v="2024-03-01T00:00:00"/>
    <s v="CUST-167"/>
    <x v="8"/>
    <x v="0"/>
    <x v="1"/>
    <x v="1"/>
    <x v="15"/>
    <s v="$208.85"/>
    <s v="Friday"/>
    <x v="4"/>
    <x v="0"/>
    <b v="0"/>
    <b v="1"/>
    <s v="Large Order"/>
    <n v="10.442500000000001"/>
    <x v="15"/>
    <n v="3759.2999999999997"/>
    <m/>
  </r>
  <r>
    <s v="ORD-2132"/>
    <d v="2024-11-16T00:00:00"/>
    <s v="CUST-184"/>
    <x v="15"/>
    <x v="0"/>
    <x v="3"/>
    <x v="2"/>
    <x v="10"/>
    <s v="$216.22"/>
    <s v="Saturday"/>
    <x v="0"/>
    <x v="0"/>
    <b v="1"/>
    <b v="1"/>
    <s v="Large Order"/>
    <n v="10.811"/>
    <x v="6"/>
    <n v="1513.54"/>
    <m/>
  </r>
  <r>
    <s v="ORD-2133"/>
    <d v="2024-12-16T00:00:00"/>
    <s v="CUST-160"/>
    <x v="7"/>
    <x v="1"/>
    <x v="4"/>
    <x v="3"/>
    <x v="4"/>
    <s v="$107.34"/>
    <s v="Monday"/>
    <x v="1"/>
    <x v="0"/>
    <b v="0"/>
    <b v="0"/>
    <s v="Standard order"/>
    <n v="5.3670000000000009"/>
    <x v="13"/>
    <n v="214.68"/>
    <m/>
  </r>
  <r>
    <s v="ORD-2134"/>
    <d v="2024-05-25T00:00:00"/>
    <s v="CUST-126"/>
    <x v="13"/>
    <x v="1"/>
    <x v="3"/>
    <x v="1"/>
    <x v="19"/>
    <s v="$156.44"/>
    <s v="Saturday"/>
    <x v="7"/>
    <x v="0"/>
    <b v="1"/>
    <b v="1"/>
    <s v="Large Order"/>
    <n v="7.8220000000000001"/>
    <x v="23"/>
    <n v="3128.8"/>
    <m/>
  </r>
  <r>
    <s v="ORD-2135"/>
    <d v="2024-01-23T00:00:00"/>
    <s v="CUST-113"/>
    <x v="23"/>
    <x v="2"/>
    <x v="0"/>
    <x v="0"/>
    <x v="6"/>
    <s v="$133.37"/>
    <s v="Tuesday"/>
    <x v="6"/>
    <x v="0"/>
    <b v="0"/>
    <b v="1"/>
    <s v="Large Order"/>
    <n v="6.6685000000000008"/>
    <x v="24"/>
    <n v="800.22"/>
    <m/>
  </r>
  <r>
    <s v="ORD-2136"/>
    <d v="2024-09-05T00:00:00"/>
    <s v="CUST-165"/>
    <x v="24"/>
    <x v="0"/>
    <x v="0"/>
    <x v="3"/>
    <x v="12"/>
    <s v="$10.11"/>
    <s v="Thursday"/>
    <x v="11"/>
    <x v="0"/>
    <b v="0"/>
    <b v="0"/>
    <s v="Standard order"/>
    <n v="0.50549999999999995"/>
    <x v="24"/>
    <n v="151.64999999999998"/>
    <m/>
  </r>
  <r>
    <s v="ORD-2137"/>
    <d v="2024-08-02T00:00:00"/>
    <s v="CUST-125"/>
    <x v="24"/>
    <x v="2"/>
    <x v="3"/>
    <x v="0"/>
    <x v="0"/>
    <s v="$10.11"/>
    <s v="Friday"/>
    <x v="10"/>
    <x v="0"/>
    <b v="0"/>
    <b v="0"/>
    <s v="Standard order"/>
    <n v="0.50549999999999995"/>
    <x v="3"/>
    <n v="40.44"/>
    <m/>
  </r>
  <r>
    <s v="ORD-2138"/>
    <d v="2024-05-01T00:00:00"/>
    <s v="CUST-194"/>
    <x v="4"/>
    <x v="1"/>
    <x v="4"/>
    <x v="4"/>
    <x v="7"/>
    <s v="$230.34"/>
    <s v="Wednesday"/>
    <x v="7"/>
    <x v="0"/>
    <b v="0"/>
    <b v="1"/>
    <s v="Large Order"/>
    <n v="11.517000000000001"/>
    <x v="11"/>
    <n v="1842.72"/>
    <m/>
  </r>
  <r>
    <s v="ORD-2139"/>
    <d v="2024-09-05T00:00:00"/>
    <s v="CUST-106"/>
    <x v="11"/>
    <x v="1"/>
    <x v="4"/>
    <x v="1"/>
    <x v="19"/>
    <s v="$33.22"/>
    <s v="Thursday"/>
    <x v="11"/>
    <x v="0"/>
    <b v="0"/>
    <b v="0"/>
    <s v="Large Order"/>
    <n v="1.661"/>
    <x v="1"/>
    <n v="664.4"/>
    <m/>
  </r>
  <r>
    <s v="ORD-2140"/>
    <d v="2024-07-10T00:00:00"/>
    <s v="CUST-117"/>
    <x v="2"/>
    <x v="1"/>
    <x v="4"/>
    <x v="2"/>
    <x v="5"/>
    <s v="$88.18"/>
    <s v="Wednesday"/>
    <x v="8"/>
    <x v="0"/>
    <b v="0"/>
    <b v="1"/>
    <s v="Large Order"/>
    <n v="4.4090000000000007"/>
    <x v="15"/>
    <n v="1058.1600000000001"/>
    <m/>
  </r>
  <r>
    <s v="ORD-2141"/>
    <d v="2024-06-20T00:00:00"/>
    <s v="CUST-116"/>
    <x v="15"/>
    <x v="0"/>
    <x v="1"/>
    <x v="1"/>
    <x v="14"/>
    <s v="$216.22"/>
    <s v="Thursday"/>
    <x v="9"/>
    <x v="0"/>
    <b v="0"/>
    <b v="1"/>
    <s v="Large Order"/>
    <n v="10.811"/>
    <x v="24"/>
    <n v="1945.98"/>
    <m/>
  </r>
  <r>
    <s v="ORD-2142"/>
    <d v="2024-08-22T00:00:00"/>
    <s v="CUST-153"/>
    <x v="24"/>
    <x v="0"/>
    <x v="3"/>
    <x v="4"/>
    <x v="8"/>
    <s v="$10.11"/>
    <s v="Thursday"/>
    <x v="10"/>
    <x v="0"/>
    <b v="0"/>
    <b v="0"/>
    <s v="Standard order"/>
    <n v="0.50549999999999995"/>
    <x v="8"/>
    <n v="101.1"/>
    <m/>
  </r>
  <r>
    <s v="ORD-2143"/>
    <d v="2024-03-28T00:00:00"/>
    <s v="CUST-173"/>
    <x v="0"/>
    <x v="2"/>
    <x v="4"/>
    <x v="1"/>
    <x v="3"/>
    <s v="$146.06"/>
    <s v="Thursday"/>
    <x v="4"/>
    <x v="0"/>
    <b v="0"/>
    <b v="1"/>
    <s v="Large Order"/>
    <n v="7.3030000000000008"/>
    <x v="2"/>
    <n v="2044.8400000000001"/>
    <m/>
  </r>
  <r>
    <s v="ORD-2144"/>
    <d v="2024-04-20T00:00:00"/>
    <s v="CUST-175"/>
    <x v="3"/>
    <x v="1"/>
    <x v="2"/>
    <x v="2"/>
    <x v="1"/>
    <s v="$84.57"/>
    <s v="Saturday"/>
    <x v="2"/>
    <x v="0"/>
    <b v="1"/>
    <b v="0"/>
    <s v="Standard order"/>
    <n v="4.2284999999999995"/>
    <x v="24"/>
    <n v="84.57"/>
    <m/>
  </r>
  <r>
    <s v="ORD-2145"/>
    <d v="2024-05-06T00:00:00"/>
    <s v="CUST-141"/>
    <x v="24"/>
    <x v="1"/>
    <x v="1"/>
    <x v="4"/>
    <x v="16"/>
    <s v="$10.11"/>
    <s v="Monday"/>
    <x v="7"/>
    <x v="0"/>
    <b v="0"/>
    <b v="0"/>
    <s v="Standard order"/>
    <n v="0.50549999999999995"/>
    <x v="4"/>
    <n v="192.08999999999997"/>
    <m/>
  </r>
  <r>
    <s v="ORD-2146"/>
    <d v="2024-01-03T00:00:00"/>
    <s v="CUST-153"/>
    <x v="5"/>
    <x v="0"/>
    <x v="0"/>
    <x v="4"/>
    <x v="18"/>
    <s v="$64.61"/>
    <s v="Wednesday"/>
    <x v="6"/>
    <x v="0"/>
    <b v="0"/>
    <b v="1"/>
    <s v="Large Order"/>
    <n v="3.2305000000000001"/>
    <x v="12"/>
    <n v="1098.3699999999999"/>
    <m/>
  </r>
  <r>
    <s v="ORD-2147"/>
    <d v="2024-07-20T00:00:00"/>
    <s v="CUST-161"/>
    <x v="12"/>
    <x v="2"/>
    <x v="0"/>
    <x v="4"/>
    <x v="17"/>
    <s v="$211.9"/>
    <s v="Saturday"/>
    <x v="8"/>
    <x v="0"/>
    <b v="1"/>
    <b v="1"/>
    <s v="Large Order"/>
    <n v="10.595000000000001"/>
    <x v="11"/>
    <n v="3390.4"/>
    <m/>
  </r>
  <r>
    <s v="ORD-2148"/>
    <d v="2024-01-07T00:00:00"/>
    <s v="CUST-188"/>
    <x v="11"/>
    <x v="2"/>
    <x v="2"/>
    <x v="2"/>
    <x v="2"/>
    <s v="$33.22"/>
    <s v="Sunday"/>
    <x v="6"/>
    <x v="0"/>
    <b v="1"/>
    <b v="0"/>
    <s v="Standard order"/>
    <n v="1.661"/>
    <x v="5"/>
    <n v="166.1"/>
    <m/>
  </r>
  <r>
    <s v="ORD-2149"/>
    <d v="2024-11-27T00:00:00"/>
    <s v="CUST-111"/>
    <x v="6"/>
    <x v="0"/>
    <x v="2"/>
    <x v="1"/>
    <x v="8"/>
    <s v="$86.6"/>
    <s v="Wednesday"/>
    <x v="0"/>
    <x v="0"/>
    <b v="0"/>
    <b v="1"/>
    <s v="Large Order"/>
    <n v="4.33"/>
    <x v="12"/>
    <n v="866"/>
    <m/>
  </r>
  <r>
    <s v="ORD-2150"/>
    <d v="2024-10-19T00:00:00"/>
    <s v="CUST-195"/>
    <x v="12"/>
    <x v="2"/>
    <x v="0"/>
    <x v="1"/>
    <x v="12"/>
    <s v="$211.9"/>
    <s v="Saturday"/>
    <x v="3"/>
    <x v="0"/>
    <b v="1"/>
    <b v="1"/>
    <s v="Large Order"/>
    <n v="10.595000000000001"/>
    <x v="10"/>
    <n v="3178.5"/>
    <m/>
  </r>
  <r>
    <s v="ORD-2151"/>
    <d v="2024-04-04T00:00:00"/>
    <s v="CUST-147"/>
    <x v="10"/>
    <x v="2"/>
    <x v="2"/>
    <x v="0"/>
    <x v="1"/>
    <s v="$46.19"/>
    <s v="Thursday"/>
    <x v="2"/>
    <x v="0"/>
    <b v="0"/>
    <b v="0"/>
    <s v="Standard order"/>
    <n v="2.3094999999999999"/>
    <x v="15"/>
    <n v="46.19"/>
    <m/>
  </r>
  <r>
    <s v="ORD-2152"/>
    <d v="2024-07-16T00:00:00"/>
    <s v="CUST-188"/>
    <x v="15"/>
    <x v="1"/>
    <x v="1"/>
    <x v="3"/>
    <x v="8"/>
    <s v="$216.22"/>
    <s v="Tuesday"/>
    <x v="8"/>
    <x v="0"/>
    <b v="0"/>
    <b v="1"/>
    <s v="Large Order"/>
    <n v="10.811"/>
    <x v="11"/>
    <n v="2162.1999999999998"/>
    <m/>
  </r>
  <r>
    <s v="ORD-2153"/>
    <d v="2024-12-23T00:00:00"/>
    <s v="CUST-178"/>
    <x v="11"/>
    <x v="2"/>
    <x v="1"/>
    <x v="3"/>
    <x v="13"/>
    <s v="$33.22"/>
    <s v="Monday"/>
    <x v="1"/>
    <x v="0"/>
    <b v="0"/>
    <b v="0"/>
    <s v="Standard order"/>
    <n v="1.661"/>
    <x v="15"/>
    <n v="99.66"/>
    <m/>
  </r>
  <r>
    <s v="ORD-2154"/>
    <d v="2024-01-29T00:00:00"/>
    <s v="CUST-165"/>
    <x v="15"/>
    <x v="2"/>
    <x v="3"/>
    <x v="1"/>
    <x v="0"/>
    <s v="$216.22"/>
    <s v="Monday"/>
    <x v="6"/>
    <x v="0"/>
    <b v="0"/>
    <b v="0"/>
    <s v="Large Order"/>
    <n v="10.811"/>
    <x v="6"/>
    <n v="864.88"/>
    <m/>
  </r>
  <r>
    <s v="ORD-2155"/>
    <d v="2024-11-12T00:00:00"/>
    <s v="CUST-105"/>
    <x v="7"/>
    <x v="1"/>
    <x v="3"/>
    <x v="4"/>
    <x v="15"/>
    <s v="$107.34"/>
    <s v="Tuesday"/>
    <x v="0"/>
    <x v="0"/>
    <b v="0"/>
    <b v="1"/>
    <s v="Large Order"/>
    <n v="5.3670000000000009"/>
    <x v="13"/>
    <n v="1932.1200000000001"/>
    <m/>
  </r>
  <r>
    <s v="ORD-2156"/>
    <d v="2024-12-29T00:00:00"/>
    <s v="CUST-199"/>
    <x v="13"/>
    <x v="0"/>
    <x v="4"/>
    <x v="1"/>
    <x v="7"/>
    <s v="$156.44"/>
    <s v="Sunday"/>
    <x v="1"/>
    <x v="0"/>
    <b v="1"/>
    <b v="1"/>
    <s v="Large Order"/>
    <n v="7.8220000000000001"/>
    <x v="13"/>
    <n v="1251.52"/>
    <m/>
  </r>
  <r>
    <s v="ORD-2157"/>
    <d v="2024-10-24T00:00:00"/>
    <s v="CUST-189"/>
    <x v="13"/>
    <x v="0"/>
    <x v="4"/>
    <x v="4"/>
    <x v="5"/>
    <s v="$156.44"/>
    <s v="Thursday"/>
    <x v="3"/>
    <x v="0"/>
    <b v="0"/>
    <b v="1"/>
    <s v="Large Order"/>
    <n v="7.8220000000000001"/>
    <x v="8"/>
    <n v="1877.28"/>
    <m/>
  </r>
  <r>
    <s v="ORD-2158"/>
    <d v="2024-12-14T00:00:00"/>
    <s v="CUST-154"/>
    <x v="0"/>
    <x v="1"/>
    <x v="0"/>
    <x v="1"/>
    <x v="5"/>
    <s v="$146.06"/>
    <s v="Saturday"/>
    <x v="1"/>
    <x v="0"/>
    <b v="1"/>
    <b v="1"/>
    <s v="Large Order"/>
    <n v="7.3030000000000008"/>
    <x v="10"/>
    <n v="1752.72"/>
    <m/>
  </r>
  <r>
    <s v="ORD-2159"/>
    <d v="2024-09-13T00:00:00"/>
    <s v="CUST-167"/>
    <x v="10"/>
    <x v="0"/>
    <x v="2"/>
    <x v="4"/>
    <x v="15"/>
    <s v="$46.19"/>
    <s v="Friday"/>
    <x v="11"/>
    <x v="0"/>
    <b v="0"/>
    <b v="1"/>
    <s v="Large Order"/>
    <n v="2.3094999999999999"/>
    <x v="5"/>
    <n v="831.42"/>
    <m/>
  </r>
  <r>
    <s v="ORD-2160"/>
    <d v="2024-05-29T00:00:00"/>
    <s v="CUST-157"/>
    <x v="6"/>
    <x v="2"/>
    <x v="3"/>
    <x v="1"/>
    <x v="13"/>
    <s v="$86.6"/>
    <s v="Wednesday"/>
    <x v="7"/>
    <x v="0"/>
    <b v="0"/>
    <b v="0"/>
    <s v="Standard order"/>
    <n v="4.33"/>
    <x v="14"/>
    <n v="259.79999999999995"/>
    <m/>
  </r>
  <r>
    <s v="ORD-2161"/>
    <d v="2024-02-14T00:00:00"/>
    <s v="CUST-110"/>
    <x v="14"/>
    <x v="1"/>
    <x v="4"/>
    <x v="3"/>
    <x v="13"/>
    <s v="$201.32"/>
    <s v="Wednesday"/>
    <x v="5"/>
    <x v="0"/>
    <b v="0"/>
    <b v="0"/>
    <s v="Large Order"/>
    <n v="10.066000000000001"/>
    <x v="0"/>
    <n v="603.96"/>
    <m/>
  </r>
  <r>
    <s v="ORD-2162"/>
    <d v="2024-02-27T00:00:00"/>
    <s v="CUST-189"/>
    <x v="1"/>
    <x v="0"/>
    <x v="2"/>
    <x v="0"/>
    <x v="10"/>
    <s v="$178.83"/>
    <s v="Tuesday"/>
    <x v="5"/>
    <x v="0"/>
    <b v="0"/>
    <b v="1"/>
    <s v="Large Order"/>
    <n v="8.9415000000000013"/>
    <x v="0"/>
    <n v="1251.8100000000002"/>
    <m/>
  </r>
  <r>
    <s v="ORD-2163"/>
    <d v="2024-05-30T00:00:00"/>
    <s v="CUST-153"/>
    <x v="1"/>
    <x v="2"/>
    <x v="1"/>
    <x v="1"/>
    <x v="17"/>
    <s v="$178.83"/>
    <s v="Thursday"/>
    <x v="7"/>
    <x v="0"/>
    <b v="0"/>
    <b v="1"/>
    <s v="Large Order"/>
    <n v="8.9415000000000013"/>
    <x v="8"/>
    <n v="2861.28"/>
    <m/>
  </r>
  <r>
    <s v="ORD-2164"/>
    <d v="2024-11-26T00:00:00"/>
    <s v="CUST-102"/>
    <x v="0"/>
    <x v="1"/>
    <x v="4"/>
    <x v="2"/>
    <x v="1"/>
    <s v="$146.06"/>
    <s v="Tuesday"/>
    <x v="0"/>
    <x v="0"/>
    <b v="0"/>
    <b v="0"/>
    <s v="Standard order"/>
    <n v="7.3030000000000008"/>
    <x v="9"/>
    <n v="146.06"/>
    <m/>
  </r>
  <r>
    <s v="ORD-2165"/>
    <d v="2024-09-23T00:00:00"/>
    <s v="CUST-182"/>
    <x v="9"/>
    <x v="1"/>
    <x v="2"/>
    <x v="3"/>
    <x v="9"/>
    <s v="$101.96"/>
    <s v="Monday"/>
    <x v="11"/>
    <x v="0"/>
    <b v="0"/>
    <b v="1"/>
    <s v="Large Order"/>
    <n v="5.0979999999999999"/>
    <x v="23"/>
    <n v="1121.56"/>
    <m/>
  </r>
  <r>
    <s v="ORD-2166"/>
    <d v="2024-09-05T00:00:00"/>
    <s v="CUST-175"/>
    <x v="23"/>
    <x v="2"/>
    <x v="1"/>
    <x v="4"/>
    <x v="12"/>
    <s v="$133.37"/>
    <s v="Thursday"/>
    <x v="11"/>
    <x v="0"/>
    <b v="0"/>
    <b v="1"/>
    <s v="Large Order"/>
    <n v="6.6685000000000008"/>
    <x v="24"/>
    <n v="2000.5500000000002"/>
    <m/>
  </r>
  <r>
    <s v="ORD-2167"/>
    <d v="2024-03-08T00:00:00"/>
    <s v="CUST-139"/>
    <x v="24"/>
    <x v="0"/>
    <x v="3"/>
    <x v="3"/>
    <x v="17"/>
    <s v="$10.11"/>
    <s v="Friday"/>
    <x v="4"/>
    <x v="0"/>
    <b v="0"/>
    <b v="0"/>
    <s v="Standard order"/>
    <n v="0.50549999999999995"/>
    <x v="12"/>
    <n v="161.76"/>
    <m/>
  </r>
  <r>
    <s v="ORD-2168"/>
    <d v="2024-01-25T00:00:00"/>
    <s v="CUST-118"/>
    <x v="12"/>
    <x v="1"/>
    <x v="3"/>
    <x v="2"/>
    <x v="6"/>
    <s v="$211.9"/>
    <s v="Thursday"/>
    <x v="6"/>
    <x v="0"/>
    <b v="0"/>
    <b v="1"/>
    <s v="Large Order"/>
    <n v="10.595000000000001"/>
    <x v="6"/>
    <n v="1271.4000000000001"/>
    <m/>
  </r>
  <r>
    <s v="ORD-2169"/>
    <d v="2024-12-30T00:00:00"/>
    <s v="CUST-168"/>
    <x v="7"/>
    <x v="1"/>
    <x v="4"/>
    <x v="0"/>
    <x v="2"/>
    <s v="$107.34"/>
    <s v="Monday"/>
    <x v="1"/>
    <x v="0"/>
    <b v="0"/>
    <b v="0"/>
    <s v="Large Order"/>
    <n v="5.3670000000000009"/>
    <x v="12"/>
    <n v="536.70000000000005"/>
    <m/>
  </r>
  <r>
    <s v="ORD-2170"/>
    <d v="2024-01-22T00:00:00"/>
    <s v="CUST-140"/>
    <x v="12"/>
    <x v="2"/>
    <x v="4"/>
    <x v="2"/>
    <x v="14"/>
    <s v="$211.9"/>
    <s v="Monday"/>
    <x v="6"/>
    <x v="0"/>
    <b v="0"/>
    <b v="1"/>
    <s v="Large Order"/>
    <n v="10.595000000000001"/>
    <x v="7"/>
    <n v="1907.1000000000001"/>
    <m/>
  </r>
  <r>
    <s v="ORD-2171"/>
    <d v="2024-10-14T00:00:00"/>
    <s v="CUST-190"/>
    <x v="8"/>
    <x v="0"/>
    <x v="3"/>
    <x v="4"/>
    <x v="2"/>
    <s v="$208.85"/>
    <s v="Monday"/>
    <x v="3"/>
    <x v="0"/>
    <b v="0"/>
    <b v="0"/>
    <s v="Large Order"/>
    <n v="10.442500000000001"/>
    <x v="18"/>
    <n v="1044.25"/>
    <m/>
  </r>
  <r>
    <s v="ORD-2172"/>
    <d v="2024-03-24T00:00:00"/>
    <s v="CUST-168"/>
    <x v="18"/>
    <x v="1"/>
    <x v="0"/>
    <x v="2"/>
    <x v="11"/>
    <s v="$230.68"/>
    <s v="Sunday"/>
    <x v="4"/>
    <x v="0"/>
    <b v="1"/>
    <b v="1"/>
    <s v="Large Order"/>
    <n v="11.534000000000001"/>
    <x v="16"/>
    <n v="2998.84"/>
    <m/>
  </r>
  <r>
    <s v="ORD-2173"/>
    <d v="2024-08-22T00:00:00"/>
    <s v="CUST-140"/>
    <x v="16"/>
    <x v="0"/>
    <x v="0"/>
    <x v="3"/>
    <x v="15"/>
    <s v="$130.07"/>
    <s v="Thursday"/>
    <x v="10"/>
    <x v="0"/>
    <b v="0"/>
    <b v="1"/>
    <s v="Large Order"/>
    <n v="6.5034999999999998"/>
    <x v="14"/>
    <n v="2341.2599999999998"/>
    <m/>
  </r>
  <r>
    <s v="ORD-2174"/>
    <d v="2024-11-27T00:00:00"/>
    <s v="CUST-190"/>
    <x v="14"/>
    <x v="1"/>
    <x v="2"/>
    <x v="4"/>
    <x v="16"/>
    <s v="$201.32"/>
    <s v="Wednesday"/>
    <x v="0"/>
    <x v="0"/>
    <b v="0"/>
    <b v="1"/>
    <s v="Large Order"/>
    <n v="10.066000000000001"/>
    <x v="16"/>
    <n v="3825.08"/>
    <m/>
  </r>
  <r>
    <s v="ORD-2175"/>
    <d v="2024-08-14T00:00:00"/>
    <s v="CUST-143"/>
    <x v="16"/>
    <x v="2"/>
    <x v="0"/>
    <x v="2"/>
    <x v="17"/>
    <s v="$130.07"/>
    <s v="Wednesday"/>
    <x v="10"/>
    <x v="0"/>
    <b v="0"/>
    <b v="1"/>
    <s v="Large Order"/>
    <n v="6.5034999999999998"/>
    <x v="18"/>
    <n v="2081.12"/>
    <m/>
  </r>
  <r>
    <s v="ORD-2176"/>
    <d v="2024-12-13T00:00:00"/>
    <s v="CUST-170"/>
    <x v="18"/>
    <x v="0"/>
    <x v="3"/>
    <x v="2"/>
    <x v="11"/>
    <s v="$230.68"/>
    <s v="Friday"/>
    <x v="1"/>
    <x v="0"/>
    <b v="0"/>
    <b v="1"/>
    <s v="Large Order"/>
    <n v="11.534000000000001"/>
    <x v="15"/>
    <n v="2998.84"/>
    <m/>
  </r>
  <r>
    <s v="ORD-2177"/>
    <d v="2024-08-16T00:00:00"/>
    <s v="CUST-145"/>
    <x v="15"/>
    <x v="0"/>
    <x v="3"/>
    <x v="4"/>
    <x v="19"/>
    <s v="$216.22"/>
    <s v="Friday"/>
    <x v="10"/>
    <x v="0"/>
    <b v="0"/>
    <b v="1"/>
    <s v="Large Order"/>
    <n v="10.811"/>
    <x v="18"/>
    <n v="4324.3999999999996"/>
    <m/>
  </r>
  <r>
    <s v="ORD-2178"/>
    <d v="2024-09-26T00:00:00"/>
    <s v="CUST-128"/>
    <x v="18"/>
    <x v="1"/>
    <x v="4"/>
    <x v="1"/>
    <x v="13"/>
    <s v="$230.68"/>
    <s v="Thursday"/>
    <x v="11"/>
    <x v="0"/>
    <b v="0"/>
    <b v="0"/>
    <s v="Large Order"/>
    <n v="11.534000000000001"/>
    <x v="3"/>
    <n v="692.04"/>
    <m/>
  </r>
  <r>
    <s v="ORD-2179"/>
    <d v="2024-12-12T00:00:00"/>
    <s v="CUST-185"/>
    <x v="4"/>
    <x v="0"/>
    <x v="1"/>
    <x v="4"/>
    <x v="10"/>
    <s v="$230.34"/>
    <s v="Thursday"/>
    <x v="1"/>
    <x v="0"/>
    <b v="0"/>
    <b v="1"/>
    <s v="Large Order"/>
    <n v="11.517000000000001"/>
    <x v="3"/>
    <n v="1612.38"/>
    <m/>
  </r>
  <r>
    <s v="ORD-2180"/>
    <d v="2024-11-05T00:00:00"/>
    <s v="CUST-165"/>
    <x v="4"/>
    <x v="0"/>
    <x v="3"/>
    <x v="1"/>
    <x v="2"/>
    <s v="$230.34"/>
    <s v="Tuesday"/>
    <x v="0"/>
    <x v="0"/>
    <b v="0"/>
    <b v="0"/>
    <s v="Large Order"/>
    <n v="11.517000000000001"/>
    <x v="14"/>
    <n v="1151.7"/>
    <m/>
  </r>
  <r>
    <s v="ORD-2181"/>
    <d v="2024-07-08T00:00:00"/>
    <s v="CUST-149"/>
    <x v="14"/>
    <x v="1"/>
    <x v="0"/>
    <x v="1"/>
    <x v="5"/>
    <s v="$201.32"/>
    <s v="Monday"/>
    <x v="8"/>
    <x v="0"/>
    <b v="0"/>
    <b v="1"/>
    <s v="Large Order"/>
    <n v="10.066000000000001"/>
    <x v="16"/>
    <n v="2415.84"/>
    <m/>
  </r>
  <r>
    <s v="ORD-2182"/>
    <d v="2024-10-14T00:00:00"/>
    <s v="CUST-111"/>
    <x v="16"/>
    <x v="0"/>
    <x v="2"/>
    <x v="3"/>
    <x v="3"/>
    <s v="$130.07"/>
    <s v="Monday"/>
    <x v="3"/>
    <x v="0"/>
    <b v="0"/>
    <b v="1"/>
    <s v="Large Order"/>
    <n v="6.5034999999999998"/>
    <x v="0"/>
    <n v="1820.98"/>
    <m/>
  </r>
  <r>
    <s v="ORD-2183"/>
    <d v="2024-03-24T00:00:00"/>
    <s v="CUST-193"/>
    <x v="1"/>
    <x v="1"/>
    <x v="2"/>
    <x v="2"/>
    <x v="16"/>
    <s v="$178.83"/>
    <s v="Sunday"/>
    <x v="4"/>
    <x v="0"/>
    <b v="1"/>
    <b v="1"/>
    <s v="Large Order"/>
    <n v="8.9415000000000013"/>
    <x v="13"/>
    <n v="3397.7700000000004"/>
    <m/>
  </r>
  <r>
    <s v="ORD-2184"/>
    <d v="2024-04-16T00:00:00"/>
    <s v="CUST-138"/>
    <x v="13"/>
    <x v="1"/>
    <x v="1"/>
    <x v="4"/>
    <x v="13"/>
    <s v="$156.44"/>
    <s v="Tuesday"/>
    <x v="2"/>
    <x v="0"/>
    <b v="0"/>
    <b v="0"/>
    <s v="Standard order"/>
    <n v="7.8220000000000001"/>
    <x v="1"/>
    <n v="469.32"/>
    <m/>
  </r>
  <r>
    <s v="ORD-2185"/>
    <d v="2024-07-11T00:00:00"/>
    <s v="CUST-111"/>
    <x v="2"/>
    <x v="0"/>
    <x v="2"/>
    <x v="4"/>
    <x v="14"/>
    <s v="$88.18"/>
    <s v="Thursday"/>
    <x v="8"/>
    <x v="0"/>
    <b v="0"/>
    <b v="1"/>
    <s v="Large Order"/>
    <n v="4.4090000000000007"/>
    <x v="11"/>
    <n v="793.62000000000012"/>
    <m/>
  </r>
  <r>
    <s v="ORD-2186"/>
    <d v="2024-08-24T00:00:00"/>
    <s v="CUST-190"/>
    <x v="11"/>
    <x v="2"/>
    <x v="4"/>
    <x v="3"/>
    <x v="6"/>
    <s v="$33.22"/>
    <s v="Saturday"/>
    <x v="10"/>
    <x v="0"/>
    <b v="1"/>
    <b v="0"/>
    <s v="Standard order"/>
    <n v="1.661"/>
    <x v="9"/>
    <n v="199.32"/>
    <m/>
  </r>
  <r>
    <s v="ORD-2187"/>
    <d v="2024-10-10T00:00:00"/>
    <s v="CUST-162"/>
    <x v="9"/>
    <x v="0"/>
    <x v="3"/>
    <x v="1"/>
    <x v="8"/>
    <s v="$101.96"/>
    <s v="Thursday"/>
    <x v="3"/>
    <x v="0"/>
    <b v="0"/>
    <b v="1"/>
    <s v="Large Order"/>
    <n v="5.0979999999999999"/>
    <x v="2"/>
    <n v="1019.5999999999999"/>
    <m/>
  </r>
  <r>
    <s v="ORD-2188"/>
    <d v="2024-04-24T00:00:00"/>
    <s v="CUST-103"/>
    <x v="3"/>
    <x v="0"/>
    <x v="4"/>
    <x v="1"/>
    <x v="8"/>
    <s v="$84.57"/>
    <s v="Wednesday"/>
    <x v="2"/>
    <x v="0"/>
    <b v="0"/>
    <b v="1"/>
    <s v="Large Order"/>
    <n v="4.2284999999999995"/>
    <x v="17"/>
    <n v="845.69999999999993"/>
    <m/>
  </r>
  <r>
    <s v="ORD-2189"/>
    <d v="2024-03-04T00:00:00"/>
    <s v="CUST-183"/>
    <x v="17"/>
    <x v="2"/>
    <x v="3"/>
    <x v="2"/>
    <x v="6"/>
    <s v="$26.59"/>
    <s v="Monday"/>
    <x v="4"/>
    <x v="0"/>
    <b v="0"/>
    <b v="0"/>
    <s v="Standard order"/>
    <n v="1.3295000000000001"/>
    <x v="8"/>
    <n v="159.54"/>
    <m/>
  </r>
  <r>
    <s v="ORD-2190"/>
    <d v="2024-01-15T00:00:00"/>
    <s v="CUST-115"/>
    <x v="0"/>
    <x v="1"/>
    <x v="2"/>
    <x v="4"/>
    <x v="19"/>
    <s v="$146.06"/>
    <s v="Monday"/>
    <x v="6"/>
    <x v="0"/>
    <b v="0"/>
    <b v="1"/>
    <s v="Large Order"/>
    <n v="7.3030000000000008"/>
    <x v="1"/>
    <n v="2921.2"/>
    <m/>
  </r>
  <r>
    <s v="ORD-2191"/>
    <d v="2024-09-03T00:00:00"/>
    <s v="CUST-172"/>
    <x v="2"/>
    <x v="1"/>
    <x v="3"/>
    <x v="0"/>
    <x v="17"/>
    <s v="$88.18"/>
    <s v="Tuesday"/>
    <x v="11"/>
    <x v="0"/>
    <b v="0"/>
    <b v="1"/>
    <s v="Large Order"/>
    <n v="4.4090000000000007"/>
    <x v="18"/>
    <n v="1410.88"/>
    <m/>
  </r>
  <r>
    <s v="ORD-2192"/>
    <d v="2024-07-10T00:00:00"/>
    <s v="CUST-165"/>
    <x v="18"/>
    <x v="2"/>
    <x v="1"/>
    <x v="0"/>
    <x v="14"/>
    <s v="$230.68"/>
    <s v="Wednesday"/>
    <x v="8"/>
    <x v="0"/>
    <b v="0"/>
    <b v="1"/>
    <s v="Large Order"/>
    <n v="11.534000000000001"/>
    <x v="7"/>
    <n v="2076.12"/>
    <m/>
  </r>
  <r>
    <s v="ORD-2193"/>
    <d v="2024-03-15T00:00:00"/>
    <s v="CUST-140"/>
    <x v="8"/>
    <x v="1"/>
    <x v="4"/>
    <x v="3"/>
    <x v="6"/>
    <s v="$208.85"/>
    <s v="Friday"/>
    <x v="4"/>
    <x v="0"/>
    <b v="0"/>
    <b v="1"/>
    <s v="Large Order"/>
    <n v="10.442500000000001"/>
    <x v="14"/>
    <n v="1253.0999999999999"/>
    <m/>
  </r>
  <r>
    <s v="ORD-2194"/>
    <d v="2024-08-02T00:00:00"/>
    <s v="CUST-181"/>
    <x v="14"/>
    <x v="1"/>
    <x v="0"/>
    <x v="0"/>
    <x v="8"/>
    <s v="$201.32"/>
    <s v="Friday"/>
    <x v="10"/>
    <x v="0"/>
    <b v="0"/>
    <b v="1"/>
    <s v="Large Order"/>
    <n v="10.066000000000001"/>
    <x v="21"/>
    <n v="2013.1999999999998"/>
    <m/>
  </r>
  <r>
    <s v="ORD-2195"/>
    <d v="2024-09-20T00:00:00"/>
    <s v="CUST-124"/>
    <x v="21"/>
    <x v="2"/>
    <x v="4"/>
    <x v="2"/>
    <x v="0"/>
    <s v="$32.94"/>
    <s v="Friday"/>
    <x v="11"/>
    <x v="0"/>
    <b v="0"/>
    <b v="0"/>
    <s v="Standard order"/>
    <n v="1.647"/>
    <x v="2"/>
    <n v="131.76"/>
    <m/>
  </r>
  <r>
    <s v="ORD-2196"/>
    <d v="2024-10-05T00:00:00"/>
    <s v="CUST-141"/>
    <x v="3"/>
    <x v="1"/>
    <x v="3"/>
    <x v="4"/>
    <x v="5"/>
    <s v="$84.57"/>
    <s v="Saturday"/>
    <x v="3"/>
    <x v="0"/>
    <b v="1"/>
    <b v="1"/>
    <s v="Large Order"/>
    <n v="4.2284999999999995"/>
    <x v="22"/>
    <n v="1014.8399999999999"/>
    <m/>
  </r>
  <r>
    <s v="ORD-2197"/>
    <d v="2024-06-29T00:00:00"/>
    <s v="CUST-118"/>
    <x v="22"/>
    <x v="0"/>
    <x v="4"/>
    <x v="1"/>
    <x v="8"/>
    <s v="$149.27"/>
    <s v="Saturday"/>
    <x v="9"/>
    <x v="0"/>
    <b v="1"/>
    <b v="1"/>
    <s v="Large Order"/>
    <n v="7.4635000000000007"/>
    <x v="11"/>
    <n v="1492.7"/>
    <m/>
  </r>
  <r>
    <s v="ORD-2198"/>
    <d v="2024-07-29T00:00:00"/>
    <s v="CUST-143"/>
    <x v="11"/>
    <x v="0"/>
    <x v="0"/>
    <x v="2"/>
    <x v="2"/>
    <s v="$33.22"/>
    <s v="Monday"/>
    <x v="8"/>
    <x v="0"/>
    <b v="0"/>
    <b v="0"/>
    <s v="Standard order"/>
    <n v="1.661"/>
    <x v="23"/>
    <n v="166.1"/>
    <m/>
  </r>
  <r>
    <s v="ORD-2199"/>
    <d v="2024-10-13T00:00:00"/>
    <s v="CUST-178"/>
    <x v="23"/>
    <x v="2"/>
    <x v="1"/>
    <x v="0"/>
    <x v="15"/>
    <s v="$133.37"/>
    <s v="Sunday"/>
    <x v="3"/>
    <x v="0"/>
    <b v="1"/>
    <b v="1"/>
    <s v="Large Order"/>
    <n v="6.6685000000000008"/>
    <x v="0"/>
    <n v="2400.66"/>
    <m/>
  </r>
  <r>
    <s v="ORD-2200"/>
    <d v="2024-08-01T00:00:00"/>
    <s v="CUST-158"/>
    <x v="1"/>
    <x v="0"/>
    <x v="0"/>
    <x v="3"/>
    <x v="1"/>
    <s v="$178.83"/>
    <s v="Thursday"/>
    <x v="10"/>
    <x v="0"/>
    <b v="0"/>
    <b v="0"/>
    <s v="Standard order"/>
    <n v="8.9415000000000013"/>
    <x v="20"/>
    <n v="178.83"/>
    <m/>
  </r>
  <r>
    <s v="ORD-2201"/>
    <d v="2024-12-19T00:00:00"/>
    <s v="CUST-146"/>
    <x v="20"/>
    <x v="0"/>
    <x v="2"/>
    <x v="3"/>
    <x v="18"/>
    <s v="$81.02"/>
    <s v="Thursday"/>
    <x v="1"/>
    <x v="0"/>
    <b v="0"/>
    <b v="1"/>
    <s v="Large Order"/>
    <n v="4.0510000000000002"/>
    <x v="16"/>
    <n v="1377.34"/>
    <m/>
  </r>
  <r>
    <s v="ORD-2202"/>
    <d v="2024-03-29T00:00:00"/>
    <s v="CUST-190"/>
    <x v="16"/>
    <x v="1"/>
    <x v="0"/>
    <x v="2"/>
    <x v="0"/>
    <s v="$130.07"/>
    <s v="Friday"/>
    <x v="4"/>
    <x v="0"/>
    <b v="0"/>
    <b v="0"/>
    <s v="Large Order"/>
    <n v="6.5034999999999998"/>
    <x v="11"/>
    <n v="520.28"/>
    <m/>
  </r>
  <r>
    <s v="ORD-2203"/>
    <d v="2024-12-18T00:00:00"/>
    <s v="CUST-129"/>
    <x v="11"/>
    <x v="1"/>
    <x v="4"/>
    <x v="1"/>
    <x v="2"/>
    <s v="$33.22"/>
    <s v="Wednesday"/>
    <x v="1"/>
    <x v="0"/>
    <b v="0"/>
    <b v="0"/>
    <s v="Standard order"/>
    <n v="1.661"/>
    <x v="18"/>
    <n v="166.1"/>
    <m/>
  </r>
  <r>
    <s v="ORD-2204"/>
    <d v="2024-12-19T00:00:00"/>
    <s v="CUST-197"/>
    <x v="18"/>
    <x v="0"/>
    <x v="0"/>
    <x v="0"/>
    <x v="17"/>
    <s v="$230.68"/>
    <s v="Thursday"/>
    <x v="1"/>
    <x v="0"/>
    <b v="0"/>
    <b v="1"/>
    <s v="Large Order"/>
    <n v="11.534000000000001"/>
    <x v="9"/>
    <n v="3690.88"/>
    <m/>
  </r>
  <r>
    <s v="ORD-2205"/>
    <d v="2024-04-10T00:00:00"/>
    <s v="CUST-113"/>
    <x v="9"/>
    <x v="0"/>
    <x v="1"/>
    <x v="3"/>
    <x v="4"/>
    <s v="$101.96"/>
    <s v="Wednesday"/>
    <x v="2"/>
    <x v="0"/>
    <b v="0"/>
    <b v="0"/>
    <s v="Standard order"/>
    <n v="5.0979999999999999"/>
    <x v="21"/>
    <n v="203.92"/>
    <m/>
  </r>
  <r>
    <s v="ORD-2206"/>
    <d v="2024-01-23T00:00:00"/>
    <s v="CUST-108"/>
    <x v="21"/>
    <x v="1"/>
    <x v="0"/>
    <x v="4"/>
    <x v="0"/>
    <s v="$32.94"/>
    <s v="Tuesday"/>
    <x v="6"/>
    <x v="0"/>
    <b v="0"/>
    <b v="0"/>
    <s v="Standard order"/>
    <n v="1.647"/>
    <x v="5"/>
    <n v="131.76"/>
    <m/>
  </r>
  <r>
    <s v="ORD-2207"/>
    <d v="2024-04-15T00:00:00"/>
    <s v="CUST-175"/>
    <x v="6"/>
    <x v="0"/>
    <x v="4"/>
    <x v="2"/>
    <x v="5"/>
    <s v="$86.6"/>
    <s v="Monday"/>
    <x v="2"/>
    <x v="0"/>
    <b v="0"/>
    <b v="1"/>
    <s v="Large Order"/>
    <n v="4.33"/>
    <x v="6"/>
    <n v="1039.1999999999998"/>
    <m/>
  </r>
  <r>
    <s v="ORD-2208"/>
    <d v="2024-05-22T00:00:00"/>
    <s v="CUST-174"/>
    <x v="7"/>
    <x v="1"/>
    <x v="3"/>
    <x v="4"/>
    <x v="18"/>
    <s v="$107.34"/>
    <s v="Wednesday"/>
    <x v="7"/>
    <x v="0"/>
    <b v="0"/>
    <b v="1"/>
    <s v="Large Order"/>
    <n v="5.3670000000000009"/>
    <x v="19"/>
    <n v="1824.78"/>
    <m/>
  </r>
  <r>
    <s v="ORD-2209"/>
    <d v="2024-05-03T00:00:00"/>
    <s v="CUST-164"/>
    <x v="19"/>
    <x v="2"/>
    <x v="0"/>
    <x v="4"/>
    <x v="16"/>
    <s v="$145.48"/>
    <s v="Friday"/>
    <x v="7"/>
    <x v="0"/>
    <b v="0"/>
    <b v="1"/>
    <s v="Large Order"/>
    <n v="7.274"/>
    <x v="6"/>
    <n v="2764.12"/>
    <m/>
  </r>
  <r>
    <s v="ORD-2210"/>
    <d v="2024-04-21T00:00:00"/>
    <s v="CUST-191"/>
    <x v="7"/>
    <x v="0"/>
    <x v="3"/>
    <x v="0"/>
    <x v="15"/>
    <s v="$107.34"/>
    <s v="Sunday"/>
    <x v="2"/>
    <x v="0"/>
    <b v="1"/>
    <b v="1"/>
    <s v="Large Order"/>
    <n v="5.3670000000000009"/>
    <x v="7"/>
    <n v="1932.1200000000001"/>
    <m/>
  </r>
  <r>
    <s v="ORD-2211"/>
    <d v="2024-04-19T00:00:00"/>
    <s v="CUST-164"/>
    <x v="8"/>
    <x v="2"/>
    <x v="2"/>
    <x v="0"/>
    <x v="16"/>
    <s v="$208.85"/>
    <s v="Friday"/>
    <x v="2"/>
    <x v="0"/>
    <b v="0"/>
    <b v="1"/>
    <s v="Large Order"/>
    <n v="10.442500000000001"/>
    <x v="11"/>
    <n v="3968.15"/>
    <m/>
  </r>
  <r>
    <s v="ORD-2212"/>
    <d v="2024-04-02T00:00:00"/>
    <s v="CUST-145"/>
    <x v="11"/>
    <x v="1"/>
    <x v="2"/>
    <x v="0"/>
    <x v="18"/>
    <s v="$33.22"/>
    <s v="Tuesday"/>
    <x v="2"/>
    <x v="0"/>
    <b v="0"/>
    <b v="0"/>
    <s v="Large Order"/>
    <n v="1.661"/>
    <x v="22"/>
    <n v="564.74"/>
    <m/>
  </r>
  <r>
    <s v="ORD-2213"/>
    <d v="2024-06-09T00:00:00"/>
    <s v="CUST-115"/>
    <x v="22"/>
    <x v="1"/>
    <x v="0"/>
    <x v="3"/>
    <x v="2"/>
    <s v="$149.27"/>
    <s v="Sunday"/>
    <x v="9"/>
    <x v="0"/>
    <b v="1"/>
    <b v="0"/>
    <s v="Large Order"/>
    <n v="7.4635000000000007"/>
    <x v="8"/>
    <n v="746.35"/>
    <m/>
  </r>
  <r>
    <s v="ORD-2214"/>
    <d v="2024-12-26T00:00:00"/>
    <s v="CUST-136"/>
    <x v="0"/>
    <x v="2"/>
    <x v="0"/>
    <x v="1"/>
    <x v="9"/>
    <s v="$146.06"/>
    <s v="Thursday"/>
    <x v="1"/>
    <x v="0"/>
    <b v="0"/>
    <b v="1"/>
    <s v="Large Order"/>
    <n v="7.3030000000000008"/>
    <x v="5"/>
    <n v="1606.66"/>
    <m/>
  </r>
  <r>
    <s v="ORD-2215"/>
    <d v="2024-05-25T00:00:00"/>
    <s v="CUST-158"/>
    <x v="6"/>
    <x v="2"/>
    <x v="3"/>
    <x v="1"/>
    <x v="12"/>
    <s v="$86.6"/>
    <s v="Saturday"/>
    <x v="7"/>
    <x v="0"/>
    <b v="1"/>
    <b v="1"/>
    <s v="Large Order"/>
    <n v="4.33"/>
    <x v="4"/>
    <n v="1299"/>
    <m/>
  </r>
  <r>
    <s v="ORD-2216"/>
    <d v="2024-05-28T00:00:00"/>
    <s v="CUST-154"/>
    <x v="5"/>
    <x v="0"/>
    <x v="0"/>
    <x v="1"/>
    <x v="5"/>
    <s v="$64.61"/>
    <s v="Tuesday"/>
    <x v="7"/>
    <x v="0"/>
    <b v="0"/>
    <b v="1"/>
    <s v="Large Order"/>
    <n v="3.2305000000000001"/>
    <x v="22"/>
    <n v="775.31999999999994"/>
    <m/>
  </r>
  <r>
    <s v="ORD-2217"/>
    <d v="2024-12-10T00:00:00"/>
    <s v="CUST-113"/>
    <x v="22"/>
    <x v="1"/>
    <x v="2"/>
    <x v="1"/>
    <x v="13"/>
    <s v="$149.27"/>
    <s v="Tuesday"/>
    <x v="1"/>
    <x v="0"/>
    <b v="0"/>
    <b v="0"/>
    <s v="Standard order"/>
    <n v="7.4635000000000007"/>
    <x v="16"/>
    <n v="447.81000000000006"/>
    <m/>
  </r>
  <r>
    <s v="ORD-2218"/>
    <d v="2024-07-24T00:00:00"/>
    <s v="CUST-188"/>
    <x v="16"/>
    <x v="2"/>
    <x v="0"/>
    <x v="2"/>
    <x v="6"/>
    <s v="$130.07"/>
    <s v="Wednesday"/>
    <x v="8"/>
    <x v="0"/>
    <b v="0"/>
    <b v="1"/>
    <s v="Large Order"/>
    <n v="6.5034999999999998"/>
    <x v="19"/>
    <n v="780.42"/>
    <m/>
  </r>
  <r>
    <s v="ORD-2219"/>
    <d v="2024-06-22T00:00:00"/>
    <s v="CUST-125"/>
    <x v="19"/>
    <x v="2"/>
    <x v="2"/>
    <x v="1"/>
    <x v="7"/>
    <s v="$145.48"/>
    <s v="Saturday"/>
    <x v="9"/>
    <x v="0"/>
    <b v="1"/>
    <b v="1"/>
    <s v="Large Order"/>
    <n v="7.274"/>
    <x v="9"/>
    <n v="1163.8399999999999"/>
    <m/>
  </r>
  <r>
    <s v="ORD-2220"/>
    <d v="2024-05-22T00:00:00"/>
    <s v="CUST-197"/>
    <x v="9"/>
    <x v="2"/>
    <x v="1"/>
    <x v="1"/>
    <x v="14"/>
    <s v="$101.96"/>
    <s v="Wednesday"/>
    <x v="7"/>
    <x v="0"/>
    <b v="0"/>
    <b v="1"/>
    <s v="Large Order"/>
    <n v="5.0979999999999999"/>
    <x v="3"/>
    <n v="917.64"/>
    <m/>
  </r>
  <r>
    <s v="ORD-2221"/>
    <d v="2024-07-01T00:00:00"/>
    <s v="CUST-160"/>
    <x v="4"/>
    <x v="2"/>
    <x v="1"/>
    <x v="2"/>
    <x v="17"/>
    <s v="$230.34"/>
    <s v="Monday"/>
    <x v="8"/>
    <x v="0"/>
    <b v="0"/>
    <b v="1"/>
    <s v="Large Order"/>
    <n v="11.517000000000001"/>
    <x v="4"/>
    <n v="3685.44"/>
    <m/>
  </r>
  <r>
    <s v="ORD-2222"/>
    <d v="2024-08-20T00:00:00"/>
    <s v="CUST-113"/>
    <x v="5"/>
    <x v="0"/>
    <x v="3"/>
    <x v="2"/>
    <x v="17"/>
    <s v="$64.61"/>
    <s v="Tuesday"/>
    <x v="10"/>
    <x v="0"/>
    <b v="0"/>
    <b v="1"/>
    <s v="Large Order"/>
    <n v="3.2305000000000001"/>
    <x v="8"/>
    <n v="1033.76"/>
    <m/>
  </r>
  <r>
    <s v="ORD-2223"/>
    <d v="2024-01-16T00:00:00"/>
    <s v="CUST-112"/>
    <x v="0"/>
    <x v="2"/>
    <x v="0"/>
    <x v="2"/>
    <x v="17"/>
    <s v="$146.06"/>
    <s v="Tuesday"/>
    <x v="6"/>
    <x v="0"/>
    <b v="0"/>
    <b v="1"/>
    <s v="Large Order"/>
    <n v="7.3030000000000008"/>
    <x v="0"/>
    <n v="2336.96"/>
    <m/>
  </r>
  <r>
    <s v="ORD-2224"/>
    <d v="2024-07-14T00:00:00"/>
    <s v="CUST-177"/>
    <x v="1"/>
    <x v="2"/>
    <x v="3"/>
    <x v="0"/>
    <x v="8"/>
    <s v="$178.83"/>
    <s v="Sunday"/>
    <x v="8"/>
    <x v="0"/>
    <b v="1"/>
    <b v="1"/>
    <s v="Large Order"/>
    <n v="8.9415000000000013"/>
    <x v="12"/>
    <n v="1788.3000000000002"/>
    <m/>
  </r>
  <r>
    <s v="ORD-2225"/>
    <d v="2024-02-09T00:00:00"/>
    <s v="CUST-184"/>
    <x v="12"/>
    <x v="2"/>
    <x v="2"/>
    <x v="1"/>
    <x v="10"/>
    <s v="$211.9"/>
    <s v="Friday"/>
    <x v="5"/>
    <x v="0"/>
    <b v="0"/>
    <b v="1"/>
    <s v="Large Order"/>
    <n v="10.595000000000001"/>
    <x v="13"/>
    <n v="1483.3"/>
    <m/>
  </r>
  <r>
    <s v="ORD-2226"/>
    <d v="2024-09-08T00:00:00"/>
    <s v="CUST-164"/>
    <x v="13"/>
    <x v="1"/>
    <x v="1"/>
    <x v="0"/>
    <x v="15"/>
    <s v="$156.44"/>
    <s v="Sunday"/>
    <x v="11"/>
    <x v="0"/>
    <b v="1"/>
    <b v="1"/>
    <s v="Large Order"/>
    <n v="7.8220000000000001"/>
    <x v="13"/>
    <n v="2815.92"/>
    <m/>
  </r>
  <r>
    <s v="ORD-2227"/>
    <d v="2024-08-08T00:00:00"/>
    <s v="CUST-115"/>
    <x v="13"/>
    <x v="1"/>
    <x v="2"/>
    <x v="0"/>
    <x v="11"/>
    <s v="$156.44"/>
    <s v="Thursday"/>
    <x v="10"/>
    <x v="0"/>
    <b v="0"/>
    <b v="1"/>
    <s v="Large Order"/>
    <n v="7.8220000000000001"/>
    <x v="10"/>
    <n v="2033.72"/>
    <m/>
  </r>
  <r>
    <s v="ORD-2228"/>
    <d v="2024-01-17T00:00:00"/>
    <s v="CUST-122"/>
    <x v="10"/>
    <x v="2"/>
    <x v="3"/>
    <x v="2"/>
    <x v="6"/>
    <s v="$46.19"/>
    <s v="Wednesday"/>
    <x v="6"/>
    <x v="0"/>
    <b v="0"/>
    <b v="0"/>
    <s v="Standard order"/>
    <n v="2.3094999999999999"/>
    <x v="21"/>
    <n v="277.14"/>
    <m/>
  </r>
  <r>
    <s v="ORD-2229"/>
    <d v="2024-06-08T00:00:00"/>
    <s v="CUST-191"/>
    <x v="21"/>
    <x v="1"/>
    <x v="2"/>
    <x v="1"/>
    <x v="0"/>
    <s v="$32.94"/>
    <s v="Saturday"/>
    <x v="9"/>
    <x v="0"/>
    <b v="1"/>
    <b v="0"/>
    <s v="Standard order"/>
    <n v="1.647"/>
    <x v="9"/>
    <n v="131.76"/>
    <m/>
  </r>
  <r>
    <s v="ORD-2230"/>
    <d v="2024-12-03T00:00:00"/>
    <s v="CUST-170"/>
    <x v="9"/>
    <x v="2"/>
    <x v="1"/>
    <x v="2"/>
    <x v="17"/>
    <s v="$101.96"/>
    <s v="Tuesday"/>
    <x v="1"/>
    <x v="0"/>
    <b v="0"/>
    <b v="1"/>
    <s v="Large Order"/>
    <n v="5.0979999999999999"/>
    <x v="4"/>
    <n v="1631.36"/>
    <m/>
  </r>
  <r>
    <s v="ORD-2231"/>
    <d v="2024-09-16T00:00:00"/>
    <s v="CUST-107"/>
    <x v="5"/>
    <x v="1"/>
    <x v="3"/>
    <x v="4"/>
    <x v="16"/>
    <s v="$64.61"/>
    <s v="Monday"/>
    <x v="11"/>
    <x v="0"/>
    <b v="0"/>
    <b v="1"/>
    <s v="Large Order"/>
    <n v="3.2305000000000001"/>
    <x v="15"/>
    <n v="1227.5899999999999"/>
    <m/>
  </r>
  <r>
    <s v="ORD-2232"/>
    <d v="2024-12-12T00:00:00"/>
    <s v="CUST-145"/>
    <x v="15"/>
    <x v="1"/>
    <x v="3"/>
    <x v="2"/>
    <x v="1"/>
    <s v="$216.22"/>
    <s v="Thursday"/>
    <x v="1"/>
    <x v="0"/>
    <b v="0"/>
    <b v="0"/>
    <s v="Standard order"/>
    <n v="10.811"/>
    <x v="18"/>
    <n v="216.22"/>
    <m/>
  </r>
  <r>
    <s v="ORD-2233"/>
    <d v="2024-07-06T00:00:00"/>
    <s v="CUST-144"/>
    <x v="18"/>
    <x v="2"/>
    <x v="1"/>
    <x v="1"/>
    <x v="9"/>
    <s v="$230.68"/>
    <s v="Saturday"/>
    <x v="8"/>
    <x v="0"/>
    <b v="1"/>
    <b v="1"/>
    <s v="Large Order"/>
    <n v="11.534000000000001"/>
    <x v="15"/>
    <n v="2537.48"/>
    <m/>
  </r>
  <r>
    <s v="ORD-2234"/>
    <d v="2024-06-25T00:00:00"/>
    <s v="CUST-145"/>
    <x v="15"/>
    <x v="1"/>
    <x v="3"/>
    <x v="3"/>
    <x v="7"/>
    <s v="$216.22"/>
    <s v="Tuesday"/>
    <x v="9"/>
    <x v="0"/>
    <b v="0"/>
    <b v="1"/>
    <s v="Large Order"/>
    <n v="10.811"/>
    <x v="14"/>
    <n v="1729.76"/>
    <m/>
  </r>
  <r>
    <s v="ORD-2235"/>
    <d v="2024-10-30T00:00:00"/>
    <s v="CUST-110"/>
    <x v="14"/>
    <x v="2"/>
    <x v="0"/>
    <x v="0"/>
    <x v="0"/>
    <s v="$201.32"/>
    <s v="Wednesday"/>
    <x v="3"/>
    <x v="0"/>
    <b v="0"/>
    <b v="0"/>
    <s v="Large Order"/>
    <n v="10.066000000000001"/>
    <x v="5"/>
    <n v="805.28"/>
    <m/>
  </r>
  <r>
    <s v="ORD-2236"/>
    <d v="2024-10-02T00:00:00"/>
    <s v="CUST-141"/>
    <x v="6"/>
    <x v="0"/>
    <x v="2"/>
    <x v="1"/>
    <x v="3"/>
    <s v="$86.6"/>
    <s v="Wednesday"/>
    <x v="3"/>
    <x v="0"/>
    <b v="0"/>
    <b v="1"/>
    <s v="Large Order"/>
    <n v="4.33"/>
    <x v="9"/>
    <n v="1212.3999999999999"/>
    <m/>
  </r>
  <r>
    <s v="ORD-2237"/>
    <d v="2024-05-16T00:00:00"/>
    <s v="CUST-102"/>
    <x v="9"/>
    <x v="2"/>
    <x v="2"/>
    <x v="1"/>
    <x v="1"/>
    <s v="$101.96"/>
    <s v="Thursday"/>
    <x v="7"/>
    <x v="0"/>
    <b v="0"/>
    <b v="0"/>
    <s v="Standard order"/>
    <n v="5.0979999999999999"/>
    <x v="19"/>
    <n v="101.96"/>
    <m/>
  </r>
  <r>
    <s v="ORD-2238"/>
    <d v="2024-10-19T00:00:00"/>
    <s v="CUST-149"/>
    <x v="19"/>
    <x v="1"/>
    <x v="1"/>
    <x v="2"/>
    <x v="17"/>
    <s v="$145.48"/>
    <s v="Saturday"/>
    <x v="3"/>
    <x v="0"/>
    <b v="1"/>
    <b v="1"/>
    <s v="Large Order"/>
    <n v="7.274"/>
    <x v="6"/>
    <n v="2327.6799999999998"/>
    <m/>
  </r>
  <r>
    <s v="ORD-2239"/>
    <d v="2024-06-21T00:00:00"/>
    <s v="CUST-163"/>
    <x v="7"/>
    <x v="2"/>
    <x v="3"/>
    <x v="1"/>
    <x v="19"/>
    <s v="$107.34"/>
    <s v="Friday"/>
    <x v="9"/>
    <x v="0"/>
    <b v="0"/>
    <b v="1"/>
    <s v="Large Order"/>
    <n v="5.3670000000000009"/>
    <x v="23"/>
    <n v="2146.8000000000002"/>
    <m/>
  </r>
  <r>
    <s v="ORD-2240"/>
    <d v="2024-04-13T00:00:00"/>
    <s v="CUST-163"/>
    <x v="23"/>
    <x v="2"/>
    <x v="0"/>
    <x v="0"/>
    <x v="10"/>
    <s v="$133.37"/>
    <s v="Saturday"/>
    <x v="2"/>
    <x v="0"/>
    <b v="1"/>
    <b v="1"/>
    <s v="Large Order"/>
    <n v="6.6685000000000008"/>
    <x v="20"/>
    <n v="933.59"/>
    <m/>
  </r>
  <r>
    <s v="ORD-2241"/>
    <d v="2024-06-01T00:00:00"/>
    <s v="CUST-173"/>
    <x v="20"/>
    <x v="1"/>
    <x v="4"/>
    <x v="4"/>
    <x v="13"/>
    <s v="$81.02"/>
    <s v="Saturday"/>
    <x v="9"/>
    <x v="0"/>
    <b v="1"/>
    <b v="0"/>
    <s v="Standard order"/>
    <n v="4.0510000000000002"/>
    <x v="8"/>
    <n v="243.06"/>
    <m/>
  </r>
  <r>
    <s v="ORD-2242"/>
    <d v="2024-02-18T00:00:00"/>
    <s v="CUST-175"/>
    <x v="0"/>
    <x v="1"/>
    <x v="3"/>
    <x v="1"/>
    <x v="16"/>
    <s v="$146.06"/>
    <s v="Sunday"/>
    <x v="5"/>
    <x v="0"/>
    <b v="1"/>
    <b v="1"/>
    <s v="Large Order"/>
    <n v="7.3030000000000008"/>
    <x v="1"/>
    <n v="2775.14"/>
    <m/>
  </r>
  <r>
    <s v="ORD-2243"/>
    <d v="2024-08-06T00:00:00"/>
    <s v="CUST-126"/>
    <x v="2"/>
    <x v="1"/>
    <x v="0"/>
    <x v="3"/>
    <x v="8"/>
    <s v="$88.18"/>
    <s v="Tuesday"/>
    <x v="10"/>
    <x v="0"/>
    <b v="0"/>
    <b v="1"/>
    <s v="Large Order"/>
    <n v="4.4090000000000007"/>
    <x v="11"/>
    <n v="881.80000000000007"/>
    <m/>
  </r>
  <r>
    <s v="ORD-2244"/>
    <d v="2024-08-09T00:00:00"/>
    <s v="CUST-184"/>
    <x v="11"/>
    <x v="2"/>
    <x v="3"/>
    <x v="4"/>
    <x v="3"/>
    <s v="$33.22"/>
    <s v="Friday"/>
    <x v="10"/>
    <x v="0"/>
    <b v="0"/>
    <b v="0"/>
    <s v="Standard order"/>
    <n v="1.661"/>
    <x v="6"/>
    <n v="465.08"/>
    <m/>
  </r>
  <r>
    <s v="ORD-2245"/>
    <d v="2024-09-20T00:00:00"/>
    <s v="CUST-158"/>
    <x v="7"/>
    <x v="2"/>
    <x v="1"/>
    <x v="4"/>
    <x v="1"/>
    <s v="$107.34"/>
    <s v="Friday"/>
    <x v="11"/>
    <x v="0"/>
    <b v="0"/>
    <b v="0"/>
    <s v="Standard order"/>
    <n v="5.3670000000000009"/>
    <x v="5"/>
    <n v="107.34"/>
    <m/>
  </r>
  <r>
    <s v="ORD-2246"/>
    <d v="2024-04-05T00:00:00"/>
    <s v="CUST-173"/>
    <x v="6"/>
    <x v="1"/>
    <x v="4"/>
    <x v="4"/>
    <x v="12"/>
    <s v="$86.6"/>
    <s v="Friday"/>
    <x v="2"/>
    <x v="0"/>
    <b v="0"/>
    <b v="1"/>
    <s v="Large Order"/>
    <n v="4.33"/>
    <x v="16"/>
    <n v="1299"/>
    <m/>
  </r>
  <r>
    <s v="ORD-2247"/>
    <d v="2024-11-10T00:00:00"/>
    <s v="CUST-198"/>
    <x v="16"/>
    <x v="1"/>
    <x v="1"/>
    <x v="3"/>
    <x v="4"/>
    <s v="$130.07"/>
    <s v="Sunday"/>
    <x v="0"/>
    <x v="0"/>
    <b v="1"/>
    <b v="0"/>
    <s v="Standard order"/>
    <n v="6.5034999999999998"/>
    <x v="16"/>
    <n v="260.14"/>
    <m/>
  </r>
  <r>
    <s v="ORD-2248"/>
    <d v="2024-08-24T00:00:00"/>
    <s v="CUST-118"/>
    <x v="16"/>
    <x v="0"/>
    <x v="4"/>
    <x v="1"/>
    <x v="8"/>
    <s v="$130.07"/>
    <s v="Saturday"/>
    <x v="10"/>
    <x v="0"/>
    <b v="1"/>
    <b v="1"/>
    <s v="Large Order"/>
    <n v="6.5034999999999998"/>
    <x v="17"/>
    <n v="1300.6999999999998"/>
    <m/>
  </r>
  <r>
    <s v="ORD-2249"/>
    <d v="2024-06-12T00:00:00"/>
    <s v="CUST-108"/>
    <x v="17"/>
    <x v="2"/>
    <x v="4"/>
    <x v="2"/>
    <x v="14"/>
    <s v="$26.59"/>
    <s v="Wednesday"/>
    <x v="9"/>
    <x v="0"/>
    <b v="0"/>
    <b v="0"/>
    <s v="Standard order"/>
    <n v="1.3295000000000001"/>
    <x v="3"/>
    <n v="239.31"/>
    <m/>
  </r>
  <r>
    <s v="ORD-2250"/>
    <d v="2024-05-11T00:00:00"/>
    <s v="CUST-187"/>
    <x v="4"/>
    <x v="2"/>
    <x v="4"/>
    <x v="2"/>
    <x v="7"/>
    <s v="$230.34"/>
    <s v="Saturday"/>
    <x v="7"/>
    <x v="0"/>
    <b v="1"/>
    <b v="1"/>
    <s v="Large Order"/>
    <n v="11.517000000000001"/>
    <x v="4"/>
    <n v="1842.72"/>
    <m/>
  </r>
  <r>
    <s v="ORD-2251"/>
    <d v="2024-01-15T00:00:00"/>
    <s v="CUST-131"/>
    <x v="5"/>
    <x v="1"/>
    <x v="2"/>
    <x v="1"/>
    <x v="15"/>
    <s v="$64.61"/>
    <s v="Monday"/>
    <x v="6"/>
    <x v="0"/>
    <b v="0"/>
    <b v="1"/>
    <s v="Large Order"/>
    <n v="3.2305000000000001"/>
    <x v="2"/>
    <n v="1162.98"/>
    <m/>
  </r>
  <r>
    <s v="ORD-2252"/>
    <d v="2024-11-27T00:00:00"/>
    <s v="CUST-104"/>
    <x v="3"/>
    <x v="0"/>
    <x v="4"/>
    <x v="3"/>
    <x v="2"/>
    <s v="$84.57"/>
    <s v="Wednesday"/>
    <x v="0"/>
    <x v="0"/>
    <b v="0"/>
    <b v="0"/>
    <s v="Standard order"/>
    <n v="4.2284999999999995"/>
    <x v="16"/>
    <n v="422.84999999999997"/>
    <m/>
  </r>
  <r>
    <s v="ORD-2253"/>
    <d v="2024-12-03T00:00:00"/>
    <s v="CUST-170"/>
    <x v="16"/>
    <x v="0"/>
    <x v="0"/>
    <x v="0"/>
    <x v="17"/>
    <s v="$130.07"/>
    <s v="Tuesday"/>
    <x v="1"/>
    <x v="0"/>
    <b v="0"/>
    <b v="1"/>
    <s v="Large Order"/>
    <n v="6.5034999999999998"/>
    <x v="8"/>
    <n v="2081.12"/>
    <m/>
  </r>
  <r>
    <s v="ORD-2254"/>
    <d v="2024-02-12T00:00:00"/>
    <s v="CUST-140"/>
    <x v="0"/>
    <x v="2"/>
    <x v="3"/>
    <x v="0"/>
    <x v="3"/>
    <s v="$146.06"/>
    <s v="Monday"/>
    <x v="5"/>
    <x v="0"/>
    <b v="0"/>
    <b v="1"/>
    <s v="Large Order"/>
    <n v="7.3030000000000008"/>
    <x v="19"/>
    <n v="2044.8400000000001"/>
    <m/>
  </r>
  <r>
    <s v="ORD-2255"/>
    <d v="2024-07-22T00:00:00"/>
    <s v="CUST-192"/>
    <x v="19"/>
    <x v="0"/>
    <x v="4"/>
    <x v="0"/>
    <x v="16"/>
    <s v="$145.48"/>
    <s v="Monday"/>
    <x v="8"/>
    <x v="0"/>
    <b v="0"/>
    <b v="1"/>
    <s v="Large Order"/>
    <n v="7.274"/>
    <x v="2"/>
    <n v="2764.12"/>
    <m/>
  </r>
  <r>
    <s v="ORD-2256"/>
    <d v="2024-09-24T00:00:00"/>
    <s v="CUST-185"/>
    <x v="3"/>
    <x v="2"/>
    <x v="1"/>
    <x v="2"/>
    <x v="17"/>
    <s v="$84.57"/>
    <s v="Tuesday"/>
    <x v="11"/>
    <x v="0"/>
    <b v="0"/>
    <b v="1"/>
    <s v="Large Order"/>
    <n v="4.2284999999999995"/>
    <x v="9"/>
    <n v="1353.12"/>
    <m/>
  </r>
  <r>
    <s v="ORD-2257"/>
    <d v="2024-11-03T00:00:00"/>
    <s v="CUST-115"/>
    <x v="9"/>
    <x v="1"/>
    <x v="3"/>
    <x v="2"/>
    <x v="11"/>
    <s v="$101.96"/>
    <s v="Sunday"/>
    <x v="0"/>
    <x v="0"/>
    <b v="1"/>
    <b v="1"/>
    <s v="Large Order"/>
    <n v="5.0979999999999999"/>
    <x v="6"/>
    <n v="1325.48"/>
    <m/>
  </r>
  <r>
    <s v="ORD-2258"/>
    <d v="2024-08-04T00:00:00"/>
    <s v="CUST-127"/>
    <x v="7"/>
    <x v="0"/>
    <x v="0"/>
    <x v="1"/>
    <x v="10"/>
    <s v="$107.34"/>
    <s v="Sunday"/>
    <x v="10"/>
    <x v="0"/>
    <b v="1"/>
    <b v="1"/>
    <s v="Large Order"/>
    <n v="5.3670000000000009"/>
    <x v="4"/>
    <n v="751.38"/>
    <m/>
  </r>
  <r>
    <s v="ORD-2259"/>
    <d v="2024-07-28T00:00:00"/>
    <s v="CUST-132"/>
    <x v="5"/>
    <x v="2"/>
    <x v="0"/>
    <x v="0"/>
    <x v="15"/>
    <s v="$64.61"/>
    <s v="Sunday"/>
    <x v="8"/>
    <x v="0"/>
    <b v="1"/>
    <b v="1"/>
    <s v="Large Order"/>
    <n v="3.2305000000000001"/>
    <x v="5"/>
    <n v="1162.98"/>
    <m/>
  </r>
  <r>
    <s v="ORD-2260"/>
    <d v="2024-06-11T00:00:00"/>
    <s v="CUST-169"/>
    <x v="6"/>
    <x v="1"/>
    <x v="2"/>
    <x v="2"/>
    <x v="7"/>
    <s v="$86.6"/>
    <s v="Tuesday"/>
    <x v="9"/>
    <x v="0"/>
    <b v="0"/>
    <b v="0"/>
    <s v="Large Order"/>
    <n v="4.33"/>
    <x v="14"/>
    <n v="692.8"/>
    <m/>
  </r>
  <r>
    <s v="ORD-2261"/>
    <d v="2024-07-04T00:00:00"/>
    <s v="CUST-160"/>
    <x v="14"/>
    <x v="2"/>
    <x v="3"/>
    <x v="4"/>
    <x v="1"/>
    <s v="$201.32"/>
    <s v="Thursday"/>
    <x v="8"/>
    <x v="0"/>
    <b v="0"/>
    <b v="0"/>
    <s v="Standard order"/>
    <n v="10.066000000000001"/>
    <x v="10"/>
    <n v="201.32"/>
    <m/>
  </r>
  <r>
    <s v="ORD-2262"/>
    <d v="2024-01-18T00:00:00"/>
    <s v="CUST-194"/>
    <x v="10"/>
    <x v="2"/>
    <x v="0"/>
    <x v="1"/>
    <x v="7"/>
    <s v="$46.19"/>
    <s v="Thursday"/>
    <x v="6"/>
    <x v="0"/>
    <b v="0"/>
    <b v="0"/>
    <s v="Standard order"/>
    <n v="2.3094999999999999"/>
    <x v="5"/>
    <n v="369.52"/>
    <m/>
  </r>
  <r>
    <s v="ORD-2263"/>
    <d v="2024-06-07T00:00:00"/>
    <s v="CUST-181"/>
    <x v="6"/>
    <x v="2"/>
    <x v="3"/>
    <x v="2"/>
    <x v="0"/>
    <s v="$86.6"/>
    <s v="Friday"/>
    <x v="9"/>
    <x v="0"/>
    <b v="0"/>
    <b v="0"/>
    <s v="Standard order"/>
    <n v="4.33"/>
    <x v="2"/>
    <n v="346.4"/>
    <m/>
  </r>
  <r>
    <s v="ORD-2264"/>
    <d v="2024-08-14T00:00:00"/>
    <s v="CUST-149"/>
    <x v="3"/>
    <x v="0"/>
    <x v="2"/>
    <x v="2"/>
    <x v="8"/>
    <s v="$84.57"/>
    <s v="Wednesday"/>
    <x v="10"/>
    <x v="0"/>
    <b v="0"/>
    <b v="1"/>
    <s v="Large Order"/>
    <n v="4.2284999999999995"/>
    <x v="1"/>
    <n v="845.69999999999993"/>
    <m/>
  </r>
  <r>
    <s v="ORD-2265"/>
    <d v="2024-06-01T00:00:00"/>
    <s v="CUST-126"/>
    <x v="2"/>
    <x v="0"/>
    <x v="2"/>
    <x v="1"/>
    <x v="9"/>
    <s v="$88.18"/>
    <s v="Saturday"/>
    <x v="9"/>
    <x v="0"/>
    <b v="1"/>
    <b v="1"/>
    <s v="Large Order"/>
    <n v="4.4090000000000007"/>
    <x v="4"/>
    <n v="969.98"/>
    <m/>
  </r>
  <r>
    <s v="ORD-2266"/>
    <d v="2024-01-18T00:00:00"/>
    <s v="CUST-135"/>
    <x v="5"/>
    <x v="0"/>
    <x v="2"/>
    <x v="3"/>
    <x v="3"/>
    <s v="$64.61"/>
    <s v="Thursday"/>
    <x v="6"/>
    <x v="0"/>
    <b v="0"/>
    <b v="1"/>
    <s v="Large Order"/>
    <n v="3.2305000000000001"/>
    <x v="22"/>
    <n v="904.54"/>
    <m/>
  </r>
  <r>
    <s v="ORD-2267"/>
    <d v="2024-08-04T00:00:00"/>
    <s v="CUST-112"/>
    <x v="22"/>
    <x v="0"/>
    <x v="3"/>
    <x v="4"/>
    <x v="13"/>
    <s v="$149.27"/>
    <s v="Sunday"/>
    <x v="10"/>
    <x v="0"/>
    <b v="1"/>
    <b v="0"/>
    <s v="Standard order"/>
    <n v="7.4635000000000007"/>
    <x v="10"/>
    <n v="447.81000000000006"/>
    <m/>
  </r>
  <r>
    <s v="ORD-2268"/>
    <d v="2024-10-07T00:00:00"/>
    <s v="CUST-194"/>
    <x v="10"/>
    <x v="1"/>
    <x v="2"/>
    <x v="2"/>
    <x v="1"/>
    <s v="$46.19"/>
    <s v="Monday"/>
    <x v="3"/>
    <x v="0"/>
    <b v="0"/>
    <b v="0"/>
    <s v="Standard order"/>
    <n v="2.3094999999999999"/>
    <x v="18"/>
    <n v="46.19"/>
    <m/>
  </r>
  <r>
    <s v="ORD-2269"/>
    <d v="2024-11-18T00:00:00"/>
    <s v="CUST-156"/>
    <x v="18"/>
    <x v="2"/>
    <x v="4"/>
    <x v="3"/>
    <x v="11"/>
    <s v="$230.68"/>
    <s v="Monday"/>
    <x v="0"/>
    <x v="0"/>
    <b v="0"/>
    <b v="1"/>
    <s v="Large Order"/>
    <n v="11.534000000000001"/>
    <x v="6"/>
    <n v="2998.84"/>
    <m/>
  </r>
  <r>
    <s v="ORD-2270"/>
    <d v="2024-06-09T00:00:00"/>
    <s v="CUST-173"/>
    <x v="7"/>
    <x v="0"/>
    <x v="0"/>
    <x v="2"/>
    <x v="7"/>
    <s v="$107.34"/>
    <s v="Sunday"/>
    <x v="9"/>
    <x v="0"/>
    <b v="1"/>
    <b v="1"/>
    <s v="Large Order"/>
    <n v="5.3670000000000009"/>
    <x v="12"/>
    <n v="858.72"/>
    <m/>
  </r>
  <r>
    <s v="ORD-2271"/>
    <d v="2024-10-31T00:00:00"/>
    <s v="CUST-187"/>
    <x v="12"/>
    <x v="1"/>
    <x v="3"/>
    <x v="2"/>
    <x v="17"/>
    <s v="$211.9"/>
    <s v="Thursday"/>
    <x v="3"/>
    <x v="0"/>
    <b v="0"/>
    <b v="1"/>
    <s v="Large Order"/>
    <n v="10.595000000000001"/>
    <x v="13"/>
    <n v="3390.4"/>
    <m/>
  </r>
  <r>
    <s v="ORD-2272"/>
    <d v="2024-05-13T00:00:00"/>
    <s v="CUST-122"/>
    <x v="13"/>
    <x v="2"/>
    <x v="1"/>
    <x v="1"/>
    <x v="8"/>
    <s v="$156.44"/>
    <s v="Monday"/>
    <x v="7"/>
    <x v="0"/>
    <b v="0"/>
    <b v="1"/>
    <s v="Large Order"/>
    <n v="7.8220000000000001"/>
    <x v="9"/>
    <n v="1564.4"/>
    <m/>
  </r>
  <r>
    <s v="ORD-2273"/>
    <d v="2024-07-07T00:00:00"/>
    <s v="CUST-123"/>
    <x v="9"/>
    <x v="1"/>
    <x v="2"/>
    <x v="0"/>
    <x v="7"/>
    <s v="$101.96"/>
    <s v="Sunday"/>
    <x v="8"/>
    <x v="0"/>
    <b v="1"/>
    <b v="1"/>
    <s v="Large Order"/>
    <n v="5.0979999999999999"/>
    <x v="8"/>
    <n v="815.68"/>
    <m/>
  </r>
  <r>
    <s v="ORD-2274"/>
    <d v="2024-10-12T00:00:00"/>
    <s v="CUST-182"/>
    <x v="0"/>
    <x v="2"/>
    <x v="4"/>
    <x v="2"/>
    <x v="12"/>
    <s v="$146.06"/>
    <s v="Saturday"/>
    <x v="3"/>
    <x v="0"/>
    <b v="1"/>
    <b v="1"/>
    <s v="Large Order"/>
    <n v="7.3030000000000008"/>
    <x v="20"/>
    <n v="2190.9"/>
    <m/>
  </r>
  <r>
    <s v="ORD-2275"/>
    <d v="2024-01-26T00:00:00"/>
    <s v="CUST-151"/>
    <x v="20"/>
    <x v="2"/>
    <x v="2"/>
    <x v="3"/>
    <x v="14"/>
    <s v="$81.02"/>
    <s v="Friday"/>
    <x v="6"/>
    <x v="0"/>
    <b v="0"/>
    <b v="0"/>
    <s v="Large Order"/>
    <n v="4.0510000000000002"/>
    <x v="10"/>
    <n v="729.18"/>
    <m/>
  </r>
  <r>
    <s v="ORD-2276"/>
    <d v="2024-03-28T00:00:00"/>
    <s v="CUST-172"/>
    <x v="10"/>
    <x v="0"/>
    <x v="0"/>
    <x v="1"/>
    <x v="18"/>
    <s v="$46.19"/>
    <s v="Thursday"/>
    <x v="4"/>
    <x v="0"/>
    <b v="0"/>
    <b v="1"/>
    <s v="Large Order"/>
    <n v="2.3094999999999999"/>
    <x v="10"/>
    <n v="785.23"/>
    <m/>
  </r>
  <r>
    <s v="ORD-2277"/>
    <d v="2024-12-10T00:00:00"/>
    <s v="CUST-163"/>
    <x v="10"/>
    <x v="0"/>
    <x v="4"/>
    <x v="3"/>
    <x v="10"/>
    <s v="$46.19"/>
    <s v="Tuesday"/>
    <x v="1"/>
    <x v="0"/>
    <b v="0"/>
    <b v="0"/>
    <s v="Standard order"/>
    <n v="2.3094999999999999"/>
    <x v="0"/>
    <n v="323.33"/>
    <m/>
  </r>
  <r>
    <s v="ORD-2278"/>
    <d v="2024-05-27T00:00:00"/>
    <s v="CUST-195"/>
    <x v="1"/>
    <x v="1"/>
    <x v="2"/>
    <x v="4"/>
    <x v="3"/>
    <s v="$178.83"/>
    <s v="Monday"/>
    <x v="7"/>
    <x v="0"/>
    <b v="0"/>
    <b v="1"/>
    <s v="Large Order"/>
    <n v="8.9415000000000013"/>
    <x v="17"/>
    <n v="2503.6200000000003"/>
    <m/>
  </r>
  <r>
    <s v="ORD-2279"/>
    <d v="2024-04-20T00:00:00"/>
    <s v="CUST-136"/>
    <x v="17"/>
    <x v="2"/>
    <x v="4"/>
    <x v="2"/>
    <x v="6"/>
    <s v="$26.59"/>
    <s v="Saturday"/>
    <x v="2"/>
    <x v="0"/>
    <b v="1"/>
    <b v="0"/>
    <s v="Standard order"/>
    <n v="1.3295000000000001"/>
    <x v="20"/>
    <n v="159.54"/>
    <m/>
  </r>
  <r>
    <s v="ORD-2280"/>
    <d v="2024-01-15T00:00:00"/>
    <s v="CUST-137"/>
    <x v="20"/>
    <x v="1"/>
    <x v="4"/>
    <x v="3"/>
    <x v="12"/>
    <s v="$81.02"/>
    <s v="Monday"/>
    <x v="6"/>
    <x v="0"/>
    <b v="0"/>
    <b v="1"/>
    <s v="Large Order"/>
    <n v="4.0510000000000002"/>
    <x v="8"/>
    <n v="1215.3"/>
    <m/>
  </r>
  <r>
    <s v="ORD-2281"/>
    <d v="2024-10-25T00:00:00"/>
    <s v="CUST-187"/>
    <x v="0"/>
    <x v="2"/>
    <x v="2"/>
    <x v="3"/>
    <x v="1"/>
    <s v="$146.06"/>
    <s v="Friday"/>
    <x v="3"/>
    <x v="0"/>
    <b v="0"/>
    <b v="0"/>
    <s v="Standard order"/>
    <n v="7.3030000000000008"/>
    <x v="10"/>
    <n v="146.06"/>
    <m/>
  </r>
  <r>
    <s v="ORD-2282"/>
    <d v="2024-12-20T00:00:00"/>
    <s v="CUST-150"/>
    <x v="10"/>
    <x v="2"/>
    <x v="4"/>
    <x v="4"/>
    <x v="11"/>
    <s v="$46.19"/>
    <s v="Friday"/>
    <x v="1"/>
    <x v="0"/>
    <b v="0"/>
    <b v="0"/>
    <s v="Large Order"/>
    <n v="2.3094999999999999"/>
    <x v="15"/>
    <n v="600.47"/>
    <m/>
  </r>
  <r>
    <s v="ORD-2283"/>
    <d v="2024-05-11T00:00:00"/>
    <s v="CUST-109"/>
    <x v="15"/>
    <x v="0"/>
    <x v="1"/>
    <x v="2"/>
    <x v="4"/>
    <s v="$216.22"/>
    <s v="Saturday"/>
    <x v="7"/>
    <x v="0"/>
    <b v="1"/>
    <b v="0"/>
    <s v="Standard order"/>
    <n v="10.811"/>
    <x v="10"/>
    <n v="432.44"/>
    <m/>
  </r>
  <r>
    <s v="ORD-2284"/>
    <d v="2024-08-29T00:00:00"/>
    <s v="CUST-145"/>
    <x v="10"/>
    <x v="2"/>
    <x v="1"/>
    <x v="4"/>
    <x v="4"/>
    <s v="$46.19"/>
    <s v="Thursday"/>
    <x v="10"/>
    <x v="0"/>
    <b v="0"/>
    <b v="0"/>
    <s v="Standard order"/>
    <n v="2.3094999999999999"/>
    <x v="5"/>
    <n v="92.38"/>
    <m/>
  </r>
  <r>
    <s v="ORD-2285"/>
    <d v="2024-11-13T00:00:00"/>
    <s v="CUST-148"/>
    <x v="6"/>
    <x v="1"/>
    <x v="2"/>
    <x v="4"/>
    <x v="5"/>
    <s v="$86.6"/>
    <s v="Wednesday"/>
    <x v="0"/>
    <x v="0"/>
    <b v="0"/>
    <b v="1"/>
    <s v="Large Order"/>
    <n v="4.33"/>
    <x v="6"/>
    <n v="1039.1999999999998"/>
    <m/>
  </r>
  <r>
    <s v="ORD-2286"/>
    <d v="2024-01-22T00:00:00"/>
    <s v="CUST-174"/>
    <x v="7"/>
    <x v="0"/>
    <x v="3"/>
    <x v="3"/>
    <x v="18"/>
    <s v="$107.34"/>
    <s v="Monday"/>
    <x v="6"/>
    <x v="0"/>
    <b v="0"/>
    <b v="1"/>
    <s v="Large Order"/>
    <n v="5.3670000000000009"/>
    <x v="10"/>
    <n v="1824.78"/>
    <m/>
  </r>
  <r>
    <s v="ORD-2287"/>
    <d v="2024-08-27T00:00:00"/>
    <s v="CUST-116"/>
    <x v="10"/>
    <x v="0"/>
    <x v="3"/>
    <x v="3"/>
    <x v="18"/>
    <s v="$46.19"/>
    <s v="Tuesday"/>
    <x v="10"/>
    <x v="0"/>
    <b v="0"/>
    <b v="1"/>
    <s v="Large Order"/>
    <n v="2.3094999999999999"/>
    <x v="4"/>
    <n v="785.23"/>
    <m/>
  </r>
  <r>
    <s v="ORD-2288"/>
    <d v="2024-02-29T00:00:00"/>
    <s v="CUST-140"/>
    <x v="5"/>
    <x v="0"/>
    <x v="4"/>
    <x v="1"/>
    <x v="14"/>
    <s v="$64.61"/>
    <s v="Thursday"/>
    <x v="5"/>
    <x v="0"/>
    <b v="0"/>
    <b v="0"/>
    <s v="Large Order"/>
    <n v="3.2305000000000001"/>
    <x v="22"/>
    <n v="581.49"/>
    <m/>
  </r>
  <r>
    <s v="ORD-2289"/>
    <d v="2024-05-24T00:00:00"/>
    <s v="CUST-133"/>
    <x v="22"/>
    <x v="2"/>
    <x v="3"/>
    <x v="2"/>
    <x v="9"/>
    <s v="$149.27"/>
    <s v="Friday"/>
    <x v="7"/>
    <x v="0"/>
    <b v="0"/>
    <b v="1"/>
    <s v="Large Order"/>
    <n v="7.4635000000000007"/>
    <x v="23"/>
    <n v="1641.97"/>
    <m/>
  </r>
  <r>
    <s v="ORD-2290"/>
    <d v="2024-06-10T00:00:00"/>
    <s v="CUST-194"/>
    <x v="23"/>
    <x v="1"/>
    <x v="4"/>
    <x v="2"/>
    <x v="12"/>
    <s v="$133.37"/>
    <s v="Monday"/>
    <x v="9"/>
    <x v="0"/>
    <b v="0"/>
    <b v="1"/>
    <s v="Large Order"/>
    <n v="6.6685000000000008"/>
    <x v="4"/>
    <n v="2000.5500000000002"/>
    <m/>
  </r>
  <r>
    <s v="ORD-2291"/>
    <d v="2024-01-28T00:00:00"/>
    <s v="CUST-129"/>
    <x v="5"/>
    <x v="0"/>
    <x v="0"/>
    <x v="1"/>
    <x v="14"/>
    <s v="$64.61"/>
    <s v="Sunday"/>
    <x v="6"/>
    <x v="0"/>
    <b v="1"/>
    <b v="0"/>
    <s v="Large Order"/>
    <n v="3.2305000000000001"/>
    <x v="12"/>
    <n v="581.49"/>
    <m/>
  </r>
  <r>
    <s v="ORD-2292"/>
    <d v="2024-08-11T00:00:00"/>
    <s v="CUST-114"/>
    <x v="12"/>
    <x v="1"/>
    <x v="0"/>
    <x v="4"/>
    <x v="5"/>
    <s v="$211.9"/>
    <s v="Sunday"/>
    <x v="10"/>
    <x v="0"/>
    <b v="1"/>
    <b v="1"/>
    <s v="Large Order"/>
    <n v="10.595000000000001"/>
    <x v="16"/>
    <n v="2542.8000000000002"/>
    <m/>
  </r>
  <r>
    <s v="ORD-2293"/>
    <d v="2024-09-05T00:00:00"/>
    <s v="CUST-158"/>
    <x v="16"/>
    <x v="1"/>
    <x v="0"/>
    <x v="0"/>
    <x v="2"/>
    <s v="$130.07"/>
    <s v="Thursday"/>
    <x v="11"/>
    <x v="0"/>
    <b v="0"/>
    <b v="0"/>
    <s v="Large Order"/>
    <n v="6.5034999999999998"/>
    <x v="16"/>
    <n v="650.34999999999991"/>
    <m/>
  </r>
  <r>
    <s v="ORD-2294"/>
    <d v="2024-04-14T00:00:00"/>
    <s v="CUST-136"/>
    <x v="16"/>
    <x v="0"/>
    <x v="4"/>
    <x v="4"/>
    <x v="18"/>
    <s v="$130.07"/>
    <s v="Sunday"/>
    <x v="2"/>
    <x v="0"/>
    <b v="1"/>
    <b v="1"/>
    <s v="Large Order"/>
    <n v="6.5034999999999998"/>
    <x v="18"/>
    <n v="2211.19"/>
    <m/>
  </r>
  <r>
    <s v="ORD-2295"/>
    <d v="2024-12-05T00:00:00"/>
    <s v="CUST-174"/>
    <x v="18"/>
    <x v="0"/>
    <x v="1"/>
    <x v="2"/>
    <x v="18"/>
    <s v="$230.68"/>
    <s v="Thursday"/>
    <x v="1"/>
    <x v="0"/>
    <b v="0"/>
    <b v="1"/>
    <s v="Large Order"/>
    <n v="11.534000000000001"/>
    <x v="5"/>
    <n v="3921.56"/>
    <m/>
  </r>
  <r>
    <s v="ORD-2296"/>
    <d v="2024-08-01T00:00:00"/>
    <s v="CUST-109"/>
    <x v="6"/>
    <x v="0"/>
    <x v="2"/>
    <x v="0"/>
    <x v="0"/>
    <s v="$86.6"/>
    <s v="Thursday"/>
    <x v="10"/>
    <x v="0"/>
    <b v="0"/>
    <b v="0"/>
    <s v="Standard order"/>
    <n v="4.33"/>
    <x v="3"/>
    <n v="346.4"/>
    <m/>
  </r>
  <r>
    <s v="ORD-2297"/>
    <d v="2024-05-25T00:00:00"/>
    <s v="CUST-187"/>
    <x v="4"/>
    <x v="2"/>
    <x v="0"/>
    <x v="0"/>
    <x v="5"/>
    <s v="$230.34"/>
    <s v="Saturday"/>
    <x v="7"/>
    <x v="0"/>
    <b v="1"/>
    <b v="1"/>
    <s v="Large Order"/>
    <n v="11.517000000000001"/>
    <x v="12"/>
    <n v="2764.08"/>
    <m/>
  </r>
  <r>
    <s v="ORD-2298"/>
    <d v="2024-06-14T00:00:00"/>
    <s v="CUST-119"/>
    <x v="12"/>
    <x v="0"/>
    <x v="0"/>
    <x v="3"/>
    <x v="17"/>
    <s v="$211.9"/>
    <s v="Friday"/>
    <x v="9"/>
    <x v="0"/>
    <b v="0"/>
    <b v="1"/>
    <s v="Large Order"/>
    <n v="10.595000000000001"/>
    <x v="15"/>
    <n v="3390.4"/>
    <m/>
  </r>
  <r>
    <s v="ORD-2299"/>
    <d v="2024-10-31T00:00:00"/>
    <s v="CUST-184"/>
    <x v="15"/>
    <x v="0"/>
    <x v="3"/>
    <x v="3"/>
    <x v="19"/>
    <s v="$216.22"/>
    <s v="Thursday"/>
    <x v="3"/>
    <x v="0"/>
    <b v="0"/>
    <b v="1"/>
    <s v="Large Order"/>
    <n v="10.811"/>
    <x v="18"/>
    <n v="4324.3999999999996"/>
    <m/>
  </r>
  <r>
    <s v="ORD-2300"/>
    <d v="2024-11-23T00:00:00"/>
    <s v="CUST-114"/>
    <x v="18"/>
    <x v="2"/>
    <x v="3"/>
    <x v="2"/>
    <x v="7"/>
    <s v="$230.68"/>
    <s v="Saturday"/>
    <x v="0"/>
    <x v="0"/>
    <b v="1"/>
    <b v="1"/>
    <s v="Large Order"/>
    <n v="11.534000000000001"/>
    <x v="16"/>
    <n v="1845.44"/>
    <m/>
  </r>
  <r>
    <s v="ORD-2301"/>
    <d v="2024-02-22T00:00:00"/>
    <s v="CUST-186"/>
    <x v="16"/>
    <x v="2"/>
    <x v="0"/>
    <x v="4"/>
    <x v="3"/>
    <s v="$130.07"/>
    <s v="Thursday"/>
    <x v="5"/>
    <x v="0"/>
    <b v="0"/>
    <b v="1"/>
    <s v="Large Order"/>
    <n v="6.5034999999999998"/>
    <x v="24"/>
    <n v="1820.98"/>
    <m/>
  </r>
  <r>
    <s v="ORD-2302"/>
    <d v="2024-02-17T00:00:00"/>
    <s v="CUST-127"/>
    <x v="24"/>
    <x v="2"/>
    <x v="1"/>
    <x v="0"/>
    <x v="15"/>
    <s v="$10.11"/>
    <s v="Saturday"/>
    <x v="5"/>
    <x v="0"/>
    <b v="1"/>
    <b v="0"/>
    <s v="Standard order"/>
    <n v="0.50549999999999995"/>
    <x v="23"/>
    <n v="181.98"/>
    <m/>
  </r>
  <r>
    <s v="ORD-2303"/>
    <d v="2024-11-28T00:00:00"/>
    <s v="CUST-189"/>
    <x v="23"/>
    <x v="1"/>
    <x v="4"/>
    <x v="1"/>
    <x v="16"/>
    <s v="$133.37"/>
    <s v="Thursday"/>
    <x v="0"/>
    <x v="0"/>
    <b v="0"/>
    <b v="1"/>
    <s v="Large Order"/>
    <n v="6.6685000000000008"/>
    <x v="6"/>
    <n v="2534.0300000000002"/>
    <m/>
  </r>
  <r>
    <s v="ORD-2304"/>
    <d v="2024-01-04T00:00:00"/>
    <s v="CUST-197"/>
    <x v="7"/>
    <x v="2"/>
    <x v="2"/>
    <x v="3"/>
    <x v="14"/>
    <s v="$107.34"/>
    <s v="Thursday"/>
    <x v="6"/>
    <x v="0"/>
    <b v="0"/>
    <b v="1"/>
    <s v="Large Order"/>
    <n v="5.3670000000000009"/>
    <x v="8"/>
    <n v="966.06000000000006"/>
    <m/>
  </r>
  <r>
    <s v="ORD-2305"/>
    <d v="2024-06-21T00:00:00"/>
    <s v="CUST-113"/>
    <x v="0"/>
    <x v="1"/>
    <x v="0"/>
    <x v="3"/>
    <x v="5"/>
    <s v="$146.06"/>
    <s v="Friday"/>
    <x v="9"/>
    <x v="0"/>
    <b v="0"/>
    <b v="1"/>
    <s v="Large Order"/>
    <n v="7.3030000000000008"/>
    <x v="12"/>
    <n v="1752.72"/>
    <m/>
  </r>
  <r>
    <s v="ORD-2306"/>
    <d v="2024-01-23T00:00:00"/>
    <s v="CUST-193"/>
    <x v="12"/>
    <x v="2"/>
    <x v="0"/>
    <x v="1"/>
    <x v="13"/>
    <s v="$211.9"/>
    <s v="Tuesday"/>
    <x v="6"/>
    <x v="0"/>
    <b v="0"/>
    <b v="0"/>
    <s v="Large Order"/>
    <n v="10.595000000000001"/>
    <x v="7"/>
    <n v="635.70000000000005"/>
    <m/>
  </r>
  <r>
    <s v="ORD-2307"/>
    <d v="2024-11-17T00:00:00"/>
    <s v="CUST-179"/>
    <x v="8"/>
    <x v="2"/>
    <x v="4"/>
    <x v="0"/>
    <x v="4"/>
    <s v="$208.85"/>
    <s v="Sunday"/>
    <x v="0"/>
    <x v="0"/>
    <b v="1"/>
    <b v="0"/>
    <s v="Standard order"/>
    <n v="10.442500000000001"/>
    <x v="24"/>
    <n v="417.7"/>
    <m/>
  </r>
  <r>
    <s v="ORD-2308"/>
    <d v="2024-05-28T00:00:00"/>
    <s v="CUST-110"/>
    <x v="24"/>
    <x v="0"/>
    <x v="2"/>
    <x v="3"/>
    <x v="12"/>
    <s v="$10.11"/>
    <s v="Tuesday"/>
    <x v="7"/>
    <x v="0"/>
    <b v="0"/>
    <b v="0"/>
    <s v="Standard order"/>
    <n v="0.50549999999999995"/>
    <x v="7"/>
    <n v="151.64999999999998"/>
    <m/>
  </r>
  <r>
    <s v="ORD-2309"/>
    <d v="2024-07-05T00:00:00"/>
    <s v="CUST-120"/>
    <x v="8"/>
    <x v="1"/>
    <x v="4"/>
    <x v="3"/>
    <x v="13"/>
    <s v="$208.85"/>
    <s v="Friday"/>
    <x v="8"/>
    <x v="0"/>
    <b v="0"/>
    <b v="0"/>
    <s v="Large Order"/>
    <n v="10.442500000000001"/>
    <x v="16"/>
    <n v="626.54999999999995"/>
    <m/>
  </r>
  <r>
    <s v="ORD-2310"/>
    <d v="2024-03-28T00:00:00"/>
    <s v="CUST-168"/>
    <x v="16"/>
    <x v="0"/>
    <x v="4"/>
    <x v="1"/>
    <x v="11"/>
    <s v="$130.07"/>
    <s v="Thursday"/>
    <x v="4"/>
    <x v="0"/>
    <b v="0"/>
    <b v="1"/>
    <s v="Large Order"/>
    <n v="6.5034999999999998"/>
    <x v="23"/>
    <n v="1690.9099999999999"/>
    <m/>
  </r>
  <r>
    <s v="ORD-2311"/>
    <d v="2024-11-23T00:00:00"/>
    <s v="CUST-188"/>
    <x v="23"/>
    <x v="0"/>
    <x v="3"/>
    <x v="0"/>
    <x v="7"/>
    <s v="$133.37"/>
    <s v="Saturday"/>
    <x v="0"/>
    <x v="0"/>
    <b v="1"/>
    <b v="1"/>
    <s v="Large Order"/>
    <n v="6.6685000000000008"/>
    <x v="2"/>
    <n v="1066.96"/>
    <m/>
  </r>
  <r>
    <s v="ORD-2312"/>
    <d v="2024-06-10T00:00:00"/>
    <s v="CUST-151"/>
    <x v="3"/>
    <x v="0"/>
    <x v="4"/>
    <x v="4"/>
    <x v="9"/>
    <s v="$84.57"/>
    <s v="Monday"/>
    <x v="9"/>
    <x v="0"/>
    <b v="0"/>
    <b v="1"/>
    <s v="Large Order"/>
    <n v="4.2284999999999995"/>
    <x v="1"/>
    <n v="930.27"/>
    <m/>
  </r>
  <r>
    <s v="ORD-2313"/>
    <d v="2024-09-12T00:00:00"/>
    <s v="CUST-150"/>
    <x v="2"/>
    <x v="1"/>
    <x v="4"/>
    <x v="3"/>
    <x v="2"/>
    <s v="$88.18"/>
    <s v="Thursday"/>
    <x v="11"/>
    <x v="0"/>
    <b v="0"/>
    <b v="0"/>
    <s v="Standard order"/>
    <n v="4.4090000000000007"/>
    <x v="2"/>
    <n v="440.90000000000003"/>
    <m/>
  </r>
  <r>
    <s v="ORD-2314"/>
    <d v="2024-10-14T00:00:00"/>
    <s v="CUST-168"/>
    <x v="3"/>
    <x v="2"/>
    <x v="1"/>
    <x v="1"/>
    <x v="16"/>
    <s v="$84.57"/>
    <s v="Monday"/>
    <x v="3"/>
    <x v="0"/>
    <b v="0"/>
    <b v="1"/>
    <s v="Large Order"/>
    <n v="4.2284999999999995"/>
    <x v="22"/>
    <n v="1606.83"/>
    <m/>
  </r>
  <r>
    <s v="ORD-2315"/>
    <d v="2024-04-22T00:00:00"/>
    <s v="CUST-117"/>
    <x v="22"/>
    <x v="1"/>
    <x v="0"/>
    <x v="0"/>
    <x v="0"/>
    <s v="$149.27"/>
    <s v="Monday"/>
    <x v="2"/>
    <x v="0"/>
    <b v="0"/>
    <b v="0"/>
    <s v="Large Order"/>
    <n v="7.4635000000000007"/>
    <x v="17"/>
    <n v="597.08000000000004"/>
    <m/>
  </r>
  <r>
    <s v="ORD-2316"/>
    <d v="2024-03-22T00:00:00"/>
    <s v="CUST-187"/>
    <x v="17"/>
    <x v="2"/>
    <x v="0"/>
    <x v="1"/>
    <x v="11"/>
    <s v="$26.59"/>
    <s v="Friday"/>
    <x v="4"/>
    <x v="0"/>
    <b v="0"/>
    <b v="0"/>
    <s v="Standard order"/>
    <n v="1.3295000000000001"/>
    <x v="2"/>
    <n v="345.67"/>
    <m/>
  </r>
  <r>
    <s v="ORD-2317"/>
    <d v="2024-08-27T00:00:00"/>
    <s v="CUST-167"/>
    <x v="3"/>
    <x v="2"/>
    <x v="0"/>
    <x v="0"/>
    <x v="15"/>
    <s v="$84.57"/>
    <s v="Tuesday"/>
    <x v="10"/>
    <x v="0"/>
    <b v="0"/>
    <b v="1"/>
    <s v="Large Order"/>
    <n v="4.2284999999999995"/>
    <x v="19"/>
    <n v="1522.2599999999998"/>
    <m/>
  </r>
  <r>
    <s v="ORD-2318"/>
    <d v="2024-11-24T00:00:00"/>
    <s v="CUST-143"/>
    <x v="19"/>
    <x v="1"/>
    <x v="2"/>
    <x v="2"/>
    <x v="12"/>
    <s v="$145.48"/>
    <s v="Sunday"/>
    <x v="0"/>
    <x v="0"/>
    <b v="1"/>
    <b v="1"/>
    <s v="Large Order"/>
    <n v="7.274"/>
    <x v="21"/>
    <n v="2182.1999999999998"/>
    <m/>
  </r>
  <r>
    <s v="ORD-2319"/>
    <d v="2024-05-14T00:00:00"/>
    <s v="CUST-164"/>
    <x v="21"/>
    <x v="0"/>
    <x v="1"/>
    <x v="0"/>
    <x v="8"/>
    <s v="$32.94"/>
    <s v="Tuesday"/>
    <x v="7"/>
    <x v="0"/>
    <b v="0"/>
    <b v="0"/>
    <s v="Standard order"/>
    <n v="1.647"/>
    <x v="11"/>
    <n v="329.4"/>
    <m/>
  </r>
  <r>
    <s v="ORD-2320"/>
    <d v="2024-09-16T00:00:00"/>
    <s v="CUST-177"/>
    <x v="11"/>
    <x v="0"/>
    <x v="3"/>
    <x v="2"/>
    <x v="15"/>
    <s v="$33.22"/>
    <s v="Monday"/>
    <x v="11"/>
    <x v="0"/>
    <b v="0"/>
    <b v="0"/>
    <s v="Large Order"/>
    <n v="1.661"/>
    <x v="20"/>
    <n v="597.96"/>
    <m/>
  </r>
  <r>
    <s v="ORD-2321"/>
    <d v="2024-09-28T00:00:00"/>
    <s v="CUST-100"/>
    <x v="20"/>
    <x v="1"/>
    <x v="2"/>
    <x v="0"/>
    <x v="0"/>
    <s v="$81.02"/>
    <s v="Saturday"/>
    <x v="11"/>
    <x v="0"/>
    <b v="1"/>
    <b v="0"/>
    <s v="Standard order"/>
    <n v="4.0510000000000002"/>
    <x v="15"/>
    <n v="324.08"/>
    <m/>
  </r>
  <r>
    <s v="ORD-2322"/>
    <d v="2024-06-06T00:00:00"/>
    <s v="CUST-130"/>
    <x v="15"/>
    <x v="0"/>
    <x v="1"/>
    <x v="0"/>
    <x v="13"/>
    <s v="$216.22"/>
    <s v="Thursday"/>
    <x v="9"/>
    <x v="0"/>
    <b v="0"/>
    <b v="0"/>
    <s v="Large Order"/>
    <n v="10.811"/>
    <x v="23"/>
    <n v="648.66"/>
    <m/>
  </r>
  <r>
    <s v="ORD-2323"/>
    <d v="2024-02-05T00:00:00"/>
    <s v="CUST-197"/>
    <x v="23"/>
    <x v="0"/>
    <x v="4"/>
    <x v="1"/>
    <x v="15"/>
    <s v="$133.37"/>
    <s v="Monday"/>
    <x v="5"/>
    <x v="0"/>
    <b v="0"/>
    <b v="1"/>
    <s v="Large Order"/>
    <n v="6.6685000000000008"/>
    <x v="17"/>
    <n v="2400.66"/>
    <m/>
  </r>
  <r>
    <s v="ORD-2324"/>
    <d v="2024-09-27T00:00:00"/>
    <s v="CUST-177"/>
    <x v="17"/>
    <x v="0"/>
    <x v="1"/>
    <x v="2"/>
    <x v="8"/>
    <s v="$26.59"/>
    <s v="Friday"/>
    <x v="11"/>
    <x v="0"/>
    <b v="0"/>
    <b v="0"/>
    <s v="Standard order"/>
    <n v="1.3295000000000001"/>
    <x v="7"/>
    <n v="265.89999999999998"/>
    <m/>
  </r>
  <r>
    <s v="ORD-2325"/>
    <d v="2024-12-09T00:00:00"/>
    <s v="CUST-183"/>
    <x v="8"/>
    <x v="1"/>
    <x v="1"/>
    <x v="1"/>
    <x v="0"/>
    <s v="$208.85"/>
    <s v="Monday"/>
    <x v="1"/>
    <x v="0"/>
    <b v="0"/>
    <b v="0"/>
    <s v="Large Order"/>
    <n v="10.442500000000001"/>
    <x v="18"/>
    <n v="835.4"/>
    <m/>
  </r>
  <r>
    <s v="ORD-2326"/>
    <d v="2024-02-02T00:00:00"/>
    <s v="CUST-143"/>
    <x v="18"/>
    <x v="2"/>
    <x v="1"/>
    <x v="2"/>
    <x v="16"/>
    <s v="$230.68"/>
    <s v="Friday"/>
    <x v="5"/>
    <x v="0"/>
    <b v="0"/>
    <b v="1"/>
    <s v="Large Order"/>
    <n v="11.534000000000001"/>
    <x v="1"/>
    <n v="4382.92"/>
    <m/>
  </r>
  <r>
    <s v="ORD-2327"/>
    <d v="2024-02-06T00:00:00"/>
    <s v="CUST-190"/>
    <x v="2"/>
    <x v="0"/>
    <x v="4"/>
    <x v="0"/>
    <x v="4"/>
    <s v="$88.18"/>
    <s v="Tuesday"/>
    <x v="5"/>
    <x v="0"/>
    <b v="0"/>
    <b v="0"/>
    <s v="Standard order"/>
    <n v="4.4090000000000007"/>
    <x v="24"/>
    <n v="176.36"/>
    <m/>
  </r>
  <r>
    <s v="ORD-2328"/>
    <d v="2024-02-06T00:00:00"/>
    <s v="CUST-165"/>
    <x v="24"/>
    <x v="1"/>
    <x v="2"/>
    <x v="2"/>
    <x v="15"/>
    <s v="$10.11"/>
    <s v="Tuesday"/>
    <x v="5"/>
    <x v="0"/>
    <b v="0"/>
    <b v="0"/>
    <s v="Standard order"/>
    <n v="0.50549999999999995"/>
    <x v="4"/>
    <n v="181.98"/>
    <m/>
  </r>
  <r>
    <s v="ORD-2329"/>
    <d v="2024-10-19T00:00:00"/>
    <s v="CUST-173"/>
    <x v="5"/>
    <x v="0"/>
    <x v="2"/>
    <x v="1"/>
    <x v="10"/>
    <s v="$64.61"/>
    <s v="Saturday"/>
    <x v="3"/>
    <x v="0"/>
    <b v="1"/>
    <b v="0"/>
    <s v="Standard order"/>
    <n v="3.2305000000000001"/>
    <x v="7"/>
    <n v="452.27"/>
    <m/>
  </r>
  <r>
    <s v="ORD-2330"/>
    <d v="2024-12-03T00:00:00"/>
    <s v="CUST-155"/>
    <x v="8"/>
    <x v="1"/>
    <x v="2"/>
    <x v="1"/>
    <x v="4"/>
    <s v="$208.85"/>
    <s v="Tuesday"/>
    <x v="1"/>
    <x v="0"/>
    <b v="0"/>
    <b v="0"/>
    <s v="Standard order"/>
    <n v="10.442500000000001"/>
    <x v="15"/>
    <n v="417.7"/>
    <m/>
  </r>
  <r>
    <s v="ORD-2331"/>
    <d v="2024-11-26T00:00:00"/>
    <s v="CUST-112"/>
    <x v="15"/>
    <x v="1"/>
    <x v="3"/>
    <x v="0"/>
    <x v="7"/>
    <s v="$216.22"/>
    <s v="Tuesday"/>
    <x v="0"/>
    <x v="0"/>
    <b v="0"/>
    <b v="1"/>
    <s v="Large Order"/>
    <n v="10.811"/>
    <x v="0"/>
    <n v="1729.76"/>
    <m/>
  </r>
  <r>
    <s v="ORD-2332"/>
    <d v="2024-10-01T00:00:00"/>
    <s v="CUST-157"/>
    <x v="1"/>
    <x v="1"/>
    <x v="4"/>
    <x v="3"/>
    <x v="12"/>
    <s v="$178.83"/>
    <s v="Tuesday"/>
    <x v="3"/>
    <x v="0"/>
    <b v="0"/>
    <b v="1"/>
    <s v="Large Order"/>
    <n v="8.9415000000000013"/>
    <x v="23"/>
    <n v="2682.4500000000003"/>
    <m/>
  </r>
  <r>
    <s v="ORD-2333"/>
    <d v="2024-02-08T00:00:00"/>
    <s v="CUST-156"/>
    <x v="23"/>
    <x v="0"/>
    <x v="0"/>
    <x v="4"/>
    <x v="1"/>
    <s v="$133.37"/>
    <s v="Thursday"/>
    <x v="5"/>
    <x v="0"/>
    <b v="0"/>
    <b v="0"/>
    <s v="Standard order"/>
    <n v="6.6685000000000008"/>
    <x v="17"/>
    <n v="133.37"/>
    <m/>
  </r>
  <r>
    <s v="ORD-2334"/>
    <d v="2024-05-01T00:00:00"/>
    <s v="CUST-121"/>
    <x v="17"/>
    <x v="1"/>
    <x v="2"/>
    <x v="2"/>
    <x v="11"/>
    <s v="$26.59"/>
    <s v="Wednesday"/>
    <x v="7"/>
    <x v="0"/>
    <b v="0"/>
    <b v="0"/>
    <s v="Standard order"/>
    <n v="1.3295000000000001"/>
    <x v="18"/>
    <n v="345.67"/>
    <m/>
  </r>
  <r>
    <s v="ORD-2335"/>
    <d v="2024-03-25T00:00:00"/>
    <s v="CUST-148"/>
    <x v="18"/>
    <x v="1"/>
    <x v="3"/>
    <x v="1"/>
    <x v="8"/>
    <s v="$230.68"/>
    <s v="Monday"/>
    <x v="4"/>
    <x v="0"/>
    <b v="0"/>
    <b v="1"/>
    <s v="Large Order"/>
    <n v="11.534000000000001"/>
    <x v="10"/>
    <n v="2306.8000000000002"/>
    <m/>
  </r>
  <r>
    <s v="ORD-2336"/>
    <d v="2024-10-11T00:00:00"/>
    <s v="CUST-184"/>
    <x v="10"/>
    <x v="1"/>
    <x v="4"/>
    <x v="2"/>
    <x v="8"/>
    <s v="$46.19"/>
    <s v="Friday"/>
    <x v="3"/>
    <x v="0"/>
    <b v="0"/>
    <b v="0"/>
    <s v="Standard order"/>
    <n v="2.3094999999999999"/>
    <x v="16"/>
    <n v="461.9"/>
    <m/>
  </r>
  <r>
    <s v="ORD-2337"/>
    <d v="2024-01-30T00:00:00"/>
    <s v="CUST-174"/>
    <x v="16"/>
    <x v="2"/>
    <x v="0"/>
    <x v="3"/>
    <x v="4"/>
    <s v="$130.07"/>
    <s v="Tuesday"/>
    <x v="6"/>
    <x v="0"/>
    <b v="0"/>
    <b v="0"/>
    <s v="Standard order"/>
    <n v="6.5034999999999998"/>
    <x v="22"/>
    <n v="260.14"/>
    <m/>
  </r>
  <r>
    <s v="ORD-2338"/>
    <d v="2024-09-01T00:00:00"/>
    <s v="CUST-164"/>
    <x v="22"/>
    <x v="0"/>
    <x v="0"/>
    <x v="4"/>
    <x v="13"/>
    <s v="$149.27"/>
    <s v="Sunday"/>
    <x v="11"/>
    <x v="0"/>
    <b v="1"/>
    <b v="0"/>
    <s v="Standard order"/>
    <n v="7.4635000000000007"/>
    <x v="8"/>
    <n v="447.81000000000006"/>
    <m/>
  </r>
  <r>
    <s v="ORD-2339"/>
    <d v="2024-02-05T00:00:00"/>
    <s v="CUST-176"/>
    <x v="0"/>
    <x v="2"/>
    <x v="4"/>
    <x v="1"/>
    <x v="0"/>
    <s v="$146.06"/>
    <s v="Monday"/>
    <x v="5"/>
    <x v="0"/>
    <b v="0"/>
    <b v="0"/>
    <s v="Large Order"/>
    <n v="7.3030000000000008"/>
    <x v="9"/>
    <n v="584.24"/>
    <m/>
  </r>
  <r>
    <s v="ORD-2340"/>
    <d v="2024-10-18T00:00:00"/>
    <s v="CUST-131"/>
    <x v="9"/>
    <x v="2"/>
    <x v="0"/>
    <x v="4"/>
    <x v="13"/>
    <s v="$101.96"/>
    <s v="Friday"/>
    <x v="3"/>
    <x v="0"/>
    <b v="0"/>
    <b v="0"/>
    <s v="Standard order"/>
    <n v="5.0979999999999999"/>
    <x v="22"/>
    <n v="305.88"/>
    <m/>
  </r>
  <r>
    <s v="ORD-2341"/>
    <d v="2024-10-25T00:00:00"/>
    <s v="CUST-172"/>
    <x v="22"/>
    <x v="1"/>
    <x v="3"/>
    <x v="2"/>
    <x v="9"/>
    <s v="$149.27"/>
    <s v="Friday"/>
    <x v="3"/>
    <x v="0"/>
    <b v="0"/>
    <b v="1"/>
    <s v="Large Order"/>
    <n v="7.4635000000000007"/>
    <x v="5"/>
    <n v="1641.97"/>
    <m/>
  </r>
  <r>
    <s v="ORD-2342"/>
    <d v="2024-07-21T00:00:00"/>
    <s v="CUST-116"/>
    <x v="6"/>
    <x v="2"/>
    <x v="3"/>
    <x v="1"/>
    <x v="9"/>
    <s v="$86.6"/>
    <s v="Sunday"/>
    <x v="8"/>
    <x v="0"/>
    <b v="1"/>
    <b v="1"/>
    <s v="Large Order"/>
    <n v="4.33"/>
    <x v="12"/>
    <n v="952.59999999999991"/>
    <m/>
  </r>
  <r>
    <s v="ORD-2343"/>
    <d v="2024-02-07T00:00:00"/>
    <s v="CUST-101"/>
    <x v="12"/>
    <x v="2"/>
    <x v="1"/>
    <x v="0"/>
    <x v="13"/>
    <s v="$211.9"/>
    <s v="Wednesday"/>
    <x v="5"/>
    <x v="0"/>
    <b v="0"/>
    <b v="0"/>
    <s v="Large Order"/>
    <n v="10.595000000000001"/>
    <x v="0"/>
    <n v="635.70000000000005"/>
    <m/>
  </r>
  <r>
    <s v="ORD-2344"/>
    <d v="2024-09-16T00:00:00"/>
    <s v="CUST-133"/>
    <x v="1"/>
    <x v="1"/>
    <x v="0"/>
    <x v="2"/>
    <x v="5"/>
    <s v="$178.83"/>
    <s v="Monday"/>
    <x v="11"/>
    <x v="0"/>
    <b v="0"/>
    <b v="1"/>
    <s v="Large Order"/>
    <n v="8.9415000000000013"/>
    <x v="10"/>
    <n v="2145.96"/>
    <m/>
  </r>
  <r>
    <s v="ORD-2345"/>
    <d v="2024-08-12T00:00:00"/>
    <s v="CUST-169"/>
    <x v="10"/>
    <x v="1"/>
    <x v="1"/>
    <x v="4"/>
    <x v="1"/>
    <s v="$46.19"/>
    <s v="Monday"/>
    <x v="10"/>
    <x v="0"/>
    <b v="0"/>
    <b v="0"/>
    <s v="Standard order"/>
    <n v="2.3094999999999999"/>
    <x v="5"/>
    <n v="46.19"/>
    <m/>
  </r>
  <r>
    <s v="ORD-2346"/>
    <d v="2024-10-10T00:00:00"/>
    <s v="CUST-138"/>
    <x v="6"/>
    <x v="0"/>
    <x v="4"/>
    <x v="3"/>
    <x v="0"/>
    <s v="$86.6"/>
    <s v="Thursday"/>
    <x v="3"/>
    <x v="0"/>
    <b v="0"/>
    <b v="0"/>
    <s v="Standard order"/>
    <n v="4.33"/>
    <x v="2"/>
    <n v="346.4"/>
    <m/>
  </r>
  <r>
    <s v="ORD-2347"/>
    <d v="2024-10-10T00:00:00"/>
    <s v="CUST-119"/>
    <x v="3"/>
    <x v="1"/>
    <x v="1"/>
    <x v="2"/>
    <x v="9"/>
    <s v="$84.57"/>
    <s v="Thursday"/>
    <x v="3"/>
    <x v="0"/>
    <b v="0"/>
    <b v="1"/>
    <s v="Large Order"/>
    <n v="4.2284999999999995"/>
    <x v="22"/>
    <n v="930.27"/>
    <m/>
  </r>
  <r>
    <s v="ORD-2348"/>
    <d v="2024-11-20T00:00:00"/>
    <s v="CUST-133"/>
    <x v="22"/>
    <x v="1"/>
    <x v="3"/>
    <x v="0"/>
    <x v="13"/>
    <s v="$149.27"/>
    <s v="Wednesday"/>
    <x v="0"/>
    <x v="0"/>
    <b v="0"/>
    <b v="0"/>
    <s v="Standard order"/>
    <n v="7.4635000000000007"/>
    <x v="18"/>
    <n v="447.81000000000006"/>
    <m/>
  </r>
  <r>
    <s v="ORD-2349"/>
    <d v="2024-05-21T00:00:00"/>
    <s v="CUST-105"/>
    <x v="18"/>
    <x v="1"/>
    <x v="4"/>
    <x v="3"/>
    <x v="6"/>
    <s v="$230.68"/>
    <s v="Tuesday"/>
    <x v="7"/>
    <x v="0"/>
    <b v="0"/>
    <b v="1"/>
    <s v="Large Order"/>
    <n v="11.534000000000001"/>
    <x v="17"/>
    <n v="1384.08"/>
    <m/>
  </r>
  <r>
    <s v="ORD-2350"/>
    <d v="2024-10-09T00:00:00"/>
    <s v="CUST-190"/>
    <x v="17"/>
    <x v="2"/>
    <x v="0"/>
    <x v="0"/>
    <x v="13"/>
    <s v="$26.59"/>
    <s v="Wednesday"/>
    <x v="3"/>
    <x v="0"/>
    <b v="0"/>
    <b v="0"/>
    <s v="Standard order"/>
    <n v="1.3295000000000001"/>
    <x v="23"/>
    <n v="79.77"/>
    <m/>
  </r>
  <r>
    <s v="ORD-2351"/>
    <d v="2024-12-19T00:00:00"/>
    <s v="CUST-119"/>
    <x v="23"/>
    <x v="0"/>
    <x v="3"/>
    <x v="4"/>
    <x v="15"/>
    <s v="$133.37"/>
    <s v="Thursday"/>
    <x v="1"/>
    <x v="0"/>
    <b v="0"/>
    <b v="1"/>
    <s v="Large Order"/>
    <n v="6.6685000000000008"/>
    <x v="14"/>
    <n v="2400.66"/>
    <m/>
  </r>
  <r>
    <s v="ORD-2352"/>
    <d v="2024-03-06T00:00:00"/>
    <s v="CUST-105"/>
    <x v="14"/>
    <x v="1"/>
    <x v="0"/>
    <x v="3"/>
    <x v="10"/>
    <s v="$201.32"/>
    <s v="Wednesday"/>
    <x v="4"/>
    <x v="0"/>
    <b v="0"/>
    <b v="1"/>
    <s v="Large Order"/>
    <n v="10.066000000000001"/>
    <x v="7"/>
    <n v="1409.24"/>
    <m/>
  </r>
  <r>
    <s v="ORD-2353"/>
    <d v="2024-12-07T00:00:00"/>
    <s v="CUST-113"/>
    <x v="8"/>
    <x v="2"/>
    <x v="2"/>
    <x v="4"/>
    <x v="2"/>
    <s v="$208.85"/>
    <s v="Saturday"/>
    <x v="1"/>
    <x v="0"/>
    <b v="1"/>
    <b v="0"/>
    <s v="Large Order"/>
    <n v="10.442500000000001"/>
    <x v="6"/>
    <n v="1044.25"/>
    <m/>
  </r>
  <r>
    <s v="ORD-2354"/>
    <d v="2024-05-01T00:00:00"/>
    <s v="CUST-120"/>
    <x v="7"/>
    <x v="1"/>
    <x v="0"/>
    <x v="2"/>
    <x v="9"/>
    <s v="$107.34"/>
    <s v="Wednesday"/>
    <x v="7"/>
    <x v="0"/>
    <b v="0"/>
    <b v="1"/>
    <s v="Large Order"/>
    <n v="5.3670000000000009"/>
    <x v="16"/>
    <n v="1180.74"/>
    <m/>
  </r>
  <r>
    <s v="ORD-2355"/>
    <d v="2024-07-29T00:00:00"/>
    <s v="CUST-185"/>
    <x v="16"/>
    <x v="0"/>
    <x v="3"/>
    <x v="2"/>
    <x v="0"/>
    <s v="$130.07"/>
    <s v="Monday"/>
    <x v="8"/>
    <x v="0"/>
    <b v="0"/>
    <b v="0"/>
    <s v="Large Order"/>
    <n v="6.5034999999999998"/>
    <x v="24"/>
    <n v="520.28"/>
    <m/>
  </r>
  <r>
    <s v="ORD-2356"/>
    <d v="2024-01-20T00:00:00"/>
    <s v="CUST-160"/>
    <x v="24"/>
    <x v="0"/>
    <x v="2"/>
    <x v="3"/>
    <x v="8"/>
    <s v="$10.11"/>
    <s v="Saturday"/>
    <x v="6"/>
    <x v="0"/>
    <b v="1"/>
    <b v="0"/>
    <s v="Standard order"/>
    <n v="0.50549999999999995"/>
    <x v="18"/>
    <n v="101.1"/>
    <m/>
  </r>
  <r>
    <s v="ORD-2357"/>
    <d v="2024-04-26T00:00:00"/>
    <s v="CUST-128"/>
    <x v="18"/>
    <x v="2"/>
    <x v="4"/>
    <x v="1"/>
    <x v="9"/>
    <s v="$230.68"/>
    <s v="Friday"/>
    <x v="2"/>
    <x v="0"/>
    <b v="0"/>
    <b v="1"/>
    <s v="Large Order"/>
    <n v="11.534000000000001"/>
    <x v="2"/>
    <n v="2537.48"/>
    <m/>
  </r>
  <r>
    <s v="ORD-2358"/>
    <d v="2024-02-05T00:00:00"/>
    <s v="CUST-198"/>
    <x v="3"/>
    <x v="1"/>
    <x v="1"/>
    <x v="1"/>
    <x v="15"/>
    <s v="$84.57"/>
    <s v="Monday"/>
    <x v="5"/>
    <x v="0"/>
    <b v="0"/>
    <b v="1"/>
    <s v="Large Order"/>
    <n v="4.2284999999999995"/>
    <x v="2"/>
    <n v="1522.2599999999998"/>
    <m/>
  </r>
  <r>
    <s v="ORD-2359"/>
    <d v="2024-01-15T00:00:00"/>
    <s v="CUST-114"/>
    <x v="3"/>
    <x v="0"/>
    <x v="1"/>
    <x v="3"/>
    <x v="4"/>
    <s v="$84.57"/>
    <s v="Monday"/>
    <x v="6"/>
    <x v="0"/>
    <b v="0"/>
    <b v="0"/>
    <s v="Standard order"/>
    <n v="4.2284999999999995"/>
    <x v="16"/>
    <n v="169.14"/>
    <m/>
  </r>
  <r>
    <s v="ORD-2360"/>
    <d v="2024-08-10T00:00:00"/>
    <s v="CUST-144"/>
    <x v="16"/>
    <x v="1"/>
    <x v="2"/>
    <x v="4"/>
    <x v="18"/>
    <s v="$130.07"/>
    <s v="Saturday"/>
    <x v="10"/>
    <x v="0"/>
    <b v="1"/>
    <b v="1"/>
    <s v="Large Order"/>
    <n v="6.5034999999999998"/>
    <x v="2"/>
    <n v="2211.19"/>
    <m/>
  </r>
  <r>
    <s v="ORD-2361"/>
    <d v="2024-10-22T00:00:00"/>
    <s v="CUST-124"/>
    <x v="3"/>
    <x v="0"/>
    <x v="2"/>
    <x v="0"/>
    <x v="18"/>
    <s v="$84.57"/>
    <s v="Tuesday"/>
    <x v="3"/>
    <x v="0"/>
    <b v="0"/>
    <b v="1"/>
    <s v="Large Order"/>
    <n v="4.2284999999999995"/>
    <x v="16"/>
    <n v="1437.6899999999998"/>
    <m/>
  </r>
  <r>
    <s v="ORD-2362"/>
    <d v="2024-10-02T00:00:00"/>
    <s v="CUST-187"/>
    <x v="16"/>
    <x v="2"/>
    <x v="4"/>
    <x v="3"/>
    <x v="3"/>
    <s v="$130.07"/>
    <s v="Wednesday"/>
    <x v="3"/>
    <x v="0"/>
    <b v="0"/>
    <b v="1"/>
    <s v="Large Order"/>
    <n v="6.5034999999999998"/>
    <x v="20"/>
    <n v="1820.98"/>
    <m/>
  </r>
  <r>
    <s v="ORD-2363"/>
    <d v="2024-12-06T00:00:00"/>
    <s v="CUST-142"/>
    <x v="20"/>
    <x v="1"/>
    <x v="0"/>
    <x v="3"/>
    <x v="18"/>
    <s v="$81.02"/>
    <s v="Friday"/>
    <x v="1"/>
    <x v="0"/>
    <b v="0"/>
    <b v="1"/>
    <s v="Large Order"/>
    <n v="4.0510000000000002"/>
    <x v="3"/>
    <n v="1377.34"/>
    <m/>
  </r>
  <r>
    <s v="ORD-2364"/>
    <d v="2024-07-28T00:00:00"/>
    <s v="CUST-141"/>
    <x v="4"/>
    <x v="2"/>
    <x v="3"/>
    <x v="4"/>
    <x v="2"/>
    <s v="$230.34"/>
    <s v="Sunday"/>
    <x v="8"/>
    <x v="0"/>
    <b v="1"/>
    <b v="0"/>
    <s v="Large Order"/>
    <n v="11.517000000000001"/>
    <x v="5"/>
    <n v="1151.7"/>
    <m/>
  </r>
  <r>
    <s v="ORD-2365"/>
    <d v="2024-12-06T00:00:00"/>
    <s v="CUST-148"/>
    <x v="6"/>
    <x v="2"/>
    <x v="4"/>
    <x v="4"/>
    <x v="16"/>
    <s v="$86.6"/>
    <s v="Friday"/>
    <x v="1"/>
    <x v="0"/>
    <b v="0"/>
    <b v="1"/>
    <s v="Large Order"/>
    <n v="4.33"/>
    <x v="14"/>
    <n v="1645.3999999999999"/>
    <m/>
  </r>
  <r>
    <s v="ORD-2366"/>
    <d v="2024-10-07T00:00:00"/>
    <s v="CUST-100"/>
    <x v="14"/>
    <x v="1"/>
    <x v="4"/>
    <x v="1"/>
    <x v="16"/>
    <s v="$201.32"/>
    <s v="Monday"/>
    <x v="3"/>
    <x v="0"/>
    <b v="0"/>
    <b v="1"/>
    <s v="Large Order"/>
    <n v="10.066000000000001"/>
    <x v="12"/>
    <n v="3825.08"/>
    <m/>
  </r>
  <r>
    <s v="ORD-2367"/>
    <d v="2024-06-13T00:00:00"/>
    <s v="CUST-159"/>
    <x v="12"/>
    <x v="1"/>
    <x v="4"/>
    <x v="4"/>
    <x v="17"/>
    <s v="$211.9"/>
    <s v="Thursday"/>
    <x v="9"/>
    <x v="0"/>
    <b v="0"/>
    <b v="1"/>
    <s v="Large Order"/>
    <n v="10.595000000000001"/>
    <x v="8"/>
    <n v="3390.4"/>
    <m/>
  </r>
  <r>
    <s v="ORD-2368"/>
    <d v="2024-03-27T00:00:00"/>
    <s v="CUST-184"/>
    <x v="0"/>
    <x v="1"/>
    <x v="1"/>
    <x v="4"/>
    <x v="9"/>
    <s v="$146.06"/>
    <s v="Wednesday"/>
    <x v="4"/>
    <x v="0"/>
    <b v="0"/>
    <b v="1"/>
    <s v="Large Order"/>
    <n v="7.3030000000000008"/>
    <x v="14"/>
    <n v="1606.66"/>
    <m/>
  </r>
  <r>
    <s v="ORD-2369"/>
    <d v="2024-04-30T00:00:00"/>
    <s v="CUST-186"/>
    <x v="14"/>
    <x v="0"/>
    <x v="4"/>
    <x v="2"/>
    <x v="1"/>
    <s v="$201.32"/>
    <s v="Tuesday"/>
    <x v="2"/>
    <x v="0"/>
    <b v="0"/>
    <b v="0"/>
    <s v="Standard order"/>
    <n v="10.066000000000001"/>
    <x v="21"/>
    <n v="201.32"/>
    <m/>
  </r>
  <r>
    <s v="ORD-2370"/>
    <d v="2024-08-31T00:00:00"/>
    <s v="CUST-178"/>
    <x v="21"/>
    <x v="0"/>
    <x v="2"/>
    <x v="1"/>
    <x v="16"/>
    <s v="$32.94"/>
    <s v="Saturday"/>
    <x v="10"/>
    <x v="0"/>
    <b v="1"/>
    <b v="0"/>
    <s v="Large Order"/>
    <n v="1.647"/>
    <x v="4"/>
    <n v="625.8599999999999"/>
    <m/>
  </r>
  <r>
    <s v="ORD-2371"/>
    <d v="2024-12-22T00:00:00"/>
    <s v="CUST-149"/>
    <x v="5"/>
    <x v="1"/>
    <x v="4"/>
    <x v="2"/>
    <x v="1"/>
    <s v="$64.61"/>
    <s v="Sunday"/>
    <x v="1"/>
    <x v="0"/>
    <b v="1"/>
    <b v="0"/>
    <s v="Standard order"/>
    <n v="3.2305000000000001"/>
    <x v="17"/>
    <n v="64.61"/>
    <m/>
  </r>
  <r>
    <s v="ORD-2372"/>
    <d v="2024-02-24T00:00:00"/>
    <s v="CUST-199"/>
    <x v="17"/>
    <x v="0"/>
    <x v="4"/>
    <x v="4"/>
    <x v="12"/>
    <s v="$26.59"/>
    <s v="Saturday"/>
    <x v="5"/>
    <x v="0"/>
    <b v="1"/>
    <b v="0"/>
    <s v="Standard order"/>
    <n v="1.3295000000000001"/>
    <x v="12"/>
    <n v="398.85"/>
    <m/>
  </r>
  <r>
    <s v="ORD-2373"/>
    <d v="2024-05-07T00:00:00"/>
    <s v="CUST-115"/>
    <x v="12"/>
    <x v="0"/>
    <x v="2"/>
    <x v="4"/>
    <x v="15"/>
    <s v="$211.9"/>
    <s v="Tuesday"/>
    <x v="7"/>
    <x v="0"/>
    <b v="0"/>
    <b v="1"/>
    <s v="Large Order"/>
    <n v="10.595000000000001"/>
    <x v="16"/>
    <n v="3814.2000000000003"/>
    <m/>
  </r>
  <r>
    <s v="ORD-2374"/>
    <d v="2024-08-14T00:00:00"/>
    <s v="CUST-178"/>
    <x v="16"/>
    <x v="2"/>
    <x v="2"/>
    <x v="4"/>
    <x v="12"/>
    <s v="$130.07"/>
    <s v="Wednesday"/>
    <x v="10"/>
    <x v="0"/>
    <b v="0"/>
    <b v="1"/>
    <s v="Large Order"/>
    <n v="6.5034999999999998"/>
    <x v="2"/>
    <n v="1951.05"/>
    <m/>
  </r>
  <r>
    <s v="ORD-2375"/>
    <d v="2024-08-31T00:00:00"/>
    <s v="CUST-157"/>
    <x v="3"/>
    <x v="0"/>
    <x v="3"/>
    <x v="4"/>
    <x v="17"/>
    <s v="$84.57"/>
    <s v="Saturday"/>
    <x v="10"/>
    <x v="0"/>
    <b v="1"/>
    <b v="1"/>
    <s v="Large Order"/>
    <n v="4.2284999999999995"/>
    <x v="8"/>
    <n v="1353.12"/>
    <m/>
  </r>
  <r>
    <s v="ORD-2376"/>
    <d v="2024-05-20T00:00:00"/>
    <s v="CUST-156"/>
    <x v="0"/>
    <x v="2"/>
    <x v="3"/>
    <x v="2"/>
    <x v="14"/>
    <s v="$146.06"/>
    <s v="Monday"/>
    <x v="7"/>
    <x v="0"/>
    <b v="0"/>
    <b v="1"/>
    <s v="Large Order"/>
    <n v="7.3030000000000008"/>
    <x v="0"/>
    <n v="1314.54"/>
    <m/>
  </r>
  <r>
    <s v="ORD-2377"/>
    <d v="2024-10-03T00:00:00"/>
    <s v="CUST-110"/>
    <x v="1"/>
    <x v="0"/>
    <x v="4"/>
    <x v="1"/>
    <x v="2"/>
    <s v="$178.83"/>
    <s v="Thursday"/>
    <x v="3"/>
    <x v="0"/>
    <b v="0"/>
    <b v="0"/>
    <s v="Large Order"/>
    <n v="8.9415000000000013"/>
    <x v="17"/>
    <n v="894.15000000000009"/>
    <m/>
  </r>
  <r>
    <s v="ORD-2378"/>
    <d v="2024-02-02T00:00:00"/>
    <s v="CUST-153"/>
    <x v="17"/>
    <x v="1"/>
    <x v="1"/>
    <x v="1"/>
    <x v="3"/>
    <s v="$26.59"/>
    <s v="Friday"/>
    <x v="5"/>
    <x v="0"/>
    <b v="0"/>
    <b v="0"/>
    <s v="Standard order"/>
    <n v="1.3295000000000001"/>
    <x v="21"/>
    <n v="372.26"/>
    <m/>
  </r>
  <r>
    <s v="ORD-2379"/>
    <d v="2024-08-03T00:00:00"/>
    <s v="CUST-149"/>
    <x v="21"/>
    <x v="2"/>
    <x v="0"/>
    <x v="4"/>
    <x v="11"/>
    <s v="$32.94"/>
    <s v="Saturday"/>
    <x v="10"/>
    <x v="0"/>
    <b v="1"/>
    <b v="0"/>
    <s v="Standard order"/>
    <n v="1.647"/>
    <x v="21"/>
    <n v="428.21999999999997"/>
    <m/>
  </r>
  <r>
    <s v="ORD-2380"/>
    <d v="2024-06-29T00:00:00"/>
    <s v="CUST-138"/>
    <x v="21"/>
    <x v="1"/>
    <x v="2"/>
    <x v="4"/>
    <x v="15"/>
    <s v="$32.94"/>
    <s v="Saturday"/>
    <x v="9"/>
    <x v="0"/>
    <b v="1"/>
    <b v="0"/>
    <s v="Large Order"/>
    <n v="1.647"/>
    <x v="24"/>
    <n v="592.91999999999996"/>
    <m/>
  </r>
  <r>
    <s v="ORD-2381"/>
    <d v="2024-04-22T00:00:00"/>
    <s v="CUST-162"/>
    <x v="24"/>
    <x v="1"/>
    <x v="2"/>
    <x v="1"/>
    <x v="1"/>
    <s v="$10.11"/>
    <s v="Monday"/>
    <x v="2"/>
    <x v="0"/>
    <b v="0"/>
    <b v="0"/>
    <s v="Standard order"/>
    <n v="0.50549999999999995"/>
    <x v="3"/>
    <n v="10.11"/>
    <m/>
  </r>
  <r>
    <s v="ORD-2382"/>
    <d v="2024-12-08T00:00:00"/>
    <s v="CUST-186"/>
    <x v="4"/>
    <x v="2"/>
    <x v="4"/>
    <x v="1"/>
    <x v="2"/>
    <s v="$230.34"/>
    <s v="Sunday"/>
    <x v="1"/>
    <x v="0"/>
    <b v="1"/>
    <b v="0"/>
    <s v="Large Order"/>
    <n v="11.517000000000001"/>
    <x v="3"/>
    <n v="1151.7"/>
    <m/>
  </r>
  <r>
    <s v="ORD-2383"/>
    <d v="2024-09-30T00:00:00"/>
    <s v="CUST-103"/>
    <x v="4"/>
    <x v="2"/>
    <x v="1"/>
    <x v="0"/>
    <x v="13"/>
    <s v="$230.34"/>
    <s v="Monday"/>
    <x v="11"/>
    <x v="0"/>
    <b v="0"/>
    <b v="0"/>
    <s v="Large Order"/>
    <n v="11.517000000000001"/>
    <x v="6"/>
    <n v="691.02"/>
    <m/>
  </r>
  <r>
    <s v="ORD-2384"/>
    <d v="2024-03-10T00:00:00"/>
    <s v="CUST-159"/>
    <x v="7"/>
    <x v="0"/>
    <x v="3"/>
    <x v="1"/>
    <x v="9"/>
    <s v="$107.34"/>
    <s v="Sunday"/>
    <x v="4"/>
    <x v="0"/>
    <b v="1"/>
    <b v="1"/>
    <s v="Large Order"/>
    <n v="5.3670000000000009"/>
    <x v="21"/>
    <n v="1180.74"/>
    <m/>
  </r>
  <r>
    <s v="ORD-2385"/>
    <d v="2024-06-16T00:00:00"/>
    <s v="CUST-143"/>
    <x v="21"/>
    <x v="1"/>
    <x v="3"/>
    <x v="1"/>
    <x v="14"/>
    <s v="$32.94"/>
    <s v="Sunday"/>
    <x v="9"/>
    <x v="0"/>
    <b v="1"/>
    <b v="0"/>
    <s v="Standard order"/>
    <n v="1.647"/>
    <x v="16"/>
    <n v="296.45999999999998"/>
    <m/>
  </r>
  <r>
    <s v="ORD-2386"/>
    <d v="2024-08-28T00:00:00"/>
    <s v="CUST-102"/>
    <x v="16"/>
    <x v="2"/>
    <x v="0"/>
    <x v="3"/>
    <x v="7"/>
    <s v="$130.07"/>
    <s v="Wednesday"/>
    <x v="10"/>
    <x v="0"/>
    <b v="0"/>
    <b v="1"/>
    <s v="Large Order"/>
    <n v="6.5034999999999998"/>
    <x v="21"/>
    <n v="1040.56"/>
    <m/>
  </r>
  <r>
    <s v="ORD-2387"/>
    <d v="2024-11-29T00:00:00"/>
    <s v="CUST-105"/>
    <x v="21"/>
    <x v="0"/>
    <x v="4"/>
    <x v="2"/>
    <x v="1"/>
    <s v="$32.94"/>
    <s v="Friday"/>
    <x v="0"/>
    <x v="0"/>
    <b v="0"/>
    <b v="0"/>
    <s v="Standard order"/>
    <n v="1.647"/>
    <x v="4"/>
    <n v="32.94"/>
    <m/>
  </r>
  <r>
    <s v="ORD-2388"/>
    <d v="2024-05-02T00:00:00"/>
    <s v="CUST-116"/>
    <x v="5"/>
    <x v="2"/>
    <x v="0"/>
    <x v="4"/>
    <x v="10"/>
    <s v="$64.61"/>
    <s v="Thursday"/>
    <x v="7"/>
    <x v="0"/>
    <b v="0"/>
    <b v="0"/>
    <s v="Standard order"/>
    <n v="3.2305000000000001"/>
    <x v="7"/>
    <n v="452.27"/>
    <m/>
  </r>
  <r>
    <s v="ORD-2389"/>
    <d v="2024-05-11T00:00:00"/>
    <s v="CUST-198"/>
    <x v="8"/>
    <x v="0"/>
    <x v="1"/>
    <x v="4"/>
    <x v="0"/>
    <s v="$208.85"/>
    <s v="Saturday"/>
    <x v="7"/>
    <x v="0"/>
    <b v="1"/>
    <b v="0"/>
    <s v="Large Order"/>
    <n v="10.442500000000001"/>
    <x v="19"/>
    <n v="835.4"/>
    <m/>
  </r>
  <r>
    <s v="ORD-2390"/>
    <d v="2024-03-24T00:00:00"/>
    <s v="CUST-139"/>
    <x v="19"/>
    <x v="2"/>
    <x v="0"/>
    <x v="3"/>
    <x v="16"/>
    <s v="$145.48"/>
    <s v="Sunday"/>
    <x v="4"/>
    <x v="0"/>
    <b v="1"/>
    <b v="1"/>
    <s v="Large Order"/>
    <n v="7.274"/>
    <x v="10"/>
    <n v="2764.12"/>
    <m/>
  </r>
  <r>
    <s v="ORD-2391"/>
    <d v="2024-07-11T00:00:00"/>
    <s v="CUST-150"/>
    <x v="10"/>
    <x v="0"/>
    <x v="0"/>
    <x v="4"/>
    <x v="7"/>
    <s v="$46.19"/>
    <s v="Thursday"/>
    <x v="8"/>
    <x v="0"/>
    <b v="0"/>
    <b v="0"/>
    <s v="Standard order"/>
    <n v="2.3094999999999999"/>
    <x v="20"/>
    <n v="369.52"/>
    <m/>
  </r>
  <r>
    <s v="ORD-2392"/>
    <d v="2024-06-03T00:00:00"/>
    <s v="CUST-187"/>
    <x v="20"/>
    <x v="0"/>
    <x v="1"/>
    <x v="0"/>
    <x v="5"/>
    <s v="$81.02"/>
    <s v="Monday"/>
    <x v="9"/>
    <x v="0"/>
    <b v="0"/>
    <b v="1"/>
    <s v="Large Order"/>
    <n v="4.0510000000000002"/>
    <x v="8"/>
    <n v="972.24"/>
    <m/>
  </r>
  <r>
    <s v="ORD-2393"/>
    <d v="2024-12-04T00:00:00"/>
    <s v="CUST-147"/>
    <x v="0"/>
    <x v="2"/>
    <x v="3"/>
    <x v="0"/>
    <x v="3"/>
    <s v="$146.06"/>
    <s v="Wednesday"/>
    <x v="1"/>
    <x v="0"/>
    <b v="0"/>
    <b v="1"/>
    <s v="Large Order"/>
    <n v="7.3030000000000008"/>
    <x v="7"/>
    <n v="2044.8400000000001"/>
    <m/>
  </r>
  <r>
    <s v="ORD-2394"/>
    <d v="2024-02-24T00:00:00"/>
    <s v="CUST-155"/>
    <x v="8"/>
    <x v="2"/>
    <x v="2"/>
    <x v="2"/>
    <x v="3"/>
    <s v="$208.85"/>
    <s v="Saturday"/>
    <x v="5"/>
    <x v="0"/>
    <b v="1"/>
    <b v="1"/>
    <s v="Large Order"/>
    <n v="10.442500000000001"/>
    <x v="2"/>
    <n v="2923.9"/>
    <m/>
  </r>
  <r>
    <s v="ORD-2395"/>
    <d v="2024-09-24T00:00:00"/>
    <s v="CUST-183"/>
    <x v="3"/>
    <x v="2"/>
    <x v="1"/>
    <x v="1"/>
    <x v="12"/>
    <s v="$84.57"/>
    <s v="Tuesday"/>
    <x v="11"/>
    <x v="0"/>
    <b v="0"/>
    <b v="1"/>
    <s v="Large Order"/>
    <n v="4.2284999999999995"/>
    <x v="13"/>
    <n v="1268.55"/>
    <m/>
  </r>
  <r>
    <s v="ORD-2396"/>
    <d v="2024-10-30T00:00:00"/>
    <s v="CUST-134"/>
    <x v="13"/>
    <x v="0"/>
    <x v="0"/>
    <x v="3"/>
    <x v="12"/>
    <s v="$156.44"/>
    <s v="Wednesday"/>
    <x v="3"/>
    <x v="0"/>
    <b v="0"/>
    <b v="1"/>
    <s v="Large Order"/>
    <n v="7.8220000000000001"/>
    <x v="20"/>
    <n v="2346.6"/>
    <m/>
  </r>
  <r>
    <s v="ORD-2397"/>
    <d v="2024-08-25T00:00:00"/>
    <s v="CUST-172"/>
    <x v="20"/>
    <x v="2"/>
    <x v="2"/>
    <x v="3"/>
    <x v="1"/>
    <s v="$81.02"/>
    <s v="Sunday"/>
    <x v="10"/>
    <x v="0"/>
    <b v="1"/>
    <b v="0"/>
    <s v="Standard order"/>
    <n v="4.0510000000000002"/>
    <x v="4"/>
    <n v="81.02"/>
    <m/>
  </r>
  <r>
    <s v="ORD-2398"/>
    <d v="2024-06-15T00:00:00"/>
    <s v="CUST-123"/>
    <x v="5"/>
    <x v="0"/>
    <x v="3"/>
    <x v="3"/>
    <x v="9"/>
    <s v="$64.61"/>
    <s v="Saturday"/>
    <x v="9"/>
    <x v="0"/>
    <b v="1"/>
    <b v="0"/>
    <s v="Large Order"/>
    <n v="3.2305000000000001"/>
    <x v="2"/>
    <n v="710.71"/>
    <m/>
  </r>
  <r>
    <s v="ORD-2399"/>
    <d v="2024-11-01T00:00:00"/>
    <s v="CUST-189"/>
    <x v="3"/>
    <x v="2"/>
    <x v="0"/>
    <x v="4"/>
    <x v="10"/>
    <s v="$84.57"/>
    <s v="Friday"/>
    <x v="0"/>
    <x v="0"/>
    <b v="0"/>
    <b v="0"/>
    <s v="Large Order"/>
    <n v="4.2284999999999995"/>
    <x v="23"/>
    <n v="591.99"/>
    <m/>
  </r>
  <r>
    <s v="ORD-2400"/>
    <d v="2024-07-27T00:00:00"/>
    <s v="CUST-162"/>
    <x v="23"/>
    <x v="0"/>
    <x v="2"/>
    <x v="1"/>
    <x v="12"/>
    <s v="$133.37"/>
    <s v="Saturday"/>
    <x v="8"/>
    <x v="0"/>
    <b v="1"/>
    <b v="1"/>
    <s v="Large Order"/>
    <n v="6.6685000000000008"/>
    <x v="24"/>
    <n v="2000.5500000000002"/>
    <m/>
  </r>
  <r>
    <s v="ORD-2401"/>
    <d v="2024-02-17T00:00:00"/>
    <s v="CUST-137"/>
    <x v="24"/>
    <x v="1"/>
    <x v="4"/>
    <x v="3"/>
    <x v="16"/>
    <s v="$10.11"/>
    <s v="Saturday"/>
    <x v="5"/>
    <x v="0"/>
    <b v="1"/>
    <b v="0"/>
    <s v="Standard order"/>
    <n v="0.50549999999999995"/>
    <x v="7"/>
    <n v="192.08999999999997"/>
    <m/>
  </r>
  <r>
    <s v="ORD-2402"/>
    <d v="2024-10-10T00:00:00"/>
    <s v="CUST-167"/>
    <x v="8"/>
    <x v="1"/>
    <x v="1"/>
    <x v="3"/>
    <x v="5"/>
    <s v="$208.85"/>
    <s v="Thursday"/>
    <x v="3"/>
    <x v="0"/>
    <b v="0"/>
    <b v="1"/>
    <s v="Large Order"/>
    <n v="10.442500000000001"/>
    <x v="2"/>
    <n v="2506.1999999999998"/>
    <m/>
  </r>
  <r>
    <s v="ORD-2403"/>
    <d v="2024-05-18T00:00:00"/>
    <s v="CUST-139"/>
    <x v="3"/>
    <x v="0"/>
    <x v="0"/>
    <x v="2"/>
    <x v="9"/>
    <s v="$84.57"/>
    <s v="Saturday"/>
    <x v="7"/>
    <x v="0"/>
    <b v="1"/>
    <b v="1"/>
    <s v="Large Order"/>
    <n v="4.2284999999999995"/>
    <x v="10"/>
    <n v="930.27"/>
    <m/>
  </r>
  <r>
    <s v="ORD-2404"/>
    <d v="2024-10-01T00:00:00"/>
    <s v="CUST-197"/>
    <x v="10"/>
    <x v="0"/>
    <x v="4"/>
    <x v="2"/>
    <x v="17"/>
    <s v="$46.19"/>
    <s v="Tuesday"/>
    <x v="3"/>
    <x v="0"/>
    <b v="0"/>
    <b v="0"/>
    <s v="Large Order"/>
    <n v="2.3094999999999999"/>
    <x v="22"/>
    <n v="739.04"/>
    <m/>
  </r>
  <r>
    <s v="ORD-2405"/>
    <d v="2024-10-28T00:00:00"/>
    <s v="CUST-197"/>
    <x v="22"/>
    <x v="2"/>
    <x v="3"/>
    <x v="0"/>
    <x v="10"/>
    <s v="$149.27"/>
    <s v="Monday"/>
    <x v="3"/>
    <x v="0"/>
    <b v="0"/>
    <b v="1"/>
    <s v="Large Order"/>
    <n v="7.4635000000000007"/>
    <x v="14"/>
    <n v="1044.8900000000001"/>
    <m/>
  </r>
  <r>
    <s v="ORD-2406"/>
    <d v="2024-07-03T00:00:00"/>
    <s v="CUST-122"/>
    <x v="14"/>
    <x v="0"/>
    <x v="1"/>
    <x v="2"/>
    <x v="14"/>
    <s v="$201.32"/>
    <s v="Wednesday"/>
    <x v="8"/>
    <x v="0"/>
    <b v="0"/>
    <b v="1"/>
    <s v="Large Order"/>
    <n v="10.066000000000001"/>
    <x v="14"/>
    <n v="1811.8799999999999"/>
    <m/>
  </r>
  <r>
    <s v="ORD-2407"/>
    <d v="2024-01-28T00:00:00"/>
    <s v="CUST-170"/>
    <x v="14"/>
    <x v="2"/>
    <x v="4"/>
    <x v="1"/>
    <x v="0"/>
    <s v="$201.32"/>
    <s v="Sunday"/>
    <x v="6"/>
    <x v="0"/>
    <b v="1"/>
    <b v="0"/>
    <s v="Large Order"/>
    <n v="10.066000000000001"/>
    <x v="4"/>
    <n v="805.28"/>
    <m/>
  </r>
  <r>
    <s v="ORD-2408"/>
    <d v="2024-10-20T00:00:00"/>
    <s v="CUST-136"/>
    <x v="5"/>
    <x v="1"/>
    <x v="2"/>
    <x v="3"/>
    <x v="6"/>
    <s v="$64.61"/>
    <s v="Sunday"/>
    <x v="3"/>
    <x v="0"/>
    <b v="1"/>
    <b v="0"/>
    <s v="Standard order"/>
    <n v="3.2305000000000001"/>
    <x v="19"/>
    <n v="387.65999999999997"/>
    <m/>
  </r>
  <r>
    <s v="ORD-2409"/>
    <d v="2024-05-09T00:00:00"/>
    <s v="CUST-161"/>
    <x v="19"/>
    <x v="0"/>
    <x v="2"/>
    <x v="1"/>
    <x v="13"/>
    <s v="$145.48"/>
    <s v="Thursday"/>
    <x v="7"/>
    <x v="0"/>
    <b v="0"/>
    <b v="0"/>
    <s v="Standard order"/>
    <n v="7.274"/>
    <x v="0"/>
    <n v="436.43999999999994"/>
    <m/>
  </r>
  <r>
    <s v="ORD-2410"/>
    <d v="2024-12-17T00:00:00"/>
    <s v="CUST-106"/>
    <x v="1"/>
    <x v="0"/>
    <x v="1"/>
    <x v="3"/>
    <x v="13"/>
    <s v="$178.83"/>
    <s v="Tuesday"/>
    <x v="1"/>
    <x v="0"/>
    <b v="0"/>
    <b v="0"/>
    <s v="Large Order"/>
    <n v="8.9415000000000013"/>
    <x v="21"/>
    <n v="536.49"/>
    <m/>
  </r>
  <r>
    <s v="ORD-2411"/>
    <d v="2024-03-01T00:00:00"/>
    <s v="CUST-171"/>
    <x v="21"/>
    <x v="1"/>
    <x v="1"/>
    <x v="4"/>
    <x v="19"/>
    <s v="$32.94"/>
    <s v="Friday"/>
    <x v="4"/>
    <x v="0"/>
    <b v="0"/>
    <b v="0"/>
    <s v="Large Order"/>
    <n v="1.647"/>
    <x v="12"/>
    <n v="658.8"/>
    <m/>
  </r>
  <r>
    <s v="ORD-2412"/>
    <d v="2024-09-24T00:00:00"/>
    <s v="CUST-148"/>
    <x v="12"/>
    <x v="1"/>
    <x v="3"/>
    <x v="4"/>
    <x v="3"/>
    <s v="$211.9"/>
    <s v="Tuesday"/>
    <x v="11"/>
    <x v="0"/>
    <b v="0"/>
    <b v="1"/>
    <s v="Large Order"/>
    <n v="10.595000000000001"/>
    <x v="20"/>
    <n v="2966.6"/>
    <m/>
  </r>
  <r>
    <s v="ORD-2413"/>
    <d v="2024-11-13T00:00:00"/>
    <s v="CUST-107"/>
    <x v="20"/>
    <x v="2"/>
    <x v="0"/>
    <x v="2"/>
    <x v="10"/>
    <s v="$81.02"/>
    <s v="Wednesday"/>
    <x v="0"/>
    <x v="0"/>
    <b v="0"/>
    <b v="0"/>
    <s v="Large Order"/>
    <n v="4.0510000000000002"/>
    <x v="24"/>
    <n v="567.14"/>
    <m/>
  </r>
  <r>
    <s v="ORD-2414"/>
    <d v="2024-02-11T00:00:00"/>
    <s v="CUST-120"/>
    <x v="24"/>
    <x v="0"/>
    <x v="1"/>
    <x v="0"/>
    <x v="6"/>
    <s v="$10.11"/>
    <s v="Sunday"/>
    <x v="5"/>
    <x v="0"/>
    <b v="1"/>
    <b v="0"/>
    <s v="Standard order"/>
    <n v="0.50549999999999995"/>
    <x v="20"/>
    <n v="60.66"/>
    <m/>
  </r>
  <r>
    <s v="ORD-2415"/>
    <d v="2024-08-18T00:00:00"/>
    <s v="CUST-188"/>
    <x v="20"/>
    <x v="1"/>
    <x v="3"/>
    <x v="0"/>
    <x v="7"/>
    <s v="$81.02"/>
    <s v="Sunday"/>
    <x v="10"/>
    <x v="0"/>
    <b v="1"/>
    <b v="0"/>
    <s v="Large Order"/>
    <n v="4.0510000000000002"/>
    <x v="12"/>
    <n v="648.16"/>
    <m/>
  </r>
  <r>
    <s v="ORD-2416"/>
    <d v="2024-05-24T00:00:00"/>
    <s v="CUST-189"/>
    <x v="12"/>
    <x v="0"/>
    <x v="4"/>
    <x v="3"/>
    <x v="16"/>
    <s v="$211.9"/>
    <s v="Friday"/>
    <x v="7"/>
    <x v="0"/>
    <b v="0"/>
    <b v="1"/>
    <s v="Large Order"/>
    <n v="10.595000000000001"/>
    <x v="19"/>
    <n v="4026.1"/>
    <m/>
  </r>
  <r>
    <s v="ORD-2417"/>
    <d v="2024-04-11T00:00:00"/>
    <s v="CUST-154"/>
    <x v="19"/>
    <x v="2"/>
    <x v="4"/>
    <x v="2"/>
    <x v="14"/>
    <s v="$145.48"/>
    <s v="Thursday"/>
    <x v="2"/>
    <x v="0"/>
    <b v="0"/>
    <b v="1"/>
    <s v="Large Order"/>
    <n v="7.274"/>
    <x v="6"/>
    <n v="1309.32"/>
    <m/>
  </r>
  <r>
    <s v="ORD-2418"/>
    <d v="2024-02-06T00:00:00"/>
    <s v="CUST-107"/>
    <x v="7"/>
    <x v="1"/>
    <x v="1"/>
    <x v="4"/>
    <x v="8"/>
    <s v="$107.34"/>
    <s v="Tuesday"/>
    <x v="5"/>
    <x v="0"/>
    <b v="0"/>
    <b v="1"/>
    <s v="Large Order"/>
    <n v="5.3670000000000009"/>
    <x v="14"/>
    <n v="1073.4000000000001"/>
    <m/>
  </r>
  <r>
    <s v="ORD-2419"/>
    <d v="2024-08-27T00:00:00"/>
    <s v="CUST-188"/>
    <x v="14"/>
    <x v="2"/>
    <x v="2"/>
    <x v="3"/>
    <x v="18"/>
    <s v="$201.32"/>
    <s v="Tuesday"/>
    <x v="10"/>
    <x v="0"/>
    <b v="0"/>
    <b v="1"/>
    <s v="Large Order"/>
    <n v="10.066000000000001"/>
    <x v="20"/>
    <n v="3422.44"/>
    <m/>
  </r>
  <r>
    <s v="ORD-2420"/>
    <d v="2024-08-12T00:00:00"/>
    <s v="CUST-110"/>
    <x v="20"/>
    <x v="0"/>
    <x v="2"/>
    <x v="3"/>
    <x v="19"/>
    <s v="$81.02"/>
    <s v="Monday"/>
    <x v="10"/>
    <x v="0"/>
    <b v="0"/>
    <b v="1"/>
    <s v="Large Order"/>
    <n v="4.0510000000000002"/>
    <x v="5"/>
    <n v="1620.3999999999999"/>
    <m/>
  </r>
  <r>
    <s v="ORD-2421"/>
    <d v="2024-02-16T00:00:00"/>
    <s v="CUST-129"/>
    <x v="6"/>
    <x v="2"/>
    <x v="1"/>
    <x v="0"/>
    <x v="14"/>
    <s v="$86.6"/>
    <s v="Friday"/>
    <x v="5"/>
    <x v="0"/>
    <b v="0"/>
    <b v="1"/>
    <s v="Large Order"/>
    <n v="4.33"/>
    <x v="22"/>
    <n v="779.4"/>
    <m/>
  </r>
  <r>
    <s v="ORD-2422"/>
    <d v="2024-03-30T00:00:00"/>
    <s v="CUST-160"/>
    <x v="22"/>
    <x v="2"/>
    <x v="2"/>
    <x v="3"/>
    <x v="6"/>
    <s v="$149.27"/>
    <s v="Saturday"/>
    <x v="4"/>
    <x v="0"/>
    <b v="1"/>
    <b v="1"/>
    <s v="Large Order"/>
    <n v="7.4635000000000007"/>
    <x v="4"/>
    <n v="895.62000000000012"/>
    <m/>
  </r>
  <r>
    <s v="ORD-2423"/>
    <d v="2024-08-11T00:00:00"/>
    <s v="CUST-181"/>
    <x v="5"/>
    <x v="0"/>
    <x v="2"/>
    <x v="3"/>
    <x v="3"/>
    <s v="$64.61"/>
    <s v="Sunday"/>
    <x v="10"/>
    <x v="0"/>
    <b v="1"/>
    <b v="1"/>
    <s v="Large Order"/>
    <n v="3.2305000000000001"/>
    <x v="6"/>
    <n v="904.54"/>
    <m/>
  </r>
  <r>
    <s v="ORD-2424"/>
    <d v="2024-12-09T00:00:00"/>
    <s v="CUST-113"/>
    <x v="7"/>
    <x v="1"/>
    <x v="2"/>
    <x v="1"/>
    <x v="8"/>
    <s v="$107.34"/>
    <s v="Monday"/>
    <x v="1"/>
    <x v="0"/>
    <b v="0"/>
    <b v="1"/>
    <s v="Large Order"/>
    <n v="5.3670000000000009"/>
    <x v="23"/>
    <n v="1073.4000000000001"/>
    <m/>
  </r>
  <r>
    <s v="ORD-2425"/>
    <d v="2024-07-24T00:00:00"/>
    <s v="CUST-197"/>
    <x v="23"/>
    <x v="0"/>
    <x v="2"/>
    <x v="0"/>
    <x v="9"/>
    <s v="$133.37"/>
    <s v="Wednesday"/>
    <x v="8"/>
    <x v="0"/>
    <b v="0"/>
    <b v="1"/>
    <s v="Large Order"/>
    <n v="6.6685000000000008"/>
    <x v="3"/>
    <n v="1467.0700000000002"/>
    <m/>
  </r>
  <r>
    <s v="ORD-2426"/>
    <d v="2024-02-29T00:00:00"/>
    <s v="CUST-198"/>
    <x v="4"/>
    <x v="2"/>
    <x v="0"/>
    <x v="4"/>
    <x v="12"/>
    <s v="$230.34"/>
    <s v="Thursday"/>
    <x v="5"/>
    <x v="0"/>
    <b v="0"/>
    <b v="1"/>
    <s v="Large Order"/>
    <n v="11.517000000000001"/>
    <x v="7"/>
    <n v="3455.1"/>
    <m/>
  </r>
  <r>
    <s v="ORD-2427"/>
    <d v="2024-04-06T00:00:00"/>
    <s v="CUST-166"/>
    <x v="8"/>
    <x v="2"/>
    <x v="2"/>
    <x v="1"/>
    <x v="4"/>
    <s v="$208.85"/>
    <s v="Saturday"/>
    <x v="2"/>
    <x v="0"/>
    <b v="1"/>
    <b v="0"/>
    <s v="Standard order"/>
    <n v="10.442500000000001"/>
    <x v="14"/>
    <n v="417.7"/>
    <m/>
  </r>
  <r>
    <s v="ORD-2428"/>
    <d v="2024-10-08T00:00:00"/>
    <s v="CUST-116"/>
    <x v="14"/>
    <x v="1"/>
    <x v="2"/>
    <x v="0"/>
    <x v="1"/>
    <s v="$201.32"/>
    <s v="Tuesday"/>
    <x v="3"/>
    <x v="0"/>
    <b v="0"/>
    <b v="0"/>
    <s v="Standard order"/>
    <n v="10.066000000000001"/>
    <x v="10"/>
    <n v="201.32"/>
    <m/>
  </r>
  <r>
    <s v="ORD-2429"/>
    <d v="2024-11-07T00:00:00"/>
    <s v="CUST-130"/>
    <x v="10"/>
    <x v="0"/>
    <x v="3"/>
    <x v="4"/>
    <x v="1"/>
    <s v="$46.19"/>
    <s v="Thursday"/>
    <x v="0"/>
    <x v="0"/>
    <b v="0"/>
    <b v="0"/>
    <s v="Standard order"/>
    <n v="2.3094999999999999"/>
    <x v="19"/>
    <n v="46.19"/>
    <m/>
  </r>
  <r>
    <s v="ORD-2430"/>
    <d v="2024-02-17T00:00:00"/>
    <s v="CUST-128"/>
    <x v="19"/>
    <x v="1"/>
    <x v="0"/>
    <x v="2"/>
    <x v="17"/>
    <s v="$145.48"/>
    <s v="Saturday"/>
    <x v="5"/>
    <x v="0"/>
    <b v="1"/>
    <b v="1"/>
    <s v="Large Order"/>
    <n v="7.274"/>
    <x v="10"/>
    <n v="2327.6799999999998"/>
    <m/>
  </r>
  <r>
    <s v="ORD-2431"/>
    <d v="2024-05-29T00:00:00"/>
    <s v="CUST-165"/>
    <x v="10"/>
    <x v="1"/>
    <x v="2"/>
    <x v="1"/>
    <x v="17"/>
    <s v="$46.19"/>
    <s v="Wednesday"/>
    <x v="7"/>
    <x v="0"/>
    <b v="0"/>
    <b v="0"/>
    <s v="Large Order"/>
    <n v="2.3094999999999999"/>
    <x v="3"/>
    <n v="739.04"/>
    <m/>
  </r>
  <r>
    <s v="ORD-2432"/>
    <d v="2024-10-09T00:00:00"/>
    <s v="CUST-118"/>
    <x v="4"/>
    <x v="0"/>
    <x v="1"/>
    <x v="4"/>
    <x v="2"/>
    <s v="$230.34"/>
    <s v="Wednesday"/>
    <x v="3"/>
    <x v="0"/>
    <b v="0"/>
    <b v="0"/>
    <s v="Large Order"/>
    <n v="11.517000000000001"/>
    <x v="17"/>
    <n v="1151.7"/>
    <m/>
  </r>
  <r>
    <s v="ORD-2433"/>
    <d v="2024-05-21T00:00:00"/>
    <s v="CUST-198"/>
    <x v="17"/>
    <x v="1"/>
    <x v="1"/>
    <x v="3"/>
    <x v="1"/>
    <s v="$26.59"/>
    <s v="Tuesday"/>
    <x v="7"/>
    <x v="0"/>
    <b v="0"/>
    <b v="0"/>
    <s v="Standard order"/>
    <n v="1.3295000000000001"/>
    <x v="9"/>
    <n v="26.59"/>
    <m/>
  </r>
  <r>
    <s v="ORD-2434"/>
    <d v="2024-06-01T00:00:00"/>
    <s v="CUST-175"/>
    <x v="9"/>
    <x v="2"/>
    <x v="2"/>
    <x v="2"/>
    <x v="12"/>
    <s v="$101.96"/>
    <s v="Saturday"/>
    <x v="9"/>
    <x v="0"/>
    <b v="1"/>
    <b v="1"/>
    <s v="Large Order"/>
    <n v="5.0979999999999999"/>
    <x v="23"/>
    <n v="1529.3999999999999"/>
    <m/>
  </r>
  <r>
    <s v="ORD-2435"/>
    <d v="2024-06-25T00:00:00"/>
    <s v="CUST-142"/>
    <x v="23"/>
    <x v="2"/>
    <x v="2"/>
    <x v="1"/>
    <x v="9"/>
    <s v="$133.37"/>
    <s v="Tuesday"/>
    <x v="9"/>
    <x v="0"/>
    <b v="0"/>
    <b v="1"/>
    <s v="Large Order"/>
    <n v="6.6685000000000008"/>
    <x v="9"/>
    <n v="1467.0700000000002"/>
    <m/>
  </r>
  <r>
    <s v="ORD-2436"/>
    <d v="2024-12-23T00:00:00"/>
    <s v="CUST-130"/>
    <x v="9"/>
    <x v="1"/>
    <x v="4"/>
    <x v="1"/>
    <x v="4"/>
    <s v="$101.96"/>
    <s v="Monday"/>
    <x v="1"/>
    <x v="0"/>
    <b v="0"/>
    <b v="0"/>
    <s v="Standard order"/>
    <n v="5.0979999999999999"/>
    <x v="3"/>
    <n v="203.92"/>
    <m/>
  </r>
  <r>
    <s v="ORD-2437"/>
    <d v="2024-08-30T00:00:00"/>
    <s v="CUST-190"/>
    <x v="4"/>
    <x v="1"/>
    <x v="4"/>
    <x v="1"/>
    <x v="4"/>
    <s v="$230.34"/>
    <s v="Friday"/>
    <x v="10"/>
    <x v="0"/>
    <b v="0"/>
    <b v="0"/>
    <s v="Standard order"/>
    <n v="11.517000000000001"/>
    <x v="19"/>
    <n v="460.68"/>
    <m/>
  </r>
  <r>
    <s v="ORD-2438"/>
    <d v="2024-10-29T00:00:00"/>
    <s v="CUST-142"/>
    <x v="19"/>
    <x v="1"/>
    <x v="0"/>
    <x v="4"/>
    <x v="12"/>
    <s v="$145.48"/>
    <s v="Tuesday"/>
    <x v="3"/>
    <x v="0"/>
    <b v="0"/>
    <b v="1"/>
    <s v="Large Order"/>
    <n v="7.274"/>
    <x v="1"/>
    <n v="2182.1999999999998"/>
    <m/>
  </r>
  <r>
    <s v="ORD-2439"/>
    <d v="2024-03-14T00:00:00"/>
    <s v="CUST-152"/>
    <x v="2"/>
    <x v="0"/>
    <x v="0"/>
    <x v="1"/>
    <x v="14"/>
    <s v="$88.18"/>
    <s v="Thursday"/>
    <x v="4"/>
    <x v="0"/>
    <b v="0"/>
    <b v="1"/>
    <s v="Large Order"/>
    <n v="4.4090000000000007"/>
    <x v="1"/>
    <n v="793.62000000000012"/>
    <m/>
  </r>
  <r>
    <s v="ORD-2440"/>
    <d v="2024-12-20T00:00:00"/>
    <s v="CUST-150"/>
    <x v="2"/>
    <x v="0"/>
    <x v="3"/>
    <x v="4"/>
    <x v="11"/>
    <s v="$88.18"/>
    <s v="Friday"/>
    <x v="1"/>
    <x v="0"/>
    <b v="0"/>
    <b v="1"/>
    <s v="Large Order"/>
    <n v="4.4090000000000007"/>
    <x v="21"/>
    <n v="1146.3400000000001"/>
    <m/>
  </r>
  <r>
    <s v="ORD-2441"/>
    <d v="2024-11-16T00:00:00"/>
    <s v="CUST-191"/>
    <x v="21"/>
    <x v="1"/>
    <x v="1"/>
    <x v="0"/>
    <x v="19"/>
    <s v="$32.94"/>
    <s v="Saturday"/>
    <x v="0"/>
    <x v="0"/>
    <b v="1"/>
    <b v="0"/>
    <s v="Large Order"/>
    <n v="1.647"/>
    <x v="14"/>
    <n v="658.8"/>
    <m/>
  </r>
  <r>
    <s v="ORD-2442"/>
    <d v="2024-11-19T00:00:00"/>
    <s v="CUST-187"/>
    <x v="14"/>
    <x v="0"/>
    <x v="0"/>
    <x v="1"/>
    <x v="0"/>
    <s v="$201.32"/>
    <s v="Tuesday"/>
    <x v="0"/>
    <x v="0"/>
    <b v="0"/>
    <b v="0"/>
    <s v="Large Order"/>
    <n v="10.066000000000001"/>
    <x v="12"/>
    <n v="805.28"/>
    <m/>
  </r>
  <r>
    <s v="ORD-2443"/>
    <d v="2024-12-26T00:00:00"/>
    <s v="CUST-112"/>
    <x v="12"/>
    <x v="0"/>
    <x v="3"/>
    <x v="0"/>
    <x v="4"/>
    <s v="$211.9"/>
    <s v="Thursday"/>
    <x v="1"/>
    <x v="0"/>
    <b v="0"/>
    <b v="0"/>
    <s v="Standard order"/>
    <n v="10.595000000000001"/>
    <x v="7"/>
    <n v="423.8"/>
    <m/>
  </r>
  <r>
    <s v="ORD-2444"/>
    <d v="2024-01-29T00:00:00"/>
    <s v="CUST-137"/>
    <x v="8"/>
    <x v="1"/>
    <x v="2"/>
    <x v="2"/>
    <x v="7"/>
    <s v="$208.85"/>
    <s v="Monday"/>
    <x v="6"/>
    <x v="0"/>
    <b v="0"/>
    <b v="1"/>
    <s v="Large Order"/>
    <n v="10.442500000000001"/>
    <x v="6"/>
    <n v="1670.8"/>
    <m/>
  </r>
  <r>
    <s v="ORD-2445"/>
    <d v="2024-10-16T00:00:00"/>
    <s v="CUST-187"/>
    <x v="7"/>
    <x v="0"/>
    <x v="4"/>
    <x v="0"/>
    <x v="19"/>
    <s v="$107.34"/>
    <s v="Wednesday"/>
    <x v="3"/>
    <x v="0"/>
    <b v="0"/>
    <b v="1"/>
    <s v="Large Order"/>
    <n v="5.3670000000000009"/>
    <x v="24"/>
    <n v="2146.8000000000002"/>
    <m/>
  </r>
  <r>
    <s v="ORD-2446"/>
    <d v="2024-11-13T00:00:00"/>
    <s v="CUST-187"/>
    <x v="24"/>
    <x v="1"/>
    <x v="1"/>
    <x v="2"/>
    <x v="7"/>
    <s v="$10.11"/>
    <s v="Wednesday"/>
    <x v="0"/>
    <x v="0"/>
    <b v="0"/>
    <b v="0"/>
    <s v="Standard order"/>
    <n v="0.50549999999999995"/>
    <x v="2"/>
    <n v="80.88"/>
    <m/>
  </r>
  <r>
    <s v="ORD-2447"/>
    <d v="2024-05-10T00:00:00"/>
    <s v="CUST-158"/>
    <x v="3"/>
    <x v="2"/>
    <x v="0"/>
    <x v="1"/>
    <x v="8"/>
    <s v="$84.57"/>
    <s v="Friday"/>
    <x v="7"/>
    <x v="0"/>
    <b v="0"/>
    <b v="1"/>
    <s v="Large Order"/>
    <n v="4.2284999999999995"/>
    <x v="12"/>
    <n v="845.69999999999993"/>
    <m/>
  </r>
  <r>
    <s v="ORD-2448"/>
    <d v="2024-03-21T00:00:00"/>
    <s v="CUST-109"/>
    <x v="12"/>
    <x v="1"/>
    <x v="1"/>
    <x v="3"/>
    <x v="3"/>
    <s v="$211.9"/>
    <s v="Thursday"/>
    <x v="4"/>
    <x v="0"/>
    <b v="0"/>
    <b v="1"/>
    <s v="Large Order"/>
    <n v="10.595000000000001"/>
    <x v="11"/>
    <n v="2966.6"/>
    <m/>
  </r>
  <r>
    <s v="ORD-2449"/>
    <d v="2024-08-21T00:00:00"/>
    <s v="CUST-138"/>
    <x v="11"/>
    <x v="1"/>
    <x v="2"/>
    <x v="0"/>
    <x v="7"/>
    <s v="$33.22"/>
    <s v="Wednesday"/>
    <x v="10"/>
    <x v="0"/>
    <b v="0"/>
    <b v="0"/>
    <s v="Standard order"/>
    <n v="1.661"/>
    <x v="14"/>
    <n v="265.76"/>
    <m/>
  </r>
  <r>
    <s v="ORD-2450"/>
    <d v="2024-07-02T00:00:00"/>
    <s v="CUST-173"/>
    <x v="14"/>
    <x v="2"/>
    <x v="3"/>
    <x v="0"/>
    <x v="11"/>
    <s v="$201.32"/>
    <s v="Tuesday"/>
    <x v="8"/>
    <x v="0"/>
    <b v="0"/>
    <b v="1"/>
    <s v="Large Order"/>
    <n v="10.066000000000001"/>
    <x v="21"/>
    <n v="2617.16"/>
    <m/>
  </r>
  <r>
    <s v="ORD-2451"/>
    <d v="2024-10-16T00:00:00"/>
    <s v="CUST-187"/>
    <x v="21"/>
    <x v="2"/>
    <x v="0"/>
    <x v="4"/>
    <x v="17"/>
    <s v="$32.94"/>
    <s v="Wednesday"/>
    <x v="3"/>
    <x v="0"/>
    <b v="0"/>
    <b v="0"/>
    <s v="Large Order"/>
    <n v="1.647"/>
    <x v="24"/>
    <n v="527.04"/>
    <m/>
  </r>
  <r>
    <s v="ORD-2452"/>
    <d v="2024-05-26T00:00:00"/>
    <s v="CUST-199"/>
    <x v="24"/>
    <x v="2"/>
    <x v="3"/>
    <x v="2"/>
    <x v="10"/>
    <s v="$10.11"/>
    <s v="Sunday"/>
    <x v="7"/>
    <x v="0"/>
    <b v="1"/>
    <b v="0"/>
    <s v="Standard order"/>
    <n v="0.50549999999999995"/>
    <x v="16"/>
    <n v="70.77"/>
    <m/>
  </r>
  <r>
    <s v="ORD-2453"/>
    <d v="2024-12-13T00:00:00"/>
    <s v="CUST-196"/>
    <x v="16"/>
    <x v="2"/>
    <x v="4"/>
    <x v="0"/>
    <x v="4"/>
    <s v="$130.07"/>
    <s v="Friday"/>
    <x v="1"/>
    <x v="0"/>
    <b v="0"/>
    <b v="0"/>
    <s v="Standard order"/>
    <n v="6.5034999999999998"/>
    <x v="9"/>
    <n v="260.14"/>
    <m/>
  </r>
  <r>
    <s v="ORD-2454"/>
    <d v="2024-08-13T00:00:00"/>
    <s v="CUST-104"/>
    <x v="9"/>
    <x v="1"/>
    <x v="4"/>
    <x v="0"/>
    <x v="8"/>
    <s v="$101.96"/>
    <s v="Tuesday"/>
    <x v="10"/>
    <x v="0"/>
    <b v="0"/>
    <b v="1"/>
    <s v="Large Order"/>
    <n v="5.0979999999999999"/>
    <x v="11"/>
    <n v="1019.5999999999999"/>
    <m/>
  </r>
  <r>
    <s v="ORD-2455"/>
    <d v="2024-07-31T00:00:00"/>
    <s v="CUST-122"/>
    <x v="11"/>
    <x v="0"/>
    <x v="1"/>
    <x v="3"/>
    <x v="18"/>
    <s v="$33.22"/>
    <s v="Wednesday"/>
    <x v="8"/>
    <x v="0"/>
    <b v="0"/>
    <b v="0"/>
    <s v="Large Order"/>
    <n v="1.661"/>
    <x v="2"/>
    <n v="564.74"/>
    <m/>
  </r>
  <r>
    <s v="ORD-2456"/>
    <d v="2024-05-19T00:00:00"/>
    <s v="CUST-121"/>
    <x v="3"/>
    <x v="1"/>
    <x v="3"/>
    <x v="3"/>
    <x v="0"/>
    <s v="$84.57"/>
    <s v="Sunday"/>
    <x v="7"/>
    <x v="0"/>
    <b v="1"/>
    <b v="0"/>
    <s v="Standard order"/>
    <n v="4.2284999999999995"/>
    <x v="21"/>
    <n v="338.28"/>
    <m/>
  </r>
  <r>
    <s v="ORD-2457"/>
    <d v="2024-02-08T00:00:00"/>
    <s v="CUST-118"/>
    <x v="21"/>
    <x v="0"/>
    <x v="2"/>
    <x v="4"/>
    <x v="5"/>
    <s v="$32.94"/>
    <s v="Thursday"/>
    <x v="5"/>
    <x v="0"/>
    <b v="0"/>
    <b v="0"/>
    <s v="Standard order"/>
    <n v="1.647"/>
    <x v="2"/>
    <n v="395.28"/>
    <m/>
  </r>
  <r>
    <s v="ORD-2458"/>
    <d v="2024-07-21T00:00:00"/>
    <s v="CUST-101"/>
    <x v="3"/>
    <x v="2"/>
    <x v="0"/>
    <x v="1"/>
    <x v="5"/>
    <s v="$84.57"/>
    <s v="Sunday"/>
    <x v="8"/>
    <x v="0"/>
    <b v="1"/>
    <b v="1"/>
    <s v="Large Order"/>
    <n v="4.2284999999999995"/>
    <x v="9"/>
    <n v="1014.8399999999999"/>
    <m/>
  </r>
  <r>
    <s v="ORD-2459"/>
    <d v="2024-12-10T00:00:00"/>
    <s v="CUST-133"/>
    <x v="9"/>
    <x v="1"/>
    <x v="3"/>
    <x v="0"/>
    <x v="7"/>
    <s v="$101.96"/>
    <s v="Tuesday"/>
    <x v="1"/>
    <x v="0"/>
    <b v="0"/>
    <b v="1"/>
    <s v="Large Order"/>
    <n v="5.0979999999999999"/>
    <x v="13"/>
    <n v="815.68"/>
    <m/>
  </r>
  <r>
    <s v="ORD-2460"/>
    <d v="2024-11-13T00:00:00"/>
    <s v="CUST-171"/>
    <x v="13"/>
    <x v="2"/>
    <x v="4"/>
    <x v="0"/>
    <x v="12"/>
    <s v="$156.44"/>
    <s v="Wednesday"/>
    <x v="0"/>
    <x v="0"/>
    <b v="0"/>
    <b v="1"/>
    <s v="Large Order"/>
    <n v="7.8220000000000001"/>
    <x v="17"/>
    <n v="2346.6"/>
    <m/>
  </r>
  <r>
    <s v="ORD-2461"/>
    <d v="2024-06-03T00:00:00"/>
    <s v="CUST-183"/>
    <x v="17"/>
    <x v="0"/>
    <x v="4"/>
    <x v="0"/>
    <x v="4"/>
    <s v="$26.59"/>
    <s v="Monday"/>
    <x v="9"/>
    <x v="0"/>
    <b v="0"/>
    <b v="0"/>
    <s v="Standard order"/>
    <n v="1.3295000000000001"/>
    <x v="19"/>
    <n v="53.18"/>
    <m/>
  </r>
  <r>
    <s v="ORD-2462"/>
    <d v="2024-09-09T00:00:00"/>
    <s v="CUST-114"/>
    <x v="19"/>
    <x v="0"/>
    <x v="1"/>
    <x v="2"/>
    <x v="11"/>
    <s v="$145.48"/>
    <s v="Monday"/>
    <x v="11"/>
    <x v="0"/>
    <b v="0"/>
    <b v="1"/>
    <s v="Large Order"/>
    <n v="7.274"/>
    <x v="10"/>
    <n v="1891.2399999999998"/>
    <m/>
  </r>
  <r>
    <s v="ORD-2463"/>
    <d v="2024-12-09T00:00:00"/>
    <s v="CUST-195"/>
    <x v="10"/>
    <x v="2"/>
    <x v="2"/>
    <x v="4"/>
    <x v="2"/>
    <s v="$46.19"/>
    <s v="Monday"/>
    <x v="1"/>
    <x v="0"/>
    <b v="0"/>
    <b v="0"/>
    <s v="Standard order"/>
    <n v="2.3094999999999999"/>
    <x v="4"/>
    <n v="230.95"/>
    <m/>
  </r>
  <r>
    <s v="ORD-2464"/>
    <d v="2024-12-01T00:00:00"/>
    <s v="CUST-112"/>
    <x v="5"/>
    <x v="2"/>
    <x v="2"/>
    <x v="3"/>
    <x v="4"/>
    <s v="$64.61"/>
    <s v="Sunday"/>
    <x v="1"/>
    <x v="0"/>
    <b v="1"/>
    <b v="0"/>
    <s v="Standard order"/>
    <n v="3.2305000000000001"/>
    <x v="12"/>
    <n v="129.22"/>
    <m/>
  </r>
  <r>
    <s v="ORD-2465"/>
    <d v="2024-04-21T00:00:00"/>
    <s v="CUST-156"/>
    <x v="12"/>
    <x v="0"/>
    <x v="3"/>
    <x v="0"/>
    <x v="5"/>
    <s v="$211.9"/>
    <s v="Sunday"/>
    <x v="2"/>
    <x v="0"/>
    <b v="1"/>
    <b v="1"/>
    <s v="Large Order"/>
    <n v="10.595000000000001"/>
    <x v="15"/>
    <n v="2542.8000000000002"/>
    <m/>
  </r>
  <r>
    <s v="ORD-2466"/>
    <d v="2024-11-26T00:00:00"/>
    <s v="CUST-145"/>
    <x v="15"/>
    <x v="1"/>
    <x v="3"/>
    <x v="2"/>
    <x v="0"/>
    <s v="$216.22"/>
    <s v="Tuesday"/>
    <x v="0"/>
    <x v="0"/>
    <b v="0"/>
    <b v="0"/>
    <s v="Large Order"/>
    <n v="10.811"/>
    <x v="5"/>
    <n v="864.88"/>
    <m/>
  </r>
  <r>
    <s v="ORD-2467"/>
    <d v="2024-08-20T00:00:00"/>
    <s v="CUST-111"/>
    <x v="6"/>
    <x v="0"/>
    <x v="1"/>
    <x v="0"/>
    <x v="4"/>
    <s v="$86.6"/>
    <s v="Tuesday"/>
    <x v="10"/>
    <x v="0"/>
    <b v="0"/>
    <b v="0"/>
    <s v="Standard order"/>
    <n v="4.33"/>
    <x v="9"/>
    <n v="173.2"/>
    <m/>
  </r>
  <r>
    <s v="ORD-2468"/>
    <d v="2024-05-04T00:00:00"/>
    <s v="CUST-116"/>
    <x v="9"/>
    <x v="0"/>
    <x v="0"/>
    <x v="4"/>
    <x v="10"/>
    <s v="$101.96"/>
    <s v="Saturday"/>
    <x v="7"/>
    <x v="0"/>
    <b v="1"/>
    <b v="0"/>
    <s v="Large Order"/>
    <n v="5.0979999999999999"/>
    <x v="21"/>
    <n v="713.71999999999991"/>
    <m/>
  </r>
  <r>
    <s v="ORD-2469"/>
    <d v="2024-04-29T00:00:00"/>
    <s v="CUST-142"/>
    <x v="21"/>
    <x v="0"/>
    <x v="1"/>
    <x v="0"/>
    <x v="14"/>
    <s v="$32.94"/>
    <s v="Monday"/>
    <x v="2"/>
    <x v="0"/>
    <b v="0"/>
    <b v="0"/>
    <s v="Standard order"/>
    <n v="1.647"/>
    <x v="23"/>
    <n v="296.45999999999998"/>
    <m/>
  </r>
  <r>
    <s v="ORD-2470"/>
    <d v="2024-03-15T00:00:00"/>
    <s v="CUST-116"/>
    <x v="23"/>
    <x v="1"/>
    <x v="4"/>
    <x v="0"/>
    <x v="1"/>
    <s v="$133.37"/>
    <s v="Friday"/>
    <x v="4"/>
    <x v="0"/>
    <b v="0"/>
    <b v="0"/>
    <s v="Standard order"/>
    <n v="6.6685000000000008"/>
    <x v="24"/>
    <n v="133.37"/>
    <m/>
  </r>
  <r>
    <s v="ORD-2471"/>
    <d v="2024-07-02T00:00:00"/>
    <s v="CUST-200"/>
    <x v="24"/>
    <x v="2"/>
    <x v="3"/>
    <x v="0"/>
    <x v="6"/>
    <s v="$10.11"/>
    <s v="Tuesday"/>
    <x v="8"/>
    <x v="0"/>
    <b v="0"/>
    <b v="0"/>
    <s v="Standard order"/>
    <n v="0.50549999999999995"/>
    <x v="17"/>
    <n v="60.66"/>
    <m/>
  </r>
  <r>
    <s v="ORD-2472"/>
    <d v="2024-03-05T00:00:00"/>
    <s v="CUST-194"/>
    <x v="17"/>
    <x v="2"/>
    <x v="0"/>
    <x v="0"/>
    <x v="17"/>
    <s v="$26.59"/>
    <s v="Tuesday"/>
    <x v="4"/>
    <x v="0"/>
    <b v="0"/>
    <b v="0"/>
    <s v="Standard order"/>
    <n v="1.3295000000000001"/>
    <x v="9"/>
    <n v="425.44"/>
    <m/>
  </r>
  <r>
    <s v="ORD-2473"/>
    <d v="2024-07-04T00:00:00"/>
    <s v="CUST-165"/>
    <x v="9"/>
    <x v="0"/>
    <x v="2"/>
    <x v="4"/>
    <x v="7"/>
    <s v="$101.96"/>
    <s v="Thursday"/>
    <x v="8"/>
    <x v="0"/>
    <b v="0"/>
    <b v="1"/>
    <s v="Large Order"/>
    <n v="5.0979999999999999"/>
    <x v="5"/>
    <n v="815.68"/>
    <m/>
  </r>
  <r>
    <s v="ORD-2474"/>
    <d v="2024-01-23T00:00:00"/>
    <s v="CUST-193"/>
    <x v="6"/>
    <x v="2"/>
    <x v="3"/>
    <x v="1"/>
    <x v="1"/>
    <s v="$86.6"/>
    <s v="Tuesday"/>
    <x v="6"/>
    <x v="0"/>
    <b v="0"/>
    <b v="0"/>
    <s v="Standard order"/>
    <n v="4.33"/>
    <x v="17"/>
    <n v="86.6"/>
    <m/>
  </r>
  <r>
    <s v="ORD-2475"/>
    <d v="2024-09-02T00:00:00"/>
    <s v="CUST-151"/>
    <x v="17"/>
    <x v="2"/>
    <x v="0"/>
    <x v="1"/>
    <x v="12"/>
    <s v="$26.59"/>
    <s v="Monday"/>
    <x v="11"/>
    <x v="0"/>
    <b v="0"/>
    <b v="0"/>
    <s v="Standard order"/>
    <n v="1.3295000000000001"/>
    <x v="20"/>
    <n v="398.85"/>
    <m/>
  </r>
  <r>
    <s v="ORD-2476"/>
    <d v="2024-02-11T00:00:00"/>
    <s v="CUST-141"/>
    <x v="20"/>
    <x v="0"/>
    <x v="0"/>
    <x v="2"/>
    <x v="14"/>
    <s v="$81.02"/>
    <s v="Sunday"/>
    <x v="5"/>
    <x v="0"/>
    <b v="1"/>
    <b v="0"/>
    <s v="Large Order"/>
    <n v="4.0510000000000002"/>
    <x v="10"/>
    <n v="729.18"/>
    <m/>
  </r>
  <r>
    <s v="ORD-2477"/>
    <d v="2024-10-26T00:00:00"/>
    <s v="CUST-170"/>
    <x v="10"/>
    <x v="1"/>
    <x v="2"/>
    <x v="4"/>
    <x v="18"/>
    <s v="$46.19"/>
    <s v="Saturday"/>
    <x v="3"/>
    <x v="0"/>
    <b v="1"/>
    <b v="1"/>
    <s v="Large Order"/>
    <n v="2.3094999999999999"/>
    <x v="17"/>
    <n v="785.23"/>
    <m/>
  </r>
  <r>
    <s v="ORD-2478"/>
    <d v="2024-09-15T00:00:00"/>
    <s v="CUST-177"/>
    <x v="17"/>
    <x v="0"/>
    <x v="0"/>
    <x v="4"/>
    <x v="10"/>
    <s v="$26.59"/>
    <s v="Sunday"/>
    <x v="11"/>
    <x v="0"/>
    <b v="1"/>
    <b v="0"/>
    <s v="Standard order"/>
    <n v="1.3295000000000001"/>
    <x v="13"/>
    <n v="186.13"/>
    <m/>
  </r>
  <r>
    <s v="ORD-2479"/>
    <d v="2024-04-26T00:00:00"/>
    <s v="CUST-152"/>
    <x v="13"/>
    <x v="1"/>
    <x v="2"/>
    <x v="1"/>
    <x v="0"/>
    <s v="$156.44"/>
    <s v="Friday"/>
    <x v="2"/>
    <x v="0"/>
    <b v="0"/>
    <b v="0"/>
    <s v="Large Order"/>
    <n v="7.8220000000000001"/>
    <x v="2"/>
    <n v="625.76"/>
    <m/>
  </r>
  <r>
    <s v="ORD-2480"/>
    <d v="2024-06-09T00:00:00"/>
    <s v="CUST-185"/>
    <x v="3"/>
    <x v="1"/>
    <x v="4"/>
    <x v="1"/>
    <x v="13"/>
    <s v="$84.57"/>
    <s v="Sunday"/>
    <x v="9"/>
    <x v="0"/>
    <b v="1"/>
    <b v="0"/>
    <s v="Standard order"/>
    <n v="4.2284999999999995"/>
    <x v="17"/>
    <n v="253.70999999999998"/>
    <m/>
  </r>
  <r>
    <s v="ORD-2481"/>
    <d v="2024-02-13T00:00:00"/>
    <s v="CUST-111"/>
    <x v="17"/>
    <x v="0"/>
    <x v="3"/>
    <x v="2"/>
    <x v="15"/>
    <s v="$26.59"/>
    <s v="Tuesday"/>
    <x v="5"/>
    <x v="0"/>
    <b v="0"/>
    <b v="0"/>
    <s v="Standard order"/>
    <n v="1.3295000000000001"/>
    <x v="13"/>
    <n v="478.62"/>
    <m/>
  </r>
  <r>
    <s v="ORD-2482"/>
    <d v="2024-10-14T00:00:00"/>
    <s v="CUST-171"/>
    <x v="13"/>
    <x v="2"/>
    <x v="0"/>
    <x v="1"/>
    <x v="5"/>
    <s v="$156.44"/>
    <s v="Monday"/>
    <x v="3"/>
    <x v="0"/>
    <b v="0"/>
    <b v="1"/>
    <s v="Large Order"/>
    <n v="7.8220000000000001"/>
    <x v="15"/>
    <n v="1877.28"/>
    <m/>
  </r>
  <r>
    <s v="ORD-2483"/>
    <d v="2024-08-04T00:00:00"/>
    <s v="CUST-192"/>
    <x v="15"/>
    <x v="1"/>
    <x v="1"/>
    <x v="3"/>
    <x v="5"/>
    <s v="$216.22"/>
    <s v="Sunday"/>
    <x v="10"/>
    <x v="0"/>
    <b v="1"/>
    <b v="1"/>
    <s v="Large Order"/>
    <n v="10.811"/>
    <x v="0"/>
    <n v="2594.64"/>
    <m/>
  </r>
  <r>
    <s v="ORD-2484"/>
    <d v="2024-09-16T00:00:00"/>
    <s v="CUST-127"/>
    <x v="1"/>
    <x v="2"/>
    <x v="2"/>
    <x v="2"/>
    <x v="0"/>
    <s v="$178.83"/>
    <s v="Monday"/>
    <x v="11"/>
    <x v="0"/>
    <b v="0"/>
    <b v="0"/>
    <s v="Large Order"/>
    <n v="8.9415000000000013"/>
    <x v="19"/>
    <n v="715.32"/>
    <m/>
  </r>
  <r>
    <s v="ORD-2485"/>
    <d v="2024-10-11T00:00:00"/>
    <s v="CUST-147"/>
    <x v="19"/>
    <x v="1"/>
    <x v="1"/>
    <x v="2"/>
    <x v="3"/>
    <s v="$145.48"/>
    <s v="Friday"/>
    <x v="3"/>
    <x v="0"/>
    <b v="0"/>
    <b v="1"/>
    <s v="Large Order"/>
    <n v="7.274"/>
    <x v="5"/>
    <n v="2036.7199999999998"/>
    <m/>
  </r>
  <r>
    <s v="ORD-2486"/>
    <d v="2024-11-14T00:00:00"/>
    <s v="CUST-178"/>
    <x v="6"/>
    <x v="2"/>
    <x v="1"/>
    <x v="0"/>
    <x v="19"/>
    <s v="$86.6"/>
    <s v="Thursday"/>
    <x v="0"/>
    <x v="0"/>
    <b v="0"/>
    <b v="1"/>
    <s v="Large Order"/>
    <n v="4.33"/>
    <x v="18"/>
    <n v="1732"/>
    <m/>
  </r>
  <r>
    <s v="ORD-2487"/>
    <d v="2024-12-21T00:00:00"/>
    <s v="CUST-134"/>
    <x v="18"/>
    <x v="0"/>
    <x v="3"/>
    <x v="3"/>
    <x v="9"/>
    <s v="$230.68"/>
    <s v="Saturday"/>
    <x v="1"/>
    <x v="0"/>
    <b v="1"/>
    <b v="1"/>
    <s v="Large Order"/>
    <n v="11.534000000000001"/>
    <x v="9"/>
    <n v="2537.48"/>
    <m/>
  </r>
  <r>
    <s v="ORD-2488"/>
    <d v="2024-04-02T00:00:00"/>
    <s v="CUST-118"/>
    <x v="9"/>
    <x v="2"/>
    <x v="2"/>
    <x v="0"/>
    <x v="2"/>
    <s v="$101.96"/>
    <s v="Tuesday"/>
    <x v="2"/>
    <x v="0"/>
    <b v="0"/>
    <b v="0"/>
    <s v="Large Order"/>
    <n v="5.0979999999999999"/>
    <x v="16"/>
    <n v="509.79999999999995"/>
    <m/>
  </r>
  <r>
    <s v="ORD-2489"/>
    <d v="2024-01-16T00:00:00"/>
    <s v="CUST-111"/>
    <x v="16"/>
    <x v="2"/>
    <x v="4"/>
    <x v="1"/>
    <x v="3"/>
    <s v="$130.07"/>
    <s v="Tuesday"/>
    <x v="6"/>
    <x v="0"/>
    <b v="0"/>
    <b v="1"/>
    <s v="Large Order"/>
    <n v="6.5034999999999998"/>
    <x v="14"/>
    <n v="1820.98"/>
    <m/>
  </r>
  <r>
    <s v="ORD-2490"/>
    <d v="2024-03-21T00:00:00"/>
    <s v="CUST-147"/>
    <x v="14"/>
    <x v="2"/>
    <x v="3"/>
    <x v="4"/>
    <x v="19"/>
    <s v="$201.32"/>
    <s v="Thursday"/>
    <x v="4"/>
    <x v="0"/>
    <b v="0"/>
    <b v="1"/>
    <s v="Large Order"/>
    <n v="10.066000000000001"/>
    <x v="6"/>
    <n v="4026.3999999999996"/>
    <m/>
  </r>
  <r>
    <s v="ORD-2491"/>
    <d v="2024-01-27T00:00:00"/>
    <s v="CUST-119"/>
    <x v="7"/>
    <x v="2"/>
    <x v="0"/>
    <x v="0"/>
    <x v="14"/>
    <s v="$107.34"/>
    <s v="Saturday"/>
    <x v="6"/>
    <x v="0"/>
    <b v="1"/>
    <b v="1"/>
    <s v="Large Order"/>
    <n v="5.3670000000000009"/>
    <x v="20"/>
    <n v="966.06000000000006"/>
    <m/>
  </r>
  <r>
    <s v="ORD-2492"/>
    <d v="2024-08-05T00:00:00"/>
    <s v="CUST-162"/>
    <x v="20"/>
    <x v="1"/>
    <x v="2"/>
    <x v="3"/>
    <x v="10"/>
    <s v="$81.02"/>
    <s v="Monday"/>
    <x v="10"/>
    <x v="0"/>
    <b v="0"/>
    <b v="0"/>
    <s v="Large Order"/>
    <n v="4.0510000000000002"/>
    <x v="17"/>
    <n v="567.14"/>
    <m/>
  </r>
  <r>
    <s v="ORD-2493"/>
    <d v="2024-02-28T00:00:00"/>
    <s v="CUST-144"/>
    <x v="17"/>
    <x v="0"/>
    <x v="3"/>
    <x v="4"/>
    <x v="17"/>
    <s v="$26.59"/>
    <s v="Wednesday"/>
    <x v="5"/>
    <x v="0"/>
    <b v="0"/>
    <b v="0"/>
    <s v="Standard order"/>
    <n v="1.3295000000000001"/>
    <x v="24"/>
    <n v="425.44"/>
    <m/>
  </r>
  <r>
    <s v="ORD-2494"/>
    <d v="2024-06-06T00:00:00"/>
    <s v="CUST-105"/>
    <x v="24"/>
    <x v="1"/>
    <x v="1"/>
    <x v="0"/>
    <x v="1"/>
    <s v="$10.11"/>
    <s v="Thursday"/>
    <x v="9"/>
    <x v="0"/>
    <b v="0"/>
    <b v="0"/>
    <s v="Standard order"/>
    <n v="0.50549999999999995"/>
    <x v="0"/>
    <n v="10.11"/>
    <m/>
  </r>
  <r>
    <s v="ORD-2495"/>
    <d v="2024-04-18T00:00:00"/>
    <s v="CUST-198"/>
    <x v="1"/>
    <x v="1"/>
    <x v="3"/>
    <x v="3"/>
    <x v="0"/>
    <s v="$178.83"/>
    <s v="Thursday"/>
    <x v="2"/>
    <x v="0"/>
    <b v="0"/>
    <b v="0"/>
    <s v="Large Order"/>
    <n v="8.9415000000000013"/>
    <x v="0"/>
    <n v="715.32"/>
    <m/>
  </r>
  <r>
    <s v="ORD-2496"/>
    <d v="2024-08-08T00:00:00"/>
    <s v="CUST-122"/>
    <x v="1"/>
    <x v="1"/>
    <x v="1"/>
    <x v="2"/>
    <x v="18"/>
    <s v="$178.83"/>
    <s v="Thursday"/>
    <x v="10"/>
    <x v="0"/>
    <b v="0"/>
    <b v="1"/>
    <s v="Large Order"/>
    <n v="8.9415000000000013"/>
    <x v="8"/>
    <n v="3040.11"/>
    <m/>
  </r>
  <r>
    <s v="ORD-2497"/>
    <d v="2024-12-08T00:00:00"/>
    <s v="CUST-145"/>
    <x v="0"/>
    <x v="1"/>
    <x v="0"/>
    <x v="1"/>
    <x v="1"/>
    <s v="$146.06"/>
    <s v="Sunday"/>
    <x v="1"/>
    <x v="0"/>
    <b v="1"/>
    <b v="0"/>
    <s v="Standard order"/>
    <n v="7.3030000000000008"/>
    <x v="9"/>
    <n v="146.06"/>
    <m/>
  </r>
  <r>
    <s v="ORD-2498"/>
    <d v="2024-02-09T00:00:00"/>
    <s v="CUST-140"/>
    <x v="9"/>
    <x v="1"/>
    <x v="1"/>
    <x v="1"/>
    <x v="3"/>
    <s v="$101.96"/>
    <s v="Friday"/>
    <x v="5"/>
    <x v="0"/>
    <b v="0"/>
    <b v="1"/>
    <s v="Large Order"/>
    <n v="5.0979999999999999"/>
    <x v="13"/>
    <n v="1427.4399999999998"/>
    <m/>
  </r>
  <r>
    <s v="ORD-2499"/>
    <d v="2024-07-26T00:00:00"/>
    <s v="CUST-102"/>
    <x v="13"/>
    <x v="0"/>
    <x v="1"/>
    <x v="1"/>
    <x v="5"/>
    <s v="$156.44"/>
    <s v="Friday"/>
    <x v="8"/>
    <x v="0"/>
    <b v="0"/>
    <b v="1"/>
    <s v="Large Order"/>
    <n v="7.8220000000000001"/>
    <x v="17"/>
    <n v="1877.28"/>
    <m/>
  </r>
  <r>
    <s v="ORD-2500"/>
    <d v="2024-02-24T00:00:00"/>
    <s v="CUST-131"/>
    <x v="17"/>
    <x v="2"/>
    <x v="2"/>
    <x v="4"/>
    <x v="13"/>
    <s v="$26.59"/>
    <s v="Saturday"/>
    <x v="5"/>
    <x v="0"/>
    <b v="1"/>
    <b v="0"/>
    <s v="Standard order"/>
    <n v="1.3295000000000001"/>
    <x v="13"/>
    <n v="79.77"/>
    <m/>
  </r>
  <r>
    <s v="ORD-2501"/>
    <d v="2024-06-07T00:00:00"/>
    <s v="CUST-195"/>
    <x v="13"/>
    <x v="0"/>
    <x v="3"/>
    <x v="2"/>
    <x v="13"/>
    <s v="$156.44"/>
    <s v="Friday"/>
    <x v="9"/>
    <x v="0"/>
    <b v="0"/>
    <b v="0"/>
    <s v="Standard order"/>
    <n v="7.8220000000000001"/>
    <x v="22"/>
    <n v="469.32"/>
    <m/>
  </r>
  <r>
    <s v="ORD-2502"/>
    <d v="2024-02-28T00:00:00"/>
    <s v="CUST-167"/>
    <x v="22"/>
    <x v="0"/>
    <x v="3"/>
    <x v="3"/>
    <x v="2"/>
    <s v="$149.27"/>
    <s v="Wednesday"/>
    <x v="5"/>
    <x v="0"/>
    <b v="0"/>
    <b v="0"/>
    <s v="Large Order"/>
    <n v="7.4635000000000007"/>
    <x v="11"/>
    <n v="746.35"/>
    <m/>
  </r>
  <r>
    <s v="ORD-2503"/>
    <d v="2024-03-15T00:00:00"/>
    <s v="CUST-132"/>
    <x v="11"/>
    <x v="0"/>
    <x v="1"/>
    <x v="2"/>
    <x v="13"/>
    <s v="$33.22"/>
    <s v="Friday"/>
    <x v="4"/>
    <x v="0"/>
    <b v="0"/>
    <b v="0"/>
    <s v="Standard order"/>
    <n v="1.661"/>
    <x v="12"/>
    <n v="99.66"/>
    <m/>
  </r>
  <r>
    <s v="ORD-2504"/>
    <d v="2024-11-17T00:00:00"/>
    <s v="CUST-163"/>
    <x v="12"/>
    <x v="2"/>
    <x v="1"/>
    <x v="1"/>
    <x v="16"/>
    <s v="$211.9"/>
    <s v="Sunday"/>
    <x v="0"/>
    <x v="0"/>
    <b v="1"/>
    <b v="1"/>
    <s v="Large Order"/>
    <n v="10.595000000000001"/>
    <x v="1"/>
    <n v="4026.1"/>
    <m/>
  </r>
  <r>
    <s v="ORD-2505"/>
    <d v="2024-11-15T00:00:00"/>
    <s v="CUST-141"/>
    <x v="2"/>
    <x v="1"/>
    <x v="4"/>
    <x v="1"/>
    <x v="13"/>
    <s v="$88.18"/>
    <s v="Friday"/>
    <x v="0"/>
    <x v="0"/>
    <b v="0"/>
    <b v="0"/>
    <s v="Standard order"/>
    <n v="4.4090000000000007"/>
    <x v="2"/>
    <n v="264.54000000000002"/>
    <m/>
  </r>
  <r>
    <s v="ORD-2506"/>
    <d v="2024-11-19T00:00:00"/>
    <s v="CUST-138"/>
    <x v="3"/>
    <x v="2"/>
    <x v="0"/>
    <x v="3"/>
    <x v="18"/>
    <s v="$84.57"/>
    <s v="Tuesday"/>
    <x v="0"/>
    <x v="0"/>
    <b v="0"/>
    <b v="1"/>
    <s v="Large Order"/>
    <n v="4.2284999999999995"/>
    <x v="15"/>
    <n v="1437.6899999999998"/>
    <m/>
  </r>
  <r>
    <s v="ORD-2507"/>
    <d v="2024-08-24T00:00:00"/>
    <s v="CUST-157"/>
    <x v="15"/>
    <x v="0"/>
    <x v="3"/>
    <x v="3"/>
    <x v="13"/>
    <s v="$216.22"/>
    <s v="Saturday"/>
    <x v="10"/>
    <x v="0"/>
    <b v="1"/>
    <b v="0"/>
    <s v="Large Order"/>
    <n v="10.811"/>
    <x v="20"/>
    <n v="648.66"/>
    <m/>
  </r>
  <r>
    <s v="ORD-2508"/>
    <d v="2024-02-16T00:00:00"/>
    <s v="CUST-178"/>
    <x v="20"/>
    <x v="2"/>
    <x v="2"/>
    <x v="1"/>
    <x v="16"/>
    <s v="$81.02"/>
    <s v="Friday"/>
    <x v="5"/>
    <x v="0"/>
    <b v="0"/>
    <b v="1"/>
    <s v="Large Order"/>
    <n v="4.0510000000000002"/>
    <x v="9"/>
    <n v="1539.3799999999999"/>
    <m/>
  </r>
  <r>
    <s v="ORD-2509"/>
    <d v="2024-01-22T00:00:00"/>
    <s v="CUST-157"/>
    <x v="9"/>
    <x v="2"/>
    <x v="4"/>
    <x v="3"/>
    <x v="19"/>
    <s v="$101.96"/>
    <s v="Monday"/>
    <x v="6"/>
    <x v="0"/>
    <b v="0"/>
    <b v="1"/>
    <s v="Large Order"/>
    <n v="5.0979999999999999"/>
    <x v="12"/>
    <n v="2039.1999999999998"/>
    <m/>
  </r>
  <r>
    <s v="ORD-2510"/>
    <d v="2024-03-18T00:00:00"/>
    <s v="CUST-107"/>
    <x v="12"/>
    <x v="0"/>
    <x v="3"/>
    <x v="0"/>
    <x v="18"/>
    <s v="$211.9"/>
    <s v="Monday"/>
    <x v="4"/>
    <x v="0"/>
    <b v="0"/>
    <b v="1"/>
    <s v="Large Order"/>
    <n v="10.595000000000001"/>
    <x v="10"/>
    <n v="3602.3"/>
    <m/>
  </r>
  <r>
    <s v="ORD-2511"/>
    <d v="2024-01-21T00:00:00"/>
    <s v="CUST-131"/>
    <x v="10"/>
    <x v="1"/>
    <x v="2"/>
    <x v="4"/>
    <x v="18"/>
    <s v="$46.19"/>
    <s v="Sunday"/>
    <x v="6"/>
    <x v="0"/>
    <b v="1"/>
    <b v="1"/>
    <s v="Large Order"/>
    <n v="2.3094999999999999"/>
    <x v="14"/>
    <n v="785.23"/>
    <m/>
  </r>
  <r>
    <s v="ORD-2512"/>
    <d v="2024-07-05T00:00:00"/>
    <s v="CUST-147"/>
    <x v="14"/>
    <x v="1"/>
    <x v="2"/>
    <x v="3"/>
    <x v="19"/>
    <s v="$201.32"/>
    <s v="Friday"/>
    <x v="8"/>
    <x v="0"/>
    <b v="0"/>
    <b v="1"/>
    <s v="Large Order"/>
    <n v="10.066000000000001"/>
    <x v="13"/>
    <n v="4026.3999999999996"/>
    <m/>
  </r>
  <r>
    <s v="ORD-2513"/>
    <d v="2024-11-19T00:00:00"/>
    <s v="CUST-182"/>
    <x v="13"/>
    <x v="0"/>
    <x v="3"/>
    <x v="0"/>
    <x v="15"/>
    <s v="$156.44"/>
    <s v="Tuesday"/>
    <x v="0"/>
    <x v="0"/>
    <b v="0"/>
    <b v="1"/>
    <s v="Large Order"/>
    <n v="7.8220000000000001"/>
    <x v="16"/>
    <n v="2815.92"/>
    <m/>
  </r>
  <r>
    <s v="ORD-2514"/>
    <d v="2024-05-25T00:00:00"/>
    <s v="CUST-132"/>
    <x v="16"/>
    <x v="2"/>
    <x v="1"/>
    <x v="2"/>
    <x v="9"/>
    <s v="$130.07"/>
    <s v="Saturday"/>
    <x v="7"/>
    <x v="0"/>
    <b v="1"/>
    <b v="1"/>
    <s v="Large Order"/>
    <n v="6.5034999999999998"/>
    <x v="7"/>
    <n v="1430.77"/>
    <m/>
  </r>
  <r>
    <s v="ORD-2515"/>
    <d v="2024-12-05T00:00:00"/>
    <s v="CUST-118"/>
    <x v="8"/>
    <x v="1"/>
    <x v="2"/>
    <x v="2"/>
    <x v="19"/>
    <s v="$208.85"/>
    <s v="Thursday"/>
    <x v="1"/>
    <x v="0"/>
    <b v="0"/>
    <b v="1"/>
    <s v="Large Order"/>
    <n v="10.442500000000001"/>
    <x v="23"/>
    <n v="4177"/>
    <m/>
  </r>
  <r>
    <s v="ORD-2516"/>
    <d v="2024-02-13T00:00:00"/>
    <s v="CUST-139"/>
    <x v="23"/>
    <x v="1"/>
    <x v="3"/>
    <x v="2"/>
    <x v="18"/>
    <s v="$133.37"/>
    <s v="Tuesday"/>
    <x v="5"/>
    <x v="0"/>
    <b v="0"/>
    <b v="1"/>
    <s v="Large Order"/>
    <n v="6.6685000000000008"/>
    <x v="22"/>
    <n v="2267.29"/>
    <m/>
  </r>
  <r>
    <s v="ORD-2517"/>
    <d v="2024-12-09T00:00:00"/>
    <s v="CUST-154"/>
    <x v="22"/>
    <x v="1"/>
    <x v="0"/>
    <x v="3"/>
    <x v="8"/>
    <s v="$149.27"/>
    <s v="Monday"/>
    <x v="1"/>
    <x v="0"/>
    <b v="0"/>
    <b v="1"/>
    <s v="Large Order"/>
    <n v="7.4635000000000007"/>
    <x v="21"/>
    <n v="1492.7"/>
    <m/>
  </r>
  <r>
    <s v="ORD-2518"/>
    <d v="2024-04-19T00:00:00"/>
    <s v="CUST-143"/>
    <x v="21"/>
    <x v="1"/>
    <x v="4"/>
    <x v="2"/>
    <x v="2"/>
    <s v="$32.94"/>
    <s v="Friday"/>
    <x v="2"/>
    <x v="0"/>
    <b v="0"/>
    <b v="0"/>
    <s v="Standard order"/>
    <n v="1.647"/>
    <x v="19"/>
    <n v="164.7"/>
    <m/>
  </r>
  <r>
    <s v="ORD-2519"/>
    <d v="2024-05-31T00:00:00"/>
    <s v="CUST-200"/>
    <x v="19"/>
    <x v="2"/>
    <x v="1"/>
    <x v="4"/>
    <x v="4"/>
    <s v="$145.48"/>
    <s v="Friday"/>
    <x v="7"/>
    <x v="0"/>
    <b v="0"/>
    <b v="0"/>
    <s v="Standard order"/>
    <n v="7.274"/>
    <x v="20"/>
    <n v="290.95999999999998"/>
    <m/>
  </r>
  <r>
    <s v="ORD-2520"/>
    <d v="2024-11-12T00:00:00"/>
    <s v="CUST-116"/>
    <x v="20"/>
    <x v="1"/>
    <x v="4"/>
    <x v="2"/>
    <x v="6"/>
    <s v="$81.02"/>
    <s v="Tuesday"/>
    <x v="0"/>
    <x v="0"/>
    <b v="0"/>
    <b v="0"/>
    <s v="Standard order"/>
    <n v="4.0510000000000002"/>
    <x v="16"/>
    <n v="486.12"/>
    <m/>
  </r>
  <r>
    <s v="ORD-2521"/>
    <d v="2024-11-15T00:00:00"/>
    <s v="CUST-121"/>
    <x v="16"/>
    <x v="1"/>
    <x v="0"/>
    <x v="1"/>
    <x v="5"/>
    <s v="$130.07"/>
    <s v="Friday"/>
    <x v="0"/>
    <x v="0"/>
    <b v="0"/>
    <b v="1"/>
    <s v="Large Order"/>
    <n v="6.5034999999999998"/>
    <x v="20"/>
    <n v="1560.84"/>
    <m/>
  </r>
  <r>
    <s v="ORD-2522"/>
    <d v="2024-05-01T00:00:00"/>
    <s v="CUST-156"/>
    <x v="20"/>
    <x v="1"/>
    <x v="2"/>
    <x v="2"/>
    <x v="15"/>
    <s v="$81.02"/>
    <s v="Wednesday"/>
    <x v="7"/>
    <x v="0"/>
    <b v="0"/>
    <b v="1"/>
    <s v="Large Order"/>
    <n v="4.0510000000000002"/>
    <x v="7"/>
    <n v="1458.36"/>
    <m/>
  </r>
  <r>
    <s v="ORD-2523"/>
    <d v="2024-08-28T00:00:00"/>
    <s v="CUST-124"/>
    <x v="8"/>
    <x v="2"/>
    <x v="1"/>
    <x v="1"/>
    <x v="12"/>
    <s v="$208.85"/>
    <s v="Wednesday"/>
    <x v="10"/>
    <x v="0"/>
    <b v="0"/>
    <b v="1"/>
    <s v="Large Order"/>
    <n v="10.442500000000001"/>
    <x v="22"/>
    <n v="3132.75"/>
    <m/>
  </r>
  <r>
    <s v="ORD-2524"/>
    <d v="2024-07-14T00:00:00"/>
    <s v="CUST-164"/>
    <x v="22"/>
    <x v="1"/>
    <x v="4"/>
    <x v="2"/>
    <x v="19"/>
    <s v="$149.27"/>
    <s v="Sunday"/>
    <x v="8"/>
    <x v="0"/>
    <b v="1"/>
    <b v="1"/>
    <s v="Large Order"/>
    <n v="7.4635000000000007"/>
    <x v="1"/>
    <n v="2985.4"/>
    <m/>
  </r>
  <r>
    <s v="ORD-2525"/>
    <d v="2024-05-08T00:00:00"/>
    <s v="CUST-106"/>
    <x v="2"/>
    <x v="1"/>
    <x v="3"/>
    <x v="4"/>
    <x v="0"/>
    <s v="$88.18"/>
    <s v="Wednesday"/>
    <x v="7"/>
    <x v="0"/>
    <b v="0"/>
    <b v="0"/>
    <s v="Standard order"/>
    <n v="4.4090000000000007"/>
    <x v="14"/>
    <n v="352.72"/>
    <m/>
  </r>
  <r>
    <s v="ORD-2526"/>
    <d v="2024-09-21T00:00:00"/>
    <s v="CUST-115"/>
    <x v="14"/>
    <x v="0"/>
    <x v="4"/>
    <x v="3"/>
    <x v="12"/>
    <s v="$201.32"/>
    <s v="Saturday"/>
    <x v="11"/>
    <x v="0"/>
    <b v="1"/>
    <b v="1"/>
    <s v="Large Order"/>
    <n v="10.066000000000001"/>
    <x v="8"/>
    <n v="3019.7999999999997"/>
    <m/>
  </r>
  <r>
    <s v="ORD-2527"/>
    <d v="2024-03-16T00:00:00"/>
    <s v="CUST-155"/>
    <x v="0"/>
    <x v="0"/>
    <x v="2"/>
    <x v="3"/>
    <x v="1"/>
    <s v="$146.06"/>
    <s v="Saturday"/>
    <x v="4"/>
    <x v="0"/>
    <b v="1"/>
    <b v="0"/>
    <s v="Standard order"/>
    <n v="7.3030000000000008"/>
    <x v="7"/>
    <n v="146.06"/>
    <m/>
  </r>
  <r>
    <s v="ORD-2528"/>
    <d v="2024-07-21T00:00:00"/>
    <s v="CUST-164"/>
    <x v="8"/>
    <x v="0"/>
    <x v="2"/>
    <x v="0"/>
    <x v="5"/>
    <s v="$208.85"/>
    <s v="Sunday"/>
    <x v="8"/>
    <x v="0"/>
    <b v="1"/>
    <b v="1"/>
    <s v="Large Order"/>
    <n v="10.442500000000001"/>
    <x v="10"/>
    <n v="2506.1999999999998"/>
    <m/>
  </r>
  <r>
    <s v="ORD-2529"/>
    <d v="2024-06-12T00:00:00"/>
    <s v="CUST-112"/>
    <x v="10"/>
    <x v="2"/>
    <x v="3"/>
    <x v="2"/>
    <x v="2"/>
    <s v="$46.19"/>
    <s v="Wednesday"/>
    <x v="9"/>
    <x v="0"/>
    <b v="0"/>
    <b v="0"/>
    <s v="Standard order"/>
    <n v="2.3094999999999999"/>
    <x v="0"/>
    <n v="230.95"/>
    <m/>
  </r>
  <r>
    <s v="ORD-2530"/>
    <d v="2024-08-29T00:00:00"/>
    <s v="CUST-189"/>
    <x v="1"/>
    <x v="2"/>
    <x v="2"/>
    <x v="1"/>
    <x v="19"/>
    <s v="$178.83"/>
    <s v="Thursday"/>
    <x v="10"/>
    <x v="0"/>
    <b v="0"/>
    <b v="1"/>
    <s v="Large Order"/>
    <n v="8.9415000000000013"/>
    <x v="2"/>
    <n v="3576.6000000000004"/>
    <m/>
  </r>
  <r>
    <s v="ORD-2531"/>
    <d v="2024-02-10T00:00:00"/>
    <s v="CUST-102"/>
    <x v="3"/>
    <x v="0"/>
    <x v="4"/>
    <x v="4"/>
    <x v="19"/>
    <s v="$84.57"/>
    <s v="Saturday"/>
    <x v="5"/>
    <x v="0"/>
    <b v="1"/>
    <b v="1"/>
    <s v="Large Order"/>
    <n v="4.2284999999999995"/>
    <x v="14"/>
    <n v="1691.3999999999999"/>
    <m/>
  </r>
  <r>
    <s v="ORD-2532"/>
    <d v="2024-02-26T00:00:00"/>
    <s v="CUST-199"/>
    <x v="14"/>
    <x v="0"/>
    <x v="3"/>
    <x v="0"/>
    <x v="4"/>
    <s v="$201.32"/>
    <s v="Monday"/>
    <x v="5"/>
    <x v="0"/>
    <b v="0"/>
    <b v="0"/>
    <s v="Standard order"/>
    <n v="10.066000000000001"/>
    <x v="12"/>
    <n v="402.64"/>
    <m/>
  </r>
  <r>
    <s v="ORD-2533"/>
    <d v="2024-11-23T00:00:00"/>
    <s v="CUST-179"/>
    <x v="12"/>
    <x v="0"/>
    <x v="0"/>
    <x v="1"/>
    <x v="19"/>
    <s v="$211.9"/>
    <s v="Saturday"/>
    <x v="0"/>
    <x v="0"/>
    <b v="1"/>
    <b v="1"/>
    <s v="Large Order"/>
    <n v="10.595000000000001"/>
    <x v="9"/>
    <n v="4238"/>
    <m/>
  </r>
  <r>
    <s v="ORD-2534"/>
    <d v="2024-11-19T00:00:00"/>
    <s v="CUST-165"/>
    <x v="9"/>
    <x v="0"/>
    <x v="4"/>
    <x v="3"/>
    <x v="3"/>
    <s v="$101.96"/>
    <s v="Tuesday"/>
    <x v="0"/>
    <x v="0"/>
    <b v="0"/>
    <b v="1"/>
    <s v="Large Order"/>
    <n v="5.0979999999999999"/>
    <x v="9"/>
    <n v="1427.4399999999998"/>
    <m/>
  </r>
  <r>
    <s v="ORD-2535"/>
    <d v="2024-06-29T00:00:00"/>
    <s v="CUST-130"/>
    <x v="9"/>
    <x v="1"/>
    <x v="4"/>
    <x v="0"/>
    <x v="18"/>
    <s v="$101.96"/>
    <s v="Saturday"/>
    <x v="9"/>
    <x v="0"/>
    <b v="1"/>
    <b v="1"/>
    <s v="Large Order"/>
    <n v="5.0979999999999999"/>
    <x v="23"/>
    <n v="1733.32"/>
    <m/>
  </r>
  <r>
    <s v="ORD-2536"/>
    <d v="2024-02-04T00:00:00"/>
    <s v="CUST-167"/>
    <x v="23"/>
    <x v="2"/>
    <x v="1"/>
    <x v="4"/>
    <x v="1"/>
    <s v="$133.37"/>
    <s v="Sunday"/>
    <x v="5"/>
    <x v="0"/>
    <b v="1"/>
    <b v="0"/>
    <s v="Standard order"/>
    <n v="6.6685000000000008"/>
    <x v="1"/>
    <n v="133.37"/>
    <m/>
  </r>
  <r>
    <s v="ORD-2537"/>
    <d v="2024-08-28T00:00:00"/>
    <s v="CUST-105"/>
    <x v="2"/>
    <x v="1"/>
    <x v="3"/>
    <x v="3"/>
    <x v="1"/>
    <s v="$88.18"/>
    <s v="Wednesday"/>
    <x v="10"/>
    <x v="0"/>
    <b v="0"/>
    <b v="0"/>
    <s v="Standard order"/>
    <n v="4.4090000000000007"/>
    <x v="24"/>
    <n v="88.18"/>
    <m/>
  </r>
  <r>
    <s v="ORD-2538"/>
    <d v="2024-02-04T00:00:00"/>
    <s v="CUST-144"/>
    <x v="24"/>
    <x v="2"/>
    <x v="0"/>
    <x v="4"/>
    <x v="9"/>
    <s v="$10.11"/>
    <s v="Sunday"/>
    <x v="5"/>
    <x v="0"/>
    <b v="1"/>
    <b v="0"/>
    <s v="Standard order"/>
    <n v="0.50549999999999995"/>
    <x v="13"/>
    <n v="111.21"/>
    <m/>
  </r>
  <r>
    <s v="ORD-2539"/>
    <d v="2024-06-29T00:00:00"/>
    <s v="CUST-169"/>
    <x v="13"/>
    <x v="2"/>
    <x v="4"/>
    <x v="1"/>
    <x v="17"/>
    <s v="$156.44"/>
    <s v="Saturday"/>
    <x v="9"/>
    <x v="0"/>
    <b v="1"/>
    <b v="1"/>
    <s v="Large Order"/>
    <n v="7.8220000000000001"/>
    <x v="10"/>
    <n v="2503.04"/>
    <m/>
  </r>
  <r>
    <s v="ORD-2540"/>
    <d v="2024-03-10T00:00:00"/>
    <s v="CUST-108"/>
    <x v="10"/>
    <x v="1"/>
    <x v="0"/>
    <x v="3"/>
    <x v="10"/>
    <s v="$46.19"/>
    <s v="Sunday"/>
    <x v="4"/>
    <x v="0"/>
    <b v="1"/>
    <b v="0"/>
    <s v="Standard order"/>
    <n v="2.3094999999999999"/>
    <x v="13"/>
    <n v="323.33"/>
    <m/>
  </r>
  <r>
    <s v="ORD-2541"/>
    <d v="2024-04-12T00:00:00"/>
    <s v="CUST-105"/>
    <x v="13"/>
    <x v="1"/>
    <x v="1"/>
    <x v="1"/>
    <x v="15"/>
    <s v="$156.44"/>
    <s v="Friday"/>
    <x v="2"/>
    <x v="0"/>
    <b v="0"/>
    <b v="1"/>
    <s v="Large Order"/>
    <n v="7.8220000000000001"/>
    <x v="1"/>
    <n v="2815.92"/>
    <m/>
  </r>
  <r>
    <s v="ORD-2542"/>
    <d v="2024-01-19T00:00:00"/>
    <s v="CUST-196"/>
    <x v="2"/>
    <x v="0"/>
    <x v="3"/>
    <x v="3"/>
    <x v="4"/>
    <s v="$88.18"/>
    <s v="Friday"/>
    <x v="6"/>
    <x v="0"/>
    <b v="0"/>
    <b v="0"/>
    <s v="Standard order"/>
    <n v="4.4090000000000007"/>
    <x v="19"/>
    <n v="176.36"/>
    <m/>
  </r>
  <r>
    <s v="ORD-2543"/>
    <d v="2024-06-18T00:00:00"/>
    <s v="CUST-134"/>
    <x v="19"/>
    <x v="1"/>
    <x v="2"/>
    <x v="1"/>
    <x v="12"/>
    <s v="$145.48"/>
    <s v="Tuesday"/>
    <x v="9"/>
    <x v="0"/>
    <b v="0"/>
    <b v="1"/>
    <s v="Large Order"/>
    <n v="7.274"/>
    <x v="6"/>
    <n v="2182.1999999999998"/>
    <m/>
  </r>
  <r>
    <s v="ORD-2544"/>
    <d v="2024-07-16T00:00:00"/>
    <s v="CUST-143"/>
    <x v="7"/>
    <x v="1"/>
    <x v="2"/>
    <x v="3"/>
    <x v="18"/>
    <s v="$107.34"/>
    <s v="Tuesday"/>
    <x v="8"/>
    <x v="0"/>
    <b v="0"/>
    <b v="1"/>
    <s v="Large Order"/>
    <n v="5.3670000000000009"/>
    <x v="17"/>
    <n v="1824.78"/>
    <m/>
  </r>
  <r>
    <s v="ORD-2545"/>
    <d v="2024-02-12T00:00:00"/>
    <s v="CUST-193"/>
    <x v="17"/>
    <x v="0"/>
    <x v="2"/>
    <x v="4"/>
    <x v="6"/>
    <s v="$26.59"/>
    <s v="Monday"/>
    <x v="5"/>
    <x v="0"/>
    <b v="0"/>
    <b v="0"/>
    <s v="Standard order"/>
    <n v="1.3295000000000001"/>
    <x v="8"/>
    <n v="159.54"/>
    <m/>
  </r>
  <r>
    <s v="ORD-2546"/>
    <d v="2024-06-13T00:00:00"/>
    <s v="CUST-113"/>
    <x v="0"/>
    <x v="1"/>
    <x v="3"/>
    <x v="3"/>
    <x v="12"/>
    <s v="$146.06"/>
    <s v="Thursday"/>
    <x v="9"/>
    <x v="0"/>
    <b v="0"/>
    <b v="1"/>
    <s v="Large Order"/>
    <n v="7.3030000000000008"/>
    <x v="10"/>
    <n v="2190.9"/>
    <m/>
  </r>
  <r>
    <s v="ORD-2547"/>
    <d v="2024-08-06T00:00:00"/>
    <s v="CUST-121"/>
    <x v="10"/>
    <x v="1"/>
    <x v="3"/>
    <x v="1"/>
    <x v="4"/>
    <s v="$46.19"/>
    <s v="Tuesday"/>
    <x v="10"/>
    <x v="0"/>
    <b v="0"/>
    <b v="0"/>
    <s v="Standard order"/>
    <n v="2.3094999999999999"/>
    <x v="17"/>
    <n v="92.38"/>
    <m/>
  </r>
  <r>
    <s v="ORD-2548"/>
    <d v="2024-06-29T00:00:00"/>
    <s v="CUST-178"/>
    <x v="17"/>
    <x v="1"/>
    <x v="0"/>
    <x v="0"/>
    <x v="11"/>
    <s v="$26.59"/>
    <s v="Saturday"/>
    <x v="9"/>
    <x v="0"/>
    <b v="1"/>
    <b v="0"/>
    <s v="Standard order"/>
    <n v="1.3295000000000001"/>
    <x v="18"/>
    <n v="345.67"/>
    <m/>
  </r>
  <r>
    <s v="ORD-2549"/>
    <d v="2024-12-13T00:00:00"/>
    <s v="CUST-120"/>
    <x v="18"/>
    <x v="0"/>
    <x v="1"/>
    <x v="1"/>
    <x v="4"/>
    <s v="$230.68"/>
    <s v="Friday"/>
    <x v="1"/>
    <x v="0"/>
    <b v="0"/>
    <b v="0"/>
    <s v="Standard order"/>
    <n v="11.534000000000001"/>
    <x v="1"/>
    <n v="461.36"/>
    <m/>
  </r>
  <r>
    <s v="ORD-2550"/>
    <d v="2024-04-30T00:00:00"/>
    <s v="CUST-199"/>
    <x v="2"/>
    <x v="1"/>
    <x v="3"/>
    <x v="1"/>
    <x v="16"/>
    <s v="$88.18"/>
    <s v="Tuesday"/>
    <x v="2"/>
    <x v="0"/>
    <b v="0"/>
    <b v="1"/>
    <s v="Large Order"/>
    <n v="4.4090000000000007"/>
    <x v="12"/>
    <n v="1675.42"/>
    <m/>
  </r>
  <r>
    <s v="ORD-2551"/>
    <d v="2024-03-19T00:00:00"/>
    <s v="CUST-186"/>
    <x v="12"/>
    <x v="1"/>
    <x v="3"/>
    <x v="1"/>
    <x v="13"/>
    <s v="$211.9"/>
    <s v="Tuesday"/>
    <x v="4"/>
    <x v="0"/>
    <b v="0"/>
    <b v="0"/>
    <s v="Large Order"/>
    <n v="10.595000000000001"/>
    <x v="3"/>
    <n v="635.70000000000005"/>
    <m/>
  </r>
  <r>
    <s v="ORD-2552"/>
    <d v="2024-09-28T00:00:00"/>
    <s v="CUST-146"/>
    <x v="4"/>
    <x v="1"/>
    <x v="3"/>
    <x v="2"/>
    <x v="0"/>
    <s v="$230.34"/>
    <s v="Saturday"/>
    <x v="11"/>
    <x v="0"/>
    <b v="1"/>
    <b v="0"/>
    <s v="Large Order"/>
    <n v="11.517000000000001"/>
    <x v="22"/>
    <n v="921.36"/>
    <m/>
  </r>
  <r>
    <s v="ORD-2553"/>
    <d v="2024-04-05T00:00:00"/>
    <s v="CUST-163"/>
    <x v="22"/>
    <x v="1"/>
    <x v="1"/>
    <x v="0"/>
    <x v="14"/>
    <s v="$149.27"/>
    <s v="Friday"/>
    <x v="2"/>
    <x v="0"/>
    <b v="0"/>
    <b v="1"/>
    <s v="Large Order"/>
    <n v="7.4635000000000007"/>
    <x v="11"/>
    <n v="1343.43"/>
    <m/>
  </r>
  <r>
    <s v="ORD-2554"/>
    <d v="2024-12-26T00:00:00"/>
    <s v="CUST-157"/>
    <x v="11"/>
    <x v="2"/>
    <x v="3"/>
    <x v="1"/>
    <x v="10"/>
    <s v="$33.22"/>
    <s v="Thursday"/>
    <x v="1"/>
    <x v="0"/>
    <b v="0"/>
    <b v="0"/>
    <s v="Standard order"/>
    <n v="1.661"/>
    <x v="6"/>
    <n v="232.54"/>
    <m/>
  </r>
  <r>
    <s v="ORD-2555"/>
    <d v="2024-02-07T00:00:00"/>
    <s v="CUST-157"/>
    <x v="7"/>
    <x v="2"/>
    <x v="2"/>
    <x v="0"/>
    <x v="9"/>
    <s v="$107.34"/>
    <s v="Wednesday"/>
    <x v="5"/>
    <x v="0"/>
    <b v="0"/>
    <b v="1"/>
    <s v="Large Order"/>
    <n v="5.3670000000000009"/>
    <x v="23"/>
    <n v="1180.74"/>
    <m/>
  </r>
  <r>
    <s v="ORD-2556"/>
    <d v="2024-12-29T00:00:00"/>
    <s v="CUST-108"/>
    <x v="23"/>
    <x v="2"/>
    <x v="3"/>
    <x v="3"/>
    <x v="6"/>
    <s v="$133.37"/>
    <s v="Sunday"/>
    <x v="1"/>
    <x v="0"/>
    <b v="1"/>
    <b v="1"/>
    <s v="Large Order"/>
    <n v="6.6685000000000008"/>
    <x v="6"/>
    <n v="800.22"/>
    <m/>
  </r>
  <r>
    <s v="ORD-2557"/>
    <d v="2024-12-24T00:00:00"/>
    <s v="CUST-181"/>
    <x v="7"/>
    <x v="1"/>
    <x v="1"/>
    <x v="2"/>
    <x v="0"/>
    <s v="$107.34"/>
    <s v="Tuesday"/>
    <x v="1"/>
    <x v="0"/>
    <b v="0"/>
    <b v="0"/>
    <s v="Standard order"/>
    <n v="5.3670000000000009"/>
    <x v="4"/>
    <n v="429.36"/>
    <m/>
  </r>
  <r>
    <s v="ORD-2558"/>
    <d v="2024-03-12T00:00:00"/>
    <s v="CUST-130"/>
    <x v="5"/>
    <x v="0"/>
    <x v="3"/>
    <x v="4"/>
    <x v="16"/>
    <s v="$64.61"/>
    <s v="Tuesday"/>
    <x v="4"/>
    <x v="0"/>
    <b v="0"/>
    <b v="1"/>
    <s v="Large Order"/>
    <n v="3.2305000000000001"/>
    <x v="20"/>
    <n v="1227.5899999999999"/>
    <m/>
  </r>
  <r>
    <s v="ORD-2559"/>
    <d v="2024-10-09T00:00:00"/>
    <s v="CUST-116"/>
    <x v="20"/>
    <x v="0"/>
    <x v="0"/>
    <x v="3"/>
    <x v="11"/>
    <s v="$81.02"/>
    <s v="Wednesday"/>
    <x v="3"/>
    <x v="0"/>
    <b v="0"/>
    <b v="1"/>
    <s v="Large Order"/>
    <n v="4.0510000000000002"/>
    <x v="17"/>
    <n v="1053.26"/>
    <m/>
  </r>
  <r>
    <s v="ORD-2560"/>
    <d v="2024-09-02T00:00:00"/>
    <s v="CUST-167"/>
    <x v="17"/>
    <x v="1"/>
    <x v="1"/>
    <x v="0"/>
    <x v="2"/>
    <s v="$26.59"/>
    <s v="Monday"/>
    <x v="11"/>
    <x v="0"/>
    <b v="0"/>
    <b v="0"/>
    <s v="Standard order"/>
    <n v="1.3295000000000001"/>
    <x v="12"/>
    <n v="132.94999999999999"/>
    <m/>
  </r>
  <r>
    <s v="ORD-2561"/>
    <d v="2024-11-24T00:00:00"/>
    <s v="CUST-109"/>
    <x v="12"/>
    <x v="1"/>
    <x v="1"/>
    <x v="3"/>
    <x v="2"/>
    <s v="$211.9"/>
    <s v="Sunday"/>
    <x v="0"/>
    <x v="0"/>
    <b v="1"/>
    <b v="0"/>
    <s v="Large Order"/>
    <n v="10.595000000000001"/>
    <x v="9"/>
    <n v="1059.5"/>
    <m/>
  </r>
  <r>
    <s v="ORD-2562"/>
    <d v="2024-10-09T00:00:00"/>
    <s v="CUST-181"/>
    <x v="9"/>
    <x v="0"/>
    <x v="4"/>
    <x v="1"/>
    <x v="18"/>
    <s v="$101.96"/>
    <s v="Wednesday"/>
    <x v="3"/>
    <x v="0"/>
    <b v="0"/>
    <b v="1"/>
    <s v="Large Order"/>
    <n v="5.0979999999999999"/>
    <x v="22"/>
    <n v="1733.32"/>
    <m/>
  </r>
  <r>
    <s v="ORD-2563"/>
    <d v="2024-01-29T00:00:00"/>
    <s v="CUST-115"/>
    <x v="22"/>
    <x v="0"/>
    <x v="3"/>
    <x v="2"/>
    <x v="6"/>
    <s v="$149.27"/>
    <s v="Monday"/>
    <x v="6"/>
    <x v="0"/>
    <b v="0"/>
    <b v="1"/>
    <s v="Large Order"/>
    <n v="7.4635000000000007"/>
    <x v="7"/>
    <n v="895.62000000000012"/>
    <m/>
  </r>
  <r>
    <s v="ORD-2564"/>
    <d v="2024-12-29T00:00:00"/>
    <s v="CUST-128"/>
    <x v="8"/>
    <x v="2"/>
    <x v="3"/>
    <x v="0"/>
    <x v="14"/>
    <s v="$208.85"/>
    <s v="Sunday"/>
    <x v="1"/>
    <x v="0"/>
    <b v="1"/>
    <b v="1"/>
    <s v="Large Order"/>
    <n v="10.442500000000001"/>
    <x v="0"/>
    <n v="1879.6499999999999"/>
    <m/>
  </r>
  <r>
    <s v="ORD-2565"/>
    <d v="2024-10-09T00:00:00"/>
    <s v="CUST-135"/>
    <x v="1"/>
    <x v="2"/>
    <x v="3"/>
    <x v="4"/>
    <x v="15"/>
    <s v="$178.83"/>
    <s v="Wednesday"/>
    <x v="3"/>
    <x v="0"/>
    <b v="0"/>
    <b v="1"/>
    <s v="Large Order"/>
    <n v="8.9415000000000013"/>
    <x v="9"/>
    <n v="3218.94"/>
    <m/>
  </r>
  <r>
    <s v="ORD-2566"/>
    <d v="2024-11-24T00:00:00"/>
    <s v="CUST-121"/>
    <x v="9"/>
    <x v="2"/>
    <x v="4"/>
    <x v="2"/>
    <x v="19"/>
    <s v="$101.96"/>
    <s v="Sunday"/>
    <x v="0"/>
    <x v="0"/>
    <b v="1"/>
    <b v="1"/>
    <s v="Large Order"/>
    <n v="5.0979999999999999"/>
    <x v="9"/>
    <n v="2039.1999999999998"/>
    <m/>
  </r>
  <r>
    <s v="ORD-2567"/>
    <d v="2024-11-05T00:00:00"/>
    <s v="CUST-143"/>
    <x v="9"/>
    <x v="0"/>
    <x v="0"/>
    <x v="0"/>
    <x v="4"/>
    <s v="$101.96"/>
    <s v="Tuesday"/>
    <x v="0"/>
    <x v="0"/>
    <b v="0"/>
    <b v="0"/>
    <s v="Standard order"/>
    <n v="5.0979999999999999"/>
    <x v="1"/>
    <n v="203.92"/>
    <m/>
  </r>
  <r>
    <s v="ORD-2568"/>
    <d v="2024-10-22T00:00:00"/>
    <s v="CUST-133"/>
    <x v="2"/>
    <x v="0"/>
    <x v="1"/>
    <x v="1"/>
    <x v="19"/>
    <s v="$88.18"/>
    <s v="Tuesday"/>
    <x v="3"/>
    <x v="0"/>
    <b v="0"/>
    <b v="1"/>
    <s v="Large Order"/>
    <n v="4.4090000000000007"/>
    <x v="23"/>
    <n v="1763.6000000000001"/>
    <m/>
  </r>
  <r>
    <s v="ORD-2569"/>
    <d v="2024-09-11T00:00:00"/>
    <s v="CUST-180"/>
    <x v="23"/>
    <x v="1"/>
    <x v="3"/>
    <x v="1"/>
    <x v="7"/>
    <s v="$133.37"/>
    <s v="Wednesday"/>
    <x v="11"/>
    <x v="0"/>
    <b v="0"/>
    <b v="1"/>
    <s v="Large Order"/>
    <n v="6.6685000000000008"/>
    <x v="14"/>
    <n v="1066.96"/>
    <m/>
  </r>
  <r>
    <s v="ORD-2570"/>
    <d v="2024-12-16T00:00:00"/>
    <s v="CUST-151"/>
    <x v="14"/>
    <x v="1"/>
    <x v="0"/>
    <x v="0"/>
    <x v="6"/>
    <s v="$201.32"/>
    <s v="Monday"/>
    <x v="1"/>
    <x v="0"/>
    <b v="0"/>
    <b v="1"/>
    <s v="Large Order"/>
    <n v="10.066000000000001"/>
    <x v="11"/>
    <n v="1207.92"/>
    <m/>
  </r>
  <r>
    <s v="ORD-2571"/>
    <d v="2024-09-04T00:00:00"/>
    <s v="CUST-159"/>
    <x v="11"/>
    <x v="1"/>
    <x v="1"/>
    <x v="2"/>
    <x v="9"/>
    <s v="$33.22"/>
    <s v="Wednesday"/>
    <x v="11"/>
    <x v="0"/>
    <b v="0"/>
    <b v="0"/>
    <s v="Standard order"/>
    <n v="1.661"/>
    <x v="7"/>
    <n v="365.41999999999996"/>
    <m/>
  </r>
  <r>
    <s v="ORD-2572"/>
    <d v="2024-06-12T00:00:00"/>
    <s v="CUST-193"/>
    <x v="8"/>
    <x v="1"/>
    <x v="4"/>
    <x v="3"/>
    <x v="18"/>
    <s v="$208.85"/>
    <s v="Wednesday"/>
    <x v="9"/>
    <x v="0"/>
    <b v="0"/>
    <b v="1"/>
    <s v="Large Order"/>
    <n v="10.442500000000001"/>
    <x v="12"/>
    <n v="3550.45"/>
    <m/>
  </r>
  <r>
    <s v="ORD-2573"/>
    <d v="2024-06-12T00:00:00"/>
    <s v="CUST-130"/>
    <x v="12"/>
    <x v="0"/>
    <x v="3"/>
    <x v="1"/>
    <x v="7"/>
    <s v="$211.9"/>
    <s v="Wednesday"/>
    <x v="9"/>
    <x v="0"/>
    <b v="0"/>
    <b v="1"/>
    <s v="Large Order"/>
    <n v="10.595000000000001"/>
    <x v="3"/>
    <n v="1695.2"/>
    <m/>
  </r>
  <r>
    <s v="ORD-2574"/>
    <d v="2024-01-26T00:00:00"/>
    <s v="CUST-137"/>
    <x v="4"/>
    <x v="2"/>
    <x v="2"/>
    <x v="2"/>
    <x v="6"/>
    <s v="$230.34"/>
    <s v="Friday"/>
    <x v="6"/>
    <x v="0"/>
    <b v="0"/>
    <b v="1"/>
    <s v="Large Order"/>
    <n v="11.517000000000001"/>
    <x v="13"/>
    <n v="1382.04"/>
    <m/>
  </r>
  <r>
    <s v="ORD-2575"/>
    <d v="2024-10-22T00:00:00"/>
    <s v="CUST-192"/>
    <x v="13"/>
    <x v="0"/>
    <x v="4"/>
    <x v="1"/>
    <x v="18"/>
    <s v="$156.44"/>
    <s v="Tuesday"/>
    <x v="3"/>
    <x v="0"/>
    <b v="0"/>
    <b v="1"/>
    <s v="Large Order"/>
    <n v="7.8220000000000001"/>
    <x v="18"/>
    <n v="2659.48"/>
    <m/>
  </r>
  <r>
    <s v="ORD-2576"/>
    <d v="2024-06-06T00:00:00"/>
    <s v="CUST-163"/>
    <x v="18"/>
    <x v="0"/>
    <x v="2"/>
    <x v="4"/>
    <x v="12"/>
    <s v="$230.68"/>
    <s v="Thursday"/>
    <x v="9"/>
    <x v="0"/>
    <b v="0"/>
    <b v="1"/>
    <s v="Large Order"/>
    <n v="11.534000000000001"/>
    <x v="7"/>
    <n v="3460.2000000000003"/>
    <m/>
  </r>
  <r>
    <s v="ORD-2577"/>
    <d v="2024-04-20T00:00:00"/>
    <s v="CUST-174"/>
    <x v="8"/>
    <x v="0"/>
    <x v="0"/>
    <x v="3"/>
    <x v="17"/>
    <s v="$208.85"/>
    <s v="Saturday"/>
    <x v="2"/>
    <x v="0"/>
    <b v="1"/>
    <b v="1"/>
    <s v="Large Order"/>
    <n v="10.442500000000001"/>
    <x v="4"/>
    <n v="3341.6"/>
    <m/>
  </r>
  <r>
    <s v="ORD-2578"/>
    <d v="2024-11-30T00:00:00"/>
    <s v="CUST-186"/>
    <x v="5"/>
    <x v="1"/>
    <x v="1"/>
    <x v="0"/>
    <x v="0"/>
    <s v="$64.61"/>
    <s v="Saturday"/>
    <x v="0"/>
    <x v="0"/>
    <b v="1"/>
    <b v="0"/>
    <s v="Standard order"/>
    <n v="3.2305000000000001"/>
    <x v="7"/>
    <n v="258.44"/>
    <m/>
  </r>
  <r>
    <s v="ORD-2579"/>
    <d v="2024-05-15T00:00:00"/>
    <s v="CUST-193"/>
    <x v="8"/>
    <x v="1"/>
    <x v="3"/>
    <x v="0"/>
    <x v="11"/>
    <s v="$208.85"/>
    <s v="Wednesday"/>
    <x v="7"/>
    <x v="0"/>
    <b v="0"/>
    <b v="1"/>
    <s v="Large Order"/>
    <n v="10.442500000000001"/>
    <x v="7"/>
    <n v="2715.0499999999997"/>
    <m/>
  </r>
  <r>
    <s v="ORD-2580"/>
    <d v="2024-10-14T00:00:00"/>
    <s v="CUST-124"/>
    <x v="8"/>
    <x v="2"/>
    <x v="3"/>
    <x v="0"/>
    <x v="11"/>
    <s v="$208.85"/>
    <s v="Monday"/>
    <x v="3"/>
    <x v="0"/>
    <b v="0"/>
    <b v="1"/>
    <s v="Large Order"/>
    <n v="10.442500000000001"/>
    <x v="20"/>
    <n v="2715.0499999999997"/>
    <m/>
  </r>
  <r>
    <s v="ORD-2581"/>
    <d v="2024-10-08T00:00:00"/>
    <s v="CUST-135"/>
    <x v="20"/>
    <x v="2"/>
    <x v="1"/>
    <x v="0"/>
    <x v="2"/>
    <s v="$81.02"/>
    <s v="Tuesday"/>
    <x v="3"/>
    <x v="0"/>
    <b v="0"/>
    <b v="0"/>
    <s v="Standard order"/>
    <n v="4.0510000000000002"/>
    <x v="13"/>
    <n v="405.09999999999997"/>
    <m/>
  </r>
  <r>
    <s v="ORD-2582"/>
    <d v="2024-07-20T00:00:00"/>
    <s v="CUST-147"/>
    <x v="13"/>
    <x v="2"/>
    <x v="3"/>
    <x v="2"/>
    <x v="10"/>
    <s v="$156.44"/>
    <s v="Saturday"/>
    <x v="8"/>
    <x v="0"/>
    <b v="1"/>
    <b v="1"/>
    <s v="Large Order"/>
    <n v="7.8220000000000001"/>
    <x v="15"/>
    <n v="1095.08"/>
    <m/>
  </r>
  <r>
    <s v="ORD-2583"/>
    <d v="2024-07-24T00:00:00"/>
    <s v="CUST-164"/>
    <x v="15"/>
    <x v="0"/>
    <x v="0"/>
    <x v="2"/>
    <x v="9"/>
    <s v="$216.22"/>
    <s v="Wednesday"/>
    <x v="8"/>
    <x v="0"/>
    <b v="0"/>
    <b v="1"/>
    <s v="Large Order"/>
    <n v="10.811"/>
    <x v="0"/>
    <n v="2378.42"/>
    <m/>
  </r>
  <r>
    <s v="ORD-2584"/>
    <d v="2024-09-22T00:00:00"/>
    <s v="CUST-158"/>
    <x v="1"/>
    <x v="2"/>
    <x v="1"/>
    <x v="2"/>
    <x v="9"/>
    <s v="$178.83"/>
    <s v="Sunday"/>
    <x v="11"/>
    <x v="0"/>
    <b v="1"/>
    <b v="1"/>
    <s v="Large Order"/>
    <n v="8.9415000000000013"/>
    <x v="3"/>
    <n v="1967.13"/>
    <m/>
  </r>
  <r>
    <s v="ORD-2585"/>
    <d v="2024-06-12T00:00:00"/>
    <s v="CUST-120"/>
    <x v="4"/>
    <x v="2"/>
    <x v="3"/>
    <x v="4"/>
    <x v="9"/>
    <s v="$230.34"/>
    <s v="Wednesday"/>
    <x v="9"/>
    <x v="0"/>
    <b v="0"/>
    <b v="1"/>
    <s v="Large Order"/>
    <n v="11.517000000000001"/>
    <x v="4"/>
    <n v="2533.7400000000002"/>
    <m/>
  </r>
  <r>
    <s v="ORD-2586"/>
    <d v="2024-09-17T00:00:00"/>
    <s v="CUST-168"/>
    <x v="5"/>
    <x v="2"/>
    <x v="1"/>
    <x v="3"/>
    <x v="17"/>
    <s v="$64.61"/>
    <s v="Tuesday"/>
    <x v="11"/>
    <x v="0"/>
    <b v="0"/>
    <b v="1"/>
    <s v="Large Order"/>
    <n v="3.2305000000000001"/>
    <x v="5"/>
    <n v="1033.76"/>
    <m/>
  </r>
  <r>
    <s v="ORD-2587"/>
    <d v="2024-07-07T00:00:00"/>
    <s v="CUST-142"/>
    <x v="6"/>
    <x v="0"/>
    <x v="2"/>
    <x v="4"/>
    <x v="8"/>
    <s v="$86.6"/>
    <s v="Sunday"/>
    <x v="8"/>
    <x v="0"/>
    <b v="1"/>
    <b v="1"/>
    <s v="Large Order"/>
    <n v="4.33"/>
    <x v="18"/>
    <n v="866"/>
    <m/>
  </r>
  <r>
    <s v="ORD-2588"/>
    <d v="2024-12-18T00:00:00"/>
    <s v="CUST-180"/>
    <x v="18"/>
    <x v="2"/>
    <x v="2"/>
    <x v="3"/>
    <x v="16"/>
    <s v="$230.68"/>
    <s v="Wednesday"/>
    <x v="1"/>
    <x v="0"/>
    <b v="0"/>
    <b v="1"/>
    <s v="Large Order"/>
    <n v="11.534000000000001"/>
    <x v="4"/>
    <n v="4382.92"/>
    <m/>
  </r>
  <r>
    <s v="ORD-2589"/>
    <d v="2024-01-27T00:00:00"/>
    <s v="CUST-174"/>
    <x v="5"/>
    <x v="0"/>
    <x v="1"/>
    <x v="4"/>
    <x v="11"/>
    <s v="$64.61"/>
    <s v="Saturday"/>
    <x v="6"/>
    <x v="0"/>
    <b v="1"/>
    <b v="1"/>
    <s v="Large Order"/>
    <n v="3.2305000000000001"/>
    <x v="15"/>
    <n v="839.93"/>
    <m/>
  </r>
  <r>
    <s v="ORD-2590"/>
    <d v="2024-12-14T00:00:00"/>
    <s v="CUST-131"/>
    <x v="15"/>
    <x v="2"/>
    <x v="0"/>
    <x v="2"/>
    <x v="1"/>
    <s v="$216.22"/>
    <s v="Saturday"/>
    <x v="1"/>
    <x v="0"/>
    <b v="1"/>
    <b v="0"/>
    <s v="Standard order"/>
    <n v="10.811"/>
    <x v="17"/>
    <n v="216.22"/>
    <m/>
  </r>
  <r>
    <s v="ORD-2591"/>
    <d v="2024-08-02T00:00:00"/>
    <s v="CUST-119"/>
    <x v="17"/>
    <x v="2"/>
    <x v="4"/>
    <x v="1"/>
    <x v="18"/>
    <s v="$26.59"/>
    <s v="Friday"/>
    <x v="10"/>
    <x v="0"/>
    <b v="0"/>
    <b v="0"/>
    <s v="Standard order"/>
    <n v="1.3295000000000001"/>
    <x v="16"/>
    <n v="452.03"/>
    <m/>
  </r>
  <r>
    <s v="ORD-2592"/>
    <d v="2024-08-29T00:00:00"/>
    <s v="CUST-194"/>
    <x v="16"/>
    <x v="0"/>
    <x v="4"/>
    <x v="4"/>
    <x v="10"/>
    <s v="$130.07"/>
    <s v="Thursday"/>
    <x v="10"/>
    <x v="0"/>
    <b v="0"/>
    <b v="1"/>
    <s v="Large Order"/>
    <n v="6.5034999999999998"/>
    <x v="22"/>
    <n v="910.49"/>
    <m/>
  </r>
  <r>
    <s v="ORD-2593"/>
    <d v="2024-12-05T00:00:00"/>
    <s v="CUST-161"/>
    <x v="22"/>
    <x v="1"/>
    <x v="3"/>
    <x v="2"/>
    <x v="12"/>
    <s v="$149.27"/>
    <s v="Thursday"/>
    <x v="1"/>
    <x v="0"/>
    <b v="0"/>
    <b v="1"/>
    <s v="Large Order"/>
    <n v="7.4635000000000007"/>
    <x v="7"/>
    <n v="2239.0500000000002"/>
    <m/>
  </r>
  <r>
    <s v="ORD-2594"/>
    <d v="2024-06-24T00:00:00"/>
    <s v="CUST-169"/>
    <x v="8"/>
    <x v="2"/>
    <x v="3"/>
    <x v="4"/>
    <x v="17"/>
    <s v="$208.85"/>
    <s v="Monday"/>
    <x v="9"/>
    <x v="0"/>
    <b v="0"/>
    <b v="1"/>
    <s v="Large Order"/>
    <n v="10.442500000000001"/>
    <x v="23"/>
    <n v="3341.6"/>
    <m/>
  </r>
  <r>
    <s v="ORD-2595"/>
    <d v="2024-05-06T00:00:00"/>
    <s v="CUST-135"/>
    <x v="23"/>
    <x v="1"/>
    <x v="4"/>
    <x v="3"/>
    <x v="8"/>
    <s v="$133.37"/>
    <s v="Monday"/>
    <x v="7"/>
    <x v="0"/>
    <b v="0"/>
    <b v="1"/>
    <s v="Large Order"/>
    <n v="6.6685000000000008"/>
    <x v="4"/>
    <n v="1333.7"/>
    <m/>
  </r>
  <r>
    <s v="ORD-2596"/>
    <d v="2024-12-19T00:00:00"/>
    <s v="CUST-190"/>
    <x v="5"/>
    <x v="1"/>
    <x v="2"/>
    <x v="3"/>
    <x v="15"/>
    <s v="$64.61"/>
    <s v="Thursday"/>
    <x v="1"/>
    <x v="0"/>
    <b v="0"/>
    <b v="1"/>
    <s v="Large Order"/>
    <n v="3.2305000000000001"/>
    <x v="19"/>
    <n v="1162.98"/>
    <m/>
  </r>
  <r>
    <s v="ORD-2597"/>
    <d v="2024-05-20T00:00:00"/>
    <s v="CUST-136"/>
    <x v="19"/>
    <x v="2"/>
    <x v="1"/>
    <x v="1"/>
    <x v="11"/>
    <s v="$145.48"/>
    <s v="Monday"/>
    <x v="7"/>
    <x v="0"/>
    <b v="0"/>
    <b v="1"/>
    <s v="Large Order"/>
    <n v="7.274"/>
    <x v="15"/>
    <n v="1891.2399999999998"/>
    <m/>
  </r>
  <r>
    <s v="ORD-2598"/>
    <d v="2024-03-15T00:00:00"/>
    <s v="CUST-137"/>
    <x v="15"/>
    <x v="1"/>
    <x v="0"/>
    <x v="3"/>
    <x v="12"/>
    <s v="$216.22"/>
    <s v="Friday"/>
    <x v="4"/>
    <x v="0"/>
    <b v="0"/>
    <b v="1"/>
    <s v="Large Order"/>
    <n v="10.811"/>
    <x v="11"/>
    <n v="3243.3"/>
    <m/>
  </r>
  <r>
    <s v="ORD-2599"/>
    <d v="2024-09-02T00:00:00"/>
    <s v="CUST-127"/>
    <x v="11"/>
    <x v="2"/>
    <x v="3"/>
    <x v="4"/>
    <x v="14"/>
    <s v="$33.22"/>
    <s v="Monday"/>
    <x v="11"/>
    <x v="0"/>
    <b v="0"/>
    <b v="0"/>
    <s v="Standard order"/>
    <n v="1.661"/>
    <x v="9"/>
    <n v="298.98"/>
    <m/>
  </r>
  <r>
    <s v="ORD-2600"/>
    <d v="2024-11-11T00:00:00"/>
    <s v="CUST-194"/>
    <x v="9"/>
    <x v="0"/>
    <x v="4"/>
    <x v="0"/>
    <x v="18"/>
    <s v="$101.96"/>
    <s v="Monday"/>
    <x v="0"/>
    <x v="0"/>
    <b v="0"/>
    <b v="1"/>
    <s v="Large Order"/>
    <n v="5.0979999999999999"/>
    <x v="19"/>
    <n v="1733.32"/>
    <m/>
  </r>
  <r>
    <s v="ORD-2601"/>
    <d v="2024-04-29T00:00:00"/>
    <s v="CUST-106"/>
    <x v="19"/>
    <x v="1"/>
    <x v="3"/>
    <x v="1"/>
    <x v="0"/>
    <s v="$145.48"/>
    <s v="Monday"/>
    <x v="2"/>
    <x v="0"/>
    <b v="0"/>
    <b v="0"/>
    <s v="Large Order"/>
    <n v="7.274"/>
    <x v="23"/>
    <n v="581.91999999999996"/>
    <m/>
  </r>
  <r>
    <s v="ORD-2602"/>
    <d v="2024-03-11T00:00:00"/>
    <s v="CUST-100"/>
    <x v="23"/>
    <x v="0"/>
    <x v="2"/>
    <x v="1"/>
    <x v="17"/>
    <s v="$133.37"/>
    <s v="Monday"/>
    <x v="4"/>
    <x v="0"/>
    <b v="0"/>
    <b v="1"/>
    <s v="Large Order"/>
    <n v="6.6685000000000008"/>
    <x v="14"/>
    <n v="2133.92"/>
    <m/>
  </r>
  <r>
    <s v="ORD-2603"/>
    <d v="2024-05-27T00:00:00"/>
    <s v="CUST-141"/>
    <x v="14"/>
    <x v="2"/>
    <x v="0"/>
    <x v="0"/>
    <x v="16"/>
    <s v="$201.32"/>
    <s v="Monday"/>
    <x v="7"/>
    <x v="0"/>
    <b v="0"/>
    <b v="1"/>
    <s v="Large Order"/>
    <n v="10.066000000000001"/>
    <x v="17"/>
    <n v="3825.08"/>
    <m/>
  </r>
  <r>
    <s v="ORD-2604"/>
    <d v="2024-01-20T00:00:00"/>
    <s v="CUST-122"/>
    <x v="17"/>
    <x v="0"/>
    <x v="0"/>
    <x v="1"/>
    <x v="17"/>
    <s v="$26.59"/>
    <s v="Saturday"/>
    <x v="6"/>
    <x v="0"/>
    <b v="1"/>
    <b v="0"/>
    <s v="Standard order"/>
    <n v="1.3295000000000001"/>
    <x v="18"/>
    <n v="425.44"/>
    <m/>
  </r>
  <r>
    <s v="ORD-2605"/>
    <d v="2024-05-28T00:00:00"/>
    <s v="CUST-104"/>
    <x v="18"/>
    <x v="1"/>
    <x v="1"/>
    <x v="4"/>
    <x v="0"/>
    <s v="$230.68"/>
    <s v="Tuesday"/>
    <x v="7"/>
    <x v="0"/>
    <b v="0"/>
    <b v="0"/>
    <s v="Large Order"/>
    <n v="11.534000000000001"/>
    <x v="12"/>
    <n v="922.72"/>
    <m/>
  </r>
  <r>
    <s v="ORD-2606"/>
    <d v="2024-06-20T00:00:00"/>
    <s v="CUST-136"/>
    <x v="12"/>
    <x v="2"/>
    <x v="1"/>
    <x v="4"/>
    <x v="17"/>
    <s v="$211.9"/>
    <s v="Thursday"/>
    <x v="9"/>
    <x v="0"/>
    <b v="0"/>
    <b v="1"/>
    <s v="Large Order"/>
    <n v="10.595000000000001"/>
    <x v="12"/>
    <n v="3390.4"/>
    <m/>
  </r>
  <r>
    <s v="ORD-2607"/>
    <d v="2024-03-09T00:00:00"/>
    <s v="CUST-164"/>
    <x v="12"/>
    <x v="1"/>
    <x v="4"/>
    <x v="0"/>
    <x v="9"/>
    <s v="$211.9"/>
    <s v="Saturday"/>
    <x v="4"/>
    <x v="0"/>
    <b v="1"/>
    <b v="1"/>
    <s v="Large Order"/>
    <n v="10.595000000000001"/>
    <x v="2"/>
    <n v="2330.9"/>
    <m/>
  </r>
  <r>
    <s v="ORD-2608"/>
    <d v="2024-08-22T00:00:00"/>
    <s v="CUST-182"/>
    <x v="3"/>
    <x v="2"/>
    <x v="4"/>
    <x v="0"/>
    <x v="9"/>
    <s v="$84.57"/>
    <s v="Thursday"/>
    <x v="10"/>
    <x v="0"/>
    <b v="0"/>
    <b v="1"/>
    <s v="Large Order"/>
    <n v="4.2284999999999995"/>
    <x v="21"/>
    <n v="930.27"/>
    <m/>
  </r>
  <r>
    <s v="ORD-2609"/>
    <d v="2024-10-17T00:00:00"/>
    <s v="CUST-186"/>
    <x v="21"/>
    <x v="0"/>
    <x v="4"/>
    <x v="4"/>
    <x v="11"/>
    <s v="$32.94"/>
    <s v="Thursday"/>
    <x v="3"/>
    <x v="0"/>
    <b v="0"/>
    <b v="0"/>
    <s v="Standard order"/>
    <n v="1.647"/>
    <x v="8"/>
    <n v="428.21999999999997"/>
    <m/>
  </r>
  <r>
    <s v="ORD-2610"/>
    <d v="2024-09-20T00:00:00"/>
    <s v="CUST-141"/>
    <x v="0"/>
    <x v="1"/>
    <x v="0"/>
    <x v="2"/>
    <x v="2"/>
    <s v="$146.06"/>
    <s v="Friday"/>
    <x v="11"/>
    <x v="0"/>
    <b v="0"/>
    <b v="0"/>
    <s v="Large Order"/>
    <n v="7.3030000000000008"/>
    <x v="2"/>
    <n v="730.3"/>
    <m/>
  </r>
  <r>
    <s v="ORD-2611"/>
    <d v="2024-05-07T00:00:00"/>
    <s v="CUST-100"/>
    <x v="3"/>
    <x v="1"/>
    <x v="4"/>
    <x v="1"/>
    <x v="14"/>
    <s v="$84.57"/>
    <s v="Tuesday"/>
    <x v="7"/>
    <x v="0"/>
    <b v="0"/>
    <b v="1"/>
    <s v="Large Order"/>
    <n v="4.2284999999999995"/>
    <x v="16"/>
    <n v="761.12999999999988"/>
    <m/>
  </r>
  <r>
    <s v="ORD-2612"/>
    <d v="2024-06-03T00:00:00"/>
    <s v="CUST-174"/>
    <x v="16"/>
    <x v="2"/>
    <x v="0"/>
    <x v="3"/>
    <x v="5"/>
    <s v="$130.07"/>
    <s v="Monday"/>
    <x v="9"/>
    <x v="0"/>
    <b v="0"/>
    <b v="1"/>
    <s v="Large Order"/>
    <n v="6.5034999999999998"/>
    <x v="19"/>
    <n v="1560.84"/>
    <m/>
  </r>
  <r>
    <s v="ORD-2613"/>
    <d v="2024-02-01T00:00:00"/>
    <s v="CUST-185"/>
    <x v="19"/>
    <x v="1"/>
    <x v="3"/>
    <x v="2"/>
    <x v="11"/>
    <s v="$145.48"/>
    <s v="Thursday"/>
    <x v="5"/>
    <x v="0"/>
    <b v="0"/>
    <b v="1"/>
    <s v="Large Order"/>
    <n v="7.274"/>
    <x v="14"/>
    <n v="1891.2399999999998"/>
    <m/>
  </r>
  <r>
    <s v="ORD-2614"/>
    <d v="2024-12-26T00:00:00"/>
    <s v="CUST-198"/>
    <x v="14"/>
    <x v="2"/>
    <x v="0"/>
    <x v="3"/>
    <x v="5"/>
    <s v="$201.32"/>
    <s v="Thursday"/>
    <x v="1"/>
    <x v="0"/>
    <b v="0"/>
    <b v="1"/>
    <s v="Large Order"/>
    <n v="10.066000000000001"/>
    <x v="4"/>
    <n v="2415.84"/>
    <m/>
  </r>
  <r>
    <s v="ORD-2615"/>
    <d v="2024-04-22T00:00:00"/>
    <s v="CUST-117"/>
    <x v="5"/>
    <x v="0"/>
    <x v="2"/>
    <x v="4"/>
    <x v="5"/>
    <s v="$64.61"/>
    <s v="Monday"/>
    <x v="2"/>
    <x v="0"/>
    <b v="0"/>
    <b v="1"/>
    <s v="Large Order"/>
    <n v="3.2305000000000001"/>
    <x v="21"/>
    <n v="775.31999999999994"/>
    <m/>
  </r>
  <r>
    <s v="ORD-2616"/>
    <d v="2024-10-08T00:00:00"/>
    <s v="CUST-160"/>
    <x v="21"/>
    <x v="2"/>
    <x v="4"/>
    <x v="2"/>
    <x v="19"/>
    <s v="$32.94"/>
    <s v="Tuesday"/>
    <x v="3"/>
    <x v="0"/>
    <b v="0"/>
    <b v="0"/>
    <s v="Large Order"/>
    <n v="1.647"/>
    <x v="12"/>
    <n v="658.8"/>
    <m/>
  </r>
  <r>
    <s v="ORD-2617"/>
    <d v="2024-02-11T00:00:00"/>
    <s v="CUST-167"/>
    <x v="12"/>
    <x v="2"/>
    <x v="3"/>
    <x v="0"/>
    <x v="16"/>
    <s v="$211.9"/>
    <s v="Sunday"/>
    <x v="5"/>
    <x v="0"/>
    <b v="1"/>
    <b v="1"/>
    <s v="Large Order"/>
    <n v="10.595000000000001"/>
    <x v="11"/>
    <n v="4026.1"/>
    <m/>
  </r>
  <r>
    <s v="ORD-2618"/>
    <d v="2024-10-07T00:00:00"/>
    <s v="CUST-164"/>
    <x v="11"/>
    <x v="2"/>
    <x v="1"/>
    <x v="2"/>
    <x v="6"/>
    <s v="$33.22"/>
    <s v="Monday"/>
    <x v="3"/>
    <x v="0"/>
    <b v="0"/>
    <b v="0"/>
    <s v="Standard order"/>
    <n v="1.661"/>
    <x v="19"/>
    <n v="199.32"/>
    <m/>
  </r>
  <r>
    <s v="ORD-2619"/>
    <d v="2024-09-23T00:00:00"/>
    <s v="CUST-156"/>
    <x v="19"/>
    <x v="2"/>
    <x v="4"/>
    <x v="4"/>
    <x v="17"/>
    <s v="$145.48"/>
    <s v="Monday"/>
    <x v="11"/>
    <x v="0"/>
    <b v="0"/>
    <b v="1"/>
    <s v="Large Order"/>
    <n v="7.274"/>
    <x v="15"/>
    <n v="2327.6799999999998"/>
    <m/>
  </r>
  <r>
    <s v="ORD-2620"/>
    <d v="2024-09-18T00:00:00"/>
    <s v="CUST-157"/>
    <x v="15"/>
    <x v="1"/>
    <x v="4"/>
    <x v="4"/>
    <x v="3"/>
    <s v="$216.22"/>
    <s v="Wednesday"/>
    <x v="11"/>
    <x v="0"/>
    <b v="0"/>
    <b v="1"/>
    <s v="Large Order"/>
    <n v="10.811"/>
    <x v="12"/>
    <n v="3027.08"/>
    <m/>
  </r>
  <r>
    <s v="ORD-2621"/>
    <d v="2024-01-30T00:00:00"/>
    <s v="CUST-171"/>
    <x v="12"/>
    <x v="2"/>
    <x v="3"/>
    <x v="0"/>
    <x v="11"/>
    <s v="$211.9"/>
    <s v="Tuesday"/>
    <x v="6"/>
    <x v="0"/>
    <b v="0"/>
    <b v="1"/>
    <s v="Large Order"/>
    <n v="10.595000000000001"/>
    <x v="11"/>
    <n v="2754.7000000000003"/>
    <m/>
  </r>
  <r>
    <s v="ORD-2622"/>
    <d v="2024-01-02T00:00:00"/>
    <s v="CUST-195"/>
    <x v="11"/>
    <x v="2"/>
    <x v="0"/>
    <x v="0"/>
    <x v="3"/>
    <s v="$33.22"/>
    <s v="Tuesday"/>
    <x v="6"/>
    <x v="0"/>
    <b v="0"/>
    <b v="0"/>
    <s v="Standard order"/>
    <n v="1.661"/>
    <x v="15"/>
    <n v="465.08"/>
    <m/>
  </r>
  <r>
    <s v="ORD-2623"/>
    <d v="2024-02-02T00:00:00"/>
    <s v="CUST-169"/>
    <x v="15"/>
    <x v="0"/>
    <x v="2"/>
    <x v="0"/>
    <x v="8"/>
    <s v="$216.22"/>
    <s v="Friday"/>
    <x v="5"/>
    <x v="0"/>
    <b v="0"/>
    <b v="1"/>
    <s v="Large Order"/>
    <n v="10.811"/>
    <x v="1"/>
    <n v="2162.1999999999998"/>
    <m/>
  </r>
  <r>
    <s v="ORD-2624"/>
    <d v="2024-03-10T00:00:00"/>
    <s v="CUST-198"/>
    <x v="2"/>
    <x v="2"/>
    <x v="2"/>
    <x v="3"/>
    <x v="11"/>
    <s v="$88.18"/>
    <s v="Sunday"/>
    <x v="4"/>
    <x v="0"/>
    <b v="1"/>
    <b v="1"/>
    <s v="Large Order"/>
    <n v="4.4090000000000007"/>
    <x v="8"/>
    <n v="1146.3400000000001"/>
    <m/>
  </r>
  <r>
    <s v="ORD-2625"/>
    <d v="2024-07-12T00:00:00"/>
    <s v="CUST-148"/>
    <x v="0"/>
    <x v="2"/>
    <x v="1"/>
    <x v="2"/>
    <x v="5"/>
    <s v="$146.06"/>
    <s v="Friday"/>
    <x v="8"/>
    <x v="0"/>
    <b v="0"/>
    <b v="1"/>
    <s v="Large Order"/>
    <n v="7.3030000000000008"/>
    <x v="22"/>
    <n v="1752.72"/>
    <m/>
  </r>
  <r>
    <s v="ORD-2626"/>
    <d v="2024-10-02T00:00:00"/>
    <s v="CUST-150"/>
    <x v="22"/>
    <x v="0"/>
    <x v="4"/>
    <x v="0"/>
    <x v="1"/>
    <s v="$149.27"/>
    <s v="Wednesday"/>
    <x v="3"/>
    <x v="0"/>
    <b v="0"/>
    <b v="0"/>
    <s v="Standard order"/>
    <n v="7.4635000000000007"/>
    <x v="16"/>
    <n v="149.27000000000001"/>
    <m/>
  </r>
  <r>
    <s v="ORD-2627"/>
    <d v="2024-08-25T00:00:00"/>
    <s v="CUST-186"/>
    <x v="16"/>
    <x v="2"/>
    <x v="2"/>
    <x v="4"/>
    <x v="11"/>
    <s v="$130.07"/>
    <s v="Sunday"/>
    <x v="10"/>
    <x v="0"/>
    <b v="1"/>
    <b v="1"/>
    <s v="Large Order"/>
    <n v="6.5034999999999998"/>
    <x v="7"/>
    <n v="1690.9099999999999"/>
    <m/>
  </r>
  <r>
    <s v="ORD-2628"/>
    <d v="2024-05-06T00:00:00"/>
    <s v="CUST-158"/>
    <x v="8"/>
    <x v="0"/>
    <x v="3"/>
    <x v="2"/>
    <x v="0"/>
    <s v="$208.85"/>
    <s v="Monday"/>
    <x v="7"/>
    <x v="0"/>
    <b v="0"/>
    <b v="0"/>
    <s v="Large Order"/>
    <n v="10.442500000000001"/>
    <x v="20"/>
    <n v="835.4"/>
    <m/>
  </r>
  <r>
    <s v="ORD-2629"/>
    <d v="2024-12-04T00:00:00"/>
    <s v="CUST-153"/>
    <x v="20"/>
    <x v="0"/>
    <x v="4"/>
    <x v="2"/>
    <x v="13"/>
    <s v="$81.02"/>
    <s v="Wednesday"/>
    <x v="1"/>
    <x v="0"/>
    <b v="0"/>
    <b v="0"/>
    <s v="Standard order"/>
    <n v="4.0510000000000002"/>
    <x v="20"/>
    <n v="243.06"/>
    <m/>
  </r>
  <r>
    <s v="ORD-2630"/>
    <d v="2024-01-18T00:00:00"/>
    <s v="CUST-157"/>
    <x v="20"/>
    <x v="2"/>
    <x v="0"/>
    <x v="2"/>
    <x v="4"/>
    <s v="$81.02"/>
    <s v="Thursday"/>
    <x v="6"/>
    <x v="0"/>
    <b v="0"/>
    <b v="0"/>
    <s v="Standard order"/>
    <n v="4.0510000000000002"/>
    <x v="11"/>
    <n v="162.04"/>
    <m/>
  </r>
  <r>
    <s v="ORD-2631"/>
    <d v="2024-04-29T00:00:00"/>
    <s v="CUST-169"/>
    <x v="11"/>
    <x v="0"/>
    <x v="4"/>
    <x v="4"/>
    <x v="8"/>
    <s v="$33.22"/>
    <s v="Monday"/>
    <x v="2"/>
    <x v="0"/>
    <b v="0"/>
    <b v="0"/>
    <s v="Standard order"/>
    <n v="1.661"/>
    <x v="9"/>
    <n v="332.2"/>
    <m/>
  </r>
  <r>
    <s v="ORD-2632"/>
    <d v="2024-10-21T00:00:00"/>
    <s v="CUST-140"/>
    <x v="9"/>
    <x v="2"/>
    <x v="3"/>
    <x v="2"/>
    <x v="8"/>
    <s v="$101.96"/>
    <s v="Monday"/>
    <x v="3"/>
    <x v="0"/>
    <b v="0"/>
    <b v="1"/>
    <s v="Large Order"/>
    <n v="5.0979999999999999"/>
    <x v="24"/>
    <n v="1019.5999999999999"/>
    <m/>
  </r>
  <r>
    <s v="ORD-2633"/>
    <d v="2024-12-04T00:00:00"/>
    <s v="CUST-166"/>
    <x v="24"/>
    <x v="1"/>
    <x v="3"/>
    <x v="3"/>
    <x v="4"/>
    <s v="$10.11"/>
    <s v="Wednesday"/>
    <x v="1"/>
    <x v="0"/>
    <b v="0"/>
    <b v="0"/>
    <s v="Standard order"/>
    <n v="0.50549999999999995"/>
    <x v="6"/>
    <n v="20.22"/>
    <m/>
  </r>
  <r>
    <s v="ORD-2634"/>
    <d v="2024-10-29T00:00:00"/>
    <s v="CUST-194"/>
    <x v="7"/>
    <x v="2"/>
    <x v="2"/>
    <x v="4"/>
    <x v="17"/>
    <s v="$107.34"/>
    <s v="Tuesday"/>
    <x v="3"/>
    <x v="0"/>
    <b v="0"/>
    <b v="1"/>
    <s v="Large Order"/>
    <n v="5.3670000000000009"/>
    <x v="5"/>
    <n v="1717.44"/>
    <m/>
  </r>
  <r>
    <s v="ORD-2635"/>
    <d v="2024-06-25T00:00:00"/>
    <s v="CUST-182"/>
    <x v="6"/>
    <x v="1"/>
    <x v="1"/>
    <x v="3"/>
    <x v="3"/>
    <s v="$86.6"/>
    <s v="Tuesday"/>
    <x v="9"/>
    <x v="0"/>
    <b v="0"/>
    <b v="1"/>
    <s v="Large Order"/>
    <n v="4.33"/>
    <x v="6"/>
    <n v="1212.3999999999999"/>
    <m/>
  </r>
  <r>
    <s v="ORD-2636"/>
    <d v="2024-06-02T00:00:00"/>
    <s v="CUST-148"/>
    <x v="7"/>
    <x v="2"/>
    <x v="2"/>
    <x v="2"/>
    <x v="7"/>
    <s v="$107.34"/>
    <s v="Sunday"/>
    <x v="9"/>
    <x v="0"/>
    <b v="1"/>
    <b v="1"/>
    <s v="Large Order"/>
    <n v="5.3670000000000009"/>
    <x v="12"/>
    <n v="858.72"/>
    <m/>
  </r>
  <r>
    <s v="ORD-2637"/>
    <d v="2024-12-28T00:00:00"/>
    <s v="CUST-118"/>
    <x v="12"/>
    <x v="0"/>
    <x v="1"/>
    <x v="1"/>
    <x v="3"/>
    <s v="$211.9"/>
    <s v="Saturday"/>
    <x v="1"/>
    <x v="0"/>
    <b v="1"/>
    <b v="1"/>
    <s v="Large Order"/>
    <n v="10.595000000000001"/>
    <x v="24"/>
    <n v="2966.6"/>
    <m/>
  </r>
  <r>
    <s v="ORD-2638"/>
    <d v="2024-03-09T00:00:00"/>
    <s v="CUST-149"/>
    <x v="24"/>
    <x v="1"/>
    <x v="4"/>
    <x v="3"/>
    <x v="13"/>
    <s v="$10.11"/>
    <s v="Saturday"/>
    <x v="4"/>
    <x v="0"/>
    <b v="1"/>
    <b v="0"/>
    <s v="Standard order"/>
    <n v="0.50549999999999995"/>
    <x v="23"/>
    <n v="30.33"/>
    <m/>
  </r>
  <r>
    <s v="ORD-2639"/>
    <d v="2024-07-08T00:00:00"/>
    <s v="CUST-111"/>
    <x v="23"/>
    <x v="2"/>
    <x v="4"/>
    <x v="0"/>
    <x v="14"/>
    <s v="$133.37"/>
    <s v="Monday"/>
    <x v="8"/>
    <x v="0"/>
    <b v="0"/>
    <b v="1"/>
    <s v="Large Order"/>
    <n v="6.6685000000000008"/>
    <x v="15"/>
    <n v="1200.33"/>
    <m/>
  </r>
  <r>
    <s v="ORD-2640"/>
    <d v="2024-11-05T00:00:00"/>
    <s v="CUST-177"/>
    <x v="15"/>
    <x v="0"/>
    <x v="4"/>
    <x v="4"/>
    <x v="15"/>
    <s v="$216.22"/>
    <s v="Tuesday"/>
    <x v="0"/>
    <x v="0"/>
    <b v="0"/>
    <b v="1"/>
    <s v="Large Order"/>
    <n v="10.811"/>
    <x v="14"/>
    <n v="3891.96"/>
    <m/>
  </r>
  <r>
    <s v="ORD-2641"/>
    <d v="2024-04-16T00:00:00"/>
    <s v="CUST-142"/>
    <x v="14"/>
    <x v="0"/>
    <x v="4"/>
    <x v="2"/>
    <x v="0"/>
    <s v="$201.32"/>
    <s v="Tuesday"/>
    <x v="2"/>
    <x v="0"/>
    <b v="0"/>
    <b v="0"/>
    <s v="Large Order"/>
    <n v="10.066000000000001"/>
    <x v="10"/>
    <n v="805.28"/>
    <m/>
  </r>
  <r>
    <s v="ORD-2642"/>
    <d v="2024-09-02T00:00:00"/>
    <s v="CUST-131"/>
    <x v="10"/>
    <x v="2"/>
    <x v="4"/>
    <x v="1"/>
    <x v="7"/>
    <s v="$46.19"/>
    <s v="Monday"/>
    <x v="11"/>
    <x v="0"/>
    <b v="0"/>
    <b v="0"/>
    <s v="Standard order"/>
    <n v="2.3094999999999999"/>
    <x v="12"/>
    <n v="369.52"/>
    <m/>
  </r>
  <r>
    <s v="ORD-2643"/>
    <d v="2024-05-24T00:00:00"/>
    <s v="CUST-148"/>
    <x v="12"/>
    <x v="2"/>
    <x v="3"/>
    <x v="3"/>
    <x v="14"/>
    <s v="$211.9"/>
    <s v="Friday"/>
    <x v="7"/>
    <x v="0"/>
    <b v="0"/>
    <b v="1"/>
    <s v="Large Order"/>
    <n v="10.595000000000001"/>
    <x v="19"/>
    <n v="1907.1000000000001"/>
    <m/>
  </r>
  <r>
    <s v="ORD-2644"/>
    <d v="2024-09-11T00:00:00"/>
    <s v="CUST-159"/>
    <x v="19"/>
    <x v="2"/>
    <x v="2"/>
    <x v="3"/>
    <x v="10"/>
    <s v="$145.48"/>
    <s v="Wednesday"/>
    <x v="11"/>
    <x v="0"/>
    <b v="0"/>
    <b v="1"/>
    <s v="Large Order"/>
    <n v="7.274"/>
    <x v="9"/>
    <n v="1018.3599999999999"/>
    <m/>
  </r>
  <r>
    <s v="ORD-2645"/>
    <d v="2024-07-30T00:00:00"/>
    <s v="CUST-105"/>
    <x v="9"/>
    <x v="0"/>
    <x v="4"/>
    <x v="0"/>
    <x v="14"/>
    <s v="$101.96"/>
    <s v="Tuesday"/>
    <x v="8"/>
    <x v="0"/>
    <b v="0"/>
    <b v="1"/>
    <s v="Large Order"/>
    <n v="5.0979999999999999"/>
    <x v="16"/>
    <n v="917.64"/>
    <m/>
  </r>
  <r>
    <s v="ORD-2646"/>
    <d v="2024-10-26T00:00:00"/>
    <s v="CUST-174"/>
    <x v="16"/>
    <x v="1"/>
    <x v="3"/>
    <x v="2"/>
    <x v="10"/>
    <s v="$130.07"/>
    <s v="Saturday"/>
    <x v="3"/>
    <x v="0"/>
    <b v="1"/>
    <b v="1"/>
    <s v="Large Order"/>
    <n v="6.5034999999999998"/>
    <x v="24"/>
    <n v="910.49"/>
    <m/>
  </r>
  <r>
    <s v="ORD-2647"/>
    <d v="2024-07-13T00:00:00"/>
    <s v="CUST-172"/>
    <x v="24"/>
    <x v="1"/>
    <x v="1"/>
    <x v="3"/>
    <x v="14"/>
    <s v="$10.11"/>
    <s v="Saturday"/>
    <x v="8"/>
    <x v="0"/>
    <b v="1"/>
    <b v="0"/>
    <s v="Standard order"/>
    <n v="0.50549999999999995"/>
    <x v="1"/>
    <n v="90.99"/>
    <m/>
  </r>
  <r>
    <s v="ORD-2648"/>
    <d v="2024-09-07T00:00:00"/>
    <s v="CUST-192"/>
    <x v="2"/>
    <x v="2"/>
    <x v="2"/>
    <x v="1"/>
    <x v="6"/>
    <s v="$88.18"/>
    <s v="Saturday"/>
    <x v="11"/>
    <x v="0"/>
    <b v="1"/>
    <b v="0"/>
    <s v="Large Order"/>
    <n v="4.4090000000000007"/>
    <x v="0"/>
    <n v="529.08000000000004"/>
    <m/>
  </r>
  <r>
    <s v="ORD-2649"/>
    <d v="2024-06-29T00:00:00"/>
    <s v="CUST-121"/>
    <x v="1"/>
    <x v="2"/>
    <x v="1"/>
    <x v="1"/>
    <x v="6"/>
    <s v="$178.83"/>
    <s v="Saturday"/>
    <x v="9"/>
    <x v="0"/>
    <b v="1"/>
    <b v="1"/>
    <s v="Large Order"/>
    <n v="8.9415000000000013"/>
    <x v="15"/>
    <n v="1072.98"/>
    <m/>
  </r>
  <r>
    <s v="ORD-2650"/>
    <d v="2024-10-04T00:00:00"/>
    <s v="CUST-182"/>
    <x v="15"/>
    <x v="2"/>
    <x v="0"/>
    <x v="0"/>
    <x v="4"/>
    <s v="$216.22"/>
    <s v="Friday"/>
    <x v="3"/>
    <x v="0"/>
    <b v="0"/>
    <b v="0"/>
    <s v="Standard order"/>
    <n v="10.811"/>
    <x v="1"/>
    <n v="432.44"/>
    <m/>
  </r>
  <r>
    <s v="ORD-2651"/>
    <d v="2024-07-30T00:00:00"/>
    <s v="CUST-117"/>
    <x v="2"/>
    <x v="0"/>
    <x v="0"/>
    <x v="2"/>
    <x v="1"/>
    <s v="$88.18"/>
    <s v="Tuesday"/>
    <x v="8"/>
    <x v="0"/>
    <b v="0"/>
    <b v="0"/>
    <s v="Standard order"/>
    <n v="4.4090000000000007"/>
    <x v="15"/>
    <n v="88.18"/>
    <m/>
  </r>
  <r>
    <s v="ORD-2652"/>
    <d v="2024-08-21T00:00:00"/>
    <s v="CUST-147"/>
    <x v="15"/>
    <x v="2"/>
    <x v="1"/>
    <x v="1"/>
    <x v="17"/>
    <s v="$216.22"/>
    <s v="Wednesday"/>
    <x v="10"/>
    <x v="0"/>
    <b v="0"/>
    <b v="1"/>
    <s v="Large Order"/>
    <n v="10.811"/>
    <x v="17"/>
    <n v="3459.52"/>
    <m/>
  </r>
  <r>
    <s v="ORD-2653"/>
    <d v="2024-09-29T00:00:00"/>
    <s v="CUST-170"/>
    <x v="17"/>
    <x v="0"/>
    <x v="0"/>
    <x v="4"/>
    <x v="14"/>
    <s v="$26.59"/>
    <s v="Sunday"/>
    <x v="11"/>
    <x v="0"/>
    <b v="1"/>
    <b v="0"/>
    <s v="Standard order"/>
    <n v="1.3295000000000001"/>
    <x v="22"/>
    <n v="239.31"/>
    <m/>
  </r>
  <r>
    <s v="ORD-2654"/>
    <d v="2024-05-26T00:00:00"/>
    <s v="CUST-102"/>
    <x v="22"/>
    <x v="2"/>
    <x v="2"/>
    <x v="2"/>
    <x v="0"/>
    <s v="$149.27"/>
    <s v="Sunday"/>
    <x v="7"/>
    <x v="0"/>
    <b v="1"/>
    <b v="0"/>
    <s v="Large Order"/>
    <n v="7.4635000000000007"/>
    <x v="24"/>
    <n v="597.08000000000004"/>
    <m/>
  </r>
  <r>
    <s v="ORD-2655"/>
    <d v="2024-09-25T00:00:00"/>
    <s v="CUST-119"/>
    <x v="24"/>
    <x v="0"/>
    <x v="1"/>
    <x v="4"/>
    <x v="14"/>
    <s v="$10.11"/>
    <s v="Wednesday"/>
    <x v="11"/>
    <x v="0"/>
    <b v="0"/>
    <b v="0"/>
    <s v="Standard order"/>
    <n v="0.50549999999999995"/>
    <x v="8"/>
    <n v="90.99"/>
    <m/>
  </r>
  <r>
    <s v="ORD-2656"/>
    <d v="2024-05-16T00:00:00"/>
    <s v="CUST-150"/>
    <x v="0"/>
    <x v="1"/>
    <x v="2"/>
    <x v="1"/>
    <x v="16"/>
    <s v="$146.06"/>
    <s v="Thursday"/>
    <x v="7"/>
    <x v="0"/>
    <b v="0"/>
    <b v="1"/>
    <s v="Large Order"/>
    <n v="7.3030000000000008"/>
    <x v="14"/>
    <n v="2775.14"/>
    <m/>
  </r>
  <r>
    <s v="ORD-2657"/>
    <d v="2024-12-22T00:00:00"/>
    <s v="CUST-128"/>
    <x v="14"/>
    <x v="2"/>
    <x v="0"/>
    <x v="0"/>
    <x v="13"/>
    <s v="$201.32"/>
    <s v="Sunday"/>
    <x v="1"/>
    <x v="0"/>
    <b v="1"/>
    <b v="0"/>
    <s v="Large Order"/>
    <n v="10.066000000000001"/>
    <x v="4"/>
    <n v="603.96"/>
    <m/>
  </r>
  <r>
    <s v="ORD-2658"/>
    <d v="2024-07-12T00:00:00"/>
    <s v="CUST-170"/>
    <x v="5"/>
    <x v="0"/>
    <x v="0"/>
    <x v="2"/>
    <x v="13"/>
    <s v="$64.61"/>
    <s v="Friday"/>
    <x v="8"/>
    <x v="0"/>
    <b v="0"/>
    <b v="0"/>
    <s v="Standard order"/>
    <n v="3.2305000000000001"/>
    <x v="13"/>
    <n v="193.82999999999998"/>
    <m/>
  </r>
  <r>
    <s v="ORD-2659"/>
    <d v="2024-08-10T00:00:00"/>
    <s v="CUST-182"/>
    <x v="13"/>
    <x v="2"/>
    <x v="0"/>
    <x v="4"/>
    <x v="4"/>
    <s v="$156.44"/>
    <s v="Saturday"/>
    <x v="10"/>
    <x v="0"/>
    <b v="1"/>
    <b v="0"/>
    <s v="Standard order"/>
    <n v="7.8220000000000001"/>
    <x v="4"/>
    <n v="312.88"/>
    <m/>
  </r>
  <r>
    <s v="ORD-2660"/>
    <d v="2024-12-20T00:00:00"/>
    <s v="CUST-172"/>
    <x v="5"/>
    <x v="1"/>
    <x v="0"/>
    <x v="0"/>
    <x v="14"/>
    <s v="$64.61"/>
    <s v="Friday"/>
    <x v="1"/>
    <x v="0"/>
    <b v="0"/>
    <b v="0"/>
    <s v="Large Order"/>
    <n v="3.2305000000000001"/>
    <x v="15"/>
    <n v="581.49"/>
    <m/>
  </r>
  <r>
    <s v="ORD-2661"/>
    <d v="2024-10-15T00:00:00"/>
    <s v="CUST-184"/>
    <x v="15"/>
    <x v="0"/>
    <x v="3"/>
    <x v="0"/>
    <x v="10"/>
    <s v="$216.22"/>
    <s v="Tuesday"/>
    <x v="3"/>
    <x v="0"/>
    <b v="0"/>
    <b v="1"/>
    <s v="Large Order"/>
    <n v="10.811"/>
    <x v="8"/>
    <n v="1513.54"/>
    <m/>
  </r>
  <r>
    <s v="ORD-2662"/>
    <d v="2024-12-30T00:00:00"/>
    <s v="CUST-150"/>
    <x v="0"/>
    <x v="1"/>
    <x v="4"/>
    <x v="4"/>
    <x v="7"/>
    <s v="$146.06"/>
    <s v="Monday"/>
    <x v="1"/>
    <x v="0"/>
    <b v="0"/>
    <b v="1"/>
    <s v="Large Order"/>
    <n v="7.3030000000000008"/>
    <x v="23"/>
    <n v="1168.48"/>
    <m/>
  </r>
  <r>
    <s v="ORD-2663"/>
    <d v="2024-07-18T00:00:00"/>
    <s v="CUST-186"/>
    <x v="23"/>
    <x v="1"/>
    <x v="2"/>
    <x v="2"/>
    <x v="13"/>
    <s v="$133.37"/>
    <s v="Thursday"/>
    <x v="8"/>
    <x v="0"/>
    <b v="0"/>
    <b v="0"/>
    <s v="Standard order"/>
    <n v="6.6685000000000008"/>
    <x v="19"/>
    <n v="400.11"/>
    <m/>
  </r>
  <r>
    <s v="ORD-2664"/>
    <d v="2024-06-26T00:00:00"/>
    <s v="CUST-106"/>
    <x v="19"/>
    <x v="1"/>
    <x v="4"/>
    <x v="0"/>
    <x v="9"/>
    <s v="$145.48"/>
    <s v="Wednesday"/>
    <x v="9"/>
    <x v="0"/>
    <b v="0"/>
    <b v="1"/>
    <s v="Large Order"/>
    <n v="7.274"/>
    <x v="3"/>
    <n v="1600.28"/>
    <m/>
  </r>
  <r>
    <s v="ORD-2665"/>
    <d v="2024-11-10T00:00:00"/>
    <s v="CUST-176"/>
    <x v="4"/>
    <x v="1"/>
    <x v="0"/>
    <x v="3"/>
    <x v="12"/>
    <s v="$230.34"/>
    <s v="Sunday"/>
    <x v="0"/>
    <x v="0"/>
    <b v="1"/>
    <b v="1"/>
    <s v="Large Order"/>
    <n v="11.517000000000001"/>
    <x v="3"/>
    <n v="3455.1"/>
    <m/>
  </r>
  <r>
    <s v="ORD-2666"/>
    <d v="2024-07-01T00:00:00"/>
    <s v="CUST-170"/>
    <x v="4"/>
    <x v="1"/>
    <x v="4"/>
    <x v="4"/>
    <x v="11"/>
    <s v="$230.34"/>
    <s v="Monday"/>
    <x v="8"/>
    <x v="0"/>
    <b v="0"/>
    <b v="1"/>
    <s v="Large Order"/>
    <n v="11.517000000000001"/>
    <x v="24"/>
    <n v="2994.42"/>
    <m/>
  </r>
  <r>
    <s v="ORD-2667"/>
    <d v="2024-11-12T00:00:00"/>
    <s v="CUST-137"/>
    <x v="24"/>
    <x v="2"/>
    <x v="0"/>
    <x v="0"/>
    <x v="14"/>
    <s v="$10.11"/>
    <s v="Tuesday"/>
    <x v="0"/>
    <x v="0"/>
    <b v="0"/>
    <b v="0"/>
    <s v="Standard order"/>
    <n v="0.50549999999999995"/>
    <x v="1"/>
    <n v="90.99"/>
    <m/>
  </r>
  <r>
    <s v="ORD-2668"/>
    <d v="2024-12-30T00:00:00"/>
    <s v="CUST-200"/>
    <x v="2"/>
    <x v="0"/>
    <x v="2"/>
    <x v="3"/>
    <x v="5"/>
    <s v="$88.18"/>
    <s v="Monday"/>
    <x v="1"/>
    <x v="0"/>
    <b v="0"/>
    <b v="1"/>
    <s v="Large Order"/>
    <n v="4.4090000000000007"/>
    <x v="12"/>
    <n v="1058.1600000000001"/>
    <m/>
  </r>
  <r>
    <s v="ORD-2669"/>
    <d v="2024-01-03T00:00:00"/>
    <s v="CUST-139"/>
    <x v="12"/>
    <x v="1"/>
    <x v="3"/>
    <x v="0"/>
    <x v="2"/>
    <s v="$211.9"/>
    <s v="Wednesday"/>
    <x v="6"/>
    <x v="0"/>
    <b v="0"/>
    <b v="0"/>
    <s v="Large Order"/>
    <n v="10.595000000000001"/>
    <x v="23"/>
    <n v="1059.5"/>
    <m/>
  </r>
  <r>
    <s v="ORD-2670"/>
    <d v="2024-08-08T00:00:00"/>
    <s v="CUST-157"/>
    <x v="23"/>
    <x v="2"/>
    <x v="1"/>
    <x v="1"/>
    <x v="0"/>
    <s v="$133.37"/>
    <s v="Thursday"/>
    <x v="10"/>
    <x v="0"/>
    <b v="0"/>
    <b v="0"/>
    <s v="Large Order"/>
    <n v="6.6685000000000008"/>
    <x v="8"/>
    <n v="533.48"/>
    <m/>
  </r>
  <r>
    <s v="ORD-2671"/>
    <d v="2024-06-30T00:00:00"/>
    <s v="CUST-170"/>
    <x v="0"/>
    <x v="2"/>
    <x v="1"/>
    <x v="3"/>
    <x v="11"/>
    <s v="$146.06"/>
    <s v="Sunday"/>
    <x v="9"/>
    <x v="0"/>
    <b v="1"/>
    <b v="1"/>
    <s v="Large Order"/>
    <n v="7.3030000000000008"/>
    <x v="21"/>
    <n v="1898.78"/>
    <m/>
  </r>
  <r>
    <s v="ORD-2672"/>
    <d v="2024-07-30T00:00:00"/>
    <s v="CUST-149"/>
    <x v="21"/>
    <x v="0"/>
    <x v="1"/>
    <x v="2"/>
    <x v="16"/>
    <s v="$32.94"/>
    <s v="Tuesday"/>
    <x v="8"/>
    <x v="0"/>
    <b v="0"/>
    <b v="0"/>
    <s v="Large Order"/>
    <n v="1.647"/>
    <x v="6"/>
    <n v="625.8599999999999"/>
    <m/>
  </r>
  <r>
    <s v="ORD-2673"/>
    <d v="2024-12-16T00:00:00"/>
    <s v="CUST-148"/>
    <x v="7"/>
    <x v="0"/>
    <x v="3"/>
    <x v="3"/>
    <x v="14"/>
    <s v="$107.34"/>
    <s v="Monday"/>
    <x v="1"/>
    <x v="0"/>
    <b v="0"/>
    <b v="1"/>
    <s v="Large Order"/>
    <n v="5.3670000000000009"/>
    <x v="17"/>
    <n v="966.06000000000006"/>
    <m/>
  </r>
  <r>
    <s v="ORD-2674"/>
    <d v="2024-02-02T00:00:00"/>
    <s v="CUST-121"/>
    <x v="17"/>
    <x v="1"/>
    <x v="2"/>
    <x v="3"/>
    <x v="17"/>
    <s v="$26.59"/>
    <s v="Friday"/>
    <x v="5"/>
    <x v="0"/>
    <b v="0"/>
    <b v="0"/>
    <s v="Standard order"/>
    <n v="1.3295000000000001"/>
    <x v="24"/>
    <n v="425.44"/>
    <m/>
  </r>
  <r>
    <s v="ORD-2675"/>
    <d v="2024-07-03T00:00:00"/>
    <s v="CUST-132"/>
    <x v="24"/>
    <x v="2"/>
    <x v="2"/>
    <x v="4"/>
    <x v="19"/>
    <s v="$10.11"/>
    <s v="Wednesday"/>
    <x v="8"/>
    <x v="0"/>
    <b v="0"/>
    <b v="0"/>
    <s v="Standard order"/>
    <n v="0.50549999999999995"/>
    <x v="14"/>
    <n v="202.2"/>
    <m/>
  </r>
  <r>
    <s v="ORD-2676"/>
    <d v="2024-02-24T00:00:00"/>
    <s v="CUST-117"/>
    <x v="14"/>
    <x v="0"/>
    <x v="2"/>
    <x v="3"/>
    <x v="19"/>
    <s v="$201.32"/>
    <s v="Saturday"/>
    <x v="5"/>
    <x v="0"/>
    <b v="1"/>
    <b v="1"/>
    <s v="Large Order"/>
    <n v="10.066000000000001"/>
    <x v="13"/>
    <n v="4026.3999999999996"/>
    <m/>
  </r>
  <r>
    <s v="ORD-2677"/>
    <d v="2024-06-17T00:00:00"/>
    <s v="CUST-156"/>
    <x v="13"/>
    <x v="1"/>
    <x v="1"/>
    <x v="2"/>
    <x v="8"/>
    <s v="$156.44"/>
    <s v="Monday"/>
    <x v="9"/>
    <x v="0"/>
    <b v="0"/>
    <b v="1"/>
    <s v="Large Order"/>
    <n v="7.8220000000000001"/>
    <x v="4"/>
    <n v="1564.4"/>
    <m/>
  </r>
  <r>
    <s v="ORD-2678"/>
    <d v="2024-12-21T00:00:00"/>
    <s v="CUST-125"/>
    <x v="5"/>
    <x v="1"/>
    <x v="4"/>
    <x v="1"/>
    <x v="9"/>
    <s v="$64.61"/>
    <s v="Saturday"/>
    <x v="1"/>
    <x v="0"/>
    <b v="1"/>
    <b v="0"/>
    <s v="Large Order"/>
    <n v="3.2305000000000001"/>
    <x v="4"/>
    <n v="710.71"/>
    <m/>
  </r>
  <r>
    <s v="ORD-2679"/>
    <d v="2024-12-21T00:00:00"/>
    <s v="CUST-181"/>
    <x v="5"/>
    <x v="2"/>
    <x v="4"/>
    <x v="3"/>
    <x v="11"/>
    <s v="$64.61"/>
    <s v="Saturday"/>
    <x v="1"/>
    <x v="0"/>
    <b v="1"/>
    <b v="1"/>
    <s v="Large Order"/>
    <n v="3.2305000000000001"/>
    <x v="19"/>
    <n v="839.93"/>
    <m/>
  </r>
  <r>
    <s v="ORD-2680"/>
    <d v="2024-07-20T00:00:00"/>
    <s v="CUST-146"/>
    <x v="19"/>
    <x v="2"/>
    <x v="4"/>
    <x v="4"/>
    <x v="15"/>
    <s v="$145.48"/>
    <s v="Saturday"/>
    <x v="8"/>
    <x v="0"/>
    <b v="1"/>
    <b v="1"/>
    <s v="Large Order"/>
    <n v="7.274"/>
    <x v="16"/>
    <n v="2618.64"/>
    <m/>
  </r>
  <r>
    <s v="ORD-2681"/>
    <d v="2024-10-08T00:00:00"/>
    <s v="CUST-103"/>
    <x v="16"/>
    <x v="1"/>
    <x v="4"/>
    <x v="1"/>
    <x v="8"/>
    <s v="$130.07"/>
    <s v="Tuesday"/>
    <x v="3"/>
    <x v="0"/>
    <b v="0"/>
    <b v="1"/>
    <s v="Large Order"/>
    <n v="6.5034999999999998"/>
    <x v="5"/>
    <n v="1300.6999999999998"/>
    <m/>
  </r>
  <r>
    <s v="ORD-2682"/>
    <d v="2024-02-05T00:00:00"/>
    <s v="CUST-152"/>
    <x v="6"/>
    <x v="1"/>
    <x v="4"/>
    <x v="3"/>
    <x v="7"/>
    <s v="$86.6"/>
    <s v="Monday"/>
    <x v="5"/>
    <x v="0"/>
    <b v="0"/>
    <b v="0"/>
    <s v="Large Order"/>
    <n v="4.33"/>
    <x v="17"/>
    <n v="692.8"/>
    <m/>
  </r>
  <r>
    <s v="ORD-2683"/>
    <d v="2024-03-19T00:00:00"/>
    <s v="CUST-191"/>
    <x v="17"/>
    <x v="1"/>
    <x v="0"/>
    <x v="1"/>
    <x v="19"/>
    <s v="$26.59"/>
    <s v="Tuesday"/>
    <x v="4"/>
    <x v="0"/>
    <b v="0"/>
    <b v="0"/>
    <s v="Large Order"/>
    <n v="1.3295000000000001"/>
    <x v="22"/>
    <n v="531.79999999999995"/>
    <m/>
  </r>
  <r>
    <s v="ORD-2684"/>
    <d v="2024-07-24T00:00:00"/>
    <s v="CUST-168"/>
    <x v="22"/>
    <x v="2"/>
    <x v="2"/>
    <x v="4"/>
    <x v="4"/>
    <s v="$149.27"/>
    <s v="Wednesday"/>
    <x v="8"/>
    <x v="0"/>
    <b v="0"/>
    <b v="0"/>
    <s v="Standard order"/>
    <n v="7.4635000000000007"/>
    <x v="23"/>
    <n v="298.54000000000002"/>
    <m/>
  </r>
  <r>
    <s v="ORD-2685"/>
    <d v="2024-07-03T00:00:00"/>
    <s v="CUST-189"/>
    <x v="23"/>
    <x v="2"/>
    <x v="0"/>
    <x v="0"/>
    <x v="7"/>
    <s v="$133.37"/>
    <s v="Wednesday"/>
    <x v="8"/>
    <x v="0"/>
    <b v="0"/>
    <b v="1"/>
    <s v="Large Order"/>
    <n v="6.6685000000000008"/>
    <x v="1"/>
    <n v="1066.96"/>
    <m/>
  </r>
  <r>
    <s v="ORD-2686"/>
    <d v="2024-06-30T00:00:00"/>
    <s v="CUST-121"/>
    <x v="2"/>
    <x v="2"/>
    <x v="0"/>
    <x v="4"/>
    <x v="11"/>
    <s v="$88.18"/>
    <s v="Sunday"/>
    <x v="9"/>
    <x v="0"/>
    <b v="1"/>
    <b v="1"/>
    <s v="Large Order"/>
    <n v="4.4090000000000007"/>
    <x v="19"/>
    <n v="1146.3400000000001"/>
    <m/>
  </r>
  <r>
    <s v="ORD-2687"/>
    <d v="2024-06-18T00:00:00"/>
    <s v="CUST-155"/>
    <x v="19"/>
    <x v="0"/>
    <x v="0"/>
    <x v="3"/>
    <x v="7"/>
    <s v="$145.48"/>
    <s v="Tuesday"/>
    <x v="9"/>
    <x v="0"/>
    <b v="0"/>
    <b v="1"/>
    <s v="Large Order"/>
    <n v="7.274"/>
    <x v="9"/>
    <n v="1163.8399999999999"/>
    <m/>
  </r>
  <r>
    <s v="ORD-2688"/>
    <d v="2024-09-22T00:00:00"/>
    <s v="CUST-171"/>
    <x v="9"/>
    <x v="2"/>
    <x v="1"/>
    <x v="2"/>
    <x v="12"/>
    <s v="$101.96"/>
    <s v="Sunday"/>
    <x v="11"/>
    <x v="0"/>
    <b v="1"/>
    <b v="1"/>
    <s v="Large Order"/>
    <n v="5.0979999999999999"/>
    <x v="5"/>
    <n v="1529.3999999999999"/>
    <m/>
  </r>
  <r>
    <s v="ORD-2689"/>
    <d v="2024-08-25T00:00:00"/>
    <s v="CUST-198"/>
    <x v="6"/>
    <x v="2"/>
    <x v="1"/>
    <x v="2"/>
    <x v="5"/>
    <s v="$86.6"/>
    <s v="Sunday"/>
    <x v="10"/>
    <x v="0"/>
    <b v="1"/>
    <b v="1"/>
    <s v="Large Order"/>
    <n v="4.33"/>
    <x v="14"/>
    <n v="1039.1999999999998"/>
    <m/>
  </r>
  <r>
    <s v="ORD-2690"/>
    <d v="2024-09-04T00:00:00"/>
    <s v="CUST-113"/>
    <x v="14"/>
    <x v="1"/>
    <x v="0"/>
    <x v="0"/>
    <x v="2"/>
    <s v="$201.32"/>
    <s v="Wednesday"/>
    <x v="11"/>
    <x v="0"/>
    <b v="0"/>
    <b v="0"/>
    <s v="Large Order"/>
    <n v="10.066000000000001"/>
    <x v="11"/>
    <n v="1006.5999999999999"/>
    <m/>
  </r>
  <r>
    <s v="ORD-2691"/>
    <d v="2024-06-24T00:00:00"/>
    <s v="CUST-158"/>
    <x v="11"/>
    <x v="2"/>
    <x v="2"/>
    <x v="3"/>
    <x v="17"/>
    <s v="$33.22"/>
    <s v="Monday"/>
    <x v="9"/>
    <x v="0"/>
    <b v="0"/>
    <b v="0"/>
    <s v="Large Order"/>
    <n v="1.661"/>
    <x v="13"/>
    <n v="531.52"/>
    <m/>
  </r>
  <r>
    <s v="ORD-2692"/>
    <d v="2024-12-22T00:00:00"/>
    <s v="CUST-157"/>
    <x v="13"/>
    <x v="0"/>
    <x v="3"/>
    <x v="0"/>
    <x v="0"/>
    <s v="$156.44"/>
    <s v="Sunday"/>
    <x v="1"/>
    <x v="0"/>
    <b v="1"/>
    <b v="0"/>
    <s v="Large Order"/>
    <n v="7.8220000000000001"/>
    <x v="19"/>
    <n v="625.76"/>
    <m/>
  </r>
  <r>
    <s v="ORD-2693"/>
    <d v="2024-06-24T00:00:00"/>
    <s v="CUST-182"/>
    <x v="19"/>
    <x v="2"/>
    <x v="4"/>
    <x v="2"/>
    <x v="18"/>
    <s v="$145.48"/>
    <s v="Monday"/>
    <x v="9"/>
    <x v="0"/>
    <b v="0"/>
    <b v="1"/>
    <s v="Large Order"/>
    <n v="7.274"/>
    <x v="23"/>
    <n v="2473.16"/>
    <m/>
  </r>
  <r>
    <s v="ORD-2694"/>
    <d v="2024-03-22T00:00:00"/>
    <s v="CUST-142"/>
    <x v="23"/>
    <x v="1"/>
    <x v="2"/>
    <x v="2"/>
    <x v="11"/>
    <s v="$133.37"/>
    <s v="Friday"/>
    <x v="4"/>
    <x v="0"/>
    <b v="0"/>
    <b v="1"/>
    <s v="Large Order"/>
    <n v="6.6685000000000008"/>
    <x v="5"/>
    <n v="1733.81"/>
    <m/>
  </r>
  <r>
    <s v="ORD-2695"/>
    <d v="2024-04-05T00:00:00"/>
    <s v="CUST-181"/>
    <x v="6"/>
    <x v="1"/>
    <x v="2"/>
    <x v="0"/>
    <x v="19"/>
    <s v="$86.6"/>
    <s v="Friday"/>
    <x v="2"/>
    <x v="0"/>
    <b v="0"/>
    <b v="1"/>
    <s v="Large Order"/>
    <n v="4.33"/>
    <x v="17"/>
    <n v="1732"/>
    <m/>
  </r>
  <r>
    <s v="ORD-2696"/>
    <d v="2024-08-18T00:00:00"/>
    <s v="CUST-175"/>
    <x v="17"/>
    <x v="1"/>
    <x v="0"/>
    <x v="2"/>
    <x v="10"/>
    <s v="$26.59"/>
    <s v="Sunday"/>
    <x v="10"/>
    <x v="0"/>
    <b v="1"/>
    <b v="0"/>
    <s v="Standard order"/>
    <n v="1.3295000000000001"/>
    <x v="9"/>
    <n v="186.13"/>
    <m/>
  </r>
  <r>
    <s v="ORD-2697"/>
    <d v="2024-12-26T00:00:00"/>
    <s v="CUST-108"/>
    <x v="9"/>
    <x v="0"/>
    <x v="1"/>
    <x v="2"/>
    <x v="5"/>
    <s v="$101.96"/>
    <s v="Thursday"/>
    <x v="1"/>
    <x v="0"/>
    <b v="0"/>
    <b v="1"/>
    <s v="Large Order"/>
    <n v="5.0979999999999999"/>
    <x v="2"/>
    <n v="1223.52"/>
    <m/>
  </r>
  <r>
    <s v="ORD-2698"/>
    <d v="2024-08-22T00:00:00"/>
    <s v="CUST-114"/>
    <x v="3"/>
    <x v="2"/>
    <x v="2"/>
    <x v="4"/>
    <x v="9"/>
    <s v="$84.57"/>
    <s v="Thursday"/>
    <x v="10"/>
    <x v="0"/>
    <b v="0"/>
    <b v="1"/>
    <s v="Large Order"/>
    <n v="4.2284999999999995"/>
    <x v="9"/>
    <n v="930.27"/>
    <m/>
  </r>
  <r>
    <s v="ORD-2699"/>
    <d v="2024-11-08T00:00:00"/>
    <s v="CUST-150"/>
    <x v="9"/>
    <x v="0"/>
    <x v="3"/>
    <x v="3"/>
    <x v="12"/>
    <s v="$101.96"/>
    <s v="Friday"/>
    <x v="0"/>
    <x v="0"/>
    <b v="0"/>
    <b v="1"/>
    <s v="Large Order"/>
    <n v="5.0979999999999999"/>
    <x v="14"/>
    <n v="1529.3999999999999"/>
    <m/>
  </r>
  <r>
    <s v="ORD-2700"/>
    <d v="2024-12-10T00:00:00"/>
    <s v="CUST-190"/>
    <x v="14"/>
    <x v="2"/>
    <x v="1"/>
    <x v="0"/>
    <x v="2"/>
    <s v="$201.32"/>
    <s v="Tuesday"/>
    <x v="1"/>
    <x v="0"/>
    <b v="0"/>
    <b v="0"/>
    <s v="Large Order"/>
    <n v="10.066000000000001"/>
    <x v="19"/>
    <n v="1006.5999999999999"/>
    <m/>
  </r>
  <r>
    <s v="ORD-2701"/>
    <d v="2024-05-02T00:00:00"/>
    <s v="CUST-139"/>
    <x v="19"/>
    <x v="0"/>
    <x v="3"/>
    <x v="2"/>
    <x v="18"/>
    <s v="$145.48"/>
    <s v="Thursday"/>
    <x v="7"/>
    <x v="0"/>
    <b v="0"/>
    <b v="1"/>
    <s v="Large Order"/>
    <n v="7.274"/>
    <x v="9"/>
    <n v="2473.16"/>
    <m/>
  </r>
  <r>
    <s v="ORD-2702"/>
    <d v="2024-11-01T00:00:00"/>
    <s v="CUST-117"/>
    <x v="9"/>
    <x v="1"/>
    <x v="2"/>
    <x v="2"/>
    <x v="17"/>
    <s v="$101.96"/>
    <s v="Friday"/>
    <x v="0"/>
    <x v="0"/>
    <b v="0"/>
    <b v="1"/>
    <s v="Large Order"/>
    <n v="5.0979999999999999"/>
    <x v="6"/>
    <n v="1631.36"/>
    <m/>
  </r>
  <r>
    <s v="ORD-2703"/>
    <d v="2024-12-21T00:00:00"/>
    <s v="CUST-182"/>
    <x v="7"/>
    <x v="2"/>
    <x v="4"/>
    <x v="1"/>
    <x v="8"/>
    <s v="$107.34"/>
    <s v="Saturday"/>
    <x v="1"/>
    <x v="0"/>
    <b v="1"/>
    <b v="1"/>
    <s v="Large Order"/>
    <n v="5.3670000000000009"/>
    <x v="20"/>
    <n v="1073.4000000000001"/>
    <m/>
  </r>
  <r>
    <s v="ORD-2704"/>
    <d v="2024-06-10T00:00:00"/>
    <s v="CUST-157"/>
    <x v="20"/>
    <x v="0"/>
    <x v="3"/>
    <x v="0"/>
    <x v="17"/>
    <s v="$81.02"/>
    <s v="Monday"/>
    <x v="9"/>
    <x v="0"/>
    <b v="0"/>
    <b v="1"/>
    <s v="Large Order"/>
    <n v="4.0510000000000002"/>
    <x v="22"/>
    <n v="1296.32"/>
    <m/>
  </r>
  <r>
    <s v="ORD-2705"/>
    <d v="2024-07-15T00:00:00"/>
    <s v="CUST-171"/>
    <x v="22"/>
    <x v="2"/>
    <x v="2"/>
    <x v="1"/>
    <x v="17"/>
    <s v="$149.27"/>
    <s v="Monday"/>
    <x v="8"/>
    <x v="0"/>
    <b v="0"/>
    <b v="1"/>
    <s v="Large Order"/>
    <n v="7.4635000000000007"/>
    <x v="6"/>
    <n v="2388.3200000000002"/>
    <m/>
  </r>
  <r>
    <s v="ORD-2706"/>
    <d v="2024-08-15T00:00:00"/>
    <s v="CUST-162"/>
    <x v="7"/>
    <x v="0"/>
    <x v="1"/>
    <x v="0"/>
    <x v="7"/>
    <s v="$107.34"/>
    <s v="Thursday"/>
    <x v="10"/>
    <x v="0"/>
    <b v="0"/>
    <b v="1"/>
    <s v="Large Order"/>
    <n v="5.3670000000000009"/>
    <x v="23"/>
    <n v="858.72"/>
    <m/>
  </r>
  <r>
    <s v="ORD-2707"/>
    <d v="2024-05-20T00:00:00"/>
    <s v="CUST-128"/>
    <x v="23"/>
    <x v="1"/>
    <x v="4"/>
    <x v="1"/>
    <x v="16"/>
    <s v="$133.37"/>
    <s v="Monday"/>
    <x v="7"/>
    <x v="0"/>
    <b v="0"/>
    <b v="1"/>
    <s v="Large Order"/>
    <n v="6.6685000000000008"/>
    <x v="22"/>
    <n v="2534.0300000000002"/>
    <m/>
  </r>
  <r>
    <s v="ORD-2708"/>
    <d v="2024-09-10T00:00:00"/>
    <s v="CUST-170"/>
    <x v="22"/>
    <x v="0"/>
    <x v="1"/>
    <x v="0"/>
    <x v="14"/>
    <s v="$149.27"/>
    <s v="Tuesday"/>
    <x v="11"/>
    <x v="0"/>
    <b v="0"/>
    <b v="1"/>
    <s v="Large Order"/>
    <n v="7.4635000000000007"/>
    <x v="21"/>
    <n v="1343.43"/>
    <m/>
  </r>
  <r>
    <s v="ORD-2709"/>
    <d v="2024-07-06T00:00:00"/>
    <s v="CUST-169"/>
    <x v="21"/>
    <x v="0"/>
    <x v="2"/>
    <x v="4"/>
    <x v="10"/>
    <s v="$32.94"/>
    <s v="Saturday"/>
    <x v="8"/>
    <x v="0"/>
    <b v="1"/>
    <b v="0"/>
    <s v="Standard order"/>
    <n v="1.647"/>
    <x v="1"/>
    <n v="230.57999999999998"/>
    <m/>
  </r>
  <r>
    <s v="ORD-2710"/>
    <d v="2024-02-22T00:00:00"/>
    <s v="CUST-194"/>
    <x v="2"/>
    <x v="0"/>
    <x v="3"/>
    <x v="0"/>
    <x v="12"/>
    <s v="$88.18"/>
    <s v="Thursday"/>
    <x v="5"/>
    <x v="0"/>
    <b v="0"/>
    <b v="1"/>
    <s v="Large Order"/>
    <n v="4.4090000000000007"/>
    <x v="19"/>
    <n v="1322.7"/>
    <m/>
  </r>
  <r>
    <s v="ORD-2711"/>
    <d v="2024-02-14T00:00:00"/>
    <s v="CUST-156"/>
    <x v="19"/>
    <x v="0"/>
    <x v="4"/>
    <x v="4"/>
    <x v="5"/>
    <s v="$145.48"/>
    <s v="Wednesday"/>
    <x v="5"/>
    <x v="0"/>
    <b v="0"/>
    <b v="1"/>
    <s v="Large Order"/>
    <n v="7.274"/>
    <x v="17"/>
    <n v="1745.7599999999998"/>
    <m/>
  </r>
  <r>
    <s v="ORD-2712"/>
    <d v="2024-11-08T00:00:00"/>
    <s v="CUST-180"/>
    <x v="17"/>
    <x v="0"/>
    <x v="1"/>
    <x v="2"/>
    <x v="10"/>
    <s v="$26.59"/>
    <s v="Friday"/>
    <x v="0"/>
    <x v="0"/>
    <b v="0"/>
    <b v="0"/>
    <s v="Standard order"/>
    <n v="1.3295000000000001"/>
    <x v="7"/>
    <n v="186.13"/>
    <m/>
  </r>
  <r>
    <s v="ORD-2713"/>
    <d v="2024-01-31T00:00:00"/>
    <s v="CUST-172"/>
    <x v="8"/>
    <x v="2"/>
    <x v="3"/>
    <x v="4"/>
    <x v="15"/>
    <s v="$208.85"/>
    <s v="Wednesday"/>
    <x v="6"/>
    <x v="0"/>
    <b v="0"/>
    <b v="1"/>
    <s v="Large Order"/>
    <n v="10.442500000000001"/>
    <x v="14"/>
    <n v="3759.2999999999997"/>
    <m/>
  </r>
  <r>
    <s v="ORD-2714"/>
    <d v="2024-12-26T00:00:00"/>
    <s v="CUST-137"/>
    <x v="14"/>
    <x v="2"/>
    <x v="3"/>
    <x v="4"/>
    <x v="0"/>
    <s v="$201.32"/>
    <s v="Thursday"/>
    <x v="1"/>
    <x v="0"/>
    <b v="0"/>
    <b v="0"/>
    <s v="Large Order"/>
    <n v="10.066000000000001"/>
    <x v="2"/>
    <n v="805.28"/>
    <m/>
  </r>
  <r>
    <s v="ORD-2715"/>
    <d v="2024-07-29T00:00:00"/>
    <s v="CUST-107"/>
    <x v="3"/>
    <x v="2"/>
    <x v="4"/>
    <x v="2"/>
    <x v="7"/>
    <s v="$84.57"/>
    <s v="Monday"/>
    <x v="8"/>
    <x v="0"/>
    <b v="0"/>
    <b v="0"/>
    <s v="Large Order"/>
    <n v="4.2284999999999995"/>
    <x v="21"/>
    <n v="676.56"/>
    <m/>
  </r>
  <r>
    <s v="ORD-2716"/>
    <d v="2024-06-13T00:00:00"/>
    <s v="CUST-131"/>
    <x v="21"/>
    <x v="2"/>
    <x v="2"/>
    <x v="1"/>
    <x v="2"/>
    <s v="$32.94"/>
    <s v="Thursday"/>
    <x v="9"/>
    <x v="0"/>
    <b v="0"/>
    <b v="0"/>
    <s v="Standard order"/>
    <n v="1.647"/>
    <x v="17"/>
    <n v="164.7"/>
    <m/>
  </r>
  <r>
    <s v="ORD-2717"/>
    <d v="2024-05-17T00:00:00"/>
    <s v="CUST-180"/>
    <x v="17"/>
    <x v="1"/>
    <x v="2"/>
    <x v="0"/>
    <x v="13"/>
    <s v="$26.59"/>
    <s v="Friday"/>
    <x v="7"/>
    <x v="0"/>
    <b v="0"/>
    <b v="0"/>
    <s v="Standard order"/>
    <n v="1.3295000000000001"/>
    <x v="7"/>
    <n v="79.77"/>
    <m/>
  </r>
  <r>
    <s v="ORD-2718"/>
    <d v="2024-05-22T00:00:00"/>
    <s v="CUST-188"/>
    <x v="8"/>
    <x v="1"/>
    <x v="2"/>
    <x v="3"/>
    <x v="16"/>
    <s v="$208.85"/>
    <s v="Wednesday"/>
    <x v="7"/>
    <x v="0"/>
    <b v="0"/>
    <b v="1"/>
    <s v="Large Order"/>
    <n v="10.442500000000001"/>
    <x v="12"/>
    <n v="3968.15"/>
    <m/>
  </r>
  <r>
    <s v="ORD-2719"/>
    <d v="2024-02-17T00:00:00"/>
    <s v="CUST-193"/>
    <x v="12"/>
    <x v="2"/>
    <x v="3"/>
    <x v="0"/>
    <x v="15"/>
    <s v="$211.9"/>
    <s v="Saturday"/>
    <x v="5"/>
    <x v="0"/>
    <b v="1"/>
    <b v="1"/>
    <s v="Large Order"/>
    <n v="10.595000000000001"/>
    <x v="4"/>
    <n v="3814.2000000000003"/>
    <m/>
  </r>
  <r>
    <s v="ORD-2720"/>
    <d v="2024-08-07T00:00:00"/>
    <s v="CUST-127"/>
    <x v="5"/>
    <x v="1"/>
    <x v="3"/>
    <x v="3"/>
    <x v="9"/>
    <s v="$64.61"/>
    <s v="Wednesday"/>
    <x v="10"/>
    <x v="0"/>
    <b v="0"/>
    <b v="0"/>
    <s v="Large Order"/>
    <n v="3.2305000000000001"/>
    <x v="4"/>
    <n v="710.71"/>
    <m/>
  </r>
  <r>
    <s v="ORD-2721"/>
    <d v="2024-03-07T00:00:00"/>
    <s v="CUST-172"/>
    <x v="5"/>
    <x v="1"/>
    <x v="0"/>
    <x v="0"/>
    <x v="0"/>
    <s v="$64.61"/>
    <s v="Thursday"/>
    <x v="4"/>
    <x v="0"/>
    <b v="0"/>
    <b v="0"/>
    <s v="Standard order"/>
    <n v="3.2305000000000001"/>
    <x v="19"/>
    <n v="258.44"/>
    <m/>
  </r>
  <r>
    <s v="ORD-2722"/>
    <d v="2024-08-23T00:00:00"/>
    <s v="CUST-102"/>
    <x v="19"/>
    <x v="0"/>
    <x v="2"/>
    <x v="1"/>
    <x v="1"/>
    <s v="$145.48"/>
    <s v="Friday"/>
    <x v="10"/>
    <x v="0"/>
    <b v="0"/>
    <b v="0"/>
    <s v="Standard order"/>
    <n v="7.274"/>
    <x v="10"/>
    <n v="145.47999999999999"/>
    <m/>
  </r>
  <r>
    <s v="ORD-2723"/>
    <d v="2024-08-07T00:00:00"/>
    <s v="CUST-125"/>
    <x v="10"/>
    <x v="0"/>
    <x v="3"/>
    <x v="2"/>
    <x v="14"/>
    <s v="$46.19"/>
    <s v="Wednesday"/>
    <x v="10"/>
    <x v="0"/>
    <b v="0"/>
    <b v="0"/>
    <s v="Standard order"/>
    <n v="2.3094999999999999"/>
    <x v="8"/>
    <n v="415.71"/>
    <m/>
  </r>
  <r>
    <s v="ORD-2724"/>
    <d v="2024-07-03T00:00:00"/>
    <s v="CUST-132"/>
    <x v="0"/>
    <x v="1"/>
    <x v="4"/>
    <x v="0"/>
    <x v="11"/>
    <s v="$146.06"/>
    <s v="Wednesday"/>
    <x v="8"/>
    <x v="0"/>
    <b v="0"/>
    <b v="1"/>
    <s v="Large Order"/>
    <n v="7.3030000000000008"/>
    <x v="24"/>
    <n v="1898.78"/>
    <m/>
  </r>
  <r>
    <s v="ORD-2725"/>
    <d v="2024-12-24T00:00:00"/>
    <s v="CUST-196"/>
    <x v="24"/>
    <x v="1"/>
    <x v="0"/>
    <x v="0"/>
    <x v="1"/>
    <s v="$10.11"/>
    <s v="Tuesday"/>
    <x v="1"/>
    <x v="0"/>
    <b v="0"/>
    <b v="0"/>
    <s v="Standard order"/>
    <n v="0.50549999999999995"/>
    <x v="9"/>
    <n v="10.11"/>
    <m/>
  </r>
  <r>
    <s v="ORD-2726"/>
    <d v="2024-02-09T00:00:00"/>
    <s v="CUST-116"/>
    <x v="9"/>
    <x v="0"/>
    <x v="1"/>
    <x v="1"/>
    <x v="1"/>
    <s v="$101.96"/>
    <s v="Friday"/>
    <x v="5"/>
    <x v="0"/>
    <b v="0"/>
    <b v="0"/>
    <s v="Standard order"/>
    <n v="5.0979999999999999"/>
    <x v="17"/>
    <n v="101.96"/>
    <m/>
  </r>
  <r>
    <s v="ORD-2727"/>
    <d v="2024-06-24T00:00:00"/>
    <s v="CUST-115"/>
    <x v="17"/>
    <x v="2"/>
    <x v="4"/>
    <x v="1"/>
    <x v="13"/>
    <s v="$26.59"/>
    <s v="Monday"/>
    <x v="9"/>
    <x v="0"/>
    <b v="0"/>
    <b v="0"/>
    <s v="Standard order"/>
    <n v="1.3295000000000001"/>
    <x v="19"/>
    <n v="79.77"/>
    <m/>
  </r>
  <r>
    <s v="ORD-2728"/>
    <d v="2024-02-15T00:00:00"/>
    <s v="CUST-193"/>
    <x v="19"/>
    <x v="0"/>
    <x v="3"/>
    <x v="3"/>
    <x v="8"/>
    <s v="$145.48"/>
    <s v="Thursday"/>
    <x v="5"/>
    <x v="0"/>
    <b v="0"/>
    <b v="1"/>
    <s v="Large Order"/>
    <n v="7.274"/>
    <x v="5"/>
    <n v="1454.8"/>
    <m/>
  </r>
  <r>
    <s v="ORD-2729"/>
    <d v="2024-03-09T00:00:00"/>
    <s v="CUST-182"/>
    <x v="6"/>
    <x v="0"/>
    <x v="0"/>
    <x v="4"/>
    <x v="16"/>
    <s v="$86.6"/>
    <s v="Saturday"/>
    <x v="4"/>
    <x v="0"/>
    <b v="1"/>
    <b v="1"/>
    <s v="Large Order"/>
    <n v="4.33"/>
    <x v="12"/>
    <n v="1645.3999999999999"/>
    <m/>
  </r>
  <r>
    <s v="ORD-2730"/>
    <d v="2024-11-28T00:00:00"/>
    <s v="CUST-121"/>
    <x v="12"/>
    <x v="1"/>
    <x v="4"/>
    <x v="2"/>
    <x v="3"/>
    <s v="$211.9"/>
    <s v="Thursday"/>
    <x v="0"/>
    <x v="0"/>
    <b v="0"/>
    <b v="1"/>
    <s v="Large Order"/>
    <n v="10.595000000000001"/>
    <x v="8"/>
    <n v="2966.6"/>
    <m/>
  </r>
  <r>
    <s v="ORD-2731"/>
    <d v="2024-08-14T00:00:00"/>
    <s v="CUST-127"/>
    <x v="0"/>
    <x v="0"/>
    <x v="4"/>
    <x v="0"/>
    <x v="16"/>
    <s v="$146.06"/>
    <s v="Wednesday"/>
    <x v="10"/>
    <x v="0"/>
    <b v="0"/>
    <b v="1"/>
    <s v="Large Order"/>
    <n v="7.3030000000000008"/>
    <x v="13"/>
    <n v="2775.14"/>
    <m/>
  </r>
  <r>
    <s v="ORD-2732"/>
    <d v="2024-06-28T00:00:00"/>
    <s v="CUST-154"/>
    <x v="13"/>
    <x v="0"/>
    <x v="4"/>
    <x v="3"/>
    <x v="13"/>
    <s v="$156.44"/>
    <s v="Friday"/>
    <x v="9"/>
    <x v="0"/>
    <b v="0"/>
    <b v="0"/>
    <s v="Standard order"/>
    <n v="7.8220000000000001"/>
    <x v="16"/>
    <n v="469.32"/>
    <m/>
  </r>
  <r>
    <s v="ORD-2733"/>
    <d v="2024-11-03T00:00:00"/>
    <s v="CUST-176"/>
    <x v="16"/>
    <x v="2"/>
    <x v="3"/>
    <x v="0"/>
    <x v="8"/>
    <s v="$130.07"/>
    <s v="Sunday"/>
    <x v="0"/>
    <x v="0"/>
    <b v="1"/>
    <b v="1"/>
    <s v="Large Order"/>
    <n v="6.5034999999999998"/>
    <x v="11"/>
    <n v="1300.6999999999998"/>
    <m/>
  </r>
  <r>
    <s v="ORD-2734"/>
    <d v="2024-11-06T00:00:00"/>
    <s v="CUST-165"/>
    <x v="11"/>
    <x v="2"/>
    <x v="2"/>
    <x v="3"/>
    <x v="4"/>
    <s v="$33.22"/>
    <s v="Wednesday"/>
    <x v="0"/>
    <x v="0"/>
    <b v="0"/>
    <b v="0"/>
    <s v="Standard order"/>
    <n v="1.661"/>
    <x v="3"/>
    <n v="66.44"/>
    <m/>
  </r>
  <r>
    <s v="ORD-2735"/>
    <d v="2024-05-02T00:00:00"/>
    <s v="CUST-163"/>
    <x v="4"/>
    <x v="0"/>
    <x v="4"/>
    <x v="1"/>
    <x v="19"/>
    <s v="$230.34"/>
    <s v="Thursday"/>
    <x v="7"/>
    <x v="0"/>
    <b v="0"/>
    <b v="1"/>
    <s v="Large Order"/>
    <n v="11.517000000000001"/>
    <x v="13"/>
    <n v="4606.8"/>
    <m/>
  </r>
  <r>
    <s v="ORD-2736"/>
    <d v="2024-01-07T00:00:00"/>
    <s v="CUST-146"/>
    <x v="13"/>
    <x v="0"/>
    <x v="2"/>
    <x v="4"/>
    <x v="3"/>
    <s v="$156.44"/>
    <s v="Sunday"/>
    <x v="6"/>
    <x v="0"/>
    <b v="1"/>
    <b v="1"/>
    <s v="Large Order"/>
    <n v="7.8220000000000001"/>
    <x v="21"/>
    <n v="2190.16"/>
    <m/>
  </r>
  <r>
    <s v="ORD-2737"/>
    <d v="2024-12-15T00:00:00"/>
    <s v="CUST-122"/>
    <x v="21"/>
    <x v="1"/>
    <x v="0"/>
    <x v="0"/>
    <x v="16"/>
    <s v="$32.94"/>
    <s v="Sunday"/>
    <x v="1"/>
    <x v="0"/>
    <b v="1"/>
    <b v="0"/>
    <s v="Large Order"/>
    <n v="1.647"/>
    <x v="15"/>
    <n v="625.8599999999999"/>
    <m/>
  </r>
  <r>
    <s v="ORD-2738"/>
    <d v="2024-05-14T00:00:00"/>
    <s v="CUST-127"/>
    <x v="15"/>
    <x v="0"/>
    <x v="2"/>
    <x v="4"/>
    <x v="8"/>
    <s v="$216.22"/>
    <s v="Tuesday"/>
    <x v="7"/>
    <x v="0"/>
    <b v="0"/>
    <b v="1"/>
    <s v="Large Order"/>
    <n v="10.811"/>
    <x v="17"/>
    <n v="2162.1999999999998"/>
    <m/>
  </r>
  <r>
    <s v="ORD-2739"/>
    <d v="2024-09-13T00:00:00"/>
    <s v="CUST-198"/>
    <x v="17"/>
    <x v="1"/>
    <x v="2"/>
    <x v="0"/>
    <x v="15"/>
    <s v="$26.59"/>
    <s v="Friday"/>
    <x v="11"/>
    <x v="0"/>
    <b v="0"/>
    <b v="0"/>
    <s v="Standard order"/>
    <n v="1.3295000000000001"/>
    <x v="8"/>
    <n v="478.62"/>
    <m/>
  </r>
  <r>
    <s v="ORD-2740"/>
    <d v="2024-03-19T00:00:00"/>
    <s v="CUST-135"/>
    <x v="0"/>
    <x v="1"/>
    <x v="0"/>
    <x v="4"/>
    <x v="10"/>
    <s v="$146.06"/>
    <s v="Tuesday"/>
    <x v="4"/>
    <x v="0"/>
    <b v="0"/>
    <b v="1"/>
    <s v="Large Order"/>
    <n v="7.3030000000000008"/>
    <x v="13"/>
    <n v="1022.4200000000001"/>
    <m/>
  </r>
  <r>
    <s v="ORD-2741"/>
    <d v="2024-03-20T00:00:00"/>
    <s v="CUST-168"/>
    <x v="13"/>
    <x v="1"/>
    <x v="1"/>
    <x v="0"/>
    <x v="8"/>
    <s v="$156.44"/>
    <s v="Wednesday"/>
    <x v="4"/>
    <x v="0"/>
    <b v="0"/>
    <b v="1"/>
    <s v="Large Order"/>
    <n v="7.8220000000000001"/>
    <x v="24"/>
    <n v="1564.4"/>
    <m/>
  </r>
  <r>
    <s v="ORD-2742"/>
    <d v="2024-05-02T00:00:00"/>
    <s v="CUST-107"/>
    <x v="24"/>
    <x v="0"/>
    <x v="2"/>
    <x v="0"/>
    <x v="12"/>
    <s v="$10.11"/>
    <s v="Thursday"/>
    <x v="7"/>
    <x v="0"/>
    <b v="0"/>
    <b v="0"/>
    <s v="Standard order"/>
    <n v="0.50549999999999995"/>
    <x v="5"/>
    <n v="151.64999999999998"/>
    <m/>
  </r>
  <r>
    <s v="ORD-2743"/>
    <d v="2024-01-29T00:00:00"/>
    <s v="CUST-139"/>
    <x v="6"/>
    <x v="2"/>
    <x v="4"/>
    <x v="0"/>
    <x v="1"/>
    <s v="$86.6"/>
    <s v="Monday"/>
    <x v="6"/>
    <x v="0"/>
    <b v="0"/>
    <b v="0"/>
    <s v="Standard order"/>
    <n v="4.33"/>
    <x v="6"/>
    <n v="86.6"/>
    <m/>
  </r>
  <r>
    <s v="ORD-2744"/>
    <d v="2024-12-25T00:00:00"/>
    <s v="CUST-101"/>
    <x v="7"/>
    <x v="1"/>
    <x v="3"/>
    <x v="4"/>
    <x v="18"/>
    <s v="$107.34"/>
    <s v="Wednesday"/>
    <x v="1"/>
    <x v="0"/>
    <b v="0"/>
    <b v="1"/>
    <s v="Large Order"/>
    <n v="5.3670000000000009"/>
    <x v="7"/>
    <n v="1824.78"/>
    <m/>
  </r>
  <r>
    <s v="ORD-2745"/>
    <d v="2024-05-12T00:00:00"/>
    <s v="CUST-121"/>
    <x v="8"/>
    <x v="0"/>
    <x v="3"/>
    <x v="0"/>
    <x v="1"/>
    <s v="$208.85"/>
    <s v="Sunday"/>
    <x v="7"/>
    <x v="0"/>
    <b v="1"/>
    <b v="0"/>
    <s v="Standard order"/>
    <n v="10.442500000000001"/>
    <x v="22"/>
    <n v="208.85"/>
    <m/>
  </r>
  <r>
    <s v="ORD-2746"/>
    <d v="2024-08-07T00:00:00"/>
    <s v="CUST-134"/>
    <x v="22"/>
    <x v="0"/>
    <x v="3"/>
    <x v="4"/>
    <x v="13"/>
    <s v="$149.27"/>
    <s v="Wednesday"/>
    <x v="10"/>
    <x v="0"/>
    <b v="0"/>
    <b v="0"/>
    <s v="Standard order"/>
    <n v="7.4635000000000007"/>
    <x v="15"/>
    <n v="447.81000000000006"/>
    <m/>
  </r>
  <r>
    <s v="ORD-2747"/>
    <d v="2024-09-18T00:00:00"/>
    <s v="CUST-146"/>
    <x v="15"/>
    <x v="1"/>
    <x v="1"/>
    <x v="2"/>
    <x v="5"/>
    <s v="$216.22"/>
    <s v="Wednesday"/>
    <x v="11"/>
    <x v="0"/>
    <b v="0"/>
    <b v="1"/>
    <s v="Large Order"/>
    <n v="10.811"/>
    <x v="5"/>
    <n v="2594.64"/>
    <m/>
  </r>
  <r>
    <s v="ORD-2748"/>
    <d v="2024-02-22T00:00:00"/>
    <s v="CUST-173"/>
    <x v="6"/>
    <x v="2"/>
    <x v="0"/>
    <x v="2"/>
    <x v="18"/>
    <s v="$86.6"/>
    <s v="Thursday"/>
    <x v="5"/>
    <x v="0"/>
    <b v="0"/>
    <b v="1"/>
    <s v="Large Order"/>
    <n v="4.33"/>
    <x v="15"/>
    <n v="1472.1999999999998"/>
    <m/>
  </r>
  <r>
    <s v="ORD-2749"/>
    <d v="2024-01-07T00:00:00"/>
    <s v="CUST-131"/>
    <x v="15"/>
    <x v="1"/>
    <x v="3"/>
    <x v="1"/>
    <x v="2"/>
    <s v="$216.22"/>
    <s v="Sunday"/>
    <x v="6"/>
    <x v="0"/>
    <b v="1"/>
    <b v="0"/>
    <s v="Large Order"/>
    <n v="10.811"/>
    <x v="10"/>
    <n v="1081.0999999999999"/>
    <m/>
  </r>
  <r>
    <s v="ORD-2750"/>
    <d v="2024-01-19T00:00:00"/>
    <s v="CUST-170"/>
    <x v="10"/>
    <x v="2"/>
    <x v="2"/>
    <x v="2"/>
    <x v="9"/>
    <s v="$46.19"/>
    <s v="Friday"/>
    <x v="6"/>
    <x v="0"/>
    <b v="0"/>
    <b v="0"/>
    <s v="Large Order"/>
    <n v="2.3094999999999999"/>
    <x v="8"/>
    <n v="508.09"/>
    <m/>
  </r>
  <r>
    <s v="ORD-2751"/>
    <d v="2024-06-12T00:00:00"/>
    <s v="CUST-134"/>
    <x v="0"/>
    <x v="2"/>
    <x v="3"/>
    <x v="0"/>
    <x v="18"/>
    <s v="$146.06"/>
    <s v="Wednesday"/>
    <x v="9"/>
    <x v="0"/>
    <b v="0"/>
    <b v="1"/>
    <s v="Large Order"/>
    <n v="7.3030000000000008"/>
    <x v="24"/>
    <n v="2483.02"/>
    <m/>
  </r>
  <r>
    <s v="ORD-2752"/>
    <d v="2024-01-27T00:00:00"/>
    <s v="CUST-122"/>
    <x v="24"/>
    <x v="2"/>
    <x v="0"/>
    <x v="1"/>
    <x v="13"/>
    <s v="$10.11"/>
    <s v="Saturday"/>
    <x v="6"/>
    <x v="0"/>
    <b v="1"/>
    <b v="0"/>
    <s v="Standard order"/>
    <n v="0.50549999999999995"/>
    <x v="14"/>
    <n v="30.33"/>
    <m/>
  </r>
  <r>
    <s v="ORD-2753"/>
    <d v="2024-05-24T00:00:00"/>
    <s v="CUST-199"/>
    <x v="14"/>
    <x v="1"/>
    <x v="0"/>
    <x v="4"/>
    <x v="12"/>
    <s v="$201.32"/>
    <s v="Friday"/>
    <x v="7"/>
    <x v="0"/>
    <b v="0"/>
    <b v="1"/>
    <s v="Large Order"/>
    <n v="10.066000000000001"/>
    <x v="9"/>
    <n v="3019.7999999999997"/>
    <m/>
  </r>
  <r>
    <s v="ORD-2754"/>
    <d v="2024-04-12T00:00:00"/>
    <s v="CUST-137"/>
    <x v="9"/>
    <x v="1"/>
    <x v="1"/>
    <x v="2"/>
    <x v="12"/>
    <s v="$101.96"/>
    <s v="Friday"/>
    <x v="2"/>
    <x v="0"/>
    <b v="0"/>
    <b v="1"/>
    <s v="Large Order"/>
    <n v="5.0979999999999999"/>
    <x v="21"/>
    <n v="1529.3999999999999"/>
    <m/>
  </r>
  <r>
    <s v="ORD-2755"/>
    <d v="2024-09-09T00:00:00"/>
    <s v="CUST-198"/>
    <x v="21"/>
    <x v="0"/>
    <x v="1"/>
    <x v="2"/>
    <x v="2"/>
    <s v="$32.94"/>
    <s v="Monday"/>
    <x v="11"/>
    <x v="0"/>
    <b v="0"/>
    <b v="0"/>
    <s v="Standard order"/>
    <n v="1.647"/>
    <x v="24"/>
    <n v="164.7"/>
    <m/>
  </r>
  <r>
    <s v="ORD-2756"/>
    <d v="2024-07-28T00:00:00"/>
    <s v="CUST-103"/>
    <x v="24"/>
    <x v="2"/>
    <x v="3"/>
    <x v="0"/>
    <x v="9"/>
    <s v="$10.11"/>
    <s v="Sunday"/>
    <x v="8"/>
    <x v="0"/>
    <b v="1"/>
    <b v="0"/>
    <s v="Standard order"/>
    <n v="0.50549999999999995"/>
    <x v="16"/>
    <n v="111.21"/>
    <m/>
  </r>
  <r>
    <s v="ORD-2757"/>
    <d v="2024-12-02T00:00:00"/>
    <s v="CUST-148"/>
    <x v="16"/>
    <x v="2"/>
    <x v="3"/>
    <x v="0"/>
    <x v="10"/>
    <s v="$130.07"/>
    <s v="Monday"/>
    <x v="1"/>
    <x v="0"/>
    <b v="0"/>
    <b v="1"/>
    <s v="Large Order"/>
    <n v="6.5034999999999998"/>
    <x v="4"/>
    <n v="910.49"/>
    <m/>
  </r>
  <r>
    <s v="ORD-2758"/>
    <d v="2024-05-01T00:00:00"/>
    <s v="CUST-153"/>
    <x v="5"/>
    <x v="0"/>
    <x v="4"/>
    <x v="3"/>
    <x v="13"/>
    <s v="$64.61"/>
    <s v="Wednesday"/>
    <x v="7"/>
    <x v="0"/>
    <b v="0"/>
    <b v="0"/>
    <s v="Standard order"/>
    <n v="3.2305000000000001"/>
    <x v="17"/>
    <n v="193.82999999999998"/>
    <m/>
  </r>
  <r>
    <s v="ORD-2759"/>
    <d v="2024-04-28T00:00:00"/>
    <s v="CUST-166"/>
    <x v="17"/>
    <x v="2"/>
    <x v="3"/>
    <x v="1"/>
    <x v="13"/>
    <s v="$26.59"/>
    <s v="Sunday"/>
    <x v="2"/>
    <x v="0"/>
    <b v="1"/>
    <b v="0"/>
    <s v="Standard order"/>
    <n v="1.3295000000000001"/>
    <x v="1"/>
    <n v="79.77"/>
    <m/>
  </r>
  <r>
    <s v="ORD-2760"/>
    <d v="2024-09-15T00:00:00"/>
    <s v="CUST-117"/>
    <x v="2"/>
    <x v="1"/>
    <x v="0"/>
    <x v="4"/>
    <x v="16"/>
    <s v="$88.18"/>
    <s v="Sunday"/>
    <x v="11"/>
    <x v="0"/>
    <b v="1"/>
    <b v="1"/>
    <s v="Large Order"/>
    <n v="4.4090000000000007"/>
    <x v="24"/>
    <n v="1675.42"/>
    <m/>
  </r>
  <r>
    <s v="ORD-2761"/>
    <d v="2024-12-05T00:00:00"/>
    <s v="CUST-116"/>
    <x v="24"/>
    <x v="1"/>
    <x v="3"/>
    <x v="3"/>
    <x v="11"/>
    <s v="$10.11"/>
    <s v="Thursday"/>
    <x v="1"/>
    <x v="0"/>
    <b v="0"/>
    <b v="0"/>
    <s v="Standard order"/>
    <n v="0.50549999999999995"/>
    <x v="12"/>
    <n v="131.43"/>
    <m/>
  </r>
  <r>
    <s v="ORD-2762"/>
    <d v="2024-06-16T00:00:00"/>
    <s v="CUST-140"/>
    <x v="12"/>
    <x v="1"/>
    <x v="4"/>
    <x v="0"/>
    <x v="10"/>
    <s v="$211.9"/>
    <s v="Sunday"/>
    <x v="9"/>
    <x v="0"/>
    <b v="1"/>
    <b v="1"/>
    <s v="Large Order"/>
    <n v="10.595000000000001"/>
    <x v="0"/>
    <n v="1483.3"/>
    <m/>
  </r>
  <r>
    <s v="ORD-2763"/>
    <d v="2024-10-26T00:00:00"/>
    <s v="CUST-113"/>
    <x v="1"/>
    <x v="0"/>
    <x v="4"/>
    <x v="1"/>
    <x v="12"/>
    <s v="$178.83"/>
    <s v="Saturday"/>
    <x v="3"/>
    <x v="0"/>
    <b v="1"/>
    <b v="1"/>
    <s v="Large Order"/>
    <n v="8.9415000000000013"/>
    <x v="7"/>
    <n v="2682.4500000000003"/>
    <m/>
  </r>
  <r>
    <s v="ORD-2764"/>
    <d v="2024-03-02T00:00:00"/>
    <s v="CUST-168"/>
    <x v="8"/>
    <x v="0"/>
    <x v="2"/>
    <x v="3"/>
    <x v="12"/>
    <s v="$208.85"/>
    <s v="Saturday"/>
    <x v="4"/>
    <x v="0"/>
    <b v="1"/>
    <b v="1"/>
    <s v="Large Order"/>
    <n v="10.442500000000001"/>
    <x v="6"/>
    <n v="3132.75"/>
    <m/>
  </r>
  <r>
    <s v="ORD-2765"/>
    <d v="2024-03-02T00:00:00"/>
    <s v="CUST-111"/>
    <x v="7"/>
    <x v="2"/>
    <x v="3"/>
    <x v="4"/>
    <x v="4"/>
    <s v="$107.34"/>
    <s v="Saturday"/>
    <x v="4"/>
    <x v="0"/>
    <b v="1"/>
    <b v="0"/>
    <s v="Standard order"/>
    <n v="5.3670000000000009"/>
    <x v="8"/>
    <n v="214.68"/>
    <m/>
  </r>
  <r>
    <s v="ORD-2766"/>
    <d v="2024-06-16T00:00:00"/>
    <s v="CUST-118"/>
    <x v="0"/>
    <x v="2"/>
    <x v="4"/>
    <x v="3"/>
    <x v="11"/>
    <s v="$146.06"/>
    <s v="Sunday"/>
    <x v="9"/>
    <x v="0"/>
    <b v="1"/>
    <b v="1"/>
    <s v="Large Order"/>
    <n v="7.3030000000000008"/>
    <x v="2"/>
    <n v="1898.78"/>
    <m/>
  </r>
  <r>
    <s v="ORD-2767"/>
    <d v="2024-12-12T00:00:00"/>
    <s v="CUST-138"/>
    <x v="3"/>
    <x v="0"/>
    <x v="0"/>
    <x v="1"/>
    <x v="12"/>
    <s v="$84.57"/>
    <s v="Thursday"/>
    <x v="1"/>
    <x v="0"/>
    <b v="0"/>
    <b v="1"/>
    <s v="Large Order"/>
    <n v="4.2284999999999995"/>
    <x v="19"/>
    <n v="1268.55"/>
    <m/>
  </r>
  <r>
    <s v="ORD-2768"/>
    <d v="2024-10-08T00:00:00"/>
    <s v="CUST-131"/>
    <x v="19"/>
    <x v="1"/>
    <x v="0"/>
    <x v="2"/>
    <x v="0"/>
    <s v="$145.48"/>
    <s v="Tuesday"/>
    <x v="3"/>
    <x v="0"/>
    <b v="0"/>
    <b v="0"/>
    <s v="Large Order"/>
    <n v="7.274"/>
    <x v="11"/>
    <n v="581.91999999999996"/>
    <m/>
  </r>
  <r>
    <s v="ORD-2769"/>
    <d v="2024-04-23T00:00:00"/>
    <s v="CUST-116"/>
    <x v="11"/>
    <x v="1"/>
    <x v="3"/>
    <x v="0"/>
    <x v="16"/>
    <s v="$33.22"/>
    <s v="Tuesday"/>
    <x v="2"/>
    <x v="0"/>
    <b v="0"/>
    <b v="0"/>
    <s v="Large Order"/>
    <n v="1.661"/>
    <x v="8"/>
    <n v="631.17999999999995"/>
    <m/>
  </r>
  <r>
    <s v="ORD-2770"/>
    <d v="2024-02-08T00:00:00"/>
    <s v="CUST-102"/>
    <x v="0"/>
    <x v="0"/>
    <x v="2"/>
    <x v="2"/>
    <x v="13"/>
    <s v="$146.06"/>
    <s v="Thursday"/>
    <x v="5"/>
    <x v="0"/>
    <b v="0"/>
    <b v="0"/>
    <s v="Standard order"/>
    <n v="7.3030000000000008"/>
    <x v="15"/>
    <n v="438.18"/>
    <m/>
  </r>
  <r>
    <s v="ORD-2771"/>
    <d v="2024-06-18T00:00:00"/>
    <s v="CUST-115"/>
    <x v="15"/>
    <x v="1"/>
    <x v="0"/>
    <x v="2"/>
    <x v="16"/>
    <s v="$216.22"/>
    <s v="Tuesday"/>
    <x v="9"/>
    <x v="0"/>
    <b v="0"/>
    <b v="1"/>
    <s v="Large Order"/>
    <n v="10.811"/>
    <x v="18"/>
    <n v="4108.18"/>
    <m/>
  </r>
  <r>
    <s v="ORD-2772"/>
    <d v="2024-07-21T00:00:00"/>
    <s v="CUST-163"/>
    <x v="18"/>
    <x v="1"/>
    <x v="2"/>
    <x v="2"/>
    <x v="5"/>
    <s v="$230.68"/>
    <s v="Sunday"/>
    <x v="8"/>
    <x v="0"/>
    <b v="1"/>
    <b v="1"/>
    <s v="Large Order"/>
    <n v="11.534000000000001"/>
    <x v="2"/>
    <n v="2768.16"/>
    <m/>
  </r>
  <r>
    <s v="ORD-2773"/>
    <d v="2024-04-05T00:00:00"/>
    <s v="CUST-135"/>
    <x v="3"/>
    <x v="1"/>
    <x v="4"/>
    <x v="0"/>
    <x v="19"/>
    <s v="$84.57"/>
    <s v="Friday"/>
    <x v="2"/>
    <x v="0"/>
    <b v="0"/>
    <b v="1"/>
    <s v="Large Order"/>
    <n v="4.2284999999999995"/>
    <x v="14"/>
    <n v="1691.3999999999999"/>
    <m/>
  </r>
  <r>
    <s v="ORD-2774"/>
    <d v="2024-05-05T00:00:00"/>
    <s v="CUST-182"/>
    <x v="14"/>
    <x v="1"/>
    <x v="2"/>
    <x v="4"/>
    <x v="17"/>
    <s v="$201.32"/>
    <s v="Sunday"/>
    <x v="7"/>
    <x v="0"/>
    <b v="1"/>
    <b v="1"/>
    <s v="Large Order"/>
    <n v="10.066000000000001"/>
    <x v="0"/>
    <n v="3221.12"/>
    <m/>
  </r>
  <r>
    <s v="ORD-2775"/>
    <d v="2024-05-23T00:00:00"/>
    <s v="CUST-149"/>
    <x v="1"/>
    <x v="1"/>
    <x v="4"/>
    <x v="4"/>
    <x v="7"/>
    <s v="$178.83"/>
    <s v="Thursday"/>
    <x v="7"/>
    <x v="0"/>
    <b v="0"/>
    <b v="1"/>
    <s v="Large Order"/>
    <n v="8.9415000000000013"/>
    <x v="3"/>
    <n v="1430.64"/>
    <m/>
  </r>
  <r>
    <s v="ORD-2776"/>
    <d v="2024-10-05T00:00:00"/>
    <s v="CUST-102"/>
    <x v="4"/>
    <x v="2"/>
    <x v="3"/>
    <x v="1"/>
    <x v="15"/>
    <s v="$230.34"/>
    <s v="Saturday"/>
    <x v="3"/>
    <x v="0"/>
    <b v="1"/>
    <b v="1"/>
    <s v="Large Order"/>
    <n v="11.517000000000001"/>
    <x v="22"/>
    <n v="4146.12"/>
    <m/>
  </r>
  <r>
    <s v="ORD-2777"/>
    <d v="2024-06-25T00:00:00"/>
    <s v="CUST-172"/>
    <x v="22"/>
    <x v="1"/>
    <x v="2"/>
    <x v="3"/>
    <x v="6"/>
    <s v="$149.27"/>
    <s v="Tuesday"/>
    <x v="9"/>
    <x v="0"/>
    <b v="0"/>
    <b v="1"/>
    <s v="Large Order"/>
    <n v="7.4635000000000007"/>
    <x v="18"/>
    <n v="895.62000000000012"/>
    <m/>
  </r>
  <r>
    <s v="ORD-2778"/>
    <d v="2024-11-01T00:00:00"/>
    <s v="CUST-128"/>
    <x v="18"/>
    <x v="1"/>
    <x v="0"/>
    <x v="1"/>
    <x v="18"/>
    <s v="$230.68"/>
    <s v="Friday"/>
    <x v="0"/>
    <x v="0"/>
    <b v="0"/>
    <b v="1"/>
    <s v="Large Order"/>
    <n v="11.534000000000001"/>
    <x v="6"/>
    <n v="3921.56"/>
    <m/>
  </r>
  <r>
    <s v="ORD-2779"/>
    <d v="2024-10-26T00:00:00"/>
    <s v="CUST-129"/>
    <x v="7"/>
    <x v="0"/>
    <x v="4"/>
    <x v="2"/>
    <x v="14"/>
    <s v="$107.34"/>
    <s v="Saturday"/>
    <x v="3"/>
    <x v="0"/>
    <b v="1"/>
    <b v="1"/>
    <s v="Large Order"/>
    <n v="5.3670000000000009"/>
    <x v="24"/>
    <n v="966.06000000000006"/>
    <m/>
  </r>
  <r>
    <s v="ORD-2780"/>
    <d v="2024-01-29T00:00:00"/>
    <s v="CUST-197"/>
    <x v="24"/>
    <x v="2"/>
    <x v="2"/>
    <x v="3"/>
    <x v="6"/>
    <s v="$10.11"/>
    <s v="Monday"/>
    <x v="6"/>
    <x v="0"/>
    <b v="0"/>
    <b v="0"/>
    <s v="Standard order"/>
    <n v="0.50549999999999995"/>
    <x v="16"/>
    <n v="60.66"/>
    <m/>
  </r>
  <r>
    <s v="ORD-2781"/>
    <d v="2024-10-30T00:00:00"/>
    <s v="CUST-140"/>
    <x v="16"/>
    <x v="2"/>
    <x v="3"/>
    <x v="4"/>
    <x v="1"/>
    <s v="$130.07"/>
    <s v="Wednesday"/>
    <x v="3"/>
    <x v="0"/>
    <b v="0"/>
    <b v="0"/>
    <s v="Standard order"/>
    <n v="6.5034999999999998"/>
    <x v="9"/>
    <n v="130.07"/>
    <m/>
  </r>
  <r>
    <s v="ORD-2782"/>
    <d v="2024-06-29T00:00:00"/>
    <s v="CUST-172"/>
    <x v="9"/>
    <x v="0"/>
    <x v="1"/>
    <x v="2"/>
    <x v="17"/>
    <s v="$101.96"/>
    <s v="Saturday"/>
    <x v="9"/>
    <x v="0"/>
    <b v="1"/>
    <b v="1"/>
    <s v="Large Order"/>
    <n v="5.0979999999999999"/>
    <x v="15"/>
    <n v="1631.36"/>
    <m/>
  </r>
  <r>
    <s v="ORD-2783"/>
    <d v="2024-03-30T00:00:00"/>
    <s v="CUST-162"/>
    <x v="15"/>
    <x v="0"/>
    <x v="0"/>
    <x v="2"/>
    <x v="19"/>
    <s v="$216.22"/>
    <s v="Saturday"/>
    <x v="4"/>
    <x v="0"/>
    <b v="1"/>
    <b v="1"/>
    <s v="Large Order"/>
    <n v="10.811"/>
    <x v="18"/>
    <n v="4324.3999999999996"/>
    <m/>
  </r>
  <r>
    <s v="ORD-2784"/>
    <d v="2024-09-26T00:00:00"/>
    <s v="CUST-161"/>
    <x v="18"/>
    <x v="1"/>
    <x v="1"/>
    <x v="2"/>
    <x v="2"/>
    <s v="$230.68"/>
    <s v="Thursday"/>
    <x v="11"/>
    <x v="0"/>
    <b v="0"/>
    <b v="0"/>
    <s v="Large Order"/>
    <n v="11.534000000000001"/>
    <x v="15"/>
    <n v="1153.4000000000001"/>
    <m/>
  </r>
  <r>
    <s v="ORD-2785"/>
    <d v="2024-03-31T00:00:00"/>
    <s v="CUST-141"/>
    <x v="15"/>
    <x v="0"/>
    <x v="4"/>
    <x v="4"/>
    <x v="2"/>
    <s v="$216.22"/>
    <s v="Sunday"/>
    <x v="4"/>
    <x v="0"/>
    <b v="1"/>
    <b v="0"/>
    <s v="Large Order"/>
    <n v="10.811"/>
    <x v="8"/>
    <n v="1081.0999999999999"/>
    <m/>
  </r>
  <r>
    <s v="ORD-2786"/>
    <d v="2024-09-26T00:00:00"/>
    <s v="CUST-146"/>
    <x v="0"/>
    <x v="1"/>
    <x v="2"/>
    <x v="4"/>
    <x v="0"/>
    <s v="$146.06"/>
    <s v="Thursday"/>
    <x v="11"/>
    <x v="0"/>
    <b v="0"/>
    <b v="0"/>
    <s v="Large Order"/>
    <n v="7.3030000000000008"/>
    <x v="6"/>
    <n v="584.24"/>
    <m/>
  </r>
  <r>
    <s v="ORD-2787"/>
    <d v="2024-06-14T00:00:00"/>
    <s v="CUST-117"/>
    <x v="7"/>
    <x v="2"/>
    <x v="2"/>
    <x v="1"/>
    <x v="9"/>
    <s v="$107.34"/>
    <s v="Friday"/>
    <x v="9"/>
    <x v="0"/>
    <b v="0"/>
    <b v="1"/>
    <s v="Large Order"/>
    <n v="5.3670000000000009"/>
    <x v="20"/>
    <n v="1180.74"/>
    <m/>
  </r>
  <r>
    <s v="ORD-2788"/>
    <d v="2024-10-14T00:00:00"/>
    <s v="CUST-188"/>
    <x v="20"/>
    <x v="1"/>
    <x v="4"/>
    <x v="4"/>
    <x v="6"/>
    <s v="$81.02"/>
    <s v="Monday"/>
    <x v="3"/>
    <x v="0"/>
    <b v="0"/>
    <b v="0"/>
    <s v="Standard order"/>
    <n v="4.0510000000000002"/>
    <x v="0"/>
    <n v="486.12"/>
    <m/>
  </r>
  <r>
    <s v="ORD-2789"/>
    <d v="2024-12-18T00:00:00"/>
    <s v="CUST-137"/>
    <x v="1"/>
    <x v="0"/>
    <x v="0"/>
    <x v="4"/>
    <x v="11"/>
    <s v="$178.83"/>
    <s v="Wednesday"/>
    <x v="1"/>
    <x v="0"/>
    <b v="0"/>
    <b v="1"/>
    <s v="Large Order"/>
    <n v="8.9415000000000013"/>
    <x v="6"/>
    <n v="2324.79"/>
    <m/>
  </r>
  <r>
    <s v="ORD-2790"/>
    <d v="2024-10-17T00:00:00"/>
    <s v="CUST-104"/>
    <x v="7"/>
    <x v="2"/>
    <x v="3"/>
    <x v="4"/>
    <x v="7"/>
    <s v="$107.34"/>
    <s v="Thursday"/>
    <x v="3"/>
    <x v="0"/>
    <b v="0"/>
    <b v="1"/>
    <s v="Large Order"/>
    <n v="5.3670000000000009"/>
    <x v="0"/>
    <n v="858.72"/>
    <m/>
  </r>
  <r>
    <s v="ORD-2791"/>
    <d v="2024-02-23T00:00:00"/>
    <s v="CUST-163"/>
    <x v="1"/>
    <x v="1"/>
    <x v="0"/>
    <x v="2"/>
    <x v="5"/>
    <s v="$178.83"/>
    <s v="Friday"/>
    <x v="5"/>
    <x v="0"/>
    <b v="0"/>
    <b v="1"/>
    <s v="Large Order"/>
    <n v="8.9415000000000013"/>
    <x v="8"/>
    <n v="2145.96"/>
    <m/>
  </r>
  <r>
    <s v="ORD-2792"/>
    <d v="2024-03-26T00:00:00"/>
    <s v="CUST-181"/>
    <x v="0"/>
    <x v="2"/>
    <x v="3"/>
    <x v="1"/>
    <x v="1"/>
    <s v="$146.06"/>
    <s v="Tuesday"/>
    <x v="4"/>
    <x v="0"/>
    <b v="0"/>
    <b v="0"/>
    <s v="Standard order"/>
    <n v="7.3030000000000008"/>
    <x v="8"/>
    <n v="146.06"/>
    <m/>
  </r>
  <r>
    <s v="ORD-2793"/>
    <d v="2024-05-07T00:00:00"/>
    <s v="CUST-188"/>
    <x v="0"/>
    <x v="1"/>
    <x v="3"/>
    <x v="0"/>
    <x v="1"/>
    <s v="$146.06"/>
    <s v="Tuesday"/>
    <x v="7"/>
    <x v="0"/>
    <b v="0"/>
    <b v="0"/>
    <s v="Standard order"/>
    <n v="7.3030000000000008"/>
    <x v="17"/>
    <n v="146.06"/>
    <m/>
  </r>
  <r>
    <s v="ORD-2794"/>
    <d v="2024-08-12T00:00:00"/>
    <s v="CUST-193"/>
    <x v="17"/>
    <x v="0"/>
    <x v="2"/>
    <x v="1"/>
    <x v="11"/>
    <s v="$26.59"/>
    <s v="Monday"/>
    <x v="10"/>
    <x v="0"/>
    <b v="0"/>
    <b v="0"/>
    <s v="Standard order"/>
    <n v="1.3295000000000001"/>
    <x v="4"/>
    <n v="345.67"/>
    <m/>
  </r>
  <r>
    <s v="ORD-2795"/>
    <d v="2024-07-11T00:00:00"/>
    <s v="CUST-112"/>
    <x v="5"/>
    <x v="2"/>
    <x v="4"/>
    <x v="2"/>
    <x v="12"/>
    <s v="$64.61"/>
    <s v="Thursday"/>
    <x v="8"/>
    <x v="0"/>
    <b v="0"/>
    <b v="1"/>
    <s v="Large Order"/>
    <n v="3.2305000000000001"/>
    <x v="18"/>
    <n v="969.15"/>
    <m/>
  </r>
  <r>
    <s v="ORD-2796"/>
    <d v="2024-01-18T00:00:00"/>
    <s v="CUST-137"/>
    <x v="18"/>
    <x v="1"/>
    <x v="3"/>
    <x v="0"/>
    <x v="13"/>
    <s v="$230.68"/>
    <s v="Thursday"/>
    <x v="6"/>
    <x v="0"/>
    <b v="0"/>
    <b v="0"/>
    <s v="Large Order"/>
    <n v="11.534000000000001"/>
    <x v="16"/>
    <n v="692.04"/>
    <m/>
  </r>
  <r>
    <s v="ORD-2797"/>
    <d v="2024-07-11T00:00:00"/>
    <s v="CUST-120"/>
    <x v="16"/>
    <x v="0"/>
    <x v="1"/>
    <x v="0"/>
    <x v="9"/>
    <s v="$130.07"/>
    <s v="Thursday"/>
    <x v="8"/>
    <x v="0"/>
    <b v="0"/>
    <b v="1"/>
    <s v="Large Order"/>
    <n v="6.5034999999999998"/>
    <x v="10"/>
    <n v="1430.77"/>
    <m/>
  </r>
  <r>
    <s v="ORD-2798"/>
    <d v="2024-11-10T00:00:00"/>
    <s v="CUST-161"/>
    <x v="10"/>
    <x v="0"/>
    <x v="2"/>
    <x v="2"/>
    <x v="19"/>
    <s v="$46.19"/>
    <s v="Sunday"/>
    <x v="0"/>
    <x v="0"/>
    <b v="1"/>
    <b v="1"/>
    <s v="Large Order"/>
    <n v="2.3094999999999999"/>
    <x v="19"/>
    <n v="923.8"/>
    <m/>
  </r>
  <r>
    <s v="ORD-2799"/>
    <d v="2024-03-21T00:00:00"/>
    <s v="CUST-106"/>
    <x v="19"/>
    <x v="1"/>
    <x v="4"/>
    <x v="2"/>
    <x v="3"/>
    <s v="$145.48"/>
    <s v="Thursday"/>
    <x v="4"/>
    <x v="0"/>
    <b v="0"/>
    <b v="1"/>
    <s v="Large Order"/>
    <n v="7.274"/>
    <x v="5"/>
    <n v="2036.7199999999998"/>
    <m/>
  </r>
  <r>
    <s v="ORD-2800"/>
    <d v="2024-10-03T00:00:00"/>
    <s v="CUST-133"/>
    <x v="6"/>
    <x v="1"/>
    <x v="3"/>
    <x v="2"/>
    <x v="0"/>
    <s v="$86.6"/>
    <s v="Thursday"/>
    <x v="3"/>
    <x v="0"/>
    <b v="0"/>
    <b v="0"/>
    <s v="Standard order"/>
    <n v="4.33"/>
    <x v="4"/>
    <n v="346.4"/>
    <m/>
  </r>
  <r>
    <s v="ORD-2801"/>
    <d v="2024-10-19T00:00:00"/>
    <s v="CUST-170"/>
    <x v="5"/>
    <x v="0"/>
    <x v="0"/>
    <x v="3"/>
    <x v="1"/>
    <s v="$64.61"/>
    <s v="Saturday"/>
    <x v="3"/>
    <x v="0"/>
    <b v="1"/>
    <b v="0"/>
    <s v="Standard order"/>
    <n v="3.2305000000000001"/>
    <x v="1"/>
    <n v="64.61"/>
    <m/>
  </r>
  <r>
    <s v="ORD-2802"/>
    <d v="2024-05-30T00:00:00"/>
    <s v="CUST-184"/>
    <x v="2"/>
    <x v="2"/>
    <x v="2"/>
    <x v="2"/>
    <x v="0"/>
    <s v="$88.18"/>
    <s v="Thursday"/>
    <x v="7"/>
    <x v="0"/>
    <b v="0"/>
    <b v="0"/>
    <s v="Standard order"/>
    <n v="4.4090000000000007"/>
    <x v="14"/>
    <n v="352.72"/>
    <m/>
  </r>
  <r>
    <s v="ORD-2803"/>
    <d v="2024-03-28T00:00:00"/>
    <s v="CUST-181"/>
    <x v="14"/>
    <x v="0"/>
    <x v="2"/>
    <x v="0"/>
    <x v="8"/>
    <s v="$201.32"/>
    <s v="Thursday"/>
    <x v="4"/>
    <x v="0"/>
    <b v="0"/>
    <b v="1"/>
    <s v="Large Order"/>
    <n v="10.066000000000001"/>
    <x v="5"/>
    <n v="2013.1999999999998"/>
    <m/>
  </r>
  <r>
    <s v="ORD-2804"/>
    <d v="2024-08-29T00:00:00"/>
    <s v="CUST-162"/>
    <x v="6"/>
    <x v="1"/>
    <x v="0"/>
    <x v="4"/>
    <x v="11"/>
    <s v="$86.6"/>
    <s v="Thursday"/>
    <x v="10"/>
    <x v="0"/>
    <b v="0"/>
    <b v="1"/>
    <s v="Large Order"/>
    <n v="4.33"/>
    <x v="6"/>
    <n v="1125.8"/>
    <m/>
  </r>
  <r>
    <s v="ORD-2805"/>
    <d v="2024-07-14T00:00:00"/>
    <s v="CUST-147"/>
    <x v="7"/>
    <x v="1"/>
    <x v="0"/>
    <x v="3"/>
    <x v="12"/>
    <s v="$107.34"/>
    <s v="Sunday"/>
    <x v="8"/>
    <x v="0"/>
    <b v="1"/>
    <b v="1"/>
    <s v="Large Order"/>
    <n v="5.3670000000000009"/>
    <x v="9"/>
    <n v="1610.1000000000001"/>
    <m/>
  </r>
  <r>
    <s v="ORD-2806"/>
    <d v="2024-04-25T00:00:00"/>
    <s v="CUST-134"/>
    <x v="9"/>
    <x v="0"/>
    <x v="4"/>
    <x v="0"/>
    <x v="13"/>
    <s v="$101.96"/>
    <s v="Thursday"/>
    <x v="2"/>
    <x v="0"/>
    <b v="0"/>
    <b v="0"/>
    <s v="Standard order"/>
    <n v="5.0979999999999999"/>
    <x v="21"/>
    <n v="305.88"/>
    <m/>
  </r>
  <r>
    <s v="ORD-2807"/>
    <d v="2024-10-04T00:00:00"/>
    <s v="CUST-152"/>
    <x v="21"/>
    <x v="2"/>
    <x v="4"/>
    <x v="4"/>
    <x v="4"/>
    <s v="$32.94"/>
    <s v="Friday"/>
    <x v="3"/>
    <x v="0"/>
    <b v="0"/>
    <b v="0"/>
    <s v="Standard order"/>
    <n v="1.647"/>
    <x v="23"/>
    <n v="65.88"/>
    <m/>
  </r>
  <r>
    <s v="ORD-2808"/>
    <d v="2024-09-24T00:00:00"/>
    <s v="CUST-153"/>
    <x v="23"/>
    <x v="2"/>
    <x v="2"/>
    <x v="4"/>
    <x v="7"/>
    <s v="$133.37"/>
    <s v="Tuesday"/>
    <x v="11"/>
    <x v="0"/>
    <b v="0"/>
    <b v="1"/>
    <s v="Large Order"/>
    <n v="6.6685000000000008"/>
    <x v="10"/>
    <n v="1066.96"/>
    <m/>
  </r>
  <r>
    <s v="ORD-2809"/>
    <d v="2024-02-10T00:00:00"/>
    <s v="CUST-150"/>
    <x v="10"/>
    <x v="0"/>
    <x v="1"/>
    <x v="4"/>
    <x v="18"/>
    <s v="$46.19"/>
    <s v="Saturday"/>
    <x v="5"/>
    <x v="0"/>
    <b v="1"/>
    <b v="1"/>
    <s v="Large Order"/>
    <n v="2.3094999999999999"/>
    <x v="0"/>
    <n v="785.23"/>
    <m/>
  </r>
  <r>
    <s v="ORD-2810"/>
    <d v="2024-12-12T00:00:00"/>
    <s v="CUST-179"/>
    <x v="1"/>
    <x v="0"/>
    <x v="2"/>
    <x v="2"/>
    <x v="6"/>
    <s v="$178.83"/>
    <s v="Thursday"/>
    <x v="1"/>
    <x v="0"/>
    <b v="0"/>
    <b v="1"/>
    <s v="Large Order"/>
    <n v="8.9415000000000013"/>
    <x v="15"/>
    <n v="1072.98"/>
    <m/>
  </r>
  <r>
    <s v="ORD-2811"/>
    <d v="2024-04-08T00:00:00"/>
    <s v="CUST-116"/>
    <x v="15"/>
    <x v="1"/>
    <x v="0"/>
    <x v="1"/>
    <x v="10"/>
    <s v="$216.22"/>
    <s v="Monday"/>
    <x v="2"/>
    <x v="0"/>
    <b v="0"/>
    <b v="1"/>
    <s v="Large Order"/>
    <n v="10.811"/>
    <x v="20"/>
    <n v="1513.54"/>
    <m/>
  </r>
  <r>
    <s v="ORD-2812"/>
    <d v="2024-11-17T00:00:00"/>
    <s v="CUST-118"/>
    <x v="20"/>
    <x v="1"/>
    <x v="3"/>
    <x v="0"/>
    <x v="13"/>
    <s v="$81.02"/>
    <s v="Sunday"/>
    <x v="0"/>
    <x v="0"/>
    <b v="1"/>
    <b v="0"/>
    <s v="Standard order"/>
    <n v="4.0510000000000002"/>
    <x v="13"/>
    <n v="243.06"/>
    <m/>
  </r>
  <r>
    <s v="ORD-2813"/>
    <d v="2024-07-22T00:00:00"/>
    <s v="CUST-170"/>
    <x v="13"/>
    <x v="1"/>
    <x v="1"/>
    <x v="1"/>
    <x v="1"/>
    <s v="$156.44"/>
    <s v="Monday"/>
    <x v="8"/>
    <x v="0"/>
    <b v="0"/>
    <b v="0"/>
    <s v="Standard order"/>
    <n v="7.8220000000000001"/>
    <x v="22"/>
    <n v="156.44"/>
    <m/>
  </r>
  <r>
    <s v="ORD-2814"/>
    <d v="2024-11-15T00:00:00"/>
    <s v="CUST-175"/>
    <x v="22"/>
    <x v="1"/>
    <x v="0"/>
    <x v="1"/>
    <x v="2"/>
    <s v="$149.27"/>
    <s v="Friday"/>
    <x v="0"/>
    <x v="0"/>
    <b v="0"/>
    <b v="0"/>
    <s v="Large Order"/>
    <n v="7.4635000000000007"/>
    <x v="21"/>
    <n v="746.35"/>
    <m/>
  </r>
  <r>
    <s v="ORD-2815"/>
    <d v="2024-10-28T00:00:00"/>
    <s v="CUST-174"/>
    <x v="21"/>
    <x v="0"/>
    <x v="0"/>
    <x v="4"/>
    <x v="0"/>
    <s v="$32.94"/>
    <s v="Monday"/>
    <x v="3"/>
    <x v="0"/>
    <b v="0"/>
    <b v="0"/>
    <s v="Standard order"/>
    <n v="1.647"/>
    <x v="17"/>
    <n v="131.76"/>
    <m/>
  </r>
  <r>
    <s v="ORD-2816"/>
    <d v="2024-10-01T00:00:00"/>
    <s v="CUST-144"/>
    <x v="17"/>
    <x v="1"/>
    <x v="2"/>
    <x v="1"/>
    <x v="16"/>
    <s v="$26.59"/>
    <s v="Tuesday"/>
    <x v="3"/>
    <x v="0"/>
    <b v="0"/>
    <b v="0"/>
    <s v="Large Order"/>
    <n v="1.3295000000000001"/>
    <x v="2"/>
    <n v="505.21"/>
    <m/>
  </r>
  <r>
    <s v="ORD-2817"/>
    <d v="2024-01-20T00:00:00"/>
    <s v="CUST-122"/>
    <x v="3"/>
    <x v="1"/>
    <x v="4"/>
    <x v="4"/>
    <x v="19"/>
    <s v="$84.57"/>
    <s v="Saturday"/>
    <x v="6"/>
    <x v="0"/>
    <b v="1"/>
    <b v="1"/>
    <s v="Large Order"/>
    <n v="4.2284999999999995"/>
    <x v="3"/>
    <n v="1691.3999999999999"/>
    <m/>
  </r>
  <r>
    <s v="ORD-2818"/>
    <d v="2024-07-24T00:00:00"/>
    <s v="CUST-104"/>
    <x v="4"/>
    <x v="1"/>
    <x v="4"/>
    <x v="0"/>
    <x v="17"/>
    <s v="$230.34"/>
    <s v="Wednesday"/>
    <x v="8"/>
    <x v="0"/>
    <b v="0"/>
    <b v="1"/>
    <s v="Large Order"/>
    <n v="11.517000000000001"/>
    <x v="13"/>
    <n v="3685.44"/>
    <m/>
  </r>
  <r>
    <s v="ORD-2819"/>
    <d v="2024-07-09T00:00:00"/>
    <s v="CUST-102"/>
    <x v="13"/>
    <x v="1"/>
    <x v="3"/>
    <x v="3"/>
    <x v="17"/>
    <s v="$156.44"/>
    <s v="Tuesday"/>
    <x v="8"/>
    <x v="0"/>
    <b v="0"/>
    <b v="1"/>
    <s v="Large Order"/>
    <n v="7.8220000000000001"/>
    <x v="24"/>
    <n v="2503.04"/>
    <m/>
  </r>
  <r>
    <s v="ORD-2820"/>
    <d v="2024-12-16T00:00:00"/>
    <s v="CUST-112"/>
    <x v="24"/>
    <x v="0"/>
    <x v="3"/>
    <x v="1"/>
    <x v="9"/>
    <s v="$10.11"/>
    <s v="Monday"/>
    <x v="1"/>
    <x v="0"/>
    <b v="0"/>
    <b v="0"/>
    <s v="Standard order"/>
    <n v="0.50549999999999995"/>
    <x v="1"/>
    <n v="111.21"/>
    <m/>
  </r>
  <r>
    <s v="ORD-2821"/>
    <d v="2024-08-01T00:00:00"/>
    <s v="CUST-177"/>
    <x v="2"/>
    <x v="0"/>
    <x v="4"/>
    <x v="1"/>
    <x v="10"/>
    <s v="$88.18"/>
    <s v="Thursday"/>
    <x v="10"/>
    <x v="0"/>
    <b v="0"/>
    <b v="0"/>
    <s v="Large Order"/>
    <n v="4.4090000000000007"/>
    <x v="4"/>
    <n v="617.26"/>
    <m/>
  </r>
  <r>
    <s v="ORD-2822"/>
    <d v="2024-07-27T00:00:00"/>
    <s v="CUST-194"/>
    <x v="5"/>
    <x v="2"/>
    <x v="3"/>
    <x v="0"/>
    <x v="18"/>
    <s v="$64.61"/>
    <s v="Saturday"/>
    <x v="8"/>
    <x v="0"/>
    <b v="1"/>
    <b v="1"/>
    <s v="Large Order"/>
    <n v="3.2305000000000001"/>
    <x v="10"/>
    <n v="1098.3699999999999"/>
    <m/>
  </r>
  <r>
    <s v="ORD-2823"/>
    <d v="2024-02-03T00:00:00"/>
    <s v="CUST-139"/>
    <x v="10"/>
    <x v="2"/>
    <x v="2"/>
    <x v="2"/>
    <x v="18"/>
    <s v="$46.19"/>
    <s v="Saturday"/>
    <x v="5"/>
    <x v="0"/>
    <b v="1"/>
    <b v="1"/>
    <s v="Large Order"/>
    <n v="2.3094999999999999"/>
    <x v="11"/>
    <n v="785.23"/>
    <m/>
  </r>
  <r>
    <s v="ORD-2824"/>
    <d v="2024-01-15T00:00:00"/>
    <s v="CUST-122"/>
    <x v="11"/>
    <x v="0"/>
    <x v="0"/>
    <x v="2"/>
    <x v="4"/>
    <s v="$33.22"/>
    <s v="Monday"/>
    <x v="6"/>
    <x v="0"/>
    <b v="0"/>
    <b v="0"/>
    <s v="Standard order"/>
    <n v="1.661"/>
    <x v="11"/>
    <n v="66.44"/>
    <m/>
  </r>
  <r>
    <s v="ORD-2825"/>
    <d v="2024-07-03T00:00:00"/>
    <s v="CUST-190"/>
    <x v="11"/>
    <x v="1"/>
    <x v="3"/>
    <x v="1"/>
    <x v="18"/>
    <s v="$33.22"/>
    <s v="Wednesday"/>
    <x v="8"/>
    <x v="0"/>
    <b v="0"/>
    <b v="0"/>
    <s v="Large Order"/>
    <n v="1.661"/>
    <x v="18"/>
    <n v="564.74"/>
    <m/>
  </r>
  <r>
    <s v="ORD-2826"/>
    <d v="2024-03-04T00:00:00"/>
    <s v="CUST-187"/>
    <x v="18"/>
    <x v="0"/>
    <x v="3"/>
    <x v="1"/>
    <x v="19"/>
    <s v="$230.68"/>
    <s v="Monday"/>
    <x v="4"/>
    <x v="0"/>
    <b v="0"/>
    <b v="1"/>
    <s v="Large Order"/>
    <n v="11.534000000000001"/>
    <x v="23"/>
    <n v="4613.6000000000004"/>
    <m/>
  </r>
  <r>
    <s v="ORD-2827"/>
    <d v="2024-08-30T00:00:00"/>
    <s v="CUST-175"/>
    <x v="23"/>
    <x v="1"/>
    <x v="3"/>
    <x v="2"/>
    <x v="14"/>
    <s v="$133.37"/>
    <s v="Friday"/>
    <x v="10"/>
    <x v="0"/>
    <b v="0"/>
    <b v="1"/>
    <s v="Large Order"/>
    <n v="6.6685000000000008"/>
    <x v="14"/>
    <n v="1200.33"/>
    <m/>
  </r>
  <r>
    <s v="ORD-2828"/>
    <d v="2024-12-18T00:00:00"/>
    <s v="CUST-111"/>
    <x v="14"/>
    <x v="0"/>
    <x v="2"/>
    <x v="0"/>
    <x v="6"/>
    <s v="$201.32"/>
    <s v="Wednesday"/>
    <x v="1"/>
    <x v="0"/>
    <b v="0"/>
    <b v="1"/>
    <s v="Large Order"/>
    <n v="10.066000000000001"/>
    <x v="1"/>
    <n v="1207.92"/>
    <m/>
  </r>
  <r>
    <s v="ORD-2829"/>
    <d v="2024-04-19T00:00:00"/>
    <s v="CUST-128"/>
    <x v="2"/>
    <x v="0"/>
    <x v="4"/>
    <x v="3"/>
    <x v="3"/>
    <s v="$88.18"/>
    <s v="Friday"/>
    <x v="2"/>
    <x v="0"/>
    <b v="0"/>
    <b v="1"/>
    <s v="Large Order"/>
    <n v="4.4090000000000007"/>
    <x v="4"/>
    <n v="1234.52"/>
    <m/>
  </r>
  <r>
    <s v="ORD-2830"/>
    <d v="2024-12-15T00:00:00"/>
    <s v="CUST-101"/>
    <x v="5"/>
    <x v="0"/>
    <x v="4"/>
    <x v="4"/>
    <x v="1"/>
    <s v="$64.61"/>
    <s v="Sunday"/>
    <x v="1"/>
    <x v="0"/>
    <b v="1"/>
    <b v="0"/>
    <s v="Standard order"/>
    <n v="3.2305000000000001"/>
    <x v="10"/>
    <n v="64.61"/>
    <m/>
  </r>
  <r>
    <s v="ORD-2831"/>
    <d v="2024-11-07T00:00:00"/>
    <s v="CUST-139"/>
    <x v="10"/>
    <x v="2"/>
    <x v="3"/>
    <x v="1"/>
    <x v="11"/>
    <s v="$46.19"/>
    <s v="Thursday"/>
    <x v="0"/>
    <x v="0"/>
    <b v="0"/>
    <b v="0"/>
    <s v="Large Order"/>
    <n v="2.3094999999999999"/>
    <x v="11"/>
    <n v="600.47"/>
    <m/>
  </r>
  <r>
    <s v="ORD-2832"/>
    <d v="2024-08-23T00:00:00"/>
    <s v="CUST-132"/>
    <x v="11"/>
    <x v="1"/>
    <x v="3"/>
    <x v="4"/>
    <x v="19"/>
    <s v="$33.22"/>
    <s v="Friday"/>
    <x v="10"/>
    <x v="0"/>
    <b v="0"/>
    <b v="0"/>
    <s v="Large Order"/>
    <n v="1.661"/>
    <x v="22"/>
    <n v="664.4"/>
    <m/>
  </r>
  <r>
    <s v="ORD-2833"/>
    <d v="2024-02-22T00:00:00"/>
    <s v="CUST-100"/>
    <x v="22"/>
    <x v="2"/>
    <x v="3"/>
    <x v="4"/>
    <x v="19"/>
    <s v="$149.27"/>
    <s v="Thursday"/>
    <x v="5"/>
    <x v="0"/>
    <b v="0"/>
    <b v="1"/>
    <s v="Large Order"/>
    <n v="7.4635000000000007"/>
    <x v="19"/>
    <n v="2985.4"/>
    <m/>
  </r>
  <r>
    <s v="ORD-2834"/>
    <d v="2024-06-01T00:00:00"/>
    <s v="CUST-187"/>
    <x v="19"/>
    <x v="1"/>
    <x v="0"/>
    <x v="3"/>
    <x v="14"/>
    <s v="$145.48"/>
    <s v="Saturday"/>
    <x v="9"/>
    <x v="0"/>
    <b v="1"/>
    <b v="1"/>
    <s v="Large Order"/>
    <n v="7.274"/>
    <x v="1"/>
    <n v="1309.32"/>
    <m/>
  </r>
  <r>
    <s v="ORD-2835"/>
    <d v="2024-05-21T00:00:00"/>
    <s v="CUST-133"/>
    <x v="2"/>
    <x v="2"/>
    <x v="3"/>
    <x v="2"/>
    <x v="2"/>
    <s v="$88.18"/>
    <s v="Tuesday"/>
    <x v="7"/>
    <x v="0"/>
    <b v="0"/>
    <b v="0"/>
    <s v="Standard order"/>
    <n v="4.4090000000000007"/>
    <x v="20"/>
    <n v="440.90000000000003"/>
    <m/>
  </r>
  <r>
    <s v="ORD-2836"/>
    <d v="2024-05-03T00:00:00"/>
    <s v="CUST-107"/>
    <x v="20"/>
    <x v="1"/>
    <x v="3"/>
    <x v="2"/>
    <x v="1"/>
    <s v="$81.02"/>
    <s v="Friday"/>
    <x v="7"/>
    <x v="0"/>
    <b v="0"/>
    <b v="0"/>
    <s v="Standard order"/>
    <n v="4.0510000000000002"/>
    <x v="17"/>
    <n v="81.02"/>
    <m/>
  </r>
  <r>
    <s v="ORD-2837"/>
    <d v="2024-05-31T00:00:00"/>
    <s v="CUST-133"/>
    <x v="17"/>
    <x v="1"/>
    <x v="2"/>
    <x v="0"/>
    <x v="16"/>
    <s v="$26.59"/>
    <s v="Friday"/>
    <x v="7"/>
    <x v="0"/>
    <b v="0"/>
    <b v="0"/>
    <s v="Large Order"/>
    <n v="1.3295000000000001"/>
    <x v="13"/>
    <n v="505.21"/>
    <m/>
  </r>
  <r>
    <s v="ORD-2838"/>
    <d v="2024-10-19T00:00:00"/>
    <s v="CUST-124"/>
    <x v="13"/>
    <x v="2"/>
    <x v="4"/>
    <x v="4"/>
    <x v="17"/>
    <s v="$156.44"/>
    <s v="Saturday"/>
    <x v="3"/>
    <x v="0"/>
    <b v="1"/>
    <b v="1"/>
    <s v="Large Order"/>
    <n v="7.8220000000000001"/>
    <x v="22"/>
    <n v="2503.04"/>
    <m/>
  </r>
  <r>
    <s v="ORD-2839"/>
    <d v="2024-12-09T00:00:00"/>
    <s v="CUST-145"/>
    <x v="22"/>
    <x v="1"/>
    <x v="4"/>
    <x v="4"/>
    <x v="6"/>
    <s v="$149.27"/>
    <s v="Monday"/>
    <x v="1"/>
    <x v="0"/>
    <b v="0"/>
    <b v="1"/>
    <s v="Large Order"/>
    <n v="7.4635000000000007"/>
    <x v="16"/>
    <n v="895.62000000000012"/>
    <m/>
  </r>
  <r>
    <s v="ORD-2840"/>
    <d v="2024-08-29T00:00:00"/>
    <s v="CUST-116"/>
    <x v="16"/>
    <x v="1"/>
    <x v="1"/>
    <x v="2"/>
    <x v="9"/>
    <s v="$130.07"/>
    <s v="Thursday"/>
    <x v="10"/>
    <x v="0"/>
    <b v="0"/>
    <b v="1"/>
    <s v="Large Order"/>
    <n v="6.5034999999999998"/>
    <x v="24"/>
    <n v="1430.77"/>
    <m/>
  </r>
  <r>
    <s v="ORD-2841"/>
    <d v="2024-04-23T00:00:00"/>
    <s v="CUST-145"/>
    <x v="24"/>
    <x v="2"/>
    <x v="3"/>
    <x v="1"/>
    <x v="9"/>
    <s v="$10.11"/>
    <s v="Tuesday"/>
    <x v="2"/>
    <x v="0"/>
    <b v="0"/>
    <b v="0"/>
    <s v="Standard order"/>
    <n v="0.50549999999999995"/>
    <x v="12"/>
    <n v="111.21"/>
    <m/>
  </r>
  <r>
    <s v="ORD-2842"/>
    <d v="2024-10-26T00:00:00"/>
    <s v="CUST-137"/>
    <x v="12"/>
    <x v="0"/>
    <x v="2"/>
    <x v="0"/>
    <x v="16"/>
    <s v="$211.9"/>
    <s v="Saturday"/>
    <x v="3"/>
    <x v="0"/>
    <b v="1"/>
    <b v="1"/>
    <s v="Large Order"/>
    <n v="10.595000000000001"/>
    <x v="4"/>
    <n v="4026.1"/>
    <m/>
  </r>
  <r>
    <s v="ORD-2843"/>
    <d v="2024-11-13T00:00:00"/>
    <s v="CUST-109"/>
    <x v="5"/>
    <x v="0"/>
    <x v="1"/>
    <x v="0"/>
    <x v="11"/>
    <s v="$64.61"/>
    <s v="Wednesday"/>
    <x v="0"/>
    <x v="0"/>
    <b v="0"/>
    <b v="1"/>
    <s v="Large Order"/>
    <n v="3.2305000000000001"/>
    <x v="0"/>
    <n v="839.93"/>
    <m/>
  </r>
  <r>
    <s v="ORD-2844"/>
    <d v="2024-07-30T00:00:00"/>
    <s v="CUST-106"/>
    <x v="1"/>
    <x v="0"/>
    <x v="4"/>
    <x v="3"/>
    <x v="3"/>
    <s v="$178.83"/>
    <s v="Tuesday"/>
    <x v="8"/>
    <x v="0"/>
    <b v="0"/>
    <b v="1"/>
    <s v="Large Order"/>
    <n v="8.9415000000000013"/>
    <x v="13"/>
    <n v="2503.6200000000003"/>
    <m/>
  </r>
  <r>
    <s v="ORD-2845"/>
    <d v="2024-08-22T00:00:00"/>
    <s v="CUST-118"/>
    <x v="13"/>
    <x v="2"/>
    <x v="4"/>
    <x v="0"/>
    <x v="17"/>
    <s v="$156.44"/>
    <s v="Thursday"/>
    <x v="10"/>
    <x v="0"/>
    <b v="0"/>
    <b v="1"/>
    <s v="Large Order"/>
    <n v="7.8220000000000001"/>
    <x v="1"/>
    <n v="2503.04"/>
    <m/>
  </r>
  <r>
    <s v="ORD-2846"/>
    <d v="2024-03-31T00:00:00"/>
    <s v="CUST-140"/>
    <x v="2"/>
    <x v="0"/>
    <x v="0"/>
    <x v="1"/>
    <x v="14"/>
    <s v="$88.18"/>
    <s v="Sunday"/>
    <x v="4"/>
    <x v="0"/>
    <b v="1"/>
    <b v="1"/>
    <s v="Large Order"/>
    <n v="4.4090000000000007"/>
    <x v="21"/>
    <n v="793.62000000000012"/>
    <m/>
  </r>
  <r>
    <s v="ORD-2847"/>
    <d v="2024-03-27T00:00:00"/>
    <s v="CUST-173"/>
    <x v="21"/>
    <x v="0"/>
    <x v="2"/>
    <x v="0"/>
    <x v="2"/>
    <s v="$32.94"/>
    <s v="Wednesday"/>
    <x v="4"/>
    <x v="0"/>
    <b v="0"/>
    <b v="0"/>
    <s v="Standard order"/>
    <n v="1.647"/>
    <x v="3"/>
    <n v="164.7"/>
    <m/>
  </r>
  <r>
    <s v="ORD-2848"/>
    <d v="2024-11-20T00:00:00"/>
    <s v="CUST-154"/>
    <x v="4"/>
    <x v="1"/>
    <x v="2"/>
    <x v="1"/>
    <x v="1"/>
    <s v="$230.34"/>
    <s v="Wednesday"/>
    <x v="0"/>
    <x v="0"/>
    <b v="0"/>
    <b v="0"/>
    <s v="Standard order"/>
    <n v="11.517000000000001"/>
    <x v="7"/>
    <n v="230.34"/>
    <m/>
  </r>
  <r>
    <s v="ORD-2849"/>
    <d v="2024-04-12T00:00:00"/>
    <s v="CUST-193"/>
    <x v="8"/>
    <x v="0"/>
    <x v="3"/>
    <x v="4"/>
    <x v="10"/>
    <s v="$208.85"/>
    <s v="Friday"/>
    <x v="2"/>
    <x v="0"/>
    <b v="0"/>
    <b v="1"/>
    <s v="Large Order"/>
    <n v="10.442500000000001"/>
    <x v="16"/>
    <n v="1461.95"/>
    <m/>
  </r>
  <r>
    <s v="ORD-2850"/>
    <d v="2024-01-03T00:00:00"/>
    <s v="CUST-180"/>
    <x v="16"/>
    <x v="0"/>
    <x v="4"/>
    <x v="3"/>
    <x v="8"/>
    <s v="$130.07"/>
    <s v="Wednesday"/>
    <x v="6"/>
    <x v="0"/>
    <b v="0"/>
    <b v="1"/>
    <s v="Large Order"/>
    <n v="6.5034999999999998"/>
    <x v="9"/>
    <n v="1300.6999999999998"/>
    <m/>
  </r>
  <r>
    <s v="ORD-2851"/>
    <d v="2024-07-15T00:00:00"/>
    <s v="CUST-164"/>
    <x v="9"/>
    <x v="1"/>
    <x v="4"/>
    <x v="0"/>
    <x v="4"/>
    <s v="$101.96"/>
    <s v="Monday"/>
    <x v="8"/>
    <x v="0"/>
    <b v="0"/>
    <b v="0"/>
    <s v="Standard order"/>
    <n v="5.0979999999999999"/>
    <x v="16"/>
    <n v="203.92"/>
    <m/>
  </r>
  <r>
    <s v="ORD-2852"/>
    <d v="2024-05-28T00:00:00"/>
    <s v="CUST-158"/>
    <x v="16"/>
    <x v="2"/>
    <x v="1"/>
    <x v="4"/>
    <x v="9"/>
    <s v="$130.07"/>
    <s v="Tuesday"/>
    <x v="7"/>
    <x v="0"/>
    <b v="0"/>
    <b v="1"/>
    <s v="Large Order"/>
    <n v="6.5034999999999998"/>
    <x v="13"/>
    <n v="1430.77"/>
    <m/>
  </r>
  <r>
    <s v="ORD-2853"/>
    <d v="2024-12-17T00:00:00"/>
    <s v="CUST-117"/>
    <x v="13"/>
    <x v="1"/>
    <x v="3"/>
    <x v="2"/>
    <x v="6"/>
    <s v="$156.44"/>
    <s v="Tuesday"/>
    <x v="1"/>
    <x v="0"/>
    <b v="0"/>
    <b v="1"/>
    <s v="Large Order"/>
    <n v="7.8220000000000001"/>
    <x v="24"/>
    <n v="938.64"/>
    <m/>
  </r>
  <r>
    <s v="ORD-2854"/>
    <d v="2024-07-25T00:00:00"/>
    <s v="CUST-102"/>
    <x v="24"/>
    <x v="0"/>
    <x v="4"/>
    <x v="2"/>
    <x v="1"/>
    <s v="$10.11"/>
    <s v="Thursday"/>
    <x v="8"/>
    <x v="0"/>
    <b v="0"/>
    <b v="0"/>
    <s v="Standard order"/>
    <n v="0.50549999999999995"/>
    <x v="7"/>
    <n v="10.11"/>
    <m/>
  </r>
  <r>
    <s v="ORD-2855"/>
    <d v="2024-03-27T00:00:00"/>
    <s v="CUST-115"/>
    <x v="8"/>
    <x v="2"/>
    <x v="0"/>
    <x v="1"/>
    <x v="14"/>
    <s v="$208.85"/>
    <s v="Wednesday"/>
    <x v="4"/>
    <x v="0"/>
    <b v="0"/>
    <b v="1"/>
    <s v="Large Order"/>
    <n v="10.442500000000001"/>
    <x v="20"/>
    <n v="1879.6499999999999"/>
    <m/>
  </r>
  <r>
    <s v="ORD-2856"/>
    <d v="2024-11-15T00:00:00"/>
    <s v="CUST-106"/>
    <x v="20"/>
    <x v="0"/>
    <x v="0"/>
    <x v="0"/>
    <x v="4"/>
    <s v="$81.02"/>
    <s v="Friday"/>
    <x v="0"/>
    <x v="0"/>
    <b v="0"/>
    <b v="0"/>
    <s v="Standard order"/>
    <n v="4.0510000000000002"/>
    <x v="3"/>
    <n v="162.04"/>
    <m/>
  </r>
  <r>
    <s v="ORD-2857"/>
    <d v="2024-08-01T00:00:00"/>
    <s v="CUST-156"/>
    <x v="4"/>
    <x v="0"/>
    <x v="1"/>
    <x v="3"/>
    <x v="17"/>
    <s v="$230.34"/>
    <s v="Thursday"/>
    <x v="10"/>
    <x v="0"/>
    <b v="0"/>
    <b v="1"/>
    <s v="Large Order"/>
    <n v="11.517000000000001"/>
    <x v="5"/>
    <n v="3685.44"/>
    <m/>
  </r>
  <r>
    <s v="ORD-2858"/>
    <d v="2024-04-15T00:00:00"/>
    <s v="CUST-188"/>
    <x v="6"/>
    <x v="2"/>
    <x v="0"/>
    <x v="3"/>
    <x v="3"/>
    <s v="$86.6"/>
    <s v="Monday"/>
    <x v="2"/>
    <x v="0"/>
    <b v="0"/>
    <b v="1"/>
    <s v="Large Order"/>
    <n v="4.33"/>
    <x v="2"/>
    <n v="1212.3999999999999"/>
    <m/>
  </r>
  <r>
    <s v="ORD-2859"/>
    <d v="2024-12-05T00:00:00"/>
    <s v="CUST-166"/>
    <x v="3"/>
    <x v="2"/>
    <x v="1"/>
    <x v="2"/>
    <x v="3"/>
    <s v="$84.57"/>
    <s v="Thursday"/>
    <x v="1"/>
    <x v="0"/>
    <b v="0"/>
    <b v="1"/>
    <s v="Large Order"/>
    <n v="4.2284999999999995"/>
    <x v="16"/>
    <n v="1183.98"/>
    <m/>
  </r>
  <r>
    <s v="ORD-2860"/>
    <d v="2024-02-23T00:00:00"/>
    <s v="CUST-165"/>
    <x v="16"/>
    <x v="2"/>
    <x v="0"/>
    <x v="3"/>
    <x v="0"/>
    <s v="$130.07"/>
    <s v="Friday"/>
    <x v="5"/>
    <x v="0"/>
    <b v="0"/>
    <b v="0"/>
    <s v="Large Order"/>
    <n v="6.5034999999999998"/>
    <x v="20"/>
    <n v="520.28"/>
    <m/>
  </r>
  <r>
    <s v="ORD-2861"/>
    <d v="2024-09-11T00:00:00"/>
    <s v="CUST-125"/>
    <x v="20"/>
    <x v="0"/>
    <x v="3"/>
    <x v="4"/>
    <x v="10"/>
    <s v="$81.02"/>
    <s v="Wednesday"/>
    <x v="11"/>
    <x v="0"/>
    <b v="0"/>
    <b v="0"/>
    <s v="Large Order"/>
    <n v="4.0510000000000002"/>
    <x v="6"/>
    <n v="567.14"/>
    <m/>
  </r>
  <r>
    <s v="ORD-2862"/>
    <d v="2024-07-28T00:00:00"/>
    <s v="CUST-137"/>
    <x v="7"/>
    <x v="0"/>
    <x v="1"/>
    <x v="1"/>
    <x v="10"/>
    <s v="$107.34"/>
    <s v="Sunday"/>
    <x v="8"/>
    <x v="0"/>
    <b v="1"/>
    <b v="1"/>
    <s v="Large Order"/>
    <n v="5.3670000000000009"/>
    <x v="24"/>
    <n v="751.38"/>
    <m/>
  </r>
  <r>
    <s v="ORD-2863"/>
    <d v="2024-09-03T00:00:00"/>
    <s v="CUST-142"/>
    <x v="24"/>
    <x v="0"/>
    <x v="0"/>
    <x v="0"/>
    <x v="0"/>
    <s v="$10.11"/>
    <s v="Tuesday"/>
    <x v="11"/>
    <x v="0"/>
    <b v="0"/>
    <b v="0"/>
    <s v="Standard order"/>
    <n v="0.50549999999999995"/>
    <x v="0"/>
    <n v="40.44"/>
    <m/>
  </r>
  <r>
    <s v="ORD-2864"/>
    <d v="2024-12-08T00:00:00"/>
    <s v="CUST-163"/>
    <x v="1"/>
    <x v="0"/>
    <x v="1"/>
    <x v="0"/>
    <x v="0"/>
    <s v="$178.83"/>
    <s v="Sunday"/>
    <x v="1"/>
    <x v="0"/>
    <b v="1"/>
    <b v="0"/>
    <s v="Large Order"/>
    <n v="8.9415000000000013"/>
    <x v="12"/>
    <n v="715.32"/>
    <m/>
  </r>
  <r>
    <s v="ORD-2865"/>
    <d v="2024-11-25T00:00:00"/>
    <s v="CUST-129"/>
    <x v="12"/>
    <x v="1"/>
    <x v="3"/>
    <x v="1"/>
    <x v="4"/>
    <s v="$211.9"/>
    <s v="Monday"/>
    <x v="0"/>
    <x v="0"/>
    <b v="0"/>
    <b v="0"/>
    <s v="Standard order"/>
    <n v="10.595000000000001"/>
    <x v="14"/>
    <n v="423.8"/>
    <m/>
  </r>
  <r>
    <s v="ORD-2866"/>
    <d v="2024-03-30T00:00:00"/>
    <s v="CUST-105"/>
    <x v="14"/>
    <x v="1"/>
    <x v="3"/>
    <x v="1"/>
    <x v="0"/>
    <s v="$201.32"/>
    <s v="Saturday"/>
    <x v="4"/>
    <x v="0"/>
    <b v="1"/>
    <b v="0"/>
    <s v="Large Order"/>
    <n v="10.066000000000001"/>
    <x v="0"/>
    <n v="805.28"/>
    <m/>
  </r>
  <r>
    <s v="ORD-2867"/>
    <d v="2024-01-24T00:00:00"/>
    <s v="CUST-101"/>
    <x v="1"/>
    <x v="2"/>
    <x v="4"/>
    <x v="3"/>
    <x v="5"/>
    <s v="$178.83"/>
    <s v="Wednesday"/>
    <x v="6"/>
    <x v="0"/>
    <b v="0"/>
    <b v="1"/>
    <s v="Large Order"/>
    <n v="8.9415000000000013"/>
    <x v="16"/>
    <n v="2145.96"/>
    <m/>
  </r>
  <r>
    <s v="ORD-2868"/>
    <d v="2024-11-14T00:00:00"/>
    <s v="CUST-134"/>
    <x v="16"/>
    <x v="0"/>
    <x v="3"/>
    <x v="3"/>
    <x v="6"/>
    <s v="$130.07"/>
    <s v="Thursday"/>
    <x v="0"/>
    <x v="0"/>
    <b v="0"/>
    <b v="1"/>
    <s v="Large Order"/>
    <n v="6.5034999999999998"/>
    <x v="2"/>
    <n v="780.42"/>
    <m/>
  </r>
  <r>
    <s v="ORD-2869"/>
    <d v="2024-07-23T00:00:00"/>
    <s v="CUST-158"/>
    <x v="3"/>
    <x v="1"/>
    <x v="2"/>
    <x v="1"/>
    <x v="6"/>
    <s v="$84.57"/>
    <s v="Tuesday"/>
    <x v="8"/>
    <x v="0"/>
    <b v="0"/>
    <b v="0"/>
    <s v="Large Order"/>
    <n v="4.2284999999999995"/>
    <x v="15"/>
    <n v="507.41999999999996"/>
    <m/>
  </r>
  <r>
    <s v="ORD-2870"/>
    <d v="2024-12-22T00:00:00"/>
    <s v="CUST-192"/>
    <x v="15"/>
    <x v="0"/>
    <x v="0"/>
    <x v="1"/>
    <x v="16"/>
    <s v="$216.22"/>
    <s v="Sunday"/>
    <x v="1"/>
    <x v="0"/>
    <b v="1"/>
    <b v="1"/>
    <s v="Large Order"/>
    <n v="10.811"/>
    <x v="12"/>
    <n v="4108.18"/>
    <m/>
  </r>
  <r>
    <s v="ORD-2871"/>
    <d v="2024-10-18T00:00:00"/>
    <s v="CUST-186"/>
    <x v="12"/>
    <x v="0"/>
    <x v="1"/>
    <x v="1"/>
    <x v="5"/>
    <s v="$211.9"/>
    <s v="Friday"/>
    <x v="3"/>
    <x v="0"/>
    <b v="0"/>
    <b v="1"/>
    <s v="Large Order"/>
    <n v="10.595000000000001"/>
    <x v="0"/>
    <n v="2542.8000000000002"/>
    <m/>
  </r>
  <r>
    <s v="ORD-2872"/>
    <d v="2024-12-16T00:00:00"/>
    <s v="CUST-193"/>
    <x v="1"/>
    <x v="1"/>
    <x v="2"/>
    <x v="0"/>
    <x v="3"/>
    <s v="$178.83"/>
    <s v="Monday"/>
    <x v="1"/>
    <x v="0"/>
    <b v="0"/>
    <b v="1"/>
    <s v="Large Order"/>
    <n v="8.9415000000000013"/>
    <x v="1"/>
    <n v="2503.6200000000003"/>
    <m/>
  </r>
  <r>
    <s v="ORD-2873"/>
    <d v="2024-02-02T00:00:00"/>
    <s v="CUST-133"/>
    <x v="2"/>
    <x v="1"/>
    <x v="0"/>
    <x v="4"/>
    <x v="16"/>
    <s v="$88.18"/>
    <s v="Friday"/>
    <x v="5"/>
    <x v="0"/>
    <b v="0"/>
    <b v="1"/>
    <s v="Large Order"/>
    <n v="4.4090000000000007"/>
    <x v="13"/>
    <n v="1675.42"/>
    <m/>
  </r>
  <r>
    <s v="ORD-2874"/>
    <d v="2024-04-24T00:00:00"/>
    <s v="CUST-185"/>
    <x v="13"/>
    <x v="2"/>
    <x v="1"/>
    <x v="4"/>
    <x v="0"/>
    <s v="$156.44"/>
    <s v="Wednesday"/>
    <x v="2"/>
    <x v="0"/>
    <b v="0"/>
    <b v="0"/>
    <s v="Large Order"/>
    <n v="7.8220000000000001"/>
    <x v="7"/>
    <n v="625.76"/>
    <m/>
  </r>
  <r>
    <s v="ORD-2875"/>
    <d v="2024-05-07T00:00:00"/>
    <s v="CUST-161"/>
    <x v="8"/>
    <x v="2"/>
    <x v="2"/>
    <x v="2"/>
    <x v="15"/>
    <s v="$208.85"/>
    <s v="Tuesday"/>
    <x v="7"/>
    <x v="0"/>
    <b v="0"/>
    <b v="1"/>
    <s v="Large Order"/>
    <n v="10.442500000000001"/>
    <x v="18"/>
    <n v="3759.2999999999997"/>
    <m/>
  </r>
  <r>
    <s v="ORD-2876"/>
    <d v="2024-11-09T00:00:00"/>
    <s v="CUST-106"/>
    <x v="18"/>
    <x v="2"/>
    <x v="4"/>
    <x v="4"/>
    <x v="17"/>
    <s v="$230.68"/>
    <s v="Saturday"/>
    <x v="0"/>
    <x v="0"/>
    <b v="1"/>
    <b v="1"/>
    <s v="Large Order"/>
    <n v="11.534000000000001"/>
    <x v="21"/>
    <n v="3690.88"/>
    <m/>
  </r>
  <r>
    <s v="ORD-2877"/>
    <d v="2024-03-25T00:00:00"/>
    <s v="CUST-109"/>
    <x v="21"/>
    <x v="1"/>
    <x v="3"/>
    <x v="2"/>
    <x v="9"/>
    <s v="$32.94"/>
    <s v="Monday"/>
    <x v="4"/>
    <x v="0"/>
    <b v="0"/>
    <b v="0"/>
    <s v="Standard order"/>
    <n v="1.647"/>
    <x v="24"/>
    <n v="362.34"/>
    <m/>
  </r>
  <r>
    <s v="ORD-2878"/>
    <d v="2024-01-26T00:00:00"/>
    <s v="CUST-164"/>
    <x v="24"/>
    <x v="2"/>
    <x v="2"/>
    <x v="1"/>
    <x v="7"/>
    <s v="$10.11"/>
    <s v="Friday"/>
    <x v="6"/>
    <x v="0"/>
    <b v="0"/>
    <b v="0"/>
    <s v="Standard order"/>
    <n v="0.50549999999999995"/>
    <x v="12"/>
    <n v="80.88"/>
    <m/>
  </r>
  <r>
    <s v="ORD-2879"/>
    <d v="2024-08-15T00:00:00"/>
    <s v="CUST-173"/>
    <x v="12"/>
    <x v="0"/>
    <x v="2"/>
    <x v="1"/>
    <x v="9"/>
    <s v="$211.9"/>
    <s v="Thursday"/>
    <x v="10"/>
    <x v="0"/>
    <b v="0"/>
    <b v="1"/>
    <s v="Large Order"/>
    <n v="10.595000000000001"/>
    <x v="1"/>
    <n v="2330.9"/>
    <m/>
  </r>
  <r>
    <s v="ORD-2880"/>
    <d v="2024-09-11T00:00:00"/>
    <s v="CUST-195"/>
    <x v="2"/>
    <x v="0"/>
    <x v="0"/>
    <x v="1"/>
    <x v="3"/>
    <s v="$88.18"/>
    <s v="Wednesday"/>
    <x v="11"/>
    <x v="0"/>
    <b v="0"/>
    <b v="1"/>
    <s v="Large Order"/>
    <n v="4.4090000000000007"/>
    <x v="8"/>
    <n v="1234.52"/>
    <m/>
  </r>
  <r>
    <s v="ORD-2881"/>
    <d v="2024-10-08T00:00:00"/>
    <s v="CUST-100"/>
    <x v="0"/>
    <x v="2"/>
    <x v="1"/>
    <x v="3"/>
    <x v="18"/>
    <s v="$146.06"/>
    <s v="Tuesday"/>
    <x v="3"/>
    <x v="0"/>
    <b v="0"/>
    <b v="1"/>
    <s v="Large Order"/>
    <n v="7.3030000000000008"/>
    <x v="12"/>
    <n v="2483.02"/>
    <m/>
  </r>
  <r>
    <s v="ORD-2882"/>
    <d v="2024-12-01T00:00:00"/>
    <s v="CUST-185"/>
    <x v="12"/>
    <x v="1"/>
    <x v="3"/>
    <x v="0"/>
    <x v="7"/>
    <s v="$211.9"/>
    <s v="Sunday"/>
    <x v="1"/>
    <x v="0"/>
    <b v="1"/>
    <b v="1"/>
    <s v="Large Order"/>
    <n v="10.595000000000001"/>
    <x v="21"/>
    <n v="1695.2"/>
    <m/>
  </r>
  <r>
    <s v="ORD-2883"/>
    <d v="2024-06-18T00:00:00"/>
    <s v="CUST-171"/>
    <x v="21"/>
    <x v="2"/>
    <x v="1"/>
    <x v="1"/>
    <x v="5"/>
    <s v="$32.94"/>
    <s v="Tuesday"/>
    <x v="9"/>
    <x v="0"/>
    <b v="0"/>
    <b v="0"/>
    <s v="Standard order"/>
    <n v="1.647"/>
    <x v="21"/>
    <n v="395.28"/>
    <m/>
  </r>
  <r>
    <s v="ORD-2884"/>
    <d v="2024-02-28T00:00:00"/>
    <s v="CUST-112"/>
    <x v="21"/>
    <x v="2"/>
    <x v="4"/>
    <x v="0"/>
    <x v="9"/>
    <s v="$32.94"/>
    <s v="Wednesday"/>
    <x v="5"/>
    <x v="0"/>
    <b v="0"/>
    <b v="0"/>
    <s v="Standard order"/>
    <n v="1.647"/>
    <x v="23"/>
    <n v="362.34"/>
    <m/>
  </r>
  <r>
    <s v="ORD-2885"/>
    <d v="2024-11-20T00:00:00"/>
    <s v="CUST-137"/>
    <x v="23"/>
    <x v="2"/>
    <x v="3"/>
    <x v="0"/>
    <x v="4"/>
    <s v="$133.37"/>
    <s v="Wednesday"/>
    <x v="0"/>
    <x v="0"/>
    <b v="0"/>
    <b v="0"/>
    <s v="Standard order"/>
    <n v="6.6685000000000008"/>
    <x v="10"/>
    <n v="266.74"/>
    <m/>
  </r>
  <r>
    <s v="ORD-2886"/>
    <d v="2024-09-09T00:00:00"/>
    <s v="CUST-117"/>
    <x v="10"/>
    <x v="2"/>
    <x v="2"/>
    <x v="0"/>
    <x v="14"/>
    <s v="$46.19"/>
    <s v="Monday"/>
    <x v="11"/>
    <x v="0"/>
    <b v="0"/>
    <b v="0"/>
    <s v="Standard order"/>
    <n v="2.3094999999999999"/>
    <x v="3"/>
    <n v="415.71"/>
    <m/>
  </r>
  <r>
    <s v="ORD-2887"/>
    <d v="2024-04-06T00:00:00"/>
    <s v="CUST-115"/>
    <x v="4"/>
    <x v="0"/>
    <x v="2"/>
    <x v="2"/>
    <x v="9"/>
    <s v="$230.34"/>
    <s v="Saturday"/>
    <x v="2"/>
    <x v="0"/>
    <b v="1"/>
    <b v="1"/>
    <s v="Large Order"/>
    <n v="11.517000000000001"/>
    <x v="1"/>
    <n v="2533.7400000000002"/>
    <m/>
  </r>
  <r>
    <s v="ORD-2888"/>
    <d v="2024-07-31T00:00:00"/>
    <s v="CUST-105"/>
    <x v="2"/>
    <x v="2"/>
    <x v="1"/>
    <x v="0"/>
    <x v="12"/>
    <s v="$88.18"/>
    <s v="Wednesday"/>
    <x v="8"/>
    <x v="0"/>
    <b v="0"/>
    <b v="1"/>
    <s v="Large Order"/>
    <n v="4.4090000000000007"/>
    <x v="0"/>
    <n v="1322.7"/>
    <m/>
  </r>
  <r>
    <s v="ORD-2889"/>
    <d v="2024-10-28T00:00:00"/>
    <s v="CUST-164"/>
    <x v="1"/>
    <x v="1"/>
    <x v="0"/>
    <x v="4"/>
    <x v="4"/>
    <s v="$178.83"/>
    <s v="Monday"/>
    <x v="3"/>
    <x v="0"/>
    <b v="0"/>
    <b v="0"/>
    <s v="Standard order"/>
    <n v="8.9415000000000013"/>
    <x v="4"/>
    <n v="357.66"/>
    <m/>
  </r>
  <r>
    <s v="ORD-2890"/>
    <d v="2024-08-09T00:00:00"/>
    <s v="CUST-174"/>
    <x v="5"/>
    <x v="2"/>
    <x v="4"/>
    <x v="4"/>
    <x v="6"/>
    <s v="$64.61"/>
    <s v="Friday"/>
    <x v="10"/>
    <x v="0"/>
    <b v="0"/>
    <b v="0"/>
    <s v="Standard order"/>
    <n v="3.2305000000000001"/>
    <x v="3"/>
    <n v="387.65999999999997"/>
    <m/>
  </r>
  <r>
    <s v="ORD-2891"/>
    <d v="2024-03-06T00:00:00"/>
    <s v="CUST-113"/>
    <x v="4"/>
    <x v="2"/>
    <x v="1"/>
    <x v="4"/>
    <x v="9"/>
    <s v="$230.34"/>
    <s v="Wednesday"/>
    <x v="4"/>
    <x v="0"/>
    <b v="0"/>
    <b v="1"/>
    <s v="Large Order"/>
    <n v="11.517000000000001"/>
    <x v="20"/>
    <n v="2533.7400000000002"/>
    <m/>
  </r>
  <r>
    <s v="ORD-2892"/>
    <d v="2024-07-15T00:00:00"/>
    <s v="CUST-153"/>
    <x v="20"/>
    <x v="2"/>
    <x v="4"/>
    <x v="3"/>
    <x v="11"/>
    <s v="$81.02"/>
    <s v="Monday"/>
    <x v="8"/>
    <x v="0"/>
    <b v="0"/>
    <b v="1"/>
    <s v="Large Order"/>
    <n v="4.0510000000000002"/>
    <x v="0"/>
    <n v="1053.26"/>
    <m/>
  </r>
  <r>
    <s v="ORD-2893"/>
    <d v="2024-05-30T00:00:00"/>
    <s v="CUST-157"/>
    <x v="1"/>
    <x v="0"/>
    <x v="2"/>
    <x v="4"/>
    <x v="18"/>
    <s v="$178.83"/>
    <s v="Thursday"/>
    <x v="7"/>
    <x v="0"/>
    <b v="0"/>
    <b v="1"/>
    <s v="Large Order"/>
    <n v="8.9415000000000013"/>
    <x v="13"/>
    <n v="3040.11"/>
    <m/>
  </r>
  <r>
    <s v="ORD-2894"/>
    <d v="2024-12-25T00:00:00"/>
    <s v="CUST-170"/>
    <x v="13"/>
    <x v="2"/>
    <x v="1"/>
    <x v="2"/>
    <x v="10"/>
    <s v="$156.44"/>
    <s v="Wednesday"/>
    <x v="1"/>
    <x v="0"/>
    <b v="0"/>
    <b v="1"/>
    <s v="Large Order"/>
    <n v="7.8220000000000001"/>
    <x v="7"/>
    <n v="1095.08"/>
    <m/>
  </r>
  <r>
    <s v="ORD-2895"/>
    <d v="2024-05-28T00:00:00"/>
    <s v="CUST-187"/>
    <x v="8"/>
    <x v="2"/>
    <x v="4"/>
    <x v="2"/>
    <x v="18"/>
    <s v="$208.85"/>
    <s v="Tuesday"/>
    <x v="7"/>
    <x v="0"/>
    <b v="0"/>
    <b v="1"/>
    <s v="Large Order"/>
    <n v="10.442500000000001"/>
    <x v="10"/>
    <n v="3550.45"/>
    <m/>
  </r>
  <r>
    <s v="ORD-2896"/>
    <d v="2024-11-22T00:00:00"/>
    <s v="CUST-141"/>
    <x v="10"/>
    <x v="0"/>
    <x v="3"/>
    <x v="4"/>
    <x v="17"/>
    <s v="$46.19"/>
    <s v="Friday"/>
    <x v="0"/>
    <x v="0"/>
    <b v="0"/>
    <b v="0"/>
    <s v="Large Order"/>
    <n v="2.3094999999999999"/>
    <x v="17"/>
    <n v="739.04"/>
    <m/>
  </r>
  <r>
    <s v="ORD-2897"/>
    <d v="2024-12-07T00:00:00"/>
    <s v="CUST-190"/>
    <x v="17"/>
    <x v="2"/>
    <x v="1"/>
    <x v="3"/>
    <x v="3"/>
    <s v="$26.59"/>
    <s v="Saturday"/>
    <x v="1"/>
    <x v="0"/>
    <b v="1"/>
    <b v="0"/>
    <s v="Standard order"/>
    <n v="1.3295000000000001"/>
    <x v="18"/>
    <n v="372.26"/>
    <m/>
  </r>
  <r>
    <s v="ORD-2898"/>
    <d v="2024-09-24T00:00:00"/>
    <s v="CUST-113"/>
    <x v="18"/>
    <x v="1"/>
    <x v="4"/>
    <x v="0"/>
    <x v="4"/>
    <s v="$230.68"/>
    <s v="Tuesday"/>
    <x v="11"/>
    <x v="0"/>
    <b v="0"/>
    <b v="0"/>
    <s v="Standard order"/>
    <n v="11.534000000000001"/>
    <x v="5"/>
    <n v="461.36"/>
    <m/>
  </r>
  <r>
    <s v="ORD-2899"/>
    <d v="2024-03-23T00:00:00"/>
    <s v="CUST-136"/>
    <x v="6"/>
    <x v="1"/>
    <x v="4"/>
    <x v="0"/>
    <x v="8"/>
    <s v="$86.6"/>
    <s v="Saturday"/>
    <x v="4"/>
    <x v="0"/>
    <b v="1"/>
    <b v="1"/>
    <s v="Large Order"/>
    <n v="4.33"/>
    <x v="7"/>
    <n v="866"/>
    <m/>
  </r>
  <r>
    <s v="ORD-2900"/>
    <d v="2024-10-04T00:00:00"/>
    <s v="CUST-104"/>
    <x v="8"/>
    <x v="1"/>
    <x v="0"/>
    <x v="4"/>
    <x v="15"/>
    <s v="$208.85"/>
    <s v="Friday"/>
    <x v="3"/>
    <x v="0"/>
    <b v="0"/>
    <b v="1"/>
    <s v="Large Order"/>
    <n v="10.442500000000001"/>
    <x v="3"/>
    <n v="3759.2999999999997"/>
    <m/>
  </r>
  <r>
    <s v="ORD-2901"/>
    <d v="2024-11-27T00:00:00"/>
    <s v="CUST-171"/>
    <x v="4"/>
    <x v="0"/>
    <x v="1"/>
    <x v="3"/>
    <x v="4"/>
    <s v="$230.34"/>
    <s v="Wednesday"/>
    <x v="0"/>
    <x v="0"/>
    <b v="0"/>
    <b v="0"/>
    <s v="Standard order"/>
    <n v="11.517000000000001"/>
    <x v="5"/>
    <n v="460.68"/>
    <m/>
  </r>
  <r>
    <s v="ORD-2902"/>
    <d v="2024-07-17T00:00:00"/>
    <s v="CUST-153"/>
    <x v="6"/>
    <x v="1"/>
    <x v="1"/>
    <x v="0"/>
    <x v="1"/>
    <s v="$86.6"/>
    <s v="Wednesday"/>
    <x v="8"/>
    <x v="0"/>
    <b v="0"/>
    <b v="0"/>
    <s v="Standard order"/>
    <n v="4.33"/>
    <x v="21"/>
    <n v="86.6"/>
    <m/>
  </r>
  <r>
    <s v="ORD-2903"/>
    <d v="2024-04-13T00:00:00"/>
    <s v="CUST-179"/>
    <x v="21"/>
    <x v="1"/>
    <x v="4"/>
    <x v="3"/>
    <x v="16"/>
    <s v="$32.94"/>
    <s v="Saturday"/>
    <x v="2"/>
    <x v="0"/>
    <b v="1"/>
    <b v="0"/>
    <s v="Large Order"/>
    <n v="1.647"/>
    <x v="21"/>
    <n v="625.8599999999999"/>
    <m/>
  </r>
  <r>
    <s v="ORD-2904"/>
    <d v="2024-11-04T00:00:00"/>
    <s v="CUST-125"/>
    <x v="21"/>
    <x v="2"/>
    <x v="4"/>
    <x v="3"/>
    <x v="12"/>
    <s v="$32.94"/>
    <s v="Monday"/>
    <x v="0"/>
    <x v="0"/>
    <b v="0"/>
    <b v="0"/>
    <s v="Standard order"/>
    <n v="1.647"/>
    <x v="6"/>
    <n v="494.09999999999997"/>
    <m/>
  </r>
  <r>
    <s v="ORD-2905"/>
    <d v="2024-12-15T00:00:00"/>
    <s v="CUST-109"/>
    <x v="7"/>
    <x v="0"/>
    <x v="1"/>
    <x v="0"/>
    <x v="11"/>
    <s v="$107.34"/>
    <s v="Sunday"/>
    <x v="1"/>
    <x v="0"/>
    <b v="1"/>
    <b v="1"/>
    <s v="Large Order"/>
    <n v="5.3670000000000009"/>
    <x v="2"/>
    <n v="1395.42"/>
    <m/>
  </r>
  <r>
    <s v="ORD-2906"/>
    <d v="2024-05-22T00:00:00"/>
    <s v="CUST-171"/>
    <x v="3"/>
    <x v="0"/>
    <x v="4"/>
    <x v="4"/>
    <x v="14"/>
    <s v="$84.57"/>
    <s v="Wednesday"/>
    <x v="7"/>
    <x v="0"/>
    <b v="0"/>
    <b v="1"/>
    <s v="Large Order"/>
    <n v="4.2284999999999995"/>
    <x v="0"/>
    <n v="761.12999999999988"/>
    <m/>
  </r>
  <r>
    <s v="ORD-2907"/>
    <d v="2024-08-26T00:00:00"/>
    <s v="CUST-190"/>
    <x v="1"/>
    <x v="0"/>
    <x v="4"/>
    <x v="3"/>
    <x v="19"/>
    <s v="$178.83"/>
    <s v="Monday"/>
    <x v="10"/>
    <x v="0"/>
    <b v="0"/>
    <b v="1"/>
    <s v="Large Order"/>
    <n v="8.9415000000000013"/>
    <x v="5"/>
    <n v="3576.6000000000004"/>
    <m/>
  </r>
  <r>
    <s v="ORD-2908"/>
    <d v="2024-11-16T00:00:00"/>
    <s v="CUST-178"/>
    <x v="6"/>
    <x v="1"/>
    <x v="2"/>
    <x v="4"/>
    <x v="15"/>
    <s v="$86.6"/>
    <s v="Saturday"/>
    <x v="0"/>
    <x v="0"/>
    <b v="1"/>
    <b v="1"/>
    <s v="Large Order"/>
    <n v="4.33"/>
    <x v="22"/>
    <n v="1558.8"/>
    <m/>
  </r>
  <r>
    <s v="ORD-2909"/>
    <d v="2024-12-28T00:00:00"/>
    <s v="CUST-140"/>
    <x v="22"/>
    <x v="0"/>
    <x v="4"/>
    <x v="4"/>
    <x v="13"/>
    <s v="$149.27"/>
    <s v="Saturday"/>
    <x v="1"/>
    <x v="0"/>
    <b v="1"/>
    <b v="0"/>
    <s v="Standard order"/>
    <n v="7.4635000000000007"/>
    <x v="23"/>
    <n v="447.81000000000006"/>
    <m/>
  </r>
  <r>
    <s v="ORD-2910"/>
    <d v="2024-03-22T00:00:00"/>
    <s v="CUST-153"/>
    <x v="23"/>
    <x v="2"/>
    <x v="2"/>
    <x v="0"/>
    <x v="5"/>
    <s v="$133.37"/>
    <s v="Friday"/>
    <x v="4"/>
    <x v="0"/>
    <b v="0"/>
    <b v="1"/>
    <s v="Large Order"/>
    <n v="6.6685000000000008"/>
    <x v="13"/>
    <n v="1600.44"/>
    <m/>
  </r>
  <r>
    <s v="ORD-2911"/>
    <d v="2024-04-19T00:00:00"/>
    <s v="CUST-184"/>
    <x v="13"/>
    <x v="1"/>
    <x v="3"/>
    <x v="3"/>
    <x v="10"/>
    <s v="$156.44"/>
    <s v="Friday"/>
    <x v="2"/>
    <x v="0"/>
    <b v="0"/>
    <b v="1"/>
    <s v="Large Order"/>
    <n v="7.8220000000000001"/>
    <x v="4"/>
    <n v="1095.08"/>
    <m/>
  </r>
  <r>
    <s v="ORD-2912"/>
    <d v="2024-11-12T00:00:00"/>
    <s v="CUST-167"/>
    <x v="5"/>
    <x v="2"/>
    <x v="0"/>
    <x v="0"/>
    <x v="5"/>
    <s v="$64.61"/>
    <s v="Tuesday"/>
    <x v="0"/>
    <x v="0"/>
    <b v="0"/>
    <b v="1"/>
    <s v="Large Order"/>
    <n v="3.2305000000000001"/>
    <x v="20"/>
    <n v="775.31999999999994"/>
    <m/>
  </r>
  <r>
    <s v="ORD-2913"/>
    <d v="2024-11-24T00:00:00"/>
    <s v="CUST-178"/>
    <x v="20"/>
    <x v="0"/>
    <x v="0"/>
    <x v="3"/>
    <x v="11"/>
    <s v="$81.02"/>
    <s v="Sunday"/>
    <x v="0"/>
    <x v="0"/>
    <b v="1"/>
    <b v="1"/>
    <s v="Large Order"/>
    <n v="4.0510000000000002"/>
    <x v="2"/>
    <n v="1053.26"/>
    <m/>
  </r>
  <r>
    <s v="ORD-2914"/>
    <d v="2024-02-28T00:00:00"/>
    <s v="CUST-149"/>
    <x v="3"/>
    <x v="2"/>
    <x v="3"/>
    <x v="0"/>
    <x v="18"/>
    <s v="$84.57"/>
    <s v="Wednesday"/>
    <x v="5"/>
    <x v="0"/>
    <b v="0"/>
    <b v="1"/>
    <s v="Large Order"/>
    <n v="4.2284999999999995"/>
    <x v="22"/>
    <n v="1437.6899999999998"/>
    <m/>
  </r>
  <r>
    <s v="ORD-2915"/>
    <d v="2024-07-10T00:00:00"/>
    <s v="CUST-165"/>
    <x v="22"/>
    <x v="1"/>
    <x v="2"/>
    <x v="0"/>
    <x v="8"/>
    <s v="$149.27"/>
    <s v="Wednesday"/>
    <x v="8"/>
    <x v="0"/>
    <b v="0"/>
    <b v="1"/>
    <s v="Large Order"/>
    <n v="7.4635000000000007"/>
    <x v="22"/>
    <n v="1492.7"/>
    <m/>
  </r>
  <r>
    <s v="ORD-2916"/>
    <d v="2024-04-08T00:00:00"/>
    <s v="CUST-141"/>
    <x v="22"/>
    <x v="0"/>
    <x v="0"/>
    <x v="2"/>
    <x v="15"/>
    <s v="$149.27"/>
    <s v="Monday"/>
    <x v="2"/>
    <x v="0"/>
    <b v="0"/>
    <b v="1"/>
    <s v="Large Order"/>
    <n v="7.4635000000000007"/>
    <x v="11"/>
    <n v="2686.86"/>
    <m/>
  </r>
  <r>
    <s v="ORD-2917"/>
    <d v="2024-11-16T00:00:00"/>
    <s v="CUST-108"/>
    <x v="11"/>
    <x v="2"/>
    <x v="4"/>
    <x v="1"/>
    <x v="0"/>
    <s v="$33.22"/>
    <s v="Saturday"/>
    <x v="0"/>
    <x v="0"/>
    <b v="1"/>
    <b v="0"/>
    <s v="Standard order"/>
    <n v="1.661"/>
    <x v="21"/>
    <n v="132.88"/>
    <m/>
  </r>
  <r>
    <s v="ORD-2918"/>
    <d v="2024-12-25T00:00:00"/>
    <s v="CUST-194"/>
    <x v="21"/>
    <x v="1"/>
    <x v="0"/>
    <x v="2"/>
    <x v="1"/>
    <s v="$32.94"/>
    <s v="Wednesday"/>
    <x v="1"/>
    <x v="0"/>
    <b v="0"/>
    <b v="0"/>
    <s v="Standard order"/>
    <n v="1.647"/>
    <x v="8"/>
    <n v="32.94"/>
    <m/>
  </r>
  <r>
    <s v="ORD-2919"/>
    <d v="2024-06-18T00:00:00"/>
    <s v="CUST-104"/>
    <x v="0"/>
    <x v="0"/>
    <x v="0"/>
    <x v="2"/>
    <x v="14"/>
    <s v="$146.06"/>
    <s v="Tuesday"/>
    <x v="9"/>
    <x v="0"/>
    <b v="0"/>
    <b v="1"/>
    <s v="Large Order"/>
    <n v="7.3030000000000008"/>
    <x v="2"/>
    <n v="1314.54"/>
    <m/>
  </r>
  <r>
    <s v="ORD-2920"/>
    <d v="2024-10-21T00:00:00"/>
    <s v="CUST-129"/>
    <x v="3"/>
    <x v="1"/>
    <x v="2"/>
    <x v="1"/>
    <x v="11"/>
    <s v="$84.57"/>
    <s v="Monday"/>
    <x v="3"/>
    <x v="0"/>
    <b v="0"/>
    <b v="1"/>
    <s v="Large Order"/>
    <n v="4.2284999999999995"/>
    <x v="5"/>
    <n v="1099.4099999999999"/>
    <m/>
  </r>
  <r>
    <s v="ORD-2921"/>
    <d v="2024-01-09T00:00:00"/>
    <s v="CUST-149"/>
    <x v="6"/>
    <x v="0"/>
    <x v="1"/>
    <x v="0"/>
    <x v="19"/>
    <s v="$86.6"/>
    <s v="Tuesday"/>
    <x v="6"/>
    <x v="0"/>
    <b v="0"/>
    <b v="1"/>
    <s v="Large Order"/>
    <n v="4.33"/>
    <x v="10"/>
    <n v="1732"/>
    <m/>
  </r>
  <r>
    <s v="ORD-2922"/>
    <d v="2024-10-26T00:00:00"/>
    <s v="CUST-105"/>
    <x v="10"/>
    <x v="0"/>
    <x v="3"/>
    <x v="4"/>
    <x v="0"/>
    <s v="$46.19"/>
    <s v="Saturday"/>
    <x v="3"/>
    <x v="0"/>
    <b v="1"/>
    <b v="0"/>
    <s v="Standard order"/>
    <n v="2.3094999999999999"/>
    <x v="20"/>
    <n v="184.76"/>
    <m/>
  </r>
  <r>
    <s v="ORD-2923"/>
    <d v="2024-12-17T00:00:00"/>
    <s v="CUST-138"/>
    <x v="20"/>
    <x v="0"/>
    <x v="3"/>
    <x v="1"/>
    <x v="11"/>
    <s v="$81.02"/>
    <s v="Tuesday"/>
    <x v="1"/>
    <x v="0"/>
    <b v="0"/>
    <b v="1"/>
    <s v="Large Order"/>
    <n v="4.0510000000000002"/>
    <x v="4"/>
    <n v="1053.26"/>
    <m/>
  </r>
  <r>
    <s v="ORD-2924"/>
    <d v="2024-12-04T00:00:00"/>
    <s v="CUST-103"/>
    <x v="5"/>
    <x v="0"/>
    <x v="1"/>
    <x v="2"/>
    <x v="2"/>
    <s v="$64.61"/>
    <s v="Wednesday"/>
    <x v="1"/>
    <x v="0"/>
    <b v="0"/>
    <b v="0"/>
    <s v="Standard order"/>
    <n v="3.2305000000000001"/>
    <x v="1"/>
    <n v="323.05"/>
    <m/>
  </r>
  <r>
    <s v="ORD-2925"/>
    <d v="2024-10-06T00:00:00"/>
    <s v="CUST-137"/>
    <x v="2"/>
    <x v="0"/>
    <x v="3"/>
    <x v="3"/>
    <x v="1"/>
    <s v="$88.18"/>
    <s v="Sunday"/>
    <x v="3"/>
    <x v="0"/>
    <b v="1"/>
    <b v="0"/>
    <s v="Standard order"/>
    <n v="4.4090000000000007"/>
    <x v="19"/>
    <n v="88.18"/>
    <m/>
  </r>
  <r>
    <s v="ORD-2926"/>
    <d v="2024-10-11T00:00:00"/>
    <s v="CUST-118"/>
    <x v="19"/>
    <x v="0"/>
    <x v="0"/>
    <x v="4"/>
    <x v="19"/>
    <s v="$145.48"/>
    <s v="Friday"/>
    <x v="3"/>
    <x v="0"/>
    <b v="0"/>
    <b v="1"/>
    <s v="Large Order"/>
    <n v="7.274"/>
    <x v="14"/>
    <n v="2909.6"/>
    <m/>
  </r>
  <r>
    <s v="ORD-2927"/>
    <d v="2024-10-07T00:00:00"/>
    <s v="CUST-110"/>
    <x v="14"/>
    <x v="0"/>
    <x v="3"/>
    <x v="2"/>
    <x v="3"/>
    <s v="$201.32"/>
    <s v="Monday"/>
    <x v="3"/>
    <x v="0"/>
    <b v="0"/>
    <b v="1"/>
    <s v="Large Order"/>
    <n v="10.066000000000001"/>
    <x v="6"/>
    <n v="2818.48"/>
    <m/>
  </r>
  <r>
    <s v="ORD-2928"/>
    <d v="2024-09-19T00:00:00"/>
    <s v="CUST-118"/>
    <x v="7"/>
    <x v="0"/>
    <x v="4"/>
    <x v="4"/>
    <x v="14"/>
    <s v="$107.34"/>
    <s v="Thursday"/>
    <x v="11"/>
    <x v="0"/>
    <b v="0"/>
    <b v="1"/>
    <s v="Large Order"/>
    <n v="5.3670000000000009"/>
    <x v="9"/>
    <n v="966.06000000000006"/>
    <m/>
  </r>
  <r>
    <s v="ORD-2929"/>
    <d v="2024-04-02T00:00:00"/>
    <s v="CUST-185"/>
    <x v="9"/>
    <x v="0"/>
    <x v="1"/>
    <x v="1"/>
    <x v="15"/>
    <s v="$101.96"/>
    <s v="Tuesday"/>
    <x v="2"/>
    <x v="0"/>
    <b v="0"/>
    <b v="1"/>
    <s v="Large Order"/>
    <n v="5.0979999999999999"/>
    <x v="2"/>
    <n v="1835.28"/>
    <m/>
  </r>
  <r>
    <s v="ORD-2930"/>
    <d v="2024-12-09T00:00:00"/>
    <s v="CUST-108"/>
    <x v="3"/>
    <x v="0"/>
    <x v="4"/>
    <x v="4"/>
    <x v="17"/>
    <s v="$84.57"/>
    <s v="Monday"/>
    <x v="1"/>
    <x v="0"/>
    <b v="0"/>
    <b v="1"/>
    <s v="Large Order"/>
    <n v="4.2284999999999995"/>
    <x v="5"/>
    <n v="1353.12"/>
    <m/>
  </r>
  <r>
    <s v="ORD-2931"/>
    <d v="2024-07-01T00:00:00"/>
    <s v="CUST-116"/>
    <x v="6"/>
    <x v="2"/>
    <x v="4"/>
    <x v="0"/>
    <x v="8"/>
    <s v="$86.6"/>
    <s v="Monday"/>
    <x v="8"/>
    <x v="0"/>
    <b v="0"/>
    <b v="1"/>
    <s v="Large Order"/>
    <n v="4.33"/>
    <x v="4"/>
    <n v="866"/>
    <m/>
  </r>
  <r>
    <s v="ORD-2932"/>
    <d v="2024-04-09T00:00:00"/>
    <s v="CUST-140"/>
    <x v="5"/>
    <x v="1"/>
    <x v="3"/>
    <x v="4"/>
    <x v="8"/>
    <s v="$64.61"/>
    <s v="Tuesday"/>
    <x v="2"/>
    <x v="0"/>
    <b v="0"/>
    <b v="0"/>
    <s v="Large Order"/>
    <n v="3.2305000000000001"/>
    <x v="9"/>
    <n v="646.1"/>
    <m/>
  </r>
  <r>
    <s v="ORD-2933"/>
    <d v="2024-03-19T00:00:00"/>
    <s v="CUST-172"/>
    <x v="9"/>
    <x v="1"/>
    <x v="3"/>
    <x v="1"/>
    <x v="6"/>
    <s v="$101.96"/>
    <s v="Tuesday"/>
    <x v="4"/>
    <x v="0"/>
    <b v="0"/>
    <b v="0"/>
    <s v="Large Order"/>
    <n v="5.0979999999999999"/>
    <x v="24"/>
    <n v="611.76"/>
    <m/>
  </r>
  <r>
    <s v="ORD-2934"/>
    <d v="2024-05-06T00:00:00"/>
    <s v="CUST-200"/>
    <x v="24"/>
    <x v="2"/>
    <x v="2"/>
    <x v="3"/>
    <x v="5"/>
    <s v="$10.11"/>
    <s v="Monday"/>
    <x v="7"/>
    <x v="0"/>
    <b v="0"/>
    <b v="0"/>
    <s v="Standard order"/>
    <n v="0.50549999999999995"/>
    <x v="12"/>
    <n v="121.32"/>
    <m/>
  </r>
  <r>
    <s v="ORD-2935"/>
    <d v="2024-06-18T00:00:00"/>
    <s v="CUST-161"/>
    <x v="12"/>
    <x v="1"/>
    <x v="3"/>
    <x v="3"/>
    <x v="17"/>
    <s v="$211.9"/>
    <s v="Tuesday"/>
    <x v="9"/>
    <x v="0"/>
    <b v="0"/>
    <b v="1"/>
    <s v="Large Order"/>
    <n v="10.595000000000001"/>
    <x v="20"/>
    <n v="3390.4"/>
    <m/>
  </r>
  <r>
    <s v="ORD-2936"/>
    <d v="2024-03-30T00:00:00"/>
    <s v="CUST-182"/>
    <x v="20"/>
    <x v="0"/>
    <x v="3"/>
    <x v="2"/>
    <x v="15"/>
    <s v="$81.02"/>
    <s v="Saturday"/>
    <x v="4"/>
    <x v="0"/>
    <b v="1"/>
    <b v="1"/>
    <s v="Large Order"/>
    <n v="4.0510000000000002"/>
    <x v="16"/>
    <n v="1458.36"/>
    <m/>
  </r>
  <r>
    <s v="ORD-2937"/>
    <d v="2024-11-16T00:00:00"/>
    <s v="CUST-109"/>
    <x v="16"/>
    <x v="0"/>
    <x v="0"/>
    <x v="4"/>
    <x v="1"/>
    <s v="$130.07"/>
    <s v="Saturday"/>
    <x v="0"/>
    <x v="0"/>
    <b v="1"/>
    <b v="0"/>
    <s v="Standard order"/>
    <n v="6.5034999999999998"/>
    <x v="21"/>
    <n v="130.07"/>
    <m/>
  </r>
  <r>
    <s v="ORD-2938"/>
    <d v="2024-10-23T00:00:00"/>
    <s v="CUST-151"/>
    <x v="21"/>
    <x v="2"/>
    <x v="4"/>
    <x v="0"/>
    <x v="15"/>
    <s v="$32.94"/>
    <s v="Wednesday"/>
    <x v="3"/>
    <x v="0"/>
    <b v="0"/>
    <b v="0"/>
    <s v="Large Order"/>
    <n v="1.647"/>
    <x v="1"/>
    <n v="592.91999999999996"/>
    <m/>
  </r>
  <r>
    <s v="ORD-2939"/>
    <d v="2024-10-03T00:00:00"/>
    <s v="CUST-160"/>
    <x v="2"/>
    <x v="0"/>
    <x v="3"/>
    <x v="1"/>
    <x v="7"/>
    <s v="$88.18"/>
    <s v="Thursday"/>
    <x v="3"/>
    <x v="0"/>
    <b v="0"/>
    <b v="0"/>
    <s v="Large Order"/>
    <n v="4.4090000000000007"/>
    <x v="14"/>
    <n v="705.44"/>
    <m/>
  </r>
  <r>
    <s v="ORD-2940"/>
    <d v="2024-10-28T00:00:00"/>
    <s v="CUST-193"/>
    <x v="14"/>
    <x v="0"/>
    <x v="2"/>
    <x v="4"/>
    <x v="18"/>
    <s v="$201.32"/>
    <s v="Monday"/>
    <x v="3"/>
    <x v="0"/>
    <b v="0"/>
    <b v="1"/>
    <s v="Large Order"/>
    <n v="10.066000000000001"/>
    <x v="18"/>
    <n v="3422.44"/>
    <m/>
  </r>
  <r>
    <s v="ORD-2941"/>
    <d v="2024-07-05T00:00:00"/>
    <s v="CUST-164"/>
    <x v="18"/>
    <x v="2"/>
    <x v="4"/>
    <x v="4"/>
    <x v="6"/>
    <s v="$230.68"/>
    <s v="Friday"/>
    <x v="8"/>
    <x v="0"/>
    <b v="0"/>
    <b v="1"/>
    <s v="Large Order"/>
    <n v="11.534000000000001"/>
    <x v="6"/>
    <n v="1384.08"/>
    <m/>
  </r>
  <r>
    <s v="ORD-2942"/>
    <d v="2024-03-12T00:00:00"/>
    <s v="CUST-157"/>
    <x v="7"/>
    <x v="0"/>
    <x v="1"/>
    <x v="4"/>
    <x v="2"/>
    <s v="$107.34"/>
    <s v="Tuesday"/>
    <x v="4"/>
    <x v="0"/>
    <b v="0"/>
    <b v="0"/>
    <s v="Large Order"/>
    <n v="5.3670000000000009"/>
    <x v="15"/>
    <n v="536.70000000000005"/>
    <m/>
  </r>
  <r>
    <s v="ORD-2943"/>
    <d v="2024-09-04T00:00:00"/>
    <s v="CUST-145"/>
    <x v="15"/>
    <x v="0"/>
    <x v="2"/>
    <x v="2"/>
    <x v="13"/>
    <s v="$216.22"/>
    <s v="Wednesday"/>
    <x v="11"/>
    <x v="0"/>
    <b v="0"/>
    <b v="0"/>
    <s v="Large Order"/>
    <n v="10.811"/>
    <x v="5"/>
    <n v="648.66"/>
    <m/>
  </r>
  <r>
    <s v="ORD-2944"/>
    <d v="2024-04-29T00:00:00"/>
    <s v="CUST-105"/>
    <x v="6"/>
    <x v="0"/>
    <x v="1"/>
    <x v="3"/>
    <x v="11"/>
    <s v="$86.6"/>
    <s v="Monday"/>
    <x v="2"/>
    <x v="0"/>
    <b v="0"/>
    <b v="1"/>
    <s v="Large Order"/>
    <n v="4.33"/>
    <x v="15"/>
    <n v="1125.8"/>
    <m/>
  </r>
  <r>
    <s v="ORD-2945"/>
    <d v="2024-08-20T00:00:00"/>
    <s v="CUST-105"/>
    <x v="15"/>
    <x v="2"/>
    <x v="3"/>
    <x v="0"/>
    <x v="18"/>
    <s v="$216.22"/>
    <s v="Tuesday"/>
    <x v="10"/>
    <x v="0"/>
    <b v="0"/>
    <b v="1"/>
    <s v="Large Order"/>
    <n v="10.811"/>
    <x v="2"/>
    <n v="3675.74"/>
    <m/>
  </r>
  <r>
    <s v="ORD-2946"/>
    <d v="2024-05-20T00:00:00"/>
    <s v="CUST-194"/>
    <x v="3"/>
    <x v="2"/>
    <x v="1"/>
    <x v="4"/>
    <x v="6"/>
    <s v="$84.57"/>
    <s v="Monday"/>
    <x v="7"/>
    <x v="0"/>
    <b v="0"/>
    <b v="0"/>
    <s v="Large Order"/>
    <n v="4.2284999999999995"/>
    <x v="9"/>
    <n v="507.41999999999996"/>
    <m/>
  </r>
  <r>
    <s v="ORD-2947"/>
    <d v="2024-07-12T00:00:00"/>
    <s v="CUST-146"/>
    <x v="9"/>
    <x v="2"/>
    <x v="0"/>
    <x v="4"/>
    <x v="14"/>
    <s v="$101.96"/>
    <s v="Friday"/>
    <x v="8"/>
    <x v="0"/>
    <b v="0"/>
    <b v="1"/>
    <s v="Large Order"/>
    <n v="5.0979999999999999"/>
    <x v="3"/>
    <n v="917.64"/>
    <m/>
  </r>
  <r>
    <s v="ORD-2948"/>
    <d v="2024-04-24T00:00:00"/>
    <s v="CUST-166"/>
    <x v="4"/>
    <x v="1"/>
    <x v="3"/>
    <x v="1"/>
    <x v="17"/>
    <s v="$230.34"/>
    <s v="Wednesday"/>
    <x v="2"/>
    <x v="0"/>
    <b v="0"/>
    <b v="1"/>
    <s v="Large Order"/>
    <n v="11.517000000000001"/>
    <x v="0"/>
    <n v="3685.44"/>
    <m/>
  </r>
  <r>
    <s v="ORD-2949"/>
    <d v="2024-01-04T00:00:00"/>
    <s v="CUST-164"/>
    <x v="1"/>
    <x v="1"/>
    <x v="4"/>
    <x v="2"/>
    <x v="13"/>
    <s v="$178.83"/>
    <s v="Thursday"/>
    <x v="6"/>
    <x v="0"/>
    <b v="0"/>
    <b v="0"/>
    <s v="Large Order"/>
    <n v="8.9415000000000013"/>
    <x v="0"/>
    <n v="536.49"/>
    <m/>
  </r>
  <r>
    <s v="ORD-2950"/>
    <d v="2024-05-23T00:00:00"/>
    <s v="CUST-127"/>
    <x v="1"/>
    <x v="0"/>
    <x v="4"/>
    <x v="3"/>
    <x v="19"/>
    <s v="$178.83"/>
    <s v="Thursday"/>
    <x v="7"/>
    <x v="0"/>
    <b v="0"/>
    <b v="1"/>
    <s v="Large Order"/>
    <n v="8.9415000000000013"/>
    <x v="24"/>
    <n v="3576.6000000000004"/>
    <m/>
  </r>
  <r>
    <s v="ORD-2951"/>
    <d v="2024-03-01T00:00:00"/>
    <s v="CUST-184"/>
    <x v="24"/>
    <x v="1"/>
    <x v="3"/>
    <x v="0"/>
    <x v="17"/>
    <s v="$10.11"/>
    <s v="Friday"/>
    <x v="4"/>
    <x v="0"/>
    <b v="0"/>
    <b v="0"/>
    <s v="Standard order"/>
    <n v="0.50549999999999995"/>
    <x v="9"/>
    <n v="161.76"/>
    <m/>
  </r>
  <r>
    <s v="ORD-2952"/>
    <d v="2024-09-02T00:00:00"/>
    <s v="CUST-126"/>
    <x v="9"/>
    <x v="0"/>
    <x v="2"/>
    <x v="0"/>
    <x v="7"/>
    <s v="$101.96"/>
    <s v="Monday"/>
    <x v="11"/>
    <x v="0"/>
    <b v="0"/>
    <b v="1"/>
    <s v="Large Order"/>
    <n v="5.0979999999999999"/>
    <x v="6"/>
    <n v="815.68"/>
    <m/>
  </r>
  <r>
    <s v="ORD-2953"/>
    <d v="2024-10-20T00:00:00"/>
    <s v="CUST-175"/>
    <x v="7"/>
    <x v="0"/>
    <x v="1"/>
    <x v="0"/>
    <x v="16"/>
    <s v="$107.34"/>
    <s v="Sunday"/>
    <x v="3"/>
    <x v="0"/>
    <b v="1"/>
    <b v="1"/>
    <s v="Large Order"/>
    <n v="5.3670000000000009"/>
    <x v="6"/>
    <n v="2039.46"/>
    <m/>
  </r>
  <r>
    <s v="ORD-2954"/>
    <d v="2024-03-26T00:00:00"/>
    <s v="CUST-133"/>
    <x v="7"/>
    <x v="2"/>
    <x v="2"/>
    <x v="4"/>
    <x v="16"/>
    <s v="$107.34"/>
    <s v="Tuesday"/>
    <x v="4"/>
    <x v="0"/>
    <b v="0"/>
    <b v="1"/>
    <s v="Large Order"/>
    <n v="5.3670000000000009"/>
    <x v="8"/>
    <n v="2039.46"/>
    <m/>
  </r>
  <r>
    <s v="ORD-2955"/>
    <d v="2024-12-04T00:00:00"/>
    <s v="CUST-136"/>
    <x v="0"/>
    <x v="0"/>
    <x v="2"/>
    <x v="4"/>
    <x v="17"/>
    <s v="$146.06"/>
    <s v="Wednesday"/>
    <x v="1"/>
    <x v="0"/>
    <b v="0"/>
    <b v="1"/>
    <s v="Large Order"/>
    <n v="7.3030000000000008"/>
    <x v="17"/>
    <n v="2336.96"/>
    <m/>
  </r>
  <r>
    <s v="ORD-2956"/>
    <d v="2024-03-28T00:00:00"/>
    <s v="CUST-128"/>
    <x v="17"/>
    <x v="2"/>
    <x v="4"/>
    <x v="4"/>
    <x v="6"/>
    <s v="$26.59"/>
    <s v="Thursday"/>
    <x v="4"/>
    <x v="0"/>
    <b v="0"/>
    <b v="0"/>
    <s v="Standard order"/>
    <n v="1.3295000000000001"/>
    <x v="6"/>
    <n v="159.54"/>
    <m/>
  </r>
  <r>
    <s v="ORD-2957"/>
    <d v="2024-09-18T00:00:00"/>
    <s v="CUST-133"/>
    <x v="7"/>
    <x v="2"/>
    <x v="3"/>
    <x v="1"/>
    <x v="19"/>
    <s v="$107.34"/>
    <s v="Wednesday"/>
    <x v="11"/>
    <x v="0"/>
    <b v="0"/>
    <b v="1"/>
    <s v="Large Order"/>
    <n v="5.3670000000000009"/>
    <x v="3"/>
    <n v="2146.8000000000002"/>
    <m/>
  </r>
  <r>
    <s v="ORD-2958"/>
    <d v="2024-04-27T00:00:00"/>
    <s v="CUST-148"/>
    <x v="4"/>
    <x v="0"/>
    <x v="0"/>
    <x v="0"/>
    <x v="10"/>
    <s v="$230.34"/>
    <s v="Saturday"/>
    <x v="2"/>
    <x v="0"/>
    <b v="1"/>
    <b v="1"/>
    <s v="Large Order"/>
    <n v="11.517000000000001"/>
    <x v="17"/>
    <n v="1612.38"/>
    <m/>
  </r>
  <r>
    <s v="ORD-2959"/>
    <d v="2024-09-15T00:00:00"/>
    <s v="CUST-187"/>
    <x v="17"/>
    <x v="0"/>
    <x v="1"/>
    <x v="0"/>
    <x v="6"/>
    <s v="$26.59"/>
    <s v="Sunday"/>
    <x v="11"/>
    <x v="0"/>
    <b v="1"/>
    <b v="0"/>
    <s v="Standard order"/>
    <n v="1.3295000000000001"/>
    <x v="15"/>
    <n v="159.54"/>
    <m/>
  </r>
  <r>
    <s v="ORD-2960"/>
    <d v="2024-11-10T00:00:00"/>
    <s v="CUST-176"/>
    <x v="15"/>
    <x v="2"/>
    <x v="1"/>
    <x v="0"/>
    <x v="13"/>
    <s v="$216.22"/>
    <s v="Sunday"/>
    <x v="0"/>
    <x v="0"/>
    <b v="1"/>
    <b v="0"/>
    <s v="Large Order"/>
    <n v="10.811"/>
    <x v="23"/>
    <n v="648.66"/>
    <m/>
  </r>
  <r>
    <s v="ORD-2961"/>
    <d v="2024-03-07T00:00:00"/>
    <s v="CUST-177"/>
    <x v="23"/>
    <x v="0"/>
    <x v="2"/>
    <x v="4"/>
    <x v="3"/>
    <s v="$133.37"/>
    <s v="Thursday"/>
    <x v="4"/>
    <x v="0"/>
    <b v="0"/>
    <b v="1"/>
    <s v="Large Order"/>
    <n v="6.6685000000000008"/>
    <x v="22"/>
    <n v="1867.18"/>
    <m/>
  </r>
  <r>
    <s v="ORD-2962"/>
    <d v="2024-01-23T00:00:00"/>
    <s v="CUST-189"/>
    <x v="22"/>
    <x v="1"/>
    <x v="4"/>
    <x v="1"/>
    <x v="11"/>
    <s v="$149.27"/>
    <s v="Tuesday"/>
    <x v="6"/>
    <x v="0"/>
    <b v="0"/>
    <b v="1"/>
    <s v="Large Order"/>
    <n v="7.4635000000000007"/>
    <x v="19"/>
    <n v="1940.5100000000002"/>
    <m/>
  </r>
  <r>
    <s v="ORD-2963"/>
    <d v="2024-12-22T00:00:00"/>
    <s v="CUST-173"/>
    <x v="19"/>
    <x v="1"/>
    <x v="4"/>
    <x v="3"/>
    <x v="17"/>
    <s v="$145.48"/>
    <s v="Sunday"/>
    <x v="1"/>
    <x v="0"/>
    <b v="1"/>
    <b v="1"/>
    <s v="Large Order"/>
    <n v="7.274"/>
    <x v="20"/>
    <n v="2327.6799999999998"/>
    <m/>
  </r>
  <r>
    <s v="ORD-2964"/>
    <d v="2024-02-12T00:00:00"/>
    <s v="CUST-136"/>
    <x v="20"/>
    <x v="2"/>
    <x v="2"/>
    <x v="3"/>
    <x v="10"/>
    <s v="$81.02"/>
    <s v="Monday"/>
    <x v="5"/>
    <x v="0"/>
    <b v="0"/>
    <b v="0"/>
    <s v="Large Order"/>
    <n v="4.0510000000000002"/>
    <x v="22"/>
    <n v="567.14"/>
    <m/>
  </r>
  <r>
    <s v="ORD-2965"/>
    <d v="2024-01-04T00:00:00"/>
    <s v="CUST-173"/>
    <x v="22"/>
    <x v="0"/>
    <x v="1"/>
    <x v="0"/>
    <x v="11"/>
    <s v="$149.27"/>
    <s v="Thursday"/>
    <x v="6"/>
    <x v="0"/>
    <b v="0"/>
    <b v="1"/>
    <s v="Large Order"/>
    <n v="7.4635000000000007"/>
    <x v="17"/>
    <n v="1940.5100000000002"/>
    <m/>
  </r>
  <r>
    <s v="ORD-2966"/>
    <d v="2024-12-18T00:00:00"/>
    <s v="CUST-140"/>
    <x v="17"/>
    <x v="1"/>
    <x v="0"/>
    <x v="2"/>
    <x v="3"/>
    <s v="$26.59"/>
    <s v="Wednesday"/>
    <x v="1"/>
    <x v="0"/>
    <b v="0"/>
    <b v="0"/>
    <s v="Standard order"/>
    <n v="1.3295000000000001"/>
    <x v="23"/>
    <n v="372.26"/>
    <m/>
  </r>
  <r>
    <s v="ORD-2967"/>
    <d v="2024-05-09T00:00:00"/>
    <s v="CUST-133"/>
    <x v="23"/>
    <x v="1"/>
    <x v="1"/>
    <x v="3"/>
    <x v="19"/>
    <s v="$133.37"/>
    <s v="Thursday"/>
    <x v="7"/>
    <x v="0"/>
    <b v="0"/>
    <b v="1"/>
    <s v="Large Order"/>
    <n v="6.6685000000000008"/>
    <x v="21"/>
    <n v="2667.4"/>
    <m/>
  </r>
  <r>
    <s v="ORD-2968"/>
    <d v="2024-12-14T00:00:00"/>
    <s v="CUST-150"/>
    <x v="21"/>
    <x v="0"/>
    <x v="2"/>
    <x v="4"/>
    <x v="15"/>
    <s v="$32.94"/>
    <s v="Saturday"/>
    <x v="1"/>
    <x v="0"/>
    <b v="1"/>
    <b v="0"/>
    <s v="Large Order"/>
    <n v="1.647"/>
    <x v="23"/>
    <n v="592.91999999999996"/>
    <m/>
  </r>
  <r>
    <s v="ORD-2969"/>
    <d v="2024-07-08T00:00:00"/>
    <s v="CUST-171"/>
    <x v="23"/>
    <x v="1"/>
    <x v="3"/>
    <x v="3"/>
    <x v="16"/>
    <s v="$133.37"/>
    <s v="Monday"/>
    <x v="8"/>
    <x v="0"/>
    <b v="0"/>
    <b v="1"/>
    <s v="Large Order"/>
    <n v="6.6685000000000008"/>
    <x v="16"/>
    <n v="2534.0300000000002"/>
    <m/>
  </r>
  <r>
    <s v="ORD-2970"/>
    <d v="2024-12-27T00:00:00"/>
    <s v="CUST-150"/>
    <x v="16"/>
    <x v="0"/>
    <x v="0"/>
    <x v="2"/>
    <x v="12"/>
    <s v="$130.07"/>
    <s v="Friday"/>
    <x v="1"/>
    <x v="0"/>
    <b v="0"/>
    <b v="1"/>
    <s v="Large Order"/>
    <n v="6.5034999999999998"/>
    <x v="11"/>
    <n v="1951.05"/>
    <m/>
  </r>
  <r>
    <s v="ORD-2971"/>
    <d v="2024-03-23T00:00:00"/>
    <s v="CUST-112"/>
    <x v="11"/>
    <x v="2"/>
    <x v="2"/>
    <x v="3"/>
    <x v="15"/>
    <s v="$33.22"/>
    <s v="Saturday"/>
    <x v="4"/>
    <x v="0"/>
    <b v="1"/>
    <b v="0"/>
    <s v="Large Order"/>
    <n v="1.661"/>
    <x v="15"/>
    <n v="597.96"/>
    <m/>
  </r>
  <r>
    <s v="ORD-2972"/>
    <d v="2024-12-16T00:00:00"/>
    <s v="CUST-190"/>
    <x v="15"/>
    <x v="0"/>
    <x v="2"/>
    <x v="0"/>
    <x v="13"/>
    <s v="$216.22"/>
    <s v="Monday"/>
    <x v="1"/>
    <x v="0"/>
    <b v="0"/>
    <b v="0"/>
    <s v="Large Order"/>
    <n v="10.811"/>
    <x v="17"/>
    <n v="648.66"/>
    <m/>
  </r>
  <r>
    <s v="ORD-2973"/>
    <d v="2024-08-29T00:00:00"/>
    <s v="CUST-176"/>
    <x v="17"/>
    <x v="0"/>
    <x v="0"/>
    <x v="3"/>
    <x v="7"/>
    <s v="$26.59"/>
    <s v="Thursday"/>
    <x v="10"/>
    <x v="0"/>
    <b v="0"/>
    <b v="0"/>
    <s v="Standard order"/>
    <n v="1.3295000000000001"/>
    <x v="16"/>
    <n v="212.72"/>
    <m/>
  </r>
  <r>
    <s v="ORD-2974"/>
    <d v="2024-11-07T00:00:00"/>
    <s v="CUST-104"/>
    <x v="16"/>
    <x v="1"/>
    <x v="2"/>
    <x v="4"/>
    <x v="18"/>
    <s v="$130.07"/>
    <s v="Thursday"/>
    <x v="0"/>
    <x v="0"/>
    <b v="0"/>
    <b v="1"/>
    <s v="Large Order"/>
    <n v="6.5034999999999998"/>
    <x v="21"/>
    <n v="2211.19"/>
    <m/>
  </r>
  <r>
    <s v="ORD-2975"/>
    <d v="2024-11-01T00:00:00"/>
    <s v="CUST-107"/>
    <x v="21"/>
    <x v="0"/>
    <x v="2"/>
    <x v="1"/>
    <x v="1"/>
    <s v="$32.94"/>
    <s v="Friday"/>
    <x v="0"/>
    <x v="0"/>
    <b v="0"/>
    <b v="0"/>
    <s v="Standard order"/>
    <n v="1.647"/>
    <x v="14"/>
    <n v="32.94"/>
    <m/>
  </r>
  <r>
    <s v="ORD-2976"/>
    <d v="2024-12-02T00:00:00"/>
    <s v="CUST-166"/>
    <x v="14"/>
    <x v="0"/>
    <x v="0"/>
    <x v="4"/>
    <x v="18"/>
    <s v="$201.32"/>
    <s v="Monday"/>
    <x v="1"/>
    <x v="0"/>
    <b v="0"/>
    <b v="1"/>
    <s v="Large Order"/>
    <n v="10.066000000000001"/>
    <x v="6"/>
    <n v="3422.44"/>
    <m/>
  </r>
  <r>
    <s v="ORD-2977"/>
    <d v="2024-04-28T00:00:00"/>
    <s v="CUST-178"/>
    <x v="7"/>
    <x v="2"/>
    <x v="0"/>
    <x v="3"/>
    <x v="7"/>
    <s v="$107.34"/>
    <s v="Sunday"/>
    <x v="2"/>
    <x v="0"/>
    <b v="1"/>
    <b v="1"/>
    <s v="Large Order"/>
    <n v="5.3670000000000009"/>
    <x v="2"/>
    <n v="858.72"/>
    <m/>
  </r>
  <r>
    <s v="ORD-2978"/>
    <d v="2024-03-21T00:00:00"/>
    <s v="CUST-111"/>
    <x v="3"/>
    <x v="1"/>
    <x v="3"/>
    <x v="1"/>
    <x v="11"/>
    <s v="$84.57"/>
    <s v="Thursday"/>
    <x v="4"/>
    <x v="0"/>
    <b v="0"/>
    <b v="1"/>
    <s v="Large Order"/>
    <n v="4.2284999999999995"/>
    <x v="16"/>
    <n v="1099.4099999999999"/>
    <m/>
  </r>
  <r>
    <s v="ORD-2979"/>
    <d v="2024-09-22T00:00:00"/>
    <s v="CUST-101"/>
    <x v="16"/>
    <x v="2"/>
    <x v="0"/>
    <x v="0"/>
    <x v="15"/>
    <s v="$130.07"/>
    <s v="Sunday"/>
    <x v="11"/>
    <x v="0"/>
    <b v="1"/>
    <b v="1"/>
    <s v="Large Order"/>
    <n v="6.5034999999999998"/>
    <x v="7"/>
    <n v="2341.2599999999998"/>
    <m/>
  </r>
  <r>
    <s v="ORD-2980"/>
    <d v="2024-10-13T00:00:00"/>
    <s v="CUST-174"/>
    <x v="8"/>
    <x v="1"/>
    <x v="3"/>
    <x v="2"/>
    <x v="19"/>
    <s v="$208.85"/>
    <s v="Sunday"/>
    <x v="3"/>
    <x v="0"/>
    <b v="1"/>
    <b v="1"/>
    <s v="Large Order"/>
    <n v="10.442500000000001"/>
    <x v="9"/>
    <n v="4177"/>
    <m/>
  </r>
  <r>
    <s v="ORD-2981"/>
    <d v="2024-08-20T00:00:00"/>
    <s v="CUST-151"/>
    <x v="9"/>
    <x v="0"/>
    <x v="3"/>
    <x v="2"/>
    <x v="3"/>
    <s v="$101.96"/>
    <s v="Tuesday"/>
    <x v="10"/>
    <x v="0"/>
    <b v="0"/>
    <b v="1"/>
    <s v="Large Order"/>
    <n v="5.0979999999999999"/>
    <x v="22"/>
    <n v="1427.4399999999998"/>
    <m/>
  </r>
  <r>
    <s v="ORD-2982"/>
    <d v="2024-10-13T00:00:00"/>
    <s v="CUST-109"/>
    <x v="22"/>
    <x v="1"/>
    <x v="3"/>
    <x v="0"/>
    <x v="18"/>
    <s v="$149.27"/>
    <s v="Sunday"/>
    <x v="3"/>
    <x v="0"/>
    <b v="1"/>
    <b v="1"/>
    <s v="Large Order"/>
    <n v="7.4635000000000007"/>
    <x v="2"/>
    <n v="2537.59"/>
    <m/>
  </r>
  <r>
    <s v="ORD-2983"/>
    <d v="2024-10-02T00:00:00"/>
    <s v="CUST-173"/>
    <x v="3"/>
    <x v="2"/>
    <x v="2"/>
    <x v="1"/>
    <x v="16"/>
    <s v="$84.57"/>
    <s v="Wednesday"/>
    <x v="3"/>
    <x v="0"/>
    <b v="0"/>
    <b v="1"/>
    <s v="Large Order"/>
    <n v="4.2284999999999995"/>
    <x v="13"/>
    <n v="1606.83"/>
    <m/>
  </r>
  <r>
    <s v="ORD-2984"/>
    <d v="2024-05-04T00:00:00"/>
    <s v="CUST-196"/>
    <x v="13"/>
    <x v="1"/>
    <x v="2"/>
    <x v="4"/>
    <x v="1"/>
    <s v="$156.44"/>
    <s v="Saturday"/>
    <x v="7"/>
    <x v="0"/>
    <b v="1"/>
    <b v="0"/>
    <s v="Standard order"/>
    <n v="7.8220000000000001"/>
    <x v="3"/>
    <n v="156.44"/>
    <m/>
  </r>
  <r>
    <s v="ORD-2985"/>
    <d v="2024-05-12T00:00:00"/>
    <s v="CUST-108"/>
    <x v="4"/>
    <x v="2"/>
    <x v="4"/>
    <x v="2"/>
    <x v="9"/>
    <s v="$230.34"/>
    <s v="Sunday"/>
    <x v="7"/>
    <x v="0"/>
    <b v="1"/>
    <b v="1"/>
    <s v="Large Order"/>
    <n v="11.517000000000001"/>
    <x v="23"/>
    <n v="2533.7400000000002"/>
    <m/>
  </r>
  <r>
    <s v="ORD-2986"/>
    <d v="2024-06-29T00:00:00"/>
    <s v="CUST-166"/>
    <x v="23"/>
    <x v="0"/>
    <x v="3"/>
    <x v="2"/>
    <x v="8"/>
    <s v="$133.37"/>
    <s v="Saturday"/>
    <x v="9"/>
    <x v="0"/>
    <b v="1"/>
    <b v="1"/>
    <s v="Large Order"/>
    <n v="6.6685000000000008"/>
    <x v="13"/>
    <n v="1333.7"/>
    <m/>
  </r>
  <r>
    <s v="ORD-2987"/>
    <d v="2024-12-10T00:00:00"/>
    <s v="CUST-195"/>
    <x v="13"/>
    <x v="0"/>
    <x v="1"/>
    <x v="2"/>
    <x v="17"/>
    <s v="$156.44"/>
    <s v="Tuesday"/>
    <x v="1"/>
    <x v="0"/>
    <b v="0"/>
    <b v="1"/>
    <s v="Large Order"/>
    <n v="7.8220000000000001"/>
    <x v="2"/>
    <n v="2503.04"/>
    <m/>
  </r>
  <r>
    <s v="ORD-2988"/>
    <d v="2024-04-21T00:00:00"/>
    <s v="CUST-173"/>
    <x v="3"/>
    <x v="0"/>
    <x v="4"/>
    <x v="1"/>
    <x v="10"/>
    <s v="$84.57"/>
    <s v="Sunday"/>
    <x v="2"/>
    <x v="0"/>
    <b v="1"/>
    <b v="0"/>
    <s v="Large Order"/>
    <n v="4.2284999999999995"/>
    <x v="11"/>
    <n v="591.99"/>
    <m/>
  </r>
  <r>
    <s v="ORD-2989"/>
    <d v="2024-05-03T00:00:00"/>
    <s v="CUST-133"/>
    <x v="11"/>
    <x v="0"/>
    <x v="4"/>
    <x v="2"/>
    <x v="19"/>
    <s v="$33.22"/>
    <s v="Friday"/>
    <x v="7"/>
    <x v="0"/>
    <b v="0"/>
    <b v="0"/>
    <s v="Large Order"/>
    <n v="1.661"/>
    <x v="8"/>
    <n v="664.4"/>
    <m/>
  </r>
  <r>
    <s v="ORD-2990"/>
    <d v="2024-02-24T00:00:00"/>
    <s v="CUST-115"/>
    <x v="0"/>
    <x v="2"/>
    <x v="2"/>
    <x v="4"/>
    <x v="1"/>
    <s v="$146.06"/>
    <s v="Saturday"/>
    <x v="5"/>
    <x v="0"/>
    <b v="1"/>
    <b v="0"/>
    <s v="Standard order"/>
    <n v="7.3030000000000008"/>
    <x v="4"/>
    <n v="146.06"/>
    <m/>
  </r>
  <r>
    <s v="ORD-2991"/>
    <d v="2024-10-04T00:00:00"/>
    <s v="CUST-105"/>
    <x v="5"/>
    <x v="1"/>
    <x v="1"/>
    <x v="3"/>
    <x v="17"/>
    <s v="$64.61"/>
    <s v="Friday"/>
    <x v="3"/>
    <x v="0"/>
    <b v="0"/>
    <b v="1"/>
    <s v="Large Order"/>
    <n v="3.2305000000000001"/>
    <x v="4"/>
    <n v="1033.76"/>
    <m/>
  </r>
  <r>
    <s v="ORD-2992"/>
    <d v="2024-10-21T00:00:00"/>
    <s v="CUST-135"/>
    <x v="5"/>
    <x v="0"/>
    <x v="1"/>
    <x v="3"/>
    <x v="11"/>
    <s v="$64.61"/>
    <s v="Monday"/>
    <x v="3"/>
    <x v="0"/>
    <b v="0"/>
    <b v="1"/>
    <s v="Large Order"/>
    <n v="3.2305000000000001"/>
    <x v="15"/>
    <n v="839.93"/>
    <m/>
  </r>
  <r>
    <s v="ORD-2993"/>
    <d v="2024-10-22T00:00:00"/>
    <s v="CUST-116"/>
    <x v="15"/>
    <x v="2"/>
    <x v="2"/>
    <x v="1"/>
    <x v="15"/>
    <s v="$216.22"/>
    <s v="Tuesday"/>
    <x v="3"/>
    <x v="0"/>
    <b v="0"/>
    <b v="1"/>
    <s v="Large Order"/>
    <n v="10.811"/>
    <x v="5"/>
    <n v="3891.96"/>
    <m/>
  </r>
  <r>
    <s v="ORD-2994"/>
    <d v="2024-06-26T00:00:00"/>
    <s v="CUST-150"/>
    <x v="6"/>
    <x v="0"/>
    <x v="2"/>
    <x v="0"/>
    <x v="18"/>
    <s v="$86.6"/>
    <s v="Wednesday"/>
    <x v="9"/>
    <x v="0"/>
    <b v="0"/>
    <b v="1"/>
    <s v="Large Order"/>
    <n v="4.33"/>
    <x v="18"/>
    <n v="1472.1999999999998"/>
    <m/>
  </r>
  <r>
    <s v="ORD-2995"/>
    <d v="2024-12-18T00:00:00"/>
    <s v="CUST-101"/>
    <x v="18"/>
    <x v="2"/>
    <x v="4"/>
    <x v="1"/>
    <x v="16"/>
    <s v="$230.68"/>
    <s v="Wednesday"/>
    <x v="1"/>
    <x v="0"/>
    <b v="0"/>
    <b v="1"/>
    <s v="Large Order"/>
    <n v="11.534000000000001"/>
    <x v="2"/>
    <n v="4382.92"/>
    <m/>
  </r>
  <r>
    <s v="ORD-2996"/>
    <d v="2024-07-04T00:00:00"/>
    <s v="CUST-178"/>
    <x v="3"/>
    <x v="0"/>
    <x v="1"/>
    <x v="3"/>
    <x v="7"/>
    <s v="$84.57"/>
    <s v="Thursday"/>
    <x v="8"/>
    <x v="0"/>
    <b v="0"/>
    <b v="0"/>
    <s v="Large Order"/>
    <n v="4.2284999999999995"/>
    <x v="7"/>
    <n v="676.56"/>
    <m/>
  </r>
  <r>
    <s v="ORD-2997"/>
    <d v="2024-11-09T00:00:00"/>
    <s v="CUST-143"/>
    <x v="8"/>
    <x v="0"/>
    <x v="2"/>
    <x v="1"/>
    <x v="10"/>
    <s v="$208.85"/>
    <s v="Saturday"/>
    <x v="0"/>
    <x v="0"/>
    <b v="1"/>
    <b v="1"/>
    <s v="Large Order"/>
    <n v="10.442500000000001"/>
    <x v="3"/>
    <n v="1461.95"/>
    <m/>
  </r>
  <r>
    <s v="ORD-2998"/>
    <d v="2024-07-09T00:00:00"/>
    <s v="CUST-146"/>
    <x v="4"/>
    <x v="1"/>
    <x v="2"/>
    <x v="2"/>
    <x v="16"/>
    <s v="$230.34"/>
    <s v="Tuesday"/>
    <x v="8"/>
    <x v="0"/>
    <b v="0"/>
    <b v="1"/>
    <s v="Large Order"/>
    <n v="11.517000000000001"/>
    <x v="24"/>
    <n v="4376.46"/>
    <m/>
  </r>
  <r>
    <s v="ORD-2999"/>
    <d v="2024-10-21T00:00:00"/>
    <s v="CUST-187"/>
    <x v="24"/>
    <x v="0"/>
    <x v="3"/>
    <x v="2"/>
    <x v="15"/>
    <s v="$10.11"/>
    <s v="Monday"/>
    <x v="3"/>
    <x v="0"/>
    <b v="0"/>
    <b v="0"/>
    <s v="Standard order"/>
    <n v="0.50549999999999995"/>
    <x v="0"/>
    <n v="181.98"/>
    <m/>
  </r>
  <r>
    <s v="ORD-3000"/>
    <d v="2024-07-14T00:00:00"/>
    <s v="CUST-125"/>
    <x v="1"/>
    <x v="2"/>
    <x v="4"/>
    <x v="1"/>
    <x v="1"/>
    <s v="$178.83"/>
    <s v="Sunday"/>
    <x v="8"/>
    <x v="0"/>
    <b v="1"/>
    <b v="0"/>
    <s v="Standard order"/>
    <n v="8.9415000000000013"/>
    <x v="1"/>
    <n v="178.83"/>
    <m/>
  </r>
  <r>
    <s v="ORD-3001"/>
    <d v="2024-09-12T00:00:00"/>
    <s v="CUST-117"/>
    <x v="2"/>
    <x v="2"/>
    <x v="1"/>
    <x v="3"/>
    <x v="17"/>
    <s v="$88.18"/>
    <s v="Thursday"/>
    <x v="11"/>
    <x v="0"/>
    <b v="0"/>
    <b v="1"/>
    <s v="Large Order"/>
    <n v="4.4090000000000007"/>
    <x v="15"/>
    <n v="1410.88"/>
    <m/>
  </r>
  <r>
    <s v="ORD-3002"/>
    <d v="2024-10-14T00:00:00"/>
    <s v="CUST-172"/>
    <x v="15"/>
    <x v="1"/>
    <x v="0"/>
    <x v="2"/>
    <x v="4"/>
    <s v="$216.22"/>
    <s v="Monday"/>
    <x v="3"/>
    <x v="0"/>
    <b v="0"/>
    <b v="0"/>
    <s v="Standard order"/>
    <n v="10.811"/>
    <x v="1"/>
    <n v="432.44"/>
    <m/>
  </r>
  <r>
    <s v="ORD-3003"/>
    <d v="2024-05-10T00:00:00"/>
    <s v="CUST-160"/>
    <x v="2"/>
    <x v="0"/>
    <x v="2"/>
    <x v="3"/>
    <x v="14"/>
    <s v="$88.18"/>
    <s v="Friday"/>
    <x v="7"/>
    <x v="0"/>
    <b v="0"/>
    <b v="1"/>
    <s v="Large Order"/>
    <n v="4.4090000000000007"/>
    <x v="2"/>
    <n v="793.62000000000012"/>
    <m/>
  </r>
  <r>
    <s v="ORD-3004"/>
    <d v="2024-10-13T00:00:00"/>
    <s v="CUST-171"/>
    <x v="3"/>
    <x v="1"/>
    <x v="0"/>
    <x v="1"/>
    <x v="0"/>
    <s v="$84.57"/>
    <s v="Sunday"/>
    <x v="3"/>
    <x v="0"/>
    <b v="1"/>
    <b v="0"/>
    <s v="Standard order"/>
    <n v="4.2284999999999995"/>
    <x v="11"/>
    <n v="338.28"/>
    <m/>
  </r>
  <r>
    <s v="ORD-3005"/>
    <d v="2024-12-13T00:00:00"/>
    <s v="CUST-177"/>
    <x v="11"/>
    <x v="2"/>
    <x v="1"/>
    <x v="4"/>
    <x v="6"/>
    <s v="$33.22"/>
    <s v="Friday"/>
    <x v="1"/>
    <x v="0"/>
    <b v="0"/>
    <b v="0"/>
    <s v="Standard order"/>
    <n v="1.661"/>
    <x v="13"/>
    <n v="199.32"/>
    <m/>
  </r>
  <r>
    <s v="ORD-3006"/>
    <d v="2024-05-25T00:00:00"/>
    <s v="CUST-145"/>
    <x v="13"/>
    <x v="2"/>
    <x v="1"/>
    <x v="1"/>
    <x v="12"/>
    <s v="$156.44"/>
    <s v="Saturday"/>
    <x v="7"/>
    <x v="0"/>
    <b v="1"/>
    <b v="1"/>
    <s v="Large Order"/>
    <n v="7.8220000000000001"/>
    <x v="14"/>
    <n v="2346.6"/>
    <m/>
  </r>
  <r>
    <s v="ORD-3007"/>
    <d v="2024-07-14T00:00:00"/>
    <s v="CUST-178"/>
    <x v="14"/>
    <x v="1"/>
    <x v="4"/>
    <x v="2"/>
    <x v="9"/>
    <s v="$201.32"/>
    <s v="Sunday"/>
    <x v="8"/>
    <x v="0"/>
    <b v="1"/>
    <b v="1"/>
    <s v="Large Order"/>
    <n v="10.066000000000001"/>
    <x v="3"/>
    <n v="2214.52"/>
    <m/>
  </r>
  <r>
    <s v="ORD-3008"/>
    <d v="2024-11-09T00:00:00"/>
    <s v="CUST-173"/>
    <x v="4"/>
    <x v="0"/>
    <x v="0"/>
    <x v="2"/>
    <x v="9"/>
    <s v="$230.34"/>
    <s v="Saturday"/>
    <x v="0"/>
    <x v="0"/>
    <b v="1"/>
    <b v="1"/>
    <s v="Large Order"/>
    <n v="11.517000000000001"/>
    <x v="14"/>
    <n v="2533.7400000000002"/>
    <m/>
  </r>
  <r>
    <s v="ORD-3009"/>
    <d v="2024-06-11T00:00:00"/>
    <s v="CUST-183"/>
    <x v="14"/>
    <x v="2"/>
    <x v="3"/>
    <x v="4"/>
    <x v="11"/>
    <s v="$201.32"/>
    <s v="Tuesday"/>
    <x v="9"/>
    <x v="0"/>
    <b v="0"/>
    <b v="1"/>
    <s v="Large Order"/>
    <n v="10.066000000000001"/>
    <x v="7"/>
    <n v="2617.16"/>
    <m/>
  </r>
  <r>
    <s v="ORD-3010"/>
    <d v="2024-08-15T00:00:00"/>
    <s v="CUST-199"/>
    <x v="8"/>
    <x v="2"/>
    <x v="1"/>
    <x v="4"/>
    <x v="12"/>
    <s v="$208.85"/>
    <s v="Thursday"/>
    <x v="10"/>
    <x v="0"/>
    <b v="0"/>
    <b v="1"/>
    <s v="Large Order"/>
    <n v="10.442500000000001"/>
    <x v="0"/>
    <n v="3132.75"/>
    <m/>
  </r>
  <r>
    <s v="ORD-3011"/>
    <d v="2024-04-04T00:00:00"/>
    <s v="CUST-102"/>
    <x v="1"/>
    <x v="2"/>
    <x v="4"/>
    <x v="3"/>
    <x v="13"/>
    <s v="$178.83"/>
    <s v="Thursday"/>
    <x v="2"/>
    <x v="0"/>
    <b v="0"/>
    <b v="0"/>
    <s v="Large Order"/>
    <n v="8.9415000000000013"/>
    <x v="19"/>
    <n v="536.49"/>
    <m/>
  </r>
  <r>
    <s v="ORD-3012"/>
    <d v="2024-07-22T00:00:00"/>
    <s v="CUST-113"/>
    <x v="19"/>
    <x v="0"/>
    <x v="2"/>
    <x v="4"/>
    <x v="4"/>
    <s v="$145.48"/>
    <s v="Monday"/>
    <x v="8"/>
    <x v="0"/>
    <b v="0"/>
    <b v="0"/>
    <s v="Standard order"/>
    <n v="7.274"/>
    <x v="21"/>
    <n v="290.95999999999998"/>
    <m/>
  </r>
  <r>
    <s v="ORD-3013"/>
    <d v="2024-07-22T00:00:00"/>
    <s v="CUST-167"/>
    <x v="21"/>
    <x v="0"/>
    <x v="0"/>
    <x v="3"/>
    <x v="19"/>
    <s v="$32.94"/>
    <s v="Monday"/>
    <x v="8"/>
    <x v="0"/>
    <b v="0"/>
    <b v="0"/>
    <s v="Large Order"/>
    <n v="1.647"/>
    <x v="14"/>
    <n v="658.8"/>
    <m/>
  </r>
  <r>
    <s v="ORD-3014"/>
    <d v="2024-12-01T00:00:00"/>
    <s v="CUST-149"/>
    <x v="14"/>
    <x v="0"/>
    <x v="4"/>
    <x v="3"/>
    <x v="12"/>
    <s v="$201.32"/>
    <s v="Sunday"/>
    <x v="1"/>
    <x v="0"/>
    <b v="1"/>
    <b v="1"/>
    <s v="Large Order"/>
    <n v="10.066000000000001"/>
    <x v="6"/>
    <n v="3019.7999999999997"/>
    <m/>
  </r>
  <r>
    <s v="ORD-3015"/>
    <d v="2024-03-08T00:00:00"/>
    <s v="CUST-167"/>
    <x v="7"/>
    <x v="0"/>
    <x v="0"/>
    <x v="3"/>
    <x v="9"/>
    <s v="$107.34"/>
    <s v="Friday"/>
    <x v="4"/>
    <x v="0"/>
    <b v="0"/>
    <b v="1"/>
    <s v="Large Order"/>
    <n v="5.3670000000000009"/>
    <x v="2"/>
    <n v="1180.74"/>
    <m/>
  </r>
  <r>
    <s v="ORD-3016"/>
    <d v="2024-08-27T00:00:00"/>
    <s v="CUST-169"/>
    <x v="3"/>
    <x v="2"/>
    <x v="2"/>
    <x v="2"/>
    <x v="15"/>
    <s v="$84.57"/>
    <s v="Tuesday"/>
    <x v="10"/>
    <x v="0"/>
    <b v="0"/>
    <b v="1"/>
    <s v="Large Order"/>
    <n v="4.2284999999999995"/>
    <x v="1"/>
    <n v="1522.2599999999998"/>
    <m/>
  </r>
  <r>
    <s v="ORD-3017"/>
    <d v="2024-11-01T00:00:00"/>
    <s v="CUST-158"/>
    <x v="2"/>
    <x v="2"/>
    <x v="1"/>
    <x v="1"/>
    <x v="18"/>
    <s v="$88.18"/>
    <s v="Friday"/>
    <x v="0"/>
    <x v="0"/>
    <b v="0"/>
    <b v="1"/>
    <s v="Large Order"/>
    <n v="4.4090000000000007"/>
    <x v="7"/>
    <n v="1499.0600000000002"/>
    <m/>
  </r>
  <r>
    <s v="ORD-3018"/>
    <d v="2024-09-30T00:00:00"/>
    <s v="CUST-139"/>
    <x v="8"/>
    <x v="1"/>
    <x v="1"/>
    <x v="2"/>
    <x v="13"/>
    <s v="$208.85"/>
    <s v="Monday"/>
    <x v="11"/>
    <x v="0"/>
    <b v="0"/>
    <b v="0"/>
    <s v="Large Order"/>
    <n v="10.442500000000001"/>
    <x v="2"/>
    <n v="626.54999999999995"/>
    <m/>
  </r>
  <r>
    <s v="ORD-3019"/>
    <d v="2024-07-06T00:00:00"/>
    <s v="CUST-152"/>
    <x v="3"/>
    <x v="0"/>
    <x v="3"/>
    <x v="0"/>
    <x v="1"/>
    <s v="$84.57"/>
    <s v="Saturday"/>
    <x v="8"/>
    <x v="0"/>
    <b v="1"/>
    <b v="0"/>
    <s v="Standard order"/>
    <n v="4.2284999999999995"/>
    <x v="14"/>
    <n v="84.57"/>
    <m/>
  </r>
  <r>
    <s v="ORD-3020"/>
    <d v="2024-03-10T00:00:00"/>
    <s v="CUST-144"/>
    <x v="14"/>
    <x v="1"/>
    <x v="1"/>
    <x v="0"/>
    <x v="17"/>
    <s v="$201.32"/>
    <s v="Sunday"/>
    <x v="4"/>
    <x v="0"/>
    <b v="1"/>
    <b v="1"/>
    <s v="Large Order"/>
    <n v="10.066000000000001"/>
    <x v="18"/>
    <n v="3221.12"/>
    <m/>
  </r>
  <r>
    <s v="ORD-3021"/>
    <d v="2024-09-01T00:00:00"/>
    <s v="CUST-138"/>
    <x v="18"/>
    <x v="1"/>
    <x v="3"/>
    <x v="4"/>
    <x v="7"/>
    <s v="$230.68"/>
    <s v="Sunday"/>
    <x v="11"/>
    <x v="0"/>
    <b v="1"/>
    <b v="1"/>
    <s v="Large Order"/>
    <n v="11.534000000000001"/>
    <x v="11"/>
    <n v="1845.44"/>
    <m/>
  </r>
  <r>
    <s v="ORD-3022"/>
    <d v="2024-10-07T00:00:00"/>
    <s v="CUST-147"/>
    <x v="11"/>
    <x v="1"/>
    <x v="1"/>
    <x v="1"/>
    <x v="11"/>
    <s v="$33.22"/>
    <s v="Monday"/>
    <x v="3"/>
    <x v="0"/>
    <b v="0"/>
    <b v="0"/>
    <s v="Standard order"/>
    <n v="1.661"/>
    <x v="3"/>
    <n v="431.86"/>
    <m/>
  </r>
  <r>
    <s v="ORD-3023"/>
    <d v="2024-11-26T00:00:00"/>
    <s v="CUST-149"/>
    <x v="4"/>
    <x v="0"/>
    <x v="3"/>
    <x v="0"/>
    <x v="3"/>
    <s v="$230.34"/>
    <s v="Tuesday"/>
    <x v="0"/>
    <x v="0"/>
    <b v="0"/>
    <b v="1"/>
    <s v="Large Order"/>
    <n v="11.517000000000001"/>
    <x v="20"/>
    <n v="3224.76"/>
    <m/>
  </r>
  <r>
    <s v="ORD-3024"/>
    <d v="2024-09-21T00:00:00"/>
    <s v="CUST-197"/>
    <x v="20"/>
    <x v="2"/>
    <x v="3"/>
    <x v="3"/>
    <x v="15"/>
    <s v="$81.02"/>
    <s v="Saturday"/>
    <x v="11"/>
    <x v="0"/>
    <b v="1"/>
    <b v="1"/>
    <s v="Large Order"/>
    <n v="4.0510000000000002"/>
    <x v="8"/>
    <n v="1458.36"/>
    <m/>
  </r>
  <r>
    <s v="ORD-3025"/>
    <d v="2024-07-30T00:00:00"/>
    <s v="CUST-124"/>
    <x v="0"/>
    <x v="0"/>
    <x v="4"/>
    <x v="3"/>
    <x v="0"/>
    <s v="$146.06"/>
    <s v="Tuesday"/>
    <x v="8"/>
    <x v="0"/>
    <b v="0"/>
    <b v="0"/>
    <s v="Large Order"/>
    <n v="7.3030000000000008"/>
    <x v="2"/>
    <n v="584.24"/>
    <m/>
  </r>
  <r>
    <s v="ORD-3026"/>
    <d v="2024-11-12T00:00:00"/>
    <s v="CUST-157"/>
    <x v="3"/>
    <x v="2"/>
    <x v="1"/>
    <x v="1"/>
    <x v="10"/>
    <s v="$84.57"/>
    <s v="Tuesday"/>
    <x v="0"/>
    <x v="0"/>
    <b v="0"/>
    <b v="0"/>
    <s v="Large Order"/>
    <n v="4.2284999999999995"/>
    <x v="23"/>
    <n v="591.99"/>
    <m/>
  </r>
  <r>
    <s v="ORD-3027"/>
    <d v="2024-03-18T00:00:00"/>
    <s v="CUST-106"/>
    <x v="23"/>
    <x v="0"/>
    <x v="4"/>
    <x v="0"/>
    <x v="8"/>
    <s v="$133.37"/>
    <s v="Monday"/>
    <x v="4"/>
    <x v="0"/>
    <b v="0"/>
    <b v="1"/>
    <s v="Large Order"/>
    <n v="6.6685000000000008"/>
    <x v="18"/>
    <n v="1333.7"/>
    <m/>
  </r>
  <r>
    <s v="ORD-3028"/>
    <d v="2024-08-12T00:00:00"/>
    <s v="CUST-193"/>
    <x v="18"/>
    <x v="0"/>
    <x v="0"/>
    <x v="2"/>
    <x v="1"/>
    <s v="$230.68"/>
    <s v="Monday"/>
    <x v="10"/>
    <x v="0"/>
    <b v="0"/>
    <b v="0"/>
    <s v="Standard order"/>
    <n v="11.534000000000001"/>
    <x v="14"/>
    <n v="230.68"/>
    <m/>
  </r>
  <r>
    <s v="ORD-3029"/>
    <d v="2024-06-24T00:00:00"/>
    <s v="CUST-153"/>
    <x v="14"/>
    <x v="1"/>
    <x v="3"/>
    <x v="1"/>
    <x v="4"/>
    <s v="$201.32"/>
    <s v="Monday"/>
    <x v="9"/>
    <x v="0"/>
    <b v="0"/>
    <b v="0"/>
    <s v="Standard order"/>
    <n v="10.066000000000001"/>
    <x v="2"/>
    <n v="402.64"/>
    <m/>
  </r>
  <r>
    <s v="ORD-3030"/>
    <d v="2024-03-15T00:00:00"/>
    <s v="CUST-107"/>
    <x v="3"/>
    <x v="1"/>
    <x v="0"/>
    <x v="4"/>
    <x v="17"/>
    <s v="$84.57"/>
    <s v="Friday"/>
    <x v="4"/>
    <x v="0"/>
    <b v="0"/>
    <b v="1"/>
    <s v="Large Order"/>
    <n v="4.2284999999999995"/>
    <x v="18"/>
    <n v="1353.12"/>
    <m/>
  </r>
  <r>
    <s v="ORD-3031"/>
    <d v="2024-05-08T00:00:00"/>
    <s v="CUST-148"/>
    <x v="18"/>
    <x v="0"/>
    <x v="4"/>
    <x v="1"/>
    <x v="12"/>
    <s v="$230.68"/>
    <s v="Wednesday"/>
    <x v="7"/>
    <x v="0"/>
    <b v="0"/>
    <b v="1"/>
    <s v="Large Order"/>
    <n v="11.534000000000001"/>
    <x v="12"/>
    <n v="3460.2000000000003"/>
    <m/>
  </r>
  <r>
    <s v="ORD-3032"/>
    <d v="2024-01-18T00:00:00"/>
    <s v="CUST-125"/>
    <x v="12"/>
    <x v="2"/>
    <x v="0"/>
    <x v="4"/>
    <x v="10"/>
    <s v="$211.9"/>
    <s v="Thursday"/>
    <x v="6"/>
    <x v="0"/>
    <b v="0"/>
    <b v="1"/>
    <s v="Large Order"/>
    <n v="10.595000000000001"/>
    <x v="13"/>
    <n v="1483.3"/>
    <m/>
  </r>
  <r>
    <s v="ORD-3033"/>
    <d v="2024-12-14T00:00:00"/>
    <s v="CUST-139"/>
    <x v="13"/>
    <x v="0"/>
    <x v="0"/>
    <x v="4"/>
    <x v="18"/>
    <s v="$156.44"/>
    <s v="Saturday"/>
    <x v="1"/>
    <x v="0"/>
    <b v="1"/>
    <b v="1"/>
    <s v="Large Order"/>
    <n v="7.8220000000000001"/>
    <x v="14"/>
    <n v="2659.48"/>
    <m/>
  </r>
  <r>
    <s v="ORD-3034"/>
    <d v="2024-09-03T00:00:00"/>
    <s v="CUST-181"/>
    <x v="14"/>
    <x v="0"/>
    <x v="3"/>
    <x v="0"/>
    <x v="10"/>
    <s v="$201.32"/>
    <s v="Tuesday"/>
    <x v="11"/>
    <x v="0"/>
    <b v="0"/>
    <b v="1"/>
    <s v="Large Order"/>
    <n v="10.066000000000001"/>
    <x v="17"/>
    <n v="1409.24"/>
    <m/>
  </r>
  <r>
    <s v="ORD-3035"/>
    <d v="2024-04-30T00:00:00"/>
    <s v="CUST-181"/>
    <x v="17"/>
    <x v="1"/>
    <x v="0"/>
    <x v="2"/>
    <x v="14"/>
    <s v="$26.59"/>
    <s v="Tuesday"/>
    <x v="2"/>
    <x v="0"/>
    <b v="0"/>
    <b v="0"/>
    <s v="Standard order"/>
    <n v="1.3295000000000001"/>
    <x v="18"/>
    <n v="239.31"/>
    <m/>
  </r>
  <r>
    <s v="ORD-3036"/>
    <d v="2024-07-21T00:00:00"/>
    <s v="CUST-131"/>
    <x v="18"/>
    <x v="0"/>
    <x v="1"/>
    <x v="1"/>
    <x v="19"/>
    <s v="$230.68"/>
    <s v="Sunday"/>
    <x v="8"/>
    <x v="0"/>
    <b v="1"/>
    <b v="1"/>
    <s v="Large Order"/>
    <n v="11.534000000000001"/>
    <x v="6"/>
    <n v="4613.6000000000004"/>
    <m/>
  </r>
  <r>
    <s v="ORD-3037"/>
    <d v="2024-02-15T00:00:00"/>
    <s v="CUST-131"/>
    <x v="7"/>
    <x v="1"/>
    <x v="0"/>
    <x v="4"/>
    <x v="9"/>
    <s v="$107.34"/>
    <s v="Thursday"/>
    <x v="5"/>
    <x v="0"/>
    <b v="0"/>
    <b v="1"/>
    <s v="Large Order"/>
    <n v="5.3670000000000009"/>
    <x v="15"/>
    <n v="1180.74"/>
    <m/>
  </r>
  <r>
    <s v="ORD-3038"/>
    <d v="2024-11-16T00:00:00"/>
    <s v="CUST-107"/>
    <x v="15"/>
    <x v="1"/>
    <x v="4"/>
    <x v="4"/>
    <x v="0"/>
    <s v="$216.22"/>
    <s v="Saturday"/>
    <x v="0"/>
    <x v="0"/>
    <b v="1"/>
    <b v="0"/>
    <s v="Large Order"/>
    <n v="10.811"/>
    <x v="23"/>
    <n v="864.88"/>
    <m/>
  </r>
  <r>
    <s v="ORD-3039"/>
    <d v="2024-04-29T00:00:00"/>
    <s v="CUST-140"/>
    <x v="23"/>
    <x v="2"/>
    <x v="3"/>
    <x v="1"/>
    <x v="10"/>
    <s v="$133.37"/>
    <s v="Monday"/>
    <x v="2"/>
    <x v="0"/>
    <b v="0"/>
    <b v="1"/>
    <s v="Large Order"/>
    <n v="6.6685000000000008"/>
    <x v="16"/>
    <n v="933.59"/>
    <m/>
  </r>
  <r>
    <s v="ORD-3040"/>
    <d v="2024-07-12T00:00:00"/>
    <s v="CUST-145"/>
    <x v="16"/>
    <x v="0"/>
    <x v="3"/>
    <x v="0"/>
    <x v="17"/>
    <s v="$130.07"/>
    <s v="Friday"/>
    <x v="8"/>
    <x v="0"/>
    <b v="0"/>
    <b v="1"/>
    <s v="Large Order"/>
    <n v="6.5034999999999998"/>
    <x v="23"/>
    <n v="2081.12"/>
    <m/>
  </r>
  <r>
    <s v="ORD-3041"/>
    <d v="2024-10-13T00:00:00"/>
    <s v="CUST-137"/>
    <x v="23"/>
    <x v="2"/>
    <x v="2"/>
    <x v="2"/>
    <x v="16"/>
    <s v="$133.37"/>
    <s v="Sunday"/>
    <x v="3"/>
    <x v="0"/>
    <b v="1"/>
    <b v="1"/>
    <s v="Large Order"/>
    <n v="6.6685000000000008"/>
    <x v="16"/>
    <n v="2534.0300000000002"/>
    <m/>
  </r>
  <r>
    <s v="ORD-3042"/>
    <d v="2024-06-27T00:00:00"/>
    <s v="CUST-141"/>
    <x v="16"/>
    <x v="1"/>
    <x v="3"/>
    <x v="4"/>
    <x v="15"/>
    <s v="$130.07"/>
    <s v="Thursday"/>
    <x v="9"/>
    <x v="0"/>
    <b v="0"/>
    <b v="1"/>
    <s v="Large Order"/>
    <n v="6.5034999999999998"/>
    <x v="12"/>
    <n v="2341.2599999999998"/>
    <m/>
  </r>
  <r>
    <s v="ORD-3043"/>
    <d v="2024-09-28T00:00:00"/>
    <s v="CUST-119"/>
    <x v="12"/>
    <x v="1"/>
    <x v="3"/>
    <x v="4"/>
    <x v="5"/>
    <s v="$211.9"/>
    <s v="Saturday"/>
    <x v="11"/>
    <x v="0"/>
    <b v="1"/>
    <b v="1"/>
    <s v="Large Order"/>
    <n v="10.595000000000001"/>
    <x v="3"/>
    <n v="2542.8000000000002"/>
    <m/>
  </r>
  <r>
    <s v="ORD-3044"/>
    <d v="2024-11-22T00:00:00"/>
    <s v="CUST-164"/>
    <x v="4"/>
    <x v="2"/>
    <x v="4"/>
    <x v="0"/>
    <x v="19"/>
    <s v="$230.34"/>
    <s v="Friday"/>
    <x v="0"/>
    <x v="0"/>
    <b v="0"/>
    <b v="1"/>
    <s v="Large Order"/>
    <n v="11.517000000000001"/>
    <x v="13"/>
    <n v="4606.8"/>
    <m/>
  </r>
  <r>
    <s v="ORD-3045"/>
    <d v="2024-11-13T00:00:00"/>
    <s v="CUST-130"/>
    <x v="13"/>
    <x v="2"/>
    <x v="0"/>
    <x v="4"/>
    <x v="11"/>
    <s v="$156.44"/>
    <s v="Wednesday"/>
    <x v="0"/>
    <x v="0"/>
    <b v="0"/>
    <b v="1"/>
    <s v="Large Order"/>
    <n v="7.8220000000000001"/>
    <x v="21"/>
    <n v="2033.72"/>
    <m/>
  </r>
  <r>
    <s v="ORD-3046"/>
    <d v="2024-12-15T00:00:00"/>
    <s v="CUST-163"/>
    <x v="21"/>
    <x v="2"/>
    <x v="4"/>
    <x v="4"/>
    <x v="8"/>
    <s v="$32.94"/>
    <s v="Sunday"/>
    <x v="1"/>
    <x v="0"/>
    <b v="1"/>
    <b v="0"/>
    <s v="Standard order"/>
    <n v="1.647"/>
    <x v="19"/>
    <n v="329.4"/>
    <m/>
  </r>
  <r>
    <s v="ORD-3047"/>
    <d v="2024-11-24T00:00:00"/>
    <s v="CUST-141"/>
    <x v="19"/>
    <x v="0"/>
    <x v="1"/>
    <x v="0"/>
    <x v="4"/>
    <s v="$145.48"/>
    <s v="Sunday"/>
    <x v="0"/>
    <x v="0"/>
    <b v="1"/>
    <b v="0"/>
    <s v="Standard order"/>
    <n v="7.274"/>
    <x v="15"/>
    <n v="290.95999999999998"/>
    <m/>
  </r>
  <r>
    <s v="ORD-3048"/>
    <d v="2024-03-07T00:00:00"/>
    <s v="CUST-122"/>
    <x v="15"/>
    <x v="0"/>
    <x v="0"/>
    <x v="1"/>
    <x v="10"/>
    <s v="$216.22"/>
    <s v="Thursday"/>
    <x v="4"/>
    <x v="0"/>
    <b v="0"/>
    <b v="1"/>
    <s v="Large Order"/>
    <n v="10.811"/>
    <x v="3"/>
    <n v="1513.54"/>
    <m/>
  </r>
  <r>
    <s v="ORD-3049"/>
    <d v="2024-10-19T00:00:00"/>
    <s v="CUST-182"/>
    <x v="4"/>
    <x v="2"/>
    <x v="2"/>
    <x v="4"/>
    <x v="19"/>
    <s v="$230.34"/>
    <s v="Saturday"/>
    <x v="3"/>
    <x v="0"/>
    <b v="1"/>
    <b v="1"/>
    <s v="Large Order"/>
    <n v="11.517000000000001"/>
    <x v="7"/>
    <n v="4606.8"/>
    <m/>
  </r>
  <r>
    <s v="ORD-3050"/>
    <d v="2024-05-11T00:00:00"/>
    <s v="CUST-106"/>
    <x v="8"/>
    <x v="0"/>
    <x v="1"/>
    <x v="0"/>
    <x v="1"/>
    <s v="$208.85"/>
    <s v="Saturday"/>
    <x v="7"/>
    <x v="0"/>
    <b v="1"/>
    <b v="0"/>
    <s v="Standard order"/>
    <n v="10.442500000000001"/>
    <x v="4"/>
    <n v="208.85"/>
    <m/>
  </r>
  <r>
    <s v="ORD-3051"/>
    <d v="2024-04-16T00:00:00"/>
    <s v="CUST-183"/>
    <x v="5"/>
    <x v="0"/>
    <x v="2"/>
    <x v="0"/>
    <x v="5"/>
    <s v="$64.61"/>
    <s v="Tuesday"/>
    <x v="2"/>
    <x v="0"/>
    <b v="0"/>
    <b v="1"/>
    <s v="Large Order"/>
    <n v="3.2305000000000001"/>
    <x v="10"/>
    <n v="775.31999999999994"/>
    <m/>
  </r>
  <r>
    <s v="ORD-3052"/>
    <d v="2024-07-31T00:00:00"/>
    <s v="CUST-147"/>
    <x v="10"/>
    <x v="0"/>
    <x v="1"/>
    <x v="3"/>
    <x v="18"/>
    <s v="$46.19"/>
    <s v="Wednesday"/>
    <x v="8"/>
    <x v="0"/>
    <b v="0"/>
    <b v="1"/>
    <s v="Large Order"/>
    <n v="2.3094999999999999"/>
    <x v="8"/>
    <n v="785.23"/>
    <m/>
  </r>
  <r>
    <s v="ORD-3053"/>
    <d v="2024-02-06T00:00:00"/>
    <s v="CUST-138"/>
    <x v="0"/>
    <x v="0"/>
    <x v="1"/>
    <x v="0"/>
    <x v="0"/>
    <s v="$146.06"/>
    <s v="Tuesday"/>
    <x v="5"/>
    <x v="0"/>
    <b v="0"/>
    <b v="0"/>
    <s v="Large Order"/>
    <n v="7.3030000000000008"/>
    <x v="11"/>
    <n v="584.24"/>
    <m/>
  </r>
  <r>
    <s v="ORD-3054"/>
    <d v="2024-09-29T00:00:00"/>
    <s v="CUST-149"/>
    <x v="11"/>
    <x v="0"/>
    <x v="1"/>
    <x v="2"/>
    <x v="16"/>
    <s v="$33.22"/>
    <s v="Sunday"/>
    <x v="11"/>
    <x v="0"/>
    <b v="1"/>
    <b v="0"/>
    <s v="Large Order"/>
    <n v="1.661"/>
    <x v="16"/>
    <n v="631.17999999999995"/>
    <m/>
  </r>
  <r>
    <s v="ORD-3055"/>
    <d v="2024-04-01T00:00:00"/>
    <s v="CUST-171"/>
    <x v="16"/>
    <x v="2"/>
    <x v="2"/>
    <x v="0"/>
    <x v="16"/>
    <s v="$130.07"/>
    <s v="Monday"/>
    <x v="2"/>
    <x v="0"/>
    <b v="0"/>
    <b v="1"/>
    <s v="Large Order"/>
    <n v="6.5034999999999998"/>
    <x v="5"/>
    <n v="2471.33"/>
    <m/>
  </r>
  <r>
    <s v="ORD-3056"/>
    <d v="2024-08-22T00:00:00"/>
    <s v="CUST-189"/>
    <x v="6"/>
    <x v="1"/>
    <x v="0"/>
    <x v="2"/>
    <x v="6"/>
    <s v="$86.6"/>
    <s v="Thursday"/>
    <x v="10"/>
    <x v="0"/>
    <b v="0"/>
    <b v="0"/>
    <s v="Large Order"/>
    <n v="4.33"/>
    <x v="5"/>
    <n v="519.59999999999991"/>
    <m/>
  </r>
  <r>
    <s v="ORD-3057"/>
    <d v="2024-09-15T00:00:00"/>
    <s v="CUST-143"/>
    <x v="6"/>
    <x v="0"/>
    <x v="1"/>
    <x v="4"/>
    <x v="12"/>
    <s v="$86.6"/>
    <s v="Sunday"/>
    <x v="11"/>
    <x v="0"/>
    <b v="1"/>
    <b v="1"/>
    <s v="Large Order"/>
    <n v="4.33"/>
    <x v="13"/>
    <n v="1299"/>
    <m/>
  </r>
  <r>
    <s v="ORD-3058"/>
    <d v="2024-06-10T00:00:00"/>
    <s v="CUST-170"/>
    <x v="13"/>
    <x v="1"/>
    <x v="2"/>
    <x v="1"/>
    <x v="9"/>
    <s v="$156.44"/>
    <s v="Monday"/>
    <x v="9"/>
    <x v="0"/>
    <b v="0"/>
    <b v="1"/>
    <s v="Large Order"/>
    <n v="7.8220000000000001"/>
    <x v="11"/>
    <n v="1720.84"/>
    <m/>
  </r>
  <r>
    <s v="ORD-3059"/>
    <d v="2024-10-15T00:00:00"/>
    <s v="CUST-169"/>
    <x v="11"/>
    <x v="1"/>
    <x v="1"/>
    <x v="3"/>
    <x v="5"/>
    <s v="$33.22"/>
    <s v="Tuesday"/>
    <x v="3"/>
    <x v="0"/>
    <b v="0"/>
    <b v="0"/>
    <s v="Standard order"/>
    <n v="1.661"/>
    <x v="18"/>
    <n v="398.64"/>
    <m/>
  </r>
  <r>
    <s v="ORD-3060"/>
    <d v="2024-08-17T00:00:00"/>
    <s v="CUST-150"/>
    <x v="18"/>
    <x v="2"/>
    <x v="0"/>
    <x v="3"/>
    <x v="19"/>
    <s v="$230.68"/>
    <s v="Saturday"/>
    <x v="10"/>
    <x v="0"/>
    <b v="1"/>
    <b v="1"/>
    <s v="Large Order"/>
    <n v="11.534000000000001"/>
    <x v="18"/>
    <n v="4613.6000000000004"/>
    <m/>
  </r>
  <r>
    <s v="ORD-3061"/>
    <d v="2024-03-10T00:00:00"/>
    <s v="CUST-138"/>
    <x v="18"/>
    <x v="1"/>
    <x v="4"/>
    <x v="2"/>
    <x v="9"/>
    <s v="$230.68"/>
    <s v="Sunday"/>
    <x v="4"/>
    <x v="0"/>
    <b v="1"/>
    <b v="1"/>
    <s v="Large Order"/>
    <n v="11.534000000000001"/>
    <x v="23"/>
    <n v="2537.48"/>
    <m/>
  </r>
  <r>
    <s v="ORD-3062"/>
    <d v="2024-12-19T00:00:00"/>
    <s v="CUST-135"/>
    <x v="23"/>
    <x v="2"/>
    <x v="1"/>
    <x v="4"/>
    <x v="16"/>
    <s v="$133.37"/>
    <s v="Thursday"/>
    <x v="1"/>
    <x v="0"/>
    <b v="0"/>
    <b v="1"/>
    <s v="Large Order"/>
    <n v="6.6685000000000008"/>
    <x v="7"/>
    <n v="2534.0300000000002"/>
    <m/>
  </r>
  <r>
    <s v="ORD-3063"/>
    <d v="2024-01-20T00:00:00"/>
    <s v="CUST-158"/>
    <x v="8"/>
    <x v="0"/>
    <x v="4"/>
    <x v="3"/>
    <x v="5"/>
    <s v="$208.85"/>
    <s v="Saturday"/>
    <x v="6"/>
    <x v="0"/>
    <b v="1"/>
    <b v="1"/>
    <s v="Large Order"/>
    <n v="10.442500000000001"/>
    <x v="2"/>
    <n v="2506.1999999999998"/>
    <m/>
  </r>
  <r>
    <s v="ORD-3064"/>
    <d v="2024-05-07T00:00:00"/>
    <s v="CUST-129"/>
    <x v="3"/>
    <x v="1"/>
    <x v="0"/>
    <x v="4"/>
    <x v="11"/>
    <s v="$84.57"/>
    <s v="Tuesday"/>
    <x v="7"/>
    <x v="0"/>
    <b v="0"/>
    <b v="1"/>
    <s v="Large Order"/>
    <n v="4.2284999999999995"/>
    <x v="8"/>
    <n v="1099.4099999999999"/>
    <m/>
  </r>
  <r>
    <s v="ORD-3065"/>
    <d v="2024-04-21T00:00:00"/>
    <s v="CUST-193"/>
    <x v="0"/>
    <x v="2"/>
    <x v="3"/>
    <x v="1"/>
    <x v="6"/>
    <s v="$146.06"/>
    <s v="Sunday"/>
    <x v="2"/>
    <x v="0"/>
    <b v="1"/>
    <b v="1"/>
    <s v="Large Order"/>
    <n v="7.3030000000000008"/>
    <x v="9"/>
    <n v="876.36"/>
    <m/>
  </r>
  <r>
    <s v="ORD-3066"/>
    <d v="2024-12-19T00:00:00"/>
    <s v="CUST-189"/>
    <x v="9"/>
    <x v="0"/>
    <x v="1"/>
    <x v="3"/>
    <x v="4"/>
    <s v="$101.96"/>
    <s v="Thursday"/>
    <x v="1"/>
    <x v="0"/>
    <b v="0"/>
    <b v="0"/>
    <s v="Standard order"/>
    <n v="5.0979999999999999"/>
    <x v="8"/>
    <n v="203.92"/>
    <m/>
  </r>
  <r>
    <s v="ORD-3067"/>
    <d v="2024-10-22T00:00:00"/>
    <s v="CUST-148"/>
    <x v="0"/>
    <x v="0"/>
    <x v="3"/>
    <x v="3"/>
    <x v="3"/>
    <s v="$146.06"/>
    <s v="Tuesday"/>
    <x v="3"/>
    <x v="0"/>
    <b v="0"/>
    <b v="1"/>
    <s v="Large Order"/>
    <n v="7.3030000000000008"/>
    <x v="24"/>
    <n v="2044.8400000000001"/>
    <m/>
  </r>
  <r>
    <s v="ORD-3068"/>
    <d v="2024-03-02T00:00:00"/>
    <s v="CUST-198"/>
    <x v="24"/>
    <x v="2"/>
    <x v="1"/>
    <x v="0"/>
    <x v="11"/>
    <s v="$10.11"/>
    <s v="Saturday"/>
    <x v="4"/>
    <x v="0"/>
    <b v="1"/>
    <b v="0"/>
    <s v="Standard order"/>
    <n v="0.50549999999999995"/>
    <x v="13"/>
    <n v="131.43"/>
    <m/>
  </r>
  <r>
    <s v="ORD-3069"/>
    <d v="2024-09-25T00:00:00"/>
    <s v="CUST-105"/>
    <x v="13"/>
    <x v="2"/>
    <x v="1"/>
    <x v="2"/>
    <x v="9"/>
    <s v="$156.44"/>
    <s v="Wednesday"/>
    <x v="11"/>
    <x v="0"/>
    <b v="0"/>
    <b v="1"/>
    <s v="Large Order"/>
    <n v="7.8220000000000001"/>
    <x v="15"/>
    <n v="1720.84"/>
    <m/>
  </r>
  <r>
    <s v="ORD-3070"/>
    <d v="2024-04-23T00:00:00"/>
    <s v="CUST-119"/>
    <x v="15"/>
    <x v="2"/>
    <x v="2"/>
    <x v="1"/>
    <x v="19"/>
    <s v="$216.22"/>
    <s v="Tuesday"/>
    <x v="2"/>
    <x v="0"/>
    <b v="0"/>
    <b v="1"/>
    <s v="Large Order"/>
    <n v="10.811"/>
    <x v="17"/>
    <n v="4324.3999999999996"/>
    <m/>
  </r>
  <r>
    <s v="ORD-3071"/>
    <d v="2024-02-16T00:00:00"/>
    <s v="CUST-128"/>
    <x v="17"/>
    <x v="1"/>
    <x v="2"/>
    <x v="2"/>
    <x v="2"/>
    <s v="$26.59"/>
    <s v="Friday"/>
    <x v="5"/>
    <x v="0"/>
    <b v="0"/>
    <b v="0"/>
    <s v="Standard order"/>
    <n v="1.3295000000000001"/>
    <x v="16"/>
    <n v="132.94999999999999"/>
    <m/>
  </r>
  <r>
    <s v="ORD-3072"/>
    <d v="2024-08-31T00:00:00"/>
    <s v="CUST-173"/>
    <x v="16"/>
    <x v="0"/>
    <x v="1"/>
    <x v="1"/>
    <x v="14"/>
    <s v="$130.07"/>
    <s v="Saturday"/>
    <x v="10"/>
    <x v="0"/>
    <b v="1"/>
    <b v="1"/>
    <s v="Large Order"/>
    <n v="6.5034999999999998"/>
    <x v="21"/>
    <n v="1170.6299999999999"/>
    <m/>
  </r>
  <r>
    <s v="ORD-3073"/>
    <d v="2024-09-13T00:00:00"/>
    <s v="CUST-155"/>
    <x v="21"/>
    <x v="2"/>
    <x v="4"/>
    <x v="2"/>
    <x v="17"/>
    <s v="$32.94"/>
    <s v="Friday"/>
    <x v="11"/>
    <x v="0"/>
    <b v="0"/>
    <b v="0"/>
    <s v="Large Order"/>
    <n v="1.647"/>
    <x v="1"/>
    <n v="527.04"/>
    <m/>
  </r>
  <r>
    <s v="ORD-3074"/>
    <d v="2024-09-06T00:00:00"/>
    <s v="CUST-150"/>
    <x v="2"/>
    <x v="2"/>
    <x v="4"/>
    <x v="4"/>
    <x v="19"/>
    <s v="$88.18"/>
    <s v="Friday"/>
    <x v="11"/>
    <x v="0"/>
    <b v="0"/>
    <b v="1"/>
    <s v="Large Order"/>
    <n v="4.4090000000000007"/>
    <x v="24"/>
    <n v="1763.6000000000001"/>
    <m/>
  </r>
  <r>
    <s v="ORD-3075"/>
    <d v="2024-09-25T00:00:00"/>
    <s v="CUST-131"/>
    <x v="24"/>
    <x v="0"/>
    <x v="3"/>
    <x v="1"/>
    <x v="9"/>
    <s v="$10.11"/>
    <s v="Wednesday"/>
    <x v="11"/>
    <x v="0"/>
    <b v="0"/>
    <b v="0"/>
    <s v="Standard order"/>
    <n v="0.50549999999999995"/>
    <x v="19"/>
    <n v="111.21"/>
    <m/>
  </r>
  <r>
    <s v="ORD-3076"/>
    <d v="2024-10-21T00:00:00"/>
    <s v="CUST-111"/>
    <x v="19"/>
    <x v="2"/>
    <x v="2"/>
    <x v="1"/>
    <x v="5"/>
    <s v="$145.48"/>
    <s v="Monday"/>
    <x v="3"/>
    <x v="0"/>
    <b v="0"/>
    <b v="1"/>
    <s v="Large Order"/>
    <n v="7.274"/>
    <x v="20"/>
    <n v="1745.7599999999998"/>
    <m/>
  </r>
  <r>
    <s v="ORD-3077"/>
    <d v="2024-06-13T00:00:00"/>
    <s v="CUST-144"/>
    <x v="20"/>
    <x v="2"/>
    <x v="0"/>
    <x v="3"/>
    <x v="6"/>
    <s v="$81.02"/>
    <s v="Thursday"/>
    <x v="9"/>
    <x v="0"/>
    <b v="0"/>
    <b v="0"/>
    <s v="Standard order"/>
    <n v="4.0510000000000002"/>
    <x v="20"/>
    <n v="486.12"/>
    <m/>
  </r>
  <r>
    <s v="ORD-3078"/>
    <d v="2024-11-11T00:00:00"/>
    <s v="CUST-156"/>
    <x v="20"/>
    <x v="0"/>
    <x v="2"/>
    <x v="0"/>
    <x v="7"/>
    <s v="$81.02"/>
    <s v="Monday"/>
    <x v="0"/>
    <x v="0"/>
    <b v="0"/>
    <b v="0"/>
    <s v="Large Order"/>
    <n v="4.0510000000000002"/>
    <x v="21"/>
    <n v="648.16"/>
    <m/>
  </r>
  <r>
    <s v="ORD-3079"/>
    <d v="2024-07-10T00:00:00"/>
    <s v="CUST-119"/>
    <x v="21"/>
    <x v="2"/>
    <x v="0"/>
    <x v="0"/>
    <x v="4"/>
    <s v="$32.94"/>
    <s v="Wednesday"/>
    <x v="8"/>
    <x v="0"/>
    <b v="0"/>
    <b v="0"/>
    <s v="Standard order"/>
    <n v="1.647"/>
    <x v="14"/>
    <n v="65.88"/>
    <m/>
  </r>
  <r>
    <s v="ORD-3080"/>
    <d v="2024-11-13T00:00:00"/>
    <s v="CUST-118"/>
    <x v="14"/>
    <x v="0"/>
    <x v="3"/>
    <x v="0"/>
    <x v="8"/>
    <s v="$201.32"/>
    <s v="Wednesday"/>
    <x v="0"/>
    <x v="0"/>
    <b v="0"/>
    <b v="1"/>
    <s v="Large Order"/>
    <n v="10.066000000000001"/>
    <x v="11"/>
    <n v="2013.1999999999998"/>
    <m/>
  </r>
  <r>
    <s v="ORD-3081"/>
    <d v="2024-01-12T00:00:00"/>
    <s v="CUST-142"/>
    <x v="11"/>
    <x v="2"/>
    <x v="1"/>
    <x v="2"/>
    <x v="10"/>
    <s v="$33.22"/>
    <s v="Friday"/>
    <x v="6"/>
    <x v="0"/>
    <b v="0"/>
    <b v="0"/>
    <s v="Standard order"/>
    <n v="1.661"/>
    <x v="4"/>
    <n v="232.54"/>
    <m/>
  </r>
  <r>
    <s v="ORD-3082"/>
    <d v="2024-05-12T00:00:00"/>
    <s v="CUST-170"/>
    <x v="5"/>
    <x v="2"/>
    <x v="4"/>
    <x v="0"/>
    <x v="11"/>
    <s v="$64.61"/>
    <s v="Sunday"/>
    <x v="7"/>
    <x v="0"/>
    <b v="1"/>
    <b v="1"/>
    <s v="Large Order"/>
    <n v="3.2305000000000001"/>
    <x v="15"/>
    <n v="839.93"/>
    <m/>
  </r>
  <r>
    <s v="ORD-3083"/>
    <d v="2024-12-05T00:00:00"/>
    <s v="CUST-167"/>
    <x v="15"/>
    <x v="1"/>
    <x v="4"/>
    <x v="0"/>
    <x v="8"/>
    <s v="$216.22"/>
    <s v="Thursday"/>
    <x v="1"/>
    <x v="0"/>
    <b v="0"/>
    <b v="1"/>
    <s v="Large Order"/>
    <n v="10.811"/>
    <x v="2"/>
    <n v="2162.1999999999998"/>
    <m/>
  </r>
  <r>
    <s v="ORD-3084"/>
    <d v="2024-12-22T00:00:00"/>
    <s v="CUST-179"/>
    <x v="3"/>
    <x v="0"/>
    <x v="2"/>
    <x v="0"/>
    <x v="13"/>
    <s v="$84.57"/>
    <s v="Sunday"/>
    <x v="1"/>
    <x v="0"/>
    <b v="1"/>
    <b v="0"/>
    <s v="Standard order"/>
    <n v="4.2284999999999995"/>
    <x v="5"/>
    <n v="253.70999999999998"/>
    <m/>
  </r>
  <r>
    <s v="ORD-3085"/>
    <d v="2024-05-18T00:00:00"/>
    <s v="CUST-184"/>
    <x v="6"/>
    <x v="1"/>
    <x v="0"/>
    <x v="0"/>
    <x v="8"/>
    <s v="$86.6"/>
    <s v="Saturday"/>
    <x v="7"/>
    <x v="0"/>
    <b v="1"/>
    <b v="1"/>
    <s v="Large Order"/>
    <n v="4.33"/>
    <x v="24"/>
    <n v="866"/>
    <m/>
  </r>
  <r>
    <s v="ORD-3086"/>
    <d v="2024-11-28T00:00:00"/>
    <s v="CUST-149"/>
    <x v="24"/>
    <x v="1"/>
    <x v="1"/>
    <x v="0"/>
    <x v="9"/>
    <s v="$10.11"/>
    <s v="Thursday"/>
    <x v="0"/>
    <x v="0"/>
    <b v="0"/>
    <b v="0"/>
    <s v="Standard order"/>
    <n v="0.50549999999999995"/>
    <x v="8"/>
    <n v="111.21"/>
    <m/>
  </r>
  <r>
    <s v="ORD-3087"/>
    <d v="2024-11-01T00:00:00"/>
    <s v="CUST-168"/>
    <x v="0"/>
    <x v="0"/>
    <x v="4"/>
    <x v="4"/>
    <x v="12"/>
    <s v="$146.06"/>
    <s v="Friday"/>
    <x v="0"/>
    <x v="0"/>
    <b v="0"/>
    <b v="1"/>
    <s v="Large Order"/>
    <n v="7.3030000000000008"/>
    <x v="15"/>
    <n v="2190.9"/>
    <m/>
  </r>
  <r>
    <s v="ORD-3088"/>
    <d v="2024-12-30T00:00:00"/>
    <s v="CUST-102"/>
    <x v="15"/>
    <x v="0"/>
    <x v="1"/>
    <x v="3"/>
    <x v="9"/>
    <s v="$216.22"/>
    <s v="Monday"/>
    <x v="1"/>
    <x v="0"/>
    <b v="0"/>
    <b v="1"/>
    <s v="Large Order"/>
    <n v="10.811"/>
    <x v="7"/>
    <n v="2378.42"/>
    <m/>
  </r>
  <r>
    <s v="ORD-3089"/>
    <d v="2024-03-21T00:00:00"/>
    <s v="CUST-102"/>
    <x v="8"/>
    <x v="2"/>
    <x v="3"/>
    <x v="3"/>
    <x v="8"/>
    <s v="$208.85"/>
    <s v="Thursday"/>
    <x v="4"/>
    <x v="0"/>
    <b v="0"/>
    <b v="1"/>
    <s v="Large Order"/>
    <n v="10.442500000000001"/>
    <x v="15"/>
    <n v="2088.5"/>
    <m/>
  </r>
  <r>
    <s v="ORD-3090"/>
    <d v="2024-09-13T00:00:00"/>
    <s v="CUST-135"/>
    <x v="15"/>
    <x v="2"/>
    <x v="3"/>
    <x v="1"/>
    <x v="1"/>
    <s v="$216.22"/>
    <s v="Friday"/>
    <x v="11"/>
    <x v="0"/>
    <b v="0"/>
    <b v="0"/>
    <s v="Standard order"/>
    <n v="10.811"/>
    <x v="0"/>
    <n v="216.22"/>
    <m/>
  </r>
  <r>
    <s v="ORD-3091"/>
    <d v="2024-05-23T00:00:00"/>
    <s v="CUST-128"/>
    <x v="1"/>
    <x v="1"/>
    <x v="2"/>
    <x v="2"/>
    <x v="13"/>
    <s v="$178.83"/>
    <s v="Thursday"/>
    <x v="7"/>
    <x v="0"/>
    <b v="0"/>
    <b v="0"/>
    <s v="Large Order"/>
    <n v="8.9415000000000013"/>
    <x v="20"/>
    <n v="536.49"/>
    <m/>
  </r>
  <r>
    <s v="ORD-3092"/>
    <d v="2024-09-23T00:00:00"/>
    <s v="CUST-186"/>
    <x v="20"/>
    <x v="2"/>
    <x v="4"/>
    <x v="1"/>
    <x v="7"/>
    <s v="$81.02"/>
    <s v="Monday"/>
    <x v="11"/>
    <x v="0"/>
    <b v="0"/>
    <b v="0"/>
    <s v="Large Order"/>
    <n v="4.0510000000000002"/>
    <x v="20"/>
    <n v="648.16"/>
    <m/>
  </r>
  <r>
    <s v="ORD-3093"/>
    <d v="2024-08-06T00:00:00"/>
    <s v="CUST-139"/>
    <x v="20"/>
    <x v="1"/>
    <x v="2"/>
    <x v="4"/>
    <x v="2"/>
    <s v="$81.02"/>
    <s v="Tuesday"/>
    <x v="10"/>
    <x v="0"/>
    <b v="0"/>
    <b v="0"/>
    <s v="Standard order"/>
    <n v="4.0510000000000002"/>
    <x v="23"/>
    <n v="405.09999999999997"/>
    <m/>
  </r>
  <r>
    <s v="ORD-3094"/>
    <d v="2024-03-11T00:00:00"/>
    <s v="CUST-174"/>
    <x v="23"/>
    <x v="2"/>
    <x v="4"/>
    <x v="2"/>
    <x v="8"/>
    <s v="$133.37"/>
    <s v="Monday"/>
    <x v="4"/>
    <x v="0"/>
    <b v="0"/>
    <b v="1"/>
    <s v="Large Order"/>
    <n v="6.6685000000000008"/>
    <x v="17"/>
    <n v="1333.7"/>
    <m/>
  </r>
  <r>
    <s v="ORD-3095"/>
    <d v="2024-09-25T00:00:00"/>
    <s v="CUST-117"/>
    <x v="17"/>
    <x v="0"/>
    <x v="1"/>
    <x v="2"/>
    <x v="9"/>
    <s v="$26.59"/>
    <s v="Wednesday"/>
    <x v="11"/>
    <x v="0"/>
    <b v="0"/>
    <b v="0"/>
    <s v="Standard order"/>
    <n v="1.3295000000000001"/>
    <x v="19"/>
    <n v="292.49"/>
    <m/>
  </r>
  <r>
    <s v="ORD-3096"/>
    <d v="2024-09-29T00:00:00"/>
    <s v="CUST-192"/>
    <x v="19"/>
    <x v="0"/>
    <x v="3"/>
    <x v="2"/>
    <x v="1"/>
    <s v="$145.48"/>
    <s v="Sunday"/>
    <x v="11"/>
    <x v="0"/>
    <b v="1"/>
    <b v="0"/>
    <s v="Standard order"/>
    <n v="7.274"/>
    <x v="14"/>
    <n v="145.47999999999999"/>
    <m/>
  </r>
  <r>
    <s v="ORD-3097"/>
    <d v="2024-07-30T00:00:00"/>
    <s v="CUST-152"/>
    <x v="14"/>
    <x v="1"/>
    <x v="3"/>
    <x v="2"/>
    <x v="10"/>
    <s v="$201.32"/>
    <s v="Tuesday"/>
    <x v="8"/>
    <x v="0"/>
    <b v="0"/>
    <b v="1"/>
    <s v="Large Order"/>
    <n v="10.066000000000001"/>
    <x v="21"/>
    <n v="1409.24"/>
    <m/>
  </r>
  <r>
    <s v="ORD-3098"/>
    <d v="2024-04-04T00:00:00"/>
    <s v="CUST-103"/>
    <x v="21"/>
    <x v="2"/>
    <x v="1"/>
    <x v="3"/>
    <x v="19"/>
    <s v="$32.94"/>
    <s v="Thursday"/>
    <x v="2"/>
    <x v="0"/>
    <b v="0"/>
    <b v="0"/>
    <s v="Large Order"/>
    <n v="1.647"/>
    <x v="24"/>
    <n v="658.8"/>
    <m/>
  </r>
  <r>
    <s v="ORD-3099"/>
    <d v="2024-04-28T00:00:00"/>
    <s v="CUST-176"/>
    <x v="24"/>
    <x v="0"/>
    <x v="0"/>
    <x v="3"/>
    <x v="13"/>
    <s v="$10.11"/>
    <s v="Sunday"/>
    <x v="2"/>
    <x v="0"/>
    <b v="1"/>
    <b v="0"/>
    <s v="Standard order"/>
    <n v="0.50549999999999995"/>
    <x v="22"/>
    <n v="30.33"/>
    <m/>
  </r>
  <r>
    <s v="ORD-3100"/>
    <d v="2024-09-01T00:00:00"/>
    <s v="CUST-117"/>
    <x v="22"/>
    <x v="2"/>
    <x v="2"/>
    <x v="3"/>
    <x v="6"/>
    <s v="$149.27"/>
    <s v="Sunday"/>
    <x v="11"/>
    <x v="0"/>
    <b v="1"/>
    <b v="1"/>
    <s v="Large Order"/>
    <n v="7.4635000000000007"/>
    <x v="0"/>
    <n v="895.62000000000012"/>
    <m/>
  </r>
  <r>
    <s v="ORD-3101"/>
    <d v="2024-09-08T00:00:00"/>
    <s v="CUST-160"/>
    <x v="1"/>
    <x v="0"/>
    <x v="4"/>
    <x v="2"/>
    <x v="4"/>
    <s v="$178.83"/>
    <s v="Sunday"/>
    <x v="11"/>
    <x v="0"/>
    <b v="1"/>
    <b v="0"/>
    <s v="Standard order"/>
    <n v="8.9415000000000013"/>
    <x v="17"/>
    <n v="357.66"/>
    <m/>
  </r>
  <r>
    <s v="ORD-3102"/>
    <d v="2024-01-08T00:00:00"/>
    <s v="CUST-134"/>
    <x v="17"/>
    <x v="0"/>
    <x v="4"/>
    <x v="2"/>
    <x v="13"/>
    <s v="$26.59"/>
    <s v="Monday"/>
    <x v="6"/>
    <x v="0"/>
    <b v="0"/>
    <b v="0"/>
    <s v="Standard order"/>
    <n v="1.3295000000000001"/>
    <x v="4"/>
    <n v="79.77"/>
    <m/>
  </r>
  <r>
    <s v="ORD-3103"/>
    <d v="2024-08-12T00:00:00"/>
    <s v="CUST-178"/>
    <x v="5"/>
    <x v="2"/>
    <x v="3"/>
    <x v="1"/>
    <x v="7"/>
    <s v="$64.61"/>
    <s v="Monday"/>
    <x v="10"/>
    <x v="0"/>
    <b v="0"/>
    <b v="0"/>
    <s v="Large Order"/>
    <n v="3.2305000000000001"/>
    <x v="16"/>
    <n v="516.88"/>
    <m/>
  </r>
  <r>
    <s v="ORD-3104"/>
    <d v="2024-01-22T00:00:00"/>
    <s v="CUST-177"/>
    <x v="16"/>
    <x v="1"/>
    <x v="3"/>
    <x v="1"/>
    <x v="19"/>
    <s v="$130.07"/>
    <s v="Monday"/>
    <x v="6"/>
    <x v="0"/>
    <b v="0"/>
    <b v="1"/>
    <s v="Large Order"/>
    <n v="6.5034999999999998"/>
    <x v="23"/>
    <n v="2601.3999999999996"/>
    <m/>
  </r>
  <r>
    <s v="ORD-3105"/>
    <d v="2024-10-19T00:00:00"/>
    <s v="CUST-176"/>
    <x v="23"/>
    <x v="2"/>
    <x v="0"/>
    <x v="4"/>
    <x v="0"/>
    <s v="$133.37"/>
    <s v="Saturday"/>
    <x v="3"/>
    <x v="0"/>
    <b v="1"/>
    <b v="0"/>
    <s v="Large Order"/>
    <n v="6.6685000000000008"/>
    <x v="22"/>
    <n v="533.48"/>
    <m/>
  </r>
  <r>
    <s v="ORD-3106"/>
    <d v="2024-01-22T00:00:00"/>
    <s v="CUST-131"/>
    <x v="22"/>
    <x v="2"/>
    <x v="2"/>
    <x v="0"/>
    <x v="15"/>
    <s v="$149.27"/>
    <s v="Monday"/>
    <x v="6"/>
    <x v="0"/>
    <b v="0"/>
    <b v="1"/>
    <s v="Large Order"/>
    <n v="7.4635000000000007"/>
    <x v="11"/>
    <n v="2686.86"/>
    <m/>
  </r>
  <r>
    <s v="ORD-3107"/>
    <d v="2024-11-18T00:00:00"/>
    <s v="CUST-106"/>
    <x v="11"/>
    <x v="1"/>
    <x v="2"/>
    <x v="1"/>
    <x v="8"/>
    <s v="$33.22"/>
    <s v="Monday"/>
    <x v="0"/>
    <x v="0"/>
    <b v="0"/>
    <b v="0"/>
    <s v="Standard order"/>
    <n v="1.661"/>
    <x v="6"/>
    <n v="332.2"/>
    <m/>
  </r>
  <r>
    <s v="ORD-3108"/>
    <d v="2024-05-26T00:00:00"/>
    <s v="CUST-159"/>
    <x v="7"/>
    <x v="1"/>
    <x v="3"/>
    <x v="4"/>
    <x v="4"/>
    <s v="$107.34"/>
    <s v="Sunday"/>
    <x v="7"/>
    <x v="0"/>
    <b v="1"/>
    <b v="0"/>
    <s v="Standard order"/>
    <n v="5.3670000000000009"/>
    <x v="1"/>
    <n v="214.68"/>
    <m/>
  </r>
  <r>
    <s v="ORD-3109"/>
    <d v="2024-03-13T00:00:00"/>
    <s v="CUST-159"/>
    <x v="2"/>
    <x v="1"/>
    <x v="0"/>
    <x v="4"/>
    <x v="0"/>
    <s v="$88.18"/>
    <s v="Wednesday"/>
    <x v="4"/>
    <x v="0"/>
    <b v="0"/>
    <b v="0"/>
    <s v="Standard order"/>
    <n v="4.4090000000000007"/>
    <x v="23"/>
    <n v="352.72"/>
    <m/>
  </r>
  <r>
    <s v="ORD-3110"/>
    <d v="2024-10-26T00:00:00"/>
    <s v="CUST-189"/>
    <x v="23"/>
    <x v="0"/>
    <x v="2"/>
    <x v="1"/>
    <x v="9"/>
    <s v="$133.37"/>
    <s v="Saturday"/>
    <x v="3"/>
    <x v="0"/>
    <b v="1"/>
    <b v="1"/>
    <s v="Large Order"/>
    <n v="6.6685000000000008"/>
    <x v="9"/>
    <n v="1467.0700000000002"/>
    <m/>
  </r>
  <r>
    <s v="ORD-3111"/>
    <d v="2024-04-01T00:00:00"/>
    <s v="CUST-158"/>
    <x v="9"/>
    <x v="2"/>
    <x v="4"/>
    <x v="1"/>
    <x v="13"/>
    <s v="$101.96"/>
    <s v="Monday"/>
    <x v="2"/>
    <x v="0"/>
    <b v="0"/>
    <b v="0"/>
    <s v="Standard order"/>
    <n v="5.0979999999999999"/>
    <x v="10"/>
    <n v="305.88"/>
    <m/>
  </r>
  <r>
    <s v="ORD-3112"/>
    <d v="2024-12-20T00:00:00"/>
    <s v="CUST-183"/>
    <x v="10"/>
    <x v="0"/>
    <x v="0"/>
    <x v="0"/>
    <x v="0"/>
    <s v="$46.19"/>
    <s v="Friday"/>
    <x v="1"/>
    <x v="0"/>
    <b v="0"/>
    <b v="0"/>
    <s v="Standard order"/>
    <n v="2.3094999999999999"/>
    <x v="8"/>
    <n v="184.76"/>
    <m/>
  </r>
  <r>
    <s v="ORD-3113"/>
    <d v="2024-11-20T00:00:00"/>
    <s v="CUST-146"/>
    <x v="0"/>
    <x v="2"/>
    <x v="2"/>
    <x v="4"/>
    <x v="19"/>
    <s v="$146.06"/>
    <s v="Wednesday"/>
    <x v="0"/>
    <x v="0"/>
    <b v="0"/>
    <b v="1"/>
    <s v="Large Order"/>
    <n v="7.3030000000000008"/>
    <x v="3"/>
    <n v="2921.2"/>
    <m/>
  </r>
  <r>
    <s v="ORD-3114"/>
    <d v="2024-07-12T00:00:00"/>
    <s v="CUST-170"/>
    <x v="4"/>
    <x v="0"/>
    <x v="4"/>
    <x v="3"/>
    <x v="16"/>
    <s v="$230.34"/>
    <s v="Friday"/>
    <x v="8"/>
    <x v="0"/>
    <b v="0"/>
    <b v="1"/>
    <s v="Large Order"/>
    <n v="11.517000000000001"/>
    <x v="0"/>
    <n v="4376.46"/>
    <m/>
  </r>
  <r>
    <s v="ORD-3115"/>
    <d v="2024-03-17T00:00:00"/>
    <s v="CUST-120"/>
    <x v="1"/>
    <x v="0"/>
    <x v="0"/>
    <x v="1"/>
    <x v="8"/>
    <s v="$178.83"/>
    <s v="Sunday"/>
    <x v="4"/>
    <x v="0"/>
    <b v="1"/>
    <b v="1"/>
    <s v="Large Order"/>
    <n v="8.9415000000000013"/>
    <x v="1"/>
    <n v="1788.3000000000002"/>
    <m/>
  </r>
  <r>
    <s v="ORD-3116"/>
    <d v="2024-08-16T00:00:00"/>
    <s v="CUST-136"/>
    <x v="2"/>
    <x v="0"/>
    <x v="0"/>
    <x v="2"/>
    <x v="10"/>
    <s v="$88.18"/>
    <s v="Friday"/>
    <x v="10"/>
    <x v="0"/>
    <b v="0"/>
    <b v="0"/>
    <s v="Large Order"/>
    <n v="4.4090000000000007"/>
    <x v="12"/>
    <n v="617.26"/>
    <m/>
  </r>
  <r>
    <s v="ORD-3117"/>
    <d v="2024-05-09T00:00:00"/>
    <s v="CUST-101"/>
    <x v="12"/>
    <x v="1"/>
    <x v="2"/>
    <x v="4"/>
    <x v="1"/>
    <s v="$211.9"/>
    <s v="Thursday"/>
    <x v="7"/>
    <x v="0"/>
    <b v="0"/>
    <b v="0"/>
    <s v="Standard order"/>
    <n v="10.595000000000001"/>
    <x v="11"/>
    <n v="211.9"/>
    <m/>
  </r>
  <r>
    <s v="ORD-3118"/>
    <d v="2024-09-09T00:00:00"/>
    <s v="CUST-130"/>
    <x v="11"/>
    <x v="2"/>
    <x v="2"/>
    <x v="1"/>
    <x v="3"/>
    <s v="$33.22"/>
    <s v="Monday"/>
    <x v="11"/>
    <x v="0"/>
    <b v="0"/>
    <b v="0"/>
    <s v="Standard order"/>
    <n v="1.661"/>
    <x v="18"/>
    <n v="465.08"/>
    <m/>
  </r>
  <r>
    <s v="ORD-3119"/>
    <d v="2024-11-03T00:00:00"/>
    <s v="CUST-176"/>
    <x v="18"/>
    <x v="0"/>
    <x v="1"/>
    <x v="3"/>
    <x v="19"/>
    <s v="$230.68"/>
    <s v="Sunday"/>
    <x v="0"/>
    <x v="0"/>
    <b v="1"/>
    <b v="1"/>
    <s v="Large Order"/>
    <n v="11.534000000000001"/>
    <x v="6"/>
    <n v="4613.6000000000004"/>
    <m/>
  </r>
  <r>
    <s v="ORD-3120"/>
    <d v="2024-04-16T00:00:00"/>
    <s v="CUST-106"/>
    <x v="7"/>
    <x v="0"/>
    <x v="0"/>
    <x v="3"/>
    <x v="4"/>
    <s v="$107.34"/>
    <s v="Tuesday"/>
    <x v="2"/>
    <x v="0"/>
    <b v="0"/>
    <b v="0"/>
    <s v="Standard order"/>
    <n v="5.3670000000000009"/>
    <x v="9"/>
    <n v="214.68"/>
    <m/>
  </r>
  <r>
    <s v="ORD-3121"/>
    <d v="2024-01-17T00:00:00"/>
    <s v="CUST-185"/>
    <x v="9"/>
    <x v="2"/>
    <x v="3"/>
    <x v="3"/>
    <x v="13"/>
    <s v="$101.96"/>
    <s v="Wednesday"/>
    <x v="6"/>
    <x v="0"/>
    <b v="0"/>
    <b v="0"/>
    <s v="Standard order"/>
    <n v="5.0979999999999999"/>
    <x v="6"/>
    <n v="305.88"/>
    <m/>
  </r>
  <r>
    <s v="ORD-3122"/>
    <d v="2024-08-01T00:00:00"/>
    <s v="CUST-122"/>
    <x v="7"/>
    <x v="2"/>
    <x v="3"/>
    <x v="4"/>
    <x v="19"/>
    <s v="$107.34"/>
    <s v="Thursday"/>
    <x v="10"/>
    <x v="0"/>
    <b v="0"/>
    <b v="1"/>
    <s v="Large Order"/>
    <n v="5.3670000000000009"/>
    <x v="12"/>
    <n v="2146.8000000000002"/>
    <m/>
  </r>
  <r>
    <s v="ORD-3123"/>
    <d v="2024-10-14T00:00:00"/>
    <s v="CUST-122"/>
    <x v="12"/>
    <x v="2"/>
    <x v="1"/>
    <x v="3"/>
    <x v="4"/>
    <s v="$211.9"/>
    <s v="Monday"/>
    <x v="3"/>
    <x v="0"/>
    <b v="0"/>
    <b v="0"/>
    <s v="Standard order"/>
    <n v="10.595000000000001"/>
    <x v="7"/>
    <n v="423.8"/>
    <m/>
  </r>
  <r>
    <s v="ORD-3124"/>
    <d v="2024-06-02T00:00:00"/>
    <s v="CUST-141"/>
    <x v="8"/>
    <x v="1"/>
    <x v="0"/>
    <x v="1"/>
    <x v="15"/>
    <s v="$208.85"/>
    <s v="Sunday"/>
    <x v="9"/>
    <x v="0"/>
    <b v="1"/>
    <b v="1"/>
    <s v="Large Order"/>
    <n v="10.442500000000001"/>
    <x v="19"/>
    <n v="3759.2999999999997"/>
    <m/>
  </r>
  <r>
    <s v="ORD-3125"/>
    <d v="2024-08-29T00:00:00"/>
    <s v="CUST-117"/>
    <x v="19"/>
    <x v="2"/>
    <x v="3"/>
    <x v="3"/>
    <x v="18"/>
    <s v="$145.48"/>
    <s v="Thursday"/>
    <x v="10"/>
    <x v="0"/>
    <b v="0"/>
    <b v="1"/>
    <s v="Large Order"/>
    <n v="7.274"/>
    <x v="11"/>
    <n v="2473.16"/>
    <m/>
  </r>
  <r>
    <s v="ORD-3126"/>
    <d v="2024-04-17T00:00:00"/>
    <s v="CUST-189"/>
    <x v="11"/>
    <x v="2"/>
    <x v="0"/>
    <x v="0"/>
    <x v="16"/>
    <s v="$33.22"/>
    <s v="Wednesday"/>
    <x v="2"/>
    <x v="0"/>
    <b v="0"/>
    <b v="0"/>
    <s v="Large Order"/>
    <n v="1.661"/>
    <x v="8"/>
    <n v="631.17999999999995"/>
    <m/>
  </r>
  <r>
    <s v="ORD-3127"/>
    <d v="2024-11-18T00:00:00"/>
    <s v="CUST-167"/>
    <x v="0"/>
    <x v="1"/>
    <x v="1"/>
    <x v="3"/>
    <x v="3"/>
    <s v="$146.06"/>
    <s v="Monday"/>
    <x v="0"/>
    <x v="0"/>
    <b v="0"/>
    <b v="1"/>
    <s v="Large Order"/>
    <n v="7.3030000000000008"/>
    <x v="22"/>
    <n v="2044.8400000000001"/>
    <m/>
  </r>
  <r>
    <s v="ORD-3128"/>
    <d v="2024-06-11T00:00:00"/>
    <s v="CUST-133"/>
    <x v="22"/>
    <x v="2"/>
    <x v="1"/>
    <x v="3"/>
    <x v="2"/>
    <s v="$149.27"/>
    <s v="Tuesday"/>
    <x v="9"/>
    <x v="0"/>
    <b v="0"/>
    <b v="0"/>
    <s v="Large Order"/>
    <n v="7.4635000000000007"/>
    <x v="16"/>
    <n v="746.35"/>
    <m/>
  </r>
  <r>
    <s v="ORD-3129"/>
    <d v="2024-09-11T00:00:00"/>
    <s v="CUST-166"/>
    <x v="16"/>
    <x v="2"/>
    <x v="2"/>
    <x v="1"/>
    <x v="6"/>
    <s v="$130.07"/>
    <s v="Wednesday"/>
    <x v="11"/>
    <x v="0"/>
    <b v="0"/>
    <b v="1"/>
    <s v="Large Order"/>
    <n v="6.5034999999999998"/>
    <x v="14"/>
    <n v="780.42"/>
    <m/>
  </r>
  <r>
    <s v="ORD-3130"/>
    <d v="2024-04-29T00:00:00"/>
    <s v="CUST-190"/>
    <x v="14"/>
    <x v="0"/>
    <x v="0"/>
    <x v="0"/>
    <x v="1"/>
    <s v="$201.32"/>
    <s v="Monday"/>
    <x v="2"/>
    <x v="0"/>
    <b v="0"/>
    <b v="0"/>
    <s v="Standard order"/>
    <n v="10.066000000000001"/>
    <x v="11"/>
    <n v="201.32"/>
    <m/>
  </r>
  <r>
    <s v="ORD-3131"/>
    <d v="2024-03-01T00:00:00"/>
    <s v="CUST-194"/>
    <x v="11"/>
    <x v="2"/>
    <x v="2"/>
    <x v="1"/>
    <x v="4"/>
    <s v="$33.22"/>
    <s v="Friday"/>
    <x v="4"/>
    <x v="0"/>
    <b v="0"/>
    <b v="0"/>
    <s v="Standard order"/>
    <n v="1.661"/>
    <x v="11"/>
    <n v="66.44"/>
    <m/>
  </r>
  <r>
    <s v="ORD-3132"/>
    <d v="2024-10-13T00:00:00"/>
    <s v="CUST-181"/>
    <x v="11"/>
    <x v="0"/>
    <x v="4"/>
    <x v="3"/>
    <x v="14"/>
    <s v="$33.22"/>
    <s v="Sunday"/>
    <x v="3"/>
    <x v="0"/>
    <b v="1"/>
    <b v="0"/>
    <s v="Standard order"/>
    <n v="1.661"/>
    <x v="22"/>
    <n v="298.98"/>
    <m/>
  </r>
  <r>
    <s v="ORD-3133"/>
    <d v="2024-06-06T00:00:00"/>
    <s v="CUST-138"/>
    <x v="22"/>
    <x v="2"/>
    <x v="3"/>
    <x v="0"/>
    <x v="0"/>
    <s v="$149.27"/>
    <s v="Thursday"/>
    <x v="9"/>
    <x v="0"/>
    <b v="0"/>
    <b v="0"/>
    <s v="Large Order"/>
    <n v="7.4635000000000007"/>
    <x v="16"/>
    <n v="597.08000000000004"/>
    <m/>
  </r>
  <r>
    <s v="ORD-3134"/>
    <d v="2024-06-23T00:00:00"/>
    <s v="CUST-150"/>
    <x v="16"/>
    <x v="2"/>
    <x v="1"/>
    <x v="0"/>
    <x v="6"/>
    <s v="$130.07"/>
    <s v="Sunday"/>
    <x v="9"/>
    <x v="0"/>
    <b v="1"/>
    <b v="1"/>
    <s v="Large Order"/>
    <n v="6.5034999999999998"/>
    <x v="4"/>
    <n v="780.42"/>
    <m/>
  </r>
  <r>
    <s v="ORD-3135"/>
    <d v="2024-06-22T00:00:00"/>
    <s v="CUST-186"/>
    <x v="5"/>
    <x v="1"/>
    <x v="0"/>
    <x v="2"/>
    <x v="17"/>
    <s v="$64.61"/>
    <s v="Saturday"/>
    <x v="9"/>
    <x v="0"/>
    <b v="1"/>
    <b v="1"/>
    <s v="Large Order"/>
    <n v="3.2305000000000001"/>
    <x v="13"/>
    <n v="1033.76"/>
    <m/>
  </r>
  <r>
    <s v="ORD-3136"/>
    <d v="2024-08-23T00:00:00"/>
    <s v="CUST-168"/>
    <x v="13"/>
    <x v="1"/>
    <x v="2"/>
    <x v="0"/>
    <x v="18"/>
    <s v="$156.44"/>
    <s v="Friday"/>
    <x v="10"/>
    <x v="0"/>
    <b v="0"/>
    <b v="1"/>
    <s v="Large Order"/>
    <n v="7.8220000000000001"/>
    <x v="23"/>
    <n v="2659.48"/>
    <m/>
  </r>
  <r>
    <s v="ORD-3137"/>
    <d v="2024-12-13T00:00:00"/>
    <s v="CUST-140"/>
    <x v="23"/>
    <x v="2"/>
    <x v="0"/>
    <x v="2"/>
    <x v="16"/>
    <s v="$133.37"/>
    <s v="Friday"/>
    <x v="1"/>
    <x v="0"/>
    <b v="0"/>
    <b v="1"/>
    <s v="Large Order"/>
    <n v="6.6685000000000008"/>
    <x v="0"/>
    <n v="2534.0300000000002"/>
    <m/>
  </r>
  <r>
    <s v="ORD-3138"/>
    <d v="2024-06-30T00:00:00"/>
    <s v="CUST-108"/>
    <x v="1"/>
    <x v="1"/>
    <x v="0"/>
    <x v="3"/>
    <x v="11"/>
    <s v="$178.83"/>
    <s v="Sunday"/>
    <x v="9"/>
    <x v="0"/>
    <b v="1"/>
    <b v="1"/>
    <s v="Large Order"/>
    <n v="8.9415000000000013"/>
    <x v="20"/>
    <n v="2324.79"/>
    <m/>
  </r>
  <r>
    <s v="ORD-3139"/>
    <d v="2024-03-25T00:00:00"/>
    <s v="CUST-173"/>
    <x v="20"/>
    <x v="1"/>
    <x v="4"/>
    <x v="4"/>
    <x v="0"/>
    <s v="$81.02"/>
    <s v="Monday"/>
    <x v="4"/>
    <x v="0"/>
    <b v="0"/>
    <b v="0"/>
    <s v="Standard order"/>
    <n v="4.0510000000000002"/>
    <x v="13"/>
    <n v="324.08"/>
    <m/>
  </r>
  <r>
    <s v="ORD-3140"/>
    <d v="2024-06-06T00:00:00"/>
    <s v="CUST-190"/>
    <x v="13"/>
    <x v="2"/>
    <x v="0"/>
    <x v="3"/>
    <x v="3"/>
    <s v="$156.44"/>
    <s v="Thursday"/>
    <x v="9"/>
    <x v="0"/>
    <b v="0"/>
    <b v="1"/>
    <s v="Large Order"/>
    <n v="7.8220000000000001"/>
    <x v="12"/>
    <n v="2190.16"/>
    <m/>
  </r>
  <r>
    <s v="ORD-3141"/>
    <d v="2024-05-01T00:00:00"/>
    <s v="CUST-147"/>
    <x v="12"/>
    <x v="1"/>
    <x v="4"/>
    <x v="4"/>
    <x v="8"/>
    <s v="$211.9"/>
    <s v="Wednesday"/>
    <x v="7"/>
    <x v="0"/>
    <b v="0"/>
    <b v="1"/>
    <s v="Large Order"/>
    <n v="10.595000000000001"/>
    <x v="15"/>
    <n v="2119"/>
    <m/>
  </r>
  <r>
    <s v="ORD-3142"/>
    <d v="2024-07-10T00:00:00"/>
    <s v="CUST-200"/>
    <x v="15"/>
    <x v="0"/>
    <x v="0"/>
    <x v="1"/>
    <x v="18"/>
    <s v="$216.22"/>
    <s v="Wednesday"/>
    <x v="8"/>
    <x v="0"/>
    <b v="0"/>
    <b v="1"/>
    <s v="Large Order"/>
    <n v="10.811"/>
    <x v="0"/>
    <n v="3675.74"/>
    <m/>
  </r>
  <r>
    <s v="ORD-3143"/>
    <d v="2024-09-04T00:00:00"/>
    <s v="CUST-164"/>
    <x v="1"/>
    <x v="0"/>
    <x v="3"/>
    <x v="1"/>
    <x v="18"/>
    <s v="$178.83"/>
    <s v="Wednesday"/>
    <x v="11"/>
    <x v="0"/>
    <b v="0"/>
    <b v="1"/>
    <s v="Large Order"/>
    <n v="8.9415000000000013"/>
    <x v="21"/>
    <n v="3040.11"/>
    <m/>
  </r>
  <r>
    <s v="ORD-3144"/>
    <d v="2024-06-16T00:00:00"/>
    <s v="CUST-118"/>
    <x v="21"/>
    <x v="0"/>
    <x v="1"/>
    <x v="2"/>
    <x v="10"/>
    <s v="$32.94"/>
    <s v="Sunday"/>
    <x v="9"/>
    <x v="0"/>
    <b v="1"/>
    <b v="0"/>
    <s v="Standard order"/>
    <n v="1.647"/>
    <x v="10"/>
    <n v="230.57999999999998"/>
    <m/>
  </r>
  <r>
    <s v="ORD-3145"/>
    <d v="2024-08-23T00:00:00"/>
    <s v="CUST-149"/>
    <x v="10"/>
    <x v="2"/>
    <x v="0"/>
    <x v="0"/>
    <x v="8"/>
    <s v="$46.19"/>
    <s v="Friday"/>
    <x v="10"/>
    <x v="0"/>
    <b v="0"/>
    <b v="0"/>
    <s v="Standard order"/>
    <n v="2.3094999999999999"/>
    <x v="8"/>
    <n v="461.9"/>
    <m/>
  </r>
  <r>
    <s v="ORD-3146"/>
    <d v="2024-12-17T00:00:00"/>
    <s v="CUST-176"/>
    <x v="0"/>
    <x v="1"/>
    <x v="2"/>
    <x v="0"/>
    <x v="0"/>
    <s v="$146.06"/>
    <s v="Tuesday"/>
    <x v="1"/>
    <x v="0"/>
    <b v="0"/>
    <b v="0"/>
    <s v="Large Order"/>
    <n v="7.3030000000000008"/>
    <x v="14"/>
    <n v="584.24"/>
    <m/>
  </r>
  <r>
    <s v="ORD-3147"/>
    <d v="2024-12-03T00:00:00"/>
    <s v="CUST-195"/>
    <x v="14"/>
    <x v="0"/>
    <x v="1"/>
    <x v="3"/>
    <x v="10"/>
    <s v="$201.32"/>
    <s v="Tuesday"/>
    <x v="1"/>
    <x v="0"/>
    <b v="0"/>
    <b v="1"/>
    <s v="Large Order"/>
    <n v="10.066000000000001"/>
    <x v="2"/>
    <n v="1409.24"/>
    <m/>
  </r>
  <r>
    <s v="ORD-3148"/>
    <d v="2024-04-08T00:00:00"/>
    <s v="CUST-136"/>
    <x v="3"/>
    <x v="2"/>
    <x v="3"/>
    <x v="1"/>
    <x v="0"/>
    <s v="$84.57"/>
    <s v="Monday"/>
    <x v="2"/>
    <x v="0"/>
    <b v="0"/>
    <b v="0"/>
    <s v="Standard order"/>
    <n v="4.2284999999999995"/>
    <x v="19"/>
    <n v="338.28"/>
    <m/>
  </r>
  <r>
    <s v="ORD-3149"/>
    <d v="2024-03-21T00:00:00"/>
    <s v="CUST-135"/>
    <x v="19"/>
    <x v="0"/>
    <x v="1"/>
    <x v="4"/>
    <x v="18"/>
    <s v="$145.48"/>
    <s v="Thursday"/>
    <x v="4"/>
    <x v="0"/>
    <b v="0"/>
    <b v="1"/>
    <s v="Large Order"/>
    <n v="7.274"/>
    <x v="23"/>
    <n v="2473.16"/>
    <m/>
  </r>
  <r>
    <s v="ORD-3150"/>
    <d v="2024-10-04T00:00:00"/>
    <s v="CUST-144"/>
    <x v="23"/>
    <x v="1"/>
    <x v="3"/>
    <x v="2"/>
    <x v="8"/>
    <s v="$133.37"/>
    <s v="Friday"/>
    <x v="3"/>
    <x v="0"/>
    <b v="0"/>
    <b v="1"/>
    <s v="Large Order"/>
    <n v="6.6685000000000008"/>
    <x v="14"/>
    <n v="1333.7"/>
    <m/>
  </r>
  <r>
    <s v="ORD-3151"/>
    <d v="2024-03-28T00:00:00"/>
    <s v="CUST-109"/>
    <x v="14"/>
    <x v="2"/>
    <x v="3"/>
    <x v="4"/>
    <x v="12"/>
    <s v="$201.32"/>
    <s v="Thursday"/>
    <x v="4"/>
    <x v="0"/>
    <b v="0"/>
    <b v="1"/>
    <s v="Large Order"/>
    <n v="10.066000000000001"/>
    <x v="5"/>
    <n v="3019.7999999999997"/>
    <m/>
  </r>
  <r>
    <s v="ORD-3152"/>
    <d v="2024-01-15T00:00:00"/>
    <s v="CUST-160"/>
    <x v="6"/>
    <x v="0"/>
    <x v="0"/>
    <x v="1"/>
    <x v="4"/>
    <s v="$86.6"/>
    <s v="Monday"/>
    <x v="6"/>
    <x v="0"/>
    <b v="0"/>
    <b v="0"/>
    <s v="Standard order"/>
    <n v="4.33"/>
    <x v="10"/>
    <n v="173.2"/>
    <m/>
  </r>
  <r>
    <s v="ORD-3153"/>
    <d v="2024-07-19T00:00:00"/>
    <s v="CUST-122"/>
    <x v="10"/>
    <x v="2"/>
    <x v="1"/>
    <x v="1"/>
    <x v="19"/>
    <s v="$46.19"/>
    <s v="Friday"/>
    <x v="8"/>
    <x v="0"/>
    <b v="0"/>
    <b v="1"/>
    <s v="Large Order"/>
    <n v="2.3094999999999999"/>
    <x v="10"/>
    <n v="923.8"/>
    <m/>
  </r>
  <r>
    <s v="ORD-3154"/>
    <d v="2024-06-19T00:00:00"/>
    <s v="CUST-125"/>
    <x v="10"/>
    <x v="2"/>
    <x v="1"/>
    <x v="0"/>
    <x v="12"/>
    <s v="$46.19"/>
    <s v="Wednesday"/>
    <x v="9"/>
    <x v="0"/>
    <b v="0"/>
    <b v="0"/>
    <s v="Large Order"/>
    <n v="2.3094999999999999"/>
    <x v="12"/>
    <n v="692.84999999999991"/>
    <m/>
  </r>
  <r>
    <s v="ORD-3155"/>
    <d v="2024-02-17T00:00:00"/>
    <s v="CUST-189"/>
    <x v="12"/>
    <x v="0"/>
    <x v="2"/>
    <x v="3"/>
    <x v="12"/>
    <s v="$211.9"/>
    <s v="Saturday"/>
    <x v="5"/>
    <x v="0"/>
    <b v="1"/>
    <b v="1"/>
    <s v="Large Order"/>
    <n v="10.595000000000001"/>
    <x v="20"/>
    <n v="3178.5"/>
    <m/>
  </r>
  <r>
    <s v="ORD-3156"/>
    <d v="2024-04-24T00:00:00"/>
    <s v="CUST-118"/>
    <x v="20"/>
    <x v="1"/>
    <x v="3"/>
    <x v="1"/>
    <x v="6"/>
    <s v="$81.02"/>
    <s v="Wednesday"/>
    <x v="2"/>
    <x v="0"/>
    <b v="0"/>
    <b v="0"/>
    <s v="Standard order"/>
    <n v="4.0510000000000002"/>
    <x v="13"/>
    <n v="486.12"/>
    <m/>
  </r>
  <r>
    <s v="ORD-3157"/>
    <d v="2024-12-06T00:00:00"/>
    <s v="CUST-142"/>
    <x v="13"/>
    <x v="1"/>
    <x v="2"/>
    <x v="0"/>
    <x v="13"/>
    <s v="$156.44"/>
    <s v="Friday"/>
    <x v="1"/>
    <x v="0"/>
    <b v="0"/>
    <b v="0"/>
    <s v="Standard order"/>
    <n v="7.8220000000000001"/>
    <x v="12"/>
    <n v="469.32"/>
    <m/>
  </r>
  <r>
    <s v="ORD-3158"/>
    <d v="2024-06-28T00:00:00"/>
    <s v="CUST-161"/>
    <x v="12"/>
    <x v="0"/>
    <x v="3"/>
    <x v="3"/>
    <x v="19"/>
    <s v="$211.9"/>
    <s v="Friday"/>
    <x v="9"/>
    <x v="0"/>
    <b v="0"/>
    <b v="1"/>
    <s v="Large Order"/>
    <n v="10.595000000000001"/>
    <x v="3"/>
    <n v="4238"/>
    <m/>
  </r>
  <r>
    <s v="ORD-3159"/>
    <d v="2024-09-17T00:00:00"/>
    <s v="CUST-113"/>
    <x v="4"/>
    <x v="2"/>
    <x v="0"/>
    <x v="3"/>
    <x v="15"/>
    <s v="$230.34"/>
    <s v="Tuesday"/>
    <x v="11"/>
    <x v="0"/>
    <b v="0"/>
    <b v="1"/>
    <s v="Large Order"/>
    <n v="11.517000000000001"/>
    <x v="12"/>
    <n v="4146.12"/>
    <m/>
  </r>
  <r>
    <s v="ORD-3160"/>
    <d v="2024-06-03T00:00:00"/>
    <s v="CUST-168"/>
    <x v="12"/>
    <x v="1"/>
    <x v="1"/>
    <x v="1"/>
    <x v="7"/>
    <s v="$211.9"/>
    <s v="Monday"/>
    <x v="9"/>
    <x v="0"/>
    <b v="0"/>
    <b v="1"/>
    <s v="Large Order"/>
    <n v="10.595000000000001"/>
    <x v="4"/>
    <n v="1695.2"/>
    <m/>
  </r>
  <r>
    <s v="ORD-3161"/>
    <d v="2024-10-07T00:00:00"/>
    <s v="CUST-120"/>
    <x v="5"/>
    <x v="1"/>
    <x v="0"/>
    <x v="3"/>
    <x v="10"/>
    <s v="$64.61"/>
    <s v="Monday"/>
    <x v="3"/>
    <x v="0"/>
    <b v="0"/>
    <b v="0"/>
    <s v="Standard order"/>
    <n v="3.2305000000000001"/>
    <x v="17"/>
    <n v="452.27"/>
    <m/>
  </r>
  <r>
    <s v="ORD-3162"/>
    <d v="2024-10-29T00:00:00"/>
    <s v="CUST-155"/>
    <x v="17"/>
    <x v="2"/>
    <x v="3"/>
    <x v="4"/>
    <x v="7"/>
    <s v="$26.59"/>
    <s v="Tuesday"/>
    <x v="3"/>
    <x v="0"/>
    <b v="0"/>
    <b v="0"/>
    <s v="Standard order"/>
    <n v="1.3295000000000001"/>
    <x v="16"/>
    <n v="212.72"/>
    <m/>
  </r>
  <r>
    <s v="ORD-3163"/>
    <d v="2024-12-08T00:00:00"/>
    <s v="CUST-109"/>
    <x v="16"/>
    <x v="2"/>
    <x v="1"/>
    <x v="1"/>
    <x v="0"/>
    <s v="$130.07"/>
    <s v="Sunday"/>
    <x v="1"/>
    <x v="0"/>
    <b v="1"/>
    <b v="0"/>
    <s v="Large Order"/>
    <n v="6.5034999999999998"/>
    <x v="23"/>
    <n v="520.28"/>
    <m/>
  </r>
  <r>
    <s v="ORD-3164"/>
    <d v="2024-08-25T00:00:00"/>
    <s v="CUST-141"/>
    <x v="23"/>
    <x v="0"/>
    <x v="2"/>
    <x v="2"/>
    <x v="8"/>
    <s v="$133.37"/>
    <s v="Sunday"/>
    <x v="10"/>
    <x v="0"/>
    <b v="1"/>
    <b v="1"/>
    <s v="Large Order"/>
    <n v="6.6685000000000008"/>
    <x v="19"/>
    <n v="1333.7"/>
    <m/>
  </r>
  <r>
    <s v="ORD-3165"/>
    <d v="2024-02-05T00:00:00"/>
    <s v="CUST-176"/>
    <x v="19"/>
    <x v="2"/>
    <x v="1"/>
    <x v="1"/>
    <x v="9"/>
    <s v="$145.48"/>
    <s v="Monday"/>
    <x v="5"/>
    <x v="0"/>
    <b v="0"/>
    <b v="1"/>
    <s v="Large Order"/>
    <n v="7.274"/>
    <x v="8"/>
    <n v="1600.28"/>
    <m/>
  </r>
  <r>
    <s v="ORD-3166"/>
    <d v="2024-12-04T00:00:00"/>
    <s v="CUST-107"/>
    <x v="0"/>
    <x v="0"/>
    <x v="4"/>
    <x v="4"/>
    <x v="1"/>
    <s v="$146.06"/>
    <s v="Wednesday"/>
    <x v="1"/>
    <x v="0"/>
    <b v="0"/>
    <b v="0"/>
    <s v="Standard order"/>
    <n v="7.3030000000000008"/>
    <x v="12"/>
    <n v="146.06"/>
    <m/>
  </r>
  <r>
    <s v="ORD-3167"/>
    <d v="2024-12-04T00:00:00"/>
    <s v="CUST-119"/>
    <x v="12"/>
    <x v="2"/>
    <x v="3"/>
    <x v="1"/>
    <x v="19"/>
    <s v="$211.9"/>
    <s v="Wednesday"/>
    <x v="1"/>
    <x v="0"/>
    <b v="0"/>
    <b v="1"/>
    <s v="Large Order"/>
    <n v="10.595000000000001"/>
    <x v="5"/>
    <n v="4238"/>
    <m/>
  </r>
  <r>
    <s v="ORD-3168"/>
    <d v="2024-04-10T00:00:00"/>
    <s v="CUST-126"/>
    <x v="6"/>
    <x v="1"/>
    <x v="3"/>
    <x v="4"/>
    <x v="8"/>
    <s v="$86.6"/>
    <s v="Wednesday"/>
    <x v="2"/>
    <x v="0"/>
    <b v="0"/>
    <b v="1"/>
    <s v="Large Order"/>
    <n v="4.33"/>
    <x v="7"/>
    <n v="866"/>
    <m/>
  </r>
  <r>
    <s v="ORD-3169"/>
    <d v="2024-08-10T00:00:00"/>
    <s v="CUST-191"/>
    <x v="8"/>
    <x v="0"/>
    <x v="1"/>
    <x v="0"/>
    <x v="19"/>
    <s v="$208.85"/>
    <s v="Saturday"/>
    <x v="10"/>
    <x v="0"/>
    <b v="1"/>
    <b v="1"/>
    <s v="Large Order"/>
    <n v="10.442500000000001"/>
    <x v="14"/>
    <n v="4177"/>
    <m/>
  </r>
  <r>
    <s v="ORD-3170"/>
    <d v="2024-07-25T00:00:00"/>
    <s v="CUST-116"/>
    <x v="14"/>
    <x v="0"/>
    <x v="3"/>
    <x v="4"/>
    <x v="4"/>
    <s v="$201.32"/>
    <s v="Thursday"/>
    <x v="8"/>
    <x v="0"/>
    <b v="0"/>
    <b v="0"/>
    <s v="Standard order"/>
    <n v="10.066000000000001"/>
    <x v="19"/>
    <n v="402.64"/>
    <m/>
  </r>
  <r>
    <s v="ORD-3171"/>
    <d v="2024-10-13T00:00:00"/>
    <s v="CUST-145"/>
    <x v="19"/>
    <x v="1"/>
    <x v="0"/>
    <x v="2"/>
    <x v="3"/>
    <s v="$145.48"/>
    <s v="Sunday"/>
    <x v="3"/>
    <x v="0"/>
    <b v="1"/>
    <b v="1"/>
    <s v="Large Order"/>
    <n v="7.274"/>
    <x v="13"/>
    <n v="2036.7199999999998"/>
    <m/>
  </r>
  <r>
    <s v="ORD-3172"/>
    <d v="2024-07-20T00:00:00"/>
    <s v="CUST-180"/>
    <x v="13"/>
    <x v="2"/>
    <x v="2"/>
    <x v="1"/>
    <x v="11"/>
    <s v="$156.44"/>
    <s v="Saturday"/>
    <x v="8"/>
    <x v="0"/>
    <b v="1"/>
    <b v="1"/>
    <s v="Large Order"/>
    <n v="7.8220000000000001"/>
    <x v="6"/>
    <n v="2033.72"/>
    <m/>
  </r>
  <r>
    <s v="ORD-3173"/>
    <d v="2024-04-18T00:00:00"/>
    <s v="CUST-184"/>
    <x v="7"/>
    <x v="1"/>
    <x v="4"/>
    <x v="2"/>
    <x v="15"/>
    <s v="$107.34"/>
    <s v="Thursday"/>
    <x v="2"/>
    <x v="0"/>
    <b v="0"/>
    <b v="1"/>
    <s v="Large Order"/>
    <n v="5.3670000000000009"/>
    <x v="0"/>
    <n v="1932.1200000000001"/>
    <m/>
  </r>
  <r>
    <s v="ORD-3174"/>
    <d v="2024-07-03T00:00:00"/>
    <s v="CUST-153"/>
    <x v="1"/>
    <x v="1"/>
    <x v="4"/>
    <x v="2"/>
    <x v="1"/>
    <s v="$178.83"/>
    <s v="Wednesday"/>
    <x v="8"/>
    <x v="0"/>
    <b v="0"/>
    <b v="0"/>
    <s v="Standard order"/>
    <n v="8.9415000000000013"/>
    <x v="16"/>
    <n v="178.83"/>
    <m/>
  </r>
  <r>
    <s v="ORD-3175"/>
    <d v="2024-01-09T00:00:00"/>
    <s v="CUST-118"/>
    <x v="16"/>
    <x v="1"/>
    <x v="2"/>
    <x v="2"/>
    <x v="13"/>
    <s v="$130.07"/>
    <s v="Tuesday"/>
    <x v="6"/>
    <x v="0"/>
    <b v="0"/>
    <b v="0"/>
    <s v="Standard order"/>
    <n v="6.5034999999999998"/>
    <x v="10"/>
    <n v="390.21"/>
    <m/>
  </r>
  <r>
    <s v="ORD-3176"/>
    <d v="2024-07-31T00:00:00"/>
    <s v="CUST-158"/>
    <x v="10"/>
    <x v="2"/>
    <x v="2"/>
    <x v="4"/>
    <x v="6"/>
    <s v="$46.19"/>
    <s v="Wednesday"/>
    <x v="8"/>
    <x v="0"/>
    <b v="0"/>
    <b v="0"/>
    <s v="Standard order"/>
    <n v="2.3094999999999999"/>
    <x v="12"/>
    <n v="277.14"/>
    <m/>
  </r>
  <r>
    <s v="ORD-3177"/>
    <d v="2024-08-05T00:00:00"/>
    <s v="CUST-170"/>
    <x v="12"/>
    <x v="1"/>
    <x v="3"/>
    <x v="2"/>
    <x v="6"/>
    <s v="$211.9"/>
    <s v="Monday"/>
    <x v="10"/>
    <x v="0"/>
    <b v="0"/>
    <b v="1"/>
    <s v="Large Order"/>
    <n v="10.595000000000001"/>
    <x v="4"/>
    <n v="1271.4000000000001"/>
    <m/>
  </r>
  <r>
    <s v="ORD-3178"/>
    <d v="2024-01-04T00:00:00"/>
    <s v="CUST-173"/>
    <x v="5"/>
    <x v="2"/>
    <x v="4"/>
    <x v="4"/>
    <x v="14"/>
    <s v="$64.61"/>
    <s v="Thursday"/>
    <x v="6"/>
    <x v="0"/>
    <b v="0"/>
    <b v="0"/>
    <s v="Large Order"/>
    <n v="3.2305000000000001"/>
    <x v="7"/>
    <n v="581.49"/>
    <m/>
  </r>
  <r>
    <s v="ORD-3179"/>
    <d v="2024-10-06T00:00:00"/>
    <s v="CUST-173"/>
    <x v="8"/>
    <x v="0"/>
    <x v="0"/>
    <x v="4"/>
    <x v="17"/>
    <s v="$208.85"/>
    <s v="Sunday"/>
    <x v="3"/>
    <x v="0"/>
    <b v="1"/>
    <b v="1"/>
    <s v="Large Order"/>
    <n v="10.442500000000001"/>
    <x v="4"/>
    <n v="3341.6"/>
    <m/>
  </r>
  <r>
    <s v="ORD-3180"/>
    <d v="2024-02-27T00:00:00"/>
    <s v="CUST-174"/>
    <x v="5"/>
    <x v="2"/>
    <x v="0"/>
    <x v="2"/>
    <x v="18"/>
    <s v="$64.61"/>
    <s v="Tuesday"/>
    <x v="5"/>
    <x v="0"/>
    <b v="0"/>
    <b v="1"/>
    <s v="Large Order"/>
    <n v="3.2305000000000001"/>
    <x v="22"/>
    <n v="1098.3699999999999"/>
    <m/>
  </r>
  <r>
    <s v="ORD-3181"/>
    <d v="2024-05-23T00:00:00"/>
    <s v="CUST-159"/>
    <x v="22"/>
    <x v="0"/>
    <x v="1"/>
    <x v="4"/>
    <x v="13"/>
    <s v="$149.27"/>
    <s v="Thursday"/>
    <x v="7"/>
    <x v="0"/>
    <b v="0"/>
    <b v="0"/>
    <s v="Standard order"/>
    <n v="7.4635000000000007"/>
    <x v="5"/>
    <n v="447.81000000000006"/>
    <m/>
  </r>
  <r>
    <s v="ORD-3182"/>
    <d v="2024-11-18T00:00:00"/>
    <s v="CUST-194"/>
    <x v="6"/>
    <x v="2"/>
    <x v="0"/>
    <x v="4"/>
    <x v="16"/>
    <s v="$86.6"/>
    <s v="Monday"/>
    <x v="0"/>
    <x v="0"/>
    <b v="0"/>
    <b v="1"/>
    <s v="Large Order"/>
    <n v="4.33"/>
    <x v="23"/>
    <n v="1645.3999999999999"/>
    <m/>
  </r>
  <r>
    <s v="ORD-3183"/>
    <d v="2024-01-28T00:00:00"/>
    <s v="CUST-143"/>
    <x v="23"/>
    <x v="0"/>
    <x v="2"/>
    <x v="1"/>
    <x v="18"/>
    <s v="$133.37"/>
    <s v="Sunday"/>
    <x v="6"/>
    <x v="0"/>
    <b v="1"/>
    <b v="1"/>
    <s v="Large Order"/>
    <n v="6.6685000000000008"/>
    <x v="13"/>
    <n v="2267.29"/>
    <m/>
  </r>
  <r>
    <s v="ORD-3184"/>
    <d v="2024-10-20T00:00:00"/>
    <s v="CUST-193"/>
    <x v="13"/>
    <x v="1"/>
    <x v="3"/>
    <x v="3"/>
    <x v="8"/>
    <s v="$156.44"/>
    <s v="Sunday"/>
    <x v="3"/>
    <x v="0"/>
    <b v="1"/>
    <b v="1"/>
    <s v="Large Order"/>
    <n v="7.8220000000000001"/>
    <x v="16"/>
    <n v="1564.4"/>
    <m/>
  </r>
  <r>
    <s v="ORD-3185"/>
    <d v="2024-12-21T00:00:00"/>
    <s v="CUST-176"/>
    <x v="16"/>
    <x v="1"/>
    <x v="1"/>
    <x v="3"/>
    <x v="4"/>
    <s v="$130.07"/>
    <s v="Saturday"/>
    <x v="1"/>
    <x v="0"/>
    <b v="1"/>
    <b v="0"/>
    <s v="Standard order"/>
    <n v="6.5034999999999998"/>
    <x v="9"/>
    <n v="260.14"/>
    <m/>
  </r>
  <r>
    <s v="ORD-3186"/>
    <d v="2024-10-23T00:00:00"/>
    <s v="CUST-121"/>
    <x v="9"/>
    <x v="0"/>
    <x v="3"/>
    <x v="4"/>
    <x v="1"/>
    <s v="$101.96"/>
    <s v="Wednesday"/>
    <x v="3"/>
    <x v="0"/>
    <b v="0"/>
    <b v="0"/>
    <s v="Standard order"/>
    <n v="5.0979999999999999"/>
    <x v="22"/>
    <n v="101.96"/>
    <m/>
  </r>
  <r>
    <s v="ORD-3187"/>
    <d v="2024-02-12T00:00:00"/>
    <s v="CUST-116"/>
    <x v="22"/>
    <x v="0"/>
    <x v="3"/>
    <x v="3"/>
    <x v="2"/>
    <s v="$149.27"/>
    <s v="Monday"/>
    <x v="5"/>
    <x v="0"/>
    <b v="0"/>
    <b v="0"/>
    <s v="Large Order"/>
    <n v="7.4635000000000007"/>
    <x v="18"/>
    <n v="746.35"/>
    <m/>
  </r>
  <r>
    <s v="ORD-3188"/>
    <d v="2024-05-20T00:00:00"/>
    <s v="CUST-132"/>
    <x v="18"/>
    <x v="2"/>
    <x v="0"/>
    <x v="4"/>
    <x v="6"/>
    <s v="$230.68"/>
    <s v="Monday"/>
    <x v="7"/>
    <x v="0"/>
    <b v="0"/>
    <b v="1"/>
    <s v="Large Order"/>
    <n v="11.534000000000001"/>
    <x v="12"/>
    <n v="1384.08"/>
    <m/>
  </r>
  <r>
    <s v="ORD-3189"/>
    <d v="2024-03-18T00:00:00"/>
    <s v="CUST-184"/>
    <x v="12"/>
    <x v="1"/>
    <x v="4"/>
    <x v="3"/>
    <x v="7"/>
    <s v="$211.9"/>
    <s v="Monday"/>
    <x v="4"/>
    <x v="0"/>
    <b v="0"/>
    <b v="1"/>
    <s v="Large Order"/>
    <n v="10.595000000000001"/>
    <x v="13"/>
    <n v="1695.2"/>
    <m/>
  </r>
  <r>
    <s v="ORD-3190"/>
    <d v="2024-09-27T00:00:00"/>
    <s v="CUST-104"/>
    <x v="13"/>
    <x v="0"/>
    <x v="4"/>
    <x v="4"/>
    <x v="2"/>
    <s v="$156.44"/>
    <s v="Friday"/>
    <x v="11"/>
    <x v="0"/>
    <b v="0"/>
    <b v="0"/>
    <s v="Large Order"/>
    <n v="7.8220000000000001"/>
    <x v="3"/>
    <n v="782.2"/>
    <m/>
  </r>
  <r>
    <s v="ORD-3191"/>
    <d v="2024-07-30T00:00:00"/>
    <s v="CUST-198"/>
    <x v="4"/>
    <x v="0"/>
    <x v="2"/>
    <x v="2"/>
    <x v="10"/>
    <s v="$230.34"/>
    <s v="Tuesday"/>
    <x v="8"/>
    <x v="0"/>
    <b v="0"/>
    <b v="1"/>
    <s v="Large Order"/>
    <n v="11.517000000000001"/>
    <x v="1"/>
    <n v="1612.38"/>
    <m/>
  </r>
  <r>
    <s v="ORD-3192"/>
    <d v="2024-06-25T00:00:00"/>
    <s v="CUST-106"/>
    <x v="2"/>
    <x v="1"/>
    <x v="0"/>
    <x v="0"/>
    <x v="6"/>
    <s v="$88.18"/>
    <s v="Tuesday"/>
    <x v="9"/>
    <x v="0"/>
    <b v="0"/>
    <b v="0"/>
    <s v="Large Order"/>
    <n v="4.4090000000000007"/>
    <x v="4"/>
    <n v="529.08000000000004"/>
    <m/>
  </r>
  <r>
    <s v="ORD-3193"/>
    <d v="2024-08-31T00:00:00"/>
    <s v="CUST-138"/>
    <x v="5"/>
    <x v="2"/>
    <x v="1"/>
    <x v="2"/>
    <x v="11"/>
    <s v="$64.61"/>
    <s v="Saturday"/>
    <x v="10"/>
    <x v="0"/>
    <b v="1"/>
    <b v="1"/>
    <s v="Large Order"/>
    <n v="3.2305000000000001"/>
    <x v="2"/>
    <n v="839.93"/>
    <m/>
  </r>
  <r>
    <s v="ORD-3194"/>
    <d v="2024-07-18T00:00:00"/>
    <s v="CUST-160"/>
    <x v="3"/>
    <x v="0"/>
    <x v="1"/>
    <x v="1"/>
    <x v="1"/>
    <s v="$84.57"/>
    <s v="Thursday"/>
    <x v="8"/>
    <x v="0"/>
    <b v="0"/>
    <b v="0"/>
    <s v="Standard order"/>
    <n v="4.2284999999999995"/>
    <x v="5"/>
    <n v="84.57"/>
    <m/>
  </r>
  <r>
    <s v="ORD-3195"/>
    <d v="2024-08-17T00:00:00"/>
    <s v="CUST-148"/>
    <x v="6"/>
    <x v="1"/>
    <x v="1"/>
    <x v="0"/>
    <x v="0"/>
    <s v="$86.6"/>
    <s v="Saturday"/>
    <x v="10"/>
    <x v="0"/>
    <b v="1"/>
    <b v="0"/>
    <s v="Standard order"/>
    <n v="4.33"/>
    <x v="17"/>
    <n v="346.4"/>
    <m/>
  </r>
  <r>
    <s v="ORD-3196"/>
    <d v="2024-11-22T00:00:00"/>
    <s v="CUST-145"/>
    <x v="17"/>
    <x v="2"/>
    <x v="3"/>
    <x v="3"/>
    <x v="14"/>
    <s v="$26.59"/>
    <s v="Friday"/>
    <x v="0"/>
    <x v="0"/>
    <b v="0"/>
    <b v="0"/>
    <s v="Standard order"/>
    <n v="1.3295000000000001"/>
    <x v="1"/>
    <n v="239.31"/>
    <m/>
  </r>
  <r>
    <s v="ORD-3197"/>
    <d v="2024-02-20T00:00:00"/>
    <s v="CUST-132"/>
    <x v="2"/>
    <x v="2"/>
    <x v="2"/>
    <x v="1"/>
    <x v="7"/>
    <s v="$88.18"/>
    <s v="Tuesday"/>
    <x v="5"/>
    <x v="0"/>
    <b v="0"/>
    <b v="0"/>
    <s v="Large Order"/>
    <n v="4.4090000000000007"/>
    <x v="11"/>
    <n v="705.44"/>
    <m/>
  </r>
  <r>
    <s v="ORD-3198"/>
    <d v="2024-10-28T00:00:00"/>
    <s v="CUST-198"/>
    <x v="11"/>
    <x v="2"/>
    <x v="3"/>
    <x v="2"/>
    <x v="9"/>
    <s v="$33.22"/>
    <s v="Monday"/>
    <x v="3"/>
    <x v="0"/>
    <b v="0"/>
    <b v="0"/>
    <s v="Standard order"/>
    <n v="1.661"/>
    <x v="8"/>
    <n v="365.41999999999996"/>
    <m/>
  </r>
  <r>
    <s v="ORD-3199"/>
    <d v="2024-12-10T00:00:00"/>
    <s v="CUST-101"/>
    <x v="0"/>
    <x v="0"/>
    <x v="2"/>
    <x v="0"/>
    <x v="18"/>
    <s v="$146.06"/>
    <s v="Tuesday"/>
    <x v="1"/>
    <x v="0"/>
    <b v="0"/>
    <b v="1"/>
    <s v="Large Order"/>
    <n v="7.3030000000000008"/>
    <x v="24"/>
    <n v="2483.02"/>
    <m/>
  </r>
  <r>
    <s v="ORD-3200"/>
    <d v="2024-08-16T00:00:00"/>
    <s v="CUST-144"/>
    <x v="24"/>
    <x v="2"/>
    <x v="3"/>
    <x v="3"/>
    <x v="10"/>
    <s v="$10.11"/>
    <s v="Friday"/>
    <x v="10"/>
    <x v="0"/>
    <b v="0"/>
    <b v="0"/>
    <s v="Standard order"/>
    <n v="0.50549999999999995"/>
    <x v="15"/>
    <n v="70.77"/>
    <m/>
  </r>
  <r>
    <s v="ORD-3201"/>
    <d v="2024-11-13T00:00:00"/>
    <s v="CUST-111"/>
    <x v="15"/>
    <x v="2"/>
    <x v="4"/>
    <x v="4"/>
    <x v="0"/>
    <s v="$216.22"/>
    <s v="Wednesday"/>
    <x v="0"/>
    <x v="0"/>
    <b v="0"/>
    <b v="0"/>
    <s v="Large Order"/>
    <n v="10.811"/>
    <x v="20"/>
    <n v="864.88"/>
    <m/>
  </r>
  <r>
    <s v="ORD-3202"/>
    <d v="2024-03-02T00:00:00"/>
    <s v="CUST-111"/>
    <x v="20"/>
    <x v="0"/>
    <x v="2"/>
    <x v="4"/>
    <x v="6"/>
    <s v="$81.02"/>
    <s v="Saturday"/>
    <x v="4"/>
    <x v="0"/>
    <b v="1"/>
    <b v="0"/>
    <s v="Standard order"/>
    <n v="4.0510000000000002"/>
    <x v="2"/>
    <n v="486.12"/>
    <m/>
  </r>
  <r>
    <s v="ORD-3203"/>
    <d v="2024-12-22T00:00:00"/>
    <s v="CUST-123"/>
    <x v="3"/>
    <x v="1"/>
    <x v="2"/>
    <x v="0"/>
    <x v="12"/>
    <s v="$84.57"/>
    <s v="Sunday"/>
    <x v="1"/>
    <x v="0"/>
    <b v="1"/>
    <b v="1"/>
    <s v="Large Order"/>
    <n v="4.2284999999999995"/>
    <x v="17"/>
    <n v="1268.55"/>
    <m/>
  </r>
  <r>
    <s v="ORD-3204"/>
    <d v="2024-05-21T00:00:00"/>
    <s v="CUST-198"/>
    <x v="17"/>
    <x v="2"/>
    <x v="3"/>
    <x v="3"/>
    <x v="6"/>
    <s v="$26.59"/>
    <s v="Tuesday"/>
    <x v="7"/>
    <x v="0"/>
    <b v="0"/>
    <b v="0"/>
    <s v="Standard order"/>
    <n v="1.3295000000000001"/>
    <x v="15"/>
    <n v="159.54"/>
    <m/>
  </r>
  <r>
    <s v="ORD-3205"/>
    <d v="2024-05-21T00:00:00"/>
    <s v="CUST-199"/>
    <x v="15"/>
    <x v="1"/>
    <x v="2"/>
    <x v="3"/>
    <x v="4"/>
    <s v="$216.22"/>
    <s v="Tuesday"/>
    <x v="7"/>
    <x v="0"/>
    <b v="0"/>
    <b v="0"/>
    <s v="Standard order"/>
    <n v="10.811"/>
    <x v="12"/>
    <n v="432.44"/>
    <m/>
  </r>
  <r>
    <s v="ORD-3206"/>
    <d v="2024-05-15T00:00:00"/>
    <s v="CUST-122"/>
    <x v="12"/>
    <x v="0"/>
    <x v="2"/>
    <x v="2"/>
    <x v="19"/>
    <s v="$211.9"/>
    <s v="Wednesday"/>
    <x v="7"/>
    <x v="0"/>
    <b v="0"/>
    <b v="1"/>
    <s v="Large Order"/>
    <n v="10.595000000000001"/>
    <x v="19"/>
    <n v="4238"/>
    <m/>
  </r>
  <r>
    <s v="ORD-3207"/>
    <d v="2024-11-26T00:00:00"/>
    <s v="CUST-162"/>
    <x v="19"/>
    <x v="0"/>
    <x v="1"/>
    <x v="1"/>
    <x v="10"/>
    <s v="$145.48"/>
    <s v="Tuesday"/>
    <x v="0"/>
    <x v="0"/>
    <b v="0"/>
    <b v="1"/>
    <s v="Large Order"/>
    <n v="7.274"/>
    <x v="10"/>
    <n v="1018.3599999999999"/>
    <m/>
  </r>
  <r>
    <s v="ORD-3208"/>
    <d v="2024-02-24T00:00:00"/>
    <s v="CUST-156"/>
    <x v="10"/>
    <x v="1"/>
    <x v="0"/>
    <x v="0"/>
    <x v="13"/>
    <s v="$46.19"/>
    <s v="Saturday"/>
    <x v="5"/>
    <x v="0"/>
    <b v="1"/>
    <b v="0"/>
    <s v="Standard order"/>
    <n v="2.3094999999999999"/>
    <x v="12"/>
    <n v="138.57"/>
    <m/>
  </r>
  <r>
    <s v="ORD-3209"/>
    <d v="2024-05-08T00:00:00"/>
    <s v="CUST-199"/>
    <x v="12"/>
    <x v="0"/>
    <x v="2"/>
    <x v="2"/>
    <x v="1"/>
    <s v="$211.9"/>
    <s v="Wednesday"/>
    <x v="7"/>
    <x v="0"/>
    <b v="0"/>
    <b v="0"/>
    <s v="Standard order"/>
    <n v="10.595000000000001"/>
    <x v="2"/>
    <n v="211.9"/>
    <m/>
  </r>
  <r>
    <s v="ORD-3210"/>
    <d v="2024-12-06T00:00:00"/>
    <s v="CUST-149"/>
    <x v="3"/>
    <x v="0"/>
    <x v="3"/>
    <x v="1"/>
    <x v="16"/>
    <s v="$84.57"/>
    <s v="Friday"/>
    <x v="1"/>
    <x v="0"/>
    <b v="0"/>
    <b v="1"/>
    <s v="Large Order"/>
    <n v="4.2284999999999995"/>
    <x v="4"/>
    <n v="1606.83"/>
    <m/>
  </r>
  <r>
    <s v="ORD-3211"/>
    <d v="2024-12-28T00:00:00"/>
    <s v="CUST-198"/>
    <x v="5"/>
    <x v="1"/>
    <x v="2"/>
    <x v="1"/>
    <x v="13"/>
    <s v="$64.61"/>
    <s v="Saturday"/>
    <x v="1"/>
    <x v="0"/>
    <b v="1"/>
    <b v="0"/>
    <s v="Standard order"/>
    <n v="3.2305000000000001"/>
    <x v="10"/>
    <n v="193.82999999999998"/>
    <m/>
  </r>
  <r>
    <s v="ORD-3212"/>
    <d v="2024-01-02T00:00:00"/>
    <s v="CUST-149"/>
    <x v="10"/>
    <x v="1"/>
    <x v="0"/>
    <x v="4"/>
    <x v="15"/>
    <s v="$46.19"/>
    <s v="Tuesday"/>
    <x v="6"/>
    <x v="0"/>
    <b v="0"/>
    <b v="1"/>
    <s v="Large Order"/>
    <n v="2.3094999999999999"/>
    <x v="5"/>
    <n v="831.42"/>
    <m/>
  </r>
  <r>
    <s v="ORD-3213"/>
    <d v="2024-07-02T00:00:00"/>
    <s v="CUST-142"/>
    <x v="6"/>
    <x v="1"/>
    <x v="2"/>
    <x v="0"/>
    <x v="13"/>
    <s v="$86.6"/>
    <s v="Tuesday"/>
    <x v="8"/>
    <x v="0"/>
    <b v="0"/>
    <b v="0"/>
    <s v="Standard order"/>
    <n v="4.33"/>
    <x v="12"/>
    <n v="259.79999999999995"/>
    <m/>
  </r>
  <r>
    <s v="ORD-3214"/>
    <d v="2024-06-23T00:00:00"/>
    <s v="CUST-110"/>
    <x v="12"/>
    <x v="1"/>
    <x v="4"/>
    <x v="2"/>
    <x v="15"/>
    <s v="$211.9"/>
    <s v="Sunday"/>
    <x v="9"/>
    <x v="0"/>
    <b v="1"/>
    <b v="1"/>
    <s v="Large Order"/>
    <n v="10.595000000000001"/>
    <x v="11"/>
    <n v="3814.2000000000003"/>
    <m/>
  </r>
  <r>
    <s v="ORD-3215"/>
    <d v="2024-07-15T00:00:00"/>
    <s v="CUST-184"/>
    <x v="11"/>
    <x v="1"/>
    <x v="2"/>
    <x v="0"/>
    <x v="5"/>
    <s v="$33.22"/>
    <s v="Monday"/>
    <x v="8"/>
    <x v="0"/>
    <b v="0"/>
    <b v="0"/>
    <s v="Standard order"/>
    <n v="1.661"/>
    <x v="16"/>
    <n v="398.64"/>
    <m/>
  </r>
  <r>
    <s v="ORD-3216"/>
    <d v="2024-11-19T00:00:00"/>
    <s v="CUST-156"/>
    <x v="16"/>
    <x v="0"/>
    <x v="4"/>
    <x v="0"/>
    <x v="10"/>
    <s v="$130.07"/>
    <s v="Tuesday"/>
    <x v="0"/>
    <x v="0"/>
    <b v="0"/>
    <b v="1"/>
    <s v="Large Order"/>
    <n v="6.5034999999999998"/>
    <x v="4"/>
    <n v="910.49"/>
    <m/>
  </r>
  <r>
    <s v="ORD-3217"/>
    <d v="2024-10-30T00:00:00"/>
    <s v="CUST-130"/>
    <x v="5"/>
    <x v="1"/>
    <x v="0"/>
    <x v="4"/>
    <x v="8"/>
    <s v="$64.61"/>
    <s v="Wednesday"/>
    <x v="3"/>
    <x v="0"/>
    <b v="0"/>
    <b v="0"/>
    <s v="Large Order"/>
    <n v="3.2305000000000001"/>
    <x v="15"/>
    <n v="646.1"/>
    <m/>
  </r>
  <r>
    <s v="ORD-3218"/>
    <d v="2024-08-18T00:00:00"/>
    <s v="CUST-102"/>
    <x v="15"/>
    <x v="1"/>
    <x v="0"/>
    <x v="3"/>
    <x v="4"/>
    <s v="$216.22"/>
    <s v="Sunday"/>
    <x v="10"/>
    <x v="0"/>
    <b v="1"/>
    <b v="0"/>
    <s v="Standard order"/>
    <n v="10.811"/>
    <x v="5"/>
    <n v="432.44"/>
    <m/>
  </r>
  <r>
    <s v="ORD-3219"/>
    <d v="2024-04-18T00:00:00"/>
    <s v="CUST-183"/>
    <x v="6"/>
    <x v="2"/>
    <x v="2"/>
    <x v="4"/>
    <x v="2"/>
    <s v="$86.6"/>
    <s v="Thursday"/>
    <x v="2"/>
    <x v="0"/>
    <b v="0"/>
    <b v="0"/>
    <s v="Standard order"/>
    <n v="4.33"/>
    <x v="15"/>
    <n v="433"/>
    <m/>
  </r>
  <r>
    <s v="ORD-3220"/>
    <d v="2024-04-29T00:00:00"/>
    <s v="CUST-109"/>
    <x v="15"/>
    <x v="2"/>
    <x v="4"/>
    <x v="1"/>
    <x v="1"/>
    <s v="$216.22"/>
    <s v="Monday"/>
    <x v="2"/>
    <x v="0"/>
    <b v="0"/>
    <b v="0"/>
    <s v="Standard order"/>
    <n v="10.811"/>
    <x v="24"/>
    <n v="216.22"/>
    <m/>
  </r>
  <r>
    <s v="ORD-3221"/>
    <d v="2024-11-12T00:00:00"/>
    <s v="CUST-105"/>
    <x v="24"/>
    <x v="2"/>
    <x v="4"/>
    <x v="0"/>
    <x v="6"/>
    <s v="$10.11"/>
    <s v="Tuesday"/>
    <x v="0"/>
    <x v="0"/>
    <b v="0"/>
    <b v="0"/>
    <s v="Standard order"/>
    <n v="0.50549999999999995"/>
    <x v="12"/>
    <n v="60.66"/>
    <m/>
  </r>
  <r>
    <s v="ORD-3222"/>
    <d v="2024-06-06T00:00:00"/>
    <s v="CUST-112"/>
    <x v="12"/>
    <x v="2"/>
    <x v="4"/>
    <x v="4"/>
    <x v="13"/>
    <s v="$211.9"/>
    <s v="Thursday"/>
    <x v="9"/>
    <x v="0"/>
    <b v="0"/>
    <b v="0"/>
    <s v="Large Order"/>
    <n v="10.595000000000001"/>
    <x v="4"/>
    <n v="635.70000000000005"/>
    <m/>
  </r>
  <r>
    <s v="ORD-3223"/>
    <d v="2024-02-24T00:00:00"/>
    <s v="CUST-114"/>
    <x v="5"/>
    <x v="2"/>
    <x v="1"/>
    <x v="2"/>
    <x v="13"/>
    <s v="$64.61"/>
    <s v="Saturday"/>
    <x v="5"/>
    <x v="0"/>
    <b v="1"/>
    <b v="0"/>
    <s v="Standard order"/>
    <n v="3.2305000000000001"/>
    <x v="16"/>
    <n v="193.82999999999998"/>
    <m/>
  </r>
  <r>
    <s v="ORD-3224"/>
    <d v="2024-08-06T00:00:00"/>
    <s v="CUST-143"/>
    <x v="16"/>
    <x v="2"/>
    <x v="2"/>
    <x v="3"/>
    <x v="0"/>
    <s v="$130.07"/>
    <s v="Tuesday"/>
    <x v="10"/>
    <x v="0"/>
    <b v="0"/>
    <b v="0"/>
    <s v="Large Order"/>
    <n v="6.5034999999999998"/>
    <x v="0"/>
    <n v="520.28"/>
    <m/>
  </r>
  <r>
    <s v="ORD-3225"/>
    <d v="2024-10-21T00:00:00"/>
    <s v="CUST-169"/>
    <x v="1"/>
    <x v="1"/>
    <x v="4"/>
    <x v="0"/>
    <x v="16"/>
    <s v="$178.83"/>
    <s v="Monday"/>
    <x v="3"/>
    <x v="0"/>
    <b v="0"/>
    <b v="1"/>
    <s v="Large Order"/>
    <n v="8.9415000000000013"/>
    <x v="2"/>
    <n v="3397.7700000000004"/>
    <m/>
  </r>
  <r>
    <s v="ORD-3226"/>
    <d v="2024-02-02T00:00:00"/>
    <s v="CUST-115"/>
    <x v="3"/>
    <x v="0"/>
    <x v="2"/>
    <x v="2"/>
    <x v="5"/>
    <s v="$84.57"/>
    <s v="Friday"/>
    <x v="5"/>
    <x v="0"/>
    <b v="0"/>
    <b v="1"/>
    <s v="Large Order"/>
    <n v="4.2284999999999995"/>
    <x v="9"/>
    <n v="1014.8399999999999"/>
    <m/>
  </r>
  <r>
    <s v="ORD-3227"/>
    <d v="2024-08-12T00:00:00"/>
    <s v="CUST-131"/>
    <x v="9"/>
    <x v="0"/>
    <x v="4"/>
    <x v="0"/>
    <x v="19"/>
    <s v="$101.96"/>
    <s v="Monday"/>
    <x v="10"/>
    <x v="0"/>
    <b v="0"/>
    <b v="1"/>
    <s v="Large Order"/>
    <n v="5.0979999999999999"/>
    <x v="4"/>
    <n v="2039.1999999999998"/>
    <m/>
  </r>
  <r>
    <s v="ORD-3228"/>
    <d v="2024-03-21T00:00:00"/>
    <s v="CUST-102"/>
    <x v="5"/>
    <x v="0"/>
    <x v="0"/>
    <x v="0"/>
    <x v="6"/>
    <s v="$64.61"/>
    <s v="Thursday"/>
    <x v="4"/>
    <x v="0"/>
    <b v="0"/>
    <b v="0"/>
    <s v="Standard order"/>
    <n v="3.2305000000000001"/>
    <x v="9"/>
    <n v="387.65999999999997"/>
    <m/>
  </r>
  <r>
    <s v="ORD-3229"/>
    <d v="2024-12-27T00:00:00"/>
    <s v="CUST-183"/>
    <x v="9"/>
    <x v="1"/>
    <x v="2"/>
    <x v="1"/>
    <x v="2"/>
    <s v="$101.96"/>
    <s v="Friday"/>
    <x v="1"/>
    <x v="0"/>
    <b v="0"/>
    <b v="0"/>
    <s v="Large Order"/>
    <n v="5.0979999999999999"/>
    <x v="22"/>
    <n v="509.79999999999995"/>
    <m/>
  </r>
  <r>
    <s v="ORD-3230"/>
    <d v="2024-11-23T00:00:00"/>
    <s v="CUST-134"/>
    <x v="22"/>
    <x v="1"/>
    <x v="2"/>
    <x v="2"/>
    <x v="6"/>
    <s v="$149.27"/>
    <s v="Saturday"/>
    <x v="0"/>
    <x v="0"/>
    <b v="1"/>
    <b v="1"/>
    <s v="Large Order"/>
    <n v="7.4635000000000007"/>
    <x v="6"/>
    <n v="895.62000000000012"/>
    <m/>
  </r>
  <r>
    <s v="ORD-3231"/>
    <d v="2024-01-20T00:00:00"/>
    <s v="CUST-176"/>
    <x v="7"/>
    <x v="2"/>
    <x v="2"/>
    <x v="4"/>
    <x v="13"/>
    <s v="$107.34"/>
    <s v="Saturday"/>
    <x v="6"/>
    <x v="0"/>
    <b v="1"/>
    <b v="0"/>
    <s v="Standard order"/>
    <n v="5.3670000000000009"/>
    <x v="17"/>
    <n v="322.02"/>
    <m/>
  </r>
  <r>
    <s v="ORD-3232"/>
    <d v="2024-06-03T00:00:00"/>
    <s v="CUST-144"/>
    <x v="17"/>
    <x v="0"/>
    <x v="1"/>
    <x v="2"/>
    <x v="10"/>
    <s v="$26.59"/>
    <s v="Monday"/>
    <x v="9"/>
    <x v="0"/>
    <b v="0"/>
    <b v="0"/>
    <s v="Standard order"/>
    <n v="1.3295000000000001"/>
    <x v="20"/>
    <n v="186.13"/>
    <m/>
  </r>
  <r>
    <s v="ORD-3233"/>
    <d v="2024-09-28T00:00:00"/>
    <s v="CUST-112"/>
    <x v="20"/>
    <x v="1"/>
    <x v="1"/>
    <x v="4"/>
    <x v="7"/>
    <s v="$81.02"/>
    <s v="Saturday"/>
    <x v="11"/>
    <x v="0"/>
    <b v="1"/>
    <b v="0"/>
    <s v="Large Order"/>
    <n v="4.0510000000000002"/>
    <x v="11"/>
    <n v="648.16"/>
    <m/>
  </r>
  <r>
    <s v="ORD-3234"/>
    <d v="2024-11-16T00:00:00"/>
    <s v="CUST-184"/>
    <x v="11"/>
    <x v="1"/>
    <x v="0"/>
    <x v="2"/>
    <x v="0"/>
    <s v="$33.22"/>
    <s v="Saturday"/>
    <x v="0"/>
    <x v="0"/>
    <b v="1"/>
    <b v="0"/>
    <s v="Standard order"/>
    <n v="1.661"/>
    <x v="4"/>
    <n v="132.88"/>
    <m/>
  </r>
  <r>
    <s v="ORD-3235"/>
    <d v="2024-12-16T00:00:00"/>
    <s v="CUST-160"/>
    <x v="5"/>
    <x v="0"/>
    <x v="4"/>
    <x v="0"/>
    <x v="4"/>
    <s v="$64.61"/>
    <s v="Monday"/>
    <x v="1"/>
    <x v="0"/>
    <b v="0"/>
    <b v="0"/>
    <s v="Standard order"/>
    <n v="3.2305000000000001"/>
    <x v="17"/>
    <n v="129.22"/>
    <m/>
  </r>
  <r>
    <s v="ORD-3236"/>
    <d v="2024-05-25T00:00:00"/>
    <s v="CUST-126"/>
    <x v="17"/>
    <x v="1"/>
    <x v="3"/>
    <x v="4"/>
    <x v="12"/>
    <s v="$26.59"/>
    <s v="Saturday"/>
    <x v="7"/>
    <x v="0"/>
    <b v="1"/>
    <b v="0"/>
    <s v="Standard order"/>
    <n v="1.3295000000000001"/>
    <x v="6"/>
    <n v="398.85"/>
    <m/>
  </r>
  <r>
    <s v="ORD-3237"/>
    <d v="2024-01-27T00:00:00"/>
    <s v="CUST-168"/>
    <x v="7"/>
    <x v="0"/>
    <x v="0"/>
    <x v="1"/>
    <x v="18"/>
    <s v="$107.34"/>
    <s v="Saturday"/>
    <x v="6"/>
    <x v="0"/>
    <b v="1"/>
    <b v="1"/>
    <s v="Large Order"/>
    <n v="5.3670000000000009"/>
    <x v="12"/>
    <n v="1824.78"/>
    <m/>
  </r>
  <r>
    <s v="ORD-3238"/>
    <d v="2024-04-30T00:00:00"/>
    <s v="CUST-192"/>
    <x v="12"/>
    <x v="2"/>
    <x v="1"/>
    <x v="3"/>
    <x v="3"/>
    <s v="$211.9"/>
    <s v="Tuesday"/>
    <x v="2"/>
    <x v="0"/>
    <b v="0"/>
    <b v="1"/>
    <s v="Large Order"/>
    <n v="10.595000000000001"/>
    <x v="24"/>
    <n v="2966.6"/>
    <m/>
  </r>
  <r>
    <s v="ORD-3239"/>
    <d v="2024-12-12T00:00:00"/>
    <s v="CUST-141"/>
    <x v="24"/>
    <x v="0"/>
    <x v="3"/>
    <x v="2"/>
    <x v="0"/>
    <s v="$10.11"/>
    <s v="Thursday"/>
    <x v="1"/>
    <x v="0"/>
    <b v="0"/>
    <b v="0"/>
    <s v="Standard order"/>
    <n v="0.50549999999999995"/>
    <x v="3"/>
    <n v="40.44"/>
    <m/>
  </r>
  <r>
    <s v="ORD-3240"/>
    <d v="2024-07-30T00:00:00"/>
    <s v="CUST-125"/>
    <x v="4"/>
    <x v="0"/>
    <x v="0"/>
    <x v="1"/>
    <x v="16"/>
    <s v="$230.34"/>
    <s v="Tuesday"/>
    <x v="8"/>
    <x v="0"/>
    <b v="0"/>
    <b v="1"/>
    <s v="Large Order"/>
    <n v="11.517000000000001"/>
    <x v="11"/>
    <n v="4376.46"/>
    <m/>
  </r>
  <r>
    <s v="ORD-3241"/>
    <d v="2024-08-11T00:00:00"/>
    <s v="CUST-118"/>
    <x v="11"/>
    <x v="2"/>
    <x v="2"/>
    <x v="2"/>
    <x v="11"/>
    <s v="$33.22"/>
    <s v="Sunday"/>
    <x v="10"/>
    <x v="0"/>
    <b v="1"/>
    <b v="0"/>
    <s v="Standard order"/>
    <n v="1.661"/>
    <x v="11"/>
    <n v="431.86"/>
    <m/>
  </r>
  <r>
    <s v="ORD-3242"/>
    <d v="2024-08-22T00:00:00"/>
    <s v="CUST-192"/>
    <x v="11"/>
    <x v="2"/>
    <x v="3"/>
    <x v="3"/>
    <x v="10"/>
    <s v="$33.22"/>
    <s v="Thursday"/>
    <x v="10"/>
    <x v="0"/>
    <b v="0"/>
    <b v="0"/>
    <s v="Standard order"/>
    <n v="1.661"/>
    <x v="9"/>
    <n v="232.54"/>
    <m/>
  </r>
  <r>
    <s v="ORD-3243"/>
    <d v="2024-01-17T00:00:00"/>
    <s v="CUST-188"/>
    <x v="9"/>
    <x v="0"/>
    <x v="3"/>
    <x v="2"/>
    <x v="0"/>
    <s v="$101.96"/>
    <s v="Wednesday"/>
    <x v="6"/>
    <x v="0"/>
    <b v="0"/>
    <b v="0"/>
    <s v="Standard order"/>
    <n v="5.0979999999999999"/>
    <x v="6"/>
    <n v="407.84"/>
    <m/>
  </r>
  <r>
    <s v="ORD-3244"/>
    <d v="2024-08-22T00:00:00"/>
    <s v="CUST-153"/>
    <x v="7"/>
    <x v="1"/>
    <x v="4"/>
    <x v="3"/>
    <x v="19"/>
    <s v="$107.34"/>
    <s v="Thursday"/>
    <x v="10"/>
    <x v="0"/>
    <b v="0"/>
    <b v="1"/>
    <s v="Large Order"/>
    <n v="5.3670000000000009"/>
    <x v="6"/>
    <n v="2146.8000000000002"/>
    <m/>
  </r>
  <r>
    <s v="ORD-3245"/>
    <d v="2024-11-22T00:00:00"/>
    <s v="CUST-178"/>
    <x v="7"/>
    <x v="2"/>
    <x v="1"/>
    <x v="2"/>
    <x v="13"/>
    <s v="$107.34"/>
    <s v="Friday"/>
    <x v="0"/>
    <x v="0"/>
    <b v="0"/>
    <b v="0"/>
    <s v="Standard order"/>
    <n v="5.3670000000000009"/>
    <x v="11"/>
    <n v="322.02"/>
    <m/>
  </r>
  <r>
    <s v="ORD-3246"/>
    <d v="2024-09-24T00:00:00"/>
    <s v="CUST-162"/>
    <x v="11"/>
    <x v="2"/>
    <x v="2"/>
    <x v="1"/>
    <x v="14"/>
    <s v="$33.22"/>
    <s v="Tuesday"/>
    <x v="11"/>
    <x v="0"/>
    <b v="0"/>
    <b v="0"/>
    <s v="Standard order"/>
    <n v="1.661"/>
    <x v="24"/>
    <n v="298.98"/>
    <m/>
  </r>
  <r>
    <s v="ORD-3247"/>
    <d v="2024-08-07T00:00:00"/>
    <s v="CUST-194"/>
    <x v="24"/>
    <x v="0"/>
    <x v="3"/>
    <x v="1"/>
    <x v="16"/>
    <s v="$10.11"/>
    <s v="Wednesday"/>
    <x v="10"/>
    <x v="0"/>
    <b v="0"/>
    <b v="0"/>
    <s v="Standard order"/>
    <n v="0.50549999999999995"/>
    <x v="9"/>
    <n v="192.08999999999997"/>
    <m/>
  </r>
  <r>
    <s v="ORD-3248"/>
    <d v="2024-10-29T00:00:00"/>
    <s v="CUST-119"/>
    <x v="9"/>
    <x v="0"/>
    <x v="2"/>
    <x v="0"/>
    <x v="4"/>
    <s v="$101.96"/>
    <s v="Tuesday"/>
    <x v="3"/>
    <x v="0"/>
    <b v="0"/>
    <b v="0"/>
    <s v="Standard order"/>
    <n v="5.0979999999999999"/>
    <x v="17"/>
    <n v="203.92"/>
    <m/>
  </r>
  <r>
    <s v="ORD-3249"/>
    <d v="2024-09-15T00:00:00"/>
    <s v="CUST-104"/>
    <x v="17"/>
    <x v="2"/>
    <x v="2"/>
    <x v="1"/>
    <x v="0"/>
    <s v="$26.59"/>
    <s v="Sunday"/>
    <x v="11"/>
    <x v="0"/>
    <b v="1"/>
    <b v="0"/>
    <s v="Standard order"/>
    <n v="1.3295000000000001"/>
    <x v="23"/>
    <n v="106.36"/>
    <m/>
  </r>
  <r>
    <s v="ORD-3250"/>
    <d v="2024-05-03T00:00:00"/>
    <s v="CUST-110"/>
    <x v="23"/>
    <x v="0"/>
    <x v="2"/>
    <x v="2"/>
    <x v="2"/>
    <s v="$133.37"/>
    <s v="Friday"/>
    <x v="7"/>
    <x v="0"/>
    <b v="0"/>
    <b v="0"/>
    <s v="Large Order"/>
    <n v="6.6685000000000008"/>
    <x v="8"/>
    <n v="666.85"/>
    <m/>
  </r>
  <r>
    <s v="ORD-3251"/>
    <d v="2024-05-02T00:00:00"/>
    <s v="CUST-182"/>
    <x v="0"/>
    <x v="0"/>
    <x v="2"/>
    <x v="3"/>
    <x v="6"/>
    <s v="$146.06"/>
    <s v="Thursday"/>
    <x v="7"/>
    <x v="0"/>
    <b v="0"/>
    <b v="1"/>
    <s v="Large Order"/>
    <n v="7.3030000000000008"/>
    <x v="9"/>
    <n v="876.36"/>
    <m/>
  </r>
  <r>
    <s v="ORD-3252"/>
    <d v="2024-10-19T00:00:00"/>
    <s v="CUST-195"/>
    <x v="9"/>
    <x v="0"/>
    <x v="2"/>
    <x v="1"/>
    <x v="2"/>
    <s v="$101.96"/>
    <s v="Saturday"/>
    <x v="3"/>
    <x v="0"/>
    <b v="1"/>
    <b v="0"/>
    <s v="Large Order"/>
    <n v="5.0979999999999999"/>
    <x v="7"/>
    <n v="509.79999999999995"/>
    <m/>
  </r>
  <r>
    <s v="ORD-3253"/>
    <d v="2024-07-26T00:00:00"/>
    <s v="CUST-123"/>
    <x v="8"/>
    <x v="2"/>
    <x v="2"/>
    <x v="0"/>
    <x v="13"/>
    <s v="$208.85"/>
    <s v="Friday"/>
    <x v="8"/>
    <x v="0"/>
    <b v="0"/>
    <b v="0"/>
    <s v="Large Order"/>
    <n v="10.442500000000001"/>
    <x v="22"/>
    <n v="626.54999999999995"/>
    <m/>
  </r>
  <r>
    <s v="ORD-3254"/>
    <d v="2024-12-19T00:00:00"/>
    <s v="CUST-142"/>
    <x v="22"/>
    <x v="0"/>
    <x v="3"/>
    <x v="1"/>
    <x v="14"/>
    <s v="$149.27"/>
    <s v="Thursday"/>
    <x v="1"/>
    <x v="0"/>
    <b v="0"/>
    <b v="1"/>
    <s v="Large Order"/>
    <n v="7.4635000000000007"/>
    <x v="9"/>
    <n v="1343.43"/>
    <m/>
  </r>
  <r>
    <s v="ORD-3255"/>
    <d v="2024-11-09T00:00:00"/>
    <s v="CUST-169"/>
    <x v="9"/>
    <x v="0"/>
    <x v="0"/>
    <x v="4"/>
    <x v="9"/>
    <s v="$101.96"/>
    <s v="Saturday"/>
    <x v="0"/>
    <x v="0"/>
    <b v="1"/>
    <b v="1"/>
    <s v="Large Order"/>
    <n v="5.0979999999999999"/>
    <x v="5"/>
    <n v="1121.56"/>
    <m/>
  </r>
  <r>
    <s v="ORD-3256"/>
    <d v="2024-01-29T00:00:00"/>
    <s v="CUST-165"/>
    <x v="6"/>
    <x v="1"/>
    <x v="0"/>
    <x v="0"/>
    <x v="11"/>
    <s v="$86.6"/>
    <s v="Monday"/>
    <x v="6"/>
    <x v="0"/>
    <b v="0"/>
    <b v="1"/>
    <s v="Large Order"/>
    <n v="4.33"/>
    <x v="7"/>
    <n v="1125.8"/>
    <m/>
  </r>
  <r>
    <s v="ORD-3257"/>
    <d v="2024-11-12T00:00:00"/>
    <s v="CUST-105"/>
    <x v="8"/>
    <x v="1"/>
    <x v="4"/>
    <x v="4"/>
    <x v="13"/>
    <s v="$208.85"/>
    <s v="Tuesday"/>
    <x v="0"/>
    <x v="0"/>
    <b v="0"/>
    <b v="0"/>
    <s v="Large Order"/>
    <n v="10.442500000000001"/>
    <x v="13"/>
    <n v="626.54999999999995"/>
    <m/>
  </r>
  <r>
    <s v="ORD-3258"/>
    <d v="2024-04-14T00:00:00"/>
    <s v="CUST-117"/>
    <x v="13"/>
    <x v="0"/>
    <x v="1"/>
    <x v="0"/>
    <x v="17"/>
    <s v="$156.44"/>
    <s v="Sunday"/>
    <x v="2"/>
    <x v="0"/>
    <b v="1"/>
    <b v="1"/>
    <s v="Large Order"/>
    <n v="7.8220000000000001"/>
    <x v="11"/>
    <n v="2503.04"/>
    <m/>
  </r>
  <r>
    <s v="ORD-3259"/>
    <d v="2024-10-24T00:00:00"/>
    <s v="CUST-189"/>
    <x v="11"/>
    <x v="2"/>
    <x v="4"/>
    <x v="3"/>
    <x v="5"/>
    <s v="$33.22"/>
    <s v="Thursday"/>
    <x v="3"/>
    <x v="0"/>
    <b v="0"/>
    <b v="0"/>
    <s v="Standard order"/>
    <n v="1.661"/>
    <x v="17"/>
    <n v="398.64"/>
    <m/>
  </r>
  <r>
    <s v="ORD-3260"/>
    <d v="2024-09-14T00:00:00"/>
    <s v="CUST-187"/>
    <x v="17"/>
    <x v="1"/>
    <x v="0"/>
    <x v="0"/>
    <x v="5"/>
    <s v="$26.59"/>
    <s v="Saturday"/>
    <x v="11"/>
    <x v="0"/>
    <b v="1"/>
    <b v="0"/>
    <s v="Standard order"/>
    <n v="1.3295000000000001"/>
    <x v="22"/>
    <n v="319.08"/>
    <m/>
  </r>
  <r>
    <s v="ORD-3261"/>
    <d v="2024-09-05T00:00:00"/>
    <s v="CUST-164"/>
    <x v="22"/>
    <x v="0"/>
    <x v="2"/>
    <x v="4"/>
    <x v="15"/>
    <s v="$149.27"/>
    <s v="Thursday"/>
    <x v="11"/>
    <x v="0"/>
    <b v="0"/>
    <b v="1"/>
    <s v="Large Order"/>
    <n v="7.4635000000000007"/>
    <x v="7"/>
    <n v="2686.86"/>
    <m/>
  </r>
  <r>
    <s v="ORD-3262"/>
    <d v="2024-08-19T00:00:00"/>
    <s v="CUST-179"/>
    <x v="8"/>
    <x v="2"/>
    <x v="0"/>
    <x v="2"/>
    <x v="12"/>
    <s v="$208.85"/>
    <s v="Monday"/>
    <x v="10"/>
    <x v="0"/>
    <b v="0"/>
    <b v="1"/>
    <s v="Large Order"/>
    <n v="10.442500000000001"/>
    <x v="14"/>
    <n v="3132.75"/>
    <m/>
  </r>
  <r>
    <s v="ORD-3263"/>
    <d v="2024-07-19T00:00:00"/>
    <s v="CUST-122"/>
    <x v="14"/>
    <x v="0"/>
    <x v="0"/>
    <x v="2"/>
    <x v="14"/>
    <s v="$201.32"/>
    <s v="Friday"/>
    <x v="8"/>
    <x v="0"/>
    <b v="0"/>
    <b v="1"/>
    <s v="Large Order"/>
    <n v="10.066000000000001"/>
    <x v="0"/>
    <n v="1811.8799999999999"/>
    <m/>
  </r>
  <r>
    <s v="ORD-3264"/>
    <d v="2024-03-16T00:00:00"/>
    <s v="CUST-163"/>
    <x v="1"/>
    <x v="0"/>
    <x v="1"/>
    <x v="0"/>
    <x v="8"/>
    <s v="$178.83"/>
    <s v="Saturday"/>
    <x v="4"/>
    <x v="0"/>
    <b v="1"/>
    <b v="1"/>
    <s v="Large Order"/>
    <n v="8.9415000000000013"/>
    <x v="0"/>
    <n v="1788.3000000000002"/>
    <m/>
  </r>
  <r>
    <s v="ORD-3265"/>
    <d v="2024-12-15T00:00:00"/>
    <s v="CUST-169"/>
    <x v="1"/>
    <x v="1"/>
    <x v="3"/>
    <x v="1"/>
    <x v="12"/>
    <s v="$178.83"/>
    <s v="Sunday"/>
    <x v="1"/>
    <x v="0"/>
    <b v="1"/>
    <b v="1"/>
    <s v="Large Order"/>
    <n v="8.9415000000000013"/>
    <x v="11"/>
    <n v="2682.4500000000003"/>
    <m/>
  </r>
  <r>
    <s v="ORD-3266"/>
    <d v="2024-01-11T00:00:00"/>
    <s v="CUST-137"/>
    <x v="11"/>
    <x v="0"/>
    <x v="0"/>
    <x v="2"/>
    <x v="18"/>
    <s v="$33.22"/>
    <s v="Thursday"/>
    <x v="6"/>
    <x v="0"/>
    <b v="0"/>
    <b v="0"/>
    <s v="Large Order"/>
    <n v="1.661"/>
    <x v="13"/>
    <n v="564.74"/>
    <m/>
  </r>
  <r>
    <s v="ORD-3267"/>
    <d v="2024-07-29T00:00:00"/>
    <s v="CUST-174"/>
    <x v="13"/>
    <x v="2"/>
    <x v="3"/>
    <x v="1"/>
    <x v="16"/>
    <s v="$156.44"/>
    <s v="Monday"/>
    <x v="8"/>
    <x v="0"/>
    <b v="0"/>
    <b v="1"/>
    <s v="Large Order"/>
    <n v="7.8220000000000001"/>
    <x v="12"/>
    <n v="2972.36"/>
    <m/>
  </r>
  <r>
    <s v="ORD-3268"/>
    <d v="2024-09-28T00:00:00"/>
    <s v="CUST-170"/>
    <x v="12"/>
    <x v="1"/>
    <x v="3"/>
    <x v="4"/>
    <x v="2"/>
    <s v="$211.9"/>
    <s v="Saturday"/>
    <x v="11"/>
    <x v="0"/>
    <b v="1"/>
    <b v="0"/>
    <s v="Large Order"/>
    <n v="10.595000000000001"/>
    <x v="2"/>
    <n v="1059.5"/>
    <m/>
  </r>
  <r>
    <s v="ORD-3269"/>
    <d v="2024-06-05T00:00:00"/>
    <s v="CUST-121"/>
    <x v="3"/>
    <x v="0"/>
    <x v="2"/>
    <x v="3"/>
    <x v="8"/>
    <s v="$84.57"/>
    <s v="Wednesday"/>
    <x v="9"/>
    <x v="0"/>
    <b v="0"/>
    <b v="1"/>
    <s v="Large Order"/>
    <n v="4.2284999999999995"/>
    <x v="7"/>
    <n v="845.69999999999993"/>
    <m/>
  </r>
  <r>
    <s v="ORD-3270"/>
    <d v="2024-01-25T00:00:00"/>
    <s v="CUST-118"/>
    <x v="8"/>
    <x v="1"/>
    <x v="2"/>
    <x v="2"/>
    <x v="19"/>
    <s v="$208.85"/>
    <s v="Thursday"/>
    <x v="6"/>
    <x v="0"/>
    <b v="0"/>
    <b v="1"/>
    <s v="Large Order"/>
    <n v="10.442500000000001"/>
    <x v="14"/>
    <n v="4177"/>
    <m/>
  </r>
  <r>
    <s v="ORD-3271"/>
    <d v="2024-12-30T00:00:00"/>
    <s v="CUST-168"/>
    <x v="14"/>
    <x v="0"/>
    <x v="4"/>
    <x v="2"/>
    <x v="6"/>
    <s v="$201.32"/>
    <s v="Monday"/>
    <x v="1"/>
    <x v="0"/>
    <b v="0"/>
    <b v="1"/>
    <s v="Large Order"/>
    <n v="10.066000000000001"/>
    <x v="9"/>
    <n v="1207.92"/>
    <m/>
  </r>
  <r>
    <s v="ORD-3272"/>
    <d v="2024-01-22T00:00:00"/>
    <s v="CUST-140"/>
    <x v="9"/>
    <x v="0"/>
    <x v="2"/>
    <x v="3"/>
    <x v="5"/>
    <s v="$101.96"/>
    <s v="Monday"/>
    <x v="6"/>
    <x v="0"/>
    <b v="0"/>
    <b v="1"/>
    <s v="Large Order"/>
    <n v="5.0979999999999999"/>
    <x v="15"/>
    <n v="1223.52"/>
    <m/>
  </r>
  <r>
    <s v="ORD-3273"/>
    <d v="2024-10-14T00:00:00"/>
    <s v="CUST-190"/>
    <x v="15"/>
    <x v="2"/>
    <x v="3"/>
    <x v="3"/>
    <x v="2"/>
    <s v="$216.22"/>
    <s v="Monday"/>
    <x v="3"/>
    <x v="0"/>
    <b v="0"/>
    <b v="0"/>
    <s v="Large Order"/>
    <n v="10.811"/>
    <x v="23"/>
    <n v="1081.0999999999999"/>
    <m/>
  </r>
  <r>
    <s v="ORD-3274"/>
    <d v="2024-10-03T00:00:00"/>
    <s v="CUST-120"/>
    <x v="23"/>
    <x v="1"/>
    <x v="0"/>
    <x v="0"/>
    <x v="11"/>
    <s v="$133.37"/>
    <s v="Thursday"/>
    <x v="3"/>
    <x v="0"/>
    <b v="0"/>
    <b v="1"/>
    <s v="Large Order"/>
    <n v="6.6685000000000008"/>
    <x v="13"/>
    <n v="1733.81"/>
    <m/>
  </r>
  <r>
    <s v="ORD-3275"/>
    <d v="2024-03-15T00:00:00"/>
    <s v="CUST-158"/>
    <x v="13"/>
    <x v="0"/>
    <x v="0"/>
    <x v="4"/>
    <x v="18"/>
    <s v="$156.44"/>
    <s v="Friday"/>
    <x v="4"/>
    <x v="0"/>
    <b v="0"/>
    <b v="1"/>
    <s v="Large Order"/>
    <n v="7.8220000000000001"/>
    <x v="4"/>
    <n v="2659.48"/>
    <m/>
  </r>
  <r>
    <s v="ORD-3276"/>
    <d v="2024-12-27T00:00:00"/>
    <s v="CUST-137"/>
    <x v="5"/>
    <x v="1"/>
    <x v="1"/>
    <x v="2"/>
    <x v="16"/>
    <s v="$64.61"/>
    <s v="Friday"/>
    <x v="1"/>
    <x v="0"/>
    <b v="0"/>
    <b v="1"/>
    <s v="Large Order"/>
    <n v="3.2305000000000001"/>
    <x v="10"/>
    <n v="1227.5899999999999"/>
    <m/>
  </r>
  <r>
    <s v="ORD-3277"/>
    <d v="2024-08-14T00:00:00"/>
    <s v="CUST-143"/>
    <x v="10"/>
    <x v="0"/>
    <x v="2"/>
    <x v="0"/>
    <x v="2"/>
    <s v="$46.19"/>
    <s v="Wednesday"/>
    <x v="10"/>
    <x v="0"/>
    <b v="0"/>
    <b v="0"/>
    <s v="Standard order"/>
    <n v="2.3094999999999999"/>
    <x v="18"/>
    <n v="230.95"/>
    <m/>
  </r>
  <r>
    <s v="ORD-3278"/>
    <d v="2024-02-29T00:00:00"/>
    <s v="CUST-139"/>
    <x v="18"/>
    <x v="1"/>
    <x v="1"/>
    <x v="2"/>
    <x v="12"/>
    <s v="$230.68"/>
    <s v="Thursday"/>
    <x v="5"/>
    <x v="0"/>
    <b v="0"/>
    <b v="1"/>
    <s v="Large Order"/>
    <n v="11.534000000000001"/>
    <x v="20"/>
    <n v="3460.2000000000003"/>
    <m/>
  </r>
  <r>
    <s v="ORD-3279"/>
    <d v="2024-06-16T00:00:00"/>
    <s v="CUST-107"/>
    <x v="20"/>
    <x v="2"/>
    <x v="4"/>
    <x v="4"/>
    <x v="18"/>
    <s v="$81.02"/>
    <s v="Sunday"/>
    <x v="9"/>
    <x v="0"/>
    <b v="1"/>
    <b v="1"/>
    <s v="Large Order"/>
    <n v="4.0510000000000002"/>
    <x v="18"/>
    <n v="1377.34"/>
    <m/>
  </r>
  <r>
    <s v="ORD-3280"/>
    <d v="2024-05-22T00:00:00"/>
    <s v="CUST-125"/>
    <x v="18"/>
    <x v="0"/>
    <x v="1"/>
    <x v="1"/>
    <x v="13"/>
    <s v="$230.68"/>
    <s v="Wednesday"/>
    <x v="7"/>
    <x v="0"/>
    <b v="0"/>
    <b v="0"/>
    <s v="Large Order"/>
    <n v="11.534000000000001"/>
    <x v="4"/>
    <n v="692.04"/>
    <m/>
  </r>
  <r>
    <s v="ORD-3281"/>
    <d v="2024-07-20T00:00:00"/>
    <s v="CUST-124"/>
    <x v="5"/>
    <x v="1"/>
    <x v="1"/>
    <x v="4"/>
    <x v="18"/>
    <s v="$64.61"/>
    <s v="Saturday"/>
    <x v="8"/>
    <x v="0"/>
    <b v="1"/>
    <b v="1"/>
    <s v="Large Order"/>
    <n v="3.2305000000000001"/>
    <x v="3"/>
    <n v="1098.3699999999999"/>
    <m/>
  </r>
  <r>
    <s v="ORD-3282"/>
    <d v="2024-12-07T00:00:00"/>
    <s v="CUST-146"/>
    <x v="4"/>
    <x v="0"/>
    <x v="2"/>
    <x v="3"/>
    <x v="11"/>
    <s v="$230.34"/>
    <s v="Saturday"/>
    <x v="1"/>
    <x v="0"/>
    <b v="1"/>
    <b v="1"/>
    <s v="Large Order"/>
    <n v="11.517000000000001"/>
    <x v="7"/>
    <n v="2994.42"/>
    <m/>
  </r>
  <r>
    <s v="ORD-3283"/>
    <d v="2024-05-25T00:00:00"/>
    <s v="CUST-144"/>
    <x v="8"/>
    <x v="1"/>
    <x v="2"/>
    <x v="4"/>
    <x v="13"/>
    <s v="$208.85"/>
    <s v="Saturday"/>
    <x v="7"/>
    <x v="0"/>
    <b v="1"/>
    <b v="0"/>
    <s v="Large Order"/>
    <n v="10.442500000000001"/>
    <x v="17"/>
    <n v="626.54999999999995"/>
    <m/>
  </r>
  <r>
    <s v="ORD-3284"/>
    <d v="2024-08-15T00:00:00"/>
    <s v="CUST-194"/>
    <x v="17"/>
    <x v="1"/>
    <x v="3"/>
    <x v="2"/>
    <x v="3"/>
    <s v="$26.59"/>
    <s v="Thursday"/>
    <x v="10"/>
    <x v="0"/>
    <b v="0"/>
    <b v="0"/>
    <s v="Standard order"/>
    <n v="1.3295000000000001"/>
    <x v="9"/>
    <n v="372.26"/>
    <m/>
  </r>
  <r>
    <s v="ORD-3285"/>
    <d v="2024-07-31T00:00:00"/>
    <s v="CUST-117"/>
    <x v="9"/>
    <x v="2"/>
    <x v="0"/>
    <x v="2"/>
    <x v="10"/>
    <s v="$101.96"/>
    <s v="Wednesday"/>
    <x v="8"/>
    <x v="0"/>
    <b v="0"/>
    <b v="0"/>
    <s v="Large Order"/>
    <n v="5.0979999999999999"/>
    <x v="8"/>
    <n v="713.71999999999991"/>
    <m/>
  </r>
  <r>
    <s v="ORD-3286"/>
    <d v="2024-09-25T00:00:00"/>
    <s v="CUST-142"/>
    <x v="0"/>
    <x v="2"/>
    <x v="2"/>
    <x v="0"/>
    <x v="1"/>
    <s v="$146.06"/>
    <s v="Wednesday"/>
    <x v="11"/>
    <x v="0"/>
    <b v="0"/>
    <b v="0"/>
    <s v="Standard order"/>
    <n v="7.3030000000000008"/>
    <x v="6"/>
    <n v="146.06"/>
    <m/>
  </r>
  <r>
    <s v="ORD-3287"/>
    <d v="2024-05-19T00:00:00"/>
    <s v="CUST-153"/>
    <x v="7"/>
    <x v="2"/>
    <x v="2"/>
    <x v="4"/>
    <x v="2"/>
    <s v="$107.34"/>
    <s v="Sunday"/>
    <x v="7"/>
    <x v="0"/>
    <b v="1"/>
    <b v="0"/>
    <s v="Large Order"/>
    <n v="5.3670000000000009"/>
    <x v="23"/>
    <n v="536.70000000000005"/>
    <m/>
  </r>
  <r>
    <s v="ORD-3288"/>
    <d v="2024-07-14T00:00:00"/>
    <s v="CUST-137"/>
    <x v="23"/>
    <x v="1"/>
    <x v="0"/>
    <x v="3"/>
    <x v="16"/>
    <s v="$133.37"/>
    <s v="Sunday"/>
    <x v="8"/>
    <x v="0"/>
    <b v="1"/>
    <b v="1"/>
    <s v="Large Order"/>
    <n v="6.6685000000000008"/>
    <x v="12"/>
    <n v="2534.0300000000002"/>
    <m/>
  </r>
  <r>
    <s v="ORD-3289"/>
    <d v="2024-10-13T00:00:00"/>
    <s v="CUST-194"/>
    <x v="12"/>
    <x v="0"/>
    <x v="0"/>
    <x v="0"/>
    <x v="2"/>
    <s v="$211.9"/>
    <s v="Sunday"/>
    <x v="3"/>
    <x v="0"/>
    <b v="1"/>
    <b v="0"/>
    <s v="Large Order"/>
    <n v="10.595000000000001"/>
    <x v="4"/>
    <n v="1059.5"/>
    <m/>
  </r>
  <r>
    <s v="ORD-3290"/>
    <d v="2024-11-23T00:00:00"/>
    <s v="CUST-181"/>
    <x v="5"/>
    <x v="0"/>
    <x v="3"/>
    <x v="1"/>
    <x v="6"/>
    <s v="$64.61"/>
    <s v="Saturday"/>
    <x v="0"/>
    <x v="0"/>
    <b v="1"/>
    <b v="0"/>
    <s v="Standard order"/>
    <n v="3.2305000000000001"/>
    <x v="24"/>
    <n v="387.65999999999997"/>
    <m/>
  </r>
  <r>
    <s v="ORD-3291"/>
    <d v="2024-12-18T00:00:00"/>
    <s v="CUST-182"/>
    <x v="24"/>
    <x v="0"/>
    <x v="0"/>
    <x v="3"/>
    <x v="17"/>
    <s v="$10.11"/>
    <s v="Wednesday"/>
    <x v="1"/>
    <x v="0"/>
    <b v="0"/>
    <b v="0"/>
    <s v="Standard order"/>
    <n v="0.50549999999999995"/>
    <x v="16"/>
    <n v="161.76"/>
    <m/>
  </r>
  <r>
    <s v="ORD-3292"/>
    <d v="2024-02-04T00:00:00"/>
    <s v="CUST-176"/>
    <x v="16"/>
    <x v="1"/>
    <x v="1"/>
    <x v="1"/>
    <x v="16"/>
    <s v="$130.07"/>
    <s v="Sunday"/>
    <x v="5"/>
    <x v="0"/>
    <b v="1"/>
    <b v="1"/>
    <s v="Large Order"/>
    <n v="6.5034999999999998"/>
    <x v="5"/>
    <n v="2471.33"/>
    <m/>
  </r>
  <r>
    <s v="ORD-3293"/>
    <d v="2024-05-12T00:00:00"/>
    <s v="CUST-180"/>
    <x v="6"/>
    <x v="1"/>
    <x v="0"/>
    <x v="3"/>
    <x v="18"/>
    <s v="$86.6"/>
    <s v="Sunday"/>
    <x v="7"/>
    <x v="0"/>
    <b v="1"/>
    <b v="1"/>
    <s v="Large Order"/>
    <n v="4.33"/>
    <x v="6"/>
    <n v="1472.1999999999998"/>
    <m/>
  </r>
  <r>
    <s v="ORD-3294"/>
    <d v="2024-01-09T00:00:00"/>
    <s v="CUST-133"/>
    <x v="7"/>
    <x v="2"/>
    <x v="0"/>
    <x v="2"/>
    <x v="9"/>
    <s v="$107.34"/>
    <s v="Tuesday"/>
    <x v="6"/>
    <x v="0"/>
    <b v="0"/>
    <b v="1"/>
    <s v="Large Order"/>
    <n v="5.3670000000000009"/>
    <x v="7"/>
    <n v="1180.74"/>
    <m/>
  </r>
  <r>
    <s v="ORD-3295"/>
    <d v="2024-12-20T00:00:00"/>
    <s v="CUST-117"/>
    <x v="8"/>
    <x v="0"/>
    <x v="0"/>
    <x v="3"/>
    <x v="5"/>
    <s v="$208.85"/>
    <s v="Friday"/>
    <x v="1"/>
    <x v="0"/>
    <b v="0"/>
    <b v="1"/>
    <s v="Large Order"/>
    <n v="10.442500000000001"/>
    <x v="14"/>
    <n v="2506.1999999999998"/>
    <m/>
  </r>
  <r>
    <s v="ORD-3296"/>
    <d v="2024-07-01T00:00:00"/>
    <s v="CUST-106"/>
    <x v="14"/>
    <x v="1"/>
    <x v="1"/>
    <x v="0"/>
    <x v="18"/>
    <s v="$201.32"/>
    <s v="Monday"/>
    <x v="8"/>
    <x v="0"/>
    <b v="0"/>
    <b v="1"/>
    <s v="Large Order"/>
    <n v="10.066000000000001"/>
    <x v="21"/>
    <n v="3422.44"/>
    <m/>
  </r>
  <r>
    <s v="ORD-3297"/>
    <d v="2024-11-17T00:00:00"/>
    <s v="CUST-123"/>
    <x v="21"/>
    <x v="0"/>
    <x v="1"/>
    <x v="2"/>
    <x v="15"/>
    <s v="$32.94"/>
    <s v="Sunday"/>
    <x v="0"/>
    <x v="0"/>
    <b v="1"/>
    <b v="0"/>
    <s v="Large Order"/>
    <n v="1.647"/>
    <x v="14"/>
    <n v="592.91999999999996"/>
    <m/>
  </r>
  <r>
    <s v="ORD-3298"/>
    <d v="2024-06-10T00:00:00"/>
    <s v="CUST-187"/>
    <x v="14"/>
    <x v="1"/>
    <x v="3"/>
    <x v="0"/>
    <x v="15"/>
    <s v="$201.32"/>
    <s v="Monday"/>
    <x v="9"/>
    <x v="0"/>
    <b v="0"/>
    <b v="1"/>
    <s v="Large Order"/>
    <n v="10.066000000000001"/>
    <x v="0"/>
    <n v="3623.7599999999998"/>
    <m/>
  </r>
  <r>
    <s v="ORD-3299"/>
    <d v="2024-03-14T00:00:00"/>
    <s v="CUST-101"/>
    <x v="1"/>
    <x v="2"/>
    <x v="3"/>
    <x v="3"/>
    <x v="17"/>
    <s v="$178.83"/>
    <s v="Thursday"/>
    <x v="4"/>
    <x v="0"/>
    <b v="0"/>
    <b v="1"/>
    <s v="Large Order"/>
    <n v="8.9415000000000013"/>
    <x v="11"/>
    <n v="2861.28"/>
    <m/>
  </r>
  <r>
    <s v="ORD-3300"/>
    <d v="2024-03-24T00:00:00"/>
    <s v="CUST-113"/>
    <x v="11"/>
    <x v="0"/>
    <x v="1"/>
    <x v="2"/>
    <x v="10"/>
    <s v="$33.22"/>
    <s v="Sunday"/>
    <x v="4"/>
    <x v="0"/>
    <b v="1"/>
    <b v="0"/>
    <s v="Standard order"/>
    <n v="1.661"/>
    <x v="10"/>
    <n v="232.54"/>
    <m/>
  </r>
  <r>
    <s v="ORD-3301"/>
    <d v="2024-10-13T00:00:00"/>
    <s v="CUST-178"/>
    <x v="10"/>
    <x v="2"/>
    <x v="1"/>
    <x v="4"/>
    <x v="0"/>
    <s v="$46.19"/>
    <s v="Sunday"/>
    <x v="3"/>
    <x v="0"/>
    <b v="1"/>
    <b v="0"/>
    <s v="Standard order"/>
    <n v="2.3094999999999999"/>
    <x v="0"/>
    <n v="184.76"/>
    <m/>
  </r>
  <r>
    <s v="ORD-3302"/>
    <d v="2024-02-09T00:00:00"/>
    <s v="CUST-114"/>
    <x v="1"/>
    <x v="0"/>
    <x v="2"/>
    <x v="3"/>
    <x v="8"/>
    <s v="$178.83"/>
    <s v="Friday"/>
    <x v="5"/>
    <x v="0"/>
    <b v="0"/>
    <b v="1"/>
    <s v="Large Order"/>
    <n v="8.9415000000000013"/>
    <x v="20"/>
    <n v="1788.3000000000002"/>
    <m/>
  </r>
  <r>
    <s v="ORD-3303"/>
    <d v="2024-03-12T00:00:00"/>
    <s v="CUST-156"/>
    <x v="20"/>
    <x v="2"/>
    <x v="3"/>
    <x v="2"/>
    <x v="8"/>
    <s v="$81.02"/>
    <s v="Tuesday"/>
    <x v="4"/>
    <x v="0"/>
    <b v="0"/>
    <b v="1"/>
    <s v="Large Order"/>
    <n v="4.0510000000000002"/>
    <x v="0"/>
    <n v="810.19999999999993"/>
    <m/>
  </r>
  <r>
    <s v="ORD-3304"/>
    <d v="2024-03-01T00:00:00"/>
    <s v="CUST-128"/>
    <x v="1"/>
    <x v="2"/>
    <x v="4"/>
    <x v="2"/>
    <x v="8"/>
    <s v="$178.83"/>
    <s v="Friday"/>
    <x v="4"/>
    <x v="0"/>
    <b v="0"/>
    <b v="1"/>
    <s v="Large Order"/>
    <n v="8.9415000000000013"/>
    <x v="17"/>
    <n v="1788.3000000000002"/>
    <m/>
  </r>
  <r>
    <s v="ORD-3305"/>
    <d v="2024-03-07T00:00:00"/>
    <s v="CUST-110"/>
    <x v="17"/>
    <x v="2"/>
    <x v="0"/>
    <x v="0"/>
    <x v="1"/>
    <s v="$26.59"/>
    <s v="Thursday"/>
    <x v="4"/>
    <x v="0"/>
    <b v="0"/>
    <b v="0"/>
    <s v="Standard order"/>
    <n v="1.3295000000000001"/>
    <x v="11"/>
    <n v="26.59"/>
    <m/>
  </r>
  <r>
    <s v="ORD-3306"/>
    <d v="2024-08-08T00:00:00"/>
    <s v="CUST-105"/>
    <x v="11"/>
    <x v="0"/>
    <x v="0"/>
    <x v="4"/>
    <x v="16"/>
    <s v="$33.22"/>
    <s v="Thursday"/>
    <x v="10"/>
    <x v="0"/>
    <b v="0"/>
    <b v="0"/>
    <s v="Large Order"/>
    <n v="1.661"/>
    <x v="15"/>
    <n v="631.17999999999995"/>
    <m/>
  </r>
  <r>
    <s v="ORD-3307"/>
    <d v="2024-03-01T00:00:00"/>
    <s v="CUST-132"/>
    <x v="15"/>
    <x v="0"/>
    <x v="3"/>
    <x v="0"/>
    <x v="0"/>
    <s v="$216.22"/>
    <s v="Friday"/>
    <x v="4"/>
    <x v="0"/>
    <b v="0"/>
    <b v="0"/>
    <s v="Large Order"/>
    <n v="10.811"/>
    <x v="9"/>
    <n v="864.88"/>
    <m/>
  </r>
  <r>
    <s v="ORD-3308"/>
    <d v="2024-11-04T00:00:00"/>
    <s v="CUST-126"/>
    <x v="9"/>
    <x v="0"/>
    <x v="4"/>
    <x v="3"/>
    <x v="1"/>
    <s v="$101.96"/>
    <s v="Monday"/>
    <x v="0"/>
    <x v="0"/>
    <b v="0"/>
    <b v="0"/>
    <s v="Standard order"/>
    <n v="5.0979999999999999"/>
    <x v="7"/>
    <n v="101.96"/>
    <m/>
  </r>
  <r>
    <s v="ORD-3309"/>
    <d v="2024-05-22T00:00:00"/>
    <s v="CUST-174"/>
    <x v="8"/>
    <x v="1"/>
    <x v="4"/>
    <x v="4"/>
    <x v="19"/>
    <s v="$208.85"/>
    <s v="Wednesday"/>
    <x v="7"/>
    <x v="0"/>
    <b v="0"/>
    <b v="1"/>
    <s v="Large Order"/>
    <n v="10.442500000000001"/>
    <x v="19"/>
    <n v="4177"/>
    <m/>
  </r>
  <r>
    <s v="ORD-3310"/>
    <d v="2024-10-18T00:00:00"/>
    <s v="CUST-108"/>
    <x v="19"/>
    <x v="2"/>
    <x v="0"/>
    <x v="4"/>
    <x v="10"/>
    <s v="$145.48"/>
    <s v="Friday"/>
    <x v="3"/>
    <x v="0"/>
    <b v="0"/>
    <b v="1"/>
    <s v="Large Order"/>
    <n v="7.274"/>
    <x v="21"/>
    <n v="1018.3599999999999"/>
    <m/>
  </r>
  <r>
    <s v="ORD-3311"/>
    <d v="2024-05-24T00:00:00"/>
    <s v="CUST-121"/>
    <x v="21"/>
    <x v="2"/>
    <x v="0"/>
    <x v="0"/>
    <x v="10"/>
    <s v="$32.94"/>
    <s v="Friday"/>
    <x v="7"/>
    <x v="0"/>
    <b v="0"/>
    <b v="0"/>
    <s v="Standard order"/>
    <n v="1.647"/>
    <x v="7"/>
    <n v="230.57999999999998"/>
    <m/>
  </r>
  <r>
    <s v="ORD-3312"/>
    <d v="2024-12-28T00:00:00"/>
    <s v="CUST-160"/>
    <x v="8"/>
    <x v="2"/>
    <x v="1"/>
    <x v="2"/>
    <x v="12"/>
    <s v="$208.85"/>
    <s v="Saturday"/>
    <x v="1"/>
    <x v="0"/>
    <b v="1"/>
    <b v="1"/>
    <s v="Large Order"/>
    <n v="10.442500000000001"/>
    <x v="7"/>
    <n v="3132.75"/>
    <m/>
  </r>
  <r>
    <s v="ORD-3313"/>
    <d v="2024-02-24T00:00:00"/>
    <s v="CUST-123"/>
    <x v="8"/>
    <x v="1"/>
    <x v="2"/>
    <x v="2"/>
    <x v="18"/>
    <s v="$208.85"/>
    <s v="Saturday"/>
    <x v="5"/>
    <x v="0"/>
    <b v="1"/>
    <b v="1"/>
    <s v="Large Order"/>
    <n v="10.442500000000001"/>
    <x v="13"/>
    <n v="3550.45"/>
    <m/>
  </r>
  <r>
    <s v="ORD-3314"/>
    <d v="2024-02-27T00:00:00"/>
    <s v="CUST-197"/>
    <x v="13"/>
    <x v="0"/>
    <x v="2"/>
    <x v="0"/>
    <x v="18"/>
    <s v="$156.44"/>
    <s v="Tuesday"/>
    <x v="5"/>
    <x v="0"/>
    <b v="0"/>
    <b v="1"/>
    <s v="Large Order"/>
    <n v="7.8220000000000001"/>
    <x v="14"/>
    <n v="2659.48"/>
    <m/>
  </r>
  <r>
    <s v="ORD-3315"/>
    <d v="2024-07-03T00:00:00"/>
    <s v="CUST-190"/>
    <x v="14"/>
    <x v="2"/>
    <x v="0"/>
    <x v="0"/>
    <x v="9"/>
    <s v="$201.32"/>
    <s v="Wednesday"/>
    <x v="8"/>
    <x v="0"/>
    <b v="0"/>
    <b v="1"/>
    <s v="Large Order"/>
    <n v="10.066000000000001"/>
    <x v="12"/>
    <n v="2214.52"/>
    <m/>
  </r>
  <r>
    <s v="ORD-3316"/>
    <d v="2024-07-16T00:00:00"/>
    <s v="CUST-136"/>
    <x v="12"/>
    <x v="2"/>
    <x v="3"/>
    <x v="1"/>
    <x v="7"/>
    <s v="$211.9"/>
    <s v="Tuesday"/>
    <x v="8"/>
    <x v="0"/>
    <b v="0"/>
    <b v="1"/>
    <s v="Large Order"/>
    <n v="10.595000000000001"/>
    <x v="11"/>
    <n v="1695.2"/>
    <m/>
  </r>
  <r>
    <s v="ORD-3317"/>
    <d v="2024-05-28T00:00:00"/>
    <s v="CUST-154"/>
    <x v="11"/>
    <x v="0"/>
    <x v="2"/>
    <x v="3"/>
    <x v="6"/>
    <s v="$33.22"/>
    <s v="Tuesday"/>
    <x v="7"/>
    <x v="0"/>
    <b v="0"/>
    <b v="0"/>
    <s v="Standard order"/>
    <n v="1.661"/>
    <x v="5"/>
    <n v="199.32"/>
    <m/>
  </r>
  <r>
    <s v="ORD-3318"/>
    <d v="2024-12-11T00:00:00"/>
    <s v="CUST-162"/>
    <x v="6"/>
    <x v="0"/>
    <x v="2"/>
    <x v="1"/>
    <x v="18"/>
    <s v="$86.6"/>
    <s v="Wednesday"/>
    <x v="1"/>
    <x v="0"/>
    <b v="0"/>
    <b v="1"/>
    <s v="Large Order"/>
    <n v="4.33"/>
    <x v="0"/>
    <n v="1472.1999999999998"/>
    <m/>
  </r>
  <r>
    <s v="ORD-3319"/>
    <d v="2024-02-13T00:00:00"/>
    <s v="CUST-115"/>
    <x v="1"/>
    <x v="1"/>
    <x v="2"/>
    <x v="4"/>
    <x v="0"/>
    <s v="$178.83"/>
    <s v="Tuesday"/>
    <x v="5"/>
    <x v="0"/>
    <b v="0"/>
    <b v="0"/>
    <s v="Large Order"/>
    <n v="8.9415000000000013"/>
    <x v="7"/>
    <n v="715.32"/>
    <m/>
  </r>
  <r>
    <s v="ORD-3320"/>
    <d v="2024-03-27T00:00:00"/>
    <s v="CUST-108"/>
    <x v="8"/>
    <x v="0"/>
    <x v="3"/>
    <x v="2"/>
    <x v="19"/>
    <s v="$208.85"/>
    <s v="Wednesday"/>
    <x v="4"/>
    <x v="0"/>
    <b v="0"/>
    <b v="1"/>
    <s v="Large Order"/>
    <n v="10.442500000000001"/>
    <x v="24"/>
    <n v="4177"/>
    <m/>
  </r>
  <r>
    <s v="ORD-3321"/>
    <d v="2024-07-25T00:00:00"/>
    <s v="CUST-115"/>
    <x v="24"/>
    <x v="1"/>
    <x v="2"/>
    <x v="3"/>
    <x v="16"/>
    <s v="$10.11"/>
    <s v="Thursday"/>
    <x v="8"/>
    <x v="0"/>
    <b v="0"/>
    <b v="0"/>
    <s v="Standard order"/>
    <n v="0.50549999999999995"/>
    <x v="7"/>
    <n v="192.08999999999997"/>
    <m/>
  </r>
  <r>
    <s v="ORD-3322"/>
    <d v="2024-11-25T00:00:00"/>
    <s v="CUST-151"/>
    <x v="8"/>
    <x v="1"/>
    <x v="1"/>
    <x v="1"/>
    <x v="17"/>
    <s v="$208.85"/>
    <s v="Monday"/>
    <x v="0"/>
    <x v="0"/>
    <b v="0"/>
    <b v="1"/>
    <s v="Large Order"/>
    <n v="10.442500000000001"/>
    <x v="12"/>
    <n v="3341.6"/>
    <m/>
  </r>
  <r>
    <s v="ORD-3323"/>
    <d v="2024-03-16T00:00:00"/>
    <s v="CUST-198"/>
    <x v="12"/>
    <x v="0"/>
    <x v="0"/>
    <x v="3"/>
    <x v="17"/>
    <s v="$211.9"/>
    <s v="Saturday"/>
    <x v="4"/>
    <x v="0"/>
    <b v="1"/>
    <b v="1"/>
    <s v="Large Order"/>
    <n v="10.595000000000001"/>
    <x v="18"/>
    <n v="3390.4"/>
    <m/>
  </r>
  <r>
    <s v="ORD-3324"/>
    <d v="2024-11-17T00:00:00"/>
    <s v="CUST-117"/>
    <x v="18"/>
    <x v="0"/>
    <x v="0"/>
    <x v="0"/>
    <x v="17"/>
    <s v="$230.68"/>
    <s v="Sunday"/>
    <x v="0"/>
    <x v="0"/>
    <b v="1"/>
    <b v="1"/>
    <s v="Large Order"/>
    <n v="11.534000000000001"/>
    <x v="20"/>
    <n v="3690.88"/>
    <m/>
  </r>
  <r>
    <s v="ORD-3325"/>
    <d v="2024-04-01T00:00:00"/>
    <s v="CUST-148"/>
    <x v="20"/>
    <x v="2"/>
    <x v="3"/>
    <x v="2"/>
    <x v="8"/>
    <s v="$81.02"/>
    <s v="Monday"/>
    <x v="2"/>
    <x v="0"/>
    <b v="0"/>
    <b v="1"/>
    <s v="Large Order"/>
    <n v="4.0510000000000002"/>
    <x v="8"/>
    <n v="810.19999999999993"/>
    <m/>
  </r>
  <r>
    <s v="ORD-3326"/>
    <d v="2024-02-19T00:00:00"/>
    <s v="CUST-197"/>
    <x v="0"/>
    <x v="2"/>
    <x v="1"/>
    <x v="1"/>
    <x v="12"/>
    <s v="$146.06"/>
    <s v="Monday"/>
    <x v="5"/>
    <x v="0"/>
    <b v="0"/>
    <b v="1"/>
    <s v="Large Order"/>
    <n v="7.3030000000000008"/>
    <x v="4"/>
    <n v="2190.9"/>
    <m/>
  </r>
  <r>
    <s v="ORD-3327"/>
    <d v="2024-12-04T00:00:00"/>
    <s v="CUST-163"/>
    <x v="5"/>
    <x v="2"/>
    <x v="3"/>
    <x v="4"/>
    <x v="9"/>
    <s v="$64.61"/>
    <s v="Wednesday"/>
    <x v="1"/>
    <x v="0"/>
    <b v="0"/>
    <b v="0"/>
    <s v="Large Order"/>
    <n v="3.2305000000000001"/>
    <x v="18"/>
    <n v="710.71"/>
    <m/>
  </r>
  <r>
    <s v="ORD-3328"/>
    <d v="2024-10-03T00:00:00"/>
    <s v="CUST-169"/>
    <x v="18"/>
    <x v="0"/>
    <x v="2"/>
    <x v="0"/>
    <x v="11"/>
    <s v="$230.68"/>
    <s v="Thursday"/>
    <x v="3"/>
    <x v="0"/>
    <b v="0"/>
    <b v="1"/>
    <s v="Large Order"/>
    <n v="11.534000000000001"/>
    <x v="12"/>
    <n v="2998.84"/>
    <m/>
  </r>
  <r>
    <s v="ORD-3329"/>
    <d v="2024-07-11T00:00:00"/>
    <s v="CUST-156"/>
    <x v="12"/>
    <x v="0"/>
    <x v="0"/>
    <x v="2"/>
    <x v="15"/>
    <s v="$211.9"/>
    <s v="Thursday"/>
    <x v="8"/>
    <x v="0"/>
    <b v="0"/>
    <b v="1"/>
    <s v="Large Order"/>
    <n v="10.595000000000001"/>
    <x v="6"/>
    <n v="3814.2000000000003"/>
    <m/>
  </r>
  <r>
    <s v="ORD-3330"/>
    <d v="2024-06-04T00:00:00"/>
    <s v="CUST-190"/>
    <x v="7"/>
    <x v="1"/>
    <x v="2"/>
    <x v="2"/>
    <x v="8"/>
    <s v="$107.34"/>
    <s v="Tuesday"/>
    <x v="9"/>
    <x v="0"/>
    <b v="0"/>
    <b v="1"/>
    <s v="Large Order"/>
    <n v="5.3670000000000009"/>
    <x v="19"/>
    <n v="1073.4000000000001"/>
    <m/>
  </r>
  <r>
    <s v="ORD-3331"/>
    <d v="2024-09-06T00:00:00"/>
    <s v="CUST-197"/>
    <x v="19"/>
    <x v="2"/>
    <x v="2"/>
    <x v="4"/>
    <x v="15"/>
    <s v="$145.48"/>
    <s v="Friday"/>
    <x v="11"/>
    <x v="0"/>
    <b v="0"/>
    <b v="1"/>
    <s v="Large Order"/>
    <n v="7.274"/>
    <x v="6"/>
    <n v="2618.64"/>
    <m/>
  </r>
  <r>
    <s v="ORD-3332"/>
    <d v="2024-08-31T00:00:00"/>
    <s v="CUST-171"/>
    <x v="7"/>
    <x v="2"/>
    <x v="0"/>
    <x v="1"/>
    <x v="14"/>
    <s v="$107.34"/>
    <s v="Saturday"/>
    <x v="10"/>
    <x v="0"/>
    <b v="1"/>
    <b v="1"/>
    <s v="Large Order"/>
    <n v="5.3670000000000009"/>
    <x v="5"/>
    <n v="966.06000000000006"/>
    <m/>
  </r>
  <r>
    <s v="ORD-3333"/>
    <d v="2024-07-12T00:00:00"/>
    <s v="CUST-178"/>
    <x v="6"/>
    <x v="1"/>
    <x v="3"/>
    <x v="3"/>
    <x v="4"/>
    <s v="$86.6"/>
    <s v="Friday"/>
    <x v="8"/>
    <x v="0"/>
    <b v="0"/>
    <b v="0"/>
    <s v="Standard order"/>
    <n v="4.33"/>
    <x v="7"/>
    <n v="173.2"/>
    <m/>
  </r>
  <r>
    <s v="ORD-3334"/>
    <d v="2024-01-24T00:00:00"/>
    <s v="CUST-116"/>
    <x v="8"/>
    <x v="1"/>
    <x v="1"/>
    <x v="0"/>
    <x v="9"/>
    <s v="$208.85"/>
    <s v="Wednesday"/>
    <x v="6"/>
    <x v="0"/>
    <b v="0"/>
    <b v="1"/>
    <s v="Large Order"/>
    <n v="10.442500000000001"/>
    <x v="7"/>
    <n v="2297.35"/>
    <m/>
  </r>
  <r>
    <s v="ORD-3335"/>
    <d v="2024-08-07T00:00:00"/>
    <s v="CUST-144"/>
    <x v="8"/>
    <x v="1"/>
    <x v="3"/>
    <x v="0"/>
    <x v="7"/>
    <s v="$208.85"/>
    <s v="Wednesday"/>
    <x v="10"/>
    <x v="0"/>
    <b v="0"/>
    <b v="1"/>
    <s v="Large Order"/>
    <n v="10.442500000000001"/>
    <x v="9"/>
    <n v="1670.8"/>
    <m/>
  </r>
  <r>
    <s v="ORD-3336"/>
    <d v="2024-11-27T00:00:00"/>
    <s v="CUST-139"/>
    <x v="9"/>
    <x v="0"/>
    <x v="0"/>
    <x v="3"/>
    <x v="0"/>
    <s v="$101.96"/>
    <s v="Wednesday"/>
    <x v="0"/>
    <x v="0"/>
    <b v="0"/>
    <b v="0"/>
    <s v="Standard order"/>
    <n v="5.0979999999999999"/>
    <x v="13"/>
    <n v="407.84"/>
    <m/>
  </r>
  <r>
    <s v="ORD-3337"/>
    <d v="2024-01-11T00:00:00"/>
    <s v="CUST-168"/>
    <x v="13"/>
    <x v="0"/>
    <x v="2"/>
    <x v="1"/>
    <x v="16"/>
    <s v="$156.44"/>
    <s v="Thursday"/>
    <x v="6"/>
    <x v="0"/>
    <b v="0"/>
    <b v="1"/>
    <s v="Large Order"/>
    <n v="7.8220000000000001"/>
    <x v="18"/>
    <n v="2972.36"/>
    <m/>
  </r>
  <r>
    <s v="ORD-3338"/>
    <d v="2024-08-03T00:00:00"/>
    <s v="CUST-134"/>
    <x v="18"/>
    <x v="2"/>
    <x v="2"/>
    <x v="4"/>
    <x v="1"/>
    <s v="$230.68"/>
    <s v="Saturday"/>
    <x v="10"/>
    <x v="0"/>
    <b v="1"/>
    <b v="0"/>
    <s v="Standard order"/>
    <n v="11.534000000000001"/>
    <x v="3"/>
    <n v="230.68"/>
    <m/>
  </r>
  <r>
    <s v="ORD-3339"/>
    <d v="2024-07-12T00:00:00"/>
    <s v="CUST-173"/>
    <x v="4"/>
    <x v="1"/>
    <x v="1"/>
    <x v="0"/>
    <x v="17"/>
    <s v="$230.34"/>
    <s v="Friday"/>
    <x v="8"/>
    <x v="0"/>
    <b v="0"/>
    <b v="1"/>
    <s v="Large Order"/>
    <n v="11.517000000000001"/>
    <x v="13"/>
    <n v="3685.44"/>
    <m/>
  </r>
  <r>
    <s v="ORD-3340"/>
    <d v="2024-12-11T00:00:00"/>
    <s v="CUST-126"/>
    <x v="13"/>
    <x v="1"/>
    <x v="1"/>
    <x v="3"/>
    <x v="6"/>
    <s v="$156.44"/>
    <s v="Wednesday"/>
    <x v="1"/>
    <x v="0"/>
    <b v="0"/>
    <b v="1"/>
    <s v="Large Order"/>
    <n v="7.8220000000000001"/>
    <x v="11"/>
    <n v="938.64"/>
    <m/>
  </r>
  <r>
    <s v="ORD-3341"/>
    <d v="2024-07-05T00:00:00"/>
    <s v="CUST-155"/>
    <x v="11"/>
    <x v="1"/>
    <x v="0"/>
    <x v="4"/>
    <x v="10"/>
    <s v="$33.22"/>
    <s v="Friday"/>
    <x v="8"/>
    <x v="0"/>
    <b v="0"/>
    <b v="0"/>
    <s v="Standard order"/>
    <n v="1.661"/>
    <x v="9"/>
    <n v="232.54"/>
    <m/>
  </r>
  <r>
    <s v="ORD-3342"/>
    <d v="2024-01-25T00:00:00"/>
    <s v="CUST-138"/>
    <x v="9"/>
    <x v="1"/>
    <x v="4"/>
    <x v="4"/>
    <x v="13"/>
    <s v="$101.96"/>
    <s v="Thursday"/>
    <x v="6"/>
    <x v="0"/>
    <b v="0"/>
    <b v="0"/>
    <s v="Standard order"/>
    <n v="5.0979999999999999"/>
    <x v="9"/>
    <n v="305.88"/>
    <m/>
  </r>
  <r>
    <s v="ORD-3343"/>
    <d v="2024-10-23T00:00:00"/>
    <s v="CUST-112"/>
    <x v="9"/>
    <x v="1"/>
    <x v="3"/>
    <x v="0"/>
    <x v="16"/>
    <s v="$101.96"/>
    <s v="Wednesday"/>
    <x v="3"/>
    <x v="0"/>
    <b v="0"/>
    <b v="1"/>
    <s v="Large Order"/>
    <n v="5.0979999999999999"/>
    <x v="11"/>
    <n v="1937.2399999999998"/>
    <m/>
  </r>
  <r>
    <s v="ORD-3344"/>
    <d v="2024-08-31T00:00:00"/>
    <s v="CUST-154"/>
    <x v="11"/>
    <x v="1"/>
    <x v="0"/>
    <x v="3"/>
    <x v="18"/>
    <s v="$33.22"/>
    <s v="Saturday"/>
    <x v="10"/>
    <x v="0"/>
    <b v="1"/>
    <b v="0"/>
    <s v="Large Order"/>
    <n v="1.661"/>
    <x v="23"/>
    <n v="564.74"/>
    <m/>
  </r>
  <r>
    <s v="ORD-3345"/>
    <d v="2024-08-09T00:00:00"/>
    <s v="CUST-184"/>
    <x v="23"/>
    <x v="1"/>
    <x v="4"/>
    <x v="1"/>
    <x v="11"/>
    <s v="$133.37"/>
    <s v="Friday"/>
    <x v="10"/>
    <x v="0"/>
    <b v="0"/>
    <b v="1"/>
    <s v="Large Order"/>
    <n v="6.6685000000000008"/>
    <x v="5"/>
    <n v="1733.81"/>
    <m/>
  </r>
  <r>
    <s v="ORD-3346"/>
    <d v="2024-09-20T00:00:00"/>
    <s v="CUST-158"/>
    <x v="6"/>
    <x v="2"/>
    <x v="4"/>
    <x v="0"/>
    <x v="18"/>
    <s v="$86.6"/>
    <s v="Friday"/>
    <x v="11"/>
    <x v="0"/>
    <b v="0"/>
    <b v="1"/>
    <s v="Large Order"/>
    <n v="4.33"/>
    <x v="11"/>
    <n v="1472.1999999999998"/>
    <m/>
  </r>
  <r>
    <s v="ORD-3347"/>
    <d v="2024-10-22T00:00:00"/>
    <s v="CUST-163"/>
    <x v="11"/>
    <x v="2"/>
    <x v="2"/>
    <x v="3"/>
    <x v="15"/>
    <s v="$33.22"/>
    <s v="Tuesday"/>
    <x v="3"/>
    <x v="0"/>
    <b v="0"/>
    <b v="0"/>
    <s v="Large Order"/>
    <n v="1.661"/>
    <x v="16"/>
    <n v="597.96"/>
    <m/>
  </r>
  <r>
    <s v="ORD-3348"/>
    <d v="2024-08-10T00:00:00"/>
    <s v="CUST-172"/>
    <x v="16"/>
    <x v="2"/>
    <x v="0"/>
    <x v="4"/>
    <x v="10"/>
    <s v="$130.07"/>
    <s v="Saturday"/>
    <x v="10"/>
    <x v="0"/>
    <b v="1"/>
    <b v="1"/>
    <s v="Large Order"/>
    <n v="6.5034999999999998"/>
    <x v="0"/>
    <n v="910.49"/>
    <m/>
  </r>
  <r>
    <s v="ORD-3349"/>
    <d v="2024-03-16T00:00:00"/>
    <s v="CUST-130"/>
    <x v="1"/>
    <x v="2"/>
    <x v="3"/>
    <x v="1"/>
    <x v="3"/>
    <s v="$178.83"/>
    <s v="Saturday"/>
    <x v="4"/>
    <x v="0"/>
    <b v="1"/>
    <b v="1"/>
    <s v="Large Order"/>
    <n v="8.9415000000000013"/>
    <x v="11"/>
    <n v="2503.6200000000003"/>
    <m/>
  </r>
  <r>
    <s v="ORD-3350"/>
    <d v="2024-02-02T00:00:00"/>
    <s v="CUST-181"/>
    <x v="11"/>
    <x v="1"/>
    <x v="3"/>
    <x v="3"/>
    <x v="6"/>
    <s v="$33.22"/>
    <s v="Friday"/>
    <x v="5"/>
    <x v="0"/>
    <b v="0"/>
    <b v="0"/>
    <s v="Standard order"/>
    <n v="1.661"/>
    <x v="3"/>
    <n v="199.32"/>
    <m/>
  </r>
  <r>
    <s v="ORD-3351"/>
    <d v="2024-11-03T00:00:00"/>
    <s v="CUST-130"/>
    <x v="4"/>
    <x v="0"/>
    <x v="0"/>
    <x v="2"/>
    <x v="10"/>
    <s v="$230.34"/>
    <s v="Sunday"/>
    <x v="0"/>
    <x v="0"/>
    <b v="1"/>
    <b v="1"/>
    <s v="Large Order"/>
    <n v="11.517000000000001"/>
    <x v="4"/>
    <n v="1612.38"/>
    <m/>
  </r>
  <r>
    <s v="ORD-3352"/>
    <d v="2024-06-07T00:00:00"/>
    <s v="CUST-159"/>
    <x v="5"/>
    <x v="2"/>
    <x v="2"/>
    <x v="1"/>
    <x v="4"/>
    <s v="$64.61"/>
    <s v="Friday"/>
    <x v="9"/>
    <x v="0"/>
    <b v="0"/>
    <b v="0"/>
    <s v="Standard order"/>
    <n v="3.2305000000000001"/>
    <x v="18"/>
    <n v="129.22"/>
    <m/>
  </r>
  <r>
    <s v="ORD-3353"/>
    <d v="2024-05-19T00:00:00"/>
    <s v="CUST-117"/>
    <x v="18"/>
    <x v="1"/>
    <x v="3"/>
    <x v="4"/>
    <x v="6"/>
    <s v="$230.68"/>
    <s v="Sunday"/>
    <x v="7"/>
    <x v="0"/>
    <b v="1"/>
    <b v="1"/>
    <s v="Large Order"/>
    <n v="11.534000000000001"/>
    <x v="4"/>
    <n v="1384.08"/>
    <m/>
  </r>
  <r>
    <s v="ORD-3354"/>
    <d v="2024-01-22T00:00:00"/>
    <s v="CUST-192"/>
    <x v="5"/>
    <x v="0"/>
    <x v="0"/>
    <x v="0"/>
    <x v="9"/>
    <s v="$64.61"/>
    <s v="Monday"/>
    <x v="6"/>
    <x v="0"/>
    <b v="0"/>
    <b v="0"/>
    <s v="Large Order"/>
    <n v="3.2305000000000001"/>
    <x v="7"/>
    <n v="710.71"/>
    <m/>
  </r>
  <r>
    <s v="ORD-3355"/>
    <d v="2024-02-02T00:00:00"/>
    <s v="CUST-152"/>
    <x v="8"/>
    <x v="2"/>
    <x v="0"/>
    <x v="1"/>
    <x v="2"/>
    <s v="$208.85"/>
    <s v="Friday"/>
    <x v="5"/>
    <x v="0"/>
    <b v="0"/>
    <b v="0"/>
    <s v="Large Order"/>
    <n v="10.442500000000001"/>
    <x v="22"/>
    <n v="1044.25"/>
    <m/>
  </r>
  <r>
    <s v="ORD-3356"/>
    <d v="2024-10-19T00:00:00"/>
    <s v="CUST-194"/>
    <x v="22"/>
    <x v="0"/>
    <x v="1"/>
    <x v="4"/>
    <x v="18"/>
    <s v="$149.27"/>
    <s v="Saturday"/>
    <x v="3"/>
    <x v="0"/>
    <b v="1"/>
    <b v="1"/>
    <s v="Large Order"/>
    <n v="7.4635000000000007"/>
    <x v="20"/>
    <n v="2537.59"/>
    <m/>
  </r>
  <r>
    <s v="ORD-3357"/>
    <d v="2024-02-16T00:00:00"/>
    <s v="CUST-130"/>
    <x v="20"/>
    <x v="0"/>
    <x v="3"/>
    <x v="3"/>
    <x v="16"/>
    <s v="$81.02"/>
    <s v="Friday"/>
    <x v="5"/>
    <x v="0"/>
    <b v="0"/>
    <b v="1"/>
    <s v="Large Order"/>
    <n v="4.0510000000000002"/>
    <x v="11"/>
    <n v="1539.3799999999999"/>
    <m/>
  </r>
  <r>
    <s v="ORD-3358"/>
    <d v="2024-04-30T00:00:00"/>
    <s v="CUST-154"/>
    <x v="11"/>
    <x v="0"/>
    <x v="0"/>
    <x v="2"/>
    <x v="10"/>
    <s v="$33.22"/>
    <s v="Tuesday"/>
    <x v="2"/>
    <x v="0"/>
    <b v="0"/>
    <b v="0"/>
    <s v="Standard order"/>
    <n v="1.661"/>
    <x v="2"/>
    <n v="232.54"/>
    <m/>
  </r>
  <r>
    <s v="ORD-3359"/>
    <d v="2024-08-13T00:00:00"/>
    <s v="CUST-152"/>
    <x v="3"/>
    <x v="2"/>
    <x v="0"/>
    <x v="1"/>
    <x v="15"/>
    <s v="$84.57"/>
    <s v="Tuesday"/>
    <x v="10"/>
    <x v="0"/>
    <b v="0"/>
    <b v="1"/>
    <s v="Large Order"/>
    <n v="4.2284999999999995"/>
    <x v="23"/>
    <n v="1522.2599999999998"/>
    <m/>
  </r>
  <r>
    <s v="ORD-3360"/>
    <d v="2024-02-27T00:00:00"/>
    <s v="CUST-140"/>
    <x v="23"/>
    <x v="1"/>
    <x v="2"/>
    <x v="2"/>
    <x v="14"/>
    <s v="$133.37"/>
    <s v="Tuesday"/>
    <x v="5"/>
    <x v="0"/>
    <b v="0"/>
    <b v="1"/>
    <s v="Large Order"/>
    <n v="6.6685000000000008"/>
    <x v="4"/>
    <n v="1200.33"/>
    <m/>
  </r>
  <r>
    <s v="ORD-3361"/>
    <d v="2024-03-15T00:00:00"/>
    <s v="CUST-146"/>
    <x v="5"/>
    <x v="2"/>
    <x v="3"/>
    <x v="3"/>
    <x v="1"/>
    <s v="$64.61"/>
    <s v="Friday"/>
    <x v="4"/>
    <x v="0"/>
    <b v="0"/>
    <b v="0"/>
    <s v="Standard order"/>
    <n v="3.2305000000000001"/>
    <x v="16"/>
    <n v="64.61"/>
    <m/>
  </r>
  <r>
    <s v="ORD-3362"/>
    <d v="2024-11-06T00:00:00"/>
    <s v="CUST-104"/>
    <x v="16"/>
    <x v="2"/>
    <x v="0"/>
    <x v="2"/>
    <x v="14"/>
    <s v="$130.07"/>
    <s v="Wednesday"/>
    <x v="0"/>
    <x v="0"/>
    <b v="0"/>
    <b v="1"/>
    <s v="Large Order"/>
    <n v="6.5034999999999998"/>
    <x v="10"/>
    <n v="1170.6299999999999"/>
    <m/>
  </r>
  <r>
    <s v="ORD-3363"/>
    <d v="2024-06-07T00:00:00"/>
    <s v="CUST-181"/>
    <x v="10"/>
    <x v="1"/>
    <x v="0"/>
    <x v="4"/>
    <x v="7"/>
    <s v="$46.19"/>
    <s v="Friday"/>
    <x v="9"/>
    <x v="0"/>
    <b v="0"/>
    <b v="0"/>
    <s v="Standard order"/>
    <n v="2.3094999999999999"/>
    <x v="3"/>
    <n v="369.52"/>
    <m/>
  </r>
  <r>
    <s v="ORD-3364"/>
    <d v="2024-07-17T00:00:00"/>
    <s v="CUST-101"/>
    <x v="4"/>
    <x v="1"/>
    <x v="3"/>
    <x v="0"/>
    <x v="7"/>
    <s v="$230.34"/>
    <s v="Wednesday"/>
    <x v="8"/>
    <x v="0"/>
    <b v="0"/>
    <b v="1"/>
    <s v="Large Order"/>
    <n v="11.517000000000001"/>
    <x v="1"/>
    <n v="1842.72"/>
    <m/>
  </r>
  <r>
    <s v="ORD-3365"/>
    <d v="2024-03-23T00:00:00"/>
    <s v="CUST-156"/>
    <x v="2"/>
    <x v="1"/>
    <x v="2"/>
    <x v="0"/>
    <x v="14"/>
    <s v="$88.18"/>
    <s v="Saturday"/>
    <x v="4"/>
    <x v="0"/>
    <b v="1"/>
    <b v="1"/>
    <s v="Large Order"/>
    <n v="4.4090000000000007"/>
    <x v="16"/>
    <n v="793.62000000000012"/>
    <m/>
  </r>
  <r>
    <s v="ORD-3366"/>
    <d v="2024-09-08T00:00:00"/>
    <s v="CUST-160"/>
    <x v="16"/>
    <x v="1"/>
    <x v="3"/>
    <x v="1"/>
    <x v="0"/>
    <s v="$130.07"/>
    <s v="Sunday"/>
    <x v="11"/>
    <x v="0"/>
    <b v="1"/>
    <b v="0"/>
    <s v="Large Order"/>
    <n v="6.5034999999999998"/>
    <x v="22"/>
    <n v="520.28"/>
    <m/>
  </r>
  <r>
    <s v="ORD-3367"/>
    <d v="2024-12-23T00:00:00"/>
    <s v="CUST-133"/>
    <x v="22"/>
    <x v="0"/>
    <x v="3"/>
    <x v="1"/>
    <x v="19"/>
    <s v="$149.27"/>
    <s v="Monday"/>
    <x v="1"/>
    <x v="0"/>
    <b v="0"/>
    <b v="1"/>
    <s v="Large Order"/>
    <n v="7.4635000000000007"/>
    <x v="13"/>
    <n v="2985.4"/>
    <m/>
  </r>
  <r>
    <s v="ORD-3368"/>
    <d v="2024-10-07T00:00:00"/>
    <s v="CUST-194"/>
    <x v="13"/>
    <x v="1"/>
    <x v="0"/>
    <x v="0"/>
    <x v="6"/>
    <s v="$156.44"/>
    <s v="Monday"/>
    <x v="3"/>
    <x v="0"/>
    <b v="0"/>
    <b v="1"/>
    <s v="Large Order"/>
    <n v="7.8220000000000001"/>
    <x v="18"/>
    <n v="938.64"/>
    <m/>
  </r>
  <r>
    <s v="ORD-3369"/>
    <d v="2024-11-24T00:00:00"/>
    <s v="CUST-117"/>
    <x v="18"/>
    <x v="1"/>
    <x v="4"/>
    <x v="3"/>
    <x v="9"/>
    <s v="$230.68"/>
    <s v="Sunday"/>
    <x v="0"/>
    <x v="0"/>
    <b v="1"/>
    <b v="1"/>
    <s v="Large Order"/>
    <n v="11.534000000000001"/>
    <x v="24"/>
    <n v="2537.48"/>
    <m/>
  </r>
  <r>
    <s v="ORD-3370"/>
    <d v="2024-02-26T00:00:00"/>
    <s v="CUST-120"/>
    <x v="24"/>
    <x v="2"/>
    <x v="4"/>
    <x v="4"/>
    <x v="3"/>
    <s v="$10.11"/>
    <s v="Monday"/>
    <x v="5"/>
    <x v="0"/>
    <b v="0"/>
    <b v="0"/>
    <s v="Standard order"/>
    <n v="0.50549999999999995"/>
    <x v="4"/>
    <n v="141.54"/>
    <m/>
  </r>
  <r>
    <s v="ORD-3371"/>
    <d v="2024-06-12T00:00:00"/>
    <s v="CUST-157"/>
    <x v="5"/>
    <x v="2"/>
    <x v="4"/>
    <x v="3"/>
    <x v="6"/>
    <s v="$64.61"/>
    <s v="Wednesday"/>
    <x v="9"/>
    <x v="0"/>
    <b v="0"/>
    <b v="0"/>
    <s v="Standard order"/>
    <n v="3.2305000000000001"/>
    <x v="11"/>
    <n v="387.65999999999997"/>
    <m/>
  </r>
  <r>
    <s v="ORD-3372"/>
    <d v="2024-06-16T00:00:00"/>
    <s v="CUST-136"/>
    <x v="11"/>
    <x v="0"/>
    <x v="2"/>
    <x v="3"/>
    <x v="6"/>
    <s v="$33.22"/>
    <s v="Sunday"/>
    <x v="9"/>
    <x v="0"/>
    <b v="1"/>
    <b v="0"/>
    <s v="Standard order"/>
    <n v="1.661"/>
    <x v="24"/>
    <n v="199.32"/>
    <m/>
  </r>
  <r>
    <s v="ORD-3373"/>
    <d v="2024-07-12T00:00:00"/>
    <s v="CUST-173"/>
    <x v="24"/>
    <x v="0"/>
    <x v="0"/>
    <x v="4"/>
    <x v="19"/>
    <s v="$10.11"/>
    <s v="Friday"/>
    <x v="8"/>
    <x v="0"/>
    <b v="0"/>
    <b v="0"/>
    <s v="Standard order"/>
    <n v="0.50549999999999995"/>
    <x v="11"/>
    <n v="202.2"/>
    <m/>
  </r>
  <r>
    <s v="ORD-3374"/>
    <d v="2024-02-15T00:00:00"/>
    <s v="CUST-159"/>
    <x v="11"/>
    <x v="1"/>
    <x v="4"/>
    <x v="0"/>
    <x v="11"/>
    <s v="$33.22"/>
    <s v="Thursday"/>
    <x v="5"/>
    <x v="0"/>
    <b v="0"/>
    <b v="0"/>
    <s v="Standard order"/>
    <n v="1.661"/>
    <x v="0"/>
    <n v="431.86"/>
    <m/>
  </r>
  <r>
    <s v="ORD-3375"/>
    <d v="2024-11-03T00:00:00"/>
    <s v="CUST-133"/>
    <x v="1"/>
    <x v="0"/>
    <x v="3"/>
    <x v="2"/>
    <x v="16"/>
    <s v="$178.83"/>
    <s v="Sunday"/>
    <x v="0"/>
    <x v="0"/>
    <b v="1"/>
    <b v="1"/>
    <s v="Large Order"/>
    <n v="8.9415000000000013"/>
    <x v="21"/>
    <n v="3397.7700000000004"/>
    <m/>
  </r>
  <r>
    <s v="ORD-3376"/>
    <d v="2024-09-26T00:00:00"/>
    <s v="CUST-155"/>
    <x v="21"/>
    <x v="1"/>
    <x v="2"/>
    <x v="0"/>
    <x v="7"/>
    <s v="$32.94"/>
    <s v="Thursday"/>
    <x v="11"/>
    <x v="0"/>
    <b v="0"/>
    <b v="0"/>
    <s v="Standard order"/>
    <n v="1.647"/>
    <x v="2"/>
    <n v="263.52"/>
    <m/>
  </r>
  <r>
    <s v="ORD-3377"/>
    <d v="2024-04-07T00:00:00"/>
    <s v="CUST-200"/>
    <x v="3"/>
    <x v="1"/>
    <x v="2"/>
    <x v="1"/>
    <x v="2"/>
    <s v="$84.57"/>
    <s v="Sunday"/>
    <x v="2"/>
    <x v="0"/>
    <b v="1"/>
    <b v="0"/>
    <s v="Standard order"/>
    <n v="4.2284999999999995"/>
    <x v="11"/>
    <n v="422.84999999999997"/>
    <m/>
  </r>
  <r>
    <s v="ORD-3378"/>
    <d v="2024-04-15T00:00:00"/>
    <s v="CUST-176"/>
    <x v="11"/>
    <x v="1"/>
    <x v="4"/>
    <x v="1"/>
    <x v="6"/>
    <s v="$33.22"/>
    <s v="Monday"/>
    <x v="2"/>
    <x v="0"/>
    <b v="0"/>
    <b v="0"/>
    <s v="Standard order"/>
    <n v="1.661"/>
    <x v="14"/>
    <n v="199.32"/>
    <m/>
  </r>
  <r>
    <s v="ORD-3379"/>
    <d v="2024-03-15T00:00:00"/>
    <s v="CUST-103"/>
    <x v="14"/>
    <x v="1"/>
    <x v="4"/>
    <x v="4"/>
    <x v="12"/>
    <s v="$201.32"/>
    <s v="Friday"/>
    <x v="4"/>
    <x v="0"/>
    <b v="0"/>
    <b v="1"/>
    <s v="Large Order"/>
    <n v="10.066000000000001"/>
    <x v="5"/>
    <n v="3019.7999999999997"/>
    <m/>
  </r>
  <r>
    <s v="ORD-3380"/>
    <d v="2024-07-08T00:00:00"/>
    <s v="CUST-174"/>
    <x v="6"/>
    <x v="2"/>
    <x v="2"/>
    <x v="0"/>
    <x v="1"/>
    <s v="$86.6"/>
    <s v="Monday"/>
    <x v="8"/>
    <x v="0"/>
    <b v="0"/>
    <b v="0"/>
    <s v="Standard order"/>
    <n v="4.33"/>
    <x v="3"/>
    <n v="86.6"/>
    <m/>
  </r>
  <r>
    <s v="ORD-3381"/>
    <d v="2024-06-14T00:00:00"/>
    <s v="CUST-188"/>
    <x v="4"/>
    <x v="2"/>
    <x v="4"/>
    <x v="1"/>
    <x v="3"/>
    <s v="$230.34"/>
    <s v="Friday"/>
    <x v="9"/>
    <x v="0"/>
    <b v="0"/>
    <b v="1"/>
    <s v="Large Order"/>
    <n v="11.517000000000001"/>
    <x v="19"/>
    <n v="3224.76"/>
    <m/>
  </r>
  <r>
    <s v="ORD-3382"/>
    <d v="2024-05-11T00:00:00"/>
    <s v="CUST-109"/>
    <x v="19"/>
    <x v="2"/>
    <x v="0"/>
    <x v="0"/>
    <x v="9"/>
    <s v="$145.48"/>
    <s v="Saturday"/>
    <x v="7"/>
    <x v="0"/>
    <b v="1"/>
    <b v="1"/>
    <s v="Large Order"/>
    <n v="7.274"/>
    <x v="20"/>
    <n v="1600.28"/>
    <m/>
  </r>
  <r>
    <s v="ORD-3383"/>
    <d v="2024-08-29T00:00:00"/>
    <s v="CUST-145"/>
    <x v="20"/>
    <x v="2"/>
    <x v="1"/>
    <x v="0"/>
    <x v="1"/>
    <s v="$81.02"/>
    <s v="Thursday"/>
    <x v="10"/>
    <x v="0"/>
    <b v="0"/>
    <b v="0"/>
    <s v="Standard order"/>
    <n v="4.0510000000000002"/>
    <x v="14"/>
    <n v="81.02"/>
    <m/>
  </r>
  <r>
    <s v="ORD-3384"/>
    <d v="2024-11-13T00:00:00"/>
    <s v="CUST-148"/>
    <x v="14"/>
    <x v="1"/>
    <x v="3"/>
    <x v="2"/>
    <x v="15"/>
    <s v="$201.32"/>
    <s v="Wednesday"/>
    <x v="0"/>
    <x v="0"/>
    <b v="0"/>
    <b v="1"/>
    <s v="Large Order"/>
    <n v="10.066000000000001"/>
    <x v="6"/>
    <n v="3623.7599999999998"/>
    <m/>
  </r>
  <r>
    <s v="ORD-3385"/>
    <d v="2024-04-01T00:00:00"/>
    <s v="CUST-133"/>
    <x v="7"/>
    <x v="2"/>
    <x v="2"/>
    <x v="3"/>
    <x v="12"/>
    <s v="$107.34"/>
    <s v="Monday"/>
    <x v="2"/>
    <x v="0"/>
    <b v="0"/>
    <b v="1"/>
    <s v="Large Order"/>
    <n v="5.3670000000000009"/>
    <x v="22"/>
    <n v="1610.1000000000001"/>
    <m/>
  </r>
  <r>
    <s v="ORD-3386"/>
    <d v="2024-06-11T00:00:00"/>
    <s v="CUST-190"/>
    <x v="22"/>
    <x v="1"/>
    <x v="4"/>
    <x v="3"/>
    <x v="0"/>
    <s v="$149.27"/>
    <s v="Tuesday"/>
    <x v="9"/>
    <x v="0"/>
    <b v="0"/>
    <b v="0"/>
    <s v="Large Order"/>
    <n v="7.4635000000000007"/>
    <x v="2"/>
    <n v="597.08000000000004"/>
    <m/>
  </r>
  <r>
    <s v="ORD-3387"/>
    <d v="2024-03-06T00:00:00"/>
    <s v="CUST-163"/>
    <x v="3"/>
    <x v="2"/>
    <x v="3"/>
    <x v="1"/>
    <x v="8"/>
    <s v="$84.57"/>
    <s v="Wednesday"/>
    <x v="4"/>
    <x v="0"/>
    <b v="0"/>
    <b v="1"/>
    <s v="Large Order"/>
    <n v="4.2284999999999995"/>
    <x v="21"/>
    <n v="845.69999999999993"/>
    <m/>
  </r>
  <r>
    <s v="ORD-3388"/>
    <d v="2024-05-14T00:00:00"/>
    <s v="CUST-178"/>
    <x v="21"/>
    <x v="1"/>
    <x v="1"/>
    <x v="3"/>
    <x v="3"/>
    <s v="$32.94"/>
    <s v="Tuesday"/>
    <x v="7"/>
    <x v="0"/>
    <b v="0"/>
    <b v="0"/>
    <s v="Standard order"/>
    <n v="1.647"/>
    <x v="4"/>
    <n v="461.15999999999997"/>
    <m/>
  </r>
  <r>
    <s v="ORD-3389"/>
    <d v="2024-06-10T00:00:00"/>
    <s v="CUST-194"/>
    <x v="5"/>
    <x v="0"/>
    <x v="1"/>
    <x v="1"/>
    <x v="4"/>
    <s v="$64.61"/>
    <s v="Monday"/>
    <x v="9"/>
    <x v="0"/>
    <b v="0"/>
    <b v="0"/>
    <s v="Standard order"/>
    <n v="3.2305000000000001"/>
    <x v="6"/>
    <n v="129.22"/>
    <m/>
  </r>
  <r>
    <s v="ORD-3390"/>
    <d v="2024-01-28T00:00:00"/>
    <s v="CUST-129"/>
    <x v="7"/>
    <x v="0"/>
    <x v="2"/>
    <x v="3"/>
    <x v="6"/>
    <s v="$107.34"/>
    <s v="Sunday"/>
    <x v="6"/>
    <x v="0"/>
    <b v="1"/>
    <b v="0"/>
    <s v="Large Order"/>
    <n v="5.3670000000000009"/>
    <x v="4"/>
    <n v="644.04"/>
    <m/>
  </r>
  <r>
    <s v="ORD-3391"/>
    <d v="2024-08-11T00:00:00"/>
    <s v="CUST-114"/>
    <x v="5"/>
    <x v="0"/>
    <x v="2"/>
    <x v="3"/>
    <x v="15"/>
    <s v="$64.61"/>
    <s v="Sunday"/>
    <x v="10"/>
    <x v="0"/>
    <b v="1"/>
    <b v="1"/>
    <s v="Large Order"/>
    <n v="3.2305000000000001"/>
    <x v="16"/>
    <n v="1162.98"/>
    <m/>
  </r>
  <r>
    <s v="ORD-3392"/>
    <d v="2024-09-09T00:00:00"/>
    <s v="CUST-114"/>
    <x v="16"/>
    <x v="0"/>
    <x v="0"/>
    <x v="3"/>
    <x v="13"/>
    <s v="$130.07"/>
    <s v="Monday"/>
    <x v="11"/>
    <x v="0"/>
    <b v="0"/>
    <b v="0"/>
    <s v="Standard order"/>
    <n v="6.5034999999999998"/>
    <x v="6"/>
    <n v="390.21"/>
    <m/>
  </r>
  <r>
    <s v="ORD-3393"/>
    <d v="2024-05-25T00:00:00"/>
    <s v="CUST-123"/>
    <x v="7"/>
    <x v="2"/>
    <x v="1"/>
    <x v="3"/>
    <x v="16"/>
    <s v="$107.34"/>
    <s v="Saturday"/>
    <x v="7"/>
    <x v="0"/>
    <b v="1"/>
    <b v="1"/>
    <s v="Large Order"/>
    <n v="5.3670000000000009"/>
    <x v="9"/>
    <n v="2039.46"/>
    <m/>
  </r>
  <r>
    <s v="ORD-3394"/>
    <d v="2024-10-26T00:00:00"/>
    <s v="CUST-127"/>
    <x v="9"/>
    <x v="0"/>
    <x v="1"/>
    <x v="4"/>
    <x v="6"/>
    <s v="$101.96"/>
    <s v="Saturday"/>
    <x v="3"/>
    <x v="0"/>
    <b v="1"/>
    <b v="0"/>
    <s v="Large Order"/>
    <n v="5.0979999999999999"/>
    <x v="21"/>
    <n v="611.76"/>
    <m/>
  </r>
  <r>
    <s v="ORD-3395"/>
    <d v="2024-02-09T00:00:00"/>
    <s v="CUST-131"/>
    <x v="21"/>
    <x v="1"/>
    <x v="0"/>
    <x v="3"/>
    <x v="1"/>
    <s v="$32.94"/>
    <s v="Friday"/>
    <x v="5"/>
    <x v="0"/>
    <b v="0"/>
    <b v="0"/>
    <s v="Standard order"/>
    <n v="1.647"/>
    <x v="3"/>
    <n v="32.94"/>
    <m/>
  </r>
  <r>
    <s v="ORD-3396"/>
    <d v="2024-12-14T00:00:00"/>
    <s v="CUST-115"/>
    <x v="4"/>
    <x v="1"/>
    <x v="1"/>
    <x v="0"/>
    <x v="9"/>
    <s v="$230.34"/>
    <s v="Saturday"/>
    <x v="1"/>
    <x v="0"/>
    <b v="1"/>
    <b v="1"/>
    <s v="Large Order"/>
    <n v="11.517000000000001"/>
    <x v="10"/>
    <n v="2533.7400000000002"/>
    <m/>
  </r>
  <r>
    <s v="ORD-3397"/>
    <d v="2024-02-11T00:00:00"/>
    <s v="CUST-158"/>
    <x v="10"/>
    <x v="2"/>
    <x v="2"/>
    <x v="1"/>
    <x v="14"/>
    <s v="$46.19"/>
    <s v="Sunday"/>
    <x v="5"/>
    <x v="0"/>
    <b v="1"/>
    <b v="0"/>
    <s v="Standard order"/>
    <n v="2.3094999999999999"/>
    <x v="15"/>
    <n v="415.71"/>
    <m/>
  </r>
  <r>
    <s v="ORD-3398"/>
    <d v="2024-01-03T00:00:00"/>
    <s v="CUST-142"/>
    <x v="15"/>
    <x v="2"/>
    <x v="1"/>
    <x v="1"/>
    <x v="9"/>
    <s v="$216.22"/>
    <s v="Wednesday"/>
    <x v="6"/>
    <x v="0"/>
    <b v="0"/>
    <b v="1"/>
    <s v="Large Order"/>
    <n v="10.811"/>
    <x v="11"/>
    <n v="2378.42"/>
    <m/>
  </r>
  <r>
    <s v="ORD-3399"/>
    <d v="2024-10-18T00:00:00"/>
    <s v="CUST-116"/>
    <x v="11"/>
    <x v="0"/>
    <x v="3"/>
    <x v="3"/>
    <x v="4"/>
    <s v="$33.22"/>
    <s v="Friday"/>
    <x v="3"/>
    <x v="0"/>
    <b v="0"/>
    <b v="0"/>
    <s v="Standard order"/>
    <n v="1.661"/>
    <x v="3"/>
    <n v="66.44"/>
    <m/>
  </r>
  <r>
    <s v="ORD-3400"/>
    <d v="2024-10-07T00:00:00"/>
    <s v="CUST-177"/>
    <x v="4"/>
    <x v="0"/>
    <x v="2"/>
    <x v="3"/>
    <x v="6"/>
    <s v="$230.34"/>
    <s v="Monday"/>
    <x v="3"/>
    <x v="0"/>
    <b v="0"/>
    <b v="1"/>
    <s v="Large Order"/>
    <n v="11.517000000000001"/>
    <x v="18"/>
    <n v="1382.04"/>
    <m/>
  </r>
  <r>
    <s v="ORD-3401"/>
    <d v="2024-07-23T00:00:00"/>
    <s v="CUST-111"/>
    <x v="18"/>
    <x v="0"/>
    <x v="4"/>
    <x v="1"/>
    <x v="11"/>
    <s v="$230.68"/>
    <s v="Tuesday"/>
    <x v="8"/>
    <x v="0"/>
    <b v="0"/>
    <b v="1"/>
    <s v="Large Order"/>
    <n v="11.534000000000001"/>
    <x v="19"/>
    <n v="2998.84"/>
    <m/>
  </r>
  <r>
    <s v="ORD-3402"/>
    <d v="2024-11-30T00:00:00"/>
    <s v="CUST-119"/>
    <x v="19"/>
    <x v="1"/>
    <x v="2"/>
    <x v="1"/>
    <x v="8"/>
    <s v="$145.48"/>
    <s v="Saturday"/>
    <x v="0"/>
    <x v="0"/>
    <b v="1"/>
    <b v="1"/>
    <s v="Large Order"/>
    <n v="7.274"/>
    <x v="7"/>
    <n v="1454.8"/>
    <m/>
  </r>
  <r>
    <s v="ORD-3403"/>
    <d v="2024-11-04T00:00:00"/>
    <s v="CUST-116"/>
    <x v="8"/>
    <x v="2"/>
    <x v="0"/>
    <x v="3"/>
    <x v="18"/>
    <s v="$208.85"/>
    <s v="Monday"/>
    <x v="0"/>
    <x v="0"/>
    <b v="0"/>
    <b v="1"/>
    <s v="Large Order"/>
    <n v="10.442500000000001"/>
    <x v="4"/>
    <n v="3550.45"/>
    <m/>
  </r>
  <r>
    <s v="ORD-3404"/>
    <d v="2024-08-16T00:00:00"/>
    <s v="CUST-149"/>
    <x v="5"/>
    <x v="1"/>
    <x v="1"/>
    <x v="4"/>
    <x v="3"/>
    <s v="$64.61"/>
    <s v="Friday"/>
    <x v="10"/>
    <x v="0"/>
    <b v="0"/>
    <b v="1"/>
    <s v="Large Order"/>
    <n v="3.2305000000000001"/>
    <x v="20"/>
    <n v="904.54"/>
    <m/>
  </r>
  <r>
    <s v="ORD-3405"/>
    <d v="2024-08-04T00:00:00"/>
    <s v="CUST-147"/>
    <x v="20"/>
    <x v="0"/>
    <x v="2"/>
    <x v="1"/>
    <x v="13"/>
    <s v="$81.02"/>
    <s v="Sunday"/>
    <x v="10"/>
    <x v="0"/>
    <b v="1"/>
    <b v="0"/>
    <s v="Standard order"/>
    <n v="4.0510000000000002"/>
    <x v="5"/>
    <n v="243.06"/>
    <m/>
  </r>
  <r>
    <s v="ORD-3406"/>
    <d v="2024-06-23T00:00:00"/>
    <s v="CUST-159"/>
    <x v="6"/>
    <x v="0"/>
    <x v="4"/>
    <x v="1"/>
    <x v="18"/>
    <s v="$86.6"/>
    <s v="Sunday"/>
    <x v="9"/>
    <x v="0"/>
    <b v="1"/>
    <b v="1"/>
    <s v="Large Order"/>
    <n v="4.33"/>
    <x v="14"/>
    <n v="1472.1999999999998"/>
    <m/>
  </r>
  <r>
    <s v="ORD-3407"/>
    <d v="2024-09-25T00:00:00"/>
    <s v="CUST-110"/>
    <x v="14"/>
    <x v="1"/>
    <x v="2"/>
    <x v="0"/>
    <x v="17"/>
    <s v="$201.32"/>
    <s v="Wednesday"/>
    <x v="11"/>
    <x v="0"/>
    <b v="0"/>
    <b v="1"/>
    <s v="Large Order"/>
    <n v="10.066000000000001"/>
    <x v="14"/>
    <n v="3221.12"/>
    <m/>
  </r>
  <r>
    <s v="ORD-3408"/>
    <d v="2024-03-06T00:00:00"/>
    <s v="CUST-187"/>
    <x v="14"/>
    <x v="0"/>
    <x v="1"/>
    <x v="1"/>
    <x v="8"/>
    <s v="$201.32"/>
    <s v="Wednesday"/>
    <x v="4"/>
    <x v="0"/>
    <b v="0"/>
    <b v="1"/>
    <s v="Large Order"/>
    <n v="10.066000000000001"/>
    <x v="15"/>
    <n v="2013.1999999999998"/>
    <m/>
  </r>
  <r>
    <s v="ORD-3409"/>
    <d v="2024-10-09T00:00:00"/>
    <s v="CUST-109"/>
    <x v="15"/>
    <x v="2"/>
    <x v="0"/>
    <x v="4"/>
    <x v="3"/>
    <s v="$216.22"/>
    <s v="Wednesday"/>
    <x v="3"/>
    <x v="0"/>
    <b v="0"/>
    <b v="1"/>
    <s v="Large Order"/>
    <n v="10.811"/>
    <x v="16"/>
    <n v="3027.08"/>
    <m/>
  </r>
  <r>
    <s v="ORD-3410"/>
    <d v="2024-08-25T00:00:00"/>
    <s v="CUST-184"/>
    <x v="16"/>
    <x v="2"/>
    <x v="3"/>
    <x v="3"/>
    <x v="14"/>
    <s v="$130.07"/>
    <s v="Sunday"/>
    <x v="10"/>
    <x v="0"/>
    <b v="1"/>
    <b v="1"/>
    <s v="Large Order"/>
    <n v="6.5034999999999998"/>
    <x v="19"/>
    <n v="1170.6299999999999"/>
    <m/>
  </r>
  <r>
    <s v="ORD-3411"/>
    <d v="2024-09-14T00:00:00"/>
    <s v="CUST-102"/>
    <x v="19"/>
    <x v="2"/>
    <x v="2"/>
    <x v="2"/>
    <x v="6"/>
    <s v="$145.48"/>
    <s v="Saturday"/>
    <x v="11"/>
    <x v="0"/>
    <b v="1"/>
    <b v="1"/>
    <s v="Large Order"/>
    <n v="7.274"/>
    <x v="17"/>
    <n v="872.87999999999988"/>
    <m/>
  </r>
  <r>
    <s v="ORD-3412"/>
    <d v="2024-01-24T00:00:00"/>
    <s v="CUST-110"/>
    <x v="17"/>
    <x v="2"/>
    <x v="3"/>
    <x v="3"/>
    <x v="16"/>
    <s v="$26.59"/>
    <s v="Wednesday"/>
    <x v="6"/>
    <x v="0"/>
    <b v="0"/>
    <b v="0"/>
    <s v="Large Order"/>
    <n v="1.3295000000000001"/>
    <x v="20"/>
    <n v="505.21"/>
    <m/>
  </r>
  <r>
    <s v="ORD-3413"/>
    <d v="2024-12-09T00:00:00"/>
    <s v="CUST-157"/>
    <x v="20"/>
    <x v="1"/>
    <x v="3"/>
    <x v="2"/>
    <x v="10"/>
    <s v="$81.02"/>
    <s v="Monday"/>
    <x v="1"/>
    <x v="0"/>
    <b v="0"/>
    <b v="0"/>
    <s v="Large Order"/>
    <n v="4.0510000000000002"/>
    <x v="5"/>
    <n v="567.14"/>
    <m/>
  </r>
  <r>
    <s v="ORD-3414"/>
    <d v="2024-11-05T00:00:00"/>
    <s v="CUST-133"/>
    <x v="6"/>
    <x v="0"/>
    <x v="2"/>
    <x v="4"/>
    <x v="1"/>
    <s v="$86.6"/>
    <s v="Tuesday"/>
    <x v="0"/>
    <x v="0"/>
    <b v="0"/>
    <b v="0"/>
    <s v="Standard order"/>
    <n v="4.33"/>
    <x v="6"/>
    <n v="86.6"/>
    <m/>
  </r>
  <r>
    <s v="ORD-3415"/>
    <d v="2024-02-29T00:00:00"/>
    <s v="CUST-101"/>
    <x v="7"/>
    <x v="2"/>
    <x v="2"/>
    <x v="1"/>
    <x v="11"/>
    <s v="$107.34"/>
    <s v="Thursday"/>
    <x v="5"/>
    <x v="0"/>
    <b v="0"/>
    <b v="1"/>
    <s v="Large Order"/>
    <n v="5.3670000000000009"/>
    <x v="4"/>
    <n v="1395.42"/>
    <m/>
  </r>
  <r>
    <s v="ORD-3416"/>
    <d v="2024-11-04T00:00:00"/>
    <s v="CUST-192"/>
    <x v="5"/>
    <x v="1"/>
    <x v="1"/>
    <x v="4"/>
    <x v="5"/>
    <s v="$64.61"/>
    <s v="Monday"/>
    <x v="0"/>
    <x v="0"/>
    <b v="0"/>
    <b v="1"/>
    <s v="Large Order"/>
    <n v="3.2305000000000001"/>
    <x v="3"/>
    <n v="775.31999999999994"/>
    <m/>
  </r>
  <r>
    <s v="ORD-3417"/>
    <d v="2024-12-19T00:00:00"/>
    <s v="CUST-186"/>
    <x v="4"/>
    <x v="1"/>
    <x v="0"/>
    <x v="2"/>
    <x v="2"/>
    <s v="$230.34"/>
    <s v="Thursday"/>
    <x v="1"/>
    <x v="0"/>
    <b v="0"/>
    <b v="0"/>
    <s v="Large Order"/>
    <n v="11.517000000000001"/>
    <x v="10"/>
    <n v="1151.7"/>
    <m/>
  </r>
  <r>
    <s v="ORD-3418"/>
    <d v="2024-02-27T00:00:00"/>
    <s v="CUST-102"/>
    <x v="10"/>
    <x v="0"/>
    <x v="0"/>
    <x v="2"/>
    <x v="17"/>
    <s v="$46.19"/>
    <s v="Tuesday"/>
    <x v="5"/>
    <x v="0"/>
    <b v="0"/>
    <b v="0"/>
    <s v="Large Order"/>
    <n v="2.3094999999999999"/>
    <x v="17"/>
    <n v="739.04"/>
    <m/>
  </r>
  <r>
    <s v="ORD-3419"/>
    <d v="2024-11-28T00:00:00"/>
    <s v="CUST-130"/>
    <x v="17"/>
    <x v="2"/>
    <x v="1"/>
    <x v="2"/>
    <x v="13"/>
    <s v="$26.59"/>
    <s v="Thursday"/>
    <x v="0"/>
    <x v="0"/>
    <b v="0"/>
    <b v="0"/>
    <s v="Standard order"/>
    <n v="1.3295000000000001"/>
    <x v="4"/>
    <n v="79.77"/>
    <m/>
  </r>
  <r>
    <s v="ORD-3420"/>
    <d v="2024-08-25T00:00:00"/>
    <s v="CUST-118"/>
    <x v="5"/>
    <x v="1"/>
    <x v="0"/>
    <x v="0"/>
    <x v="6"/>
    <s v="$64.61"/>
    <s v="Sunday"/>
    <x v="10"/>
    <x v="0"/>
    <b v="1"/>
    <b v="0"/>
    <s v="Standard order"/>
    <n v="3.2305000000000001"/>
    <x v="4"/>
    <n v="387.65999999999997"/>
    <m/>
  </r>
  <r>
    <s v="ORD-3421"/>
    <d v="2024-12-25T00:00:00"/>
    <s v="CUST-156"/>
    <x v="5"/>
    <x v="1"/>
    <x v="0"/>
    <x v="1"/>
    <x v="16"/>
    <s v="$64.61"/>
    <s v="Wednesday"/>
    <x v="1"/>
    <x v="0"/>
    <b v="0"/>
    <b v="1"/>
    <s v="Large Order"/>
    <n v="3.2305000000000001"/>
    <x v="3"/>
    <n v="1227.5899999999999"/>
    <m/>
  </r>
  <r>
    <s v="ORD-3422"/>
    <d v="2024-05-30T00:00:00"/>
    <s v="CUST-172"/>
    <x v="4"/>
    <x v="0"/>
    <x v="3"/>
    <x v="0"/>
    <x v="0"/>
    <s v="$230.34"/>
    <s v="Thursday"/>
    <x v="7"/>
    <x v="0"/>
    <b v="0"/>
    <b v="0"/>
    <s v="Large Order"/>
    <n v="11.517000000000001"/>
    <x v="4"/>
    <n v="921.36"/>
    <m/>
  </r>
  <r>
    <s v="ORD-3423"/>
    <d v="2024-08-09T00:00:00"/>
    <s v="CUST-153"/>
    <x v="5"/>
    <x v="2"/>
    <x v="1"/>
    <x v="4"/>
    <x v="15"/>
    <s v="$64.61"/>
    <s v="Friday"/>
    <x v="10"/>
    <x v="0"/>
    <b v="0"/>
    <b v="1"/>
    <s v="Large Order"/>
    <n v="3.2305000000000001"/>
    <x v="3"/>
    <n v="1162.98"/>
    <m/>
  </r>
  <r>
    <s v="ORD-3424"/>
    <d v="2024-01-19T00:00:00"/>
    <s v="CUST-162"/>
    <x v="4"/>
    <x v="1"/>
    <x v="1"/>
    <x v="4"/>
    <x v="19"/>
    <s v="$230.34"/>
    <s v="Friday"/>
    <x v="6"/>
    <x v="0"/>
    <b v="0"/>
    <b v="1"/>
    <s v="Large Order"/>
    <n v="11.517000000000001"/>
    <x v="10"/>
    <n v="4606.8"/>
    <m/>
  </r>
  <r>
    <s v="ORD-3425"/>
    <d v="2024-09-06T00:00:00"/>
    <s v="CUST-129"/>
    <x v="10"/>
    <x v="0"/>
    <x v="1"/>
    <x v="0"/>
    <x v="3"/>
    <s v="$46.19"/>
    <s v="Friday"/>
    <x v="11"/>
    <x v="0"/>
    <b v="0"/>
    <b v="0"/>
    <s v="Large Order"/>
    <n v="2.3094999999999999"/>
    <x v="2"/>
    <n v="646.66"/>
    <m/>
  </r>
  <r>
    <s v="ORD-3426"/>
    <d v="2024-10-10T00:00:00"/>
    <s v="CUST-108"/>
    <x v="3"/>
    <x v="2"/>
    <x v="2"/>
    <x v="1"/>
    <x v="0"/>
    <s v="$84.57"/>
    <s v="Thursday"/>
    <x v="3"/>
    <x v="0"/>
    <b v="0"/>
    <b v="0"/>
    <s v="Standard order"/>
    <n v="4.2284999999999995"/>
    <x v="12"/>
    <n v="338.28"/>
    <m/>
  </r>
  <r>
    <s v="ORD-3427"/>
    <d v="2024-11-26T00:00:00"/>
    <s v="CUST-144"/>
    <x v="12"/>
    <x v="2"/>
    <x v="2"/>
    <x v="0"/>
    <x v="6"/>
    <s v="$211.9"/>
    <s v="Tuesday"/>
    <x v="0"/>
    <x v="0"/>
    <b v="0"/>
    <b v="1"/>
    <s v="Large Order"/>
    <n v="10.595000000000001"/>
    <x v="7"/>
    <n v="1271.4000000000001"/>
    <m/>
  </r>
  <r>
    <s v="ORD-3428"/>
    <d v="2024-04-08T00:00:00"/>
    <s v="CUST-160"/>
    <x v="8"/>
    <x v="1"/>
    <x v="4"/>
    <x v="4"/>
    <x v="7"/>
    <s v="$208.85"/>
    <s v="Monday"/>
    <x v="2"/>
    <x v="0"/>
    <b v="0"/>
    <b v="1"/>
    <s v="Large Order"/>
    <n v="10.442500000000001"/>
    <x v="20"/>
    <n v="1670.8"/>
    <m/>
  </r>
  <r>
    <s v="ORD-3429"/>
    <d v="2024-12-16T00:00:00"/>
    <s v="CUST-143"/>
    <x v="20"/>
    <x v="2"/>
    <x v="2"/>
    <x v="2"/>
    <x v="8"/>
    <s v="$81.02"/>
    <s v="Monday"/>
    <x v="1"/>
    <x v="0"/>
    <b v="0"/>
    <b v="1"/>
    <s v="Large Order"/>
    <n v="4.0510000000000002"/>
    <x v="5"/>
    <n v="810.19999999999993"/>
    <m/>
  </r>
  <r>
    <s v="ORD-3430"/>
    <d v="2024-07-18T00:00:00"/>
    <s v="CUST-153"/>
    <x v="6"/>
    <x v="2"/>
    <x v="3"/>
    <x v="1"/>
    <x v="6"/>
    <s v="$86.6"/>
    <s v="Thursday"/>
    <x v="8"/>
    <x v="0"/>
    <b v="0"/>
    <b v="0"/>
    <s v="Large Order"/>
    <n v="4.33"/>
    <x v="16"/>
    <n v="519.59999999999991"/>
    <m/>
  </r>
  <r>
    <s v="ORD-3431"/>
    <d v="2024-05-24T00:00:00"/>
    <s v="CUST-188"/>
    <x v="16"/>
    <x v="0"/>
    <x v="2"/>
    <x v="2"/>
    <x v="6"/>
    <s v="$130.07"/>
    <s v="Friday"/>
    <x v="7"/>
    <x v="0"/>
    <b v="0"/>
    <b v="1"/>
    <s v="Large Order"/>
    <n v="6.5034999999999998"/>
    <x v="19"/>
    <n v="780.42"/>
    <m/>
  </r>
  <r>
    <s v="ORD-3432"/>
    <d v="2024-11-06T00:00:00"/>
    <s v="CUST-162"/>
    <x v="19"/>
    <x v="1"/>
    <x v="2"/>
    <x v="3"/>
    <x v="7"/>
    <s v="$145.48"/>
    <s v="Wednesday"/>
    <x v="0"/>
    <x v="0"/>
    <b v="0"/>
    <b v="1"/>
    <s v="Large Order"/>
    <n v="7.274"/>
    <x v="7"/>
    <n v="1163.8399999999999"/>
    <m/>
  </r>
  <r>
    <s v="ORD-3433"/>
    <d v="2024-01-25T00:00:00"/>
    <s v="CUST-102"/>
    <x v="8"/>
    <x v="1"/>
    <x v="3"/>
    <x v="2"/>
    <x v="6"/>
    <s v="$208.85"/>
    <s v="Thursday"/>
    <x v="6"/>
    <x v="0"/>
    <b v="0"/>
    <b v="1"/>
    <s v="Large Order"/>
    <n v="10.442500000000001"/>
    <x v="8"/>
    <n v="1253.0999999999999"/>
    <m/>
  </r>
  <r>
    <s v="ORD-3434"/>
    <d v="2024-09-14T00:00:00"/>
    <s v="CUST-104"/>
    <x v="0"/>
    <x v="1"/>
    <x v="2"/>
    <x v="0"/>
    <x v="19"/>
    <s v="$146.06"/>
    <s v="Saturday"/>
    <x v="11"/>
    <x v="0"/>
    <b v="1"/>
    <b v="1"/>
    <s v="Large Order"/>
    <n v="7.3030000000000008"/>
    <x v="4"/>
    <n v="2921.2"/>
    <m/>
  </r>
  <r>
    <s v="ORD-3435"/>
    <d v="2024-10-14T00:00:00"/>
    <s v="CUST-128"/>
    <x v="5"/>
    <x v="1"/>
    <x v="3"/>
    <x v="3"/>
    <x v="4"/>
    <s v="$64.61"/>
    <s v="Monday"/>
    <x v="3"/>
    <x v="0"/>
    <b v="0"/>
    <b v="0"/>
    <s v="Standard order"/>
    <n v="3.2305000000000001"/>
    <x v="0"/>
    <n v="129.22"/>
    <m/>
  </r>
  <r>
    <s v="ORD-3436"/>
    <d v="2024-10-12T00:00:00"/>
    <s v="CUST-134"/>
    <x v="1"/>
    <x v="2"/>
    <x v="1"/>
    <x v="4"/>
    <x v="0"/>
    <s v="$178.83"/>
    <s v="Saturday"/>
    <x v="3"/>
    <x v="0"/>
    <b v="1"/>
    <b v="0"/>
    <s v="Large Order"/>
    <n v="8.9415000000000013"/>
    <x v="21"/>
    <n v="715.32"/>
    <m/>
  </r>
  <r>
    <s v="ORD-3437"/>
    <d v="2024-08-12T00:00:00"/>
    <s v="CUST-158"/>
    <x v="21"/>
    <x v="0"/>
    <x v="0"/>
    <x v="4"/>
    <x v="19"/>
    <s v="$32.94"/>
    <s v="Monday"/>
    <x v="10"/>
    <x v="0"/>
    <b v="0"/>
    <b v="0"/>
    <s v="Large Order"/>
    <n v="1.647"/>
    <x v="15"/>
    <n v="658.8"/>
    <m/>
  </r>
  <r>
    <s v="ORD-3438"/>
    <d v="2024-02-22T00:00:00"/>
    <s v="CUST-171"/>
    <x v="15"/>
    <x v="2"/>
    <x v="0"/>
    <x v="2"/>
    <x v="0"/>
    <s v="$216.22"/>
    <s v="Thursday"/>
    <x v="5"/>
    <x v="0"/>
    <b v="0"/>
    <b v="0"/>
    <s v="Large Order"/>
    <n v="10.811"/>
    <x v="16"/>
    <n v="864.88"/>
    <m/>
  </r>
  <r>
    <s v="ORD-3439"/>
    <d v="2024-07-04T00:00:00"/>
    <s v="CUST-120"/>
    <x v="16"/>
    <x v="1"/>
    <x v="2"/>
    <x v="4"/>
    <x v="17"/>
    <s v="$130.07"/>
    <s v="Thursday"/>
    <x v="8"/>
    <x v="0"/>
    <b v="0"/>
    <b v="1"/>
    <s v="Large Order"/>
    <n v="6.5034999999999998"/>
    <x v="1"/>
    <n v="2081.12"/>
    <m/>
  </r>
  <r>
    <s v="ORD-3440"/>
    <d v="2024-02-20T00:00:00"/>
    <s v="CUST-119"/>
    <x v="2"/>
    <x v="1"/>
    <x v="3"/>
    <x v="2"/>
    <x v="0"/>
    <s v="$88.18"/>
    <s v="Tuesday"/>
    <x v="5"/>
    <x v="0"/>
    <b v="0"/>
    <b v="0"/>
    <s v="Standard order"/>
    <n v="4.4090000000000007"/>
    <x v="21"/>
    <n v="352.72"/>
    <m/>
  </r>
  <r>
    <s v="ORD-3441"/>
    <d v="2024-08-12T00:00:00"/>
    <s v="CUST-153"/>
    <x v="21"/>
    <x v="0"/>
    <x v="4"/>
    <x v="1"/>
    <x v="9"/>
    <s v="$32.94"/>
    <s v="Monday"/>
    <x v="10"/>
    <x v="0"/>
    <b v="0"/>
    <b v="0"/>
    <s v="Standard order"/>
    <n v="1.647"/>
    <x v="2"/>
    <n v="362.34"/>
    <m/>
  </r>
  <r>
    <s v="ORD-3442"/>
    <d v="2024-03-28T00:00:00"/>
    <s v="CUST-110"/>
    <x v="3"/>
    <x v="1"/>
    <x v="2"/>
    <x v="3"/>
    <x v="7"/>
    <s v="$84.57"/>
    <s v="Thursday"/>
    <x v="4"/>
    <x v="0"/>
    <b v="0"/>
    <b v="0"/>
    <s v="Large Order"/>
    <n v="4.2284999999999995"/>
    <x v="24"/>
    <n v="676.56"/>
    <m/>
  </r>
  <r>
    <s v="ORD-3443"/>
    <d v="2024-09-28T00:00:00"/>
    <s v="CUST-153"/>
    <x v="24"/>
    <x v="0"/>
    <x v="2"/>
    <x v="1"/>
    <x v="3"/>
    <s v="$10.11"/>
    <s v="Saturday"/>
    <x v="11"/>
    <x v="0"/>
    <b v="1"/>
    <b v="0"/>
    <s v="Standard order"/>
    <n v="0.50549999999999995"/>
    <x v="7"/>
    <n v="141.54"/>
    <m/>
  </r>
  <r>
    <s v="ORD-3444"/>
    <d v="2024-09-21T00:00:00"/>
    <s v="CUST-187"/>
    <x v="8"/>
    <x v="0"/>
    <x v="2"/>
    <x v="2"/>
    <x v="1"/>
    <s v="$208.85"/>
    <s v="Saturday"/>
    <x v="11"/>
    <x v="0"/>
    <b v="1"/>
    <b v="0"/>
    <s v="Standard order"/>
    <n v="10.442500000000001"/>
    <x v="8"/>
    <n v="208.85"/>
    <m/>
  </r>
  <r>
    <s v="ORD-3445"/>
    <d v="2024-09-21T00:00:00"/>
    <s v="CUST-108"/>
    <x v="0"/>
    <x v="1"/>
    <x v="3"/>
    <x v="1"/>
    <x v="6"/>
    <s v="$146.06"/>
    <s v="Saturday"/>
    <x v="11"/>
    <x v="0"/>
    <b v="1"/>
    <b v="1"/>
    <s v="Large Order"/>
    <n v="7.3030000000000008"/>
    <x v="15"/>
    <n v="876.36"/>
    <m/>
  </r>
  <r>
    <s v="ORD-3446"/>
    <d v="2024-07-20T00:00:00"/>
    <s v="CUST-197"/>
    <x v="15"/>
    <x v="2"/>
    <x v="4"/>
    <x v="4"/>
    <x v="4"/>
    <s v="$216.22"/>
    <s v="Saturday"/>
    <x v="8"/>
    <x v="0"/>
    <b v="1"/>
    <b v="0"/>
    <s v="Standard order"/>
    <n v="10.811"/>
    <x v="14"/>
    <n v="432.44"/>
    <m/>
  </r>
  <r>
    <s v="ORD-3447"/>
    <d v="2024-12-04T00:00:00"/>
    <s v="CUST-166"/>
    <x v="14"/>
    <x v="1"/>
    <x v="2"/>
    <x v="4"/>
    <x v="8"/>
    <s v="$201.32"/>
    <s v="Wednesday"/>
    <x v="1"/>
    <x v="0"/>
    <b v="0"/>
    <b v="1"/>
    <s v="Large Order"/>
    <n v="10.066000000000001"/>
    <x v="18"/>
    <n v="2013.1999999999998"/>
    <m/>
  </r>
  <r>
    <s v="ORD-3448"/>
    <d v="2024-06-09T00:00:00"/>
    <s v="CUST-144"/>
    <x v="18"/>
    <x v="1"/>
    <x v="1"/>
    <x v="4"/>
    <x v="2"/>
    <s v="$230.68"/>
    <s v="Sunday"/>
    <x v="9"/>
    <x v="0"/>
    <b v="1"/>
    <b v="0"/>
    <s v="Large Order"/>
    <n v="11.534000000000001"/>
    <x v="11"/>
    <n v="1153.4000000000001"/>
    <m/>
  </r>
  <r>
    <s v="ORD-3449"/>
    <d v="2024-08-16T00:00:00"/>
    <s v="CUST-182"/>
    <x v="11"/>
    <x v="2"/>
    <x v="1"/>
    <x v="4"/>
    <x v="12"/>
    <s v="$33.22"/>
    <s v="Friday"/>
    <x v="10"/>
    <x v="0"/>
    <b v="0"/>
    <b v="0"/>
    <s v="Standard order"/>
    <n v="1.661"/>
    <x v="21"/>
    <n v="498.29999999999995"/>
    <m/>
  </r>
  <r>
    <s v="ORD-3450"/>
    <d v="2024-11-28T00:00:00"/>
    <s v="CUST-151"/>
    <x v="21"/>
    <x v="0"/>
    <x v="3"/>
    <x v="0"/>
    <x v="4"/>
    <s v="$32.94"/>
    <s v="Thursday"/>
    <x v="0"/>
    <x v="0"/>
    <b v="0"/>
    <b v="0"/>
    <s v="Standard order"/>
    <n v="1.647"/>
    <x v="16"/>
    <n v="65.88"/>
    <m/>
  </r>
  <r>
    <s v="ORD-3451"/>
    <d v="2024-07-18T00:00:00"/>
    <s v="CUST-192"/>
    <x v="16"/>
    <x v="2"/>
    <x v="4"/>
    <x v="4"/>
    <x v="15"/>
    <s v="$130.07"/>
    <s v="Thursday"/>
    <x v="8"/>
    <x v="0"/>
    <b v="0"/>
    <b v="1"/>
    <s v="Large Order"/>
    <n v="6.5034999999999998"/>
    <x v="23"/>
    <n v="2341.2599999999998"/>
    <m/>
  </r>
  <r>
    <s v="ORD-3452"/>
    <d v="2024-02-17T00:00:00"/>
    <s v="CUST-165"/>
    <x v="23"/>
    <x v="1"/>
    <x v="1"/>
    <x v="3"/>
    <x v="6"/>
    <s v="$133.37"/>
    <s v="Saturday"/>
    <x v="5"/>
    <x v="0"/>
    <b v="1"/>
    <b v="1"/>
    <s v="Large Order"/>
    <n v="6.6685000000000008"/>
    <x v="2"/>
    <n v="800.22"/>
    <m/>
  </r>
  <r>
    <s v="ORD-3453"/>
    <d v="2024-10-03T00:00:00"/>
    <s v="CUST-175"/>
    <x v="3"/>
    <x v="0"/>
    <x v="3"/>
    <x v="1"/>
    <x v="18"/>
    <s v="$84.57"/>
    <s v="Thursday"/>
    <x v="3"/>
    <x v="0"/>
    <b v="0"/>
    <b v="1"/>
    <s v="Large Order"/>
    <n v="4.2284999999999995"/>
    <x v="2"/>
    <n v="1437.6899999999998"/>
    <m/>
  </r>
  <r>
    <s v="ORD-3454"/>
    <d v="2024-01-31T00:00:00"/>
    <s v="CUST-147"/>
    <x v="3"/>
    <x v="2"/>
    <x v="1"/>
    <x v="3"/>
    <x v="0"/>
    <s v="$84.57"/>
    <s v="Wednesday"/>
    <x v="6"/>
    <x v="0"/>
    <b v="0"/>
    <b v="0"/>
    <s v="Standard order"/>
    <n v="4.2284999999999995"/>
    <x v="12"/>
    <n v="338.28"/>
    <m/>
  </r>
  <r>
    <s v="ORD-3455"/>
    <d v="2024-11-29T00:00:00"/>
    <s v="CUST-115"/>
    <x v="12"/>
    <x v="1"/>
    <x v="1"/>
    <x v="0"/>
    <x v="12"/>
    <s v="$211.9"/>
    <s v="Friday"/>
    <x v="0"/>
    <x v="0"/>
    <b v="0"/>
    <b v="1"/>
    <s v="Large Order"/>
    <n v="10.595000000000001"/>
    <x v="9"/>
    <n v="3178.5"/>
    <m/>
  </r>
  <r>
    <s v="ORD-3456"/>
    <d v="2024-04-30T00:00:00"/>
    <s v="CUST-195"/>
    <x v="9"/>
    <x v="2"/>
    <x v="1"/>
    <x v="4"/>
    <x v="7"/>
    <s v="$101.96"/>
    <s v="Tuesday"/>
    <x v="2"/>
    <x v="0"/>
    <b v="0"/>
    <b v="1"/>
    <s v="Large Order"/>
    <n v="5.0979999999999999"/>
    <x v="10"/>
    <n v="815.68"/>
    <m/>
  </r>
  <r>
    <s v="ORD-3457"/>
    <d v="2024-05-25T00:00:00"/>
    <s v="CUST-185"/>
    <x v="10"/>
    <x v="2"/>
    <x v="4"/>
    <x v="1"/>
    <x v="18"/>
    <s v="$46.19"/>
    <s v="Saturday"/>
    <x v="7"/>
    <x v="0"/>
    <b v="1"/>
    <b v="1"/>
    <s v="Large Order"/>
    <n v="2.3094999999999999"/>
    <x v="22"/>
    <n v="785.23"/>
    <m/>
  </r>
  <r>
    <s v="ORD-3458"/>
    <d v="2024-02-23T00:00:00"/>
    <s v="CUST-141"/>
    <x v="22"/>
    <x v="2"/>
    <x v="4"/>
    <x v="3"/>
    <x v="12"/>
    <s v="$149.27"/>
    <s v="Friday"/>
    <x v="5"/>
    <x v="0"/>
    <b v="0"/>
    <b v="1"/>
    <s v="Large Order"/>
    <n v="7.4635000000000007"/>
    <x v="17"/>
    <n v="2239.0500000000002"/>
    <m/>
  </r>
  <r>
    <s v="ORD-3459"/>
    <d v="2024-12-30T00:00:00"/>
    <s v="CUST-154"/>
    <x v="17"/>
    <x v="0"/>
    <x v="0"/>
    <x v="0"/>
    <x v="3"/>
    <s v="$26.59"/>
    <s v="Monday"/>
    <x v="1"/>
    <x v="0"/>
    <b v="0"/>
    <b v="0"/>
    <s v="Standard order"/>
    <n v="1.3295000000000001"/>
    <x v="12"/>
    <n v="372.26"/>
    <m/>
  </r>
  <r>
    <s v="ORD-3460"/>
    <d v="2024-08-31T00:00:00"/>
    <s v="CUST-127"/>
    <x v="12"/>
    <x v="0"/>
    <x v="3"/>
    <x v="4"/>
    <x v="11"/>
    <s v="$211.9"/>
    <s v="Saturday"/>
    <x v="10"/>
    <x v="0"/>
    <b v="1"/>
    <b v="1"/>
    <s v="Large Order"/>
    <n v="10.595000000000001"/>
    <x v="3"/>
    <n v="2754.7000000000003"/>
    <m/>
  </r>
  <r>
    <s v="ORD-3461"/>
    <d v="2024-09-22T00:00:00"/>
    <s v="CUST-199"/>
    <x v="4"/>
    <x v="1"/>
    <x v="1"/>
    <x v="1"/>
    <x v="3"/>
    <s v="$230.34"/>
    <s v="Sunday"/>
    <x v="11"/>
    <x v="0"/>
    <b v="1"/>
    <b v="1"/>
    <s v="Large Order"/>
    <n v="11.517000000000001"/>
    <x v="16"/>
    <n v="3224.76"/>
    <m/>
  </r>
  <r>
    <s v="ORD-3462"/>
    <d v="2024-12-18T00:00:00"/>
    <s v="CUST-162"/>
    <x v="16"/>
    <x v="1"/>
    <x v="4"/>
    <x v="2"/>
    <x v="18"/>
    <s v="$130.07"/>
    <s v="Wednesday"/>
    <x v="1"/>
    <x v="0"/>
    <b v="0"/>
    <b v="1"/>
    <s v="Large Order"/>
    <n v="6.5034999999999998"/>
    <x v="0"/>
    <n v="2211.19"/>
    <m/>
  </r>
  <r>
    <s v="ORD-3463"/>
    <d v="2024-12-30T00:00:00"/>
    <s v="CUST-158"/>
    <x v="1"/>
    <x v="2"/>
    <x v="1"/>
    <x v="4"/>
    <x v="0"/>
    <s v="$178.83"/>
    <s v="Monday"/>
    <x v="1"/>
    <x v="0"/>
    <b v="0"/>
    <b v="0"/>
    <s v="Large Order"/>
    <n v="8.9415000000000013"/>
    <x v="15"/>
    <n v="715.32"/>
    <m/>
  </r>
  <r>
    <s v="ORD-3464"/>
    <d v="2024-08-21T00:00:00"/>
    <s v="CUST-160"/>
    <x v="15"/>
    <x v="2"/>
    <x v="4"/>
    <x v="4"/>
    <x v="5"/>
    <s v="$216.22"/>
    <s v="Wednesday"/>
    <x v="10"/>
    <x v="0"/>
    <b v="0"/>
    <b v="1"/>
    <s v="Large Order"/>
    <n v="10.811"/>
    <x v="17"/>
    <n v="2594.64"/>
    <m/>
  </r>
  <r>
    <s v="ORD-3465"/>
    <d v="2024-03-01T00:00:00"/>
    <s v="CUST-177"/>
    <x v="17"/>
    <x v="0"/>
    <x v="0"/>
    <x v="3"/>
    <x v="16"/>
    <s v="$26.59"/>
    <s v="Friday"/>
    <x v="4"/>
    <x v="0"/>
    <b v="0"/>
    <b v="0"/>
    <s v="Large Order"/>
    <n v="1.3295000000000001"/>
    <x v="19"/>
    <n v="505.21"/>
    <m/>
  </r>
  <r>
    <s v="ORD-3466"/>
    <d v="2024-09-24T00:00:00"/>
    <s v="CUST-119"/>
    <x v="19"/>
    <x v="1"/>
    <x v="3"/>
    <x v="3"/>
    <x v="8"/>
    <s v="$145.48"/>
    <s v="Tuesday"/>
    <x v="11"/>
    <x v="0"/>
    <b v="0"/>
    <b v="1"/>
    <s v="Large Order"/>
    <n v="7.274"/>
    <x v="0"/>
    <n v="1454.8"/>
    <m/>
  </r>
  <r>
    <s v="ORD-3467"/>
    <d v="2024-01-15T00:00:00"/>
    <s v="CUST-118"/>
    <x v="1"/>
    <x v="2"/>
    <x v="2"/>
    <x v="0"/>
    <x v="8"/>
    <s v="$178.83"/>
    <s v="Monday"/>
    <x v="6"/>
    <x v="0"/>
    <b v="0"/>
    <b v="1"/>
    <s v="Large Order"/>
    <n v="8.9415000000000013"/>
    <x v="16"/>
    <n v="1788.3000000000002"/>
    <m/>
  </r>
  <r>
    <s v="ORD-3468"/>
    <d v="2024-04-20T00:00:00"/>
    <s v="CUST-123"/>
    <x v="16"/>
    <x v="1"/>
    <x v="0"/>
    <x v="0"/>
    <x v="15"/>
    <s v="$130.07"/>
    <s v="Saturday"/>
    <x v="2"/>
    <x v="0"/>
    <b v="1"/>
    <b v="1"/>
    <s v="Large Order"/>
    <n v="6.5034999999999998"/>
    <x v="4"/>
    <n v="2341.2599999999998"/>
    <m/>
  </r>
  <r>
    <s v="ORD-3469"/>
    <d v="2024-01-23T00:00:00"/>
    <s v="CUST-153"/>
    <x v="5"/>
    <x v="2"/>
    <x v="3"/>
    <x v="4"/>
    <x v="12"/>
    <s v="$64.61"/>
    <s v="Tuesday"/>
    <x v="6"/>
    <x v="0"/>
    <b v="0"/>
    <b v="1"/>
    <s v="Large Order"/>
    <n v="3.2305000000000001"/>
    <x v="16"/>
    <n v="969.15"/>
    <m/>
  </r>
  <r>
    <s v="ORD-3470"/>
    <d v="2024-07-12T00:00:00"/>
    <s v="CUST-160"/>
    <x v="16"/>
    <x v="2"/>
    <x v="4"/>
    <x v="2"/>
    <x v="18"/>
    <s v="$130.07"/>
    <s v="Friday"/>
    <x v="8"/>
    <x v="0"/>
    <b v="0"/>
    <b v="1"/>
    <s v="Large Order"/>
    <n v="6.5034999999999998"/>
    <x v="12"/>
    <n v="2211.19"/>
    <m/>
  </r>
  <r>
    <s v="ORD-3471"/>
    <d v="2024-08-18T00:00:00"/>
    <s v="CUST-185"/>
    <x v="12"/>
    <x v="0"/>
    <x v="3"/>
    <x v="0"/>
    <x v="19"/>
    <s v="$211.9"/>
    <s v="Sunday"/>
    <x v="10"/>
    <x v="0"/>
    <b v="1"/>
    <b v="1"/>
    <s v="Large Order"/>
    <n v="10.595000000000001"/>
    <x v="24"/>
    <n v="4238"/>
    <m/>
  </r>
  <r>
    <s v="ORD-3472"/>
    <d v="2024-07-28T00:00:00"/>
    <s v="CUST-149"/>
    <x v="24"/>
    <x v="1"/>
    <x v="3"/>
    <x v="4"/>
    <x v="4"/>
    <s v="$10.11"/>
    <s v="Sunday"/>
    <x v="8"/>
    <x v="0"/>
    <b v="1"/>
    <b v="0"/>
    <s v="Standard order"/>
    <n v="0.50549999999999995"/>
    <x v="2"/>
    <n v="20.22"/>
    <m/>
  </r>
  <r>
    <s v="ORD-3473"/>
    <d v="2024-08-14T00:00:00"/>
    <s v="CUST-194"/>
    <x v="3"/>
    <x v="2"/>
    <x v="0"/>
    <x v="2"/>
    <x v="1"/>
    <s v="$84.57"/>
    <s v="Wednesday"/>
    <x v="10"/>
    <x v="0"/>
    <b v="0"/>
    <b v="0"/>
    <s v="Standard order"/>
    <n v="4.2284999999999995"/>
    <x v="23"/>
    <n v="84.57"/>
    <m/>
  </r>
  <r>
    <s v="ORD-3474"/>
    <d v="2024-12-28T00:00:00"/>
    <s v="CUST-139"/>
    <x v="23"/>
    <x v="2"/>
    <x v="0"/>
    <x v="4"/>
    <x v="13"/>
    <s v="$133.37"/>
    <s v="Saturday"/>
    <x v="1"/>
    <x v="0"/>
    <b v="1"/>
    <b v="0"/>
    <s v="Standard order"/>
    <n v="6.6685000000000008"/>
    <x v="9"/>
    <n v="400.11"/>
    <m/>
  </r>
  <r>
    <s v="ORD-3475"/>
    <d v="2024-11-12T00:00:00"/>
    <s v="CUST-169"/>
    <x v="9"/>
    <x v="0"/>
    <x v="1"/>
    <x v="4"/>
    <x v="10"/>
    <s v="$101.96"/>
    <s v="Tuesday"/>
    <x v="0"/>
    <x v="0"/>
    <b v="0"/>
    <b v="0"/>
    <s v="Large Order"/>
    <n v="5.0979999999999999"/>
    <x v="19"/>
    <n v="713.71999999999991"/>
    <m/>
  </r>
  <r>
    <s v="ORD-3476"/>
    <d v="2024-09-14T00:00:00"/>
    <s v="CUST-102"/>
    <x v="19"/>
    <x v="2"/>
    <x v="1"/>
    <x v="2"/>
    <x v="1"/>
    <s v="$145.48"/>
    <s v="Saturday"/>
    <x v="11"/>
    <x v="0"/>
    <b v="1"/>
    <b v="0"/>
    <s v="Standard order"/>
    <n v="7.274"/>
    <x v="10"/>
    <n v="145.47999999999999"/>
    <m/>
  </r>
  <r>
    <s v="ORD-3477"/>
    <d v="2024-04-15T00:00:00"/>
    <s v="CUST-131"/>
    <x v="10"/>
    <x v="2"/>
    <x v="2"/>
    <x v="0"/>
    <x v="15"/>
    <s v="$46.19"/>
    <s v="Monday"/>
    <x v="2"/>
    <x v="0"/>
    <b v="0"/>
    <b v="1"/>
    <s v="Large Order"/>
    <n v="2.3094999999999999"/>
    <x v="15"/>
    <n v="831.42"/>
    <m/>
  </r>
  <r>
    <s v="ORD-3478"/>
    <d v="2024-07-24T00:00:00"/>
    <s v="CUST-175"/>
    <x v="15"/>
    <x v="1"/>
    <x v="0"/>
    <x v="3"/>
    <x v="3"/>
    <s v="$216.22"/>
    <s v="Wednesday"/>
    <x v="8"/>
    <x v="0"/>
    <b v="0"/>
    <b v="1"/>
    <s v="Large Order"/>
    <n v="10.811"/>
    <x v="13"/>
    <n v="3027.08"/>
    <m/>
  </r>
  <r>
    <s v="ORD-3479"/>
    <d v="2024-01-13T00:00:00"/>
    <s v="CUST-167"/>
    <x v="13"/>
    <x v="1"/>
    <x v="3"/>
    <x v="0"/>
    <x v="0"/>
    <s v="$156.44"/>
    <s v="Saturday"/>
    <x v="6"/>
    <x v="0"/>
    <b v="1"/>
    <b v="0"/>
    <s v="Large Order"/>
    <n v="7.8220000000000001"/>
    <x v="14"/>
    <n v="625.76"/>
    <m/>
  </r>
  <r>
    <s v="ORD-3480"/>
    <d v="2024-10-04T00:00:00"/>
    <s v="CUST-121"/>
    <x v="14"/>
    <x v="0"/>
    <x v="4"/>
    <x v="3"/>
    <x v="13"/>
    <s v="$201.32"/>
    <s v="Friday"/>
    <x v="3"/>
    <x v="0"/>
    <b v="0"/>
    <b v="0"/>
    <s v="Large Order"/>
    <n v="10.066000000000001"/>
    <x v="6"/>
    <n v="603.96"/>
    <m/>
  </r>
  <r>
    <s v="ORD-3481"/>
    <d v="2024-07-27T00:00:00"/>
    <s v="CUST-186"/>
    <x v="7"/>
    <x v="0"/>
    <x v="1"/>
    <x v="3"/>
    <x v="6"/>
    <s v="$107.34"/>
    <s v="Saturday"/>
    <x v="8"/>
    <x v="0"/>
    <b v="1"/>
    <b v="0"/>
    <s v="Large Order"/>
    <n v="5.3670000000000009"/>
    <x v="3"/>
    <n v="644.04"/>
    <m/>
  </r>
  <r>
    <s v="ORD-3482"/>
    <d v="2024-01-30T00:00:00"/>
    <s v="CUST-138"/>
    <x v="4"/>
    <x v="0"/>
    <x v="3"/>
    <x v="2"/>
    <x v="3"/>
    <s v="$230.34"/>
    <s v="Tuesday"/>
    <x v="6"/>
    <x v="0"/>
    <b v="0"/>
    <b v="1"/>
    <s v="Large Order"/>
    <n v="11.517000000000001"/>
    <x v="19"/>
    <n v="3224.76"/>
    <m/>
  </r>
  <r>
    <s v="ORD-3483"/>
    <d v="2024-05-12T00:00:00"/>
    <s v="CUST-148"/>
    <x v="19"/>
    <x v="0"/>
    <x v="4"/>
    <x v="2"/>
    <x v="19"/>
    <s v="$145.48"/>
    <s v="Sunday"/>
    <x v="7"/>
    <x v="0"/>
    <b v="1"/>
    <b v="1"/>
    <s v="Large Order"/>
    <n v="7.274"/>
    <x v="21"/>
    <n v="2909.6"/>
    <m/>
  </r>
  <r>
    <s v="ORD-3484"/>
    <d v="2024-09-09T00:00:00"/>
    <s v="CUST-165"/>
    <x v="21"/>
    <x v="2"/>
    <x v="2"/>
    <x v="0"/>
    <x v="14"/>
    <s v="$32.94"/>
    <s v="Monday"/>
    <x v="11"/>
    <x v="0"/>
    <b v="0"/>
    <b v="0"/>
    <s v="Standard order"/>
    <n v="1.647"/>
    <x v="17"/>
    <n v="296.45999999999998"/>
    <m/>
  </r>
  <r>
    <s v="ORD-3485"/>
    <d v="2024-08-25T00:00:00"/>
    <s v="CUST-170"/>
    <x v="17"/>
    <x v="0"/>
    <x v="2"/>
    <x v="0"/>
    <x v="3"/>
    <s v="$26.59"/>
    <s v="Sunday"/>
    <x v="10"/>
    <x v="0"/>
    <b v="1"/>
    <b v="0"/>
    <s v="Standard order"/>
    <n v="1.3295000000000001"/>
    <x v="23"/>
    <n v="372.26"/>
    <m/>
  </r>
  <r>
    <s v="ORD-3486"/>
    <d v="2024-01-10T00:00:00"/>
    <s v="CUST-134"/>
    <x v="23"/>
    <x v="2"/>
    <x v="0"/>
    <x v="2"/>
    <x v="15"/>
    <s v="$133.37"/>
    <s v="Wednesday"/>
    <x v="6"/>
    <x v="0"/>
    <b v="0"/>
    <b v="1"/>
    <s v="Large Order"/>
    <n v="6.6685000000000008"/>
    <x v="9"/>
    <n v="2400.66"/>
    <m/>
  </r>
  <r>
    <s v="ORD-3487"/>
    <d v="2024-03-05T00:00:00"/>
    <s v="CUST-138"/>
    <x v="9"/>
    <x v="1"/>
    <x v="2"/>
    <x v="0"/>
    <x v="18"/>
    <s v="$101.96"/>
    <s v="Tuesday"/>
    <x v="4"/>
    <x v="0"/>
    <b v="0"/>
    <b v="1"/>
    <s v="Large Order"/>
    <n v="5.0979999999999999"/>
    <x v="23"/>
    <n v="1733.32"/>
    <m/>
  </r>
  <r>
    <s v="ORD-3488"/>
    <d v="2024-03-13T00:00:00"/>
    <s v="CUST-147"/>
    <x v="23"/>
    <x v="0"/>
    <x v="4"/>
    <x v="4"/>
    <x v="3"/>
    <s v="$133.37"/>
    <s v="Wednesday"/>
    <x v="4"/>
    <x v="0"/>
    <b v="0"/>
    <b v="1"/>
    <s v="Large Order"/>
    <n v="6.6685000000000008"/>
    <x v="15"/>
    <n v="1867.18"/>
    <m/>
  </r>
  <r>
    <s v="ORD-3489"/>
    <d v="2024-10-11T00:00:00"/>
    <s v="CUST-157"/>
    <x v="15"/>
    <x v="0"/>
    <x v="2"/>
    <x v="4"/>
    <x v="8"/>
    <s v="$216.22"/>
    <s v="Friday"/>
    <x v="3"/>
    <x v="0"/>
    <b v="0"/>
    <b v="1"/>
    <s v="Large Order"/>
    <n v="10.811"/>
    <x v="15"/>
    <n v="2162.1999999999998"/>
    <m/>
  </r>
  <r>
    <s v="ORD-3490"/>
    <d v="2024-03-26T00:00:00"/>
    <s v="CUST-100"/>
    <x v="15"/>
    <x v="1"/>
    <x v="3"/>
    <x v="4"/>
    <x v="14"/>
    <s v="$216.22"/>
    <s v="Tuesday"/>
    <x v="4"/>
    <x v="0"/>
    <b v="0"/>
    <b v="1"/>
    <s v="Large Order"/>
    <n v="10.811"/>
    <x v="1"/>
    <n v="1945.98"/>
    <m/>
  </r>
  <r>
    <s v="ORD-3491"/>
    <d v="2024-07-13T00:00:00"/>
    <s v="CUST-144"/>
    <x v="2"/>
    <x v="0"/>
    <x v="1"/>
    <x v="4"/>
    <x v="8"/>
    <s v="$88.18"/>
    <s v="Saturday"/>
    <x v="8"/>
    <x v="0"/>
    <b v="1"/>
    <b v="1"/>
    <s v="Large Order"/>
    <n v="4.4090000000000007"/>
    <x v="8"/>
    <n v="881.80000000000007"/>
    <m/>
  </r>
  <r>
    <s v="ORD-3492"/>
    <d v="2024-09-30T00:00:00"/>
    <s v="CUST-172"/>
    <x v="0"/>
    <x v="1"/>
    <x v="0"/>
    <x v="1"/>
    <x v="0"/>
    <s v="$146.06"/>
    <s v="Monday"/>
    <x v="11"/>
    <x v="0"/>
    <b v="0"/>
    <b v="0"/>
    <s v="Large Order"/>
    <n v="7.3030000000000008"/>
    <x v="17"/>
    <n v="584.24"/>
    <m/>
  </r>
  <r>
    <s v="ORD-3493"/>
    <d v="2024-10-11T00:00:00"/>
    <s v="CUST-135"/>
    <x v="17"/>
    <x v="0"/>
    <x v="1"/>
    <x v="4"/>
    <x v="9"/>
    <s v="$26.59"/>
    <s v="Friday"/>
    <x v="3"/>
    <x v="0"/>
    <b v="0"/>
    <b v="0"/>
    <s v="Standard order"/>
    <n v="1.3295000000000001"/>
    <x v="2"/>
    <n v="292.49"/>
    <m/>
  </r>
  <r>
    <s v="ORD-3494"/>
    <d v="2024-06-24T00:00:00"/>
    <s v="CUST-181"/>
    <x v="3"/>
    <x v="2"/>
    <x v="2"/>
    <x v="3"/>
    <x v="7"/>
    <s v="$84.57"/>
    <s v="Monday"/>
    <x v="9"/>
    <x v="0"/>
    <b v="0"/>
    <b v="0"/>
    <s v="Large Order"/>
    <n v="4.2284999999999995"/>
    <x v="11"/>
    <n v="676.56"/>
    <m/>
  </r>
  <r>
    <s v="ORD-3495"/>
    <d v="2024-06-13T00:00:00"/>
    <s v="CUST-143"/>
    <x v="11"/>
    <x v="1"/>
    <x v="1"/>
    <x v="3"/>
    <x v="1"/>
    <s v="$33.22"/>
    <s v="Thursday"/>
    <x v="9"/>
    <x v="0"/>
    <b v="0"/>
    <b v="0"/>
    <s v="Standard order"/>
    <n v="1.661"/>
    <x v="18"/>
    <n v="33.22"/>
    <m/>
  </r>
  <r>
    <s v="ORD-3496"/>
    <d v="2024-03-09T00:00:00"/>
    <s v="CUST-182"/>
    <x v="18"/>
    <x v="2"/>
    <x v="2"/>
    <x v="0"/>
    <x v="1"/>
    <s v="$230.68"/>
    <s v="Saturday"/>
    <x v="4"/>
    <x v="0"/>
    <b v="1"/>
    <b v="0"/>
    <s v="Standard order"/>
    <n v="11.534000000000001"/>
    <x v="10"/>
    <n v="230.68"/>
    <m/>
  </r>
  <r>
    <s v="ORD-3497"/>
    <d v="2024-07-30T00:00:00"/>
    <s v="CUST-171"/>
    <x v="10"/>
    <x v="2"/>
    <x v="2"/>
    <x v="1"/>
    <x v="15"/>
    <s v="$46.19"/>
    <s v="Tuesday"/>
    <x v="8"/>
    <x v="0"/>
    <b v="0"/>
    <b v="1"/>
    <s v="Large Order"/>
    <n v="2.3094999999999999"/>
    <x v="8"/>
    <n v="831.42"/>
    <m/>
  </r>
  <r>
    <s v="ORD-3498"/>
    <d v="2024-11-28T00:00:00"/>
    <s v="CUST-183"/>
    <x v="0"/>
    <x v="2"/>
    <x v="0"/>
    <x v="1"/>
    <x v="0"/>
    <s v="$146.06"/>
    <s v="Thursday"/>
    <x v="0"/>
    <x v="0"/>
    <b v="0"/>
    <b v="0"/>
    <s v="Large Order"/>
    <n v="7.3030000000000008"/>
    <x v="7"/>
    <n v="584.24"/>
    <m/>
  </r>
  <r>
    <s v="ORD-3499"/>
    <d v="2024-07-11T00:00:00"/>
    <s v="CUST-176"/>
    <x v="8"/>
    <x v="1"/>
    <x v="4"/>
    <x v="0"/>
    <x v="0"/>
    <s v="$208.85"/>
    <s v="Thursday"/>
    <x v="8"/>
    <x v="0"/>
    <b v="0"/>
    <b v="0"/>
    <s v="Large Order"/>
    <n v="10.442500000000001"/>
    <x v="18"/>
    <n v="835.4"/>
    <m/>
  </r>
  <r>
    <s v="ORD-3500"/>
    <d v="2024-04-08T00:00:00"/>
    <s v="CUST-156"/>
    <x v="18"/>
    <x v="0"/>
    <x v="0"/>
    <x v="3"/>
    <x v="5"/>
    <s v="$230.68"/>
    <s v="Monday"/>
    <x v="2"/>
    <x v="0"/>
    <b v="0"/>
    <b v="1"/>
    <s v="Large Order"/>
    <n v="11.534000000000001"/>
    <x v="14"/>
    <n v="2768.16"/>
    <m/>
  </r>
  <r>
    <s v="ORD-3501"/>
    <d v="2024-11-10T00:00:00"/>
    <s v="CUST-180"/>
    <x v="14"/>
    <x v="2"/>
    <x v="4"/>
    <x v="2"/>
    <x v="17"/>
    <s v="$201.32"/>
    <s v="Sunday"/>
    <x v="0"/>
    <x v="0"/>
    <b v="1"/>
    <b v="1"/>
    <s v="Large Order"/>
    <n v="10.066000000000001"/>
    <x v="4"/>
    <n v="3221.12"/>
    <m/>
  </r>
  <r>
    <s v="ORD-3502"/>
    <d v="2024-01-19T00:00:00"/>
    <s v="CUST-135"/>
    <x v="5"/>
    <x v="2"/>
    <x v="1"/>
    <x v="2"/>
    <x v="1"/>
    <s v="$64.61"/>
    <s v="Friday"/>
    <x v="6"/>
    <x v="0"/>
    <b v="0"/>
    <b v="0"/>
    <s v="Standard order"/>
    <n v="3.2305000000000001"/>
    <x v="19"/>
    <n v="64.61"/>
    <m/>
  </r>
  <r>
    <s v="ORD-3503"/>
    <d v="2024-11-22T00:00:00"/>
    <s v="CUST-150"/>
    <x v="19"/>
    <x v="1"/>
    <x v="1"/>
    <x v="4"/>
    <x v="17"/>
    <s v="$145.48"/>
    <s v="Friday"/>
    <x v="0"/>
    <x v="0"/>
    <b v="0"/>
    <b v="1"/>
    <s v="Large Order"/>
    <n v="7.274"/>
    <x v="16"/>
    <n v="2327.6799999999998"/>
    <m/>
  </r>
  <r>
    <s v="ORD-3504"/>
    <d v="2024-04-09T00:00:00"/>
    <s v="CUST-184"/>
    <x v="16"/>
    <x v="2"/>
    <x v="1"/>
    <x v="4"/>
    <x v="6"/>
    <s v="$130.07"/>
    <s v="Tuesday"/>
    <x v="2"/>
    <x v="0"/>
    <b v="0"/>
    <b v="1"/>
    <s v="Large Order"/>
    <n v="6.5034999999999998"/>
    <x v="8"/>
    <n v="780.42"/>
    <m/>
  </r>
  <r>
    <s v="ORD-3505"/>
    <d v="2024-03-06T00:00:00"/>
    <s v="CUST-195"/>
    <x v="0"/>
    <x v="0"/>
    <x v="3"/>
    <x v="4"/>
    <x v="7"/>
    <s v="$146.06"/>
    <s v="Wednesday"/>
    <x v="4"/>
    <x v="0"/>
    <b v="0"/>
    <b v="1"/>
    <s v="Large Order"/>
    <n v="7.3030000000000008"/>
    <x v="5"/>
    <n v="1168.48"/>
    <m/>
  </r>
  <r>
    <s v="ORD-3506"/>
    <d v="2024-05-20T00:00:00"/>
    <s v="CUST-124"/>
    <x v="6"/>
    <x v="0"/>
    <x v="1"/>
    <x v="4"/>
    <x v="14"/>
    <s v="$86.6"/>
    <s v="Monday"/>
    <x v="7"/>
    <x v="0"/>
    <b v="0"/>
    <b v="1"/>
    <s v="Large Order"/>
    <n v="4.33"/>
    <x v="17"/>
    <n v="779.4"/>
    <m/>
  </r>
  <r>
    <s v="ORD-3507"/>
    <d v="2024-08-20T00:00:00"/>
    <s v="CUST-100"/>
    <x v="17"/>
    <x v="2"/>
    <x v="0"/>
    <x v="3"/>
    <x v="3"/>
    <s v="$26.59"/>
    <s v="Tuesday"/>
    <x v="10"/>
    <x v="0"/>
    <b v="0"/>
    <b v="0"/>
    <s v="Standard order"/>
    <n v="1.3295000000000001"/>
    <x v="19"/>
    <n v="372.26"/>
    <m/>
  </r>
  <r>
    <s v="ORD-3508"/>
    <d v="2024-07-27T00:00:00"/>
    <s v="CUST-135"/>
    <x v="19"/>
    <x v="2"/>
    <x v="1"/>
    <x v="1"/>
    <x v="17"/>
    <s v="$145.48"/>
    <s v="Saturday"/>
    <x v="8"/>
    <x v="0"/>
    <b v="1"/>
    <b v="1"/>
    <s v="Large Order"/>
    <n v="7.274"/>
    <x v="24"/>
    <n v="2327.6799999999998"/>
    <m/>
  </r>
  <r>
    <s v="ORD-3509"/>
    <d v="2024-01-23T00:00:00"/>
    <s v="CUST-192"/>
    <x v="24"/>
    <x v="0"/>
    <x v="3"/>
    <x v="1"/>
    <x v="15"/>
    <s v="$10.11"/>
    <s v="Tuesday"/>
    <x v="6"/>
    <x v="0"/>
    <b v="0"/>
    <b v="0"/>
    <s v="Standard order"/>
    <n v="0.50549999999999995"/>
    <x v="11"/>
    <n v="181.98"/>
    <m/>
  </r>
  <r>
    <s v="ORD-3510"/>
    <d v="2024-01-03T00:00:00"/>
    <s v="CUST-150"/>
    <x v="11"/>
    <x v="1"/>
    <x v="0"/>
    <x v="4"/>
    <x v="1"/>
    <s v="$33.22"/>
    <s v="Wednesday"/>
    <x v="6"/>
    <x v="0"/>
    <b v="0"/>
    <b v="0"/>
    <s v="Standard order"/>
    <n v="1.661"/>
    <x v="17"/>
    <n v="33.22"/>
    <m/>
  </r>
  <r>
    <s v="ORD-3511"/>
    <d v="2024-04-25T00:00:00"/>
    <s v="CUST-188"/>
    <x v="17"/>
    <x v="0"/>
    <x v="4"/>
    <x v="2"/>
    <x v="6"/>
    <s v="$26.59"/>
    <s v="Thursday"/>
    <x v="2"/>
    <x v="0"/>
    <b v="0"/>
    <b v="0"/>
    <s v="Standard order"/>
    <n v="1.3295000000000001"/>
    <x v="1"/>
    <n v="159.54"/>
    <m/>
  </r>
  <r>
    <s v="ORD-3512"/>
    <d v="2024-02-02T00:00:00"/>
    <s v="CUST-180"/>
    <x v="2"/>
    <x v="0"/>
    <x v="0"/>
    <x v="1"/>
    <x v="3"/>
    <s v="$88.18"/>
    <s v="Friday"/>
    <x v="5"/>
    <x v="0"/>
    <b v="0"/>
    <b v="1"/>
    <s v="Large Order"/>
    <n v="4.4090000000000007"/>
    <x v="13"/>
    <n v="1234.52"/>
    <m/>
  </r>
  <r>
    <s v="ORD-3513"/>
    <d v="2024-10-30T00:00:00"/>
    <s v="CUST-180"/>
    <x v="13"/>
    <x v="1"/>
    <x v="4"/>
    <x v="0"/>
    <x v="17"/>
    <s v="$156.44"/>
    <s v="Wednesday"/>
    <x v="3"/>
    <x v="0"/>
    <b v="0"/>
    <b v="1"/>
    <s v="Large Order"/>
    <n v="7.8220000000000001"/>
    <x v="13"/>
    <n v="2503.04"/>
    <m/>
  </r>
  <r>
    <s v="ORD-3514"/>
    <d v="2024-06-23T00:00:00"/>
    <s v="CUST-106"/>
    <x v="13"/>
    <x v="2"/>
    <x v="4"/>
    <x v="0"/>
    <x v="19"/>
    <s v="$156.44"/>
    <s v="Sunday"/>
    <x v="9"/>
    <x v="0"/>
    <b v="1"/>
    <b v="1"/>
    <s v="Large Order"/>
    <n v="7.8220000000000001"/>
    <x v="12"/>
    <n v="3128.8"/>
    <m/>
  </r>
  <r>
    <s v="ORD-3515"/>
    <d v="2024-02-18T00:00:00"/>
    <s v="CUST-180"/>
    <x v="12"/>
    <x v="2"/>
    <x v="0"/>
    <x v="0"/>
    <x v="4"/>
    <s v="$211.9"/>
    <s v="Sunday"/>
    <x v="5"/>
    <x v="0"/>
    <b v="1"/>
    <b v="0"/>
    <s v="Standard order"/>
    <n v="10.595000000000001"/>
    <x v="10"/>
    <n v="423.8"/>
    <m/>
  </r>
  <r>
    <s v="ORD-3516"/>
    <d v="2024-07-12T00:00:00"/>
    <s v="CUST-140"/>
    <x v="10"/>
    <x v="0"/>
    <x v="4"/>
    <x v="0"/>
    <x v="12"/>
    <s v="$46.19"/>
    <s v="Friday"/>
    <x v="8"/>
    <x v="0"/>
    <b v="0"/>
    <b v="0"/>
    <s v="Large Order"/>
    <n v="2.3094999999999999"/>
    <x v="17"/>
    <n v="692.84999999999991"/>
    <m/>
  </r>
  <r>
    <s v="ORD-3517"/>
    <d v="2024-11-08T00:00:00"/>
    <s v="CUST-180"/>
    <x v="17"/>
    <x v="0"/>
    <x v="0"/>
    <x v="0"/>
    <x v="15"/>
    <s v="$26.59"/>
    <s v="Friday"/>
    <x v="0"/>
    <x v="0"/>
    <b v="0"/>
    <b v="0"/>
    <s v="Standard order"/>
    <n v="1.3295000000000001"/>
    <x v="19"/>
    <n v="478.62"/>
    <m/>
  </r>
  <r>
    <s v="ORD-3518"/>
    <d v="2024-07-14T00:00:00"/>
    <s v="CUST-151"/>
    <x v="19"/>
    <x v="2"/>
    <x v="2"/>
    <x v="2"/>
    <x v="19"/>
    <s v="$145.48"/>
    <s v="Sunday"/>
    <x v="8"/>
    <x v="0"/>
    <b v="1"/>
    <b v="1"/>
    <s v="Large Order"/>
    <n v="7.274"/>
    <x v="12"/>
    <n v="2909.6"/>
    <m/>
  </r>
  <r>
    <s v="ORD-3519"/>
    <d v="2024-11-15T00:00:00"/>
    <s v="CUST-101"/>
    <x v="12"/>
    <x v="1"/>
    <x v="2"/>
    <x v="1"/>
    <x v="19"/>
    <s v="$211.9"/>
    <s v="Friday"/>
    <x v="0"/>
    <x v="0"/>
    <b v="0"/>
    <b v="1"/>
    <s v="Large Order"/>
    <n v="10.595000000000001"/>
    <x v="5"/>
    <n v="4238"/>
    <m/>
  </r>
  <r>
    <s v="ORD-3520"/>
    <d v="2024-06-22T00:00:00"/>
    <s v="CUST-183"/>
    <x v="6"/>
    <x v="0"/>
    <x v="2"/>
    <x v="4"/>
    <x v="9"/>
    <s v="$86.6"/>
    <s v="Saturday"/>
    <x v="9"/>
    <x v="0"/>
    <b v="1"/>
    <b v="1"/>
    <s v="Large Order"/>
    <n v="4.33"/>
    <x v="18"/>
    <n v="952.59999999999991"/>
    <m/>
  </r>
  <r>
    <s v="ORD-3521"/>
    <d v="2024-02-25T00:00:00"/>
    <s v="CUST-113"/>
    <x v="18"/>
    <x v="2"/>
    <x v="0"/>
    <x v="4"/>
    <x v="10"/>
    <s v="$230.68"/>
    <s v="Sunday"/>
    <x v="5"/>
    <x v="0"/>
    <b v="1"/>
    <b v="1"/>
    <s v="Large Order"/>
    <n v="11.534000000000001"/>
    <x v="22"/>
    <n v="1614.76"/>
    <m/>
  </r>
  <r>
    <s v="ORD-3522"/>
    <d v="2024-03-05T00:00:00"/>
    <s v="CUST-181"/>
    <x v="22"/>
    <x v="1"/>
    <x v="3"/>
    <x v="1"/>
    <x v="17"/>
    <s v="$149.27"/>
    <s v="Tuesday"/>
    <x v="4"/>
    <x v="0"/>
    <b v="0"/>
    <b v="1"/>
    <s v="Large Order"/>
    <n v="7.4635000000000007"/>
    <x v="24"/>
    <n v="2388.3200000000002"/>
    <m/>
  </r>
  <r>
    <s v="ORD-3523"/>
    <d v="2024-08-15T00:00:00"/>
    <s v="CUST-123"/>
    <x v="24"/>
    <x v="0"/>
    <x v="0"/>
    <x v="0"/>
    <x v="2"/>
    <s v="$10.11"/>
    <s v="Thursday"/>
    <x v="10"/>
    <x v="0"/>
    <b v="0"/>
    <b v="0"/>
    <s v="Standard order"/>
    <n v="0.50549999999999995"/>
    <x v="1"/>
    <n v="50.55"/>
    <m/>
  </r>
  <r>
    <s v="ORD-3524"/>
    <d v="2024-08-11T00:00:00"/>
    <s v="CUST-165"/>
    <x v="2"/>
    <x v="1"/>
    <x v="3"/>
    <x v="4"/>
    <x v="15"/>
    <s v="$88.18"/>
    <s v="Sunday"/>
    <x v="10"/>
    <x v="0"/>
    <b v="1"/>
    <b v="1"/>
    <s v="Large Order"/>
    <n v="4.4090000000000007"/>
    <x v="14"/>
    <n v="1587.2400000000002"/>
    <m/>
  </r>
  <r>
    <s v="ORD-3525"/>
    <d v="2024-03-16T00:00:00"/>
    <s v="CUST-160"/>
    <x v="14"/>
    <x v="2"/>
    <x v="3"/>
    <x v="3"/>
    <x v="5"/>
    <s v="$201.32"/>
    <s v="Saturday"/>
    <x v="4"/>
    <x v="0"/>
    <b v="1"/>
    <b v="1"/>
    <s v="Large Order"/>
    <n v="10.066000000000001"/>
    <x v="5"/>
    <n v="2415.84"/>
    <m/>
  </r>
  <r>
    <s v="ORD-3526"/>
    <d v="2024-09-22T00:00:00"/>
    <s v="CUST-175"/>
    <x v="6"/>
    <x v="2"/>
    <x v="4"/>
    <x v="0"/>
    <x v="7"/>
    <s v="$86.6"/>
    <s v="Sunday"/>
    <x v="11"/>
    <x v="0"/>
    <b v="1"/>
    <b v="0"/>
    <s v="Large Order"/>
    <n v="4.33"/>
    <x v="17"/>
    <n v="692.8"/>
    <m/>
  </r>
  <r>
    <s v="ORD-3527"/>
    <d v="2024-10-13T00:00:00"/>
    <s v="CUST-106"/>
    <x v="17"/>
    <x v="1"/>
    <x v="4"/>
    <x v="2"/>
    <x v="10"/>
    <s v="$26.59"/>
    <s v="Sunday"/>
    <x v="3"/>
    <x v="0"/>
    <b v="1"/>
    <b v="0"/>
    <s v="Standard order"/>
    <n v="1.3295000000000001"/>
    <x v="5"/>
    <n v="186.13"/>
    <m/>
  </r>
  <r>
    <s v="ORD-3528"/>
    <d v="2024-06-23T00:00:00"/>
    <s v="CUST-124"/>
    <x v="6"/>
    <x v="1"/>
    <x v="2"/>
    <x v="4"/>
    <x v="9"/>
    <s v="$86.6"/>
    <s v="Sunday"/>
    <x v="9"/>
    <x v="0"/>
    <b v="1"/>
    <b v="1"/>
    <s v="Large Order"/>
    <n v="4.33"/>
    <x v="20"/>
    <n v="952.59999999999991"/>
    <m/>
  </r>
  <r>
    <s v="ORD-3529"/>
    <d v="2024-10-16T00:00:00"/>
    <s v="CUST-142"/>
    <x v="20"/>
    <x v="1"/>
    <x v="2"/>
    <x v="3"/>
    <x v="6"/>
    <s v="$81.02"/>
    <s v="Wednesday"/>
    <x v="3"/>
    <x v="0"/>
    <b v="0"/>
    <b v="0"/>
    <s v="Standard order"/>
    <n v="4.0510000000000002"/>
    <x v="24"/>
    <n v="486.12"/>
    <m/>
  </r>
  <r>
    <s v="ORD-3530"/>
    <d v="2024-01-22T00:00:00"/>
    <s v="CUST-163"/>
    <x v="24"/>
    <x v="0"/>
    <x v="4"/>
    <x v="2"/>
    <x v="12"/>
    <s v="$10.11"/>
    <s v="Monday"/>
    <x v="6"/>
    <x v="0"/>
    <b v="0"/>
    <b v="0"/>
    <s v="Standard order"/>
    <n v="0.50549999999999995"/>
    <x v="16"/>
    <n v="151.64999999999998"/>
    <m/>
  </r>
  <r>
    <s v="ORD-3531"/>
    <d v="2024-05-02T00:00:00"/>
    <s v="CUST-161"/>
    <x v="16"/>
    <x v="1"/>
    <x v="2"/>
    <x v="2"/>
    <x v="11"/>
    <s v="$130.07"/>
    <s v="Thursday"/>
    <x v="7"/>
    <x v="0"/>
    <b v="0"/>
    <b v="1"/>
    <s v="Large Order"/>
    <n v="6.5034999999999998"/>
    <x v="18"/>
    <n v="1690.9099999999999"/>
    <m/>
  </r>
  <r>
    <s v="ORD-3532"/>
    <d v="2024-01-04T00:00:00"/>
    <s v="CUST-146"/>
    <x v="18"/>
    <x v="0"/>
    <x v="3"/>
    <x v="0"/>
    <x v="15"/>
    <s v="$230.68"/>
    <s v="Thursday"/>
    <x v="6"/>
    <x v="0"/>
    <b v="0"/>
    <b v="1"/>
    <s v="Large Order"/>
    <n v="11.534000000000001"/>
    <x v="11"/>
    <n v="4152.24"/>
    <m/>
  </r>
  <r>
    <s v="ORD-3533"/>
    <d v="2024-05-28T00:00:00"/>
    <s v="CUST-156"/>
    <x v="11"/>
    <x v="2"/>
    <x v="1"/>
    <x v="3"/>
    <x v="4"/>
    <s v="$33.22"/>
    <s v="Tuesday"/>
    <x v="7"/>
    <x v="0"/>
    <b v="0"/>
    <b v="0"/>
    <s v="Standard order"/>
    <n v="1.661"/>
    <x v="14"/>
    <n v="66.44"/>
    <m/>
  </r>
  <r>
    <s v="ORD-3534"/>
    <d v="2024-04-11T00:00:00"/>
    <s v="CUST-125"/>
    <x v="14"/>
    <x v="0"/>
    <x v="4"/>
    <x v="3"/>
    <x v="6"/>
    <s v="$201.32"/>
    <s v="Thursday"/>
    <x v="2"/>
    <x v="0"/>
    <b v="0"/>
    <b v="1"/>
    <s v="Large Order"/>
    <n v="10.066000000000001"/>
    <x v="6"/>
    <n v="1207.92"/>
    <m/>
  </r>
  <r>
    <s v="ORD-3535"/>
    <d v="2024-10-10T00:00:00"/>
    <s v="CUST-131"/>
    <x v="7"/>
    <x v="0"/>
    <x v="0"/>
    <x v="2"/>
    <x v="14"/>
    <s v="$107.34"/>
    <s v="Thursday"/>
    <x v="3"/>
    <x v="0"/>
    <b v="0"/>
    <b v="1"/>
    <s v="Large Order"/>
    <n v="5.3670000000000009"/>
    <x v="0"/>
    <n v="966.06000000000006"/>
    <m/>
  </r>
  <r>
    <s v="ORD-3536"/>
    <d v="2024-01-11T00:00:00"/>
    <s v="CUST-186"/>
    <x v="1"/>
    <x v="1"/>
    <x v="0"/>
    <x v="3"/>
    <x v="10"/>
    <s v="$178.83"/>
    <s v="Thursday"/>
    <x v="6"/>
    <x v="0"/>
    <b v="0"/>
    <b v="1"/>
    <s v="Large Order"/>
    <n v="8.9415000000000013"/>
    <x v="7"/>
    <n v="1251.8100000000002"/>
    <m/>
  </r>
  <r>
    <s v="ORD-3537"/>
    <d v="2024-05-02T00:00:00"/>
    <s v="CUST-147"/>
    <x v="8"/>
    <x v="2"/>
    <x v="4"/>
    <x v="4"/>
    <x v="19"/>
    <s v="$208.85"/>
    <s v="Thursday"/>
    <x v="7"/>
    <x v="0"/>
    <b v="0"/>
    <b v="1"/>
    <s v="Large Order"/>
    <n v="10.442500000000001"/>
    <x v="19"/>
    <n v="4177"/>
    <m/>
  </r>
  <r>
    <s v="ORD-3538"/>
    <d v="2024-12-30T00:00:00"/>
    <s v="CUST-108"/>
    <x v="19"/>
    <x v="0"/>
    <x v="4"/>
    <x v="2"/>
    <x v="10"/>
    <s v="$145.48"/>
    <s v="Monday"/>
    <x v="1"/>
    <x v="0"/>
    <b v="0"/>
    <b v="1"/>
    <s v="Large Order"/>
    <n v="7.274"/>
    <x v="13"/>
    <n v="1018.3599999999999"/>
    <m/>
  </r>
  <r>
    <s v="ORD-3539"/>
    <d v="2024-12-21T00:00:00"/>
    <s v="CUST-147"/>
    <x v="13"/>
    <x v="2"/>
    <x v="2"/>
    <x v="2"/>
    <x v="4"/>
    <s v="$156.44"/>
    <s v="Saturday"/>
    <x v="1"/>
    <x v="0"/>
    <b v="1"/>
    <b v="0"/>
    <s v="Standard order"/>
    <n v="7.8220000000000001"/>
    <x v="23"/>
    <n v="312.88"/>
    <m/>
  </r>
  <r>
    <s v="ORD-3540"/>
    <d v="2024-10-27T00:00:00"/>
    <s v="CUST-124"/>
    <x v="23"/>
    <x v="1"/>
    <x v="4"/>
    <x v="3"/>
    <x v="7"/>
    <s v="$133.37"/>
    <s v="Sunday"/>
    <x v="3"/>
    <x v="0"/>
    <b v="1"/>
    <b v="1"/>
    <s v="Large Order"/>
    <n v="6.6685000000000008"/>
    <x v="22"/>
    <n v="1066.96"/>
    <m/>
  </r>
  <r>
    <s v="ORD-3541"/>
    <d v="2024-05-23T00:00:00"/>
    <s v="CUST-116"/>
    <x v="22"/>
    <x v="2"/>
    <x v="2"/>
    <x v="2"/>
    <x v="13"/>
    <s v="$149.27"/>
    <s v="Thursday"/>
    <x v="7"/>
    <x v="0"/>
    <b v="0"/>
    <b v="0"/>
    <s v="Standard order"/>
    <n v="7.4635000000000007"/>
    <x v="8"/>
    <n v="447.81000000000006"/>
    <m/>
  </r>
  <r>
    <s v="ORD-3542"/>
    <d v="2024-12-05T00:00:00"/>
    <s v="CUST-178"/>
    <x v="0"/>
    <x v="0"/>
    <x v="1"/>
    <x v="1"/>
    <x v="18"/>
    <s v="$146.06"/>
    <s v="Thursday"/>
    <x v="1"/>
    <x v="0"/>
    <b v="0"/>
    <b v="1"/>
    <s v="Large Order"/>
    <n v="7.3030000000000008"/>
    <x v="6"/>
    <n v="2483.02"/>
    <m/>
  </r>
  <r>
    <s v="ORD-3543"/>
    <d v="2024-09-22T00:00:00"/>
    <s v="CUST-159"/>
    <x v="7"/>
    <x v="1"/>
    <x v="3"/>
    <x v="4"/>
    <x v="17"/>
    <s v="$107.34"/>
    <s v="Sunday"/>
    <x v="11"/>
    <x v="0"/>
    <b v="1"/>
    <b v="1"/>
    <s v="Large Order"/>
    <n v="5.3670000000000009"/>
    <x v="2"/>
    <n v="1717.44"/>
    <m/>
  </r>
  <r>
    <s v="ORD-3544"/>
    <d v="2024-09-10T00:00:00"/>
    <s v="CUST-160"/>
    <x v="3"/>
    <x v="2"/>
    <x v="2"/>
    <x v="4"/>
    <x v="4"/>
    <s v="$84.57"/>
    <s v="Tuesday"/>
    <x v="11"/>
    <x v="0"/>
    <b v="0"/>
    <b v="0"/>
    <s v="Standard order"/>
    <n v="4.2284999999999995"/>
    <x v="24"/>
    <n v="169.14"/>
    <m/>
  </r>
  <r>
    <s v="ORD-3545"/>
    <d v="2024-04-13T00:00:00"/>
    <s v="CUST-157"/>
    <x v="24"/>
    <x v="1"/>
    <x v="4"/>
    <x v="3"/>
    <x v="3"/>
    <s v="$10.11"/>
    <s v="Saturday"/>
    <x v="2"/>
    <x v="0"/>
    <b v="1"/>
    <b v="0"/>
    <s v="Standard order"/>
    <n v="0.50549999999999995"/>
    <x v="7"/>
    <n v="141.54"/>
    <m/>
  </r>
  <r>
    <s v="ORD-3546"/>
    <d v="2024-10-19T00:00:00"/>
    <s v="CUST-120"/>
    <x v="8"/>
    <x v="1"/>
    <x v="1"/>
    <x v="0"/>
    <x v="2"/>
    <s v="$208.85"/>
    <s v="Saturday"/>
    <x v="3"/>
    <x v="0"/>
    <b v="1"/>
    <b v="0"/>
    <s v="Large Order"/>
    <n v="10.442500000000001"/>
    <x v="22"/>
    <n v="1044.25"/>
    <m/>
  </r>
  <r>
    <s v="ORD-3547"/>
    <d v="2024-05-31T00:00:00"/>
    <s v="CUST-156"/>
    <x v="22"/>
    <x v="1"/>
    <x v="4"/>
    <x v="4"/>
    <x v="4"/>
    <s v="$149.27"/>
    <s v="Friday"/>
    <x v="7"/>
    <x v="0"/>
    <b v="0"/>
    <b v="0"/>
    <s v="Standard order"/>
    <n v="7.4635000000000007"/>
    <x v="17"/>
    <n v="298.54000000000002"/>
    <m/>
  </r>
  <r>
    <s v="ORD-3548"/>
    <d v="2024-11-14T00:00:00"/>
    <s v="CUST-143"/>
    <x v="17"/>
    <x v="1"/>
    <x v="2"/>
    <x v="1"/>
    <x v="3"/>
    <s v="$26.59"/>
    <s v="Thursday"/>
    <x v="0"/>
    <x v="0"/>
    <b v="0"/>
    <b v="0"/>
    <s v="Standard order"/>
    <n v="1.3295000000000001"/>
    <x v="2"/>
    <n v="372.26"/>
    <m/>
  </r>
  <r>
    <s v="ORD-3549"/>
    <d v="2024-09-11T00:00:00"/>
    <s v="CUST-140"/>
    <x v="3"/>
    <x v="1"/>
    <x v="0"/>
    <x v="2"/>
    <x v="12"/>
    <s v="$84.57"/>
    <s v="Wednesday"/>
    <x v="11"/>
    <x v="0"/>
    <b v="0"/>
    <b v="1"/>
    <s v="Large Order"/>
    <n v="4.2284999999999995"/>
    <x v="7"/>
    <n v="1268.55"/>
    <m/>
  </r>
  <r>
    <s v="ORD-3550"/>
    <d v="2024-11-26T00:00:00"/>
    <s v="CUST-109"/>
    <x v="8"/>
    <x v="0"/>
    <x v="3"/>
    <x v="4"/>
    <x v="18"/>
    <s v="$208.85"/>
    <s v="Tuesday"/>
    <x v="0"/>
    <x v="0"/>
    <b v="0"/>
    <b v="1"/>
    <s v="Large Order"/>
    <n v="10.442500000000001"/>
    <x v="2"/>
    <n v="3550.45"/>
    <m/>
  </r>
  <r>
    <s v="ORD-3551"/>
    <d v="2024-02-10T00:00:00"/>
    <s v="CUST-200"/>
    <x v="3"/>
    <x v="0"/>
    <x v="0"/>
    <x v="0"/>
    <x v="13"/>
    <s v="$84.57"/>
    <s v="Saturday"/>
    <x v="5"/>
    <x v="0"/>
    <b v="1"/>
    <b v="0"/>
    <s v="Standard order"/>
    <n v="4.2284999999999995"/>
    <x v="13"/>
    <n v="253.70999999999998"/>
    <m/>
  </r>
  <r>
    <s v="ORD-3552"/>
    <d v="2024-10-06T00:00:00"/>
    <s v="CUST-125"/>
    <x v="13"/>
    <x v="0"/>
    <x v="3"/>
    <x v="3"/>
    <x v="8"/>
    <s v="$156.44"/>
    <s v="Sunday"/>
    <x v="3"/>
    <x v="0"/>
    <b v="1"/>
    <b v="1"/>
    <s v="Large Order"/>
    <n v="7.8220000000000001"/>
    <x v="11"/>
    <n v="1564.4"/>
    <m/>
  </r>
  <r>
    <s v="ORD-3553"/>
    <d v="2024-12-15T00:00:00"/>
    <s v="CUST-135"/>
    <x v="11"/>
    <x v="2"/>
    <x v="1"/>
    <x v="2"/>
    <x v="15"/>
    <s v="$33.22"/>
    <s v="Sunday"/>
    <x v="1"/>
    <x v="0"/>
    <b v="1"/>
    <b v="0"/>
    <s v="Large Order"/>
    <n v="1.661"/>
    <x v="14"/>
    <n v="597.96"/>
    <m/>
  </r>
  <r>
    <s v="ORD-3554"/>
    <d v="2024-01-05T00:00:00"/>
    <s v="CUST-198"/>
    <x v="14"/>
    <x v="1"/>
    <x v="3"/>
    <x v="1"/>
    <x v="11"/>
    <s v="$201.32"/>
    <s v="Friday"/>
    <x v="6"/>
    <x v="0"/>
    <b v="0"/>
    <b v="1"/>
    <s v="Large Order"/>
    <n v="10.066000000000001"/>
    <x v="4"/>
    <n v="2617.16"/>
    <m/>
  </r>
  <r>
    <s v="ORD-3555"/>
    <d v="2024-12-01T00:00:00"/>
    <s v="CUST-101"/>
    <x v="5"/>
    <x v="2"/>
    <x v="1"/>
    <x v="2"/>
    <x v="11"/>
    <s v="$64.61"/>
    <s v="Sunday"/>
    <x v="1"/>
    <x v="0"/>
    <b v="1"/>
    <b v="1"/>
    <s v="Large Order"/>
    <n v="3.2305000000000001"/>
    <x v="24"/>
    <n v="839.93"/>
    <m/>
  </r>
  <r>
    <s v="ORD-3556"/>
    <d v="2024-04-17T00:00:00"/>
    <s v="CUST-160"/>
    <x v="24"/>
    <x v="2"/>
    <x v="1"/>
    <x v="4"/>
    <x v="12"/>
    <s v="$10.11"/>
    <s v="Wednesday"/>
    <x v="2"/>
    <x v="0"/>
    <b v="0"/>
    <b v="0"/>
    <s v="Standard order"/>
    <n v="0.50549999999999995"/>
    <x v="8"/>
    <n v="151.64999999999998"/>
    <m/>
  </r>
  <r>
    <s v="ORD-3557"/>
    <d v="2024-08-24T00:00:00"/>
    <s v="CUST-143"/>
    <x v="0"/>
    <x v="1"/>
    <x v="4"/>
    <x v="1"/>
    <x v="3"/>
    <s v="$146.06"/>
    <s v="Saturday"/>
    <x v="10"/>
    <x v="0"/>
    <b v="1"/>
    <b v="1"/>
    <s v="Large Order"/>
    <n v="7.3030000000000008"/>
    <x v="18"/>
    <n v="2044.8400000000001"/>
    <m/>
  </r>
  <r>
    <s v="ORD-3558"/>
    <d v="2024-08-18T00:00:00"/>
    <s v="CUST-171"/>
    <x v="18"/>
    <x v="1"/>
    <x v="4"/>
    <x v="4"/>
    <x v="2"/>
    <s v="$230.68"/>
    <s v="Sunday"/>
    <x v="10"/>
    <x v="0"/>
    <b v="1"/>
    <b v="0"/>
    <s v="Large Order"/>
    <n v="11.534000000000001"/>
    <x v="5"/>
    <n v="1153.4000000000001"/>
    <m/>
  </r>
  <r>
    <s v="ORD-3559"/>
    <d v="2024-01-05T00:00:00"/>
    <s v="CUST-163"/>
    <x v="6"/>
    <x v="1"/>
    <x v="3"/>
    <x v="2"/>
    <x v="3"/>
    <s v="$86.6"/>
    <s v="Friday"/>
    <x v="6"/>
    <x v="0"/>
    <b v="0"/>
    <b v="1"/>
    <s v="Large Order"/>
    <n v="4.33"/>
    <x v="21"/>
    <n v="1212.3999999999999"/>
    <m/>
  </r>
  <r>
    <s v="ORD-3560"/>
    <d v="2024-07-25T00:00:00"/>
    <s v="CUST-197"/>
    <x v="21"/>
    <x v="2"/>
    <x v="1"/>
    <x v="3"/>
    <x v="9"/>
    <s v="$32.94"/>
    <s v="Thursday"/>
    <x v="8"/>
    <x v="0"/>
    <b v="0"/>
    <b v="0"/>
    <s v="Standard order"/>
    <n v="1.647"/>
    <x v="15"/>
    <n v="362.34"/>
    <m/>
  </r>
  <r>
    <s v="ORD-3561"/>
    <d v="2024-10-17T00:00:00"/>
    <s v="CUST-200"/>
    <x v="15"/>
    <x v="0"/>
    <x v="4"/>
    <x v="3"/>
    <x v="16"/>
    <s v="$216.22"/>
    <s v="Thursday"/>
    <x v="3"/>
    <x v="0"/>
    <b v="0"/>
    <b v="1"/>
    <s v="Large Order"/>
    <n v="10.811"/>
    <x v="9"/>
    <n v="4108.18"/>
    <m/>
  </r>
  <r>
    <s v="ORD-3562"/>
    <d v="2024-11-04T00:00:00"/>
    <s v="CUST-177"/>
    <x v="9"/>
    <x v="1"/>
    <x v="2"/>
    <x v="2"/>
    <x v="11"/>
    <s v="$101.96"/>
    <s v="Monday"/>
    <x v="0"/>
    <x v="0"/>
    <b v="0"/>
    <b v="1"/>
    <s v="Large Order"/>
    <n v="5.0979999999999999"/>
    <x v="4"/>
    <n v="1325.48"/>
    <m/>
  </r>
  <r>
    <s v="ORD-3563"/>
    <d v="2024-07-16T00:00:00"/>
    <s v="CUST-124"/>
    <x v="5"/>
    <x v="0"/>
    <x v="3"/>
    <x v="4"/>
    <x v="12"/>
    <s v="$64.61"/>
    <s v="Tuesday"/>
    <x v="8"/>
    <x v="0"/>
    <b v="0"/>
    <b v="1"/>
    <s v="Large Order"/>
    <n v="3.2305000000000001"/>
    <x v="6"/>
    <n v="969.15"/>
    <m/>
  </r>
  <r>
    <s v="ORD-3564"/>
    <d v="2024-06-04T00:00:00"/>
    <s v="CUST-111"/>
    <x v="7"/>
    <x v="0"/>
    <x v="1"/>
    <x v="2"/>
    <x v="4"/>
    <s v="$107.34"/>
    <s v="Tuesday"/>
    <x v="9"/>
    <x v="0"/>
    <b v="0"/>
    <b v="0"/>
    <s v="Standard order"/>
    <n v="5.3670000000000009"/>
    <x v="18"/>
    <n v="214.68"/>
    <m/>
  </r>
  <r>
    <s v="ORD-3565"/>
    <d v="2024-11-04T00:00:00"/>
    <s v="CUST-162"/>
    <x v="18"/>
    <x v="0"/>
    <x v="4"/>
    <x v="0"/>
    <x v="11"/>
    <s v="$230.68"/>
    <s v="Monday"/>
    <x v="0"/>
    <x v="0"/>
    <b v="0"/>
    <b v="1"/>
    <s v="Large Order"/>
    <n v="11.534000000000001"/>
    <x v="5"/>
    <n v="2998.84"/>
    <m/>
  </r>
  <r>
    <s v="ORD-3566"/>
    <d v="2024-04-29T00:00:00"/>
    <s v="CUST-137"/>
    <x v="6"/>
    <x v="2"/>
    <x v="0"/>
    <x v="1"/>
    <x v="4"/>
    <s v="$86.6"/>
    <s v="Monday"/>
    <x v="2"/>
    <x v="0"/>
    <b v="0"/>
    <b v="0"/>
    <s v="Standard order"/>
    <n v="4.33"/>
    <x v="13"/>
    <n v="173.2"/>
    <m/>
  </r>
  <r>
    <s v="ORD-3567"/>
    <d v="2024-01-06T00:00:00"/>
    <s v="CUST-121"/>
    <x v="13"/>
    <x v="1"/>
    <x v="2"/>
    <x v="2"/>
    <x v="0"/>
    <s v="$156.44"/>
    <s v="Saturday"/>
    <x v="6"/>
    <x v="0"/>
    <b v="1"/>
    <b v="0"/>
    <s v="Large Order"/>
    <n v="7.8220000000000001"/>
    <x v="16"/>
    <n v="625.76"/>
    <m/>
  </r>
  <r>
    <s v="ORD-3568"/>
    <d v="2024-08-02T00:00:00"/>
    <s v="CUST-161"/>
    <x v="16"/>
    <x v="0"/>
    <x v="2"/>
    <x v="2"/>
    <x v="2"/>
    <s v="$130.07"/>
    <s v="Friday"/>
    <x v="10"/>
    <x v="0"/>
    <b v="0"/>
    <b v="0"/>
    <s v="Large Order"/>
    <n v="6.5034999999999998"/>
    <x v="10"/>
    <n v="650.34999999999991"/>
    <m/>
  </r>
  <r>
    <s v="ORD-3569"/>
    <d v="2024-06-07T00:00:00"/>
    <s v="CUST-155"/>
    <x v="10"/>
    <x v="2"/>
    <x v="2"/>
    <x v="2"/>
    <x v="19"/>
    <s v="$46.19"/>
    <s v="Friday"/>
    <x v="9"/>
    <x v="0"/>
    <b v="0"/>
    <b v="1"/>
    <s v="Large Order"/>
    <n v="2.3094999999999999"/>
    <x v="11"/>
    <n v="923.8"/>
    <m/>
  </r>
  <r>
    <s v="ORD-3570"/>
    <d v="2024-06-07T00:00:00"/>
    <s v="CUST-175"/>
    <x v="11"/>
    <x v="2"/>
    <x v="2"/>
    <x v="3"/>
    <x v="10"/>
    <s v="$33.22"/>
    <s v="Friday"/>
    <x v="9"/>
    <x v="0"/>
    <b v="0"/>
    <b v="0"/>
    <s v="Standard order"/>
    <n v="1.661"/>
    <x v="8"/>
    <n v="232.54"/>
    <m/>
  </r>
  <r>
    <s v="ORD-3571"/>
    <d v="2024-03-14T00:00:00"/>
    <s v="CUST-157"/>
    <x v="0"/>
    <x v="1"/>
    <x v="1"/>
    <x v="2"/>
    <x v="18"/>
    <s v="$146.06"/>
    <s v="Thursday"/>
    <x v="4"/>
    <x v="0"/>
    <b v="0"/>
    <b v="1"/>
    <s v="Large Order"/>
    <n v="7.3030000000000008"/>
    <x v="12"/>
    <n v="2483.02"/>
    <m/>
  </r>
  <r>
    <s v="ORD-3572"/>
    <d v="2024-10-18T00:00:00"/>
    <s v="CUST-162"/>
    <x v="12"/>
    <x v="1"/>
    <x v="1"/>
    <x v="0"/>
    <x v="13"/>
    <s v="$211.9"/>
    <s v="Friday"/>
    <x v="3"/>
    <x v="0"/>
    <b v="0"/>
    <b v="0"/>
    <s v="Large Order"/>
    <n v="10.595000000000001"/>
    <x v="10"/>
    <n v="635.70000000000005"/>
    <m/>
  </r>
  <r>
    <s v="ORD-3573"/>
    <d v="2024-08-21T00:00:00"/>
    <s v="CUST-144"/>
    <x v="10"/>
    <x v="2"/>
    <x v="3"/>
    <x v="1"/>
    <x v="19"/>
    <s v="$46.19"/>
    <s v="Wednesday"/>
    <x v="10"/>
    <x v="0"/>
    <b v="0"/>
    <b v="1"/>
    <s v="Large Order"/>
    <n v="2.3094999999999999"/>
    <x v="24"/>
    <n v="923.8"/>
    <m/>
  </r>
  <r>
    <s v="ORD-3574"/>
    <d v="2024-03-30T00:00:00"/>
    <s v="CUST-153"/>
    <x v="24"/>
    <x v="0"/>
    <x v="1"/>
    <x v="1"/>
    <x v="12"/>
    <s v="$10.11"/>
    <s v="Saturday"/>
    <x v="4"/>
    <x v="0"/>
    <b v="1"/>
    <b v="0"/>
    <s v="Standard order"/>
    <n v="0.50549999999999995"/>
    <x v="10"/>
    <n v="151.64999999999998"/>
    <m/>
  </r>
  <r>
    <s v="ORD-3575"/>
    <d v="2024-12-03T00:00:00"/>
    <s v="CUST-123"/>
    <x v="10"/>
    <x v="2"/>
    <x v="0"/>
    <x v="1"/>
    <x v="4"/>
    <s v="$46.19"/>
    <s v="Tuesday"/>
    <x v="1"/>
    <x v="0"/>
    <b v="0"/>
    <b v="0"/>
    <s v="Standard order"/>
    <n v="2.3094999999999999"/>
    <x v="1"/>
    <n v="92.38"/>
    <m/>
  </r>
  <r>
    <s v="ORD-3576"/>
    <d v="2024-03-21T00:00:00"/>
    <s v="CUST-135"/>
    <x v="2"/>
    <x v="2"/>
    <x v="3"/>
    <x v="0"/>
    <x v="10"/>
    <s v="$88.18"/>
    <s v="Thursday"/>
    <x v="4"/>
    <x v="0"/>
    <b v="0"/>
    <b v="0"/>
    <s v="Large Order"/>
    <n v="4.4090000000000007"/>
    <x v="23"/>
    <n v="617.26"/>
    <m/>
  </r>
  <r>
    <s v="ORD-3577"/>
    <d v="2024-07-29T00:00:00"/>
    <s v="CUST-197"/>
    <x v="23"/>
    <x v="0"/>
    <x v="3"/>
    <x v="0"/>
    <x v="0"/>
    <s v="$133.37"/>
    <s v="Monday"/>
    <x v="8"/>
    <x v="0"/>
    <b v="0"/>
    <b v="0"/>
    <s v="Large Order"/>
    <n v="6.6685000000000008"/>
    <x v="12"/>
    <n v="533.48"/>
    <m/>
  </r>
  <r>
    <s v="ORD-3578"/>
    <d v="2024-06-15T00:00:00"/>
    <s v="CUST-152"/>
    <x v="12"/>
    <x v="0"/>
    <x v="3"/>
    <x v="2"/>
    <x v="18"/>
    <s v="$211.9"/>
    <s v="Saturday"/>
    <x v="9"/>
    <x v="0"/>
    <b v="1"/>
    <b v="1"/>
    <s v="Large Order"/>
    <n v="10.595000000000001"/>
    <x v="1"/>
    <n v="3602.3"/>
    <m/>
  </r>
  <r>
    <s v="ORD-3579"/>
    <d v="2024-01-14T00:00:00"/>
    <s v="CUST-109"/>
    <x v="2"/>
    <x v="2"/>
    <x v="2"/>
    <x v="1"/>
    <x v="9"/>
    <s v="$88.18"/>
    <s v="Sunday"/>
    <x v="6"/>
    <x v="0"/>
    <b v="1"/>
    <b v="1"/>
    <s v="Large Order"/>
    <n v="4.4090000000000007"/>
    <x v="15"/>
    <n v="969.98"/>
    <m/>
  </r>
  <r>
    <s v="ORD-3580"/>
    <d v="2024-04-09T00:00:00"/>
    <s v="CUST-150"/>
    <x v="15"/>
    <x v="0"/>
    <x v="3"/>
    <x v="0"/>
    <x v="2"/>
    <s v="$216.22"/>
    <s v="Tuesday"/>
    <x v="2"/>
    <x v="0"/>
    <b v="0"/>
    <b v="0"/>
    <s v="Large Order"/>
    <n v="10.811"/>
    <x v="12"/>
    <n v="1081.0999999999999"/>
    <m/>
  </r>
  <r>
    <s v="ORD-3581"/>
    <d v="2024-08-25T00:00:00"/>
    <s v="CUST-162"/>
    <x v="12"/>
    <x v="0"/>
    <x v="0"/>
    <x v="4"/>
    <x v="7"/>
    <s v="$211.9"/>
    <s v="Sunday"/>
    <x v="10"/>
    <x v="0"/>
    <b v="1"/>
    <b v="1"/>
    <s v="Large Order"/>
    <n v="10.595000000000001"/>
    <x v="4"/>
    <n v="1695.2"/>
    <m/>
  </r>
  <r>
    <s v="ORD-3582"/>
    <d v="2024-08-12T00:00:00"/>
    <s v="CUST-117"/>
    <x v="5"/>
    <x v="1"/>
    <x v="4"/>
    <x v="2"/>
    <x v="1"/>
    <s v="$64.61"/>
    <s v="Monday"/>
    <x v="10"/>
    <x v="0"/>
    <b v="0"/>
    <b v="0"/>
    <s v="Standard order"/>
    <n v="3.2305000000000001"/>
    <x v="19"/>
    <n v="64.61"/>
    <m/>
  </r>
  <r>
    <s v="ORD-3583"/>
    <d v="2024-03-31T00:00:00"/>
    <s v="CUST-137"/>
    <x v="19"/>
    <x v="2"/>
    <x v="2"/>
    <x v="2"/>
    <x v="13"/>
    <s v="$145.48"/>
    <s v="Sunday"/>
    <x v="4"/>
    <x v="0"/>
    <b v="1"/>
    <b v="0"/>
    <s v="Standard order"/>
    <n v="7.274"/>
    <x v="2"/>
    <n v="436.43999999999994"/>
    <m/>
  </r>
  <r>
    <s v="ORD-3584"/>
    <d v="2024-01-06T00:00:00"/>
    <s v="CUST-186"/>
    <x v="3"/>
    <x v="0"/>
    <x v="2"/>
    <x v="3"/>
    <x v="6"/>
    <s v="$84.57"/>
    <s v="Saturday"/>
    <x v="6"/>
    <x v="0"/>
    <b v="1"/>
    <b v="0"/>
    <s v="Large Order"/>
    <n v="4.2284999999999995"/>
    <x v="23"/>
    <n v="507.41999999999996"/>
    <m/>
  </r>
  <r>
    <s v="ORD-3585"/>
    <d v="2024-01-18T00:00:00"/>
    <s v="CUST-186"/>
    <x v="23"/>
    <x v="0"/>
    <x v="2"/>
    <x v="0"/>
    <x v="18"/>
    <s v="$133.37"/>
    <s v="Thursday"/>
    <x v="6"/>
    <x v="0"/>
    <b v="0"/>
    <b v="1"/>
    <s v="Large Order"/>
    <n v="6.6685000000000008"/>
    <x v="3"/>
    <n v="2267.29"/>
    <m/>
  </r>
  <r>
    <s v="ORD-3586"/>
    <d v="2024-12-03T00:00:00"/>
    <s v="CUST-113"/>
    <x v="4"/>
    <x v="2"/>
    <x v="3"/>
    <x v="1"/>
    <x v="4"/>
    <s v="$230.34"/>
    <s v="Tuesday"/>
    <x v="1"/>
    <x v="0"/>
    <b v="0"/>
    <b v="0"/>
    <s v="Standard order"/>
    <n v="11.517000000000001"/>
    <x v="3"/>
    <n v="460.68"/>
    <m/>
  </r>
  <r>
    <s v="ORD-3587"/>
    <d v="2024-01-25T00:00:00"/>
    <s v="CUST-198"/>
    <x v="4"/>
    <x v="0"/>
    <x v="4"/>
    <x v="3"/>
    <x v="7"/>
    <s v="$230.34"/>
    <s v="Thursday"/>
    <x v="6"/>
    <x v="0"/>
    <b v="0"/>
    <b v="1"/>
    <s v="Large Order"/>
    <n v="11.517000000000001"/>
    <x v="18"/>
    <n v="1842.72"/>
    <m/>
  </r>
  <r>
    <s v="ORD-3588"/>
    <d v="2024-01-09T00:00:00"/>
    <s v="CUST-153"/>
    <x v="18"/>
    <x v="0"/>
    <x v="3"/>
    <x v="2"/>
    <x v="13"/>
    <s v="$230.68"/>
    <s v="Tuesday"/>
    <x v="6"/>
    <x v="0"/>
    <b v="0"/>
    <b v="0"/>
    <s v="Large Order"/>
    <n v="11.534000000000001"/>
    <x v="6"/>
    <n v="692.04"/>
    <m/>
  </r>
  <r>
    <s v="ORD-3589"/>
    <d v="2024-02-19T00:00:00"/>
    <s v="CUST-185"/>
    <x v="7"/>
    <x v="2"/>
    <x v="4"/>
    <x v="0"/>
    <x v="3"/>
    <s v="$107.34"/>
    <s v="Monday"/>
    <x v="5"/>
    <x v="0"/>
    <b v="0"/>
    <b v="1"/>
    <s v="Large Order"/>
    <n v="5.3670000000000009"/>
    <x v="23"/>
    <n v="1502.76"/>
    <m/>
  </r>
  <r>
    <s v="ORD-3590"/>
    <d v="2024-06-16T00:00:00"/>
    <s v="CUST-141"/>
    <x v="23"/>
    <x v="2"/>
    <x v="4"/>
    <x v="4"/>
    <x v="10"/>
    <s v="$133.37"/>
    <s v="Sunday"/>
    <x v="9"/>
    <x v="0"/>
    <b v="1"/>
    <b v="1"/>
    <s v="Large Order"/>
    <n v="6.6685000000000008"/>
    <x v="19"/>
    <n v="933.59"/>
    <m/>
  </r>
  <r>
    <s v="ORD-3591"/>
    <d v="2024-07-21T00:00:00"/>
    <s v="CUST-154"/>
    <x v="19"/>
    <x v="0"/>
    <x v="4"/>
    <x v="0"/>
    <x v="5"/>
    <s v="$145.48"/>
    <s v="Sunday"/>
    <x v="8"/>
    <x v="0"/>
    <b v="1"/>
    <b v="1"/>
    <s v="Large Order"/>
    <n v="7.274"/>
    <x v="1"/>
    <n v="1745.7599999999998"/>
    <m/>
  </r>
  <r>
    <s v="ORD-3592"/>
    <d v="2024-01-08T00:00:00"/>
    <s v="CUST-151"/>
    <x v="2"/>
    <x v="1"/>
    <x v="0"/>
    <x v="1"/>
    <x v="10"/>
    <s v="$88.18"/>
    <s v="Monday"/>
    <x v="6"/>
    <x v="0"/>
    <b v="0"/>
    <b v="0"/>
    <s v="Large Order"/>
    <n v="4.4090000000000007"/>
    <x v="2"/>
    <n v="617.26"/>
    <m/>
  </r>
  <r>
    <s v="ORD-3593"/>
    <d v="2024-02-03T00:00:00"/>
    <s v="CUST-184"/>
    <x v="3"/>
    <x v="2"/>
    <x v="1"/>
    <x v="3"/>
    <x v="4"/>
    <s v="$84.57"/>
    <s v="Saturday"/>
    <x v="5"/>
    <x v="0"/>
    <b v="1"/>
    <b v="0"/>
    <s v="Standard order"/>
    <n v="4.2284999999999995"/>
    <x v="14"/>
    <n v="169.14"/>
    <m/>
  </r>
  <r>
    <s v="ORD-3594"/>
    <d v="2024-04-21T00:00:00"/>
    <s v="CUST-152"/>
    <x v="14"/>
    <x v="2"/>
    <x v="2"/>
    <x v="0"/>
    <x v="15"/>
    <s v="$201.32"/>
    <s v="Sunday"/>
    <x v="2"/>
    <x v="0"/>
    <b v="1"/>
    <b v="1"/>
    <s v="Large Order"/>
    <n v="10.066000000000001"/>
    <x v="2"/>
    <n v="3623.7599999999998"/>
    <m/>
  </r>
  <r>
    <s v="ORD-3595"/>
    <d v="2024-10-18T00:00:00"/>
    <s v="CUST-121"/>
    <x v="3"/>
    <x v="0"/>
    <x v="1"/>
    <x v="3"/>
    <x v="11"/>
    <s v="$84.57"/>
    <s v="Friday"/>
    <x v="3"/>
    <x v="0"/>
    <b v="0"/>
    <b v="1"/>
    <s v="Large Order"/>
    <n v="4.2284999999999995"/>
    <x v="13"/>
    <n v="1099.4099999999999"/>
    <m/>
  </r>
  <r>
    <s v="ORD-3596"/>
    <d v="2024-12-21T00:00:00"/>
    <s v="CUST-117"/>
    <x v="13"/>
    <x v="0"/>
    <x v="3"/>
    <x v="1"/>
    <x v="13"/>
    <s v="$156.44"/>
    <s v="Saturday"/>
    <x v="1"/>
    <x v="0"/>
    <b v="1"/>
    <b v="0"/>
    <s v="Standard order"/>
    <n v="7.8220000000000001"/>
    <x v="12"/>
    <n v="469.32"/>
    <m/>
  </r>
  <r>
    <s v="ORD-3597"/>
    <d v="2024-11-07T00:00:00"/>
    <s v="CUST-174"/>
    <x v="12"/>
    <x v="1"/>
    <x v="1"/>
    <x v="2"/>
    <x v="18"/>
    <s v="$211.9"/>
    <s v="Thursday"/>
    <x v="0"/>
    <x v="0"/>
    <b v="0"/>
    <b v="1"/>
    <s v="Large Order"/>
    <n v="10.595000000000001"/>
    <x v="18"/>
    <n v="3602.3"/>
    <m/>
  </r>
  <r>
    <s v="ORD-3598"/>
    <d v="2024-01-07T00:00:00"/>
    <s v="CUST-129"/>
    <x v="18"/>
    <x v="2"/>
    <x v="0"/>
    <x v="3"/>
    <x v="7"/>
    <s v="$230.68"/>
    <s v="Sunday"/>
    <x v="6"/>
    <x v="0"/>
    <b v="1"/>
    <b v="1"/>
    <s v="Large Order"/>
    <n v="11.534000000000001"/>
    <x v="8"/>
    <n v="1845.44"/>
    <m/>
  </r>
  <r>
    <s v="ORD-3599"/>
    <d v="2024-05-04T00:00:00"/>
    <s v="CUST-179"/>
    <x v="0"/>
    <x v="0"/>
    <x v="4"/>
    <x v="3"/>
    <x v="17"/>
    <s v="$146.06"/>
    <s v="Saturday"/>
    <x v="7"/>
    <x v="0"/>
    <b v="1"/>
    <b v="1"/>
    <s v="Large Order"/>
    <n v="7.3030000000000008"/>
    <x v="11"/>
    <n v="2336.96"/>
    <m/>
  </r>
  <r>
    <s v="ORD-3600"/>
    <d v="2024-03-18T00:00:00"/>
    <s v="CUST-148"/>
    <x v="11"/>
    <x v="2"/>
    <x v="0"/>
    <x v="2"/>
    <x v="19"/>
    <s v="$33.22"/>
    <s v="Monday"/>
    <x v="4"/>
    <x v="0"/>
    <b v="0"/>
    <b v="0"/>
    <s v="Large Order"/>
    <n v="1.661"/>
    <x v="13"/>
    <n v="664.4"/>
    <m/>
  </r>
  <r>
    <s v="ORD-3601"/>
    <d v="2024-08-15T00:00:00"/>
    <s v="CUST-194"/>
    <x v="13"/>
    <x v="0"/>
    <x v="3"/>
    <x v="3"/>
    <x v="4"/>
    <s v="$156.44"/>
    <s v="Thursday"/>
    <x v="10"/>
    <x v="0"/>
    <b v="0"/>
    <b v="0"/>
    <s v="Standard order"/>
    <n v="7.8220000000000001"/>
    <x v="14"/>
    <n v="312.88"/>
    <m/>
  </r>
  <r>
    <s v="ORD-3602"/>
    <d v="2024-07-31T00:00:00"/>
    <s v="CUST-182"/>
    <x v="14"/>
    <x v="0"/>
    <x v="4"/>
    <x v="3"/>
    <x v="9"/>
    <s v="$201.32"/>
    <s v="Wednesday"/>
    <x v="8"/>
    <x v="0"/>
    <b v="0"/>
    <b v="1"/>
    <s v="Large Order"/>
    <n v="10.066000000000001"/>
    <x v="5"/>
    <n v="2214.52"/>
    <m/>
  </r>
  <r>
    <s v="ORD-3603"/>
    <d v="2024-10-03T00:00:00"/>
    <s v="CUST-106"/>
    <x v="6"/>
    <x v="0"/>
    <x v="4"/>
    <x v="4"/>
    <x v="11"/>
    <s v="$86.6"/>
    <s v="Thursday"/>
    <x v="3"/>
    <x v="0"/>
    <b v="0"/>
    <b v="1"/>
    <s v="Large Order"/>
    <n v="4.33"/>
    <x v="1"/>
    <n v="1125.8"/>
    <m/>
  </r>
  <r>
    <s v="ORD-3604"/>
    <d v="2024-04-03T00:00:00"/>
    <s v="CUST-156"/>
    <x v="2"/>
    <x v="0"/>
    <x v="0"/>
    <x v="1"/>
    <x v="13"/>
    <s v="$88.18"/>
    <s v="Wednesday"/>
    <x v="2"/>
    <x v="0"/>
    <b v="0"/>
    <b v="0"/>
    <s v="Standard order"/>
    <n v="4.4090000000000007"/>
    <x v="0"/>
    <n v="264.54000000000002"/>
    <m/>
  </r>
  <r>
    <s v="ORD-3605"/>
    <d v="2024-01-27T00:00:00"/>
    <s v="CUST-181"/>
    <x v="1"/>
    <x v="0"/>
    <x v="4"/>
    <x v="0"/>
    <x v="6"/>
    <s v="$178.83"/>
    <s v="Saturday"/>
    <x v="6"/>
    <x v="0"/>
    <b v="1"/>
    <b v="1"/>
    <s v="Large Order"/>
    <n v="8.9415000000000013"/>
    <x v="22"/>
    <n v="1072.98"/>
    <m/>
  </r>
  <r>
    <s v="ORD-3606"/>
    <d v="2024-04-14T00:00:00"/>
    <s v="CUST-130"/>
    <x v="22"/>
    <x v="0"/>
    <x v="2"/>
    <x v="1"/>
    <x v="8"/>
    <s v="$149.27"/>
    <s v="Sunday"/>
    <x v="2"/>
    <x v="0"/>
    <b v="1"/>
    <b v="1"/>
    <s v="Large Order"/>
    <n v="7.4635000000000007"/>
    <x v="17"/>
    <n v="1492.7"/>
    <m/>
  </r>
  <r>
    <s v="ORD-3607"/>
    <d v="2024-04-11T00:00:00"/>
    <s v="CUST-131"/>
    <x v="17"/>
    <x v="0"/>
    <x v="1"/>
    <x v="2"/>
    <x v="8"/>
    <s v="$26.59"/>
    <s v="Thursday"/>
    <x v="2"/>
    <x v="0"/>
    <b v="0"/>
    <b v="0"/>
    <s v="Standard order"/>
    <n v="1.3295000000000001"/>
    <x v="11"/>
    <n v="265.89999999999998"/>
    <m/>
  </r>
  <r>
    <s v="ORD-3608"/>
    <d v="2024-08-17T00:00:00"/>
    <s v="CUST-181"/>
    <x v="11"/>
    <x v="1"/>
    <x v="2"/>
    <x v="0"/>
    <x v="5"/>
    <s v="$33.22"/>
    <s v="Saturday"/>
    <x v="10"/>
    <x v="0"/>
    <b v="1"/>
    <b v="0"/>
    <s v="Standard order"/>
    <n v="1.661"/>
    <x v="12"/>
    <n v="398.64"/>
    <m/>
  </r>
  <r>
    <s v="ORD-3609"/>
    <d v="2024-03-26T00:00:00"/>
    <s v="CUST-160"/>
    <x v="12"/>
    <x v="1"/>
    <x v="1"/>
    <x v="4"/>
    <x v="3"/>
    <s v="$211.9"/>
    <s v="Tuesday"/>
    <x v="4"/>
    <x v="0"/>
    <b v="0"/>
    <b v="1"/>
    <s v="Large Order"/>
    <n v="10.595000000000001"/>
    <x v="21"/>
    <n v="2966.6"/>
    <m/>
  </r>
  <r>
    <s v="ORD-3610"/>
    <d v="2024-09-03T00:00:00"/>
    <s v="CUST-102"/>
    <x v="21"/>
    <x v="1"/>
    <x v="2"/>
    <x v="0"/>
    <x v="8"/>
    <s v="$32.94"/>
    <s v="Tuesday"/>
    <x v="11"/>
    <x v="0"/>
    <b v="0"/>
    <b v="0"/>
    <s v="Standard order"/>
    <n v="1.647"/>
    <x v="16"/>
    <n v="329.4"/>
    <m/>
  </r>
  <r>
    <s v="ORD-3611"/>
    <d v="2024-03-19T00:00:00"/>
    <s v="CUST-170"/>
    <x v="16"/>
    <x v="0"/>
    <x v="3"/>
    <x v="1"/>
    <x v="12"/>
    <s v="$130.07"/>
    <s v="Tuesday"/>
    <x v="4"/>
    <x v="0"/>
    <b v="0"/>
    <b v="1"/>
    <s v="Large Order"/>
    <n v="6.5034999999999998"/>
    <x v="23"/>
    <n v="1951.05"/>
    <m/>
  </r>
  <r>
    <s v="ORD-3612"/>
    <d v="2024-05-25T00:00:00"/>
    <s v="CUST-148"/>
    <x v="23"/>
    <x v="2"/>
    <x v="2"/>
    <x v="0"/>
    <x v="9"/>
    <s v="$133.37"/>
    <s v="Saturday"/>
    <x v="7"/>
    <x v="0"/>
    <b v="1"/>
    <b v="1"/>
    <s v="Large Order"/>
    <n v="6.6685000000000008"/>
    <x v="0"/>
    <n v="1467.0700000000002"/>
    <m/>
  </r>
  <r>
    <s v="ORD-3613"/>
    <d v="2024-08-28T00:00:00"/>
    <s v="CUST-125"/>
    <x v="1"/>
    <x v="0"/>
    <x v="0"/>
    <x v="0"/>
    <x v="18"/>
    <s v="$178.83"/>
    <s v="Wednesday"/>
    <x v="10"/>
    <x v="0"/>
    <b v="0"/>
    <b v="1"/>
    <s v="Large Order"/>
    <n v="8.9415000000000013"/>
    <x v="3"/>
    <n v="3040.11"/>
    <m/>
  </r>
  <r>
    <s v="ORD-3614"/>
    <d v="2024-07-10T00:00:00"/>
    <s v="CUST-162"/>
    <x v="4"/>
    <x v="1"/>
    <x v="2"/>
    <x v="3"/>
    <x v="11"/>
    <s v="$230.34"/>
    <s v="Wednesday"/>
    <x v="8"/>
    <x v="0"/>
    <b v="0"/>
    <b v="1"/>
    <s v="Large Order"/>
    <n v="11.517000000000001"/>
    <x v="8"/>
    <n v="2994.42"/>
    <m/>
  </r>
  <r>
    <s v="ORD-3615"/>
    <d v="2024-11-24T00:00:00"/>
    <s v="CUST-175"/>
    <x v="0"/>
    <x v="1"/>
    <x v="0"/>
    <x v="0"/>
    <x v="11"/>
    <s v="$146.06"/>
    <s v="Sunday"/>
    <x v="0"/>
    <x v="0"/>
    <b v="1"/>
    <b v="1"/>
    <s v="Large Order"/>
    <n v="7.3030000000000008"/>
    <x v="21"/>
    <n v="1898.78"/>
    <m/>
  </r>
  <r>
    <s v="ORD-3616"/>
    <d v="2024-03-24T00:00:00"/>
    <s v="CUST-124"/>
    <x v="21"/>
    <x v="1"/>
    <x v="3"/>
    <x v="3"/>
    <x v="18"/>
    <s v="$32.94"/>
    <s v="Sunday"/>
    <x v="4"/>
    <x v="0"/>
    <b v="1"/>
    <b v="0"/>
    <s v="Large Order"/>
    <n v="1.647"/>
    <x v="7"/>
    <n v="559.98"/>
    <m/>
  </r>
  <r>
    <s v="ORD-3617"/>
    <d v="2024-11-21T00:00:00"/>
    <s v="CUST-188"/>
    <x v="8"/>
    <x v="2"/>
    <x v="0"/>
    <x v="1"/>
    <x v="3"/>
    <s v="$208.85"/>
    <s v="Thursday"/>
    <x v="0"/>
    <x v="0"/>
    <b v="0"/>
    <b v="1"/>
    <s v="Large Order"/>
    <n v="10.442500000000001"/>
    <x v="15"/>
    <n v="2923.9"/>
    <m/>
  </r>
  <r>
    <s v="ORD-3618"/>
    <d v="2024-05-04T00:00:00"/>
    <s v="CUST-161"/>
    <x v="15"/>
    <x v="1"/>
    <x v="0"/>
    <x v="2"/>
    <x v="14"/>
    <s v="$216.22"/>
    <s v="Saturday"/>
    <x v="7"/>
    <x v="0"/>
    <b v="1"/>
    <b v="1"/>
    <s v="Large Order"/>
    <n v="10.811"/>
    <x v="2"/>
    <n v="1945.98"/>
    <m/>
  </r>
  <r>
    <s v="ORD-3619"/>
    <d v="2024-12-14T00:00:00"/>
    <s v="CUST-118"/>
    <x v="3"/>
    <x v="0"/>
    <x v="1"/>
    <x v="4"/>
    <x v="6"/>
    <s v="$84.57"/>
    <s v="Saturday"/>
    <x v="1"/>
    <x v="0"/>
    <b v="1"/>
    <b v="0"/>
    <s v="Large Order"/>
    <n v="4.2284999999999995"/>
    <x v="10"/>
    <n v="507.41999999999996"/>
    <m/>
  </r>
  <r>
    <s v="ORD-3620"/>
    <d v="2024-02-17T00:00:00"/>
    <s v="CUST-182"/>
    <x v="10"/>
    <x v="1"/>
    <x v="2"/>
    <x v="4"/>
    <x v="13"/>
    <s v="$46.19"/>
    <s v="Saturday"/>
    <x v="5"/>
    <x v="0"/>
    <b v="1"/>
    <b v="0"/>
    <s v="Standard order"/>
    <n v="2.3094999999999999"/>
    <x v="6"/>
    <n v="138.57"/>
    <m/>
  </r>
  <r>
    <s v="ORD-3621"/>
    <d v="2024-04-06T00:00:00"/>
    <s v="CUST-154"/>
    <x v="7"/>
    <x v="1"/>
    <x v="3"/>
    <x v="3"/>
    <x v="18"/>
    <s v="$107.34"/>
    <s v="Saturday"/>
    <x v="2"/>
    <x v="0"/>
    <b v="1"/>
    <b v="1"/>
    <s v="Large Order"/>
    <n v="5.3670000000000009"/>
    <x v="9"/>
    <n v="1824.78"/>
    <m/>
  </r>
  <r>
    <s v="ORD-3622"/>
    <d v="2024-12-03T00:00:00"/>
    <s v="CUST-148"/>
    <x v="9"/>
    <x v="1"/>
    <x v="2"/>
    <x v="0"/>
    <x v="0"/>
    <s v="$101.96"/>
    <s v="Tuesday"/>
    <x v="1"/>
    <x v="0"/>
    <b v="0"/>
    <b v="0"/>
    <s v="Standard order"/>
    <n v="5.0979999999999999"/>
    <x v="2"/>
    <n v="407.84"/>
    <m/>
  </r>
  <r>
    <s v="ORD-3623"/>
    <d v="2024-06-25T00:00:00"/>
    <s v="CUST-118"/>
    <x v="3"/>
    <x v="2"/>
    <x v="4"/>
    <x v="1"/>
    <x v="8"/>
    <s v="$84.57"/>
    <s v="Tuesday"/>
    <x v="9"/>
    <x v="0"/>
    <b v="0"/>
    <b v="1"/>
    <s v="Large Order"/>
    <n v="4.2284999999999995"/>
    <x v="18"/>
    <n v="845.69999999999993"/>
    <m/>
  </r>
  <r>
    <s v="ORD-3624"/>
    <d v="2024-03-27T00:00:00"/>
    <s v="CUST-162"/>
    <x v="18"/>
    <x v="0"/>
    <x v="0"/>
    <x v="1"/>
    <x v="18"/>
    <s v="$230.68"/>
    <s v="Wednesday"/>
    <x v="4"/>
    <x v="0"/>
    <b v="0"/>
    <b v="1"/>
    <s v="Large Order"/>
    <n v="11.534000000000001"/>
    <x v="17"/>
    <n v="3921.56"/>
    <m/>
  </r>
  <r>
    <s v="ORD-3625"/>
    <d v="2024-05-27T00:00:00"/>
    <s v="CUST-193"/>
    <x v="17"/>
    <x v="0"/>
    <x v="4"/>
    <x v="3"/>
    <x v="6"/>
    <s v="$26.59"/>
    <s v="Monday"/>
    <x v="7"/>
    <x v="0"/>
    <b v="0"/>
    <b v="0"/>
    <s v="Standard order"/>
    <n v="1.3295000000000001"/>
    <x v="6"/>
    <n v="159.54"/>
    <m/>
  </r>
  <r>
    <s v="ORD-3626"/>
    <d v="2024-04-11T00:00:00"/>
    <s v="CUST-162"/>
    <x v="7"/>
    <x v="2"/>
    <x v="0"/>
    <x v="1"/>
    <x v="16"/>
    <s v="$107.34"/>
    <s v="Thursday"/>
    <x v="2"/>
    <x v="0"/>
    <b v="0"/>
    <b v="1"/>
    <s v="Large Order"/>
    <n v="5.3670000000000009"/>
    <x v="15"/>
    <n v="2039.46"/>
    <m/>
  </r>
  <r>
    <s v="ORD-3627"/>
    <d v="2024-04-05T00:00:00"/>
    <s v="CUST-125"/>
    <x v="15"/>
    <x v="2"/>
    <x v="4"/>
    <x v="2"/>
    <x v="14"/>
    <s v="$216.22"/>
    <s v="Friday"/>
    <x v="2"/>
    <x v="0"/>
    <b v="0"/>
    <b v="1"/>
    <s v="Large Order"/>
    <n v="10.811"/>
    <x v="1"/>
    <n v="1945.98"/>
    <m/>
  </r>
  <r>
    <s v="ORD-3628"/>
    <d v="2024-07-28T00:00:00"/>
    <s v="CUST-156"/>
    <x v="2"/>
    <x v="2"/>
    <x v="0"/>
    <x v="2"/>
    <x v="13"/>
    <s v="$88.18"/>
    <s v="Sunday"/>
    <x v="8"/>
    <x v="0"/>
    <b v="1"/>
    <b v="0"/>
    <s v="Standard order"/>
    <n v="4.4090000000000007"/>
    <x v="2"/>
    <n v="264.54000000000002"/>
    <m/>
  </r>
  <r>
    <s v="ORD-3629"/>
    <d v="2024-07-12T00:00:00"/>
    <s v="CUST-115"/>
    <x v="3"/>
    <x v="0"/>
    <x v="3"/>
    <x v="0"/>
    <x v="16"/>
    <s v="$84.57"/>
    <s v="Friday"/>
    <x v="8"/>
    <x v="0"/>
    <b v="0"/>
    <b v="1"/>
    <s v="Large Order"/>
    <n v="4.2284999999999995"/>
    <x v="21"/>
    <n v="1606.83"/>
    <m/>
  </r>
  <r>
    <s v="ORD-3630"/>
    <d v="2024-09-05T00:00:00"/>
    <s v="CUST-186"/>
    <x v="21"/>
    <x v="0"/>
    <x v="0"/>
    <x v="0"/>
    <x v="14"/>
    <s v="$32.94"/>
    <s v="Thursday"/>
    <x v="11"/>
    <x v="0"/>
    <b v="0"/>
    <b v="0"/>
    <s v="Standard order"/>
    <n v="1.647"/>
    <x v="9"/>
    <n v="296.45999999999998"/>
    <m/>
  </r>
  <r>
    <s v="ORD-3631"/>
    <d v="2024-01-04T00:00:00"/>
    <s v="CUST-185"/>
    <x v="9"/>
    <x v="0"/>
    <x v="0"/>
    <x v="2"/>
    <x v="18"/>
    <s v="$101.96"/>
    <s v="Thursday"/>
    <x v="6"/>
    <x v="0"/>
    <b v="0"/>
    <b v="1"/>
    <s v="Large Order"/>
    <n v="5.0979999999999999"/>
    <x v="22"/>
    <n v="1733.32"/>
    <m/>
  </r>
  <r>
    <s v="ORD-3632"/>
    <d v="2024-07-11T00:00:00"/>
    <s v="CUST-177"/>
    <x v="22"/>
    <x v="1"/>
    <x v="2"/>
    <x v="1"/>
    <x v="9"/>
    <s v="$149.27"/>
    <s v="Thursday"/>
    <x v="8"/>
    <x v="0"/>
    <b v="0"/>
    <b v="1"/>
    <s v="Large Order"/>
    <n v="7.4635000000000007"/>
    <x v="5"/>
    <n v="1641.97"/>
    <m/>
  </r>
  <r>
    <s v="ORD-3633"/>
    <d v="2024-06-21T00:00:00"/>
    <s v="CUST-147"/>
    <x v="6"/>
    <x v="1"/>
    <x v="3"/>
    <x v="2"/>
    <x v="5"/>
    <s v="$86.6"/>
    <s v="Friday"/>
    <x v="9"/>
    <x v="0"/>
    <b v="0"/>
    <b v="1"/>
    <s v="Large Order"/>
    <n v="4.33"/>
    <x v="15"/>
    <n v="1039.1999999999998"/>
    <m/>
  </r>
  <r>
    <s v="ORD-3634"/>
    <d v="2024-07-12T00:00:00"/>
    <s v="CUST-178"/>
    <x v="15"/>
    <x v="1"/>
    <x v="3"/>
    <x v="0"/>
    <x v="1"/>
    <s v="$216.22"/>
    <s v="Friday"/>
    <x v="8"/>
    <x v="0"/>
    <b v="0"/>
    <b v="0"/>
    <s v="Standard order"/>
    <n v="10.811"/>
    <x v="16"/>
    <n v="216.22"/>
    <m/>
  </r>
  <r>
    <s v="ORD-3635"/>
    <d v="2024-12-23T00:00:00"/>
    <s v="CUST-151"/>
    <x v="16"/>
    <x v="0"/>
    <x v="0"/>
    <x v="4"/>
    <x v="0"/>
    <s v="$130.07"/>
    <s v="Monday"/>
    <x v="1"/>
    <x v="0"/>
    <b v="0"/>
    <b v="0"/>
    <s v="Large Order"/>
    <n v="6.5034999999999998"/>
    <x v="21"/>
    <n v="520.28"/>
    <m/>
  </r>
  <r>
    <s v="ORD-3636"/>
    <d v="2024-05-23T00:00:00"/>
    <s v="CUST-189"/>
    <x v="21"/>
    <x v="0"/>
    <x v="3"/>
    <x v="1"/>
    <x v="19"/>
    <s v="$32.94"/>
    <s v="Thursday"/>
    <x v="7"/>
    <x v="0"/>
    <b v="0"/>
    <b v="0"/>
    <s v="Large Order"/>
    <n v="1.647"/>
    <x v="17"/>
    <n v="658.8"/>
    <m/>
  </r>
  <r>
    <s v="ORD-3637"/>
    <d v="2024-08-31T00:00:00"/>
    <s v="CUST-165"/>
    <x v="17"/>
    <x v="2"/>
    <x v="4"/>
    <x v="0"/>
    <x v="9"/>
    <s v="$26.59"/>
    <s v="Saturday"/>
    <x v="10"/>
    <x v="0"/>
    <b v="1"/>
    <b v="0"/>
    <s v="Standard order"/>
    <n v="1.3295000000000001"/>
    <x v="16"/>
    <n v="292.49"/>
    <m/>
  </r>
  <r>
    <s v="ORD-3638"/>
    <d v="2024-07-03T00:00:00"/>
    <s v="CUST-105"/>
    <x v="16"/>
    <x v="1"/>
    <x v="2"/>
    <x v="2"/>
    <x v="19"/>
    <s v="$130.07"/>
    <s v="Wednesday"/>
    <x v="8"/>
    <x v="0"/>
    <b v="0"/>
    <b v="1"/>
    <s v="Large Order"/>
    <n v="6.5034999999999998"/>
    <x v="7"/>
    <n v="2601.3999999999996"/>
    <m/>
  </r>
  <r>
    <s v="ORD-3639"/>
    <d v="2024-11-09T00:00:00"/>
    <s v="CUST-110"/>
    <x v="8"/>
    <x v="1"/>
    <x v="2"/>
    <x v="0"/>
    <x v="11"/>
    <s v="$208.85"/>
    <s v="Saturday"/>
    <x v="0"/>
    <x v="0"/>
    <b v="1"/>
    <b v="1"/>
    <s v="Large Order"/>
    <n v="10.442500000000001"/>
    <x v="0"/>
    <n v="2715.0499999999997"/>
    <m/>
  </r>
  <r>
    <s v="ORD-3640"/>
    <d v="2024-04-09T00:00:00"/>
    <s v="CUST-191"/>
    <x v="1"/>
    <x v="2"/>
    <x v="1"/>
    <x v="4"/>
    <x v="4"/>
    <s v="$178.83"/>
    <s v="Tuesday"/>
    <x v="2"/>
    <x v="0"/>
    <b v="0"/>
    <b v="0"/>
    <s v="Standard order"/>
    <n v="8.9415000000000013"/>
    <x v="5"/>
    <n v="357.66"/>
    <m/>
  </r>
  <r>
    <s v="ORD-3641"/>
    <d v="2024-02-14T00:00:00"/>
    <s v="CUST-138"/>
    <x v="6"/>
    <x v="2"/>
    <x v="2"/>
    <x v="2"/>
    <x v="12"/>
    <s v="$86.6"/>
    <s v="Wednesday"/>
    <x v="5"/>
    <x v="0"/>
    <b v="0"/>
    <b v="1"/>
    <s v="Large Order"/>
    <n v="4.33"/>
    <x v="23"/>
    <n v="1299"/>
    <m/>
  </r>
  <r>
    <s v="ORD-3642"/>
    <d v="2024-09-03T00:00:00"/>
    <s v="CUST-184"/>
    <x v="23"/>
    <x v="0"/>
    <x v="4"/>
    <x v="2"/>
    <x v="6"/>
    <s v="$133.37"/>
    <s v="Tuesday"/>
    <x v="11"/>
    <x v="0"/>
    <b v="0"/>
    <b v="1"/>
    <s v="Large Order"/>
    <n v="6.6685000000000008"/>
    <x v="8"/>
    <n v="800.22"/>
    <m/>
  </r>
  <r>
    <s v="ORD-3643"/>
    <d v="2024-12-03T00:00:00"/>
    <s v="CUST-189"/>
    <x v="0"/>
    <x v="0"/>
    <x v="2"/>
    <x v="0"/>
    <x v="6"/>
    <s v="$146.06"/>
    <s v="Tuesday"/>
    <x v="1"/>
    <x v="0"/>
    <b v="0"/>
    <b v="1"/>
    <s v="Large Order"/>
    <n v="7.3030000000000008"/>
    <x v="21"/>
    <n v="876.36"/>
    <m/>
  </r>
  <r>
    <s v="ORD-3644"/>
    <d v="2024-06-16T00:00:00"/>
    <s v="CUST-149"/>
    <x v="21"/>
    <x v="1"/>
    <x v="4"/>
    <x v="3"/>
    <x v="17"/>
    <s v="$32.94"/>
    <s v="Sunday"/>
    <x v="9"/>
    <x v="0"/>
    <b v="1"/>
    <b v="0"/>
    <s v="Large Order"/>
    <n v="1.647"/>
    <x v="5"/>
    <n v="527.04"/>
    <m/>
  </r>
  <r>
    <s v="ORD-3645"/>
    <d v="2024-12-09T00:00:00"/>
    <s v="CUST-115"/>
    <x v="6"/>
    <x v="0"/>
    <x v="1"/>
    <x v="1"/>
    <x v="13"/>
    <s v="$86.6"/>
    <s v="Monday"/>
    <x v="1"/>
    <x v="0"/>
    <b v="0"/>
    <b v="0"/>
    <s v="Standard order"/>
    <n v="4.33"/>
    <x v="9"/>
    <n v="259.79999999999995"/>
    <m/>
  </r>
  <r>
    <s v="ORD-3646"/>
    <d v="2024-06-19T00:00:00"/>
    <s v="CUST-128"/>
    <x v="9"/>
    <x v="2"/>
    <x v="0"/>
    <x v="3"/>
    <x v="11"/>
    <s v="$101.96"/>
    <s v="Wednesday"/>
    <x v="9"/>
    <x v="0"/>
    <b v="0"/>
    <b v="1"/>
    <s v="Large Order"/>
    <n v="5.0979999999999999"/>
    <x v="1"/>
    <n v="1325.48"/>
    <m/>
  </r>
  <r>
    <s v="ORD-3647"/>
    <d v="2024-07-14T00:00:00"/>
    <s v="CUST-183"/>
    <x v="2"/>
    <x v="2"/>
    <x v="2"/>
    <x v="2"/>
    <x v="7"/>
    <s v="$88.18"/>
    <s v="Sunday"/>
    <x v="8"/>
    <x v="0"/>
    <b v="1"/>
    <b v="0"/>
    <s v="Large Order"/>
    <n v="4.4090000000000007"/>
    <x v="19"/>
    <n v="705.44"/>
    <m/>
  </r>
  <r>
    <s v="ORD-3648"/>
    <d v="2024-05-28T00:00:00"/>
    <s v="CUST-111"/>
    <x v="19"/>
    <x v="0"/>
    <x v="3"/>
    <x v="4"/>
    <x v="10"/>
    <s v="$145.48"/>
    <s v="Tuesday"/>
    <x v="7"/>
    <x v="0"/>
    <b v="0"/>
    <b v="1"/>
    <s v="Large Order"/>
    <n v="7.274"/>
    <x v="7"/>
    <n v="1018.3599999999999"/>
    <m/>
  </r>
  <r>
    <s v="ORD-3649"/>
    <d v="2024-02-29T00:00:00"/>
    <s v="CUST-173"/>
    <x v="8"/>
    <x v="0"/>
    <x v="3"/>
    <x v="1"/>
    <x v="16"/>
    <s v="$208.85"/>
    <s v="Thursday"/>
    <x v="5"/>
    <x v="0"/>
    <b v="0"/>
    <b v="1"/>
    <s v="Large Order"/>
    <n v="10.442500000000001"/>
    <x v="9"/>
    <n v="3968.15"/>
    <m/>
  </r>
  <r>
    <s v="ORD-3650"/>
    <d v="2024-06-08T00:00:00"/>
    <s v="CUST-107"/>
    <x v="9"/>
    <x v="2"/>
    <x v="4"/>
    <x v="1"/>
    <x v="3"/>
    <s v="$101.96"/>
    <s v="Saturday"/>
    <x v="9"/>
    <x v="0"/>
    <b v="1"/>
    <b v="1"/>
    <s v="Large Order"/>
    <n v="5.0979999999999999"/>
    <x v="0"/>
    <n v="1427.4399999999998"/>
    <m/>
  </r>
  <r>
    <s v="ORD-3651"/>
    <d v="2024-07-05T00:00:00"/>
    <s v="CUST-186"/>
    <x v="1"/>
    <x v="2"/>
    <x v="1"/>
    <x v="4"/>
    <x v="7"/>
    <s v="$178.83"/>
    <s v="Friday"/>
    <x v="8"/>
    <x v="0"/>
    <b v="0"/>
    <b v="1"/>
    <s v="Large Order"/>
    <n v="8.9415000000000013"/>
    <x v="12"/>
    <n v="1430.64"/>
    <m/>
  </r>
  <r>
    <s v="ORD-3652"/>
    <d v="2024-01-05T00:00:00"/>
    <s v="CUST-168"/>
    <x v="12"/>
    <x v="1"/>
    <x v="4"/>
    <x v="3"/>
    <x v="7"/>
    <s v="$211.9"/>
    <s v="Friday"/>
    <x v="6"/>
    <x v="0"/>
    <b v="0"/>
    <b v="1"/>
    <s v="Large Order"/>
    <n v="10.595000000000001"/>
    <x v="20"/>
    <n v="1695.2"/>
    <m/>
  </r>
  <r>
    <s v="ORD-3653"/>
    <d v="2024-08-21T00:00:00"/>
    <s v="CUST-118"/>
    <x v="20"/>
    <x v="1"/>
    <x v="4"/>
    <x v="0"/>
    <x v="19"/>
    <s v="$81.02"/>
    <s v="Wednesday"/>
    <x v="10"/>
    <x v="0"/>
    <b v="0"/>
    <b v="1"/>
    <s v="Large Order"/>
    <n v="4.0510000000000002"/>
    <x v="19"/>
    <n v="1620.3999999999999"/>
    <m/>
  </r>
  <r>
    <s v="ORD-3654"/>
    <d v="2024-09-14T00:00:00"/>
    <s v="CUST-188"/>
    <x v="19"/>
    <x v="1"/>
    <x v="1"/>
    <x v="1"/>
    <x v="10"/>
    <s v="$145.48"/>
    <s v="Saturday"/>
    <x v="11"/>
    <x v="0"/>
    <b v="1"/>
    <b v="1"/>
    <s v="Large Order"/>
    <n v="7.274"/>
    <x v="15"/>
    <n v="1018.3599999999999"/>
    <m/>
  </r>
  <r>
    <s v="ORD-3655"/>
    <d v="2024-12-26T00:00:00"/>
    <s v="CUST-148"/>
    <x v="15"/>
    <x v="1"/>
    <x v="4"/>
    <x v="2"/>
    <x v="7"/>
    <s v="$216.22"/>
    <s v="Thursday"/>
    <x v="1"/>
    <x v="0"/>
    <b v="0"/>
    <b v="1"/>
    <s v="Large Order"/>
    <n v="10.811"/>
    <x v="6"/>
    <n v="1729.76"/>
    <m/>
  </r>
  <r>
    <s v="ORD-3656"/>
    <d v="2024-01-27T00:00:00"/>
    <s v="CUST-199"/>
    <x v="7"/>
    <x v="1"/>
    <x v="2"/>
    <x v="3"/>
    <x v="6"/>
    <s v="$107.34"/>
    <s v="Saturday"/>
    <x v="6"/>
    <x v="0"/>
    <b v="1"/>
    <b v="0"/>
    <s v="Large Order"/>
    <n v="5.3670000000000009"/>
    <x v="13"/>
    <n v="644.04"/>
    <m/>
  </r>
  <r>
    <s v="ORD-3657"/>
    <d v="2024-10-07T00:00:00"/>
    <s v="CUST-150"/>
    <x v="13"/>
    <x v="1"/>
    <x v="2"/>
    <x v="3"/>
    <x v="11"/>
    <s v="$156.44"/>
    <s v="Monday"/>
    <x v="3"/>
    <x v="0"/>
    <b v="0"/>
    <b v="1"/>
    <s v="Large Order"/>
    <n v="7.8220000000000001"/>
    <x v="14"/>
    <n v="2033.72"/>
    <m/>
  </r>
  <r>
    <s v="ORD-3658"/>
    <d v="2024-09-27T00:00:00"/>
    <s v="CUST-193"/>
    <x v="14"/>
    <x v="1"/>
    <x v="4"/>
    <x v="4"/>
    <x v="11"/>
    <s v="$201.32"/>
    <s v="Friday"/>
    <x v="11"/>
    <x v="0"/>
    <b v="0"/>
    <b v="1"/>
    <s v="Large Order"/>
    <n v="10.066000000000001"/>
    <x v="9"/>
    <n v="2617.16"/>
    <m/>
  </r>
  <r>
    <s v="ORD-3659"/>
    <d v="2024-06-14T00:00:00"/>
    <s v="CUST-196"/>
    <x v="9"/>
    <x v="0"/>
    <x v="3"/>
    <x v="1"/>
    <x v="6"/>
    <s v="$101.96"/>
    <s v="Friday"/>
    <x v="9"/>
    <x v="0"/>
    <b v="0"/>
    <b v="0"/>
    <s v="Large Order"/>
    <n v="5.0979999999999999"/>
    <x v="4"/>
    <n v="611.76"/>
    <m/>
  </r>
  <r>
    <s v="ORD-3660"/>
    <d v="2024-08-14T00:00:00"/>
    <s v="CUST-189"/>
    <x v="5"/>
    <x v="1"/>
    <x v="4"/>
    <x v="2"/>
    <x v="10"/>
    <s v="$64.61"/>
    <s v="Wednesday"/>
    <x v="10"/>
    <x v="0"/>
    <b v="0"/>
    <b v="0"/>
    <s v="Standard order"/>
    <n v="3.2305000000000001"/>
    <x v="1"/>
    <n v="452.27"/>
    <m/>
  </r>
  <r>
    <s v="ORD-3661"/>
    <d v="2024-04-10T00:00:00"/>
    <s v="CUST-194"/>
    <x v="2"/>
    <x v="0"/>
    <x v="3"/>
    <x v="4"/>
    <x v="0"/>
    <s v="$88.18"/>
    <s v="Wednesday"/>
    <x v="2"/>
    <x v="0"/>
    <b v="0"/>
    <b v="0"/>
    <s v="Standard order"/>
    <n v="4.4090000000000007"/>
    <x v="17"/>
    <n v="352.72"/>
    <m/>
  </r>
  <r>
    <s v="ORD-3662"/>
    <d v="2024-03-16T00:00:00"/>
    <s v="CUST-148"/>
    <x v="17"/>
    <x v="2"/>
    <x v="4"/>
    <x v="0"/>
    <x v="0"/>
    <s v="$26.59"/>
    <s v="Saturday"/>
    <x v="4"/>
    <x v="0"/>
    <b v="1"/>
    <b v="0"/>
    <s v="Standard order"/>
    <n v="1.3295000000000001"/>
    <x v="15"/>
    <n v="106.36"/>
    <m/>
  </r>
  <r>
    <s v="ORD-3663"/>
    <d v="2024-08-30T00:00:00"/>
    <s v="CUST-122"/>
    <x v="15"/>
    <x v="0"/>
    <x v="1"/>
    <x v="3"/>
    <x v="16"/>
    <s v="$216.22"/>
    <s v="Friday"/>
    <x v="10"/>
    <x v="0"/>
    <b v="0"/>
    <b v="1"/>
    <s v="Large Order"/>
    <n v="10.811"/>
    <x v="16"/>
    <n v="4108.18"/>
    <m/>
  </r>
  <r>
    <s v="ORD-3664"/>
    <d v="2024-03-17T00:00:00"/>
    <s v="CUST-180"/>
    <x v="16"/>
    <x v="1"/>
    <x v="4"/>
    <x v="0"/>
    <x v="0"/>
    <s v="$130.07"/>
    <s v="Sunday"/>
    <x v="4"/>
    <x v="0"/>
    <b v="1"/>
    <b v="0"/>
    <s v="Large Order"/>
    <n v="6.5034999999999998"/>
    <x v="10"/>
    <n v="520.28"/>
    <m/>
  </r>
  <r>
    <s v="ORD-3665"/>
    <d v="2024-09-07T00:00:00"/>
    <s v="CUST-138"/>
    <x v="10"/>
    <x v="2"/>
    <x v="4"/>
    <x v="1"/>
    <x v="13"/>
    <s v="$46.19"/>
    <s v="Saturday"/>
    <x v="11"/>
    <x v="0"/>
    <b v="1"/>
    <b v="0"/>
    <s v="Standard order"/>
    <n v="2.3094999999999999"/>
    <x v="2"/>
    <n v="138.57"/>
    <m/>
  </r>
  <r>
    <s v="ORD-3666"/>
    <d v="2024-11-28T00:00:00"/>
    <s v="CUST-148"/>
    <x v="3"/>
    <x v="2"/>
    <x v="2"/>
    <x v="3"/>
    <x v="1"/>
    <s v="$84.57"/>
    <s v="Thursday"/>
    <x v="0"/>
    <x v="0"/>
    <b v="0"/>
    <b v="0"/>
    <s v="Standard order"/>
    <n v="4.2284999999999995"/>
    <x v="4"/>
    <n v="84.57"/>
    <m/>
  </r>
  <r>
    <s v="ORD-3667"/>
    <d v="2024-02-12T00:00:00"/>
    <s v="CUST-115"/>
    <x v="5"/>
    <x v="2"/>
    <x v="1"/>
    <x v="2"/>
    <x v="1"/>
    <s v="$64.61"/>
    <s v="Monday"/>
    <x v="5"/>
    <x v="0"/>
    <b v="0"/>
    <b v="0"/>
    <s v="Standard order"/>
    <n v="3.2305000000000001"/>
    <x v="2"/>
    <n v="64.61"/>
    <m/>
  </r>
  <r>
    <s v="ORD-3668"/>
    <d v="2024-10-20T00:00:00"/>
    <s v="CUST-161"/>
    <x v="3"/>
    <x v="2"/>
    <x v="0"/>
    <x v="4"/>
    <x v="6"/>
    <s v="$84.57"/>
    <s v="Sunday"/>
    <x v="3"/>
    <x v="0"/>
    <b v="1"/>
    <b v="0"/>
    <s v="Large Order"/>
    <n v="4.2284999999999995"/>
    <x v="17"/>
    <n v="507.41999999999996"/>
    <m/>
  </r>
  <r>
    <s v="ORD-3669"/>
    <d v="2024-11-26T00:00:00"/>
    <s v="CUST-189"/>
    <x v="17"/>
    <x v="1"/>
    <x v="1"/>
    <x v="2"/>
    <x v="0"/>
    <s v="$26.59"/>
    <s v="Tuesday"/>
    <x v="0"/>
    <x v="0"/>
    <b v="0"/>
    <b v="0"/>
    <s v="Standard order"/>
    <n v="1.3295000000000001"/>
    <x v="3"/>
    <n v="106.36"/>
    <m/>
  </r>
  <r>
    <s v="ORD-3670"/>
    <d v="2024-10-02T00:00:00"/>
    <s v="CUST-123"/>
    <x v="4"/>
    <x v="2"/>
    <x v="0"/>
    <x v="1"/>
    <x v="15"/>
    <s v="$230.34"/>
    <s v="Wednesday"/>
    <x v="3"/>
    <x v="0"/>
    <b v="0"/>
    <b v="1"/>
    <s v="Large Order"/>
    <n v="11.517000000000001"/>
    <x v="8"/>
    <n v="4146.12"/>
    <m/>
  </r>
  <r>
    <s v="ORD-3671"/>
    <d v="2024-09-28T00:00:00"/>
    <s v="CUST-162"/>
    <x v="0"/>
    <x v="2"/>
    <x v="1"/>
    <x v="4"/>
    <x v="0"/>
    <s v="$146.06"/>
    <s v="Saturday"/>
    <x v="11"/>
    <x v="0"/>
    <b v="1"/>
    <b v="0"/>
    <s v="Large Order"/>
    <n v="7.3030000000000008"/>
    <x v="19"/>
    <n v="584.24"/>
    <m/>
  </r>
  <r>
    <s v="ORD-3672"/>
    <d v="2024-04-16T00:00:00"/>
    <s v="CUST-184"/>
    <x v="19"/>
    <x v="0"/>
    <x v="1"/>
    <x v="2"/>
    <x v="1"/>
    <s v="$145.48"/>
    <s v="Tuesday"/>
    <x v="2"/>
    <x v="0"/>
    <b v="0"/>
    <b v="0"/>
    <s v="Standard order"/>
    <n v="7.274"/>
    <x v="15"/>
    <n v="145.47999999999999"/>
    <m/>
  </r>
  <r>
    <s v="ORD-3673"/>
    <d v="2024-06-09T00:00:00"/>
    <s v="CUST-115"/>
    <x v="15"/>
    <x v="0"/>
    <x v="1"/>
    <x v="2"/>
    <x v="6"/>
    <s v="$216.22"/>
    <s v="Sunday"/>
    <x v="9"/>
    <x v="0"/>
    <b v="1"/>
    <b v="1"/>
    <s v="Large Order"/>
    <n v="10.811"/>
    <x v="15"/>
    <n v="1297.32"/>
    <m/>
  </r>
  <r>
    <s v="ORD-3674"/>
    <d v="2024-05-11T00:00:00"/>
    <s v="CUST-196"/>
    <x v="15"/>
    <x v="0"/>
    <x v="0"/>
    <x v="4"/>
    <x v="8"/>
    <s v="$216.22"/>
    <s v="Saturday"/>
    <x v="7"/>
    <x v="0"/>
    <b v="1"/>
    <b v="1"/>
    <s v="Large Order"/>
    <n v="10.811"/>
    <x v="17"/>
    <n v="2162.1999999999998"/>
    <m/>
  </r>
  <r>
    <s v="ORD-3675"/>
    <d v="2024-10-05T00:00:00"/>
    <s v="CUST-121"/>
    <x v="17"/>
    <x v="2"/>
    <x v="0"/>
    <x v="2"/>
    <x v="8"/>
    <s v="$26.59"/>
    <s v="Saturday"/>
    <x v="3"/>
    <x v="0"/>
    <b v="1"/>
    <b v="0"/>
    <s v="Standard order"/>
    <n v="1.3295000000000001"/>
    <x v="14"/>
    <n v="265.89999999999998"/>
    <m/>
  </r>
  <r>
    <s v="ORD-3676"/>
    <d v="2024-09-22T00:00:00"/>
    <s v="CUST-200"/>
    <x v="14"/>
    <x v="2"/>
    <x v="1"/>
    <x v="1"/>
    <x v="2"/>
    <s v="$201.32"/>
    <s v="Sunday"/>
    <x v="11"/>
    <x v="0"/>
    <b v="1"/>
    <b v="0"/>
    <s v="Large Order"/>
    <n v="10.066000000000001"/>
    <x v="22"/>
    <n v="1006.5999999999999"/>
    <m/>
  </r>
  <r>
    <s v="ORD-3677"/>
    <d v="2024-12-21T00:00:00"/>
    <s v="CUST-140"/>
    <x v="22"/>
    <x v="1"/>
    <x v="1"/>
    <x v="4"/>
    <x v="18"/>
    <s v="$149.27"/>
    <s v="Saturday"/>
    <x v="1"/>
    <x v="0"/>
    <b v="1"/>
    <b v="1"/>
    <s v="Large Order"/>
    <n v="7.4635000000000007"/>
    <x v="15"/>
    <n v="2537.59"/>
    <m/>
  </r>
  <r>
    <s v="ORD-3678"/>
    <d v="2024-02-20T00:00:00"/>
    <s v="CUST-184"/>
    <x v="15"/>
    <x v="0"/>
    <x v="0"/>
    <x v="2"/>
    <x v="2"/>
    <s v="$216.22"/>
    <s v="Tuesday"/>
    <x v="5"/>
    <x v="0"/>
    <b v="0"/>
    <b v="0"/>
    <s v="Large Order"/>
    <n v="10.811"/>
    <x v="20"/>
    <n v="1081.0999999999999"/>
    <m/>
  </r>
  <r>
    <s v="ORD-3679"/>
    <d v="2024-04-20T00:00:00"/>
    <s v="CUST-117"/>
    <x v="20"/>
    <x v="2"/>
    <x v="4"/>
    <x v="4"/>
    <x v="5"/>
    <s v="$81.02"/>
    <s v="Saturday"/>
    <x v="2"/>
    <x v="0"/>
    <b v="1"/>
    <b v="1"/>
    <s v="Large Order"/>
    <n v="4.0510000000000002"/>
    <x v="8"/>
    <n v="972.24"/>
    <m/>
  </r>
  <r>
    <s v="ORD-3680"/>
    <d v="2024-11-14T00:00:00"/>
    <s v="CUST-154"/>
    <x v="0"/>
    <x v="2"/>
    <x v="3"/>
    <x v="3"/>
    <x v="11"/>
    <s v="$146.06"/>
    <s v="Thursday"/>
    <x v="0"/>
    <x v="0"/>
    <b v="0"/>
    <b v="1"/>
    <s v="Large Order"/>
    <n v="7.3030000000000008"/>
    <x v="12"/>
    <n v="1898.78"/>
    <m/>
  </r>
  <r>
    <s v="ORD-3681"/>
    <d v="2024-03-24T00:00:00"/>
    <s v="CUST-151"/>
    <x v="12"/>
    <x v="0"/>
    <x v="3"/>
    <x v="1"/>
    <x v="2"/>
    <s v="$211.9"/>
    <s v="Sunday"/>
    <x v="4"/>
    <x v="0"/>
    <b v="1"/>
    <b v="0"/>
    <s v="Large Order"/>
    <n v="10.595000000000001"/>
    <x v="16"/>
    <n v="1059.5"/>
    <m/>
  </r>
  <r>
    <s v="ORD-3682"/>
    <d v="2024-02-06T00:00:00"/>
    <s v="CUST-180"/>
    <x v="16"/>
    <x v="1"/>
    <x v="4"/>
    <x v="3"/>
    <x v="16"/>
    <s v="$130.07"/>
    <s v="Tuesday"/>
    <x v="5"/>
    <x v="0"/>
    <b v="0"/>
    <b v="1"/>
    <s v="Large Order"/>
    <n v="6.5034999999999998"/>
    <x v="6"/>
    <n v="2471.33"/>
    <m/>
  </r>
  <r>
    <s v="ORD-3683"/>
    <d v="2024-09-18T00:00:00"/>
    <s v="CUST-177"/>
    <x v="7"/>
    <x v="1"/>
    <x v="4"/>
    <x v="3"/>
    <x v="3"/>
    <s v="$107.34"/>
    <s v="Wednesday"/>
    <x v="11"/>
    <x v="0"/>
    <b v="0"/>
    <b v="1"/>
    <s v="Large Order"/>
    <n v="5.3670000000000009"/>
    <x v="8"/>
    <n v="1502.76"/>
    <m/>
  </r>
  <r>
    <s v="ORD-3684"/>
    <d v="2024-11-05T00:00:00"/>
    <s v="CUST-131"/>
    <x v="0"/>
    <x v="1"/>
    <x v="0"/>
    <x v="4"/>
    <x v="0"/>
    <s v="$146.06"/>
    <s v="Tuesday"/>
    <x v="0"/>
    <x v="0"/>
    <b v="0"/>
    <b v="0"/>
    <s v="Large Order"/>
    <n v="7.3030000000000008"/>
    <x v="13"/>
    <n v="584.24"/>
    <m/>
  </r>
  <r>
    <s v="ORD-3685"/>
    <d v="2024-07-27T00:00:00"/>
    <s v="CUST-108"/>
    <x v="13"/>
    <x v="2"/>
    <x v="0"/>
    <x v="3"/>
    <x v="9"/>
    <s v="$156.44"/>
    <s v="Saturday"/>
    <x v="8"/>
    <x v="0"/>
    <b v="1"/>
    <b v="1"/>
    <s v="Large Order"/>
    <n v="7.8220000000000001"/>
    <x v="2"/>
    <n v="1720.84"/>
    <m/>
  </r>
  <r>
    <s v="ORD-3686"/>
    <d v="2024-03-15T00:00:00"/>
    <s v="CUST-128"/>
    <x v="3"/>
    <x v="0"/>
    <x v="0"/>
    <x v="1"/>
    <x v="7"/>
    <s v="$84.57"/>
    <s v="Friday"/>
    <x v="4"/>
    <x v="0"/>
    <b v="0"/>
    <b v="0"/>
    <s v="Large Order"/>
    <n v="4.2284999999999995"/>
    <x v="19"/>
    <n v="676.56"/>
    <m/>
  </r>
  <r>
    <s v="ORD-3687"/>
    <d v="2024-02-23T00:00:00"/>
    <s v="CUST-200"/>
    <x v="19"/>
    <x v="0"/>
    <x v="1"/>
    <x v="3"/>
    <x v="16"/>
    <s v="$145.48"/>
    <s v="Friday"/>
    <x v="5"/>
    <x v="0"/>
    <b v="0"/>
    <b v="1"/>
    <s v="Large Order"/>
    <n v="7.274"/>
    <x v="22"/>
    <n v="2764.12"/>
    <m/>
  </r>
  <r>
    <s v="ORD-3688"/>
    <d v="2024-09-07T00:00:00"/>
    <s v="CUST-112"/>
    <x v="22"/>
    <x v="1"/>
    <x v="1"/>
    <x v="3"/>
    <x v="15"/>
    <s v="$149.27"/>
    <s v="Saturday"/>
    <x v="11"/>
    <x v="0"/>
    <b v="1"/>
    <b v="1"/>
    <s v="Large Order"/>
    <n v="7.4635000000000007"/>
    <x v="6"/>
    <n v="2686.86"/>
    <m/>
  </r>
  <r>
    <s v="ORD-3689"/>
    <d v="2024-02-20T00:00:00"/>
    <s v="CUST-106"/>
    <x v="7"/>
    <x v="1"/>
    <x v="2"/>
    <x v="2"/>
    <x v="5"/>
    <s v="$107.34"/>
    <s v="Tuesday"/>
    <x v="5"/>
    <x v="0"/>
    <b v="0"/>
    <b v="1"/>
    <s v="Large Order"/>
    <n v="5.3670000000000009"/>
    <x v="23"/>
    <n v="1288.08"/>
    <m/>
  </r>
  <r>
    <s v="ORD-3690"/>
    <d v="2024-12-13T00:00:00"/>
    <s v="CUST-200"/>
    <x v="23"/>
    <x v="2"/>
    <x v="1"/>
    <x v="1"/>
    <x v="17"/>
    <s v="$133.37"/>
    <s v="Friday"/>
    <x v="1"/>
    <x v="0"/>
    <b v="0"/>
    <b v="1"/>
    <s v="Large Order"/>
    <n v="6.6685000000000008"/>
    <x v="5"/>
    <n v="2133.92"/>
    <m/>
  </r>
  <r>
    <s v="ORD-3691"/>
    <d v="2024-05-12T00:00:00"/>
    <s v="CUST-101"/>
    <x v="6"/>
    <x v="2"/>
    <x v="4"/>
    <x v="2"/>
    <x v="2"/>
    <s v="$86.6"/>
    <s v="Sunday"/>
    <x v="7"/>
    <x v="0"/>
    <b v="1"/>
    <b v="0"/>
    <s v="Standard order"/>
    <n v="4.33"/>
    <x v="16"/>
    <n v="433"/>
    <m/>
  </r>
  <r>
    <s v="ORD-3692"/>
    <d v="2024-05-16T00:00:00"/>
    <s v="CUST-106"/>
    <x v="16"/>
    <x v="2"/>
    <x v="3"/>
    <x v="2"/>
    <x v="19"/>
    <s v="$130.07"/>
    <s v="Thursday"/>
    <x v="7"/>
    <x v="0"/>
    <b v="0"/>
    <b v="1"/>
    <s v="Large Order"/>
    <n v="6.5034999999999998"/>
    <x v="12"/>
    <n v="2601.3999999999996"/>
    <m/>
  </r>
  <r>
    <s v="ORD-3693"/>
    <d v="2024-08-22T00:00:00"/>
    <s v="CUST-123"/>
    <x v="12"/>
    <x v="1"/>
    <x v="2"/>
    <x v="4"/>
    <x v="8"/>
    <s v="$211.9"/>
    <s v="Thursday"/>
    <x v="10"/>
    <x v="0"/>
    <b v="0"/>
    <b v="1"/>
    <s v="Large Order"/>
    <n v="10.595000000000001"/>
    <x v="10"/>
    <n v="2119"/>
    <m/>
  </r>
  <r>
    <s v="ORD-3694"/>
    <d v="2024-08-07T00:00:00"/>
    <s v="CUST-166"/>
    <x v="10"/>
    <x v="0"/>
    <x v="3"/>
    <x v="0"/>
    <x v="8"/>
    <s v="$46.19"/>
    <s v="Wednesday"/>
    <x v="10"/>
    <x v="0"/>
    <b v="0"/>
    <b v="0"/>
    <s v="Standard order"/>
    <n v="2.3094999999999999"/>
    <x v="1"/>
    <n v="461.9"/>
    <m/>
  </r>
  <r>
    <s v="ORD-3695"/>
    <d v="2024-06-09T00:00:00"/>
    <s v="CUST-111"/>
    <x v="2"/>
    <x v="0"/>
    <x v="0"/>
    <x v="2"/>
    <x v="13"/>
    <s v="$88.18"/>
    <s v="Sunday"/>
    <x v="9"/>
    <x v="0"/>
    <b v="1"/>
    <b v="0"/>
    <s v="Standard order"/>
    <n v="4.4090000000000007"/>
    <x v="16"/>
    <n v="264.54000000000002"/>
    <m/>
  </r>
  <r>
    <s v="ORD-3696"/>
    <d v="2024-01-30T00:00:00"/>
    <s v="CUST-110"/>
    <x v="16"/>
    <x v="1"/>
    <x v="1"/>
    <x v="1"/>
    <x v="1"/>
    <s v="$130.07"/>
    <s v="Tuesday"/>
    <x v="6"/>
    <x v="0"/>
    <b v="0"/>
    <b v="0"/>
    <s v="Standard order"/>
    <n v="6.5034999999999998"/>
    <x v="22"/>
    <n v="130.07"/>
    <m/>
  </r>
  <r>
    <s v="ORD-3697"/>
    <d v="2024-08-05T00:00:00"/>
    <s v="CUST-186"/>
    <x v="22"/>
    <x v="2"/>
    <x v="4"/>
    <x v="1"/>
    <x v="17"/>
    <s v="$149.27"/>
    <s v="Monday"/>
    <x v="10"/>
    <x v="0"/>
    <b v="0"/>
    <b v="1"/>
    <s v="Large Order"/>
    <n v="7.4635000000000007"/>
    <x v="10"/>
    <n v="2388.3200000000002"/>
    <m/>
  </r>
  <r>
    <s v="ORD-3698"/>
    <d v="2024-12-12T00:00:00"/>
    <s v="CUST-168"/>
    <x v="10"/>
    <x v="0"/>
    <x v="2"/>
    <x v="0"/>
    <x v="19"/>
    <s v="$46.19"/>
    <s v="Thursday"/>
    <x v="1"/>
    <x v="0"/>
    <b v="0"/>
    <b v="1"/>
    <s v="Large Order"/>
    <n v="2.3094999999999999"/>
    <x v="17"/>
    <n v="923.8"/>
    <m/>
  </r>
  <r>
    <s v="ORD-3699"/>
    <d v="2024-01-04T00:00:00"/>
    <s v="CUST-191"/>
    <x v="17"/>
    <x v="2"/>
    <x v="1"/>
    <x v="3"/>
    <x v="7"/>
    <s v="$26.59"/>
    <s v="Thursday"/>
    <x v="6"/>
    <x v="0"/>
    <b v="0"/>
    <b v="0"/>
    <s v="Standard order"/>
    <n v="1.3295000000000001"/>
    <x v="5"/>
    <n v="212.72"/>
    <m/>
  </r>
  <r>
    <s v="ORD-3700"/>
    <d v="2024-12-04T00:00:00"/>
    <s v="CUST-167"/>
    <x v="6"/>
    <x v="2"/>
    <x v="0"/>
    <x v="4"/>
    <x v="12"/>
    <s v="$86.6"/>
    <s v="Wednesday"/>
    <x v="1"/>
    <x v="0"/>
    <b v="0"/>
    <b v="1"/>
    <s v="Large Order"/>
    <n v="4.33"/>
    <x v="22"/>
    <n v="1299"/>
    <m/>
  </r>
  <r>
    <s v="ORD-3701"/>
    <d v="2024-12-11T00:00:00"/>
    <s v="CUST-197"/>
    <x v="22"/>
    <x v="0"/>
    <x v="4"/>
    <x v="0"/>
    <x v="5"/>
    <s v="$149.27"/>
    <s v="Wednesday"/>
    <x v="1"/>
    <x v="0"/>
    <b v="0"/>
    <b v="1"/>
    <s v="Large Order"/>
    <n v="7.4635000000000007"/>
    <x v="15"/>
    <n v="1791.2400000000002"/>
    <m/>
  </r>
  <r>
    <s v="ORD-3702"/>
    <d v="2024-09-20T00:00:00"/>
    <s v="CUST-145"/>
    <x v="15"/>
    <x v="1"/>
    <x v="2"/>
    <x v="1"/>
    <x v="6"/>
    <s v="$216.22"/>
    <s v="Friday"/>
    <x v="11"/>
    <x v="0"/>
    <b v="0"/>
    <b v="1"/>
    <s v="Large Order"/>
    <n v="10.811"/>
    <x v="5"/>
    <n v="1297.32"/>
    <m/>
  </r>
  <r>
    <s v="ORD-3703"/>
    <d v="2024-02-27T00:00:00"/>
    <s v="CUST-143"/>
    <x v="6"/>
    <x v="0"/>
    <x v="1"/>
    <x v="0"/>
    <x v="8"/>
    <s v="$86.6"/>
    <s v="Tuesday"/>
    <x v="5"/>
    <x v="0"/>
    <b v="0"/>
    <b v="1"/>
    <s v="Large Order"/>
    <n v="4.33"/>
    <x v="11"/>
    <n v="866"/>
    <m/>
  </r>
  <r>
    <s v="ORD-3704"/>
    <d v="2024-05-30T00:00:00"/>
    <s v="CUST-133"/>
    <x v="11"/>
    <x v="0"/>
    <x v="1"/>
    <x v="1"/>
    <x v="10"/>
    <s v="$33.22"/>
    <s v="Thursday"/>
    <x v="7"/>
    <x v="0"/>
    <b v="0"/>
    <b v="0"/>
    <s v="Standard order"/>
    <n v="1.661"/>
    <x v="15"/>
    <n v="232.54"/>
    <m/>
  </r>
  <r>
    <s v="ORD-3705"/>
    <d v="2024-11-25T00:00:00"/>
    <s v="CUST-165"/>
    <x v="15"/>
    <x v="1"/>
    <x v="1"/>
    <x v="1"/>
    <x v="4"/>
    <s v="$216.22"/>
    <s v="Monday"/>
    <x v="0"/>
    <x v="0"/>
    <b v="0"/>
    <b v="0"/>
    <s v="Standard order"/>
    <n v="10.811"/>
    <x v="13"/>
    <n v="432.44"/>
    <m/>
  </r>
  <r>
    <s v="ORD-3706"/>
    <d v="2024-11-11T00:00:00"/>
    <s v="CUST-158"/>
    <x v="13"/>
    <x v="1"/>
    <x v="3"/>
    <x v="0"/>
    <x v="1"/>
    <s v="$156.44"/>
    <s v="Monday"/>
    <x v="0"/>
    <x v="0"/>
    <b v="0"/>
    <b v="0"/>
    <s v="Standard order"/>
    <n v="7.8220000000000001"/>
    <x v="7"/>
    <n v="156.44"/>
    <m/>
  </r>
  <r>
    <s v="ORD-3707"/>
    <d v="2024-04-05T00:00:00"/>
    <s v="CUST-151"/>
    <x v="8"/>
    <x v="0"/>
    <x v="0"/>
    <x v="1"/>
    <x v="17"/>
    <s v="$208.85"/>
    <s v="Friday"/>
    <x v="2"/>
    <x v="0"/>
    <b v="0"/>
    <b v="1"/>
    <s v="Large Order"/>
    <n v="10.442500000000001"/>
    <x v="0"/>
    <n v="3341.6"/>
    <m/>
  </r>
  <r>
    <s v="ORD-3708"/>
    <d v="2024-09-27T00:00:00"/>
    <s v="CUST-165"/>
    <x v="1"/>
    <x v="1"/>
    <x v="0"/>
    <x v="1"/>
    <x v="1"/>
    <s v="$178.83"/>
    <s v="Friday"/>
    <x v="11"/>
    <x v="0"/>
    <b v="0"/>
    <b v="0"/>
    <s v="Standard order"/>
    <n v="8.9415000000000013"/>
    <x v="24"/>
    <n v="178.83"/>
    <m/>
  </r>
  <r>
    <s v="ORD-3709"/>
    <d v="2024-12-02T00:00:00"/>
    <s v="CUST-132"/>
    <x v="24"/>
    <x v="1"/>
    <x v="2"/>
    <x v="3"/>
    <x v="8"/>
    <s v="$10.11"/>
    <s v="Monday"/>
    <x v="1"/>
    <x v="0"/>
    <b v="0"/>
    <b v="0"/>
    <s v="Standard order"/>
    <n v="0.50549999999999995"/>
    <x v="2"/>
    <n v="101.1"/>
    <m/>
  </r>
  <r>
    <s v="ORD-3710"/>
    <d v="2024-04-03T00:00:00"/>
    <s v="CUST-168"/>
    <x v="3"/>
    <x v="0"/>
    <x v="2"/>
    <x v="1"/>
    <x v="6"/>
    <s v="$84.57"/>
    <s v="Wednesday"/>
    <x v="2"/>
    <x v="0"/>
    <b v="0"/>
    <b v="0"/>
    <s v="Large Order"/>
    <n v="4.2284999999999995"/>
    <x v="7"/>
    <n v="507.41999999999996"/>
    <m/>
  </r>
  <r>
    <s v="ORD-3711"/>
    <d v="2024-08-10T00:00:00"/>
    <s v="CUST-100"/>
    <x v="8"/>
    <x v="2"/>
    <x v="4"/>
    <x v="0"/>
    <x v="10"/>
    <s v="$208.85"/>
    <s v="Saturday"/>
    <x v="10"/>
    <x v="0"/>
    <b v="1"/>
    <b v="1"/>
    <s v="Large Order"/>
    <n v="10.442500000000001"/>
    <x v="17"/>
    <n v="1461.95"/>
    <m/>
  </r>
  <r>
    <s v="ORD-3712"/>
    <d v="2024-03-09T00:00:00"/>
    <s v="CUST-150"/>
    <x v="17"/>
    <x v="2"/>
    <x v="3"/>
    <x v="0"/>
    <x v="6"/>
    <s v="$26.59"/>
    <s v="Saturday"/>
    <x v="4"/>
    <x v="0"/>
    <b v="1"/>
    <b v="0"/>
    <s v="Standard order"/>
    <n v="1.3295000000000001"/>
    <x v="2"/>
    <n v="159.54"/>
    <m/>
  </r>
  <r>
    <s v="ORD-3713"/>
    <d v="2024-09-02T00:00:00"/>
    <s v="CUST-185"/>
    <x v="3"/>
    <x v="0"/>
    <x v="2"/>
    <x v="1"/>
    <x v="15"/>
    <s v="$84.57"/>
    <s v="Monday"/>
    <x v="11"/>
    <x v="0"/>
    <b v="0"/>
    <b v="1"/>
    <s v="Large Order"/>
    <n v="4.2284999999999995"/>
    <x v="0"/>
    <n v="1522.2599999999998"/>
    <m/>
  </r>
  <r>
    <s v="ORD-3714"/>
    <d v="2024-12-15T00:00:00"/>
    <s v="CUST-191"/>
    <x v="1"/>
    <x v="1"/>
    <x v="2"/>
    <x v="4"/>
    <x v="11"/>
    <s v="$178.83"/>
    <s v="Sunday"/>
    <x v="1"/>
    <x v="0"/>
    <b v="1"/>
    <b v="1"/>
    <s v="Large Order"/>
    <n v="8.9415000000000013"/>
    <x v="0"/>
    <n v="2324.79"/>
    <m/>
  </r>
  <r>
    <s v="ORD-3715"/>
    <d v="2024-02-25T00:00:00"/>
    <s v="CUST-102"/>
    <x v="1"/>
    <x v="0"/>
    <x v="3"/>
    <x v="4"/>
    <x v="1"/>
    <s v="$178.83"/>
    <s v="Sunday"/>
    <x v="5"/>
    <x v="0"/>
    <b v="1"/>
    <b v="0"/>
    <s v="Standard order"/>
    <n v="8.9415000000000013"/>
    <x v="5"/>
    <n v="178.83"/>
    <m/>
  </r>
  <r>
    <s v="ORD-3716"/>
    <d v="2024-05-01T00:00:00"/>
    <s v="CUST-106"/>
    <x v="6"/>
    <x v="1"/>
    <x v="2"/>
    <x v="4"/>
    <x v="1"/>
    <s v="$86.6"/>
    <s v="Wednesday"/>
    <x v="7"/>
    <x v="0"/>
    <b v="0"/>
    <b v="0"/>
    <s v="Standard order"/>
    <n v="4.33"/>
    <x v="4"/>
    <n v="86.6"/>
    <m/>
  </r>
  <r>
    <s v="ORD-3717"/>
    <d v="2024-05-28T00:00:00"/>
    <s v="CUST-136"/>
    <x v="5"/>
    <x v="0"/>
    <x v="2"/>
    <x v="2"/>
    <x v="19"/>
    <s v="$64.61"/>
    <s v="Tuesday"/>
    <x v="7"/>
    <x v="0"/>
    <b v="0"/>
    <b v="1"/>
    <s v="Large Order"/>
    <n v="3.2305000000000001"/>
    <x v="24"/>
    <n v="1292.2"/>
    <m/>
  </r>
  <r>
    <s v="ORD-3718"/>
    <d v="2024-09-18T00:00:00"/>
    <s v="CUST-123"/>
    <x v="24"/>
    <x v="1"/>
    <x v="0"/>
    <x v="3"/>
    <x v="7"/>
    <s v="$10.11"/>
    <s v="Wednesday"/>
    <x v="11"/>
    <x v="0"/>
    <b v="0"/>
    <b v="0"/>
    <s v="Standard order"/>
    <n v="0.50549999999999995"/>
    <x v="4"/>
    <n v="80.88"/>
    <m/>
  </r>
  <r>
    <s v="ORD-3719"/>
    <d v="2024-08-07T00:00:00"/>
    <s v="CUST-125"/>
    <x v="5"/>
    <x v="2"/>
    <x v="0"/>
    <x v="4"/>
    <x v="19"/>
    <s v="$64.61"/>
    <s v="Wednesday"/>
    <x v="10"/>
    <x v="0"/>
    <b v="0"/>
    <b v="1"/>
    <s v="Large Order"/>
    <n v="3.2305000000000001"/>
    <x v="1"/>
    <n v="1292.2"/>
    <m/>
  </r>
  <r>
    <s v="ORD-3720"/>
    <d v="2024-10-29T00:00:00"/>
    <s v="CUST-180"/>
    <x v="2"/>
    <x v="0"/>
    <x v="4"/>
    <x v="0"/>
    <x v="2"/>
    <s v="$88.18"/>
    <s v="Tuesday"/>
    <x v="3"/>
    <x v="0"/>
    <b v="0"/>
    <b v="0"/>
    <s v="Standard order"/>
    <n v="4.4090000000000007"/>
    <x v="0"/>
    <n v="440.90000000000003"/>
    <m/>
  </r>
  <r>
    <s v="ORD-3721"/>
    <d v="2024-05-20T00:00:00"/>
    <s v="CUST-124"/>
    <x v="1"/>
    <x v="1"/>
    <x v="0"/>
    <x v="4"/>
    <x v="10"/>
    <s v="$178.83"/>
    <s v="Monday"/>
    <x v="7"/>
    <x v="0"/>
    <b v="0"/>
    <b v="1"/>
    <s v="Large Order"/>
    <n v="8.9415000000000013"/>
    <x v="17"/>
    <n v="1251.8100000000002"/>
    <m/>
  </r>
  <r>
    <s v="ORD-3722"/>
    <d v="2024-01-27T00:00:00"/>
    <s v="CUST-148"/>
    <x v="17"/>
    <x v="2"/>
    <x v="3"/>
    <x v="2"/>
    <x v="7"/>
    <s v="$26.59"/>
    <s v="Saturday"/>
    <x v="6"/>
    <x v="0"/>
    <b v="1"/>
    <b v="0"/>
    <s v="Standard order"/>
    <n v="1.3295000000000001"/>
    <x v="22"/>
    <n v="212.72"/>
    <m/>
  </r>
  <r>
    <s v="ORD-3723"/>
    <d v="2024-09-02T00:00:00"/>
    <s v="CUST-107"/>
    <x v="22"/>
    <x v="1"/>
    <x v="0"/>
    <x v="3"/>
    <x v="0"/>
    <s v="$149.27"/>
    <s v="Monday"/>
    <x v="11"/>
    <x v="0"/>
    <b v="0"/>
    <b v="0"/>
    <s v="Large Order"/>
    <n v="7.4635000000000007"/>
    <x v="10"/>
    <n v="597.08000000000004"/>
    <m/>
  </r>
  <r>
    <s v="ORD-3724"/>
    <d v="2024-05-23T00:00:00"/>
    <s v="CUST-144"/>
    <x v="10"/>
    <x v="1"/>
    <x v="4"/>
    <x v="3"/>
    <x v="4"/>
    <s v="$46.19"/>
    <s v="Thursday"/>
    <x v="7"/>
    <x v="0"/>
    <b v="0"/>
    <b v="0"/>
    <s v="Standard order"/>
    <n v="2.3094999999999999"/>
    <x v="5"/>
    <n v="92.38"/>
    <m/>
  </r>
  <r>
    <s v="ORD-3725"/>
    <d v="2024-01-01T00:00:00"/>
    <s v="CUST-106"/>
    <x v="6"/>
    <x v="2"/>
    <x v="3"/>
    <x v="2"/>
    <x v="8"/>
    <s v="$86.6"/>
    <s v="Monday"/>
    <x v="6"/>
    <x v="0"/>
    <b v="0"/>
    <b v="1"/>
    <s v="Large Order"/>
    <n v="4.33"/>
    <x v="17"/>
    <n v="866"/>
    <m/>
  </r>
  <r>
    <s v="ORD-3726"/>
    <d v="2024-11-06T00:00:00"/>
    <s v="CUST-112"/>
    <x v="17"/>
    <x v="0"/>
    <x v="3"/>
    <x v="1"/>
    <x v="5"/>
    <s v="$26.59"/>
    <s v="Wednesday"/>
    <x v="0"/>
    <x v="0"/>
    <b v="0"/>
    <b v="0"/>
    <s v="Standard order"/>
    <n v="1.3295000000000001"/>
    <x v="5"/>
    <n v="319.08"/>
    <m/>
  </r>
  <r>
    <s v="ORD-3727"/>
    <d v="2024-02-27T00:00:00"/>
    <s v="CUST-112"/>
    <x v="6"/>
    <x v="0"/>
    <x v="1"/>
    <x v="2"/>
    <x v="9"/>
    <s v="$86.6"/>
    <s v="Tuesday"/>
    <x v="5"/>
    <x v="0"/>
    <b v="0"/>
    <b v="1"/>
    <s v="Large Order"/>
    <n v="4.33"/>
    <x v="21"/>
    <n v="952.59999999999991"/>
    <m/>
  </r>
  <r>
    <s v="ORD-3728"/>
    <d v="2024-07-04T00:00:00"/>
    <s v="CUST-195"/>
    <x v="21"/>
    <x v="2"/>
    <x v="1"/>
    <x v="4"/>
    <x v="5"/>
    <s v="$32.94"/>
    <s v="Thursday"/>
    <x v="8"/>
    <x v="0"/>
    <b v="0"/>
    <b v="0"/>
    <s v="Standard order"/>
    <n v="1.647"/>
    <x v="9"/>
    <n v="395.28"/>
    <m/>
  </r>
  <r>
    <s v="ORD-3729"/>
    <d v="2024-05-21T00:00:00"/>
    <s v="CUST-126"/>
    <x v="9"/>
    <x v="1"/>
    <x v="0"/>
    <x v="0"/>
    <x v="2"/>
    <s v="$101.96"/>
    <s v="Tuesday"/>
    <x v="7"/>
    <x v="0"/>
    <b v="0"/>
    <b v="0"/>
    <s v="Large Order"/>
    <n v="5.0979999999999999"/>
    <x v="15"/>
    <n v="509.79999999999995"/>
    <m/>
  </r>
  <r>
    <s v="ORD-3730"/>
    <d v="2024-11-04T00:00:00"/>
    <s v="CUST-115"/>
    <x v="15"/>
    <x v="2"/>
    <x v="4"/>
    <x v="2"/>
    <x v="12"/>
    <s v="$216.22"/>
    <s v="Monday"/>
    <x v="0"/>
    <x v="0"/>
    <b v="0"/>
    <b v="1"/>
    <s v="Large Order"/>
    <n v="10.811"/>
    <x v="20"/>
    <n v="3243.3"/>
    <m/>
  </r>
  <r>
    <s v="ORD-3731"/>
    <d v="2024-02-08T00:00:00"/>
    <s v="CUST-169"/>
    <x v="20"/>
    <x v="1"/>
    <x v="3"/>
    <x v="1"/>
    <x v="10"/>
    <s v="$81.02"/>
    <s v="Thursday"/>
    <x v="5"/>
    <x v="0"/>
    <b v="0"/>
    <b v="0"/>
    <s v="Large Order"/>
    <n v="4.0510000000000002"/>
    <x v="0"/>
    <n v="567.14"/>
    <m/>
  </r>
  <r>
    <s v="ORD-3732"/>
    <d v="2024-03-19T00:00:00"/>
    <s v="CUST-105"/>
    <x v="1"/>
    <x v="0"/>
    <x v="2"/>
    <x v="4"/>
    <x v="14"/>
    <s v="$178.83"/>
    <s v="Tuesday"/>
    <x v="4"/>
    <x v="0"/>
    <b v="0"/>
    <b v="1"/>
    <s v="Large Order"/>
    <n v="8.9415000000000013"/>
    <x v="7"/>
    <n v="1609.47"/>
    <m/>
  </r>
  <r>
    <s v="ORD-3733"/>
    <d v="2024-10-13T00:00:00"/>
    <s v="CUST-144"/>
    <x v="8"/>
    <x v="1"/>
    <x v="0"/>
    <x v="1"/>
    <x v="13"/>
    <s v="$208.85"/>
    <s v="Sunday"/>
    <x v="3"/>
    <x v="0"/>
    <b v="1"/>
    <b v="0"/>
    <s v="Large Order"/>
    <n v="10.442500000000001"/>
    <x v="18"/>
    <n v="626.54999999999995"/>
    <m/>
  </r>
  <r>
    <s v="ORD-3734"/>
    <d v="2024-09-25T00:00:00"/>
    <s v="CUST-164"/>
    <x v="18"/>
    <x v="0"/>
    <x v="1"/>
    <x v="3"/>
    <x v="2"/>
    <s v="$230.68"/>
    <s v="Wednesday"/>
    <x v="11"/>
    <x v="0"/>
    <b v="0"/>
    <b v="0"/>
    <s v="Large Order"/>
    <n v="11.534000000000001"/>
    <x v="10"/>
    <n v="1153.4000000000001"/>
    <m/>
  </r>
  <r>
    <s v="ORD-3735"/>
    <d v="2024-10-16T00:00:00"/>
    <s v="CUST-107"/>
    <x v="10"/>
    <x v="0"/>
    <x v="2"/>
    <x v="1"/>
    <x v="15"/>
    <s v="$46.19"/>
    <s v="Wednesday"/>
    <x v="3"/>
    <x v="0"/>
    <b v="0"/>
    <b v="1"/>
    <s v="Large Order"/>
    <n v="2.3094999999999999"/>
    <x v="12"/>
    <n v="831.42"/>
    <m/>
  </r>
  <r>
    <s v="ORD-3736"/>
    <d v="2024-02-08T00:00:00"/>
    <s v="CUST-121"/>
    <x v="12"/>
    <x v="2"/>
    <x v="2"/>
    <x v="4"/>
    <x v="11"/>
    <s v="$211.9"/>
    <s v="Thursday"/>
    <x v="5"/>
    <x v="0"/>
    <b v="0"/>
    <b v="1"/>
    <s v="Large Order"/>
    <n v="10.595000000000001"/>
    <x v="6"/>
    <n v="2754.7000000000003"/>
    <m/>
  </r>
  <r>
    <s v="ORD-3737"/>
    <d v="2024-05-19T00:00:00"/>
    <s v="CUST-126"/>
    <x v="7"/>
    <x v="0"/>
    <x v="4"/>
    <x v="4"/>
    <x v="10"/>
    <s v="$107.34"/>
    <s v="Sunday"/>
    <x v="7"/>
    <x v="0"/>
    <b v="1"/>
    <b v="1"/>
    <s v="Large Order"/>
    <n v="5.3670000000000009"/>
    <x v="12"/>
    <n v="751.38"/>
    <m/>
  </r>
  <r>
    <s v="ORD-3738"/>
    <d v="2024-01-05T00:00:00"/>
    <s v="CUST-165"/>
    <x v="12"/>
    <x v="2"/>
    <x v="1"/>
    <x v="3"/>
    <x v="8"/>
    <s v="$211.9"/>
    <s v="Friday"/>
    <x v="6"/>
    <x v="0"/>
    <b v="0"/>
    <b v="1"/>
    <s v="Large Order"/>
    <n v="10.595000000000001"/>
    <x v="2"/>
    <n v="2119"/>
    <m/>
  </r>
  <r>
    <s v="ORD-3739"/>
    <d v="2024-05-31T00:00:00"/>
    <s v="CUST-190"/>
    <x v="3"/>
    <x v="2"/>
    <x v="0"/>
    <x v="2"/>
    <x v="7"/>
    <s v="$84.57"/>
    <s v="Friday"/>
    <x v="7"/>
    <x v="0"/>
    <b v="0"/>
    <b v="0"/>
    <s v="Large Order"/>
    <n v="4.2284999999999995"/>
    <x v="15"/>
    <n v="676.56"/>
    <m/>
  </r>
  <r>
    <s v="ORD-3740"/>
    <d v="2024-05-01T00:00:00"/>
    <s v="CUST-137"/>
    <x v="15"/>
    <x v="2"/>
    <x v="4"/>
    <x v="3"/>
    <x v="2"/>
    <s v="$216.22"/>
    <s v="Wednesday"/>
    <x v="7"/>
    <x v="0"/>
    <b v="0"/>
    <b v="0"/>
    <s v="Large Order"/>
    <n v="10.811"/>
    <x v="24"/>
    <n v="1081.0999999999999"/>
    <m/>
  </r>
  <r>
    <s v="ORD-3741"/>
    <d v="2024-01-27T00:00:00"/>
    <s v="CUST-182"/>
    <x v="24"/>
    <x v="0"/>
    <x v="1"/>
    <x v="0"/>
    <x v="1"/>
    <s v="$10.11"/>
    <s v="Saturday"/>
    <x v="6"/>
    <x v="0"/>
    <b v="1"/>
    <b v="0"/>
    <s v="Standard order"/>
    <n v="0.50549999999999995"/>
    <x v="7"/>
    <n v="10.11"/>
    <m/>
  </r>
  <r>
    <s v="ORD-3742"/>
    <d v="2024-11-19T00:00:00"/>
    <s v="CUST-177"/>
    <x v="8"/>
    <x v="1"/>
    <x v="0"/>
    <x v="4"/>
    <x v="14"/>
    <s v="$208.85"/>
    <s v="Tuesday"/>
    <x v="0"/>
    <x v="0"/>
    <b v="0"/>
    <b v="1"/>
    <s v="Large Order"/>
    <n v="10.442500000000001"/>
    <x v="14"/>
    <n v="1879.6499999999999"/>
    <m/>
  </r>
  <r>
    <s v="ORD-3743"/>
    <d v="2024-07-28T00:00:00"/>
    <s v="CUST-178"/>
    <x v="14"/>
    <x v="1"/>
    <x v="0"/>
    <x v="0"/>
    <x v="5"/>
    <s v="$201.32"/>
    <s v="Sunday"/>
    <x v="8"/>
    <x v="0"/>
    <b v="1"/>
    <b v="1"/>
    <s v="Large Order"/>
    <n v="10.066000000000001"/>
    <x v="2"/>
    <n v="2415.84"/>
    <m/>
  </r>
  <r>
    <s v="ORD-3744"/>
    <d v="2024-05-23T00:00:00"/>
    <s v="CUST-122"/>
    <x v="3"/>
    <x v="0"/>
    <x v="1"/>
    <x v="4"/>
    <x v="0"/>
    <s v="$84.57"/>
    <s v="Thursday"/>
    <x v="7"/>
    <x v="0"/>
    <b v="0"/>
    <b v="0"/>
    <s v="Standard order"/>
    <n v="4.2284999999999995"/>
    <x v="1"/>
    <n v="338.28"/>
    <m/>
  </r>
  <r>
    <s v="ORD-3745"/>
    <d v="2024-12-18T00:00:00"/>
    <s v="CUST-148"/>
    <x v="2"/>
    <x v="1"/>
    <x v="1"/>
    <x v="4"/>
    <x v="10"/>
    <s v="$88.18"/>
    <s v="Wednesday"/>
    <x v="1"/>
    <x v="0"/>
    <b v="0"/>
    <b v="0"/>
    <s v="Large Order"/>
    <n v="4.4090000000000007"/>
    <x v="2"/>
    <n v="617.26"/>
    <m/>
  </r>
  <r>
    <s v="ORD-3746"/>
    <d v="2024-04-22T00:00:00"/>
    <s v="CUST-141"/>
    <x v="3"/>
    <x v="0"/>
    <x v="1"/>
    <x v="1"/>
    <x v="2"/>
    <s v="$84.57"/>
    <s v="Monday"/>
    <x v="2"/>
    <x v="0"/>
    <b v="0"/>
    <b v="0"/>
    <s v="Standard order"/>
    <n v="4.2284999999999995"/>
    <x v="0"/>
    <n v="422.84999999999997"/>
    <m/>
  </r>
  <r>
    <s v="ORD-3747"/>
    <d v="2024-08-10T00:00:00"/>
    <s v="CUST-147"/>
    <x v="1"/>
    <x v="1"/>
    <x v="0"/>
    <x v="1"/>
    <x v="6"/>
    <s v="$178.83"/>
    <s v="Saturday"/>
    <x v="10"/>
    <x v="0"/>
    <b v="1"/>
    <b v="1"/>
    <s v="Large Order"/>
    <n v="8.9415000000000013"/>
    <x v="9"/>
    <n v="1072.98"/>
    <m/>
  </r>
  <r>
    <s v="ORD-3748"/>
    <d v="2024-03-31T00:00:00"/>
    <s v="CUST-124"/>
    <x v="9"/>
    <x v="1"/>
    <x v="4"/>
    <x v="3"/>
    <x v="1"/>
    <s v="$101.96"/>
    <s v="Sunday"/>
    <x v="4"/>
    <x v="0"/>
    <b v="1"/>
    <b v="0"/>
    <s v="Standard order"/>
    <n v="5.0979999999999999"/>
    <x v="5"/>
    <n v="101.96"/>
    <m/>
  </r>
  <r>
    <s v="ORD-3749"/>
    <d v="2024-03-31T00:00:00"/>
    <s v="CUST-150"/>
    <x v="6"/>
    <x v="2"/>
    <x v="4"/>
    <x v="0"/>
    <x v="2"/>
    <s v="$86.6"/>
    <s v="Sunday"/>
    <x v="4"/>
    <x v="0"/>
    <b v="1"/>
    <b v="0"/>
    <s v="Standard order"/>
    <n v="4.33"/>
    <x v="1"/>
    <n v="433"/>
    <m/>
  </r>
  <r>
    <s v="ORD-3750"/>
    <d v="2024-05-05T00:00:00"/>
    <s v="CUST-158"/>
    <x v="2"/>
    <x v="1"/>
    <x v="0"/>
    <x v="4"/>
    <x v="2"/>
    <s v="$88.18"/>
    <s v="Sunday"/>
    <x v="7"/>
    <x v="0"/>
    <b v="1"/>
    <b v="0"/>
    <s v="Standard order"/>
    <n v="4.4090000000000007"/>
    <x v="19"/>
    <n v="440.90000000000003"/>
    <m/>
  </r>
  <r>
    <s v="ORD-3751"/>
    <d v="2024-01-07T00:00:00"/>
    <s v="CUST-177"/>
    <x v="19"/>
    <x v="1"/>
    <x v="2"/>
    <x v="0"/>
    <x v="0"/>
    <s v="$145.48"/>
    <s v="Sunday"/>
    <x v="6"/>
    <x v="0"/>
    <b v="1"/>
    <b v="0"/>
    <s v="Large Order"/>
    <n v="7.274"/>
    <x v="0"/>
    <n v="581.91999999999996"/>
    <m/>
  </r>
  <r>
    <s v="ORD-3752"/>
    <d v="2024-11-25T00:00:00"/>
    <s v="CUST-105"/>
    <x v="1"/>
    <x v="0"/>
    <x v="0"/>
    <x v="3"/>
    <x v="2"/>
    <s v="$178.83"/>
    <s v="Monday"/>
    <x v="0"/>
    <x v="0"/>
    <b v="0"/>
    <b v="0"/>
    <s v="Large Order"/>
    <n v="8.9415000000000013"/>
    <x v="18"/>
    <n v="894.15000000000009"/>
    <m/>
  </r>
  <r>
    <s v="ORD-3753"/>
    <d v="2024-11-03T00:00:00"/>
    <s v="CUST-101"/>
    <x v="18"/>
    <x v="0"/>
    <x v="1"/>
    <x v="3"/>
    <x v="13"/>
    <s v="$230.68"/>
    <s v="Sunday"/>
    <x v="0"/>
    <x v="0"/>
    <b v="1"/>
    <b v="0"/>
    <s v="Large Order"/>
    <n v="11.534000000000001"/>
    <x v="9"/>
    <n v="692.04"/>
    <m/>
  </r>
  <r>
    <s v="ORD-3754"/>
    <d v="2024-09-02T00:00:00"/>
    <s v="CUST-197"/>
    <x v="9"/>
    <x v="1"/>
    <x v="4"/>
    <x v="3"/>
    <x v="9"/>
    <s v="$101.96"/>
    <s v="Monday"/>
    <x v="11"/>
    <x v="0"/>
    <b v="0"/>
    <b v="1"/>
    <s v="Large Order"/>
    <n v="5.0979999999999999"/>
    <x v="23"/>
    <n v="1121.56"/>
    <m/>
  </r>
  <r>
    <s v="ORD-3755"/>
    <d v="2024-05-04T00:00:00"/>
    <s v="CUST-107"/>
    <x v="23"/>
    <x v="2"/>
    <x v="3"/>
    <x v="4"/>
    <x v="0"/>
    <s v="$133.37"/>
    <s v="Saturday"/>
    <x v="7"/>
    <x v="0"/>
    <b v="1"/>
    <b v="0"/>
    <s v="Large Order"/>
    <n v="6.6685000000000008"/>
    <x v="23"/>
    <n v="533.48"/>
    <m/>
  </r>
  <r>
    <s v="ORD-3756"/>
    <d v="2024-01-23T00:00:00"/>
    <s v="CUST-113"/>
    <x v="23"/>
    <x v="1"/>
    <x v="0"/>
    <x v="4"/>
    <x v="3"/>
    <s v="$133.37"/>
    <s v="Tuesday"/>
    <x v="6"/>
    <x v="0"/>
    <b v="0"/>
    <b v="1"/>
    <s v="Large Order"/>
    <n v="6.6685000000000008"/>
    <x v="24"/>
    <n v="1867.18"/>
    <m/>
  </r>
  <r>
    <s v="ORD-3757"/>
    <d v="2024-04-24T00:00:00"/>
    <s v="CUST-103"/>
    <x v="24"/>
    <x v="1"/>
    <x v="2"/>
    <x v="2"/>
    <x v="5"/>
    <s v="$10.11"/>
    <s v="Wednesday"/>
    <x v="2"/>
    <x v="0"/>
    <b v="0"/>
    <b v="0"/>
    <s v="Standard order"/>
    <n v="0.50549999999999995"/>
    <x v="3"/>
    <n v="121.32"/>
    <m/>
  </r>
  <r>
    <s v="ORD-3758"/>
    <d v="2024-04-25T00:00:00"/>
    <s v="CUST-187"/>
    <x v="4"/>
    <x v="2"/>
    <x v="0"/>
    <x v="1"/>
    <x v="6"/>
    <s v="$230.34"/>
    <s v="Thursday"/>
    <x v="2"/>
    <x v="0"/>
    <b v="0"/>
    <b v="1"/>
    <s v="Large Order"/>
    <n v="11.517000000000001"/>
    <x v="14"/>
    <n v="1382.04"/>
    <m/>
  </r>
  <r>
    <s v="ORD-3759"/>
    <d v="2024-04-24T00:00:00"/>
    <s v="CUST-113"/>
    <x v="14"/>
    <x v="1"/>
    <x v="0"/>
    <x v="4"/>
    <x v="9"/>
    <s v="$201.32"/>
    <s v="Wednesday"/>
    <x v="2"/>
    <x v="0"/>
    <b v="0"/>
    <b v="1"/>
    <s v="Large Order"/>
    <n v="10.066000000000001"/>
    <x v="20"/>
    <n v="2214.52"/>
    <m/>
  </r>
  <r>
    <s v="ORD-3760"/>
    <d v="2024-02-13T00:00:00"/>
    <s v="CUST-105"/>
    <x v="20"/>
    <x v="0"/>
    <x v="4"/>
    <x v="1"/>
    <x v="18"/>
    <s v="$81.02"/>
    <s v="Tuesday"/>
    <x v="5"/>
    <x v="0"/>
    <b v="0"/>
    <b v="1"/>
    <s v="Large Order"/>
    <n v="4.0510000000000002"/>
    <x v="17"/>
    <n v="1377.34"/>
    <m/>
  </r>
  <r>
    <s v="ORD-3761"/>
    <d v="2024-04-02T00:00:00"/>
    <s v="CUST-186"/>
    <x v="17"/>
    <x v="0"/>
    <x v="3"/>
    <x v="4"/>
    <x v="8"/>
    <s v="$26.59"/>
    <s v="Tuesday"/>
    <x v="2"/>
    <x v="0"/>
    <b v="0"/>
    <b v="0"/>
    <s v="Standard order"/>
    <n v="1.3295000000000001"/>
    <x v="4"/>
    <n v="265.89999999999998"/>
    <m/>
  </r>
  <r>
    <s v="ORD-3762"/>
    <d v="2024-02-23T00:00:00"/>
    <s v="CUST-134"/>
    <x v="5"/>
    <x v="2"/>
    <x v="3"/>
    <x v="3"/>
    <x v="13"/>
    <s v="$64.61"/>
    <s v="Friday"/>
    <x v="5"/>
    <x v="0"/>
    <b v="0"/>
    <b v="0"/>
    <s v="Standard order"/>
    <n v="3.2305000000000001"/>
    <x v="1"/>
    <n v="193.82999999999998"/>
    <m/>
  </r>
  <r>
    <s v="ORD-3763"/>
    <d v="2024-03-17T00:00:00"/>
    <s v="CUST-199"/>
    <x v="2"/>
    <x v="0"/>
    <x v="3"/>
    <x v="2"/>
    <x v="11"/>
    <s v="$88.18"/>
    <s v="Sunday"/>
    <x v="4"/>
    <x v="0"/>
    <b v="1"/>
    <b v="1"/>
    <s v="Large Order"/>
    <n v="4.4090000000000007"/>
    <x v="19"/>
    <n v="1146.3400000000001"/>
    <m/>
  </r>
  <r>
    <s v="ORD-3764"/>
    <d v="2024-09-01T00:00:00"/>
    <s v="CUST-108"/>
    <x v="19"/>
    <x v="2"/>
    <x v="2"/>
    <x v="3"/>
    <x v="2"/>
    <s v="$145.48"/>
    <s v="Sunday"/>
    <x v="11"/>
    <x v="0"/>
    <b v="1"/>
    <b v="0"/>
    <s v="Large Order"/>
    <n v="7.274"/>
    <x v="21"/>
    <n v="727.4"/>
    <m/>
  </r>
  <r>
    <s v="ORD-3765"/>
    <d v="2024-03-06T00:00:00"/>
    <s v="CUST-123"/>
    <x v="21"/>
    <x v="1"/>
    <x v="3"/>
    <x v="3"/>
    <x v="17"/>
    <s v="$32.94"/>
    <s v="Wednesday"/>
    <x v="4"/>
    <x v="0"/>
    <b v="0"/>
    <b v="0"/>
    <s v="Large Order"/>
    <n v="1.647"/>
    <x v="20"/>
    <n v="527.04"/>
    <m/>
  </r>
  <r>
    <s v="ORD-3766"/>
    <d v="2024-12-21T00:00:00"/>
    <s v="CUST-152"/>
    <x v="20"/>
    <x v="2"/>
    <x v="3"/>
    <x v="2"/>
    <x v="7"/>
    <s v="$81.02"/>
    <s v="Saturday"/>
    <x v="1"/>
    <x v="0"/>
    <b v="1"/>
    <b v="0"/>
    <s v="Large Order"/>
    <n v="4.0510000000000002"/>
    <x v="23"/>
    <n v="648.16"/>
    <m/>
  </r>
  <r>
    <s v="ORD-3767"/>
    <d v="2024-10-08T00:00:00"/>
    <s v="CUST-163"/>
    <x v="23"/>
    <x v="2"/>
    <x v="2"/>
    <x v="4"/>
    <x v="15"/>
    <s v="$133.37"/>
    <s v="Tuesday"/>
    <x v="3"/>
    <x v="0"/>
    <b v="0"/>
    <b v="1"/>
    <s v="Large Order"/>
    <n v="6.6685000000000008"/>
    <x v="9"/>
    <n v="2400.66"/>
    <m/>
  </r>
  <r>
    <s v="ORD-3768"/>
    <d v="2024-07-15T00:00:00"/>
    <s v="CUST-110"/>
    <x v="9"/>
    <x v="2"/>
    <x v="2"/>
    <x v="4"/>
    <x v="16"/>
    <s v="$101.96"/>
    <s v="Monday"/>
    <x v="8"/>
    <x v="0"/>
    <b v="0"/>
    <b v="1"/>
    <s v="Large Order"/>
    <n v="5.0979999999999999"/>
    <x v="8"/>
    <n v="1937.2399999999998"/>
    <m/>
  </r>
  <r>
    <s v="ORD-3769"/>
    <d v="2024-04-22T00:00:00"/>
    <s v="CUST-189"/>
    <x v="0"/>
    <x v="0"/>
    <x v="3"/>
    <x v="0"/>
    <x v="10"/>
    <s v="$146.06"/>
    <s v="Monday"/>
    <x v="2"/>
    <x v="0"/>
    <b v="0"/>
    <b v="1"/>
    <s v="Large Order"/>
    <n v="7.3030000000000008"/>
    <x v="23"/>
    <n v="1022.4200000000001"/>
    <m/>
  </r>
  <r>
    <s v="ORD-3770"/>
    <d v="2024-01-09T00:00:00"/>
    <s v="CUST-146"/>
    <x v="23"/>
    <x v="1"/>
    <x v="4"/>
    <x v="0"/>
    <x v="4"/>
    <s v="$133.37"/>
    <s v="Tuesday"/>
    <x v="6"/>
    <x v="0"/>
    <b v="0"/>
    <b v="0"/>
    <s v="Standard order"/>
    <n v="6.6685000000000008"/>
    <x v="0"/>
    <n v="266.74"/>
    <m/>
  </r>
  <r>
    <s v="ORD-3771"/>
    <d v="2024-07-03T00:00:00"/>
    <s v="CUST-199"/>
    <x v="1"/>
    <x v="1"/>
    <x v="2"/>
    <x v="2"/>
    <x v="15"/>
    <s v="$178.83"/>
    <s v="Wednesday"/>
    <x v="8"/>
    <x v="0"/>
    <b v="0"/>
    <b v="1"/>
    <s v="Large Order"/>
    <n v="8.9415000000000013"/>
    <x v="11"/>
    <n v="3218.94"/>
    <m/>
  </r>
  <r>
    <s v="ORD-3772"/>
    <d v="2024-08-03T00:00:00"/>
    <s v="CUST-131"/>
    <x v="11"/>
    <x v="0"/>
    <x v="0"/>
    <x v="2"/>
    <x v="0"/>
    <s v="$33.22"/>
    <s v="Saturday"/>
    <x v="10"/>
    <x v="0"/>
    <b v="1"/>
    <b v="0"/>
    <s v="Standard order"/>
    <n v="1.661"/>
    <x v="3"/>
    <n v="132.88"/>
    <m/>
  </r>
  <r>
    <s v="ORD-3773"/>
    <d v="2024-12-26T00:00:00"/>
    <s v="CUST-118"/>
    <x v="4"/>
    <x v="2"/>
    <x v="0"/>
    <x v="1"/>
    <x v="5"/>
    <s v="$230.34"/>
    <s v="Thursday"/>
    <x v="1"/>
    <x v="0"/>
    <b v="0"/>
    <b v="1"/>
    <s v="Large Order"/>
    <n v="11.517000000000001"/>
    <x v="9"/>
    <n v="2764.08"/>
    <m/>
  </r>
  <r>
    <s v="ORD-3774"/>
    <d v="2024-02-24T00:00:00"/>
    <s v="CUST-184"/>
    <x v="9"/>
    <x v="0"/>
    <x v="2"/>
    <x v="4"/>
    <x v="6"/>
    <s v="$101.96"/>
    <s v="Saturday"/>
    <x v="5"/>
    <x v="0"/>
    <b v="1"/>
    <b v="0"/>
    <s v="Large Order"/>
    <n v="5.0979999999999999"/>
    <x v="8"/>
    <n v="611.76"/>
    <m/>
  </r>
  <r>
    <s v="ORD-3775"/>
    <d v="2024-07-06T00:00:00"/>
    <s v="CUST-118"/>
    <x v="0"/>
    <x v="0"/>
    <x v="0"/>
    <x v="0"/>
    <x v="16"/>
    <s v="$146.06"/>
    <s v="Saturday"/>
    <x v="8"/>
    <x v="0"/>
    <b v="1"/>
    <b v="1"/>
    <s v="Large Order"/>
    <n v="7.3030000000000008"/>
    <x v="21"/>
    <n v="2775.14"/>
    <m/>
  </r>
  <r>
    <s v="ORD-3776"/>
    <d v="2024-08-01T00:00:00"/>
    <s v="CUST-119"/>
    <x v="21"/>
    <x v="0"/>
    <x v="2"/>
    <x v="2"/>
    <x v="18"/>
    <s v="$32.94"/>
    <s v="Thursday"/>
    <x v="10"/>
    <x v="0"/>
    <b v="0"/>
    <b v="0"/>
    <s v="Large Order"/>
    <n v="1.647"/>
    <x v="17"/>
    <n v="559.98"/>
    <m/>
  </r>
  <r>
    <s v="ORD-3777"/>
    <d v="2024-06-02T00:00:00"/>
    <s v="CUST-160"/>
    <x v="17"/>
    <x v="2"/>
    <x v="3"/>
    <x v="1"/>
    <x v="1"/>
    <s v="$26.59"/>
    <s v="Sunday"/>
    <x v="9"/>
    <x v="0"/>
    <b v="1"/>
    <b v="0"/>
    <s v="Standard order"/>
    <n v="1.3295000000000001"/>
    <x v="1"/>
    <n v="26.59"/>
    <m/>
  </r>
  <r>
    <s v="ORD-3778"/>
    <d v="2024-03-20T00:00:00"/>
    <s v="CUST-107"/>
    <x v="2"/>
    <x v="0"/>
    <x v="1"/>
    <x v="2"/>
    <x v="18"/>
    <s v="$88.18"/>
    <s v="Wednesday"/>
    <x v="4"/>
    <x v="0"/>
    <b v="0"/>
    <b v="1"/>
    <s v="Large Order"/>
    <n v="4.4090000000000007"/>
    <x v="5"/>
    <n v="1499.0600000000002"/>
    <m/>
  </r>
  <r>
    <s v="ORD-3779"/>
    <d v="2024-07-21T00:00:00"/>
    <s v="CUST-154"/>
    <x v="6"/>
    <x v="1"/>
    <x v="1"/>
    <x v="3"/>
    <x v="16"/>
    <s v="$86.6"/>
    <s v="Sunday"/>
    <x v="8"/>
    <x v="0"/>
    <b v="1"/>
    <b v="1"/>
    <s v="Large Order"/>
    <n v="4.33"/>
    <x v="17"/>
    <n v="1645.3999999999999"/>
    <m/>
  </r>
  <r>
    <s v="ORD-3780"/>
    <d v="2024-12-29T00:00:00"/>
    <s v="CUST-129"/>
    <x v="17"/>
    <x v="0"/>
    <x v="3"/>
    <x v="0"/>
    <x v="18"/>
    <s v="$26.59"/>
    <s v="Sunday"/>
    <x v="1"/>
    <x v="0"/>
    <b v="1"/>
    <b v="0"/>
    <s v="Standard order"/>
    <n v="1.3295000000000001"/>
    <x v="11"/>
    <n v="452.03"/>
    <m/>
  </r>
  <r>
    <s v="ORD-3781"/>
    <d v="2024-03-05T00:00:00"/>
    <s v="CUST-195"/>
    <x v="11"/>
    <x v="1"/>
    <x v="1"/>
    <x v="0"/>
    <x v="7"/>
    <s v="$33.22"/>
    <s v="Tuesday"/>
    <x v="4"/>
    <x v="0"/>
    <b v="0"/>
    <b v="0"/>
    <s v="Standard order"/>
    <n v="1.661"/>
    <x v="8"/>
    <n v="265.76"/>
    <m/>
  </r>
  <r>
    <s v="ORD-3782"/>
    <d v="2024-10-13T00:00:00"/>
    <s v="CUST-177"/>
    <x v="0"/>
    <x v="2"/>
    <x v="2"/>
    <x v="1"/>
    <x v="9"/>
    <s v="$146.06"/>
    <s v="Sunday"/>
    <x v="3"/>
    <x v="0"/>
    <b v="1"/>
    <b v="1"/>
    <s v="Large Order"/>
    <n v="7.3030000000000008"/>
    <x v="6"/>
    <n v="1606.66"/>
    <m/>
  </r>
  <r>
    <s v="ORD-3783"/>
    <d v="2024-07-26T00:00:00"/>
    <s v="CUST-148"/>
    <x v="7"/>
    <x v="0"/>
    <x v="3"/>
    <x v="1"/>
    <x v="10"/>
    <s v="$107.34"/>
    <s v="Friday"/>
    <x v="8"/>
    <x v="0"/>
    <b v="0"/>
    <b v="1"/>
    <s v="Large Order"/>
    <n v="5.3670000000000009"/>
    <x v="7"/>
    <n v="751.38"/>
    <m/>
  </r>
  <r>
    <s v="ORD-3784"/>
    <d v="2024-02-23T00:00:00"/>
    <s v="CUST-109"/>
    <x v="8"/>
    <x v="2"/>
    <x v="3"/>
    <x v="0"/>
    <x v="7"/>
    <s v="$208.85"/>
    <s v="Friday"/>
    <x v="5"/>
    <x v="0"/>
    <b v="0"/>
    <b v="1"/>
    <s v="Large Order"/>
    <n v="10.442500000000001"/>
    <x v="8"/>
    <n v="1670.8"/>
    <m/>
  </r>
  <r>
    <s v="ORD-3785"/>
    <d v="2024-10-04T00:00:00"/>
    <s v="CUST-113"/>
    <x v="0"/>
    <x v="0"/>
    <x v="1"/>
    <x v="0"/>
    <x v="8"/>
    <s v="$146.06"/>
    <s v="Friday"/>
    <x v="3"/>
    <x v="0"/>
    <b v="0"/>
    <b v="1"/>
    <s v="Large Order"/>
    <n v="7.3030000000000008"/>
    <x v="15"/>
    <n v="1460.6"/>
    <m/>
  </r>
  <r>
    <s v="ORD-3786"/>
    <d v="2024-04-13T00:00:00"/>
    <s v="CUST-181"/>
    <x v="15"/>
    <x v="0"/>
    <x v="3"/>
    <x v="0"/>
    <x v="16"/>
    <s v="$216.22"/>
    <s v="Saturday"/>
    <x v="2"/>
    <x v="0"/>
    <b v="1"/>
    <b v="1"/>
    <s v="Large Order"/>
    <n v="10.811"/>
    <x v="15"/>
    <n v="4108.18"/>
    <m/>
  </r>
  <r>
    <s v="ORD-3787"/>
    <d v="2024-10-15T00:00:00"/>
    <s v="CUST-161"/>
    <x v="15"/>
    <x v="0"/>
    <x v="3"/>
    <x v="0"/>
    <x v="8"/>
    <s v="$216.22"/>
    <s v="Tuesday"/>
    <x v="3"/>
    <x v="0"/>
    <b v="0"/>
    <b v="1"/>
    <s v="Large Order"/>
    <n v="10.811"/>
    <x v="14"/>
    <n v="2162.1999999999998"/>
    <m/>
  </r>
  <r>
    <s v="ORD-3788"/>
    <d v="2024-07-01T00:00:00"/>
    <s v="CUST-196"/>
    <x v="14"/>
    <x v="1"/>
    <x v="1"/>
    <x v="2"/>
    <x v="9"/>
    <s v="$201.32"/>
    <s v="Monday"/>
    <x v="8"/>
    <x v="0"/>
    <b v="0"/>
    <b v="1"/>
    <s v="Large Order"/>
    <n v="10.066000000000001"/>
    <x v="10"/>
    <n v="2214.52"/>
    <m/>
  </r>
  <r>
    <s v="ORD-3789"/>
    <d v="2024-07-01T00:00:00"/>
    <s v="CUST-116"/>
    <x v="10"/>
    <x v="2"/>
    <x v="0"/>
    <x v="3"/>
    <x v="3"/>
    <s v="$46.19"/>
    <s v="Monday"/>
    <x v="8"/>
    <x v="0"/>
    <b v="0"/>
    <b v="0"/>
    <s v="Large Order"/>
    <n v="2.3094999999999999"/>
    <x v="22"/>
    <n v="646.66"/>
    <m/>
  </r>
  <r>
    <s v="ORD-3790"/>
    <d v="2024-09-14T00:00:00"/>
    <s v="CUST-112"/>
    <x v="22"/>
    <x v="0"/>
    <x v="0"/>
    <x v="4"/>
    <x v="11"/>
    <s v="$149.27"/>
    <s v="Saturday"/>
    <x v="11"/>
    <x v="0"/>
    <b v="1"/>
    <b v="1"/>
    <s v="Large Order"/>
    <n v="7.4635000000000007"/>
    <x v="6"/>
    <n v="1940.5100000000002"/>
    <m/>
  </r>
  <r>
    <s v="ORD-3791"/>
    <d v="2024-01-20T00:00:00"/>
    <s v="CUST-137"/>
    <x v="7"/>
    <x v="0"/>
    <x v="2"/>
    <x v="0"/>
    <x v="13"/>
    <s v="$107.34"/>
    <s v="Saturday"/>
    <x v="6"/>
    <x v="0"/>
    <b v="1"/>
    <b v="0"/>
    <s v="Standard order"/>
    <n v="5.3670000000000009"/>
    <x v="5"/>
    <n v="322.02"/>
    <m/>
  </r>
  <r>
    <s v="ORD-3792"/>
    <d v="2024-04-28T00:00:00"/>
    <s v="CUST-127"/>
    <x v="6"/>
    <x v="2"/>
    <x v="4"/>
    <x v="2"/>
    <x v="18"/>
    <s v="$86.6"/>
    <s v="Sunday"/>
    <x v="2"/>
    <x v="0"/>
    <b v="1"/>
    <b v="1"/>
    <s v="Large Order"/>
    <n v="4.33"/>
    <x v="22"/>
    <n v="1472.1999999999998"/>
    <m/>
  </r>
  <r>
    <s v="ORD-3793"/>
    <d v="2024-11-07T00:00:00"/>
    <s v="CUST-183"/>
    <x v="22"/>
    <x v="1"/>
    <x v="2"/>
    <x v="2"/>
    <x v="9"/>
    <s v="$149.27"/>
    <s v="Thursday"/>
    <x v="0"/>
    <x v="0"/>
    <b v="0"/>
    <b v="1"/>
    <s v="Large Order"/>
    <n v="7.4635000000000007"/>
    <x v="15"/>
    <n v="1641.97"/>
    <m/>
  </r>
  <r>
    <s v="ORD-3794"/>
    <d v="2024-11-15T00:00:00"/>
    <s v="CUST-155"/>
    <x v="15"/>
    <x v="2"/>
    <x v="2"/>
    <x v="2"/>
    <x v="10"/>
    <s v="$216.22"/>
    <s v="Friday"/>
    <x v="0"/>
    <x v="0"/>
    <b v="0"/>
    <b v="1"/>
    <s v="Large Order"/>
    <n v="10.811"/>
    <x v="0"/>
    <n v="1513.54"/>
    <m/>
  </r>
  <r>
    <s v="ORD-3795"/>
    <d v="2024-11-06T00:00:00"/>
    <s v="CUST-109"/>
    <x v="1"/>
    <x v="2"/>
    <x v="2"/>
    <x v="0"/>
    <x v="1"/>
    <s v="$178.83"/>
    <s v="Wednesday"/>
    <x v="0"/>
    <x v="0"/>
    <b v="0"/>
    <b v="0"/>
    <s v="Standard order"/>
    <n v="8.9415000000000013"/>
    <x v="8"/>
    <n v="178.83"/>
    <m/>
  </r>
  <r>
    <s v="ORD-3796"/>
    <d v="2024-06-07T00:00:00"/>
    <s v="CUST-170"/>
    <x v="0"/>
    <x v="1"/>
    <x v="0"/>
    <x v="1"/>
    <x v="9"/>
    <s v="$146.06"/>
    <s v="Friday"/>
    <x v="9"/>
    <x v="0"/>
    <b v="0"/>
    <b v="1"/>
    <s v="Large Order"/>
    <n v="7.3030000000000008"/>
    <x v="8"/>
    <n v="1606.66"/>
    <m/>
  </r>
  <r>
    <s v="ORD-3797"/>
    <d v="2024-05-31T00:00:00"/>
    <s v="CUST-120"/>
    <x v="0"/>
    <x v="1"/>
    <x v="1"/>
    <x v="3"/>
    <x v="5"/>
    <s v="$146.06"/>
    <s v="Friday"/>
    <x v="7"/>
    <x v="0"/>
    <b v="0"/>
    <b v="1"/>
    <s v="Large Order"/>
    <n v="7.3030000000000008"/>
    <x v="21"/>
    <n v="1752.72"/>
    <m/>
  </r>
  <r>
    <s v="ORD-3798"/>
    <d v="2024-04-01T00:00:00"/>
    <s v="CUST-190"/>
    <x v="21"/>
    <x v="1"/>
    <x v="3"/>
    <x v="1"/>
    <x v="14"/>
    <s v="$32.94"/>
    <s v="Monday"/>
    <x v="2"/>
    <x v="0"/>
    <b v="0"/>
    <b v="0"/>
    <s v="Standard order"/>
    <n v="1.647"/>
    <x v="0"/>
    <n v="296.45999999999998"/>
    <m/>
  </r>
  <r>
    <s v="ORD-3799"/>
    <d v="2024-08-14T00:00:00"/>
    <s v="CUST-183"/>
    <x v="1"/>
    <x v="0"/>
    <x v="1"/>
    <x v="1"/>
    <x v="4"/>
    <s v="$178.83"/>
    <s v="Wednesday"/>
    <x v="10"/>
    <x v="0"/>
    <b v="0"/>
    <b v="0"/>
    <s v="Standard order"/>
    <n v="8.9415000000000013"/>
    <x v="17"/>
    <n v="357.66"/>
    <m/>
  </r>
  <r>
    <s v="ORD-3800"/>
    <d v="2024-05-26T00:00:00"/>
    <s v="CUST-151"/>
    <x v="17"/>
    <x v="2"/>
    <x v="4"/>
    <x v="1"/>
    <x v="5"/>
    <s v="$26.59"/>
    <s v="Sunday"/>
    <x v="7"/>
    <x v="0"/>
    <b v="1"/>
    <b v="0"/>
    <s v="Standard order"/>
    <n v="1.3295000000000001"/>
    <x v="7"/>
    <n v="319.08"/>
    <m/>
  </r>
  <r>
    <s v="ORD-3801"/>
    <d v="2024-11-15T00:00:00"/>
    <s v="CUST-140"/>
    <x v="8"/>
    <x v="0"/>
    <x v="2"/>
    <x v="4"/>
    <x v="12"/>
    <s v="$208.85"/>
    <s v="Friday"/>
    <x v="0"/>
    <x v="0"/>
    <b v="0"/>
    <b v="1"/>
    <s v="Large Order"/>
    <n v="10.442500000000001"/>
    <x v="20"/>
    <n v="3132.75"/>
    <m/>
  </r>
  <r>
    <s v="ORD-3802"/>
    <d v="2024-12-15T00:00:00"/>
    <s v="CUST-105"/>
    <x v="20"/>
    <x v="2"/>
    <x v="0"/>
    <x v="2"/>
    <x v="15"/>
    <s v="$81.02"/>
    <s v="Sunday"/>
    <x v="1"/>
    <x v="0"/>
    <b v="1"/>
    <b v="1"/>
    <s v="Large Order"/>
    <n v="4.0510000000000002"/>
    <x v="3"/>
    <n v="1458.36"/>
    <m/>
  </r>
  <r>
    <s v="ORD-3803"/>
    <d v="2024-02-23T00:00:00"/>
    <s v="CUST-137"/>
    <x v="4"/>
    <x v="0"/>
    <x v="1"/>
    <x v="1"/>
    <x v="13"/>
    <s v="$230.34"/>
    <s v="Friday"/>
    <x v="5"/>
    <x v="0"/>
    <b v="0"/>
    <b v="0"/>
    <s v="Large Order"/>
    <n v="11.517000000000001"/>
    <x v="8"/>
    <n v="691.02"/>
    <m/>
  </r>
  <r>
    <s v="ORD-3804"/>
    <d v="2024-08-24T00:00:00"/>
    <s v="CUST-185"/>
    <x v="0"/>
    <x v="1"/>
    <x v="2"/>
    <x v="1"/>
    <x v="15"/>
    <s v="$146.06"/>
    <s v="Saturday"/>
    <x v="10"/>
    <x v="0"/>
    <b v="1"/>
    <b v="1"/>
    <s v="Large Order"/>
    <n v="7.3030000000000008"/>
    <x v="8"/>
    <n v="2629.08"/>
    <m/>
  </r>
  <r>
    <s v="ORD-3805"/>
    <d v="2024-08-26T00:00:00"/>
    <s v="CUST-113"/>
    <x v="0"/>
    <x v="0"/>
    <x v="0"/>
    <x v="1"/>
    <x v="3"/>
    <s v="$146.06"/>
    <s v="Monday"/>
    <x v="10"/>
    <x v="0"/>
    <b v="0"/>
    <b v="1"/>
    <s v="Large Order"/>
    <n v="7.3030000000000008"/>
    <x v="13"/>
    <n v="2044.8400000000001"/>
    <m/>
  </r>
  <r>
    <s v="ORD-3806"/>
    <d v="2024-06-17T00:00:00"/>
    <s v="CUST-108"/>
    <x v="13"/>
    <x v="1"/>
    <x v="1"/>
    <x v="1"/>
    <x v="10"/>
    <s v="$156.44"/>
    <s v="Monday"/>
    <x v="9"/>
    <x v="0"/>
    <b v="0"/>
    <b v="1"/>
    <s v="Large Order"/>
    <n v="7.8220000000000001"/>
    <x v="2"/>
    <n v="1095.08"/>
    <m/>
  </r>
  <r>
    <s v="ORD-3807"/>
    <d v="2024-08-31T00:00:00"/>
    <s v="CUST-114"/>
    <x v="3"/>
    <x v="1"/>
    <x v="0"/>
    <x v="4"/>
    <x v="2"/>
    <s v="$84.57"/>
    <s v="Saturday"/>
    <x v="10"/>
    <x v="0"/>
    <b v="1"/>
    <b v="0"/>
    <s v="Standard order"/>
    <n v="4.2284999999999995"/>
    <x v="11"/>
    <n v="422.84999999999997"/>
    <m/>
  </r>
  <r>
    <s v="ORD-3808"/>
    <d v="2024-03-15T00:00:00"/>
    <s v="CUST-181"/>
    <x v="11"/>
    <x v="1"/>
    <x v="1"/>
    <x v="0"/>
    <x v="19"/>
    <s v="$33.22"/>
    <s v="Friday"/>
    <x v="4"/>
    <x v="0"/>
    <b v="0"/>
    <b v="0"/>
    <s v="Large Order"/>
    <n v="1.661"/>
    <x v="17"/>
    <n v="664.4"/>
    <m/>
  </r>
  <r>
    <s v="ORD-3809"/>
    <d v="2024-02-01T00:00:00"/>
    <s v="CUST-146"/>
    <x v="17"/>
    <x v="1"/>
    <x v="4"/>
    <x v="0"/>
    <x v="10"/>
    <s v="$26.59"/>
    <s v="Thursday"/>
    <x v="5"/>
    <x v="0"/>
    <b v="0"/>
    <b v="0"/>
    <s v="Standard order"/>
    <n v="1.3295000000000001"/>
    <x v="2"/>
    <n v="186.13"/>
    <m/>
  </r>
  <r>
    <s v="ORD-3810"/>
    <d v="2024-12-16T00:00:00"/>
    <s v="CUST-154"/>
    <x v="3"/>
    <x v="1"/>
    <x v="4"/>
    <x v="0"/>
    <x v="2"/>
    <s v="$84.57"/>
    <s v="Monday"/>
    <x v="1"/>
    <x v="0"/>
    <b v="0"/>
    <b v="0"/>
    <s v="Standard order"/>
    <n v="4.2284999999999995"/>
    <x v="14"/>
    <n v="422.84999999999997"/>
    <m/>
  </r>
  <r>
    <s v="ORD-3811"/>
    <d v="2024-07-26T00:00:00"/>
    <s v="CUST-110"/>
    <x v="14"/>
    <x v="2"/>
    <x v="2"/>
    <x v="1"/>
    <x v="18"/>
    <s v="$201.32"/>
    <s v="Friday"/>
    <x v="8"/>
    <x v="0"/>
    <b v="0"/>
    <b v="1"/>
    <s v="Large Order"/>
    <n v="10.066000000000001"/>
    <x v="15"/>
    <n v="3422.44"/>
    <m/>
  </r>
  <r>
    <s v="ORD-3812"/>
    <d v="2024-05-12T00:00:00"/>
    <s v="CUST-123"/>
    <x v="15"/>
    <x v="0"/>
    <x v="2"/>
    <x v="3"/>
    <x v="8"/>
    <s v="$216.22"/>
    <s v="Sunday"/>
    <x v="7"/>
    <x v="0"/>
    <b v="1"/>
    <b v="1"/>
    <s v="Large Order"/>
    <n v="10.811"/>
    <x v="4"/>
    <n v="2162.1999999999998"/>
    <m/>
  </r>
  <r>
    <s v="ORD-3813"/>
    <d v="2024-06-27T00:00:00"/>
    <s v="CUST-153"/>
    <x v="5"/>
    <x v="1"/>
    <x v="1"/>
    <x v="2"/>
    <x v="3"/>
    <s v="$64.61"/>
    <s v="Thursday"/>
    <x v="9"/>
    <x v="0"/>
    <b v="0"/>
    <b v="1"/>
    <s v="Large Order"/>
    <n v="3.2305000000000001"/>
    <x v="3"/>
    <n v="904.54"/>
    <m/>
  </r>
  <r>
    <s v="ORD-3814"/>
    <d v="2024-12-20T00:00:00"/>
    <s v="CUST-173"/>
    <x v="4"/>
    <x v="0"/>
    <x v="1"/>
    <x v="4"/>
    <x v="10"/>
    <s v="$230.34"/>
    <s v="Friday"/>
    <x v="1"/>
    <x v="0"/>
    <b v="0"/>
    <b v="1"/>
    <s v="Large Order"/>
    <n v="11.517000000000001"/>
    <x v="20"/>
    <n v="1612.38"/>
    <m/>
  </r>
  <r>
    <s v="ORD-3815"/>
    <d v="2024-12-07T00:00:00"/>
    <s v="CUST-174"/>
    <x v="20"/>
    <x v="0"/>
    <x v="3"/>
    <x v="3"/>
    <x v="1"/>
    <s v="$81.02"/>
    <s v="Saturday"/>
    <x v="1"/>
    <x v="0"/>
    <b v="1"/>
    <b v="0"/>
    <s v="Standard order"/>
    <n v="4.0510000000000002"/>
    <x v="4"/>
    <n v="81.02"/>
    <m/>
  </r>
  <r>
    <s v="ORD-3816"/>
    <d v="2024-08-22T00:00:00"/>
    <s v="CUST-118"/>
    <x v="5"/>
    <x v="1"/>
    <x v="0"/>
    <x v="1"/>
    <x v="14"/>
    <s v="$64.61"/>
    <s v="Thursday"/>
    <x v="10"/>
    <x v="0"/>
    <b v="0"/>
    <b v="0"/>
    <s v="Large Order"/>
    <n v="3.2305000000000001"/>
    <x v="0"/>
    <n v="581.49"/>
    <m/>
  </r>
  <r>
    <s v="ORD-3817"/>
    <d v="2024-01-02T00:00:00"/>
    <s v="CUST-157"/>
    <x v="1"/>
    <x v="2"/>
    <x v="2"/>
    <x v="4"/>
    <x v="0"/>
    <s v="$178.83"/>
    <s v="Tuesday"/>
    <x v="6"/>
    <x v="0"/>
    <b v="0"/>
    <b v="0"/>
    <s v="Large Order"/>
    <n v="8.9415000000000013"/>
    <x v="10"/>
    <n v="715.32"/>
    <m/>
  </r>
  <r>
    <s v="ORD-3818"/>
    <d v="2024-04-06T00:00:00"/>
    <s v="CUST-153"/>
    <x v="10"/>
    <x v="2"/>
    <x v="4"/>
    <x v="4"/>
    <x v="11"/>
    <s v="$46.19"/>
    <s v="Saturday"/>
    <x v="2"/>
    <x v="0"/>
    <b v="1"/>
    <b v="0"/>
    <s v="Large Order"/>
    <n v="2.3094999999999999"/>
    <x v="5"/>
    <n v="600.47"/>
    <m/>
  </r>
  <r>
    <s v="ORD-3819"/>
    <d v="2024-04-17T00:00:00"/>
    <s v="CUST-124"/>
    <x v="6"/>
    <x v="2"/>
    <x v="0"/>
    <x v="3"/>
    <x v="5"/>
    <s v="$86.6"/>
    <s v="Wednesday"/>
    <x v="2"/>
    <x v="0"/>
    <b v="0"/>
    <b v="1"/>
    <s v="Large Order"/>
    <n v="4.33"/>
    <x v="19"/>
    <n v="1039.1999999999998"/>
    <m/>
  </r>
  <r>
    <s v="ORD-3820"/>
    <d v="2024-06-06T00:00:00"/>
    <s v="CUST-164"/>
    <x v="19"/>
    <x v="2"/>
    <x v="2"/>
    <x v="1"/>
    <x v="3"/>
    <s v="$145.48"/>
    <s v="Thursday"/>
    <x v="9"/>
    <x v="0"/>
    <b v="0"/>
    <b v="1"/>
    <s v="Large Order"/>
    <n v="7.274"/>
    <x v="17"/>
    <n v="2036.7199999999998"/>
    <m/>
  </r>
  <r>
    <s v="ORD-3821"/>
    <d v="2024-06-29T00:00:00"/>
    <s v="CUST-169"/>
    <x v="17"/>
    <x v="2"/>
    <x v="3"/>
    <x v="0"/>
    <x v="6"/>
    <s v="$26.59"/>
    <s v="Saturday"/>
    <x v="9"/>
    <x v="0"/>
    <b v="1"/>
    <b v="0"/>
    <s v="Standard order"/>
    <n v="1.3295000000000001"/>
    <x v="23"/>
    <n v="159.54"/>
    <m/>
  </r>
  <r>
    <s v="ORD-3822"/>
    <d v="2024-07-10T00:00:00"/>
    <s v="CUST-122"/>
    <x v="23"/>
    <x v="2"/>
    <x v="4"/>
    <x v="4"/>
    <x v="3"/>
    <s v="$133.37"/>
    <s v="Wednesday"/>
    <x v="8"/>
    <x v="0"/>
    <b v="0"/>
    <b v="1"/>
    <s v="Large Order"/>
    <n v="6.6685000000000008"/>
    <x v="5"/>
    <n v="1867.18"/>
    <m/>
  </r>
  <r>
    <s v="ORD-3823"/>
    <d v="2024-12-03T00:00:00"/>
    <s v="CUST-188"/>
    <x v="6"/>
    <x v="1"/>
    <x v="3"/>
    <x v="4"/>
    <x v="0"/>
    <s v="$86.6"/>
    <s v="Tuesday"/>
    <x v="1"/>
    <x v="0"/>
    <b v="0"/>
    <b v="0"/>
    <s v="Standard order"/>
    <n v="4.33"/>
    <x v="1"/>
    <n v="346.4"/>
    <m/>
  </r>
  <r>
    <s v="ORD-3824"/>
    <d v="2024-02-23T00:00:00"/>
    <s v="CUST-111"/>
    <x v="2"/>
    <x v="0"/>
    <x v="1"/>
    <x v="1"/>
    <x v="0"/>
    <s v="$88.18"/>
    <s v="Friday"/>
    <x v="5"/>
    <x v="0"/>
    <b v="0"/>
    <b v="0"/>
    <s v="Standard order"/>
    <n v="4.4090000000000007"/>
    <x v="19"/>
    <n v="352.72"/>
    <m/>
  </r>
  <r>
    <s v="ORD-3825"/>
    <d v="2024-11-15T00:00:00"/>
    <s v="CUST-169"/>
    <x v="19"/>
    <x v="2"/>
    <x v="2"/>
    <x v="4"/>
    <x v="16"/>
    <s v="$145.48"/>
    <s v="Friday"/>
    <x v="0"/>
    <x v="0"/>
    <b v="0"/>
    <b v="1"/>
    <s v="Large Order"/>
    <n v="7.274"/>
    <x v="17"/>
    <n v="2764.12"/>
    <m/>
  </r>
  <r>
    <s v="ORD-3826"/>
    <d v="2024-12-07T00:00:00"/>
    <s v="CUST-137"/>
    <x v="17"/>
    <x v="0"/>
    <x v="4"/>
    <x v="1"/>
    <x v="15"/>
    <s v="$26.59"/>
    <s v="Saturday"/>
    <x v="1"/>
    <x v="0"/>
    <b v="1"/>
    <b v="0"/>
    <s v="Standard order"/>
    <n v="1.3295000000000001"/>
    <x v="19"/>
    <n v="478.62"/>
    <m/>
  </r>
  <r>
    <s v="ORD-3827"/>
    <d v="2024-04-10T00:00:00"/>
    <s v="CUST-160"/>
    <x v="19"/>
    <x v="1"/>
    <x v="2"/>
    <x v="1"/>
    <x v="11"/>
    <s v="$145.48"/>
    <s v="Wednesday"/>
    <x v="2"/>
    <x v="0"/>
    <b v="0"/>
    <b v="1"/>
    <s v="Large Order"/>
    <n v="7.274"/>
    <x v="24"/>
    <n v="1891.2399999999998"/>
    <m/>
  </r>
  <r>
    <s v="ORD-3828"/>
    <d v="2024-07-10T00:00:00"/>
    <s v="CUST-200"/>
    <x v="24"/>
    <x v="2"/>
    <x v="3"/>
    <x v="3"/>
    <x v="14"/>
    <s v="$10.11"/>
    <s v="Wednesday"/>
    <x v="8"/>
    <x v="0"/>
    <b v="0"/>
    <b v="0"/>
    <s v="Standard order"/>
    <n v="0.50549999999999995"/>
    <x v="24"/>
    <n v="90.99"/>
    <m/>
  </r>
  <r>
    <s v="ORD-3829"/>
    <d v="2024-07-31T00:00:00"/>
    <s v="CUST-186"/>
    <x v="24"/>
    <x v="0"/>
    <x v="2"/>
    <x v="0"/>
    <x v="1"/>
    <s v="$10.11"/>
    <s v="Wednesday"/>
    <x v="8"/>
    <x v="0"/>
    <b v="0"/>
    <b v="0"/>
    <s v="Standard order"/>
    <n v="0.50549999999999995"/>
    <x v="16"/>
    <n v="10.11"/>
    <m/>
  </r>
  <r>
    <s v="ORD-3830"/>
    <d v="2024-07-10T00:00:00"/>
    <s v="CUST-166"/>
    <x v="16"/>
    <x v="2"/>
    <x v="3"/>
    <x v="3"/>
    <x v="6"/>
    <s v="$130.07"/>
    <s v="Wednesday"/>
    <x v="8"/>
    <x v="0"/>
    <b v="0"/>
    <b v="1"/>
    <s v="Large Order"/>
    <n v="6.5034999999999998"/>
    <x v="23"/>
    <n v="780.42"/>
    <m/>
  </r>
  <r>
    <s v="ORD-3831"/>
    <d v="2024-08-08T00:00:00"/>
    <s v="CUST-130"/>
    <x v="23"/>
    <x v="1"/>
    <x v="4"/>
    <x v="4"/>
    <x v="11"/>
    <s v="$133.37"/>
    <s v="Thursday"/>
    <x v="10"/>
    <x v="0"/>
    <b v="0"/>
    <b v="1"/>
    <s v="Large Order"/>
    <n v="6.6685000000000008"/>
    <x v="0"/>
    <n v="1733.81"/>
    <m/>
  </r>
  <r>
    <s v="ORD-3832"/>
    <d v="2024-10-22T00:00:00"/>
    <s v="CUST-154"/>
    <x v="1"/>
    <x v="2"/>
    <x v="2"/>
    <x v="2"/>
    <x v="11"/>
    <s v="$178.83"/>
    <s v="Tuesday"/>
    <x v="3"/>
    <x v="0"/>
    <b v="0"/>
    <b v="1"/>
    <s v="Large Order"/>
    <n v="8.9415000000000013"/>
    <x v="17"/>
    <n v="2324.79"/>
    <m/>
  </r>
  <r>
    <s v="ORD-3833"/>
    <d v="2024-09-21T00:00:00"/>
    <s v="CUST-120"/>
    <x v="17"/>
    <x v="0"/>
    <x v="0"/>
    <x v="2"/>
    <x v="18"/>
    <s v="$26.59"/>
    <s v="Saturday"/>
    <x v="11"/>
    <x v="0"/>
    <b v="1"/>
    <b v="0"/>
    <s v="Standard order"/>
    <n v="1.3295000000000001"/>
    <x v="3"/>
    <n v="452.03"/>
    <m/>
  </r>
  <r>
    <s v="ORD-3834"/>
    <d v="2024-10-22T00:00:00"/>
    <s v="CUST-200"/>
    <x v="4"/>
    <x v="2"/>
    <x v="3"/>
    <x v="4"/>
    <x v="6"/>
    <s v="$230.34"/>
    <s v="Tuesday"/>
    <x v="3"/>
    <x v="0"/>
    <b v="0"/>
    <b v="1"/>
    <s v="Large Order"/>
    <n v="11.517000000000001"/>
    <x v="8"/>
    <n v="1382.04"/>
    <m/>
  </r>
  <r>
    <s v="ORD-3835"/>
    <d v="2024-04-14T00:00:00"/>
    <s v="CUST-111"/>
    <x v="0"/>
    <x v="0"/>
    <x v="2"/>
    <x v="0"/>
    <x v="16"/>
    <s v="$146.06"/>
    <s v="Sunday"/>
    <x v="2"/>
    <x v="0"/>
    <b v="1"/>
    <b v="1"/>
    <s v="Large Order"/>
    <n v="7.3030000000000008"/>
    <x v="23"/>
    <n v="2775.14"/>
    <m/>
  </r>
  <r>
    <s v="ORD-3836"/>
    <d v="2024-11-12T00:00:00"/>
    <s v="CUST-190"/>
    <x v="23"/>
    <x v="0"/>
    <x v="1"/>
    <x v="1"/>
    <x v="1"/>
    <s v="$133.37"/>
    <s v="Tuesday"/>
    <x v="0"/>
    <x v="0"/>
    <b v="0"/>
    <b v="0"/>
    <s v="Standard order"/>
    <n v="6.6685000000000008"/>
    <x v="1"/>
    <n v="133.37"/>
    <m/>
  </r>
  <r>
    <s v="ORD-3837"/>
    <d v="2024-03-07T00:00:00"/>
    <s v="CUST-158"/>
    <x v="2"/>
    <x v="2"/>
    <x v="3"/>
    <x v="2"/>
    <x v="7"/>
    <s v="$88.18"/>
    <s v="Thursday"/>
    <x v="4"/>
    <x v="0"/>
    <b v="0"/>
    <b v="0"/>
    <s v="Large Order"/>
    <n v="4.4090000000000007"/>
    <x v="11"/>
    <n v="705.44"/>
    <m/>
  </r>
  <r>
    <s v="ORD-3838"/>
    <d v="2024-04-23T00:00:00"/>
    <s v="CUST-138"/>
    <x v="11"/>
    <x v="2"/>
    <x v="4"/>
    <x v="1"/>
    <x v="14"/>
    <s v="$33.22"/>
    <s v="Tuesday"/>
    <x v="2"/>
    <x v="0"/>
    <b v="0"/>
    <b v="0"/>
    <s v="Standard order"/>
    <n v="1.661"/>
    <x v="0"/>
    <n v="298.98"/>
    <m/>
  </r>
  <r>
    <s v="ORD-3839"/>
    <d v="2024-05-20T00:00:00"/>
    <s v="CUST-110"/>
    <x v="1"/>
    <x v="2"/>
    <x v="0"/>
    <x v="4"/>
    <x v="0"/>
    <s v="$178.83"/>
    <s v="Monday"/>
    <x v="7"/>
    <x v="0"/>
    <b v="0"/>
    <b v="0"/>
    <s v="Large Order"/>
    <n v="8.9415000000000013"/>
    <x v="19"/>
    <n v="715.32"/>
    <m/>
  </r>
  <r>
    <s v="ORD-3840"/>
    <d v="2024-11-01T00:00:00"/>
    <s v="CUST-115"/>
    <x v="19"/>
    <x v="0"/>
    <x v="3"/>
    <x v="3"/>
    <x v="6"/>
    <s v="$145.48"/>
    <s v="Friday"/>
    <x v="0"/>
    <x v="0"/>
    <b v="0"/>
    <b v="1"/>
    <s v="Large Order"/>
    <n v="7.274"/>
    <x v="11"/>
    <n v="872.87999999999988"/>
    <m/>
  </r>
  <r>
    <s v="ORD-3841"/>
    <d v="2024-09-10T00:00:00"/>
    <s v="CUST-146"/>
    <x v="11"/>
    <x v="1"/>
    <x v="0"/>
    <x v="1"/>
    <x v="1"/>
    <s v="$33.22"/>
    <s v="Tuesday"/>
    <x v="11"/>
    <x v="0"/>
    <b v="0"/>
    <b v="0"/>
    <s v="Standard order"/>
    <n v="1.661"/>
    <x v="8"/>
    <n v="33.22"/>
    <m/>
  </r>
  <r>
    <s v="ORD-3842"/>
    <d v="2024-09-06T00:00:00"/>
    <s v="CUST-180"/>
    <x v="0"/>
    <x v="0"/>
    <x v="2"/>
    <x v="1"/>
    <x v="9"/>
    <s v="$146.06"/>
    <s v="Friday"/>
    <x v="11"/>
    <x v="0"/>
    <b v="0"/>
    <b v="1"/>
    <s v="Large Order"/>
    <n v="7.3030000000000008"/>
    <x v="6"/>
    <n v="1606.66"/>
    <m/>
  </r>
  <r>
    <s v="ORD-3843"/>
    <d v="2024-08-18T00:00:00"/>
    <s v="CUST-120"/>
    <x v="7"/>
    <x v="1"/>
    <x v="0"/>
    <x v="2"/>
    <x v="16"/>
    <s v="$107.34"/>
    <s v="Sunday"/>
    <x v="10"/>
    <x v="0"/>
    <b v="1"/>
    <b v="1"/>
    <s v="Large Order"/>
    <n v="5.3670000000000009"/>
    <x v="13"/>
    <n v="2039.46"/>
    <m/>
  </r>
  <r>
    <s v="ORD-3844"/>
    <d v="2024-01-17T00:00:00"/>
    <s v="CUST-115"/>
    <x v="13"/>
    <x v="1"/>
    <x v="2"/>
    <x v="4"/>
    <x v="19"/>
    <s v="$156.44"/>
    <s v="Wednesday"/>
    <x v="6"/>
    <x v="0"/>
    <b v="0"/>
    <b v="1"/>
    <s v="Large Order"/>
    <n v="7.8220000000000001"/>
    <x v="16"/>
    <n v="3128.8"/>
    <m/>
  </r>
  <r>
    <s v="ORD-3845"/>
    <d v="2024-03-22T00:00:00"/>
    <s v="CUST-166"/>
    <x v="16"/>
    <x v="1"/>
    <x v="0"/>
    <x v="2"/>
    <x v="19"/>
    <s v="$130.07"/>
    <s v="Friday"/>
    <x v="4"/>
    <x v="0"/>
    <b v="0"/>
    <b v="1"/>
    <s v="Large Order"/>
    <n v="6.5034999999999998"/>
    <x v="22"/>
    <n v="2601.3999999999996"/>
    <m/>
  </r>
  <r>
    <s v="ORD-3846"/>
    <d v="2024-01-12T00:00:00"/>
    <s v="CUST-166"/>
    <x v="22"/>
    <x v="0"/>
    <x v="4"/>
    <x v="3"/>
    <x v="0"/>
    <s v="$149.27"/>
    <s v="Friday"/>
    <x v="6"/>
    <x v="0"/>
    <b v="0"/>
    <b v="0"/>
    <s v="Large Order"/>
    <n v="7.4635000000000007"/>
    <x v="0"/>
    <n v="597.08000000000004"/>
    <m/>
  </r>
  <r>
    <s v="ORD-3847"/>
    <d v="2024-01-16T00:00:00"/>
    <s v="CUST-141"/>
    <x v="1"/>
    <x v="0"/>
    <x v="0"/>
    <x v="2"/>
    <x v="14"/>
    <s v="$178.83"/>
    <s v="Tuesday"/>
    <x v="6"/>
    <x v="0"/>
    <b v="0"/>
    <b v="1"/>
    <s v="Large Order"/>
    <n v="8.9415000000000013"/>
    <x v="7"/>
    <n v="1609.47"/>
    <m/>
  </r>
  <r>
    <s v="ORD-3848"/>
    <d v="2024-04-12T00:00:00"/>
    <s v="CUST-111"/>
    <x v="8"/>
    <x v="2"/>
    <x v="1"/>
    <x v="3"/>
    <x v="12"/>
    <s v="$208.85"/>
    <s v="Friday"/>
    <x v="2"/>
    <x v="0"/>
    <b v="0"/>
    <b v="1"/>
    <s v="Large Order"/>
    <n v="10.442500000000001"/>
    <x v="22"/>
    <n v="3132.75"/>
    <m/>
  </r>
  <r>
    <s v="ORD-3849"/>
    <d v="2024-09-10T00:00:00"/>
    <s v="CUST-155"/>
    <x v="22"/>
    <x v="1"/>
    <x v="4"/>
    <x v="3"/>
    <x v="6"/>
    <s v="$149.27"/>
    <s v="Tuesday"/>
    <x v="11"/>
    <x v="0"/>
    <b v="0"/>
    <b v="1"/>
    <s v="Large Order"/>
    <n v="7.4635000000000007"/>
    <x v="19"/>
    <n v="895.62000000000012"/>
    <m/>
  </r>
  <r>
    <s v="ORD-3850"/>
    <d v="2024-05-23T00:00:00"/>
    <s v="CUST-150"/>
    <x v="19"/>
    <x v="2"/>
    <x v="1"/>
    <x v="3"/>
    <x v="6"/>
    <s v="$145.48"/>
    <s v="Thursday"/>
    <x v="7"/>
    <x v="0"/>
    <b v="0"/>
    <b v="1"/>
    <s v="Large Order"/>
    <n v="7.274"/>
    <x v="12"/>
    <n v="872.87999999999988"/>
    <m/>
  </r>
  <r>
    <s v="ORD-3851"/>
    <d v="2024-09-06T00:00:00"/>
    <s v="CUST-155"/>
    <x v="12"/>
    <x v="1"/>
    <x v="1"/>
    <x v="3"/>
    <x v="9"/>
    <s v="$211.9"/>
    <s v="Friday"/>
    <x v="11"/>
    <x v="0"/>
    <b v="0"/>
    <b v="1"/>
    <s v="Large Order"/>
    <n v="10.595000000000001"/>
    <x v="17"/>
    <n v="2330.9"/>
    <m/>
  </r>
  <r>
    <s v="ORD-3852"/>
    <d v="2024-11-06T00:00:00"/>
    <s v="CUST-149"/>
    <x v="17"/>
    <x v="0"/>
    <x v="1"/>
    <x v="3"/>
    <x v="5"/>
    <s v="$26.59"/>
    <s v="Wednesday"/>
    <x v="0"/>
    <x v="0"/>
    <b v="0"/>
    <b v="0"/>
    <s v="Standard order"/>
    <n v="1.3295000000000001"/>
    <x v="6"/>
    <n v="319.08"/>
    <m/>
  </r>
  <r>
    <s v="ORD-3853"/>
    <d v="2024-02-02T00:00:00"/>
    <s v="CUST-157"/>
    <x v="7"/>
    <x v="0"/>
    <x v="1"/>
    <x v="3"/>
    <x v="16"/>
    <s v="$107.34"/>
    <s v="Friday"/>
    <x v="5"/>
    <x v="0"/>
    <b v="0"/>
    <b v="1"/>
    <s v="Large Order"/>
    <n v="5.3670000000000009"/>
    <x v="22"/>
    <n v="2039.46"/>
    <m/>
  </r>
  <r>
    <s v="ORD-3854"/>
    <d v="2024-11-05T00:00:00"/>
    <s v="CUST-182"/>
    <x v="22"/>
    <x v="1"/>
    <x v="2"/>
    <x v="0"/>
    <x v="0"/>
    <s v="$149.27"/>
    <s v="Tuesday"/>
    <x v="0"/>
    <x v="0"/>
    <b v="0"/>
    <b v="0"/>
    <s v="Large Order"/>
    <n v="7.4635000000000007"/>
    <x v="6"/>
    <n v="597.08000000000004"/>
    <m/>
  </r>
  <r>
    <s v="ORD-3855"/>
    <d v="2024-06-14T00:00:00"/>
    <s v="CUST-154"/>
    <x v="7"/>
    <x v="1"/>
    <x v="4"/>
    <x v="0"/>
    <x v="10"/>
    <s v="$107.34"/>
    <s v="Friday"/>
    <x v="9"/>
    <x v="0"/>
    <b v="0"/>
    <b v="1"/>
    <s v="Large Order"/>
    <n v="5.3670000000000009"/>
    <x v="21"/>
    <n v="751.38"/>
    <m/>
  </r>
  <r>
    <s v="ORD-3856"/>
    <d v="2024-07-09T00:00:00"/>
    <s v="CUST-118"/>
    <x v="21"/>
    <x v="1"/>
    <x v="0"/>
    <x v="0"/>
    <x v="9"/>
    <s v="$32.94"/>
    <s v="Tuesday"/>
    <x v="8"/>
    <x v="0"/>
    <b v="0"/>
    <b v="0"/>
    <s v="Standard order"/>
    <n v="1.647"/>
    <x v="12"/>
    <n v="362.34"/>
    <m/>
  </r>
  <r>
    <s v="ORD-3857"/>
    <d v="2024-06-17T00:00:00"/>
    <s v="CUST-127"/>
    <x v="12"/>
    <x v="2"/>
    <x v="3"/>
    <x v="2"/>
    <x v="15"/>
    <s v="$211.9"/>
    <s v="Monday"/>
    <x v="9"/>
    <x v="0"/>
    <b v="0"/>
    <b v="1"/>
    <s v="Large Order"/>
    <n v="10.595000000000001"/>
    <x v="11"/>
    <n v="3814.2000000000003"/>
    <m/>
  </r>
  <r>
    <s v="ORD-3858"/>
    <d v="2024-05-25T00:00:00"/>
    <s v="CUST-177"/>
    <x v="11"/>
    <x v="2"/>
    <x v="4"/>
    <x v="0"/>
    <x v="15"/>
    <s v="$33.22"/>
    <s v="Saturday"/>
    <x v="7"/>
    <x v="0"/>
    <b v="1"/>
    <b v="0"/>
    <s v="Large Order"/>
    <n v="1.661"/>
    <x v="8"/>
    <n v="597.96"/>
    <m/>
  </r>
  <r>
    <s v="ORD-3859"/>
    <d v="2024-11-07T00:00:00"/>
    <s v="CUST-185"/>
    <x v="0"/>
    <x v="2"/>
    <x v="2"/>
    <x v="1"/>
    <x v="9"/>
    <s v="$146.06"/>
    <s v="Thursday"/>
    <x v="0"/>
    <x v="0"/>
    <b v="0"/>
    <b v="1"/>
    <s v="Large Order"/>
    <n v="7.3030000000000008"/>
    <x v="15"/>
    <n v="1606.66"/>
    <m/>
  </r>
  <r>
    <s v="ORD-3860"/>
    <d v="2024-04-11T00:00:00"/>
    <s v="CUST-125"/>
    <x v="15"/>
    <x v="1"/>
    <x v="2"/>
    <x v="0"/>
    <x v="14"/>
    <s v="$216.22"/>
    <s v="Thursday"/>
    <x v="2"/>
    <x v="0"/>
    <b v="0"/>
    <b v="1"/>
    <s v="Large Order"/>
    <n v="10.811"/>
    <x v="6"/>
    <n v="1945.98"/>
    <m/>
  </r>
  <r>
    <s v="ORD-3861"/>
    <d v="2024-03-04T00:00:00"/>
    <s v="CUST-157"/>
    <x v="7"/>
    <x v="2"/>
    <x v="3"/>
    <x v="4"/>
    <x v="11"/>
    <s v="$107.34"/>
    <s v="Monday"/>
    <x v="4"/>
    <x v="0"/>
    <b v="0"/>
    <b v="1"/>
    <s v="Large Order"/>
    <n v="5.3670000000000009"/>
    <x v="18"/>
    <n v="1395.42"/>
    <m/>
  </r>
  <r>
    <s v="ORD-3862"/>
    <d v="2024-01-11T00:00:00"/>
    <s v="CUST-136"/>
    <x v="18"/>
    <x v="2"/>
    <x v="1"/>
    <x v="0"/>
    <x v="12"/>
    <s v="$230.68"/>
    <s v="Thursday"/>
    <x v="6"/>
    <x v="0"/>
    <b v="0"/>
    <b v="1"/>
    <s v="Large Order"/>
    <n v="11.534000000000001"/>
    <x v="23"/>
    <n v="3460.2000000000003"/>
    <m/>
  </r>
  <r>
    <s v="ORD-3863"/>
    <d v="2024-07-25T00:00:00"/>
    <s v="CUST-104"/>
    <x v="23"/>
    <x v="2"/>
    <x v="0"/>
    <x v="3"/>
    <x v="1"/>
    <s v="$133.37"/>
    <s v="Thursday"/>
    <x v="8"/>
    <x v="0"/>
    <b v="0"/>
    <b v="0"/>
    <s v="Standard order"/>
    <n v="6.6685000000000008"/>
    <x v="16"/>
    <n v="133.37"/>
    <m/>
  </r>
  <r>
    <s v="ORD-3864"/>
    <d v="2024-02-18T00:00:00"/>
    <s v="CUST-153"/>
    <x v="16"/>
    <x v="1"/>
    <x v="3"/>
    <x v="3"/>
    <x v="5"/>
    <s v="$130.07"/>
    <s v="Sunday"/>
    <x v="5"/>
    <x v="0"/>
    <b v="1"/>
    <b v="1"/>
    <s v="Large Order"/>
    <n v="6.5034999999999998"/>
    <x v="13"/>
    <n v="1560.84"/>
    <m/>
  </r>
  <r>
    <s v="ORD-3865"/>
    <d v="2024-10-11T00:00:00"/>
    <s v="CUST-199"/>
    <x v="13"/>
    <x v="1"/>
    <x v="1"/>
    <x v="0"/>
    <x v="11"/>
    <s v="$156.44"/>
    <s v="Friday"/>
    <x v="3"/>
    <x v="0"/>
    <b v="0"/>
    <b v="1"/>
    <s v="Large Order"/>
    <n v="7.8220000000000001"/>
    <x v="1"/>
    <n v="2033.72"/>
    <m/>
  </r>
  <r>
    <s v="ORD-3866"/>
    <d v="2024-08-20T00:00:00"/>
    <s v="CUST-163"/>
    <x v="2"/>
    <x v="0"/>
    <x v="3"/>
    <x v="4"/>
    <x v="0"/>
    <s v="$88.18"/>
    <s v="Tuesday"/>
    <x v="10"/>
    <x v="0"/>
    <b v="0"/>
    <b v="0"/>
    <s v="Standard order"/>
    <n v="4.4090000000000007"/>
    <x v="0"/>
    <n v="352.72"/>
    <m/>
  </r>
  <r>
    <s v="ORD-3867"/>
    <d v="2024-01-25T00:00:00"/>
    <s v="CUST-101"/>
    <x v="1"/>
    <x v="0"/>
    <x v="3"/>
    <x v="1"/>
    <x v="7"/>
    <s v="$178.83"/>
    <s v="Thursday"/>
    <x v="6"/>
    <x v="0"/>
    <b v="0"/>
    <b v="1"/>
    <s v="Large Order"/>
    <n v="8.9415000000000013"/>
    <x v="7"/>
    <n v="1430.64"/>
    <m/>
  </r>
  <r>
    <s v="ORD-3868"/>
    <d v="2024-04-07T00:00:00"/>
    <s v="CUST-192"/>
    <x v="8"/>
    <x v="2"/>
    <x v="0"/>
    <x v="0"/>
    <x v="14"/>
    <s v="$208.85"/>
    <s v="Sunday"/>
    <x v="2"/>
    <x v="0"/>
    <b v="1"/>
    <b v="1"/>
    <s v="Large Order"/>
    <n v="10.442500000000001"/>
    <x v="15"/>
    <n v="1879.6499999999999"/>
    <m/>
  </r>
  <r>
    <s v="ORD-3869"/>
    <d v="2024-01-23T00:00:00"/>
    <s v="CUST-114"/>
    <x v="15"/>
    <x v="1"/>
    <x v="0"/>
    <x v="3"/>
    <x v="9"/>
    <s v="$216.22"/>
    <s v="Tuesday"/>
    <x v="6"/>
    <x v="0"/>
    <b v="0"/>
    <b v="1"/>
    <s v="Large Order"/>
    <n v="10.811"/>
    <x v="10"/>
    <n v="2378.42"/>
    <m/>
  </r>
  <r>
    <s v="ORD-3870"/>
    <d v="2024-07-13T00:00:00"/>
    <s v="CUST-134"/>
    <x v="10"/>
    <x v="0"/>
    <x v="4"/>
    <x v="4"/>
    <x v="12"/>
    <s v="$46.19"/>
    <s v="Saturday"/>
    <x v="8"/>
    <x v="0"/>
    <b v="1"/>
    <b v="0"/>
    <s v="Large Order"/>
    <n v="2.3094999999999999"/>
    <x v="21"/>
    <n v="692.84999999999991"/>
    <m/>
  </r>
  <r>
    <s v="ORD-3871"/>
    <d v="2024-06-12T00:00:00"/>
    <s v="CUST-118"/>
    <x v="21"/>
    <x v="2"/>
    <x v="2"/>
    <x v="1"/>
    <x v="0"/>
    <s v="$32.94"/>
    <s v="Wednesday"/>
    <x v="9"/>
    <x v="0"/>
    <b v="0"/>
    <b v="0"/>
    <s v="Standard order"/>
    <n v="1.647"/>
    <x v="4"/>
    <n v="131.76"/>
    <m/>
  </r>
  <r>
    <s v="ORD-3872"/>
    <d v="2024-05-03T00:00:00"/>
    <s v="CUST-173"/>
    <x v="5"/>
    <x v="2"/>
    <x v="2"/>
    <x v="3"/>
    <x v="9"/>
    <s v="$64.61"/>
    <s v="Friday"/>
    <x v="7"/>
    <x v="0"/>
    <b v="0"/>
    <b v="0"/>
    <s v="Large Order"/>
    <n v="3.2305000000000001"/>
    <x v="8"/>
    <n v="710.71"/>
    <m/>
  </r>
  <r>
    <s v="ORD-3873"/>
    <d v="2024-09-04T00:00:00"/>
    <s v="CUST-128"/>
    <x v="0"/>
    <x v="1"/>
    <x v="3"/>
    <x v="0"/>
    <x v="5"/>
    <s v="$146.06"/>
    <s v="Wednesday"/>
    <x v="11"/>
    <x v="0"/>
    <b v="0"/>
    <b v="1"/>
    <s v="Large Order"/>
    <n v="7.3030000000000008"/>
    <x v="1"/>
    <n v="1752.72"/>
    <m/>
  </r>
  <r>
    <s v="ORD-3874"/>
    <d v="2024-05-04T00:00:00"/>
    <s v="CUST-184"/>
    <x v="2"/>
    <x v="2"/>
    <x v="4"/>
    <x v="0"/>
    <x v="13"/>
    <s v="$88.18"/>
    <s v="Saturday"/>
    <x v="7"/>
    <x v="0"/>
    <b v="1"/>
    <b v="0"/>
    <s v="Standard order"/>
    <n v="4.4090000000000007"/>
    <x v="18"/>
    <n v="264.54000000000002"/>
    <m/>
  </r>
  <r>
    <s v="ORD-3875"/>
    <d v="2024-01-31T00:00:00"/>
    <s v="CUST-127"/>
    <x v="18"/>
    <x v="2"/>
    <x v="4"/>
    <x v="1"/>
    <x v="11"/>
    <s v="$230.68"/>
    <s v="Wednesday"/>
    <x v="6"/>
    <x v="0"/>
    <b v="0"/>
    <b v="1"/>
    <s v="Large Order"/>
    <n v="11.534000000000001"/>
    <x v="11"/>
    <n v="2998.84"/>
    <m/>
  </r>
  <r>
    <s v="ORD-3876"/>
    <d v="2024-02-23T00:00:00"/>
    <s v="CUST-143"/>
    <x v="11"/>
    <x v="2"/>
    <x v="1"/>
    <x v="4"/>
    <x v="9"/>
    <s v="$33.22"/>
    <s v="Friday"/>
    <x v="5"/>
    <x v="0"/>
    <b v="0"/>
    <b v="0"/>
    <s v="Standard order"/>
    <n v="1.661"/>
    <x v="12"/>
    <n v="365.41999999999996"/>
    <m/>
  </r>
  <r>
    <s v="ORD-3877"/>
    <d v="2024-06-08T00:00:00"/>
    <s v="CUST-190"/>
    <x v="12"/>
    <x v="2"/>
    <x v="4"/>
    <x v="4"/>
    <x v="0"/>
    <s v="$211.9"/>
    <s v="Saturday"/>
    <x v="9"/>
    <x v="0"/>
    <b v="1"/>
    <b v="0"/>
    <s v="Large Order"/>
    <n v="10.595000000000001"/>
    <x v="3"/>
    <n v="847.6"/>
    <m/>
  </r>
  <r>
    <s v="ORD-3878"/>
    <d v="2024-04-22T00:00:00"/>
    <s v="CUST-146"/>
    <x v="4"/>
    <x v="1"/>
    <x v="1"/>
    <x v="4"/>
    <x v="10"/>
    <s v="$230.34"/>
    <s v="Monday"/>
    <x v="2"/>
    <x v="0"/>
    <b v="0"/>
    <b v="1"/>
    <s v="Large Order"/>
    <n v="11.517000000000001"/>
    <x v="2"/>
    <n v="1612.38"/>
    <m/>
  </r>
  <r>
    <s v="ORD-3879"/>
    <d v="2024-04-06T00:00:00"/>
    <s v="CUST-108"/>
    <x v="3"/>
    <x v="1"/>
    <x v="4"/>
    <x v="3"/>
    <x v="16"/>
    <s v="$84.57"/>
    <s v="Saturday"/>
    <x v="2"/>
    <x v="0"/>
    <b v="1"/>
    <b v="1"/>
    <s v="Large Order"/>
    <n v="4.2284999999999995"/>
    <x v="19"/>
    <n v="1606.83"/>
    <m/>
  </r>
  <r>
    <s v="ORD-3880"/>
    <d v="2024-03-16T00:00:00"/>
    <s v="CUST-159"/>
    <x v="19"/>
    <x v="2"/>
    <x v="0"/>
    <x v="2"/>
    <x v="1"/>
    <s v="$145.48"/>
    <s v="Saturday"/>
    <x v="4"/>
    <x v="0"/>
    <b v="1"/>
    <b v="0"/>
    <s v="Standard order"/>
    <n v="7.274"/>
    <x v="18"/>
    <n v="145.47999999999999"/>
    <m/>
  </r>
  <r>
    <s v="ORD-3881"/>
    <d v="2024-04-05T00:00:00"/>
    <s v="CUST-134"/>
    <x v="18"/>
    <x v="1"/>
    <x v="1"/>
    <x v="1"/>
    <x v="5"/>
    <s v="$230.68"/>
    <s v="Friday"/>
    <x v="2"/>
    <x v="0"/>
    <b v="0"/>
    <b v="1"/>
    <s v="Large Order"/>
    <n v="11.534000000000001"/>
    <x v="7"/>
    <n v="2768.16"/>
    <m/>
  </r>
  <r>
    <s v="ORD-3882"/>
    <d v="2024-10-08T00:00:00"/>
    <s v="CUST-110"/>
    <x v="8"/>
    <x v="1"/>
    <x v="4"/>
    <x v="2"/>
    <x v="11"/>
    <s v="$208.85"/>
    <s v="Tuesday"/>
    <x v="3"/>
    <x v="0"/>
    <b v="0"/>
    <b v="1"/>
    <s v="Large Order"/>
    <n v="10.442500000000001"/>
    <x v="15"/>
    <n v="2715.0499999999997"/>
    <m/>
  </r>
  <r>
    <s v="ORD-3883"/>
    <d v="2024-09-17T00:00:00"/>
    <s v="CUST-142"/>
    <x v="15"/>
    <x v="1"/>
    <x v="3"/>
    <x v="3"/>
    <x v="0"/>
    <s v="$216.22"/>
    <s v="Tuesday"/>
    <x v="11"/>
    <x v="0"/>
    <b v="0"/>
    <b v="0"/>
    <s v="Large Order"/>
    <n v="10.811"/>
    <x v="17"/>
    <n v="864.88"/>
    <m/>
  </r>
  <r>
    <s v="ORD-3884"/>
    <d v="2024-07-14T00:00:00"/>
    <s v="CUST-193"/>
    <x v="17"/>
    <x v="0"/>
    <x v="3"/>
    <x v="2"/>
    <x v="11"/>
    <s v="$26.59"/>
    <s v="Sunday"/>
    <x v="8"/>
    <x v="0"/>
    <b v="1"/>
    <b v="0"/>
    <s v="Standard order"/>
    <n v="1.3295000000000001"/>
    <x v="20"/>
    <n v="345.67"/>
    <m/>
  </r>
  <r>
    <s v="ORD-3885"/>
    <d v="2024-05-21T00:00:00"/>
    <s v="CUST-167"/>
    <x v="20"/>
    <x v="1"/>
    <x v="1"/>
    <x v="1"/>
    <x v="0"/>
    <s v="$81.02"/>
    <s v="Tuesday"/>
    <x v="7"/>
    <x v="0"/>
    <b v="0"/>
    <b v="0"/>
    <s v="Standard order"/>
    <n v="4.0510000000000002"/>
    <x v="19"/>
    <n v="324.08"/>
    <m/>
  </r>
  <r>
    <s v="ORD-3886"/>
    <d v="2024-11-26T00:00:00"/>
    <s v="CUST-131"/>
    <x v="19"/>
    <x v="0"/>
    <x v="0"/>
    <x v="0"/>
    <x v="4"/>
    <s v="$145.48"/>
    <s v="Tuesday"/>
    <x v="0"/>
    <x v="0"/>
    <b v="0"/>
    <b v="0"/>
    <s v="Standard order"/>
    <n v="7.274"/>
    <x v="23"/>
    <n v="290.95999999999998"/>
    <m/>
  </r>
  <r>
    <s v="ORD-3887"/>
    <d v="2024-05-02T00:00:00"/>
    <s v="CUST-108"/>
    <x v="23"/>
    <x v="0"/>
    <x v="3"/>
    <x v="2"/>
    <x v="19"/>
    <s v="$133.37"/>
    <s v="Thursday"/>
    <x v="7"/>
    <x v="0"/>
    <b v="0"/>
    <b v="1"/>
    <s v="Large Order"/>
    <n v="6.6685000000000008"/>
    <x v="3"/>
    <n v="2667.4"/>
    <m/>
  </r>
  <r>
    <s v="ORD-3888"/>
    <d v="2024-07-26T00:00:00"/>
    <s v="CUST-150"/>
    <x v="4"/>
    <x v="0"/>
    <x v="4"/>
    <x v="3"/>
    <x v="17"/>
    <s v="$230.34"/>
    <s v="Friday"/>
    <x v="8"/>
    <x v="0"/>
    <b v="0"/>
    <b v="1"/>
    <s v="Large Order"/>
    <n v="11.517000000000001"/>
    <x v="1"/>
    <n v="3685.44"/>
    <m/>
  </r>
  <r>
    <s v="ORD-3889"/>
    <d v="2024-04-14T00:00:00"/>
    <s v="CUST-144"/>
    <x v="2"/>
    <x v="1"/>
    <x v="1"/>
    <x v="3"/>
    <x v="1"/>
    <s v="$88.18"/>
    <s v="Sunday"/>
    <x v="2"/>
    <x v="0"/>
    <b v="1"/>
    <b v="0"/>
    <s v="Standard order"/>
    <n v="4.4090000000000007"/>
    <x v="20"/>
    <n v="88.18"/>
    <m/>
  </r>
  <r>
    <s v="ORD-3890"/>
    <d v="2024-09-14T00:00:00"/>
    <s v="CUST-189"/>
    <x v="20"/>
    <x v="1"/>
    <x v="3"/>
    <x v="2"/>
    <x v="6"/>
    <s v="$81.02"/>
    <s v="Saturday"/>
    <x v="11"/>
    <x v="0"/>
    <b v="1"/>
    <b v="0"/>
    <s v="Standard order"/>
    <n v="4.0510000000000002"/>
    <x v="6"/>
    <n v="486.12"/>
    <m/>
  </r>
  <r>
    <s v="ORD-3891"/>
    <d v="2024-02-05T00:00:00"/>
    <s v="CUST-121"/>
    <x v="7"/>
    <x v="1"/>
    <x v="2"/>
    <x v="2"/>
    <x v="1"/>
    <s v="$107.34"/>
    <s v="Monday"/>
    <x v="5"/>
    <x v="0"/>
    <b v="0"/>
    <b v="0"/>
    <s v="Standard order"/>
    <n v="5.3670000000000009"/>
    <x v="18"/>
    <n v="107.34"/>
    <m/>
  </r>
  <r>
    <s v="ORD-3892"/>
    <d v="2024-08-07T00:00:00"/>
    <s v="CUST-142"/>
    <x v="18"/>
    <x v="0"/>
    <x v="3"/>
    <x v="0"/>
    <x v="6"/>
    <s v="$230.68"/>
    <s v="Wednesday"/>
    <x v="10"/>
    <x v="0"/>
    <b v="0"/>
    <b v="1"/>
    <s v="Large Order"/>
    <n v="11.534000000000001"/>
    <x v="7"/>
    <n v="1384.08"/>
    <m/>
  </r>
  <r>
    <s v="ORD-3893"/>
    <d v="2024-01-05T00:00:00"/>
    <s v="CUST-176"/>
    <x v="8"/>
    <x v="1"/>
    <x v="1"/>
    <x v="0"/>
    <x v="17"/>
    <s v="$208.85"/>
    <s v="Friday"/>
    <x v="6"/>
    <x v="0"/>
    <b v="0"/>
    <b v="1"/>
    <s v="Large Order"/>
    <n v="10.442500000000001"/>
    <x v="15"/>
    <n v="3341.6"/>
    <m/>
  </r>
  <r>
    <s v="ORD-3894"/>
    <d v="2024-08-29T00:00:00"/>
    <s v="CUST-114"/>
    <x v="15"/>
    <x v="0"/>
    <x v="1"/>
    <x v="3"/>
    <x v="7"/>
    <s v="$216.22"/>
    <s v="Thursday"/>
    <x v="10"/>
    <x v="0"/>
    <b v="0"/>
    <b v="1"/>
    <s v="Large Order"/>
    <n v="10.811"/>
    <x v="0"/>
    <n v="1729.76"/>
    <m/>
  </r>
  <r>
    <s v="ORD-3895"/>
    <d v="2024-03-26T00:00:00"/>
    <s v="CUST-196"/>
    <x v="1"/>
    <x v="0"/>
    <x v="0"/>
    <x v="3"/>
    <x v="9"/>
    <s v="$178.83"/>
    <s v="Tuesday"/>
    <x v="4"/>
    <x v="0"/>
    <b v="0"/>
    <b v="1"/>
    <s v="Large Order"/>
    <n v="8.9415000000000013"/>
    <x v="2"/>
    <n v="1967.13"/>
    <m/>
  </r>
  <r>
    <s v="ORD-3896"/>
    <d v="2024-06-28T00:00:00"/>
    <s v="CUST-169"/>
    <x v="3"/>
    <x v="2"/>
    <x v="2"/>
    <x v="3"/>
    <x v="5"/>
    <s v="$84.57"/>
    <s v="Friday"/>
    <x v="9"/>
    <x v="0"/>
    <b v="0"/>
    <b v="1"/>
    <s v="Large Order"/>
    <n v="4.2284999999999995"/>
    <x v="10"/>
    <n v="1014.8399999999999"/>
    <m/>
  </r>
  <r>
    <s v="ORD-3897"/>
    <d v="2024-06-29T00:00:00"/>
    <s v="CUST-138"/>
    <x v="10"/>
    <x v="1"/>
    <x v="1"/>
    <x v="4"/>
    <x v="17"/>
    <s v="$46.19"/>
    <s v="Saturday"/>
    <x v="9"/>
    <x v="0"/>
    <b v="1"/>
    <b v="0"/>
    <s v="Large Order"/>
    <n v="2.3094999999999999"/>
    <x v="16"/>
    <n v="739.04"/>
    <m/>
  </r>
  <r>
    <s v="ORD-3898"/>
    <d v="2024-12-17T00:00:00"/>
    <s v="CUST-166"/>
    <x v="16"/>
    <x v="2"/>
    <x v="0"/>
    <x v="2"/>
    <x v="3"/>
    <s v="$130.07"/>
    <s v="Tuesday"/>
    <x v="1"/>
    <x v="0"/>
    <b v="0"/>
    <b v="1"/>
    <s v="Large Order"/>
    <n v="6.5034999999999998"/>
    <x v="7"/>
    <n v="1820.98"/>
    <m/>
  </r>
  <r>
    <s v="ORD-3899"/>
    <d v="2024-12-03T00:00:00"/>
    <s v="CUST-118"/>
    <x v="8"/>
    <x v="1"/>
    <x v="0"/>
    <x v="2"/>
    <x v="16"/>
    <s v="$208.85"/>
    <s v="Tuesday"/>
    <x v="1"/>
    <x v="0"/>
    <b v="0"/>
    <b v="1"/>
    <s v="Large Order"/>
    <n v="10.442500000000001"/>
    <x v="11"/>
    <n v="3968.15"/>
    <m/>
  </r>
  <r>
    <s v="ORD-3900"/>
    <d v="2024-08-08T00:00:00"/>
    <s v="CUST-146"/>
    <x v="11"/>
    <x v="2"/>
    <x v="0"/>
    <x v="2"/>
    <x v="11"/>
    <s v="$33.22"/>
    <s v="Thursday"/>
    <x v="10"/>
    <x v="0"/>
    <b v="0"/>
    <b v="0"/>
    <s v="Standard order"/>
    <n v="1.661"/>
    <x v="5"/>
    <n v="431.86"/>
    <m/>
  </r>
  <r>
    <s v="ORD-3901"/>
    <d v="2024-05-20T00:00:00"/>
    <s v="CUST-180"/>
    <x v="6"/>
    <x v="2"/>
    <x v="2"/>
    <x v="4"/>
    <x v="6"/>
    <s v="$86.6"/>
    <s v="Monday"/>
    <x v="7"/>
    <x v="0"/>
    <b v="0"/>
    <b v="0"/>
    <s v="Large Order"/>
    <n v="4.33"/>
    <x v="13"/>
    <n v="519.59999999999991"/>
    <m/>
  </r>
  <r>
    <s v="ORD-3902"/>
    <d v="2024-12-13T00:00:00"/>
    <s v="CUST-144"/>
    <x v="13"/>
    <x v="1"/>
    <x v="1"/>
    <x v="1"/>
    <x v="14"/>
    <s v="$156.44"/>
    <s v="Friday"/>
    <x v="1"/>
    <x v="0"/>
    <b v="0"/>
    <b v="1"/>
    <s v="Large Order"/>
    <n v="7.8220000000000001"/>
    <x v="22"/>
    <n v="1407.96"/>
    <m/>
  </r>
  <r>
    <s v="ORD-3903"/>
    <d v="2024-01-22T00:00:00"/>
    <s v="CUST-174"/>
    <x v="22"/>
    <x v="2"/>
    <x v="3"/>
    <x v="4"/>
    <x v="0"/>
    <s v="$149.27"/>
    <s v="Monday"/>
    <x v="6"/>
    <x v="0"/>
    <b v="0"/>
    <b v="0"/>
    <s v="Large Order"/>
    <n v="7.4635000000000007"/>
    <x v="7"/>
    <n v="597.08000000000004"/>
    <m/>
  </r>
  <r>
    <s v="ORD-3904"/>
    <d v="2024-08-20T00:00:00"/>
    <s v="CUST-172"/>
    <x v="8"/>
    <x v="1"/>
    <x v="0"/>
    <x v="0"/>
    <x v="17"/>
    <s v="$208.85"/>
    <s v="Tuesday"/>
    <x v="10"/>
    <x v="0"/>
    <b v="0"/>
    <b v="1"/>
    <s v="Large Order"/>
    <n v="10.442500000000001"/>
    <x v="5"/>
    <n v="3341.6"/>
    <m/>
  </r>
  <r>
    <s v="ORD-3905"/>
    <d v="2024-03-16T00:00:00"/>
    <s v="CUST-159"/>
    <x v="6"/>
    <x v="0"/>
    <x v="1"/>
    <x v="3"/>
    <x v="19"/>
    <s v="$86.6"/>
    <s v="Saturday"/>
    <x v="4"/>
    <x v="0"/>
    <b v="1"/>
    <b v="1"/>
    <s v="Large Order"/>
    <n v="4.33"/>
    <x v="4"/>
    <n v="1732"/>
    <m/>
  </r>
  <r>
    <s v="ORD-3906"/>
    <d v="2024-03-24T00:00:00"/>
    <s v="CUST-138"/>
    <x v="5"/>
    <x v="1"/>
    <x v="0"/>
    <x v="3"/>
    <x v="1"/>
    <s v="$64.61"/>
    <s v="Sunday"/>
    <x v="4"/>
    <x v="0"/>
    <b v="1"/>
    <b v="0"/>
    <s v="Standard order"/>
    <n v="3.2305000000000001"/>
    <x v="9"/>
    <n v="64.61"/>
    <m/>
  </r>
  <r>
    <s v="ORD-3907"/>
    <d v="2024-04-21T00:00:00"/>
    <s v="CUST-136"/>
    <x v="9"/>
    <x v="0"/>
    <x v="0"/>
    <x v="1"/>
    <x v="8"/>
    <s v="$101.96"/>
    <s v="Sunday"/>
    <x v="2"/>
    <x v="0"/>
    <b v="1"/>
    <b v="1"/>
    <s v="Large Order"/>
    <n v="5.0979999999999999"/>
    <x v="18"/>
    <n v="1019.5999999999999"/>
    <m/>
  </r>
  <r>
    <s v="ORD-3908"/>
    <d v="2024-06-29T00:00:00"/>
    <s v="CUST-184"/>
    <x v="18"/>
    <x v="0"/>
    <x v="3"/>
    <x v="2"/>
    <x v="5"/>
    <s v="$230.68"/>
    <s v="Saturday"/>
    <x v="9"/>
    <x v="0"/>
    <b v="1"/>
    <b v="1"/>
    <s v="Large Order"/>
    <n v="11.534000000000001"/>
    <x v="21"/>
    <n v="2768.16"/>
    <m/>
  </r>
  <r>
    <s v="ORD-3909"/>
    <d v="2024-09-14T00:00:00"/>
    <s v="CUST-185"/>
    <x v="21"/>
    <x v="2"/>
    <x v="4"/>
    <x v="0"/>
    <x v="14"/>
    <s v="$32.94"/>
    <s v="Saturday"/>
    <x v="11"/>
    <x v="0"/>
    <b v="1"/>
    <b v="0"/>
    <s v="Standard order"/>
    <n v="1.647"/>
    <x v="9"/>
    <n v="296.45999999999998"/>
    <m/>
  </r>
  <r>
    <s v="ORD-3910"/>
    <d v="2024-04-10T00:00:00"/>
    <s v="CUST-155"/>
    <x v="9"/>
    <x v="0"/>
    <x v="3"/>
    <x v="2"/>
    <x v="4"/>
    <s v="$101.96"/>
    <s v="Wednesday"/>
    <x v="2"/>
    <x v="0"/>
    <b v="0"/>
    <b v="0"/>
    <s v="Standard order"/>
    <n v="5.0979999999999999"/>
    <x v="5"/>
    <n v="203.92"/>
    <m/>
  </r>
  <r>
    <s v="ORD-3911"/>
    <d v="2024-06-30T00:00:00"/>
    <s v="CUST-131"/>
    <x v="6"/>
    <x v="2"/>
    <x v="2"/>
    <x v="1"/>
    <x v="11"/>
    <s v="$86.6"/>
    <s v="Sunday"/>
    <x v="9"/>
    <x v="0"/>
    <b v="1"/>
    <b v="1"/>
    <s v="Large Order"/>
    <n v="4.33"/>
    <x v="14"/>
    <n v="1125.8"/>
    <m/>
  </r>
  <r>
    <s v="ORD-3912"/>
    <d v="2024-02-20T00:00:00"/>
    <s v="CUST-133"/>
    <x v="14"/>
    <x v="2"/>
    <x v="3"/>
    <x v="2"/>
    <x v="16"/>
    <s v="$201.32"/>
    <s v="Tuesday"/>
    <x v="5"/>
    <x v="0"/>
    <b v="0"/>
    <b v="1"/>
    <s v="Large Order"/>
    <n v="10.066000000000001"/>
    <x v="0"/>
    <n v="3825.08"/>
    <m/>
  </r>
  <r>
    <s v="ORD-3913"/>
    <d v="2024-06-14T00:00:00"/>
    <s v="CUST-174"/>
    <x v="1"/>
    <x v="2"/>
    <x v="4"/>
    <x v="3"/>
    <x v="2"/>
    <s v="$178.83"/>
    <s v="Friday"/>
    <x v="9"/>
    <x v="0"/>
    <b v="0"/>
    <b v="0"/>
    <s v="Large Order"/>
    <n v="8.9415000000000013"/>
    <x v="14"/>
    <n v="894.15000000000009"/>
    <m/>
  </r>
  <r>
    <s v="ORD-3914"/>
    <d v="2024-04-12T00:00:00"/>
    <s v="CUST-138"/>
    <x v="14"/>
    <x v="0"/>
    <x v="3"/>
    <x v="4"/>
    <x v="12"/>
    <s v="$201.32"/>
    <s v="Friday"/>
    <x v="2"/>
    <x v="0"/>
    <b v="0"/>
    <b v="1"/>
    <s v="Large Order"/>
    <n v="10.066000000000001"/>
    <x v="17"/>
    <n v="3019.7999999999997"/>
    <m/>
  </r>
  <r>
    <s v="ORD-3915"/>
    <d v="2024-07-11T00:00:00"/>
    <s v="CUST-200"/>
    <x v="17"/>
    <x v="0"/>
    <x v="4"/>
    <x v="4"/>
    <x v="12"/>
    <s v="$26.59"/>
    <s v="Thursday"/>
    <x v="8"/>
    <x v="0"/>
    <b v="0"/>
    <b v="0"/>
    <s v="Standard order"/>
    <n v="1.3295000000000001"/>
    <x v="10"/>
    <n v="398.85"/>
    <m/>
  </r>
  <r>
    <s v="ORD-3916"/>
    <d v="2024-09-14T00:00:00"/>
    <s v="CUST-187"/>
    <x v="10"/>
    <x v="1"/>
    <x v="2"/>
    <x v="3"/>
    <x v="3"/>
    <s v="$46.19"/>
    <s v="Saturday"/>
    <x v="11"/>
    <x v="0"/>
    <b v="1"/>
    <b v="0"/>
    <s v="Large Order"/>
    <n v="2.3094999999999999"/>
    <x v="18"/>
    <n v="646.66"/>
    <m/>
  </r>
  <r>
    <s v="ORD-3917"/>
    <d v="2024-07-29T00:00:00"/>
    <s v="CUST-159"/>
    <x v="18"/>
    <x v="2"/>
    <x v="0"/>
    <x v="1"/>
    <x v="13"/>
    <s v="$230.68"/>
    <s v="Monday"/>
    <x v="8"/>
    <x v="0"/>
    <b v="0"/>
    <b v="0"/>
    <s v="Large Order"/>
    <n v="11.534000000000001"/>
    <x v="24"/>
    <n v="692.04"/>
    <m/>
  </r>
  <r>
    <s v="ORD-3918"/>
    <d v="2024-11-10T00:00:00"/>
    <s v="CUST-138"/>
    <x v="24"/>
    <x v="2"/>
    <x v="1"/>
    <x v="3"/>
    <x v="2"/>
    <s v="$10.11"/>
    <s v="Sunday"/>
    <x v="0"/>
    <x v="0"/>
    <b v="1"/>
    <b v="0"/>
    <s v="Standard order"/>
    <n v="0.50549999999999995"/>
    <x v="15"/>
    <n v="50.55"/>
    <m/>
  </r>
  <r>
    <s v="ORD-3919"/>
    <d v="2024-10-16T00:00:00"/>
    <s v="CUST-137"/>
    <x v="15"/>
    <x v="1"/>
    <x v="4"/>
    <x v="1"/>
    <x v="1"/>
    <s v="$216.22"/>
    <s v="Wednesday"/>
    <x v="3"/>
    <x v="0"/>
    <b v="0"/>
    <b v="0"/>
    <s v="Standard order"/>
    <n v="10.811"/>
    <x v="15"/>
    <n v="216.22"/>
    <m/>
  </r>
  <r>
    <s v="ORD-3920"/>
    <d v="2024-09-22T00:00:00"/>
    <s v="CUST-158"/>
    <x v="15"/>
    <x v="0"/>
    <x v="0"/>
    <x v="3"/>
    <x v="0"/>
    <s v="$216.22"/>
    <s v="Sunday"/>
    <x v="11"/>
    <x v="0"/>
    <b v="1"/>
    <b v="0"/>
    <s v="Large Order"/>
    <n v="10.811"/>
    <x v="9"/>
    <n v="864.88"/>
    <m/>
  </r>
  <r>
    <s v="ORD-3921"/>
    <d v="2024-02-19T00:00:00"/>
    <s v="CUST-137"/>
    <x v="9"/>
    <x v="1"/>
    <x v="3"/>
    <x v="0"/>
    <x v="0"/>
    <s v="$101.96"/>
    <s v="Monday"/>
    <x v="5"/>
    <x v="0"/>
    <b v="0"/>
    <b v="0"/>
    <s v="Standard order"/>
    <n v="5.0979999999999999"/>
    <x v="16"/>
    <n v="407.84"/>
    <m/>
  </r>
  <r>
    <s v="ORD-3922"/>
    <d v="2024-12-11T00:00:00"/>
    <s v="CUST-165"/>
    <x v="16"/>
    <x v="2"/>
    <x v="0"/>
    <x v="2"/>
    <x v="18"/>
    <s v="$130.07"/>
    <s v="Wednesday"/>
    <x v="1"/>
    <x v="0"/>
    <b v="0"/>
    <b v="1"/>
    <s v="Large Order"/>
    <n v="6.5034999999999998"/>
    <x v="24"/>
    <n v="2211.19"/>
    <m/>
  </r>
  <r>
    <s v="ORD-3923"/>
    <d v="2024-09-10T00:00:00"/>
    <s v="CUST-117"/>
    <x v="24"/>
    <x v="2"/>
    <x v="4"/>
    <x v="3"/>
    <x v="8"/>
    <s v="$10.11"/>
    <s v="Tuesday"/>
    <x v="11"/>
    <x v="0"/>
    <b v="0"/>
    <b v="0"/>
    <s v="Standard order"/>
    <n v="0.50549999999999995"/>
    <x v="20"/>
    <n v="101.1"/>
    <m/>
  </r>
  <r>
    <s v="ORD-3924"/>
    <d v="2024-01-04T00:00:00"/>
    <s v="CUST-162"/>
    <x v="20"/>
    <x v="2"/>
    <x v="4"/>
    <x v="0"/>
    <x v="13"/>
    <s v="$81.02"/>
    <s v="Thursday"/>
    <x v="6"/>
    <x v="0"/>
    <b v="0"/>
    <b v="0"/>
    <s v="Standard order"/>
    <n v="4.0510000000000002"/>
    <x v="22"/>
    <n v="243.06"/>
    <m/>
  </r>
  <r>
    <s v="ORD-3925"/>
    <d v="2024-11-05T00:00:00"/>
    <s v="CUST-115"/>
    <x v="22"/>
    <x v="0"/>
    <x v="4"/>
    <x v="2"/>
    <x v="0"/>
    <s v="$149.27"/>
    <s v="Tuesday"/>
    <x v="0"/>
    <x v="0"/>
    <b v="0"/>
    <b v="0"/>
    <s v="Large Order"/>
    <n v="7.4635000000000007"/>
    <x v="3"/>
    <n v="597.08000000000004"/>
    <m/>
  </r>
  <r>
    <s v="ORD-3926"/>
    <d v="2024-09-15T00:00:00"/>
    <s v="CUST-156"/>
    <x v="4"/>
    <x v="0"/>
    <x v="0"/>
    <x v="3"/>
    <x v="11"/>
    <s v="$230.34"/>
    <s v="Sunday"/>
    <x v="11"/>
    <x v="0"/>
    <b v="1"/>
    <b v="1"/>
    <s v="Large Order"/>
    <n v="11.517000000000001"/>
    <x v="23"/>
    <n v="2994.42"/>
    <m/>
  </r>
  <r>
    <s v="ORD-3927"/>
    <d v="2024-04-04T00:00:00"/>
    <s v="CUST-130"/>
    <x v="23"/>
    <x v="1"/>
    <x v="1"/>
    <x v="1"/>
    <x v="19"/>
    <s v="$133.37"/>
    <s v="Thursday"/>
    <x v="2"/>
    <x v="0"/>
    <b v="0"/>
    <b v="1"/>
    <s v="Large Order"/>
    <n v="6.6685000000000008"/>
    <x v="18"/>
    <n v="2667.4"/>
    <m/>
  </r>
  <r>
    <s v="ORD-3928"/>
    <d v="2024-03-15T00:00:00"/>
    <s v="CUST-181"/>
    <x v="18"/>
    <x v="0"/>
    <x v="4"/>
    <x v="2"/>
    <x v="6"/>
    <s v="$230.68"/>
    <s v="Friday"/>
    <x v="4"/>
    <x v="0"/>
    <b v="0"/>
    <b v="1"/>
    <s v="Large Order"/>
    <n v="11.534000000000001"/>
    <x v="11"/>
    <n v="1384.08"/>
    <m/>
  </r>
  <r>
    <s v="ORD-3929"/>
    <d v="2024-12-24T00:00:00"/>
    <s v="CUST-169"/>
    <x v="11"/>
    <x v="1"/>
    <x v="2"/>
    <x v="3"/>
    <x v="8"/>
    <s v="$33.22"/>
    <s v="Tuesday"/>
    <x v="1"/>
    <x v="0"/>
    <b v="0"/>
    <b v="0"/>
    <s v="Standard order"/>
    <n v="1.661"/>
    <x v="7"/>
    <n v="332.2"/>
    <m/>
  </r>
  <r>
    <s v="ORD-3930"/>
    <d v="2024-10-28T00:00:00"/>
    <s v="CUST-163"/>
    <x v="8"/>
    <x v="2"/>
    <x v="3"/>
    <x v="1"/>
    <x v="11"/>
    <s v="$208.85"/>
    <s v="Monday"/>
    <x v="3"/>
    <x v="0"/>
    <b v="0"/>
    <b v="1"/>
    <s v="Large Order"/>
    <n v="10.442500000000001"/>
    <x v="17"/>
    <n v="2715.0499999999997"/>
    <m/>
  </r>
  <r>
    <s v="ORD-3931"/>
    <d v="2024-02-24T00:00:00"/>
    <s v="CUST-159"/>
    <x v="17"/>
    <x v="1"/>
    <x v="4"/>
    <x v="0"/>
    <x v="8"/>
    <s v="$26.59"/>
    <s v="Saturday"/>
    <x v="5"/>
    <x v="0"/>
    <b v="1"/>
    <b v="0"/>
    <s v="Standard order"/>
    <n v="1.3295000000000001"/>
    <x v="18"/>
    <n v="265.89999999999998"/>
    <m/>
  </r>
  <r>
    <s v="ORD-3932"/>
    <d v="2024-10-15T00:00:00"/>
    <s v="CUST-149"/>
    <x v="18"/>
    <x v="2"/>
    <x v="3"/>
    <x v="0"/>
    <x v="19"/>
    <s v="$230.68"/>
    <s v="Tuesday"/>
    <x v="3"/>
    <x v="0"/>
    <b v="0"/>
    <b v="1"/>
    <s v="Large Order"/>
    <n v="11.534000000000001"/>
    <x v="12"/>
    <n v="4613.6000000000004"/>
    <m/>
  </r>
  <r>
    <s v="ORD-3933"/>
    <d v="2024-06-30T00:00:00"/>
    <s v="CUST-117"/>
    <x v="12"/>
    <x v="2"/>
    <x v="2"/>
    <x v="3"/>
    <x v="1"/>
    <s v="$211.9"/>
    <s v="Sunday"/>
    <x v="9"/>
    <x v="0"/>
    <b v="1"/>
    <b v="0"/>
    <s v="Standard order"/>
    <n v="10.595000000000001"/>
    <x v="22"/>
    <n v="211.9"/>
    <m/>
  </r>
  <r>
    <s v="ORD-3934"/>
    <d v="2024-07-02T00:00:00"/>
    <s v="CUST-164"/>
    <x v="22"/>
    <x v="0"/>
    <x v="3"/>
    <x v="4"/>
    <x v="11"/>
    <s v="$149.27"/>
    <s v="Tuesday"/>
    <x v="8"/>
    <x v="0"/>
    <b v="0"/>
    <b v="1"/>
    <s v="Large Order"/>
    <n v="7.4635000000000007"/>
    <x v="0"/>
    <n v="1940.5100000000002"/>
    <m/>
  </r>
  <r>
    <s v="ORD-3935"/>
    <d v="2024-03-30T00:00:00"/>
    <s v="CUST-183"/>
    <x v="1"/>
    <x v="1"/>
    <x v="1"/>
    <x v="3"/>
    <x v="12"/>
    <s v="$178.83"/>
    <s v="Saturday"/>
    <x v="4"/>
    <x v="0"/>
    <b v="1"/>
    <b v="1"/>
    <s v="Large Order"/>
    <n v="8.9415000000000013"/>
    <x v="21"/>
    <n v="2682.4500000000003"/>
    <m/>
  </r>
  <r>
    <s v="ORD-3936"/>
    <d v="2024-03-12T00:00:00"/>
    <s v="CUST-135"/>
    <x v="21"/>
    <x v="2"/>
    <x v="3"/>
    <x v="1"/>
    <x v="13"/>
    <s v="$32.94"/>
    <s v="Tuesday"/>
    <x v="4"/>
    <x v="0"/>
    <b v="0"/>
    <b v="0"/>
    <s v="Standard order"/>
    <n v="1.647"/>
    <x v="3"/>
    <n v="98.82"/>
    <m/>
  </r>
  <r>
    <s v="ORD-3937"/>
    <d v="2024-11-26T00:00:00"/>
    <s v="CUST-161"/>
    <x v="4"/>
    <x v="1"/>
    <x v="1"/>
    <x v="2"/>
    <x v="16"/>
    <s v="$230.34"/>
    <s v="Tuesday"/>
    <x v="0"/>
    <x v="0"/>
    <b v="0"/>
    <b v="1"/>
    <s v="Large Order"/>
    <n v="11.517000000000001"/>
    <x v="5"/>
    <n v="4376.46"/>
    <m/>
  </r>
  <r>
    <s v="ORD-3938"/>
    <d v="2024-09-16T00:00:00"/>
    <s v="CUST-199"/>
    <x v="6"/>
    <x v="2"/>
    <x v="3"/>
    <x v="2"/>
    <x v="9"/>
    <s v="$86.6"/>
    <s v="Monday"/>
    <x v="11"/>
    <x v="0"/>
    <b v="0"/>
    <b v="1"/>
    <s v="Large Order"/>
    <n v="4.33"/>
    <x v="9"/>
    <n v="952.59999999999991"/>
    <m/>
  </r>
  <r>
    <s v="ORD-3939"/>
    <d v="2024-10-24T00:00:00"/>
    <s v="CUST-144"/>
    <x v="9"/>
    <x v="2"/>
    <x v="2"/>
    <x v="0"/>
    <x v="4"/>
    <s v="$101.96"/>
    <s v="Thursday"/>
    <x v="3"/>
    <x v="0"/>
    <b v="0"/>
    <b v="0"/>
    <s v="Standard order"/>
    <n v="5.0979999999999999"/>
    <x v="19"/>
    <n v="203.92"/>
    <m/>
  </r>
  <r>
    <s v="ORD-3940"/>
    <d v="2024-03-22T00:00:00"/>
    <s v="CUST-129"/>
    <x v="19"/>
    <x v="2"/>
    <x v="0"/>
    <x v="1"/>
    <x v="17"/>
    <s v="$145.48"/>
    <s v="Friday"/>
    <x v="4"/>
    <x v="0"/>
    <b v="0"/>
    <b v="1"/>
    <s v="Large Order"/>
    <n v="7.274"/>
    <x v="16"/>
    <n v="2327.6799999999998"/>
    <m/>
  </r>
  <r>
    <s v="ORD-3941"/>
    <d v="2024-04-28T00:00:00"/>
    <s v="CUST-198"/>
    <x v="16"/>
    <x v="0"/>
    <x v="0"/>
    <x v="2"/>
    <x v="11"/>
    <s v="$130.07"/>
    <s v="Sunday"/>
    <x v="2"/>
    <x v="0"/>
    <b v="1"/>
    <b v="1"/>
    <s v="Large Order"/>
    <n v="6.5034999999999998"/>
    <x v="15"/>
    <n v="1690.9099999999999"/>
    <m/>
  </r>
  <r>
    <s v="ORD-3942"/>
    <d v="2024-08-03T00:00:00"/>
    <s v="CUST-108"/>
    <x v="15"/>
    <x v="2"/>
    <x v="3"/>
    <x v="0"/>
    <x v="4"/>
    <s v="$216.22"/>
    <s v="Saturday"/>
    <x v="10"/>
    <x v="0"/>
    <b v="1"/>
    <b v="0"/>
    <s v="Standard order"/>
    <n v="10.811"/>
    <x v="21"/>
    <n v="432.44"/>
    <m/>
  </r>
  <r>
    <s v="ORD-3943"/>
    <d v="2024-02-07T00:00:00"/>
    <s v="CUST-156"/>
    <x v="21"/>
    <x v="1"/>
    <x v="1"/>
    <x v="0"/>
    <x v="6"/>
    <s v="$32.94"/>
    <s v="Wednesday"/>
    <x v="5"/>
    <x v="0"/>
    <b v="0"/>
    <b v="0"/>
    <s v="Standard order"/>
    <n v="1.647"/>
    <x v="3"/>
    <n v="197.64"/>
    <m/>
  </r>
  <r>
    <s v="ORD-3944"/>
    <d v="2024-12-23T00:00:00"/>
    <s v="CUST-157"/>
    <x v="4"/>
    <x v="0"/>
    <x v="1"/>
    <x v="4"/>
    <x v="10"/>
    <s v="$230.34"/>
    <s v="Monday"/>
    <x v="1"/>
    <x v="0"/>
    <b v="0"/>
    <b v="1"/>
    <s v="Large Order"/>
    <n v="11.517000000000001"/>
    <x v="5"/>
    <n v="1612.38"/>
    <m/>
  </r>
  <r>
    <s v="ORD-3945"/>
    <d v="2024-09-08T00:00:00"/>
    <s v="CUST-156"/>
    <x v="6"/>
    <x v="1"/>
    <x v="4"/>
    <x v="2"/>
    <x v="6"/>
    <s v="$86.6"/>
    <s v="Sunday"/>
    <x v="11"/>
    <x v="0"/>
    <b v="1"/>
    <b v="0"/>
    <s v="Large Order"/>
    <n v="4.33"/>
    <x v="8"/>
    <n v="519.59999999999991"/>
    <m/>
  </r>
  <r>
    <s v="ORD-3946"/>
    <d v="2024-09-27T00:00:00"/>
    <s v="CUST-124"/>
    <x v="0"/>
    <x v="2"/>
    <x v="0"/>
    <x v="0"/>
    <x v="10"/>
    <s v="$146.06"/>
    <s v="Friday"/>
    <x v="11"/>
    <x v="0"/>
    <b v="0"/>
    <b v="1"/>
    <s v="Large Order"/>
    <n v="7.3030000000000008"/>
    <x v="7"/>
    <n v="1022.4200000000001"/>
    <m/>
  </r>
  <r>
    <s v="ORD-3947"/>
    <d v="2024-03-12T00:00:00"/>
    <s v="CUST-100"/>
    <x v="8"/>
    <x v="1"/>
    <x v="1"/>
    <x v="4"/>
    <x v="13"/>
    <s v="$208.85"/>
    <s v="Tuesday"/>
    <x v="4"/>
    <x v="0"/>
    <b v="0"/>
    <b v="0"/>
    <s v="Large Order"/>
    <n v="10.442500000000001"/>
    <x v="16"/>
    <n v="626.54999999999995"/>
    <m/>
  </r>
  <r>
    <s v="ORD-3948"/>
    <d v="2024-12-15T00:00:00"/>
    <s v="CUST-193"/>
    <x v="16"/>
    <x v="2"/>
    <x v="1"/>
    <x v="1"/>
    <x v="10"/>
    <s v="$130.07"/>
    <s v="Sunday"/>
    <x v="1"/>
    <x v="0"/>
    <b v="1"/>
    <b v="1"/>
    <s v="Large Order"/>
    <n v="6.5034999999999998"/>
    <x v="22"/>
    <n v="910.49"/>
    <m/>
  </r>
  <r>
    <s v="ORD-3949"/>
    <d v="2024-10-19T00:00:00"/>
    <s v="CUST-160"/>
    <x v="22"/>
    <x v="1"/>
    <x v="3"/>
    <x v="4"/>
    <x v="15"/>
    <s v="$149.27"/>
    <s v="Saturday"/>
    <x v="3"/>
    <x v="0"/>
    <b v="1"/>
    <b v="1"/>
    <s v="Large Order"/>
    <n v="7.4635000000000007"/>
    <x v="17"/>
    <n v="2686.86"/>
    <m/>
  </r>
  <r>
    <s v="ORD-3950"/>
    <d v="2024-02-04T00:00:00"/>
    <s v="CUST-156"/>
    <x v="17"/>
    <x v="2"/>
    <x v="2"/>
    <x v="0"/>
    <x v="16"/>
    <s v="$26.59"/>
    <s v="Sunday"/>
    <x v="5"/>
    <x v="0"/>
    <b v="1"/>
    <b v="0"/>
    <s v="Large Order"/>
    <n v="1.3295000000000001"/>
    <x v="19"/>
    <n v="505.21"/>
    <m/>
  </r>
  <r>
    <s v="ORD-3951"/>
    <d v="2024-09-21T00:00:00"/>
    <s v="CUST-138"/>
    <x v="19"/>
    <x v="0"/>
    <x v="2"/>
    <x v="2"/>
    <x v="4"/>
    <s v="$145.48"/>
    <s v="Saturday"/>
    <x v="11"/>
    <x v="0"/>
    <b v="1"/>
    <b v="0"/>
    <s v="Standard order"/>
    <n v="7.274"/>
    <x v="24"/>
    <n v="290.95999999999998"/>
    <m/>
  </r>
  <r>
    <s v="ORD-3952"/>
    <d v="2024-06-18T00:00:00"/>
    <s v="CUST-102"/>
    <x v="24"/>
    <x v="1"/>
    <x v="3"/>
    <x v="1"/>
    <x v="5"/>
    <s v="$10.11"/>
    <s v="Tuesday"/>
    <x v="9"/>
    <x v="0"/>
    <b v="0"/>
    <b v="0"/>
    <s v="Standard order"/>
    <n v="0.50549999999999995"/>
    <x v="8"/>
    <n v="121.32"/>
    <m/>
  </r>
  <r>
    <s v="ORD-3953"/>
    <d v="2024-03-21T00:00:00"/>
    <s v="CUST-136"/>
    <x v="0"/>
    <x v="2"/>
    <x v="1"/>
    <x v="2"/>
    <x v="18"/>
    <s v="$146.06"/>
    <s v="Thursday"/>
    <x v="4"/>
    <x v="0"/>
    <b v="0"/>
    <b v="1"/>
    <s v="Large Order"/>
    <n v="7.3030000000000008"/>
    <x v="3"/>
    <n v="2483.02"/>
    <m/>
  </r>
  <r>
    <s v="ORD-3954"/>
    <d v="2024-09-13T00:00:00"/>
    <s v="CUST-139"/>
    <x v="4"/>
    <x v="2"/>
    <x v="0"/>
    <x v="4"/>
    <x v="0"/>
    <s v="$230.34"/>
    <s v="Friday"/>
    <x v="11"/>
    <x v="0"/>
    <b v="0"/>
    <b v="0"/>
    <s v="Large Order"/>
    <n v="11.517000000000001"/>
    <x v="18"/>
    <n v="921.36"/>
    <m/>
  </r>
  <r>
    <s v="ORD-3955"/>
    <d v="2024-05-14T00:00:00"/>
    <s v="CUST-183"/>
    <x v="18"/>
    <x v="0"/>
    <x v="3"/>
    <x v="1"/>
    <x v="14"/>
    <s v="$230.68"/>
    <s v="Tuesday"/>
    <x v="7"/>
    <x v="0"/>
    <b v="0"/>
    <b v="1"/>
    <s v="Large Order"/>
    <n v="11.534000000000001"/>
    <x v="11"/>
    <n v="2076.12"/>
    <m/>
  </r>
  <r>
    <s v="ORD-3956"/>
    <d v="2024-01-31T00:00:00"/>
    <s v="CUST-117"/>
    <x v="11"/>
    <x v="2"/>
    <x v="3"/>
    <x v="0"/>
    <x v="7"/>
    <s v="$33.22"/>
    <s v="Wednesday"/>
    <x v="6"/>
    <x v="0"/>
    <b v="0"/>
    <b v="0"/>
    <s v="Standard order"/>
    <n v="1.661"/>
    <x v="10"/>
    <n v="265.76"/>
    <m/>
  </r>
  <r>
    <s v="ORD-3957"/>
    <d v="2024-10-15T00:00:00"/>
    <s v="CUST-178"/>
    <x v="10"/>
    <x v="0"/>
    <x v="3"/>
    <x v="0"/>
    <x v="3"/>
    <s v="$46.19"/>
    <s v="Tuesday"/>
    <x v="3"/>
    <x v="0"/>
    <b v="0"/>
    <b v="0"/>
    <s v="Large Order"/>
    <n v="2.3094999999999999"/>
    <x v="23"/>
    <n v="646.66"/>
    <m/>
  </r>
  <r>
    <s v="ORD-3958"/>
    <d v="2024-11-09T00:00:00"/>
    <s v="CUST-110"/>
    <x v="23"/>
    <x v="1"/>
    <x v="4"/>
    <x v="3"/>
    <x v="4"/>
    <s v="$133.37"/>
    <s v="Saturday"/>
    <x v="0"/>
    <x v="0"/>
    <b v="1"/>
    <b v="0"/>
    <s v="Standard order"/>
    <n v="6.6685000000000008"/>
    <x v="24"/>
    <n v="266.74"/>
    <m/>
  </r>
  <r>
    <s v="ORD-3959"/>
    <d v="2024-09-11T00:00:00"/>
    <s v="CUST-164"/>
    <x v="24"/>
    <x v="2"/>
    <x v="3"/>
    <x v="1"/>
    <x v="17"/>
    <s v="$10.11"/>
    <s v="Wednesday"/>
    <x v="11"/>
    <x v="0"/>
    <b v="0"/>
    <b v="0"/>
    <s v="Standard order"/>
    <n v="0.50549999999999995"/>
    <x v="15"/>
    <n v="161.76"/>
    <m/>
  </r>
  <r>
    <s v="ORD-3960"/>
    <d v="2024-04-26T00:00:00"/>
    <s v="CUST-102"/>
    <x v="15"/>
    <x v="0"/>
    <x v="4"/>
    <x v="4"/>
    <x v="19"/>
    <s v="$216.22"/>
    <s v="Friday"/>
    <x v="2"/>
    <x v="0"/>
    <b v="0"/>
    <b v="1"/>
    <s v="Large Order"/>
    <n v="10.811"/>
    <x v="16"/>
    <n v="4324.3999999999996"/>
    <m/>
  </r>
  <r>
    <s v="ORD-3961"/>
    <d v="2024-12-15T00:00:00"/>
    <s v="CUST-187"/>
    <x v="16"/>
    <x v="0"/>
    <x v="1"/>
    <x v="1"/>
    <x v="4"/>
    <s v="$130.07"/>
    <s v="Sunday"/>
    <x v="1"/>
    <x v="0"/>
    <b v="1"/>
    <b v="0"/>
    <s v="Standard order"/>
    <n v="6.5034999999999998"/>
    <x v="0"/>
    <n v="260.14"/>
    <m/>
  </r>
  <r>
    <s v="ORD-3962"/>
    <d v="2024-07-12T00:00:00"/>
    <s v="CUST-189"/>
    <x v="1"/>
    <x v="1"/>
    <x v="2"/>
    <x v="4"/>
    <x v="2"/>
    <s v="$178.83"/>
    <s v="Friday"/>
    <x v="8"/>
    <x v="0"/>
    <b v="0"/>
    <b v="0"/>
    <s v="Large Order"/>
    <n v="8.9415000000000013"/>
    <x v="7"/>
    <n v="894.15000000000009"/>
    <m/>
  </r>
  <r>
    <s v="ORD-3963"/>
    <d v="2024-03-01T00:00:00"/>
    <s v="CUST-178"/>
    <x v="8"/>
    <x v="1"/>
    <x v="4"/>
    <x v="3"/>
    <x v="3"/>
    <s v="$208.85"/>
    <s v="Friday"/>
    <x v="4"/>
    <x v="0"/>
    <b v="0"/>
    <b v="1"/>
    <s v="Large Order"/>
    <n v="10.442500000000001"/>
    <x v="8"/>
    <n v="2923.9"/>
    <m/>
  </r>
  <r>
    <s v="ORD-3964"/>
    <d v="2024-05-01T00:00:00"/>
    <s v="CUST-129"/>
    <x v="0"/>
    <x v="2"/>
    <x v="0"/>
    <x v="2"/>
    <x v="3"/>
    <s v="$146.06"/>
    <s v="Wednesday"/>
    <x v="7"/>
    <x v="0"/>
    <b v="0"/>
    <b v="1"/>
    <s v="Large Order"/>
    <n v="7.3030000000000008"/>
    <x v="15"/>
    <n v="2044.8400000000001"/>
    <m/>
  </r>
  <r>
    <s v="ORD-3965"/>
    <d v="2024-10-01T00:00:00"/>
    <s v="CUST-172"/>
    <x v="15"/>
    <x v="0"/>
    <x v="4"/>
    <x v="0"/>
    <x v="13"/>
    <s v="$216.22"/>
    <s v="Tuesday"/>
    <x v="3"/>
    <x v="0"/>
    <b v="0"/>
    <b v="0"/>
    <s v="Large Order"/>
    <n v="10.811"/>
    <x v="14"/>
    <n v="648.66"/>
    <m/>
  </r>
  <r>
    <s v="ORD-3966"/>
    <d v="2024-08-12T00:00:00"/>
    <s v="CUST-123"/>
    <x v="14"/>
    <x v="0"/>
    <x v="3"/>
    <x v="3"/>
    <x v="19"/>
    <s v="$201.32"/>
    <s v="Monday"/>
    <x v="10"/>
    <x v="0"/>
    <b v="0"/>
    <b v="1"/>
    <s v="Large Order"/>
    <n v="10.066000000000001"/>
    <x v="0"/>
    <n v="4026.3999999999996"/>
    <m/>
  </r>
  <r>
    <s v="ORD-3967"/>
    <d v="2024-05-05T00:00:00"/>
    <s v="CUST-137"/>
    <x v="1"/>
    <x v="2"/>
    <x v="2"/>
    <x v="1"/>
    <x v="0"/>
    <s v="$178.83"/>
    <s v="Sunday"/>
    <x v="7"/>
    <x v="0"/>
    <b v="1"/>
    <b v="0"/>
    <s v="Large Order"/>
    <n v="8.9415000000000013"/>
    <x v="23"/>
    <n v="715.32"/>
    <m/>
  </r>
  <r>
    <s v="ORD-3968"/>
    <d v="2024-02-09T00:00:00"/>
    <s v="CUST-132"/>
    <x v="23"/>
    <x v="0"/>
    <x v="2"/>
    <x v="3"/>
    <x v="7"/>
    <s v="$133.37"/>
    <s v="Friday"/>
    <x v="5"/>
    <x v="0"/>
    <b v="0"/>
    <b v="1"/>
    <s v="Large Order"/>
    <n v="6.6685000000000008"/>
    <x v="21"/>
    <n v="1066.96"/>
    <m/>
  </r>
  <r>
    <s v="ORD-3969"/>
    <d v="2024-06-03T00:00:00"/>
    <s v="CUST-146"/>
    <x v="21"/>
    <x v="2"/>
    <x v="3"/>
    <x v="2"/>
    <x v="18"/>
    <s v="$32.94"/>
    <s v="Monday"/>
    <x v="9"/>
    <x v="0"/>
    <b v="0"/>
    <b v="0"/>
    <s v="Large Order"/>
    <n v="1.647"/>
    <x v="23"/>
    <n v="559.98"/>
    <m/>
  </r>
  <r>
    <s v="ORD-3970"/>
    <d v="2024-06-12T00:00:00"/>
    <s v="CUST-189"/>
    <x v="23"/>
    <x v="2"/>
    <x v="0"/>
    <x v="0"/>
    <x v="5"/>
    <s v="$133.37"/>
    <s v="Wednesday"/>
    <x v="9"/>
    <x v="0"/>
    <b v="0"/>
    <b v="1"/>
    <s v="Large Order"/>
    <n v="6.6685000000000008"/>
    <x v="4"/>
    <n v="1600.44"/>
    <m/>
  </r>
  <r>
    <s v="ORD-3971"/>
    <d v="2024-12-27T00:00:00"/>
    <s v="CUST-179"/>
    <x v="5"/>
    <x v="1"/>
    <x v="0"/>
    <x v="2"/>
    <x v="2"/>
    <s v="$64.61"/>
    <s v="Friday"/>
    <x v="1"/>
    <x v="0"/>
    <b v="0"/>
    <b v="0"/>
    <s v="Standard order"/>
    <n v="3.2305000000000001"/>
    <x v="14"/>
    <n v="323.05"/>
    <m/>
  </r>
  <r>
    <s v="ORD-3972"/>
    <d v="2024-09-23T00:00:00"/>
    <s v="CUST-129"/>
    <x v="14"/>
    <x v="2"/>
    <x v="1"/>
    <x v="2"/>
    <x v="0"/>
    <s v="$201.32"/>
    <s v="Monday"/>
    <x v="11"/>
    <x v="0"/>
    <b v="0"/>
    <b v="0"/>
    <s v="Large Order"/>
    <n v="10.066000000000001"/>
    <x v="24"/>
    <n v="805.28"/>
    <m/>
  </r>
  <r>
    <s v="ORD-3973"/>
    <d v="2024-03-13T00:00:00"/>
    <s v="CUST-104"/>
    <x v="24"/>
    <x v="2"/>
    <x v="2"/>
    <x v="1"/>
    <x v="0"/>
    <s v="$10.11"/>
    <s v="Wednesday"/>
    <x v="4"/>
    <x v="0"/>
    <b v="0"/>
    <b v="0"/>
    <s v="Standard order"/>
    <n v="0.50549999999999995"/>
    <x v="2"/>
    <n v="40.44"/>
    <m/>
  </r>
  <r>
    <s v="ORD-3974"/>
    <d v="2024-01-18T00:00:00"/>
    <s v="CUST-134"/>
    <x v="3"/>
    <x v="2"/>
    <x v="2"/>
    <x v="3"/>
    <x v="13"/>
    <s v="$84.57"/>
    <s v="Thursday"/>
    <x v="6"/>
    <x v="0"/>
    <b v="0"/>
    <b v="0"/>
    <s v="Standard order"/>
    <n v="4.2284999999999995"/>
    <x v="4"/>
    <n v="253.70999999999998"/>
    <m/>
  </r>
  <r>
    <s v="ORD-3975"/>
    <d v="2024-11-08T00:00:00"/>
    <s v="CUST-149"/>
    <x v="5"/>
    <x v="0"/>
    <x v="2"/>
    <x v="1"/>
    <x v="12"/>
    <s v="$64.61"/>
    <s v="Friday"/>
    <x v="0"/>
    <x v="0"/>
    <b v="0"/>
    <b v="1"/>
    <s v="Large Order"/>
    <n v="3.2305000000000001"/>
    <x v="6"/>
    <n v="969.15"/>
    <m/>
  </r>
  <r>
    <s v="ORD-3976"/>
    <d v="2024-04-15T00:00:00"/>
    <s v="CUST-148"/>
    <x v="7"/>
    <x v="2"/>
    <x v="2"/>
    <x v="4"/>
    <x v="4"/>
    <s v="$107.34"/>
    <s v="Monday"/>
    <x v="2"/>
    <x v="0"/>
    <b v="0"/>
    <b v="0"/>
    <s v="Standard order"/>
    <n v="5.3670000000000009"/>
    <x v="21"/>
    <n v="214.68"/>
    <m/>
  </r>
  <r>
    <s v="ORD-3977"/>
    <d v="2024-01-17T00:00:00"/>
    <s v="CUST-169"/>
    <x v="21"/>
    <x v="1"/>
    <x v="0"/>
    <x v="4"/>
    <x v="9"/>
    <s v="$32.94"/>
    <s v="Wednesday"/>
    <x v="6"/>
    <x v="0"/>
    <b v="0"/>
    <b v="0"/>
    <s v="Standard order"/>
    <n v="1.647"/>
    <x v="9"/>
    <n v="362.34"/>
    <m/>
  </r>
  <r>
    <s v="ORD-3978"/>
    <d v="2024-05-14T00:00:00"/>
    <s v="CUST-196"/>
    <x v="9"/>
    <x v="0"/>
    <x v="0"/>
    <x v="3"/>
    <x v="19"/>
    <s v="$101.96"/>
    <s v="Tuesday"/>
    <x v="7"/>
    <x v="0"/>
    <b v="0"/>
    <b v="1"/>
    <s v="Large Order"/>
    <n v="5.0979999999999999"/>
    <x v="16"/>
    <n v="2039.1999999999998"/>
    <m/>
  </r>
  <r>
    <s v="ORD-3979"/>
    <d v="2024-08-06T00:00:00"/>
    <s v="CUST-200"/>
    <x v="16"/>
    <x v="2"/>
    <x v="0"/>
    <x v="0"/>
    <x v="15"/>
    <s v="$130.07"/>
    <s v="Tuesday"/>
    <x v="10"/>
    <x v="0"/>
    <b v="0"/>
    <b v="1"/>
    <s v="Large Order"/>
    <n v="6.5034999999999998"/>
    <x v="23"/>
    <n v="2341.2599999999998"/>
    <m/>
  </r>
  <r>
    <s v="ORD-3980"/>
    <d v="2024-12-13T00:00:00"/>
    <s v="CUST-136"/>
    <x v="23"/>
    <x v="1"/>
    <x v="2"/>
    <x v="4"/>
    <x v="16"/>
    <s v="$133.37"/>
    <s v="Friday"/>
    <x v="1"/>
    <x v="0"/>
    <b v="0"/>
    <b v="1"/>
    <s v="Large Order"/>
    <n v="6.6685000000000008"/>
    <x v="3"/>
    <n v="2534.0300000000002"/>
    <m/>
  </r>
  <r>
    <s v="ORD-3981"/>
    <d v="2024-05-13T00:00:00"/>
    <s v="CUST-120"/>
    <x v="4"/>
    <x v="1"/>
    <x v="4"/>
    <x v="2"/>
    <x v="1"/>
    <s v="$230.34"/>
    <s v="Monday"/>
    <x v="7"/>
    <x v="0"/>
    <b v="0"/>
    <b v="0"/>
    <s v="Standard order"/>
    <n v="11.517000000000001"/>
    <x v="8"/>
    <n v="230.34"/>
    <m/>
  </r>
  <r>
    <s v="ORD-3982"/>
    <d v="2024-12-15T00:00:00"/>
    <s v="CUST-135"/>
    <x v="0"/>
    <x v="0"/>
    <x v="1"/>
    <x v="3"/>
    <x v="9"/>
    <s v="$146.06"/>
    <s v="Sunday"/>
    <x v="1"/>
    <x v="0"/>
    <b v="1"/>
    <b v="1"/>
    <s v="Large Order"/>
    <n v="7.3030000000000008"/>
    <x v="2"/>
    <n v="1606.66"/>
    <m/>
  </r>
  <r>
    <s v="ORD-3983"/>
    <d v="2024-01-20T00:00:00"/>
    <s v="CUST-178"/>
    <x v="3"/>
    <x v="1"/>
    <x v="3"/>
    <x v="3"/>
    <x v="19"/>
    <s v="$84.57"/>
    <s v="Saturday"/>
    <x v="6"/>
    <x v="0"/>
    <b v="1"/>
    <b v="1"/>
    <s v="Large Order"/>
    <n v="4.2284999999999995"/>
    <x v="5"/>
    <n v="1691.3999999999999"/>
    <m/>
  </r>
  <r>
    <s v="ORD-3984"/>
    <d v="2024-06-06T00:00:00"/>
    <s v="CUST-172"/>
    <x v="6"/>
    <x v="1"/>
    <x v="3"/>
    <x v="2"/>
    <x v="12"/>
    <s v="$86.6"/>
    <s v="Thursday"/>
    <x v="9"/>
    <x v="0"/>
    <b v="0"/>
    <b v="1"/>
    <s v="Large Order"/>
    <n v="4.33"/>
    <x v="12"/>
    <n v="1299"/>
    <m/>
  </r>
  <r>
    <s v="ORD-3985"/>
    <d v="2024-08-13T00:00:00"/>
    <s v="CUST-101"/>
    <x v="12"/>
    <x v="0"/>
    <x v="3"/>
    <x v="1"/>
    <x v="15"/>
    <s v="$211.9"/>
    <s v="Tuesday"/>
    <x v="10"/>
    <x v="0"/>
    <b v="0"/>
    <b v="1"/>
    <s v="Large Order"/>
    <n v="10.595000000000001"/>
    <x v="8"/>
    <n v="3814.2000000000003"/>
    <m/>
  </r>
  <r>
    <s v="ORD-3986"/>
    <d v="2024-01-30T00:00:00"/>
    <s v="CUST-174"/>
    <x v="0"/>
    <x v="1"/>
    <x v="1"/>
    <x v="4"/>
    <x v="9"/>
    <s v="$146.06"/>
    <s v="Tuesday"/>
    <x v="6"/>
    <x v="0"/>
    <b v="0"/>
    <b v="1"/>
    <s v="Large Order"/>
    <n v="7.3030000000000008"/>
    <x v="2"/>
    <n v="1606.66"/>
    <m/>
  </r>
  <r>
    <s v="ORD-3987"/>
    <d v="2024-08-13T00:00:00"/>
    <s v="CUST-123"/>
    <x v="3"/>
    <x v="1"/>
    <x v="3"/>
    <x v="1"/>
    <x v="2"/>
    <s v="$84.57"/>
    <s v="Tuesday"/>
    <x v="10"/>
    <x v="0"/>
    <b v="0"/>
    <b v="0"/>
    <s v="Standard order"/>
    <n v="4.2284999999999995"/>
    <x v="20"/>
    <n v="422.84999999999997"/>
    <m/>
  </r>
  <r>
    <s v="ORD-3988"/>
    <d v="2024-03-30T00:00:00"/>
    <s v="CUST-118"/>
    <x v="20"/>
    <x v="2"/>
    <x v="0"/>
    <x v="2"/>
    <x v="0"/>
    <s v="$81.02"/>
    <s v="Saturday"/>
    <x v="4"/>
    <x v="0"/>
    <b v="1"/>
    <b v="0"/>
    <s v="Standard order"/>
    <n v="4.0510000000000002"/>
    <x v="22"/>
    <n v="324.08"/>
    <m/>
  </r>
  <r>
    <s v="ORD-3989"/>
    <d v="2024-04-04T00:00:00"/>
    <s v="CUST-187"/>
    <x v="22"/>
    <x v="1"/>
    <x v="1"/>
    <x v="3"/>
    <x v="4"/>
    <s v="$149.27"/>
    <s v="Thursday"/>
    <x v="2"/>
    <x v="0"/>
    <b v="0"/>
    <b v="0"/>
    <s v="Standard order"/>
    <n v="7.4635000000000007"/>
    <x v="10"/>
    <n v="298.54000000000002"/>
    <m/>
  </r>
  <r>
    <s v="ORD-3990"/>
    <d v="2024-04-26T00:00:00"/>
    <s v="CUST-107"/>
    <x v="10"/>
    <x v="1"/>
    <x v="3"/>
    <x v="0"/>
    <x v="5"/>
    <s v="$46.19"/>
    <s v="Friday"/>
    <x v="2"/>
    <x v="0"/>
    <b v="0"/>
    <b v="0"/>
    <s v="Large Order"/>
    <n v="2.3094999999999999"/>
    <x v="24"/>
    <n v="554.28"/>
    <m/>
  </r>
  <r>
    <s v="ORD-3991"/>
    <d v="2024-01-23T00:00:00"/>
    <s v="CUST-176"/>
    <x v="24"/>
    <x v="1"/>
    <x v="0"/>
    <x v="0"/>
    <x v="18"/>
    <s v="$10.11"/>
    <s v="Tuesday"/>
    <x v="6"/>
    <x v="0"/>
    <b v="0"/>
    <b v="0"/>
    <s v="Standard order"/>
    <n v="0.50549999999999995"/>
    <x v="24"/>
    <n v="171.87"/>
    <m/>
  </r>
  <r>
    <s v="ORD-3992"/>
    <d v="2024-09-18T00:00:00"/>
    <s v="CUST-109"/>
    <x v="24"/>
    <x v="0"/>
    <x v="3"/>
    <x v="4"/>
    <x v="5"/>
    <s v="$10.11"/>
    <s v="Wednesday"/>
    <x v="11"/>
    <x v="0"/>
    <b v="0"/>
    <b v="0"/>
    <s v="Standard order"/>
    <n v="0.50549999999999995"/>
    <x v="8"/>
    <n v="121.32"/>
    <m/>
  </r>
  <r>
    <s v="ORD-3993"/>
    <d v="2024-12-14T00:00:00"/>
    <s v="CUST-153"/>
    <x v="0"/>
    <x v="2"/>
    <x v="2"/>
    <x v="3"/>
    <x v="2"/>
    <s v="$146.06"/>
    <s v="Saturday"/>
    <x v="1"/>
    <x v="0"/>
    <b v="1"/>
    <b v="0"/>
    <s v="Large Order"/>
    <n v="7.3030000000000008"/>
    <x v="7"/>
    <n v="730.3"/>
    <m/>
  </r>
  <r>
    <s v="ORD-3994"/>
    <d v="2024-11-06T00:00:00"/>
    <s v="CUST-200"/>
    <x v="8"/>
    <x v="1"/>
    <x v="2"/>
    <x v="3"/>
    <x v="17"/>
    <s v="$208.85"/>
    <s v="Wednesday"/>
    <x v="0"/>
    <x v="0"/>
    <b v="0"/>
    <b v="1"/>
    <s v="Large Order"/>
    <n v="10.442500000000001"/>
    <x v="18"/>
    <n v="3341.6"/>
    <m/>
  </r>
  <r>
    <s v="ORD-3995"/>
    <d v="2024-05-30T00:00:00"/>
    <s v="CUST-179"/>
    <x v="18"/>
    <x v="0"/>
    <x v="3"/>
    <x v="0"/>
    <x v="8"/>
    <s v="$230.68"/>
    <s v="Thursday"/>
    <x v="7"/>
    <x v="0"/>
    <b v="0"/>
    <b v="1"/>
    <s v="Large Order"/>
    <n v="11.534000000000001"/>
    <x v="19"/>
    <n v="2306.8000000000002"/>
    <m/>
  </r>
  <r>
    <s v="ORD-3996"/>
    <d v="2024-10-29T00:00:00"/>
    <s v="CUST-103"/>
    <x v="19"/>
    <x v="2"/>
    <x v="4"/>
    <x v="3"/>
    <x v="18"/>
    <s v="$145.48"/>
    <s v="Tuesday"/>
    <x v="3"/>
    <x v="0"/>
    <b v="0"/>
    <b v="1"/>
    <s v="Large Order"/>
    <n v="7.274"/>
    <x v="9"/>
    <n v="2473.16"/>
    <m/>
  </r>
  <r>
    <s v="ORD-3997"/>
    <d v="2024-09-17T00:00:00"/>
    <s v="CUST-200"/>
    <x v="9"/>
    <x v="2"/>
    <x v="3"/>
    <x v="2"/>
    <x v="11"/>
    <s v="$101.96"/>
    <s v="Tuesday"/>
    <x v="11"/>
    <x v="0"/>
    <b v="0"/>
    <b v="1"/>
    <s v="Large Order"/>
    <n v="5.0979999999999999"/>
    <x v="16"/>
    <n v="1325.48"/>
    <m/>
  </r>
  <r>
    <s v="ORD-3998"/>
    <d v="2024-01-17T00:00:00"/>
    <s v="CUST-184"/>
    <x v="16"/>
    <x v="0"/>
    <x v="2"/>
    <x v="0"/>
    <x v="13"/>
    <s v="$130.07"/>
    <s v="Wednesday"/>
    <x v="6"/>
    <x v="0"/>
    <b v="0"/>
    <b v="0"/>
    <s v="Standard order"/>
    <n v="6.5034999999999998"/>
    <x v="22"/>
    <n v="390.21"/>
    <m/>
  </r>
  <r>
    <s v="ORD-3999"/>
    <d v="2024-04-24T00:00:00"/>
    <s v="CUST-172"/>
    <x v="22"/>
    <x v="2"/>
    <x v="1"/>
    <x v="1"/>
    <x v="15"/>
    <s v="$149.27"/>
    <s v="Wednesday"/>
    <x v="2"/>
    <x v="0"/>
    <b v="0"/>
    <b v="1"/>
    <s v="Large Order"/>
    <n v="7.4635000000000007"/>
    <x v="20"/>
    <n v="2686.86"/>
    <m/>
  </r>
  <r>
    <s v="ORD-4000"/>
    <d v="2024-09-27T00:00:00"/>
    <s v="CUST-106"/>
    <x v="20"/>
    <x v="1"/>
    <x v="1"/>
    <x v="4"/>
    <x v="12"/>
    <s v="$81.02"/>
    <s v="Friday"/>
    <x v="11"/>
    <x v="0"/>
    <b v="0"/>
    <b v="1"/>
    <s v="Large Order"/>
    <n v="4.0510000000000002"/>
    <x v="14"/>
    <n v="1215.3"/>
    <m/>
  </r>
  <r>
    <s v="ORD-4001"/>
    <d v="2024-04-09T00:00:00"/>
    <s v="CUST-173"/>
    <x v="14"/>
    <x v="0"/>
    <x v="3"/>
    <x v="2"/>
    <x v="5"/>
    <s v="$201.32"/>
    <s v="Tuesday"/>
    <x v="2"/>
    <x v="0"/>
    <b v="0"/>
    <b v="1"/>
    <s v="Large Order"/>
    <n v="10.066000000000001"/>
    <x v="19"/>
    <n v="2415.84"/>
    <m/>
  </r>
  <r>
    <s v="ORD-4002"/>
    <d v="2024-06-10T00:00:00"/>
    <s v="CUST-195"/>
    <x v="19"/>
    <x v="2"/>
    <x v="4"/>
    <x v="1"/>
    <x v="3"/>
    <s v="$145.48"/>
    <s v="Monday"/>
    <x v="9"/>
    <x v="0"/>
    <b v="0"/>
    <b v="1"/>
    <s v="Large Order"/>
    <n v="7.274"/>
    <x v="22"/>
    <n v="2036.7199999999998"/>
    <m/>
  </r>
  <r>
    <s v="ORD-4003"/>
    <d v="2024-06-29T00:00:00"/>
    <s v="CUST-171"/>
    <x v="22"/>
    <x v="0"/>
    <x v="3"/>
    <x v="1"/>
    <x v="19"/>
    <s v="$149.27"/>
    <s v="Saturday"/>
    <x v="9"/>
    <x v="0"/>
    <b v="1"/>
    <b v="1"/>
    <s v="Large Order"/>
    <n v="7.4635000000000007"/>
    <x v="9"/>
    <n v="2985.4"/>
    <m/>
  </r>
  <r>
    <s v="ORD-4004"/>
    <d v="2024-08-02T00:00:00"/>
    <s v="CUST-129"/>
    <x v="9"/>
    <x v="0"/>
    <x v="1"/>
    <x v="2"/>
    <x v="3"/>
    <s v="$101.96"/>
    <s v="Friday"/>
    <x v="10"/>
    <x v="0"/>
    <b v="0"/>
    <b v="1"/>
    <s v="Large Order"/>
    <n v="5.0979999999999999"/>
    <x v="20"/>
    <n v="1427.4399999999998"/>
    <m/>
  </r>
  <r>
    <s v="ORD-4005"/>
    <d v="2024-12-06T00:00:00"/>
    <s v="CUST-117"/>
    <x v="20"/>
    <x v="1"/>
    <x v="3"/>
    <x v="3"/>
    <x v="9"/>
    <s v="$81.02"/>
    <s v="Friday"/>
    <x v="1"/>
    <x v="0"/>
    <b v="0"/>
    <b v="1"/>
    <s v="Large Order"/>
    <n v="4.0510000000000002"/>
    <x v="22"/>
    <n v="891.21999999999991"/>
    <m/>
  </r>
  <r>
    <s v="ORD-4006"/>
    <d v="2024-07-28T00:00:00"/>
    <s v="CUST-153"/>
    <x v="22"/>
    <x v="0"/>
    <x v="1"/>
    <x v="1"/>
    <x v="10"/>
    <s v="$149.27"/>
    <s v="Sunday"/>
    <x v="8"/>
    <x v="0"/>
    <b v="1"/>
    <b v="1"/>
    <s v="Large Order"/>
    <n v="7.4635000000000007"/>
    <x v="6"/>
    <n v="1044.8900000000001"/>
    <m/>
  </r>
  <r>
    <s v="ORD-4007"/>
    <d v="2024-08-20T00:00:00"/>
    <s v="CUST-101"/>
    <x v="7"/>
    <x v="0"/>
    <x v="2"/>
    <x v="3"/>
    <x v="15"/>
    <s v="$107.34"/>
    <s v="Tuesday"/>
    <x v="10"/>
    <x v="0"/>
    <b v="0"/>
    <b v="1"/>
    <s v="Large Order"/>
    <n v="5.3670000000000009"/>
    <x v="19"/>
    <n v="1932.1200000000001"/>
    <m/>
  </r>
  <r>
    <s v="ORD-4008"/>
    <d v="2024-08-28T00:00:00"/>
    <s v="CUST-195"/>
    <x v="19"/>
    <x v="0"/>
    <x v="0"/>
    <x v="1"/>
    <x v="1"/>
    <s v="$145.48"/>
    <s v="Wednesday"/>
    <x v="10"/>
    <x v="0"/>
    <b v="0"/>
    <b v="0"/>
    <s v="Standard order"/>
    <n v="7.274"/>
    <x v="22"/>
    <n v="145.47999999999999"/>
    <m/>
  </r>
  <r>
    <s v="ORD-4009"/>
    <d v="2024-02-07T00:00:00"/>
    <s v="CUST-116"/>
    <x v="22"/>
    <x v="2"/>
    <x v="2"/>
    <x v="1"/>
    <x v="5"/>
    <s v="$149.27"/>
    <s v="Wednesday"/>
    <x v="5"/>
    <x v="0"/>
    <b v="0"/>
    <b v="1"/>
    <s v="Large Order"/>
    <n v="7.4635000000000007"/>
    <x v="24"/>
    <n v="1791.2400000000002"/>
    <m/>
  </r>
  <r>
    <s v="ORD-4010"/>
    <d v="2024-12-22T00:00:00"/>
    <s v="CUST-171"/>
    <x v="24"/>
    <x v="2"/>
    <x v="3"/>
    <x v="0"/>
    <x v="9"/>
    <s v="$10.11"/>
    <s v="Sunday"/>
    <x v="1"/>
    <x v="0"/>
    <b v="1"/>
    <b v="0"/>
    <s v="Standard order"/>
    <n v="0.50549999999999995"/>
    <x v="20"/>
    <n v="111.21"/>
    <m/>
  </r>
  <r>
    <s v="ORD-4011"/>
    <d v="2024-06-21T00:00:00"/>
    <s v="CUST-175"/>
    <x v="20"/>
    <x v="2"/>
    <x v="0"/>
    <x v="0"/>
    <x v="13"/>
    <s v="$81.02"/>
    <s v="Friday"/>
    <x v="9"/>
    <x v="0"/>
    <b v="0"/>
    <b v="0"/>
    <s v="Standard order"/>
    <n v="4.0510000000000002"/>
    <x v="17"/>
    <n v="243.06"/>
    <m/>
  </r>
  <r>
    <s v="ORD-4012"/>
    <d v="2024-06-30T00:00:00"/>
    <s v="CUST-157"/>
    <x v="17"/>
    <x v="2"/>
    <x v="2"/>
    <x v="1"/>
    <x v="8"/>
    <s v="$26.59"/>
    <s v="Sunday"/>
    <x v="9"/>
    <x v="0"/>
    <b v="1"/>
    <b v="0"/>
    <s v="Standard order"/>
    <n v="1.3295000000000001"/>
    <x v="16"/>
    <n v="265.89999999999998"/>
    <m/>
  </r>
  <r>
    <s v="ORD-4013"/>
    <d v="2024-12-24T00:00:00"/>
    <s v="CUST-117"/>
    <x v="16"/>
    <x v="0"/>
    <x v="1"/>
    <x v="4"/>
    <x v="13"/>
    <s v="$130.07"/>
    <s v="Tuesday"/>
    <x v="1"/>
    <x v="0"/>
    <b v="0"/>
    <b v="0"/>
    <s v="Standard order"/>
    <n v="6.5034999999999998"/>
    <x v="9"/>
    <n v="390.21"/>
    <m/>
  </r>
  <r>
    <s v="ORD-4014"/>
    <d v="2024-01-04T00:00:00"/>
    <s v="CUST-175"/>
    <x v="9"/>
    <x v="1"/>
    <x v="2"/>
    <x v="1"/>
    <x v="9"/>
    <s v="$101.96"/>
    <s v="Thursday"/>
    <x v="6"/>
    <x v="0"/>
    <b v="0"/>
    <b v="1"/>
    <s v="Large Order"/>
    <n v="5.0979999999999999"/>
    <x v="9"/>
    <n v="1121.56"/>
    <m/>
  </r>
  <r>
    <s v="ORD-4015"/>
    <d v="2024-09-17T00:00:00"/>
    <s v="CUST-192"/>
    <x v="9"/>
    <x v="1"/>
    <x v="0"/>
    <x v="2"/>
    <x v="8"/>
    <s v="$101.96"/>
    <s v="Tuesday"/>
    <x v="11"/>
    <x v="0"/>
    <b v="0"/>
    <b v="1"/>
    <s v="Large Order"/>
    <n v="5.0979999999999999"/>
    <x v="22"/>
    <n v="1019.5999999999999"/>
    <m/>
  </r>
  <r>
    <s v="ORD-4016"/>
    <d v="2024-01-25T00:00:00"/>
    <s v="CUST-172"/>
    <x v="22"/>
    <x v="2"/>
    <x v="1"/>
    <x v="4"/>
    <x v="3"/>
    <s v="$149.27"/>
    <s v="Thursday"/>
    <x v="6"/>
    <x v="0"/>
    <b v="0"/>
    <b v="1"/>
    <s v="Large Order"/>
    <n v="7.4635000000000007"/>
    <x v="21"/>
    <n v="2089.7800000000002"/>
    <m/>
  </r>
  <r>
    <s v="ORD-4017"/>
    <d v="2024-07-15T00:00:00"/>
    <s v="CUST-140"/>
    <x v="21"/>
    <x v="0"/>
    <x v="4"/>
    <x v="0"/>
    <x v="10"/>
    <s v="$32.94"/>
    <s v="Monday"/>
    <x v="8"/>
    <x v="0"/>
    <b v="0"/>
    <b v="0"/>
    <s v="Standard order"/>
    <n v="1.647"/>
    <x v="20"/>
    <n v="230.57999999999998"/>
    <m/>
  </r>
  <r>
    <s v="ORD-4018"/>
    <d v="2024-05-22T00:00:00"/>
    <s v="CUST-173"/>
    <x v="20"/>
    <x v="1"/>
    <x v="0"/>
    <x v="3"/>
    <x v="8"/>
    <s v="$81.02"/>
    <s v="Wednesday"/>
    <x v="7"/>
    <x v="0"/>
    <b v="0"/>
    <b v="1"/>
    <s v="Large Order"/>
    <n v="4.0510000000000002"/>
    <x v="4"/>
    <n v="810.19999999999993"/>
    <m/>
  </r>
  <r>
    <s v="ORD-4019"/>
    <d v="2024-05-27T00:00:00"/>
    <s v="CUST-135"/>
    <x v="5"/>
    <x v="1"/>
    <x v="4"/>
    <x v="2"/>
    <x v="8"/>
    <s v="$64.61"/>
    <s v="Monday"/>
    <x v="7"/>
    <x v="0"/>
    <b v="0"/>
    <b v="0"/>
    <s v="Large Order"/>
    <n v="3.2305000000000001"/>
    <x v="21"/>
    <n v="646.1"/>
    <m/>
  </r>
  <r>
    <s v="ORD-4020"/>
    <d v="2024-05-12T00:00:00"/>
    <s v="CUST-177"/>
    <x v="21"/>
    <x v="0"/>
    <x v="4"/>
    <x v="3"/>
    <x v="2"/>
    <s v="$32.94"/>
    <s v="Sunday"/>
    <x v="7"/>
    <x v="0"/>
    <b v="1"/>
    <b v="0"/>
    <s v="Standard order"/>
    <n v="1.647"/>
    <x v="21"/>
    <n v="164.7"/>
    <m/>
  </r>
  <r>
    <s v="ORD-4021"/>
    <d v="2024-10-09T00:00:00"/>
    <s v="CUST-165"/>
    <x v="21"/>
    <x v="0"/>
    <x v="0"/>
    <x v="4"/>
    <x v="4"/>
    <s v="$32.94"/>
    <s v="Wednesday"/>
    <x v="3"/>
    <x v="0"/>
    <b v="0"/>
    <b v="0"/>
    <s v="Standard order"/>
    <n v="1.647"/>
    <x v="11"/>
    <n v="65.88"/>
    <m/>
  </r>
  <r>
    <s v="ORD-4022"/>
    <d v="2024-10-03T00:00:00"/>
    <s v="CUST-168"/>
    <x v="11"/>
    <x v="0"/>
    <x v="2"/>
    <x v="0"/>
    <x v="5"/>
    <s v="$33.22"/>
    <s v="Thursday"/>
    <x v="3"/>
    <x v="0"/>
    <b v="0"/>
    <b v="0"/>
    <s v="Standard order"/>
    <n v="1.661"/>
    <x v="16"/>
    <n v="398.64"/>
    <m/>
  </r>
  <r>
    <s v="ORD-4023"/>
    <d v="2024-10-19T00:00:00"/>
    <s v="CUST-154"/>
    <x v="16"/>
    <x v="1"/>
    <x v="1"/>
    <x v="2"/>
    <x v="12"/>
    <s v="$130.07"/>
    <s v="Saturday"/>
    <x v="3"/>
    <x v="0"/>
    <b v="1"/>
    <b v="1"/>
    <s v="Large Order"/>
    <n v="6.5034999999999998"/>
    <x v="10"/>
    <n v="1951.05"/>
    <m/>
  </r>
  <r>
    <s v="ORD-4024"/>
    <d v="2024-02-26T00:00:00"/>
    <s v="CUST-191"/>
    <x v="10"/>
    <x v="0"/>
    <x v="2"/>
    <x v="1"/>
    <x v="17"/>
    <s v="$46.19"/>
    <s v="Monday"/>
    <x v="5"/>
    <x v="0"/>
    <b v="0"/>
    <b v="0"/>
    <s v="Large Order"/>
    <n v="2.3094999999999999"/>
    <x v="16"/>
    <n v="739.04"/>
    <m/>
  </r>
  <r>
    <s v="ORD-4025"/>
    <d v="2024-03-11T00:00:00"/>
    <s v="CUST-135"/>
    <x v="16"/>
    <x v="2"/>
    <x v="0"/>
    <x v="3"/>
    <x v="13"/>
    <s v="$130.07"/>
    <s v="Monday"/>
    <x v="4"/>
    <x v="0"/>
    <b v="0"/>
    <b v="0"/>
    <s v="Standard order"/>
    <n v="6.5034999999999998"/>
    <x v="8"/>
    <n v="390.21"/>
    <m/>
  </r>
  <r>
    <s v="ORD-4026"/>
    <d v="2024-04-23T00:00:00"/>
    <s v="CUST-193"/>
    <x v="0"/>
    <x v="1"/>
    <x v="4"/>
    <x v="4"/>
    <x v="9"/>
    <s v="$146.06"/>
    <s v="Tuesday"/>
    <x v="2"/>
    <x v="0"/>
    <b v="0"/>
    <b v="1"/>
    <s v="Large Order"/>
    <n v="7.3030000000000008"/>
    <x v="22"/>
    <n v="1606.66"/>
    <m/>
  </r>
  <r>
    <s v="ORD-4027"/>
    <d v="2024-11-18T00:00:00"/>
    <s v="CUST-194"/>
    <x v="22"/>
    <x v="2"/>
    <x v="0"/>
    <x v="3"/>
    <x v="4"/>
    <s v="$149.27"/>
    <s v="Monday"/>
    <x v="0"/>
    <x v="0"/>
    <b v="0"/>
    <b v="0"/>
    <s v="Standard order"/>
    <n v="7.4635000000000007"/>
    <x v="13"/>
    <n v="298.54000000000002"/>
    <m/>
  </r>
  <r>
    <s v="ORD-4028"/>
    <d v="2024-12-27T00:00:00"/>
    <s v="CUST-166"/>
    <x v="13"/>
    <x v="0"/>
    <x v="1"/>
    <x v="0"/>
    <x v="1"/>
    <s v="$156.44"/>
    <s v="Friday"/>
    <x v="1"/>
    <x v="0"/>
    <b v="0"/>
    <b v="0"/>
    <s v="Standard order"/>
    <n v="7.8220000000000001"/>
    <x v="24"/>
    <n v="156.44"/>
    <m/>
  </r>
  <r>
    <s v="ORD-4029"/>
    <d v="2024-10-27T00:00:00"/>
    <s v="CUST-148"/>
    <x v="24"/>
    <x v="2"/>
    <x v="4"/>
    <x v="3"/>
    <x v="17"/>
    <s v="$10.11"/>
    <s v="Sunday"/>
    <x v="3"/>
    <x v="0"/>
    <b v="1"/>
    <b v="0"/>
    <s v="Standard order"/>
    <n v="0.50549999999999995"/>
    <x v="4"/>
    <n v="161.76"/>
    <m/>
  </r>
  <r>
    <s v="ORD-4030"/>
    <d v="2024-04-05T00:00:00"/>
    <s v="CUST-193"/>
    <x v="5"/>
    <x v="1"/>
    <x v="4"/>
    <x v="2"/>
    <x v="13"/>
    <s v="$64.61"/>
    <s v="Friday"/>
    <x v="2"/>
    <x v="0"/>
    <b v="0"/>
    <b v="0"/>
    <s v="Standard order"/>
    <n v="3.2305000000000001"/>
    <x v="17"/>
    <n v="193.82999999999998"/>
    <m/>
  </r>
  <r>
    <s v="ORD-4031"/>
    <d v="2024-04-19T00:00:00"/>
    <s v="CUST-100"/>
    <x v="17"/>
    <x v="0"/>
    <x v="2"/>
    <x v="4"/>
    <x v="19"/>
    <s v="$26.59"/>
    <s v="Friday"/>
    <x v="2"/>
    <x v="0"/>
    <b v="0"/>
    <b v="0"/>
    <s v="Large Order"/>
    <n v="1.3295000000000001"/>
    <x v="17"/>
    <n v="531.79999999999995"/>
    <m/>
  </r>
  <r>
    <s v="ORD-4032"/>
    <d v="2024-04-01T00:00:00"/>
    <s v="CUST-104"/>
    <x v="17"/>
    <x v="2"/>
    <x v="3"/>
    <x v="4"/>
    <x v="11"/>
    <s v="$26.59"/>
    <s v="Monday"/>
    <x v="2"/>
    <x v="0"/>
    <b v="0"/>
    <b v="0"/>
    <s v="Standard order"/>
    <n v="1.3295000000000001"/>
    <x v="7"/>
    <n v="345.67"/>
    <m/>
  </r>
  <r>
    <s v="ORD-4033"/>
    <d v="2024-04-30T00:00:00"/>
    <s v="CUST-181"/>
    <x v="8"/>
    <x v="1"/>
    <x v="1"/>
    <x v="2"/>
    <x v="8"/>
    <s v="$208.85"/>
    <s v="Tuesday"/>
    <x v="2"/>
    <x v="0"/>
    <b v="0"/>
    <b v="1"/>
    <s v="Large Order"/>
    <n v="10.442500000000001"/>
    <x v="4"/>
    <n v="2088.5"/>
    <m/>
  </r>
  <r>
    <s v="ORD-4034"/>
    <d v="2024-05-29T00:00:00"/>
    <s v="CUST-185"/>
    <x v="5"/>
    <x v="1"/>
    <x v="2"/>
    <x v="4"/>
    <x v="5"/>
    <s v="$64.61"/>
    <s v="Wednesday"/>
    <x v="7"/>
    <x v="0"/>
    <b v="0"/>
    <b v="1"/>
    <s v="Large Order"/>
    <n v="3.2305000000000001"/>
    <x v="24"/>
    <n v="775.31999999999994"/>
    <m/>
  </r>
  <r>
    <s v="ORD-4035"/>
    <d v="2024-05-31T00:00:00"/>
    <s v="CUST-112"/>
    <x v="24"/>
    <x v="0"/>
    <x v="3"/>
    <x v="1"/>
    <x v="12"/>
    <s v="$10.11"/>
    <s v="Friday"/>
    <x v="7"/>
    <x v="0"/>
    <b v="0"/>
    <b v="0"/>
    <s v="Standard order"/>
    <n v="0.50549999999999995"/>
    <x v="19"/>
    <n v="151.64999999999998"/>
    <m/>
  </r>
  <r>
    <s v="ORD-4036"/>
    <d v="2024-12-05T00:00:00"/>
    <s v="CUST-154"/>
    <x v="19"/>
    <x v="0"/>
    <x v="2"/>
    <x v="3"/>
    <x v="0"/>
    <s v="$145.48"/>
    <s v="Thursday"/>
    <x v="1"/>
    <x v="0"/>
    <b v="0"/>
    <b v="0"/>
    <s v="Large Order"/>
    <n v="7.274"/>
    <x v="0"/>
    <n v="581.91999999999996"/>
    <m/>
  </r>
  <r>
    <s v="ORD-4037"/>
    <d v="2024-07-22T00:00:00"/>
    <s v="CUST-190"/>
    <x v="1"/>
    <x v="1"/>
    <x v="2"/>
    <x v="4"/>
    <x v="3"/>
    <s v="$178.83"/>
    <s v="Monday"/>
    <x v="8"/>
    <x v="0"/>
    <b v="0"/>
    <b v="1"/>
    <s v="Large Order"/>
    <n v="8.9415000000000013"/>
    <x v="2"/>
    <n v="2503.6200000000003"/>
    <m/>
  </r>
  <r>
    <s v="ORD-4038"/>
    <d v="2024-01-15T00:00:00"/>
    <s v="CUST-137"/>
    <x v="3"/>
    <x v="2"/>
    <x v="4"/>
    <x v="1"/>
    <x v="4"/>
    <s v="$84.57"/>
    <s v="Monday"/>
    <x v="6"/>
    <x v="0"/>
    <b v="0"/>
    <b v="0"/>
    <s v="Standard order"/>
    <n v="4.2284999999999995"/>
    <x v="5"/>
    <n v="169.14"/>
    <m/>
  </r>
  <r>
    <s v="ORD-4039"/>
    <d v="2024-06-14T00:00:00"/>
    <s v="CUST-133"/>
    <x v="6"/>
    <x v="1"/>
    <x v="2"/>
    <x v="1"/>
    <x v="12"/>
    <s v="$86.6"/>
    <s v="Friday"/>
    <x v="9"/>
    <x v="0"/>
    <b v="0"/>
    <b v="1"/>
    <s v="Large Order"/>
    <n v="4.33"/>
    <x v="2"/>
    <n v="1299"/>
    <m/>
  </r>
  <r>
    <s v="ORD-4040"/>
    <d v="2024-05-13T00:00:00"/>
    <s v="CUST-106"/>
    <x v="3"/>
    <x v="1"/>
    <x v="4"/>
    <x v="3"/>
    <x v="4"/>
    <s v="$84.57"/>
    <s v="Monday"/>
    <x v="7"/>
    <x v="0"/>
    <b v="0"/>
    <b v="0"/>
    <s v="Standard order"/>
    <n v="4.2284999999999995"/>
    <x v="9"/>
    <n v="169.14"/>
    <m/>
  </r>
  <r>
    <s v="ORD-4041"/>
    <d v="2024-07-28T00:00:00"/>
    <s v="CUST-128"/>
    <x v="9"/>
    <x v="0"/>
    <x v="1"/>
    <x v="2"/>
    <x v="0"/>
    <s v="$101.96"/>
    <s v="Sunday"/>
    <x v="8"/>
    <x v="0"/>
    <b v="1"/>
    <b v="0"/>
    <s v="Standard order"/>
    <n v="5.0979999999999999"/>
    <x v="13"/>
    <n v="407.84"/>
    <m/>
  </r>
  <r>
    <s v="ORD-4042"/>
    <d v="2024-11-10T00:00:00"/>
    <s v="CUST-178"/>
    <x v="13"/>
    <x v="0"/>
    <x v="1"/>
    <x v="4"/>
    <x v="1"/>
    <s v="$156.44"/>
    <s v="Sunday"/>
    <x v="0"/>
    <x v="0"/>
    <b v="1"/>
    <b v="0"/>
    <s v="Standard order"/>
    <n v="7.8220000000000001"/>
    <x v="8"/>
    <n v="156.44"/>
    <m/>
  </r>
  <r>
    <s v="ORD-4043"/>
    <d v="2024-01-11T00:00:00"/>
    <s v="CUST-148"/>
    <x v="0"/>
    <x v="2"/>
    <x v="3"/>
    <x v="3"/>
    <x v="15"/>
    <s v="$146.06"/>
    <s v="Thursday"/>
    <x v="6"/>
    <x v="0"/>
    <b v="0"/>
    <b v="1"/>
    <s v="Large Order"/>
    <n v="7.3030000000000008"/>
    <x v="11"/>
    <n v="2629.08"/>
    <m/>
  </r>
  <r>
    <s v="ORD-4044"/>
    <d v="2024-01-26T00:00:00"/>
    <s v="CUST-166"/>
    <x v="11"/>
    <x v="1"/>
    <x v="1"/>
    <x v="2"/>
    <x v="6"/>
    <s v="$33.22"/>
    <s v="Friday"/>
    <x v="6"/>
    <x v="0"/>
    <b v="0"/>
    <b v="0"/>
    <s v="Standard order"/>
    <n v="1.661"/>
    <x v="24"/>
    <n v="199.32"/>
    <m/>
  </r>
  <r>
    <s v="ORD-4045"/>
    <d v="2024-07-21T00:00:00"/>
    <s v="CUST-191"/>
    <x v="24"/>
    <x v="1"/>
    <x v="4"/>
    <x v="3"/>
    <x v="9"/>
    <s v="$10.11"/>
    <s v="Sunday"/>
    <x v="8"/>
    <x v="0"/>
    <b v="1"/>
    <b v="0"/>
    <s v="Standard order"/>
    <n v="0.50549999999999995"/>
    <x v="24"/>
    <n v="111.21"/>
    <m/>
  </r>
  <r>
    <s v="ORD-4046"/>
    <d v="2024-10-10T00:00:00"/>
    <s v="CUST-193"/>
    <x v="24"/>
    <x v="0"/>
    <x v="0"/>
    <x v="0"/>
    <x v="18"/>
    <s v="$10.11"/>
    <s v="Thursday"/>
    <x v="3"/>
    <x v="0"/>
    <b v="0"/>
    <b v="0"/>
    <s v="Standard order"/>
    <n v="0.50549999999999995"/>
    <x v="15"/>
    <n v="171.87"/>
    <m/>
  </r>
  <r>
    <s v="ORD-4047"/>
    <d v="2024-07-22T00:00:00"/>
    <s v="CUST-162"/>
    <x v="15"/>
    <x v="0"/>
    <x v="3"/>
    <x v="3"/>
    <x v="1"/>
    <s v="$216.22"/>
    <s v="Monday"/>
    <x v="8"/>
    <x v="0"/>
    <b v="0"/>
    <b v="0"/>
    <s v="Standard order"/>
    <n v="10.811"/>
    <x v="15"/>
    <n v="216.22"/>
    <m/>
  </r>
  <r>
    <s v="ORD-4048"/>
    <d v="2024-12-18T00:00:00"/>
    <s v="CUST-131"/>
    <x v="15"/>
    <x v="1"/>
    <x v="0"/>
    <x v="1"/>
    <x v="11"/>
    <s v="$216.22"/>
    <s v="Wednesday"/>
    <x v="1"/>
    <x v="0"/>
    <b v="0"/>
    <b v="1"/>
    <s v="Large Order"/>
    <n v="10.811"/>
    <x v="8"/>
    <n v="2810.86"/>
    <m/>
  </r>
  <r>
    <s v="ORD-4049"/>
    <d v="2024-05-18T00:00:00"/>
    <s v="CUST-110"/>
    <x v="0"/>
    <x v="0"/>
    <x v="1"/>
    <x v="1"/>
    <x v="1"/>
    <s v="$146.06"/>
    <s v="Saturday"/>
    <x v="7"/>
    <x v="0"/>
    <b v="1"/>
    <b v="0"/>
    <s v="Standard order"/>
    <n v="7.3030000000000008"/>
    <x v="0"/>
    <n v="146.06"/>
    <m/>
  </r>
  <r>
    <s v="ORD-4050"/>
    <d v="2024-10-04T00:00:00"/>
    <s v="CUST-177"/>
    <x v="1"/>
    <x v="0"/>
    <x v="1"/>
    <x v="1"/>
    <x v="10"/>
    <s v="$178.83"/>
    <s v="Friday"/>
    <x v="3"/>
    <x v="0"/>
    <b v="0"/>
    <b v="1"/>
    <s v="Large Order"/>
    <n v="8.9415000000000013"/>
    <x v="13"/>
    <n v="1251.8100000000002"/>
    <m/>
  </r>
  <r>
    <s v="ORD-4051"/>
    <d v="2024-06-08T00:00:00"/>
    <s v="CUST-200"/>
    <x v="13"/>
    <x v="1"/>
    <x v="1"/>
    <x v="0"/>
    <x v="8"/>
    <s v="$156.44"/>
    <s v="Saturday"/>
    <x v="9"/>
    <x v="0"/>
    <b v="1"/>
    <b v="1"/>
    <s v="Large Order"/>
    <n v="7.8220000000000001"/>
    <x v="2"/>
    <n v="1564.4"/>
    <m/>
  </r>
  <r>
    <s v="ORD-4052"/>
    <d v="2024-04-13T00:00:00"/>
    <s v="CUST-112"/>
    <x v="3"/>
    <x v="2"/>
    <x v="1"/>
    <x v="1"/>
    <x v="11"/>
    <s v="$84.57"/>
    <s v="Saturday"/>
    <x v="2"/>
    <x v="0"/>
    <b v="1"/>
    <b v="1"/>
    <s v="Large Order"/>
    <n v="4.2284999999999995"/>
    <x v="17"/>
    <n v="1099.4099999999999"/>
    <m/>
  </r>
  <r>
    <s v="ORD-4053"/>
    <d v="2024-02-17T00:00:00"/>
    <s v="CUST-128"/>
    <x v="17"/>
    <x v="2"/>
    <x v="3"/>
    <x v="1"/>
    <x v="8"/>
    <s v="$26.59"/>
    <s v="Saturday"/>
    <x v="5"/>
    <x v="0"/>
    <b v="1"/>
    <b v="0"/>
    <s v="Standard order"/>
    <n v="1.3295000000000001"/>
    <x v="24"/>
    <n v="265.89999999999998"/>
    <m/>
  </r>
  <r>
    <s v="ORD-4054"/>
    <d v="2024-09-30T00:00:00"/>
    <s v="CUST-164"/>
    <x v="24"/>
    <x v="1"/>
    <x v="0"/>
    <x v="1"/>
    <x v="11"/>
    <s v="$10.11"/>
    <s v="Monday"/>
    <x v="11"/>
    <x v="0"/>
    <b v="0"/>
    <b v="0"/>
    <s v="Standard order"/>
    <n v="0.50549999999999995"/>
    <x v="19"/>
    <n v="131.43"/>
    <m/>
  </r>
  <r>
    <s v="ORD-4055"/>
    <d v="2024-10-06T00:00:00"/>
    <s v="CUST-191"/>
    <x v="19"/>
    <x v="1"/>
    <x v="4"/>
    <x v="4"/>
    <x v="1"/>
    <s v="$145.48"/>
    <s v="Sunday"/>
    <x v="3"/>
    <x v="0"/>
    <b v="1"/>
    <b v="0"/>
    <s v="Standard order"/>
    <n v="7.274"/>
    <x v="7"/>
    <n v="145.47999999999999"/>
    <m/>
  </r>
  <r>
    <s v="ORD-4056"/>
    <d v="2024-04-28T00:00:00"/>
    <s v="CUST-157"/>
    <x v="8"/>
    <x v="1"/>
    <x v="1"/>
    <x v="0"/>
    <x v="8"/>
    <s v="$208.85"/>
    <s v="Sunday"/>
    <x v="2"/>
    <x v="0"/>
    <b v="1"/>
    <b v="1"/>
    <s v="Large Order"/>
    <n v="10.442500000000001"/>
    <x v="19"/>
    <n v="2088.5"/>
    <m/>
  </r>
  <r>
    <s v="ORD-4057"/>
    <d v="2024-11-18T00:00:00"/>
    <s v="CUST-110"/>
    <x v="19"/>
    <x v="2"/>
    <x v="4"/>
    <x v="2"/>
    <x v="17"/>
    <s v="$145.48"/>
    <s v="Monday"/>
    <x v="0"/>
    <x v="0"/>
    <b v="0"/>
    <b v="1"/>
    <s v="Large Order"/>
    <n v="7.274"/>
    <x v="3"/>
    <n v="2327.6799999999998"/>
    <m/>
  </r>
  <r>
    <s v="ORD-4058"/>
    <d v="2024-02-12T00:00:00"/>
    <s v="CUST-118"/>
    <x v="4"/>
    <x v="2"/>
    <x v="2"/>
    <x v="4"/>
    <x v="16"/>
    <s v="$230.34"/>
    <s v="Monday"/>
    <x v="5"/>
    <x v="0"/>
    <b v="0"/>
    <b v="1"/>
    <s v="Large Order"/>
    <n v="11.517000000000001"/>
    <x v="4"/>
    <n v="4376.46"/>
    <m/>
  </r>
  <r>
    <s v="ORD-4059"/>
    <d v="2024-01-31T00:00:00"/>
    <s v="CUST-198"/>
    <x v="5"/>
    <x v="1"/>
    <x v="2"/>
    <x v="3"/>
    <x v="9"/>
    <s v="$64.61"/>
    <s v="Wednesday"/>
    <x v="6"/>
    <x v="0"/>
    <b v="0"/>
    <b v="0"/>
    <s v="Large Order"/>
    <n v="3.2305000000000001"/>
    <x v="10"/>
    <n v="710.71"/>
    <m/>
  </r>
  <r>
    <s v="ORD-4060"/>
    <d v="2024-01-19T00:00:00"/>
    <s v="CUST-141"/>
    <x v="10"/>
    <x v="2"/>
    <x v="1"/>
    <x v="1"/>
    <x v="1"/>
    <s v="$46.19"/>
    <s v="Friday"/>
    <x v="6"/>
    <x v="0"/>
    <b v="0"/>
    <b v="0"/>
    <s v="Standard order"/>
    <n v="2.3094999999999999"/>
    <x v="23"/>
    <n v="46.19"/>
    <m/>
  </r>
  <r>
    <s v="ORD-4061"/>
    <d v="2024-04-17T00:00:00"/>
    <s v="CUST-196"/>
    <x v="23"/>
    <x v="1"/>
    <x v="1"/>
    <x v="1"/>
    <x v="9"/>
    <s v="$133.37"/>
    <s v="Wednesday"/>
    <x v="2"/>
    <x v="0"/>
    <b v="0"/>
    <b v="1"/>
    <s v="Large Order"/>
    <n v="6.6685000000000008"/>
    <x v="12"/>
    <n v="1467.0700000000002"/>
    <m/>
  </r>
  <r>
    <s v="ORD-4062"/>
    <d v="2024-04-30T00:00:00"/>
    <s v="CUST-141"/>
    <x v="12"/>
    <x v="2"/>
    <x v="2"/>
    <x v="4"/>
    <x v="15"/>
    <s v="$211.9"/>
    <s v="Tuesday"/>
    <x v="2"/>
    <x v="0"/>
    <b v="0"/>
    <b v="1"/>
    <s v="Large Order"/>
    <n v="10.595000000000001"/>
    <x v="17"/>
    <n v="3814.2000000000003"/>
    <m/>
  </r>
  <r>
    <s v="ORD-4063"/>
    <d v="2024-02-11T00:00:00"/>
    <s v="CUST-113"/>
    <x v="17"/>
    <x v="2"/>
    <x v="0"/>
    <x v="1"/>
    <x v="2"/>
    <s v="$26.59"/>
    <s v="Sunday"/>
    <x v="5"/>
    <x v="0"/>
    <b v="1"/>
    <b v="0"/>
    <s v="Standard order"/>
    <n v="1.3295000000000001"/>
    <x v="16"/>
    <n v="132.94999999999999"/>
    <m/>
  </r>
  <r>
    <s v="ORD-4064"/>
    <d v="2024-03-23T00:00:00"/>
    <s v="CUST-166"/>
    <x v="16"/>
    <x v="0"/>
    <x v="4"/>
    <x v="2"/>
    <x v="12"/>
    <s v="$130.07"/>
    <s v="Saturday"/>
    <x v="4"/>
    <x v="0"/>
    <b v="1"/>
    <b v="1"/>
    <s v="Large Order"/>
    <n v="6.5034999999999998"/>
    <x v="17"/>
    <n v="1951.05"/>
    <m/>
  </r>
  <r>
    <s v="ORD-4065"/>
    <d v="2024-02-28T00:00:00"/>
    <s v="CUST-104"/>
    <x v="17"/>
    <x v="1"/>
    <x v="4"/>
    <x v="4"/>
    <x v="17"/>
    <s v="$26.59"/>
    <s v="Wednesday"/>
    <x v="5"/>
    <x v="0"/>
    <b v="0"/>
    <b v="0"/>
    <s v="Standard order"/>
    <n v="1.3295000000000001"/>
    <x v="3"/>
    <n v="425.44"/>
    <m/>
  </r>
  <r>
    <s v="ORD-4066"/>
    <d v="2024-10-07T00:00:00"/>
    <s v="CUST-153"/>
    <x v="4"/>
    <x v="0"/>
    <x v="3"/>
    <x v="0"/>
    <x v="3"/>
    <s v="$230.34"/>
    <s v="Monday"/>
    <x v="3"/>
    <x v="0"/>
    <b v="0"/>
    <b v="1"/>
    <s v="Large Order"/>
    <n v="11.517000000000001"/>
    <x v="22"/>
    <n v="3224.76"/>
    <m/>
  </r>
  <r>
    <s v="ORD-4067"/>
    <d v="2024-12-12T00:00:00"/>
    <s v="CUST-134"/>
    <x v="22"/>
    <x v="1"/>
    <x v="1"/>
    <x v="3"/>
    <x v="16"/>
    <s v="$149.27"/>
    <s v="Thursday"/>
    <x v="1"/>
    <x v="0"/>
    <b v="0"/>
    <b v="1"/>
    <s v="Large Order"/>
    <n v="7.4635000000000007"/>
    <x v="22"/>
    <n v="2836.13"/>
    <m/>
  </r>
  <r>
    <s v="ORD-4068"/>
    <d v="2024-03-13T00:00:00"/>
    <s v="CUST-137"/>
    <x v="22"/>
    <x v="2"/>
    <x v="4"/>
    <x v="4"/>
    <x v="5"/>
    <s v="$149.27"/>
    <s v="Wednesday"/>
    <x v="4"/>
    <x v="0"/>
    <b v="0"/>
    <b v="1"/>
    <s v="Large Order"/>
    <n v="7.4635000000000007"/>
    <x v="12"/>
    <n v="1791.2400000000002"/>
    <m/>
  </r>
  <r>
    <s v="ORD-4069"/>
    <d v="2024-05-08T00:00:00"/>
    <s v="CUST-160"/>
    <x v="12"/>
    <x v="0"/>
    <x v="3"/>
    <x v="2"/>
    <x v="6"/>
    <s v="$211.9"/>
    <s v="Wednesday"/>
    <x v="7"/>
    <x v="0"/>
    <b v="0"/>
    <b v="1"/>
    <s v="Large Order"/>
    <n v="10.595000000000001"/>
    <x v="13"/>
    <n v="1271.4000000000001"/>
    <m/>
  </r>
  <r>
    <s v="ORD-4070"/>
    <d v="2024-08-30T00:00:00"/>
    <s v="CUST-101"/>
    <x v="13"/>
    <x v="1"/>
    <x v="4"/>
    <x v="2"/>
    <x v="17"/>
    <s v="$156.44"/>
    <s v="Friday"/>
    <x v="10"/>
    <x v="0"/>
    <b v="0"/>
    <b v="1"/>
    <s v="Large Order"/>
    <n v="7.8220000000000001"/>
    <x v="10"/>
    <n v="2503.04"/>
    <m/>
  </r>
  <r>
    <s v="ORD-4071"/>
    <d v="2024-01-03T00:00:00"/>
    <s v="CUST-139"/>
    <x v="10"/>
    <x v="0"/>
    <x v="4"/>
    <x v="0"/>
    <x v="15"/>
    <s v="$46.19"/>
    <s v="Wednesday"/>
    <x v="6"/>
    <x v="0"/>
    <b v="0"/>
    <b v="1"/>
    <s v="Large Order"/>
    <n v="2.3094999999999999"/>
    <x v="20"/>
    <n v="831.42"/>
    <m/>
  </r>
  <r>
    <s v="ORD-4072"/>
    <d v="2024-02-18T00:00:00"/>
    <s v="CUST-107"/>
    <x v="20"/>
    <x v="1"/>
    <x v="1"/>
    <x v="2"/>
    <x v="13"/>
    <s v="$81.02"/>
    <s v="Sunday"/>
    <x v="5"/>
    <x v="0"/>
    <b v="1"/>
    <b v="0"/>
    <s v="Standard order"/>
    <n v="4.0510000000000002"/>
    <x v="7"/>
    <n v="243.06"/>
    <m/>
  </r>
  <r>
    <s v="ORD-4073"/>
    <d v="2024-10-13T00:00:00"/>
    <s v="CUST-128"/>
    <x v="8"/>
    <x v="2"/>
    <x v="0"/>
    <x v="2"/>
    <x v="14"/>
    <s v="$208.85"/>
    <s v="Sunday"/>
    <x v="3"/>
    <x v="0"/>
    <b v="1"/>
    <b v="1"/>
    <s v="Large Order"/>
    <n v="10.442500000000001"/>
    <x v="16"/>
    <n v="1879.6499999999999"/>
    <m/>
  </r>
  <r>
    <s v="ORD-4074"/>
    <d v="2024-08-06T00:00:00"/>
    <s v="CUST-174"/>
    <x v="16"/>
    <x v="1"/>
    <x v="3"/>
    <x v="4"/>
    <x v="11"/>
    <s v="$130.07"/>
    <s v="Tuesday"/>
    <x v="10"/>
    <x v="0"/>
    <b v="0"/>
    <b v="1"/>
    <s v="Large Order"/>
    <n v="6.5034999999999998"/>
    <x v="1"/>
    <n v="1690.9099999999999"/>
    <m/>
  </r>
  <r>
    <s v="ORD-4075"/>
    <d v="2024-10-14T00:00:00"/>
    <s v="CUST-169"/>
    <x v="2"/>
    <x v="2"/>
    <x v="4"/>
    <x v="0"/>
    <x v="16"/>
    <s v="$88.18"/>
    <s v="Monday"/>
    <x v="3"/>
    <x v="0"/>
    <b v="0"/>
    <b v="1"/>
    <s v="Large Order"/>
    <n v="4.4090000000000007"/>
    <x v="6"/>
    <n v="1675.42"/>
    <m/>
  </r>
  <r>
    <s v="ORD-4076"/>
    <d v="2024-04-20T00:00:00"/>
    <s v="CUST-135"/>
    <x v="7"/>
    <x v="1"/>
    <x v="1"/>
    <x v="0"/>
    <x v="2"/>
    <s v="$107.34"/>
    <s v="Saturday"/>
    <x v="2"/>
    <x v="0"/>
    <b v="1"/>
    <b v="0"/>
    <s v="Large Order"/>
    <n v="5.3670000000000009"/>
    <x v="21"/>
    <n v="536.70000000000005"/>
    <m/>
  </r>
  <r>
    <s v="ORD-4077"/>
    <d v="2024-10-27T00:00:00"/>
    <s v="CUST-182"/>
    <x v="21"/>
    <x v="1"/>
    <x v="3"/>
    <x v="4"/>
    <x v="16"/>
    <s v="$32.94"/>
    <s v="Sunday"/>
    <x v="3"/>
    <x v="0"/>
    <b v="1"/>
    <b v="0"/>
    <s v="Large Order"/>
    <n v="1.647"/>
    <x v="4"/>
    <n v="625.8599999999999"/>
    <m/>
  </r>
  <r>
    <s v="ORD-4078"/>
    <d v="2024-11-11T00:00:00"/>
    <s v="CUST-185"/>
    <x v="5"/>
    <x v="0"/>
    <x v="4"/>
    <x v="0"/>
    <x v="7"/>
    <s v="$64.61"/>
    <s v="Monday"/>
    <x v="0"/>
    <x v="0"/>
    <b v="0"/>
    <b v="0"/>
    <s v="Large Order"/>
    <n v="3.2305000000000001"/>
    <x v="0"/>
    <n v="516.88"/>
    <m/>
  </r>
  <r>
    <s v="ORD-4079"/>
    <d v="2024-02-16T00:00:00"/>
    <s v="CUST-178"/>
    <x v="1"/>
    <x v="0"/>
    <x v="4"/>
    <x v="1"/>
    <x v="1"/>
    <s v="$178.83"/>
    <s v="Friday"/>
    <x v="5"/>
    <x v="0"/>
    <b v="0"/>
    <b v="0"/>
    <s v="Standard order"/>
    <n v="8.9415000000000013"/>
    <x v="22"/>
    <n v="178.83"/>
    <m/>
  </r>
  <r>
    <s v="ORD-4080"/>
    <d v="2024-01-27T00:00:00"/>
    <s v="CUST-117"/>
    <x v="22"/>
    <x v="1"/>
    <x v="2"/>
    <x v="1"/>
    <x v="9"/>
    <s v="$149.27"/>
    <s v="Saturday"/>
    <x v="6"/>
    <x v="0"/>
    <b v="1"/>
    <b v="1"/>
    <s v="Large Order"/>
    <n v="7.4635000000000007"/>
    <x v="23"/>
    <n v="1641.97"/>
    <m/>
  </r>
  <r>
    <s v="ORD-4081"/>
    <d v="2024-03-01T00:00:00"/>
    <s v="CUST-130"/>
    <x v="23"/>
    <x v="1"/>
    <x v="2"/>
    <x v="1"/>
    <x v="17"/>
    <s v="$133.37"/>
    <s v="Friday"/>
    <x v="4"/>
    <x v="0"/>
    <b v="0"/>
    <b v="1"/>
    <s v="Large Order"/>
    <n v="6.6685000000000008"/>
    <x v="22"/>
    <n v="2133.92"/>
    <m/>
  </r>
  <r>
    <s v="ORD-4082"/>
    <d v="2024-09-24T00:00:00"/>
    <s v="CUST-140"/>
    <x v="22"/>
    <x v="0"/>
    <x v="1"/>
    <x v="2"/>
    <x v="6"/>
    <s v="$149.27"/>
    <s v="Tuesday"/>
    <x v="11"/>
    <x v="0"/>
    <b v="0"/>
    <b v="1"/>
    <s v="Large Order"/>
    <n v="7.4635000000000007"/>
    <x v="0"/>
    <n v="895.62000000000012"/>
    <m/>
  </r>
  <r>
    <s v="ORD-4083"/>
    <d v="2024-05-22T00:00:00"/>
    <s v="CUST-191"/>
    <x v="1"/>
    <x v="1"/>
    <x v="1"/>
    <x v="1"/>
    <x v="17"/>
    <s v="$178.83"/>
    <s v="Wednesday"/>
    <x v="7"/>
    <x v="0"/>
    <b v="0"/>
    <b v="1"/>
    <s v="Large Order"/>
    <n v="8.9415000000000013"/>
    <x v="19"/>
    <n v="2861.28"/>
    <m/>
  </r>
  <r>
    <s v="ORD-4084"/>
    <d v="2024-05-08T00:00:00"/>
    <s v="CUST-187"/>
    <x v="19"/>
    <x v="2"/>
    <x v="2"/>
    <x v="3"/>
    <x v="6"/>
    <s v="$145.48"/>
    <s v="Wednesday"/>
    <x v="7"/>
    <x v="0"/>
    <b v="0"/>
    <b v="1"/>
    <s v="Large Order"/>
    <n v="7.274"/>
    <x v="21"/>
    <n v="872.87999999999988"/>
    <m/>
  </r>
  <r>
    <s v="ORD-4085"/>
    <d v="2024-07-06T00:00:00"/>
    <s v="CUST-159"/>
    <x v="21"/>
    <x v="2"/>
    <x v="3"/>
    <x v="1"/>
    <x v="10"/>
    <s v="$32.94"/>
    <s v="Saturday"/>
    <x v="8"/>
    <x v="0"/>
    <b v="1"/>
    <b v="0"/>
    <s v="Standard order"/>
    <n v="1.647"/>
    <x v="7"/>
    <n v="230.57999999999998"/>
    <m/>
  </r>
  <r>
    <s v="ORD-4086"/>
    <d v="2024-04-07T00:00:00"/>
    <s v="CUST-148"/>
    <x v="8"/>
    <x v="0"/>
    <x v="0"/>
    <x v="2"/>
    <x v="12"/>
    <s v="$208.85"/>
    <s v="Sunday"/>
    <x v="2"/>
    <x v="0"/>
    <b v="1"/>
    <b v="1"/>
    <s v="Large Order"/>
    <n v="10.442500000000001"/>
    <x v="9"/>
    <n v="3132.75"/>
    <m/>
  </r>
  <r>
    <s v="ORD-4087"/>
    <d v="2024-04-09T00:00:00"/>
    <s v="CUST-100"/>
    <x v="9"/>
    <x v="1"/>
    <x v="3"/>
    <x v="0"/>
    <x v="5"/>
    <s v="$101.96"/>
    <s v="Tuesday"/>
    <x v="2"/>
    <x v="0"/>
    <b v="0"/>
    <b v="1"/>
    <s v="Large Order"/>
    <n v="5.0979999999999999"/>
    <x v="20"/>
    <n v="1223.52"/>
    <m/>
  </r>
  <r>
    <s v="ORD-4088"/>
    <d v="2024-09-14T00:00:00"/>
    <s v="CUST-101"/>
    <x v="20"/>
    <x v="1"/>
    <x v="0"/>
    <x v="3"/>
    <x v="17"/>
    <s v="$81.02"/>
    <s v="Saturday"/>
    <x v="11"/>
    <x v="0"/>
    <b v="1"/>
    <b v="1"/>
    <s v="Large Order"/>
    <n v="4.0510000000000002"/>
    <x v="2"/>
    <n v="1296.32"/>
    <m/>
  </r>
  <r>
    <s v="ORD-4089"/>
    <d v="2024-12-22T00:00:00"/>
    <s v="CUST-190"/>
    <x v="3"/>
    <x v="1"/>
    <x v="0"/>
    <x v="4"/>
    <x v="1"/>
    <s v="$84.57"/>
    <s v="Sunday"/>
    <x v="1"/>
    <x v="0"/>
    <b v="1"/>
    <b v="0"/>
    <s v="Standard order"/>
    <n v="4.2284999999999995"/>
    <x v="1"/>
    <n v="84.57"/>
    <m/>
  </r>
  <r>
    <s v="ORD-4090"/>
    <d v="2024-08-29T00:00:00"/>
    <s v="CUST-177"/>
    <x v="2"/>
    <x v="1"/>
    <x v="2"/>
    <x v="2"/>
    <x v="17"/>
    <s v="$88.18"/>
    <s v="Thursday"/>
    <x v="10"/>
    <x v="0"/>
    <b v="0"/>
    <b v="1"/>
    <s v="Large Order"/>
    <n v="4.4090000000000007"/>
    <x v="23"/>
    <n v="1410.88"/>
    <m/>
  </r>
  <r>
    <s v="ORD-4091"/>
    <d v="2024-11-27T00:00:00"/>
    <s v="CUST-196"/>
    <x v="23"/>
    <x v="0"/>
    <x v="0"/>
    <x v="3"/>
    <x v="1"/>
    <s v="$133.37"/>
    <s v="Wednesday"/>
    <x v="0"/>
    <x v="0"/>
    <b v="0"/>
    <b v="0"/>
    <s v="Standard order"/>
    <n v="6.6685000000000008"/>
    <x v="16"/>
    <n v="133.37"/>
    <m/>
  </r>
  <r>
    <s v="ORD-4092"/>
    <d v="2024-03-19T00:00:00"/>
    <s v="CUST-190"/>
    <x v="16"/>
    <x v="0"/>
    <x v="4"/>
    <x v="0"/>
    <x v="3"/>
    <s v="$130.07"/>
    <s v="Tuesday"/>
    <x v="4"/>
    <x v="0"/>
    <b v="0"/>
    <b v="1"/>
    <s v="Large Order"/>
    <n v="6.5034999999999998"/>
    <x v="12"/>
    <n v="1820.98"/>
    <m/>
  </r>
  <r>
    <s v="ORD-4093"/>
    <d v="2024-03-02T00:00:00"/>
    <s v="CUST-107"/>
    <x v="12"/>
    <x v="2"/>
    <x v="0"/>
    <x v="3"/>
    <x v="0"/>
    <s v="$211.9"/>
    <s v="Saturday"/>
    <x v="4"/>
    <x v="0"/>
    <b v="1"/>
    <b v="0"/>
    <s v="Large Order"/>
    <n v="10.595000000000001"/>
    <x v="1"/>
    <n v="847.6"/>
    <m/>
  </r>
  <r>
    <s v="ORD-4094"/>
    <d v="2024-05-22T00:00:00"/>
    <s v="CUST-124"/>
    <x v="2"/>
    <x v="2"/>
    <x v="0"/>
    <x v="3"/>
    <x v="9"/>
    <s v="$88.18"/>
    <s v="Wednesday"/>
    <x v="7"/>
    <x v="0"/>
    <b v="0"/>
    <b v="1"/>
    <s v="Large Order"/>
    <n v="4.4090000000000007"/>
    <x v="16"/>
    <n v="969.98"/>
    <m/>
  </r>
  <r>
    <s v="ORD-4095"/>
    <d v="2024-03-27T00:00:00"/>
    <s v="CUST-175"/>
    <x v="16"/>
    <x v="1"/>
    <x v="1"/>
    <x v="0"/>
    <x v="11"/>
    <s v="$130.07"/>
    <s v="Wednesday"/>
    <x v="4"/>
    <x v="0"/>
    <b v="0"/>
    <b v="1"/>
    <s v="Large Order"/>
    <n v="6.5034999999999998"/>
    <x v="15"/>
    <n v="1690.9099999999999"/>
    <m/>
  </r>
  <r>
    <s v="ORD-4096"/>
    <d v="2024-12-07T00:00:00"/>
    <s v="CUST-185"/>
    <x v="15"/>
    <x v="0"/>
    <x v="4"/>
    <x v="4"/>
    <x v="2"/>
    <s v="$216.22"/>
    <s v="Saturday"/>
    <x v="1"/>
    <x v="0"/>
    <b v="1"/>
    <b v="0"/>
    <s v="Large Order"/>
    <n v="10.811"/>
    <x v="12"/>
    <n v="1081.0999999999999"/>
    <m/>
  </r>
  <r>
    <s v="ORD-4097"/>
    <d v="2024-02-12T00:00:00"/>
    <s v="CUST-122"/>
    <x v="12"/>
    <x v="0"/>
    <x v="3"/>
    <x v="4"/>
    <x v="10"/>
    <s v="$211.9"/>
    <s v="Monday"/>
    <x v="5"/>
    <x v="0"/>
    <b v="0"/>
    <b v="1"/>
    <s v="Large Order"/>
    <n v="10.595000000000001"/>
    <x v="1"/>
    <n v="1483.3"/>
    <m/>
  </r>
  <r>
    <s v="ORD-4098"/>
    <d v="2024-07-28T00:00:00"/>
    <s v="CUST-122"/>
    <x v="2"/>
    <x v="2"/>
    <x v="0"/>
    <x v="3"/>
    <x v="14"/>
    <s v="$88.18"/>
    <s v="Sunday"/>
    <x v="8"/>
    <x v="0"/>
    <b v="1"/>
    <b v="1"/>
    <s v="Large Order"/>
    <n v="4.4090000000000007"/>
    <x v="12"/>
    <n v="793.62000000000012"/>
    <m/>
  </r>
  <r>
    <s v="ORD-4099"/>
    <d v="2024-03-01T00:00:00"/>
    <s v="CUST-143"/>
    <x v="12"/>
    <x v="2"/>
    <x v="0"/>
    <x v="4"/>
    <x v="12"/>
    <s v="$211.9"/>
    <s v="Friday"/>
    <x v="4"/>
    <x v="0"/>
    <b v="0"/>
    <b v="1"/>
    <s v="Large Order"/>
    <n v="10.595000000000001"/>
    <x v="16"/>
    <n v="3178.5"/>
    <m/>
  </r>
  <r>
    <s v="ORD-4100"/>
    <d v="2024-02-16T00:00:00"/>
    <s v="CUST-123"/>
    <x v="16"/>
    <x v="0"/>
    <x v="4"/>
    <x v="3"/>
    <x v="16"/>
    <s v="$130.07"/>
    <s v="Friday"/>
    <x v="5"/>
    <x v="0"/>
    <b v="0"/>
    <b v="1"/>
    <s v="Large Order"/>
    <n v="6.5034999999999998"/>
    <x v="6"/>
    <n v="2471.33"/>
    <m/>
  </r>
  <r>
    <s v="ORD-4101"/>
    <d v="2024-01-11T00:00:00"/>
    <s v="CUST-198"/>
    <x v="7"/>
    <x v="0"/>
    <x v="4"/>
    <x v="3"/>
    <x v="12"/>
    <s v="$107.34"/>
    <s v="Thursday"/>
    <x v="6"/>
    <x v="0"/>
    <b v="0"/>
    <b v="1"/>
    <s v="Large Order"/>
    <n v="5.3670000000000009"/>
    <x v="5"/>
    <n v="1610.1000000000001"/>
    <m/>
  </r>
  <r>
    <s v="ORD-4102"/>
    <d v="2024-05-06T00:00:00"/>
    <s v="CUST-139"/>
    <x v="6"/>
    <x v="2"/>
    <x v="4"/>
    <x v="2"/>
    <x v="8"/>
    <s v="$86.6"/>
    <s v="Monday"/>
    <x v="7"/>
    <x v="0"/>
    <b v="0"/>
    <b v="1"/>
    <s v="Large Order"/>
    <n v="4.33"/>
    <x v="6"/>
    <n v="866"/>
    <m/>
  </r>
  <r>
    <s v="ORD-4103"/>
    <d v="2024-12-27T00:00:00"/>
    <s v="CUST-136"/>
    <x v="7"/>
    <x v="1"/>
    <x v="4"/>
    <x v="4"/>
    <x v="9"/>
    <s v="$107.34"/>
    <s v="Friday"/>
    <x v="1"/>
    <x v="0"/>
    <b v="0"/>
    <b v="1"/>
    <s v="Large Order"/>
    <n v="5.3670000000000009"/>
    <x v="11"/>
    <n v="1180.74"/>
    <m/>
  </r>
  <r>
    <s v="ORD-4104"/>
    <d v="2024-04-06T00:00:00"/>
    <s v="CUST-134"/>
    <x v="11"/>
    <x v="0"/>
    <x v="3"/>
    <x v="3"/>
    <x v="12"/>
    <s v="$33.22"/>
    <s v="Saturday"/>
    <x v="2"/>
    <x v="0"/>
    <b v="1"/>
    <b v="0"/>
    <s v="Standard order"/>
    <n v="1.661"/>
    <x v="9"/>
    <n v="498.29999999999995"/>
    <m/>
  </r>
  <r>
    <s v="ORD-4105"/>
    <d v="2024-09-07T00:00:00"/>
    <s v="CUST-145"/>
    <x v="9"/>
    <x v="1"/>
    <x v="3"/>
    <x v="4"/>
    <x v="12"/>
    <s v="$101.96"/>
    <s v="Saturday"/>
    <x v="11"/>
    <x v="0"/>
    <b v="1"/>
    <b v="1"/>
    <s v="Large Order"/>
    <n v="5.0979999999999999"/>
    <x v="15"/>
    <n v="1529.3999999999999"/>
    <m/>
  </r>
  <r>
    <s v="ORD-4106"/>
    <d v="2024-12-17T00:00:00"/>
    <s v="CUST-121"/>
    <x v="15"/>
    <x v="2"/>
    <x v="2"/>
    <x v="2"/>
    <x v="15"/>
    <s v="$216.22"/>
    <s v="Tuesday"/>
    <x v="1"/>
    <x v="0"/>
    <b v="0"/>
    <b v="1"/>
    <s v="Large Order"/>
    <n v="10.811"/>
    <x v="7"/>
    <n v="3891.96"/>
    <m/>
  </r>
  <r>
    <s v="ORD-4107"/>
    <d v="2024-12-25T00:00:00"/>
    <s v="CUST-155"/>
    <x v="8"/>
    <x v="2"/>
    <x v="3"/>
    <x v="2"/>
    <x v="9"/>
    <s v="$208.85"/>
    <s v="Wednesday"/>
    <x v="1"/>
    <x v="0"/>
    <b v="0"/>
    <b v="1"/>
    <s v="Large Order"/>
    <n v="10.442500000000001"/>
    <x v="16"/>
    <n v="2297.35"/>
    <m/>
  </r>
  <r>
    <s v="ORD-4108"/>
    <d v="2024-09-14T00:00:00"/>
    <s v="CUST-170"/>
    <x v="16"/>
    <x v="1"/>
    <x v="0"/>
    <x v="4"/>
    <x v="10"/>
    <s v="$130.07"/>
    <s v="Saturday"/>
    <x v="11"/>
    <x v="0"/>
    <b v="1"/>
    <b v="1"/>
    <s v="Large Order"/>
    <n v="6.5034999999999998"/>
    <x v="15"/>
    <n v="910.49"/>
    <m/>
  </r>
  <r>
    <s v="ORD-4109"/>
    <d v="2024-08-27T00:00:00"/>
    <s v="CUST-133"/>
    <x v="15"/>
    <x v="0"/>
    <x v="1"/>
    <x v="2"/>
    <x v="17"/>
    <s v="$216.22"/>
    <s v="Tuesday"/>
    <x v="10"/>
    <x v="0"/>
    <b v="0"/>
    <b v="1"/>
    <s v="Large Order"/>
    <n v="10.811"/>
    <x v="7"/>
    <n v="3459.52"/>
    <m/>
  </r>
  <r>
    <s v="ORD-4110"/>
    <d v="2024-10-27T00:00:00"/>
    <s v="CUST-141"/>
    <x v="8"/>
    <x v="2"/>
    <x v="2"/>
    <x v="4"/>
    <x v="4"/>
    <s v="$208.85"/>
    <s v="Sunday"/>
    <x v="3"/>
    <x v="0"/>
    <b v="1"/>
    <b v="0"/>
    <s v="Standard order"/>
    <n v="10.442500000000001"/>
    <x v="7"/>
    <n v="417.7"/>
    <m/>
  </r>
  <r>
    <s v="ORD-4111"/>
    <d v="2024-02-23T00:00:00"/>
    <s v="CUST-180"/>
    <x v="8"/>
    <x v="0"/>
    <x v="4"/>
    <x v="1"/>
    <x v="17"/>
    <s v="$208.85"/>
    <s v="Friday"/>
    <x v="5"/>
    <x v="0"/>
    <b v="0"/>
    <b v="1"/>
    <s v="Large Order"/>
    <n v="10.442500000000001"/>
    <x v="6"/>
    <n v="3341.6"/>
    <m/>
  </r>
  <r>
    <s v="ORD-4112"/>
    <d v="2024-11-27T00:00:00"/>
    <s v="CUST-112"/>
    <x v="7"/>
    <x v="1"/>
    <x v="3"/>
    <x v="2"/>
    <x v="12"/>
    <s v="$107.34"/>
    <s v="Wednesday"/>
    <x v="0"/>
    <x v="0"/>
    <b v="0"/>
    <b v="1"/>
    <s v="Large Order"/>
    <n v="5.3670000000000009"/>
    <x v="20"/>
    <n v="1610.1000000000001"/>
    <m/>
  </r>
  <r>
    <s v="ORD-4113"/>
    <d v="2024-01-12T00:00:00"/>
    <s v="CUST-156"/>
    <x v="20"/>
    <x v="1"/>
    <x v="1"/>
    <x v="4"/>
    <x v="3"/>
    <s v="$81.02"/>
    <s v="Friday"/>
    <x v="6"/>
    <x v="0"/>
    <b v="0"/>
    <b v="1"/>
    <s v="Large Order"/>
    <n v="4.0510000000000002"/>
    <x v="2"/>
    <n v="1134.28"/>
    <m/>
  </r>
  <r>
    <s v="ORD-4114"/>
    <d v="2024-08-30T00:00:00"/>
    <s v="CUST-131"/>
    <x v="3"/>
    <x v="2"/>
    <x v="3"/>
    <x v="4"/>
    <x v="9"/>
    <s v="$84.57"/>
    <s v="Friday"/>
    <x v="10"/>
    <x v="0"/>
    <b v="0"/>
    <b v="1"/>
    <s v="Large Order"/>
    <n v="4.2284999999999995"/>
    <x v="15"/>
    <n v="930.27"/>
    <m/>
  </r>
  <r>
    <s v="ORD-4115"/>
    <d v="2024-07-24T00:00:00"/>
    <s v="CUST-138"/>
    <x v="15"/>
    <x v="0"/>
    <x v="1"/>
    <x v="0"/>
    <x v="3"/>
    <s v="$216.22"/>
    <s v="Wednesday"/>
    <x v="8"/>
    <x v="0"/>
    <b v="0"/>
    <b v="1"/>
    <s v="Large Order"/>
    <n v="10.811"/>
    <x v="3"/>
    <n v="3027.08"/>
    <m/>
  </r>
  <r>
    <s v="ORD-4116"/>
    <d v="2024-05-17T00:00:00"/>
    <s v="CUST-173"/>
    <x v="4"/>
    <x v="2"/>
    <x v="0"/>
    <x v="2"/>
    <x v="18"/>
    <s v="$230.34"/>
    <s v="Friday"/>
    <x v="7"/>
    <x v="0"/>
    <b v="0"/>
    <b v="1"/>
    <s v="Large Order"/>
    <n v="11.517000000000001"/>
    <x v="10"/>
    <n v="3915.78"/>
    <m/>
  </r>
  <r>
    <s v="ORD-4117"/>
    <d v="2024-06-02T00:00:00"/>
    <s v="CUST-176"/>
    <x v="10"/>
    <x v="2"/>
    <x v="4"/>
    <x v="4"/>
    <x v="2"/>
    <s v="$46.19"/>
    <s v="Sunday"/>
    <x v="9"/>
    <x v="0"/>
    <b v="1"/>
    <b v="0"/>
    <s v="Standard order"/>
    <n v="2.3094999999999999"/>
    <x v="15"/>
    <n v="230.95"/>
    <m/>
  </r>
  <r>
    <s v="ORD-4118"/>
    <d v="2024-06-19T00:00:00"/>
    <s v="CUST-200"/>
    <x v="15"/>
    <x v="0"/>
    <x v="3"/>
    <x v="2"/>
    <x v="5"/>
    <s v="$216.22"/>
    <s v="Wednesday"/>
    <x v="9"/>
    <x v="0"/>
    <b v="0"/>
    <b v="1"/>
    <s v="Large Order"/>
    <n v="10.811"/>
    <x v="18"/>
    <n v="2594.64"/>
    <m/>
  </r>
  <r>
    <s v="ORD-4119"/>
    <d v="2024-03-25T00:00:00"/>
    <s v="CUST-158"/>
    <x v="18"/>
    <x v="2"/>
    <x v="4"/>
    <x v="2"/>
    <x v="6"/>
    <s v="$230.68"/>
    <s v="Monday"/>
    <x v="4"/>
    <x v="0"/>
    <b v="0"/>
    <b v="1"/>
    <s v="Large Order"/>
    <n v="11.534000000000001"/>
    <x v="24"/>
    <n v="1384.08"/>
    <m/>
  </r>
  <r>
    <s v="ORD-4120"/>
    <d v="2024-02-11T00:00:00"/>
    <s v="CUST-123"/>
    <x v="24"/>
    <x v="0"/>
    <x v="2"/>
    <x v="0"/>
    <x v="7"/>
    <s v="$10.11"/>
    <s v="Sunday"/>
    <x v="5"/>
    <x v="0"/>
    <b v="1"/>
    <b v="0"/>
    <s v="Standard order"/>
    <n v="0.50549999999999995"/>
    <x v="7"/>
    <n v="80.88"/>
    <m/>
  </r>
  <r>
    <s v="ORD-4121"/>
    <d v="2024-10-11T00:00:00"/>
    <s v="CUST-199"/>
    <x v="8"/>
    <x v="0"/>
    <x v="2"/>
    <x v="2"/>
    <x v="5"/>
    <s v="$208.85"/>
    <s v="Friday"/>
    <x v="3"/>
    <x v="0"/>
    <b v="0"/>
    <b v="1"/>
    <s v="Large Order"/>
    <n v="10.442500000000001"/>
    <x v="3"/>
    <n v="2506.1999999999998"/>
    <m/>
  </r>
  <r>
    <s v="ORD-4122"/>
    <d v="2024-10-08T00:00:00"/>
    <s v="CUST-187"/>
    <x v="4"/>
    <x v="2"/>
    <x v="4"/>
    <x v="1"/>
    <x v="11"/>
    <s v="$230.34"/>
    <s v="Tuesday"/>
    <x v="3"/>
    <x v="0"/>
    <b v="0"/>
    <b v="1"/>
    <s v="Large Order"/>
    <n v="11.517000000000001"/>
    <x v="21"/>
    <n v="2994.42"/>
    <m/>
  </r>
  <r>
    <s v="ORD-4123"/>
    <d v="2024-12-27T00:00:00"/>
    <s v="CUST-131"/>
    <x v="21"/>
    <x v="0"/>
    <x v="2"/>
    <x v="2"/>
    <x v="9"/>
    <s v="$32.94"/>
    <s v="Friday"/>
    <x v="1"/>
    <x v="0"/>
    <b v="0"/>
    <b v="0"/>
    <s v="Standard order"/>
    <n v="1.647"/>
    <x v="21"/>
    <n v="362.34"/>
    <m/>
  </r>
  <r>
    <s v="ORD-4124"/>
    <d v="2024-03-09T00:00:00"/>
    <s v="CUST-151"/>
    <x v="21"/>
    <x v="1"/>
    <x v="3"/>
    <x v="1"/>
    <x v="19"/>
    <s v="$32.94"/>
    <s v="Saturday"/>
    <x v="4"/>
    <x v="0"/>
    <b v="1"/>
    <b v="0"/>
    <s v="Large Order"/>
    <n v="1.647"/>
    <x v="4"/>
    <n v="658.8"/>
    <m/>
  </r>
  <r>
    <s v="ORD-4125"/>
    <d v="2024-02-06T00:00:00"/>
    <s v="CUST-144"/>
    <x v="5"/>
    <x v="2"/>
    <x v="1"/>
    <x v="0"/>
    <x v="7"/>
    <s v="$64.61"/>
    <s v="Tuesday"/>
    <x v="5"/>
    <x v="0"/>
    <b v="0"/>
    <b v="0"/>
    <s v="Large Order"/>
    <n v="3.2305000000000001"/>
    <x v="24"/>
    <n v="516.88"/>
    <m/>
  </r>
  <r>
    <s v="ORD-4126"/>
    <d v="2024-04-01T00:00:00"/>
    <s v="CUST-198"/>
    <x v="24"/>
    <x v="1"/>
    <x v="3"/>
    <x v="3"/>
    <x v="18"/>
    <s v="$10.11"/>
    <s v="Monday"/>
    <x v="2"/>
    <x v="0"/>
    <b v="0"/>
    <b v="0"/>
    <s v="Standard order"/>
    <n v="0.50549999999999995"/>
    <x v="21"/>
    <n v="171.87"/>
    <m/>
  </r>
  <r>
    <s v="ORD-4127"/>
    <d v="2024-11-08T00:00:00"/>
    <s v="CUST-176"/>
    <x v="21"/>
    <x v="1"/>
    <x v="0"/>
    <x v="2"/>
    <x v="2"/>
    <s v="$32.94"/>
    <s v="Friday"/>
    <x v="0"/>
    <x v="0"/>
    <b v="0"/>
    <b v="0"/>
    <s v="Standard order"/>
    <n v="1.647"/>
    <x v="14"/>
    <n v="164.7"/>
    <m/>
  </r>
  <r>
    <s v="ORD-4128"/>
    <d v="2024-01-23T00:00:00"/>
    <s v="CUST-127"/>
    <x v="14"/>
    <x v="1"/>
    <x v="0"/>
    <x v="3"/>
    <x v="11"/>
    <s v="$201.32"/>
    <s v="Tuesday"/>
    <x v="6"/>
    <x v="0"/>
    <b v="0"/>
    <b v="1"/>
    <s v="Large Order"/>
    <n v="10.066000000000001"/>
    <x v="14"/>
    <n v="2617.16"/>
    <m/>
  </r>
  <r>
    <s v="ORD-4129"/>
    <d v="2024-08-05T00:00:00"/>
    <s v="CUST-119"/>
    <x v="14"/>
    <x v="1"/>
    <x v="2"/>
    <x v="1"/>
    <x v="4"/>
    <s v="$201.32"/>
    <s v="Monday"/>
    <x v="10"/>
    <x v="0"/>
    <b v="0"/>
    <b v="0"/>
    <s v="Standard order"/>
    <n v="10.066000000000001"/>
    <x v="6"/>
    <n v="402.64"/>
    <m/>
  </r>
  <r>
    <s v="ORD-4130"/>
    <d v="2024-08-03T00:00:00"/>
    <s v="CUST-122"/>
    <x v="7"/>
    <x v="1"/>
    <x v="1"/>
    <x v="0"/>
    <x v="12"/>
    <s v="$107.34"/>
    <s v="Saturday"/>
    <x v="10"/>
    <x v="0"/>
    <b v="1"/>
    <b v="1"/>
    <s v="Large Order"/>
    <n v="5.3670000000000009"/>
    <x v="16"/>
    <n v="1610.1000000000001"/>
    <m/>
  </r>
  <r>
    <s v="ORD-4131"/>
    <d v="2024-06-26T00:00:00"/>
    <s v="CUST-187"/>
    <x v="16"/>
    <x v="0"/>
    <x v="2"/>
    <x v="0"/>
    <x v="6"/>
    <s v="$130.07"/>
    <s v="Wednesday"/>
    <x v="9"/>
    <x v="0"/>
    <b v="0"/>
    <b v="1"/>
    <s v="Large Order"/>
    <n v="6.5034999999999998"/>
    <x v="3"/>
    <n v="780.42"/>
    <m/>
  </r>
  <r>
    <s v="ORD-4132"/>
    <d v="2024-10-21T00:00:00"/>
    <s v="CUST-164"/>
    <x v="4"/>
    <x v="2"/>
    <x v="2"/>
    <x v="0"/>
    <x v="17"/>
    <s v="$230.34"/>
    <s v="Monday"/>
    <x v="3"/>
    <x v="0"/>
    <b v="0"/>
    <b v="1"/>
    <s v="Large Order"/>
    <n v="11.517000000000001"/>
    <x v="17"/>
    <n v="3685.44"/>
    <m/>
  </r>
  <r>
    <s v="ORD-4133"/>
    <d v="2024-12-09T00:00:00"/>
    <s v="CUST-151"/>
    <x v="17"/>
    <x v="0"/>
    <x v="3"/>
    <x v="1"/>
    <x v="14"/>
    <s v="$26.59"/>
    <s v="Monday"/>
    <x v="1"/>
    <x v="0"/>
    <b v="0"/>
    <b v="0"/>
    <s v="Standard order"/>
    <n v="1.3295000000000001"/>
    <x v="12"/>
    <n v="239.31"/>
    <m/>
  </r>
  <r>
    <s v="ORD-4134"/>
    <d v="2024-02-29T00:00:00"/>
    <s v="CUST-177"/>
    <x v="12"/>
    <x v="2"/>
    <x v="3"/>
    <x v="1"/>
    <x v="9"/>
    <s v="$211.9"/>
    <s v="Thursday"/>
    <x v="5"/>
    <x v="0"/>
    <b v="0"/>
    <b v="1"/>
    <s v="Large Order"/>
    <n v="10.595000000000001"/>
    <x v="6"/>
    <n v="2330.9"/>
    <m/>
  </r>
  <r>
    <s v="ORD-4135"/>
    <d v="2024-07-05T00:00:00"/>
    <s v="CUST-114"/>
    <x v="7"/>
    <x v="1"/>
    <x v="1"/>
    <x v="1"/>
    <x v="13"/>
    <s v="$107.34"/>
    <s v="Friday"/>
    <x v="8"/>
    <x v="0"/>
    <b v="0"/>
    <b v="0"/>
    <s v="Standard order"/>
    <n v="5.3670000000000009"/>
    <x v="9"/>
    <n v="322.02"/>
    <m/>
  </r>
  <r>
    <s v="ORD-4136"/>
    <d v="2024-06-21T00:00:00"/>
    <s v="CUST-190"/>
    <x v="9"/>
    <x v="1"/>
    <x v="4"/>
    <x v="4"/>
    <x v="19"/>
    <s v="$101.96"/>
    <s v="Friday"/>
    <x v="9"/>
    <x v="0"/>
    <b v="0"/>
    <b v="1"/>
    <s v="Large Order"/>
    <n v="5.0979999999999999"/>
    <x v="15"/>
    <n v="2039.1999999999998"/>
    <m/>
  </r>
  <r>
    <s v="ORD-4137"/>
    <d v="2024-08-20T00:00:00"/>
    <s v="CUST-155"/>
    <x v="15"/>
    <x v="1"/>
    <x v="3"/>
    <x v="0"/>
    <x v="0"/>
    <s v="$216.22"/>
    <s v="Tuesday"/>
    <x v="10"/>
    <x v="0"/>
    <b v="0"/>
    <b v="0"/>
    <s v="Large Order"/>
    <n v="10.811"/>
    <x v="15"/>
    <n v="864.88"/>
    <m/>
  </r>
  <r>
    <s v="ORD-4138"/>
    <d v="2024-08-23T00:00:00"/>
    <s v="CUST-146"/>
    <x v="15"/>
    <x v="2"/>
    <x v="3"/>
    <x v="3"/>
    <x v="3"/>
    <s v="$216.22"/>
    <s v="Friday"/>
    <x v="10"/>
    <x v="0"/>
    <b v="0"/>
    <b v="1"/>
    <s v="Large Order"/>
    <n v="10.811"/>
    <x v="18"/>
    <n v="3027.08"/>
    <m/>
  </r>
  <r>
    <s v="ORD-4139"/>
    <d v="2024-05-31T00:00:00"/>
    <s v="CUST-198"/>
    <x v="18"/>
    <x v="2"/>
    <x v="3"/>
    <x v="2"/>
    <x v="8"/>
    <s v="$230.68"/>
    <s v="Friday"/>
    <x v="7"/>
    <x v="0"/>
    <b v="0"/>
    <b v="1"/>
    <s v="Large Order"/>
    <n v="11.534000000000001"/>
    <x v="13"/>
    <n v="2306.8000000000002"/>
    <m/>
  </r>
  <r>
    <s v="ORD-4140"/>
    <d v="2024-01-09T00:00:00"/>
    <s v="CUST-157"/>
    <x v="13"/>
    <x v="1"/>
    <x v="0"/>
    <x v="4"/>
    <x v="0"/>
    <s v="$156.44"/>
    <s v="Tuesday"/>
    <x v="6"/>
    <x v="0"/>
    <b v="0"/>
    <b v="0"/>
    <s v="Large Order"/>
    <n v="7.8220000000000001"/>
    <x v="16"/>
    <n v="625.76"/>
    <m/>
  </r>
  <r>
    <s v="ORD-4141"/>
    <d v="2024-01-19T00:00:00"/>
    <s v="CUST-168"/>
    <x v="16"/>
    <x v="1"/>
    <x v="4"/>
    <x v="2"/>
    <x v="13"/>
    <s v="$130.07"/>
    <s v="Friday"/>
    <x v="6"/>
    <x v="0"/>
    <b v="0"/>
    <b v="0"/>
    <s v="Standard order"/>
    <n v="6.5034999999999998"/>
    <x v="0"/>
    <n v="390.21"/>
    <m/>
  </r>
  <r>
    <s v="ORD-4142"/>
    <d v="2024-03-05T00:00:00"/>
    <s v="CUST-193"/>
    <x v="1"/>
    <x v="2"/>
    <x v="2"/>
    <x v="1"/>
    <x v="14"/>
    <s v="$178.83"/>
    <s v="Tuesday"/>
    <x v="4"/>
    <x v="0"/>
    <b v="0"/>
    <b v="1"/>
    <s v="Large Order"/>
    <n v="8.9415000000000013"/>
    <x v="20"/>
    <n v="1609.47"/>
    <m/>
  </r>
  <r>
    <s v="ORD-4143"/>
    <d v="2024-08-22T00:00:00"/>
    <s v="CUST-188"/>
    <x v="20"/>
    <x v="0"/>
    <x v="1"/>
    <x v="4"/>
    <x v="12"/>
    <s v="$81.02"/>
    <s v="Thursday"/>
    <x v="10"/>
    <x v="0"/>
    <b v="0"/>
    <b v="1"/>
    <s v="Large Order"/>
    <n v="4.0510000000000002"/>
    <x v="15"/>
    <n v="1215.3"/>
    <m/>
  </r>
  <r>
    <s v="ORD-4144"/>
    <d v="2024-06-16T00:00:00"/>
    <s v="CUST-147"/>
    <x v="15"/>
    <x v="0"/>
    <x v="1"/>
    <x v="0"/>
    <x v="11"/>
    <s v="$216.22"/>
    <s v="Sunday"/>
    <x v="9"/>
    <x v="0"/>
    <b v="1"/>
    <b v="1"/>
    <s v="Large Order"/>
    <n v="10.811"/>
    <x v="1"/>
    <n v="2810.86"/>
    <m/>
  </r>
  <r>
    <s v="ORD-4145"/>
    <d v="2024-02-10T00:00:00"/>
    <s v="CUST-143"/>
    <x v="2"/>
    <x v="2"/>
    <x v="3"/>
    <x v="1"/>
    <x v="11"/>
    <s v="$88.18"/>
    <s v="Saturday"/>
    <x v="5"/>
    <x v="0"/>
    <b v="1"/>
    <b v="1"/>
    <s v="Large Order"/>
    <n v="4.4090000000000007"/>
    <x v="1"/>
    <n v="1146.3400000000001"/>
    <m/>
  </r>
  <r>
    <s v="ORD-4146"/>
    <d v="2024-05-11T00:00:00"/>
    <s v="CUST-192"/>
    <x v="2"/>
    <x v="2"/>
    <x v="0"/>
    <x v="1"/>
    <x v="0"/>
    <s v="$88.18"/>
    <s v="Saturday"/>
    <x v="7"/>
    <x v="0"/>
    <b v="1"/>
    <b v="0"/>
    <s v="Standard order"/>
    <n v="4.4090000000000007"/>
    <x v="14"/>
    <n v="352.72"/>
    <m/>
  </r>
  <r>
    <s v="ORD-4147"/>
    <d v="2024-10-19T00:00:00"/>
    <s v="CUST-133"/>
    <x v="14"/>
    <x v="2"/>
    <x v="1"/>
    <x v="4"/>
    <x v="7"/>
    <s v="$201.32"/>
    <s v="Saturday"/>
    <x v="3"/>
    <x v="0"/>
    <b v="1"/>
    <b v="1"/>
    <s v="Large Order"/>
    <n v="10.066000000000001"/>
    <x v="9"/>
    <n v="1610.56"/>
    <m/>
  </r>
  <r>
    <s v="ORD-4148"/>
    <d v="2024-01-26T00:00:00"/>
    <s v="CUST-147"/>
    <x v="9"/>
    <x v="1"/>
    <x v="4"/>
    <x v="1"/>
    <x v="14"/>
    <s v="$101.96"/>
    <s v="Friday"/>
    <x v="6"/>
    <x v="0"/>
    <b v="0"/>
    <b v="1"/>
    <s v="Large Order"/>
    <n v="5.0979999999999999"/>
    <x v="22"/>
    <n v="917.64"/>
    <m/>
  </r>
  <r>
    <s v="ORD-4149"/>
    <d v="2024-04-05T00:00:00"/>
    <s v="CUST-135"/>
    <x v="22"/>
    <x v="2"/>
    <x v="0"/>
    <x v="4"/>
    <x v="11"/>
    <s v="$149.27"/>
    <s v="Friday"/>
    <x v="2"/>
    <x v="0"/>
    <b v="0"/>
    <b v="1"/>
    <s v="Large Order"/>
    <n v="7.4635000000000007"/>
    <x v="2"/>
    <n v="1940.5100000000002"/>
    <m/>
  </r>
  <r>
    <s v="ORD-4150"/>
    <d v="2024-12-13T00:00:00"/>
    <s v="CUST-136"/>
    <x v="3"/>
    <x v="0"/>
    <x v="2"/>
    <x v="2"/>
    <x v="1"/>
    <s v="$84.57"/>
    <s v="Friday"/>
    <x v="1"/>
    <x v="0"/>
    <b v="0"/>
    <b v="0"/>
    <s v="Standard order"/>
    <n v="4.2284999999999995"/>
    <x v="2"/>
    <n v="84.57"/>
    <m/>
  </r>
  <r>
    <s v="ORD-4151"/>
    <d v="2024-12-02T00:00:00"/>
    <s v="CUST-116"/>
    <x v="3"/>
    <x v="1"/>
    <x v="2"/>
    <x v="4"/>
    <x v="9"/>
    <s v="$84.57"/>
    <s v="Monday"/>
    <x v="1"/>
    <x v="0"/>
    <b v="0"/>
    <b v="1"/>
    <s v="Large Order"/>
    <n v="4.2284999999999995"/>
    <x v="10"/>
    <n v="930.27"/>
    <m/>
  </r>
  <r>
    <s v="ORD-4152"/>
    <d v="2024-04-25T00:00:00"/>
    <s v="CUST-102"/>
    <x v="10"/>
    <x v="1"/>
    <x v="4"/>
    <x v="0"/>
    <x v="19"/>
    <s v="$46.19"/>
    <s v="Thursday"/>
    <x v="2"/>
    <x v="0"/>
    <b v="0"/>
    <b v="1"/>
    <s v="Large Order"/>
    <n v="2.3094999999999999"/>
    <x v="12"/>
    <n v="923.8"/>
    <m/>
  </r>
  <r>
    <s v="ORD-4153"/>
    <d v="2024-12-30T00:00:00"/>
    <s v="CUST-177"/>
    <x v="12"/>
    <x v="2"/>
    <x v="2"/>
    <x v="4"/>
    <x v="9"/>
    <s v="$211.9"/>
    <s v="Monday"/>
    <x v="1"/>
    <x v="0"/>
    <b v="0"/>
    <b v="1"/>
    <s v="Large Order"/>
    <n v="10.595000000000001"/>
    <x v="18"/>
    <n v="2330.9"/>
    <m/>
  </r>
  <r>
    <s v="ORD-4154"/>
    <d v="2024-08-31T00:00:00"/>
    <s v="CUST-171"/>
    <x v="18"/>
    <x v="1"/>
    <x v="3"/>
    <x v="3"/>
    <x v="5"/>
    <s v="$230.68"/>
    <s v="Saturday"/>
    <x v="10"/>
    <x v="0"/>
    <b v="1"/>
    <b v="1"/>
    <s v="Large Order"/>
    <n v="11.534000000000001"/>
    <x v="16"/>
    <n v="2768.16"/>
    <m/>
  </r>
  <r>
    <s v="ORD-4155"/>
    <d v="2024-03-18T00:00:00"/>
    <s v="CUST-159"/>
    <x v="16"/>
    <x v="1"/>
    <x v="4"/>
    <x v="4"/>
    <x v="6"/>
    <s v="$130.07"/>
    <s v="Monday"/>
    <x v="4"/>
    <x v="0"/>
    <b v="0"/>
    <b v="1"/>
    <s v="Large Order"/>
    <n v="6.5034999999999998"/>
    <x v="15"/>
    <n v="780.42"/>
    <m/>
  </r>
  <r>
    <s v="ORD-4156"/>
    <d v="2024-05-10T00:00:00"/>
    <s v="CUST-151"/>
    <x v="15"/>
    <x v="2"/>
    <x v="1"/>
    <x v="0"/>
    <x v="17"/>
    <s v="$216.22"/>
    <s v="Friday"/>
    <x v="7"/>
    <x v="0"/>
    <b v="0"/>
    <b v="1"/>
    <s v="Large Order"/>
    <n v="10.811"/>
    <x v="11"/>
    <n v="3459.52"/>
    <m/>
  </r>
  <r>
    <s v="ORD-4157"/>
    <d v="2024-06-25T00:00:00"/>
    <s v="CUST-110"/>
    <x v="11"/>
    <x v="2"/>
    <x v="1"/>
    <x v="3"/>
    <x v="8"/>
    <s v="$33.22"/>
    <s v="Tuesday"/>
    <x v="9"/>
    <x v="0"/>
    <b v="0"/>
    <b v="0"/>
    <s v="Standard order"/>
    <n v="1.661"/>
    <x v="5"/>
    <n v="332.2"/>
    <m/>
  </r>
  <r>
    <s v="ORD-4158"/>
    <d v="2024-06-10T00:00:00"/>
    <s v="CUST-157"/>
    <x v="6"/>
    <x v="1"/>
    <x v="0"/>
    <x v="2"/>
    <x v="19"/>
    <s v="$86.6"/>
    <s v="Monday"/>
    <x v="9"/>
    <x v="0"/>
    <b v="0"/>
    <b v="1"/>
    <s v="Large Order"/>
    <n v="4.33"/>
    <x v="9"/>
    <n v="1732"/>
    <m/>
  </r>
  <r>
    <s v="ORD-4159"/>
    <d v="2024-11-15T00:00:00"/>
    <s v="CUST-145"/>
    <x v="9"/>
    <x v="1"/>
    <x v="2"/>
    <x v="0"/>
    <x v="8"/>
    <s v="$101.96"/>
    <s v="Friday"/>
    <x v="0"/>
    <x v="0"/>
    <b v="0"/>
    <b v="1"/>
    <s v="Large Order"/>
    <n v="5.0979999999999999"/>
    <x v="3"/>
    <n v="1019.5999999999999"/>
    <m/>
  </r>
  <r>
    <s v="ORD-4160"/>
    <d v="2024-09-08T00:00:00"/>
    <s v="CUST-130"/>
    <x v="4"/>
    <x v="2"/>
    <x v="4"/>
    <x v="1"/>
    <x v="19"/>
    <s v="$230.34"/>
    <s v="Sunday"/>
    <x v="11"/>
    <x v="0"/>
    <b v="1"/>
    <b v="1"/>
    <s v="Large Order"/>
    <n v="11.517000000000001"/>
    <x v="3"/>
    <n v="4606.8"/>
    <m/>
  </r>
  <r>
    <s v="ORD-4161"/>
    <d v="2024-03-04T00:00:00"/>
    <s v="CUST-112"/>
    <x v="4"/>
    <x v="0"/>
    <x v="4"/>
    <x v="0"/>
    <x v="16"/>
    <s v="$230.34"/>
    <s v="Monday"/>
    <x v="4"/>
    <x v="0"/>
    <b v="0"/>
    <b v="1"/>
    <s v="Large Order"/>
    <n v="11.517000000000001"/>
    <x v="21"/>
    <n v="4376.46"/>
    <m/>
  </r>
  <r>
    <s v="ORD-4162"/>
    <d v="2024-03-22T00:00:00"/>
    <s v="CUST-198"/>
    <x v="21"/>
    <x v="2"/>
    <x v="2"/>
    <x v="4"/>
    <x v="3"/>
    <s v="$32.94"/>
    <s v="Friday"/>
    <x v="4"/>
    <x v="0"/>
    <b v="0"/>
    <b v="0"/>
    <s v="Standard order"/>
    <n v="1.647"/>
    <x v="20"/>
    <n v="461.15999999999997"/>
    <m/>
  </r>
  <r>
    <s v="ORD-4163"/>
    <d v="2024-04-21T00:00:00"/>
    <s v="CUST-153"/>
    <x v="20"/>
    <x v="1"/>
    <x v="3"/>
    <x v="3"/>
    <x v="0"/>
    <s v="$81.02"/>
    <s v="Sunday"/>
    <x v="2"/>
    <x v="0"/>
    <b v="1"/>
    <b v="0"/>
    <s v="Standard order"/>
    <n v="4.0510000000000002"/>
    <x v="21"/>
    <n v="324.08"/>
    <m/>
  </r>
  <r>
    <s v="ORD-4164"/>
    <d v="2024-12-17T00:00:00"/>
    <s v="CUST-181"/>
    <x v="21"/>
    <x v="2"/>
    <x v="3"/>
    <x v="4"/>
    <x v="15"/>
    <s v="$32.94"/>
    <s v="Tuesday"/>
    <x v="1"/>
    <x v="0"/>
    <b v="0"/>
    <b v="0"/>
    <s v="Large Order"/>
    <n v="1.647"/>
    <x v="4"/>
    <n v="592.91999999999996"/>
    <m/>
  </r>
  <r>
    <s v="ORD-4165"/>
    <d v="2024-04-25T00:00:00"/>
    <s v="CUST-151"/>
    <x v="5"/>
    <x v="1"/>
    <x v="3"/>
    <x v="1"/>
    <x v="6"/>
    <s v="$64.61"/>
    <s v="Thursday"/>
    <x v="2"/>
    <x v="0"/>
    <b v="0"/>
    <b v="0"/>
    <s v="Standard order"/>
    <n v="3.2305000000000001"/>
    <x v="14"/>
    <n v="387.65999999999997"/>
    <m/>
  </r>
  <r>
    <s v="ORD-4166"/>
    <d v="2024-03-31T00:00:00"/>
    <s v="CUST-151"/>
    <x v="14"/>
    <x v="0"/>
    <x v="1"/>
    <x v="3"/>
    <x v="12"/>
    <s v="$201.32"/>
    <s v="Sunday"/>
    <x v="4"/>
    <x v="0"/>
    <b v="1"/>
    <b v="1"/>
    <s v="Large Order"/>
    <n v="10.066000000000001"/>
    <x v="3"/>
    <n v="3019.7999999999997"/>
    <m/>
  </r>
  <r>
    <s v="ORD-4167"/>
    <d v="2024-12-15T00:00:00"/>
    <s v="CUST-112"/>
    <x v="4"/>
    <x v="2"/>
    <x v="2"/>
    <x v="1"/>
    <x v="3"/>
    <s v="$230.34"/>
    <s v="Sunday"/>
    <x v="1"/>
    <x v="0"/>
    <b v="1"/>
    <b v="1"/>
    <s v="Large Order"/>
    <n v="11.517000000000001"/>
    <x v="24"/>
    <n v="3224.76"/>
    <m/>
  </r>
  <r>
    <s v="ORD-4168"/>
    <d v="2024-01-15T00:00:00"/>
    <s v="CUST-179"/>
    <x v="24"/>
    <x v="0"/>
    <x v="1"/>
    <x v="4"/>
    <x v="18"/>
    <s v="$10.11"/>
    <s v="Monday"/>
    <x v="6"/>
    <x v="0"/>
    <b v="0"/>
    <b v="0"/>
    <s v="Standard order"/>
    <n v="0.50549999999999995"/>
    <x v="16"/>
    <n v="171.87"/>
    <m/>
  </r>
  <r>
    <s v="ORD-4169"/>
    <d v="2024-11-02T00:00:00"/>
    <s v="CUST-173"/>
    <x v="16"/>
    <x v="1"/>
    <x v="0"/>
    <x v="3"/>
    <x v="19"/>
    <s v="$130.07"/>
    <s v="Saturday"/>
    <x v="0"/>
    <x v="0"/>
    <b v="1"/>
    <b v="1"/>
    <s v="Large Order"/>
    <n v="6.5034999999999998"/>
    <x v="4"/>
    <n v="2601.3999999999996"/>
    <m/>
  </r>
  <r>
    <s v="ORD-4170"/>
    <d v="2024-10-18T00:00:00"/>
    <s v="CUST-180"/>
    <x v="5"/>
    <x v="2"/>
    <x v="0"/>
    <x v="3"/>
    <x v="1"/>
    <s v="$64.61"/>
    <s v="Friday"/>
    <x v="3"/>
    <x v="0"/>
    <b v="0"/>
    <b v="0"/>
    <s v="Standard order"/>
    <n v="3.2305000000000001"/>
    <x v="23"/>
    <n v="64.61"/>
    <m/>
  </r>
  <r>
    <s v="ORD-4171"/>
    <d v="2024-11-30T00:00:00"/>
    <s v="CUST-149"/>
    <x v="23"/>
    <x v="2"/>
    <x v="4"/>
    <x v="2"/>
    <x v="12"/>
    <s v="$133.37"/>
    <s v="Saturday"/>
    <x v="0"/>
    <x v="0"/>
    <b v="1"/>
    <b v="1"/>
    <s v="Large Order"/>
    <n v="6.6685000000000008"/>
    <x v="4"/>
    <n v="2000.5500000000002"/>
    <m/>
  </r>
  <r>
    <s v="ORD-4172"/>
    <d v="2024-05-02T00:00:00"/>
    <s v="CUST-122"/>
    <x v="5"/>
    <x v="2"/>
    <x v="4"/>
    <x v="3"/>
    <x v="2"/>
    <s v="$64.61"/>
    <s v="Thursday"/>
    <x v="7"/>
    <x v="0"/>
    <b v="0"/>
    <b v="0"/>
    <s v="Standard order"/>
    <n v="3.2305000000000001"/>
    <x v="9"/>
    <n v="323.05"/>
    <m/>
  </r>
  <r>
    <s v="ORD-4173"/>
    <d v="2024-01-16T00:00:00"/>
    <s v="CUST-126"/>
    <x v="9"/>
    <x v="1"/>
    <x v="2"/>
    <x v="2"/>
    <x v="19"/>
    <s v="$101.96"/>
    <s v="Tuesday"/>
    <x v="6"/>
    <x v="0"/>
    <b v="0"/>
    <b v="1"/>
    <s v="Large Order"/>
    <n v="5.0979999999999999"/>
    <x v="12"/>
    <n v="2039.1999999999998"/>
    <m/>
  </r>
  <r>
    <s v="ORD-4174"/>
    <d v="2024-05-03T00:00:00"/>
    <s v="CUST-122"/>
    <x v="12"/>
    <x v="2"/>
    <x v="0"/>
    <x v="4"/>
    <x v="9"/>
    <s v="$211.9"/>
    <s v="Friday"/>
    <x v="7"/>
    <x v="0"/>
    <b v="0"/>
    <b v="1"/>
    <s v="Large Order"/>
    <n v="10.595000000000001"/>
    <x v="12"/>
    <n v="2330.9"/>
    <m/>
  </r>
  <r>
    <s v="ORD-4175"/>
    <d v="2024-03-22T00:00:00"/>
    <s v="CUST-131"/>
    <x v="12"/>
    <x v="2"/>
    <x v="0"/>
    <x v="0"/>
    <x v="4"/>
    <s v="$211.9"/>
    <s v="Friday"/>
    <x v="4"/>
    <x v="0"/>
    <b v="0"/>
    <b v="0"/>
    <s v="Standard order"/>
    <n v="10.595000000000001"/>
    <x v="4"/>
    <n v="423.8"/>
    <m/>
  </r>
  <r>
    <s v="ORD-4176"/>
    <d v="2024-07-27T00:00:00"/>
    <s v="CUST-166"/>
    <x v="5"/>
    <x v="1"/>
    <x v="0"/>
    <x v="1"/>
    <x v="14"/>
    <s v="$64.61"/>
    <s v="Saturday"/>
    <x v="8"/>
    <x v="0"/>
    <b v="1"/>
    <b v="0"/>
    <s v="Large Order"/>
    <n v="3.2305000000000001"/>
    <x v="10"/>
    <n v="581.49"/>
    <m/>
  </r>
  <r>
    <s v="ORD-4177"/>
    <d v="2024-10-02T00:00:00"/>
    <s v="CUST-115"/>
    <x v="10"/>
    <x v="2"/>
    <x v="1"/>
    <x v="0"/>
    <x v="12"/>
    <s v="$46.19"/>
    <s v="Wednesday"/>
    <x v="3"/>
    <x v="0"/>
    <b v="0"/>
    <b v="0"/>
    <s v="Large Order"/>
    <n v="2.3094999999999999"/>
    <x v="3"/>
    <n v="692.84999999999991"/>
    <m/>
  </r>
  <r>
    <s v="ORD-4178"/>
    <d v="2024-01-31T00:00:00"/>
    <s v="CUST-137"/>
    <x v="4"/>
    <x v="2"/>
    <x v="0"/>
    <x v="3"/>
    <x v="11"/>
    <s v="$230.34"/>
    <s v="Wednesday"/>
    <x v="6"/>
    <x v="0"/>
    <b v="0"/>
    <b v="1"/>
    <s v="Large Order"/>
    <n v="11.517000000000001"/>
    <x v="1"/>
    <n v="2994.42"/>
    <m/>
  </r>
  <r>
    <s v="ORD-4179"/>
    <d v="2024-09-18T00:00:00"/>
    <s v="CUST-180"/>
    <x v="2"/>
    <x v="1"/>
    <x v="2"/>
    <x v="0"/>
    <x v="0"/>
    <s v="$88.18"/>
    <s v="Wednesday"/>
    <x v="11"/>
    <x v="0"/>
    <b v="0"/>
    <b v="0"/>
    <s v="Standard order"/>
    <n v="4.4090000000000007"/>
    <x v="9"/>
    <n v="352.72"/>
    <m/>
  </r>
  <r>
    <s v="ORD-4180"/>
    <d v="2024-05-14T00:00:00"/>
    <s v="CUST-197"/>
    <x v="9"/>
    <x v="0"/>
    <x v="4"/>
    <x v="3"/>
    <x v="3"/>
    <s v="$101.96"/>
    <s v="Tuesday"/>
    <x v="7"/>
    <x v="0"/>
    <b v="0"/>
    <b v="1"/>
    <s v="Large Order"/>
    <n v="5.0979999999999999"/>
    <x v="4"/>
    <n v="1427.4399999999998"/>
    <m/>
  </r>
  <r>
    <s v="ORD-4181"/>
    <d v="2024-03-13T00:00:00"/>
    <s v="CUST-131"/>
    <x v="5"/>
    <x v="0"/>
    <x v="3"/>
    <x v="0"/>
    <x v="9"/>
    <s v="$64.61"/>
    <s v="Wednesday"/>
    <x v="4"/>
    <x v="0"/>
    <b v="0"/>
    <b v="0"/>
    <s v="Large Order"/>
    <n v="3.2305000000000001"/>
    <x v="10"/>
    <n v="710.71"/>
    <m/>
  </r>
  <r>
    <s v="ORD-4182"/>
    <d v="2024-02-07T00:00:00"/>
    <s v="CUST-158"/>
    <x v="10"/>
    <x v="1"/>
    <x v="4"/>
    <x v="3"/>
    <x v="9"/>
    <s v="$46.19"/>
    <s v="Wednesday"/>
    <x v="5"/>
    <x v="0"/>
    <b v="0"/>
    <b v="0"/>
    <s v="Large Order"/>
    <n v="2.3094999999999999"/>
    <x v="12"/>
    <n v="508.09"/>
    <m/>
  </r>
  <r>
    <s v="ORD-4183"/>
    <d v="2024-08-15T00:00:00"/>
    <s v="CUST-142"/>
    <x v="12"/>
    <x v="2"/>
    <x v="3"/>
    <x v="4"/>
    <x v="14"/>
    <s v="$211.9"/>
    <s v="Thursday"/>
    <x v="10"/>
    <x v="0"/>
    <b v="0"/>
    <b v="1"/>
    <s v="Large Order"/>
    <n v="10.595000000000001"/>
    <x v="22"/>
    <n v="1907.1000000000001"/>
    <m/>
  </r>
  <r>
    <s v="ORD-4184"/>
    <d v="2024-03-12T00:00:00"/>
    <s v="CUST-118"/>
    <x v="22"/>
    <x v="1"/>
    <x v="0"/>
    <x v="2"/>
    <x v="5"/>
    <s v="$149.27"/>
    <s v="Tuesday"/>
    <x v="4"/>
    <x v="0"/>
    <b v="0"/>
    <b v="1"/>
    <s v="Large Order"/>
    <n v="7.4635000000000007"/>
    <x v="10"/>
    <n v="1791.2400000000002"/>
    <m/>
  </r>
  <r>
    <s v="ORD-4185"/>
    <d v="2024-05-29T00:00:00"/>
    <s v="CUST-139"/>
    <x v="10"/>
    <x v="0"/>
    <x v="1"/>
    <x v="3"/>
    <x v="17"/>
    <s v="$46.19"/>
    <s v="Wednesday"/>
    <x v="7"/>
    <x v="0"/>
    <b v="0"/>
    <b v="0"/>
    <s v="Large Order"/>
    <n v="2.3094999999999999"/>
    <x v="0"/>
    <n v="739.04"/>
    <m/>
  </r>
  <r>
    <s v="ORD-4186"/>
    <d v="2024-12-10T00:00:00"/>
    <s v="CUST-137"/>
    <x v="1"/>
    <x v="2"/>
    <x v="4"/>
    <x v="2"/>
    <x v="19"/>
    <s v="$178.83"/>
    <s v="Tuesday"/>
    <x v="1"/>
    <x v="0"/>
    <b v="0"/>
    <b v="1"/>
    <s v="Large Order"/>
    <n v="8.9415000000000013"/>
    <x v="1"/>
    <n v="3576.6000000000004"/>
    <m/>
  </r>
  <r>
    <s v="ORD-4187"/>
    <d v="2024-07-15T00:00:00"/>
    <s v="CUST-132"/>
    <x v="2"/>
    <x v="0"/>
    <x v="0"/>
    <x v="2"/>
    <x v="16"/>
    <s v="$88.18"/>
    <s v="Monday"/>
    <x v="8"/>
    <x v="0"/>
    <b v="0"/>
    <b v="1"/>
    <s v="Large Order"/>
    <n v="4.4090000000000007"/>
    <x v="2"/>
    <n v="1675.42"/>
    <m/>
  </r>
  <r>
    <s v="ORD-4188"/>
    <d v="2024-10-26T00:00:00"/>
    <s v="CUST-101"/>
    <x v="3"/>
    <x v="1"/>
    <x v="1"/>
    <x v="4"/>
    <x v="11"/>
    <s v="$84.57"/>
    <s v="Saturday"/>
    <x v="3"/>
    <x v="0"/>
    <b v="1"/>
    <b v="1"/>
    <s v="Large Order"/>
    <n v="4.2284999999999995"/>
    <x v="1"/>
    <n v="1099.4099999999999"/>
    <m/>
  </r>
  <r>
    <s v="ORD-4189"/>
    <d v="2024-03-28T00:00:00"/>
    <s v="CUST-144"/>
    <x v="2"/>
    <x v="0"/>
    <x v="1"/>
    <x v="4"/>
    <x v="9"/>
    <s v="$88.18"/>
    <s v="Thursday"/>
    <x v="4"/>
    <x v="0"/>
    <b v="0"/>
    <b v="1"/>
    <s v="Large Order"/>
    <n v="4.4090000000000007"/>
    <x v="1"/>
    <n v="969.98"/>
    <m/>
  </r>
  <r>
    <s v="ORD-4190"/>
    <d v="2024-07-12T00:00:00"/>
    <s v="CUST-162"/>
    <x v="2"/>
    <x v="0"/>
    <x v="1"/>
    <x v="1"/>
    <x v="6"/>
    <s v="$88.18"/>
    <s v="Friday"/>
    <x v="8"/>
    <x v="0"/>
    <b v="0"/>
    <b v="0"/>
    <s v="Large Order"/>
    <n v="4.4090000000000007"/>
    <x v="5"/>
    <n v="529.08000000000004"/>
    <m/>
  </r>
  <r>
    <s v="ORD-4191"/>
    <d v="2024-07-13T00:00:00"/>
    <s v="CUST-101"/>
    <x v="6"/>
    <x v="0"/>
    <x v="3"/>
    <x v="2"/>
    <x v="8"/>
    <s v="$86.6"/>
    <s v="Saturday"/>
    <x v="8"/>
    <x v="0"/>
    <b v="1"/>
    <b v="1"/>
    <s v="Large Order"/>
    <n v="4.33"/>
    <x v="20"/>
    <n v="866"/>
    <m/>
  </r>
  <r>
    <s v="ORD-4192"/>
    <d v="2024-03-17T00:00:00"/>
    <s v="CUST-135"/>
    <x v="20"/>
    <x v="2"/>
    <x v="0"/>
    <x v="2"/>
    <x v="5"/>
    <s v="$81.02"/>
    <s v="Sunday"/>
    <x v="4"/>
    <x v="0"/>
    <b v="1"/>
    <b v="1"/>
    <s v="Large Order"/>
    <n v="4.0510000000000002"/>
    <x v="18"/>
    <n v="972.24"/>
    <m/>
  </r>
  <r>
    <s v="ORD-4193"/>
    <d v="2024-10-18T00:00:00"/>
    <s v="CUST-181"/>
    <x v="18"/>
    <x v="2"/>
    <x v="1"/>
    <x v="2"/>
    <x v="10"/>
    <s v="$230.68"/>
    <s v="Friday"/>
    <x v="3"/>
    <x v="0"/>
    <b v="0"/>
    <b v="1"/>
    <s v="Large Order"/>
    <n v="11.534000000000001"/>
    <x v="1"/>
    <n v="1614.76"/>
    <m/>
  </r>
  <r>
    <s v="ORD-4194"/>
    <d v="2024-01-17T00:00:00"/>
    <s v="CUST-151"/>
    <x v="2"/>
    <x v="0"/>
    <x v="3"/>
    <x v="4"/>
    <x v="13"/>
    <s v="$88.18"/>
    <s v="Wednesday"/>
    <x v="6"/>
    <x v="0"/>
    <b v="0"/>
    <b v="0"/>
    <s v="Standard order"/>
    <n v="4.4090000000000007"/>
    <x v="23"/>
    <n v="264.54000000000002"/>
    <m/>
  </r>
  <r>
    <s v="ORD-4195"/>
    <d v="2024-09-30T00:00:00"/>
    <s v="CUST-194"/>
    <x v="23"/>
    <x v="0"/>
    <x v="0"/>
    <x v="1"/>
    <x v="16"/>
    <s v="$133.37"/>
    <s v="Monday"/>
    <x v="11"/>
    <x v="0"/>
    <b v="0"/>
    <b v="1"/>
    <s v="Large Order"/>
    <n v="6.6685000000000008"/>
    <x v="16"/>
    <n v="2534.0300000000002"/>
    <m/>
  </r>
  <r>
    <s v="ORD-4196"/>
    <d v="2024-05-05T00:00:00"/>
    <s v="CUST-132"/>
    <x v="16"/>
    <x v="0"/>
    <x v="4"/>
    <x v="2"/>
    <x v="12"/>
    <s v="$130.07"/>
    <s v="Sunday"/>
    <x v="7"/>
    <x v="0"/>
    <b v="1"/>
    <b v="1"/>
    <s v="Large Order"/>
    <n v="6.5034999999999998"/>
    <x v="23"/>
    <n v="1951.05"/>
    <m/>
  </r>
  <r>
    <s v="ORD-4197"/>
    <d v="2024-11-07T00:00:00"/>
    <s v="CUST-134"/>
    <x v="23"/>
    <x v="1"/>
    <x v="0"/>
    <x v="2"/>
    <x v="13"/>
    <s v="$133.37"/>
    <s v="Thursday"/>
    <x v="0"/>
    <x v="0"/>
    <b v="0"/>
    <b v="0"/>
    <s v="Standard order"/>
    <n v="6.6685000000000008"/>
    <x v="14"/>
    <n v="400.11"/>
    <m/>
  </r>
  <r>
    <s v="ORD-4198"/>
    <d v="2024-03-08T00:00:00"/>
    <s v="CUST-166"/>
    <x v="14"/>
    <x v="0"/>
    <x v="4"/>
    <x v="2"/>
    <x v="7"/>
    <s v="$201.32"/>
    <s v="Friday"/>
    <x v="4"/>
    <x v="0"/>
    <b v="0"/>
    <b v="1"/>
    <s v="Large Order"/>
    <n v="10.066000000000001"/>
    <x v="12"/>
    <n v="1610.56"/>
    <m/>
  </r>
  <r>
    <s v="ORD-4199"/>
    <d v="2024-10-24T00:00:00"/>
    <s v="CUST-161"/>
    <x v="12"/>
    <x v="0"/>
    <x v="1"/>
    <x v="0"/>
    <x v="9"/>
    <s v="$211.9"/>
    <s v="Thursday"/>
    <x v="3"/>
    <x v="0"/>
    <b v="0"/>
    <b v="1"/>
    <s v="Large Order"/>
    <n v="10.595000000000001"/>
    <x v="4"/>
    <n v="2330.9"/>
    <m/>
  </r>
  <r>
    <s v="ORD-4200"/>
    <d v="2024-02-07T00:00:00"/>
    <s v="CUST-125"/>
    <x v="5"/>
    <x v="0"/>
    <x v="2"/>
    <x v="0"/>
    <x v="17"/>
    <s v="$64.61"/>
    <s v="Wednesday"/>
    <x v="5"/>
    <x v="0"/>
    <b v="0"/>
    <b v="1"/>
    <s v="Large Order"/>
    <n v="3.2305000000000001"/>
    <x v="11"/>
    <n v="1033.76"/>
    <m/>
  </r>
  <r>
    <s v="ORD-4201"/>
    <d v="2024-10-04T00:00:00"/>
    <s v="CUST-175"/>
    <x v="11"/>
    <x v="2"/>
    <x v="2"/>
    <x v="3"/>
    <x v="16"/>
    <s v="$33.22"/>
    <s v="Friday"/>
    <x v="3"/>
    <x v="0"/>
    <b v="0"/>
    <b v="0"/>
    <s v="Large Order"/>
    <n v="1.661"/>
    <x v="16"/>
    <n v="631.17999999999995"/>
    <m/>
  </r>
  <r>
    <s v="ORD-4202"/>
    <d v="2024-08-08T00:00:00"/>
    <s v="CUST-114"/>
    <x v="16"/>
    <x v="1"/>
    <x v="4"/>
    <x v="4"/>
    <x v="19"/>
    <s v="$130.07"/>
    <s v="Thursday"/>
    <x v="10"/>
    <x v="0"/>
    <b v="0"/>
    <b v="1"/>
    <s v="Large Order"/>
    <n v="6.5034999999999998"/>
    <x v="21"/>
    <n v="2601.3999999999996"/>
    <m/>
  </r>
  <r>
    <s v="ORD-4203"/>
    <d v="2024-01-01T00:00:00"/>
    <s v="CUST-132"/>
    <x v="21"/>
    <x v="1"/>
    <x v="1"/>
    <x v="3"/>
    <x v="17"/>
    <s v="$32.94"/>
    <s v="Monday"/>
    <x v="6"/>
    <x v="0"/>
    <b v="0"/>
    <b v="0"/>
    <s v="Large Order"/>
    <n v="1.647"/>
    <x v="4"/>
    <n v="527.04"/>
    <m/>
  </r>
  <r>
    <s v="ORD-4204"/>
    <d v="2024-06-17T00:00:00"/>
    <s v="CUST-164"/>
    <x v="5"/>
    <x v="2"/>
    <x v="3"/>
    <x v="3"/>
    <x v="14"/>
    <s v="$64.61"/>
    <s v="Monday"/>
    <x v="9"/>
    <x v="0"/>
    <b v="0"/>
    <b v="0"/>
    <s v="Large Order"/>
    <n v="3.2305000000000001"/>
    <x v="2"/>
    <n v="581.49"/>
    <m/>
  </r>
  <r>
    <s v="ORD-4205"/>
    <d v="2024-05-07T00:00:00"/>
    <s v="CUST-143"/>
    <x v="3"/>
    <x v="2"/>
    <x v="1"/>
    <x v="4"/>
    <x v="8"/>
    <s v="$84.57"/>
    <s v="Tuesday"/>
    <x v="7"/>
    <x v="0"/>
    <b v="0"/>
    <b v="1"/>
    <s v="Large Order"/>
    <n v="4.2284999999999995"/>
    <x v="6"/>
    <n v="845.69999999999993"/>
    <m/>
  </r>
  <r>
    <s v="ORD-4206"/>
    <d v="2024-02-27T00:00:00"/>
    <s v="CUST-196"/>
    <x v="7"/>
    <x v="1"/>
    <x v="0"/>
    <x v="3"/>
    <x v="18"/>
    <s v="$107.34"/>
    <s v="Tuesday"/>
    <x v="5"/>
    <x v="0"/>
    <b v="0"/>
    <b v="1"/>
    <s v="Large Order"/>
    <n v="5.3670000000000009"/>
    <x v="8"/>
    <n v="1824.78"/>
    <m/>
  </r>
  <r>
    <s v="ORD-4207"/>
    <d v="2024-03-24T00:00:00"/>
    <s v="CUST-122"/>
    <x v="0"/>
    <x v="1"/>
    <x v="3"/>
    <x v="0"/>
    <x v="12"/>
    <s v="$146.06"/>
    <s v="Sunday"/>
    <x v="4"/>
    <x v="0"/>
    <b v="1"/>
    <b v="1"/>
    <s v="Large Order"/>
    <n v="7.3030000000000008"/>
    <x v="6"/>
    <n v="2190.9"/>
    <m/>
  </r>
  <r>
    <s v="ORD-4208"/>
    <d v="2024-12-17T00:00:00"/>
    <s v="CUST-168"/>
    <x v="7"/>
    <x v="0"/>
    <x v="0"/>
    <x v="2"/>
    <x v="10"/>
    <s v="$107.34"/>
    <s v="Tuesday"/>
    <x v="1"/>
    <x v="0"/>
    <b v="0"/>
    <b v="1"/>
    <s v="Large Order"/>
    <n v="5.3670000000000009"/>
    <x v="21"/>
    <n v="751.38"/>
    <m/>
  </r>
  <r>
    <s v="ORD-4209"/>
    <d v="2024-06-05T00:00:00"/>
    <s v="CUST-140"/>
    <x v="21"/>
    <x v="2"/>
    <x v="2"/>
    <x v="0"/>
    <x v="8"/>
    <s v="$32.94"/>
    <s v="Wednesday"/>
    <x v="9"/>
    <x v="0"/>
    <b v="0"/>
    <b v="0"/>
    <s v="Standard order"/>
    <n v="1.647"/>
    <x v="5"/>
    <n v="329.4"/>
    <m/>
  </r>
  <r>
    <s v="ORD-4210"/>
    <d v="2024-04-17T00:00:00"/>
    <s v="CUST-173"/>
    <x v="6"/>
    <x v="0"/>
    <x v="3"/>
    <x v="2"/>
    <x v="10"/>
    <s v="$86.6"/>
    <s v="Wednesday"/>
    <x v="2"/>
    <x v="0"/>
    <b v="0"/>
    <b v="0"/>
    <s v="Large Order"/>
    <n v="4.33"/>
    <x v="20"/>
    <n v="606.19999999999993"/>
    <m/>
  </r>
  <r>
    <s v="ORD-4211"/>
    <d v="2024-03-28T00:00:00"/>
    <s v="CUST-120"/>
    <x v="20"/>
    <x v="2"/>
    <x v="4"/>
    <x v="3"/>
    <x v="18"/>
    <s v="$81.02"/>
    <s v="Thursday"/>
    <x v="4"/>
    <x v="0"/>
    <b v="0"/>
    <b v="1"/>
    <s v="Large Order"/>
    <n v="4.0510000000000002"/>
    <x v="17"/>
    <n v="1377.34"/>
    <m/>
  </r>
  <r>
    <s v="ORD-4212"/>
    <d v="2024-11-30T00:00:00"/>
    <s v="CUST-176"/>
    <x v="17"/>
    <x v="2"/>
    <x v="3"/>
    <x v="2"/>
    <x v="14"/>
    <s v="$26.59"/>
    <s v="Saturday"/>
    <x v="0"/>
    <x v="0"/>
    <b v="1"/>
    <b v="0"/>
    <s v="Standard order"/>
    <n v="1.3295000000000001"/>
    <x v="0"/>
    <n v="239.31"/>
    <m/>
  </r>
  <r>
    <s v="ORD-4213"/>
    <d v="2024-06-04T00:00:00"/>
    <s v="CUST-147"/>
    <x v="1"/>
    <x v="1"/>
    <x v="3"/>
    <x v="3"/>
    <x v="9"/>
    <s v="$178.83"/>
    <s v="Tuesday"/>
    <x v="9"/>
    <x v="0"/>
    <b v="0"/>
    <b v="1"/>
    <s v="Large Order"/>
    <n v="8.9415000000000013"/>
    <x v="3"/>
    <n v="1967.13"/>
    <m/>
  </r>
  <r>
    <s v="ORD-4214"/>
    <d v="2024-08-05T00:00:00"/>
    <s v="CUST-172"/>
    <x v="4"/>
    <x v="1"/>
    <x v="0"/>
    <x v="1"/>
    <x v="4"/>
    <s v="$230.34"/>
    <s v="Monday"/>
    <x v="10"/>
    <x v="0"/>
    <b v="0"/>
    <b v="0"/>
    <s v="Standard order"/>
    <n v="11.517000000000001"/>
    <x v="0"/>
    <n v="460.68"/>
    <m/>
  </r>
  <r>
    <s v="ORD-4215"/>
    <d v="2024-06-30T00:00:00"/>
    <s v="CUST-182"/>
    <x v="1"/>
    <x v="1"/>
    <x v="3"/>
    <x v="0"/>
    <x v="10"/>
    <s v="$178.83"/>
    <s v="Sunday"/>
    <x v="9"/>
    <x v="0"/>
    <b v="1"/>
    <b v="1"/>
    <s v="Large Order"/>
    <n v="8.9415000000000013"/>
    <x v="7"/>
    <n v="1251.8100000000002"/>
    <m/>
  </r>
  <r>
    <s v="ORD-4216"/>
    <d v="2024-05-11T00:00:00"/>
    <s v="CUST-137"/>
    <x v="8"/>
    <x v="0"/>
    <x v="3"/>
    <x v="1"/>
    <x v="11"/>
    <s v="$208.85"/>
    <s v="Saturday"/>
    <x v="7"/>
    <x v="0"/>
    <b v="1"/>
    <b v="1"/>
    <s v="Large Order"/>
    <n v="10.442500000000001"/>
    <x v="11"/>
    <n v="2715.0499999999997"/>
    <m/>
  </r>
  <r>
    <s v="ORD-4217"/>
    <d v="2024-10-13T00:00:00"/>
    <s v="CUST-194"/>
    <x v="11"/>
    <x v="0"/>
    <x v="1"/>
    <x v="4"/>
    <x v="12"/>
    <s v="$33.22"/>
    <s v="Sunday"/>
    <x v="3"/>
    <x v="0"/>
    <b v="1"/>
    <b v="0"/>
    <s v="Standard order"/>
    <n v="1.661"/>
    <x v="24"/>
    <n v="498.29999999999995"/>
    <m/>
  </r>
  <r>
    <s v="ORD-4218"/>
    <d v="2024-02-24T00:00:00"/>
    <s v="CUST-109"/>
    <x v="24"/>
    <x v="0"/>
    <x v="3"/>
    <x v="1"/>
    <x v="16"/>
    <s v="$10.11"/>
    <s v="Saturday"/>
    <x v="5"/>
    <x v="0"/>
    <b v="1"/>
    <b v="0"/>
    <s v="Standard order"/>
    <n v="0.50549999999999995"/>
    <x v="5"/>
    <n v="192.08999999999997"/>
    <m/>
  </r>
  <r>
    <s v="ORD-4219"/>
    <d v="2024-01-24T00:00:00"/>
    <s v="CUST-199"/>
    <x v="6"/>
    <x v="1"/>
    <x v="2"/>
    <x v="2"/>
    <x v="14"/>
    <s v="$86.6"/>
    <s v="Wednesday"/>
    <x v="6"/>
    <x v="0"/>
    <b v="0"/>
    <b v="1"/>
    <s v="Large Order"/>
    <n v="4.33"/>
    <x v="15"/>
    <n v="779.4"/>
    <m/>
  </r>
  <r>
    <s v="ORD-4220"/>
    <d v="2024-10-27T00:00:00"/>
    <s v="CUST-148"/>
    <x v="15"/>
    <x v="0"/>
    <x v="0"/>
    <x v="3"/>
    <x v="14"/>
    <s v="$216.22"/>
    <s v="Sunday"/>
    <x v="3"/>
    <x v="0"/>
    <b v="1"/>
    <b v="1"/>
    <s v="Large Order"/>
    <n v="10.811"/>
    <x v="19"/>
    <n v="1945.98"/>
    <m/>
  </r>
  <r>
    <s v="ORD-4221"/>
    <d v="2024-08-12T00:00:00"/>
    <s v="CUST-136"/>
    <x v="19"/>
    <x v="1"/>
    <x v="4"/>
    <x v="0"/>
    <x v="9"/>
    <s v="$145.48"/>
    <s v="Monday"/>
    <x v="10"/>
    <x v="0"/>
    <b v="0"/>
    <b v="1"/>
    <s v="Large Order"/>
    <n v="7.274"/>
    <x v="0"/>
    <n v="1600.28"/>
    <m/>
  </r>
  <r>
    <s v="ORD-4222"/>
    <d v="2024-07-30T00:00:00"/>
    <s v="CUST-119"/>
    <x v="1"/>
    <x v="2"/>
    <x v="3"/>
    <x v="4"/>
    <x v="10"/>
    <s v="$178.83"/>
    <s v="Tuesday"/>
    <x v="8"/>
    <x v="0"/>
    <b v="0"/>
    <b v="1"/>
    <s v="Large Order"/>
    <n v="8.9415000000000013"/>
    <x v="13"/>
    <n v="1251.8100000000002"/>
    <m/>
  </r>
  <r>
    <s v="ORD-4223"/>
    <d v="2024-08-12T00:00:00"/>
    <s v="CUST-131"/>
    <x v="13"/>
    <x v="2"/>
    <x v="1"/>
    <x v="3"/>
    <x v="15"/>
    <s v="$156.44"/>
    <s v="Monday"/>
    <x v="10"/>
    <x v="0"/>
    <b v="0"/>
    <b v="1"/>
    <s v="Large Order"/>
    <n v="7.8220000000000001"/>
    <x v="18"/>
    <n v="2815.92"/>
    <m/>
  </r>
  <r>
    <s v="ORD-4224"/>
    <d v="2024-05-29T00:00:00"/>
    <s v="CUST-188"/>
    <x v="18"/>
    <x v="0"/>
    <x v="0"/>
    <x v="3"/>
    <x v="5"/>
    <s v="$230.68"/>
    <s v="Wednesday"/>
    <x v="7"/>
    <x v="0"/>
    <b v="0"/>
    <b v="1"/>
    <s v="Large Order"/>
    <n v="11.534000000000001"/>
    <x v="11"/>
    <n v="2768.16"/>
    <m/>
  </r>
  <r>
    <s v="ORD-4225"/>
    <d v="2024-08-16T00:00:00"/>
    <s v="CUST-195"/>
    <x v="11"/>
    <x v="0"/>
    <x v="3"/>
    <x v="1"/>
    <x v="7"/>
    <s v="$33.22"/>
    <s v="Friday"/>
    <x v="10"/>
    <x v="0"/>
    <b v="0"/>
    <b v="0"/>
    <s v="Standard order"/>
    <n v="1.661"/>
    <x v="5"/>
    <n v="265.76"/>
    <m/>
  </r>
  <r>
    <s v="ORD-4226"/>
    <d v="2024-06-19T00:00:00"/>
    <s v="CUST-125"/>
    <x v="6"/>
    <x v="2"/>
    <x v="3"/>
    <x v="3"/>
    <x v="19"/>
    <s v="$86.6"/>
    <s v="Wednesday"/>
    <x v="9"/>
    <x v="0"/>
    <b v="0"/>
    <b v="1"/>
    <s v="Large Order"/>
    <n v="4.33"/>
    <x v="19"/>
    <n v="1732"/>
    <m/>
  </r>
  <r>
    <s v="ORD-4227"/>
    <d v="2024-01-12T00:00:00"/>
    <s v="CUST-117"/>
    <x v="19"/>
    <x v="2"/>
    <x v="2"/>
    <x v="1"/>
    <x v="11"/>
    <s v="$145.48"/>
    <s v="Friday"/>
    <x v="6"/>
    <x v="0"/>
    <b v="0"/>
    <b v="1"/>
    <s v="Large Order"/>
    <n v="7.274"/>
    <x v="15"/>
    <n v="1891.2399999999998"/>
    <m/>
  </r>
  <r>
    <s v="ORD-4228"/>
    <d v="2024-01-25T00:00:00"/>
    <s v="CUST-167"/>
    <x v="15"/>
    <x v="2"/>
    <x v="3"/>
    <x v="0"/>
    <x v="16"/>
    <s v="$216.22"/>
    <s v="Thursday"/>
    <x v="6"/>
    <x v="0"/>
    <b v="0"/>
    <b v="1"/>
    <s v="Large Order"/>
    <n v="10.811"/>
    <x v="13"/>
    <n v="4108.18"/>
    <m/>
  </r>
  <r>
    <s v="ORD-4229"/>
    <d v="2024-01-17T00:00:00"/>
    <s v="CUST-164"/>
    <x v="13"/>
    <x v="2"/>
    <x v="2"/>
    <x v="3"/>
    <x v="16"/>
    <s v="$156.44"/>
    <s v="Wednesday"/>
    <x v="6"/>
    <x v="0"/>
    <b v="0"/>
    <b v="1"/>
    <s v="Large Order"/>
    <n v="7.8220000000000001"/>
    <x v="8"/>
    <n v="2972.36"/>
    <m/>
  </r>
  <r>
    <s v="ORD-4230"/>
    <d v="2024-02-04T00:00:00"/>
    <s v="CUST-194"/>
    <x v="0"/>
    <x v="2"/>
    <x v="0"/>
    <x v="4"/>
    <x v="0"/>
    <s v="$146.06"/>
    <s v="Sunday"/>
    <x v="5"/>
    <x v="0"/>
    <b v="1"/>
    <b v="0"/>
    <s v="Large Order"/>
    <n v="7.3030000000000008"/>
    <x v="9"/>
    <n v="584.24"/>
    <m/>
  </r>
  <r>
    <s v="ORD-4231"/>
    <d v="2024-09-19T00:00:00"/>
    <s v="CUST-111"/>
    <x v="9"/>
    <x v="1"/>
    <x v="1"/>
    <x v="2"/>
    <x v="13"/>
    <s v="$101.96"/>
    <s v="Thursday"/>
    <x v="11"/>
    <x v="0"/>
    <b v="0"/>
    <b v="0"/>
    <s v="Standard order"/>
    <n v="5.0979999999999999"/>
    <x v="12"/>
    <n v="305.88"/>
    <m/>
  </r>
  <r>
    <s v="ORD-4232"/>
    <d v="2024-08-08T00:00:00"/>
    <s v="CUST-135"/>
    <x v="12"/>
    <x v="1"/>
    <x v="4"/>
    <x v="3"/>
    <x v="13"/>
    <s v="$211.9"/>
    <s v="Thursday"/>
    <x v="10"/>
    <x v="0"/>
    <b v="0"/>
    <b v="0"/>
    <s v="Large Order"/>
    <n v="10.595000000000001"/>
    <x v="12"/>
    <n v="635.70000000000005"/>
    <m/>
  </r>
  <r>
    <s v="ORD-4233"/>
    <d v="2024-10-21T00:00:00"/>
    <s v="CUST-143"/>
    <x v="12"/>
    <x v="2"/>
    <x v="2"/>
    <x v="0"/>
    <x v="11"/>
    <s v="$211.9"/>
    <s v="Monday"/>
    <x v="3"/>
    <x v="0"/>
    <b v="0"/>
    <b v="1"/>
    <s v="Large Order"/>
    <n v="10.595000000000001"/>
    <x v="3"/>
    <n v="2754.7000000000003"/>
    <m/>
  </r>
  <r>
    <s v="ORD-4234"/>
    <d v="2024-01-04T00:00:00"/>
    <s v="CUST-179"/>
    <x v="4"/>
    <x v="0"/>
    <x v="0"/>
    <x v="2"/>
    <x v="9"/>
    <s v="$230.34"/>
    <s v="Thursday"/>
    <x v="6"/>
    <x v="0"/>
    <b v="0"/>
    <b v="1"/>
    <s v="Large Order"/>
    <n v="11.517000000000001"/>
    <x v="9"/>
    <n v="2533.7400000000002"/>
    <m/>
  </r>
  <r>
    <s v="ORD-4235"/>
    <d v="2024-05-12T00:00:00"/>
    <s v="CUST-128"/>
    <x v="9"/>
    <x v="2"/>
    <x v="3"/>
    <x v="4"/>
    <x v="12"/>
    <s v="$101.96"/>
    <s v="Sunday"/>
    <x v="7"/>
    <x v="0"/>
    <b v="1"/>
    <b v="1"/>
    <s v="Large Order"/>
    <n v="5.0979999999999999"/>
    <x v="9"/>
    <n v="1529.3999999999999"/>
    <m/>
  </r>
  <r>
    <s v="ORD-4236"/>
    <d v="2024-04-12T00:00:00"/>
    <s v="CUST-198"/>
    <x v="9"/>
    <x v="1"/>
    <x v="1"/>
    <x v="2"/>
    <x v="10"/>
    <s v="$101.96"/>
    <s v="Friday"/>
    <x v="2"/>
    <x v="0"/>
    <b v="0"/>
    <b v="0"/>
    <s v="Large Order"/>
    <n v="5.0979999999999999"/>
    <x v="6"/>
    <n v="713.71999999999991"/>
    <m/>
  </r>
  <r>
    <s v="ORD-4237"/>
    <d v="2024-04-15T00:00:00"/>
    <s v="CUST-139"/>
    <x v="7"/>
    <x v="0"/>
    <x v="0"/>
    <x v="4"/>
    <x v="19"/>
    <s v="$107.34"/>
    <s v="Monday"/>
    <x v="2"/>
    <x v="0"/>
    <b v="0"/>
    <b v="1"/>
    <s v="Large Order"/>
    <n v="5.3670000000000009"/>
    <x v="0"/>
    <n v="2146.8000000000002"/>
    <m/>
  </r>
  <r>
    <s v="ORD-4238"/>
    <d v="2024-01-21T00:00:00"/>
    <s v="CUST-199"/>
    <x v="1"/>
    <x v="2"/>
    <x v="3"/>
    <x v="0"/>
    <x v="9"/>
    <s v="$178.83"/>
    <s v="Sunday"/>
    <x v="6"/>
    <x v="0"/>
    <b v="1"/>
    <b v="1"/>
    <s v="Large Order"/>
    <n v="8.9415000000000013"/>
    <x v="11"/>
    <n v="1967.13"/>
    <m/>
  </r>
  <r>
    <s v="ORD-4239"/>
    <d v="2024-04-27T00:00:00"/>
    <s v="CUST-184"/>
    <x v="11"/>
    <x v="0"/>
    <x v="3"/>
    <x v="2"/>
    <x v="3"/>
    <s v="$33.22"/>
    <s v="Saturday"/>
    <x v="2"/>
    <x v="0"/>
    <b v="1"/>
    <b v="0"/>
    <s v="Standard order"/>
    <n v="1.661"/>
    <x v="21"/>
    <n v="465.08"/>
    <m/>
  </r>
  <r>
    <s v="ORD-4240"/>
    <d v="2024-04-29T00:00:00"/>
    <s v="CUST-127"/>
    <x v="21"/>
    <x v="1"/>
    <x v="0"/>
    <x v="2"/>
    <x v="12"/>
    <s v="$32.94"/>
    <s v="Monday"/>
    <x v="2"/>
    <x v="0"/>
    <b v="0"/>
    <b v="0"/>
    <s v="Standard order"/>
    <n v="1.647"/>
    <x v="12"/>
    <n v="494.09999999999997"/>
    <m/>
  </r>
  <r>
    <s v="ORD-4241"/>
    <d v="2024-07-11T00:00:00"/>
    <s v="CUST-103"/>
    <x v="12"/>
    <x v="2"/>
    <x v="4"/>
    <x v="1"/>
    <x v="4"/>
    <s v="$211.9"/>
    <s v="Thursday"/>
    <x v="8"/>
    <x v="0"/>
    <b v="0"/>
    <b v="0"/>
    <s v="Standard order"/>
    <n v="10.595000000000001"/>
    <x v="11"/>
    <n v="423.8"/>
    <m/>
  </r>
  <r>
    <s v="ORD-4242"/>
    <d v="2024-07-23T00:00:00"/>
    <s v="CUST-125"/>
    <x v="11"/>
    <x v="1"/>
    <x v="1"/>
    <x v="0"/>
    <x v="13"/>
    <s v="$33.22"/>
    <s v="Tuesday"/>
    <x v="8"/>
    <x v="0"/>
    <b v="0"/>
    <b v="0"/>
    <s v="Standard order"/>
    <n v="1.661"/>
    <x v="16"/>
    <n v="99.66"/>
    <m/>
  </r>
  <r>
    <s v="ORD-4243"/>
    <d v="2024-09-16T00:00:00"/>
    <s v="CUST-174"/>
    <x v="16"/>
    <x v="2"/>
    <x v="0"/>
    <x v="2"/>
    <x v="10"/>
    <s v="$130.07"/>
    <s v="Monday"/>
    <x v="11"/>
    <x v="0"/>
    <b v="0"/>
    <b v="1"/>
    <s v="Large Order"/>
    <n v="6.5034999999999998"/>
    <x v="20"/>
    <n v="910.49"/>
    <m/>
  </r>
  <r>
    <s v="ORD-4244"/>
    <d v="2024-09-07T00:00:00"/>
    <s v="CUST-194"/>
    <x v="20"/>
    <x v="1"/>
    <x v="3"/>
    <x v="1"/>
    <x v="10"/>
    <s v="$81.02"/>
    <s v="Saturday"/>
    <x v="11"/>
    <x v="0"/>
    <b v="1"/>
    <b v="0"/>
    <s v="Large Order"/>
    <n v="4.0510000000000002"/>
    <x v="7"/>
    <n v="567.14"/>
    <m/>
  </r>
  <r>
    <s v="ORD-4245"/>
    <d v="2024-02-16T00:00:00"/>
    <s v="CUST-164"/>
    <x v="8"/>
    <x v="1"/>
    <x v="3"/>
    <x v="4"/>
    <x v="0"/>
    <s v="$208.85"/>
    <s v="Friday"/>
    <x v="5"/>
    <x v="0"/>
    <b v="0"/>
    <b v="0"/>
    <s v="Large Order"/>
    <n v="10.442500000000001"/>
    <x v="3"/>
    <n v="835.4"/>
    <m/>
  </r>
  <r>
    <s v="ORD-4246"/>
    <d v="2024-01-09T00:00:00"/>
    <s v="CUST-100"/>
    <x v="4"/>
    <x v="1"/>
    <x v="2"/>
    <x v="0"/>
    <x v="5"/>
    <s v="$230.34"/>
    <s v="Tuesday"/>
    <x v="6"/>
    <x v="0"/>
    <b v="0"/>
    <b v="1"/>
    <s v="Large Order"/>
    <n v="11.517000000000001"/>
    <x v="17"/>
    <n v="2764.08"/>
    <m/>
  </r>
  <r>
    <s v="ORD-4247"/>
    <d v="2024-06-07T00:00:00"/>
    <s v="CUST-108"/>
    <x v="17"/>
    <x v="2"/>
    <x v="3"/>
    <x v="2"/>
    <x v="13"/>
    <s v="$26.59"/>
    <s v="Friday"/>
    <x v="9"/>
    <x v="0"/>
    <b v="0"/>
    <b v="0"/>
    <s v="Standard order"/>
    <n v="1.3295000000000001"/>
    <x v="18"/>
    <n v="79.77"/>
    <m/>
  </r>
  <r>
    <s v="ORD-4248"/>
    <d v="2024-07-18T00:00:00"/>
    <s v="CUST-160"/>
    <x v="18"/>
    <x v="1"/>
    <x v="3"/>
    <x v="0"/>
    <x v="2"/>
    <s v="$230.68"/>
    <s v="Thursday"/>
    <x v="8"/>
    <x v="0"/>
    <b v="0"/>
    <b v="0"/>
    <s v="Large Order"/>
    <n v="11.534000000000001"/>
    <x v="18"/>
    <n v="1153.4000000000001"/>
    <m/>
  </r>
  <r>
    <s v="ORD-4249"/>
    <d v="2024-03-31T00:00:00"/>
    <s v="CUST-172"/>
    <x v="18"/>
    <x v="0"/>
    <x v="1"/>
    <x v="2"/>
    <x v="2"/>
    <s v="$230.68"/>
    <s v="Sunday"/>
    <x v="4"/>
    <x v="0"/>
    <b v="1"/>
    <b v="0"/>
    <s v="Large Order"/>
    <n v="11.534000000000001"/>
    <x v="20"/>
    <n v="1153.4000000000001"/>
    <m/>
  </r>
  <r>
    <s v="ORD-4250"/>
    <d v="2024-01-20T00:00:00"/>
    <s v="CUST-107"/>
    <x v="20"/>
    <x v="0"/>
    <x v="3"/>
    <x v="3"/>
    <x v="19"/>
    <s v="$81.02"/>
    <s v="Saturday"/>
    <x v="6"/>
    <x v="0"/>
    <b v="1"/>
    <b v="1"/>
    <s v="Large Order"/>
    <n v="4.0510000000000002"/>
    <x v="6"/>
    <n v="1620.3999999999999"/>
    <m/>
  </r>
  <r>
    <s v="ORD-4251"/>
    <d v="2024-03-21T00:00:00"/>
    <s v="CUST-153"/>
    <x v="7"/>
    <x v="0"/>
    <x v="1"/>
    <x v="2"/>
    <x v="6"/>
    <s v="$107.34"/>
    <s v="Thursday"/>
    <x v="4"/>
    <x v="0"/>
    <b v="0"/>
    <b v="0"/>
    <s v="Large Order"/>
    <n v="5.3670000000000009"/>
    <x v="6"/>
    <n v="644.04"/>
    <m/>
  </r>
  <r>
    <s v="ORD-4252"/>
    <d v="2024-02-26T00:00:00"/>
    <s v="CUST-200"/>
    <x v="7"/>
    <x v="0"/>
    <x v="2"/>
    <x v="2"/>
    <x v="8"/>
    <s v="$107.34"/>
    <s v="Monday"/>
    <x v="5"/>
    <x v="0"/>
    <b v="0"/>
    <b v="1"/>
    <s v="Large Order"/>
    <n v="5.3670000000000009"/>
    <x v="20"/>
    <n v="1073.4000000000001"/>
    <m/>
  </r>
  <r>
    <s v="ORD-4253"/>
    <d v="2024-07-10T00:00:00"/>
    <s v="CUST-133"/>
    <x v="20"/>
    <x v="1"/>
    <x v="0"/>
    <x v="0"/>
    <x v="9"/>
    <s v="$81.02"/>
    <s v="Wednesday"/>
    <x v="8"/>
    <x v="0"/>
    <b v="0"/>
    <b v="1"/>
    <s v="Large Order"/>
    <n v="4.0510000000000002"/>
    <x v="16"/>
    <n v="891.21999999999991"/>
    <m/>
  </r>
  <r>
    <s v="ORD-4254"/>
    <d v="2024-08-28T00:00:00"/>
    <s v="CUST-104"/>
    <x v="16"/>
    <x v="0"/>
    <x v="2"/>
    <x v="0"/>
    <x v="15"/>
    <s v="$130.07"/>
    <s v="Wednesday"/>
    <x v="10"/>
    <x v="0"/>
    <b v="0"/>
    <b v="1"/>
    <s v="Large Order"/>
    <n v="6.5034999999999998"/>
    <x v="22"/>
    <n v="2341.2599999999998"/>
    <m/>
  </r>
  <r>
    <s v="ORD-4255"/>
    <d v="2024-11-02T00:00:00"/>
    <s v="CUST-192"/>
    <x v="22"/>
    <x v="0"/>
    <x v="4"/>
    <x v="0"/>
    <x v="1"/>
    <s v="$149.27"/>
    <s v="Saturday"/>
    <x v="0"/>
    <x v="0"/>
    <b v="1"/>
    <b v="0"/>
    <s v="Standard order"/>
    <n v="7.4635000000000007"/>
    <x v="17"/>
    <n v="149.27000000000001"/>
    <m/>
  </r>
  <r>
    <s v="ORD-4256"/>
    <d v="2024-04-24T00:00:00"/>
    <s v="CUST-111"/>
    <x v="17"/>
    <x v="0"/>
    <x v="0"/>
    <x v="1"/>
    <x v="12"/>
    <s v="$26.59"/>
    <s v="Wednesday"/>
    <x v="2"/>
    <x v="0"/>
    <b v="0"/>
    <b v="0"/>
    <s v="Standard order"/>
    <n v="1.3295000000000001"/>
    <x v="0"/>
    <n v="398.85"/>
    <m/>
  </r>
  <r>
    <s v="ORD-4257"/>
    <d v="2024-10-01T00:00:00"/>
    <s v="CUST-156"/>
    <x v="1"/>
    <x v="2"/>
    <x v="0"/>
    <x v="3"/>
    <x v="17"/>
    <s v="$178.83"/>
    <s v="Tuesday"/>
    <x v="3"/>
    <x v="0"/>
    <b v="0"/>
    <b v="1"/>
    <s v="Large Order"/>
    <n v="8.9415000000000013"/>
    <x v="13"/>
    <n v="2861.28"/>
    <m/>
  </r>
  <r>
    <s v="ORD-4258"/>
    <d v="2024-05-11T00:00:00"/>
    <s v="CUST-116"/>
    <x v="13"/>
    <x v="2"/>
    <x v="1"/>
    <x v="3"/>
    <x v="19"/>
    <s v="$156.44"/>
    <s v="Saturday"/>
    <x v="7"/>
    <x v="0"/>
    <b v="1"/>
    <b v="1"/>
    <s v="Large Order"/>
    <n v="7.8220000000000001"/>
    <x v="4"/>
    <n v="3128.8"/>
    <m/>
  </r>
  <r>
    <s v="ORD-4259"/>
    <d v="2024-02-19T00:00:00"/>
    <s v="CUST-161"/>
    <x v="5"/>
    <x v="2"/>
    <x v="1"/>
    <x v="2"/>
    <x v="2"/>
    <s v="$64.61"/>
    <s v="Monday"/>
    <x v="5"/>
    <x v="0"/>
    <b v="0"/>
    <b v="0"/>
    <s v="Standard order"/>
    <n v="3.2305000000000001"/>
    <x v="24"/>
    <n v="323.05"/>
    <m/>
  </r>
  <r>
    <s v="ORD-4260"/>
    <d v="2024-03-07T00:00:00"/>
    <s v="CUST-118"/>
    <x v="24"/>
    <x v="2"/>
    <x v="0"/>
    <x v="0"/>
    <x v="11"/>
    <s v="$10.11"/>
    <s v="Thursday"/>
    <x v="4"/>
    <x v="0"/>
    <b v="0"/>
    <b v="0"/>
    <s v="Standard order"/>
    <n v="0.50549999999999995"/>
    <x v="24"/>
    <n v="131.43"/>
    <m/>
  </r>
  <r>
    <s v="ORD-4261"/>
    <d v="2024-11-10T00:00:00"/>
    <s v="CUST-113"/>
    <x v="24"/>
    <x v="0"/>
    <x v="3"/>
    <x v="2"/>
    <x v="8"/>
    <s v="$10.11"/>
    <s v="Sunday"/>
    <x v="0"/>
    <x v="0"/>
    <b v="1"/>
    <b v="0"/>
    <s v="Standard order"/>
    <n v="0.50549999999999995"/>
    <x v="9"/>
    <n v="101.1"/>
    <m/>
  </r>
  <r>
    <s v="ORD-4262"/>
    <d v="2024-08-24T00:00:00"/>
    <s v="CUST-185"/>
    <x v="9"/>
    <x v="2"/>
    <x v="1"/>
    <x v="4"/>
    <x v="14"/>
    <s v="$101.96"/>
    <s v="Saturday"/>
    <x v="10"/>
    <x v="0"/>
    <b v="1"/>
    <b v="1"/>
    <s v="Large Order"/>
    <n v="5.0979999999999999"/>
    <x v="17"/>
    <n v="917.64"/>
    <m/>
  </r>
  <r>
    <s v="ORD-4263"/>
    <d v="2024-03-08T00:00:00"/>
    <s v="CUST-141"/>
    <x v="17"/>
    <x v="1"/>
    <x v="4"/>
    <x v="4"/>
    <x v="4"/>
    <s v="$26.59"/>
    <s v="Friday"/>
    <x v="4"/>
    <x v="0"/>
    <b v="0"/>
    <b v="0"/>
    <s v="Standard order"/>
    <n v="1.3295000000000001"/>
    <x v="15"/>
    <n v="53.18"/>
    <m/>
  </r>
  <r>
    <s v="ORD-4264"/>
    <d v="2024-07-16T00:00:00"/>
    <s v="CUST-180"/>
    <x v="15"/>
    <x v="0"/>
    <x v="4"/>
    <x v="0"/>
    <x v="2"/>
    <s v="$216.22"/>
    <s v="Tuesday"/>
    <x v="8"/>
    <x v="0"/>
    <b v="0"/>
    <b v="0"/>
    <s v="Large Order"/>
    <n v="10.811"/>
    <x v="3"/>
    <n v="1081.0999999999999"/>
    <m/>
  </r>
  <r>
    <s v="ORD-4265"/>
    <d v="2024-05-01T00:00:00"/>
    <s v="CUST-120"/>
    <x v="4"/>
    <x v="1"/>
    <x v="0"/>
    <x v="4"/>
    <x v="17"/>
    <s v="$230.34"/>
    <s v="Wednesday"/>
    <x v="7"/>
    <x v="0"/>
    <b v="0"/>
    <b v="1"/>
    <s v="Large Order"/>
    <n v="11.517000000000001"/>
    <x v="1"/>
    <n v="3685.44"/>
    <m/>
  </r>
  <r>
    <s v="ORD-4266"/>
    <d v="2024-06-25T00:00:00"/>
    <s v="CUST-124"/>
    <x v="2"/>
    <x v="2"/>
    <x v="2"/>
    <x v="1"/>
    <x v="10"/>
    <s v="$88.18"/>
    <s v="Tuesday"/>
    <x v="9"/>
    <x v="0"/>
    <b v="0"/>
    <b v="0"/>
    <s v="Large Order"/>
    <n v="4.4090000000000007"/>
    <x v="12"/>
    <n v="617.26"/>
    <m/>
  </r>
  <r>
    <s v="ORD-4267"/>
    <d v="2024-05-14T00:00:00"/>
    <s v="CUST-169"/>
    <x v="12"/>
    <x v="0"/>
    <x v="3"/>
    <x v="4"/>
    <x v="9"/>
    <s v="$211.9"/>
    <s v="Tuesday"/>
    <x v="7"/>
    <x v="0"/>
    <b v="0"/>
    <b v="1"/>
    <s v="Large Order"/>
    <n v="10.595000000000001"/>
    <x v="13"/>
    <n v="2330.9"/>
    <m/>
  </r>
  <r>
    <s v="ORD-4268"/>
    <d v="2024-04-05T00:00:00"/>
    <s v="CUST-132"/>
    <x v="13"/>
    <x v="1"/>
    <x v="1"/>
    <x v="1"/>
    <x v="0"/>
    <s v="$156.44"/>
    <s v="Friday"/>
    <x v="2"/>
    <x v="0"/>
    <b v="0"/>
    <b v="0"/>
    <s v="Large Order"/>
    <n v="7.8220000000000001"/>
    <x v="22"/>
    <n v="625.76"/>
    <m/>
  </r>
  <r>
    <s v="ORD-4269"/>
    <d v="2024-06-24T00:00:00"/>
    <s v="CUST-197"/>
    <x v="22"/>
    <x v="1"/>
    <x v="0"/>
    <x v="3"/>
    <x v="3"/>
    <s v="$149.27"/>
    <s v="Monday"/>
    <x v="9"/>
    <x v="0"/>
    <b v="0"/>
    <b v="1"/>
    <s v="Large Order"/>
    <n v="7.4635000000000007"/>
    <x v="19"/>
    <n v="2089.7800000000002"/>
    <m/>
  </r>
  <r>
    <s v="ORD-4270"/>
    <d v="2024-10-05T00:00:00"/>
    <s v="CUST-116"/>
    <x v="19"/>
    <x v="0"/>
    <x v="2"/>
    <x v="0"/>
    <x v="0"/>
    <s v="$145.48"/>
    <s v="Saturday"/>
    <x v="3"/>
    <x v="0"/>
    <b v="1"/>
    <b v="0"/>
    <s v="Large Order"/>
    <n v="7.274"/>
    <x v="7"/>
    <n v="581.91999999999996"/>
    <m/>
  </r>
  <r>
    <s v="ORD-4271"/>
    <d v="2024-05-31T00:00:00"/>
    <s v="CUST-116"/>
    <x v="8"/>
    <x v="1"/>
    <x v="2"/>
    <x v="1"/>
    <x v="15"/>
    <s v="$208.85"/>
    <s v="Friday"/>
    <x v="7"/>
    <x v="0"/>
    <b v="0"/>
    <b v="1"/>
    <s v="Large Order"/>
    <n v="10.442500000000001"/>
    <x v="6"/>
    <n v="3759.2999999999997"/>
    <m/>
  </r>
  <r>
    <s v="ORD-4272"/>
    <d v="2024-02-12T00:00:00"/>
    <s v="CUST-164"/>
    <x v="7"/>
    <x v="1"/>
    <x v="1"/>
    <x v="2"/>
    <x v="2"/>
    <s v="$107.34"/>
    <s v="Monday"/>
    <x v="5"/>
    <x v="0"/>
    <b v="0"/>
    <b v="0"/>
    <s v="Large Order"/>
    <n v="5.3670000000000009"/>
    <x v="18"/>
    <n v="536.70000000000005"/>
    <m/>
  </r>
  <r>
    <s v="ORD-4273"/>
    <d v="2024-04-23T00:00:00"/>
    <s v="CUST-199"/>
    <x v="18"/>
    <x v="0"/>
    <x v="3"/>
    <x v="4"/>
    <x v="19"/>
    <s v="$230.68"/>
    <s v="Tuesday"/>
    <x v="2"/>
    <x v="0"/>
    <b v="0"/>
    <b v="1"/>
    <s v="Large Order"/>
    <n v="11.534000000000001"/>
    <x v="22"/>
    <n v="4613.6000000000004"/>
    <m/>
  </r>
  <r>
    <s v="ORD-4274"/>
    <d v="2024-10-15T00:00:00"/>
    <s v="CUST-167"/>
    <x v="22"/>
    <x v="0"/>
    <x v="1"/>
    <x v="3"/>
    <x v="15"/>
    <s v="$149.27"/>
    <s v="Tuesday"/>
    <x v="3"/>
    <x v="0"/>
    <b v="0"/>
    <b v="1"/>
    <s v="Large Order"/>
    <n v="7.4635000000000007"/>
    <x v="7"/>
    <n v="2686.86"/>
    <m/>
  </r>
  <r>
    <s v="ORD-4275"/>
    <d v="2024-09-28T00:00:00"/>
    <s v="CUST-121"/>
    <x v="8"/>
    <x v="0"/>
    <x v="0"/>
    <x v="2"/>
    <x v="19"/>
    <s v="$208.85"/>
    <s v="Saturday"/>
    <x v="11"/>
    <x v="0"/>
    <b v="1"/>
    <b v="1"/>
    <s v="Large Order"/>
    <n v="10.442500000000001"/>
    <x v="20"/>
    <n v="4177"/>
    <m/>
  </r>
  <r>
    <s v="ORD-4276"/>
    <d v="2024-03-18T00:00:00"/>
    <s v="CUST-169"/>
    <x v="20"/>
    <x v="1"/>
    <x v="4"/>
    <x v="3"/>
    <x v="4"/>
    <s v="$81.02"/>
    <s v="Monday"/>
    <x v="4"/>
    <x v="0"/>
    <b v="0"/>
    <b v="0"/>
    <s v="Standard order"/>
    <n v="4.0510000000000002"/>
    <x v="3"/>
    <n v="162.04"/>
    <m/>
  </r>
  <r>
    <s v="ORD-4277"/>
    <d v="2024-07-24T00:00:00"/>
    <s v="CUST-137"/>
    <x v="4"/>
    <x v="2"/>
    <x v="2"/>
    <x v="1"/>
    <x v="12"/>
    <s v="$230.34"/>
    <s v="Wednesday"/>
    <x v="8"/>
    <x v="0"/>
    <b v="0"/>
    <b v="1"/>
    <s v="Large Order"/>
    <n v="11.517000000000001"/>
    <x v="8"/>
    <n v="3455.1"/>
    <m/>
  </r>
  <r>
    <s v="ORD-4278"/>
    <d v="2024-06-02T00:00:00"/>
    <s v="CUST-100"/>
    <x v="0"/>
    <x v="1"/>
    <x v="1"/>
    <x v="3"/>
    <x v="10"/>
    <s v="$146.06"/>
    <s v="Sunday"/>
    <x v="9"/>
    <x v="0"/>
    <b v="1"/>
    <b v="1"/>
    <s v="Large Order"/>
    <n v="7.3030000000000008"/>
    <x v="8"/>
    <n v="1022.4200000000001"/>
    <m/>
  </r>
  <r>
    <s v="ORD-4279"/>
    <d v="2024-11-09T00:00:00"/>
    <s v="CUST-176"/>
    <x v="0"/>
    <x v="0"/>
    <x v="2"/>
    <x v="2"/>
    <x v="2"/>
    <s v="$146.06"/>
    <s v="Saturday"/>
    <x v="0"/>
    <x v="0"/>
    <b v="1"/>
    <b v="0"/>
    <s v="Large Order"/>
    <n v="7.3030000000000008"/>
    <x v="24"/>
    <n v="730.3"/>
    <m/>
  </r>
  <r>
    <s v="ORD-4280"/>
    <d v="2024-03-23T00:00:00"/>
    <s v="CUST-197"/>
    <x v="24"/>
    <x v="1"/>
    <x v="4"/>
    <x v="1"/>
    <x v="11"/>
    <s v="$10.11"/>
    <s v="Saturday"/>
    <x v="4"/>
    <x v="0"/>
    <b v="1"/>
    <b v="0"/>
    <s v="Standard order"/>
    <n v="0.50549999999999995"/>
    <x v="8"/>
    <n v="131.43"/>
    <m/>
  </r>
  <r>
    <s v="ORD-4281"/>
    <d v="2024-05-07T00:00:00"/>
    <s v="CUST-144"/>
    <x v="0"/>
    <x v="0"/>
    <x v="3"/>
    <x v="2"/>
    <x v="11"/>
    <s v="$146.06"/>
    <s v="Tuesday"/>
    <x v="7"/>
    <x v="0"/>
    <b v="0"/>
    <b v="1"/>
    <s v="Large Order"/>
    <n v="7.3030000000000008"/>
    <x v="0"/>
    <n v="1898.78"/>
    <m/>
  </r>
  <r>
    <s v="ORD-4282"/>
    <d v="2024-10-26T00:00:00"/>
    <s v="CUST-186"/>
    <x v="1"/>
    <x v="0"/>
    <x v="2"/>
    <x v="2"/>
    <x v="14"/>
    <s v="$178.83"/>
    <s v="Saturday"/>
    <x v="3"/>
    <x v="0"/>
    <b v="1"/>
    <b v="1"/>
    <s v="Large Order"/>
    <n v="8.9415000000000013"/>
    <x v="19"/>
    <n v="1609.47"/>
    <m/>
  </r>
  <r>
    <s v="ORD-4283"/>
    <d v="2024-01-06T00:00:00"/>
    <s v="CUST-181"/>
    <x v="19"/>
    <x v="2"/>
    <x v="3"/>
    <x v="4"/>
    <x v="0"/>
    <s v="$145.48"/>
    <s v="Saturday"/>
    <x v="6"/>
    <x v="0"/>
    <b v="1"/>
    <b v="0"/>
    <s v="Large Order"/>
    <n v="7.274"/>
    <x v="24"/>
    <n v="581.91999999999996"/>
    <m/>
  </r>
  <r>
    <s v="ORD-4284"/>
    <d v="2024-11-02T00:00:00"/>
    <s v="CUST-160"/>
    <x v="24"/>
    <x v="2"/>
    <x v="2"/>
    <x v="3"/>
    <x v="0"/>
    <s v="$10.11"/>
    <s v="Saturday"/>
    <x v="0"/>
    <x v="0"/>
    <b v="1"/>
    <b v="0"/>
    <s v="Standard order"/>
    <n v="0.50549999999999995"/>
    <x v="0"/>
    <n v="40.44"/>
    <m/>
  </r>
  <r>
    <s v="ORD-4285"/>
    <d v="2024-11-08T00:00:00"/>
    <s v="CUST-158"/>
    <x v="1"/>
    <x v="0"/>
    <x v="3"/>
    <x v="3"/>
    <x v="4"/>
    <s v="$178.83"/>
    <s v="Friday"/>
    <x v="0"/>
    <x v="0"/>
    <b v="0"/>
    <b v="0"/>
    <s v="Standard order"/>
    <n v="8.9415000000000013"/>
    <x v="1"/>
    <n v="357.66"/>
    <m/>
  </r>
  <r>
    <s v="ORD-4286"/>
    <d v="2024-05-10T00:00:00"/>
    <s v="CUST-114"/>
    <x v="2"/>
    <x v="1"/>
    <x v="2"/>
    <x v="4"/>
    <x v="6"/>
    <s v="$88.18"/>
    <s v="Friday"/>
    <x v="7"/>
    <x v="0"/>
    <b v="0"/>
    <b v="0"/>
    <s v="Large Order"/>
    <n v="4.4090000000000007"/>
    <x v="21"/>
    <n v="529.08000000000004"/>
    <m/>
  </r>
  <r>
    <s v="ORD-4287"/>
    <d v="2024-12-20T00:00:00"/>
    <s v="CUST-162"/>
    <x v="21"/>
    <x v="1"/>
    <x v="4"/>
    <x v="4"/>
    <x v="0"/>
    <s v="$32.94"/>
    <s v="Friday"/>
    <x v="1"/>
    <x v="0"/>
    <b v="0"/>
    <b v="0"/>
    <s v="Standard order"/>
    <n v="1.647"/>
    <x v="7"/>
    <n v="131.76"/>
    <m/>
  </r>
  <r>
    <s v="ORD-4288"/>
    <d v="2024-11-04T00:00:00"/>
    <s v="CUST-176"/>
    <x v="8"/>
    <x v="0"/>
    <x v="2"/>
    <x v="1"/>
    <x v="3"/>
    <s v="$208.85"/>
    <s v="Monday"/>
    <x v="0"/>
    <x v="0"/>
    <b v="0"/>
    <b v="1"/>
    <s v="Large Order"/>
    <n v="10.442500000000001"/>
    <x v="2"/>
    <n v="2923.9"/>
    <m/>
  </r>
  <r>
    <s v="ORD-4289"/>
    <d v="2024-02-23T00:00:00"/>
    <s v="CUST-198"/>
    <x v="3"/>
    <x v="2"/>
    <x v="3"/>
    <x v="3"/>
    <x v="18"/>
    <s v="$84.57"/>
    <s v="Friday"/>
    <x v="5"/>
    <x v="0"/>
    <b v="0"/>
    <b v="1"/>
    <s v="Large Order"/>
    <n v="4.2284999999999995"/>
    <x v="7"/>
    <n v="1437.6899999999998"/>
    <m/>
  </r>
  <r>
    <s v="ORD-4290"/>
    <d v="2024-12-07T00:00:00"/>
    <s v="CUST-132"/>
    <x v="8"/>
    <x v="0"/>
    <x v="0"/>
    <x v="0"/>
    <x v="17"/>
    <s v="$208.85"/>
    <s v="Saturday"/>
    <x v="1"/>
    <x v="0"/>
    <b v="1"/>
    <b v="1"/>
    <s v="Large Order"/>
    <n v="10.442500000000001"/>
    <x v="9"/>
    <n v="3341.6"/>
    <m/>
  </r>
  <r>
    <s v="ORD-4291"/>
    <d v="2024-09-10T00:00:00"/>
    <s v="CUST-128"/>
    <x v="9"/>
    <x v="1"/>
    <x v="3"/>
    <x v="0"/>
    <x v="17"/>
    <s v="$101.96"/>
    <s v="Tuesday"/>
    <x v="11"/>
    <x v="0"/>
    <b v="0"/>
    <b v="1"/>
    <s v="Large Order"/>
    <n v="5.0979999999999999"/>
    <x v="20"/>
    <n v="1631.36"/>
    <m/>
  </r>
  <r>
    <s v="ORD-4292"/>
    <d v="2024-10-16T00:00:00"/>
    <s v="CUST-148"/>
    <x v="20"/>
    <x v="2"/>
    <x v="2"/>
    <x v="0"/>
    <x v="19"/>
    <s v="$81.02"/>
    <s v="Wednesday"/>
    <x v="3"/>
    <x v="0"/>
    <b v="0"/>
    <b v="1"/>
    <s v="Large Order"/>
    <n v="4.0510000000000002"/>
    <x v="9"/>
    <n v="1620.3999999999999"/>
    <m/>
  </r>
  <r>
    <s v="ORD-4293"/>
    <d v="2024-11-25T00:00:00"/>
    <s v="CUST-112"/>
    <x v="9"/>
    <x v="0"/>
    <x v="0"/>
    <x v="2"/>
    <x v="5"/>
    <s v="$101.96"/>
    <s v="Monday"/>
    <x v="0"/>
    <x v="0"/>
    <b v="0"/>
    <b v="1"/>
    <s v="Large Order"/>
    <n v="5.0979999999999999"/>
    <x v="17"/>
    <n v="1223.52"/>
    <m/>
  </r>
  <r>
    <s v="ORD-4294"/>
    <d v="2024-12-29T00:00:00"/>
    <s v="CUST-177"/>
    <x v="17"/>
    <x v="1"/>
    <x v="0"/>
    <x v="3"/>
    <x v="12"/>
    <s v="$26.59"/>
    <s v="Sunday"/>
    <x v="1"/>
    <x v="0"/>
    <b v="1"/>
    <b v="0"/>
    <s v="Standard order"/>
    <n v="1.3295000000000001"/>
    <x v="15"/>
    <n v="398.85"/>
    <m/>
  </r>
  <r>
    <s v="ORD-4295"/>
    <d v="2024-10-20T00:00:00"/>
    <s v="CUST-166"/>
    <x v="15"/>
    <x v="1"/>
    <x v="2"/>
    <x v="0"/>
    <x v="10"/>
    <s v="$216.22"/>
    <s v="Sunday"/>
    <x v="3"/>
    <x v="0"/>
    <b v="1"/>
    <b v="1"/>
    <s v="Large Order"/>
    <n v="10.811"/>
    <x v="13"/>
    <n v="1513.54"/>
    <m/>
  </r>
  <r>
    <s v="ORD-4296"/>
    <d v="2024-01-13T00:00:00"/>
    <s v="CUST-180"/>
    <x v="13"/>
    <x v="0"/>
    <x v="3"/>
    <x v="1"/>
    <x v="1"/>
    <s v="$156.44"/>
    <s v="Saturday"/>
    <x v="6"/>
    <x v="0"/>
    <b v="1"/>
    <b v="0"/>
    <s v="Standard order"/>
    <n v="7.8220000000000001"/>
    <x v="5"/>
    <n v="156.44"/>
    <m/>
  </r>
  <r>
    <s v="ORD-4297"/>
    <d v="2024-05-09T00:00:00"/>
    <s v="CUST-145"/>
    <x v="6"/>
    <x v="1"/>
    <x v="3"/>
    <x v="2"/>
    <x v="14"/>
    <s v="$86.6"/>
    <s v="Thursday"/>
    <x v="7"/>
    <x v="0"/>
    <b v="0"/>
    <b v="1"/>
    <s v="Large Order"/>
    <n v="4.33"/>
    <x v="12"/>
    <n v="779.4"/>
    <m/>
  </r>
  <r>
    <s v="ORD-4298"/>
    <d v="2024-01-25T00:00:00"/>
    <s v="CUST-141"/>
    <x v="12"/>
    <x v="2"/>
    <x v="3"/>
    <x v="2"/>
    <x v="10"/>
    <s v="$211.9"/>
    <s v="Thursday"/>
    <x v="6"/>
    <x v="0"/>
    <b v="0"/>
    <b v="1"/>
    <s v="Large Order"/>
    <n v="10.595000000000001"/>
    <x v="13"/>
    <n v="1483.3"/>
    <m/>
  </r>
  <r>
    <s v="ORD-4299"/>
    <d v="2024-10-07T00:00:00"/>
    <s v="CUST-182"/>
    <x v="13"/>
    <x v="2"/>
    <x v="2"/>
    <x v="3"/>
    <x v="6"/>
    <s v="$156.44"/>
    <s v="Monday"/>
    <x v="3"/>
    <x v="0"/>
    <b v="0"/>
    <b v="1"/>
    <s v="Large Order"/>
    <n v="7.8220000000000001"/>
    <x v="25"/>
    <n v="938.6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B9" firstHeaderRow="1" firstDataRow="1" firstDataCol="1"/>
  <pivotFields count="19">
    <pivotField showAll="0"/>
    <pivotField numFmtId="14" showAll="0"/>
    <pivotField showAll="0"/>
    <pivotField showAll="0"/>
    <pivotField showAll="0"/>
    <pivotField showAll="0">
      <items count="6">
        <item x="1"/>
        <item x="3"/>
        <item x="0"/>
        <item x="4"/>
        <item x="2"/>
        <item t="default"/>
      </items>
    </pivotField>
    <pivotField axis="axisRow" showAll="0" sortType="ascending">
      <items count="6">
        <item x="1"/>
        <item x="4"/>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showAll="0">
      <items count="27">
        <item x="1"/>
        <item x="12"/>
        <item x="13"/>
        <item x="5"/>
        <item x="3"/>
        <item x="9"/>
        <item x="21"/>
        <item x="0"/>
        <item x="24"/>
        <item x="11"/>
        <item x="18"/>
        <item x="16"/>
        <item x="19"/>
        <item x="22"/>
        <item x="20"/>
        <item x="23"/>
        <item x="10"/>
        <item x="15"/>
        <item x="14"/>
        <item x="4"/>
        <item x="2"/>
        <item x="8"/>
        <item x="7"/>
        <item x="6"/>
        <item x="25"/>
        <item x="17"/>
        <item t="default"/>
      </items>
    </pivotField>
    <pivotField dataField="1" numFmtId="165" showAll="0"/>
    <pivotField showAll="0"/>
  </pivotFields>
  <rowFields count="1">
    <field x="6"/>
  </rowFields>
  <rowItems count="6">
    <i>
      <x v="3"/>
    </i>
    <i>
      <x v="4"/>
    </i>
    <i>
      <x/>
    </i>
    <i>
      <x v="2"/>
    </i>
    <i>
      <x v="1"/>
    </i>
    <i t="grand">
      <x/>
    </i>
  </rowItems>
  <colItems count="1">
    <i/>
  </colItems>
  <dataFields count="1">
    <dataField name="Sum of Sales" fld="17" baseField="0" baseItem="0" numFmtId="165"/>
  </dataFields>
  <chartFormats count="18">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6" count="1" selected="0">
            <x v="3"/>
          </reference>
        </references>
      </pivotArea>
    </chartFormat>
    <chartFormat chart="12" format="8">
      <pivotArea type="data" outline="0" fieldPosition="0">
        <references count="2">
          <reference field="4294967294" count="1" selected="0">
            <x v="0"/>
          </reference>
          <reference field="6" count="1" selected="0">
            <x v="4"/>
          </reference>
        </references>
      </pivotArea>
    </chartFormat>
    <chartFormat chart="12" format="9">
      <pivotArea type="data" outline="0" fieldPosition="0">
        <references count="2">
          <reference field="4294967294" count="1" selected="0">
            <x v="0"/>
          </reference>
          <reference field="6" count="1" selected="0">
            <x v="0"/>
          </reference>
        </references>
      </pivotArea>
    </chartFormat>
    <chartFormat chart="12" format="10">
      <pivotArea type="data" outline="0" fieldPosition="0">
        <references count="2">
          <reference field="4294967294" count="1" selected="0">
            <x v="0"/>
          </reference>
          <reference field="6" count="1" selected="0">
            <x v="2"/>
          </reference>
        </references>
      </pivotArea>
    </chartFormat>
    <chartFormat chart="12" format="11">
      <pivotArea type="data" outline="0" fieldPosition="0">
        <references count="2">
          <reference field="4294967294" count="1" selected="0">
            <x v="0"/>
          </reference>
          <reference field="6"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6" count="1" selected="0">
            <x v="3"/>
          </reference>
        </references>
      </pivotArea>
    </chartFormat>
    <chartFormat chart="8" format="9">
      <pivotArea type="data" outline="0" fieldPosition="0">
        <references count="2">
          <reference field="4294967294" count="1" selected="0">
            <x v="0"/>
          </reference>
          <reference field="6" count="1" selected="0">
            <x v="4"/>
          </reference>
        </references>
      </pivotArea>
    </chartFormat>
    <chartFormat chart="8" format="10">
      <pivotArea type="data" outline="0" fieldPosition="0">
        <references count="2">
          <reference field="4294967294" count="1" selected="0">
            <x v="0"/>
          </reference>
          <reference field="6" count="1" selected="0">
            <x v="0"/>
          </reference>
        </references>
      </pivotArea>
    </chartFormat>
    <chartFormat chart="8" format="11">
      <pivotArea type="data" outline="0" fieldPosition="0">
        <references count="2">
          <reference field="4294967294" count="1" selected="0">
            <x v="0"/>
          </reference>
          <reference field="6" count="1" selected="0">
            <x v="2"/>
          </reference>
        </references>
      </pivotArea>
    </chartFormat>
    <chartFormat chart="8" format="12">
      <pivotArea type="data" outline="0" fieldPosition="0">
        <references count="2">
          <reference field="4294967294" count="1" selected="0">
            <x v="0"/>
          </reference>
          <reference field="6" count="1" selected="0">
            <x v="1"/>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6" count="1" selected="0">
            <x v="3"/>
          </reference>
        </references>
      </pivotArea>
    </chartFormat>
    <chartFormat chart="16" format="21">
      <pivotArea type="data" outline="0" fieldPosition="0">
        <references count="2">
          <reference field="4294967294" count="1" selected="0">
            <x v="0"/>
          </reference>
          <reference field="6" count="1" selected="0">
            <x v="4"/>
          </reference>
        </references>
      </pivotArea>
    </chartFormat>
    <chartFormat chart="16" format="22">
      <pivotArea type="data" outline="0" fieldPosition="0">
        <references count="2">
          <reference field="4294967294" count="1" selected="0">
            <x v="0"/>
          </reference>
          <reference field="6" count="1" selected="0">
            <x v="0"/>
          </reference>
        </references>
      </pivotArea>
    </chartFormat>
    <chartFormat chart="16" format="23">
      <pivotArea type="data" outline="0" fieldPosition="0">
        <references count="2">
          <reference field="4294967294" count="1" selected="0">
            <x v="0"/>
          </reference>
          <reference field="6" count="1" selected="0">
            <x v="2"/>
          </reference>
        </references>
      </pivotArea>
    </chartFormat>
    <chartFormat chart="16" format="2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H14:I20" firstHeaderRow="1" firstDataRow="1" firstDataCol="1"/>
  <pivotFields count="19">
    <pivotField showAll="0"/>
    <pivotField numFmtId="14" showAll="0"/>
    <pivotField showAll="0"/>
    <pivotField showAll="0"/>
    <pivotField showAll="0"/>
    <pivotField showAll="0">
      <items count="6">
        <item x="1"/>
        <item x="3"/>
        <item x="0"/>
        <item x="4"/>
        <item x="2"/>
        <item t="default"/>
      </items>
    </pivotField>
    <pivotField axis="axisRow" showAll="0">
      <items count="6">
        <item x="2"/>
        <item x="0"/>
        <item x="3"/>
        <item x="4"/>
        <item x="1"/>
        <item t="default"/>
      </items>
    </pivotField>
    <pivotField dataField="1" showAll="0"/>
    <pivotField showAll="0"/>
    <pivotField showAll="0"/>
    <pivotField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showAll="0">
      <items count="27">
        <item x="1"/>
        <item x="12"/>
        <item x="13"/>
        <item x="5"/>
        <item x="3"/>
        <item x="9"/>
        <item x="21"/>
        <item x="0"/>
        <item x="24"/>
        <item x="11"/>
        <item x="18"/>
        <item x="16"/>
        <item x="19"/>
        <item x="22"/>
        <item x="20"/>
        <item x="23"/>
        <item x="10"/>
        <item x="15"/>
        <item x="14"/>
        <item x="4"/>
        <item x="2"/>
        <item x="8"/>
        <item x="7"/>
        <item x="6"/>
        <item x="25"/>
        <item x="17"/>
        <item t="default"/>
      </items>
    </pivotField>
    <pivotField numFmtId="165" showAll="0"/>
    <pivotField showAll="0"/>
  </pivotFields>
  <rowFields count="1">
    <field x="6"/>
  </rowFields>
  <rowItems count="6">
    <i>
      <x/>
    </i>
    <i>
      <x v="1"/>
    </i>
    <i>
      <x v="2"/>
    </i>
    <i>
      <x v="3"/>
    </i>
    <i>
      <x v="4"/>
    </i>
    <i t="grand">
      <x/>
    </i>
  </rowItems>
  <colItems count="1">
    <i/>
  </colItems>
  <dataFields count="1">
    <dataField name="Sum of Quantity" fld="7" showDataAs="percentOfCol" baseField="0" baseItem="0" numFmtId="10"/>
  </dataFields>
  <chartFormats count="12">
    <chartFormat chart="1"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4" format="13">
      <pivotArea type="data" outline="0" fieldPosition="0">
        <references count="2">
          <reference field="4294967294" count="1" selected="0">
            <x v="0"/>
          </reference>
          <reference field="6" count="1" selected="0">
            <x v="4"/>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9">
  <location ref="E14:F20" firstHeaderRow="1" firstDataRow="1" firstDataCol="1"/>
  <pivotFields count="19">
    <pivotField showAll="0"/>
    <pivotField numFmtId="14" showAll="0"/>
    <pivotField showAll="0"/>
    <pivotField showAll="0"/>
    <pivotField showAll="0"/>
    <pivotField showAll="0">
      <items count="6">
        <item x="1"/>
        <item x="3"/>
        <item x="0"/>
        <item x="4"/>
        <item x="2"/>
        <item t="default"/>
      </items>
    </pivotField>
    <pivotField showAll="0">
      <items count="6">
        <item x="2"/>
        <item x="0"/>
        <item x="3"/>
        <item x="4"/>
        <item x="1"/>
        <item t="default"/>
      </items>
    </pivotField>
    <pivotField showAll="0"/>
    <pivotField showAll="0"/>
    <pivotField showAll="0"/>
    <pivotField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axis="axisRow" showAll="0" measureFilter="1" sortType="ascending">
      <items count="27">
        <item x="17"/>
        <item x="25"/>
        <item x="6"/>
        <item x="7"/>
        <item x="8"/>
        <item x="2"/>
        <item x="4"/>
        <item x="14"/>
        <item x="15"/>
        <item x="10"/>
        <item x="23"/>
        <item x="20"/>
        <item x="22"/>
        <item x="19"/>
        <item x="16"/>
        <item x="18"/>
        <item x="11"/>
        <item x="24"/>
        <item x="0"/>
        <item x="21"/>
        <item x="9"/>
        <item x="3"/>
        <item x="5"/>
        <item x="13"/>
        <item x="12"/>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s>
  <rowFields count="1">
    <field x="16"/>
  </rowFields>
  <rowItems count="6">
    <i>
      <x v="8"/>
    </i>
    <i>
      <x v="14"/>
    </i>
    <i>
      <x v="2"/>
    </i>
    <i>
      <x v="24"/>
    </i>
    <i>
      <x v="6"/>
    </i>
    <i t="grand">
      <x/>
    </i>
  </rowItems>
  <colItems count="1">
    <i/>
  </colItems>
  <dataFields count="1">
    <dataField name="Sum of Sales" fld="17" baseField="0" baseItem="0" numFmtId="165"/>
  </dataFields>
  <chartFormats count="13">
    <chartFormat chart="16"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6" count="1" selected="0">
            <x v="2"/>
          </reference>
        </references>
      </pivotArea>
    </chartFormat>
    <chartFormat chart="14" format="6">
      <pivotArea type="data" outline="0" fieldPosition="0">
        <references count="2">
          <reference field="4294967294" count="1" selected="0">
            <x v="0"/>
          </reference>
          <reference field="16" count="1" selected="0">
            <x v="6"/>
          </reference>
        </references>
      </pivotArea>
    </chartFormat>
    <chartFormat chart="14" format="7">
      <pivotArea type="data" outline="0" fieldPosition="0">
        <references count="2">
          <reference field="4294967294" count="1" selected="0">
            <x v="0"/>
          </reference>
          <reference field="16" count="1" selected="0">
            <x v="8"/>
          </reference>
        </references>
      </pivotArea>
    </chartFormat>
    <chartFormat chart="14" format="8">
      <pivotArea type="data" outline="0" fieldPosition="0">
        <references count="2">
          <reference field="4294967294" count="1" selected="0">
            <x v="0"/>
          </reference>
          <reference field="16" count="1" selected="0">
            <x v="14"/>
          </reference>
        </references>
      </pivotArea>
    </chartFormat>
    <chartFormat chart="14" format="9">
      <pivotArea type="data" outline="0" fieldPosition="0">
        <references count="2">
          <reference field="4294967294" count="1" selected="0">
            <x v="0"/>
          </reference>
          <reference field="16" count="1" selected="0">
            <x v="24"/>
          </reference>
        </references>
      </pivotArea>
    </chartFormat>
    <chartFormat chart="18" format="22">
      <pivotArea type="data" outline="0" fieldPosition="0">
        <references count="2">
          <reference field="4294967294" count="1" selected="0">
            <x v="0"/>
          </reference>
          <reference field="16" count="1" selected="0">
            <x v="8"/>
          </reference>
        </references>
      </pivotArea>
    </chartFormat>
    <chartFormat chart="18" format="23">
      <pivotArea type="data" outline="0" fieldPosition="0">
        <references count="2">
          <reference field="4294967294" count="1" selected="0">
            <x v="0"/>
          </reference>
          <reference field="16" count="1" selected="0">
            <x v="14"/>
          </reference>
        </references>
      </pivotArea>
    </chartFormat>
    <chartFormat chart="18" format="24">
      <pivotArea type="data" outline="0" fieldPosition="0">
        <references count="2">
          <reference field="4294967294" count="1" selected="0">
            <x v="0"/>
          </reference>
          <reference field="16" count="1" selected="0">
            <x v="2"/>
          </reference>
        </references>
      </pivotArea>
    </chartFormat>
    <chartFormat chart="18" format="25">
      <pivotArea type="data" outline="0" fieldPosition="0">
        <references count="2">
          <reference field="4294967294" count="1" selected="0">
            <x v="0"/>
          </reference>
          <reference field="16" count="1" selected="0">
            <x v="24"/>
          </reference>
        </references>
      </pivotArea>
    </chartFormat>
    <chartFormat chart="18" format="26">
      <pivotArea type="data" outline="0" fieldPosition="0">
        <references count="2">
          <reference field="4294967294" count="1" selected="0">
            <x v="0"/>
          </reference>
          <reference field="16" count="1" selected="0">
            <x v="6"/>
          </reference>
        </references>
      </pivotArea>
    </chartFormat>
    <chartFormat chart="18"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H3:I8" firstHeaderRow="1" firstDataRow="1" firstDataCol="1"/>
  <pivotFields count="19">
    <pivotField showAll="0"/>
    <pivotField numFmtId="14" showAll="0"/>
    <pivotField showAll="0"/>
    <pivotField showAll="0"/>
    <pivotField axis="axisRow" showAll="0">
      <items count="5">
        <item x="0"/>
        <item x="1"/>
        <item x="2"/>
        <item x="3"/>
        <item t="default"/>
      </items>
    </pivotField>
    <pivotField showAll="0">
      <items count="6">
        <item x="1"/>
        <item x="3"/>
        <item x="0"/>
        <item x="4"/>
        <item x="2"/>
        <item t="default"/>
      </items>
    </pivotField>
    <pivotField showAll="0">
      <items count="6">
        <item x="2"/>
        <item x="0"/>
        <item x="3"/>
        <item x="4"/>
        <item x="1"/>
        <item t="default"/>
      </items>
    </pivotField>
    <pivotField dataField="1" showAll="0">
      <items count="21">
        <item x="1"/>
        <item x="4"/>
        <item x="13"/>
        <item x="0"/>
        <item x="2"/>
        <item x="6"/>
        <item x="10"/>
        <item x="7"/>
        <item x="14"/>
        <item x="8"/>
        <item x="9"/>
        <item x="5"/>
        <item x="11"/>
        <item x="3"/>
        <item x="12"/>
        <item x="17"/>
        <item x="18"/>
        <item x="15"/>
        <item x="16"/>
        <item x="19"/>
        <item t="default"/>
      </items>
    </pivotField>
    <pivotField showAll="0"/>
    <pivotField showAll="0"/>
    <pivotField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showAll="0">
      <items count="27">
        <item x="1"/>
        <item x="12"/>
        <item x="13"/>
        <item x="5"/>
        <item x="3"/>
        <item x="9"/>
        <item x="21"/>
        <item x="0"/>
        <item x="24"/>
        <item x="11"/>
        <item x="18"/>
        <item x="16"/>
        <item x="19"/>
        <item x="22"/>
        <item x="20"/>
        <item x="23"/>
        <item x="10"/>
        <item x="15"/>
        <item x="14"/>
        <item x="4"/>
        <item x="2"/>
        <item x="8"/>
        <item x="7"/>
        <item x="6"/>
        <item x="25"/>
        <item x="17"/>
        <item t="default"/>
      </items>
    </pivotField>
    <pivotField numFmtId="165" showAll="0"/>
    <pivotField showAll="0"/>
  </pivotFields>
  <rowFields count="1">
    <field x="4"/>
  </rowFields>
  <rowItems count="5">
    <i>
      <x/>
    </i>
    <i>
      <x v="1"/>
    </i>
    <i>
      <x v="2"/>
    </i>
    <i>
      <x v="3"/>
    </i>
    <i t="grand">
      <x/>
    </i>
  </rowItems>
  <colItems count="1">
    <i/>
  </colItems>
  <dataFields count="1">
    <dataField name="Average of Quantity"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14:B27" firstHeaderRow="1" firstDataRow="1" firstDataCol="1"/>
  <pivotFields count="19">
    <pivotField showAll="0"/>
    <pivotField numFmtId="14" showAll="0"/>
    <pivotField showAll="0"/>
    <pivotField showAll="0"/>
    <pivotField showAll="0"/>
    <pivotField showAll="0">
      <items count="6">
        <item x="1"/>
        <item x="3"/>
        <item x="0"/>
        <item x="4"/>
        <item x="2"/>
        <item t="default"/>
      </items>
    </pivotField>
    <pivotField showAll="0">
      <items count="6">
        <item x="2"/>
        <item x="0"/>
        <item x="3"/>
        <item x="4"/>
        <item x="1"/>
        <item t="default"/>
      </items>
    </pivotField>
    <pivotField showAll="0"/>
    <pivotField showAll="0"/>
    <pivotField showAll="0"/>
    <pivotField axis="axisRow"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showAll="0">
      <items count="27">
        <item x="1"/>
        <item x="12"/>
        <item x="13"/>
        <item x="5"/>
        <item x="3"/>
        <item x="9"/>
        <item x="21"/>
        <item x="0"/>
        <item x="24"/>
        <item x="11"/>
        <item x="18"/>
        <item x="16"/>
        <item x="19"/>
        <item x="22"/>
        <item x="20"/>
        <item x="23"/>
        <item x="10"/>
        <item x="15"/>
        <item x="14"/>
        <item x="4"/>
        <item x="2"/>
        <item x="8"/>
        <item x="7"/>
        <item x="6"/>
        <item x="25"/>
        <item x="17"/>
        <item t="default"/>
      </items>
    </pivotField>
    <pivotField dataField="1" numFmtId="165"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fld="17" baseField="0" baseItem="0" numFmtId="165"/>
  </dataFields>
  <chartFormats count="7">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11"/>
          </reference>
        </references>
      </pivotArea>
    </chartFormat>
    <chartFormat chart="2" format="2">
      <pivotArea type="data" outline="0" fieldPosition="0">
        <references count="2">
          <reference field="4294967294" count="1" selected="0">
            <x v="0"/>
          </reference>
          <reference field="10" count="1" selected="0">
            <x v="10"/>
          </reference>
        </references>
      </pivotArea>
    </chartFormat>
    <chartFormat chart="2" format="3">
      <pivotArea type="data" outline="0" fieldPosition="0">
        <references count="2">
          <reference field="4294967294" count="1" selected="0">
            <x v="0"/>
          </reference>
          <reference field="10" count="1" selected="0">
            <x v="3"/>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2" format="5">
      <pivotArea type="data" outline="0" fieldPosition="0">
        <references count="2">
          <reference field="4294967294" count="1" selected="0">
            <x v="0"/>
          </reference>
          <reference field="1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E3:F9" firstHeaderRow="1" firstDataRow="1" firstDataCol="1"/>
  <pivotFields count="19">
    <pivotField showAll="0"/>
    <pivotField numFmtId="14" showAll="0"/>
    <pivotField showAll="0"/>
    <pivotField showAll="0"/>
    <pivotField showAll="0"/>
    <pivotField axis="axisRow" showAll="0" sortType="a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items count="6">
        <item x="2"/>
        <item x="0"/>
        <item x="3"/>
        <item x="4"/>
        <item x="1"/>
        <item t="default"/>
      </items>
    </pivotField>
    <pivotField showAll="0"/>
    <pivotField showAll="0"/>
    <pivotField showAll="0"/>
    <pivotField showAll="0">
      <items count="13">
        <item x="6"/>
        <item x="5"/>
        <item x="4"/>
        <item x="2"/>
        <item x="7"/>
        <item x="9"/>
        <item x="8"/>
        <item x="10"/>
        <item x="11"/>
        <item x="3"/>
        <item x="0"/>
        <item x="1"/>
        <item t="default"/>
      </items>
    </pivotField>
    <pivotField showAll="0">
      <items count="2">
        <item x="0"/>
        <item t="default"/>
      </items>
    </pivotField>
    <pivotField showAll="0"/>
    <pivotField showAll="0"/>
    <pivotField showAll="0"/>
    <pivotField numFmtId="165" showAll="0"/>
    <pivotField showAll="0">
      <items count="27">
        <item x="1"/>
        <item x="12"/>
        <item x="13"/>
        <item x="5"/>
        <item x="3"/>
        <item x="9"/>
        <item x="21"/>
        <item x="0"/>
        <item x="24"/>
        <item x="11"/>
        <item x="18"/>
        <item x="16"/>
        <item x="19"/>
        <item x="22"/>
        <item x="20"/>
        <item x="23"/>
        <item x="10"/>
        <item x="15"/>
        <item x="14"/>
        <item x="4"/>
        <item x="2"/>
        <item x="8"/>
        <item x="7"/>
        <item x="6"/>
        <item x="25"/>
        <item x="17"/>
        <item t="default"/>
      </items>
    </pivotField>
    <pivotField dataField="1" numFmtId="165" showAll="0"/>
    <pivotField showAll="0"/>
  </pivotFields>
  <rowFields count="1">
    <field x="5"/>
  </rowFields>
  <rowItems count="6">
    <i>
      <x v="3"/>
    </i>
    <i>
      <x v="4"/>
    </i>
    <i>
      <x/>
    </i>
    <i>
      <x v="2"/>
    </i>
    <i>
      <x v="1"/>
    </i>
    <i t="grand">
      <x/>
    </i>
  </rowItems>
  <colItems count="1">
    <i/>
  </colItems>
  <dataFields count="1">
    <dataField name="Sum of Sales" fld="17" baseField="0" baseItem="0" numFmtId="165"/>
  </dataFields>
  <chartFormats count="18">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4"/>
          </reference>
        </references>
      </pivotArea>
    </chartFormat>
    <chartFormat chart="6" format="4">
      <pivotArea type="data" outline="0" fieldPosition="0">
        <references count="2">
          <reference field="4294967294" count="1" selected="0">
            <x v="0"/>
          </reference>
          <reference field="5" count="1" selected="0">
            <x v="3"/>
          </reference>
        </references>
      </pivotArea>
    </chartFormat>
    <chartFormat chart="6" format="5">
      <pivotArea type="data" outline="0" fieldPosition="0">
        <references count="2">
          <reference field="4294967294" count="1" selected="0">
            <x v="0"/>
          </reference>
          <reference field="5" count="1" selected="0">
            <x v="2"/>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3"/>
          </reference>
        </references>
      </pivotArea>
    </chartFormat>
    <chartFormat chart="11" format="16">
      <pivotArea type="data" outline="0" fieldPosition="0">
        <references count="2">
          <reference field="4294967294" count="1" selected="0">
            <x v="0"/>
          </reference>
          <reference field="5" count="1" selected="0">
            <x v="4"/>
          </reference>
        </references>
      </pivotArea>
    </chartFormat>
    <chartFormat chart="11" format="17">
      <pivotArea type="data" outline="0" fieldPosition="0">
        <references count="2">
          <reference field="4294967294" count="1" selected="0">
            <x v="0"/>
          </reference>
          <reference field="5" count="1" selected="0">
            <x v="0"/>
          </reference>
        </references>
      </pivotArea>
    </chartFormat>
    <chartFormat chart="11" format="18">
      <pivotArea type="data" outline="0" fieldPosition="0">
        <references count="2">
          <reference field="4294967294" count="1" selected="0">
            <x v="0"/>
          </reference>
          <reference field="5" count="1" selected="0">
            <x v="2"/>
          </reference>
        </references>
      </pivotArea>
    </chartFormat>
    <chartFormat chart="11" format="19">
      <pivotArea type="data" outline="0" fieldPosition="0">
        <references count="2">
          <reference field="4294967294" count="1" selected="0">
            <x v="0"/>
          </reference>
          <reference field="5" count="1" selected="0">
            <x v="1"/>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5" count="1" selected="0">
            <x v="3"/>
          </reference>
        </references>
      </pivotArea>
    </chartFormat>
    <chartFormat chart="12" format="16">
      <pivotArea type="data" outline="0" fieldPosition="0">
        <references count="2">
          <reference field="4294967294" count="1" selected="0">
            <x v="0"/>
          </reference>
          <reference field="5" count="1" selected="0">
            <x v="4"/>
          </reference>
        </references>
      </pivotArea>
    </chartFormat>
    <chartFormat chart="12" format="17">
      <pivotArea type="data" outline="0" fieldPosition="0">
        <references count="2">
          <reference field="4294967294" count="1" selected="0">
            <x v="0"/>
          </reference>
          <reference field="5" count="1" selected="0">
            <x v="0"/>
          </reference>
        </references>
      </pivotArea>
    </chartFormat>
    <chartFormat chart="12" format="18">
      <pivotArea type="data" outline="0" fieldPosition="0">
        <references count="2">
          <reference field="4294967294" count="1" selected="0">
            <x v="0"/>
          </reference>
          <reference field="5" count="1" selected="0">
            <x v="2"/>
          </reference>
        </references>
      </pivotArea>
    </chartFormat>
    <chartFormat chart="12" format="19">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7" name="PivotTable1"/>
    <pivotTable tabId="7" name="PivotTable2"/>
    <pivotTable tabId="7" name="PivotTable3"/>
    <pivotTable tabId="7" name="PivotTable4"/>
    <pivotTable tabId="7" name="PivotTable5"/>
    <pivotTable tabId="7" name="PivotTable6"/>
  </pivotTables>
  <data>
    <tabular pivotCacheId="2">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7" name="PivotTable1"/>
    <pivotTable tabId="7" name="PivotTable2"/>
    <pivotTable tabId="7" name="PivotTable3"/>
    <pivotTable tabId="7" name="PivotTable4"/>
    <pivotTable tabId="7" name="PivotTable5"/>
    <pivotTable tabId="7" name="PivotTable6"/>
  </pivotTables>
  <data>
    <tabular pivotCacheId="2">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00000000-0013-0000-FFFF-FFFF03000000}" sourceName="Monthname">
  <pivotTables>
    <pivotTable tabId="7" name="PivotTable1"/>
    <pivotTable tabId="7" name="PivotTable2"/>
    <pivotTable tabId="7" name="PivotTable3"/>
    <pivotTable tabId="7" name="PivotTable4"/>
    <pivotTable tabId="7" name="PivotTable5"/>
    <pivotTable tabId="7" name="PivotTable6"/>
  </pivotTables>
  <data>
    <tabular pivotCacheId="2">
      <items count="12">
        <i x="6" s="1"/>
        <i x="5" s="1"/>
        <i x="4" s="1"/>
        <i x="2" s="1"/>
        <i x="7" s="1"/>
        <i x="9" s="1"/>
        <i x="8" s="1"/>
        <i x="10" s="1"/>
        <i x="11"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4000000}" sourceName="Year">
  <pivotTables>
    <pivotTable tabId="7" name="PivotTable1"/>
    <pivotTable tabId="7" name="PivotTable2"/>
    <pivotTable tabId="7" name="PivotTable3"/>
    <pivotTable tabId="7" name="PivotTable4"/>
    <pivotTable tabId="7" name="PivotTable5"/>
    <pivotTable tabId="7" name="PivotTable6"/>
  </pivotTables>
  <data>
    <tabular pivotCacheId="2">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style="Slicer Style 3" rowHeight="241300"/>
  <slicer name="Category 1" xr10:uid="{00000000-0014-0000-FFFF-FFFF02000000}" cache="Slicer_Category" caption="Category" style="Slicer Style 3" rowHeight="241300"/>
  <slicer name="Monthname 1" xr10:uid="{00000000-0014-0000-FFFF-FFFF03000000}" cache="Slicer_Monthname" caption="Monthname" style="Slicer Style 3" rowHeight="241300"/>
  <slicer name="Year 1" xr10:uid="{00000000-0014-0000-FFFF-FFFF04000000}" cache="Slicer_Year" caption="Year"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302"/>
  <sheetViews>
    <sheetView workbookViewId="0">
      <pane ySplit="1" topLeftCell="A3292" activePane="bottomLeft" state="frozen"/>
      <selection pane="bottomLeft" activeCell="F1" sqref="F1:F1048576"/>
    </sheetView>
  </sheetViews>
  <sheetFormatPr defaultColWidth="9.1796875" defaultRowHeight="21.75" customHeight="1"/>
  <cols>
    <col min="1" max="1" width="13.453125" customWidth="1"/>
    <col min="2" max="2" width="21.7265625" customWidth="1"/>
    <col min="3" max="3" width="15" customWidth="1"/>
    <col min="4" max="4" width="14.1796875" customWidth="1"/>
    <col min="5" max="6" width="13.81640625" customWidth="1"/>
    <col min="7" max="7" width="13.7265625" customWidth="1"/>
    <col min="8" max="8" width="15" bestFit="1" customWidth="1"/>
    <col min="9" max="9" width="8.453125" bestFit="1" customWidth="1"/>
    <col min="10" max="10" width="12.81640625" bestFit="1" customWidth="1"/>
  </cols>
  <sheetData>
    <row r="1" spans="1:51" ht="21.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ht="21.75" customHeight="1">
      <c r="A2" s="2" t="s">
        <v>0</v>
      </c>
      <c r="B2" s="2" t="s">
        <v>1</v>
      </c>
      <c r="C2" s="2" t="s">
        <v>2</v>
      </c>
      <c r="D2" s="2" t="s">
        <v>3</v>
      </c>
      <c r="E2" s="2" t="s">
        <v>4</v>
      </c>
      <c r="F2" s="2"/>
      <c r="G2" s="2" t="s">
        <v>5</v>
      </c>
      <c r="H2" s="2" t="s">
        <v>6</v>
      </c>
      <c r="I2" s="2" t="s">
        <v>7</v>
      </c>
      <c r="J2" s="4" t="s">
        <v>3626</v>
      </c>
      <c r="K2" s="5" t="s">
        <v>3627</v>
      </c>
    </row>
    <row r="3" spans="1:51" ht="21.75" customHeight="1">
      <c r="A3" t="s">
        <v>8</v>
      </c>
      <c r="B3" s="3">
        <v>45619</v>
      </c>
      <c r="C3" t="s">
        <v>9</v>
      </c>
      <c r="D3" t="s">
        <v>10</v>
      </c>
      <c r="E3" t="s">
        <v>11</v>
      </c>
      <c r="F3" t="str">
        <f t="shared" ref="F3:F66" si="0">TRIM(PROPER(G3))</f>
        <v>North</v>
      </c>
      <c r="G3" t="s">
        <v>12</v>
      </c>
      <c r="H3" t="s">
        <v>13</v>
      </c>
      <c r="I3">
        <v>4</v>
      </c>
    </row>
    <row r="4" spans="1:51" ht="21.75" customHeight="1">
      <c r="A4" t="s">
        <v>14</v>
      </c>
      <c r="B4" s="3">
        <v>45638</v>
      </c>
      <c r="C4" t="s">
        <v>15</v>
      </c>
      <c r="D4" t="s">
        <v>16</v>
      </c>
      <c r="E4" t="s">
        <v>17</v>
      </c>
      <c r="F4" t="str">
        <f t="shared" si="0"/>
        <v>Central</v>
      </c>
      <c r="G4" t="s">
        <v>18</v>
      </c>
      <c r="H4" t="s">
        <v>13</v>
      </c>
      <c r="I4">
        <v>1</v>
      </c>
    </row>
    <row r="5" spans="1:51" ht="21.75" customHeight="1">
      <c r="A5" t="s">
        <v>19</v>
      </c>
      <c r="B5" s="3">
        <v>45411</v>
      </c>
      <c r="C5" t="s">
        <v>20</v>
      </c>
      <c r="D5" t="s">
        <v>21</v>
      </c>
      <c r="E5" t="s">
        <v>22</v>
      </c>
      <c r="F5" t="str">
        <f t="shared" si="0"/>
        <v>Central</v>
      </c>
      <c r="G5" t="s">
        <v>18</v>
      </c>
      <c r="H5" t="s">
        <v>23</v>
      </c>
      <c r="I5">
        <v>4</v>
      </c>
    </row>
    <row r="6" spans="1:51" ht="21.75" customHeight="1">
      <c r="A6" t="s">
        <v>24</v>
      </c>
      <c r="B6" s="3">
        <v>45571</v>
      </c>
      <c r="C6" t="s">
        <v>25</v>
      </c>
      <c r="D6" t="s">
        <v>26</v>
      </c>
      <c r="E6" t="s">
        <v>22</v>
      </c>
      <c r="F6" t="str">
        <f t="shared" si="0"/>
        <v>West</v>
      </c>
      <c r="G6" t="s">
        <v>27</v>
      </c>
      <c r="H6" t="s">
        <v>28</v>
      </c>
      <c r="I6">
        <v>5</v>
      </c>
    </row>
    <row r="7" spans="1:51" ht="21.75" customHeight="1">
      <c r="A7" t="s">
        <v>29</v>
      </c>
      <c r="B7" s="3">
        <v>45373</v>
      </c>
      <c r="C7" t="s">
        <v>30</v>
      </c>
      <c r="D7" t="s">
        <v>31</v>
      </c>
      <c r="E7" t="s">
        <v>11</v>
      </c>
      <c r="F7" t="str">
        <f t="shared" si="0"/>
        <v>West</v>
      </c>
      <c r="G7" t="s">
        <v>27</v>
      </c>
      <c r="H7" t="s">
        <v>32</v>
      </c>
      <c r="I7">
        <v>4</v>
      </c>
    </row>
    <row r="8" spans="1:51" ht="21.75" customHeight="1">
      <c r="A8" t="s">
        <v>33</v>
      </c>
      <c r="B8" s="3">
        <v>45344</v>
      </c>
      <c r="C8" t="s">
        <v>34</v>
      </c>
      <c r="D8" t="s">
        <v>35</v>
      </c>
      <c r="E8" t="s">
        <v>17</v>
      </c>
      <c r="F8" t="str">
        <f t="shared" si="0"/>
        <v>North</v>
      </c>
      <c r="G8" t="s">
        <v>12</v>
      </c>
      <c r="H8" t="s">
        <v>36</v>
      </c>
      <c r="I8">
        <v>14</v>
      </c>
    </row>
    <row r="9" spans="1:51" ht="21.75" customHeight="1">
      <c r="A9" t="s">
        <v>37</v>
      </c>
      <c r="B9" s="3">
        <v>45314</v>
      </c>
      <c r="C9" t="s">
        <v>38</v>
      </c>
      <c r="D9" t="s">
        <v>21</v>
      </c>
      <c r="E9" t="s">
        <v>17</v>
      </c>
      <c r="F9" t="str">
        <f t="shared" si="0"/>
        <v>West</v>
      </c>
      <c r="G9" t="s">
        <v>27</v>
      </c>
      <c r="H9" t="s">
        <v>23</v>
      </c>
      <c r="I9">
        <v>2</v>
      </c>
    </row>
    <row r="10" spans="1:51" ht="21.75" customHeight="1">
      <c r="A10" t="s">
        <v>39</v>
      </c>
      <c r="B10" s="3">
        <v>45608</v>
      </c>
      <c r="C10" t="s">
        <v>40</v>
      </c>
      <c r="D10" t="s">
        <v>41</v>
      </c>
      <c r="E10" t="s">
        <v>22</v>
      </c>
      <c r="F10" t="str">
        <f t="shared" si="0"/>
        <v>East</v>
      </c>
      <c r="G10" t="s">
        <v>42</v>
      </c>
      <c r="H10" t="s">
        <v>23</v>
      </c>
      <c r="I10">
        <v>2</v>
      </c>
    </row>
    <row r="11" spans="1:51" ht="21.75" customHeight="1">
      <c r="A11" t="s">
        <v>43</v>
      </c>
      <c r="B11" s="3">
        <v>45440</v>
      </c>
      <c r="C11" t="s">
        <v>44</v>
      </c>
      <c r="D11" t="s">
        <v>45</v>
      </c>
      <c r="E11" t="s">
        <v>17</v>
      </c>
      <c r="F11" t="str">
        <f t="shared" si="0"/>
        <v>North</v>
      </c>
      <c r="G11" t="s">
        <v>12</v>
      </c>
      <c r="H11" t="s">
        <v>28</v>
      </c>
      <c r="I11">
        <v>5</v>
      </c>
    </row>
    <row r="12" spans="1:51" ht="21.75" customHeight="1">
      <c r="A12" t="s">
        <v>46</v>
      </c>
      <c r="B12" s="3">
        <v>45375</v>
      </c>
      <c r="C12" t="s">
        <v>47</v>
      </c>
      <c r="D12" t="s">
        <v>48</v>
      </c>
      <c r="E12" t="s">
        <v>22</v>
      </c>
      <c r="F12" t="str">
        <f t="shared" si="0"/>
        <v>East</v>
      </c>
      <c r="G12" t="s">
        <v>42</v>
      </c>
      <c r="H12" t="s">
        <v>49</v>
      </c>
      <c r="I12">
        <v>5</v>
      </c>
    </row>
    <row r="13" spans="1:51" ht="21.75" customHeight="1">
      <c r="A13" t="s">
        <v>50</v>
      </c>
      <c r="B13" s="3">
        <v>45623</v>
      </c>
      <c r="C13" t="s">
        <v>51</v>
      </c>
      <c r="D13" t="s">
        <v>41</v>
      </c>
      <c r="E13" t="s">
        <v>22</v>
      </c>
      <c r="F13" t="str">
        <f t="shared" si="0"/>
        <v>North</v>
      </c>
      <c r="G13" t="s">
        <v>12</v>
      </c>
      <c r="H13" t="s">
        <v>23</v>
      </c>
      <c r="I13">
        <v>12</v>
      </c>
    </row>
    <row r="14" spans="1:51" ht="21.75" customHeight="1">
      <c r="A14" t="s">
        <v>52</v>
      </c>
      <c r="B14" s="3">
        <v>45486</v>
      </c>
      <c r="C14" t="s">
        <v>53</v>
      </c>
      <c r="D14" t="s">
        <v>41</v>
      </c>
      <c r="E14" t="s">
        <v>22</v>
      </c>
      <c r="F14" t="str">
        <f t="shared" si="0"/>
        <v>East</v>
      </c>
      <c r="G14" t="s">
        <v>42</v>
      </c>
      <c r="H14" t="s">
        <v>23</v>
      </c>
      <c r="I14">
        <v>6</v>
      </c>
    </row>
    <row r="15" spans="1:51" ht="21.75" customHeight="1">
      <c r="A15" t="s">
        <v>54</v>
      </c>
      <c r="B15" s="3">
        <v>45320</v>
      </c>
      <c r="C15" t="s">
        <v>55</v>
      </c>
      <c r="D15" t="s">
        <v>10</v>
      </c>
      <c r="E15" t="s">
        <v>17</v>
      </c>
      <c r="F15" t="str">
        <f t="shared" si="0"/>
        <v>South</v>
      </c>
      <c r="G15" t="s">
        <v>56</v>
      </c>
      <c r="H15" t="s">
        <v>13</v>
      </c>
      <c r="I15">
        <v>5</v>
      </c>
    </row>
    <row r="16" spans="1:51" ht="21.75" customHeight="1">
      <c r="A16" t="s">
        <v>57</v>
      </c>
      <c r="B16" s="3">
        <v>45453</v>
      </c>
      <c r="C16" t="s">
        <v>58</v>
      </c>
      <c r="D16" t="s">
        <v>59</v>
      </c>
      <c r="E16" t="s">
        <v>22</v>
      </c>
      <c r="F16" t="str">
        <f t="shared" si="0"/>
        <v>South</v>
      </c>
      <c r="G16" t="s">
        <v>56</v>
      </c>
      <c r="H16" t="s">
        <v>36</v>
      </c>
      <c r="I16">
        <v>8</v>
      </c>
    </row>
    <row r="17" spans="1:9" ht="21.75" customHeight="1">
      <c r="A17" t="s">
        <v>60</v>
      </c>
      <c r="B17" s="3">
        <v>45418</v>
      </c>
      <c r="C17" t="s">
        <v>61</v>
      </c>
      <c r="D17" t="s">
        <v>62</v>
      </c>
      <c r="E17" t="s">
        <v>22</v>
      </c>
      <c r="F17" t="str">
        <f t="shared" si="0"/>
        <v>Central</v>
      </c>
      <c r="G17" t="s">
        <v>18</v>
      </c>
      <c r="H17" t="s">
        <v>23</v>
      </c>
      <c r="I17">
        <v>10</v>
      </c>
    </row>
    <row r="18" spans="1:9" ht="21.75" customHeight="1">
      <c r="A18" t="s">
        <v>63</v>
      </c>
      <c r="B18" s="3">
        <v>45496</v>
      </c>
      <c r="C18" t="s">
        <v>64</v>
      </c>
      <c r="D18" t="s">
        <v>65</v>
      </c>
      <c r="E18" t="s">
        <v>22</v>
      </c>
      <c r="F18" t="str">
        <f t="shared" si="0"/>
        <v>East</v>
      </c>
      <c r="G18" t="s">
        <v>42</v>
      </c>
      <c r="H18" t="s">
        <v>66</v>
      </c>
      <c r="I18">
        <v>8</v>
      </c>
    </row>
    <row r="19" spans="1:9" ht="21.75" customHeight="1">
      <c r="A19" t="s">
        <v>67</v>
      </c>
      <c r="B19" s="3">
        <v>45348</v>
      </c>
      <c r="C19" t="s">
        <v>68</v>
      </c>
      <c r="D19" t="s">
        <v>26</v>
      </c>
      <c r="E19" t="s">
        <v>22</v>
      </c>
      <c r="F19" t="str">
        <f t="shared" si="0"/>
        <v>South</v>
      </c>
      <c r="G19" t="s">
        <v>56</v>
      </c>
      <c r="H19" t="s">
        <v>28</v>
      </c>
      <c r="I19">
        <v>2</v>
      </c>
    </row>
    <row r="20" spans="1:9" ht="21.75" customHeight="1">
      <c r="A20" t="s">
        <v>69</v>
      </c>
      <c r="B20" s="3">
        <v>45531</v>
      </c>
      <c r="C20" t="s">
        <v>47</v>
      </c>
      <c r="D20" t="s">
        <v>70</v>
      </c>
      <c r="E20" t="s">
        <v>11</v>
      </c>
      <c r="F20" t="str">
        <f t="shared" si="0"/>
        <v>Central</v>
      </c>
      <c r="G20" t="s">
        <v>18</v>
      </c>
      <c r="H20" t="s">
        <v>32</v>
      </c>
      <c r="I20">
        <v>11</v>
      </c>
    </row>
    <row r="21" spans="1:9" ht="21.75" customHeight="1">
      <c r="A21" t="s">
        <v>71</v>
      </c>
      <c r="B21" s="3">
        <v>45566</v>
      </c>
      <c r="C21" t="s">
        <v>25</v>
      </c>
      <c r="D21" t="s">
        <v>72</v>
      </c>
      <c r="E21" t="s">
        <v>17</v>
      </c>
      <c r="F21" t="str">
        <f t="shared" si="0"/>
        <v>East</v>
      </c>
      <c r="G21" t="s">
        <v>42</v>
      </c>
      <c r="H21" t="s">
        <v>49</v>
      </c>
      <c r="I21">
        <v>7</v>
      </c>
    </row>
    <row r="22" spans="1:9" ht="21.75" customHeight="1">
      <c r="A22" t="s">
        <v>73</v>
      </c>
      <c r="B22" s="3">
        <v>45426</v>
      </c>
      <c r="C22" t="s">
        <v>38</v>
      </c>
      <c r="D22" t="s">
        <v>74</v>
      </c>
      <c r="E22" t="s">
        <v>11</v>
      </c>
      <c r="F22" t="str">
        <f t="shared" si="0"/>
        <v>Central</v>
      </c>
      <c r="G22" t="s">
        <v>18</v>
      </c>
      <c r="H22" t="s">
        <v>28</v>
      </c>
      <c r="I22">
        <v>14</v>
      </c>
    </row>
    <row r="23" spans="1:9" ht="21.75" customHeight="1">
      <c r="A23" t="s">
        <v>75</v>
      </c>
      <c r="B23" s="3">
        <v>45551</v>
      </c>
      <c r="C23" t="s">
        <v>53</v>
      </c>
      <c r="D23" t="s">
        <v>65</v>
      </c>
      <c r="E23" t="s">
        <v>17</v>
      </c>
      <c r="F23" t="str">
        <f t="shared" si="0"/>
        <v>Central</v>
      </c>
      <c r="G23" t="s">
        <v>18</v>
      </c>
      <c r="H23" t="s">
        <v>28</v>
      </c>
      <c r="I23">
        <v>13</v>
      </c>
    </row>
    <row r="24" spans="1:9" ht="21.75" customHeight="1">
      <c r="A24" t="s">
        <v>76</v>
      </c>
      <c r="B24" s="3">
        <v>45563</v>
      </c>
      <c r="C24" t="s">
        <v>44</v>
      </c>
      <c r="D24" t="s">
        <v>62</v>
      </c>
      <c r="E24" t="s">
        <v>17</v>
      </c>
      <c r="F24" t="str">
        <f t="shared" si="0"/>
        <v>North</v>
      </c>
      <c r="G24" t="s">
        <v>12</v>
      </c>
      <c r="H24" t="s">
        <v>23</v>
      </c>
      <c r="I24">
        <v>1</v>
      </c>
    </row>
    <row r="25" spans="1:9" ht="21.75" customHeight="1">
      <c r="A25" t="s">
        <v>77</v>
      </c>
      <c r="B25" s="3">
        <v>45449</v>
      </c>
      <c r="C25" t="s">
        <v>78</v>
      </c>
      <c r="D25" t="s">
        <v>79</v>
      </c>
      <c r="E25" t="s">
        <v>22</v>
      </c>
      <c r="F25" t="str">
        <f t="shared" si="0"/>
        <v>South</v>
      </c>
      <c r="G25" t="s">
        <v>56</v>
      </c>
      <c r="H25" t="s">
        <v>13</v>
      </c>
      <c r="I25">
        <v>2</v>
      </c>
    </row>
    <row r="26" spans="1:9" ht="21.75" customHeight="1">
      <c r="A26" t="s">
        <v>80</v>
      </c>
      <c r="B26" s="3">
        <v>45327</v>
      </c>
      <c r="C26" t="s">
        <v>81</v>
      </c>
      <c r="D26" t="s">
        <v>65</v>
      </c>
      <c r="E26" t="s">
        <v>22</v>
      </c>
      <c r="F26" t="str">
        <f t="shared" si="0"/>
        <v>Central</v>
      </c>
      <c r="G26" t="s">
        <v>18</v>
      </c>
      <c r="H26" t="s">
        <v>28</v>
      </c>
      <c r="I26">
        <v>8</v>
      </c>
    </row>
    <row r="27" spans="1:9" ht="21.75" customHeight="1">
      <c r="A27" t="s">
        <v>82</v>
      </c>
      <c r="B27" s="3">
        <v>45427</v>
      </c>
      <c r="C27" t="s">
        <v>83</v>
      </c>
      <c r="D27" t="s">
        <v>84</v>
      </c>
      <c r="E27" t="s">
        <v>11</v>
      </c>
      <c r="F27" t="str">
        <f t="shared" si="0"/>
        <v>Central</v>
      </c>
      <c r="G27" t="s">
        <v>18</v>
      </c>
      <c r="H27" t="s">
        <v>23</v>
      </c>
      <c r="I27">
        <v>15</v>
      </c>
    </row>
    <row r="28" spans="1:9" ht="21.75" customHeight="1">
      <c r="A28" t="s">
        <v>85</v>
      </c>
      <c r="B28" s="3">
        <v>45645</v>
      </c>
      <c r="C28" t="s">
        <v>86</v>
      </c>
      <c r="D28" t="s">
        <v>87</v>
      </c>
      <c r="E28" t="s">
        <v>22</v>
      </c>
      <c r="F28" t="str">
        <f t="shared" si="0"/>
        <v>South</v>
      </c>
      <c r="G28" t="s">
        <v>56</v>
      </c>
      <c r="H28" t="s">
        <v>32</v>
      </c>
      <c r="I28">
        <v>11</v>
      </c>
    </row>
    <row r="29" spans="1:9" ht="21.75" customHeight="1">
      <c r="A29" t="s">
        <v>88</v>
      </c>
      <c r="B29" s="3">
        <v>45523</v>
      </c>
      <c r="C29" t="s">
        <v>89</v>
      </c>
      <c r="D29" t="s">
        <v>65</v>
      </c>
      <c r="E29" t="s">
        <v>11</v>
      </c>
      <c r="F29" t="str">
        <f t="shared" si="0"/>
        <v>North</v>
      </c>
      <c r="G29" t="s">
        <v>12</v>
      </c>
      <c r="H29" t="s">
        <v>28</v>
      </c>
      <c r="I29">
        <v>6</v>
      </c>
    </row>
    <row r="30" spans="1:9" ht="21.75" customHeight="1">
      <c r="A30" t="s">
        <v>90</v>
      </c>
      <c r="B30" s="3">
        <v>45409</v>
      </c>
      <c r="C30" t="s">
        <v>40</v>
      </c>
      <c r="D30" t="s">
        <v>45</v>
      </c>
      <c r="E30" t="s">
        <v>11</v>
      </c>
      <c r="F30" t="str">
        <f t="shared" si="0"/>
        <v>Central</v>
      </c>
      <c r="G30" t="s">
        <v>18</v>
      </c>
      <c r="H30" t="s">
        <v>28</v>
      </c>
      <c r="I30">
        <v>12</v>
      </c>
    </row>
    <row r="31" spans="1:9" ht="21.75" customHeight="1">
      <c r="A31" t="s">
        <v>91</v>
      </c>
      <c r="B31" s="3">
        <v>45326</v>
      </c>
      <c r="C31" t="s">
        <v>78</v>
      </c>
      <c r="D31" t="s">
        <v>72</v>
      </c>
      <c r="E31" t="s">
        <v>22</v>
      </c>
      <c r="F31" t="str">
        <f t="shared" si="0"/>
        <v>North</v>
      </c>
      <c r="G31" t="s">
        <v>12</v>
      </c>
      <c r="H31" t="s">
        <v>32</v>
      </c>
      <c r="I31">
        <v>4</v>
      </c>
    </row>
    <row r="32" spans="1:9" ht="21.75" customHeight="1">
      <c r="A32" t="s">
        <v>92</v>
      </c>
      <c r="B32" s="3">
        <v>45401</v>
      </c>
      <c r="C32" t="s">
        <v>93</v>
      </c>
      <c r="D32" t="s">
        <v>74</v>
      </c>
      <c r="E32" t="s">
        <v>22</v>
      </c>
      <c r="F32" t="str">
        <f t="shared" si="0"/>
        <v>Central</v>
      </c>
      <c r="G32" t="s">
        <v>18</v>
      </c>
      <c r="H32" t="s">
        <v>28</v>
      </c>
      <c r="I32">
        <v>8</v>
      </c>
    </row>
    <row r="33" spans="1:9" ht="21.75" customHeight="1">
      <c r="A33" t="s">
        <v>94</v>
      </c>
      <c r="B33" s="3">
        <v>45500</v>
      </c>
      <c r="C33" t="s">
        <v>95</v>
      </c>
      <c r="D33" t="s">
        <v>96</v>
      </c>
      <c r="E33" t="s">
        <v>22</v>
      </c>
      <c r="F33" t="str">
        <f t="shared" si="0"/>
        <v>South</v>
      </c>
      <c r="G33" t="s">
        <v>56</v>
      </c>
      <c r="H33" t="s">
        <v>13</v>
      </c>
      <c r="I33">
        <v>7</v>
      </c>
    </row>
    <row r="34" spans="1:9" ht="21.75" customHeight="1">
      <c r="A34" t="s">
        <v>97</v>
      </c>
      <c r="B34" s="3">
        <v>45531</v>
      </c>
      <c r="C34" t="s">
        <v>9</v>
      </c>
      <c r="D34" t="s">
        <v>96</v>
      </c>
      <c r="E34" t="s">
        <v>17</v>
      </c>
      <c r="F34" t="str">
        <f t="shared" si="0"/>
        <v>North</v>
      </c>
      <c r="G34" t="s">
        <v>12</v>
      </c>
      <c r="H34" t="s">
        <v>13</v>
      </c>
      <c r="I34">
        <v>12</v>
      </c>
    </row>
    <row r="35" spans="1:9" ht="21.75" customHeight="1">
      <c r="A35" t="s">
        <v>98</v>
      </c>
      <c r="B35" s="3">
        <v>45419</v>
      </c>
      <c r="C35" t="s">
        <v>99</v>
      </c>
      <c r="D35" t="s">
        <v>74</v>
      </c>
      <c r="E35" t="s">
        <v>17</v>
      </c>
      <c r="F35" t="str">
        <f t="shared" si="0"/>
        <v>South</v>
      </c>
      <c r="G35" t="s">
        <v>56</v>
      </c>
      <c r="H35" t="s">
        <v>28</v>
      </c>
      <c r="I35">
        <v>3</v>
      </c>
    </row>
    <row r="36" spans="1:9" ht="21.75" customHeight="1">
      <c r="A36" t="s">
        <v>100</v>
      </c>
      <c r="B36" s="3">
        <v>45528</v>
      </c>
      <c r="C36" t="s">
        <v>101</v>
      </c>
      <c r="D36" t="s">
        <v>102</v>
      </c>
      <c r="E36" t="s">
        <v>22</v>
      </c>
      <c r="F36" t="str">
        <f t="shared" si="0"/>
        <v>South</v>
      </c>
      <c r="G36" t="s">
        <v>56</v>
      </c>
      <c r="H36" t="s">
        <v>13</v>
      </c>
      <c r="I36">
        <v>2</v>
      </c>
    </row>
    <row r="37" spans="1:9" ht="21.75" customHeight="1">
      <c r="A37" t="s">
        <v>103</v>
      </c>
      <c r="B37" s="3">
        <v>45299</v>
      </c>
      <c r="C37" t="s">
        <v>104</v>
      </c>
      <c r="D37" t="s">
        <v>65</v>
      </c>
      <c r="E37" t="s">
        <v>17</v>
      </c>
      <c r="F37" t="str">
        <f t="shared" si="0"/>
        <v>North</v>
      </c>
      <c r="G37" t="s">
        <v>12</v>
      </c>
      <c r="H37" t="s">
        <v>28</v>
      </c>
      <c r="I37">
        <v>8</v>
      </c>
    </row>
    <row r="38" spans="1:9" ht="21.75" customHeight="1">
      <c r="A38" t="s">
        <v>105</v>
      </c>
      <c r="B38" s="3">
        <v>45322</v>
      </c>
      <c r="C38" t="s">
        <v>106</v>
      </c>
      <c r="D38" t="s">
        <v>35</v>
      </c>
      <c r="E38" t="s">
        <v>17</v>
      </c>
      <c r="F38" t="str">
        <f t="shared" si="0"/>
        <v>South</v>
      </c>
      <c r="G38" t="s">
        <v>56</v>
      </c>
      <c r="H38" t="s">
        <v>36</v>
      </c>
      <c r="I38">
        <v>5</v>
      </c>
    </row>
    <row r="39" spans="1:9" ht="21.75" customHeight="1">
      <c r="A39" t="s">
        <v>107</v>
      </c>
      <c r="B39" s="3">
        <v>45524</v>
      </c>
      <c r="C39" t="s">
        <v>108</v>
      </c>
      <c r="D39" t="s">
        <v>109</v>
      </c>
      <c r="E39" t="s">
        <v>22</v>
      </c>
      <c r="F39" t="str">
        <f t="shared" si="0"/>
        <v>East</v>
      </c>
      <c r="G39" t="s">
        <v>42</v>
      </c>
      <c r="H39" t="s">
        <v>36</v>
      </c>
      <c r="I39">
        <v>12</v>
      </c>
    </row>
    <row r="40" spans="1:9" ht="21.75" customHeight="1">
      <c r="A40" t="s">
        <v>110</v>
      </c>
      <c r="B40" s="3">
        <v>45443</v>
      </c>
      <c r="C40" t="s">
        <v>111</v>
      </c>
      <c r="D40" t="s">
        <v>16</v>
      </c>
      <c r="E40" t="s">
        <v>22</v>
      </c>
      <c r="F40" t="str">
        <f t="shared" si="0"/>
        <v>South</v>
      </c>
      <c r="G40" t="s">
        <v>56</v>
      </c>
      <c r="H40" t="s">
        <v>13</v>
      </c>
      <c r="I40">
        <v>9</v>
      </c>
    </row>
    <row r="41" spans="1:9" ht="21.75" customHeight="1">
      <c r="A41" t="s">
        <v>112</v>
      </c>
      <c r="B41" s="3">
        <v>45321</v>
      </c>
      <c r="C41" t="s">
        <v>81</v>
      </c>
      <c r="D41" t="s">
        <v>84</v>
      </c>
      <c r="E41" t="s">
        <v>22</v>
      </c>
      <c r="F41" t="str">
        <f t="shared" si="0"/>
        <v>North</v>
      </c>
      <c r="G41" t="s">
        <v>12</v>
      </c>
      <c r="H41" t="s">
        <v>23</v>
      </c>
      <c r="I41">
        <v>15</v>
      </c>
    </row>
    <row r="42" spans="1:9" ht="21.75" customHeight="1">
      <c r="A42" t="s">
        <v>113</v>
      </c>
      <c r="B42" s="3">
        <v>45321</v>
      </c>
      <c r="C42" t="s">
        <v>114</v>
      </c>
      <c r="D42" t="s">
        <v>79</v>
      </c>
      <c r="E42" t="s">
        <v>11</v>
      </c>
      <c r="F42" t="str">
        <f t="shared" si="0"/>
        <v>Central</v>
      </c>
      <c r="G42" t="s">
        <v>18</v>
      </c>
      <c r="H42" t="s">
        <v>13</v>
      </c>
      <c r="I42">
        <v>10</v>
      </c>
    </row>
    <row r="43" spans="1:9" ht="21.75" customHeight="1">
      <c r="A43" t="s">
        <v>115</v>
      </c>
      <c r="B43" s="3">
        <v>45498</v>
      </c>
      <c r="C43" t="s">
        <v>116</v>
      </c>
      <c r="D43" t="s">
        <v>41</v>
      </c>
      <c r="E43" t="s">
        <v>22</v>
      </c>
      <c r="F43" t="str">
        <f t="shared" si="0"/>
        <v>North</v>
      </c>
      <c r="G43" t="s">
        <v>12</v>
      </c>
      <c r="H43" t="s">
        <v>23</v>
      </c>
      <c r="I43">
        <v>10</v>
      </c>
    </row>
    <row r="44" spans="1:9" ht="21.75" customHeight="1">
      <c r="A44" t="s">
        <v>117</v>
      </c>
      <c r="B44" s="3">
        <v>45506</v>
      </c>
      <c r="C44" t="s">
        <v>118</v>
      </c>
      <c r="D44" t="s">
        <v>119</v>
      </c>
      <c r="E44" t="s">
        <v>17</v>
      </c>
      <c r="F44" t="str">
        <f t="shared" si="0"/>
        <v>Central</v>
      </c>
      <c r="G44" t="s">
        <v>18</v>
      </c>
      <c r="H44" t="s">
        <v>23</v>
      </c>
      <c r="I44">
        <v>15</v>
      </c>
    </row>
    <row r="45" spans="1:9" ht="21.75" customHeight="1">
      <c r="A45" t="s">
        <v>120</v>
      </c>
      <c r="B45" s="3">
        <v>45452</v>
      </c>
      <c r="C45" t="s">
        <v>51</v>
      </c>
      <c r="D45" t="s">
        <v>87</v>
      </c>
      <c r="E45" t="s">
        <v>11</v>
      </c>
      <c r="F45" t="str">
        <f t="shared" si="0"/>
        <v>South</v>
      </c>
      <c r="G45" t="s">
        <v>56</v>
      </c>
      <c r="H45" t="s">
        <v>32</v>
      </c>
      <c r="I45">
        <v>11</v>
      </c>
    </row>
    <row r="46" spans="1:9" ht="21.75" customHeight="1">
      <c r="A46" t="s">
        <v>121</v>
      </c>
      <c r="B46" s="3">
        <v>45453</v>
      </c>
      <c r="C46" t="s">
        <v>122</v>
      </c>
      <c r="D46" t="s">
        <v>102</v>
      </c>
      <c r="E46" t="s">
        <v>22</v>
      </c>
      <c r="F46" t="str">
        <f t="shared" si="0"/>
        <v>North</v>
      </c>
      <c r="G46" t="s">
        <v>12</v>
      </c>
      <c r="H46" t="s">
        <v>13</v>
      </c>
      <c r="I46">
        <v>10</v>
      </c>
    </row>
    <row r="47" spans="1:9" ht="21.75" customHeight="1">
      <c r="A47" t="s">
        <v>123</v>
      </c>
      <c r="B47" s="3">
        <v>45567</v>
      </c>
      <c r="C47" t="s">
        <v>122</v>
      </c>
      <c r="D47" t="s">
        <v>62</v>
      </c>
      <c r="E47" t="s">
        <v>11</v>
      </c>
      <c r="F47" t="str">
        <f t="shared" si="0"/>
        <v>South</v>
      </c>
      <c r="G47" t="s">
        <v>56</v>
      </c>
      <c r="H47" t="s">
        <v>23</v>
      </c>
      <c r="I47">
        <v>15</v>
      </c>
    </row>
    <row r="48" spans="1:9" ht="21.75" customHeight="1">
      <c r="A48" t="s">
        <v>124</v>
      </c>
      <c r="B48" s="3">
        <v>45417</v>
      </c>
      <c r="C48" t="s">
        <v>125</v>
      </c>
      <c r="D48" t="s">
        <v>48</v>
      </c>
      <c r="E48" t="s">
        <v>17</v>
      </c>
      <c r="F48" t="str">
        <f t="shared" si="0"/>
        <v>East</v>
      </c>
      <c r="G48" t="s">
        <v>42</v>
      </c>
      <c r="H48" t="s">
        <v>32</v>
      </c>
      <c r="I48">
        <v>14</v>
      </c>
    </row>
    <row r="49" spans="1:9" ht="21.75" customHeight="1">
      <c r="A49" t="s">
        <v>126</v>
      </c>
      <c r="B49" s="3">
        <v>45605</v>
      </c>
      <c r="C49" t="s">
        <v>58</v>
      </c>
      <c r="D49" t="s">
        <v>16</v>
      </c>
      <c r="E49" t="s">
        <v>17</v>
      </c>
      <c r="F49" t="str">
        <f t="shared" si="0"/>
        <v>Central</v>
      </c>
      <c r="G49" t="s">
        <v>18</v>
      </c>
      <c r="H49" t="s">
        <v>13</v>
      </c>
      <c r="I49">
        <v>15</v>
      </c>
    </row>
    <row r="50" spans="1:9" ht="21.75" customHeight="1">
      <c r="A50" t="s">
        <v>127</v>
      </c>
      <c r="B50" s="3">
        <v>45427</v>
      </c>
      <c r="C50" t="s">
        <v>15</v>
      </c>
      <c r="D50" t="s">
        <v>16</v>
      </c>
      <c r="E50" t="s">
        <v>11</v>
      </c>
      <c r="F50" t="str">
        <f t="shared" si="0"/>
        <v>North</v>
      </c>
      <c r="G50" t="s">
        <v>12</v>
      </c>
      <c r="H50" t="s">
        <v>13</v>
      </c>
      <c r="I50">
        <v>5</v>
      </c>
    </row>
    <row r="51" spans="1:9" ht="21.75" customHeight="1">
      <c r="A51" t="s">
        <v>128</v>
      </c>
      <c r="B51" s="3">
        <v>45467</v>
      </c>
      <c r="C51" t="s">
        <v>64</v>
      </c>
      <c r="D51" t="s">
        <v>70</v>
      </c>
      <c r="E51" t="s">
        <v>17</v>
      </c>
      <c r="F51" t="str">
        <f t="shared" si="0"/>
        <v>South</v>
      </c>
      <c r="G51" t="s">
        <v>56</v>
      </c>
      <c r="H51" t="s">
        <v>32</v>
      </c>
      <c r="I51">
        <v>5</v>
      </c>
    </row>
    <row r="52" spans="1:9" ht="21.75" customHeight="1">
      <c r="A52" t="s">
        <v>129</v>
      </c>
      <c r="B52" s="3">
        <v>45339</v>
      </c>
      <c r="C52" t="s">
        <v>38</v>
      </c>
      <c r="D52" t="s">
        <v>72</v>
      </c>
      <c r="E52" t="s">
        <v>11</v>
      </c>
      <c r="F52" t="str">
        <f t="shared" si="0"/>
        <v>West</v>
      </c>
      <c r="G52" t="s">
        <v>27</v>
      </c>
      <c r="H52" t="s">
        <v>32</v>
      </c>
      <c r="I52">
        <v>6</v>
      </c>
    </row>
    <row r="53" spans="1:9" ht="21.75" customHeight="1">
      <c r="A53" t="s">
        <v>130</v>
      </c>
      <c r="B53" s="3">
        <v>45426</v>
      </c>
      <c r="C53" t="s">
        <v>131</v>
      </c>
      <c r="D53" t="s">
        <v>109</v>
      </c>
      <c r="E53" t="s">
        <v>22</v>
      </c>
      <c r="F53" t="str">
        <f t="shared" si="0"/>
        <v>South</v>
      </c>
      <c r="G53" t="s">
        <v>56</v>
      </c>
      <c r="H53" t="s">
        <v>36</v>
      </c>
      <c r="I53">
        <v>7</v>
      </c>
    </row>
    <row r="54" spans="1:9" ht="21.75" customHeight="1">
      <c r="A54" t="s">
        <v>132</v>
      </c>
      <c r="B54" s="3">
        <v>45330</v>
      </c>
      <c r="C54" t="s">
        <v>133</v>
      </c>
      <c r="D54" t="s">
        <v>21</v>
      </c>
      <c r="E54" t="s">
        <v>17</v>
      </c>
      <c r="F54" t="str">
        <f t="shared" si="0"/>
        <v>South</v>
      </c>
      <c r="G54" t="s">
        <v>56</v>
      </c>
      <c r="H54" t="s">
        <v>23</v>
      </c>
      <c r="I54">
        <v>10</v>
      </c>
    </row>
    <row r="55" spans="1:9" ht="21.75" customHeight="1">
      <c r="A55" t="s">
        <v>134</v>
      </c>
      <c r="B55" s="3">
        <v>45357</v>
      </c>
      <c r="C55" t="s">
        <v>47</v>
      </c>
      <c r="D55" t="s">
        <v>31</v>
      </c>
      <c r="E55" t="s">
        <v>11</v>
      </c>
      <c r="F55" t="str">
        <f t="shared" si="0"/>
        <v>North</v>
      </c>
      <c r="G55" t="s">
        <v>12</v>
      </c>
      <c r="H55" t="s">
        <v>32</v>
      </c>
      <c r="I55">
        <v>15</v>
      </c>
    </row>
    <row r="56" spans="1:9" ht="21.75" customHeight="1">
      <c r="A56" t="s">
        <v>135</v>
      </c>
      <c r="B56" s="3">
        <v>45419</v>
      </c>
      <c r="C56" t="s">
        <v>114</v>
      </c>
      <c r="D56" t="s">
        <v>70</v>
      </c>
      <c r="E56" t="s">
        <v>17</v>
      </c>
      <c r="F56" t="str">
        <f t="shared" si="0"/>
        <v>North</v>
      </c>
      <c r="G56" t="s">
        <v>12</v>
      </c>
      <c r="H56" t="s">
        <v>32</v>
      </c>
      <c r="I56">
        <v>10</v>
      </c>
    </row>
    <row r="57" spans="1:9" ht="21.75" customHeight="1">
      <c r="A57" t="s">
        <v>136</v>
      </c>
      <c r="B57" s="3">
        <v>45375</v>
      </c>
      <c r="C57" t="s">
        <v>106</v>
      </c>
      <c r="D57" t="s">
        <v>35</v>
      </c>
      <c r="E57" t="s">
        <v>11</v>
      </c>
      <c r="F57" t="str">
        <f t="shared" si="0"/>
        <v>South</v>
      </c>
      <c r="G57" t="s">
        <v>56</v>
      </c>
      <c r="H57" t="s">
        <v>36</v>
      </c>
      <c r="I57">
        <v>12</v>
      </c>
    </row>
    <row r="58" spans="1:9" ht="21.75" customHeight="1">
      <c r="A58" t="s">
        <v>137</v>
      </c>
      <c r="B58" s="3">
        <v>45502</v>
      </c>
      <c r="C58" t="s">
        <v>138</v>
      </c>
      <c r="D58" t="s">
        <v>48</v>
      </c>
      <c r="F58" t="str">
        <f t="shared" si="0"/>
        <v>South</v>
      </c>
      <c r="G58" t="s">
        <v>56</v>
      </c>
      <c r="H58" t="s">
        <v>32</v>
      </c>
      <c r="I58">
        <v>2</v>
      </c>
    </row>
    <row r="59" spans="1:9" ht="21.75" customHeight="1">
      <c r="A59" t="s">
        <v>139</v>
      </c>
      <c r="B59" s="3">
        <v>45532</v>
      </c>
      <c r="C59" t="s">
        <v>40</v>
      </c>
      <c r="D59" t="s">
        <v>26</v>
      </c>
      <c r="F59" t="str">
        <f t="shared" si="0"/>
        <v>South</v>
      </c>
      <c r="G59" t="s">
        <v>56</v>
      </c>
      <c r="H59" t="s">
        <v>28</v>
      </c>
      <c r="I59">
        <v>5</v>
      </c>
    </row>
    <row r="60" spans="1:9" ht="21.75" customHeight="1">
      <c r="A60" t="s">
        <v>140</v>
      </c>
      <c r="B60" s="3">
        <v>45406</v>
      </c>
      <c r="C60" t="s">
        <v>53</v>
      </c>
      <c r="D60" t="s">
        <v>26</v>
      </c>
      <c r="E60" t="s">
        <v>17</v>
      </c>
      <c r="F60" t="str">
        <f t="shared" si="0"/>
        <v>North</v>
      </c>
      <c r="G60" t="s">
        <v>12</v>
      </c>
      <c r="H60" t="s">
        <v>28</v>
      </c>
      <c r="I60">
        <v>5</v>
      </c>
    </row>
    <row r="61" spans="1:9" ht="21.75" customHeight="1">
      <c r="A61" t="s">
        <v>141</v>
      </c>
      <c r="B61" s="3">
        <v>45434</v>
      </c>
      <c r="C61" t="s">
        <v>142</v>
      </c>
      <c r="D61" t="s">
        <v>84</v>
      </c>
      <c r="E61" t="s">
        <v>22</v>
      </c>
      <c r="F61" t="str">
        <f t="shared" si="0"/>
        <v>East</v>
      </c>
      <c r="G61" t="s">
        <v>42</v>
      </c>
      <c r="H61" t="s">
        <v>23</v>
      </c>
      <c r="I61">
        <v>14</v>
      </c>
    </row>
    <row r="62" spans="1:9" ht="21.75" customHeight="1">
      <c r="A62" t="s">
        <v>143</v>
      </c>
      <c r="B62" s="3">
        <v>45351</v>
      </c>
      <c r="C62" t="s">
        <v>133</v>
      </c>
      <c r="D62" t="s">
        <v>74</v>
      </c>
      <c r="E62" t="s">
        <v>17</v>
      </c>
      <c r="F62" t="str">
        <f t="shared" si="0"/>
        <v>East</v>
      </c>
      <c r="G62" t="s">
        <v>42</v>
      </c>
      <c r="H62" t="s">
        <v>28</v>
      </c>
      <c r="I62">
        <v>1</v>
      </c>
    </row>
    <row r="63" spans="1:9" ht="21.75" customHeight="1">
      <c r="A63" t="s">
        <v>144</v>
      </c>
      <c r="B63" s="3">
        <v>45468</v>
      </c>
      <c r="C63" t="s">
        <v>55</v>
      </c>
      <c r="D63" t="s">
        <v>109</v>
      </c>
      <c r="E63" t="s">
        <v>22</v>
      </c>
      <c r="F63" t="str">
        <f t="shared" si="0"/>
        <v>East</v>
      </c>
      <c r="G63" t="s">
        <v>42</v>
      </c>
      <c r="H63" t="s">
        <v>36</v>
      </c>
      <c r="I63">
        <v>2</v>
      </c>
    </row>
    <row r="64" spans="1:9" ht="21.75" customHeight="1">
      <c r="A64" t="s">
        <v>145</v>
      </c>
      <c r="B64" s="3">
        <v>45389</v>
      </c>
      <c r="C64" t="s">
        <v>101</v>
      </c>
      <c r="D64" t="s">
        <v>102</v>
      </c>
      <c r="F64" t="str">
        <f t="shared" si="0"/>
        <v>East</v>
      </c>
      <c r="G64" t="s">
        <v>42</v>
      </c>
      <c r="H64" t="s">
        <v>13</v>
      </c>
      <c r="I64">
        <v>9</v>
      </c>
    </row>
    <row r="65" spans="1:9" ht="21.75" customHeight="1">
      <c r="A65" t="s">
        <v>146</v>
      </c>
      <c r="B65" s="3">
        <v>45643</v>
      </c>
      <c r="C65" t="s">
        <v>147</v>
      </c>
      <c r="D65" t="s">
        <v>87</v>
      </c>
      <c r="E65" t="s">
        <v>11</v>
      </c>
      <c r="F65" t="str">
        <f t="shared" si="0"/>
        <v>South</v>
      </c>
      <c r="G65" t="s">
        <v>56</v>
      </c>
      <c r="H65" t="s">
        <v>32</v>
      </c>
      <c r="I65">
        <v>11</v>
      </c>
    </row>
    <row r="66" spans="1:9" ht="21.75" customHeight="1">
      <c r="A66" t="s">
        <v>148</v>
      </c>
      <c r="B66" s="3">
        <v>45452</v>
      </c>
      <c r="C66" t="s">
        <v>104</v>
      </c>
      <c r="D66" t="s">
        <v>70</v>
      </c>
      <c r="E66" t="s">
        <v>17</v>
      </c>
      <c r="F66" t="str">
        <f t="shared" si="0"/>
        <v>North</v>
      </c>
      <c r="G66" t="s">
        <v>12</v>
      </c>
      <c r="H66" t="s">
        <v>32</v>
      </c>
      <c r="I66">
        <v>11</v>
      </c>
    </row>
    <row r="67" spans="1:9" ht="21.75" customHeight="1">
      <c r="A67" t="s">
        <v>149</v>
      </c>
      <c r="B67" s="3">
        <v>45648</v>
      </c>
      <c r="C67" t="s">
        <v>150</v>
      </c>
      <c r="D67" t="s">
        <v>41</v>
      </c>
      <c r="E67" t="s">
        <v>11</v>
      </c>
      <c r="F67" t="str">
        <f t="shared" ref="F67:F130" si="1">TRIM(PROPER(G67))</f>
        <v>East</v>
      </c>
      <c r="G67" t="s">
        <v>42</v>
      </c>
      <c r="H67" t="s">
        <v>23</v>
      </c>
      <c r="I67">
        <v>7</v>
      </c>
    </row>
    <row r="68" spans="1:9" ht="21.75" customHeight="1">
      <c r="A68" t="s">
        <v>151</v>
      </c>
      <c r="B68" s="3">
        <v>45638</v>
      </c>
      <c r="C68" t="s">
        <v>25</v>
      </c>
      <c r="D68" t="s">
        <v>119</v>
      </c>
      <c r="E68" t="s">
        <v>17</v>
      </c>
      <c r="F68" t="str">
        <f t="shared" si="1"/>
        <v>South</v>
      </c>
      <c r="G68" t="s">
        <v>56</v>
      </c>
      <c r="H68" t="s">
        <v>152</v>
      </c>
      <c r="I68">
        <v>7</v>
      </c>
    </row>
    <row r="69" spans="1:9" ht="21.75" customHeight="1">
      <c r="A69" t="s">
        <v>153</v>
      </c>
      <c r="B69" s="3">
        <v>45447</v>
      </c>
      <c r="C69" t="s">
        <v>51</v>
      </c>
      <c r="D69" t="s">
        <v>26</v>
      </c>
      <c r="E69" t="s">
        <v>22</v>
      </c>
      <c r="F69" t="str">
        <f t="shared" si="1"/>
        <v>East</v>
      </c>
      <c r="G69" t="s">
        <v>42</v>
      </c>
      <c r="H69" t="s">
        <v>28</v>
      </c>
      <c r="I69">
        <v>10</v>
      </c>
    </row>
    <row r="70" spans="1:9" ht="21.75" customHeight="1">
      <c r="A70" t="s">
        <v>154</v>
      </c>
      <c r="B70" s="3">
        <v>45518</v>
      </c>
      <c r="C70" t="s">
        <v>106</v>
      </c>
      <c r="D70" t="s">
        <v>74</v>
      </c>
      <c r="E70" t="s">
        <v>17</v>
      </c>
      <c r="F70" t="str">
        <f t="shared" si="1"/>
        <v>West</v>
      </c>
      <c r="G70" t="s">
        <v>27</v>
      </c>
      <c r="H70" t="s">
        <v>28</v>
      </c>
      <c r="I70">
        <v>13</v>
      </c>
    </row>
    <row r="71" spans="1:9" ht="21.75" customHeight="1">
      <c r="A71" t="s">
        <v>155</v>
      </c>
      <c r="B71" s="3">
        <v>45378</v>
      </c>
      <c r="C71" t="s">
        <v>116</v>
      </c>
      <c r="D71" t="s">
        <v>70</v>
      </c>
      <c r="E71" t="s">
        <v>22</v>
      </c>
      <c r="F71" t="str">
        <f t="shared" si="1"/>
        <v>North</v>
      </c>
      <c r="G71" t="s">
        <v>12</v>
      </c>
      <c r="H71" t="s">
        <v>49</v>
      </c>
      <c r="I71">
        <v>11</v>
      </c>
    </row>
    <row r="72" spans="1:9" ht="21.75" customHeight="1">
      <c r="A72" t="s">
        <v>156</v>
      </c>
      <c r="B72" s="3">
        <v>45412</v>
      </c>
      <c r="C72" t="s">
        <v>93</v>
      </c>
      <c r="D72" t="s">
        <v>65</v>
      </c>
      <c r="E72" t="s">
        <v>11</v>
      </c>
      <c r="F72" t="str">
        <f t="shared" si="1"/>
        <v>East</v>
      </c>
      <c r="G72" t="s">
        <v>42</v>
      </c>
      <c r="H72" t="s">
        <v>28</v>
      </c>
      <c r="I72">
        <v>1</v>
      </c>
    </row>
    <row r="73" spans="1:9" ht="21.75" customHeight="1">
      <c r="A73" t="s">
        <v>157</v>
      </c>
      <c r="B73" s="3">
        <v>45604</v>
      </c>
      <c r="C73" t="s">
        <v>20</v>
      </c>
      <c r="D73" t="s">
        <v>59</v>
      </c>
      <c r="E73" t="s">
        <v>22</v>
      </c>
      <c r="F73" t="str">
        <f t="shared" si="1"/>
        <v>North</v>
      </c>
      <c r="G73" t="s">
        <v>12</v>
      </c>
      <c r="H73" t="s">
        <v>36</v>
      </c>
      <c r="I73">
        <v>10</v>
      </c>
    </row>
    <row r="74" spans="1:9" ht="21.75" customHeight="1">
      <c r="A74" t="s">
        <v>158</v>
      </c>
      <c r="B74" s="3">
        <v>45488</v>
      </c>
      <c r="C74" t="s">
        <v>159</v>
      </c>
      <c r="D74" t="s">
        <v>160</v>
      </c>
      <c r="E74" t="s">
        <v>11</v>
      </c>
      <c r="F74" t="str">
        <f t="shared" si="1"/>
        <v>West</v>
      </c>
      <c r="G74" t="s">
        <v>27</v>
      </c>
      <c r="H74" t="s">
        <v>36</v>
      </c>
      <c r="I74">
        <v>11</v>
      </c>
    </row>
    <row r="75" spans="1:9" ht="21.75" customHeight="1">
      <c r="A75" t="s">
        <v>161</v>
      </c>
      <c r="B75" s="3">
        <v>45346</v>
      </c>
      <c r="C75" t="s">
        <v>89</v>
      </c>
      <c r="D75" t="s">
        <v>65</v>
      </c>
      <c r="E75" t="s">
        <v>22</v>
      </c>
      <c r="F75" t="str">
        <f t="shared" si="1"/>
        <v>West</v>
      </c>
      <c r="G75" t="s">
        <v>27</v>
      </c>
      <c r="H75" t="s">
        <v>28</v>
      </c>
      <c r="I75">
        <v>9</v>
      </c>
    </row>
    <row r="76" spans="1:9" ht="21.75" customHeight="1">
      <c r="A76" t="s">
        <v>162</v>
      </c>
      <c r="B76" s="3">
        <v>45419</v>
      </c>
      <c r="C76" t="s">
        <v>89</v>
      </c>
      <c r="D76" t="s">
        <v>160</v>
      </c>
      <c r="E76" t="s">
        <v>17</v>
      </c>
      <c r="F76" t="str">
        <f t="shared" si="1"/>
        <v>North</v>
      </c>
      <c r="G76" t="s">
        <v>12</v>
      </c>
      <c r="H76" t="s">
        <v>163</v>
      </c>
      <c r="I76">
        <v>11</v>
      </c>
    </row>
    <row r="77" spans="1:9" ht="21.75" customHeight="1">
      <c r="A77" t="s">
        <v>164</v>
      </c>
      <c r="B77" s="3">
        <v>45596</v>
      </c>
      <c r="C77" t="s">
        <v>89</v>
      </c>
      <c r="D77" t="s">
        <v>109</v>
      </c>
      <c r="E77" t="s">
        <v>22</v>
      </c>
      <c r="F77" t="str">
        <f t="shared" si="1"/>
        <v>East</v>
      </c>
      <c r="G77" t="s">
        <v>42</v>
      </c>
      <c r="H77" t="s">
        <v>36</v>
      </c>
      <c r="I77">
        <v>15</v>
      </c>
    </row>
    <row r="78" spans="1:9" ht="21.75" customHeight="1">
      <c r="A78" t="s">
        <v>165</v>
      </c>
      <c r="B78" s="3">
        <v>45520</v>
      </c>
      <c r="C78" t="s">
        <v>38</v>
      </c>
      <c r="D78" t="s">
        <v>59</v>
      </c>
      <c r="E78" t="s">
        <v>17</v>
      </c>
      <c r="F78" t="str">
        <f t="shared" si="1"/>
        <v>South</v>
      </c>
      <c r="G78" t="s">
        <v>56</v>
      </c>
      <c r="H78" t="s">
        <v>36</v>
      </c>
      <c r="I78">
        <v>13</v>
      </c>
    </row>
    <row r="79" spans="1:9" ht="21.75" customHeight="1">
      <c r="A79" t="s">
        <v>166</v>
      </c>
      <c r="B79" s="3">
        <v>45433</v>
      </c>
      <c r="C79" t="s">
        <v>167</v>
      </c>
      <c r="D79" t="s">
        <v>160</v>
      </c>
      <c r="E79" t="s">
        <v>17</v>
      </c>
      <c r="F79" t="str">
        <f t="shared" si="1"/>
        <v>Central</v>
      </c>
      <c r="G79" t="s">
        <v>18</v>
      </c>
      <c r="H79" t="s">
        <v>36</v>
      </c>
      <c r="I79">
        <v>8</v>
      </c>
    </row>
    <row r="80" spans="1:9" ht="21.75" customHeight="1">
      <c r="A80" t="s">
        <v>168</v>
      </c>
      <c r="B80" s="3">
        <v>45412</v>
      </c>
      <c r="C80" t="s">
        <v>40</v>
      </c>
      <c r="D80" t="s">
        <v>31</v>
      </c>
      <c r="E80" t="s">
        <v>22</v>
      </c>
      <c r="F80" t="str">
        <f t="shared" si="1"/>
        <v>East</v>
      </c>
      <c r="G80" t="s">
        <v>42</v>
      </c>
      <c r="H80" t="s">
        <v>32</v>
      </c>
      <c r="I80">
        <v>2</v>
      </c>
    </row>
    <row r="81" spans="1:9" ht="21.75" customHeight="1">
      <c r="A81" t="s">
        <v>169</v>
      </c>
      <c r="B81" s="3">
        <v>45488</v>
      </c>
      <c r="C81" t="s">
        <v>51</v>
      </c>
      <c r="D81" t="s">
        <v>45</v>
      </c>
      <c r="E81" t="s">
        <v>17</v>
      </c>
      <c r="F81" t="str">
        <f t="shared" si="1"/>
        <v>South</v>
      </c>
      <c r="G81" t="s">
        <v>56</v>
      </c>
      <c r="H81" t="s">
        <v>28</v>
      </c>
      <c r="I81">
        <v>7</v>
      </c>
    </row>
    <row r="82" spans="1:9" ht="21.75" customHeight="1">
      <c r="A82" t="s">
        <v>170</v>
      </c>
      <c r="B82" s="3">
        <v>45504</v>
      </c>
      <c r="C82" t="s">
        <v>20</v>
      </c>
      <c r="D82" t="s">
        <v>26</v>
      </c>
      <c r="E82" t="s">
        <v>17</v>
      </c>
      <c r="F82" t="str">
        <f t="shared" si="1"/>
        <v>North</v>
      </c>
      <c r="G82" t="s">
        <v>12</v>
      </c>
      <c r="H82" t="s">
        <v>28</v>
      </c>
      <c r="I82">
        <v>15</v>
      </c>
    </row>
    <row r="83" spans="1:9" ht="21.75" customHeight="1">
      <c r="A83" t="s">
        <v>171</v>
      </c>
      <c r="B83" s="3">
        <v>45302</v>
      </c>
      <c r="C83" t="s">
        <v>150</v>
      </c>
      <c r="D83" t="s">
        <v>59</v>
      </c>
      <c r="E83" t="s">
        <v>11</v>
      </c>
      <c r="F83" t="str">
        <f t="shared" si="1"/>
        <v>Central</v>
      </c>
      <c r="G83" t="s">
        <v>18</v>
      </c>
      <c r="H83" t="s">
        <v>36</v>
      </c>
      <c r="I83">
        <v>6</v>
      </c>
    </row>
    <row r="84" spans="1:9" ht="21.75" customHeight="1">
      <c r="A84" t="s">
        <v>172</v>
      </c>
      <c r="B84" s="3">
        <v>45506</v>
      </c>
      <c r="C84" t="s">
        <v>133</v>
      </c>
      <c r="D84" t="s">
        <v>119</v>
      </c>
      <c r="E84" t="s">
        <v>11</v>
      </c>
      <c r="F84" t="str">
        <f t="shared" si="1"/>
        <v>Central</v>
      </c>
      <c r="G84" t="s">
        <v>18</v>
      </c>
      <c r="H84" t="s">
        <v>23</v>
      </c>
      <c r="I84">
        <v>8</v>
      </c>
    </row>
    <row r="85" spans="1:9" ht="21.75" customHeight="1">
      <c r="A85" t="s">
        <v>173</v>
      </c>
      <c r="B85" s="3">
        <v>45540</v>
      </c>
      <c r="C85" t="s">
        <v>83</v>
      </c>
      <c r="D85" t="s">
        <v>174</v>
      </c>
      <c r="E85" t="s">
        <v>22</v>
      </c>
      <c r="F85" t="str">
        <f t="shared" si="1"/>
        <v>North</v>
      </c>
      <c r="G85" t="s">
        <v>12</v>
      </c>
      <c r="H85" t="s">
        <v>163</v>
      </c>
      <c r="I85">
        <v>11</v>
      </c>
    </row>
    <row r="86" spans="1:9" ht="21.75" customHeight="1">
      <c r="A86" t="s">
        <v>175</v>
      </c>
      <c r="B86" s="3">
        <v>45376</v>
      </c>
      <c r="C86" t="s">
        <v>61</v>
      </c>
      <c r="D86" t="s">
        <v>74</v>
      </c>
      <c r="E86" t="s">
        <v>22</v>
      </c>
      <c r="F86" t="str">
        <f t="shared" si="1"/>
        <v>West</v>
      </c>
      <c r="G86" t="s">
        <v>27</v>
      </c>
      <c r="H86" t="s">
        <v>28</v>
      </c>
      <c r="I86">
        <v>1</v>
      </c>
    </row>
    <row r="87" spans="1:9" ht="21.75" customHeight="1">
      <c r="A87" t="s">
        <v>176</v>
      </c>
      <c r="B87" s="3">
        <v>45580</v>
      </c>
      <c r="C87" t="s">
        <v>64</v>
      </c>
      <c r="D87" t="s">
        <v>102</v>
      </c>
      <c r="E87" t="s">
        <v>11</v>
      </c>
      <c r="F87" t="str">
        <f t="shared" si="1"/>
        <v>North</v>
      </c>
      <c r="G87" t="s">
        <v>12</v>
      </c>
      <c r="H87" t="s">
        <v>13</v>
      </c>
      <c r="I87">
        <v>14</v>
      </c>
    </row>
    <row r="88" spans="1:9" ht="21.75" customHeight="1">
      <c r="A88" t="s">
        <v>177</v>
      </c>
      <c r="B88" s="3">
        <v>45425</v>
      </c>
      <c r="C88" t="s">
        <v>150</v>
      </c>
      <c r="D88" t="s">
        <v>48</v>
      </c>
      <c r="E88" t="s">
        <v>17</v>
      </c>
      <c r="F88" t="str">
        <f t="shared" si="1"/>
        <v>West</v>
      </c>
      <c r="G88" t="s">
        <v>27</v>
      </c>
      <c r="H88" t="s">
        <v>32</v>
      </c>
      <c r="I88">
        <v>6</v>
      </c>
    </row>
    <row r="89" spans="1:9" ht="21.75" customHeight="1">
      <c r="A89" t="s">
        <v>178</v>
      </c>
      <c r="B89" s="3">
        <v>45434</v>
      </c>
      <c r="C89" t="s">
        <v>64</v>
      </c>
      <c r="D89" t="s">
        <v>72</v>
      </c>
      <c r="E89" t="s">
        <v>17</v>
      </c>
      <c r="F89" t="str">
        <f t="shared" si="1"/>
        <v>West</v>
      </c>
      <c r="G89" t="s">
        <v>27</v>
      </c>
      <c r="H89" t="s">
        <v>49</v>
      </c>
      <c r="I89">
        <v>1</v>
      </c>
    </row>
    <row r="90" spans="1:9" ht="21.75" customHeight="1">
      <c r="A90" t="s">
        <v>179</v>
      </c>
      <c r="B90" s="3">
        <v>45471</v>
      </c>
      <c r="C90" t="s">
        <v>142</v>
      </c>
      <c r="D90" t="s">
        <v>96</v>
      </c>
      <c r="E90" t="s">
        <v>11</v>
      </c>
      <c r="F90" t="str">
        <f t="shared" si="1"/>
        <v>South</v>
      </c>
      <c r="G90" t="s">
        <v>56</v>
      </c>
      <c r="H90" t="s">
        <v>13</v>
      </c>
      <c r="I90">
        <v>4</v>
      </c>
    </row>
    <row r="91" spans="1:9" ht="21.75" customHeight="1">
      <c r="A91" t="s">
        <v>180</v>
      </c>
      <c r="B91" s="3">
        <v>45610</v>
      </c>
      <c r="C91" t="s">
        <v>15</v>
      </c>
      <c r="D91" t="s">
        <v>65</v>
      </c>
      <c r="E91" t="s">
        <v>17</v>
      </c>
      <c r="F91" t="str">
        <f t="shared" si="1"/>
        <v>South</v>
      </c>
      <c r="G91" t="s">
        <v>56</v>
      </c>
      <c r="H91" t="s">
        <v>28</v>
      </c>
      <c r="I91">
        <v>11</v>
      </c>
    </row>
    <row r="92" spans="1:9" ht="21.75" customHeight="1">
      <c r="A92" t="s">
        <v>181</v>
      </c>
      <c r="B92" s="3">
        <v>45530</v>
      </c>
      <c r="C92" t="s">
        <v>182</v>
      </c>
      <c r="D92" t="s">
        <v>48</v>
      </c>
      <c r="E92" t="s">
        <v>22</v>
      </c>
      <c r="F92" t="str">
        <f t="shared" si="1"/>
        <v>East</v>
      </c>
      <c r="G92" t="s">
        <v>42</v>
      </c>
      <c r="H92" t="s">
        <v>32</v>
      </c>
      <c r="I92">
        <v>10</v>
      </c>
    </row>
    <row r="93" spans="1:9" ht="21.75" customHeight="1">
      <c r="A93" t="s">
        <v>183</v>
      </c>
      <c r="B93" s="3">
        <v>45350</v>
      </c>
      <c r="C93" t="s">
        <v>55</v>
      </c>
      <c r="D93" t="s">
        <v>72</v>
      </c>
      <c r="E93" t="s">
        <v>22</v>
      </c>
      <c r="F93" t="str">
        <f t="shared" si="1"/>
        <v>South</v>
      </c>
      <c r="G93" t="s">
        <v>56</v>
      </c>
      <c r="H93" t="s">
        <v>32</v>
      </c>
      <c r="I93">
        <v>1</v>
      </c>
    </row>
    <row r="94" spans="1:9" ht="21.75" customHeight="1">
      <c r="A94" t="s">
        <v>184</v>
      </c>
      <c r="B94" s="3">
        <v>45638</v>
      </c>
      <c r="C94" t="s">
        <v>38</v>
      </c>
      <c r="D94" t="s">
        <v>160</v>
      </c>
      <c r="E94" t="s">
        <v>11</v>
      </c>
      <c r="F94" t="str">
        <f t="shared" si="1"/>
        <v>West</v>
      </c>
      <c r="G94" t="s">
        <v>27</v>
      </c>
      <c r="H94" t="s">
        <v>36</v>
      </c>
      <c r="I94">
        <v>10</v>
      </c>
    </row>
    <row r="95" spans="1:9" ht="21.75" customHeight="1">
      <c r="A95" t="s">
        <v>185</v>
      </c>
      <c r="B95" s="3">
        <v>45416</v>
      </c>
      <c r="C95" t="s">
        <v>106</v>
      </c>
      <c r="D95" t="s">
        <v>70</v>
      </c>
      <c r="E95" t="s">
        <v>11</v>
      </c>
      <c r="F95" t="str">
        <f t="shared" si="1"/>
        <v>North</v>
      </c>
      <c r="G95" t="s">
        <v>12</v>
      </c>
      <c r="H95" t="s">
        <v>32</v>
      </c>
      <c r="I95">
        <v>13</v>
      </c>
    </row>
    <row r="96" spans="1:9" ht="21.75" customHeight="1">
      <c r="A96" t="s">
        <v>186</v>
      </c>
      <c r="B96" s="3">
        <v>45313</v>
      </c>
      <c r="C96" t="s">
        <v>187</v>
      </c>
      <c r="D96" t="s">
        <v>84</v>
      </c>
      <c r="E96" t="s">
        <v>22</v>
      </c>
      <c r="F96" t="str">
        <f t="shared" si="1"/>
        <v>East</v>
      </c>
      <c r="G96" t="s">
        <v>42</v>
      </c>
      <c r="H96" t="s">
        <v>23</v>
      </c>
      <c r="I96">
        <v>6</v>
      </c>
    </row>
    <row r="97" spans="1:9" ht="21.75" customHeight="1">
      <c r="A97" t="s">
        <v>188</v>
      </c>
      <c r="B97" s="3">
        <v>45466</v>
      </c>
      <c r="C97" t="s">
        <v>38</v>
      </c>
      <c r="D97" t="s">
        <v>59</v>
      </c>
      <c r="E97" t="s">
        <v>11</v>
      </c>
      <c r="F97" t="str">
        <f t="shared" si="1"/>
        <v>North</v>
      </c>
      <c r="G97" t="s">
        <v>12</v>
      </c>
      <c r="H97" t="s">
        <v>36</v>
      </c>
      <c r="I97">
        <v>7</v>
      </c>
    </row>
    <row r="98" spans="1:9" ht="21.75" customHeight="1">
      <c r="A98" t="s">
        <v>189</v>
      </c>
      <c r="B98" s="3">
        <v>45527</v>
      </c>
      <c r="C98" t="s">
        <v>99</v>
      </c>
      <c r="D98" t="s">
        <v>160</v>
      </c>
      <c r="E98" t="s">
        <v>22</v>
      </c>
      <c r="F98" t="str">
        <f t="shared" si="1"/>
        <v>South</v>
      </c>
      <c r="G98" t="s">
        <v>56</v>
      </c>
      <c r="H98" t="s">
        <v>163</v>
      </c>
      <c r="I98">
        <v>9</v>
      </c>
    </row>
    <row r="99" spans="1:9" ht="21.75" customHeight="1">
      <c r="A99" t="s">
        <v>190</v>
      </c>
      <c r="B99" s="3">
        <v>45607</v>
      </c>
      <c r="C99" t="s">
        <v>99</v>
      </c>
      <c r="D99" t="s">
        <v>59</v>
      </c>
      <c r="E99" t="s">
        <v>17</v>
      </c>
      <c r="F99" t="str">
        <f t="shared" si="1"/>
        <v>Central</v>
      </c>
      <c r="G99" t="s">
        <v>18</v>
      </c>
      <c r="H99" t="s">
        <v>36</v>
      </c>
      <c r="I99">
        <v>14</v>
      </c>
    </row>
    <row r="100" spans="1:9" ht="21.75" customHeight="1">
      <c r="A100" t="s">
        <v>191</v>
      </c>
      <c r="B100" s="3">
        <v>45457</v>
      </c>
      <c r="C100" t="s">
        <v>55</v>
      </c>
      <c r="D100" t="s">
        <v>10</v>
      </c>
      <c r="E100" t="s">
        <v>17</v>
      </c>
      <c r="F100" t="str">
        <f t="shared" si="1"/>
        <v>South</v>
      </c>
      <c r="G100" t="s">
        <v>56</v>
      </c>
      <c r="H100" t="s">
        <v>13</v>
      </c>
      <c r="I100">
        <v>4</v>
      </c>
    </row>
    <row r="101" spans="1:9" ht="21.75" customHeight="1">
      <c r="A101" t="s">
        <v>192</v>
      </c>
      <c r="B101" s="3">
        <v>45604</v>
      </c>
      <c r="C101" t="s">
        <v>78</v>
      </c>
      <c r="D101" t="s">
        <v>72</v>
      </c>
      <c r="E101" t="s">
        <v>17</v>
      </c>
      <c r="F101" t="str">
        <f t="shared" si="1"/>
        <v>West</v>
      </c>
      <c r="G101" t="s">
        <v>27</v>
      </c>
      <c r="H101" t="s">
        <v>32</v>
      </c>
      <c r="I101">
        <v>14</v>
      </c>
    </row>
    <row r="102" spans="1:9" ht="21.75" customHeight="1">
      <c r="A102" t="s">
        <v>193</v>
      </c>
      <c r="B102" s="3">
        <v>45400</v>
      </c>
      <c r="C102" t="s">
        <v>99</v>
      </c>
      <c r="D102" t="s">
        <v>31</v>
      </c>
      <c r="E102" t="s">
        <v>17</v>
      </c>
      <c r="F102" t="str">
        <f t="shared" si="1"/>
        <v>East</v>
      </c>
      <c r="G102" t="s">
        <v>42</v>
      </c>
      <c r="H102" t="s">
        <v>32</v>
      </c>
      <c r="I102">
        <v>15</v>
      </c>
    </row>
    <row r="103" spans="1:9" ht="21.75" customHeight="1">
      <c r="A103" t="s">
        <v>194</v>
      </c>
      <c r="B103" s="3">
        <v>45576</v>
      </c>
      <c r="C103" t="s">
        <v>78</v>
      </c>
      <c r="D103" t="s">
        <v>41</v>
      </c>
      <c r="E103" t="s">
        <v>11</v>
      </c>
      <c r="F103" t="str">
        <f t="shared" si="1"/>
        <v>North</v>
      </c>
      <c r="G103" t="s">
        <v>12</v>
      </c>
      <c r="H103" t="s">
        <v>152</v>
      </c>
      <c r="I103">
        <v>4</v>
      </c>
    </row>
    <row r="104" spans="1:9" ht="21.75" customHeight="1">
      <c r="A104" t="s">
        <v>195</v>
      </c>
      <c r="B104" s="3">
        <v>45576</v>
      </c>
      <c r="C104" t="s">
        <v>167</v>
      </c>
      <c r="D104" t="s">
        <v>59</v>
      </c>
      <c r="E104" t="s">
        <v>17</v>
      </c>
      <c r="F104" t="str">
        <f t="shared" si="1"/>
        <v>South</v>
      </c>
      <c r="G104" t="s">
        <v>56</v>
      </c>
      <c r="H104" t="s">
        <v>36</v>
      </c>
      <c r="I104">
        <v>13</v>
      </c>
    </row>
    <row r="105" spans="1:9" ht="21.75" customHeight="1">
      <c r="A105" t="s">
        <v>196</v>
      </c>
      <c r="B105" s="3">
        <v>45405</v>
      </c>
      <c r="C105" t="s">
        <v>89</v>
      </c>
      <c r="D105" t="s">
        <v>197</v>
      </c>
      <c r="E105" t="s">
        <v>22</v>
      </c>
      <c r="F105" t="str">
        <f t="shared" si="1"/>
        <v>West</v>
      </c>
      <c r="G105" t="s">
        <v>27</v>
      </c>
      <c r="H105" t="s">
        <v>28</v>
      </c>
      <c r="I105">
        <v>10</v>
      </c>
    </row>
    <row r="106" spans="1:9" ht="21.75" customHeight="1">
      <c r="A106" t="s">
        <v>198</v>
      </c>
      <c r="B106" s="3">
        <v>45563</v>
      </c>
      <c r="C106" t="s">
        <v>99</v>
      </c>
      <c r="D106" t="s">
        <v>109</v>
      </c>
      <c r="E106" t="s">
        <v>17</v>
      </c>
      <c r="F106" t="str">
        <f t="shared" si="1"/>
        <v>East</v>
      </c>
      <c r="G106" t="s">
        <v>42</v>
      </c>
      <c r="H106" t="s">
        <v>36</v>
      </c>
      <c r="I106">
        <v>6</v>
      </c>
    </row>
    <row r="107" spans="1:9" ht="21.75" customHeight="1">
      <c r="A107" t="s">
        <v>199</v>
      </c>
      <c r="B107" s="3">
        <v>45448</v>
      </c>
      <c r="C107" t="s">
        <v>200</v>
      </c>
      <c r="D107" t="s">
        <v>45</v>
      </c>
      <c r="E107" t="s">
        <v>22</v>
      </c>
      <c r="F107" t="str">
        <f t="shared" si="1"/>
        <v>East</v>
      </c>
      <c r="G107" t="s">
        <v>42</v>
      </c>
      <c r="H107" t="s">
        <v>28</v>
      </c>
      <c r="I107">
        <v>4</v>
      </c>
    </row>
    <row r="108" spans="1:9" ht="21.75" customHeight="1">
      <c r="A108" t="s">
        <v>201</v>
      </c>
      <c r="B108" s="3">
        <v>45566</v>
      </c>
      <c r="C108" t="s">
        <v>61</v>
      </c>
      <c r="D108" t="s">
        <v>65</v>
      </c>
      <c r="F108" t="str">
        <f t="shared" si="1"/>
        <v>South</v>
      </c>
      <c r="G108" t="s">
        <v>56</v>
      </c>
      <c r="H108" t="s">
        <v>28</v>
      </c>
      <c r="I108">
        <v>8</v>
      </c>
    </row>
    <row r="109" spans="1:9" ht="21.75" customHeight="1">
      <c r="A109" t="s">
        <v>202</v>
      </c>
      <c r="B109" s="3">
        <v>45560</v>
      </c>
      <c r="C109" t="s">
        <v>203</v>
      </c>
      <c r="D109" t="s">
        <v>72</v>
      </c>
      <c r="E109" t="s">
        <v>11</v>
      </c>
      <c r="F109" t="str">
        <f t="shared" si="1"/>
        <v>Central</v>
      </c>
      <c r="G109" t="s">
        <v>18</v>
      </c>
      <c r="H109" t="s">
        <v>32</v>
      </c>
      <c r="I109">
        <v>5</v>
      </c>
    </row>
    <row r="110" spans="1:9" ht="21.75" customHeight="1">
      <c r="A110" t="s">
        <v>204</v>
      </c>
      <c r="B110" s="3">
        <v>45446</v>
      </c>
      <c r="C110" t="s">
        <v>89</v>
      </c>
      <c r="D110" t="s">
        <v>41</v>
      </c>
      <c r="E110" t="s">
        <v>17</v>
      </c>
      <c r="F110" t="str">
        <f t="shared" si="1"/>
        <v>North</v>
      </c>
      <c r="G110" t="s">
        <v>12</v>
      </c>
      <c r="H110" t="s">
        <v>23</v>
      </c>
      <c r="I110">
        <v>1</v>
      </c>
    </row>
    <row r="111" spans="1:9" ht="21.75" customHeight="1">
      <c r="A111" t="s">
        <v>205</v>
      </c>
      <c r="B111" s="3">
        <v>45441</v>
      </c>
      <c r="C111" t="s">
        <v>93</v>
      </c>
      <c r="D111" t="s">
        <v>35</v>
      </c>
      <c r="E111" t="s">
        <v>11</v>
      </c>
      <c r="F111" t="str">
        <f t="shared" si="1"/>
        <v>South</v>
      </c>
      <c r="G111" t="s">
        <v>56</v>
      </c>
      <c r="H111" t="s">
        <v>36</v>
      </c>
      <c r="I111">
        <v>10</v>
      </c>
    </row>
    <row r="112" spans="1:9" ht="21.75" customHeight="1">
      <c r="A112" t="s">
        <v>206</v>
      </c>
      <c r="B112" s="3">
        <v>45517</v>
      </c>
      <c r="C112" t="s">
        <v>122</v>
      </c>
      <c r="D112" t="s">
        <v>45</v>
      </c>
      <c r="E112" t="s">
        <v>17</v>
      </c>
      <c r="F112" t="str">
        <f t="shared" si="1"/>
        <v>East</v>
      </c>
      <c r="G112" t="s">
        <v>42</v>
      </c>
      <c r="H112" t="s">
        <v>28</v>
      </c>
      <c r="I112">
        <v>14</v>
      </c>
    </row>
    <row r="113" spans="1:9" ht="21.75" customHeight="1">
      <c r="A113" t="s">
        <v>207</v>
      </c>
      <c r="B113" s="3">
        <v>45497</v>
      </c>
      <c r="C113" t="s">
        <v>208</v>
      </c>
      <c r="D113" t="s">
        <v>16</v>
      </c>
      <c r="E113" t="s">
        <v>22</v>
      </c>
      <c r="F113" t="str">
        <f t="shared" si="1"/>
        <v>West</v>
      </c>
      <c r="G113" t="s">
        <v>27</v>
      </c>
      <c r="H113" t="s">
        <v>13</v>
      </c>
      <c r="I113">
        <v>11</v>
      </c>
    </row>
    <row r="114" spans="1:9" ht="21.75" customHeight="1">
      <c r="A114" t="s">
        <v>209</v>
      </c>
      <c r="B114" s="3">
        <v>45580</v>
      </c>
      <c r="C114" t="s">
        <v>68</v>
      </c>
      <c r="D114" t="s">
        <v>79</v>
      </c>
      <c r="E114" t="s">
        <v>11</v>
      </c>
      <c r="F114" t="str">
        <f t="shared" si="1"/>
        <v>East</v>
      </c>
      <c r="G114" t="s">
        <v>42</v>
      </c>
      <c r="H114" t="s">
        <v>13</v>
      </c>
      <c r="I114">
        <v>9</v>
      </c>
    </row>
    <row r="115" spans="1:9" ht="21.75" customHeight="1">
      <c r="A115" t="s">
        <v>210</v>
      </c>
      <c r="B115" s="3">
        <v>45597</v>
      </c>
      <c r="C115" t="s">
        <v>125</v>
      </c>
      <c r="D115" t="s">
        <v>74</v>
      </c>
      <c r="E115" t="s">
        <v>17</v>
      </c>
      <c r="F115" t="str">
        <f t="shared" si="1"/>
        <v>Central</v>
      </c>
      <c r="G115" t="s">
        <v>18</v>
      </c>
      <c r="H115" t="s">
        <v>28</v>
      </c>
      <c r="I115">
        <v>8</v>
      </c>
    </row>
    <row r="116" spans="1:9" ht="21.75" customHeight="1">
      <c r="A116" t="s">
        <v>211</v>
      </c>
      <c r="B116" s="3">
        <v>45593</v>
      </c>
      <c r="C116" t="s">
        <v>200</v>
      </c>
      <c r="D116" t="s">
        <v>70</v>
      </c>
      <c r="E116" t="s">
        <v>22</v>
      </c>
      <c r="F116" t="str">
        <f t="shared" si="1"/>
        <v>West</v>
      </c>
      <c r="G116" t="s">
        <v>27</v>
      </c>
      <c r="H116" t="s">
        <v>32</v>
      </c>
      <c r="I116">
        <v>1</v>
      </c>
    </row>
    <row r="117" spans="1:9" ht="21.75" customHeight="1">
      <c r="A117" t="s">
        <v>212</v>
      </c>
      <c r="B117" s="3">
        <v>45342</v>
      </c>
      <c r="C117" t="s">
        <v>203</v>
      </c>
      <c r="D117" t="s">
        <v>197</v>
      </c>
      <c r="E117" t="s">
        <v>22</v>
      </c>
      <c r="F117" t="str">
        <f t="shared" si="1"/>
        <v>South</v>
      </c>
      <c r="G117" t="s">
        <v>56</v>
      </c>
      <c r="H117" t="s">
        <v>28</v>
      </c>
      <c r="I117">
        <v>2</v>
      </c>
    </row>
    <row r="118" spans="1:9" ht="21.75" customHeight="1">
      <c r="A118" t="s">
        <v>213</v>
      </c>
      <c r="B118" s="3">
        <v>45574</v>
      </c>
      <c r="C118" t="s">
        <v>93</v>
      </c>
      <c r="D118" t="s">
        <v>45</v>
      </c>
      <c r="E118" t="s">
        <v>17</v>
      </c>
      <c r="F118" t="str">
        <f t="shared" si="1"/>
        <v>North</v>
      </c>
      <c r="G118" t="s">
        <v>12</v>
      </c>
      <c r="H118" t="s">
        <v>28</v>
      </c>
      <c r="I118">
        <v>8</v>
      </c>
    </row>
    <row r="119" spans="1:9" ht="21.75" customHeight="1">
      <c r="A119" t="s">
        <v>214</v>
      </c>
      <c r="B119" s="3">
        <v>45441</v>
      </c>
      <c r="C119" t="s">
        <v>51</v>
      </c>
      <c r="D119" t="s">
        <v>197</v>
      </c>
      <c r="E119" t="s">
        <v>22</v>
      </c>
      <c r="F119" t="str">
        <f t="shared" si="1"/>
        <v>North</v>
      </c>
      <c r="G119" t="s">
        <v>12</v>
      </c>
      <c r="H119" t="s">
        <v>28</v>
      </c>
      <c r="I119">
        <v>5</v>
      </c>
    </row>
    <row r="120" spans="1:9" ht="21.75" customHeight="1">
      <c r="A120" t="s">
        <v>215</v>
      </c>
      <c r="B120" s="3">
        <v>45328</v>
      </c>
      <c r="C120" t="s">
        <v>133</v>
      </c>
      <c r="D120" t="s">
        <v>70</v>
      </c>
      <c r="E120" t="s">
        <v>22</v>
      </c>
      <c r="F120" t="str">
        <f t="shared" si="1"/>
        <v>South</v>
      </c>
      <c r="G120" t="s">
        <v>56</v>
      </c>
      <c r="H120" t="s">
        <v>32</v>
      </c>
      <c r="I120">
        <v>13</v>
      </c>
    </row>
    <row r="121" spans="1:9" ht="21.75" customHeight="1">
      <c r="A121" t="s">
        <v>216</v>
      </c>
      <c r="B121" s="3">
        <v>45350</v>
      </c>
      <c r="C121" t="s">
        <v>64</v>
      </c>
      <c r="D121" t="s">
        <v>65</v>
      </c>
      <c r="E121" t="s">
        <v>17</v>
      </c>
      <c r="F121" t="str">
        <f t="shared" si="1"/>
        <v>Central</v>
      </c>
      <c r="G121" t="s">
        <v>18</v>
      </c>
      <c r="H121" t="s">
        <v>28</v>
      </c>
      <c r="I121">
        <v>14</v>
      </c>
    </row>
    <row r="122" spans="1:9" ht="21.75" customHeight="1">
      <c r="A122" t="s">
        <v>217</v>
      </c>
      <c r="B122" s="3">
        <v>45376</v>
      </c>
      <c r="C122" t="s">
        <v>20</v>
      </c>
      <c r="D122" t="s">
        <v>119</v>
      </c>
      <c r="E122" t="s">
        <v>17</v>
      </c>
      <c r="F122" t="str">
        <f t="shared" si="1"/>
        <v>East</v>
      </c>
      <c r="G122" t="s">
        <v>42</v>
      </c>
      <c r="H122" t="s">
        <v>23</v>
      </c>
      <c r="I122">
        <v>8</v>
      </c>
    </row>
    <row r="123" spans="1:9" ht="21.75" customHeight="1">
      <c r="A123" t="s">
        <v>218</v>
      </c>
      <c r="B123" s="3">
        <v>45447</v>
      </c>
      <c r="C123" t="s">
        <v>68</v>
      </c>
      <c r="D123" t="s">
        <v>70</v>
      </c>
      <c r="F123" t="str">
        <f t="shared" si="1"/>
        <v>West</v>
      </c>
      <c r="G123" t="s">
        <v>27</v>
      </c>
      <c r="H123" t="s">
        <v>32</v>
      </c>
      <c r="I123">
        <v>8</v>
      </c>
    </row>
    <row r="124" spans="1:9" ht="21.75" customHeight="1">
      <c r="A124" t="s">
        <v>219</v>
      </c>
      <c r="B124" s="3">
        <v>45312</v>
      </c>
      <c r="C124" t="s">
        <v>47</v>
      </c>
      <c r="D124" t="s">
        <v>70</v>
      </c>
      <c r="E124" t="s">
        <v>17</v>
      </c>
      <c r="F124" t="str">
        <f t="shared" si="1"/>
        <v>West</v>
      </c>
      <c r="G124" t="s">
        <v>27</v>
      </c>
      <c r="H124" t="s">
        <v>32</v>
      </c>
      <c r="I124">
        <v>1</v>
      </c>
    </row>
    <row r="125" spans="1:9" ht="21.75" customHeight="1">
      <c r="A125" t="s">
        <v>220</v>
      </c>
      <c r="B125" s="3">
        <v>45586</v>
      </c>
      <c r="C125" t="s">
        <v>203</v>
      </c>
      <c r="D125" t="s">
        <v>10</v>
      </c>
      <c r="E125" t="s">
        <v>22</v>
      </c>
      <c r="F125" t="str">
        <f t="shared" si="1"/>
        <v>Central</v>
      </c>
      <c r="G125" t="s">
        <v>18</v>
      </c>
      <c r="H125" t="s">
        <v>13</v>
      </c>
      <c r="I125">
        <v>1</v>
      </c>
    </row>
    <row r="126" spans="1:9" ht="21.75" customHeight="1">
      <c r="A126" t="s">
        <v>221</v>
      </c>
      <c r="B126" s="3">
        <v>45532</v>
      </c>
      <c r="C126" t="s">
        <v>78</v>
      </c>
      <c r="D126" t="s">
        <v>174</v>
      </c>
      <c r="E126" t="s">
        <v>11</v>
      </c>
      <c r="F126" t="str">
        <f t="shared" si="1"/>
        <v>Central</v>
      </c>
      <c r="G126" t="s">
        <v>18</v>
      </c>
      <c r="H126" t="s">
        <v>36</v>
      </c>
      <c r="I126">
        <v>10</v>
      </c>
    </row>
    <row r="127" spans="1:9" ht="21.75" customHeight="1">
      <c r="A127" t="s">
        <v>222</v>
      </c>
      <c r="B127" s="3">
        <v>45338</v>
      </c>
      <c r="C127" t="s">
        <v>81</v>
      </c>
      <c r="D127" t="s">
        <v>87</v>
      </c>
      <c r="E127" t="s">
        <v>17</v>
      </c>
      <c r="F127" t="str">
        <f t="shared" si="1"/>
        <v>West</v>
      </c>
      <c r="G127" t="s">
        <v>27</v>
      </c>
      <c r="H127" t="s">
        <v>32</v>
      </c>
      <c r="I127">
        <v>6</v>
      </c>
    </row>
    <row r="128" spans="1:9" ht="21.75" customHeight="1">
      <c r="A128" t="s">
        <v>223</v>
      </c>
      <c r="B128" s="3">
        <v>45460</v>
      </c>
      <c r="C128" t="s">
        <v>89</v>
      </c>
      <c r="D128" t="s">
        <v>174</v>
      </c>
      <c r="E128" t="s">
        <v>22</v>
      </c>
      <c r="F128" t="str">
        <f t="shared" si="1"/>
        <v>West</v>
      </c>
      <c r="G128" t="s">
        <v>27</v>
      </c>
      <c r="H128" t="s">
        <v>36</v>
      </c>
      <c r="I128">
        <v>7</v>
      </c>
    </row>
    <row r="129" spans="1:9" ht="21.75" customHeight="1">
      <c r="A129" t="s">
        <v>224</v>
      </c>
      <c r="B129" s="3">
        <v>45310</v>
      </c>
      <c r="C129" t="s">
        <v>53</v>
      </c>
      <c r="D129" t="s">
        <v>10</v>
      </c>
      <c r="E129" t="s">
        <v>17</v>
      </c>
      <c r="F129" t="str">
        <f t="shared" si="1"/>
        <v>West</v>
      </c>
      <c r="G129" t="s">
        <v>27</v>
      </c>
      <c r="H129" t="s">
        <v>13</v>
      </c>
      <c r="I129">
        <v>6</v>
      </c>
    </row>
    <row r="130" spans="1:9" ht="21.75" customHeight="1">
      <c r="A130" t="s">
        <v>225</v>
      </c>
      <c r="B130" s="3">
        <v>45498</v>
      </c>
      <c r="C130" t="s">
        <v>86</v>
      </c>
      <c r="D130" t="s">
        <v>16</v>
      </c>
      <c r="E130" t="s">
        <v>17</v>
      </c>
      <c r="F130" t="str">
        <f t="shared" si="1"/>
        <v>Central</v>
      </c>
      <c r="G130" t="s">
        <v>18</v>
      </c>
      <c r="H130" t="s">
        <v>13</v>
      </c>
      <c r="I130">
        <v>7</v>
      </c>
    </row>
    <row r="131" spans="1:9" ht="21.75" customHeight="1">
      <c r="A131" t="s">
        <v>226</v>
      </c>
      <c r="B131" s="3">
        <v>45477</v>
      </c>
      <c r="C131" t="s">
        <v>58</v>
      </c>
      <c r="D131" t="s">
        <v>59</v>
      </c>
      <c r="E131" t="s">
        <v>11</v>
      </c>
      <c r="F131" t="str">
        <f t="shared" ref="F131:F194" si="2">TRIM(PROPER(G131))</f>
        <v>Central</v>
      </c>
      <c r="G131" t="s">
        <v>18</v>
      </c>
      <c r="H131" t="s">
        <v>36</v>
      </c>
      <c r="I131">
        <v>4</v>
      </c>
    </row>
    <row r="132" spans="1:9" ht="21.75" customHeight="1">
      <c r="A132" t="s">
        <v>227</v>
      </c>
      <c r="B132" s="3">
        <v>45439</v>
      </c>
      <c r="C132" t="s">
        <v>114</v>
      </c>
      <c r="D132" t="s">
        <v>35</v>
      </c>
      <c r="E132" t="s">
        <v>11</v>
      </c>
      <c r="F132" t="str">
        <f t="shared" si="2"/>
        <v>West</v>
      </c>
      <c r="G132" t="s">
        <v>27</v>
      </c>
      <c r="H132" t="s">
        <v>36</v>
      </c>
      <c r="I132">
        <v>11</v>
      </c>
    </row>
    <row r="133" spans="1:9" ht="21.75" customHeight="1">
      <c r="A133" t="s">
        <v>228</v>
      </c>
      <c r="B133" s="3">
        <v>45655</v>
      </c>
      <c r="C133" t="s">
        <v>40</v>
      </c>
      <c r="D133" t="s">
        <v>70</v>
      </c>
      <c r="E133" t="s">
        <v>11</v>
      </c>
      <c r="F133" t="str">
        <f t="shared" si="2"/>
        <v>South</v>
      </c>
      <c r="G133" t="s">
        <v>56</v>
      </c>
      <c r="H133" t="s">
        <v>32</v>
      </c>
      <c r="I133">
        <v>9</v>
      </c>
    </row>
    <row r="134" spans="1:9" ht="21.75" customHeight="1">
      <c r="A134" t="s">
        <v>229</v>
      </c>
      <c r="B134" s="3">
        <v>45350</v>
      </c>
      <c r="C134" t="s">
        <v>230</v>
      </c>
      <c r="D134" t="s">
        <v>79</v>
      </c>
      <c r="E134" t="s">
        <v>17</v>
      </c>
      <c r="F134" t="str">
        <f t="shared" si="2"/>
        <v>West</v>
      </c>
      <c r="G134" t="s">
        <v>27</v>
      </c>
      <c r="H134" t="s">
        <v>13</v>
      </c>
      <c r="I134">
        <v>15</v>
      </c>
    </row>
    <row r="135" spans="1:9" ht="21.75" customHeight="1">
      <c r="A135" t="s">
        <v>231</v>
      </c>
      <c r="B135" s="3">
        <v>45653</v>
      </c>
      <c r="C135" t="s">
        <v>208</v>
      </c>
      <c r="D135" t="s">
        <v>59</v>
      </c>
      <c r="E135" t="s">
        <v>17</v>
      </c>
      <c r="F135" t="str">
        <f t="shared" si="2"/>
        <v>East</v>
      </c>
      <c r="G135" t="s">
        <v>42</v>
      </c>
      <c r="H135" t="s">
        <v>163</v>
      </c>
      <c r="I135">
        <v>4</v>
      </c>
    </row>
    <row r="136" spans="1:9" ht="21.75" customHeight="1">
      <c r="A136" t="s">
        <v>232</v>
      </c>
      <c r="B136" s="3">
        <v>45488</v>
      </c>
      <c r="C136" t="s">
        <v>122</v>
      </c>
      <c r="D136" t="s">
        <v>119</v>
      </c>
      <c r="E136" t="s">
        <v>22</v>
      </c>
      <c r="F136" t="str">
        <f t="shared" si="2"/>
        <v>South</v>
      </c>
      <c r="G136" t="s">
        <v>56</v>
      </c>
      <c r="H136" t="s">
        <v>23</v>
      </c>
      <c r="I136">
        <v>15</v>
      </c>
    </row>
    <row r="137" spans="1:9" ht="21.75" customHeight="1">
      <c r="A137" t="s">
        <v>233</v>
      </c>
      <c r="B137" s="3">
        <v>45433</v>
      </c>
      <c r="C137" t="s">
        <v>83</v>
      </c>
      <c r="D137" t="s">
        <v>70</v>
      </c>
      <c r="E137" t="s">
        <v>17</v>
      </c>
      <c r="F137" t="str">
        <f t="shared" si="2"/>
        <v>West</v>
      </c>
      <c r="G137" t="s">
        <v>27</v>
      </c>
      <c r="H137" t="s">
        <v>32</v>
      </c>
      <c r="I137">
        <v>14</v>
      </c>
    </row>
    <row r="138" spans="1:9" ht="21.75" customHeight="1">
      <c r="A138" t="s">
        <v>234</v>
      </c>
      <c r="B138" s="3">
        <v>45444</v>
      </c>
      <c r="C138" t="s">
        <v>235</v>
      </c>
      <c r="D138" t="s">
        <v>84</v>
      </c>
      <c r="E138" t="s">
        <v>11</v>
      </c>
      <c r="F138" t="str">
        <f t="shared" si="2"/>
        <v>Central</v>
      </c>
      <c r="G138" t="s">
        <v>18</v>
      </c>
      <c r="H138" t="s">
        <v>23</v>
      </c>
      <c r="I138">
        <v>8</v>
      </c>
    </row>
    <row r="139" spans="1:9" ht="21.75" customHeight="1">
      <c r="A139" t="s">
        <v>236</v>
      </c>
      <c r="B139" s="3">
        <v>45462</v>
      </c>
      <c r="C139" t="s">
        <v>108</v>
      </c>
      <c r="D139" t="s">
        <v>84</v>
      </c>
      <c r="E139" t="s">
        <v>17</v>
      </c>
      <c r="F139" t="str">
        <f t="shared" si="2"/>
        <v>Central</v>
      </c>
      <c r="G139" t="s">
        <v>18</v>
      </c>
      <c r="H139" t="s">
        <v>23</v>
      </c>
      <c r="I139">
        <v>15</v>
      </c>
    </row>
    <row r="140" spans="1:9" ht="21.75" customHeight="1">
      <c r="A140" t="s">
        <v>237</v>
      </c>
      <c r="B140" s="3">
        <v>45649</v>
      </c>
      <c r="C140" t="s">
        <v>138</v>
      </c>
      <c r="D140" t="s">
        <v>84</v>
      </c>
      <c r="E140" t="s">
        <v>11</v>
      </c>
      <c r="F140" t="str">
        <f t="shared" si="2"/>
        <v>South</v>
      </c>
      <c r="G140" t="s">
        <v>56</v>
      </c>
      <c r="H140" t="s">
        <v>23</v>
      </c>
      <c r="I140">
        <v>14</v>
      </c>
    </row>
    <row r="141" spans="1:9" ht="21.75" customHeight="1">
      <c r="A141" t="s">
        <v>238</v>
      </c>
      <c r="B141" s="3">
        <v>45454</v>
      </c>
      <c r="C141" t="s">
        <v>208</v>
      </c>
      <c r="D141" t="s">
        <v>59</v>
      </c>
      <c r="E141" t="s">
        <v>22</v>
      </c>
      <c r="F141" t="str">
        <f t="shared" si="2"/>
        <v>West</v>
      </c>
      <c r="G141" t="s">
        <v>27</v>
      </c>
      <c r="H141" t="s">
        <v>36</v>
      </c>
      <c r="I141">
        <v>13</v>
      </c>
    </row>
    <row r="142" spans="1:9" ht="21.75" customHeight="1">
      <c r="A142" t="s">
        <v>239</v>
      </c>
      <c r="B142" s="3">
        <v>45545</v>
      </c>
      <c r="C142" t="s">
        <v>240</v>
      </c>
      <c r="D142" t="s">
        <v>74</v>
      </c>
      <c r="E142" t="s">
        <v>22</v>
      </c>
      <c r="F142" t="str">
        <f t="shared" si="2"/>
        <v>North</v>
      </c>
      <c r="G142" t="s">
        <v>12</v>
      </c>
      <c r="H142" t="s">
        <v>28</v>
      </c>
      <c r="I142">
        <v>6</v>
      </c>
    </row>
    <row r="143" spans="1:9" ht="21.75" customHeight="1">
      <c r="A143" t="s">
        <v>241</v>
      </c>
      <c r="B143" s="3">
        <v>45343</v>
      </c>
      <c r="C143" t="s">
        <v>187</v>
      </c>
      <c r="D143" t="s">
        <v>35</v>
      </c>
      <c r="F143" t="str">
        <f t="shared" si="2"/>
        <v>Central</v>
      </c>
      <c r="G143" t="s">
        <v>18</v>
      </c>
      <c r="H143" t="s">
        <v>36</v>
      </c>
      <c r="I143">
        <v>3</v>
      </c>
    </row>
    <row r="144" spans="1:9" ht="21.75" customHeight="1">
      <c r="A144" t="s">
        <v>242</v>
      </c>
      <c r="B144" s="3">
        <v>45371</v>
      </c>
      <c r="C144" t="s">
        <v>187</v>
      </c>
      <c r="D144" t="s">
        <v>174</v>
      </c>
      <c r="E144" t="s">
        <v>17</v>
      </c>
      <c r="F144" t="str">
        <f t="shared" si="2"/>
        <v>North</v>
      </c>
      <c r="G144" t="s">
        <v>12</v>
      </c>
      <c r="H144" t="s">
        <v>36</v>
      </c>
      <c r="I144">
        <v>10</v>
      </c>
    </row>
    <row r="145" spans="1:9" ht="21.75" customHeight="1">
      <c r="A145" t="s">
        <v>243</v>
      </c>
      <c r="B145" s="3">
        <v>45333</v>
      </c>
      <c r="C145" t="s">
        <v>159</v>
      </c>
      <c r="D145" t="s">
        <v>84</v>
      </c>
      <c r="E145" t="s">
        <v>17</v>
      </c>
      <c r="F145" t="str">
        <f t="shared" si="2"/>
        <v>East</v>
      </c>
      <c r="G145" t="s">
        <v>42</v>
      </c>
      <c r="H145" t="s">
        <v>23</v>
      </c>
      <c r="I145">
        <v>11</v>
      </c>
    </row>
    <row r="146" spans="1:9" ht="21.75" customHeight="1">
      <c r="A146" t="s">
        <v>244</v>
      </c>
      <c r="B146" s="3">
        <v>45541</v>
      </c>
      <c r="C146" t="s">
        <v>167</v>
      </c>
      <c r="D146" t="s">
        <v>16</v>
      </c>
      <c r="E146" t="s">
        <v>11</v>
      </c>
      <c r="F146" t="str">
        <f t="shared" si="2"/>
        <v>Central</v>
      </c>
      <c r="G146" t="s">
        <v>18</v>
      </c>
      <c r="H146" t="s">
        <v>245</v>
      </c>
      <c r="I146">
        <v>4</v>
      </c>
    </row>
    <row r="147" spans="1:9" ht="21.75" customHeight="1">
      <c r="A147" t="s">
        <v>246</v>
      </c>
      <c r="B147" s="3">
        <v>45408</v>
      </c>
      <c r="C147" t="s">
        <v>240</v>
      </c>
      <c r="D147" t="s">
        <v>35</v>
      </c>
      <c r="E147" t="s">
        <v>22</v>
      </c>
      <c r="F147" t="str">
        <f t="shared" si="2"/>
        <v>North</v>
      </c>
      <c r="G147" t="s">
        <v>12</v>
      </c>
      <c r="H147" t="s">
        <v>36</v>
      </c>
      <c r="I147">
        <v>12</v>
      </c>
    </row>
    <row r="148" spans="1:9" ht="21.75" customHeight="1">
      <c r="A148" t="s">
        <v>247</v>
      </c>
      <c r="B148" s="3">
        <v>45377</v>
      </c>
      <c r="C148" t="s">
        <v>235</v>
      </c>
      <c r="D148" t="s">
        <v>96</v>
      </c>
      <c r="E148" t="s">
        <v>17</v>
      </c>
      <c r="F148" t="str">
        <f t="shared" si="2"/>
        <v>East</v>
      </c>
      <c r="G148" t="s">
        <v>42</v>
      </c>
      <c r="H148" t="s">
        <v>13</v>
      </c>
      <c r="I148">
        <v>13</v>
      </c>
    </row>
    <row r="149" spans="1:9" ht="21.75" customHeight="1">
      <c r="A149" t="s">
        <v>248</v>
      </c>
      <c r="B149" s="3">
        <v>45483</v>
      </c>
      <c r="C149" t="s">
        <v>106</v>
      </c>
      <c r="D149" t="s">
        <v>65</v>
      </c>
      <c r="E149" t="s">
        <v>22</v>
      </c>
      <c r="F149" t="str">
        <f t="shared" si="2"/>
        <v>West</v>
      </c>
      <c r="G149" t="s">
        <v>27</v>
      </c>
      <c r="H149" t="s">
        <v>28</v>
      </c>
      <c r="I149">
        <v>7</v>
      </c>
    </row>
    <row r="150" spans="1:9" ht="21.75" customHeight="1">
      <c r="A150" t="s">
        <v>249</v>
      </c>
      <c r="B150" s="3">
        <v>45384</v>
      </c>
      <c r="C150" t="s">
        <v>47</v>
      </c>
      <c r="D150" t="s">
        <v>45</v>
      </c>
      <c r="E150" t="s">
        <v>22</v>
      </c>
      <c r="F150" t="str">
        <f t="shared" si="2"/>
        <v>South</v>
      </c>
      <c r="G150" t="s">
        <v>56</v>
      </c>
      <c r="H150" t="s">
        <v>66</v>
      </c>
      <c r="I150">
        <v>14</v>
      </c>
    </row>
    <row r="151" spans="1:9" ht="21.75" customHeight="1">
      <c r="A151" t="s">
        <v>250</v>
      </c>
      <c r="B151" s="3">
        <v>45415</v>
      </c>
      <c r="C151" t="s">
        <v>51</v>
      </c>
      <c r="D151" t="s">
        <v>41</v>
      </c>
      <c r="E151" t="s">
        <v>11</v>
      </c>
      <c r="F151" t="str">
        <f t="shared" si="2"/>
        <v>West</v>
      </c>
      <c r="G151" t="s">
        <v>27</v>
      </c>
      <c r="H151" t="s">
        <v>23</v>
      </c>
      <c r="I151">
        <v>8</v>
      </c>
    </row>
    <row r="152" spans="1:9" ht="21.75" customHeight="1">
      <c r="A152" t="s">
        <v>251</v>
      </c>
      <c r="B152" s="3">
        <v>45422</v>
      </c>
      <c r="C152" t="s">
        <v>240</v>
      </c>
      <c r="D152" t="s">
        <v>174</v>
      </c>
      <c r="E152" t="s">
        <v>22</v>
      </c>
      <c r="F152" t="str">
        <f t="shared" si="2"/>
        <v>North</v>
      </c>
      <c r="G152" t="s">
        <v>12</v>
      </c>
      <c r="H152" t="s">
        <v>36</v>
      </c>
      <c r="I152">
        <v>9</v>
      </c>
    </row>
    <row r="153" spans="1:9" ht="21.75" customHeight="1">
      <c r="A153" t="s">
        <v>252</v>
      </c>
      <c r="B153" s="3">
        <v>45468</v>
      </c>
      <c r="C153" t="s">
        <v>125</v>
      </c>
      <c r="D153" t="s">
        <v>87</v>
      </c>
      <c r="E153" t="s">
        <v>22</v>
      </c>
      <c r="F153" t="str">
        <f t="shared" si="2"/>
        <v>Central</v>
      </c>
      <c r="G153" t="s">
        <v>18</v>
      </c>
      <c r="H153" t="s">
        <v>32</v>
      </c>
      <c r="I153">
        <v>5</v>
      </c>
    </row>
    <row r="154" spans="1:9" ht="21.75" customHeight="1">
      <c r="A154" t="s">
        <v>253</v>
      </c>
      <c r="B154" s="3">
        <v>45393</v>
      </c>
      <c r="C154" t="s">
        <v>55</v>
      </c>
      <c r="D154" t="s">
        <v>35</v>
      </c>
      <c r="E154" t="s">
        <v>11</v>
      </c>
      <c r="F154" t="str">
        <f t="shared" si="2"/>
        <v>West</v>
      </c>
      <c r="G154" t="s">
        <v>27</v>
      </c>
      <c r="H154" t="s">
        <v>36</v>
      </c>
      <c r="I154">
        <v>7</v>
      </c>
    </row>
    <row r="155" spans="1:9" ht="21.75" customHeight="1">
      <c r="A155" t="s">
        <v>254</v>
      </c>
      <c r="B155" s="3">
        <v>45443</v>
      </c>
      <c r="C155" t="s">
        <v>47</v>
      </c>
      <c r="D155" t="s">
        <v>102</v>
      </c>
      <c r="E155" t="s">
        <v>17</v>
      </c>
      <c r="F155" t="str">
        <f t="shared" si="2"/>
        <v>East</v>
      </c>
      <c r="G155" t="s">
        <v>42</v>
      </c>
      <c r="H155" t="s">
        <v>245</v>
      </c>
      <c r="I155">
        <v>1</v>
      </c>
    </row>
    <row r="156" spans="1:9" ht="21.75" customHeight="1">
      <c r="A156" t="s">
        <v>255</v>
      </c>
      <c r="B156" s="3">
        <v>45317</v>
      </c>
      <c r="C156" t="s">
        <v>40</v>
      </c>
      <c r="D156" t="s">
        <v>174</v>
      </c>
      <c r="E156" t="s">
        <v>11</v>
      </c>
      <c r="F156" t="str">
        <f t="shared" si="2"/>
        <v>Central</v>
      </c>
      <c r="G156" t="s">
        <v>18</v>
      </c>
      <c r="H156" t="s">
        <v>36</v>
      </c>
      <c r="I156">
        <v>10</v>
      </c>
    </row>
    <row r="157" spans="1:9" ht="21.75" customHeight="1">
      <c r="A157" t="s">
        <v>256</v>
      </c>
      <c r="B157" s="3">
        <v>45617</v>
      </c>
      <c r="C157" t="s">
        <v>118</v>
      </c>
      <c r="D157" t="s">
        <v>62</v>
      </c>
      <c r="E157" t="s">
        <v>22</v>
      </c>
      <c r="F157" t="str">
        <f t="shared" si="2"/>
        <v>South</v>
      </c>
      <c r="G157" t="s">
        <v>56</v>
      </c>
      <c r="H157" t="s">
        <v>23</v>
      </c>
      <c r="I157">
        <v>13</v>
      </c>
    </row>
    <row r="158" spans="1:9" ht="21.75" customHeight="1">
      <c r="A158" t="s">
        <v>257</v>
      </c>
      <c r="B158" s="3">
        <v>45640</v>
      </c>
      <c r="C158" t="s">
        <v>61</v>
      </c>
      <c r="D158" t="s">
        <v>96</v>
      </c>
      <c r="E158" t="s">
        <v>17</v>
      </c>
      <c r="F158" t="str">
        <f t="shared" si="2"/>
        <v>South</v>
      </c>
      <c r="G158" t="s">
        <v>56</v>
      </c>
      <c r="H158" t="s">
        <v>13</v>
      </c>
      <c r="I158">
        <v>13</v>
      </c>
    </row>
    <row r="159" spans="1:9" ht="21.75" customHeight="1">
      <c r="A159" t="s">
        <v>258</v>
      </c>
      <c r="B159" s="3">
        <v>45478</v>
      </c>
      <c r="C159" t="s">
        <v>108</v>
      </c>
      <c r="D159" t="s">
        <v>10</v>
      </c>
      <c r="E159" t="s">
        <v>17</v>
      </c>
      <c r="F159" t="str">
        <f t="shared" si="2"/>
        <v>South</v>
      </c>
      <c r="G159" t="s">
        <v>56</v>
      </c>
      <c r="H159" t="s">
        <v>13</v>
      </c>
      <c r="I159">
        <v>12</v>
      </c>
    </row>
    <row r="160" spans="1:9" ht="21.75" customHeight="1">
      <c r="A160" t="s">
        <v>259</v>
      </c>
      <c r="B160" s="3">
        <v>45359</v>
      </c>
      <c r="C160" t="s">
        <v>81</v>
      </c>
      <c r="D160" t="s">
        <v>70</v>
      </c>
      <c r="E160" t="s">
        <v>22</v>
      </c>
      <c r="F160" t="str">
        <f t="shared" si="2"/>
        <v>Central</v>
      </c>
      <c r="G160" t="s">
        <v>18</v>
      </c>
      <c r="H160" t="s">
        <v>32</v>
      </c>
      <c r="I160">
        <v>15</v>
      </c>
    </row>
    <row r="161" spans="1:9" ht="21.75" customHeight="1">
      <c r="A161" t="s">
        <v>260</v>
      </c>
      <c r="B161" s="3">
        <v>45423</v>
      </c>
      <c r="C161" t="s">
        <v>208</v>
      </c>
      <c r="D161" t="s">
        <v>31</v>
      </c>
      <c r="E161" t="s">
        <v>11</v>
      </c>
      <c r="F161" t="str">
        <f t="shared" si="2"/>
        <v>West</v>
      </c>
      <c r="G161" t="s">
        <v>27</v>
      </c>
      <c r="H161" t="s">
        <v>32</v>
      </c>
      <c r="I161">
        <v>8</v>
      </c>
    </row>
    <row r="162" spans="1:9" ht="21.75" customHeight="1">
      <c r="A162" t="s">
        <v>261</v>
      </c>
      <c r="B162" s="3">
        <v>45407</v>
      </c>
      <c r="C162" t="s">
        <v>34</v>
      </c>
      <c r="D162" t="s">
        <v>62</v>
      </c>
      <c r="E162" t="s">
        <v>11</v>
      </c>
      <c r="F162" t="str">
        <f t="shared" si="2"/>
        <v>West</v>
      </c>
      <c r="G162" t="s">
        <v>27</v>
      </c>
      <c r="H162" t="s">
        <v>152</v>
      </c>
      <c r="I162">
        <v>13</v>
      </c>
    </row>
    <row r="163" spans="1:9" ht="21.75" customHeight="1">
      <c r="A163" t="s">
        <v>262</v>
      </c>
      <c r="B163" s="3">
        <v>45566</v>
      </c>
      <c r="C163" t="s">
        <v>61</v>
      </c>
      <c r="D163" t="s">
        <v>174</v>
      </c>
      <c r="E163" t="s">
        <v>22</v>
      </c>
      <c r="F163" t="str">
        <f t="shared" si="2"/>
        <v>North</v>
      </c>
      <c r="G163" t="s">
        <v>12</v>
      </c>
      <c r="H163" t="s">
        <v>36</v>
      </c>
      <c r="I163">
        <v>12</v>
      </c>
    </row>
    <row r="164" spans="1:9" ht="21.75" customHeight="1">
      <c r="A164" t="s">
        <v>263</v>
      </c>
      <c r="B164" s="3">
        <v>45487</v>
      </c>
      <c r="C164" t="s">
        <v>89</v>
      </c>
      <c r="D164" t="s">
        <v>79</v>
      </c>
      <c r="E164" t="s">
        <v>17</v>
      </c>
      <c r="F164" t="str">
        <f t="shared" si="2"/>
        <v>East</v>
      </c>
      <c r="G164" t="s">
        <v>42</v>
      </c>
      <c r="H164" t="s">
        <v>13</v>
      </c>
      <c r="I164">
        <v>1</v>
      </c>
    </row>
    <row r="165" spans="1:9" ht="21.75" customHeight="1">
      <c r="A165" t="s">
        <v>264</v>
      </c>
      <c r="B165" s="3">
        <v>45459</v>
      </c>
      <c r="C165" t="s">
        <v>20</v>
      </c>
      <c r="D165" t="s">
        <v>45</v>
      </c>
      <c r="E165" t="s">
        <v>22</v>
      </c>
      <c r="F165" t="str">
        <f t="shared" si="2"/>
        <v>Central</v>
      </c>
      <c r="G165" t="s">
        <v>18</v>
      </c>
      <c r="H165" t="s">
        <v>66</v>
      </c>
      <c r="I165">
        <v>14</v>
      </c>
    </row>
    <row r="166" spans="1:9" ht="21.75" customHeight="1">
      <c r="A166" t="s">
        <v>265</v>
      </c>
      <c r="B166" s="3">
        <v>45446</v>
      </c>
      <c r="C166" t="s">
        <v>78</v>
      </c>
      <c r="D166" t="s">
        <v>79</v>
      </c>
      <c r="E166" t="s">
        <v>11</v>
      </c>
      <c r="F166" t="str">
        <f t="shared" si="2"/>
        <v>West</v>
      </c>
      <c r="G166" t="s">
        <v>27</v>
      </c>
      <c r="H166" t="s">
        <v>13</v>
      </c>
      <c r="I166">
        <v>1</v>
      </c>
    </row>
    <row r="167" spans="1:9" ht="21.75" customHeight="1">
      <c r="A167" t="s">
        <v>266</v>
      </c>
      <c r="B167" s="3">
        <v>45351</v>
      </c>
      <c r="C167" t="s">
        <v>118</v>
      </c>
      <c r="D167" t="s">
        <v>74</v>
      </c>
      <c r="E167" t="s">
        <v>11</v>
      </c>
      <c r="F167" t="str">
        <f t="shared" si="2"/>
        <v>North</v>
      </c>
      <c r="G167" t="s">
        <v>12</v>
      </c>
      <c r="H167" t="s">
        <v>66</v>
      </c>
      <c r="I167">
        <v>7</v>
      </c>
    </row>
    <row r="168" spans="1:9" ht="21.75" customHeight="1">
      <c r="A168" t="s">
        <v>267</v>
      </c>
      <c r="B168" s="3">
        <v>45648</v>
      </c>
      <c r="C168" t="s">
        <v>95</v>
      </c>
      <c r="D168" t="s">
        <v>109</v>
      </c>
      <c r="E168" t="s">
        <v>22</v>
      </c>
      <c r="F168" t="str">
        <f t="shared" si="2"/>
        <v>Central</v>
      </c>
      <c r="G168" t="s">
        <v>18</v>
      </c>
      <c r="H168" t="s">
        <v>36</v>
      </c>
      <c r="I168">
        <v>12</v>
      </c>
    </row>
    <row r="169" spans="1:9" ht="21.75" customHeight="1">
      <c r="A169" t="s">
        <v>268</v>
      </c>
      <c r="B169" s="3">
        <v>45627</v>
      </c>
      <c r="C169" t="s">
        <v>44</v>
      </c>
      <c r="D169" t="s">
        <v>109</v>
      </c>
      <c r="E169" t="s">
        <v>17</v>
      </c>
      <c r="F169" t="str">
        <f t="shared" si="2"/>
        <v>North</v>
      </c>
      <c r="G169" t="s">
        <v>12</v>
      </c>
      <c r="H169" t="s">
        <v>36</v>
      </c>
      <c r="I169">
        <v>5</v>
      </c>
    </row>
    <row r="170" spans="1:9" ht="21.75" customHeight="1">
      <c r="A170" t="s">
        <v>269</v>
      </c>
      <c r="B170" s="3">
        <v>45403</v>
      </c>
      <c r="C170" t="s">
        <v>44</v>
      </c>
      <c r="D170" t="s">
        <v>160</v>
      </c>
      <c r="E170" t="s">
        <v>17</v>
      </c>
      <c r="F170" t="str">
        <f t="shared" si="2"/>
        <v>West</v>
      </c>
      <c r="G170" t="s">
        <v>27</v>
      </c>
      <c r="H170" t="s">
        <v>36</v>
      </c>
      <c r="I170">
        <v>2</v>
      </c>
    </row>
    <row r="171" spans="1:9" ht="21.75" customHeight="1">
      <c r="A171" t="s">
        <v>270</v>
      </c>
      <c r="B171" s="3">
        <v>45570</v>
      </c>
      <c r="C171" t="s">
        <v>51</v>
      </c>
      <c r="D171" t="s">
        <v>102</v>
      </c>
      <c r="E171" t="s">
        <v>17</v>
      </c>
      <c r="F171" t="str">
        <f t="shared" si="2"/>
        <v>East</v>
      </c>
      <c r="G171" t="s">
        <v>42</v>
      </c>
      <c r="H171" t="s">
        <v>13</v>
      </c>
      <c r="I171">
        <v>4</v>
      </c>
    </row>
    <row r="172" spans="1:9" ht="21.75" customHeight="1">
      <c r="A172" t="s">
        <v>271</v>
      </c>
      <c r="B172" s="3">
        <v>45338</v>
      </c>
      <c r="C172" t="s">
        <v>58</v>
      </c>
      <c r="D172" t="s">
        <v>21</v>
      </c>
      <c r="E172" t="s">
        <v>11</v>
      </c>
      <c r="F172" t="str">
        <f t="shared" si="2"/>
        <v>South</v>
      </c>
      <c r="G172" t="s">
        <v>56</v>
      </c>
      <c r="H172" t="s">
        <v>23</v>
      </c>
      <c r="I172">
        <v>13</v>
      </c>
    </row>
    <row r="173" spans="1:9" ht="21.75" customHeight="1">
      <c r="A173" t="s">
        <v>272</v>
      </c>
      <c r="B173" s="3">
        <v>45581</v>
      </c>
      <c r="C173" t="s">
        <v>40</v>
      </c>
      <c r="D173" t="s">
        <v>16</v>
      </c>
      <c r="E173" t="s">
        <v>11</v>
      </c>
      <c r="F173" t="str">
        <f t="shared" si="2"/>
        <v>South</v>
      </c>
      <c r="G173" t="s">
        <v>56</v>
      </c>
      <c r="H173" t="s">
        <v>13</v>
      </c>
      <c r="I173">
        <v>10</v>
      </c>
    </row>
    <row r="174" spans="1:9" ht="21.75" customHeight="1">
      <c r="A174" t="s">
        <v>273</v>
      </c>
      <c r="B174" s="3">
        <v>45460</v>
      </c>
      <c r="C174" t="s">
        <v>58</v>
      </c>
      <c r="D174" t="s">
        <v>21</v>
      </c>
      <c r="E174" t="s">
        <v>17</v>
      </c>
      <c r="F174" t="str">
        <f t="shared" si="2"/>
        <v>South</v>
      </c>
      <c r="G174" t="s">
        <v>56</v>
      </c>
      <c r="H174" t="s">
        <v>23</v>
      </c>
      <c r="I174">
        <v>14</v>
      </c>
    </row>
    <row r="175" spans="1:9" ht="21.75" customHeight="1">
      <c r="A175" t="s">
        <v>274</v>
      </c>
      <c r="B175" s="3">
        <v>45568</v>
      </c>
      <c r="C175" t="s">
        <v>25</v>
      </c>
      <c r="D175" t="s">
        <v>45</v>
      </c>
      <c r="E175" t="s">
        <v>22</v>
      </c>
      <c r="F175" t="str">
        <f t="shared" si="2"/>
        <v>East</v>
      </c>
      <c r="G175" t="s">
        <v>42</v>
      </c>
      <c r="H175" t="s">
        <v>28</v>
      </c>
      <c r="I175">
        <v>14</v>
      </c>
    </row>
    <row r="176" spans="1:9" ht="21.75" customHeight="1">
      <c r="A176" t="s">
        <v>275</v>
      </c>
      <c r="B176" s="3">
        <v>45475</v>
      </c>
      <c r="C176" t="s">
        <v>58</v>
      </c>
      <c r="D176" t="s">
        <v>62</v>
      </c>
      <c r="E176" t="s">
        <v>11</v>
      </c>
      <c r="F176" t="str">
        <f t="shared" si="2"/>
        <v>South</v>
      </c>
      <c r="G176" t="s">
        <v>56</v>
      </c>
      <c r="H176" t="s">
        <v>23</v>
      </c>
      <c r="I176">
        <v>3</v>
      </c>
    </row>
    <row r="177" spans="1:9" ht="21.75" customHeight="1">
      <c r="A177" t="s">
        <v>276</v>
      </c>
      <c r="B177" s="3">
        <v>45507</v>
      </c>
      <c r="C177" t="s">
        <v>230</v>
      </c>
      <c r="D177" t="s">
        <v>96</v>
      </c>
      <c r="F177" t="str">
        <f t="shared" si="2"/>
        <v>Central</v>
      </c>
      <c r="G177" t="s">
        <v>18</v>
      </c>
      <c r="H177" t="s">
        <v>13</v>
      </c>
      <c r="I177">
        <v>8</v>
      </c>
    </row>
    <row r="178" spans="1:9" ht="21.75" customHeight="1">
      <c r="A178" t="s">
        <v>277</v>
      </c>
      <c r="B178" s="3">
        <v>45595</v>
      </c>
      <c r="C178" t="s">
        <v>106</v>
      </c>
      <c r="D178" t="s">
        <v>109</v>
      </c>
      <c r="F178" t="str">
        <f t="shared" si="2"/>
        <v>North</v>
      </c>
      <c r="G178" t="s">
        <v>12</v>
      </c>
      <c r="H178" t="s">
        <v>163</v>
      </c>
      <c r="I178">
        <v>10</v>
      </c>
    </row>
    <row r="179" spans="1:9" ht="21.75" customHeight="1">
      <c r="A179" t="s">
        <v>278</v>
      </c>
      <c r="B179" s="3">
        <v>45629</v>
      </c>
      <c r="C179" t="s">
        <v>93</v>
      </c>
      <c r="D179" t="s">
        <v>87</v>
      </c>
      <c r="F179" t="str">
        <f t="shared" si="2"/>
        <v>Central</v>
      </c>
      <c r="G179" t="s">
        <v>18</v>
      </c>
      <c r="H179" t="s">
        <v>32</v>
      </c>
      <c r="I179">
        <v>1</v>
      </c>
    </row>
    <row r="180" spans="1:9" ht="21.75" customHeight="1">
      <c r="A180" t="s">
        <v>279</v>
      </c>
      <c r="B180" s="3">
        <v>45497</v>
      </c>
      <c r="C180" t="s">
        <v>116</v>
      </c>
      <c r="D180" t="s">
        <v>102</v>
      </c>
      <c r="E180" t="s">
        <v>22</v>
      </c>
      <c r="F180" t="str">
        <f t="shared" si="2"/>
        <v>West</v>
      </c>
      <c r="G180" t="s">
        <v>27</v>
      </c>
      <c r="H180" t="s">
        <v>13</v>
      </c>
      <c r="I180">
        <v>15</v>
      </c>
    </row>
    <row r="181" spans="1:9" ht="21.75" customHeight="1">
      <c r="A181" t="s">
        <v>280</v>
      </c>
      <c r="B181" s="3">
        <v>45456</v>
      </c>
      <c r="C181" t="s">
        <v>61</v>
      </c>
      <c r="D181" t="s">
        <v>45</v>
      </c>
      <c r="E181" t="s">
        <v>11</v>
      </c>
      <c r="F181" t="str">
        <f t="shared" si="2"/>
        <v>Central</v>
      </c>
      <c r="G181" t="s">
        <v>18</v>
      </c>
      <c r="H181" t="s">
        <v>28</v>
      </c>
      <c r="I181">
        <v>5</v>
      </c>
    </row>
    <row r="182" spans="1:9" ht="21.75" customHeight="1">
      <c r="A182" t="s">
        <v>281</v>
      </c>
      <c r="B182" s="3">
        <v>45572</v>
      </c>
      <c r="C182" t="s">
        <v>68</v>
      </c>
      <c r="D182" t="s">
        <v>109</v>
      </c>
      <c r="E182" t="s">
        <v>22</v>
      </c>
      <c r="F182" t="str">
        <f t="shared" si="2"/>
        <v>East</v>
      </c>
      <c r="G182" t="s">
        <v>42</v>
      </c>
      <c r="H182" t="s">
        <v>36</v>
      </c>
      <c r="I182">
        <v>5</v>
      </c>
    </row>
    <row r="183" spans="1:9" ht="21.75" customHeight="1">
      <c r="A183" t="s">
        <v>282</v>
      </c>
      <c r="B183" s="3">
        <v>45512</v>
      </c>
      <c r="C183" t="s">
        <v>240</v>
      </c>
      <c r="D183" t="s">
        <v>16</v>
      </c>
      <c r="E183" t="s">
        <v>22</v>
      </c>
      <c r="F183" t="str">
        <f t="shared" si="2"/>
        <v>North</v>
      </c>
      <c r="G183" t="s">
        <v>12</v>
      </c>
      <c r="H183" t="s">
        <v>13</v>
      </c>
      <c r="I183">
        <v>14</v>
      </c>
    </row>
    <row r="184" spans="1:9" ht="21.75" customHeight="1">
      <c r="A184" t="s">
        <v>283</v>
      </c>
      <c r="B184" s="3">
        <v>45408</v>
      </c>
      <c r="C184" t="s">
        <v>111</v>
      </c>
      <c r="D184" t="s">
        <v>87</v>
      </c>
      <c r="E184" t="s">
        <v>17</v>
      </c>
      <c r="F184" t="str">
        <f t="shared" si="2"/>
        <v>West</v>
      </c>
      <c r="G184" t="s">
        <v>27</v>
      </c>
      <c r="H184" t="s">
        <v>32</v>
      </c>
      <c r="I184">
        <v>7</v>
      </c>
    </row>
    <row r="185" spans="1:9" ht="21.75" customHeight="1">
      <c r="A185" t="s">
        <v>284</v>
      </c>
      <c r="B185" s="3">
        <v>45510</v>
      </c>
      <c r="C185" t="s">
        <v>122</v>
      </c>
      <c r="D185" t="s">
        <v>31</v>
      </c>
      <c r="E185" t="s">
        <v>11</v>
      </c>
      <c r="F185" t="str">
        <f t="shared" si="2"/>
        <v>East</v>
      </c>
      <c r="G185" t="s">
        <v>42</v>
      </c>
      <c r="H185" t="s">
        <v>49</v>
      </c>
      <c r="I185">
        <v>11</v>
      </c>
    </row>
    <row r="186" spans="1:9" ht="21.75" customHeight="1">
      <c r="A186" t="s">
        <v>285</v>
      </c>
      <c r="B186" s="3">
        <v>45338</v>
      </c>
      <c r="C186" t="s">
        <v>58</v>
      </c>
      <c r="D186" t="s">
        <v>102</v>
      </c>
      <c r="E186" t="s">
        <v>11</v>
      </c>
      <c r="F186" t="str">
        <f t="shared" si="2"/>
        <v>North</v>
      </c>
      <c r="G186" t="s">
        <v>12</v>
      </c>
      <c r="H186" t="s">
        <v>13</v>
      </c>
      <c r="I186">
        <v>12</v>
      </c>
    </row>
    <row r="187" spans="1:9" ht="21.75" customHeight="1">
      <c r="A187" t="s">
        <v>286</v>
      </c>
      <c r="B187" s="3">
        <v>45576</v>
      </c>
      <c r="C187" t="s">
        <v>95</v>
      </c>
      <c r="D187" t="s">
        <v>119</v>
      </c>
      <c r="E187" t="s">
        <v>22</v>
      </c>
      <c r="F187" t="str">
        <f t="shared" si="2"/>
        <v>North</v>
      </c>
      <c r="G187" t="s">
        <v>12</v>
      </c>
      <c r="H187" t="s">
        <v>23</v>
      </c>
      <c r="I187">
        <v>6</v>
      </c>
    </row>
    <row r="188" spans="1:9" ht="21.75" customHeight="1">
      <c r="A188" t="s">
        <v>287</v>
      </c>
      <c r="B188" s="3">
        <v>45473</v>
      </c>
      <c r="C188" t="s">
        <v>55</v>
      </c>
      <c r="D188" t="s">
        <v>10</v>
      </c>
      <c r="E188" t="s">
        <v>22</v>
      </c>
      <c r="F188" t="str">
        <f t="shared" si="2"/>
        <v>West</v>
      </c>
      <c r="G188" t="s">
        <v>27</v>
      </c>
      <c r="H188" t="s">
        <v>13</v>
      </c>
      <c r="I188">
        <v>5</v>
      </c>
    </row>
    <row r="189" spans="1:9" ht="21.75" customHeight="1">
      <c r="A189" t="s">
        <v>288</v>
      </c>
      <c r="B189" s="3">
        <v>45551</v>
      </c>
      <c r="C189" t="s">
        <v>89</v>
      </c>
      <c r="D189" t="s">
        <v>26</v>
      </c>
      <c r="E189" t="s">
        <v>11</v>
      </c>
      <c r="F189" t="str">
        <f t="shared" si="2"/>
        <v>South</v>
      </c>
      <c r="G189" t="s">
        <v>56</v>
      </c>
      <c r="H189" t="s">
        <v>28</v>
      </c>
      <c r="I189">
        <v>14</v>
      </c>
    </row>
    <row r="190" spans="1:9" ht="21.75" customHeight="1">
      <c r="A190" t="s">
        <v>289</v>
      </c>
      <c r="B190" s="3">
        <v>45480</v>
      </c>
      <c r="C190" t="s">
        <v>89</v>
      </c>
      <c r="D190" t="s">
        <v>70</v>
      </c>
      <c r="E190" t="s">
        <v>11</v>
      </c>
      <c r="F190" t="str">
        <f t="shared" si="2"/>
        <v>North</v>
      </c>
      <c r="G190" t="s">
        <v>12</v>
      </c>
      <c r="H190" t="s">
        <v>32</v>
      </c>
      <c r="I190">
        <v>13</v>
      </c>
    </row>
    <row r="191" spans="1:9" ht="21.75" customHeight="1">
      <c r="A191" t="s">
        <v>290</v>
      </c>
      <c r="B191" s="3">
        <v>45610</v>
      </c>
      <c r="C191" t="s">
        <v>20</v>
      </c>
      <c r="D191" t="s">
        <v>21</v>
      </c>
      <c r="E191" t="s">
        <v>22</v>
      </c>
      <c r="F191" t="str">
        <f t="shared" si="2"/>
        <v>Central</v>
      </c>
      <c r="G191" t="s">
        <v>18</v>
      </c>
      <c r="H191" t="s">
        <v>23</v>
      </c>
      <c r="I191">
        <v>15</v>
      </c>
    </row>
    <row r="192" spans="1:9" ht="21.75" customHeight="1">
      <c r="A192" t="s">
        <v>291</v>
      </c>
      <c r="B192" s="3">
        <v>45428</v>
      </c>
      <c r="C192" t="s">
        <v>30</v>
      </c>
      <c r="D192" t="s">
        <v>197</v>
      </c>
      <c r="E192" t="s">
        <v>22</v>
      </c>
      <c r="F192" t="str">
        <f t="shared" si="2"/>
        <v>North</v>
      </c>
      <c r="G192" t="s">
        <v>12</v>
      </c>
      <c r="H192" t="s">
        <v>28</v>
      </c>
      <c r="I192">
        <v>13</v>
      </c>
    </row>
    <row r="193" spans="1:9" ht="21.75" customHeight="1">
      <c r="A193" t="s">
        <v>292</v>
      </c>
      <c r="B193" s="3">
        <v>45471</v>
      </c>
      <c r="C193" t="s">
        <v>208</v>
      </c>
      <c r="D193" t="s">
        <v>65</v>
      </c>
      <c r="E193" t="s">
        <v>22</v>
      </c>
      <c r="F193" t="str">
        <f t="shared" si="2"/>
        <v>North</v>
      </c>
      <c r="G193" t="s">
        <v>12</v>
      </c>
      <c r="H193" t="s">
        <v>28</v>
      </c>
      <c r="I193">
        <v>11</v>
      </c>
    </row>
    <row r="194" spans="1:9" ht="21.75" customHeight="1">
      <c r="A194" t="s">
        <v>293</v>
      </c>
      <c r="B194" s="3">
        <v>45616</v>
      </c>
      <c r="C194" t="s">
        <v>30</v>
      </c>
      <c r="D194" t="s">
        <v>16</v>
      </c>
      <c r="E194" t="s">
        <v>11</v>
      </c>
      <c r="F194" t="str">
        <f t="shared" si="2"/>
        <v>North</v>
      </c>
      <c r="G194" t="s">
        <v>12</v>
      </c>
      <c r="H194" t="s">
        <v>245</v>
      </c>
      <c r="I194">
        <v>7</v>
      </c>
    </row>
    <row r="195" spans="1:9" ht="21.75" customHeight="1">
      <c r="A195" t="s">
        <v>294</v>
      </c>
      <c r="B195" s="3">
        <v>45372</v>
      </c>
      <c r="C195" t="s">
        <v>64</v>
      </c>
      <c r="D195" t="s">
        <v>31</v>
      </c>
      <c r="E195" t="s">
        <v>22</v>
      </c>
      <c r="F195" t="str">
        <f t="shared" ref="F195:F258" si="3">TRIM(PROPER(G195))</f>
        <v>East</v>
      </c>
      <c r="G195" t="s">
        <v>42</v>
      </c>
      <c r="H195" t="s">
        <v>32</v>
      </c>
      <c r="I195">
        <v>10</v>
      </c>
    </row>
    <row r="196" spans="1:9" ht="21.75" customHeight="1">
      <c r="A196" t="s">
        <v>295</v>
      </c>
      <c r="B196" s="3">
        <v>45371</v>
      </c>
      <c r="C196" t="s">
        <v>118</v>
      </c>
      <c r="D196" t="s">
        <v>21</v>
      </c>
      <c r="E196" t="s">
        <v>22</v>
      </c>
      <c r="F196" t="str">
        <f t="shared" si="3"/>
        <v>South</v>
      </c>
      <c r="G196" t="s">
        <v>56</v>
      </c>
      <c r="H196" t="s">
        <v>23</v>
      </c>
      <c r="I196">
        <v>2</v>
      </c>
    </row>
    <row r="197" spans="1:9" ht="21.75" customHeight="1">
      <c r="A197" t="s">
        <v>296</v>
      </c>
      <c r="B197" s="3">
        <v>45509</v>
      </c>
      <c r="C197" t="s">
        <v>230</v>
      </c>
      <c r="D197" t="s">
        <v>84</v>
      </c>
      <c r="E197" t="s">
        <v>17</v>
      </c>
      <c r="F197" t="str">
        <f t="shared" si="3"/>
        <v>West</v>
      </c>
      <c r="G197" t="s">
        <v>27</v>
      </c>
      <c r="H197" t="s">
        <v>23</v>
      </c>
      <c r="I197">
        <v>5</v>
      </c>
    </row>
    <row r="198" spans="1:9" ht="21.75" customHeight="1">
      <c r="A198" t="s">
        <v>297</v>
      </c>
      <c r="B198" s="3">
        <v>45350</v>
      </c>
      <c r="C198" t="s">
        <v>78</v>
      </c>
      <c r="D198" t="s">
        <v>35</v>
      </c>
      <c r="E198" t="s">
        <v>17</v>
      </c>
      <c r="F198" t="str">
        <f t="shared" si="3"/>
        <v>East</v>
      </c>
      <c r="G198" t="s">
        <v>42</v>
      </c>
      <c r="H198" t="s">
        <v>36</v>
      </c>
      <c r="I198">
        <v>11</v>
      </c>
    </row>
    <row r="199" spans="1:9" ht="21.75" customHeight="1">
      <c r="A199" t="s">
        <v>298</v>
      </c>
      <c r="B199" s="3">
        <v>45561</v>
      </c>
      <c r="C199" t="s">
        <v>15</v>
      </c>
      <c r="D199" t="s">
        <v>79</v>
      </c>
      <c r="E199" t="s">
        <v>17</v>
      </c>
      <c r="F199" t="str">
        <f t="shared" si="3"/>
        <v>East</v>
      </c>
      <c r="G199" t="s">
        <v>42</v>
      </c>
      <c r="H199" t="s">
        <v>13</v>
      </c>
      <c r="I199">
        <v>10</v>
      </c>
    </row>
    <row r="200" spans="1:9" ht="21.75" customHeight="1">
      <c r="A200" t="s">
        <v>299</v>
      </c>
      <c r="B200" s="3">
        <v>45446</v>
      </c>
      <c r="C200" t="s">
        <v>78</v>
      </c>
      <c r="D200" t="s">
        <v>197</v>
      </c>
      <c r="E200" t="s">
        <v>17</v>
      </c>
      <c r="F200" t="str">
        <f t="shared" si="3"/>
        <v>South</v>
      </c>
      <c r="G200" t="s">
        <v>56</v>
      </c>
      <c r="H200" t="s">
        <v>28</v>
      </c>
      <c r="I200">
        <v>6</v>
      </c>
    </row>
    <row r="201" spans="1:9" ht="21.75" customHeight="1">
      <c r="A201" t="s">
        <v>300</v>
      </c>
      <c r="B201" s="3">
        <v>45512</v>
      </c>
      <c r="C201" t="s">
        <v>89</v>
      </c>
      <c r="D201" t="s">
        <v>26</v>
      </c>
      <c r="F201" t="str">
        <f t="shared" si="3"/>
        <v>South</v>
      </c>
      <c r="G201" t="s">
        <v>56</v>
      </c>
      <c r="H201" t="s">
        <v>28</v>
      </c>
      <c r="I201">
        <v>12</v>
      </c>
    </row>
    <row r="202" spans="1:9" ht="21.75" customHeight="1">
      <c r="A202" t="s">
        <v>301</v>
      </c>
      <c r="B202" s="3">
        <v>45634</v>
      </c>
      <c r="C202" t="s">
        <v>51</v>
      </c>
      <c r="D202" t="s">
        <v>102</v>
      </c>
      <c r="E202" t="s">
        <v>22</v>
      </c>
      <c r="F202" t="str">
        <f t="shared" si="3"/>
        <v>East</v>
      </c>
      <c r="G202" t="s">
        <v>42</v>
      </c>
      <c r="H202" t="s">
        <v>13</v>
      </c>
      <c r="I202">
        <v>1</v>
      </c>
    </row>
    <row r="203" spans="1:9" ht="21.75" customHeight="1">
      <c r="A203" t="s">
        <v>302</v>
      </c>
      <c r="B203" s="3">
        <v>45619</v>
      </c>
      <c r="C203" t="s">
        <v>40</v>
      </c>
      <c r="D203" t="s">
        <v>197</v>
      </c>
      <c r="E203" t="s">
        <v>11</v>
      </c>
      <c r="F203" t="str">
        <f t="shared" si="3"/>
        <v>East</v>
      </c>
      <c r="G203" t="s">
        <v>42</v>
      </c>
      <c r="H203" t="s">
        <v>13</v>
      </c>
      <c r="I203">
        <v>8</v>
      </c>
    </row>
    <row r="204" spans="1:9" ht="21.75" customHeight="1">
      <c r="A204" t="s">
        <v>303</v>
      </c>
      <c r="B204" s="3">
        <v>45638</v>
      </c>
      <c r="C204" t="s">
        <v>304</v>
      </c>
      <c r="D204" t="s">
        <v>59</v>
      </c>
      <c r="E204" t="s">
        <v>22</v>
      </c>
      <c r="F204" t="str">
        <f t="shared" si="3"/>
        <v>North</v>
      </c>
      <c r="G204" t="s">
        <v>12</v>
      </c>
      <c r="H204" t="s">
        <v>13</v>
      </c>
      <c r="I204">
        <v>14</v>
      </c>
    </row>
    <row r="205" spans="1:9" ht="21.75" customHeight="1">
      <c r="A205" t="s">
        <v>305</v>
      </c>
      <c r="B205" s="3">
        <v>45403</v>
      </c>
      <c r="C205" t="s">
        <v>51</v>
      </c>
      <c r="D205" t="s">
        <v>96</v>
      </c>
      <c r="E205" t="s">
        <v>22</v>
      </c>
      <c r="F205" t="str">
        <f t="shared" si="3"/>
        <v>Central</v>
      </c>
      <c r="G205" t="s">
        <v>306</v>
      </c>
      <c r="H205" t="s">
        <v>36</v>
      </c>
      <c r="I205">
        <v>18</v>
      </c>
    </row>
    <row r="206" spans="1:9" ht="21.75" customHeight="1">
      <c r="A206" t="s">
        <v>307</v>
      </c>
      <c r="B206" s="3">
        <v>45506</v>
      </c>
      <c r="C206" t="s">
        <v>240</v>
      </c>
      <c r="D206" t="s">
        <v>26</v>
      </c>
      <c r="E206" t="s">
        <v>17</v>
      </c>
      <c r="F206" t="str">
        <f t="shared" si="3"/>
        <v>Central</v>
      </c>
      <c r="G206" t="s">
        <v>306</v>
      </c>
      <c r="H206" t="s">
        <v>28</v>
      </c>
      <c r="I206">
        <v>1</v>
      </c>
    </row>
    <row r="207" spans="1:9" ht="21.75" customHeight="1">
      <c r="A207" t="s">
        <v>308</v>
      </c>
      <c r="B207" s="3">
        <v>45649</v>
      </c>
      <c r="C207" t="s">
        <v>309</v>
      </c>
      <c r="D207" t="s">
        <v>16</v>
      </c>
      <c r="E207" t="s">
        <v>17</v>
      </c>
      <c r="F207" t="str">
        <f t="shared" si="3"/>
        <v>East</v>
      </c>
      <c r="G207" t="s">
        <v>42</v>
      </c>
      <c r="H207" t="s">
        <v>32</v>
      </c>
      <c r="I207">
        <v>7</v>
      </c>
    </row>
    <row r="208" spans="1:9" ht="21.75" customHeight="1">
      <c r="A208" t="s">
        <v>310</v>
      </c>
      <c r="B208" s="3">
        <v>45344</v>
      </c>
      <c r="C208" t="s">
        <v>203</v>
      </c>
      <c r="D208" t="s">
        <v>48</v>
      </c>
      <c r="E208" t="s">
        <v>17</v>
      </c>
      <c r="F208" t="str">
        <f t="shared" si="3"/>
        <v>North</v>
      </c>
      <c r="G208" t="s">
        <v>12</v>
      </c>
      <c r="H208" t="s">
        <v>13</v>
      </c>
      <c r="I208">
        <v>12</v>
      </c>
    </row>
    <row r="209" spans="1:9" ht="21.75" customHeight="1">
      <c r="A209" t="s">
        <v>311</v>
      </c>
      <c r="B209" s="3">
        <v>45527</v>
      </c>
      <c r="C209" t="s">
        <v>312</v>
      </c>
      <c r="D209" t="s">
        <v>10</v>
      </c>
      <c r="E209" t="s">
        <v>11</v>
      </c>
      <c r="F209" t="str">
        <f t="shared" si="3"/>
        <v>West</v>
      </c>
      <c r="G209" t="s">
        <v>27</v>
      </c>
      <c r="H209" t="s">
        <v>36</v>
      </c>
      <c r="I209">
        <v>18</v>
      </c>
    </row>
    <row r="210" spans="1:9" ht="21.75" customHeight="1">
      <c r="A210" t="s">
        <v>313</v>
      </c>
      <c r="B210" s="3">
        <v>45477</v>
      </c>
      <c r="C210" t="s">
        <v>314</v>
      </c>
      <c r="D210" t="s">
        <v>79</v>
      </c>
      <c r="E210" t="s">
        <v>11</v>
      </c>
      <c r="F210" t="str">
        <f t="shared" si="3"/>
        <v>North</v>
      </c>
      <c r="G210" t="s">
        <v>12</v>
      </c>
      <c r="H210" t="s">
        <v>13</v>
      </c>
      <c r="I210">
        <v>8</v>
      </c>
    </row>
    <row r="211" spans="1:9" ht="21.75" customHeight="1">
      <c r="A211" t="s">
        <v>315</v>
      </c>
      <c r="B211" s="3">
        <v>45411</v>
      </c>
      <c r="C211" t="s">
        <v>108</v>
      </c>
      <c r="D211" t="s">
        <v>70</v>
      </c>
      <c r="E211" t="s">
        <v>17</v>
      </c>
      <c r="F211" t="str">
        <f t="shared" si="3"/>
        <v>East</v>
      </c>
      <c r="G211" t="s">
        <v>42</v>
      </c>
      <c r="H211" t="s">
        <v>32</v>
      </c>
      <c r="I211">
        <v>12</v>
      </c>
    </row>
    <row r="212" spans="1:9" ht="21.75" customHeight="1">
      <c r="A212" t="s">
        <v>316</v>
      </c>
      <c r="B212" s="3">
        <v>45399</v>
      </c>
      <c r="C212" t="s">
        <v>317</v>
      </c>
      <c r="D212" t="s">
        <v>109</v>
      </c>
      <c r="E212" t="s">
        <v>17</v>
      </c>
      <c r="F212" t="str">
        <f t="shared" si="3"/>
        <v>North</v>
      </c>
      <c r="G212" t="s">
        <v>12</v>
      </c>
      <c r="H212" t="s">
        <v>28</v>
      </c>
      <c r="I212">
        <v>6</v>
      </c>
    </row>
    <row r="213" spans="1:9" ht="21.75" customHeight="1">
      <c r="A213" t="s">
        <v>318</v>
      </c>
      <c r="B213" s="3">
        <v>45375</v>
      </c>
      <c r="C213" t="s">
        <v>319</v>
      </c>
      <c r="D213" t="s">
        <v>21</v>
      </c>
      <c r="E213" t="s">
        <v>17</v>
      </c>
      <c r="F213" t="str">
        <f t="shared" si="3"/>
        <v>East</v>
      </c>
      <c r="G213" t="s">
        <v>42</v>
      </c>
      <c r="H213" t="s">
        <v>32</v>
      </c>
      <c r="I213">
        <v>18</v>
      </c>
    </row>
    <row r="214" spans="1:9" ht="21.75" customHeight="1">
      <c r="A214" t="s">
        <v>320</v>
      </c>
      <c r="B214" s="3">
        <v>45320</v>
      </c>
      <c r="C214" t="s">
        <v>51</v>
      </c>
      <c r="D214" t="s">
        <v>31</v>
      </c>
      <c r="E214" t="s">
        <v>11</v>
      </c>
      <c r="F214" t="str">
        <f t="shared" si="3"/>
        <v>East</v>
      </c>
      <c r="G214" t="s">
        <v>42</v>
      </c>
      <c r="H214" t="s">
        <v>36</v>
      </c>
      <c r="I214">
        <v>9</v>
      </c>
    </row>
    <row r="215" spans="1:9" ht="21.75" customHeight="1">
      <c r="A215" t="s">
        <v>321</v>
      </c>
      <c r="B215" s="3">
        <v>45453</v>
      </c>
      <c r="C215" t="s">
        <v>133</v>
      </c>
      <c r="D215" t="s">
        <v>31</v>
      </c>
      <c r="E215" t="s">
        <v>22</v>
      </c>
      <c r="F215" t="str">
        <f t="shared" si="3"/>
        <v>West</v>
      </c>
      <c r="G215" t="s">
        <v>27</v>
      </c>
      <c r="H215" t="s">
        <v>28</v>
      </c>
      <c r="I215">
        <v>15</v>
      </c>
    </row>
    <row r="216" spans="1:9" ht="21.75" customHeight="1">
      <c r="A216" t="s">
        <v>322</v>
      </c>
      <c r="B216" s="3">
        <v>45418</v>
      </c>
      <c r="C216" t="s">
        <v>323</v>
      </c>
      <c r="D216" t="s">
        <v>26</v>
      </c>
      <c r="E216" t="s">
        <v>22</v>
      </c>
      <c r="F216" t="str">
        <f t="shared" si="3"/>
        <v>Central</v>
      </c>
      <c r="G216" t="s">
        <v>306</v>
      </c>
      <c r="H216" t="s">
        <v>36</v>
      </c>
      <c r="I216">
        <v>19</v>
      </c>
    </row>
    <row r="217" spans="1:9" ht="21.75" customHeight="1">
      <c r="A217" t="s">
        <v>324</v>
      </c>
      <c r="B217" s="3">
        <v>45496</v>
      </c>
      <c r="C217" t="s">
        <v>83</v>
      </c>
      <c r="D217" t="s">
        <v>160</v>
      </c>
      <c r="E217" t="s">
        <v>11</v>
      </c>
      <c r="F217" t="str">
        <f t="shared" si="3"/>
        <v>South</v>
      </c>
      <c r="G217" t="s">
        <v>56</v>
      </c>
      <c r="H217" t="s">
        <v>13</v>
      </c>
      <c r="I217">
        <v>16</v>
      </c>
    </row>
    <row r="218" spans="1:9" ht="21.75" customHeight="1">
      <c r="A218" t="s">
        <v>325</v>
      </c>
      <c r="B218" s="3">
        <v>45348</v>
      </c>
      <c r="C218" t="s">
        <v>125</v>
      </c>
      <c r="D218" t="s">
        <v>41</v>
      </c>
      <c r="E218" t="s">
        <v>22</v>
      </c>
      <c r="F218" t="str">
        <f t="shared" si="3"/>
        <v>South</v>
      </c>
      <c r="G218" t="s">
        <v>56</v>
      </c>
      <c r="H218" t="s">
        <v>23</v>
      </c>
      <c r="I218">
        <v>14</v>
      </c>
    </row>
    <row r="219" spans="1:9" ht="21.75" customHeight="1">
      <c r="A219" t="s">
        <v>326</v>
      </c>
      <c r="B219" s="3">
        <v>45487</v>
      </c>
      <c r="C219" t="s">
        <v>327</v>
      </c>
      <c r="D219" t="s">
        <v>26</v>
      </c>
      <c r="E219" t="s">
        <v>17</v>
      </c>
      <c r="F219" t="str">
        <f t="shared" si="3"/>
        <v>Central</v>
      </c>
      <c r="G219" t="s">
        <v>306</v>
      </c>
      <c r="H219" t="s">
        <v>13</v>
      </c>
      <c r="I219">
        <v>18</v>
      </c>
    </row>
    <row r="220" spans="1:9" ht="21.75" customHeight="1">
      <c r="A220" t="s">
        <v>328</v>
      </c>
      <c r="B220" s="3">
        <v>45640</v>
      </c>
      <c r="C220" t="s">
        <v>329</v>
      </c>
      <c r="D220" t="s">
        <v>119</v>
      </c>
      <c r="E220" t="s">
        <v>11</v>
      </c>
      <c r="F220" t="str">
        <f t="shared" si="3"/>
        <v>Central</v>
      </c>
      <c r="G220" t="s">
        <v>306</v>
      </c>
      <c r="H220" t="s">
        <v>32</v>
      </c>
      <c r="I220">
        <v>9</v>
      </c>
    </row>
    <row r="221" spans="1:9" ht="21.75" customHeight="1">
      <c r="A221" t="s">
        <v>330</v>
      </c>
      <c r="B221" s="3">
        <v>45349</v>
      </c>
      <c r="C221" t="s">
        <v>61</v>
      </c>
      <c r="D221" t="s">
        <v>70</v>
      </c>
      <c r="E221" t="s">
        <v>17</v>
      </c>
      <c r="F221" t="str">
        <f t="shared" si="3"/>
        <v>South</v>
      </c>
      <c r="G221" t="s">
        <v>56</v>
      </c>
      <c r="H221" t="s">
        <v>32</v>
      </c>
      <c r="I221">
        <v>1</v>
      </c>
    </row>
    <row r="222" spans="1:9" ht="21.75" customHeight="1">
      <c r="A222" t="s">
        <v>331</v>
      </c>
      <c r="B222" s="3">
        <v>45548</v>
      </c>
      <c r="C222" t="s">
        <v>332</v>
      </c>
      <c r="D222" t="s">
        <v>102</v>
      </c>
      <c r="E222" t="s">
        <v>11</v>
      </c>
      <c r="F222" t="str">
        <f t="shared" si="3"/>
        <v>Central</v>
      </c>
      <c r="G222" t="s">
        <v>306</v>
      </c>
      <c r="H222" t="s">
        <v>36</v>
      </c>
      <c r="I222">
        <v>10</v>
      </c>
    </row>
    <row r="223" spans="1:9" ht="21.75" customHeight="1">
      <c r="A223" t="s">
        <v>333</v>
      </c>
      <c r="B223" s="3">
        <v>45603</v>
      </c>
      <c r="C223" t="s">
        <v>104</v>
      </c>
      <c r="D223" t="s">
        <v>119</v>
      </c>
      <c r="E223" t="s">
        <v>11</v>
      </c>
      <c r="F223" t="str">
        <f t="shared" si="3"/>
        <v>East</v>
      </c>
      <c r="G223" t="s">
        <v>42</v>
      </c>
      <c r="H223" t="s">
        <v>36</v>
      </c>
      <c r="I223">
        <v>6</v>
      </c>
    </row>
    <row r="224" spans="1:9" ht="21.75" customHeight="1">
      <c r="A224" t="s">
        <v>334</v>
      </c>
      <c r="B224" s="3">
        <v>45292</v>
      </c>
      <c r="C224" t="s">
        <v>327</v>
      </c>
      <c r="D224" t="s">
        <v>96</v>
      </c>
      <c r="E224" t="s">
        <v>17</v>
      </c>
      <c r="F224" t="str">
        <f t="shared" si="3"/>
        <v>West</v>
      </c>
      <c r="G224" t="s">
        <v>27</v>
      </c>
      <c r="H224" t="s">
        <v>32</v>
      </c>
      <c r="I224">
        <v>4</v>
      </c>
    </row>
    <row r="225" spans="1:9" ht="21.75" customHeight="1">
      <c r="A225" t="s">
        <v>335</v>
      </c>
      <c r="B225" s="3">
        <v>45414</v>
      </c>
      <c r="C225" t="s">
        <v>131</v>
      </c>
      <c r="D225" t="s">
        <v>10</v>
      </c>
      <c r="E225" t="s">
        <v>11</v>
      </c>
      <c r="F225" t="str">
        <f t="shared" si="3"/>
        <v>Central</v>
      </c>
      <c r="G225" t="s">
        <v>306</v>
      </c>
      <c r="H225" t="s">
        <v>13</v>
      </c>
      <c r="I225">
        <v>3</v>
      </c>
    </row>
    <row r="226" spans="1:9" ht="21.75" customHeight="1">
      <c r="A226" t="s">
        <v>336</v>
      </c>
      <c r="B226" s="3">
        <v>45564</v>
      </c>
      <c r="C226" t="s">
        <v>337</v>
      </c>
      <c r="D226" t="s">
        <v>41</v>
      </c>
      <c r="E226" t="s">
        <v>11</v>
      </c>
      <c r="F226" t="str">
        <f t="shared" si="3"/>
        <v>South</v>
      </c>
      <c r="G226" t="s">
        <v>56</v>
      </c>
      <c r="H226" t="s">
        <v>28</v>
      </c>
      <c r="I226">
        <v>16</v>
      </c>
    </row>
    <row r="227" spans="1:9" ht="21.75" customHeight="1">
      <c r="A227" t="s">
        <v>338</v>
      </c>
      <c r="B227" s="3">
        <v>45427</v>
      </c>
      <c r="C227" t="s">
        <v>339</v>
      </c>
      <c r="D227" t="s">
        <v>65</v>
      </c>
      <c r="E227" t="s">
        <v>22</v>
      </c>
      <c r="F227" t="str">
        <f t="shared" si="3"/>
        <v>West</v>
      </c>
      <c r="G227" t="s">
        <v>27</v>
      </c>
      <c r="H227" t="s">
        <v>28</v>
      </c>
      <c r="I227">
        <v>18</v>
      </c>
    </row>
    <row r="228" spans="1:9" ht="21.75" customHeight="1">
      <c r="A228" t="s">
        <v>340</v>
      </c>
      <c r="B228" s="3">
        <v>45451</v>
      </c>
      <c r="C228" t="s">
        <v>341</v>
      </c>
      <c r="D228" t="s">
        <v>70</v>
      </c>
      <c r="E228" t="s">
        <v>22</v>
      </c>
      <c r="F228" t="str">
        <f t="shared" si="3"/>
        <v>East</v>
      </c>
      <c r="G228" t="s">
        <v>42</v>
      </c>
      <c r="H228" t="s">
        <v>28</v>
      </c>
      <c r="I228">
        <v>17</v>
      </c>
    </row>
    <row r="229" spans="1:9" ht="21.75" customHeight="1">
      <c r="A229" t="s">
        <v>342</v>
      </c>
      <c r="B229" s="3">
        <v>45407</v>
      </c>
      <c r="C229" t="s">
        <v>58</v>
      </c>
      <c r="D229" t="s">
        <v>59</v>
      </c>
      <c r="E229" t="s">
        <v>17</v>
      </c>
      <c r="F229" t="str">
        <f t="shared" si="3"/>
        <v>North</v>
      </c>
      <c r="G229" t="s">
        <v>12</v>
      </c>
      <c r="H229" t="s">
        <v>28</v>
      </c>
      <c r="I229">
        <v>18</v>
      </c>
    </row>
    <row r="230" spans="1:9" ht="21.75" customHeight="1">
      <c r="A230" t="s">
        <v>343</v>
      </c>
      <c r="B230" s="3">
        <v>45295</v>
      </c>
      <c r="C230" t="s">
        <v>208</v>
      </c>
      <c r="D230" t="s">
        <v>197</v>
      </c>
      <c r="E230" t="s">
        <v>22</v>
      </c>
      <c r="F230" t="str">
        <f t="shared" si="3"/>
        <v>North</v>
      </c>
      <c r="G230" t="s">
        <v>12</v>
      </c>
      <c r="H230" t="s">
        <v>32</v>
      </c>
      <c r="I230">
        <v>3</v>
      </c>
    </row>
    <row r="231" spans="1:9" ht="21.75" customHeight="1">
      <c r="A231" t="s">
        <v>344</v>
      </c>
      <c r="B231" s="3">
        <v>45328</v>
      </c>
      <c r="C231" t="s">
        <v>345</v>
      </c>
      <c r="D231" t="s">
        <v>41</v>
      </c>
      <c r="E231" t="s">
        <v>11</v>
      </c>
      <c r="F231" t="str">
        <f t="shared" si="3"/>
        <v>East</v>
      </c>
      <c r="G231" t="s">
        <v>42</v>
      </c>
      <c r="H231" t="s">
        <v>28</v>
      </c>
      <c r="I231">
        <v>16</v>
      </c>
    </row>
    <row r="232" spans="1:9" ht="21.75" customHeight="1">
      <c r="A232" t="s">
        <v>346</v>
      </c>
      <c r="B232" s="3">
        <v>45584</v>
      </c>
      <c r="C232" t="s">
        <v>314</v>
      </c>
      <c r="D232" t="s">
        <v>35</v>
      </c>
      <c r="E232" t="s">
        <v>17</v>
      </c>
      <c r="F232" t="str">
        <f t="shared" si="3"/>
        <v>South</v>
      </c>
      <c r="G232" t="s">
        <v>56</v>
      </c>
      <c r="H232" t="s">
        <v>13</v>
      </c>
      <c r="I232">
        <v>14</v>
      </c>
    </row>
    <row r="233" spans="1:9" ht="21.75" customHeight="1">
      <c r="A233" t="s">
        <v>347</v>
      </c>
      <c r="B233" s="3">
        <v>45629</v>
      </c>
      <c r="C233" t="s">
        <v>348</v>
      </c>
      <c r="D233" t="s">
        <v>87</v>
      </c>
      <c r="E233" t="s">
        <v>17</v>
      </c>
      <c r="F233" t="str">
        <f t="shared" si="3"/>
        <v>West</v>
      </c>
      <c r="G233" t="s">
        <v>27</v>
      </c>
      <c r="H233" t="s">
        <v>13</v>
      </c>
      <c r="I233">
        <v>15</v>
      </c>
    </row>
    <row r="234" spans="1:9" ht="21.75" customHeight="1">
      <c r="A234" t="s">
        <v>349</v>
      </c>
      <c r="B234" s="3">
        <v>45636</v>
      </c>
      <c r="C234" t="s">
        <v>350</v>
      </c>
      <c r="D234" t="s">
        <v>79</v>
      </c>
      <c r="E234" t="s">
        <v>22</v>
      </c>
      <c r="F234" t="str">
        <f t="shared" si="3"/>
        <v>North</v>
      </c>
      <c r="G234" t="s">
        <v>12</v>
      </c>
      <c r="H234" t="s">
        <v>13</v>
      </c>
      <c r="I234">
        <v>13</v>
      </c>
    </row>
    <row r="235" spans="1:9" ht="21.75" customHeight="1">
      <c r="A235" t="s">
        <v>351</v>
      </c>
      <c r="B235" s="3">
        <v>45419</v>
      </c>
      <c r="C235" t="s">
        <v>150</v>
      </c>
      <c r="D235" t="s">
        <v>70</v>
      </c>
      <c r="E235" t="s">
        <v>11</v>
      </c>
      <c r="F235" t="str">
        <f t="shared" si="3"/>
        <v>Central</v>
      </c>
      <c r="G235" t="s">
        <v>306</v>
      </c>
      <c r="H235" t="s">
        <v>32</v>
      </c>
      <c r="I235">
        <v>5</v>
      </c>
    </row>
    <row r="236" spans="1:9" ht="21.75" customHeight="1">
      <c r="A236" t="s">
        <v>352</v>
      </c>
      <c r="B236" s="3">
        <v>45528</v>
      </c>
      <c r="C236" t="s">
        <v>78</v>
      </c>
      <c r="D236" t="s">
        <v>174</v>
      </c>
      <c r="E236" t="s">
        <v>11</v>
      </c>
      <c r="F236" t="str">
        <f t="shared" si="3"/>
        <v>West</v>
      </c>
      <c r="G236" t="s">
        <v>27</v>
      </c>
      <c r="H236" t="s">
        <v>36</v>
      </c>
      <c r="I236">
        <v>4</v>
      </c>
    </row>
    <row r="237" spans="1:9" ht="21.75" customHeight="1">
      <c r="A237" t="s">
        <v>353</v>
      </c>
      <c r="B237" s="3">
        <v>45299</v>
      </c>
      <c r="C237" t="s">
        <v>203</v>
      </c>
      <c r="D237" t="s">
        <v>87</v>
      </c>
      <c r="E237" t="s">
        <v>11</v>
      </c>
      <c r="F237" t="str">
        <f t="shared" si="3"/>
        <v>South</v>
      </c>
      <c r="G237" t="s">
        <v>56</v>
      </c>
      <c r="H237" t="s">
        <v>23</v>
      </c>
      <c r="I237">
        <v>16</v>
      </c>
    </row>
    <row r="238" spans="1:9" ht="21.75" customHeight="1">
      <c r="A238" t="s">
        <v>354</v>
      </c>
      <c r="B238" s="3">
        <v>45322</v>
      </c>
      <c r="C238" t="s">
        <v>30</v>
      </c>
      <c r="D238" t="s">
        <v>31</v>
      </c>
      <c r="E238" t="s">
        <v>17</v>
      </c>
      <c r="F238" t="str">
        <f t="shared" si="3"/>
        <v>North</v>
      </c>
      <c r="G238" t="s">
        <v>12</v>
      </c>
      <c r="H238" t="s">
        <v>23</v>
      </c>
      <c r="I238">
        <v>9</v>
      </c>
    </row>
    <row r="239" spans="1:9" ht="21.75" customHeight="1">
      <c r="A239" t="s">
        <v>355</v>
      </c>
      <c r="B239" s="3">
        <v>45438</v>
      </c>
      <c r="C239" t="s">
        <v>309</v>
      </c>
      <c r="D239" t="s">
        <v>41</v>
      </c>
      <c r="E239" t="s">
        <v>22</v>
      </c>
      <c r="F239" t="str">
        <f t="shared" si="3"/>
        <v>Central</v>
      </c>
      <c r="G239" t="s">
        <v>306</v>
      </c>
      <c r="H239" t="s">
        <v>32</v>
      </c>
      <c r="I239">
        <v>16</v>
      </c>
    </row>
    <row r="240" spans="1:9" ht="21.75" customHeight="1">
      <c r="A240" t="s">
        <v>356</v>
      </c>
      <c r="B240" s="3">
        <v>45403</v>
      </c>
      <c r="C240" t="s">
        <v>131</v>
      </c>
      <c r="D240" t="s">
        <v>79</v>
      </c>
      <c r="E240" t="s">
        <v>22</v>
      </c>
      <c r="F240" t="str">
        <f t="shared" si="3"/>
        <v>Central</v>
      </c>
      <c r="G240" t="s">
        <v>306</v>
      </c>
      <c r="H240" t="s">
        <v>36</v>
      </c>
      <c r="I240">
        <v>11</v>
      </c>
    </row>
    <row r="241" spans="1:9" ht="21.75" customHeight="1">
      <c r="A241" t="s">
        <v>357</v>
      </c>
      <c r="B241" s="3">
        <v>45536</v>
      </c>
      <c r="C241" t="s">
        <v>358</v>
      </c>
      <c r="D241" t="s">
        <v>79</v>
      </c>
      <c r="E241" t="s">
        <v>22</v>
      </c>
      <c r="F241" t="str">
        <f t="shared" si="3"/>
        <v>South</v>
      </c>
      <c r="G241" t="s">
        <v>56</v>
      </c>
      <c r="H241" t="s">
        <v>28</v>
      </c>
      <c r="I241">
        <v>17</v>
      </c>
    </row>
    <row r="242" spans="1:9" ht="21.75" customHeight="1">
      <c r="A242" t="s">
        <v>359</v>
      </c>
      <c r="B242" s="3">
        <v>45327</v>
      </c>
      <c r="C242" t="s">
        <v>327</v>
      </c>
      <c r="D242" t="s">
        <v>31</v>
      </c>
      <c r="E242" t="s">
        <v>11</v>
      </c>
      <c r="F242" t="str">
        <f t="shared" si="3"/>
        <v>South</v>
      </c>
      <c r="G242" t="s">
        <v>56</v>
      </c>
      <c r="H242" t="s">
        <v>36</v>
      </c>
      <c r="I242">
        <v>4</v>
      </c>
    </row>
    <row r="243" spans="1:9" ht="21.75" customHeight="1">
      <c r="A243" t="s">
        <v>360</v>
      </c>
      <c r="B243" s="3">
        <v>45418</v>
      </c>
      <c r="C243" t="s">
        <v>361</v>
      </c>
      <c r="D243" t="s">
        <v>109</v>
      </c>
      <c r="E243" t="s">
        <v>22</v>
      </c>
      <c r="F243" t="str">
        <f t="shared" si="3"/>
        <v>North</v>
      </c>
      <c r="G243" t="s">
        <v>12</v>
      </c>
      <c r="H243" t="s">
        <v>36</v>
      </c>
      <c r="I243">
        <v>3</v>
      </c>
    </row>
    <row r="244" spans="1:9" ht="21.75" customHeight="1">
      <c r="A244" t="s">
        <v>362</v>
      </c>
      <c r="B244" s="3">
        <v>45581</v>
      </c>
      <c r="C244" t="s">
        <v>363</v>
      </c>
      <c r="D244" t="s">
        <v>65</v>
      </c>
      <c r="E244" t="s">
        <v>17</v>
      </c>
      <c r="F244" t="str">
        <f t="shared" si="3"/>
        <v>East</v>
      </c>
      <c r="G244" t="s">
        <v>42</v>
      </c>
      <c r="H244" t="s">
        <v>23</v>
      </c>
      <c r="I244">
        <v>11</v>
      </c>
    </row>
    <row r="245" spans="1:9" ht="21.75" customHeight="1">
      <c r="A245" t="s">
        <v>364</v>
      </c>
      <c r="B245" s="3">
        <v>45359</v>
      </c>
      <c r="C245" t="s">
        <v>317</v>
      </c>
      <c r="D245" t="s">
        <v>70</v>
      </c>
      <c r="E245" t="s">
        <v>22</v>
      </c>
      <c r="F245" t="str">
        <f t="shared" si="3"/>
        <v>East</v>
      </c>
      <c r="G245" t="s">
        <v>42</v>
      </c>
      <c r="H245" t="s">
        <v>13</v>
      </c>
      <c r="I245">
        <v>11</v>
      </c>
    </row>
    <row r="246" spans="1:9" ht="21.75" customHeight="1">
      <c r="A246" t="s">
        <v>365</v>
      </c>
      <c r="B246" s="3">
        <v>45296</v>
      </c>
      <c r="C246" t="s">
        <v>366</v>
      </c>
      <c r="D246" t="s">
        <v>102</v>
      </c>
      <c r="E246" t="s">
        <v>22</v>
      </c>
      <c r="F246" t="str">
        <f t="shared" si="3"/>
        <v>Central</v>
      </c>
      <c r="G246" t="s">
        <v>306</v>
      </c>
      <c r="H246" t="s">
        <v>36</v>
      </c>
      <c r="I246">
        <v>3</v>
      </c>
    </row>
    <row r="247" spans="1:9" ht="21.75" customHeight="1">
      <c r="A247" t="s">
        <v>367</v>
      </c>
      <c r="B247" s="3">
        <v>45427</v>
      </c>
      <c r="C247" t="s">
        <v>34</v>
      </c>
      <c r="D247" t="s">
        <v>197</v>
      </c>
      <c r="E247" t="s">
        <v>17</v>
      </c>
      <c r="F247" t="str">
        <f t="shared" si="3"/>
        <v>North</v>
      </c>
      <c r="G247" t="s">
        <v>12</v>
      </c>
      <c r="H247" t="s">
        <v>23</v>
      </c>
      <c r="I247">
        <v>12</v>
      </c>
    </row>
    <row r="248" spans="1:9" ht="21.75" customHeight="1">
      <c r="A248" t="s">
        <v>368</v>
      </c>
      <c r="B248" s="3">
        <v>45570</v>
      </c>
      <c r="C248" t="s">
        <v>369</v>
      </c>
      <c r="D248" t="s">
        <v>21</v>
      </c>
      <c r="E248" t="s">
        <v>17</v>
      </c>
      <c r="F248" t="str">
        <f t="shared" si="3"/>
        <v>Central</v>
      </c>
      <c r="G248" t="s">
        <v>306</v>
      </c>
      <c r="H248" t="s">
        <v>36</v>
      </c>
      <c r="I248">
        <v>17</v>
      </c>
    </row>
    <row r="249" spans="1:9" ht="21.75" customHeight="1">
      <c r="A249" t="s">
        <v>370</v>
      </c>
      <c r="B249" s="3">
        <v>45445</v>
      </c>
      <c r="C249" t="s">
        <v>371</v>
      </c>
      <c r="D249" t="s">
        <v>26</v>
      </c>
      <c r="E249" t="s">
        <v>11</v>
      </c>
      <c r="F249" t="str">
        <f t="shared" si="3"/>
        <v>South</v>
      </c>
      <c r="G249" t="s">
        <v>56</v>
      </c>
      <c r="H249" t="s">
        <v>36</v>
      </c>
      <c r="I249">
        <v>4</v>
      </c>
    </row>
    <row r="250" spans="1:9" ht="21.75" customHeight="1">
      <c r="A250" t="s">
        <v>372</v>
      </c>
      <c r="B250" s="3">
        <v>45371</v>
      </c>
      <c r="C250" t="s">
        <v>101</v>
      </c>
      <c r="D250" t="s">
        <v>65</v>
      </c>
      <c r="E250" t="s">
        <v>17</v>
      </c>
      <c r="F250" t="str">
        <f t="shared" si="3"/>
        <v>Central</v>
      </c>
      <c r="G250" t="s">
        <v>306</v>
      </c>
      <c r="H250" t="s">
        <v>32</v>
      </c>
      <c r="I250">
        <v>11</v>
      </c>
    </row>
    <row r="251" spans="1:9" ht="21.75" customHeight="1">
      <c r="A251" t="s">
        <v>373</v>
      </c>
      <c r="B251" s="3">
        <v>45550</v>
      </c>
      <c r="C251" t="s">
        <v>374</v>
      </c>
      <c r="D251" t="s">
        <v>10</v>
      </c>
      <c r="E251" t="s">
        <v>17</v>
      </c>
      <c r="F251" t="str">
        <f t="shared" si="3"/>
        <v>North</v>
      </c>
      <c r="G251" t="s">
        <v>12</v>
      </c>
      <c r="H251" t="s">
        <v>13</v>
      </c>
      <c r="I251">
        <v>14</v>
      </c>
    </row>
    <row r="252" spans="1:9" ht="21.75" customHeight="1">
      <c r="A252" t="s">
        <v>375</v>
      </c>
      <c r="B252" s="3">
        <v>45293</v>
      </c>
      <c r="C252" t="s">
        <v>118</v>
      </c>
      <c r="D252" t="s">
        <v>45</v>
      </c>
      <c r="E252" t="s">
        <v>11</v>
      </c>
      <c r="F252" t="str">
        <f t="shared" si="3"/>
        <v>East</v>
      </c>
      <c r="G252" t="s">
        <v>42</v>
      </c>
      <c r="H252" t="s">
        <v>23</v>
      </c>
      <c r="I252">
        <v>15</v>
      </c>
    </row>
    <row r="253" spans="1:9" ht="21.75" customHeight="1">
      <c r="A253" t="s">
        <v>376</v>
      </c>
      <c r="B253" s="3">
        <v>45579</v>
      </c>
      <c r="C253" t="s">
        <v>142</v>
      </c>
      <c r="D253" t="s">
        <v>62</v>
      </c>
      <c r="E253" t="s">
        <v>11</v>
      </c>
      <c r="F253" t="str">
        <f t="shared" si="3"/>
        <v>North</v>
      </c>
      <c r="G253" t="s">
        <v>12</v>
      </c>
      <c r="H253" t="s">
        <v>32</v>
      </c>
      <c r="I253">
        <v>5</v>
      </c>
    </row>
    <row r="254" spans="1:9" ht="21.75" customHeight="1">
      <c r="A254" t="s">
        <v>377</v>
      </c>
      <c r="B254" s="3">
        <v>45590</v>
      </c>
      <c r="C254" t="s">
        <v>378</v>
      </c>
      <c r="D254" t="s">
        <v>16</v>
      </c>
      <c r="E254" t="s">
        <v>11</v>
      </c>
      <c r="F254" t="str">
        <f t="shared" si="3"/>
        <v>West</v>
      </c>
      <c r="G254" t="s">
        <v>27</v>
      </c>
      <c r="H254" t="s">
        <v>13</v>
      </c>
      <c r="I254">
        <v>2</v>
      </c>
    </row>
    <row r="255" spans="1:9" ht="21.75" customHeight="1">
      <c r="A255" t="s">
        <v>379</v>
      </c>
      <c r="B255" s="3">
        <v>45475</v>
      </c>
      <c r="C255" t="s">
        <v>95</v>
      </c>
      <c r="D255" t="s">
        <v>41</v>
      </c>
      <c r="E255" t="s">
        <v>22</v>
      </c>
      <c r="F255" t="str">
        <f t="shared" si="3"/>
        <v>South</v>
      </c>
      <c r="G255" t="s">
        <v>56</v>
      </c>
      <c r="H255" t="s">
        <v>36</v>
      </c>
      <c r="I255">
        <v>4</v>
      </c>
    </row>
    <row r="256" spans="1:9" ht="21.75" customHeight="1">
      <c r="A256" t="s">
        <v>380</v>
      </c>
      <c r="B256" s="3">
        <v>45500</v>
      </c>
      <c r="C256" t="s">
        <v>381</v>
      </c>
      <c r="D256" t="s">
        <v>197</v>
      </c>
      <c r="E256" t="s">
        <v>22</v>
      </c>
      <c r="F256" t="str">
        <f t="shared" si="3"/>
        <v>South</v>
      </c>
      <c r="G256" t="s">
        <v>56</v>
      </c>
      <c r="H256" t="s">
        <v>28</v>
      </c>
      <c r="I256">
        <v>6</v>
      </c>
    </row>
    <row r="257" spans="1:9" ht="21.75" customHeight="1">
      <c r="A257" t="s">
        <v>382</v>
      </c>
      <c r="B257" s="3">
        <v>45503</v>
      </c>
      <c r="C257" t="s">
        <v>64</v>
      </c>
      <c r="D257" t="s">
        <v>87</v>
      </c>
      <c r="E257" t="s">
        <v>11</v>
      </c>
      <c r="F257" t="str">
        <f t="shared" si="3"/>
        <v>East</v>
      </c>
      <c r="G257" t="s">
        <v>42</v>
      </c>
      <c r="H257" t="s">
        <v>13</v>
      </c>
      <c r="I257">
        <v>8</v>
      </c>
    </row>
    <row r="258" spans="1:9" ht="21.75" customHeight="1">
      <c r="A258" t="s">
        <v>383</v>
      </c>
      <c r="B258" s="3">
        <v>45487</v>
      </c>
      <c r="C258" t="s">
        <v>122</v>
      </c>
      <c r="D258" t="s">
        <v>65</v>
      </c>
      <c r="E258" t="s">
        <v>17</v>
      </c>
      <c r="F258" t="str">
        <f t="shared" si="3"/>
        <v>South</v>
      </c>
      <c r="G258" t="s">
        <v>56</v>
      </c>
      <c r="H258" t="s">
        <v>28</v>
      </c>
      <c r="I258">
        <v>15</v>
      </c>
    </row>
    <row r="259" spans="1:9" ht="21.75" customHeight="1">
      <c r="A259" t="s">
        <v>384</v>
      </c>
      <c r="B259" s="3">
        <v>45406</v>
      </c>
      <c r="C259" t="s">
        <v>64</v>
      </c>
      <c r="D259" t="s">
        <v>31</v>
      </c>
      <c r="E259" t="s">
        <v>22</v>
      </c>
      <c r="F259" t="str">
        <f t="shared" ref="F259:F322" si="4">TRIM(PROPER(G259))</f>
        <v>South</v>
      </c>
      <c r="G259" t="s">
        <v>56</v>
      </c>
      <c r="H259" t="s">
        <v>13</v>
      </c>
      <c r="I259">
        <v>11</v>
      </c>
    </row>
    <row r="260" spans="1:9" ht="21.75" customHeight="1">
      <c r="A260" t="s">
        <v>385</v>
      </c>
      <c r="B260" s="3">
        <v>45434</v>
      </c>
      <c r="C260" t="s">
        <v>20</v>
      </c>
      <c r="D260" t="s">
        <v>31</v>
      </c>
      <c r="E260" t="s">
        <v>22</v>
      </c>
      <c r="F260" t="str">
        <f t="shared" si="4"/>
        <v>Central</v>
      </c>
      <c r="G260" t="s">
        <v>306</v>
      </c>
      <c r="H260" t="s">
        <v>13</v>
      </c>
      <c r="I260">
        <v>18</v>
      </c>
    </row>
    <row r="261" spans="1:9" ht="21.75" customHeight="1">
      <c r="A261" t="s">
        <v>386</v>
      </c>
      <c r="B261" s="3">
        <v>45351</v>
      </c>
      <c r="C261" t="s">
        <v>86</v>
      </c>
      <c r="D261" t="s">
        <v>26</v>
      </c>
      <c r="E261" t="s">
        <v>11</v>
      </c>
      <c r="F261" t="str">
        <f t="shared" si="4"/>
        <v>Central</v>
      </c>
      <c r="G261" t="s">
        <v>306</v>
      </c>
      <c r="H261" t="s">
        <v>23</v>
      </c>
      <c r="I261">
        <v>2</v>
      </c>
    </row>
    <row r="262" spans="1:9" ht="21.75" customHeight="1">
      <c r="A262" t="s">
        <v>387</v>
      </c>
      <c r="B262" s="3">
        <v>45468</v>
      </c>
      <c r="C262" t="s">
        <v>388</v>
      </c>
      <c r="D262" t="s">
        <v>109</v>
      </c>
      <c r="E262" t="s">
        <v>17</v>
      </c>
      <c r="F262" t="str">
        <f t="shared" si="4"/>
        <v>West</v>
      </c>
      <c r="G262" t="s">
        <v>27</v>
      </c>
      <c r="H262" t="s">
        <v>36</v>
      </c>
      <c r="I262">
        <v>17</v>
      </c>
    </row>
    <row r="263" spans="1:9" ht="21.75" customHeight="1">
      <c r="A263" t="s">
        <v>389</v>
      </c>
      <c r="B263" s="3">
        <v>45389</v>
      </c>
      <c r="C263" t="s">
        <v>230</v>
      </c>
      <c r="D263" t="s">
        <v>96</v>
      </c>
      <c r="E263" t="s">
        <v>11</v>
      </c>
      <c r="F263" t="str">
        <f t="shared" si="4"/>
        <v>West</v>
      </c>
      <c r="G263" t="s">
        <v>27</v>
      </c>
      <c r="H263" t="s">
        <v>36</v>
      </c>
      <c r="I263">
        <v>17</v>
      </c>
    </row>
    <row r="264" spans="1:9" ht="21.75" customHeight="1">
      <c r="A264" t="s">
        <v>390</v>
      </c>
      <c r="B264" s="3">
        <v>45643</v>
      </c>
      <c r="C264" t="s">
        <v>329</v>
      </c>
      <c r="D264" t="s">
        <v>48</v>
      </c>
      <c r="E264" t="s">
        <v>22</v>
      </c>
      <c r="F264" t="str">
        <f t="shared" si="4"/>
        <v>South</v>
      </c>
      <c r="G264" t="s">
        <v>56</v>
      </c>
      <c r="H264" t="s">
        <v>32</v>
      </c>
      <c r="I264">
        <v>14</v>
      </c>
    </row>
    <row r="265" spans="1:9" ht="21.75" customHeight="1">
      <c r="A265" t="s">
        <v>391</v>
      </c>
      <c r="B265" s="3">
        <v>45611</v>
      </c>
      <c r="C265" t="s">
        <v>38</v>
      </c>
      <c r="D265" t="s">
        <v>84</v>
      </c>
      <c r="E265" t="s">
        <v>22</v>
      </c>
      <c r="F265" t="str">
        <f t="shared" si="4"/>
        <v>North</v>
      </c>
      <c r="G265" t="s">
        <v>12</v>
      </c>
      <c r="H265" t="s">
        <v>23</v>
      </c>
      <c r="I265">
        <v>10</v>
      </c>
    </row>
    <row r="266" spans="1:9" ht="21.75" customHeight="1">
      <c r="A266" t="s">
        <v>392</v>
      </c>
      <c r="B266" s="3">
        <v>45459</v>
      </c>
      <c r="C266" t="s">
        <v>341</v>
      </c>
      <c r="D266" t="s">
        <v>174</v>
      </c>
      <c r="E266" t="s">
        <v>22</v>
      </c>
      <c r="F266" t="str">
        <f t="shared" si="4"/>
        <v>East</v>
      </c>
      <c r="G266" t="s">
        <v>42</v>
      </c>
      <c r="H266" t="s">
        <v>23</v>
      </c>
      <c r="I266">
        <v>5</v>
      </c>
    </row>
    <row r="267" spans="1:9" ht="21.75" customHeight="1">
      <c r="A267" t="s">
        <v>393</v>
      </c>
      <c r="B267" s="3">
        <v>45638</v>
      </c>
      <c r="C267" t="s">
        <v>323</v>
      </c>
      <c r="D267" t="s">
        <v>59</v>
      </c>
      <c r="E267" t="s">
        <v>11</v>
      </c>
      <c r="F267" t="str">
        <f t="shared" si="4"/>
        <v>Central</v>
      </c>
      <c r="G267" t="s">
        <v>306</v>
      </c>
      <c r="H267" t="s">
        <v>13</v>
      </c>
      <c r="I267">
        <v>10</v>
      </c>
    </row>
    <row r="268" spans="1:9" ht="21.75" customHeight="1">
      <c r="A268" t="s">
        <v>394</v>
      </c>
      <c r="B268" s="3">
        <v>45447</v>
      </c>
      <c r="C268" t="s">
        <v>55</v>
      </c>
      <c r="D268" t="s">
        <v>59</v>
      </c>
      <c r="E268" t="s">
        <v>11</v>
      </c>
      <c r="F268" t="str">
        <f t="shared" si="4"/>
        <v>West</v>
      </c>
      <c r="G268" t="s">
        <v>27</v>
      </c>
      <c r="H268" t="s">
        <v>23</v>
      </c>
      <c r="I268">
        <v>20</v>
      </c>
    </row>
    <row r="269" spans="1:9" ht="21.75" customHeight="1">
      <c r="A269" t="s">
        <v>395</v>
      </c>
      <c r="B269" s="3">
        <v>45518</v>
      </c>
      <c r="C269" t="s">
        <v>396</v>
      </c>
      <c r="D269" t="s">
        <v>160</v>
      </c>
      <c r="E269" t="s">
        <v>22</v>
      </c>
      <c r="F269" t="str">
        <f t="shared" si="4"/>
        <v>South</v>
      </c>
      <c r="G269" t="s">
        <v>56</v>
      </c>
      <c r="H269" t="s">
        <v>28</v>
      </c>
      <c r="I269">
        <v>16</v>
      </c>
    </row>
    <row r="270" spans="1:9" ht="21.75" customHeight="1">
      <c r="A270" t="s">
        <v>397</v>
      </c>
      <c r="B270" s="3">
        <v>45629</v>
      </c>
      <c r="C270" t="s">
        <v>81</v>
      </c>
      <c r="D270" t="s">
        <v>41</v>
      </c>
      <c r="E270" t="s">
        <v>17</v>
      </c>
      <c r="F270" t="str">
        <f t="shared" si="4"/>
        <v>Central</v>
      </c>
      <c r="G270" t="s">
        <v>306</v>
      </c>
      <c r="H270" t="s">
        <v>28</v>
      </c>
      <c r="I270">
        <v>20</v>
      </c>
    </row>
    <row r="271" spans="1:9" ht="21.75" customHeight="1">
      <c r="A271" t="s">
        <v>398</v>
      </c>
      <c r="B271" s="3">
        <v>45636</v>
      </c>
      <c r="C271" t="s">
        <v>147</v>
      </c>
      <c r="D271" t="s">
        <v>16</v>
      </c>
      <c r="E271" t="s">
        <v>11</v>
      </c>
      <c r="F271" t="str">
        <f t="shared" si="4"/>
        <v>South</v>
      </c>
      <c r="G271" t="s">
        <v>56</v>
      </c>
      <c r="H271" t="s">
        <v>23</v>
      </c>
      <c r="I271">
        <v>1</v>
      </c>
    </row>
    <row r="272" spans="1:9" ht="21.75" customHeight="1">
      <c r="A272" t="s">
        <v>399</v>
      </c>
      <c r="B272" s="3">
        <v>45604</v>
      </c>
      <c r="C272" t="s">
        <v>337</v>
      </c>
      <c r="D272" t="s">
        <v>87</v>
      </c>
      <c r="E272" t="s">
        <v>11</v>
      </c>
      <c r="F272" t="str">
        <f t="shared" si="4"/>
        <v>West</v>
      </c>
      <c r="G272" t="s">
        <v>27</v>
      </c>
      <c r="H272" t="s">
        <v>23</v>
      </c>
      <c r="I272">
        <v>19</v>
      </c>
    </row>
    <row r="273" spans="1:9" ht="21.75" customHeight="1">
      <c r="A273" t="s">
        <v>400</v>
      </c>
      <c r="B273" s="3">
        <v>45545</v>
      </c>
      <c r="C273" t="s">
        <v>341</v>
      </c>
      <c r="D273" t="s">
        <v>21</v>
      </c>
      <c r="E273" t="s">
        <v>11</v>
      </c>
      <c r="F273" t="str">
        <f t="shared" si="4"/>
        <v>South</v>
      </c>
      <c r="G273" t="s">
        <v>56</v>
      </c>
      <c r="H273" t="s">
        <v>13</v>
      </c>
      <c r="I273">
        <v>1</v>
      </c>
    </row>
    <row r="274" spans="1:9" ht="21.75" customHeight="1">
      <c r="A274" t="s">
        <v>401</v>
      </c>
      <c r="B274" s="3">
        <v>45509</v>
      </c>
      <c r="C274" t="s">
        <v>240</v>
      </c>
      <c r="D274" t="s">
        <v>70</v>
      </c>
      <c r="E274" t="s">
        <v>11</v>
      </c>
      <c r="F274" t="str">
        <f t="shared" si="4"/>
        <v>Central</v>
      </c>
      <c r="G274" t="s">
        <v>306</v>
      </c>
      <c r="H274" t="s">
        <v>13</v>
      </c>
      <c r="I274">
        <v>2</v>
      </c>
    </row>
    <row r="275" spans="1:9" ht="21.75" customHeight="1">
      <c r="A275" t="s">
        <v>402</v>
      </c>
      <c r="B275" s="3">
        <v>45525</v>
      </c>
      <c r="C275" t="s">
        <v>99</v>
      </c>
      <c r="D275" t="s">
        <v>174</v>
      </c>
      <c r="E275" t="s">
        <v>17</v>
      </c>
      <c r="F275" t="str">
        <f t="shared" si="4"/>
        <v>Central</v>
      </c>
      <c r="G275" t="s">
        <v>306</v>
      </c>
      <c r="H275" t="s">
        <v>23</v>
      </c>
      <c r="I275">
        <v>20</v>
      </c>
    </row>
    <row r="276" spans="1:9" ht="21.75" customHeight="1">
      <c r="A276" t="s">
        <v>403</v>
      </c>
      <c r="B276" s="3">
        <v>45605</v>
      </c>
      <c r="C276" t="s">
        <v>329</v>
      </c>
      <c r="D276" t="s">
        <v>174</v>
      </c>
      <c r="E276" t="s">
        <v>22</v>
      </c>
      <c r="F276" t="str">
        <f t="shared" si="4"/>
        <v>West</v>
      </c>
      <c r="G276" t="s">
        <v>27</v>
      </c>
      <c r="H276" t="s">
        <v>23</v>
      </c>
      <c r="I276">
        <v>15</v>
      </c>
    </row>
    <row r="277" spans="1:9" ht="21.75" customHeight="1">
      <c r="A277" t="s">
        <v>404</v>
      </c>
      <c r="B277" s="3">
        <v>45522</v>
      </c>
      <c r="C277" t="s">
        <v>86</v>
      </c>
      <c r="D277" t="s">
        <v>119</v>
      </c>
      <c r="E277" t="s">
        <v>11</v>
      </c>
      <c r="F277" t="str">
        <f t="shared" si="4"/>
        <v>East</v>
      </c>
      <c r="G277" t="s">
        <v>42</v>
      </c>
      <c r="H277" t="s">
        <v>28</v>
      </c>
      <c r="I277">
        <v>17</v>
      </c>
    </row>
    <row r="278" spans="1:9" ht="21.75" customHeight="1">
      <c r="A278" t="s">
        <v>405</v>
      </c>
      <c r="B278" s="3">
        <v>45432</v>
      </c>
      <c r="C278" t="s">
        <v>396</v>
      </c>
      <c r="D278" t="s">
        <v>197</v>
      </c>
      <c r="E278" t="s">
        <v>11</v>
      </c>
      <c r="F278" t="str">
        <f t="shared" si="4"/>
        <v>East</v>
      </c>
      <c r="G278" t="s">
        <v>42</v>
      </c>
      <c r="H278" t="s">
        <v>36</v>
      </c>
      <c r="I278">
        <v>9</v>
      </c>
    </row>
    <row r="279" spans="1:9" ht="21.75" customHeight="1">
      <c r="A279" t="s">
        <v>406</v>
      </c>
      <c r="B279" s="3">
        <v>45333</v>
      </c>
      <c r="C279" t="s">
        <v>99</v>
      </c>
      <c r="D279" t="s">
        <v>31</v>
      </c>
      <c r="E279" t="s">
        <v>11</v>
      </c>
      <c r="F279" t="str">
        <f t="shared" si="4"/>
        <v>South</v>
      </c>
      <c r="G279" t="s">
        <v>56</v>
      </c>
      <c r="H279" t="s">
        <v>13</v>
      </c>
      <c r="I279">
        <v>5</v>
      </c>
    </row>
    <row r="280" spans="1:9" ht="21.75" customHeight="1">
      <c r="A280" t="s">
        <v>407</v>
      </c>
      <c r="B280" s="3">
        <v>45504</v>
      </c>
      <c r="C280" t="s">
        <v>408</v>
      </c>
      <c r="D280" t="s">
        <v>70</v>
      </c>
      <c r="E280" t="s">
        <v>17</v>
      </c>
      <c r="F280" t="str">
        <f t="shared" si="4"/>
        <v>Central</v>
      </c>
      <c r="G280" t="s">
        <v>306</v>
      </c>
      <c r="H280" t="s">
        <v>23</v>
      </c>
      <c r="I280">
        <v>14</v>
      </c>
    </row>
    <row r="281" spans="1:9" ht="21.75" customHeight="1">
      <c r="A281" t="s">
        <v>409</v>
      </c>
      <c r="B281" s="3">
        <v>45491</v>
      </c>
      <c r="C281" t="s">
        <v>337</v>
      </c>
      <c r="D281" t="s">
        <v>119</v>
      </c>
      <c r="E281" t="s">
        <v>22</v>
      </c>
      <c r="F281" t="str">
        <f t="shared" si="4"/>
        <v>North</v>
      </c>
      <c r="G281" t="s">
        <v>12</v>
      </c>
      <c r="H281" t="s">
        <v>13</v>
      </c>
      <c r="I281">
        <v>19</v>
      </c>
    </row>
    <row r="282" spans="1:9" ht="21.75" customHeight="1">
      <c r="A282" t="s">
        <v>410</v>
      </c>
      <c r="B282" s="3">
        <v>45472</v>
      </c>
      <c r="C282" t="s">
        <v>68</v>
      </c>
      <c r="D282" t="s">
        <v>174</v>
      </c>
      <c r="E282" t="s">
        <v>17</v>
      </c>
      <c r="F282" t="str">
        <f t="shared" si="4"/>
        <v>West</v>
      </c>
      <c r="G282" t="s">
        <v>27</v>
      </c>
      <c r="H282" t="s">
        <v>28</v>
      </c>
      <c r="I282">
        <v>18</v>
      </c>
    </row>
    <row r="283" spans="1:9" ht="21.75" customHeight="1">
      <c r="A283" t="s">
        <v>411</v>
      </c>
      <c r="B283" s="3">
        <v>45541</v>
      </c>
      <c r="C283" t="s">
        <v>240</v>
      </c>
      <c r="D283" t="s">
        <v>35</v>
      </c>
      <c r="E283" t="s">
        <v>17</v>
      </c>
      <c r="F283" t="str">
        <f t="shared" si="4"/>
        <v>West</v>
      </c>
      <c r="G283" t="s">
        <v>27</v>
      </c>
      <c r="H283" t="s">
        <v>23</v>
      </c>
      <c r="I283">
        <v>1</v>
      </c>
    </row>
    <row r="284" spans="1:9" ht="21.75" customHeight="1">
      <c r="A284" t="s">
        <v>412</v>
      </c>
      <c r="B284" s="3">
        <v>45376</v>
      </c>
      <c r="C284" t="s">
        <v>319</v>
      </c>
      <c r="D284" t="s">
        <v>174</v>
      </c>
      <c r="E284" t="s">
        <v>11</v>
      </c>
      <c r="F284" t="str">
        <f t="shared" si="4"/>
        <v>Central</v>
      </c>
      <c r="G284" t="s">
        <v>306</v>
      </c>
      <c r="H284" t="s">
        <v>36</v>
      </c>
      <c r="I284">
        <v>1</v>
      </c>
    </row>
    <row r="285" spans="1:9" ht="21.75" customHeight="1">
      <c r="A285" t="s">
        <v>413</v>
      </c>
      <c r="B285" s="3">
        <v>45580</v>
      </c>
      <c r="C285" t="s">
        <v>371</v>
      </c>
      <c r="D285" t="s">
        <v>21</v>
      </c>
      <c r="E285" t="s">
        <v>11</v>
      </c>
      <c r="F285" t="str">
        <f t="shared" si="4"/>
        <v>North</v>
      </c>
      <c r="G285" t="s">
        <v>12</v>
      </c>
      <c r="H285" t="s">
        <v>23</v>
      </c>
      <c r="I285">
        <v>14</v>
      </c>
    </row>
    <row r="286" spans="1:9" ht="21.75" customHeight="1">
      <c r="A286" t="s">
        <v>414</v>
      </c>
      <c r="B286" s="3">
        <v>45385</v>
      </c>
      <c r="C286" t="s">
        <v>9</v>
      </c>
      <c r="D286" t="s">
        <v>72</v>
      </c>
      <c r="E286" t="s">
        <v>17</v>
      </c>
      <c r="F286" t="str">
        <f t="shared" si="4"/>
        <v>West</v>
      </c>
      <c r="G286" t="s">
        <v>27</v>
      </c>
      <c r="H286" t="s">
        <v>32</v>
      </c>
      <c r="I286">
        <v>7</v>
      </c>
    </row>
    <row r="287" spans="1:9" ht="21.75" customHeight="1">
      <c r="A287" t="s">
        <v>415</v>
      </c>
      <c r="B287" s="3">
        <v>45486</v>
      </c>
      <c r="C287" t="s">
        <v>89</v>
      </c>
      <c r="D287" t="s">
        <v>10</v>
      </c>
      <c r="E287" t="s">
        <v>17</v>
      </c>
      <c r="F287" t="str">
        <f t="shared" si="4"/>
        <v>East</v>
      </c>
      <c r="G287" t="s">
        <v>42</v>
      </c>
      <c r="H287" t="s">
        <v>36</v>
      </c>
      <c r="I287">
        <v>16</v>
      </c>
    </row>
    <row r="288" spans="1:9" ht="21.75" customHeight="1">
      <c r="A288" t="s">
        <v>416</v>
      </c>
      <c r="B288" s="3">
        <v>45318</v>
      </c>
      <c r="C288" t="s">
        <v>20</v>
      </c>
      <c r="D288" t="s">
        <v>119</v>
      </c>
      <c r="E288" t="s">
        <v>11</v>
      </c>
      <c r="F288" t="str">
        <f t="shared" si="4"/>
        <v>North</v>
      </c>
      <c r="G288" t="s">
        <v>12</v>
      </c>
      <c r="H288" t="s">
        <v>28</v>
      </c>
      <c r="I288">
        <v>2</v>
      </c>
    </row>
    <row r="289" spans="1:9" ht="21.75" customHeight="1">
      <c r="A289" t="s">
        <v>417</v>
      </c>
      <c r="B289" s="3">
        <v>45394</v>
      </c>
      <c r="C289" t="s">
        <v>138</v>
      </c>
      <c r="D289" t="s">
        <v>197</v>
      </c>
      <c r="E289" t="s">
        <v>22</v>
      </c>
      <c r="F289" t="str">
        <f t="shared" si="4"/>
        <v>South</v>
      </c>
      <c r="G289" t="s">
        <v>56</v>
      </c>
      <c r="H289" t="s">
        <v>13</v>
      </c>
      <c r="I289">
        <v>5</v>
      </c>
    </row>
    <row r="290" spans="1:9" ht="21.75" customHeight="1">
      <c r="A290" t="s">
        <v>418</v>
      </c>
      <c r="B290" s="3">
        <v>45580</v>
      </c>
      <c r="C290" t="s">
        <v>133</v>
      </c>
      <c r="D290" t="s">
        <v>119</v>
      </c>
      <c r="E290" t="s">
        <v>17</v>
      </c>
      <c r="F290" t="str">
        <f t="shared" si="4"/>
        <v>East</v>
      </c>
      <c r="G290" t="s">
        <v>42</v>
      </c>
      <c r="H290" t="s">
        <v>36</v>
      </c>
      <c r="I290">
        <v>12</v>
      </c>
    </row>
    <row r="291" spans="1:9" ht="21.75" customHeight="1">
      <c r="A291" t="s">
        <v>419</v>
      </c>
      <c r="B291" s="3">
        <v>45350</v>
      </c>
      <c r="C291" t="s">
        <v>420</v>
      </c>
      <c r="D291" t="s">
        <v>102</v>
      </c>
      <c r="E291" t="s">
        <v>11</v>
      </c>
      <c r="F291" t="str">
        <f t="shared" si="4"/>
        <v>East</v>
      </c>
      <c r="G291" t="s">
        <v>42</v>
      </c>
      <c r="H291" t="s">
        <v>32</v>
      </c>
      <c r="I291">
        <v>19</v>
      </c>
    </row>
    <row r="292" spans="1:9" ht="21.75" customHeight="1">
      <c r="A292" t="s">
        <v>421</v>
      </c>
      <c r="B292" s="3">
        <v>45586</v>
      </c>
      <c r="C292" t="s">
        <v>422</v>
      </c>
      <c r="D292" t="s">
        <v>62</v>
      </c>
      <c r="E292" t="s">
        <v>17</v>
      </c>
      <c r="F292" t="str">
        <f t="shared" si="4"/>
        <v>West</v>
      </c>
      <c r="G292" t="s">
        <v>27</v>
      </c>
      <c r="H292" t="s">
        <v>28</v>
      </c>
      <c r="I292">
        <v>7</v>
      </c>
    </row>
    <row r="293" spans="1:9" ht="21.75" customHeight="1">
      <c r="A293" t="s">
        <v>423</v>
      </c>
      <c r="B293" s="3">
        <v>45344</v>
      </c>
      <c r="C293" t="s">
        <v>424</v>
      </c>
      <c r="D293" t="s">
        <v>102</v>
      </c>
      <c r="E293" t="s">
        <v>17</v>
      </c>
      <c r="F293" t="str">
        <f t="shared" si="4"/>
        <v>Central</v>
      </c>
      <c r="G293" t="s">
        <v>306</v>
      </c>
      <c r="H293" t="s">
        <v>32</v>
      </c>
      <c r="I293">
        <v>19</v>
      </c>
    </row>
    <row r="294" spans="1:9" ht="21.75" customHeight="1">
      <c r="A294" t="s">
        <v>425</v>
      </c>
      <c r="B294" s="3">
        <v>45564</v>
      </c>
      <c r="C294" t="s">
        <v>309</v>
      </c>
      <c r="D294" t="s">
        <v>10</v>
      </c>
      <c r="E294" t="s">
        <v>22</v>
      </c>
      <c r="F294" t="str">
        <f t="shared" si="4"/>
        <v>East</v>
      </c>
      <c r="G294" t="s">
        <v>42</v>
      </c>
      <c r="H294" t="s">
        <v>13</v>
      </c>
      <c r="I294">
        <v>17</v>
      </c>
    </row>
    <row r="295" spans="1:9" ht="21.75" customHeight="1">
      <c r="A295" t="s">
        <v>426</v>
      </c>
      <c r="B295" s="3">
        <v>45507</v>
      </c>
      <c r="C295" t="s">
        <v>374</v>
      </c>
      <c r="D295" t="s">
        <v>48</v>
      </c>
      <c r="E295" t="s">
        <v>11</v>
      </c>
      <c r="F295" t="str">
        <f t="shared" si="4"/>
        <v>West</v>
      </c>
      <c r="G295" t="s">
        <v>27</v>
      </c>
      <c r="H295" t="s">
        <v>23</v>
      </c>
      <c r="I295">
        <v>15</v>
      </c>
    </row>
    <row r="296" spans="1:9" ht="21.75" customHeight="1">
      <c r="A296" t="s">
        <v>427</v>
      </c>
      <c r="B296" s="3">
        <v>45382</v>
      </c>
      <c r="C296" t="s">
        <v>388</v>
      </c>
      <c r="D296" t="s">
        <v>109</v>
      </c>
      <c r="E296" t="s">
        <v>22</v>
      </c>
      <c r="F296" t="str">
        <f t="shared" si="4"/>
        <v>East</v>
      </c>
      <c r="G296" t="s">
        <v>42</v>
      </c>
      <c r="H296" t="s">
        <v>23</v>
      </c>
      <c r="I296">
        <v>18</v>
      </c>
    </row>
    <row r="297" spans="1:9" ht="21.75" customHeight="1">
      <c r="A297" t="s">
        <v>428</v>
      </c>
      <c r="B297" s="3">
        <v>45515</v>
      </c>
      <c r="C297" t="s">
        <v>388</v>
      </c>
      <c r="D297" t="s">
        <v>72</v>
      </c>
      <c r="E297" t="s">
        <v>22</v>
      </c>
      <c r="F297" t="str">
        <f t="shared" si="4"/>
        <v>East</v>
      </c>
      <c r="G297" t="s">
        <v>42</v>
      </c>
      <c r="H297" t="s">
        <v>13</v>
      </c>
      <c r="I297">
        <v>8</v>
      </c>
    </row>
    <row r="298" spans="1:9" ht="21.75" customHeight="1">
      <c r="A298" t="s">
        <v>429</v>
      </c>
      <c r="B298" s="3">
        <v>45434</v>
      </c>
      <c r="C298" t="s">
        <v>430</v>
      </c>
      <c r="D298" t="s">
        <v>59</v>
      </c>
      <c r="E298" t="s">
        <v>11</v>
      </c>
      <c r="F298" t="str">
        <f t="shared" si="4"/>
        <v>West</v>
      </c>
      <c r="G298" t="s">
        <v>27</v>
      </c>
      <c r="H298" t="s">
        <v>32</v>
      </c>
      <c r="I298">
        <v>20</v>
      </c>
    </row>
    <row r="299" spans="1:9" ht="21.75" customHeight="1">
      <c r="A299" t="s">
        <v>431</v>
      </c>
      <c r="B299" s="3">
        <v>45306</v>
      </c>
      <c r="C299" t="s">
        <v>432</v>
      </c>
      <c r="D299" t="s">
        <v>35</v>
      </c>
      <c r="E299" t="s">
        <v>17</v>
      </c>
      <c r="F299" t="str">
        <f t="shared" si="4"/>
        <v>South</v>
      </c>
      <c r="G299" t="s">
        <v>56</v>
      </c>
      <c r="H299" t="s">
        <v>32</v>
      </c>
      <c r="I299">
        <v>7</v>
      </c>
    </row>
    <row r="300" spans="1:9" ht="21.75" customHeight="1">
      <c r="A300" t="s">
        <v>433</v>
      </c>
      <c r="B300" s="3">
        <v>45466</v>
      </c>
      <c r="C300" t="s">
        <v>89</v>
      </c>
      <c r="D300" t="s">
        <v>174</v>
      </c>
      <c r="E300" t="s">
        <v>22</v>
      </c>
      <c r="F300" t="str">
        <f t="shared" si="4"/>
        <v>East</v>
      </c>
      <c r="G300" t="s">
        <v>42</v>
      </c>
      <c r="H300" t="s">
        <v>28</v>
      </c>
      <c r="I300">
        <v>1</v>
      </c>
    </row>
    <row r="301" spans="1:9" ht="21.75" customHeight="1">
      <c r="A301" t="s">
        <v>434</v>
      </c>
      <c r="B301" s="3">
        <v>45335</v>
      </c>
      <c r="C301" t="s">
        <v>93</v>
      </c>
      <c r="D301" t="s">
        <v>35</v>
      </c>
      <c r="E301" t="s">
        <v>22</v>
      </c>
      <c r="F301" t="str">
        <f t="shared" si="4"/>
        <v>West</v>
      </c>
      <c r="G301" t="s">
        <v>27</v>
      </c>
      <c r="H301" t="s">
        <v>23</v>
      </c>
      <c r="I301">
        <v>18</v>
      </c>
    </row>
    <row r="302" spans="1:9" ht="21.75" customHeight="1">
      <c r="A302" t="s">
        <v>435</v>
      </c>
      <c r="B302" s="3">
        <v>45622</v>
      </c>
      <c r="C302" t="s">
        <v>436</v>
      </c>
      <c r="D302" t="s">
        <v>96</v>
      </c>
      <c r="E302" t="s">
        <v>17</v>
      </c>
      <c r="F302" t="str">
        <f t="shared" si="4"/>
        <v>West</v>
      </c>
      <c r="G302" t="s">
        <v>27</v>
      </c>
      <c r="H302" t="s">
        <v>23</v>
      </c>
      <c r="I302">
        <v>3</v>
      </c>
    </row>
    <row r="303" spans="1:9" ht="21.75" customHeight="1">
      <c r="A303" t="s">
        <v>437</v>
      </c>
      <c r="B303" s="3">
        <v>45646</v>
      </c>
      <c r="C303" t="s">
        <v>78</v>
      </c>
      <c r="D303" t="s">
        <v>48</v>
      </c>
      <c r="E303" t="s">
        <v>17</v>
      </c>
      <c r="F303" t="str">
        <f t="shared" si="4"/>
        <v>Central</v>
      </c>
      <c r="G303" t="s">
        <v>306</v>
      </c>
      <c r="H303" t="s">
        <v>32</v>
      </c>
      <c r="I303">
        <v>16</v>
      </c>
    </row>
    <row r="304" spans="1:9" ht="21.75" customHeight="1">
      <c r="A304" t="s">
        <v>438</v>
      </c>
      <c r="B304" s="3">
        <v>45509</v>
      </c>
      <c r="C304" t="s">
        <v>323</v>
      </c>
      <c r="D304" t="s">
        <v>48</v>
      </c>
      <c r="E304" t="s">
        <v>22</v>
      </c>
      <c r="F304" t="str">
        <f t="shared" si="4"/>
        <v>East</v>
      </c>
      <c r="G304" t="s">
        <v>42</v>
      </c>
      <c r="H304" t="s">
        <v>32</v>
      </c>
      <c r="I304">
        <v>15</v>
      </c>
    </row>
    <row r="305" spans="1:9" ht="21.75" customHeight="1">
      <c r="A305" t="s">
        <v>439</v>
      </c>
      <c r="B305" s="3">
        <v>45410</v>
      </c>
      <c r="C305" t="s">
        <v>114</v>
      </c>
      <c r="D305" t="s">
        <v>72</v>
      </c>
      <c r="E305" t="s">
        <v>22</v>
      </c>
      <c r="F305" t="str">
        <f t="shared" si="4"/>
        <v>South</v>
      </c>
      <c r="G305" t="s">
        <v>56</v>
      </c>
      <c r="H305" t="s">
        <v>28</v>
      </c>
      <c r="I305">
        <v>4</v>
      </c>
    </row>
    <row r="306" spans="1:9" ht="21.75" customHeight="1">
      <c r="A306" t="s">
        <v>440</v>
      </c>
      <c r="B306" s="3">
        <v>45390</v>
      </c>
      <c r="C306" t="s">
        <v>133</v>
      </c>
      <c r="D306" t="s">
        <v>26</v>
      </c>
      <c r="E306" t="s">
        <v>22</v>
      </c>
      <c r="F306" t="str">
        <f t="shared" si="4"/>
        <v>West</v>
      </c>
      <c r="G306" t="s">
        <v>27</v>
      </c>
      <c r="H306" t="s">
        <v>36</v>
      </c>
      <c r="I306">
        <v>19</v>
      </c>
    </row>
    <row r="307" spans="1:9" ht="21.75" customHeight="1">
      <c r="A307" t="s">
        <v>441</v>
      </c>
      <c r="B307" s="3">
        <v>45597</v>
      </c>
      <c r="C307" t="s">
        <v>55</v>
      </c>
      <c r="D307" t="s">
        <v>74</v>
      </c>
      <c r="E307" t="s">
        <v>11</v>
      </c>
      <c r="F307" t="str">
        <f t="shared" si="4"/>
        <v>South</v>
      </c>
      <c r="G307" t="s">
        <v>56</v>
      </c>
      <c r="H307" t="s">
        <v>32</v>
      </c>
      <c r="I307">
        <v>8</v>
      </c>
    </row>
    <row r="308" spans="1:9" ht="21.75" customHeight="1">
      <c r="A308" t="s">
        <v>442</v>
      </c>
      <c r="B308" s="3">
        <v>45299</v>
      </c>
      <c r="C308" t="s">
        <v>369</v>
      </c>
      <c r="D308" t="s">
        <v>26</v>
      </c>
      <c r="E308" t="s">
        <v>22</v>
      </c>
      <c r="F308" t="str">
        <f t="shared" si="4"/>
        <v>South</v>
      </c>
      <c r="G308" t="s">
        <v>56</v>
      </c>
      <c r="H308" t="s">
        <v>36</v>
      </c>
      <c r="I308">
        <v>2</v>
      </c>
    </row>
    <row r="309" spans="1:9" ht="21.75" customHeight="1">
      <c r="A309" t="s">
        <v>443</v>
      </c>
      <c r="B309" s="3">
        <v>45441</v>
      </c>
      <c r="C309" t="s">
        <v>424</v>
      </c>
      <c r="D309" t="s">
        <v>102</v>
      </c>
      <c r="E309" t="s">
        <v>11</v>
      </c>
      <c r="F309" t="str">
        <f t="shared" si="4"/>
        <v>West</v>
      </c>
      <c r="G309" t="s">
        <v>27</v>
      </c>
      <c r="H309" t="s">
        <v>23</v>
      </c>
      <c r="I309">
        <v>1</v>
      </c>
    </row>
    <row r="310" spans="1:9" ht="21.75" customHeight="1">
      <c r="A310" t="s">
        <v>444</v>
      </c>
      <c r="B310" s="3">
        <v>45537</v>
      </c>
      <c r="C310" t="s">
        <v>396</v>
      </c>
      <c r="D310" t="s">
        <v>79</v>
      </c>
      <c r="E310" t="s">
        <v>17</v>
      </c>
      <c r="F310" t="str">
        <f t="shared" si="4"/>
        <v>South</v>
      </c>
      <c r="G310" t="s">
        <v>56</v>
      </c>
      <c r="H310" t="s">
        <v>23</v>
      </c>
      <c r="I310">
        <v>9</v>
      </c>
    </row>
    <row r="311" spans="1:9" ht="21.75" customHeight="1">
      <c r="A311" t="s">
        <v>445</v>
      </c>
      <c r="B311" s="3">
        <v>45350</v>
      </c>
      <c r="C311" t="s">
        <v>58</v>
      </c>
      <c r="D311" t="s">
        <v>10</v>
      </c>
      <c r="E311" t="s">
        <v>17</v>
      </c>
      <c r="F311" t="str">
        <f t="shared" si="4"/>
        <v>West</v>
      </c>
      <c r="G311" t="s">
        <v>27</v>
      </c>
      <c r="H311" t="s">
        <v>13</v>
      </c>
      <c r="I311">
        <v>19</v>
      </c>
    </row>
    <row r="312" spans="1:9" ht="21.75" customHeight="1">
      <c r="A312" t="s">
        <v>446</v>
      </c>
      <c r="B312" s="3">
        <v>45369</v>
      </c>
      <c r="C312" t="s">
        <v>125</v>
      </c>
      <c r="D312" t="s">
        <v>10</v>
      </c>
      <c r="E312" t="s">
        <v>22</v>
      </c>
      <c r="F312" t="str">
        <f t="shared" si="4"/>
        <v>East</v>
      </c>
      <c r="G312" t="s">
        <v>42</v>
      </c>
      <c r="H312" t="s">
        <v>23</v>
      </c>
      <c r="I312">
        <v>8</v>
      </c>
    </row>
    <row r="313" spans="1:9" ht="21.75" customHeight="1">
      <c r="A313" t="s">
        <v>447</v>
      </c>
      <c r="B313" s="3">
        <v>45602</v>
      </c>
      <c r="C313" t="s">
        <v>327</v>
      </c>
      <c r="D313" t="s">
        <v>119</v>
      </c>
      <c r="E313" t="s">
        <v>22</v>
      </c>
      <c r="F313" t="str">
        <f t="shared" si="4"/>
        <v>South</v>
      </c>
      <c r="G313" t="s">
        <v>56</v>
      </c>
      <c r="H313" t="s">
        <v>23</v>
      </c>
      <c r="I313">
        <v>17</v>
      </c>
    </row>
    <row r="314" spans="1:9" ht="21.75" customHeight="1">
      <c r="A314" t="s">
        <v>448</v>
      </c>
      <c r="B314" s="3">
        <v>45444</v>
      </c>
      <c r="C314" t="s">
        <v>449</v>
      </c>
      <c r="D314" t="s">
        <v>59</v>
      </c>
      <c r="E314" t="s">
        <v>17</v>
      </c>
      <c r="F314" t="str">
        <f t="shared" si="4"/>
        <v>East</v>
      </c>
      <c r="G314" t="s">
        <v>42</v>
      </c>
      <c r="H314" t="s">
        <v>13</v>
      </c>
      <c r="I314">
        <v>20</v>
      </c>
    </row>
    <row r="315" spans="1:9" ht="21.75" customHeight="1">
      <c r="A315" t="s">
        <v>450</v>
      </c>
      <c r="B315" s="3">
        <v>45398</v>
      </c>
      <c r="C315" t="s">
        <v>451</v>
      </c>
      <c r="D315" t="s">
        <v>41</v>
      </c>
      <c r="E315" t="s">
        <v>11</v>
      </c>
      <c r="F315" t="str">
        <f t="shared" si="4"/>
        <v>East</v>
      </c>
      <c r="G315" t="s">
        <v>42</v>
      </c>
      <c r="H315" t="s">
        <v>28</v>
      </c>
      <c r="I315">
        <v>3</v>
      </c>
    </row>
    <row r="316" spans="1:9" ht="21.75" customHeight="1">
      <c r="A316" t="s">
        <v>452</v>
      </c>
      <c r="B316" s="3">
        <v>45574</v>
      </c>
      <c r="C316" t="s">
        <v>208</v>
      </c>
      <c r="D316" t="s">
        <v>87</v>
      </c>
      <c r="E316" t="s">
        <v>11</v>
      </c>
      <c r="F316" t="str">
        <f t="shared" si="4"/>
        <v>North</v>
      </c>
      <c r="G316" t="s">
        <v>12</v>
      </c>
      <c r="H316" t="s">
        <v>23</v>
      </c>
      <c r="I316">
        <v>15</v>
      </c>
    </row>
    <row r="317" spans="1:9" ht="21.75" customHeight="1">
      <c r="A317" t="s">
        <v>453</v>
      </c>
      <c r="B317" s="3">
        <v>45441</v>
      </c>
      <c r="C317" t="s">
        <v>122</v>
      </c>
      <c r="D317" t="s">
        <v>62</v>
      </c>
      <c r="E317" t="s">
        <v>11</v>
      </c>
      <c r="F317" t="str">
        <f t="shared" si="4"/>
        <v>East</v>
      </c>
      <c r="G317" t="s">
        <v>42</v>
      </c>
      <c r="H317" t="s">
        <v>23</v>
      </c>
      <c r="I317">
        <v>10</v>
      </c>
    </row>
    <row r="318" spans="1:9" ht="21.75" customHeight="1">
      <c r="A318" t="s">
        <v>454</v>
      </c>
      <c r="B318" s="3">
        <v>45328</v>
      </c>
      <c r="C318" t="s">
        <v>455</v>
      </c>
      <c r="D318" t="s">
        <v>21</v>
      </c>
      <c r="E318" t="s">
        <v>11</v>
      </c>
      <c r="F318" t="str">
        <f t="shared" si="4"/>
        <v>East</v>
      </c>
      <c r="G318" t="s">
        <v>42</v>
      </c>
      <c r="H318" t="s">
        <v>28</v>
      </c>
      <c r="I318">
        <v>19</v>
      </c>
    </row>
    <row r="319" spans="1:9" ht="21.75" customHeight="1">
      <c r="A319" t="s">
        <v>456</v>
      </c>
      <c r="B319" s="3">
        <v>45509</v>
      </c>
      <c r="C319" t="s">
        <v>40</v>
      </c>
      <c r="D319" t="s">
        <v>21</v>
      </c>
      <c r="E319" t="s">
        <v>22</v>
      </c>
      <c r="F319" t="str">
        <f t="shared" si="4"/>
        <v>South</v>
      </c>
      <c r="G319" t="s">
        <v>56</v>
      </c>
      <c r="H319" t="s">
        <v>28</v>
      </c>
      <c r="I319">
        <v>5</v>
      </c>
    </row>
    <row r="320" spans="1:9" ht="21.75" customHeight="1">
      <c r="A320" t="s">
        <v>457</v>
      </c>
      <c r="B320" s="3">
        <v>45328</v>
      </c>
      <c r="C320" t="s">
        <v>131</v>
      </c>
      <c r="D320" t="s">
        <v>109</v>
      </c>
      <c r="E320" t="s">
        <v>11</v>
      </c>
      <c r="F320" t="str">
        <f t="shared" si="4"/>
        <v>East</v>
      </c>
      <c r="G320" t="s">
        <v>42</v>
      </c>
      <c r="H320" t="s">
        <v>23</v>
      </c>
      <c r="I320">
        <v>19</v>
      </c>
    </row>
    <row r="321" spans="1:9" ht="21.75" customHeight="1">
      <c r="A321" t="s">
        <v>458</v>
      </c>
      <c r="B321" s="3">
        <v>45355</v>
      </c>
      <c r="C321" t="s">
        <v>319</v>
      </c>
      <c r="D321" t="s">
        <v>62</v>
      </c>
      <c r="E321" t="s">
        <v>22</v>
      </c>
      <c r="F321" t="str">
        <f t="shared" si="4"/>
        <v>East</v>
      </c>
      <c r="G321" t="s">
        <v>42</v>
      </c>
      <c r="H321" t="s">
        <v>36</v>
      </c>
      <c r="I321">
        <v>13</v>
      </c>
    </row>
    <row r="322" spans="1:9" ht="21.75" customHeight="1">
      <c r="A322" t="s">
        <v>459</v>
      </c>
      <c r="B322" s="3">
        <v>45568</v>
      </c>
      <c r="C322" t="s">
        <v>432</v>
      </c>
      <c r="D322" t="s">
        <v>109</v>
      </c>
      <c r="E322" t="s">
        <v>17</v>
      </c>
      <c r="F322" t="str">
        <f t="shared" si="4"/>
        <v>North</v>
      </c>
      <c r="G322" t="s">
        <v>12</v>
      </c>
      <c r="H322" t="s">
        <v>32</v>
      </c>
      <c r="I322">
        <v>2</v>
      </c>
    </row>
    <row r="323" spans="1:9" ht="21.75" customHeight="1">
      <c r="A323" t="s">
        <v>460</v>
      </c>
      <c r="B323" s="3">
        <v>45601</v>
      </c>
      <c r="C323" t="s">
        <v>230</v>
      </c>
      <c r="D323" t="s">
        <v>197</v>
      </c>
      <c r="E323" t="s">
        <v>11</v>
      </c>
      <c r="F323" t="str">
        <f t="shared" ref="F323:F386" si="5">TRIM(PROPER(G323))</f>
        <v>North</v>
      </c>
      <c r="G323" t="s">
        <v>12</v>
      </c>
      <c r="H323" t="s">
        <v>13</v>
      </c>
      <c r="I323">
        <v>19</v>
      </c>
    </row>
    <row r="324" spans="1:9" ht="21.75" customHeight="1">
      <c r="A324" t="s">
        <v>461</v>
      </c>
      <c r="B324" s="3">
        <v>45636</v>
      </c>
      <c r="C324" t="s">
        <v>101</v>
      </c>
      <c r="D324" t="s">
        <v>119</v>
      </c>
      <c r="E324" t="s">
        <v>22</v>
      </c>
      <c r="F324" t="str">
        <f t="shared" si="5"/>
        <v>North</v>
      </c>
      <c r="G324" t="s">
        <v>12</v>
      </c>
      <c r="H324" t="s">
        <v>23</v>
      </c>
      <c r="I324">
        <v>6</v>
      </c>
    </row>
    <row r="325" spans="1:9" ht="21.75" customHeight="1">
      <c r="A325" t="s">
        <v>462</v>
      </c>
      <c r="B325" s="3">
        <v>45434</v>
      </c>
      <c r="C325" t="s">
        <v>44</v>
      </c>
      <c r="D325" t="s">
        <v>21</v>
      </c>
      <c r="E325" t="s">
        <v>22</v>
      </c>
      <c r="F325" t="str">
        <f t="shared" si="5"/>
        <v>West</v>
      </c>
      <c r="G325" t="s">
        <v>27</v>
      </c>
      <c r="H325" t="s">
        <v>23</v>
      </c>
      <c r="I325">
        <v>16</v>
      </c>
    </row>
    <row r="326" spans="1:9" ht="21.75" customHeight="1">
      <c r="A326" t="s">
        <v>463</v>
      </c>
      <c r="B326" s="3">
        <v>45470</v>
      </c>
      <c r="C326" t="s">
        <v>408</v>
      </c>
      <c r="D326" t="s">
        <v>41</v>
      </c>
      <c r="E326" t="s">
        <v>17</v>
      </c>
      <c r="F326" t="str">
        <f t="shared" si="5"/>
        <v>East</v>
      </c>
      <c r="G326" t="s">
        <v>42</v>
      </c>
      <c r="H326" t="s">
        <v>32</v>
      </c>
      <c r="I326">
        <v>4</v>
      </c>
    </row>
    <row r="327" spans="1:9" ht="21.75" customHeight="1">
      <c r="A327" t="s">
        <v>464</v>
      </c>
      <c r="B327" s="3">
        <v>45502</v>
      </c>
      <c r="C327" t="s">
        <v>465</v>
      </c>
      <c r="D327" t="s">
        <v>41</v>
      </c>
      <c r="E327" t="s">
        <v>17</v>
      </c>
      <c r="F327" t="str">
        <f t="shared" si="5"/>
        <v>East</v>
      </c>
      <c r="G327" t="s">
        <v>42</v>
      </c>
      <c r="H327" t="s">
        <v>36</v>
      </c>
      <c r="I327">
        <v>13</v>
      </c>
    </row>
    <row r="328" spans="1:9" ht="21.75" customHeight="1">
      <c r="A328" t="s">
        <v>466</v>
      </c>
      <c r="B328" s="3">
        <v>45310</v>
      </c>
      <c r="C328" t="s">
        <v>366</v>
      </c>
      <c r="D328" t="s">
        <v>26</v>
      </c>
      <c r="E328" t="s">
        <v>11</v>
      </c>
      <c r="F328" t="str">
        <f t="shared" si="5"/>
        <v>East</v>
      </c>
      <c r="G328" t="s">
        <v>42</v>
      </c>
      <c r="H328" t="s">
        <v>23</v>
      </c>
      <c r="I328">
        <v>11</v>
      </c>
    </row>
    <row r="329" spans="1:9" ht="21.75" customHeight="1">
      <c r="A329" t="s">
        <v>467</v>
      </c>
      <c r="B329" s="3">
        <v>45555</v>
      </c>
      <c r="C329" t="s">
        <v>25</v>
      </c>
      <c r="D329" t="s">
        <v>70</v>
      </c>
      <c r="E329" t="s">
        <v>22</v>
      </c>
      <c r="F329" t="str">
        <f t="shared" si="5"/>
        <v>Central</v>
      </c>
      <c r="G329" t="s">
        <v>306</v>
      </c>
      <c r="H329" t="s">
        <v>36</v>
      </c>
      <c r="I329">
        <v>14</v>
      </c>
    </row>
    <row r="330" spans="1:9" ht="21.75" customHeight="1">
      <c r="A330" t="s">
        <v>468</v>
      </c>
      <c r="B330" s="3">
        <v>45477</v>
      </c>
      <c r="C330" t="s">
        <v>381</v>
      </c>
      <c r="D330" t="s">
        <v>119</v>
      </c>
      <c r="E330" t="s">
        <v>17</v>
      </c>
      <c r="F330" t="str">
        <f t="shared" si="5"/>
        <v>West</v>
      </c>
      <c r="G330" t="s">
        <v>27</v>
      </c>
      <c r="H330" t="s">
        <v>36</v>
      </c>
      <c r="I330">
        <v>2</v>
      </c>
    </row>
    <row r="331" spans="1:9" ht="21.75" customHeight="1">
      <c r="A331" t="s">
        <v>469</v>
      </c>
      <c r="B331" s="3">
        <v>45359</v>
      </c>
      <c r="C331" t="s">
        <v>55</v>
      </c>
      <c r="D331" t="s">
        <v>102</v>
      </c>
      <c r="E331" t="s">
        <v>17</v>
      </c>
      <c r="F331" t="str">
        <f t="shared" si="5"/>
        <v>West</v>
      </c>
      <c r="G331" t="s">
        <v>27</v>
      </c>
      <c r="H331" t="s">
        <v>36</v>
      </c>
      <c r="I331">
        <v>1</v>
      </c>
    </row>
    <row r="332" spans="1:9" ht="21.75" customHeight="1">
      <c r="A332" t="s">
        <v>470</v>
      </c>
      <c r="B332" s="3">
        <v>45414</v>
      </c>
      <c r="C332" t="s">
        <v>369</v>
      </c>
      <c r="D332" t="s">
        <v>174</v>
      </c>
      <c r="E332" t="s">
        <v>11</v>
      </c>
      <c r="F332" t="str">
        <f t="shared" si="5"/>
        <v>East</v>
      </c>
      <c r="G332" t="s">
        <v>42</v>
      </c>
      <c r="H332" t="s">
        <v>13</v>
      </c>
      <c r="I332">
        <v>1</v>
      </c>
    </row>
    <row r="333" spans="1:9" ht="21.75" customHeight="1">
      <c r="A333" t="s">
        <v>471</v>
      </c>
      <c r="B333" s="3">
        <v>45407</v>
      </c>
      <c r="C333" t="s">
        <v>40</v>
      </c>
      <c r="D333" t="s">
        <v>21</v>
      </c>
      <c r="E333" t="s">
        <v>17</v>
      </c>
      <c r="F333" t="str">
        <f t="shared" si="5"/>
        <v>North</v>
      </c>
      <c r="G333" t="s">
        <v>12</v>
      </c>
      <c r="H333" t="s">
        <v>32</v>
      </c>
      <c r="I333">
        <v>5</v>
      </c>
    </row>
    <row r="334" spans="1:9" ht="21.75" customHeight="1">
      <c r="A334" t="s">
        <v>472</v>
      </c>
      <c r="B334" s="3">
        <v>45552</v>
      </c>
      <c r="C334" t="s">
        <v>369</v>
      </c>
      <c r="D334" t="s">
        <v>35</v>
      </c>
      <c r="E334" t="s">
        <v>17</v>
      </c>
      <c r="F334" t="str">
        <f t="shared" si="5"/>
        <v>West</v>
      </c>
      <c r="G334" t="s">
        <v>27</v>
      </c>
      <c r="H334" t="s">
        <v>36</v>
      </c>
      <c r="I334">
        <v>16</v>
      </c>
    </row>
    <row r="335" spans="1:9" ht="21.75" customHeight="1">
      <c r="A335" t="s">
        <v>473</v>
      </c>
      <c r="B335" s="3">
        <v>45366</v>
      </c>
      <c r="C335" t="s">
        <v>53</v>
      </c>
      <c r="D335" t="s">
        <v>160</v>
      </c>
      <c r="E335" t="s">
        <v>11</v>
      </c>
      <c r="F335" t="str">
        <f t="shared" si="5"/>
        <v>Central</v>
      </c>
      <c r="G335" t="s">
        <v>306</v>
      </c>
      <c r="H335" t="s">
        <v>32</v>
      </c>
      <c r="I335">
        <v>5</v>
      </c>
    </row>
    <row r="336" spans="1:9" ht="21.75" customHeight="1">
      <c r="A336" t="s">
        <v>474</v>
      </c>
      <c r="B336" s="3">
        <v>45504</v>
      </c>
      <c r="C336" t="s">
        <v>47</v>
      </c>
      <c r="D336" t="s">
        <v>96</v>
      </c>
      <c r="E336" t="s">
        <v>22</v>
      </c>
      <c r="F336" t="str">
        <f t="shared" si="5"/>
        <v>East</v>
      </c>
      <c r="G336" t="s">
        <v>42</v>
      </c>
      <c r="H336" t="s">
        <v>36</v>
      </c>
      <c r="I336">
        <v>10</v>
      </c>
    </row>
    <row r="337" spans="1:9" ht="21.75" customHeight="1">
      <c r="A337" t="s">
        <v>475</v>
      </c>
      <c r="B337" s="3">
        <v>45588</v>
      </c>
      <c r="C337" t="s">
        <v>371</v>
      </c>
      <c r="D337" t="s">
        <v>70</v>
      </c>
      <c r="E337" t="s">
        <v>17</v>
      </c>
      <c r="F337" t="str">
        <f t="shared" si="5"/>
        <v>South</v>
      </c>
      <c r="G337" t="s">
        <v>56</v>
      </c>
      <c r="H337" t="s">
        <v>32</v>
      </c>
      <c r="I337">
        <v>18</v>
      </c>
    </row>
    <row r="338" spans="1:9" ht="21.75" customHeight="1">
      <c r="A338" t="s">
        <v>476</v>
      </c>
      <c r="B338" s="3">
        <v>45574</v>
      </c>
      <c r="C338" t="s">
        <v>332</v>
      </c>
      <c r="D338" t="s">
        <v>70</v>
      </c>
      <c r="E338" t="s">
        <v>22</v>
      </c>
      <c r="F338" t="str">
        <f t="shared" si="5"/>
        <v>West</v>
      </c>
      <c r="G338" t="s">
        <v>27</v>
      </c>
      <c r="H338" t="s">
        <v>28</v>
      </c>
      <c r="I338">
        <v>11</v>
      </c>
    </row>
    <row r="339" spans="1:9" ht="21.75" customHeight="1">
      <c r="A339" t="s">
        <v>477</v>
      </c>
      <c r="B339" s="3">
        <v>45584</v>
      </c>
      <c r="C339" t="s">
        <v>53</v>
      </c>
      <c r="D339" t="s">
        <v>79</v>
      </c>
      <c r="E339" t="s">
        <v>11</v>
      </c>
      <c r="F339" t="str">
        <f t="shared" si="5"/>
        <v>West</v>
      </c>
      <c r="G339" t="s">
        <v>27</v>
      </c>
      <c r="H339" t="s">
        <v>23</v>
      </c>
      <c r="I339">
        <v>11</v>
      </c>
    </row>
    <row r="340" spans="1:9" ht="21.75" customHeight="1">
      <c r="A340" t="s">
        <v>478</v>
      </c>
      <c r="B340" s="3">
        <v>45489</v>
      </c>
      <c r="C340" t="s">
        <v>371</v>
      </c>
      <c r="D340" t="s">
        <v>35</v>
      </c>
      <c r="E340" t="s">
        <v>22</v>
      </c>
      <c r="F340" t="str">
        <f t="shared" si="5"/>
        <v>South</v>
      </c>
      <c r="G340" t="s">
        <v>56</v>
      </c>
      <c r="H340" t="s">
        <v>36</v>
      </c>
      <c r="I340">
        <v>2</v>
      </c>
    </row>
    <row r="341" spans="1:9" ht="21.75" customHeight="1">
      <c r="A341" t="s">
        <v>479</v>
      </c>
      <c r="B341" s="3">
        <v>45461</v>
      </c>
      <c r="C341" t="s">
        <v>108</v>
      </c>
      <c r="D341" t="s">
        <v>160</v>
      </c>
      <c r="E341" t="s">
        <v>17</v>
      </c>
      <c r="F341" t="str">
        <f t="shared" si="5"/>
        <v>North</v>
      </c>
      <c r="G341" t="s">
        <v>12</v>
      </c>
      <c r="H341" t="s">
        <v>28</v>
      </c>
      <c r="I341">
        <v>15</v>
      </c>
    </row>
    <row r="342" spans="1:9" ht="21.75" customHeight="1">
      <c r="A342" t="s">
        <v>480</v>
      </c>
      <c r="B342" s="3">
        <v>45501</v>
      </c>
      <c r="C342" t="s">
        <v>350</v>
      </c>
      <c r="D342" t="s">
        <v>35</v>
      </c>
      <c r="E342" t="s">
        <v>11</v>
      </c>
      <c r="F342" t="str">
        <f t="shared" si="5"/>
        <v>North</v>
      </c>
      <c r="G342" t="s">
        <v>12</v>
      </c>
      <c r="H342" t="s">
        <v>23</v>
      </c>
      <c r="I342">
        <v>9</v>
      </c>
    </row>
    <row r="343" spans="1:9" ht="21.75" customHeight="1">
      <c r="A343" t="s">
        <v>481</v>
      </c>
      <c r="B343" s="3">
        <v>45624</v>
      </c>
      <c r="C343" t="s">
        <v>81</v>
      </c>
      <c r="D343" t="s">
        <v>31</v>
      </c>
      <c r="E343" t="s">
        <v>17</v>
      </c>
      <c r="F343" t="str">
        <f t="shared" si="5"/>
        <v>Central</v>
      </c>
      <c r="G343" t="s">
        <v>306</v>
      </c>
      <c r="H343" t="s">
        <v>23</v>
      </c>
      <c r="I343">
        <v>11</v>
      </c>
    </row>
    <row r="344" spans="1:9" ht="21.75" customHeight="1">
      <c r="A344" t="s">
        <v>482</v>
      </c>
      <c r="B344" s="3">
        <v>45569</v>
      </c>
      <c r="C344" t="s">
        <v>122</v>
      </c>
      <c r="D344" t="s">
        <v>197</v>
      </c>
      <c r="E344" t="s">
        <v>22</v>
      </c>
      <c r="F344" t="str">
        <f t="shared" si="5"/>
        <v>North</v>
      </c>
      <c r="G344" t="s">
        <v>12</v>
      </c>
      <c r="H344" t="s">
        <v>13</v>
      </c>
      <c r="I344">
        <v>10</v>
      </c>
    </row>
    <row r="345" spans="1:9" ht="21.75" customHeight="1">
      <c r="A345" t="s">
        <v>483</v>
      </c>
      <c r="B345" s="3">
        <v>45514</v>
      </c>
      <c r="C345" t="s">
        <v>108</v>
      </c>
      <c r="D345" t="s">
        <v>70</v>
      </c>
      <c r="E345" t="s">
        <v>22</v>
      </c>
      <c r="F345" t="str">
        <f t="shared" si="5"/>
        <v>North</v>
      </c>
      <c r="G345" t="s">
        <v>12</v>
      </c>
      <c r="H345" t="s">
        <v>13</v>
      </c>
      <c r="I345">
        <v>6</v>
      </c>
    </row>
    <row r="346" spans="1:9" ht="21.75" customHeight="1">
      <c r="A346" t="s">
        <v>484</v>
      </c>
      <c r="B346" s="3">
        <v>45315</v>
      </c>
      <c r="C346" t="s">
        <v>187</v>
      </c>
      <c r="D346" t="s">
        <v>48</v>
      </c>
      <c r="E346" t="s">
        <v>11</v>
      </c>
      <c r="F346" t="str">
        <f t="shared" si="5"/>
        <v>East</v>
      </c>
      <c r="G346" t="s">
        <v>42</v>
      </c>
      <c r="H346" t="s">
        <v>28</v>
      </c>
      <c r="I346">
        <v>12</v>
      </c>
    </row>
    <row r="347" spans="1:9" ht="21.75" customHeight="1">
      <c r="A347" t="s">
        <v>485</v>
      </c>
      <c r="B347" s="3">
        <v>45563</v>
      </c>
      <c r="C347" t="s">
        <v>408</v>
      </c>
      <c r="D347" t="s">
        <v>45</v>
      </c>
      <c r="E347" t="s">
        <v>22</v>
      </c>
      <c r="F347" t="str">
        <f t="shared" si="5"/>
        <v>South</v>
      </c>
      <c r="G347" t="s">
        <v>56</v>
      </c>
      <c r="H347" t="s">
        <v>23</v>
      </c>
      <c r="I347">
        <v>6</v>
      </c>
    </row>
    <row r="348" spans="1:9" ht="21.75" customHeight="1">
      <c r="A348" t="s">
        <v>486</v>
      </c>
      <c r="B348" s="3">
        <v>45609</v>
      </c>
      <c r="C348" t="s">
        <v>455</v>
      </c>
      <c r="D348" t="s">
        <v>59</v>
      </c>
      <c r="E348" t="s">
        <v>11</v>
      </c>
      <c r="F348" t="str">
        <f t="shared" si="5"/>
        <v>West</v>
      </c>
      <c r="G348" t="s">
        <v>27</v>
      </c>
      <c r="H348" t="s">
        <v>32</v>
      </c>
      <c r="I348">
        <v>5</v>
      </c>
    </row>
    <row r="349" spans="1:9" ht="21.75" customHeight="1">
      <c r="A349" t="s">
        <v>487</v>
      </c>
      <c r="B349" s="3">
        <v>45527</v>
      </c>
      <c r="C349" t="s">
        <v>230</v>
      </c>
      <c r="D349" t="s">
        <v>70</v>
      </c>
      <c r="E349" t="s">
        <v>22</v>
      </c>
      <c r="F349" t="str">
        <f t="shared" si="5"/>
        <v>North</v>
      </c>
      <c r="G349" t="s">
        <v>12</v>
      </c>
      <c r="H349" t="s">
        <v>28</v>
      </c>
      <c r="I349">
        <v>10</v>
      </c>
    </row>
    <row r="350" spans="1:9" ht="21.75" customHeight="1">
      <c r="A350" t="s">
        <v>488</v>
      </c>
      <c r="B350" s="3">
        <v>45329</v>
      </c>
      <c r="C350" t="s">
        <v>396</v>
      </c>
      <c r="D350" t="s">
        <v>74</v>
      </c>
      <c r="E350" t="s">
        <v>17</v>
      </c>
      <c r="F350" t="str">
        <f t="shared" si="5"/>
        <v>Central</v>
      </c>
      <c r="G350" t="s">
        <v>306</v>
      </c>
      <c r="H350" t="s">
        <v>23</v>
      </c>
      <c r="I350">
        <v>14</v>
      </c>
    </row>
    <row r="351" spans="1:9" ht="21.75" customHeight="1">
      <c r="A351" t="s">
        <v>489</v>
      </c>
      <c r="B351" s="3">
        <v>45446</v>
      </c>
      <c r="C351" t="s">
        <v>104</v>
      </c>
      <c r="D351" t="s">
        <v>102</v>
      </c>
      <c r="E351" t="s">
        <v>17</v>
      </c>
      <c r="F351" t="str">
        <f t="shared" si="5"/>
        <v>West</v>
      </c>
      <c r="G351" t="s">
        <v>27</v>
      </c>
      <c r="H351" t="s">
        <v>32</v>
      </c>
      <c r="I351">
        <v>8</v>
      </c>
    </row>
    <row r="352" spans="1:9" ht="21.75" customHeight="1">
      <c r="A352" t="s">
        <v>490</v>
      </c>
      <c r="B352" s="3">
        <v>45586</v>
      </c>
      <c r="C352" t="s">
        <v>61</v>
      </c>
      <c r="D352" t="s">
        <v>96</v>
      </c>
      <c r="E352" t="s">
        <v>22</v>
      </c>
      <c r="F352" t="str">
        <f t="shared" si="5"/>
        <v>East</v>
      </c>
      <c r="G352" t="s">
        <v>42</v>
      </c>
      <c r="H352" t="s">
        <v>36</v>
      </c>
      <c r="I352">
        <v>13</v>
      </c>
    </row>
    <row r="353" spans="1:9" ht="21.75" customHeight="1">
      <c r="A353" t="s">
        <v>491</v>
      </c>
      <c r="B353" s="3">
        <v>45643</v>
      </c>
      <c r="C353" t="s">
        <v>420</v>
      </c>
      <c r="D353" t="s">
        <v>109</v>
      </c>
      <c r="E353" t="s">
        <v>22</v>
      </c>
      <c r="F353" t="str">
        <f t="shared" si="5"/>
        <v>North</v>
      </c>
      <c r="G353" t="s">
        <v>12</v>
      </c>
      <c r="H353" t="s">
        <v>32</v>
      </c>
      <c r="I353">
        <v>16</v>
      </c>
    </row>
    <row r="354" spans="1:9" ht="21.75" customHeight="1">
      <c r="A354" t="s">
        <v>492</v>
      </c>
      <c r="B354" s="3">
        <v>45409</v>
      </c>
      <c r="C354" t="s">
        <v>493</v>
      </c>
      <c r="D354" t="s">
        <v>21</v>
      </c>
      <c r="E354" t="s">
        <v>17</v>
      </c>
      <c r="F354" t="str">
        <f t="shared" si="5"/>
        <v>South</v>
      </c>
      <c r="G354" t="s">
        <v>56</v>
      </c>
      <c r="H354" t="s">
        <v>28</v>
      </c>
      <c r="I354">
        <v>7</v>
      </c>
    </row>
    <row r="355" spans="1:9" ht="21.75" customHeight="1">
      <c r="A355" t="s">
        <v>494</v>
      </c>
      <c r="B355" s="3">
        <v>45613</v>
      </c>
      <c r="C355" t="s">
        <v>108</v>
      </c>
      <c r="D355" t="s">
        <v>74</v>
      </c>
      <c r="E355" t="s">
        <v>22</v>
      </c>
      <c r="F355" t="str">
        <f t="shared" si="5"/>
        <v>North</v>
      </c>
      <c r="G355" t="s">
        <v>12</v>
      </c>
      <c r="H355" t="s">
        <v>32</v>
      </c>
      <c r="I355">
        <v>15</v>
      </c>
    </row>
    <row r="356" spans="1:9" ht="21.75" customHeight="1">
      <c r="A356" t="s">
        <v>495</v>
      </c>
      <c r="B356" s="3">
        <v>45359</v>
      </c>
      <c r="C356" t="s">
        <v>203</v>
      </c>
      <c r="D356" t="s">
        <v>84</v>
      </c>
      <c r="E356" t="s">
        <v>17</v>
      </c>
      <c r="F356" t="str">
        <f t="shared" si="5"/>
        <v>East</v>
      </c>
      <c r="G356" t="s">
        <v>42</v>
      </c>
      <c r="H356" t="s">
        <v>28</v>
      </c>
      <c r="I356">
        <v>14</v>
      </c>
    </row>
    <row r="357" spans="1:9" ht="21.75" customHeight="1">
      <c r="A357" t="s">
        <v>496</v>
      </c>
      <c r="B357" s="3">
        <v>45568</v>
      </c>
      <c r="C357" t="s">
        <v>83</v>
      </c>
      <c r="D357" t="s">
        <v>26</v>
      </c>
      <c r="E357" t="s">
        <v>22</v>
      </c>
      <c r="F357" t="str">
        <f t="shared" si="5"/>
        <v>Central</v>
      </c>
      <c r="G357" t="s">
        <v>306</v>
      </c>
      <c r="H357" t="s">
        <v>23</v>
      </c>
      <c r="I357">
        <v>6</v>
      </c>
    </row>
    <row r="358" spans="1:9" ht="21.75" customHeight="1">
      <c r="A358" t="s">
        <v>497</v>
      </c>
      <c r="B358" s="3">
        <v>45443</v>
      </c>
      <c r="C358" t="s">
        <v>323</v>
      </c>
      <c r="D358" t="s">
        <v>70</v>
      </c>
      <c r="E358" t="s">
        <v>17</v>
      </c>
      <c r="F358" t="str">
        <f t="shared" si="5"/>
        <v>North</v>
      </c>
      <c r="G358" t="s">
        <v>12</v>
      </c>
      <c r="H358" t="s">
        <v>28</v>
      </c>
      <c r="I358">
        <v>3</v>
      </c>
    </row>
    <row r="359" spans="1:9" ht="21.75" customHeight="1">
      <c r="A359" t="s">
        <v>498</v>
      </c>
      <c r="B359" s="3">
        <v>45638</v>
      </c>
      <c r="C359" t="s">
        <v>329</v>
      </c>
      <c r="D359" t="s">
        <v>174</v>
      </c>
      <c r="E359" t="s">
        <v>22</v>
      </c>
      <c r="F359" t="str">
        <f t="shared" si="5"/>
        <v>West</v>
      </c>
      <c r="G359" t="s">
        <v>27</v>
      </c>
      <c r="H359" t="s">
        <v>23</v>
      </c>
      <c r="I359">
        <v>12</v>
      </c>
    </row>
    <row r="360" spans="1:9" ht="21.75" customHeight="1">
      <c r="A360" t="s">
        <v>499</v>
      </c>
      <c r="B360" s="3">
        <v>45299</v>
      </c>
      <c r="C360" t="s">
        <v>86</v>
      </c>
      <c r="D360" t="s">
        <v>70</v>
      </c>
      <c r="E360" t="s">
        <v>22</v>
      </c>
      <c r="F360" t="str">
        <f t="shared" si="5"/>
        <v>North</v>
      </c>
      <c r="G360" t="s">
        <v>12</v>
      </c>
      <c r="H360" t="s">
        <v>32</v>
      </c>
      <c r="I360">
        <v>12</v>
      </c>
    </row>
    <row r="361" spans="1:9" ht="21.75" customHeight="1">
      <c r="A361" t="s">
        <v>500</v>
      </c>
      <c r="B361" s="3">
        <v>45591</v>
      </c>
      <c r="C361" t="s">
        <v>159</v>
      </c>
      <c r="D361" t="s">
        <v>102</v>
      </c>
      <c r="E361" t="s">
        <v>22</v>
      </c>
      <c r="F361" t="str">
        <f t="shared" si="5"/>
        <v>East</v>
      </c>
      <c r="G361" t="s">
        <v>42</v>
      </c>
      <c r="H361" t="s">
        <v>36</v>
      </c>
      <c r="I361">
        <v>8</v>
      </c>
    </row>
    <row r="362" spans="1:9" ht="21.75" customHeight="1">
      <c r="A362" t="s">
        <v>501</v>
      </c>
      <c r="B362" s="3">
        <v>45579</v>
      </c>
      <c r="C362" t="s">
        <v>187</v>
      </c>
      <c r="D362" t="s">
        <v>21</v>
      </c>
      <c r="E362" t="s">
        <v>22</v>
      </c>
      <c r="F362" t="str">
        <f t="shared" si="5"/>
        <v>South</v>
      </c>
      <c r="G362" t="s">
        <v>56</v>
      </c>
      <c r="H362" t="s">
        <v>23</v>
      </c>
      <c r="I362">
        <v>3</v>
      </c>
    </row>
    <row r="363" spans="1:9" ht="21.75" customHeight="1">
      <c r="A363" t="s">
        <v>502</v>
      </c>
      <c r="B363" s="3">
        <v>45650</v>
      </c>
      <c r="C363" t="s">
        <v>68</v>
      </c>
      <c r="D363" t="s">
        <v>102</v>
      </c>
      <c r="E363" t="s">
        <v>22</v>
      </c>
      <c r="F363" t="str">
        <f t="shared" si="5"/>
        <v>West</v>
      </c>
      <c r="G363" t="s">
        <v>27</v>
      </c>
      <c r="H363" t="s">
        <v>13</v>
      </c>
      <c r="I363">
        <v>5</v>
      </c>
    </row>
    <row r="364" spans="1:9" ht="21.75" customHeight="1">
      <c r="A364" t="s">
        <v>503</v>
      </c>
      <c r="B364" s="3">
        <v>45447</v>
      </c>
      <c r="C364" t="s">
        <v>432</v>
      </c>
      <c r="D364" t="s">
        <v>197</v>
      </c>
      <c r="E364" t="s">
        <v>11</v>
      </c>
      <c r="F364" t="str">
        <f t="shared" si="5"/>
        <v>North</v>
      </c>
      <c r="G364" t="s">
        <v>12</v>
      </c>
      <c r="H364" t="s">
        <v>23</v>
      </c>
      <c r="I364">
        <v>18</v>
      </c>
    </row>
    <row r="365" spans="1:9" ht="21.75" customHeight="1">
      <c r="A365" t="s">
        <v>504</v>
      </c>
      <c r="B365" s="3">
        <v>45481</v>
      </c>
      <c r="C365" t="s">
        <v>317</v>
      </c>
      <c r="D365" t="s">
        <v>87</v>
      </c>
      <c r="E365" t="s">
        <v>22</v>
      </c>
      <c r="F365" t="str">
        <f t="shared" si="5"/>
        <v>Central</v>
      </c>
      <c r="G365" t="s">
        <v>306</v>
      </c>
      <c r="H365" t="s">
        <v>28</v>
      </c>
      <c r="I365">
        <v>19</v>
      </c>
    </row>
    <row r="366" spans="1:9" ht="21.75" customHeight="1">
      <c r="A366" t="s">
        <v>505</v>
      </c>
      <c r="B366" s="3">
        <v>45504</v>
      </c>
      <c r="C366" t="s">
        <v>350</v>
      </c>
      <c r="D366" t="s">
        <v>109</v>
      </c>
      <c r="E366" t="s">
        <v>11</v>
      </c>
      <c r="F366" t="str">
        <f t="shared" si="5"/>
        <v>West</v>
      </c>
      <c r="G366" t="s">
        <v>27</v>
      </c>
      <c r="H366" t="s">
        <v>32</v>
      </c>
      <c r="I366">
        <v>14</v>
      </c>
    </row>
    <row r="367" spans="1:9" ht="21.75" customHeight="1">
      <c r="A367" t="s">
        <v>506</v>
      </c>
      <c r="B367" s="3">
        <v>45308</v>
      </c>
      <c r="C367" t="s">
        <v>465</v>
      </c>
      <c r="D367" t="s">
        <v>70</v>
      </c>
      <c r="E367" t="s">
        <v>17</v>
      </c>
      <c r="F367" t="str">
        <f t="shared" si="5"/>
        <v>South</v>
      </c>
      <c r="G367" t="s">
        <v>56</v>
      </c>
      <c r="H367" t="s">
        <v>32</v>
      </c>
      <c r="I367">
        <v>15</v>
      </c>
    </row>
    <row r="368" spans="1:9" ht="21.75" customHeight="1">
      <c r="A368" t="s">
        <v>507</v>
      </c>
      <c r="B368" s="3">
        <v>45342</v>
      </c>
      <c r="C368" t="s">
        <v>455</v>
      </c>
      <c r="D368" t="s">
        <v>21</v>
      </c>
      <c r="E368" t="s">
        <v>17</v>
      </c>
      <c r="F368" t="str">
        <f t="shared" si="5"/>
        <v>Central</v>
      </c>
      <c r="G368" t="s">
        <v>306</v>
      </c>
      <c r="H368" t="s">
        <v>32</v>
      </c>
      <c r="I368">
        <v>12</v>
      </c>
    </row>
    <row r="369" spans="1:9" ht="21.75" customHeight="1">
      <c r="A369" t="s">
        <v>508</v>
      </c>
      <c r="B369" s="3">
        <v>45389</v>
      </c>
      <c r="C369" t="s">
        <v>114</v>
      </c>
      <c r="D369" t="s">
        <v>41</v>
      </c>
      <c r="E369" t="s">
        <v>17</v>
      </c>
      <c r="F369" t="str">
        <f t="shared" si="5"/>
        <v>North</v>
      </c>
      <c r="G369" t="s">
        <v>12</v>
      </c>
      <c r="H369" t="s">
        <v>36</v>
      </c>
      <c r="I369">
        <v>7</v>
      </c>
    </row>
    <row r="370" spans="1:9" ht="21.75" customHeight="1">
      <c r="A370" t="s">
        <v>509</v>
      </c>
      <c r="B370" s="3">
        <v>45302</v>
      </c>
      <c r="C370" t="s">
        <v>9</v>
      </c>
      <c r="D370" t="s">
        <v>16</v>
      </c>
      <c r="E370" t="s">
        <v>17</v>
      </c>
      <c r="F370" t="str">
        <f t="shared" si="5"/>
        <v>South</v>
      </c>
      <c r="G370" t="s">
        <v>56</v>
      </c>
      <c r="H370" t="s">
        <v>36</v>
      </c>
      <c r="I370">
        <v>19</v>
      </c>
    </row>
    <row r="371" spans="1:9" ht="21.75" customHeight="1">
      <c r="A371" t="s">
        <v>510</v>
      </c>
      <c r="B371" s="3">
        <v>45398</v>
      </c>
      <c r="C371" t="s">
        <v>449</v>
      </c>
      <c r="D371" t="s">
        <v>72</v>
      </c>
      <c r="E371" t="s">
        <v>11</v>
      </c>
      <c r="F371" t="str">
        <f t="shared" si="5"/>
        <v>South</v>
      </c>
      <c r="G371" t="s">
        <v>56</v>
      </c>
      <c r="H371" t="s">
        <v>36</v>
      </c>
      <c r="I371">
        <v>5</v>
      </c>
    </row>
    <row r="372" spans="1:9" ht="21.75" customHeight="1">
      <c r="A372" t="s">
        <v>511</v>
      </c>
      <c r="B372" s="3">
        <v>45293</v>
      </c>
      <c r="C372" t="s">
        <v>89</v>
      </c>
      <c r="D372" t="s">
        <v>174</v>
      </c>
      <c r="E372" t="s">
        <v>11</v>
      </c>
      <c r="F372" t="str">
        <f t="shared" si="5"/>
        <v>South</v>
      </c>
      <c r="G372" t="s">
        <v>56</v>
      </c>
      <c r="H372" t="s">
        <v>13</v>
      </c>
      <c r="I372">
        <v>9</v>
      </c>
    </row>
    <row r="373" spans="1:9" ht="21.75" customHeight="1">
      <c r="A373" t="s">
        <v>512</v>
      </c>
      <c r="B373" s="3">
        <v>45630</v>
      </c>
      <c r="C373" t="s">
        <v>64</v>
      </c>
      <c r="D373" t="s">
        <v>48</v>
      </c>
      <c r="E373" t="s">
        <v>11</v>
      </c>
      <c r="F373" t="str">
        <f t="shared" si="5"/>
        <v>North</v>
      </c>
      <c r="G373" t="s">
        <v>12</v>
      </c>
      <c r="H373" t="s">
        <v>13</v>
      </c>
      <c r="I373">
        <v>8</v>
      </c>
    </row>
    <row r="374" spans="1:9" ht="21.75" customHeight="1">
      <c r="A374" t="s">
        <v>513</v>
      </c>
      <c r="B374" s="3">
        <v>45381</v>
      </c>
      <c r="C374" t="s">
        <v>86</v>
      </c>
      <c r="D374" t="s">
        <v>84</v>
      </c>
      <c r="E374" t="s">
        <v>11</v>
      </c>
      <c r="F374" t="str">
        <f t="shared" si="5"/>
        <v>South</v>
      </c>
      <c r="G374" t="s">
        <v>56</v>
      </c>
      <c r="H374" t="s">
        <v>13</v>
      </c>
      <c r="I374">
        <v>14</v>
      </c>
    </row>
    <row r="375" spans="1:9" ht="21.75" customHeight="1">
      <c r="A375" t="s">
        <v>514</v>
      </c>
      <c r="B375" s="3">
        <v>45535</v>
      </c>
      <c r="C375" t="s">
        <v>430</v>
      </c>
      <c r="D375" t="s">
        <v>59</v>
      </c>
      <c r="E375" t="s">
        <v>17</v>
      </c>
      <c r="F375" t="str">
        <f t="shared" si="5"/>
        <v>Central</v>
      </c>
      <c r="G375" t="s">
        <v>306</v>
      </c>
      <c r="H375" t="s">
        <v>28</v>
      </c>
      <c r="I375">
        <v>4</v>
      </c>
    </row>
    <row r="376" spans="1:9" ht="21.75" customHeight="1">
      <c r="A376" t="s">
        <v>515</v>
      </c>
      <c r="B376" s="3">
        <v>45606</v>
      </c>
      <c r="C376" t="s">
        <v>116</v>
      </c>
      <c r="D376" t="s">
        <v>74</v>
      </c>
      <c r="E376" t="s">
        <v>22</v>
      </c>
      <c r="F376" t="str">
        <f t="shared" si="5"/>
        <v>Central</v>
      </c>
      <c r="G376" t="s">
        <v>306</v>
      </c>
      <c r="H376" t="s">
        <v>13</v>
      </c>
      <c r="I376">
        <v>15</v>
      </c>
    </row>
    <row r="377" spans="1:9" ht="21.75" customHeight="1">
      <c r="A377" t="s">
        <v>516</v>
      </c>
      <c r="B377" s="3">
        <v>45323</v>
      </c>
      <c r="C377" t="s">
        <v>517</v>
      </c>
      <c r="D377" t="s">
        <v>41</v>
      </c>
      <c r="E377" t="s">
        <v>17</v>
      </c>
      <c r="F377" t="str">
        <f t="shared" si="5"/>
        <v>West</v>
      </c>
      <c r="G377" t="s">
        <v>27</v>
      </c>
      <c r="H377" t="s">
        <v>23</v>
      </c>
      <c r="I377">
        <v>4</v>
      </c>
    </row>
    <row r="378" spans="1:9" ht="21.75" customHeight="1">
      <c r="A378" t="s">
        <v>518</v>
      </c>
      <c r="B378" s="3">
        <v>45329</v>
      </c>
      <c r="C378" t="s">
        <v>81</v>
      </c>
      <c r="D378" t="s">
        <v>16</v>
      </c>
      <c r="E378" t="s">
        <v>17</v>
      </c>
      <c r="F378" t="str">
        <f t="shared" si="5"/>
        <v>Central</v>
      </c>
      <c r="G378" t="s">
        <v>306</v>
      </c>
      <c r="H378" t="s">
        <v>36</v>
      </c>
      <c r="I378">
        <v>3</v>
      </c>
    </row>
    <row r="379" spans="1:9" ht="21.75" customHeight="1">
      <c r="A379" t="s">
        <v>519</v>
      </c>
      <c r="B379" s="3">
        <v>45616</v>
      </c>
      <c r="C379" t="s">
        <v>361</v>
      </c>
      <c r="D379" t="s">
        <v>31</v>
      </c>
      <c r="E379" t="s">
        <v>22</v>
      </c>
      <c r="F379" t="str">
        <f t="shared" si="5"/>
        <v>East</v>
      </c>
      <c r="G379" t="s">
        <v>42</v>
      </c>
      <c r="H379" t="s">
        <v>23</v>
      </c>
      <c r="I379">
        <v>20</v>
      </c>
    </row>
    <row r="380" spans="1:9" ht="21.75" customHeight="1">
      <c r="A380" t="s">
        <v>520</v>
      </c>
      <c r="B380" s="3">
        <v>45550</v>
      </c>
      <c r="C380" t="s">
        <v>493</v>
      </c>
      <c r="D380" t="s">
        <v>62</v>
      </c>
      <c r="E380" t="s">
        <v>17</v>
      </c>
      <c r="F380" t="str">
        <f t="shared" si="5"/>
        <v>North</v>
      </c>
      <c r="G380" t="s">
        <v>12</v>
      </c>
      <c r="H380" t="s">
        <v>36</v>
      </c>
      <c r="I380">
        <v>4</v>
      </c>
    </row>
    <row r="381" spans="1:9" ht="21.75" customHeight="1">
      <c r="A381" t="s">
        <v>521</v>
      </c>
      <c r="B381" s="3">
        <v>45402</v>
      </c>
      <c r="C381" t="s">
        <v>348</v>
      </c>
      <c r="D381" t="s">
        <v>87</v>
      </c>
      <c r="E381" t="s">
        <v>17</v>
      </c>
      <c r="F381" t="str">
        <f t="shared" si="5"/>
        <v>South</v>
      </c>
      <c r="G381" t="s">
        <v>56</v>
      </c>
      <c r="H381" t="s">
        <v>23</v>
      </c>
      <c r="I381">
        <v>11</v>
      </c>
    </row>
    <row r="382" spans="1:9" ht="21.75" customHeight="1">
      <c r="A382" t="s">
        <v>522</v>
      </c>
      <c r="B382" s="3">
        <v>45504</v>
      </c>
      <c r="C382" t="s">
        <v>388</v>
      </c>
      <c r="D382" t="s">
        <v>87</v>
      </c>
      <c r="E382" t="s">
        <v>11</v>
      </c>
      <c r="F382" t="str">
        <f t="shared" si="5"/>
        <v>East</v>
      </c>
      <c r="G382" t="s">
        <v>42</v>
      </c>
      <c r="H382" t="s">
        <v>32</v>
      </c>
      <c r="I382">
        <v>11</v>
      </c>
    </row>
    <row r="383" spans="1:9" ht="21.75" customHeight="1">
      <c r="A383" t="s">
        <v>523</v>
      </c>
      <c r="B383" s="3">
        <v>45370</v>
      </c>
      <c r="C383" t="s">
        <v>455</v>
      </c>
      <c r="D383" t="s">
        <v>10</v>
      </c>
      <c r="E383" t="s">
        <v>17</v>
      </c>
      <c r="F383" t="str">
        <f t="shared" si="5"/>
        <v>North</v>
      </c>
      <c r="G383" t="s">
        <v>12</v>
      </c>
      <c r="H383" t="s">
        <v>13</v>
      </c>
      <c r="I383">
        <v>3</v>
      </c>
    </row>
    <row r="384" spans="1:9" ht="21.75" customHeight="1">
      <c r="A384" t="s">
        <v>524</v>
      </c>
      <c r="B384" s="3">
        <v>45482</v>
      </c>
      <c r="C384" t="s">
        <v>34</v>
      </c>
      <c r="D384" t="s">
        <v>59</v>
      </c>
      <c r="E384" t="s">
        <v>22</v>
      </c>
      <c r="F384" t="str">
        <f t="shared" si="5"/>
        <v>North</v>
      </c>
      <c r="G384" t="s">
        <v>12</v>
      </c>
      <c r="H384" t="s">
        <v>13</v>
      </c>
      <c r="I384">
        <v>18</v>
      </c>
    </row>
    <row r="385" spans="1:9" ht="21.75" customHeight="1">
      <c r="A385" t="s">
        <v>525</v>
      </c>
      <c r="B385" s="3">
        <v>45502</v>
      </c>
      <c r="C385" t="s">
        <v>182</v>
      </c>
      <c r="D385" t="s">
        <v>84</v>
      </c>
      <c r="E385" t="s">
        <v>22</v>
      </c>
      <c r="F385" t="str">
        <f t="shared" si="5"/>
        <v>West</v>
      </c>
      <c r="G385" t="s">
        <v>27</v>
      </c>
      <c r="H385" t="s">
        <v>36</v>
      </c>
      <c r="I385">
        <v>2</v>
      </c>
    </row>
    <row r="386" spans="1:9" ht="21.75" customHeight="1">
      <c r="A386" t="s">
        <v>526</v>
      </c>
      <c r="B386" s="3">
        <v>45451</v>
      </c>
      <c r="C386" t="s">
        <v>182</v>
      </c>
      <c r="D386" t="s">
        <v>160</v>
      </c>
      <c r="E386" t="s">
        <v>11</v>
      </c>
      <c r="F386" t="str">
        <f t="shared" si="5"/>
        <v>Central</v>
      </c>
      <c r="G386" t="s">
        <v>306</v>
      </c>
      <c r="H386" t="s">
        <v>23</v>
      </c>
      <c r="I386">
        <v>7</v>
      </c>
    </row>
    <row r="387" spans="1:9" ht="21.75" customHeight="1">
      <c r="A387" t="s">
        <v>527</v>
      </c>
      <c r="B387" s="3">
        <v>45406</v>
      </c>
      <c r="C387" t="s">
        <v>15</v>
      </c>
      <c r="D387" t="s">
        <v>48</v>
      </c>
      <c r="E387" t="s">
        <v>17</v>
      </c>
      <c r="F387" t="str">
        <f t="shared" ref="F387:F450" si="6">TRIM(PROPER(G387))</f>
        <v>Central</v>
      </c>
      <c r="G387" t="s">
        <v>306</v>
      </c>
      <c r="H387" t="s">
        <v>36</v>
      </c>
      <c r="I387">
        <v>4</v>
      </c>
    </row>
    <row r="388" spans="1:9" ht="21.75" customHeight="1">
      <c r="A388" t="s">
        <v>528</v>
      </c>
      <c r="B388" s="3">
        <v>45407</v>
      </c>
      <c r="C388" t="s">
        <v>309</v>
      </c>
      <c r="D388" t="s">
        <v>109</v>
      </c>
      <c r="E388" t="s">
        <v>22</v>
      </c>
      <c r="F388" t="str">
        <f t="shared" si="6"/>
        <v>Central</v>
      </c>
      <c r="G388" t="s">
        <v>306</v>
      </c>
      <c r="H388" t="s">
        <v>32</v>
      </c>
      <c r="I388">
        <v>18</v>
      </c>
    </row>
    <row r="389" spans="1:9" ht="21.75" customHeight="1">
      <c r="A389" t="s">
        <v>529</v>
      </c>
      <c r="B389" s="3">
        <v>45306</v>
      </c>
      <c r="C389" t="s">
        <v>44</v>
      </c>
      <c r="D389" t="s">
        <v>72</v>
      </c>
      <c r="E389" t="s">
        <v>17</v>
      </c>
      <c r="F389" t="str">
        <f t="shared" si="6"/>
        <v>East</v>
      </c>
      <c r="G389" t="s">
        <v>42</v>
      </c>
      <c r="H389" t="s">
        <v>28</v>
      </c>
      <c r="I389">
        <v>12</v>
      </c>
    </row>
    <row r="390" spans="1:9" ht="21.75" customHeight="1">
      <c r="A390" t="s">
        <v>530</v>
      </c>
      <c r="B390" s="3">
        <v>45581</v>
      </c>
      <c r="C390" t="s">
        <v>371</v>
      </c>
      <c r="D390" t="s">
        <v>16</v>
      </c>
      <c r="E390" t="s">
        <v>17</v>
      </c>
      <c r="F390" t="str">
        <f t="shared" si="6"/>
        <v>North</v>
      </c>
      <c r="G390" t="s">
        <v>12</v>
      </c>
      <c r="H390" t="s">
        <v>36</v>
      </c>
      <c r="I390">
        <v>1</v>
      </c>
    </row>
    <row r="391" spans="1:9" ht="21.75" customHeight="1">
      <c r="A391" t="s">
        <v>531</v>
      </c>
      <c r="B391" s="3">
        <v>45402</v>
      </c>
      <c r="C391" t="s">
        <v>159</v>
      </c>
      <c r="D391" t="s">
        <v>72</v>
      </c>
      <c r="E391" t="s">
        <v>17</v>
      </c>
      <c r="F391" t="str">
        <f t="shared" si="6"/>
        <v>West</v>
      </c>
      <c r="G391" t="s">
        <v>27</v>
      </c>
      <c r="H391" t="s">
        <v>32</v>
      </c>
      <c r="I391">
        <v>6</v>
      </c>
    </row>
    <row r="392" spans="1:9" ht="21.75" customHeight="1">
      <c r="A392" t="s">
        <v>532</v>
      </c>
      <c r="B392" s="3">
        <v>45582</v>
      </c>
      <c r="C392" t="s">
        <v>327</v>
      </c>
      <c r="D392" t="s">
        <v>16</v>
      </c>
      <c r="E392" t="s">
        <v>11</v>
      </c>
      <c r="F392" t="str">
        <f t="shared" si="6"/>
        <v>North</v>
      </c>
      <c r="G392" t="s">
        <v>12</v>
      </c>
      <c r="H392" t="s">
        <v>13</v>
      </c>
      <c r="I392">
        <v>6</v>
      </c>
    </row>
    <row r="393" spans="1:9" ht="21.75" customHeight="1">
      <c r="A393" t="s">
        <v>533</v>
      </c>
      <c r="B393" s="3">
        <v>45637</v>
      </c>
      <c r="C393" t="s">
        <v>81</v>
      </c>
      <c r="D393" t="s">
        <v>41</v>
      </c>
      <c r="E393" t="s">
        <v>17</v>
      </c>
      <c r="F393" t="str">
        <f t="shared" si="6"/>
        <v>West</v>
      </c>
      <c r="G393" t="s">
        <v>27</v>
      </c>
      <c r="H393" t="s">
        <v>23</v>
      </c>
      <c r="I393">
        <v>14</v>
      </c>
    </row>
    <row r="394" spans="1:9" ht="21.75" customHeight="1">
      <c r="A394" t="s">
        <v>534</v>
      </c>
      <c r="B394" s="3">
        <v>45504</v>
      </c>
      <c r="C394" t="s">
        <v>101</v>
      </c>
      <c r="D394" t="s">
        <v>102</v>
      </c>
      <c r="E394" t="s">
        <v>11</v>
      </c>
      <c r="F394" t="str">
        <f t="shared" si="6"/>
        <v>Central</v>
      </c>
      <c r="G394" t="s">
        <v>306</v>
      </c>
      <c r="H394" t="s">
        <v>32</v>
      </c>
      <c r="I394">
        <v>12</v>
      </c>
    </row>
    <row r="395" spans="1:9" ht="21.75" customHeight="1">
      <c r="A395" t="s">
        <v>535</v>
      </c>
      <c r="B395" s="3">
        <v>45639</v>
      </c>
      <c r="C395" t="s">
        <v>422</v>
      </c>
      <c r="D395" t="s">
        <v>160</v>
      </c>
      <c r="E395" t="s">
        <v>22</v>
      </c>
      <c r="F395" t="str">
        <f t="shared" si="6"/>
        <v>West</v>
      </c>
      <c r="G395" t="s">
        <v>27</v>
      </c>
      <c r="H395" t="s">
        <v>23</v>
      </c>
      <c r="I395">
        <v>10</v>
      </c>
    </row>
    <row r="396" spans="1:9" ht="21.75" customHeight="1">
      <c r="A396" t="s">
        <v>536</v>
      </c>
      <c r="B396" s="3">
        <v>45598</v>
      </c>
      <c r="C396" t="s">
        <v>131</v>
      </c>
      <c r="D396" t="s">
        <v>74</v>
      </c>
      <c r="E396" t="s">
        <v>11</v>
      </c>
      <c r="F396" t="str">
        <f t="shared" si="6"/>
        <v>South</v>
      </c>
      <c r="G396" t="s">
        <v>56</v>
      </c>
      <c r="H396" t="s">
        <v>32</v>
      </c>
      <c r="I396">
        <v>7</v>
      </c>
    </row>
    <row r="397" spans="1:9" ht="21.75" customHeight="1">
      <c r="A397" t="s">
        <v>537</v>
      </c>
      <c r="B397" s="3">
        <v>45440</v>
      </c>
      <c r="C397" t="s">
        <v>187</v>
      </c>
      <c r="D397" t="s">
        <v>35</v>
      </c>
      <c r="E397" t="s">
        <v>11</v>
      </c>
      <c r="F397" t="str">
        <f t="shared" si="6"/>
        <v>North</v>
      </c>
      <c r="G397" t="s">
        <v>12</v>
      </c>
      <c r="H397" t="s">
        <v>23</v>
      </c>
      <c r="I397">
        <v>14</v>
      </c>
    </row>
    <row r="398" spans="1:9" ht="21.75" customHeight="1">
      <c r="A398" t="s">
        <v>538</v>
      </c>
      <c r="B398" s="3">
        <v>45564</v>
      </c>
      <c r="C398" t="s">
        <v>369</v>
      </c>
      <c r="D398" t="s">
        <v>174</v>
      </c>
      <c r="E398" t="s">
        <v>11</v>
      </c>
      <c r="F398" t="str">
        <f t="shared" si="6"/>
        <v>Central</v>
      </c>
      <c r="G398" t="s">
        <v>306</v>
      </c>
      <c r="H398" t="s">
        <v>13</v>
      </c>
      <c r="I398">
        <v>12</v>
      </c>
    </row>
    <row r="399" spans="1:9" ht="21.75" customHeight="1">
      <c r="A399" t="s">
        <v>539</v>
      </c>
      <c r="B399" s="3">
        <v>45515</v>
      </c>
      <c r="C399" t="s">
        <v>138</v>
      </c>
      <c r="D399" t="s">
        <v>72</v>
      </c>
      <c r="E399" t="s">
        <v>17</v>
      </c>
      <c r="F399" t="str">
        <f t="shared" si="6"/>
        <v>North</v>
      </c>
      <c r="G399" t="s">
        <v>12</v>
      </c>
      <c r="H399" t="s">
        <v>23</v>
      </c>
      <c r="I399">
        <v>19</v>
      </c>
    </row>
    <row r="400" spans="1:9" ht="21.75" customHeight="1">
      <c r="A400" t="s">
        <v>540</v>
      </c>
      <c r="B400" s="3">
        <v>45655</v>
      </c>
      <c r="C400" t="s">
        <v>541</v>
      </c>
      <c r="D400" t="s">
        <v>102</v>
      </c>
      <c r="E400" t="s">
        <v>17</v>
      </c>
      <c r="F400" t="str">
        <f t="shared" si="6"/>
        <v>East</v>
      </c>
      <c r="G400" t="s">
        <v>42</v>
      </c>
      <c r="H400" t="s">
        <v>32</v>
      </c>
      <c r="I400">
        <v>13</v>
      </c>
    </row>
    <row r="401" spans="1:9" ht="21.75" customHeight="1">
      <c r="A401" t="s">
        <v>542</v>
      </c>
      <c r="B401" s="3">
        <v>45379</v>
      </c>
      <c r="C401" t="s">
        <v>381</v>
      </c>
      <c r="D401" t="s">
        <v>10</v>
      </c>
      <c r="E401" t="s">
        <v>17</v>
      </c>
      <c r="F401" t="str">
        <f t="shared" si="6"/>
        <v>East</v>
      </c>
      <c r="G401" t="s">
        <v>42</v>
      </c>
      <c r="H401" t="s">
        <v>28</v>
      </c>
      <c r="I401">
        <v>14</v>
      </c>
    </row>
    <row r="402" spans="1:9" ht="21.75" customHeight="1">
      <c r="A402" t="s">
        <v>543</v>
      </c>
      <c r="B402" s="3">
        <v>45515</v>
      </c>
      <c r="C402" t="s">
        <v>449</v>
      </c>
      <c r="D402" t="s">
        <v>10</v>
      </c>
      <c r="E402" t="s">
        <v>17</v>
      </c>
      <c r="F402" t="str">
        <f t="shared" si="6"/>
        <v>Central</v>
      </c>
      <c r="G402" t="s">
        <v>306</v>
      </c>
      <c r="H402" t="s">
        <v>32</v>
      </c>
      <c r="I402">
        <v>13</v>
      </c>
    </row>
    <row r="403" spans="1:9" ht="21.75" customHeight="1">
      <c r="A403" t="s">
        <v>544</v>
      </c>
      <c r="B403" s="3">
        <v>45405</v>
      </c>
      <c r="C403" t="s">
        <v>118</v>
      </c>
      <c r="D403" t="s">
        <v>160</v>
      </c>
      <c r="E403" t="s">
        <v>11</v>
      </c>
      <c r="F403" t="str">
        <f t="shared" si="6"/>
        <v>North</v>
      </c>
      <c r="G403" t="s">
        <v>12</v>
      </c>
      <c r="H403" t="s">
        <v>28</v>
      </c>
      <c r="I403">
        <v>4</v>
      </c>
    </row>
    <row r="404" spans="1:9" ht="21.75" customHeight="1">
      <c r="A404" t="s">
        <v>545</v>
      </c>
      <c r="B404" s="3">
        <v>45470</v>
      </c>
      <c r="C404" t="s">
        <v>20</v>
      </c>
      <c r="D404" t="s">
        <v>197</v>
      </c>
      <c r="E404" t="s">
        <v>22</v>
      </c>
      <c r="F404" t="str">
        <f t="shared" si="6"/>
        <v>South</v>
      </c>
      <c r="G404" t="s">
        <v>56</v>
      </c>
      <c r="H404" t="s">
        <v>28</v>
      </c>
      <c r="I404">
        <v>4</v>
      </c>
    </row>
    <row r="405" spans="1:9" ht="21.75" customHeight="1">
      <c r="A405" t="s">
        <v>546</v>
      </c>
      <c r="B405" s="3">
        <v>45380</v>
      </c>
      <c r="C405" t="s">
        <v>493</v>
      </c>
      <c r="D405" t="s">
        <v>45</v>
      </c>
      <c r="E405" t="s">
        <v>11</v>
      </c>
      <c r="F405" t="str">
        <f t="shared" si="6"/>
        <v>North</v>
      </c>
      <c r="G405" t="s">
        <v>12</v>
      </c>
      <c r="H405" t="s">
        <v>36</v>
      </c>
      <c r="I405">
        <v>16</v>
      </c>
    </row>
    <row r="406" spans="1:9" ht="21.75" customHeight="1">
      <c r="A406" t="s">
        <v>547</v>
      </c>
      <c r="B406" s="3">
        <v>45588</v>
      </c>
      <c r="C406" t="s">
        <v>430</v>
      </c>
      <c r="D406" t="s">
        <v>21</v>
      </c>
      <c r="E406" t="s">
        <v>22</v>
      </c>
      <c r="F406" t="str">
        <f t="shared" si="6"/>
        <v>Central</v>
      </c>
      <c r="G406" t="s">
        <v>306</v>
      </c>
      <c r="H406" t="s">
        <v>32</v>
      </c>
      <c r="I406">
        <v>20</v>
      </c>
    </row>
    <row r="407" spans="1:9" ht="21.75" customHeight="1">
      <c r="A407" t="s">
        <v>548</v>
      </c>
      <c r="B407" s="3">
        <v>45369</v>
      </c>
      <c r="C407" t="s">
        <v>396</v>
      </c>
      <c r="D407" t="s">
        <v>70</v>
      </c>
      <c r="E407" t="s">
        <v>11</v>
      </c>
      <c r="F407" t="str">
        <f t="shared" si="6"/>
        <v>West</v>
      </c>
      <c r="G407" t="s">
        <v>27</v>
      </c>
      <c r="H407" t="s">
        <v>36</v>
      </c>
      <c r="I407">
        <v>10</v>
      </c>
    </row>
    <row r="408" spans="1:9" ht="21.75" customHeight="1">
      <c r="A408" t="s">
        <v>549</v>
      </c>
      <c r="B408" s="3">
        <v>45320</v>
      </c>
      <c r="C408" t="s">
        <v>182</v>
      </c>
      <c r="D408" t="s">
        <v>74</v>
      </c>
      <c r="E408" t="s">
        <v>22</v>
      </c>
      <c r="F408" t="str">
        <f t="shared" si="6"/>
        <v>North</v>
      </c>
      <c r="G408" t="s">
        <v>12</v>
      </c>
      <c r="H408" t="s">
        <v>13</v>
      </c>
      <c r="I408">
        <v>15</v>
      </c>
    </row>
    <row r="409" spans="1:9" ht="21.75" customHeight="1">
      <c r="A409" t="s">
        <v>550</v>
      </c>
      <c r="B409" s="3">
        <v>45480</v>
      </c>
      <c r="C409" t="s">
        <v>55</v>
      </c>
      <c r="D409" t="s">
        <v>109</v>
      </c>
      <c r="E409" t="s">
        <v>11</v>
      </c>
      <c r="F409" t="str">
        <f t="shared" si="6"/>
        <v>North</v>
      </c>
      <c r="G409" t="s">
        <v>12</v>
      </c>
      <c r="H409" t="s">
        <v>23</v>
      </c>
      <c r="I409">
        <v>20</v>
      </c>
    </row>
    <row r="410" spans="1:9" ht="21.75" customHeight="1">
      <c r="A410" t="s">
        <v>551</v>
      </c>
      <c r="B410" s="3">
        <v>45589</v>
      </c>
      <c r="C410" t="s">
        <v>378</v>
      </c>
      <c r="D410" t="s">
        <v>70</v>
      </c>
      <c r="E410" t="s">
        <v>22</v>
      </c>
      <c r="F410" t="str">
        <f t="shared" si="6"/>
        <v>North</v>
      </c>
      <c r="G410" t="s">
        <v>12</v>
      </c>
      <c r="H410" t="s">
        <v>32</v>
      </c>
      <c r="I410">
        <v>19</v>
      </c>
    </row>
    <row r="411" spans="1:9" ht="21.75" customHeight="1">
      <c r="A411" t="s">
        <v>552</v>
      </c>
      <c r="B411" s="3">
        <v>45601</v>
      </c>
      <c r="C411" t="s">
        <v>553</v>
      </c>
      <c r="D411" t="s">
        <v>79</v>
      </c>
      <c r="E411" t="s">
        <v>22</v>
      </c>
      <c r="F411" t="str">
        <f t="shared" si="6"/>
        <v>South</v>
      </c>
      <c r="G411" t="s">
        <v>56</v>
      </c>
      <c r="H411" t="s">
        <v>32</v>
      </c>
      <c r="I411">
        <v>15</v>
      </c>
    </row>
    <row r="412" spans="1:9" ht="21.75" customHeight="1">
      <c r="A412" t="s">
        <v>554</v>
      </c>
      <c r="B412" s="3">
        <v>45335</v>
      </c>
      <c r="C412" t="s">
        <v>358</v>
      </c>
      <c r="D412" t="s">
        <v>79</v>
      </c>
      <c r="E412" t="s">
        <v>22</v>
      </c>
      <c r="F412" t="str">
        <f t="shared" si="6"/>
        <v>South</v>
      </c>
      <c r="G412" t="s">
        <v>56</v>
      </c>
      <c r="H412" t="s">
        <v>23</v>
      </c>
      <c r="I412">
        <v>8</v>
      </c>
    </row>
    <row r="413" spans="1:9" ht="21.75" customHeight="1">
      <c r="A413" t="s">
        <v>555</v>
      </c>
      <c r="B413" s="3">
        <v>45560</v>
      </c>
      <c r="C413" t="s">
        <v>363</v>
      </c>
      <c r="D413" t="s">
        <v>48</v>
      </c>
      <c r="E413" t="s">
        <v>22</v>
      </c>
      <c r="F413" t="str">
        <f t="shared" si="6"/>
        <v>South</v>
      </c>
      <c r="G413" t="s">
        <v>56</v>
      </c>
      <c r="H413" t="s">
        <v>23</v>
      </c>
      <c r="I413">
        <v>12</v>
      </c>
    </row>
    <row r="414" spans="1:9" ht="21.75" customHeight="1">
      <c r="A414" t="s">
        <v>556</v>
      </c>
      <c r="B414" s="3">
        <v>45501</v>
      </c>
      <c r="C414" t="s">
        <v>420</v>
      </c>
      <c r="D414" t="s">
        <v>79</v>
      </c>
      <c r="E414" t="s">
        <v>17</v>
      </c>
      <c r="F414" t="str">
        <f t="shared" si="6"/>
        <v>Central</v>
      </c>
      <c r="G414" t="s">
        <v>306</v>
      </c>
      <c r="H414" t="s">
        <v>13</v>
      </c>
      <c r="I414">
        <v>11</v>
      </c>
    </row>
    <row r="415" spans="1:9" ht="21.75" customHeight="1">
      <c r="A415" t="s">
        <v>557</v>
      </c>
      <c r="B415" s="3">
        <v>45577</v>
      </c>
      <c r="C415" t="s">
        <v>422</v>
      </c>
      <c r="D415" t="s">
        <v>26</v>
      </c>
      <c r="E415" t="s">
        <v>17</v>
      </c>
      <c r="F415" t="str">
        <f t="shared" si="6"/>
        <v>East</v>
      </c>
      <c r="G415" t="s">
        <v>42</v>
      </c>
      <c r="H415" t="s">
        <v>32</v>
      </c>
      <c r="I415">
        <v>20</v>
      </c>
    </row>
    <row r="416" spans="1:9" ht="21.75" customHeight="1">
      <c r="A416" t="s">
        <v>558</v>
      </c>
      <c r="B416" s="3">
        <v>45333</v>
      </c>
      <c r="C416" t="s">
        <v>361</v>
      </c>
      <c r="D416" t="s">
        <v>48</v>
      </c>
      <c r="E416" t="s">
        <v>22</v>
      </c>
      <c r="F416" t="str">
        <f t="shared" si="6"/>
        <v>South</v>
      </c>
      <c r="G416" t="s">
        <v>56</v>
      </c>
      <c r="H416" t="s">
        <v>23</v>
      </c>
      <c r="I416">
        <v>10</v>
      </c>
    </row>
    <row r="417" spans="1:9" ht="21.75" customHeight="1">
      <c r="A417" t="s">
        <v>559</v>
      </c>
      <c r="B417" s="3">
        <v>45358</v>
      </c>
      <c r="C417" t="s">
        <v>327</v>
      </c>
      <c r="D417" t="s">
        <v>74</v>
      </c>
      <c r="E417" t="s">
        <v>22</v>
      </c>
      <c r="F417" t="str">
        <f t="shared" si="6"/>
        <v>North</v>
      </c>
      <c r="G417" t="s">
        <v>12</v>
      </c>
      <c r="H417" t="s">
        <v>32</v>
      </c>
      <c r="I417">
        <v>18</v>
      </c>
    </row>
    <row r="418" spans="1:9" ht="21.75" customHeight="1">
      <c r="A418" t="s">
        <v>560</v>
      </c>
      <c r="B418" s="3">
        <v>45357</v>
      </c>
      <c r="C418" t="s">
        <v>317</v>
      </c>
      <c r="D418" t="s">
        <v>10</v>
      </c>
      <c r="E418" t="s">
        <v>22</v>
      </c>
      <c r="F418" t="str">
        <f t="shared" si="6"/>
        <v>Central</v>
      </c>
      <c r="G418" t="s">
        <v>306</v>
      </c>
      <c r="H418" t="s">
        <v>13</v>
      </c>
      <c r="I418">
        <v>14</v>
      </c>
    </row>
    <row r="419" spans="1:9" ht="21.75" customHeight="1">
      <c r="A419" t="s">
        <v>561</v>
      </c>
      <c r="B419" s="3">
        <v>45477</v>
      </c>
      <c r="C419" t="s">
        <v>147</v>
      </c>
      <c r="D419" t="s">
        <v>72</v>
      </c>
      <c r="E419" t="s">
        <v>11</v>
      </c>
      <c r="F419" t="str">
        <f t="shared" si="6"/>
        <v>South</v>
      </c>
      <c r="G419" t="s">
        <v>56</v>
      </c>
      <c r="H419" t="s">
        <v>28</v>
      </c>
      <c r="I419">
        <v>16</v>
      </c>
    </row>
    <row r="420" spans="1:9" ht="21.75" customHeight="1">
      <c r="A420" t="s">
        <v>562</v>
      </c>
      <c r="B420" s="3">
        <v>45371</v>
      </c>
      <c r="C420" t="s">
        <v>208</v>
      </c>
      <c r="D420" t="s">
        <v>160</v>
      </c>
      <c r="E420" t="s">
        <v>17</v>
      </c>
      <c r="F420" t="str">
        <f t="shared" si="6"/>
        <v>North</v>
      </c>
      <c r="G420" t="s">
        <v>12</v>
      </c>
      <c r="H420" t="s">
        <v>36</v>
      </c>
      <c r="I420">
        <v>18</v>
      </c>
    </row>
    <row r="421" spans="1:9" ht="21.75" customHeight="1">
      <c r="A421" t="s">
        <v>563</v>
      </c>
      <c r="B421" s="3">
        <v>45311</v>
      </c>
      <c r="C421" t="s">
        <v>371</v>
      </c>
      <c r="D421" t="s">
        <v>16</v>
      </c>
      <c r="E421" t="s">
        <v>17</v>
      </c>
      <c r="F421" t="str">
        <f t="shared" si="6"/>
        <v>Central</v>
      </c>
      <c r="G421" t="s">
        <v>306</v>
      </c>
      <c r="H421" t="s">
        <v>28</v>
      </c>
      <c r="I421">
        <v>20</v>
      </c>
    </row>
    <row r="422" spans="1:9" ht="21.75" customHeight="1">
      <c r="A422" t="s">
        <v>564</v>
      </c>
      <c r="B422" s="3">
        <v>45384</v>
      </c>
      <c r="C422" t="s">
        <v>465</v>
      </c>
      <c r="D422" t="s">
        <v>84</v>
      </c>
      <c r="E422" t="s">
        <v>22</v>
      </c>
      <c r="F422" t="str">
        <f t="shared" si="6"/>
        <v>South</v>
      </c>
      <c r="G422" t="s">
        <v>56</v>
      </c>
      <c r="H422" t="s">
        <v>32</v>
      </c>
      <c r="I422">
        <v>15</v>
      </c>
    </row>
    <row r="423" spans="1:9" ht="21.75" customHeight="1">
      <c r="A423" t="s">
        <v>565</v>
      </c>
      <c r="B423" s="3">
        <v>45638</v>
      </c>
      <c r="C423" t="s">
        <v>329</v>
      </c>
      <c r="D423" t="s">
        <v>109</v>
      </c>
      <c r="E423" t="s">
        <v>11</v>
      </c>
      <c r="F423" t="str">
        <f t="shared" si="6"/>
        <v>West</v>
      </c>
      <c r="G423" t="s">
        <v>27</v>
      </c>
      <c r="H423" t="s">
        <v>23</v>
      </c>
      <c r="I423">
        <v>10</v>
      </c>
    </row>
    <row r="424" spans="1:9" ht="21.75" customHeight="1">
      <c r="A424" t="s">
        <v>566</v>
      </c>
      <c r="B424" s="3">
        <v>45411</v>
      </c>
      <c r="C424" t="s">
        <v>312</v>
      </c>
      <c r="D424" t="s">
        <v>35</v>
      </c>
      <c r="E424" t="s">
        <v>11</v>
      </c>
      <c r="F424" t="str">
        <f t="shared" si="6"/>
        <v>East</v>
      </c>
      <c r="G424" t="s">
        <v>42</v>
      </c>
      <c r="H424" t="s">
        <v>36</v>
      </c>
      <c r="I424">
        <v>7</v>
      </c>
    </row>
    <row r="425" spans="1:9" ht="21.75" customHeight="1">
      <c r="A425" t="s">
        <v>567</v>
      </c>
      <c r="B425" s="3">
        <v>45517</v>
      </c>
      <c r="C425" t="s">
        <v>319</v>
      </c>
      <c r="D425" t="s">
        <v>160</v>
      </c>
      <c r="E425" t="s">
        <v>17</v>
      </c>
      <c r="F425" t="str">
        <f t="shared" si="6"/>
        <v>West</v>
      </c>
      <c r="G425" t="s">
        <v>27</v>
      </c>
      <c r="H425" t="s">
        <v>28</v>
      </c>
      <c r="I425">
        <v>17</v>
      </c>
    </row>
    <row r="426" spans="1:9" ht="21.75" customHeight="1">
      <c r="A426" t="s">
        <v>568</v>
      </c>
      <c r="B426" s="3">
        <v>45394</v>
      </c>
      <c r="C426" t="s">
        <v>493</v>
      </c>
      <c r="D426" t="s">
        <v>79</v>
      </c>
      <c r="E426" t="s">
        <v>11</v>
      </c>
      <c r="F426" t="str">
        <f t="shared" si="6"/>
        <v>East</v>
      </c>
      <c r="G426" t="s">
        <v>42</v>
      </c>
      <c r="H426" t="s">
        <v>36</v>
      </c>
      <c r="I426">
        <v>16</v>
      </c>
    </row>
    <row r="427" spans="1:9" ht="21.75" customHeight="1">
      <c r="A427" t="s">
        <v>569</v>
      </c>
      <c r="B427" s="3">
        <v>45344</v>
      </c>
      <c r="C427" t="s">
        <v>436</v>
      </c>
      <c r="D427" t="s">
        <v>74</v>
      </c>
      <c r="E427" t="s">
        <v>22</v>
      </c>
      <c r="F427" t="str">
        <f t="shared" si="6"/>
        <v>North</v>
      </c>
      <c r="G427" t="s">
        <v>12</v>
      </c>
      <c r="H427" t="s">
        <v>32</v>
      </c>
      <c r="I427">
        <v>3</v>
      </c>
    </row>
    <row r="428" spans="1:9" ht="21.75" customHeight="1">
      <c r="A428" t="s">
        <v>570</v>
      </c>
      <c r="B428" s="3">
        <v>45522</v>
      </c>
      <c r="C428" t="s">
        <v>345</v>
      </c>
      <c r="D428" t="s">
        <v>10</v>
      </c>
      <c r="E428" t="s">
        <v>11</v>
      </c>
      <c r="F428" t="str">
        <f t="shared" si="6"/>
        <v>West</v>
      </c>
      <c r="G428" t="s">
        <v>27</v>
      </c>
      <c r="H428" t="s">
        <v>32</v>
      </c>
      <c r="I428">
        <v>8</v>
      </c>
    </row>
    <row r="429" spans="1:9" ht="21.75" customHeight="1">
      <c r="A429" t="s">
        <v>571</v>
      </c>
      <c r="B429" s="3">
        <v>45305</v>
      </c>
      <c r="C429" t="s">
        <v>572</v>
      </c>
      <c r="D429" t="s">
        <v>160</v>
      </c>
      <c r="E429" t="s">
        <v>11</v>
      </c>
      <c r="F429" t="str">
        <f t="shared" si="6"/>
        <v>West</v>
      </c>
      <c r="G429" t="s">
        <v>27</v>
      </c>
      <c r="H429" t="s">
        <v>13</v>
      </c>
      <c r="I429">
        <v>12</v>
      </c>
    </row>
    <row r="430" spans="1:9" ht="21.75" customHeight="1">
      <c r="A430" t="s">
        <v>573</v>
      </c>
      <c r="B430" s="3">
        <v>45483</v>
      </c>
      <c r="C430" t="s">
        <v>240</v>
      </c>
      <c r="D430" t="s">
        <v>102</v>
      </c>
      <c r="E430" t="s">
        <v>11</v>
      </c>
      <c r="F430" t="str">
        <f t="shared" si="6"/>
        <v>East</v>
      </c>
      <c r="G430" t="s">
        <v>42</v>
      </c>
      <c r="H430" t="s">
        <v>28</v>
      </c>
      <c r="I430">
        <v>11</v>
      </c>
    </row>
    <row r="431" spans="1:9" ht="21.75" customHeight="1">
      <c r="A431" t="s">
        <v>574</v>
      </c>
      <c r="B431" s="3">
        <v>45311</v>
      </c>
      <c r="C431" t="s">
        <v>55</v>
      </c>
      <c r="D431" t="s">
        <v>119</v>
      </c>
      <c r="E431" t="s">
        <v>17</v>
      </c>
      <c r="F431" t="str">
        <f t="shared" si="6"/>
        <v>South</v>
      </c>
      <c r="G431" t="s">
        <v>56</v>
      </c>
      <c r="H431" t="s">
        <v>13</v>
      </c>
      <c r="I431">
        <v>16</v>
      </c>
    </row>
    <row r="432" spans="1:9" ht="21.75" customHeight="1">
      <c r="A432" t="s">
        <v>575</v>
      </c>
      <c r="B432" s="3">
        <v>45332</v>
      </c>
      <c r="C432" t="s">
        <v>138</v>
      </c>
      <c r="D432" t="s">
        <v>16</v>
      </c>
      <c r="E432" t="s">
        <v>17</v>
      </c>
      <c r="F432" t="str">
        <f t="shared" si="6"/>
        <v>South</v>
      </c>
      <c r="G432" t="s">
        <v>56</v>
      </c>
      <c r="H432" t="s">
        <v>36</v>
      </c>
      <c r="I432">
        <v>18</v>
      </c>
    </row>
    <row r="433" spans="1:9" ht="21.75" customHeight="1">
      <c r="A433" t="s">
        <v>576</v>
      </c>
      <c r="B433" s="3">
        <v>45562</v>
      </c>
      <c r="C433" t="s">
        <v>309</v>
      </c>
      <c r="D433" t="s">
        <v>197</v>
      </c>
      <c r="E433" t="s">
        <v>11</v>
      </c>
      <c r="F433" t="str">
        <f t="shared" si="6"/>
        <v>East</v>
      </c>
      <c r="G433" t="s">
        <v>42</v>
      </c>
      <c r="H433" t="s">
        <v>28</v>
      </c>
      <c r="I433">
        <v>10</v>
      </c>
    </row>
    <row r="434" spans="1:9" ht="21.75" customHeight="1">
      <c r="A434" t="s">
        <v>577</v>
      </c>
      <c r="B434" s="3">
        <v>45506</v>
      </c>
      <c r="C434" t="s">
        <v>541</v>
      </c>
      <c r="D434" t="s">
        <v>10</v>
      </c>
      <c r="E434" t="s">
        <v>22</v>
      </c>
      <c r="F434" t="str">
        <f t="shared" si="6"/>
        <v>West</v>
      </c>
      <c r="G434" t="s">
        <v>27</v>
      </c>
      <c r="H434" t="s">
        <v>23</v>
      </c>
      <c r="I434">
        <v>4</v>
      </c>
    </row>
    <row r="435" spans="1:9" ht="21.75" customHeight="1">
      <c r="A435" t="s">
        <v>578</v>
      </c>
      <c r="B435" s="3">
        <v>45597</v>
      </c>
      <c r="C435" t="s">
        <v>312</v>
      </c>
      <c r="D435" t="s">
        <v>59</v>
      </c>
      <c r="E435" t="s">
        <v>11</v>
      </c>
      <c r="F435" t="str">
        <f t="shared" si="6"/>
        <v>Central</v>
      </c>
      <c r="G435" t="s">
        <v>306</v>
      </c>
      <c r="H435" t="s">
        <v>32</v>
      </c>
      <c r="I435">
        <v>8</v>
      </c>
    </row>
    <row r="436" spans="1:9" ht="21.75" customHeight="1">
      <c r="A436" t="s">
        <v>579</v>
      </c>
      <c r="B436" s="3">
        <v>45511</v>
      </c>
      <c r="C436" t="s">
        <v>25</v>
      </c>
      <c r="D436" t="s">
        <v>197</v>
      </c>
      <c r="E436" t="s">
        <v>22</v>
      </c>
      <c r="F436" t="str">
        <f t="shared" si="6"/>
        <v>East</v>
      </c>
      <c r="G436" t="s">
        <v>42</v>
      </c>
      <c r="H436" t="s">
        <v>13</v>
      </c>
      <c r="I436">
        <v>19</v>
      </c>
    </row>
    <row r="437" spans="1:9" ht="21.75" customHeight="1">
      <c r="A437" t="s">
        <v>580</v>
      </c>
      <c r="B437" s="3">
        <v>45560</v>
      </c>
      <c r="C437" t="s">
        <v>83</v>
      </c>
      <c r="D437" t="s">
        <v>174</v>
      </c>
      <c r="E437" t="s">
        <v>11</v>
      </c>
      <c r="F437" t="str">
        <f t="shared" si="6"/>
        <v>Central</v>
      </c>
      <c r="G437" t="s">
        <v>306</v>
      </c>
      <c r="H437" t="s">
        <v>36</v>
      </c>
      <c r="I437">
        <v>17</v>
      </c>
    </row>
    <row r="438" spans="1:9" ht="21.75" customHeight="1">
      <c r="A438" t="s">
        <v>581</v>
      </c>
      <c r="B438" s="3">
        <v>45575</v>
      </c>
      <c r="C438" t="s">
        <v>138</v>
      </c>
      <c r="D438" t="s">
        <v>79</v>
      </c>
      <c r="E438" t="s">
        <v>17</v>
      </c>
      <c r="F438" t="str">
        <f t="shared" si="6"/>
        <v>West</v>
      </c>
      <c r="G438" t="s">
        <v>27</v>
      </c>
      <c r="H438" t="s">
        <v>32</v>
      </c>
      <c r="I438">
        <v>13</v>
      </c>
    </row>
    <row r="439" spans="1:9" ht="21.75" customHeight="1">
      <c r="A439" t="s">
        <v>582</v>
      </c>
      <c r="B439" s="3">
        <v>45300</v>
      </c>
      <c r="C439" t="s">
        <v>182</v>
      </c>
      <c r="D439" t="s">
        <v>197</v>
      </c>
      <c r="E439" t="s">
        <v>11</v>
      </c>
      <c r="F439" t="str">
        <f t="shared" si="6"/>
        <v>East</v>
      </c>
      <c r="G439" t="s">
        <v>42</v>
      </c>
      <c r="H439" t="s">
        <v>32</v>
      </c>
      <c r="I439">
        <v>4</v>
      </c>
    </row>
    <row r="440" spans="1:9" ht="21.75" customHeight="1">
      <c r="A440" t="s">
        <v>583</v>
      </c>
      <c r="B440" s="3">
        <v>45360</v>
      </c>
      <c r="C440" t="s">
        <v>116</v>
      </c>
      <c r="D440" t="s">
        <v>72</v>
      </c>
      <c r="E440" t="s">
        <v>17</v>
      </c>
      <c r="F440" t="str">
        <f t="shared" si="6"/>
        <v>Central</v>
      </c>
      <c r="G440" t="s">
        <v>306</v>
      </c>
      <c r="H440" t="s">
        <v>23</v>
      </c>
      <c r="I440">
        <v>6</v>
      </c>
    </row>
    <row r="441" spans="1:9" ht="21.75" customHeight="1">
      <c r="A441" t="s">
        <v>584</v>
      </c>
      <c r="B441" s="3">
        <v>45648</v>
      </c>
      <c r="C441" t="s">
        <v>517</v>
      </c>
      <c r="D441" t="s">
        <v>16</v>
      </c>
      <c r="E441" t="s">
        <v>22</v>
      </c>
      <c r="F441" t="str">
        <f t="shared" si="6"/>
        <v>South</v>
      </c>
      <c r="G441" t="s">
        <v>56</v>
      </c>
      <c r="H441" t="s">
        <v>23</v>
      </c>
      <c r="I441">
        <v>3</v>
      </c>
    </row>
    <row r="442" spans="1:9" ht="21.75" customHeight="1">
      <c r="A442" t="s">
        <v>585</v>
      </c>
      <c r="B442" s="3">
        <v>45310</v>
      </c>
      <c r="C442" t="s">
        <v>61</v>
      </c>
      <c r="D442" t="s">
        <v>65</v>
      </c>
      <c r="E442" t="s">
        <v>11</v>
      </c>
      <c r="F442" t="str">
        <f t="shared" si="6"/>
        <v>North</v>
      </c>
      <c r="G442" t="s">
        <v>12</v>
      </c>
      <c r="H442" t="s">
        <v>32</v>
      </c>
      <c r="I442">
        <v>2</v>
      </c>
    </row>
    <row r="443" spans="1:9" ht="21.75" customHeight="1">
      <c r="A443" t="s">
        <v>586</v>
      </c>
      <c r="B443" s="3">
        <v>45555</v>
      </c>
      <c r="C443" t="s">
        <v>106</v>
      </c>
      <c r="D443" t="s">
        <v>26</v>
      </c>
      <c r="E443" t="s">
        <v>22</v>
      </c>
      <c r="F443" t="str">
        <f t="shared" si="6"/>
        <v>West</v>
      </c>
      <c r="G443" t="s">
        <v>27</v>
      </c>
      <c r="H443" t="s">
        <v>28</v>
      </c>
      <c r="I443">
        <v>2</v>
      </c>
    </row>
    <row r="444" spans="1:9" ht="21.75" customHeight="1">
      <c r="A444" t="s">
        <v>587</v>
      </c>
      <c r="B444" s="3">
        <v>45438</v>
      </c>
      <c r="C444" t="s">
        <v>182</v>
      </c>
      <c r="D444" t="s">
        <v>26</v>
      </c>
      <c r="E444" t="s">
        <v>11</v>
      </c>
      <c r="F444" t="str">
        <f t="shared" si="6"/>
        <v>East</v>
      </c>
      <c r="G444" t="s">
        <v>42</v>
      </c>
      <c r="H444" t="s">
        <v>23</v>
      </c>
      <c r="I444">
        <v>4</v>
      </c>
    </row>
    <row r="445" spans="1:9" ht="21.75" customHeight="1">
      <c r="A445" t="s">
        <v>588</v>
      </c>
      <c r="B445" s="3">
        <v>45496</v>
      </c>
      <c r="C445" t="s">
        <v>323</v>
      </c>
      <c r="D445" t="s">
        <v>72</v>
      </c>
      <c r="E445" t="s">
        <v>17</v>
      </c>
      <c r="F445" t="str">
        <f t="shared" si="6"/>
        <v>West</v>
      </c>
      <c r="G445" t="s">
        <v>27</v>
      </c>
      <c r="H445" t="s">
        <v>23</v>
      </c>
      <c r="I445">
        <v>6</v>
      </c>
    </row>
    <row r="446" spans="1:9" ht="21.75" customHeight="1">
      <c r="A446" t="s">
        <v>589</v>
      </c>
      <c r="B446" s="3">
        <v>45480</v>
      </c>
      <c r="C446" t="s">
        <v>363</v>
      </c>
      <c r="D446" t="s">
        <v>84</v>
      </c>
      <c r="E446" t="s">
        <v>17</v>
      </c>
      <c r="F446" t="str">
        <f t="shared" si="6"/>
        <v>North</v>
      </c>
      <c r="G446" t="s">
        <v>12</v>
      </c>
      <c r="H446" t="s">
        <v>36</v>
      </c>
      <c r="I446">
        <v>14</v>
      </c>
    </row>
    <row r="447" spans="1:9" ht="21.75" customHeight="1">
      <c r="A447" t="s">
        <v>590</v>
      </c>
      <c r="B447" s="3">
        <v>45384</v>
      </c>
      <c r="C447" t="s">
        <v>591</v>
      </c>
      <c r="D447" t="s">
        <v>102</v>
      </c>
      <c r="E447" t="s">
        <v>17</v>
      </c>
      <c r="F447" t="str">
        <f t="shared" si="6"/>
        <v>East</v>
      </c>
      <c r="G447" t="s">
        <v>42</v>
      </c>
      <c r="H447" t="s">
        <v>32</v>
      </c>
      <c r="I447">
        <v>3</v>
      </c>
    </row>
    <row r="448" spans="1:9" ht="21.75" customHeight="1">
      <c r="A448" t="s">
        <v>592</v>
      </c>
      <c r="B448" s="3">
        <v>45448</v>
      </c>
      <c r="C448" t="s">
        <v>430</v>
      </c>
      <c r="D448" t="s">
        <v>45</v>
      </c>
      <c r="E448" t="s">
        <v>22</v>
      </c>
      <c r="F448" t="str">
        <f t="shared" si="6"/>
        <v>West</v>
      </c>
      <c r="G448" t="s">
        <v>27</v>
      </c>
      <c r="H448" t="s">
        <v>13</v>
      </c>
      <c r="I448">
        <v>15</v>
      </c>
    </row>
    <row r="449" spans="1:9" ht="21.75" customHeight="1">
      <c r="A449" t="s">
        <v>593</v>
      </c>
      <c r="B449" s="3">
        <v>45472</v>
      </c>
      <c r="C449" t="s">
        <v>594</v>
      </c>
      <c r="D449" t="s">
        <v>21</v>
      </c>
      <c r="E449" t="s">
        <v>17</v>
      </c>
      <c r="F449" t="str">
        <f t="shared" si="6"/>
        <v>East</v>
      </c>
      <c r="G449" t="s">
        <v>42</v>
      </c>
      <c r="H449" t="s">
        <v>23</v>
      </c>
      <c r="I449">
        <v>2</v>
      </c>
    </row>
    <row r="450" spans="1:9" ht="21.75" customHeight="1">
      <c r="A450" t="s">
        <v>595</v>
      </c>
      <c r="B450" s="3">
        <v>45478</v>
      </c>
      <c r="C450" t="s">
        <v>345</v>
      </c>
      <c r="D450" t="s">
        <v>96</v>
      </c>
      <c r="E450" t="s">
        <v>22</v>
      </c>
      <c r="F450" t="str">
        <f t="shared" si="6"/>
        <v>South</v>
      </c>
      <c r="G450" t="s">
        <v>56</v>
      </c>
      <c r="H450" t="s">
        <v>23</v>
      </c>
      <c r="I450">
        <v>5</v>
      </c>
    </row>
    <row r="451" spans="1:9" ht="21.75" customHeight="1">
      <c r="A451" t="s">
        <v>596</v>
      </c>
      <c r="B451" s="3">
        <v>45309</v>
      </c>
      <c r="C451" t="s">
        <v>34</v>
      </c>
      <c r="D451" t="s">
        <v>119</v>
      </c>
      <c r="E451" t="s">
        <v>11</v>
      </c>
      <c r="F451" t="str">
        <f t="shared" ref="F451:F514" si="7">TRIM(PROPER(G451))</f>
        <v>South</v>
      </c>
      <c r="G451" t="s">
        <v>56</v>
      </c>
      <c r="H451" t="s">
        <v>36</v>
      </c>
      <c r="I451">
        <v>12</v>
      </c>
    </row>
    <row r="452" spans="1:9" ht="21.75" customHeight="1">
      <c r="A452" t="s">
        <v>597</v>
      </c>
      <c r="B452" s="3">
        <v>45308</v>
      </c>
      <c r="C452" t="s">
        <v>493</v>
      </c>
      <c r="D452" t="s">
        <v>48</v>
      </c>
      <c r="E452" t="s">
        <v>11</v>
      </c>
      <c r="F452" t="str">
        <f t="shared" si="7"/>
        <v>West</v>
      </c>
      <c r="G452" t="s">
        <v>27</v>
      </c>
      <c r="H452" t="s">
        <v>13</v>
      </c>
      <c r="I452">
        <v>12</v>
      </c>
    </row>
    <row r="453" spans="1:9" ht="21.75" customHeight="1">
      <c r="A453" t="s">
        <v>598</v>
      </c>
      <c r="B453" s="3">
        <v>45585</v>
      </c>
      <c r="C453" t="s">
        <v>99</v>
      </c>
      <c r="D453" t="s">
        <v>31</v>
      </c>
      <c r="E453" t="s">
        <v>22</v>
      </c>
      <c r="F453" t="str">
        <f t="shared" si="7"/>
        <v>East</v>
      </c>
      <c r="G453" t="s">
        <v>42</v>
      </c>
      <c r="H453" t="s">
        <v>28</v>
      </c>
      <c r="I453">
        <v>11</v>
      </c>
    </row>
    <row r="454" spans="1:9" ht="21.75" customHeight="1">
      <c r="A454" t="s">
        <v>599</v>
      </c>
      <c r="B454" s="3">
        <v>45350</v>
      </c>
      <c r="C454" t="s">
        <v>64</v>
      </c>
      <c r="D454" t="s">
        <v>35</v>
      </c>
      <c r="E454" t="s">
        <v>22</v>
      </c>
      <c r="F454" t="str">
        <f t="shared" si="7"/>
        <v>South</v>
      </c>
      <c r="G454" t="s">
        <v>56</v>
      </c>
      <c r="H454" t="s">
        <v>36</v>
      </c>
      <c r="I454">
        <v>17</v>
      </c>
    </row>
    <row r="455" spans="1:9" ht="21.75" customHeight="1">
      <c r="A455" t="s">
        <v>600</v>
      </c>
      <c r="B455" s="3">
        <v>45352</v>
      </c>
      <c r="C455" t="s">
        <v>86</v>
      </c>
      <c r="D455" t="s">
        <v>65</v>
      </c>
      <c r="E455" t="s">
        <v>17</v>
      </c>
      <c r="F455" t="str">
        <f t="shared" si="7"/>
        <v>West</v>
      </c>
      <c r="G455" t="s">
        <v>27</v>
      </c>
      <c r="H455" t="s">
        <v>23</v>
      </c>
      <c r="I455">
        <v>20</v>
      </c>
    </row>
    <row r="456" spans="1:9" ht="21.75" customHeight="1">
      <c r="A456" t="s">
        <v>601</v>
      </c>
      <c r="B456" s="3">
        <v>45394</v>
      </c>
      <c r="C456" t="s">
        <v>114</v>
      </c>
      <c r="D456" t="s">
        <v>70</v>
      </c>
      <c r="E456" t="s">
        <v>11</v>
      </c>
      <c r="F456" t="str">
        <f t="shared" si="7"/>
        <v>North</v>
      </c>
      <c r="G456" t="s">
        <v>12</v>
      </c>
      <c r="H456" t="s">
        <v>23</v>
      </c>
      <c r="I456">
        <v>6</v>
      </c>
    </row>
    <row r="457" spans="1:9" ht="21.75" customHeight="1">
      <c r="A457" t="s">
        <v>602</v>
      </c>
      <c r="B457" s="3">
        <v>45336</v>
      </c>
      <c r="C457" t="s">
        <v>455</v>
      </c>
      <c r="D457" t="s">
        <v>62</v>
      </c>
      <c r="E457" t="s">
        <v>17</v>
      </c>
      <c r="F457" t="str">
        <f t="shared" si="7"/>
        <v>East</v>
      </c>
      <c r="G457" t="s">
        <v>42</v>
      </c>
      <c r="H457" t="s">
        <v>32</v>
      </c>
      <c r="I457">
        <v>3</v>
      </c>
    </row>
    <row r="458" spans="1:9" ht="21.75" customHeight="1">
      <c r="A458" t="s">
        <v>603</v>
      </c>
      <c r="B458" s="3">
        <v>45445</v>
      </c>
      <c r="C458" t="s">
        <v>111</v>
      </c>
      <c r="D458" t="s">
        <v>48</v>
      </c>
      <c r="E458" t="s">
        <v>22</v>
      </c>
      <c r="F458" t="str">
        <f t="shared" si="7"/>
        <v>South</v>
      </c>
      <c r="G458" t="s">
        <v>56</v>
      </c>
      <c r="H458" t="s">
        <v>28</v>
      </c>
      <c r="I458">
        <v>17</v>
      </c>
    </row>
    <row r="459" spans="1:9" ht="21.75" customHeight="1">
      <c r="A459" t="s">
        <v>604</v>
      </c>
      <c r="B459" s="3">
        <v>45363</v>
      </c>
      <c r="C459" t="s">
        <v>93</v>
      </c>
      <c r="D459" t="s">
        <v>48</v>
      </c>
      <c r="E459" t="s">
        <v>17</v>
      </c>
      <c r="F459" t="str">
        <f t="shared" si="7"/>
        <v>North</v>
      </c>
      <c r="G459" t="s">
        <v>12</v>
      </c>
      <c r="H459" t="s">
        <v>23</v>
      </c>
      <c r="I459">
        <v>18</v>
      </c>
    </row>
    <row r="460" spans="1:9" ht="21.75" customHeight="1">
      <c r="A460" t="s">
        <v>605</v>
      </c>
      <c r="B460" s="3">
        <v>45574</v>
      </c>
      <c r="C460" t="s">
        <v>34</v>
      </c>
      <c r="D460" t="s">
        <v>10</v>
      </c>
      <c r="E460" t="s">
        <v>22</v>
      </c>
      <c r="F460" t="str">
        <f t="shared" si="7"/>
        <v>North</v>
      </c>
      <c r="G460" t="s">
        <v>12</v>
      </c>
      <c r="H460" t="s">
        <v>23</v>
      </c>
      <c r="I460">
        <v>10</v>
      </c>
    </row>
    <row r="461" spans="1:9" ht="21.75" customHeight="1">
      <c r="A461" t="s">
        <v>606</v>
      </c>
      <c r="B461" s="3">
        <v>45561</v>
      </c>
      <c r="C461" t="s">
        <v>408</v>
      </c>
      <c r="D461" t="s">
        <v>10</v>
      </c>
      <c r="E461" t="s">
        <v>17</v>
      </c>
      <c r="F461" t="str">
        <f t="shared" si="7"/>
        <v>Central</v>
      </c>
      <c r="G461" t="s">
        <v>306</v>
      </c>
      <c r="H461" t="s">
        <v>13</v>
      </c>
      <c r="I461">
        <v>5</v>
      </c>
    </row>
    <row r="462" spans="1:9" ht="21.75" customHeight="1">
      <c r="A462" t="s">
        <v>607</v>
      </c>
      <c r="B462" s="3">
        <v>45522</v>
      </c>
      <c r="C462" t="s">
        <v>319</v>
      </c>
      <c r="D462" t="s">
        <v>48</v>
      </c>
      <c r="E462" t="s">
        <v>22</v>
      </c>
      <c r="F462" t="str">
        <f t="shared" si="7"/>
        <v>Central</v>
      </c>
      <c r="G462" t="s">
        <v>306</v>
      </c>
      <c r="H462" t="s">
        <v>36</v>
      </c>
      <c r="I462">
        <v>5</v>
      </c>
    </row>
    <row r="463" spans="1:9" ht="21.75" customHeight="1">
      <c r="A463" t="s">
        <v>608</v>
      </c>
      <c r="B463" s="3">
        <v>45619</v>
      </c>
      <c r="C463" t="s">
        <v>449</v>
      </c>
      <c r="D463" t="s">
        <v>87</v>
      </c>
      <c r="E463" t="s">
        <v>11</v>
      </c>
      <c r="F463" t="str">
        <f t="shared" si="7"/>
        <v>South</v>
      </c>
      <c r="G463" t="s">
        <v>56</v>
      </c>
      <c r="H463" t="s">
        <v>13</v>
      </c>
      <c r="I463">
        <v>17</v>
      </c>
    </row>
    <row r="464" spans="1:9" ht="21.75" customHeight="1">
      <c r="A464" t="s">
        <v>609</v>
      </c>
      <c r="B464" s="3">
        <v>45355</v>
      </c>
      <c r="C464" t="s">
        <v>363</v>
      </c>
      <c r="D464" t="s">
        <v>45</v>
      </c>
      <c r="E464" t="s">
        <v>11</v>
      </c>
      <c r="F464" t="str">
        <f t="shared" si="7"/>
        <v>East</v>
      </c>
      <c r="G464" t="s">
        <v>42</v>
      </c>
      <c r="H464" t="s">
        <v>28</v>
      </c>
      <c r="I464">
        <v>6</v>
      </c>
    </row>
    <row r="465" spans="1:9" ht="21.75" customHeight="1">
      <c r="A465" t="s">
        <v>610</v>
      </c>
      <c r="B465" s="3">
        <v>45469</v>
      </c>
      <c r="C465" t="s">
        <v>363</v>
      </c>
      <c r="D465" t="s">
        <v>26</v>
      </c>
      <c r="E465" t="s">
        <v>17</v>
      </c>
      <c r="F465" t="str">
        <f t="shared" si="7"/>
        <v>North</v>
      </c>
      <c r="G465" t="s">
        <v>12</v>
      </c>
      <c r="H465" t="s">
        <v>36</v>
      </c>
      <c r="I465">
        <v>7</v>
      </c>
    </row>
    <row r="466" spans="1:9" ht="21.75" customHeight="1">
      <c r="A466" t="s">
        <v>611</v>
      </c>
      <c r="B466" s="3">
        <v>45432</v>
      </c>
      <c r="C466" t="s">
        <v>34</v>
      </c>
      <c r="D466" t="s">
        <v>109</v>
      </c>
      <c r="E466" t="s">
        <v>22</v>
      </c>
      <c r="F466" t="str">
        <f t="shared" si="7"/>
        <v>East</v>
      </c>
      <c r="G466" t="s">
        <v>42</v>
      </c>
      <c r="H466" t="s">
        <v>28</v>
      </c>
      <c r="I466">
        <v>18</v>
      </c>
    </row>
    <row r="467" spans="1:9" ht="21.75" customHeight="1">
      <c r="A467" t="s">
        <v>612</v>
      </c>
      <c r="B467" s="3">
        <v>45595</v>
      </c>
      <c r="C467" t="s">
        <v>361</v>
      </c>
      <c r="D467" t="s">
        <v>41</v>
      </c>
      <c r="E467" t="s">
        <v>11</v>
      </c>
      <c r="F467" t="str">
        <f t="shared" si="7"/>
        <v>South</v>
      </c>
      <c r="G467" t="s">
        <v>56</v>
      </c>
      <c r="H467" t="s">
        <v>36</v>
      </c>
      <c r="I467">
        <v>20</v>
      </c>
    </row>
    <row r="468" spans="1:9" ht="21.75" customHeight="1">
      <c r="A468" t="s">
        <v>613</v>
      </c>
      <c r="B468" s="3">
        <v>45464</v>
      </c>
      <c r="C468" t="s">
        <v>614</v>
      </c>
      <c r="D468" t="s">
        <v>10</v>
      </c>
      <c r="E468" t="s">
        <v>11</v>
      </c>
      <c r="F468" t="str">
        <f t="shared" si="7"/>
        <v>North</v>
      </c>
      <c r="G468" t="s">
        <v>12</v>
      </c>
      <c r="H468" t="s">
        <v>36</v>
      </c>
      <c r="I468">
        <v>2</v>
      </c>
    </row>
    <row r="469" spans="1:9" ht="21.75" customHeight="1">
      <c r="A469" t="s">
        <v>615</v>
      </c>
      <c r="B469" s="3">
        <v>45427</v>
      </c>
      <c r="C469" t="s">
        <v>350</v>
      </c>
      <c r="D469" t="s">
        <v>87</v>
      </c>
      <c r="E469" t="s">
        <v>11</v>
      </c>
      <c r="F469" t="str">
        <f t="shared" si="7"/>
        <v>Central</v>
      </c>
      <c r="G469" t="s">
        <v>306</v>
      </c>
      <c r="H469" t="s">
        <v>23</v>
      </c>
      <c r="I469">
        <v>20</v>
      </c>
    </row>
    <row r="470" spans="1:9" ht="21.75" customHeight="1">
      <c r="A470" t="s">
        <v>616</v>
      </c>
      <c r="B470" s="3">
        <v>45613</v>
      </c>
      <c r="C470" t="s">
        <v>591</v>
      </c>
      <c r="D470" t="s">
        <v>35</v>
      </c>
      <c r="E470" t="s">
        <v>17</v>
      </c>
      <c r="F470" t="str">
        <f t="shared" si="7"/>
        <v>East</v>
      </c>
      <c r="G470" t="s">
        <v>42</v>
      </c>
      <c r="H470" t="s">
        <v>23</v>
      </c>
      <c r="I470">
        <v>8</v>
      </c>
    </row>
    <row r="471" spans="1:9" ht="21.75" customHeight="1">
      <c r="A471" t="s">
        <v>617</v>
      </c>
      <c r="B471" s="3">
        <v>45444</v>
      </c>
      <c r="C471" t="s">
        <v>366</v>
      </c>
      <c r="D471" t="s">
        <v>45</v>
      </c>
      <c r="E471" t="s">
        <v>11</v>
      </c>
      <c r="F471" t="str">
        <f t="shared" si="7"/>
        <v>North</v>
      </c>
      <c r="G471" t="s">
        <v>12</v>
      </c>
      <c r="H471" t="s">
        <v>23</v>
      </c>
      <c r="I471">
        <v>15</v>
      </c>
    </row>
    <row r="472" spans="1:9" ht="21.75" customHeight="1">
      <c r="A472" t="s">
        <v>618</v>
      </c>
      <c r="B472" s="3">
        <v>45396</v>
      </c>
      <c r="C472" t="s">
        <v>47</v>
      </c>
      <c r="D472" t="s">
        <v>72</v>
      </c>
      <c r="E472" t="s">
        <v>22</v>
      </c>
      <c r="F472" t="str">
        <f t="shared" si="7"/>
        <v>South</v>
      </c>
      <c r="G472" t="s">
        <v>56</v>
      </c>
      <c r="H472" t="s">
        <v>32</v>
      </c>
      <c r="I472">
        <v>11</v>
      </c>
    </row>
    <row r="473" spans="1:9" ht="21.75" customHeight="1">
      <c r="A473" t="s">
        <v>619</v>
      </c>
      <c r="B473" s="3">
        <v>45496</v>
      </c>
      <c r="C473" t="s">
        <v>34</v>
      </c>
      <c r="D473" t="s">
        <v>174</v>
      </c>
      <c r="E473" t="s">
        <v>17</v>
      </c>
      <c r="F473" t="str">
        <f t="shared" si="7"/>
        <v>Central</v>
      </c>
      <c r="G473" t="s">
        <v>306</v>
      </c>
      <c r="H473" t="s">
        <v>23</v>
      </c>
      <c r="I473">
        <v>4</v>
      </c>
    </row>
    <row r="474" spans="1:9" ht="21.75" customHeight="1">
      <c r="A474" t="s">
        <v>620</v>
      </c>
      <c r="B474" s="3">
        <v>45354</v>
      </c>
      <c r="C474" t="s">
        <v>101</v>
      </c>
      <c r="D474" t="s">
        <v>16</v>
      </c>
      <c r="E474" t="s">
        <v>17</v>
      </c>
      <c r="F474" t="str">
        <f t="shared" si="7"/>
        <v>South</v>
      </c>
      <c r="G474" t="s">
        <v>56</v>
      </c>
      <c r="H474" t="s">
        <v>23</v>
      </c>
      <c r="I474">
        <v>4</v>
      </c>
    </row>
    <row r="475" spans="1:9" ht="21.75" customHeight="1">
      <c r="A475" t="s">
        <v>621</v>
      </c>
      <c r="B475" s="3">
        <v>45607</v>
      </c>
      <c r="C475" t="s">
        <v>572</v>
      </c>
      <c r="D475" t="s">
        <v>72</v>
      </c>
      <c r="E475" t="s">
        <v>11</v>
      </c>
      <c r="F475" t="str">
        <f t="shared" si="7"/>
        <v>South</v>
      </c>
      <c r="G475" t="s">
        <v>56</v>
      </c>
      <c r="H475" t="s">
        <v>28</v>
      </c>
      <c r="I475">
        <v>19</v>
      </c>
    </row>
    <row r="476" spans="1:9" ht="21.75" customHeight="1">
      <c r="A476" t="s">
        <v>622</v>
      </c>
      <c r="B476" s="3">
        <v>45373</v>
      </c>
      <c r="C476" t="s">
        <v>432</v>
      </c>
      <c r="D476" t="s">
        <v>35</v>
      </c>
      <c r="E476" t="s">
        <v>22</v>
      </c>
      <c r="F476" t="str">
        <f t="shared" si="7"/>
        <v>West</v>
      </c>
      <c r="G476" t="s">
        <v>27</v>
      </c>
      <c r="H476" t="s">
        <v>13</v>
      </c>
      <c r="I476">
        <v>10</v>
      </c>
    </row>
    <row r="477" spans="1:9" ht="21.75" customHeight="1">
      <c r="A477" t="s">
        <v>623</v>
      </c>
      <c r="B477" s="3">
        <v>45493</v>
      </c>
      <c r="C477" t="s">
        <v>358</v>
      </c>
      <c r="D477" t="s">
        <v>65</v>
      </c>
      <c r="E477" t="s">
        <v>17</v>
      </c>
      <c r="F477" t="str">
        <f t="shared" si="7"/>
        <v>South</v>
      </c>
      <c r="G477" t="s">
        <v>56</v>
      </c>
      <c r="H477" t="s">
        <v>13</v>
      </c>
      <c r="I477">
        <v>19</v>
      </c>
    </row>
    <row r="478" spans="1:9" ht="21.75" customHeight="1">
      <c r="A478" t="s">
        <v>624</v>
      </c>
      <c r="B478" s="3">
        <v>45436</v>
      </c>
      <c r="C478" t="s">
        <v>432</v>
      </c>
      <c r="D478" t="s">
        <v>74</v>
      </c>
      <c r="E478" t="s">
        <v>22</v>
      </c>
      <c r="F478" t="str">
        <f t="shared" si="7"/>
        <v>West</v>
      </c>
      <c r="G478" t="s">
        <v>27</v>
      </c>
      <c r="H478" t="s">
        <v>13</v>
      </c>
      <c r="I478">
        <v>18</v>
      </c>
    </row>
    <row r="479" spans="1:9" ht="21.75" customHeight="1">
      <c r="A479" t="s">
        <v>625</v>
      </c>
      <c r="B479" s="3">
        <v>45512</v>
      </c>
      <c r="C479" t="s">
        <v>99</v>
      </c>
      <c r="D479" t="s">
        <v>119</v>
      </c>
      <c r="E479" t="s">
        <v>17</v>
      </c>
      <c r="F479" t="str">
        <f t="shared" si="7"/>
        <v>East</v>
      </c>
      <c r="G479" t="s">
        <v>42</v>
      </c>
      <c r="H479" t="s">
        <v>23</v>
      </c>
      <c r="I479">
        <v>13</v>
      </c>
    </row>
    <row r="480" spans="1:9" ht="21.75" customHeight="1">
      <c r="A480" t="s">
        <v>626</v>
      </c>
      <c r="B480" s="3">
        <v>45318</v>
      </c>
      <c r="C480" t="s">
        <v>614</v>
      </c>
      <c r="D480" t="s">
        <v>48</v>
      </c>
      <c r="E480" t="s">
        <v>22</v>
      </c>
      <c r="F480" t="str">
        <f t="shared" si="7"/>
        <v>South</v>
      </c>
      <c r="G480" t="s">
        <v>56</v>
      </c>
      <c r="H480" t="s">
        <v>23</v>
      </c>
      <c r="I480">
        <v>18</v>
      </c>
    </row>
    <row r="481" spans="1:9" ht="21.75" customHeight="1">
      <c r="A481" t="s">
        <v>627</v>
      </c>
      <c r="B481" s="3">
        <v>45550</v>
      </c>
      <c r="C481" t="s">
        <v>430</v>
      </c>
      <c r="D481" t="s">
        <v>109</v>
      </c>
      <c r="E481" t="s">
        <v>22</v>
      </c>
      <c r="F481" t="str">
        <f t="shared" si="7"/>
        <v>East</v>
      </c>
      <c r="G481" t="s">
        <v>42</v>
      </c>
      <c r="H481" t="s">
        <v>13</v>
      </c>
      <c r="I481">
        <v>20</v>
      </c>
    </row>
    <row r="482" spans="1:9" ht="21.75" customHeight="1">
      <c r="A482" t="s">
        <v>628</v>
      </c>
      <c r="B482" s="3">
        <v>45493</v>
      </c>
      <c r="C482" t="s">
        <v>200</v>
      </c>
      <c r="D482" t="s">
        <v>48</v>
      </c>
      <c r="E482" t="s">
        <v>17</v>
      </c>
      <c r="F482" t="str">
        <f t="shared" si="7"/>
        <v>Central</v>
      </c>
      <c r="G482" t="s">
        <v>306</v>
      </c>
      <c r="H482" t="s">
        <v>36</v>
      </c>
      <c r="I482">
        <v>5</v>
      </c>
    </row>
    <row r="483" spans="1:9" ht="21.75" customHeight="1">
      <c r="A483" t="s">
        <v>629</v>
      </c>
      <c r="B483" s="3">
        <v>45497</v>
      </c>
      <c r="C483" t="s">
        <v>358</v>
      </c>
      <c r="D483" t="s">
        <v>79</v>
      </c>
      <c r="E483" t="s">
        <v>11</v>
      </c>
      <c r="F483" t="str">
        <f t="shared" si="7"/>
        <v>North</v>
      </c>
      <c r="G483" t="s">
        <v>12</v>
      </c>
      <c r="H483" t="s">
        <v>23</v>
      </c>
      <c r="I483">
        <v>5</v>
      </c>
    </row>
    <row r="484" spans="1:9" ht="21.75" customHeight="1">
      <c r="A484" t="s">
        <v>630</v>
      </c>
      <c r="B484" s="3">
        <v>45557</v>
      </c>
      <c r="C484" t="s">
        <v>366</v>
      </c>
      <c r="D484" t="s">
        <v>160</v>
      </c>
      <c r="E484" t="s">
        <v>11</v>
      </c>
      <c r="F484" t="str">
        <f t="shared" si="7"/>
        <v>Central</v>
      </c>
      <c r="G484" t="s">
        <v>306</v>
      </c>
      <c r="H484" t="s">
        <v>36</v>
      </c>
      <c r="I484">
        <v>5</v>
      </c>
    </row>
    <row r="485" spans="1:9" ht="21.75" customHeight="1">
      <c r="A485" t="s">
        <v>631</v>
      </c>
      <c r="B485" s="3">
        <v>45455</v>
      </c>
      <c r="C485" t="s">
        <v>111</v>
      </c>
      <c r="D485" t="s">
        <v>84</v>
      </c>
      <c r="E485" t="s">
        <v>17</v>
      </c>
      <c r="F485" t="str">
        <f t="shared" si="7"/>
        <v>Central</v>
      </c>
      <c r="G485" t="s">
        <v>306</v>
      </c>
      <c r="H485" t="s">
        <v>36</v>
      </c>
      <c r="I485">
        <v>10</v>
      </c>
    </row>
    <row r="486" spans="1:9" ht="21.75" customHeight="1">
      <c r="A486" t="s">
        <v>632</v>
      </c>
      <c r="B486" s="3">
        <v>45552</v>
      </c>
      <c r="C486" t="s">
        <v>312</v>
      </c>
      <c r="D486" t="s">
        <v>74</v>
      </c>
      <c r="E486" t="s">
        <v>17</v>
      </c>
      <c r="F486" t="str">
        <f t="shared" si="7"/>
        <v>Central</v>
      </c>
      <c r="G486" t="s">
        <v>306</v>
      </c>
      <c r="H486" t="s">
        <v>32</v>
      </c>
      <c r="I486">
        <v>16</v>
      </c>
    </row>
    <row r="487" spans="1:9" ht="21.75" customHeight="1">
      <c r="A487" t="s">
        <v>633</v>
      </c>
      <c r="B487" s="3">
        <v>45461</v>
      </c>
      <c r="C487" t="s">
        <v>422</v>
      </c>
      <c r="D487" t="s">
        <v>59</v>
      </c>
      <c r="E487" t="s">
        <v>11</v>
      </c>
      <c r="F487" t="str">
        <f t="shared" si="7"/>
        <v>West</v>
      </c>
      <c r="G487" t="s">
        <v>27</v>
      </c>
      <c r="H487" t="s">
        <v>13</v>
      </c>
      <c r="I487">
        <v>10</v>
      </c>
    </row>
    <row r="488" spans="1:9" ht="21.75" customHeight="1">
      <c r="A488" t="s">
        <v>634</v>
      </c>
      <c r="B488" s="3">
        <v>45597</v>
      </c>
      <c r="C488" t="s">
        <v>553</v>
      </c>
      <c r="D488" t="s">
        <v>59</v>
      </c>
      <c r="E488" t="s">
        <v>17</v>
      </c>
      <c r="F488" t="str">
        <f t="shared" si="7"/>
        <v>Central</v>
      </c>
      <c r="G488" t="s">
        <v>306</v>
      </c>
      <c r="H488" t="s">
        <v>36</v>
      </c>
      <c r="I488">
        <v>8</v>
      </c>
    </row>
    <row r="489" spans="1:9" ht="21.75" customHeight="1">
      <c r="A489" t="s">
        <v>635</v>
      </c>
      <c r="B489" s="3">
        <v>45537</v>
      </c>
      <c r="C489" t="s">
        <v>30</v>
      </c>
      <c r="D489" t="s">
        <v>119</v>
      </c>
      <c r="E489" t="s">
        <v>22</v>
      </c>
      <c r="F489" t="str">
        <f t="shared" si="7"/>
        <v>Central</v>
      </c>
      <c r="G489" t="s">
        <v>306</v>
      </c>
      <c r="H489" t="s">
        <v>28</v>
      </c>
      <c r="I489">
        <v>13</v>
      </c>
    </row>
    <row r="490" spans="1:9" ht="21.75" customHeight="1">
      <c r="A490" t="s">
        <v>636</v>
      </c>
      <c r="B490" s="3">
        <v>45308</v>
      </c>
      <c r="C490" t="s">
        <v>314</v>
      </c>
      <c r="D490" t="s">
        <v>65</v>
      </c>
      <c r="E490" t="s">
        <v>22</v>
      </c>
      <c r="F490" t="str">
        <f t="shared" si="7"/>
        <v>North</v>
      </c>
      <c r="G490" t="s">
        <v>12</v>
      </c>
      <c r="H490" t="s">
        <v>23</v>
      </c>
      <c r="I490">
        <v>1</v>
      </c>
    </row>
    <row r="491" spans="1:9" ht="21.75" customHeight="1">
      <c r="A491" t="s">
        <v>637</v>
      </c>
      <c r="B491" s="3">
        <v>45369</v>
      </c>
      <c r="C491" t="s">
        <v>408</v>
      </c>
      <c r="D491" t="s">
        <v>87</v>
      </c>
      <c r="E491" t="s">
        <v>22</v>
      </c>
      <c r="F491" t="str">
        <f t="shared" si="7"/>
        <v>South</v>
      </c>
      <c r="G491" t="s">
        <v>56</v>
      </c>
      <c r="H491" t="s">
        <v>23</v>
      </c>
      <c r="I491">
        <v>17</v>
      </c>
    </row>
    <row r="492" spans="1:9" ht="21.75" customHeight="1">
      <c r="A492" t="s">
        <v>638</v>
      </c>
      <c r="B492" s="3">
        <v>45323</v>
      </c>
      <c r="C492" t="s">
        <v>369</v>
      </c>
      <c r="D492" t="s">
        <v>65</v>
      </c>
      <c r="E492" t="s">
        <v>11</v>
      </c>
      <c r="F492" t="str">
        <f t="shared" si="7"/>
        <v>Central</v>
      </c>
      <c r="G492" t="s">
        <v>306</v>
      </c>
      <c r="H492" t="s">
        <v>23</v>
      </c>
      <c r="I492">
        <v>18</v>
      </c>
    </row>
    <row r="493" spans="1:9" ht="21.75" customHeight="1">
      <c r="A493" t="s">
        <v>639</v>
      </c>
      <c r="B493" s="3">
        <v>45561</v>
      </c>
      <c r="C493" t="s">
        <v>159</v>
      </c>
      <c r="D493" t="s">
        <v>70</v>
      </c>
      <c r="E493" t="s">
        <v>17</v>
      </c>
      <c r="F493" t="str">
        <f t="shared" si="7"/>
        <v>South</v>
      </c>
      <c r="G493" t="s">
        <v>56</v>
      </c>
      <c r="H493" t="s">
        <v>32</v>
      </c>
      <c r="I493">
        <v>18</v>
      </c>
    </row>
    <row r="494" spans="1:9" ht="21.75" customHeight="1">
      <c r="A494" t="s">
        <v>640</v>
      </c>
      <c r="B494" s="3">
        <v>45638</v>
      </c>
      <c r="C494" t="s">
        <v>337</v>
      </c>
      <c r="D494" t="s">
        <v>109</v>
      </c>
      <c r="E494" t="s">
        <v>22</v>
      </c>
      <c r="F494" t="str">
        <f t="shared" si="7"/>
        <v>East</v>
      </c>
      <c r="G494" t="s">
        <v>42</v>
      </c>
      <c r="H494" t="s">
        <v>28</v>
      </c>
      <c r="I494">
        <v>16</v>
      </c>
    </row>
    <row r="495" spans="1:9" ht="21.75" customHeight="1">
      <c r="A495" t="s">
        <v>641</v>
      </c>
      <c r="B495" s="3">
        <v>45434</v>
      </c>
      <c r="C495" t="s">
        <v>642</v>
      </c>
      <c r="D495" t="s">
        <v>74</v>
      </c>
      <c r="E495" t="s">
        <v>17</v>
      </c>
      <c r="F495" t="str">
        <f t="shared" si="7"/>
        <v>South</v>
      </c>
      <c r="G495" t="s">
        <v>56</v>
      </c>
      <c r="H495" t="s">
        <v>23</v>
      </c>
      <c r="I495">
        <v>10</v>
      </c>
    </row>
    <row r="496" spans="1:9" ht="21.75" customHeight="1">
      <c r="A496" t="s">
        <v>643</v>
      </c>
      <c r="B496" s="3">
        <v>45454</v>
      </c>
      <c r="C496" t="s">
        <v>517</v>
      </c>
      <c r="D496" t="s">
        <v>84</v>
      </c>
      <c r="E496" t="s">
        <v>17</v>
      </c>
      <c r="F496" t="str">
        <f t="shared" si="7"/>
        <v>Central</v>
      </c>
      <c r="G496" t="s">
        <v>306</v>
      </c>
      <c r="H496" t="s">
        <v>36</v>
      </c>
      <c r="I496">
        <v>9</v>
      </c>
    </row>
    <row r="497" spans="1:9" ht="21.75" customHeight="1">
      <c r="A497" t="s">
        <v>644</v>
      </c>
      <c r="B497" s="3">
        <v>45638</v>
      </c>
      <c r="C497" t="s">
        <v>591</v>
      </c>
      <c r="D497" t="s">
        <v>48</v>
      </c>
      <c r="E497" t="s">
        <v>17</v>
      </c>
      <c r="F497" t="str">
        <f t="shared" si="7"/>
        <v>West</v>
      </c>
      <c r="G497" t="s">
        <v>27</v>
      </c>
      <c r="H497" t="s">
        <v>32</v>
      </c>
      <c r="I497">
        <v>5</v>
      </c>
    </row>
    <row r="498" spans="1:9" ht="21.75" customHeight="1">
      <c r="A498" t="s">
        <v>645</v>
      </c>
      <c r="B498" s="3">
        <v>45332</v>
      </c>
      <c r="C498" t="s">
        <v>20</v>
      </c>
      <c r="D498" t="s">
        <v>84</v>
      </c>
      <c r="E498" t="s">
        <v>17</v>
      </c>
      <c r="F498" t="str">
        <f t="shared" si="7"/>
        <v>East</v>
      </c>
      <c r="G498" t="s">
        <v>42</v>
      </c>
      <c r="H498" t="s">
        <v>36</v>
      </c>
      <c r="I498">
        <v>16</v>
      </c>
    </row>
    <row r="499" spans="1:9" ht="21.75" customHeight="1">
      <c r="A499" t="s">
        <v>646</v>
      </c>
      <c r="B499" s="3">
        <v>45430</v>
      </c>
      <c r="C499" t="s">
        <v>642</v>
      </c>
      <c r="D499" t="s">
        <v>16</v>
      </c>
      <c r="E499" t="s">
        <v>22</v>
      </c>
      <c r="F499" t="str">
        <f t="shared" si="7"/>
        <v>East</v>
      </c>
      <c r="G499" t="s">
        <v>42</v>
      </c>
      <c r="H499" t="s">
        <v>36</v>
      </c>
      <c r="I499">
        <v>4</v>
      </c>
    </row>
    <row r="500" spans="1:9" ht="21.75" customHeight="1">
      <c r="A500" t="s">
        <v>647</v>
      </c>
      <c r="B500" s="3">
        <v>45414</v>
      </c>
      <c r="C500" t="s">
        <v>78</v>
      </c>
      <c r="D500" t="s">
        <v>197</v>
      </c>
      <c r="E500" t="s">
        <v>11</v>
      </c>
      <c r="F500" t="str">
        <f t="shared" si="7"/>
        <v>Central</v>
      </c>
      <c r="G500" t="s">
        <v>306</v>
      </c>
      <c r="H500" t="s">
        <v>23</v>
      </c>
      <c r="I500">
        <v>8</v>
      </c>
    </row>
    <row r="501" spans="1:9" ht="21.75" customHeight="1">
      <c r="A501" t="s">
        <v>648</v>
      </c>
      <c r="B501" s="3">
        <v>45461</v>
      </c>
      <c r="C501" t="s">
        <v>436</v>
      </c>
      <c r="D501" t="s">
        <v>41</v>
      </c>
      <c r="E501" t="s">
        <v>17</v>
      </c>
      <c r="F501" t="str">
        <f t="shared" si="7"/>
        <v>North</v>
      </c>
      <c r="G501" t="s">
        <v>12</v>
      </c>
      <c r="H501" t="s">
        <v>36</v>
      </c>
      <c r="I501">
        <v>5</v>
      </c>
    </row>
    <row r="502" spans="1:9" ht="21.75" customHeight="1">
      <c r="A502" t="s">
        <v>649</v>
      </c>
      <c r="B502" s="3">
        <v>45372</v>
      </c>
      <c r="C502" t="s">
        <v>408</v>
      </c>
      <c r="D502" t="s">
        <v>35</v>
      </c>
      <c r="E502" t="s">
        <v>22</v>
      </c>
      <c r="F502" t="str">
        <f t="shared" si="7"/>
        <v>West</v>
      </c>
      <c r="G502" t="s">
        <v>27</v>
      </c>
      <c r="H502" t="s">
        <v>32</v>
      </c>
      <c r="I502">
        <v>7</v>
      </c>
    </row>
    <row r="503" spans="1:9" ht="21.75" customHeight="1">
      <c r="A503" t="s">
        <v>650</v>
      </c>
      <c r="B503" s="3">
        <v>45456</v>
      </c>
      <c r="C503" t="s">
        <v>55</v>
      </c>
      <c r="D503" t="s">
        <v>119</v>
      </c>
      <c r="E503" t="s">
        <v>22</v>
      </c>
      <c r="F503" t="str">
        <f t="shared" si="7"/>
        <v>North</v>
      </c>
      <c r="G503" t="s">
        <v>12</v>
      </c>
      <c r="H503" t="s">
        <v>28</v>
      </c>
      <c r="I503">
        <v>3</v>
      </c>
    </row>
    <row r="504" spans="1:9" ht="21.75" customHeight="1">
      <c r="A504" t="s">
        <v>651</v>
      </c>
      <c r="B504" s="3">
        <v>45565</v>
      </c>
      <c r="C504" t="s">
        <v>304</v>
      </c>
      <c r="D504" t="s">
        <v>45</v>
      </c>
      <c r="E504" t="s">
        <v>22</v>
      </c>
      <c r="F504" t="str">
        <f t="shared" si="7"/>
        <v>North</v>
      </c>
      <c r="G504" t="s">
        <v>12</v>
      </c>
      <c r="H504" t="s">
        <v>28</v>
      </c>
      <c r="I504">
        <v>14</v>
      </c>
    </row>
    <row r="505" spans="1:9" ht="21.75" customHeight="1">
      <c r="A505" t="s">
        <v>652</v>
      </c>
      <c r="B505" s="3">
        <v>45310</v>
      </c>
      <c r="C505" t="s">
        <v>106</v>
      </c>
      <c r="D505" t="s">
        <v>84</v>
      </c>
      <c r="E505" t="s">
        <v>17</v>
      </c>
      <c r="F505" t="str">
        <f t="shared" si="7"/>
        <v>South</v>
      </c>
      <c r="G505" t="s">
        <v>56</v>
      </c>
      <c r="H505" t="s">
        <v>13</v>
      </c>
      <c r="I505">
        <v>10</v>
      </c>
    </row>
    <row r="506" spans="1:9" ht="21.75" customHeight="1">
      <c r="A506" t="s">
        <v>653</v>
      </c>
      <c r="B506" s="3">
        <v>45444</v>
      </c>
      <c r="C506" t="s">
        <v>614</v>
      </c>
      <c r="D506" t="s">
        <v>72</v>
      </c>
      <c r="E506" t="s">
        <v>22</v>
      </c>
      <c r="F506" t="str">
        <f t="shared" si="7"/>
        <v>North</v>
      </c>
      <c r="G506" t="s">
        <v>12</v>
      </c>
      <c r="H506" t="s">
        <v>36</v>
      </c>
      <c r="I506">
        <v>10</v>
      </c>
    </row>
    <row r="507" spans="1:9" ht="21.75" customHeight="1">
      <c r="A507" t="s">
        <v>654</v>
      </c>
      <c r="B507" s="3">
        <v>45560</v>
      </c>
      <c r="C507" t="s">
        <v>432</v>
      </c>
      <c r="D507" t="s">
        <v>70</v>
      </c>
      <c r="E507" t="s">
        <v>11</v>
      </c>
      <c r="F507" t="str">
        <f t="shared" si="7"/>
        <v>Central</v>
      </c>
      <c r="G507" t="s">
        <v>306</v>
      </c>
      <c r="H507" t="s">
        <v>13</v>
      </c>
      <c r="I507">
        <v>9</v>
      </c>
    </row>
    <row r="508" spans="1:9" ht="21.75" customHeight="1">
      <c r="A508" t="s">
        <v>655</v>
      </c>
      <c r="B508" s="3">
        <v>45461</v>
      </c>
      <c r="C508" t="s">
        <v>111</v>
      </c>
      <c r="D508" t="s">
        <v>21</v>
      </c>
      <c r="E508" t="s">
        <v>22</v>
      </c>
      <c r="F508" t="str">
        <f t="shared" si="7"/>
        <v>West</v>
      </c>
      <c r="G508" t="s">
        <v>27</v>
      </c>
      <c r="H508" t="s">
        <v>13</v>
      </c>
      <c r="I508">
        <v>9</v>
      </c>
    </row>
    <row r="509" spans="1:9" ht="21.75" customHeight="1">
      <c r="A509" t="s">
        <v>656</v>
      </c>
      <c r="B509" s="3">
        <v>45464</v>
      </c>
      <c r="C509" t="s">
        <v>61</v>
      </c>
      <c r="D509" t="s">
        <v>45</v>
      </c>
      <c r="E509" t="s">
        <v>22</v>
      </c>
      <c r="F509" t="str">
        <f t="shared" si="7"/>
        <v>South</v>
      </c>
      <c r="G509" t="s">
        <v>56</v>
      </c>
      <c r="H509" t="s">
        <v>23</v>
      </c>
      <c r="I509">
        <v>20</v>
      </c>
    </row>
    <row r="510" spans="1:9" ht="21.75" customHeight="1">
      <c r="A510" t="s">
        <v>657</v>
      </c>
      <c r="B510" s="3">
        <v>45510</v>
      </c>
      <c r="C510" t="s">
        <v>345</v>
      </c>
      <c r="D510" t="s">
        <v>31</v>
      </c>
      <c r="E510" t="s">
        <v>17</v>
      </c>
      <c r="F510" t="str">
        <f t="shared" si="7"/>
        <v>North</v>
      </c>
      <c r="G510" t="s">
        <v>12</v>
      </c>
      <c r="H510" t="s">
        <v>28</v>
      </c>
      <c r="I510">
        <v>4</v>
      </c>
    </row>
    <row r="511" spans="1:9" ht="21.75" customHeight="1">
      <c r="A511" t="s">
        <v>658</v>
      </c>
      <c r="B511" s="3">
        <v>45536</v>
      </c>
      <c r="C511" t="s">
        <v>187</v>
      </c>
      <c r="D511" t="s">
        <v>26</v>
      </c>
      <c r="E511" t="s">
        <v>11</v>
      </c>
      <c r="F511" t="str">
        <f t="shared" si="7"/>
        <v>North</v>
      </c>
      <c r="G511" t="s">
        <v>12</v>
      </c>
      <c r="H511" t="s">
        <v>32</v>
      </c>
      <c r="I511">
        <v>13</v>
      </c>
    </row>
    <row r="512" spans="1:9" ht="21.75" customHeight="1">
      <c r="A512" t="s">
        <v>659</v>
      </c>
      <c r="B512" s="3">
        <v>45460</v>
      </c>
      <c r="C512" t="s">
        <v>68</v>
      </c>
      <c r="D512" t="s">
        <v>96</v>
      </c>
      <c r="E512" t="s">
        <v>22</v>
      </c>
      <c r="F512" t="str">
        <f t="shared" si="7"/>
        <v>Central</v>
      </c>
      <c r="G512" t="s">
        <v>306</v>
      </c>
      <c r="H512" t="s">
        <v>28</v>
      </c>
      <c r="I512">
        <v>9</v>
      </c>
    </row>
    <row r="513" spans="1:9" ht="21.75" customHeight="1">
      <c r="A513" t="s">
        <v>660</v>
      </c>
      <c r="B513" s="3">
        <v>45323</v>
      </c>
      <c r="C513" t="s">
        <v>317</v>
      </c>
      <c r="D513" t="s">
        <v>74</v>
      </c>
      <c r="E513" t="s">
        <v>11</v>
      </c>
      <c r="F513" t="str">
        <f t="shared" si="7"/>
        <v>West</v>
      </c>
      <c r="G513" t="s">
        <v>27</v>
      </c>
      <c r="H513" t="s">
        <v>36</v>
      </c>
      <c r="I513">
        <v>6</v>
      </c>
    </row>
    <row r="514" spans="1:9" ht="21.75" customHeight="1">
      <c r="A514" t="s">
        <v>661</v>
      </c>
      <c r="B514" s="3">
        <v>45652</v>
      </c>
      <c r="C514" t="s">
        <v>337</v>
      </c>
      <c r="D514" t="s">
        <v>21</v>
      </c>
      <c r="E514" t="s">
        <v>17</v>
      </c>
      <c r="F514" t="str">
        <f t="shared" si="7"/>
        <v>North</v>
      </c>
      <c r="G514" t="s">
        <v>12</v>
      </c>
      <c r="H514" t="s">
        <v>28</v>
      </c>
      <c r="I514">
        <v>10</v>
      </c>
    </row>
    <row r="515" spans="1:9" ht="21.75" customHeight="1">
      <c r="A515" t="s">
        <v>662</v>
      </c>
      <c r="B515" s="3">
        <v>45404</v>
      </c>
      <c r="C515" t="s">
        <v>99</v>
      </c>
      <c r="D515" t="s">
        <v>70</v>
      </c>
      <c r="E515" t="s">
        <v>17</v>
      </c>
      <c r="F515" t="str">
        <f t="shared" ref="F515:F578" si="8">TRIM(PROPER(G515))</f>
        <v>South</v>
      </c>
      <c r="G515" t="s">
        <v>56</v>
      </c>
      <c r="H515" t="s">
        <v>36</v>
      </c>
      <c r="I515">
        <v>20</v>
      </c>
    </row>
    <row r="516" spans="1:9" ht="21.75" customHeight="1">
      <c r="A516" t="s">
        <v>663</v>
      </c>
      <c r="B516" s="3">
        <v>45533</v>
      </c>
      <c r="C516" t="s">
        <v>664</v>
      </c>
      <c r="D516" t="s">
        <v>119</v>
      </c>
      <c r="E516" t="s">
        <v>22</v>
      </c>
      <c r="F516" t="str">
        <f t="shared" si="8"/>
        <v>South</v>
      </c>
      <c r="G516" t="s">
        <v>56</v>
      </c>
      <c r="H516" t="s">
        <v>36</v>
      </c>
      <c r="I516">
        <v>8</v>
      </c>
    </row>
    <row r="517" spans="1:9" ht="21.75" customHeight="1">
      <c r="A517" t="s">
        <v>665</v>
      </c>
      <c r="B517" s="3">
        <v>45333</v>
      </c>
      <c r="C517" t="s">
        <v>339</v>
      </c>
      <c r="D517" t="s">
        <v>62</v>
      </c>
      <c r="E517" t="s">
        <v>17</v>
      </c>
      <c r="F517" t="str">
        <f t="shared" si="8"/>
        <v>Central</v>
      </c>
      <c r="G517" t="s">
        <v>306</v>
      </c>
      <c r="H517" t="s">
        <v>36</v>
      </c>
      <c r="I517">
        <v>12</v>
      </c>
    </row>
    <row r="518" spans="1:9" ht="21.75" customHeight="1">
      <c r="A518" t="s">
        <v>666</v>
      </c>
      <c r="B518" s="3">
        <v>45349</v>
      </c>
      <c r="C518" t="s">
        <v>131</v>
      </c>
      <c r="D518" t="s">
        <v>65</v>
      </c>
      <c r="E518" t="s">
        <v>22</v>
      </c>
      <c r="F518" t="str">
        <f t="shared" si="8"/>
        <v>Central</v>
      </c>
      <c r="G518" t="s">
        <v>306</v>
      </c>
      <c r="H518" t="s">
        <v>28</v>
      </c>
      <c r="I518">
        <v>19</v>
      </c>
    </row>
    <row r="519" spans="1:9" ht="21.75" customHeight="1">
      <c r="A519" t="s">
        <v>667</v>
      </c>
      <c r="B519" s="3">
        <v>45459</v>
      </c>
      <c r="C519" t="s">
        <v>363</v>
      </c>
      <c r="D519" t="s">
        <v>41</v>
      </c>
      <c r="E519" t="s">
        <v>17</v>
      </c>
      <c r="F519" t="str">
        <f t="shared" si="8"/>
        <v>North</v>
      </c>
      <c r="G519" t="s">
        <v>12</v>
      </c>
      <c r="H519" t="s">
        <v>23</v>
      </c>
      <c r="I519">
        <v>7</v>
      </c>
    </row>
    <row r="520" spans="1:9" ht="21.75" customHeight="1">
      <c r="A520" t="s">
        <v>668</v>
      </c>
      <c r="B520" s="3">
        <v>45338</v>
      </c>
      <c r="C520" t="s">
        <v>345</v>
      </c>
      <c r="D520" t="s">
        <v>70</v>
      </c>
      <c r="E520" t="s">
        <v>17</v>
      </c>
      <c r="F520" t="str">
        <f t="shared" si="8"/>
        <v>North</v>
      </c>
      <c r="G520" t="s">
        <v>12</v>
      </c>
      <c r="H520" t="s">
        <v>23</v>
      </c>
      <c r="I520">
        <v>5</v>
      </c>
    </row>
    <row r="521" spans="1:9" ht="21.75" customHeight="1">
      <c r="A521" t="s">
        <v>669</v>
      </c>
      <c r="B521" s="3">
        <v>45580</v>
      </c>
      <c r="C521" t="s">
        <v>131</v>
      </c>
      <c r="D521" t="s">
        <v>41</v>
      </c>
      <c r="E521" t="s">
        <v>22</v>
      </c>
      <c r="F521" t="str">
        <f t="shared" si="8"/>
        <v>West</v>
      </c>
      <c r="G521" t="s">
        <v>27</v>
      </c>
      <c r="H521" t="s">
        <v>23</v>
      </c>
      <c r="I521">
        <v>10</v>
      </c>
    </row>
    <row r="522" spans="1:9" ht="21.75" customHeight="1">
      <c r="A522" t="s">
        <v>670</v>
      </c>
      <c r="B522" s="3">
        <v>45422</v>
      </c>
      <c r="C522" t="s">
        <v>25</v>
      </c>
      <c r="D522" t="s">
        <v>59</v>
      </c>
      <c r="E522" t="s">
        <v>22</v>
      </c>
      <c r="F522" t="str">
        <f t="shared" si="8"/>
        <v>South</v>
      </c>
      <c r="G522" t="s">
        <v>56</v>
      </c>
      <c r="H522" t="s">
        <v>32</v>
      </c>
      <c r="I522">
        <v>3</v>
      </c>
    </row>
    <row r="523" spans="1:9" ht="21.75" customHeight="1">
      <c r="A523" t="s">
        <v>671</v>
      </c>
      <c r="B523" s="3">
        <v>45650</v>
      </c>
      <c r="C523" t="s">
        <v>58</v>
      </c>
      <c r="D523" t="s">
        <v>10</v>
      </c>
      <c r="E523" t="s">
        <v>22</v>
      </c>
      <c r="F523" t="str">
        <f t="shared" si="8"/>
        <v>North</v>
      </c>
      <c r="G523" t="s">
        <v>12</v>
      </c>
      <c r="H523" t="s">
        <v>23</v>
      </c>
      <c r="I523">
        <v>16</v>
      </c>
    </row>
    <row r="524" spans="1:9" ht="21.75" customHeight="1">
      <c r="A524" t="s">
        <v>672</v>
      </c>
      <c r="B524" s="3">
        <v>45384</v>
      </c>
      <c r="C524" t="s">
        <v>337</v>
      </c>
      <c r="D524" t="s">
        <v>48</v>
      </c>
      <c r="E524" t="s">
        <v>11</v>
      </c>
      <c r="F524" t="str">
        <f t="shared" si="8"/>
        <v>West</v>
      </c>
      <c r="G524" t="s">
        <v>27</v>
      </c>
      <c r="H524" t="s">
        <v>23</v>
      </c>
      <c r="I524">
        <v>13</v>
      </c>
    </row>
    <row r="525" spans="1:9" ht="21.75" customHeight="1">
      <c r="A525" t="s">
        <v>673</v>
      </c>
      <c r="B525" s="3">
        <v>45484</v>
      </c>
      <c r="C525" t="s">
        <v>81</v>
      </c>
      <c r="D525" t="s">
        <v>16</v>
      </c>
      <c r="E525" t="s">
        <v>22</v>
      </c>
      <c r="F525" t="str">
        <f t="shared" si="8"/>
        <v>Central</v>
      </c>
      <c r="G525" t="s">
        <v>306</v>
      </c>
      <c r="H525" t="s">
        <v>36</v>
      </c>
      <c r="I525">
        <v>12</v>
      </c>
    </row>
    <row r="526" spans="1:9" ht="21.75" customHeight="1">
      <c r="A526" t="s">
        <v>674</v>
      </c>
      <c r="B526" s="3">
        <v>45493</v>
      </c>
      <c r="C526" t="s">
        <v>339</v>
      </c>
      <c r="D526" t="s">
        <v>96</v>
      </c>
      <c r="E526" t="s">
        <v>11</v>
      </c>
      <c r="F526" t="str">
        <f t="shared" si="8"/>
        <v>South</v>
      </c>
      <c r="G526" t="s">
        <v>56</v>
      </c>
      <c r="H526" t="s">
        <v>23</v>
      </c>
      <c r="I526">
        <v>1</v>
      </c>
    </row>
    <row r="527" spans="1:9" ht="21.75" customHeight="1">
      <c r="A527" t="s">
        <v>675</v>
      </c>
      <c r="B527" s="3">
        <v>45636</v>
      </c>
      <c r="C527" t="s">
        <v>329</v>
      </c>
      <c r="D527" t="s">
        <v>174</v>
      </c>
      <c r="E527" t="s">
        <v>22</v>
      </c>
      <c r="F527" t="str">
        <f t="shared" si="8"/>
        <v>West</v>
      </c>
      <c r="G527" t="s">
        <v>27</v>
      </c>
      <c r="H527" t="s">
        <v>28</v>
      </c>
      <c r="I527">
        <v>13</v>
      </c>
    </row>
    <row r="528" spans="1:9" ht="21.75" customHeight="1">
      <c r="A528" t="s">
        <v>676</v>
      </c>
      <c r="B528" s="3">
        <v>45527</v>
      </c>
      <c r="C528" t="s">
        <v>20</v>
      </c>
      <c r="D528" t="s">
        <v>65</v>
      </c>
      <c r="E528" t="s">
        <v>11</v>
      </c>
      <c r="F528" t="str">
        <f t="shared" si="8"/>
        <v>East</v>
      </c>
      <c r="G528" t="s">
        <v>42</v>
      </c>
      <c r="H528" t="s">
        <v>23</v>
      </c>
      <c r="I528">
        <v>4</v>
      </c>
    </row>
    <row r="529" spans="1:9" ht="21.75" customHeight="1">
      <c r="A529" t="s">
        <v>677</v>
      </c>
      <c r="B529" s="3">
        <v>45606</v>
      </c>
      <c r="C529" t="s">
        <v>337</v>
      </c>
      <c r="D529" t="s">
        <v>65</v>
      </c>
      <c r="E529" t="s">
        <v>11</v>
      </c>
      <c r="F529" t="str">
        <f t="shared" si="8"/>
        <v>South</v>
      </c>
      <c r="G529" t="s">
        <v>56</v>
      </c>
      <c r="H529" t="s">
        <v>13</v>
      </c>
      <c r="I529">
        <v>3</v>
      </c>
    </row>
    <row r="530" spans="1:9" ht="21.75" customHeight="1">
      <c r="A530" t="s">
        <v>678</v>
      </c>
      <c r="B530" s="3">
        <v>45520</v>
      </c>
      <c r="C530" t="s">
        <v>327</v>
      </c>
      <c r="D530" t="s">
        <v>197</v>
      </c>
      <c r="E530" t="s">
        <v>22</v>
      </c>
      <c r="F530" t="str">
        <f t="shared" si="8"/>
        <v>North</v>
      </c>
      <c r="G530" t="s">
        <v>12</v>
      </c>
      <c r="H530" t="s">
        <v>28</v>
      </c>
      <c r="I530">
        <v>2</v>
      </c>
    </row>
    <row r="531" spans="1:9" ht="21.75" customHeight="1">
      <c r="A531" t="s">
        <v>679</v>
      </c>
      <c r="B531" s="3">
        <v>45568</v>
      </c>
      <c r="C531" t="s">
        <v>133</v>
      </c>
      <c r="D531" t="s">
        <v>160</v>
      </c>
      <c r="E531" t="s">
        <v>11</v>
      </c>
      <c r="F531" t="str">
        <f t="shared" si="8"/>
        <v>South</v>
      </c>
      <c r="G531" t="s">
        <v>56</v>
      </c>
      <c r="H531" t="s">
        <v>36</v>
      </c>
      <c r="I531">
        <v>10</v>
      </c>
    </row>
    <row r="532" spans="1:9" ht="21.75" customHeight="1">
      <c r="A532" t="s">
        <v>680</v>
      </c>
      <c r="B532" s="3">
        <v>45455</v>
      </c>
      <c r="C532" t="s">
        <v>314</v>
      </c>
      <c r="D532" t="s">
        <v>197</v>
      </c>
      <c r="E532" t="s">
        <v>22</v>
      </c>
      <c r="F532" t="str">
        <f t="shared" si="8"/>
        <v>East</v>
      </c>
      <c r="G532" t="s">
        <v>42</v>
      </c>
      <c r="H532" t="s">
        <v>36</v>
      </c>
      <c r="I532">
        <v>10</v>
      </c>
    </row>
    <row r="533" spans="1:9" ht="21.75" customHeight="1">
      <c r="A533" t="s">
        <v>681</v>
      </c>
      <c r="B533" s="3">
        <v>45405</v>
      </c>
      <c r="C533" t="s">
        <v>408</v>
      </c>
      <c r="D533" t="s">
        <v>79</v>
      </c>
      <c r="E533" t="s">
        <v>17</v>
      </c>
      <c r="F533" t="str">
        <f t="shared" si="8"/>
        <v>East</v>
      </c>
      <c r="G533" t="s">
        <v>42</v>
      </c>
      <c r="H533" t="s">
        <v>28</v>
      </c>
      <c r="I533">
        <v>18</v>
      </c>
    </row>
    <row r="534" spans="1:9" ht="21.75" customHeight="1">
      <c r="A534" t="s">
        <v>682</v>
      </c>
      <c r="B534" s="3">
        <v>45612</v>
      </c>
      <c r="C534" t="s">
        <v>422</v>
      </c>
      <c r="D534" t="s">
        <v>35</v>
      </c>
      <c r="E534" t="s">
        <v>17</v>
      </c>
      <c r="F534" t="str">
        <f t="shared" si="8"/>
        <v>Central</v>
      </c>
      <c r="G534" t="s">
        <v>306</v>
      </c>
      <c r="H534" t="s">
        <v>23</v>
      </c>
      <c r="I534">
        <v>2</v>
      </c>
    </row>
    <row r="535" spans="1:9" ht="21.75" customHeight="1">
      <c r="A535" t="s">
        <v>683</v>
      </c>
      <c r="B535" s="3">
        <v>45560</v>
      </c>
      <c r="C535" t="s">
        <v>38</v>
      </c>
      <c r="D535" t="s">
        <v>87</v>
      </c>
      <c r="E535" t="s">
        <v>22</v>
      </c>
      <c r="F535" t="str">
        <f t="shared" si="8"/>
        <v>West</v>
      </c>
      <c r="G535" t="s">
        <v>27</v>
      </c>
      <c r="H535" t="s">
        <v>28</v>
      </c>
      <c r="I535">
        <v>5</v>
      </c>
    </row>
    <row r="536" spans="1:9" ht="21.75" customHeight="1">
      <c r="A536" t="s">
        <v>684</v>
      </c>
      <c r="B536" s="3">
        <v>45567</v>
      </c>
      <c r="C536" t="s">
        <v>553</v>
      </c>
      <c r="D536" t="s">
        <v>74</v>
      </c>
      <c r="E536" t="s">
        <v>11</v>
      </c>
      <c r="F536" t="str">
        <f t="shared" si="8"/>
        <v>South</v>
      </c>
      <c r="G536" t="s">
        <v>56</v>
      </c>
      <c r="H536" t="s">
        <v>13</v>
      </c>
      <c r="I536">
        <v>5</v>
      </c>
    </row>
    <row r="537" spans="1:9" ht="21.75" customHeight="1">
      <c r="A537" t="s">
        <v>685</v>
      </c>
      <c r="B537" s="3">
        <v>45579</v>
      </c>
      <c r="C537" t="s">
        <v>408</v>
      </c>
      <c r="D537" t="s">
        <v>160</v>
      </c>
      <c r="E537" t="s">
        <v>17</v>
      </c>
      <c r="F537" t="str">
        <f t="shared" si="8"/>
        <v>Central</v>
      </c>
      <c r="G537" t="s">
        <v>306</v>
      </c>
      <c r="H537" t="s">
        <v>32</v>
      </c>
      <c r="I537">
        <v>5</v>
      </c>
    </row>
    <row r="538" spans="1:9" ht="21.75" customHeight="1">
      <c r="A538" t="s">
        <v>686</v>
      </c>
      <c r="B538" s="3">
        <v>45396</v>
      </c>
      <c r="C538" t="s">
        <v>118</v>
      </c>
      <c r="D538" t="s">
        <v>70</v>
      </c>
      <c r="E538" t="s">
        <v>22</v>
      </c>
      <c r="F538" t="str">
        <f t="shared" si="8"/>
        <v>North</v>
      </c>
      <c r="G538" t="s">
        <v>12</v>
      </c>
      <c r="H538" t="s">
        <v>28</v>
      </c>
      <c r="I538">
        <v>12</v>
      </c>
    </row>
    <row r="539" spans="1:9" ht="21.75" customHeight="1">
      <c r="A539" t="s">
        <v>687</v>
      </c>
      <c r="B539" s="3">
        <v>45318</v>
      </c>
      <c r="C539" t="s">
        <v>101</v>
      </c>
      <c r="D539" t="s">
        <v>109</v>
      </c>
      <c r="E539" t="s">
        <v>17</v>
      </c>
      <c r="F539" t="str">
        <f t="shared" si="8"/>
        <v>Central</v>
      </c>
      <c r="G539" t="s">
        <v>306</v>
      </c>
      <c r="H539" t="s">
        <v>28</v>
      </c>
      <c r="I539">
        <v>2</v>
      </c>
    </row>
    <row r="540" spans="1:9" ht="21.75" customHeight="1">
      <c r="A540" t="s">
        <v>688</v>
      </c>
      <c r="B540" s="3">
        <v>45592</v>
      </c>
      <c r="C540" t="s">
        <v>329</v>
      </c>
      <c r="D540" t="s">
        <v>65</v>
      </c>
      <c r="E540" t="s">
        <v>22</v>
      </c>
      <c r="F540" t="str">
        <f t="shared" si="8"/>
        <v>Central</v>
      </c>
      <c r="G540" t="s">
        <v>306</v>
      </c>
      <c r="H540" t="s">
        <v>32</v>
      </c>
      <c r="I540">
        <v>16</v>
      </c>
    </row>
    <row r="541" spans="1:9" ht="21.75" customHeight="1">
      <c r="A541" t="s">
        <v>689</v>
      </c>
      <c r="B541" s="3">
        <v>45447</v>
      </c>
      <c r="C541" t="s">
        <v>142</v>
      </c>
      <c r="D541" t="s">
        <v>84</v>
      </c>
      <c r="E541" t="s">
        <v>11</v>
      </c>
      <c r="F541" t="str">
        <f t="shared" si="8"/>
        <v>South</v>
      </c>
      <c r="G541" t="s">
        <v>56</v>
      </c>
      <c r="H541" t="s">
        <v>23</v>
      </c>
      <c r="I541">
        <v>4</v>
      </c>
    </row>
    <row r="542" spans="1:9" ht="21.75" customHeight="1">
      <c r="A542" t="s">
        <v>690</v>
      </c>
      <c r="B542" s="3">
        <v>45416</v>
      </c>
      <c r="C542" t="s">
        <v>424</v>
      </c>
      <c r="D542" t="s">
        <v>31</v>
      </c>
      <c r="E542" t="s">
        <v>22</v>
      </c>
      <c r="F542" t="str">
        <f t="shared" si="8"/>
        <v>South</v>
      </c>
      <c r="G542" t="s">
        <v>56</v>
      </c>
      <c r="H542" t="s">
        <v>32</v>
      </c>
      <c r="I542">
        <v>8</v>
      </c>
    </row>
    <row r="543" spans="1:9" ht="21.75" customHeight="1">
      <c r="A543" t="s">
        <v>691</v>
      </c>
      <c r="B543" s="3">
        <v>45486</v>
      </c>
      <c r="C543" t="s">
        <v>319</v>
      </c>
      <c r="D543" t="s">
        <v>74</v>
      </c>
      <c r="E543" t="s">
        <v>22</v>
      </c>
      <c r="F543" t="str">
        <f t="shared" si="8"/>
        <v>East</v>
      </c>
      <c r="G543" t="s">
        <v>42</v>
      </c>
      <c r="H543" t="s">
        <v>23</v>
      </c>
      <c r="I543">
        <v>9</v>
      </c>
    </row>
    <row r="544" spans="1:9" ht="21.75" customHeight="1">
      <c r="A544" t="s">
        <v>692</v>
      </c>
      <c r="B544" s="3">
        <v>45530</v>
      </c>
      <c r="C544" t="s">
        <v>108</v>
      </c>
      <c r="D544" t="s">
        <v>119</v>
      </c>
      <c r="E544" t="s">
        <v>22</v>
      </c>
      <c r="F544" t="str">
        <f t="shared" si="8"/>
        <v>West</v>
      </c>
      <c r="G544" t="s">
        <v>27</v>
      </c>
      <c r="H544" t="s">
        <v>32</v>
      </c>
      <c r="I544">
        <v>11</v>
      </c>
    </row>
    <row r="545" spans="1:9" ht="21.75" customHeight="1">
      <c r="A545" t="s">
        <v>693</v>
      </c>
      <c r="B545" s="3">
        <v>45452</v>
      </c>
      <c r="C545" t="s">
        <v>408</v>
      </c>
      <c r="D545" t="s">
        <v>197</v>
      </c>
      <c r="E545" t="s">
        <v>11</v>
      </c>
      <c r="F545" t="str">
        <f t="shared" si="8"/>
        <v>Central</v>
      </c>
      <c r="G545" t="s">
        <v>306</v>
      </c>
      <c r="H545" t="s">
        <v>36</v>
      </c>
      <c r="I545">
        <v>5</v>
      </c>
    </row>
    <row r="546" spans="1:9" ht="21.75" customHeight="1">
      <c r="A546" t="s">
        <v>694</v>
      </c>
      <c r="B546" s="3">
        <v>45591</v>
      </c>
      <c r="C546" t="s">
        <v>361</v>
      </c>
      <c r="D546" t="s">
        <v>74</v>
      </c>
      <c r="E546" t="s">
        <v>22</v>
      </c>
      <c r="F546" t="str">
        <f t="shared" si="8"/>
        <v>West</v>
      </c>
      <c r="G546" t="s">
        <v>27</v>
      </c>
      <c r="H546" t="s">
        <v>28</v>
      </c>
      <c r="I546">
        <v>5</v>
      </c>
    </row>
    <row r="547" spans="1:9" ht="21.75" customHeight="1">
      <c r="A547" t="s">
        <v>695</v>
      </c>
      <c r="B547" s="3">
        <v>45486</v>
      </c>
      <c r="C547" t="s">
        <v>614</v>
      </c>
      <c r="D547" t="s">
        <v>174</v>
      </c>
      <c r="E547" t="s">
        <v>11</v>
      </c>
      <c r="F547" t="str">
        <f t="shared" si="8"/>
        <v>West</v>
      </c>
      <c r="G547" t="s">
        <v>27</v>
      </c>
      <c r="H547" t="s">
        <v>23</v>
      </c>
      <c r="I547">
        <v>11</v>
      </c>
    </row>
    <row r="548" spans="1:9" ht="21.75" customHeight="1">
      <c r="A548" t="s">
        <v>696</v>
      </c>
      <c r="B548" s="3">
        <v>45620</v>
      </c>
      <c r="C548" t="s">
        <v>304</v>
      </c>
      <c r="D548" t="s">
        <v>45</v>
      </c>
      <c r="E548" t="s">
        <v>17</v>
      </c>
      <c r="F548" t="str">
        <f t="shared" si="8"/>
        <v>West</v>
      </c>
      <c r="G548" t="s">
        <v>27</v>
      </c>
      <c r="H548" t="s">
        <v>36</v>
      </c>
      <c r="I548">
        <v>12</v>
      </c>
    </row>
    <row r="549" spans="1:9" ht="21.75" customHeight="1">
      <c r="A549" t="s">
        <v>697</v>
      </c>
      <c r="B549" s="3">
        <v>45542</v>
      </c>
      <c r="C549" t="s">
        <v>44</v>
      </c>
      <c r="D549" t="s">
        <v>160</v>
      </c>
      <c r="E549" t="s">
        <v>22</v>
      </c>
      <c r="F549" t="str">
        <f t="shared" si="8"/>
        <v>North</v>
      </c>
      <c r="G549" t="s">
        <v>12</v>
      </c>
      <c r="H549" t="s">
        <v>13</v>
      </c>
      <c r="I549">
        <v>2</v>
      </c>
    </row>
    <row r="550" spans="1:9" ht="21.75" customHeight="1">
      <c r="A550" t="s">
        <v>698</v>
      </c>
      <c r="B550" s="3">
        <v>45634</v>
      </c>
      <c r="C550" t="s">
        <v>9</v>
      </c>
      <c r="D550" t="s">
        <v>16</v>
      </c>
      <c r="E550" t="s">
        <v>11</v>
      </c>
      <c r="F550" t="str">
        <f t="shared" si="8"/>
        <v>West</v>
      </c>
      <c r="G550" t="s">
        <v>27</v>
      </c>
      <c r="H550" t="s">
        <v>28</v>
      </c>
      <c r="I550">
        <v>8</v>
      </c>
    </row>
    <row r="551" spans="1:9" ht="21.75" customHeight="1">
      <c r="A551" t="s">
        <v>699</v>
      </c>
      <c r="B551" s="3">
        <v>45296</v>
      </c>
      <c r="C551" t="s">
        <v>133</v>
      </c>
      <c r="D551" t="s">
        <v>48</v>
      </c>
      <c r="E551" t="s">
        <v>22</v>
      </c>
      <c r="F551" t="str">
        <f t="shared" si="8"/>
        <v>West</v>
      </c>
      <c r="G551" t="s">
        <v>27</v>
      </c>
      <c r="H551" t="s">
        <v>36</v>
      </c>
      <c r="I551">
        <v>2</v>
      </c>
    </row>
    <row r="552" spans="1:9" ht="21.75" customHeight="1">
      <c r="A552" t="s">
        <v>700</v>
      </c>
      <c r="B552" s="3">
        <v>45539</v>
      </c>
      <c r="C552" t="s">
        <v>371</v>
      </c>
      <c r="D552" t="s">
        <v>96</v>
      </c>
      <c r="E552" t="s">
        <v>17</v>
      </c>
      <c r="F552" t="str">
        <f t="shared" si="8"/>
        <v>North</v>
      </c>
      <c r="G552" t="s">
        <v>12</v>
      </c>
      <c r="H552" t="s">
        <v>13</v>
      </c>
      <c r="I552">
        <v>18</v>
      </c>
    </row>
    <row r="553" spans="1:9" ht="21.75" customHeight="1">
      <c r="A553" t="s">
        <v>701</v>
      </c>
      <c r="B553" s="3">
        <v>45300</v>
      </c>
      <c r="C553" t="s">
        <v>339</v>
      </c>
      <c r="D553" t="s">
        <v>174</v>
      </c>
      <c r="E553" t="s">
        <v>22</v>
      </c>
      <c r="F553" t="str">
        <f t="shared" si="8"/>
        <v>East</v>
      </c>
      <c r="G553" t="s">
        <v>42</v>
      </c>
      <c r="H553" t="s">
        <v>23</v>
      </c>
      <c r="I553">
        <v>10</v>
      </c>
    </row>
    <row r="554" spans="1:9" ht="21.75" customHeight="1">
      <c r="A554" t="s">
        <v>702</v>
      </c>
      <c r="B554" s="3">
        <v>45383</v>
      </c>
      <c r="C554" t="s">
        <v>15</v>
      </c>
      <c r="D554" t="s">
        <v>16</v>
      </c>
      <c r="E554" t="s">
        <v>11</v>
      </c>
      <c r="F554" t="str">
        <f t="shared" si="8"/>
        <v>Central</v>
      </c>
      <c r="G554" t="s">
        <v>306</v>
      </c>
      <c r="H554" t="s">
        <v>36</v>
      </c>
      <c r="I554">
        <v>8</v>
      </c>
    </row>
    <row r="555" spans="1:9" ht="21.75" customHeight="1">
      <c r="A555" t="s">
        <v>703</v>
      </c>
      <c r="B555" s="3">
        <v>45421</v>
      </c>
      <c r="C555" t="s">
        <v>182</v>
      </c>
      <c r="D555" t="s">
        <v>10</v>
      </c>
      <c r="E555" t="s">
        <v>17</v>
      </c>
      <c r="F555" t="str">
        <f t="shared" si="8"/>
        <v>West</v>
      </c>
      <c r="G555" t="s">
        <v>27</v>
      </c>
      <c r="H555" t="s">
        <v>23</v>
      </c>
      <c r="I555">
        <v>12</v>
      </c>
    </row>
    <row r="556" spans="1:9" ht="21.75" customHeight="1">
      <c r="A556" t="s">
        <v>704</v>
      </c>
      <c r="B556" s="3">
        <v>45581</v>
      </c>
      <c r="C556" t="s">
        <v>78</v>
      </c>
      <c r="D556" t="s">
        <v>74</v>
      </c>
      <c r="E556" t="s">
        <v>22</v>
      </c>
      <c r="F556" t="str">
        <f t="shared" si="8"/>
        <v>South</v>
      </c>
      <c r="G556" t="s">
        <v>56</v>
      </c>
      <c r="H556" t="s">
        <v>13</v>
      </c>
      <c r="I556">
        <v>3</v>
      </c>
    </row>
    <row r="557" spans="1:9" ht="21.75" customHeight="1">
      <c r="A557" t="s">
        <v>705</v>
      </c>
      <c r="B557" s="3">
        <v>45339</v>
      </c>
      <c r="C557" t="s">
        <v>341</v>
      </c>
      <c r="D557" t="s">
        <v>174</v>
      </c>
      <c r="E557" t="s">
        <v>17</v>
      </c>
      <c r="F557" t="str">
        <f t="shared" si="8"/>
        <v>West</v>
      </c>
      <c r="G557" t="s">
        <v>27</v>
      </c>
      <c r="H557" t="s">
        <v>13</v>
      </c>
      <c r="I557">
        <v>16</v>
      </c>
    </row>
    <row r="558" spans="1:9" ht="21.75" customHeight="1">
      <c r="A558" t="s">
        <v>706</v>
      </c>
      <c r="B558" s="3">
        <v>45651</v>
      </c>
      <c r="C558" t="s">
        <v>30</v>
      </c>
      <c r="D558" t="s">
        <v>87</v>
      </c>
      <c r="E558" t="s">
        <v>11</v>
      </c>
      <c r="F558" t="str">
        <f t="shared" si="8"/>
        <v>West</v>
      </c>
      <c r="G558" t="s">
        <v>27</v>
      </c>
      <c r="H558" t="s">
        <v>13</v>
      </c>
      <c r="I558">
        <v>11</v>
      </c>
    </row>
    <row r="559" spans="1:9" ht="21.75" customHeight="1">
      <c r="A559" t="s">
        <v>707</v>
      </c>
      <c r="B559" s="3">
        <v>45562</v>
      </c>
      <c r="C559" t="s">
        <v>116</v>
      </c>
      <c r="D559" t="s">
        <v>62</v>
      </c>
      <c r="E559" t="s">
        <v>11</v>
      </c>
      <c r="F559" t="str">
        <f t="shared" si="8"/>
        <v>South</v>
      </c>
      <c r="G559" t="s">
        <v>56</v>
      </c>
      <c r="H559" t="s">
        <v>13</v>
      </c>
      <c r="I559">
        <v>19</v>
      </c>
    </row>
    <row r="560" spans="1:9" ht="21.75" customHeight="1">
      <c r="A560" t="s">
        <v>708</v>
      </c>
      <c r="B560" s="3">
        <v>45330</v>
      </c>
      <c r="C560" t="s">
        <v>455</v>
      </c>
      <c r="D560" t="s">
        <v>59</v>
      </c>
      <c r="E560" t="s">
        <v>17</v>
      </c>
      <c r="F560" t="str">
        <f t="shared" si="8"/>
        <v>Central</v>
      </c>
      <c r="G560" t="s">
        <v>306</v>
      </c>
      <c r="H560" t="s">
        <v>32</v>
      </c>
      <c r="I560">
        <v>2</v>
      </c>
    </row>
    <row r="561" spans="1:9" ht="21.75" customHeight="1">
      <c r="A561" t="s">
        <v>709</v>
      </c>
      <c r="B561" s="3">
        <v>45300</v>
      </c>
      <c r="C561" t="s">
        <v>95</v>
      </c>
      <c r="D561" t="s">
        <v>119</v>
      </c>
      <c r="E561" t="s">
        <v>22</v>
      </c>
      <c r="F561" t="str">
        <f t="shared" si="8"/>
        <v>South</v>
      </c>
      <c r="G561" t="s">
        <v>56</v>
      </c>
      <c r="H561" t="s">
        <v>32</v>
      </c>
      <c r="I561">
        <v>13</v>
      </c>
    </row>
    <row r="562" spans="1:9" ht="21.75" customHeight="1">
      <c r="A562" t="s">
        <v>710</v>
      </c>
      <c r="B562" s="3">
        <v>45375</v>
      </c>
      <c r="C562" t="s">
        <v>614</v>
      </c>
      <c r="D562" t="s">
        <v>31</v>
      </c>
      <c r="E562" t="s">
        <v>11</v>
      </c>
      <c r="F562" t="str">
        <f t="shared" si="8"/>
        <v>Central</v>
      </c>
      <c r="G562" t="s">
        <v>306</v>
      </c>
      <c r="H562" t="s">
        <v>28</v>
      </c>
      <c r="I562">
        <v>18</v>
      </c>
    </row>
    <row r="563" spans="1:9" ht="21.75" customHeight="1">
      <c r="A563" t="s">
        <v>711</v>
      </c>
      <c r="B563" s="3">
        <v>45644</v>
      </c>
      <c r="C563" t="s">
        <v>329</v>
      </c>
      <c r="D563" t="s">
        <v>84</v>
      </c>
      <c r="E563" t="s">
        <v>11</v>
      </c>
      <c r="F563" t="str">
        <f t="shared" si="8"/>
        <v>Central</v>
      </c>
      <c r="G563" t="s">
        <v>306</v>
      </c>
      <c r="H563" t="s">
        <v>23</v>
      </c>
      <c r="I563">
        <v>12</v>
      </c>
    </row>
    <row r="564" spans="1:9" ht="21.75" customHeight="1">
      <c r="A564" t="s">
        <v>712</v>
      </c>
      <c r="B564" s="3">
        <v>45410</v>
      </c>
      <c r="C564" t="s">
        <v>208</v>
      </c>
      <c r="D564" t="s">
        <v>119</v>
      </c>
      <c r="E564" t="s">
        <v>17</v>
      </c>
      <c r="F564" t="str">
        <f t="shared" si="8"/>
        <v>Central</v>
      </c>
      <c r="G564" t="s">
        <v>306</v>
      </c>
      <c r="H564" t="s">
        <v>23</v>
      </c>
      <c r="I564">
        <v>20</v>
      </c>
    </row>
    <row r="565" spans="1:9" ht="21.75" customHeight="1">
      <c r="A565" t="s">
        <v>713</v>
      </c>
      <c r="B565" s="3">
        <v>45459</v>
      </c>
      <c r="C565" t="s">
        <v>64</v>
      </c>
      <c r="D565" t="s">
        <v>70</v>
      </c>
      <c r="E565" t="s">
        <v>22</v>
      </c>
      <c r="F565" t="str">
        <f t="shared" si="8"/>
        <v>East</v>
      </c>
      <c r="G565" t="s">
        <v>42</v>
      </c>
      <c r="H565" t="s">
        <v>36</v>
      </c>
      <c r="I565">
        <v>16</v>
      </c>
    </row>
    <row r="566" spans="1:9" ht="21.75" customHeight="1">
      <c r="A566" t="s">
        <v>714</v>
      </c>
      <c r="B566" s="3">
        <v>45484</v>
      </c>
      <c r="C566" t="s">
        <v>348</v>
      </c>
      <c r="D566" t="s">
        <v>41</v>
      </c>
      <c r="E566" t="s">
        <v>11</v>
      </c>
      <c r="F566" t="str">
        <f t="shared" si="8"/>
        <v>Central</v>
      </c>
      <c r="G566" t="s">
        <v>306</v>
      </c>
      <c r="H566" t="s">
        <v>36</v>
      </c>
      <c r="I566">
        <v>13</v>
      </c>
    </row>
    <row r="567" spans="1:9" ht="21.75" customHeight="1">
      <c r="A567" t="s">
        <v>715</v>
      </c>
      <c r="B567" s="3">
        <v>45443</v>
      </c>
      <c r="C567" t="s">
        <v>78</v>
      </c>
      <c r="D567" t="s">
        <v>10</v>
      </c>
      <c r="E567" t="s">
        <v>22</v>
      </c>
      <c r="F567" t="str">
        <f t="shared" si="8"/>
        <v>North</v>
      </c>
      <c r="G567" t="s">
        <v>12</v>
      </c>
      <c r="H567" t="s">
        <v>28</v>
      </c>
      <c r="I567">
        <v>9</v>
      </c>
    </row>
    <row r="568" spans="1:9" ht="21.75" customHeight="1">
      <c r="A568" t="s">
        <v>716</v>
      </c>
      <c r="B568" s="3">
        <v>45491</v>
      </c>
      <c r="C568" t="s">
        <v>38</v>
      </c>
      <c r="D568" t="s">
        <v>10</v>
      </c>
      <c r="E568" t="s">
        <v>17</v>
      </c>
      <c r="F568" t="str">
        <f t="shared" si="8"/>
        <v>North</v>
      </c>
      <c r="G568" t="s">
        <v>12</v>
      </c>
      <c r="H568" t="s">
        <v>23</v>
      </c>
      <c r="I568">
        <v>1</v>
      </c>
    </row>
    <row r="569" spans="1:9" ht="21.75" customHeight="1">
      <c r="A569" t="s">
        <v>717</v>
      </c>
      <c r="B569" s="3">
        <v>45476</v>
      </c>
      <c r="C569" t="s">
        <v>332</v>
      </c>
      <c r="D569" t="s">
        <v>16</v>
      </c>
      <c r="E569" t="s">
        <v>17</v>
      </c>
      <c r="F569" t="str">
        <f t="shared" si="8"/>
        <v>North</v>
      </c>
      <c r="G569" t="s">
        <v>12</v>
      </c>
      <c r="H569" t="s">
        <v>23</v>
      </c>
      <c r="I569">
        <v>3</v>
      </c>
    </row>
    <row r="570" spans="1:9" ht="21.75" customHeight="1">
      <c r="A570" t="s">
        <v>718</v>
      </c>
      <c r="B570" s="3">
        <v>45577</v>
      </c>
      <c r="C570" t="s">
        <v>642</v>
      </c>
      <c r="D570" t="s">
        <v>102</v>
      </c>
      <c r="E570" t="s">
        <v>22</v>
      </c>
      <c r="F570" t="str">
        <f t="shared" si="8"/>
        <v>West</v>
      </c>
      <c r="G570" t="s">
        <v>27</v>
      </c>
      <c r="H570" t="s">
        <v>36</v>
      </c>
      <c r="I570">
        <v>1</v>
      </c>
    </row>
    <row r="571" spans="1:9" ht="21.75" customHeight="1">
      <c r="A571" t="s">
        <v>719</v>
      </c>
      <c r="B571" s="3">
        <v>45339</v>
      </c>
      <c r="C571" t="s">
        <v>327</v>
      </c>
      <c r="D571" t="s">
        <v>31</v>
      </c>
      <c r="E571" t="s">
        <v>22</v>
      </c>
      <c r="F571" t="str">
        <f t="shared" si="8"/>
        <v>East</v>
      </c>
      <c r="G571" t="s">
        <v>42</v>
      </c>
      <c r="H571" t="s">
        <v>23</v>
      </c>
      <c r="I571">
        <v>1</v>
      </c>
    </row>
    <row r="572" spans="1:9" ht="21.75" customHeight="1">
      <c r="A572" t="s">
        <v>720</v>
      </c>
      <c r="B572" s="3">
        <v>45335</v>
      </c>
      <c r="C572" t="s">
        <v>329</v>
      </c>
      <c r="D572" t="s">
        <v>59</v>
      </c>
      <c r="E572" t="s">
        <v>22</v>
      </c>
      <c r="F572" t="str">
        <f t="shared" si="8"/>
        <v>South</v>
      </c>
      <c r="G572" t="s">
        <v>56</v>
      </c>
      <c r="H572" t="s">
        <v>23</v>
      </c>
      <c r="I572">
        <v>17</v>
      </c>
    </row>
    <row r="573" spans="1:9" ht="21.75" customHeight="1">
      <c r="A573" t="s">
        <v>721</v>
      </c>
      <c r="B573" s="3">
        <v>45378</v>
      </c>
      <c r="C573" t="s">
        <v>99</v>
      </c>
      <c r="D573" t="s">
        <v>26</v>
      </c>
      <c r="E573" t="s">
        <v>17</v>
      </c>
      <c r="F573" t="str">
        <f t="shared" si="8"/>
        <v>East</v>
      </c>
      <c r="G573" t="s">
        <v>42</v>
      </c>
      <c r="H573" t="s">
        <v>28</v>
      </c>
      <c r="I573">
        <v>16</v>
      </c>
    </row>
    <row r="574" spans="1:9" ht="21.75" customHeight="1">
      <c r="A574" t="s">
        <v>722</v>
      </c>
      <c r="B574" s="3">
        <v>45514</v>
      </c>
      <c r="C574" t="s">
        <v>89</v>
      </c>
      <c r="D574" t="s">
        <v>35</v>
      </c>
      <c r="E574" t="s">
        <v>17</v>
      </c>
      <c r="F574" t="str">
        <f t="shared" si="8"/>
        <v>East</v>
      </c>
      <c r="G574" t="s">
        <v>42</v>
      </c>
      <c r="H574" t="s">
        <v>28</v>
      </c>
      <c r="I574">
        <v>3</v>
      </c>
    </row>
    <row r="575" spans="1:9" ht="21.75" customHeight="1">
      <c r="A575" t="s">
        <v>723</v>
      </c>
      <c r="B575" s="3">
        <v>45612</v>
      </c>
      <c r="C575" t="s">
        <v>432</v>
      </c>
      <c r="D575" t="s">
        <v>65</v>
      </c>
      <c r="E575" t="s">
        <v>22</v>
      </c>
      <c r="F575" t="str">
        <f t="shared" si="8"/>
        <v>Central</v>
      </c>
      <c r="G575" t="s">
        <v>306</v>
      </c>
      <c r="H575" t="s">
        <v>32</v>
      </c>
      <c r="I575">
        <v>15</v>
      </c>
    </row>
    <row r="576" spans="1:9" ht="21.75" customHeight="1">
      <c r="A576" t="s">
        <v>724</v>
      </c>
      <c r="B576" s="3">
        <v>45295</v>
      </c>
      <c r="C576" t="s">
        <v>106</v>
      </c>
      <c r="D576" t="s">
        <v>31</v>
      </c>
      <c r="E576" t="s">
        <v>17</v>
      </c>
      <c r="F576" t="str">
        <f t="shared" si="8"/>
        <v>Central</v>
      </c>
      <c r="G576" t="s">
        <v>306</v>
      </c>
      <c r="H576" t="s">
        <v>23</v>
      </c>
      <c r="I576">
        <v>11</v>
      </c>
    </row>
    <row r="577" spans="1:9" ht="21.75" customHeight="1">
      <c r="A577" t="s">
        <v>725</v>
      </c>
      <c r="B577" s="3">
        <v>45625</v>
      </c>
      <c r="C577" t="s">
        <v>327</v>
      </c>
      <c r="D577" t="s">
        <v>72</v>
      </c>
      <c r="E577" t="s">
        <v>11</v>
      </c>
      <c r="F577" t="str">
        <f t="shared" si="8"/>
        <v>East</v>
      </c>
      <c r="G577" t="s">
        <v>42</v>
      </c>
      <c r="H577" t="s">
        <v>28</v>
      </c>
      <c r="I577">
        <v>20</v>
      </c>
    </row>
    <row r="578" spans="1:9" ht="21.75" customHeight="1">
      <c r="A578" t="s">
        <v>726</v>
      </c>
      <c r="B578" s="3">
        <v>45537</v>
      </c>
      <c r="C578" t="s">
        <v>38</v>
      </c>
      <c r="D578" t="s">
        <v>72</v>
      </c>
      <c r="E578" t="s">
        <v>11</v>
      </c>
      <c r="F578" t="str">
        <f t="shared" si="8"/>
        <v>West</v>
      </c>
      <c r="G578" t="s">
        <v>27</v>
      </c>
      <c r="H578" t="s">
        <v>23</v>
      </c>
      <c r="I578">
        <v>10</v>
      </c>
    </row>
    <row r="579" spans="1:9" ht="21.75" customHeight="1">
      <c r="A579" t="s">
        <v>727</v>
      </c>
      <c r="B579" s="3">
        <v>45586</v>
      </c>
      <c r="C579" t="s">
        <v>728</v>
      </c>
      <c r="D579" t="s">
        <v>31</v>
      </c>
      <c r="E579" t="s">
        <v>11</v>
      </c>
      <c r="F579" t="str">
        <f t="shared" ref="F579:F642" si="9">TRIM(PROPER(G579))</f>
        <v>East</v>
      </c>
      <c r="G579" t="s">
        <v>42</v>
      </c>
      <c r="H579" t="s">
        <v>23</v>
      </c>
      <c r="I579">
        <v>9</v>
      </c>
    </row>
    <row r="580" spans="1:9" ht="21.75" customHeight="1">
      <c r="A580" t="s">
        <v>729</v>
      </c>
      <c r="B580" s="3">
        <v>45478</v>
      </c>
      <c r="C580" t="s">
        <v>40</v>
      </c>
      <c r="D580" t="s">
        <v>59</v>
      </c>
      <c r="E580" t="s">
        <v>22</v>
      </c>
      <c r="F580" t="str">
        <f t="shared" si="9"/>
        <v>South</v>
      </c>
      <c r="G580" t="s">
        <v>56</v>
      </c>
      <c r="H580" t="s">
        <v>36</v>
      </c>
      <c r="I580">
        <v>18</v>
      </c>
    </row>
    <row r="581" spans="1:9" ht="21.75" customHeight="1">
      <c r="A581" t="s">
        <v>730</v>
      </c>
      <c r="B581" s="3">
        <v>45305</v>
      </c>
      <c r="C581" t="s">
        <v>388</v>
      </c>
      <c r="D581" t="s">
        <v>70</v>
      </c>
      <c r="E581" t="s">
        <v>17</v>
      </c>
      <c r="F581" t="str">
        <f t="shared" si="9"/>
        <v>South</v>
      </c>
      <c r="G581" t="s">
        <v>56</v>
      </c>
      <c r="H581" t="s">
        <v>13</v>
      </c>
      <c r="I581">
        <v>10</v>
      </c>
    </row>
    <row r="582" spans="1:9" ht="21.75" customHeight="1">
      <c r="A582" t="s">
        <v>731</v>
      </c>
      <c r="B582" s="3">
        <v>45501</v>
      </c>
      <c r="C582" t="s">
        <v>422</v>
      </c>
      <c r="D582" t="s">
        <v>21</v>
      </c>
      <c r="E582" t="s">
        <v>17</v>
      </c>
      <c r="F582" t="str">
        <f t="shared" si="9"/>
        <v>South</v>
      </c>
      <c r="G582" t="s">
        <v>56</v>
      </c>
      <c r="H582" t="s">
        <v>28</v>
      </c>
      <c r="I582">
        <v>10</v>
      </c>
    </row>
    <row r="583" spans="1:9" ht="21.75" customHeight="1">
      <c r="A583" t="s">
        <v>732</v>
      </c>
      <c r="B583" s="3">
        <v>45508</v>
      </c>
      <c r="C583" t="s">
        <v>159</v>
      </c>
      <c r="D583" t="s">
        <v>109</v>
      </c>
      <c r="E583" t="s">
        <v>11</v>
      </c>
      <c r="F583" t="str">
        <f t="shared" si="9"/>
        <v>West</v>
      </c>
      <c r="G583" t="s">
        <v>27</v>
      </c>
      <c r="H583" t="s">
        <v>36</v>
      </c>
      <c r="I583">
        <v>16</v>
      </c>
    </row>
    <row r="584" spans="1:9" ht="21.75" customHeight="1">
      <c r="A584" t="s">
        <v>733</v>
      </c>
      <c r="B584" s="3">
        <v>45551</v>
      </c>
      <c r="C584" t="s">
        <v>465</v>
      </c>
      <c r="D584" t="s">
        <v>79</v>
      </c>
      <c r="E584" t="s">
        <v>17</v>
      </c>
      <c r="F584" t="str">
        <f t="shared" si="9"/>
        <v>Central</v>
      </c>
      <c r="G584" t="s">
        <v>306</v>
      </c>
      <c r="H584" t="s">
        <v>36</v>
      </c>
      <c r="I584">
        <v>12</v>
      </c>
    </row>
    <row r="585" spans="1:9" ht="21.75" customHeight="1">
      <c r="A585" t="s">
        <v>734</v>
      </c>
      <c r="B585" s="3">
        <v>45596</v>
      </c>
      <c r="C585" t="s">
        <v>541</v>
      </c>
      <c r="D585" t="s">
        <v>119</v>
      </c>
      <c r="E585" t="s">
        <v>11</v>
      </c>
      <c r="F585" t="str">
        <f t="shared" si="9"/>
        <v>North</v>
      </c>
      <c r="G585" t="s">
        <v>12</v>
      </c>
      <c r="H585" t="s">
        <v>32</v>
      </c>
      <c r="I585">
        <v>8</v>
      </c>
    </row>
    <row r="586" spans="1:9" ht="21.75" customHeight="1">
      <c r="A586" t="s">
        <v>735</v>
      </c>
      <c r="B586" s="3">
        <v>45377</v>
      </c>
      <c r="C586" t="s">
        <v>736</v>
      </c>
      <c r="D586" t="s">
        <v>59</v>
      </c>
      <c r="E586" t="s">
        <v>22</v>
      </c>
      <c r="F586" t="str">
        <f t="shared" si="9"/>
        <v>North</v>
      </c>
      <c r="G586" t="s">
        <v>12</v>
      </c>
      <c r="H586" t="s">
        <v>32</v>
      </c>
      <c r="I586">
        <v>13</v>
      </c>
    </row>
    <row r="587" spans="1:9" ht="21.75" customHeight="1">
      <c r="A587" t="s">
        <v>737</v>
      </c>
      <c r="B587" s="3">
        <v>45512</v>
      </c>
      <c r="C587" t="s">
        <v>15</v>
      </c>
      <c r="D587" t="s">
        <v>26</v>
      </c>
      <c r="E587" t="s">
        <v>11</v>
      </c>
      <c r="F587" t="str">
        <f t="shared" si="9"/>
        <v>North</v>
      </c>
      <c r="G587" t="s">
        <v>12</v>
      </c>
      <c r="H587" t="s">
        <v>36</v>
      </c>
      <c r="I587">
        <v>8</v>
      </c>
    </row>
    <row r="588" spans="1:9" ht="21.75" customHeight="1">
      <c r="A588" t="s">
        <v>738</v>
      </c>
      <c r="B588" s="3">
        <v>45577</v>
      </c>
      <c r="C588" t="s">
        <v>361</v>
      </c>
      <c r="D588" t="s">
        <v>197</v>
      </c>
      <c r="E588" t="s">
        <v>22</v>
      </c>
      <c r="F588" t="str">
        <f t="shared" si="9"/>
        <v>Central</v>
      </c>
      <c r="G588" t="s">
        <v>306</v>
      </c>
      <c r="H588" t="s">
        <v>23</v>
      </c>
      <c r="I588">
        <v>15</v>
      </c>
    </row>
    <row r="589" spans="1:9" ht="21.75" customHeight="1">
      <c r="A589" t="s">
        <v>739</v>
      </c>
      <c r="B589" s="3">
        <v>45639</v>
      </c>
      <c r="C589" t="s">
        <v>449</v>
      </c>
      <c r="D589" t="s">
        <v>16</v>
      </c>
      <c r="E589" t="s">
        <v>22</v>
      </c>
      <c r="F589" t="str">
        <f t="shared" si="9"/>
        <v>Central</v>
      </c>
      <c r="G589" t="s">
        <v>306</v>
      </c>
      <c r="H589" t="s">
        <v>23</v>
      </c>
      <c r="I589">
        <v>12</v>
      </c>
    </row>
    <row r="590" spans="1:9" ht="21.75" customHeight="1">
      <c r="A590" t="s">
        <v>740</v>
      </c>
      <c r="B590" s="3">
        <v>45345</v>
      </c>
      <c r="C590" t="s">
        <v>61</v>
      </c>
      <c r="D590" t="s">
        <v>102</v>
      </c>
      <c r="E590" t="s">
        <v>17</v>
      </c>
      <c r="F590" t="str">
        <f t="shared" si="9"/>
        <v>North</v>
      </c>
      <c r="G590" t="s">
        <v>12</v>
      </c>
      <c r="H590" t="s">
        <v>32</v>
      </c>
      <c r="I590">
        <v>5</v>
      </c>
    </row>
    <row r="591" spans="1:9" ht="21.75" customHeight="1">
      <c r="A591" t="s">
        <v>741</v>
      </c>
      <c r="B591" s="3">
        <v>45525</v>
      </c>
      <c r="C591" t="s">
        <v>728</v>
      </c>
      <c r="D591" t="s">
        <v>35</v>
      </c>
      <c r="E591" t="s">
        <v>11</v>
      </c>
      <c r="F591" t="str">
        <f t="shared" si="9"/>
        <v>Central</v>
      </c>
      <c r="G591" t="s">
        <v>306</v>
      </c>
      <c r="H591" t="s">
        <v>23</v>
      </c>
      <c r="I591">
        <v>12</v>
      </c>
    </row>
    <row r="592" spans="1:9" ht="21.75" customHeight="1">
      <c r="A592" t="s">
        <v>742</v>
      </c>
      <c r="B592" s="3">
        <v>45648</v>
      </c>
      <c r="C592" t="s">
        <v>430</v>
      </c>
      <c r="D592" t="s">
        <v>74</v>
      </c>
      <c r="E592" t="s">
        <v>17</v>
      </c>
      <c r="F592" t="str">
        <f t="shared" si="9"/>
        <v>North</v>
      </c>
      <c r="G592" t="s">
        <v>12</v>
      </c>
      <c r="H592" t="s">
        <v>13</v>
      </c>
      <c r="I592">
        <v>2</v>
      </c>
    </row>
    <row r="593" spans="1:9" ht="21.75" customHeight="1">
      <c r="A593" t="s">
        <v>743</v>
      </c>
      <c r="B593" s="3">
        <v>45303</v>
      </c>
      <c r="C593" t="s">
        <v>47</v>
      </c>
      <c r="D593" t="s">
        <v>41</v>
      </c>
      <c r="E593" t="s">
        <v>22</v>
      </c>
      <c r="F593" t="str">
        <f t="shared" si="9"/>
        <v>North</v>
      </c>
      <c r="G593" t="s">
        <v>12</v>
      </c>
      <c r="H593" t="s">
        <v>28</v>
      </c>
      <c r="I593">
        <v>6</v>
      </c>
    </row>
    <row r="594" spans="1:9" ht="21.75" customHeight="1">
      <c r="A594" t="s">
        <v>744</v>
      </c>
      <c r="B594" s="3">
        <v>45556</v>
      </c>
      <c r="C594" t="s">
        <v>235</v>
      </c>
      <c r="D594" t="s">
        <v>72</v>
      </c>
      <c r="E594" t="s">
        <v>22</v>
      </c>
      <c r="F594" t="str">
        <f t="shared" si="9"/>
        <v>South</v>
      </c>
      <c r="G594" t="s">
        <v>56</v>
      </c>
      <c r="H594" t="s">
        <v>23</v>
      </c>
      <c r="I594">
        <v>18</v>
      </c>
    </row>
    <row r="595" spans="1:9" ht="21.75" customHeight="1">
      <c r="A595" t="s">
        <v>745</v>
      </c>
      <c r="B595" s="3">
        <v>45410</v>
      </c>
      <c r="C595" t="s">
        <v>341</v>
      </c>
      <c r="D595" t="s">
        <v>45</v>
      </c>
      <c r="E595" t="s">
        <v>22</v>
      </c>
      <c r="F595" t="str">
        <f t="shared" si="9"/>
        <v>South</v>
      </c>
      <c r="G595" t="s">
        <v>56</v>
      </c>
      <c r="H595" t="s">
        <v>36</v>
      </c>
      <c r="I595">
        <v>14</v>
      </c>
    </row>
    <row r="596" spans="1:9" ht="21.75" customHeight="1">
      <c r="A596" t="s">
        <v>746</v>
      </c>
      <c r="B596" s="3">
        <v>45393</v>
      </c>
      <c r="C596" t="s">
        <v>430</v>
      </c>
      <c r="D596" t="s">
        <v>31</v>
      </c>
      <c r="E596" t="s">
        <v>22</v>
      </c>
      <c r="F596" t="str">
        <f t="shared" si="9"/>
        <v>West</v>
      </c>
      <c r="G596" t="s">
        <v>27</v>
      </c>
      <c r="H596" t="s">
        <v>28</v>
      </c>
      <c r="I596">
        <v>1</v>
      </c>
    </row>
    <row r="597" spans="1:9" ht="21.75" customHeight="1">
      <c r="A597" t="s">
        <v>747</v>
      </c>
      <c r="B597" s="3">
        <v>45434</v>
      </c>
      <c r="C597" t="s">
        <v>664</v>
      </c>
      <c r="D597" t="s">
        <v>59</v>
      </c>
      <c r="E597" t="s">
        <v>22</v>
      </c>
      <c r="F597" t="str">
        <f t="shared" si="9"/>
        <v>North</v>
      </c>
      <c r="G597" t="s">
        <v>12</v>
      </c>
      <c r="H597" t="s">
        <v>36</v>
      </c>
      <c r="I597">
        <v>4</v>
      </c>
    </row>
    <row r="598" spans="1:9" ht="21.75" customHeight="1">
      <c r="A598" t="s">
        <v>748</v>
      </c>
      <c r="B598" s="3">
        <v>45387</v>
      </c>
      <c r="C598" t="s">
        <v>83</v>
      </c>
      <c r="D598" t="s">
        <v>70</v>
      </c>
      <c r="E598" t="s">
        <v>17</v>
      </c>
      <c r="F598" t="str">
        <f t="shared" si="9"/>
        <v>South</v>
      </c>
      <c r="G598" t="s">
        <v>56</v>
      </c>
      <c r="H598" t="s">
        <v>23</v>
      </c>
      <c r="I598">
        <v>4</v>
      </c>
    </row>
    <row r="599" spans="1:9" ht="21.75" customHeight="1">
      <c r="A599" t="s">
        <v>749</v>
      </c>
      <c r="B599" s="3">
        <v>45562</v>
      </c>
      <c r="C599" t="s">
        <v>541</v>
      </c>
      <c r="D599" t="s">
        <v>31</v>
      </c>
      <c r="E599" t="s">
        <v>17</v>
      </c>
      <c r="F599" t="str">
        <f t="shared" si="9"/>
        <v>Central</v>
      </c>
      <c r="G599" t="s">
        <v>306</v>
      </c>
      <c r="H599" t="s">
        <v>13</v>
      </c>
      <c r="I599">
        <v>20</v>
      </c>
    </row>
    <row r="600" spans="1:9" ht="21.75" customHeight="1">
      <c r="A600" t="s">
        <v>750</v>
      </c>
      <c r="B600" s="3">
        <v>45470</v>
      </c>
      <c r="C600" t="s">
        <v>182</v>
      </c>
      <c r="D600" t="s">
        <v>45</v>
      </c>
      <c r="E600" t="s">
        <v>17</v>
      </c>
      <c r="F600" t="str">
        <f t="shared" si="9"/>
        <v>Central</v>
      </c>
      <c r="G600" t="s">
        <v>306</v>
      </c>
      <c r="H600" t="s">
        <v>36</v>
      </c>
      <c r="I600">
        <v>10</v>
      </c>
    </row>
    <row r="601" spans="1:9" ht="21.75" customHeight="1">
      <c r="A601" t="s">
        <v>751</v>
      </c>
      <c r="B601" s="3">
        <v>45335</v>
      </c>
      <c r="C601" t="s">
        <v>422</v>
      </c>
      <c r="D601" t="s">
        <v>102</v>
      </c>
      <c r="E601" t="s">
        <v>11</v>
      </c>
      <c r="F601" t="str">
        <f t="shared" si="9"/>
        <v>East</v>
      </c>
      <c r="G601" t="s">
        <v>42</v>
      </c>
      <c r="H601" t="s">
        <v>28</v>
      </c>
      <c r="I601">
        <v>8</v>
      </c>
    </row>
    <row r="602" spans="1:9" ht="21.75" customHeight="1">
      <c r="A602" t="s">
        <v>752</v>
      </c>
      <c r="B602" s="3">
        <v>45483</v>
      </c>
      <c r="C602" t="s">
        <v>465</v>
      </c>
      <c r="D602" t="s">
        <v>31</v>
      </c>
      <c r="E602" t="s">
        <v>11</v>
      </c>
      <c r="F602" t="str">
        <f t="shared" si="9"/>
        <v>Central</v>
      </c>
      <c r="G602" t="s">
        <v>306</v>
      </c>
      <c r="H602" t="s">
        <v>36</v>
      </c>
      <c r="I602">
        <v>14</v>
      </c>
    </row>
    <row r="603" spans="1:9" ht="21.75" customHeight="1">
      <c r="A603" t="s">
        <v>753</v>
      </c>
      <c r="B603" s="3">
        <v>45488</v>
      </c>
      <c r="C603" t="s">
        <v>309</v>
      </c>
      <c r="D603" t="s">
        <v>21</v>
      </c>
      <c r="E603" t="s">
        <v>11</v>
      </c>
      <c r="F603" t="str">
        <f t="shared" si="9"/>
        <v>West</v>
      </c>
      <c r="G603" t="s">
        <v>27</v>
      </c>
      <c r="H603" t="s">
        <v>28</v>
      </c>
      <c r="I603">
        <v>18</v>
      </c>
    </row>
    <row r="604" spans="1:9" ht="21.75" customHeight="1">
      <c r="A604" t="s">
        <v>754</v>
      </c>
      <c r="B604" s="3">
        <v>45576</v>
      </c>
      <c r="C604" t="s">
        <v>30</v>
      </c>
      <c r="D604" t="s">
        <v>16</v>
      </c>
      <c r="E604" t="s">
        <v>17</v>
      </c>
      <c r="F604" t="str">
        <f t="shared" si="9"/>
        <v>East</v>
      </c>
      <c r="G604" t="s">
        <v>42</v>
      </c>
      <c r="H604" t="s">
        <v>23</v>
      </c>
      <c r="I604">
        <v>6</v>
      </c>
    </row>
    <row r="605" spans="1:9" ht="21.75" customHeight="1">
      <c r="A605" t="s">
        <v>755</v>
      </c>
      <c r="B605" s="3">
        <v>45609</v>
      </c>
      <c r="C605" t="s">
        <v>9</v>
      </c>
      <c r="D605" t="s">
        <v>35</v>
      </c>
      <c r="E605" t="s">
        <v>17</v>
      </c>
      <c r="F605" t="str">
        <f t="shared" si="9"/>
        <v>North</v>
      </c>
      <c r="G605" t="s">
        <v>12</v>
      </c>
      <c r="H605" t="s">
        <v>23</v>
      </c>
      <c r="I605">
        <v>5</v>
      </c>
    </row>
    <row r="606" spans="1:9" ht="21.75" customHeight="1">
      <c r="A606" t="s">
        <v>756</v>
      </c>
      <c r="B606" s="3">
        <v>45579</v>
      </c>
      <c r="C606" t="s">
        <v>358</v>
      </c>
      <c r="D606" t="s">
        <v>87</v>
      </c>
      <c r="E606" t="s">
        <v>22</v>
      </c>
      <c r="F606" t="str">
        <f t="shared" si="9"/>
        <v>West</v>
      </c>
      <c r="G606" t="s">
        <v>27</v>
      </c>
      <c r="H606" t="s">
        <v>23</v>
      </c>
      <c r="I606">
        <v>16</v>
      </c>
    </row>
    <row r="607" spans="1:9" ht="21.75" customHeight="1">
      <c r="A607" t="s">
        <v>757</v>
      </c>
      <c r="B607" s="3">
        <v>45542</v>
      </c>
      <c r="C607" t="s">
        <v>30</v>
      </c>
      <c r="D607" t="s">
        <v>96</v>
      </c>
      <c r="E607" t="s">
        <v>11</v>
      </c>
      <c r="F607" t="str">
        <f t="shared" si="9"/>
        <v>Central</v>
      </c>
      <c r="G607" t="s">
        <v>306</v>
      </c>
      <c r="H607" t="s">
        <v>32</v>
      </c>
      <c r="I607">
        <v>8</v>
      </c>
    </row>
    <row r="608" spans="1:9" ht="21.75" customHeight="1">
      <c r="A608" t="s">
        <v>758</v>
      </c>
      <c r="B608" s="3">
        <v>45407</v>
      </c>
      <c r="C608" t="s">
        <v>312</v>
      </c>
      <c r="D608" t="s">
        <v>119</v>
      </c>
      <c r="E608" t="s">
        <v>17</v>
      </c>
      <c r="F608" t="str">
        <f t="shared" si="9"/>
        <v>South</v>
      </c>
      <c r="G608" t="s">
        <v>56</v>
      </c>
      <c r="H608" t="s">
        <v>23</v>
      </c>
      <c r="I608">
        <v>15</v>
      </c>
    </row>
    <row r="609" spans="1:9" ht="21.75" customHeight="1">
      <c r="A609" t="s">
        <v>759</v>
      </c>
      <c r="B609" s="3">
        <v>45573</v>
      </c>
      <c r="C609" t="s">
        <v>345</v>
      </c>
      <c r="D609" t="s">
        <v>102</v>
      </c>
      <c r="E609" t="s">
        <v>11</v>
      </c>
      <c r="F609" t="str">
        <f t="shared" si="9"/>
        <v>Central</v>
      </c>
      <c r="G609" t="s">
        <v>306</v>
      </c>
      <c r="H609" t="s">
        <v>32</v>
      </c>
      <c r="I609">
        <v>9</v>
      </c>
    </row>
    <row r="610" spans="1:9" ht="21.75" customHeight="1">
      <c r="A610" t="s">
        <v>760</v>
      </c>
      <c r="B610" s="3">
        <v>45569</v>
      </c>
      <c r="C610" t="s">
        <v>664</v>
      </c>
      <c r="D610" t="s">
        <v>174</v>
      </c>
      <c r="E610" t="s">
        <v>11</v>
      </c>
      <c r="F610" t="str">
        <f t="shared" si="9"/>
        <v>West</v>
      </c>
      <c r="G610" t="s">
        <v>27</v>
      </c>
      <c r="H610" t="s">
        <v>13</v>
      </c>
      <c r="I610">
        <v>7</v>
      </c>
    </row>
    <row r="611" spans="1:9" ht="21.75" customHeight="1">
      <c r="A611" t="s">
        <v>761</v>
      </c>
      <c r="B611" s="3">
        <v>45626</v>
      </c>
      <c r="C611" t="s">
        <v>664</v>
      </c>
      <c r="D611" t="s">
        <v>79</v>
      </c>
      <c r="E611" t="s">
        <v>11</v>
      </c>
      <c r="F611" t="str">
        <f t="shared" si="9"/>
        <v>East</v>
      </c>
      <c r="G611" t="s">
        <v>42</v>
      </c>
      <c r="H611" t="s">
        <v>13</v>
      </c>
      <c r="I611">
        <v>15</v>
      </c>
    </row>
    <row r="612" spans="1:9" ht="21.75" customHeight="1">
      <c r="A612" t="s">
        <v>762</v>
      </c>
      <c r="B612" s="3">
        <v>45516</v>
      </c>
      <c r="C612" t="s">
        <v>114</v>
      </c>
      <c r="D612" t="s">
        <v>84</v>
      </c>
      <c r="E612" t="s">
        <v>11</v>
      </c>
      <c r="F612" t="str">
        <f t="shared" si="9"/>
        <v>South</v>
      </c>
      <c r="G612" t="s">
        <v>56</v>
      </c>
      <c r="H612" t="s">
        <v>36</v>
      </c>
      <c r="I612">
        <v>19</v>
      </c>
    </row>
    <row r="613" spans="1:9" ht="21.75" customHeight="1">
      <c r="A613" t="s">
        <v>763</v>
      </c>
      <c r="B613" s="3">
        <v>45615</v>
      </c>
      <c r="C613" t="s">
        <v>309</v>
      </c>
      <c r="D613" t="s">
        <v>16</v>
      </c>
      <c r="E613" t="s">
        <v>11</v>
      </c>
      <c r="F613" t="str">
        <f t="shared" si="9"/>
        <v>Central</v>
      </c>
      <c r="G613" t="s">
        <v>306</v>
      </c>
      <c r="H613" t="s">
        <v>13</v>
      </c>
      <c r="I613">
        <v>7</v>
      </c>
    </row>
    <row r="614" spans="1:9" ht="21.75" customHeight="1">
      <c r="A614" t="s">
        <v>764</v>
      </c>
      <c r="B614" s="3">
        <v>45583</v>
      </c>
      <c r="C614" t="s">
        <v>20</v>
      </c>
      <c r="D614" t="s">
        <v>109</v>
      </c>
      <c r="E614" t="s">
        <v>22</v>
      </c>
      <c r="F614" t="str">
        <f t="shared" si="9"/>
        <v>East</v>
      </c>
      <c r="G614" t="s">
        <v>42</v>
      </c>
      <c r="H614" t="s">
        <v>32</v>
      </c>
      <c r="I614">
        <v>18</v>
      </c>
    </row>
    <row r="615" spans="1:9" ht="21.75" customHeight="1">
      <c r="A615" t="s">
        <v>765</v>
      </c>
      <c r="B615" s="3">
        <v>45440</v>
      </c>
      <c r="C615" t="s">
        <v>314</v>
      </c>
      <c r="D615" t="s">
        <v>41</v>
      </c>
      <c r="E615" t="s">
        <v>17</v>
      </c>
      <c r="F615" t="str">
        <f t="shared" si="9"/>
        <v>Central</v>
      </c>
      <c r="G615" t="s">
        <v>306</v>
      </c>
      <c r="H615" t="s">
        <v>23</v>
      </c>
      <c r="I615">
        <v>4</v>
      </c>
    </row>
    <row r="616" spans="1:9" ht="21.75" customHeight="1">
      <c r="A616" t="s">
        <v>766</v>
      </c>
      <c r="B616" s="3">
        <v>45322</v>
      </c>
      <c r="C616" t="s">
        <v>89</v>
      </c>
      <c r="D616" t="s">
        <v>62</v>
      </c>
      <c r="E616" t="s">
        <v>22</v>
      </c>
      <c r="F616" t="str">
        <f t="shared" si="9"/>
        <v>South</v>
      </c>
      <c r="G616" t="s">
        <v>56</v>
      </c>
      <c r="H616" t="s">
        <v>32</v>
      </c>
      <c r="I616">
        <v>5</v>
      </c>
    </row>
    <row r="617" spans="1:9" ht="21.75" customHeight="1">
      <c r="A617" t="s">
        <v>767</v>
      </c>
      <c r="B617" s="3">
        <v>45418</v>
      </c>
      <c r="C617" t="s">
        <v>332</v>
      </c>
      <c r="D617" t="s">
        <v>35</v>
      </c>
      <c r="E617" t="s">
        <v>22</v>
      </c>
      <c r="F617" t="str">
        <f t="shared" si="9"/>
        <v>West</v>
      </c>
      <c r="G617" t="s">
        <v>27</v>
      </c>
      <c r="H617" t="s">
        <v>32</v>
      </c>
      <c r="I617">
        <v>5</v>
      </c>
    </row>
    <row r="618" spans="1:9" ht="21.75" customHeight="1">
      <c r="A618" t="s">
        <v>768</v>
      </c>
      <c r="B618" s="3">
        <v>45613</v>
      </c>
      <c r="C618" t="s">
        <v>572</v>
      </c>
      <c r="D618" t="s">
        <v>10</v>
      </c>
      <c r="E618" t="s">
        <v>17</v>
      </c>
      <c r="F618" t="str">
        <f t="shared" si="9"/>
        <v>West</v>
      </c>
      <c r="G618" t="s">
        <v>27</v>
      </c>
      <c r="H618" t="s">
        <v>32</v>
      </c>
      <c r="I618">
        <v>3</v>
      </c>
    </row>
    <row r="619" spans="1:9" ht="21.75" customHeight="1">
      <c r="A619" t="s">
        <v>769</v>
      </c>
      <c r="B619" s="3">
        <v>45647</v>
      </c>
      <c r="C619" t="s">
        <v>200</v>
      </c>
      <c r="D619" t="s">
        <v>72</v>
      </c>
      <c r="E619" t="s">
        <v>17</v>
      </c>
      <c r="F619" t="str">
        <f t="shared" si="9"/>
        <v>West</v>
      </c>
      <c r="G619" t="s">
        <v>27</v>
      </c>
      <c r="H619" t="s">
        <v>13</v>
      </c>
      <c r="I619">
        <v>19</v>
      </c>
    </row>
    <row r="620" spans="1:9" ht="21.75" customHeight="1">
      <c r="A620" t="s">
        <v>770</v>
      </c>
      <c r="B620" s="3">
        <v>45526</v>
      </c>
      <c r="C620" t="s">
        <v>541</v>
      </c>
      <c r="D620" t="s">
        <v>10</v>
      </c>
      <c r="E620" t="s">
        <v>22</v>
      </c>
      <c r="F620" t="str">
        <f t="shared" si="9"/>
        <v>East</v>
      </c>
      <c r="G620" t="s">
        <v>42</v>
      </c>
      <c r="H620" t="s">
        <v>23</v>
      </c>
      <c r="I620">
        <v>18</v>
      </c>
    </row>
    <row r="621" spans="1:9" ht="21.75" customHeight="1">
      <c r="A621" t="s">
        <v>771</v>
      </c>
      <c r="B621" s="3">
        <v>45400</v>
      </c>
      <c r="C621" t="s">
        <v>432</v>
      </c>
      <c r="D621" t="s">
        <v>74</v>
      </c>
      <c r="E621" t="s">
        <v>17</v>
      </c>
      <c r="F621" t="str">
        <f t="shared" si="9"/>
        <v>East</v>
      </c>
      <c r="G621" t="s">
        <v>42</v>
      </c>
      <c r="H621" t="s">
        <v>28</v>
      </c>
      <c r="I621">
        <v>11</v>
      </c>
    </row>
    <row r="622" spans="1:9" ht="21.75" customHeight="1">
      <c r="A622" t="s">
        <v>772</v>
      </c>
      <c r="B622" s="3">
        <v>45581</v>
      </c>
      <c r="C622" t="s">
        <v>374</v>
      </c>
      <c r="D622" t="s">
        <v>79</v>
      </c>
      <c r="E622" t="s">
        <v>17</v>
      </c>
      <c r="F622" t="str">
        <f t="shared" si="9"/>
        <v>North</v>
      </c>
      <c r="G622" t="s">
        <v>12</v>
      </c>
      <c r="H622" t="s">
        <v>23</v>
      </c>
      <c r="I622">
        <v>4</v>
      </c>
    </row>
    <row r="623" spans="1:9" ht="21.75" customHeight="1">
      <c r="A623" t="s">
        <v>773</v>
      </c>
      <c r="B623" s="3">
        <v>45300</v>
      </c>
      <c r="C623" t="s">
        <v>114</v>
      </c>
      <c r="D623" t="s">
        <v>70</v>
      </c>
      <c r="E623" t="s">
        <v>11</v>
      </c>
      <c r="F623" t="str">
        <f t="shared" si="9"/>
        <v>West</v>
      </c>
      <c r="G623" t="s">
        <v>27</v>
      </c>
      <c r="H623" t="s">
        <v>23</v>
      </c>
      <c r="I623">
        <v>1</v>
      </c>
    </row>
    <row r="624" spans="1:9" ht="21.75" customHeight="1">
      <c r="A624" t="s">
        <v>774</v>
      </c>
      <c r="B624" s="3">
        <v>45395</v>
      </c>
      <c r="C624" t="s">
        <v>465</v>
      </c>
      <c r="D624" t="s">
        <v>45</v>
      </c>
      <c r="E624" t="s">
        <v>11</v>
      </c>
      <c r="F624" t="str">
        <f t="shared" si="9"/>
        <v>East</v>
      </c>
      <c r="G624" t="s">
        <v>42</v>
      </c>
      <c r="H624" t="s">
        <v>32</v>
      </c>
      <c r="I624">
        <v>9</v>
      </c>
    </row>
    <row r="625" spans="1:9" ht="21.75" customHeight="1">
      <c r="A625" t="s">
        <v>775</v>
      </c>
      <c r="B625" s="3">
        <v>45420</v>
      </c>
      <c r="C625" t="s">
        <v>81</v>
      </c>
      <c r="D625" t="s">
        <v>79</v>
      </c>
      <c r="E625" t="s">
        <v>17</v>
      </c>
      <c r="F625" t="str">
        <f t="shared" si="9"/>
        <v>South</v>
      </c>
      <c r="G625" t="s">
        <v>56</v>
      </c>
      <c r="H625" t="s">
        <v>28</v>
      </c>
      <c r="I625">
        <v>13</v>
      </c>
    </row>
    <row r="626" spans="1:9" ht="21.75" customHeight="1">
      <c r="A626" t="s">
        <v>776</v>
      </c>
      <c r="B626" s="3">
        <v>45511</v>
      </c>
      <c r="C626" t="s">
        <v>350</v>
      </c>
      <c r="D626" t="s">
        <v>96</v>
      </c>
      <c r="E626" t="s">
        <v>11</v>
      </c>
      <c r="F626" t="str">
        <f t="shared" si="9"/>
        <v>North</v>
      </c>
      <c r="G626" t="s">
        <v>12</v>
      </c>
      <c r="H626" t="s">
        <v>28</v>
      </c>
      <c r="I626">
        <v>7</v>
      </c>
    </row>
    <row r="627" spans="1:9" ht="21.75" customHeight="1">
      <c r="A627" t="s">
        <v>777</v>
      </c>
      <c r="B627" s="3">
        <v>45595</v>
      </c>
      <c r="C627" t="s">
        <v>240</v>
      </c>
      <c r="D627" t="s">
        <v>96</v>
      </c>
      <c r="E627" t="s">
        <v>22</v>
      </c>
      <c r="F627" t="str">
        <f t="shared" si="9"/>
        <v>West</v>
      </c>
      <c r="G627" t="s">
        <v>27</v>
      </c>
      <c r="H627" t="s">
        <v>13</v>
      </c>
      <c r="I627">
        <v>1</v>
      </c>
    </row>
    <row r="628" spans="1:9" ht="21.75" customHeight="1">
      <c r="A628" t="s">
        <v>778</v>
      </c>
      <c r="B628" s="3">
        <v>45508</v>
      </c>
      <c r="C628" t="s">
        <v>465</v>
      </c>
      <c r="D628" t="s">
        <v>10</v>
      </c>
      <c r="E628" t="s">
        <v>11</v>
      </c>
      <c r="F628" t="str">
        <f t="shared" si="9"/>
        <v>West</v>
      </c>
      <c r="G628" t="s">
        <v>27</v>
      </c>
      <c r="H628" t="s">
        <v>13</v>
      </c>
      <c r="I628">
        <v>8</v>
      </c>
    </row>
    <row r="629" spans="1:9" ht="21.75" customHeight="1">
      <c r="A629" t="s">
        <v>779</v>
      </c>
      <c r="B629" s="3">
        <v>45344</v>
      </c>
      <c r="C629" t="s">
        <v>38</v>
      </c>
      <c r="D629" t="s">
        <v>16</v>
      </c>
      <c r="E629" t="s">
        <v>17</v>
      </c>
      <c r="F629" t="str">
        <f t="shared" si="9"/>
        <v>East</v>
      </c>
      <c r="G629" t="s">
        <v>42</v>
      </c>
      <c r="H629" t="s">
        <v>28</v>
      </c>
      <c r="I629">
        <v>13</v>
      </c>
    </row>
    <row r="630" spans="1:9" ht="21.75" customHeight="1">
      <c r="A630" t="s">
        <v>780</v>
      </c>
      <c r="B630" s="3">
        <v>45620</v>
      </c>
      <c r="C630" t="s">
        <v>422</v>
      </c>
      <c r="D630" t="s">
        <v>160</v>
      </c>
      <c r="E630" t="s">
        <v>11</v>
      </c>
      <c r="F630" t="str">
        <f t="shared" si="9"/>
        <v>North</v>
      </c>
      <c r="G630" t="s">
        <v>12</v>
      </c>
      <c r="H630" t="s">
        <v>28</v>
      </c>
      <c r="I630">
        <v>19</v>
      </c>
    </row>
    <row r="631" spans="1:9" ht="21.75" customHeight="1">
      <c r="A631" t="s">
        <v>781</v>
      </c>
      <c r="B631" s="3">
        <v>45517</v>
      </c>
      <c r="C631" t="s">
        <v>20</v>
      </c>
      <c r="D631" t="s">
        <v>21</v>
      </c>
      <c r="E631" t="s">
        <v>22</v>
      </c>
      <c r="F631" t="str">
        <f t="shared" si="9"/>
        <v>South</v>
      </c>
      <c r="G631" t="s">
        <v>56</v>
      </c>
      <c r="H631" t="s">
        <v>36</v>
      </c>
      <c r="I631">
        <v>5</v>
      </c>
    </row>
    <row r="632" spans="1:9" ht="21.75" customHeight="1">
      <c r="A632" t="s">
        <v>782</v>
      </c>
      <c r="B632" s="3">
        <v>45643</v>
      </c>
      <c r="C632" t="s">
        <v>396</v>
      </c>
      <c r="D632" t="s">
        <v>102</v>
      </c>
      <c r="E632" t="s">
        <v>11</v>
      </c>
      <c r="F632" t="str">
        <f t="shared" si="9"/>
        <v>North</v>
      </c>
      <c r="G632" t="s">
        <v>12</v>
      </c>
      <c r="H632" t="s">
        <v>36</v>
      </c>
      <c r="I632">
        <v>5</v>
      </c>
    </row>
    <row r="633" spans="1:9" ht="21.75" customHeight="1">
      <c r="A633" t="s">
        <v>783</v>
      </c>
      <c r="B633" s="3">
        <v>45488</v>
      </c>
      <c r="C633" t="s">
        <v>20</v>
      </c>
      <c r="D633" t="s">
        <v>16</v>
      </c>
      <c r="E633" t="s">
        <v>17</v>
      </c>
      <c r="F633" t="str">
        <f t="shared" si="9"/>
        <v>East</v>
      </c>
      <c r="G633" t="s">
        <v>42</v>
      </c>
      <c r="H633" t="s">
        <v>13</v>
      </c>
      <c r="I633">
        <v>8</v>
      </c>
    </row>
    <row r="634" spans="1:9" ht="21.75" customHeight="1">
      <c r="A634" t="s">
        <v>784</v>
      </c>
      <c r="B634" s="3">
        <v>45419</v>
      </c>
      <c r="C634" t="s">
        <v>378</v>
      </c>
      <c r="D634" t="s">
        <v>84</v>
      </c>
      <c r="E634" t="s">
        <v>22</v>
      </c>
      <c r="F634" t="str">
        <f t="shared" si="9"/>
        <v>Central</v>
      </c>
      <c r="G634" t="s">
        <v>306</v>
      </c>
      <c r="H634" t="s">
        <v>13</v>
      </c>
      <c r="I634">
        <v>20</v>
      </c>
    </row>
    <row r="635" spans="1:9" ht="21.75" customHeight="1">
      <c r="A635" t="s">
        <v>785</v>
      </c>
      <c r="B635" s="3">
        <v>45629</v>
      </c>
      <c r="C635" t="s">
        <v>68</v>
      </c>
      <c r="D635" t="s">
        <v>109</v>
      </c>
      <c r="E635" t="s">
        <v>11</v>
      </c>
      <c r="F635" t="str">
        <f t="shared" si="9"/>
        <v>Central</v>
      </c>
      <c r="G635" t="s">
        <v>306</v>
      </c>
      <c r="H635" t="s">
        <v>23</v>
      </c>
      <c r="I635">
        <v>17</v>
      </c>
    </row>
    <row r="636" spans="1:9" ht="21.75" customHeight="1">
      <c r="A636" t="s">
        <v>786</v>
      </c>
      <c r="B636" s="3">
        <v>45443</v>
      </c>
      <c r="C636" t="s">
        <v>736</v>
      </c>
      <c r="D636" t="s">
        <v>35</v>
      </c>
      <c r="E636" t="s">
        <v>11</v>
      </c>
      <c r="F636" t="str">
        <f t="shared" si="9"/>
        <v>South</v>
      </c>
      <c r="G636" t="s">
        <v>56</v>
      </c>
      <c r="H636" t="s">
        <v>23</v>
      </c>
      <c r="I636">
        <v>13</v>
      </c>
    </row>
    <row r="637" spans="1:9" ht="21.75" customHeight="1">
      <c r="A637" t="s">
        <v>787</v>
      </c>
      <c r="B637" s="3">
        <v>45618</v>
      </c>
      <c r="C637" t="s">
        <v>327</v>
      </c>
      <c r="D637" t="s">
        <v>96</v>
      </c>
      <c r="E637" t="s">
        <v>11</v>
      </c>
      <c r="F637" t="str">
        <f t="shared" si="9"/>
        <v>Central</v>
      </c>
      <c r="G637" t="s">
        <v>306</v>
      </c>
      <c r="H637" t="s">
        <v>28</v>
      </c>
      <c r="I637">
        <v>12</v>
      </c>
    </row>
    <row r="638" spans="1:9" ht="21.75" customHeight="1">
      <c r="A638" t="s">
        <v>788</v>
      </c>
      <c r="B638" s="3">
        <v>45490</v>
      </c>
      <c r="C638" t="s">
        <v>614</v>
      </c>
      <c r="D638" t="s">
        <v>174</v>
      </c>
      <c r="E638" t="s">
        <v>17</v>
      </c>
      <c r="F638" t="str">
        <f t="shared" si="9"/>
        <v>East</v>
      </c>
      <c r="G638" t="s">
        <v>42</v>
      </c>
      <c r="H638" t="s">
        <v>13</v>
      </c>
      <c r="I638">
        <v>6</v>
      </c>
    </row>
    <row r="639" spans="1:9" ht="21.75" customHeight="1">
      <c r="A639" t="s">
        <v>789</v>
      </c>
      <c r="B639" s="3">
        <v>45300</v>
      </c>
      <c r="C639" t="s">
        <v>449</v>
      </c>
      <c r="D639" t="s">
        <v>26</v>
      </c>
      <c r="E639" t="s">
        <v>11</v>
      </c>
      <c r="F639" t="str">
        <f t="shared" si="9"/>
        <v>North</v>
      </c>
      <c r="G639" t="s">
        <v>12</v>
      </c>
      <c r="H639" t="s">
        <v>13</v>
      </c>
      <c r="I639">
        <v>7</v>
      </c>
    </row>
    <row r="640" spans="1:9" ht="21.75" customHeight="1">
      <c r="A640" t="s">
        <v>790</v>
      </c>
      <c r="B640" s="3">
        <v>45495</v>
      </c>
      <c r="C640" t="s">
        <v>358</v>
      </c>
      <c r="D640" t="s">
        <v>119</v>
      </c>
      <c r="E640" t="s">
        <v>17</v>
      </c>
      <c r="F640" t="str">
        <f t="shared" si="9"/>
        <v>Central</v>
      </c>
      <c r="G640" t="s">
        <v>306</v>
      </c>
      <c r="H640" t="s">
        <v>23</v>
      </c>
      <c r="I640">
        <v>14</v>
      </c>
    </row>
    <row r="641" spans="1:9" ht="21.75" customHeight="1">
      <c r="A641" t="s">
        <v>791</v>
      </c>
      <c r="B641" s="3">
        <v>45334</v>
      </c>
      <c r="C641" t="s">
        <v>541</v>
      </c>
      <c r="D641" t="s">
        <v>109</v>
      </c>
      <c r="E641" t="s">
        <v>22</v>
      </c>
      <c r="F641" t="str">
        <f t="shared" si="9"/>
        <v>Central</v>
      </c>
      <c r="G641" t="s">
        <v>306</v>
      </c>
      <c r="H641" t="s">
        <v>32</v>
      </c>
      <c r="I641">
        <v>5</v>
      </c>
    </row>
    <row r="642" spans="1:9" ht="21.75" customHeight="1">
      <c r="A642" t="s">
        <v>792</v>
      </c>
      <c r="B642" s="3">
        <v>45332</v>
      </c>
      <c r="C642" t="s">
        <v>345</v>
      </c>
      <c r="D642" t="s">
        <v>174</v>
      </c>
      <c r="E642" t="s">
        <v>11</v>
      </c>
      <c r="F642" t="str">
        <f t="shared" si="9"/>
        <v>South</v>
      </c>
      <c r="G642" t="s">
        <v>56</v>
      </c>
      <c r="H642" t="s">
        <v>13</v>
      </c>
      <c r="I642">
        <v>11</v>
      </c>
    </row>
    <row r="643" spans="1:9" ht="21.75" customHeight="1">
      <c r="A643" t="s">
        <v>793</v>
      </c>
      <c r="B643" s="3">
        <v>45450</v>
      </c>
      <c r="C643" t="s">
        <v>424</v>
      </c>
      <c r="D643" t="s">
        <v>79</v>
      </c>
      <c r="E643" t="s">
        <v>17</v>
      </c>
      <c r="F643" t="str">
        <f t="shared" ref="F643:F706" si="10">TRIM(PROPER(G643))</f>
        <v>South</v>
      </c>
      <c r="G643" t="s">
        <v>56</v>
      </c>
      <c r="H643" t="s">
        <v>23</v>
      </c>
      <c r="I643">
        <v>8</v>
      </c>
    </row>
    <row r="644" spans="1:9" ht="21.75" customHeight="1">
      <c r="A644" t="s">
        <v>794</v>
      </c>
      <c r="B644" s="3">
        <v>45351</v>
      </c>
      <c r="C644" t="s">
        <v>366</v>
      </c>
      <c r="D644" t="s">
        <v>79</v>
      </c>
      <c r="E644" t="s">
        <v>22</v>
      </c>
      <c r="F644" t="str">
        <f t="shared" si="10"/>
        <v>Central</v>
      </c>
      <c r="G644" t="s">
        <v>306</v>
      </c>
      <c r="H644" t="s">
        <v>28</v>
      </c>
      <c r="I644">
        <v>10</v>
      </c>
    </row>
    <row r="645" spans="1:9" ht="21.75" customHeight="1">
      <c r="A645" t="s">
        <v>795</v>
      </c>
      <c r="B645" s="3">
        <v>45353</v>
      </c>
      <c r="C645" t="s">
        <v>142</v>
      </c>
      <c r="D645" t="s">
        <v>62</v>
      </c>
      <c r="E645" t="s">
        <v>22</v>
      </c>
      <c r="F645" t="str">
        <f t="shared" si="10"/>
        <v>South</v>
      </c>
      <c r="G645" t="s">
        <v>56</v>
      </c>
      <c r="H645" t="s">
        <v>32</v>
      </c>
      <c r="I645">
        <v>1</v>
      </c>
    </row>
    <row r="646" spans="1:9" ht="21.75" customHeight="1">
      <c r="A646" t="s">
        <v>796</v>
      </c>
      <c r="B646" s="3">
        <v>45559</v>
      </c>
      <c r="C646" t="s">
        <v>363</v>
      </c>
      <c r="D646" t="s">
        <v>45</v>
      </c>
      <c r="E646" t="s">
        <v>22</v>
      </c>
      <c r="F646" t="str">
        <f t="shared" si="10"/>
        <v>East</v>
      </c>
      <c r="G646" t="s">
        <v>42</v>
      </c>
      <c r="H646" t="s">
        <v>32</v>
      </c>
      <c r="I646">
        <v>12</v>
      </c>
    </row>
    <row r="647" spans="1:9" ht="21.75" customHeight="1">
      <c r="A647" t="s">
        <v>797</v>
      </c>
      <c r="B647" s="3">
        <v>45352</v>
      </c>
      <c r="C647" t="s">
        <v>337</v>
      </c>
      <c r="D647" t="s">
        <v>87</v>
      </c>
      <c r="E647" t="s">
        <v>11</v>
      </c>
      <c r="F647" t="str">
        <f t="shared" si="10"/>
        <v>East</v>
      </c>
      <c r="G647" t="s">
        <v>42</v>
      </c>
      <c r="H647" t="s">
        <v>32</v>
      </c>
      <c r="I647">
        <v>9</v>
      </c>
    </row>
    <row r="648" spans="1:9" ht="21.75" customHeight="1">
      <c r="A648" t="s">
        <v>798</v>
      </c>
      <c r="B648" s="3">
        <v>45656</v>
      </c>
      <c r="C648" t="s">
        <v>314</v>
      </c>
      <c r="D648" t="s">
        <v>35</v>
      </c>
      <c r="E648" t="s">
        <v>22</v>
      </c>
      <c r="F648" t="str">
        <f t="shared" si="10"/>
        <v>North</v>
      </c>
      <c r="G648" t="s">
        <v>12</v>
      </c>
      <c r="H648" t="s">
        <v>13</v>
      </c>
      <c r="I648">
        <v>15</v>
      </c>
    </row>
    <row r="649" spans="1:9" ht="21.75" customHeight="1">
      <c r="A649" t="s">
        <v>799</v>
      </c>
      <c r="B649" s="3">
        <v>45547</v>
      </c>
      <c r="C649" t="s">
        <v>614</v>
      </c>
      <c r="D649" t="s">
        <v>45</v>
      </c>
      <c r="E649" t="s">
        <v>11</v>
      </c>
      <c r="F649" t="str">
        <f t="shared" si="10"/>
        <v>East</v>
      </c>
      <c r="G649" t="s">
        <v>42</v>
      </c>
      <c r="H649" t="s">
        <v>36</v>
      </c>
      <c r="I649">
        <v>9</v>
      </c>
    </row>
    <row r="650" spans="1:9" ht="21.75" customHeight="1">
      <c r="A650" t="s">
        <v>800</v>
      </c>
      <c r="B650" s="3">
        <v>45637</v>
      </c>
      <c r="C650" t="s">
        <v>329</v>
      </c>
      <c r="D650" t="s">
        <v>84</v>
      </c>
      <c r="E650" t="s">
        <v>11</v>
      </c>
      <c r="F650" t="str">
        <f t="shared" si="10"/>
        <v>South</v>
      </c>
      <c r="G650" t="s">
        <v>56</v>
      </c>
      <c r="H650" t="s">
        <v>13</v>
      </c>
      <c r="I650">
        <v>17</v>
      </c>
    </row>
    <row r="651" spans="1:9" ht="21.75" customHeight="1">
      <c r="A651" t="s">
        <v>801</v>
      </c>
      <c r="B651" s="3">
        <v>45417</v>
      </c>
      <c r="C651" t="s">
        <v>116</v>
      </c>
      <c r="D651" t="s">
        <v>31</v>
      </c>
      <c r="E651" t="s">
        <v>17</v>
      </c>
      <c r="F651" t="str">
        <f t="shared" si="10"/>
        <v>East</v>
      </c>
      <c r="G651" t="s">
        <v>42</v>
      </c>
      <c r="H651" t="s">
        <v>13</v>
      </c>
      <c r="I651">
        <v>5</v>
      </c>
    </row>
    <row r="652" spans="1:9" ht="21.75" customHeight="1">
      <c r="A652" t="s">
        <v>802</v>
      </c>
      <c r="B652" s="3">
        <v>45575</v>
      </c>
      <c r="C652" t="s">
        <v>436</v>
      </c>
      <c r="D652" t="s">
        <v>197</v>
      </c>
      <c r="E652" t="s">
        <v>22</v>
      </c>
      <c r="F652" t="str">
        <f t="shared" si="10"/>
        <v>West</v>
      </c>
      <c r="G652" t="s">
        <v>27</v>
      </c>
      <c r="H652" t="s">
        <v>32</v>
      </c>
      <c r="I652">
        <v>11</v>
      </c>
    </row>
    <row r="653" spans="1:9" ht="21.75" customHeight="1">
      <c r="A653" t="s">
        <v>803</v>
      </c>
      <c r="B653" s="3">
        <v>45430</v>
      </c>
      <c r="C653" t="s">
        <v>208</v>
      </c>
      <c r="D653" t="s">
        <v>102</v>
      </c>
      <c r="E653" t="s">
        <v>22</v>
      </c>
      <c r="F653" t="str">
        <f t="shared" si="10"/>
        <v>East</v>
      </c>
      <c r="G653" t="s">
        <v>42</v>
      </c>
      <c r="H653" t="s">
        <v>13</v>
      </c>
      <c r="I653">
        <v>17</v>
      </c>
    </row>
    <row r="654" spans="1:9" ht="21.75" customHeight="1">
      <c r="A654" t="s">
        <v>804</v>
      </c>
      <c r="B654" s="3">
        <v>45383</v>
      </c>
      <c r="C654" t="s">
        <v>240</v>
      </c>
      <c r="D654" t="s">
        <v>31</v>
      </c>
      <c r="E654" t="s">
        <v>22</v>
      </c>
      <c r="F654" t="str">
        <f t="shared" si="10"/>
        <v>North</v>
      </c>
      <c r="G654" t="s">
        <v>12</v>
      </c>
      <c r="H654" t="s">
        <v>32</v>
      </c>
      <c r="I654">
        <v>3</v>
      </c>
    </row>
    <row r="655" spans="1:9" ht="21.75" customHeight="1">
      <c r="A655" t="s">
        <v>805</v>
      </c>
      <c r="B655" s="3">
        <v>45451</v>
      </c>
      <c r="C655" t="s">
        <v>187</v>
      </c>
      <c r="D655" t="s">
        <v>70</v>
      </c>
      <c r="E655" t="s">
        <v>11</v>
      </c>
      <c r="F655" t="str">
        <f t="shared" si="10"/>
        <v>Central</v>
      </c>
      <c r="G655" t="s">
        <v>306</v>
      </c>
      <c r="H655" t="s">
        <v>32</v>
      </c>
      <c r="I655">
        <v>1</v>
      </c>
    </row>
    <row r="656" spans="1:9" ht="21.75" customHeight="1">
      <c r="A656" t="s">
        <v>806</v>
      </c>
      <c r="B656" s="3">
        <v>45580</v>
      </c>
      <c r="C656" t="s">
        <v>728</v>
      </c>
      <c r="D656" t="s">
        <v>197</v>
      </c>
      <c r="E656" t="s">
        <v>17</v>
      </c>
      <c r="F656" t="str">
        <f t="shared" si="10"/>
        <v>Central</v>
      </c>
      <c r="G656" t="s">
        <v>306</v>
      </c>
      <c r="H656" t="s">
        <v>23</v>
      </c>
      <c r="I656">
        <v>15</v>
      </c>
    </row>
    <row r="657" spans="1:9" ht="21.75" customHeight="1">
      <c r="A657" t="s">
        <v>807</v>
      </c>
      <c r="B657" s="3">
        <v>45392</v>
      </c>
      <c r="C657" t="s">
        <v>388</v>
      </c>
      <c r="D657" t="s">
        <v>16</v>
      </c>
      <c r="E657" t="s">
        <v>22</v>
      </c>
      <c r="F657" t="str">
        <f t="shared" si="10"/>
        <v>South</v>
      </c>
      <c r="G657" t="s">
        <v>56</v>
      </c>
      <c r="H657" t="s">
        <v>13</v>
      </c>
      <c r="I657">
        <v>1</v>
      </c>
    </row>
    <row r="658" spans="1:9" ht="21.75" customHeight="1">
      <c r="A658" t="s">
        <v>808</v>
      </c>
      <c r="B658" s="3">
        <v>45411</v>
      </c>
      <c r="C658" t="s">
        <v>591</v>
      </c>
      <c r="D658" t="s">
        <v>72</v>
      </c>
      <c r="E658" t="s">
        <v>17</v>
      </c>
      <c r="F658" t="str">
        <f t="shared" si="10"/>
        <v>North</v>
      </c>
      <c r="G658" t="s">
        <v>12</v>
      </c>
      <c r="H658" t="s">
        <v>23</v>
      </c>
      <c r="I658">
        <v>1</v>
      </c>
    </row>
    <row r="659" spans="1:9" ht="21.75" customHeight="1">
      <c r="A659" t="s">
        <v>809</v>
      </c>
      <c r="B659" s="3">
        <v>45449</v>
      </c>
      <c r="C659" t="s">
        <v>15</v>
      </c>
      <c r="D659" t="s">
        <v>197</v>
      </c>
      <c r="E659" t="s">
        <v>11</v>
      </c>
      <c r="F659" t="str">
        <f t="shared" si="10"/>
        <v>Central</v>
      </c>
      <c r="G659" t="s">
        <v>306</v>
      </c>
      <c r="H659" t="s">
        <v>13</v>
      </c>
      <c r="I659">
        <v>14</v>
      </c>
    </row>
    <row r="660" spans="1:9" ht="21.75" customHeight="1">
      <c r="A660" t="s">
        <v>810</v>
      </c>
      <c r="B660" s="3">
        <v>45364</v>
      </c>
      <c r="C660" t="s">
        <v>436</v>
      </c>
      <c r="D660" t="s">
        <v>79</v>
      </c>
      <c r="E660" t="s">
        <v>17</v>
      </c>
      <c r="F660" t="str">
        <f t="shared" si="10"/>
        <v>North</v>
      </c>
      <c r="G660" t="s">
        <v>12</v>
      </c>
      <c r="H660" t="s">
        <v>36</v>
      </c>
      <c r="I660">
        <v>8</v>
      </c>
    </row>
    <row r="661" spans="1:9" ht="21.75" customHeight="1">
      <c r="A661" t="s">
        <v>811</v>
      </c>
      <c r="B661" s="3">
        <v>45503</v>
      </c>
      <c r="C661" t="s">
        <v>424</v>
      </c>
      <c r="D661" t="s">
        <v>84</v>
      </c>
      <c r="E661" t="s">
        <v>17</v>
      </c>
      <c r="F661" t="str">
        <f t="shared" si="10"/>
        <v>West</v>
      </c>
      <c r="G661" t="s">
        <v>27</v>
      </c>
      <c r="H661" t="s">
        <v>36</v>
      </c>
      <c r="I661">
        <v>3</v>
      </c>
    </row>
    <row r="662" spans="1:9" ht="21.75" customHeight="1">
      <c r="A662" t="s">
        <v>812</v>
      </c>
      <c r="B662" s="3">
        <v>45360</v>
      </c>
      <c r="C662" t="s">
        <v>541</v>
      </c>
      <c r="D662" t="s">
        <v>59</v>
      </c>
      <c r="E662" t="s">
        <v>17</v>
      </c>
      <c r="F662" t="str">
        <f t="shared" si="10"/>
        <v>North</v>
      </c>
      <c r="G662" t="s">
        <v>12</v>
      </c>
      <c r="H662" t="s">
        <v>28</v>
      </c>
      <c r="I662">
        <v>19</v>
      </c>
    </row>
    <row r="663" spans="1:9" ht="21.75" customHeight="1">
      <c r="A663" t="s">
        <v>813</v>
      </c>
      <c r="B663" s="3">
        <v>45413</v>
      </c>
      <c r="C663" t="s">
        <v>61</v>
      </c>
      <c r="D663" t="s">
        <v>31</v>
      </c>
      <c r="E663" t="s">
        <v>17</v>
      </c>
      <c r="F663" t="str">
        <f t="shared" si="10"/>
        <v>East</v>
      </c>
      <c r="G663" t="s">
        <v>42</v>
      </c>
      <c r="H663" t="s">
        <v>32</v>
      </c>
      <c r="I663">
        <v>11</v>
      </c>
    </row>
    <row r="664" spans="1:9" ht="21.75" customHeight="1">
      <c r="A664" t="s">
        <v>814</v>
      </c>
      <c r="B664" s="3">
        <v>45411</v>
      </c>
      <c r="C664" t="s">
        <v>208</v>
      </c>
      <c r="D664" t="s">
        <v>119</v>
      </c>
      <c r="E664" t="s">
        <v>11</v>
      </c>
      <c r="F664" t="str">
        <f t="shared" si="10"/>
        <v>South</v>
      </c>
      <c r="G664" t="s">
        <v>56</v>
      </c>
      <c r="H664" t="s">
        <v>13</v>
      </c>
      <c r="I664">
        <v>19</v>
      </c>
    </row>
    <row r="665" spans="1:9" ht="21.75" customHeight="1">
      <c r="A665" t="s">
        <v>815</v>
      </c>
      <c r="B665" s="3">
        <v>45376</v>
      </c>
      <c r="C665" t="s">
        <v>430</v>
      </c>
      <c r="D665" t="s">
        <v>87</v>
      </c>
      <c r="E665" t="s">
        <v>17</v>
      </c>
      <c r="F665" t="str">
        <f t="shared" si="10"/>
        <v>East</v>
      </c>
      <c r="G665" t="s">
        <v>42</v>
      </c>
      <c r="H665" t="s">
        <v>28</v>
      </c>
      <c r="I665">
        <v>4</v>
      </c>
    </row>
    <row r="666" spans="1:9" ht="21.75" customHeight="1">
      <c r="A666" t="s">
        <v>816</v>
      </c>
      <c r="B666" s="3">
        <v>45523</v>
      </c>
      <c r="C666" t="s">
        <v>147</v>
      </c>
      <c r="D666" t="s">
        <v>102</v>
      </c>
      <c r="E666" t="s">
        <v>17</v>
      </c>
      <c r="F666" t="str">
        <f t="shared" si="10"/>
        <v>East</v>
      </c>
      <c r="G666" t="s">
        <v>42</v>
      </c>
      <c r="H666" t="s">
        <v>32</v>
      </c>
      <c r="I666">
        <v>3</v>
      </c>
    </row>
    <row r="667" spans="1:9" ht="21.75" customHeight="1">
      <c r="A667" t="s">
        <v>817</v>
      </c>
      <c r="B667" s="3">
        <v>45652</v>
      </c>
      <c r="C667" t="s">
        <v>424</v>
      </c>
      <c r="D667" t="s">
        <v>65</v>
      </c>
      <c r="E667" t="s">
        <v>22</v>
      </c>
      <c r="F667" t="str">
        <f t="shared" si="10"/>
        <v>North</v>
      </c>
      <c r="G667" t="s">
        <v>12</v>
      </c>
      <c r="H667" t="s">
        <v>28</v>
      </c>
      <c r="I667">
        <v>11</v>
      </c>
    </row>
    <row r="668" spans="1:9" ht="21.75" customHeight="1">
      <c r="A668" t="s">
        <v>818</v>
      </c>
      <c r="B668" s="3">
        <v>45474</v>
      </c>
      <c r="C668" t="s">
        <v>106</v>
      </c>
      <c r="D668" t="s">
        <v>41</v>
      </c>
      <c r="E668" t="s">
        <v>22</v>
      </c>
      <c r="F668" t="str">
        <f t="shared" si="10"/>
        <v>North</v>
      </c>
      <c r="G668" t="s">
        <v>12</v>
      </c>
      <c r="H668" t="s">
        <v>28</v>
      </c>
      <c r="I668">
        <v>10</v>
      </c>
    </row>
    <row r="669" spans="1:9" ht="21.75" customHeight="1">
      <c r="A669" t="s">
        <v>819</v>
      </c>
      <c r="B669" s="3">
        <v>45307</v>
      </c>
      <c r="C669" t="s">
        <v>341</v>
      </c>
      <c r="D669" t="s">
        <v>84</v>
      </c>
      <c r="E669" t="s">
        <v>17</v>
      </c>
      <c r="F669" t="str">
        <f t="shared" si="10"/>
        <v>Central</v>
      </c>
      <c r="G669" t="s">
        <v>306</v>
      </c>
      <c r="H669" t="s">
        <v>23</v>
      </c>
      <c r="I669">
        <v>18</v>
      </c>
    </row>
    <row r="670" spans="1:9" ht="21.75" customHeight="1">
      <c r="A670" t="s">
        <v>820</v>
      </c>
      <c r="B670" s="3">
        <v>45344</v>
      </c>
      <c r="C670" t="s">
        <v>99</v>
      </c>
      <c r="D670" t="s">
        <v>79</v>
      </c>
      <c r="E670" t="s">
        <v>11</v>
      </c>
      <c r="F670" t="str">
        <f t="shared" si="10"/>
        <v>North</v>
      </c>
      <c r="G670" t="s">
        <v>12</v>
      </c>
      <c r="H670" t="s">
        <v>23</v>
      </c>
      <c r="I670">
        <v>8</v>
      </c>
    </row>
    <row r="671" spans="1:9" ht="21.75" customHeight="1">
      <c r="A671" t="s">
        <v>821</v>
      </c>
      <c r="B671" s="3">
        <v>45482</v>
      </c>
      <c r="C671" t="s">
        <v>455</v>
      </c>
      <c r="D671" t="s">
        <v>59</v>
      </c>
      <c r="E671" t="s">
        <v>22</v>
      </c>
      <c r="F671" t="str">
        <f t="shared" si="10"/>
        <v>North</v>
      </c>
      <c r="G671" t="s">
        <v>12</v>
      </c>
      <c r="H671" t="s">
        <v>13</v>
      </c>
      <c r="I671">
        <v>19</v>
      </c>
    </row>
    <row r="672" spans="1:9" ht="21.75" customHeight="1">
      <c r="A672" t="s">
        <v>822</v>
      </c>
      <c r="B672" s="3">
        <v>45303</v>
      </c>
      <c r="C672" t="s">
        <v>58</v>
      </c>
      <c r="D672" t="s">
        <v>16</v>
      </c>
      <c r="E672" t="s">
        <v>11</v>
      </c>
      <c r="F672" t="str">
        <f t="shared" si="10"/>
        <v>West</v>
      </c>
      <c r="G672" t="s">
        <v>27</v>
      </c>
      <c r="H672" t="s">
        <v>32</v>
      </c>
      <c r="I672">
        <v>3</v>
      </c>
    </row>
    <row r="673" spans="1:9" ht="21.75" customHeight="1">
      <c r="A673" t="s">
        <v>823</v>
      </c>
      <c r="B673" s="3">
        <v>45354</v>
      </c>
      <c r="C673" t="s">
        <v>116</v>
      </c>
      <c r="D673" t="s">
        <v>45</v>
      </c>
      <c r="E673" t="s">
        <v>17</v>
      </c>
      <c r="F673" t="str">
        <f t="shared" si="10"/>
        <v>North</v>
      </c>
      <c r="G673" t="s">
        <v>12</v>
      </c>
      <c r="H673" t="s">
        <v>23</v>
      </c>
      <c r="I673">
        <v>19</v>
      </c>
    </row>
    <row r="674" spans="1:9" ht="21.75" customHeight="1">
      <c r="A674" t="s">
        <v>824</v>
      </c>
      <c r="B674" s="3">
        <v>45546</v>
      </c>
      <c r="C674" t="s">
        <v>64</v>
      </c>
      <c r="D674" t="s">
        <v>45</v>
      </c>
      <c r="E674" t="s">
        <v>17</v>
      </c>
      <c r="F674" t="str">
        <f t="shared" si="10"/>
        <v>West</v>
      </c>
      <c r="G674" t="s">
        <v>27</v>
      </c>
      <c r="H674" t="s">
        <v>28</v>
      </c>
      <c r="I674">
        <v>12</v>
      </c>
    </row>
    <row r="675" spans="1:9" ht="21.75" customHeight="1">
      <c r="A675" t="s">
        <v>825</v>
      </c>
      <c r="B675" s="3">
        <v>45432</v>
      </c>
      <c r="C675" t="s">
        <v>89</v>
      </c>
      <c r="D675" t="s">
        <v>79</v>
      </c>
      <c r="E675" t="s">
        <v>17</v>
      </c>
      <c r="F675" t="str">
        <f t="shared" si="10"/>
        <v>South</v>
      </c>
      <c r="G675" t="s">
        <v>56</v>
      </c>
      <c r="H675" t="s">
        <v>28</v>
      </c>
      <c r="I675">
        <v>20</v>
      </c>
    </row>
    <row r="676" spans="1:9" ht="21.75" customHeight="1">
      <c r="A676" t="s">
        <v>826</v>
      </c>
      <c r="B676" s="3">
        <v>45623</v>
      </c>
      <c r="C676" t="s">
        <v>61</v>
      </c>
      <c r="D676" t="s">
        <v>174</v>
      </c>
      <c r="E676" t="s">
        <v>17</v>
      </c>
      <c r="F676" t="str">
        <f t="shared" si="10"/>
        <v>West</v>
      </c>
      <c r="G676" t="s">
        <v>27</v>
      </c>
      <c r="H676" t="s">
        <v>32</v>
      </c>
      <c r="I676">
        <v>16</v>
      </c>
    </row>
    <row r="677" spans="1:9" ht="21.75" customHeight="1">
      <c r="A677" t="s">
        <v>827</v>
      </c>
      <c r="B677" s="3">
        <v>45488</v>
      </c>
      <c r="C677" t="s">
        <v>99</v>
      </c>
      <c r="D677" t="s">
        <v>21</v>
      </c>
      <c r="E677" t="s">
        <v>17</v>
      </c>
      <c r="F677" t="str">
        <f t="shared" si="10"/>
        <v>South</v>
      </c>
      <c r="G677" t="s">
        <v>56</v>
      </c>
      <c r="H677" t="s">
        <v>36</v>
      </c>
      <c r="I677">
        <v>17</v>
      </c>
    </row>
    <row r="678" spans="1:9" ht="21.75" customHeight="1">
      <c r="A678" t="s">
        <v>828</v>
      </c>
      <c r="B678" s="3">
        <v>45301</v>
      </c>
      <c r="C678" t="s">
        <v>159</v>
      </c>
      <c r="D678" t="s">
        <v>35</v>
      </c>
      <c r="E678" t="s">
        <v>22</v>
      </c>
      <c r="F678" t="str">
        <f t="shared" si="10"/>
        <v>East</v>
      </c>
      <c r="G678" t="s">
        <v>42</v>
      </c>
      <c r="H678" t="s">
        <v>32</v>
      </c>
      <c r="I678">
        <v>18</v>
      </c>
    </row>
    <row r="679" spans="1:9" ht="21.75" customHeight="1">
      <c r="A679" t="s">
        <v>829</v>
      </c>
      <c r="B679" s="3">
        <v>45581</v>
      </c>
      <c r="C679" t="s">
        <v>358</v>
      </c>
      <c r="D679" t="s">
        <v>26</v>
      </c>
      <c r="E679" t="s">
        <v>17</v>
      </c>
      <c r="F679" t="str">
        <f t="shared" si="10"/>
        <v>West</v>
      </c>
      <c r="G679" t="s">
        <v>27</v>
      </c>
      <c r="H679" t="s">
        <v>36</v>
      </c>
      <c r="I679">
        <v>6</v>
      </c>
    </row>
    <row r="680" spans="1:9" ht="21.75" customHeight="1">
      <c r="A680" t="s">
        <v>830</v>
      </c>
      <c r="B680" s="3">
        <v>45404</v>
      </c>
      <c r="C680" t="s">
        <v>64</v>
      </c>
      <c r="D680" t="s">
        <v>35</v>
      </c>
      <c r="E680" t="s">
        <v>17</v>
      </c>
      <c r="F680" t="str">
        <f t="shared" si="10"/>
        <v>North</v>
      </c>
      <c r="G680" t="s">
        <v>12</v>
      </c>
      <c r="H680" t="s">
        <v>36</v>
      </c>
      <c r="I680">
        <v>17</v>
      </c>
    </row>
    <row r="681" spans="1:9" ht="21.75" customHeight="1">
      <c r="A681" t="s">
        <v>831</v>
      </c>
      <c r="B681" s="3">
        <v>45411</v>
      </c>
      <c r="C681" t="s">
        <v>111</v>
      </c>
      <c r="D681" t="s">
        <v>41</v>
      </c>
      <c r="E681" t="s">
        <v>11</v>
      </c>
      <c r="F681" t="str">
        <f t="shared" si="10"/>
        <v>South</v>
      </c>
      <c r="G681" t="s">
        <v>56</v>
      </c>
      <c r="H681" t="s">
        <v>13</v>
      </c>
      <c r="I681">
        <v>8</v>
      </c>
    </row>
    <row r="682" spans="1:9" ht="21.75" customHeight="1">
      <c r="A682" t="s">
        <v>832</v>
      </c>
      <c r="B682" s="3">
        <v>45404</v>
      </c>
      <c r="C682" t="s">
        <v>314</v>
      </c>
      <c r="D682" t="s">
        <v>45</v>
      </c>
      <c r="E682" t="s">
        <v>17</v>
      </c>
      <c r="F682" t="str">
        <f t="shared" si="10"/>
        <v>East</v>
      </c>
      <c r="G682" t="s">
        <v>42</v>
      </c>
      <c r="H682" t="s">
        <v>32</v>
      </c>
      <c r="I682">
        <v>6</v>
      </c>
    </row>
    <row r="683" spans="1:9" ht="21.75" customHeight="1">
      <c r="A683" t="s">
        <v>833</v>
      </c>
      <c r="B683" s="3">
        <v>45649</v>
      </c>
      <c r="C683" t="s">
        <v>182</v>
      </c>
      <c r="D683" t="s">
        <v>62</v>
      </c>
      <c r="E683" t="s">
        <v>22</v>
      </c>
      <c r="F683" t="str">
        <f t="shared" si="10"/>
        <v>North</v>
      </c>
      <c r="G683" t="s">
        <v>12</v>
      </c>
      <c r="H683" t="s">
        <v>36</v>
      </c>
      <c r="I683">
        <v>12</v>
      </c>
    </row>
    <row r="684" spans="1:9" ht="21.75" customHeight="1">
      <c r="A684" t="s">
        <v>834</v>
      </c>
      <c r="B684" s="3">
        <v>45364</v>
      </c>
      <c r="C684" t="s">
        <v>614</v>
      </c>
      <c r="D684" t="s">
        <v>174</v>
      </c>
      <c r="E684" t="s">
        <v>11</v>
      </c>
      <c r="F684" t="str">
        <f t="shared" si="10"/>
        <v>West</v>
      </c>
      <c r="G684" t="s">
        <v>27</v>
      </c>
      <c r="H684" t="s">
        <v>13</v>
      </c>
      <c r="I684">
        <v>10</v>
      </c>
    </row>
    <row r="685" spans="1:9" ht="21.75" customHeight="1">
      <c r="A685" t="s">
        <v>835</v>
      </c>
      <c r="B685" s="3">
        <v>45338</v>
      </c>
      <c r="C685" t="s">
        <v>131</v>
      </c>
      <c r="D685" t="s">
        <v>197</v>
      </c>
      <c r="E685" t="s">
        <v>11</v>
      </c>
      <c r="F685" t="str">
        <f t="shared" si="10"/>
        <v>Central</v>
      </c>
      <c r="G685" t="s">
        <v>306</v>
      </c>
      <c r="H685" t="s">
        <v>13</v>
      </c>
      <c r="I685">
        <v>1</v>
      </c>
    </row>
    <row r="686" spans="1:9" ht="21.75" customHeight="1">
      <c r="A686" t="s">
        <v>836</v>
      </c>
      <c r="B686" s="3">
        <v>45461</v>
      </c>
      <c r="C686" t="s">
        <v>594</v>
      </c>
      <c r="D686" t="s">
        <v>72</v>
      </c>
      <c r="E686" t="s">
        <v>11</v>
      </c>
      <c r="F686" t="str">
        <f t="shared" si="10"/>
        <v>South</v>
      </c>
      <c r="G686" t="s">
        <v>56</v>
      </c>
      <c r="H686" t="s">
        <v>32</v>
      </c>
      <c r="I686">
        <v>6</v>
      </c>
    </row>
    <row r="687" spans="1:9" ht="21.75" customHeight="1">
      <c r="A687" t="s">
        <v>837</v>
      </c>
      <c r="B687" s="3">
        <v>45322</v>
      </c>
      <c r="C687" t="s">
        <v>138</v>
      </c>
      <c r="D687" t="s">
        <v>62</v>
      </c>
      <c r="E687" t="s">
        <v>11</v>
      </c>
      <c r="F687" t="str">
        <f t="shared" si="10"/>
        <v>Central</v>
      </c>
      <c r="G687" t="s">
        <v>306</v>
      </c>
      <c r="H687" t="s">
        <v>36</v>
      </c>
      <c r="I687">
        <v>5</v>
      </c>
    </row>
    <row r="688" spans="1:9" ht="21.75" customHeight="1">
      <c r="A688" t="s">
        <v>838</v>
      </c>
      <c r="B688" s="3">
        <v>45478</v>
      </c>
      <c r="C688" t="s">
        <v>208</v>
      </c>
      <c r="D688" t="s">
        <v>59</v>
      </c>
      <c r="E688" t="s">
        <v>17</v>
      </c>
      <c r="F688" t="str">
        <f t="shared" si="10"/>
        <v>West</v>
      </c>
      <c r="G688" t="s">
        <v>27</v>
      </c>
      <c r="H688" t="s">
        <v>32</v>
      </c>
      <c r="I688">
        <v>4</v>
      </c>
    </row>
    <row r="689" spans="1:9" ht="21.75" customHeight="1">
      <c r="A689" t="s">
        <v>839</v>
      </c>
      <c r="B689" s="3">
        <v>45361</v>
      </c>
      <c r="C689" t="s">
        <v>111</v>
      </c>
      <c r="D689" t="s">
        <v>21</v>
      </c>
      <c r="E689" t="s">
        <v>22</v>
      </c>
      <c r="F689" t="str">
        <f t="shared" si="10"/>
        <v>West</v>
      </c>
      <c r="G689" t="s">
        <v>27</v>
      </c>
      <c r="H689" t="s">
        <v>28</v>
      </c>
      <c r="I689">
        <v>16</v>
      </c>
    </row>
    <row r="690" spans="1:9" ht="21.75" customHeight="1">
      <c r="A690" t="s">
        <v>840</v>
      </c>
      <c r="B690" s="3">
        <v>45654</v>
      </c>
      <c r="C690" t="s">
        <v>642</v>
      </c>
      <c r="D690" t="s">
        <v>48</v>
      </c>
      <c r="E690" t="s">
        <v>22</v>
      </c>
      <c r="F690" t="str">
        <f t="shared" si="10"/>
        <v>Central</v>
      </c>
      <c r="G690" t="s">
        <v>306</v>
      </c>
      <c r="H690" t="s">
        <v>28</v>
      </c>
      <c r="I690">
        <v>8</v>
      </c>
    </row>
    <row r="691" spans="1:9" ht="21.75" customHeight="1">
      <c r="A691" t="s">
        <v>841</v>
      </c>
      <c r="B691" s="3">
        <v>45485</v>
      </c>
      <c r="C691" t="s">
        <v>147</v>
      </c>
      <c r="D691" t="s">
        <v>16</v>
      </c>
      <c r="E691" t="s">
        <v>22</v>
      </c>
      <c r="F691" t="str">
        <f t="shared" si="10"/>
        <v>East</v>
      </c>
      <c r="G691" t="s">
        <v>42</v>
      </c>
      <c r="H691" t="s">
        <v>36</v>
      </c>
      <c r="I691">
        <v>6</v>
      </c>
    </row>
    <row r="692" spans="1:9" ht="21.75" customHeight="1">
      <c r="A692" t="s">
        <v>842</v>
      </c>
      <c r="B692" s="3">
        <v>45492</v>
      </c>
      <c r="C692" t="s">
        <v>337</v>
      </c>
      <c r="D692" t="s">
        <v>45</v>
      </c>
      <c r="E692" t="s">
        <v>22</v>
      </c>
      <c r="F692" t="str">
        <f t="shared" si="10"/>
        <v>North</v>
      </c>
      <c r="G692" t="s">
        <v>12</v>
      </c>
      <c r="H692" t="s">
        <v>36</v>
      </c>
      <c r="I692">
        <v>20</v>
      </c>
    </row>
    <row r="693" spans="1:9" ht="21.75" customHeight="1">
      <c r="A693" t="s">
        <v>843</v>
      </c>
      <c r="B693" s="3">
        <v>45405</v>
      </c>
      <c r="C693" t="s">
        <v>541</v>
      </c>
      <c r="D693" t="s">
        <v>35</v>
      </c>
      <c r="E693" t="s">
        <v>22</v>
      </c>
      <c r="F693" t="str">
        <f t="shared" si="10"/>
        <v>North</v>
      </c>
      <c r="G693" t="s">
        <v>12</v>
      </c>
      <c r="H693" t="s">
        <v>13</v>
      </c>
      <c r="I693">
        <v>5</v>
      </c>
    </row>
    <row r="694" spans="1:9" ht="21.75" customHeight="1">
      <c r="A694" t="s">
        <v>844</v>
      </c>
      <c r="B694" s="3">
        <v>45413</v>
      </c>
      <c r="C694" t="s">
        <v>20</v>
      </c>
      <c r="D694" t="s">
        <v>21</v>
      </c>
      <c r="E694" t="s">
        <v>17</v>
      </c>
      <c r="F694" t="str">
        <f t="shared" si="10"/>
        <v>South</v>
      </c>
      <c r="G694" t="s">
        <v>56</v>
      </c>
      <c r="H694" t="s">
        <v>32</v>
      </c>
      <c r="I694">
        <v>3</v>
      </c>
    </row>
    <row r="695" spans="1:9" ht="21.75" customHeight="1">
      <c r="A695" t="s">
        <v>845</v>
      </c>
      <c r="B695" s="3">
        <v>45520</v>
      </c>
      <c r="C695" t="s">
        <v>142</v>
      </c>
      <c r="D695" t="s">
        <v>197</v>
      </c>
      <c r="E695" t="s">
        <v>17</v>
      </c>
      <c r="F695" t="str">
        <f t="shared" si="10"/>
        <v>South</v>
      </c>
      <c r="G695" t="s">
        <v>56</v>
      </c>
      <c r="H695" t="s">
        <v>13</v>
      </c>
      <c r="I695">
        <v>3</v>
      </c>
    </row>
    <row r="696" spans="1:9" ht="21.75" customHeight="1">
      <c r="A696" t="s">
        <v>846</v>
      </c>
      <c r="B696" s="3">
        <v>45292</v>
      </c>
      <c r="C696" t="s">
        <v>9</v>
      </c>
      <c r="D696" t="s">
        <v>84</v>
      </c>
      <c r="E696" t="s">
        <v>17</v>
      </c>
      <c r="F696" t="str">
        <f t="shared" si="10"/>
        <v>West</v>
      </c>
      <c r="G696" t="s">
        <v>27</v>
      </c>
      <c r="H696" t="s">
        <v>23</v>
      </c>
      <c r="I696">
        <v>14</v>
      </c>
    </row>
    <row r="697" spans="1:9" ht="21.75" customHeight="1">
      <c r="A697" t="s">
        <v>847</v>
      </c>
      <c r="B697" s="3">
        <v>45544</v>
      </c>
      <c r="C697" t="s">
        <v>159</v>
      </c>
      <c r="D697" t="s">
        <v>31</v>
      </c>
      <c r="E697" t="s">
        <v>17</v>
      </c>
      <c r="F697" t="str">
        <f t="shared" si="10"/>
        <v>Central</v>
      </c>
      <c r="G697" t="s">
        <v>306</v>
      </c>
      <c r="H697" t="s">
        <v>36</v>
      </c>
      <c r="I697">
        <v>4</v>
      </c>
    </row>
    <row r="698" spans="1:9" ht="21.75" customHeight="1">
      <c r="A698" t="s">
        <v>848</v>
      </c>
      <c r="B698" s="3">
        <v>45625</v>
      </c>
      <c r="C698" t="s">
        <v>332</v>
      </c>
      <c r="D698" t="s">
        <v>45</v>
      </c>
      <c r="E698" t="s">
        <v>22</v>
      </c>
      <c r="F698" t="str">
        <f t="shared" si="10"/>
        <v>South</v>
      </c>
      <c r="G698" t="s">
        <v>56</v>
      </c>
      <c r="H698" t="s">
        <v>13</v>
      </c>
      <c r="I698">
        <v>15</v>
      </c>
    </row>
    <row r="699" spans="1:9" ht="21.75" customHeight="1">
      <c r="A699" t="s">
        <v>849</v>
      </c>
      <c r="B699" s="3">
        <v>45442</v>
      </c>
      <c r="C699" t="s">
        <v>138</v>
      </c>
      <c r="D699" t="s">
        <v>102</v>
      </c>
      <c r="E699" t="s">
        <v>17</v>
      </c>
      <c r="F699" t="str">
        <f t="shared" si="10"/>
        <v>East</v>
      </c>
      <c r="G699" t="s">
        <v>42</v>
      </c>
      <c r="H699" t="s">
        <v>23</v>
      </c>
      <c r="I699">
        <v>3</v>
      </c>
    </row>
    <row r="700" spans="1:9" ht="21.75" customHeight="1">
      <c r="A700" t="s">
        <v>850</v>
      </c>
      <c r="B700" s="3">
        <v>45374</v>
      </c>
      <c r="C700" t="s">
        <v>388</v>
      </c>
      <c r="D700" t="s">
        <v>10</v>
      </c>
      <c r="E700" t="s">
        <v>11</v>
      </c>
      <c r="F700" t="str">
        <f t="shared" si="10"/>
        <v>Central</v>
      </c>
      <c r="G700" t="s">
        <v>306</v>
      </c>
      <c r="H700" t="s">
        <v>36</v>
      </c>
      <c r="I700">
        <v>11</v>
      </c>
    </row>
    <row r="701" spans="1:9" ht="21.75" customHeight="1">
      <c r="A701" t="s">
        <v>851</v>
      </c>
      <c r="B701" s="3">
        <v>45539</v>
      </c>
      <c r="C701" t="s">
        <v>369</v>
      </c>
      <c r="D701" t="s">
        <v>21</v>
      </c>
      <c r="E701" t="s">
        <v>11</v>
      </c>
      <c r="F701" t="str">
        <f t="shared" si="10"/>
        <v>West</v>
      </c>
      <c r="G701" t="s">
        <v>27</v>
      </c>
      <c r="H701" t="s">
        <v>23</v>
      </c>
      <c r="I701">
        <v>6</v>
      </c>
    </row>
    <row r="702" spans="1:9" ht="21.75" customHeight="1">
      <c r="A702" t="s">
        <v>852</v>
      </c>
      <c r="B702" s="3">
        <v>45372</v>
      </c>
      <c r="C702" t="s">
        <v>9</v>
      </c>
      <c r="D702" t="s">
        <v>65</v>
      </c>
      <c r="E702" t="s">
        <v>11</v>
      </c>
      <c r="F702" t="str">
        <f t="shared" si="10"/>
        <v>East</v>
      </c>
      <c r="G702" t="s">
        <v>42</v>
      </c>
      <c r="H702" t="s">
        <v>36</v>
      </c>
      <c r="I702">
        <v>7</v>
      </c>
    </row>
    <row r="703" spans="1:9" ht="21.75" customHeight="1">
      <c r="A703" t="s">
        <v>853</v>
      </c>
      <c r="B703" s="3">
        <v>45568</v>
      </c>
      <c r="C703" t="s">
        <v>86</v>
      </c>
      <c r="D703" t="s">
        <v>74</v>
      </c>
      <c r="E703" t="s">
        <v>22</v>
      </c>
      <c r="F703" t="str">
        <f t="shared" si="10"/>
        <v>East</v>
      </c>
      <c r="G703" t="s">
        <v>42</v>
      </c>
      <c r="H703" t="s">
        <v>23</v>
      </c>
      <c r="I703">
        <v>8</v>
      </c>
    </row>
    <row r="704" spans="1:9" ht="21.75" customHeight="1">
      <c r="A704" t="s">
        <v>854</v>
      </c>
      <c r="B704" s="3">
        <v>45584</v>
      </c>
      <c r="C704" t="s">
        <v>378</v>
      </c>
      <c r="D704" t="s">
        <v>79</v>
      </c>
      <c r="E704" t="s">
        <v>17</v>
      </c>
      <c r="F704" t="str">
        <f t="shared" si="10"/>
        <v>South</v>
      </c>
      <c r="G704" t="s">
        <v>56</v>
      </c>
      <c r="H704" t="s">
        <v>13</v>
      </c>
      <c r="I704">
        <v>12</v>
      </c>
    </row>
    <row r="705" spans="1:9" ht="21.75" customHeight="1">
      <c r="A705" t="s">
        <v>855</v>
      </c>
      <c r="B705" s="3">
        <v>45442</v>
      </c>
      <c r="C705" t="s">
        <v>371</v>
      </c>
      <c r="D705" t="s">
        <v>35</v>
      </c>
      <c r="E705" t="s">
        <v>22</v>
      </c>
      <c r="F705" t="str">
        <f t="shared" si="10"/>
        <v>Central</v>
      </c>
      <c r="G705" t="s">
        <v>306</v>
      </c>
      <c r="H705" t="s">
        <v>28</v>
      </c>
      <c r="I705">
        <v>7</v>
      </c>
    </row>
    <row r="706" spans="1:9" ht="21.75" customHeight="1">
      <c r="A706" t="s">
        <v>856</v>
      </c>
      <c r="B706" s="3">
        <v>45379</v>
      </c>
      <c r="C706" t="s">
        <v>541</v>
      </c>
      <c r="D706" t="s">
        <v>35</v>
      </c>
      <c r="E706" t="s">
        <v>17</v>
      </c>
      <c r="F706" t="str">
        <f t="shared" si="10"/>
        <v>North</v>
      </c>
      <c r="G706" t="s">
        <v>12</v>
      </c>
      <c r="H706" t="s">
        <v>23</v>
      </c>
      <c r="I706">
        <v>4</v>
      </c>
    </row>
    <row r="707" spans="1:9" ht="21.75" customHeight="1">
      <c r="A707" t="s">
        <v>857</v>
      </c>
      <c r="B707" s="3">
        <v>45533</v>
      </c>
      <c r="C707" t="s">
        <v>374</v>
      </c>
      <c r="D707" t="s">
        <v>10</v>
      </c>
      <c r="E707" t="s">
        <v>22</v>
      </c>
      <c r="F707" t="str">
        <f t="shared" ref="F707:F770" si="11">TRIM(PROPER(G707))</f>
        <v>East</v>
      </c>
      <c r="G707" t="s">
        <v>42</v>
      </c>
      <c r="H707" t="s">
        <v>32</v>
      </c>
      <c r="I707">
        <v>18</v>
      </c>
    </row>
    <row r="708" spans="1:9" ht="21.75" customHeight="1">
      <c r="A708" t="s">
        <v>858</v>
      </c>
      <c r="B708" s="3">
        <v>45487</v>
      </c>
      <c r="C708" t="s">
        <v>200</v>
      </c>
      <c r="D708" t="s">
        <v>79</v>
      </c>
      <c r="E708" t="s">
        <v>11</v>
      </c>
      <c r="F708" t="str">
        <f t="shared" si="11"/>
        <v>West</v>
      </c>
      <c r="G708" t="s">
        <v>27</v>
      </c>
      <c r="H708" t="s">
        <v>32</v>
      </c>
      <c r="I708">
        <v>9</v>
      </c>
    </row>
    <row r="709" spans="1:9" ht="21.75" customHeight="1">
      <c r="A709" t="s">
        <v>859</v>
      </c>
      <c r="B709" s="3">
        <v>45407</v>
      </c>
      <c r="C709" t="s">
        <v>101</v>
      </c>
      <c r="D709" t="s">
        <v>16</v>
      </c>
      <c r="E709" t="s">
        <v>22</v>
      </c>
      <c r="F709" t="str">
        <f t="shared" si="11"/>
        <v>North</v>
      </c>
      <c r="G709" t="s">
        <v>12</v>
      </c>
      <c r="H709" t="s">
        <v>32</v>
      </c>
      <c r="I709">
        <v>4</v>
      </c>
    </row>
    <row r="710" spans="1:9" ht="21.75" customHeight="1">
      <c r="A710" t="s">
        <v>860</v>
      </c>
      <c r="B710" s="3">
        <v>45569</v>
      </c>
      <c r="C710" t="s">
        <v>408</v>
      </c>
      <c r="D710" t="s">
        <v>174</v>
      </c>
      <c r="E710" t="s">
        <v>22</v>
      </c>
      <c r="F710" t="str">
        <f t="shared" si="11"/>
        <v>South</v>
      </c>
      <c r="G710" t="s">
        <v>56</v>
      </c>
      <c r="H710" t="s">
        <v>36</v>
      </c>
      <c r="I710">
        <v>2</v>
      </c>
    </row>
    <row r="711" spans="1:9" ht="21.75" customHeight="1">
      <c r="A711" t="s">
        <v>861</v>
      </c>
      <c r="B711" s="3">
        <v>45506</v>
      </c>
      <c r="C711" t="s">
        <v>312</v>
      </c>
      <c r="D711" t="s">
        <v>59</v>
      </c>
      <c r="E711" t="s">
        <v>22</v>
      </c>
      <c r="F711" t="str">
        <f t="shared" si="11"/>
        <v>West</v>
      </c>
      <c r="G711" t="s">
        <v>27</v>
      </c>
      <c r="H711" t="s">
        <v>13</v>
      </c>
      <c r="I711">
        <v>8</v>
      </c>
    </row>
    <row r="712" spans="1:9" ht="21.75" customHeight="1">
      <c r="A712" t="s">
        <v>862</v>
      </c>
      <c r="B712" s="3">
        <v>45494</v>
      </c>
      <c r="C712" t="s">
        <v>436</v>
      </c>
      <c r="D712" t="s">
        <v>59</v>
      </c>
      <c r="E712" t="s">
        <v>11</v>
      </c>
      <c r="F712" t="str">
        <f t="shared" si="11"/>
        <v>Central</v>
      </c>
      <c r="G712" t="s">
        <v>306</v>
      </c>
      <c r="H712" t="s">
        <v>36</v>
      </c>
      <c r="I712">
        <v>17</v>
      </c>
    </row>
    <row r="713" spans="1:9" ht="21.75" customHeight="1">
      <c r="A713" t="s">
        <v>863</v>
      </c>
      <c r="B713" s="3">
        <v>45367</v>
      </c>
      <c r="C713" t="s">
        <v>114</v>
      </c>
      <c r="D713" t="s">
        <v>45</v>
      </c>
      <c r="E713" t="s">
        <v>17</v>
      </c>
      <c r="F713" t="str">
        <f t="shared" si="11"/>
        <v>South</v>
      </c>
      <c r="G713" t="s">
        <v>56</v>
      </c>
      <c r="H713" t="s">
        <v>28</v>
      </c>
      <c r="I713">
        <v>7</v>
      </c>
    </row>
    <row r="714" spans="1:9" ht="21.75" customHeight="1">
      <c r="A714" t="s">
        <v>864</v>
      </c>
      <c r="B714" s="3">
        <v>45313</v>
      </c>
      <c r="C714" t="s">
        <v>309</v>
      </c>
      <c r="D714" t="s">
        <v>65</v>
      </c>
      <c r="E714" t="s">
        <v>11</v>
      </c>
      <c r="F714" t="str">
        <f t="shared" si="11"/>
        <v>West</v>
      </c>
      <c r="G714" t="s">
        <v>27</v>
      </c>
      <c r="H714" t="s">
        <v>32</v>
      </c>
      <c r="I714">
        <v>5</v>
      </c>
    </row>
    <row r="715" spans="1:9" ht="21.75" customHeight="1">
      <c r="A715" t="s">
        <v>865</v>
      </c>
      <c r="B715" s="3">
        <v>45455</v>
      </c>
      <c r="C715" t="s">
        <v>388</v>
      </c>
      <c r="D715" t="s">
        <v>31</v>
      </c>
      <c r="E715" t="s">
        <v>11</v>
      </c>
      <c r="F715" t="str">
        <f t="shared" si="11"/>
        <v>North</v>
      </c>
      <c r="G715" t="s">
        <v>12</v>
      </c>
      <c r="H715" t="s">
        <v>32</v>
      </c>
      <c r="I715">
        <v>18</v>
      </c>
    </row>
    <row r="716" spans="1:9" ht="21.75" customHeight="1">
      <c r="A716" t="s">
        <v>866</v>
      </c>
      <c r="B716" s="3">
        <v>45433</v>
      </c>
      <c r="C716" t="s">
        <v>363</v>
      </c>
      <c r="D716" t="s">
        <v>62</v>
      </c>
      <c r="E716" t="s">
        <v>17</v>
      </c>
      <c r="F716" t="str">
        <f t="shared" si="11"/>
        <v>North</v>
      </c>
      <c r="G716" t="s">
        <v>12</v>
      </c>
      <c r="H716" t="s">
        <v>23</v>
      </c>
      <c r="I716">
        <v>20</v>
      </c>
    </row>
    <row r="717" spans="1:9" ht="21.75" customHeight="1">
      <c r="A717" t="s">
        <v>867</v>
      </c>
      <c r="B717" s="3">
        <v>45349</v>
      </c>
      <c r="C717" t="s">
        <v>572</v>
      </c>
      <c r="D717" t="s">
        <v>59</v>
      </c>
      <c r="E717" t="s">
        <v>11</v>
      </c>
      <c r="F717" t="str">
        <f t="shared" si="11"/>
        <v>South</v>
      </c>
      <c r="G717" t="s">
        <v>56</v>
      </c>
      <c r="H717" t="s">
        <v>13</v>
      </c>
      <c r="I717">
        <v>19</v>
      </c>
    </row>
    <row r="718" spans="1:9" ht="21.75" customHeight="1">
      <c r="A718" t="s">
        <v>868</v>
      </c>
      <c r="B718" s="3">
        <v>45346</v>
      </c>
      <c r="C718" t="s">
        <v>614</v>
      </c>
      <c r="D718" t="s">
        <v>174</v>
      </c>
      <c r="E718" t="s">
        <v>11</v>
      </c>
      <c r="F718" t="str">
        <f t="shared" si="11"/>
        <v>East</v>
      </c>
      <c r="G718" t="s">
        <v>42</v>
      </c>
      <c r="H718" t="s">
        <v>32</v>
      </c>
      <c r="I718">
        <v>12</v>
      </c>
    </row>
    <row r="719" spans="1:9" ht="21.75" customHeight="1">
      <c r="A719" t="s">
        <v>869</v>
      </c>
      <c r="B719" s="3">
        <v>45488</v>
      </c>
      <c r="C719" t="s">
        <v>350</v>
      </c>
      <c r="D719" t="s">
        <v>109</v>
      </c>
      <c r="E719" t="s">
        <v>17</v>
      </c>
      <c r="F719" t="str">
        <f t="shared" si="11"/>
        <v>Central</v>
      </c>
      <c r="G719" t="s">
        <v>306</v>
      </c>
      <c r="H719" t="s">
        <v>32</v>
      </c>
      <c r="I719">
        <v>16</v>
      </c>
    </row>
    <row r="720" spans="1:9" ht="21.75" customHeight="1">
      <c r="A720" t="s">
        <v>870</v>
      </c>
      <c r="B720" s="3">
        <v>45498</v>
      </c>
      <c r="C720" t="s">
        <v>167</v>
      </c>
      <c r="D720" t="s">
        <v>41</v>
      </c>
      <c r="E720" t="s">
        <v>22</v>
      </c>
      <c r="F720" t="str">
        <f t="shared" si="11"/>
        <v>Central</v>
      </c>
      <c r="G720" t="s">
        <v>306</v>
      </c>
      <c r="H720" t="s">
        <v>32</v>
      </c>
      <c r="I720">
        <v>13</v>
      </c>
    </row>
    <row r="721" spans="1:9" ht="21.75" customHeight="1">
      <c r="A721" t="s">
        <v>871</v>
      </c>
      <c r="B721" s="3">
        <v>45645</v>
      </c>
      <c r="C721" t="s">
        <v>93</v>
      </c>
      <c r="D721" t="s">
        <v>26</v>
      </c>
      <c r="E721" t="s">
        <v>11</v>
      </c>
      <c r="F721" t="str">
        <f t="shared" si="11"/>
        <v>West</v>
      </c>
      <c r="G721" t="s">
        <v>27</v>
      </c>
      <c r="H721" t="s">
        <v>32</v>
      </c>
      <c r="I721">
        <v>12</v>
      </c>
    </row>
    <row r="722" spans="1:9" ht="21.75" customHeight="1">
      <c r="A722" t="s">
        <v>872</v>
      </c>
      <c r="B722" s="3">
        <v>45451</v>
      </c>
      <c r="C722" t="s">
        <v>89</v>
      </c>
      <c r="D722" t="s">
        <v>197</v>
      </c>
      <c r="E722" t="s">
        <v>17</v>
      </c>
      <c r="F722" t="str">
        <f t="shared" si="11"/>
        <v>North</v>
      </c>
      <c r="G722" t="s">
        <v>12</v>
      </c>
      <c r="H722" t="s">
        <v>23</v>
      </c>
      <c r="I722">
        <v>5</v>
      </c>
    </row>
    <row r="723" spans="1:9" ht="21.75" customHeight="1">
      <c r="A723" t="s">
        <v>873</v>
      </c>
      <c r="B723" s="3">
        <v>45456</v>
      </c>
      <c r="C723" t="s">
        <v>101</v>
      </c>
      <c r="D723" t="s">
        <v>109</v>
      </c>
      <c r="E723" t="s">
        <v>22</v>
      </c>
      <c r="F723" t="str">
        <f t="shared" si="11"/>
        <v>West</v>
      </c>
      <c r="G723" t="s">
        <v>27</v>
      </c>
      <c r="H723" t="s">
        <v>28</v>
      </c>
      <c r="I723">
        <v>3</v>
      </c>
    </row>
    <row r="724" spans="1:9" ht="21.75" customHeight="1">
      <c r="A724" t="s">
        <v>874</v>
      </c>
      <c r="B724" s="3">
        <v>45500</v>
      </c>
      <c r="C724" t="s">
        <v>304</v>
      </c>
      <c r="D724" t="s">
        <v>48</v>
      </c>
      <c r="E724" t="s">
        <v>17</v>
      </c>
      <c r="F724" t="str">
        <f t="shared" si="11"/>
        <v>Central</v>
      </c>
      <c r="G724" t="s">
        <v>306</v>
      </c>
      <c r="H724" t="s">
        <v>28</v>
      </c>
      <c r="I724">
        <v>2</v>
      </c>
    </row>
    <row r="725" spans="1:9" ht="21.75" customHeight="1">
      <c r="A725" t="s">
        <v>875</v>
      </c>
      <c r="B725" s="3">
        <v>45325</v>
      </c>
      <c r="C725" t="s">
        <v>147</v>
      </c>
      <c r="D725" t="s">
        <v>31</v>
      </c>
      <c r="E725" t="s">
        <v>22</v>
      </c>
      <c r="F725" t="str">
        <f t="shared" si="11"/>
        <v>Central</v>
      </c>
      <c r="G725" t="s">
        <v>306</v>
      </c>
      <c r="H725" t="s">
        <v>36</v>
      </c>
      <c r="I725">
        <v>5</v>
      </c>
    </row>
    <row r="726" spans="1:9" ht="21.75" customHeight="1">
      <c r="A726" t="s">
        <v>876</v>
      </c>
      <c r="B726" s="3">
        <v>45583</v>
      </c>
      <c r="C726" t="s">
        <v>64</v>
      </c>
      <c r="D726" t="s">
        <v>65</v>
      </c>
      <c r="E726" t="s">
        <v>11</v>
      </c>
      <c r="F726" t="str">
        <f t="shared" si="11"/>
        <v>South</v>
      </c>
      <c r="G726" t="s">
        <v>56</v>
      </c>
      <c r="H726" t="s">
        <v>23</v>
      </c>
      <c r="I726">
        <v>2</v>
      </c>
    </row>
    <row r="727" spans="1:9" ht="21.75" customHeight="1">
      <c r="A727" t="s">
        <v>877</v>
      </c>
      <c r="B727" s="3">
        <v>45317</v>
      </c>
      <c r="C727" t="s">
        <v>83</v>
      </c>
      <c r="D727" t="s">
        <v>26</v>
      </c>
      <c r="E727" t="s">
        <v>22</v>
      </c>
      <c r="F727" t="str">
        <f t="shared" si="11"/>
        <v>South</v>
      </c>
      <c r="G727" t="s">
        <v>56</v>
      </c>
      <c r="H727" t="s">
        <v>36</v>
      </c>
      <c r="I727">
        <v>12</v>
      </c>
    </row>
    <row r="728" spans="1:9" ht="21.75" customHeight="1">
      <c r="A728" t="s">
        <v>878</v>
      </c>
      <c r="B728" s="3">
        <v>45495</v>
      </c>
      <c r="C728" t="s">
        <v>541</v>
      </c>
      <c r="D728" t="s">
        <v>197</v>
      </c>
      <c r="E728" t="s">
        <v>11</v>
      </c>
      <c r="F728" t="str">
        <f t="shared" si="11"/>
        <v>North</v>
      </c>
      <c r="G728" t="s">
        <v>12</v>
      </c>
      <c r="H728" t="s">
        <v>23</v>
      </c>
      <c r="I728">
        <v>12</v>
      </c>
    </row>
    <row r="729" spans="1:9" ht="21.75" customHeight="1">
      <c r="A729" t="s">
        <v>879</v>
      </c>
      <c r="B729" s="3">
        <v>45382</v>
      </c>
      <c r="C729" t="s">
        <v>553</v>
      </c>
      <c r="D729" t="s">
        <v>48</v>
      </c>
      <c r="E729" t="s">
        <v>22</v>
      </c>
      <c r="F729" t="str">
        <f t="shared" si="11"/>
        <v>Central</v>
      </c>
      <c r="G729" t="s">
        <v>306</v>
      </c>
      <c r="H729" t="s">
        <v>32</v>
      </c>
      <c r="I729">
        <v>12</v>
      </c>
    </row>
    <row r="730" spans="1:9" ht="21.75" customHeight="1">
      <c r="A730" t="s">
        <v>880</v>
      </c>
      <c r="B730" s="3">
        <v>45644</v>
      </c>
      <c r="C730" t="s">
        <v>203</v>
      </c>
      <c r="D730" t="s">
        <v>31</v>
      </c>
      <c r="E730" t="s">
        <v>17</v>
      </c>
      <c r="F730" t="str">
        <f t="shared" si="11"/>
        <v>North</v>
      </c>
      <c r="G730" t="s">
        <v>12</v>
      </c>
      <c r="H730" t="s">
        <v>36</v>
      </c>
      <c r="I730">
        <v>2</v>
      </c>
    </row>
    <row r="731" spans="1:9" ht="21.75" customHeight="1">
      <c r="A731" t="s">
        <v>881</v>
      </c>
      <c r="B731" s="3">
        <v>45401</v>
      </c>
      <c r="C731" t="s">
        <v>240</v>
      </c>
      <c r="D731" t="s">
        <v>41</v>
      </c>
      <c r="E731" t="s">
        <v>22</v>
      </c>
      <c r="F731" t="str">
        <f t="shared" si="11"/>
        <v>South</v>
      </c>
      <c r="G731" t="s">
        <v>56</v>
      </c>
      <c r="H731" t="s">
        <v>23</v>
      </c>
      <c r="I731">
        <v>7</v>
      </c>
    </row>
    <row r="732" spans="1:9" ht="21.75" customHeight="1">
      <c r="A732" t="s">
        <v>882</v>
      </c>
      <c r="B732" s="3">
        <v>45554</v>
      </c>
      <c r="C732" t="s">
        <v>138</v>
      </c>
      <c r="D732" t="s">
        <v>35</v>
      </c>
      <c r="E732" t="s">
        <v>22</v>
      </c>
      <c r="F732" t="str">
        <f t="shared" si="11"/>
        <v>North</v>
      </c>
      <c r="G732" t="s">
        <v>12</v>
      </c>
      <c r="H732" t="s">
        <v>36</v>
      </c>
      <c r="I732">
        <v>5</v>
      </c>
    </row>
    <row r="733" spans="1:9" ht="21.75" customHeight="1">
      <c r="A733" t="s">
        <v>883</v>
      </c>
      <c r="B733" s="3">
        <v>45296</v>
      </c>
      <c r="C733" t="s">
        <v>240</v>
      </c>
      <c r="D733" t="s">
        <v>74</v>
      </c>
      <c r="E733" t="s">
        <v>17</v>
      </c>
      <c r="F733" t="str">
        <f t="shared" si="11"/>
        <v>Central</v>
      </c>
      <c r="G733" t="s">
        <v>306</v>
      </c>
      <c r="H733" t="s">
        <v>23</v>
      </c>
      <c r="I733">
        <v>9</v>
      </c>
    </row>
    <row r="734" spans="1:9" ht="21.75" customHeight="1">
      <c r="A734" t="s">
        <v>884</v>
      </c>
      <c r="B734" s="3">
        <v>45470</v>
      </c>
      <c r="C734" t="s">
        <v>366</v>
      </c>
      <c r="D734" t="s">
        <v>70</v>
      </c>
      <c r="E734" t="s">
        <v>17</v>
      </c>
      <c r="F734" t="str">
        <f t="shared" si="11"/>
        <v>South</v>
      </c>
      <c r="G734" t="s">
        <v>56</v>
      </c>
      <c r="H734" t="s">
        <v>36</v>
      </c>
      <c r="I734">
        <v>10</v>
      </c>
    </row>
    <row r="735" spans="1:9" ht="21.75" customHeight="1">
      <c r="A735" t="s">
        <v>885</v>
      </c>
      <c r="B735" s="3">
        <v>45495</v>
      </c>
      <c r="C735" t="s">
        <v>361</v>
      </c>
      <c r="D735" t="s">
        <v>160</v>
      </c>
      <c r="E735" t="s">
        <v>11</v>
      </c>
      <c r="F735" t="str">
        <f t="shared" si="11"/>
        <v>North</v>
      </c>
      <c r="G735" t="s">
        <v>12</v>
      </c>
      <c r="H735" t="s">
        <v>36</v>
      </c>
      <c r="I735">
        <v>12</v>
      </c>
    </row>
    <row r="736" spans="1:9" ht="21.75" customHeight="1">
      <c r="A736" t="s">
        <v>886</v>
      </c>
      <c r="B736" s="3">
        <v>45603</v>
      </c>
      <c r="C736" t="s">
        <v>55</v>
      </c>
      <c r="D736" t="s">
        <v>35</v>
      </c>
      <c r="E736" t="s">
        <v>17</v>
      </c>
      <c r="F736" t="str">
        <f t="shared" si="11"/>
        <v>North</v>
      </c>
      <c r="G736" t="s">
        <v>12</v>
      </c>
      <c r="H736" t="s">
        <v>32</v>
      </c>
      <c r="I736">
        <v>3</v>
      </c>
    </row>
    <row r="737" spans="1:9" ht="21.75" customHeight="1">
      <c r="A737" t="s">
        <v>887</v>
      </c>
      <c r="B737" s="3">
        <v>45619</v>
      </c>
      <c r="C737" t="s">
        <v>187</v>
      </c>
      <c r="D737" t="s">
        <v>21</v>
      </c>
      <c r="E737" t="s">
        <v>17</v>
      </c>
      <c r="F737" t="str">
        <f t="shared" si="11"/>
        <v>East</v>
      </c>
      <c r="G737" t="s">
        <v>42</v>
      </c>
      <c r="H737" t="s">
        <v>36</v>
      </c>
      <c r="I737">
        <v>10</v>
      </c>
    </row>
    <row r="738" spans="1:9" ht="21.75" customHeight="1">
      <c r="A738" t="s">
        <v>888</v>
      </c>
      <c r="B738" s="3">
        <v>45415</v>
      </c>
      <c r="C738" t="s">
        <v>131</v>
      </c>
      <c r="D738" t="s">
        <v>41</v>
      </c>
      <c r="E738" t="s">
        <v>22</v>
      </c>
      <c r="F738" t="str">
        <f t="shared" si="11"/>
        <v>West</v>
      </c>
      <c r="G738" t="s">
        <v>27</v>
      </c>
      <c r="H738" t="s">
        <v>13</v>
      </c>
      <c r="I738">
        <v>11</v>
      </c>
    </row>
    <row r="739" spans="1:9" ht="21.75" customHeight="1">
      <c r="A739" t="s">
        <v>889</v>
      </c>
      <c r="B739" s="3">
        <v>45627</v>
      </c>
      <c r="C739" t="s">
        <v>432</v>
      </c>
      <c r="D739" t="s">
        <v>87</v>
      </c>
      <c r="E739" t="s">
        <v>17</v>
      </c>
      <c r="F739" t="str">
        <f t="shared" si="11"/>
        <v>East</v>
      </c>
      <c r="G739" t="s">
        <v>42</v>
      </c>
      <c r="H739" t="s">
        <v>13</v>
      </c>
      <c r="I739">
        <v>13</v>
      </c>
    </row>
    <row r="740" spans="1:9" ht="21.75" customHeight="1">
      <c r="A740" t="s">
        <v>890</v>
      </c>
      <c r="B740" s="3">
        <v>45590</v>
      </c>
      <c r="C740" t="s">
        <v>369</v>
      </c>
      <c r="D740" t="s">
        <v>72</v>
      </c>
      <c r="E740" t="s">
        <v>22</v>
      </c>
      <c r="F740" t="str">
        <f t="shared" si="11"/>
        <v>South</v>
      </c>
      <c r="G740" t="s">
        <v>56</v>
      </c>
      <c r="H740" t="s">
        <v>23</v>
      </c>
      <c r="I740">
        <v>8</v>
      </c>
    </row>
    <row r="741" spans="1:9" ht="21.75" customHeight="1">
      <c r="A741" t="s">
        <v>891</v>
      </c>
      <c r="B741" s="3">
        <v>45635</v>
      </c>
      <c r="C741" t="s">
        <v>182</v>
      </c>
      <c r="D741" t="s">
        <v>45</v>
      </c>
      <c r="E741" t="s">
        <v>22</v>
      </c>
      <c r="F741" t="str">
        <f t="shared" si="11"/>
        <v>East</v>
      </c>
      <c r="G741" t="s">
        <v>42</v>
      </c>
      <c r="H741" t="s">
        <v>13</v>
      </c>
      <c r="I741">
        <v>18</v>
      </c>
    </row>
    <row r="742" spans="1:9" ht="21.75" customHeight="1">
      <c r="A742" t="s">
        <v>892</v>
      </c>
      <c r="B742" s="3">
        <v>45533</v>
      </c>
      <c r="C742" t="s">
        <v>34</v>
      </c>
      <c r="D742" t="s">
        <v>84</v>
      </c>
      <c r="E742" t="s">
        <v>22</v>
      </c>
      <c r="F742" t="str">
        <f t="shared" si="11"/>
        <v>East</v>
      </c>
      <c r="G742" t="s">
        <v>42</v>
      </c>
      <c r="H742" t="s">
        <v>28</v>
      </c>
      <c r="I742">
        <v>18</v>
      </c>
    </row>
    <row r="743" spans="1:9" ht="21.75" customHeight="1">
      <c r="A743" t="s">
        <v>893</v>
      </c>
      <c r="B743" s="3">
        <v>45640</v>
      </c>
      <c r="C743" t="s">
        <v>118</v>
      </c>
      <c r="D743" t="s">
        <v>197</v>
      </c>
      <c r="E743" t="s">
        <v>22</v>
      </c>
      <c r="F743" t="str">
        <f t="shared" si="11"/>
        <v>North</v>
      </c>
      <c r="G743" t="s">
        <v>12</v>
      </c>
      <c r="H743" t="s">
        <v>32</v>
      </c>
      <c r="I743">
        <v>12</v>
      </c>
    </row>
    <row r="744" spans="1:9" ht="21.75" customHeight="1">
      <c r="A744" t="s">
        <v>894</v>
      </c>
      <c r="B744" s="3">
        <v>45507</v>
      </c>
      <c r="C744" t="s">
        <v>728</v>
      </c>
      <c r="D744" t="s">
        <v>26</v>
      </c>
      <c r="E744" t="s">
        <v>17</v>
      </c>
      <c r="F744" t="str">
        <f t="shared" si="11"/>
        <v>East</v>
      </c>
      <c r="G744" t="s">
        <v>42</v>
      </c>
      <c r="H744" t="s">
        <v>13</v>
      </c>
      <c r="I744">
        <v>19</v>
      </c>
    </row>
    <row r="745" spans="1:9" ht="21.75" customHeight="1">
      <c r="A745" t="s">
        <v>895</v>
      </c>
      <c r="B745" s="3">
        <v>45532</v>
      </c>
      <c r="C745" t="s">
        <v>9</v>
      </c>
      <c r="D745" t="s">
        <v>59</v>
      </c>
      <c r="E745" t="s">
        <v>22</v>
      </c>
      <c r="F745" t="str">
        <f t="shared" si="11"/>
        <v>Central</v>
      </c>
      <c r="G745" t="s">
        <v>306</v>
      </c>
      <c r="H745" t="s">
        <v>28</v>
      </c>
      <c r="I745">
        <v>20</v>
      </c>
    </row>
    <row r="746" spans="1:9" ht="21.75" customHeight="1">
      <c r="A746" t="s">
        <v>896</v>
      </c>
      <c r="B746" s="3">
        <v>45548</v>
      </c>
      <c r="C746" t="s">
        <v>114</v>
      </c>
      <c r="D746" t="s">
        <v>160</v>
      </c>
      <c r="E746" t="s">
        <v>22</v>
      </c>
      <c r="F746" t="str">
        <f t="shared" si="11"/>
        <v>West</v>
      </c>
      <c r="G746" t="s">
        <v>27</v>
      </c>
      <c r="H746" t="s">
        <v>28</v>
      </c>
      <c r="I746">
        <v>10</v>
      </c>
    </row>
    <row r="747" spans="1:9" ht="21.75" customHeight="1">
      <c r="A747" t="s">
        <v>897</v>
      </c>
      <c r="B747" s="3">
        <v>45362</v>
      </c>
      <c r="C747" t="s">
        <v>104</v>
      </c>
      <c r="D747" t="s">
        <v>59</v>
      </c>
      <c r="E747" t="s">
        <v>17</v>
      </c>
      <c r="F747" t="str">
        <f t="shared" si="11"/>
        <v>West</v>
      </c>
      <c r="G747" t="s">
        <v>27</v>
      </c>
      <c r="H747" t="s">
        <v>28</v>
      </c>
      <c r="I747">
        <v>15</v>
      </c>
    </row>
    <row r="748" spans="1:9" ht="21.75" customHeight="1">
      <c r="A748" t="s">
        <v>898</v>
      </c>
      <c r="B748" s="3">
        <v>45333</v>
      </c>
      <c r="C748" t="s">
        <v>374</v>
      </c>
      <c r="D748" t="s">
        <v>72</v>
      </c>
      <c r="E748" t="s">
        <v>17</v>
      </c>
      <c r="F748" t="str">
        <f t="shared" si="11"/>
        <v>South</v>
      </c>
      <c r="G748" t="s">
        <v>56</v>
      </c>
      <c r="H748" t="s">
        <v>32</v>
      </c>
      <c r="I748">
        <v>2</v>
      </c>
    </row>
    <row r="749" spans="1:9" ht="21.75" customHeight="1">
      <c r="A749" t="s">
        <v>899</v>
      </c>
      <c r="B749" s="3">
        <v>45399</v>
      </c>
      <c r="C749" t="s">
        <v>332</v>
      </c>
      <c r="D749" t="s">
        <v>119</v>
      </c>
      <c r="E749" t="s">
        <v>11</v>
      </c>
      <c r="F749" t="str">
        <f t="shared" si="11"/>
        <v>Central</v>
      </c>
      <c r="G749" t="s">
        <v>306</v>
      </c>
      <c r="H749" t="s">
        <v>13</v>
      </c>
      <c r="I749">
        <v>6</v>
      </c>
    </row>
    <row r="750" spans="1:9" ht="21.75" customHeight="1">
      <c r="A750" t="s">
        <v>900</v>
      </c>
      <c r="B750" s="3">
        <v>45358</v>
      </c>
      <c r="C750" t="s">
        <v>594</v>
      </c>
      <c r="D750" t="s">
        <v>31</v>
      </c>
      <c r="E750" t="s">
        <v>17</v>
      </c>
      <c r="F750" t="str">
        <f t="shared" si="11"/>
        <v>West</v>
      </c>
      <c r="G750" t="s">
        <v>27</v>
      </c>
      <c r="H750" t="s">
        <v>23</v>
      </c>
      <c r="I750">
        <v>14</v>
      </c>
    </row>
    <row r="751" spans="1:9" ht="21.75" customHeight="1">
      <c r="A751" t="s">
        <v>901</v>
      </c>
      <c r="B751" s="3">
        <v>45294</v>
      </c>
      <c r="C751" t="s">
        <v>122</v>
      </c>
      <c r="D751" t="s">
        <v>84</v>
      </c>
      <c r="E751" t="s">
        <v>22</v>
      </c>
      <c r="F751" t="str">
        <f t="shared" si="11"/>
        <v>South</v>
      </c>
      <c r="G751" t="s">
        <v>56</v>
      </c>
      <c r="H751" t="s">
        <v>32</v>
      </c>
      <c r="I751">
        <v>12</v>
      </c>
    </row>
    <row r="752" spans="1:9" ht="21.75" customHeight="1">
      <c r="A752" t="s">
        <v>902</v>
      </c>
      <c r="B752" s="3">
        <v>45563</v>
      </c>
      <c r="C752" t="s">
        <v>150</v>
      </c>
      <c r="D752" t="s">
        <v>21</v>
      </c>
      <c r="E752" t="s">
        <v>11</v>
      </c>
      <c r="F752" t="str">
        <f t="shared" si="11"/>
        <v>North</v>
      </c>
      <c r="G752" t="s">
        <v>12</v>
      </c>
      <c r="H752" t="s">
        <v>32</v>
      </c>
      <c r="I752">
        <v>8</v>
      </c>
    </row>
    <row r="753" spans="1:9" ht="21.75" customHeight="1">
      <c r="A753" t="s">
        <v>903</v>
      </c>
      <c r="B753" s="3">
        <v>45451</v>
      </c>
      <c r="C753" t="s">
        <v>34</v>
      </c>
      <c r="D753" t="s">
        <v>160</v>
      </c>
      <c r="E753" t="s">
        <v>11</v>
      </c>
      <c r="F753" t="str">
        <f t="shared" si="11"/>
        <v>West</v>
      </c>
      <c r="G753" t="s">
        <v>27</v>
      </c>
      <c r="H753" t="s">
        <v>13</v>
      </c>
      <c r="I753">
        <v>19</v>
      </c>
    </row>
    <row r="754" spans="1:9" ht="21.75" customHeight="1">
      <c r="A754" t="s">
        <v>904</v>
      </c>
      <c r="B754" s="3">
        <v>45315</v>
      </c>
      <c r="C754" t="s">
        <v>68</v>
      </c>
      <c r="D754" t="s">
        <v>84</v>
      </c>
      <c r="E754" t="s">
        <v>17</v>
      </c>
      <c r="F754" t="str">
        <f t="shared" si="11"/>
        <v>West</v>
      </c>
      <c r="G754" t="s">
        <v>27</v>
      </c>
      <c r="H754" t="s">
        <v>32</v>
      </c>
      <c r="I754">
        <v>17</v>
      </c>
    </row>
    <row r="755" spans="1:9" ht="21.75" customHeight="1">
      <c r="A755" t="s">
        <v>905</v>
      </c>
      <c r="B755" s="3">
        <v>45514</v>
      </c>
      <c r="C755" t="s">
        <v>455</v>
      </c>
      <c r="D755" t="s">
        <v>35</v>
      </c>
      <c r="E755" t="s">
        <v>11</v>
      </c>
      <c r="F755" t="str">
        <f t="shared" si="11"/>
        <v>East</v>
      </c>
      <c r="G755" t="s">
        <v>42</v>
      </c>
      <c r="H755" t="s">
        <v>28</v>
      </c>
      <c r="I755">
        <v>12</v>
      </c>
    </row>
    <row r="756" spans="1:9" ht="21.75" customHeight="1">
      <c r="A756" t="s">
        <v>906</v>
      </c>
      <c r="B756" s="3">
        <v>45498</v>
      </c>
      <c r="C756" t="s">
        <v>138</v>
      </c>
      <c r="D756" t="s">
        <v>84</v>
      </c>
      <c r="E756" t="s">
        <v>11</v>
      </c>
      <c r="F756" t="str">
        <f t="shared" si="11"/>
        <v>South</v>
      </c>
      <c r="G756" t="s">
        <v>56</v>
      </c>
      <c r="H756" t="s">
        <v>13</v>
      </c>
      <c r="I756">
        <v>5</v>
      </c>
    </row>
    <row r="757" spans="1:9" ht="21.75" customHeight="1">
      <c r="A757" t="s">
        <v>907</v>
      </c>
      <c r="B757" s="3">
        <v>45593</v>
      </c>
      <c r="C757" t="s">
        <v>358</v>
      </c>
      <c r="D757" t="s">
        <v>48</v>
      </c>
      <c r="E757" t="s">
        <v>11</v>
      </c>
      <c r="F757" t="str">
        <f t="shared" si="11"/>
        <v>North</v>
      </c>
      <c r="G757" t="s">
        <v>12</v>
      </c>
      <c r="H757" t="s">
        <v>32</v>
      </c>
      <c r="I757">
        <v>2</v>
      </c>
    </row>
    <row r="758" spans="1:9" ht="21.75" customHeight="1">
      <c r="A758" t="s">
        <v>908</v>
      </c>
      <c r="B758" s="3">
        <v>45565</v>
      </c>
      <c r="C758" t="s">
        <v>381</v>
      </c>
      <c r="D758" t="s">
        <v>79</v>
      </c>
      <c r="E758" t="s">
        <v>11</v>
      </c>
      <c r="F758" t="str">
        <f t="shared" si="11"/>
        <v>Central</v>
      </c>
      <c r="G758" t="s">
        <v>306</v>
      </c>
      <c r="H758" t="s">
        <v>13</v>
      </c>
      <c r="I758">
        <v>4</v>
      </c>
    </row>
    <row r="759" spans="1:9" ht="21.75" customHeight="1">
      <c r="A759" t="s">
        <v>909</v>
      </c>
      <c r="B759" s="3">
        <v>45316</v>
      </c>
      <c r="C759" t="s">
        <v>465</v>
      </c>
      <c r="D759" t="s">
        <v>70</v>
      </c>
      <c r="E759" t="s">
        <v>11</v>
      </c>
      <c r="F759" t="str">
        <f t="shared" si="11"/>
        <v>West</v>
      </c>
      <c r="G759" t="s">
        <v>27</v>
      </c>
      <c r="H759" t="s">
        <v>32</v>
      </c>
      <c r="I759">
        <v>13</v>
      </c>
    </row>
    <row r="760" spans="1:9" ht="21.75" customHeight="1">
      <c r="A760" t="s">
        <v>910</v>
      </c>
      <c r="B760" s="3">
        <v>45534</v>
      </c>
      <c r="C760" t="s">
        <v>424</v>
      </c>
      <c r="D760" t="s">
        <v>62</v>
      </c>
      <c r="E760" t="s">
        <v>11</v>
      </c>
      <c r="F760" t="str">
        <f t="shared" si="11"/>
        <v>South</v>
      </c>
      <c r="G760" t="s">
        <v>56</v>
      </c>
      <c r="H760" t="s">
        <v>13</v>
      </c>
      <c r="I760">
        <v>1</v>
      </c>
    </row>
    <row r="761" spans="1:9" ht="21.75" customHeight="1">
      <c r="A761" t="s">
        <v>911</v>
      </c>
      <c r="B761" s="3">
        <v>45631</v>
      </c>
      <c r="C761" t="s">
        <v>363</v>
      </c>
      <c r="D761" t="s">
        <v>109</v>
      </c>
      <c r="E761" t="s">
        <v>17</v>
      </c>
      <c r="F761" t="str">
        <f t="shared" si="11"/>
        <v>Central</v>
      </c>
      <c r="G761" t="s">
        <v>306</v>
      </c>
      <c r="H761" t="s">
        <v>13</v>
      </c>
      <c r="I761">
        <v>5</v>
      </c>
    </row>
    <row r="762" spans="1:9" ht="21.75" customHeight="1">
      <c r="A762" t="s">
        <v>912</v>
      </c>
      <c r="B762" s="3">
        <v>45553</v>
      </c>
      <c r="C762" t="s">
        <v>329</v>
      </c>
      <c r="D762" t="s">
        <v>74</v>
      </c>
      <c r="E762" t="s">
        <v>22</v>
      </c>
      <c r="F762" t="str">
        <f t="shared" si="11"/>
        <v>North</v>
      </c>
      <c r="G762" t="s">
        <v>12</v>
      </c>
      <c r="H762" t="s">
        <v>23</v>
      </c>
      <c r="I762">
        <v>4</v>
      </c>
    </row>
    <row r="763" spans="1:9" ht="21.75" customHeight="1">
      <c r="A763" t="s">
        <v>913</v>
      </c>
      <c r="B763" s="3">
        <v>45393</v>
      </c>
      <c r="C763" t="s">
        <v>493</v>
      </c>
      <c r="D763" t="s">
        <v>160</v>
      </c>
      <c r="E763" t="s">
        <v>11</v>
      </c>
      <c r="F763" t="str">
        <f t="shared" si="11"/>
        <v>East</v>
      </c>
      <c r="G763" t="s">
        <v>42</v>
      </c>
      <c r="H763" t="s">
        <v>23</v>
      </c>
      <c r="I763">
        <v>7</v>
      </c>
    </row>
    <row r="764" spans="1:9" ht="21.75" customHeight="1">
      <c r="A764" t="s">
        <v>914</v>
      </c>
      <c r="B764" s="3">
        <v>45443</v>
      </c>
      <c r="C764" t="s">
        <v>111</v>
      </c>
      <c r="D764" t="s">
        <v>35</v>
      </c>
      <c r="E764" t="s">
        <v>11</v>
      </c>
      <c r="F764" t="str">
        <f t="shared" si="11"/>
        <v>Central</v>
      </c>
      <c r="G764" t="s">
        <v>306</v>
      </c>
      <c r="H764" t="s">
        <v>23</v>
      </c>
      <c r="I764">
        <v>7</v>
      </c>
    </row>
    <row r="765" spans="1:9" ht="21.75" customHeight="1">
      <c r="A765" t="s">
        <v>915</v>
      </c>
      <c r="B765" s="3">
        <v>45461</v>
      </c>
      <c r="C765" t="s">
        <v>93</v>
      </c>
      <c r="D765" t="s">
        <v>41</v>
      </c>
      <c r="E765" t="s">
        <v>11</v>
      </c>
      <c r="F765" t="str">
        <f t="shared" si="11"/>
        <v>North</v>
      </c>
      <c r="G765" t="s">
        <v>12</v>
      </c>
      <c r="H765" t="s">
        <v>36</v>
      </c>
      <c r="I765">
        <v>3</v>
      </c>
    </row>
    <row r="766" spans="1:9" ht="21.75" customHeight="1">
      <c r="A766" t="s">
        <v>916</v>
      </c>
      <c r="B766" s="3">
        <v>45634</v>
      </c>
      <c r="C766" t="s">
        <v>432</v>
      </c>
      <c r="D766" t="s">
        <v>119</v>
      </c>
      <c r="E766" t="s">
        <v>11</v>
      </c>
      <c r="F766" t="str">
        <f t="shared" si="11"/>
        <v>North</v>
      </c>
      <c r="G766" t="s">
        <v>12</v>
      </c>
      <c r="H766" t="s">
        <v>13</v>
      </c>
      <c r="I766">
        <v>17</v>
      </c>
    </row>
    <row r="767" spans="1:9" ht="21.75" customHeight="1">
      <c r="A767" t="s">
        <v>917</v>
      </c>
      <c r="B767" s="3">
        <v>45423</v>
      </c>
      <c r="C767" t="s">
        <v>736</v>
      </c>
      <c r="D767" t="s">
        <v>74</v>
      </c>
      <c r="E767" t="s">
        <v>11</v>
      </c>
      <c r="F767" t="str">
        <f t="shared" si="11"/>
        <v>West</v>
      </c>
      <c r="G767" t="s">
        <v>27</v>
      </c>
      <c r="H767" t="s">
        <v>13</v>
      </c>
      <c r="I767">
        <v>9</v>
      </c>
    </row>
    <row r="768" spans="1:9" ht="21.75" customHeight="1">
      <c r="A768" t="s">
        <v>918</v>
      </c>
      <c r="B768" s="3">
        <v>45381</v>
      </c>
      <c r="C768" t="s">
        <v>116</v>
      </c>
      <c r="D768" t="s">
        <v>41</v>
      </c>
      <c r="E768" t="s">
        <v>17</v>
      </c>
      <c r="F768" t="str">
        <f t="shared" si="11"/>
        <v>East</v>
      </c>
      <c r="G768" t="s">
        <v>42</v>
      </c>
      <c r="H768" t="s">
        <v>13</v>
      </c>
      <c r="I768">
        <v>11</v>
      </c>
    </row>
    <row r="769" spans="1:9" ht="21.75" customHeight="1">
      <c r="A769" t="s">
        <v>919</v>
      </c>
      <c r="B769" s="3">
        <v>45340</v>
      </c>
      <c r="C769" t="s">
        <v>332</v>
      </c>
      <c r="D769" t="s">
        <v>16</v>
      </c>
      <c r="E769" t="s">
        <v>11</v>
      </c>
      <c r="F769" t="str">
        <f t="shared" si="11"/>
        <v>North</v>
      </c>
      <c r="G769" t="s">
        <v>12</v>
      </c>
      <c r="H769" t="s">
        <v>23</v>
      </c>
      <c r="I769">
        <v>6</v>
      </c>
    </row>
    <row r="770" spans="1:9" ht="21.75" customHeight="1">
      <c r="A770" t="s">
        <v>920</v>
      </c>
      <c r="B770" s="3">
        <v>45610</v>
      </c>
      <c r="C770" t="s">
        <v>101</v>
      </c>
      <c r="D770" t="s">
        <v>48</v>
      </c>
      <c r="E770" t="s">
        <v>22</v>
      </c>
      <c r="F770" t="str">
        <f t="shared" si="11"/>
        <v>North</v>
      </c>
      <c r="G770" t="s">
        <v>12</v>
      </c>
      <c r="H770" t="s">
        <v>23</v>
      </c>
      <c r="I770">
        <v>11</v>
      </c>
    </row>
    <row r="771" spans="1:9" ht="21.75" customHeight="1">
      <c r="A771" t="s">
        <v>921</v>
      </c>
      <c r="B771" s="3">
        <v>45496</v>
      </c>
      <c r="C771" t="s">
        <v>366</v>
      </c>
      <c r="D771" t="s">
        <v>62</v>
      </c>
      <c r="E771" t="s">
        <v>17</v>
      </c>
      <c r="F771" t="str">
        <f t="shared" ref="F771:F834" si="12">TRIM(PROPER(G771))</f>
        <v>West</v>
      </c>
      <c r="G771" t="s">
        <v>27</v>
      </c>
      <c r="H771" t="s">
        <v>28</v>
      </c>
      <c r="I771">
        <v>16</v>
      </c>
    </row>
    <row r="772" spans="1:9" ht="21.75" customHeight="1">
      <c r="A772" t="s">
        <v>922</v>
      </c>
      <c r="B772" s="3">
        <v>45349</v>
      </c>
      <c r="C772" t="s">
        <v>34</v>
      </c>
      <c r="D772" t="s">
        <v>45</v>
      </c>
      <c r="E772" t="s">
        <v>22</v>
      </c>
      <c r="F772" t="str">
        <f t="shared" si="12"/>
        <v>North</v>
      </c>
      <c r="G772" t="s">
        <v>12</v>
      </c>
      <c r="H772" t="s">
        <v>36</v>
      </c>
      <c r="I772">
        <v>4</v>
      </c>
    </row>
    <row r="773" spans="1:9" ht="21.75" customHeight="1">
      <c r="A773" t="s">
        <v>923</v>
      </c>
      <c r="B773" s="3">
        <v>45539</v>
      </c>
      <c r="C773" t="s">
        <v>614</v>
      </c>
      <c r="D773" t="s">
        <v>45</v>
      </c>
      <c r="E773" t="s">
        <v>22</v>
      </c>
      <c r="F773" t="str">
        <f t="shared" si="12"/>
        <v>West</v>
      </c>
      <c r="G773" t="s">
        <v>27</v>
      </c>
      <c r="H773" t="s">
        <v>32</v>
      </c>
      <c r="I773">
        <v>20</v>
      </c>
    </row>
    <row r="774" spans="1:9" ht="21.75" customHeight="1">
      <c r="A774" t="s">
        <v>924</v>
      </c>
      <c r="B774" s="3">
        <v>45605</v>
      </c>
      <c r="C774" t="s">
        <v>64</v>
      </c>
      <c r="D774" t="s">
        <v>35</v>
      </c>
      <c r="E774" t="s">
        <v>22</v>
      </c>
      <c r="F774" t="str">
        <f t="shared" si="12"/>
        <v>South</v>
      </c>
      <c r="G774" t="s">
        <v>56</v>
      </c>
      <c r="H774" t="s">
        <v>23</v>
      </c>
      <c r="I774">
        <v>16</v>
      </c>
    </row>
    <row r="775" spans="1:9" ht="21.75" customHeight="1">
      <c r="A775" t="s">
        <v>925</v>
      </c>
      <c r="B775" s="3">
        <v>45517</v>
      </c>
      <c r="C775" t="s">
        <v>116</v>
      </c>
      <c r="D775" t="s">
        <v>21</v>
      </c>
      <c r="E775" t="s">
        <v>11</v>
      </c>
      <c r="F775" t="str">
        <f t="shared" si="12"/>
        <v>East</v>
      </c>
      <c r="G775" t="s">
        <v>42</v>
      </c>
      <c r="H775" t="s">
        <v>36</v>
      </c>
      <c r="I775">
        <v>11</v>
      </c>
    </row>
    <row r="776" spans="1:9" ht="21.75" customHeight="1">
      <c r="A776" t="s">
        <v>926</v>
      </c>
      <c r="B776" s="3">
        <v>45587</v>
      </c>
      <c r="C776" t="s">
        <v>329</v>
      </c>
      <c r="D776" t="s">
        <v>41</v>
      </c>
      <c r="E776" t="s">
        <v>22</v>
      </c>
      <c r="F776" t="str">
        <f t="shared" si="12"/>
        <v>South</v>
      </c>
      <c r="G776" t="s">
        <v>56</v>
      </c>
      <c r="H776" t="s">
        <v>36</v>
      </c>
      <c r="I776">
        <v>11</v>
      </c>
    </row>
    <row r="777" spans="1:9" ht="21.75" customHeight="1">
      <c r="A777" t="s">
        <v>927</v>
      </c>
      <c r="B777" s="3">
        <v>45340</v>
      </c>
      <c r="C777" t="s">
        <v>348</v>
      </c>
      <c r="D777" t="s">
        <v>35</v>
      </c>
      <c r="E777" t="s">
        <v>22</v>
      </c>
      <c r="F777" t="str">
        <f t="shared" si="12"/>
        <v>South</v>
      </c>
      <c r="G777" t="s">
        <v>56</v>
      </c>
      <c r="H777" t="s">
        <v>23</v>
      </c>
      <c r="I777">
        <v>12</v>
      </c>
    </row>
    <row r="778" spans="1:9" ht="21.75" customHeight="1">
      <c r="A778" t="s">
        <v>928</v>
      </c>
      <c r="B778" s="3">
        <v>45368</v>
      </c>
      <c r="C778" t="s">
        <v>642</v>
      </c>
      <c r="D778" t="s">
        <v>96</v>
      </c>
      <c r="E778" t="s">
        <v>22</v>
      </c>
      <c r="F778" t="str">
        <f t="shared" si="12"/>
        <v>North</v>
      </c>
      <c r="G778" t="s">
        <v>12</v>
      </c>
      <c r="H778" t="s">
        <v>23</v>
      </c>
      <c r="I778">
        <v>6</v>
      </c>
    </row>
    <row r="779" spans="1:9" ht="21.75" customHeight="1">
      <c r="A779" t="s">
        <v>929</v>
      </c>
      <c r="B779" s="3">
        <v>45545</v>
      </c>
      <c r="C779" t="s">
        <v>30</v>
      </c>
      <c r="D779" t="s">
        <v>72</v>
      </c>
      <c r="E779" t="s">
        <v>11</v>
      </c>
      <c r="F779" t="str">
        <f t="shared" si="12"/>
        <v>West</v>
      </c>
      <c r="G779" t="s">
        <v>27</v>
      </c>
      <c r="H779" t="s">
        <v>32</v>
      </c>
      <c r="I779">
        <v>8</v>
      </c>
    </row>
    <row r="780" spans="1:9" ht="21.75" customHeight="1">
      <c r="A780" t="s">
        <v>930</v>
      </c>
      <c r="B780" s="3">
        <v>45317</v>
      </c>
      <c r="C780" t="s">
        <v>358</v>
      </c>
      <c r="D780" t="s">
        <v>21</v>
      </c>
      <c r="E780" t="s">
        <v>11</v>
      </c>
      <c r="F780" t="str">
        <f t="shared" si="12"/>
        <v>Central</v>
      </c>
      <c r="G780" t="s">
        <v>306</v>
      </c>
      <c r="H780" t="s">
        <v>28</v>
      </c>
      <c r="I780">
        <v>13</v>
      </c>
    </row>
    <row r="781" spans="1:9" ht="21.75" customHeight="1">
      <c r="A781" t="s">
        <v>931</v>
      </c>
      <c r="B781" s="3">
        <v>45332</v>
      </c>
      <c r="C781" t="s">
        <v>366</v>
      </c>
      <c r="D781" t="s">
        <v>70</v>
      </c>
      <c r="E781" t="s">
        <v>17</v>
      </c>
      <c r="F781" t="str">
        <f t="shared" si="12"/>
        <v>Central</v>
      </c>
      <c r="G781" t="s">
        <v>306</v>
      </c>
      <c r="H781" t="s">
        <v>23</v>
      </c>
      <c r="I781">
        <v>3</v>
      </c>
    </row>
    <row r="782" spans="1:9" ht="21.75" customHeight="1">
      <c r="A782" t="s">
        <v>932</v>
      </c>
      <c r="B782" s="3">
        <v>45453</v>
      </c>
      <c r="C782" t="s">
        <v>114</v>
      </c>
      <c r="D782" t="s">
        <v>102</v>
      </c>
      <c r="E782" t="s">
        <v>17</v>
      </c>
      <c r="F782" t="str">
        <f t="shared" si="12"/>
        <v>North</v>
      </c>
      <c r="G782" t="s">
        <v>12</v>
      </c>
      <c r="H782" t="s">
        <v>36</v>
      </c>
      <c r="I782">
        <v>13</v>
      </c>
    </row>
    <row r="783" spans="1:9" ht="21.75" customHeight="1">
      <c r="A783" t="s">
        <v>933</v>
      </c>
      <c r="B783" s="3">
        <v>45573</v>
      </c>
      <c r="C783" t="s">
        <v>25</v>
      </c>
      <c r="D783" t="s">
        <v>109</v>
      </c>
      <c r="E783" t="s">
        <v>11</v>
      </c>
      <c r="F783" t="str">
        <f t="shared" si="12"/>
        <v>Central</v>
      </c>
      <c r="G783" t="s">
        <v>306</v>
      </c>
      <c r="H783" t="s">
        <v>36</v>
      </c>
      <c r="I783">
        <v>10</v>
      </c>
    </row>
    <row r="784" spans="1:9" ht="21.75" customHeight="1">
      <c r="A784" t="s">
        <v>934</v>
      </c>
      <c r="B784" s="3">
        <v>45397</v>
      </c>
      <c r="C784" t="s">
        <v>350</v>
      </c>
      <c r="D784" t="s">
        <v>72</v>
      </c>
      <c r="E784" t="s">
        <v>22</v>
      </c>
      <c r="F784" t="str">
        <f t="shared" si="12"/>
        <v>West</v>
      </c>
      <c r="G784" t="s">
        <v>27</v>
      </c>
      <c r="H784" t="s">
        <v>28</v>
      </c>
      <c r="I784">
        <v>12</v>
      </c>
    </row>
    <row r="785" spans="1:9" ht="21.75" customHeight="1">
      <c r="A785" t="s">
        <v>935</v>
      </c>
      <c r="B785" s="3">
        <v>45524</v>
      </c>
      <c r="C785" t="s">
        <v>118</v>
      </c>
      <c r="D785" t="s">
        <v>109</v>
      </c>
      <c r="E785" t="s">
        <v>22</v>
      </c>
      <c r="F785" t="str">
        <f t="shared" si="12"/>
        <v>Central</v>
      </c>
      <c r="G785" t="s">
        <v>306</v>
      </c>
      <c r="H785" t="s">
        <v>32</v>
      </c>
      <c r="I785">
        <v>16</v>
      </c>
    </row>
    <row r="786" spans="1:9" ht="21.75" customHeight="1">
      <c r="A786" t="s">
        <v>936</v>
      </c>
      <c r="B786" s="3">
        <v>45523</v>
      </c>
      <c r="C786" t="s">
        <v>40</v>
      </c>
      <c r="D786" t="s">
        <v>96</v>
      </c>
      <c r="E786" t="s">
        <v>11</v>
      </c>
      <c r="F786" t="str">
        <f t="shared" si="12"/>
        <v>South</v>
      </c>
      <c r="G786" t="s">
        <v>56</v>
      </c>
      <c r="H786" t="s">
        <v>32</v>
      </c>
      <c r="I786">
        <v>11</v>
      </c>
    </row>
    <row r="787" spans="1:9" ht="21.75" customHeight="1">
      <c r="A787" t="s">
        <v>937</v>
      </c>
      <c r="B787" s="3">
        <v>45572</v>
      </c>
      <c r="C787" t="s">
        <v>363</v>
      </c>
      <c r="D787" t="s">
        <v>79</v>
      </c>
      <c r="E787" t="s">
        <v>17</v>
      </c>
      <c r="F787" t="str">
        <f t="shared" si="12"/>
        <v>North</v>
      </c>
      <c r="G787" t="s">
        <v>12</v>
      </c>
      <c r="H787" t="s">
        <v>23</v>
      </c>
      <c r="I787">
        <v>6</v>
      </c>
    </row>
    <row r="788" spans="1:9" ht="21.75" customHeight="1">
      <c r="A788" t="s">
        <v>938</v>
      </c>
      <c r="B788" s="3">
        <v>45346</v>
      </c>
      <c r="C788" t="s">
        <v>230</v>
      </c>
      <c r="D788" t="s">
        <v>65</v>
      </c>
      <c r="E788" t="s">
        <v>22</v>
      </c>
      <c r="F788" t="str">
        <f t="shared" si="12"/>
        <v>South</v>
      </c>
      <c r="G788" t="s">
        <v>56</v>
      </c>
      <c r="H788" t="s">
        <v>23</v>
      </c>
      <c r="I788">
        <v>4</v>
      </c>
    </row>
    <row r="789" spans="1:9" ht="21.75" customHeight="1">
      <c r="A789" t="s">
        <v>939</v>
      </c>
      <c r="B789" s="3">
        <v>45402</v>
      </c>
      <c r="C789" t="s">
        <v>366</v>
      </c>
      <c r="D789" t="s">
        <v>102</v>
      </c>
      <c r="E789" t="s">
        <v>11</v>
      </c>
      <c r="F789" t="str">
        <f t="shared" si="12"/>
        <v>East</v>
      </c>
      <c r="G789" t="s">
        <v>42</v>
      </c>
      <c r="H789" t="s">
        <v>36</v>
      </c>
      <c r="I789">
        <v>14</v>
      </c>
    </row>
    <row r="790" spans="1:9" ht="21.75" customHeight="1">
      <c r="A790" t="s">
        <v>940</v>
      </c>
      <c r="B790" s="3">
        <v>45355</v>
      </c>
      <c r="C790" t="s">
        <v>337</v>
      </c>
      <c r="D790" t="s">
        <v>41</v>
      </c>
      <c r="E790" t="s">
        <v>17</v>
      </c>
      <c r="F790" t="str">
        <f t="shared" si="12"/>
        <v>West</v>
      </c>
      <c r="G790" t="s">
        <v>27</v>
      </c>
      <c r="H790" t="s">
        <v>28</v>
      </c>
      <c r="I790">
        <v>19</v>
      </c>
    </row>
    <row r="791" spans="1:9" ht="21.75" customHeight="1">
      <c r="A791" t="s">
        <v>941</v>
      </c>
      <c r="B791" s="3">
        <v>45547</v>
      </c>
      <c r="C791" t="s">
        <v>25</v>
      </c>
      <c r="D791" t="s">
        <v>174</v>
      </c>
      <c r="E791" t="s">
        <v>22</v>
      </c>
      <c r="F791" t="str">
        <f t="shared" si="12"/>
        <v>North</v>
      </c>
      <c r="G791" t="s">
        <v>12</v>
      </c>
      <c r="H791" t="s">
        <v>23</v>
      </c>
      <c r="I791">
        <v>14</v>
      </c>
    </row>
    <row r="792" spans="1:9" ht="21.75" customHeight="1">
      <c r="A792" t="s">
        <v>942</v>
      </c>
      <c r="B792" s="3">
        <v>45552</v>
      </c>
      <c r="C792" t="s">
        <v>420</v>
      </c>
      <c r="D792" t="s">
        <v>45</v>
      </c>
      <c r="E792" t="s">
        <v>11</v>
      </c>
      <c r="F792" t="str">
        <f t="shared" si="12"/>
        <v>Central</v>
      </c>
      <c r="G792" t="s">
        <v>306</v>
      </c>
      <c r="H792" t="s">
        <v>36</v>
      </c>
      <c r="I792">
        <v>5</v>
      </c>
    </row>
    <row r="793" spans="1:9" ht="21.75" customHeight="1">
      <c r="A793" t="s">
        <v>943</v>
      </c>
      <c r="B793" s="3">
        <v>45602</v>
      </c>
      <c r="C793" t="s">
        <v>187</v>
      </c>
      <c r="D793" t="s">
        <v>87</v>
      </c>
      <c r="E793" t="s">
        <v>22</v>
      </c>
      <c r="F793" t="str">
        <f t="shared" si="12"/>
        <v>West</v>
      </c>
      <c r="G793" t="s">
        <v>27</v>
      </c>
      <c r="H793" t="s">
        <v>28</v>
      </c>
      <c r="I793">
        <v>20</v>
      </c>
    </row>
    <row r="794" spans="1:9" ht="21.75" customHeight="1">
      <c r="A794" t="s">
        <v>944</v>
      </c>
      <c r="B794" s="3">
        <v>45432</v>
      </c>
      <c r="C794" t="s">
        <v>106</v>
      </c>
      <c r="D794" t="s">
        <v>70</v>
      </c>
      <c r="E794" t="s">
        <v>17</v>
      </c>
      <c r="F794" t="str">
        <f t="shared" si="12"/>
        <v>East</v>
      </c>
      <c r="G794" t="s">
        <v>42</v>
      </c>
      <c r="H794" t="s">
        <v>36</v>
      </c>
      <c r="I794">
        <v>5</v>
      </c>
    </row>
    <row r="795" spans="1:9" ht="21.75" customHeight="1">
      <c r="A795" t="s">
        <v>945</v>
      </c>
      <c r="B795" s="3">
        <v>45650</v>
      </c>
      <c r="C795" t="s">
        <v>323</v>
      </c>
      <c r="D795" t="s">
        <v>62</v>
      </c>
      <c r="E795" t="s">
        <v>22</v>
      </c>
      <c r="F795" t="str">
        <f t="shared" si="12"/>
        <v>East</v>
      </c>
      <c r="G795" t="s">
        <v>42</v>
      </c>
      <c r="H795" t="s">
        <v>36</v>
      </c>
      <c r="I795">
        <v>18</v>
      </c>
    </row>
    <row r="796" spans="1:9" ht="21.75" customHeight="1">
      <c r="A796" t="s">
        <v>946</v>
      </c>
      <c r="B796" s="3">
        <v>45615</v>
      </c>
      <c r="C796" t="s">
        <v>133</v>
      </c>
      <c r="D796" t="s">
        <v>109</v>
      </c>
      <c r="E796" t="s">
        <v>11</v>
      </c>
      <c r="F796" t="str">
        <f t="shared" si="12"/>
        <v>South</v>
      </c>
      <c r="G796" t="s">
        <v>56</v>
      </c>
      <c r="H796" t="s">
        <v>28</v>
      </c>
      <c r="I796">
        <v>10</v>
      </c>
    </row>
    <row r="797" spans="1:9" ht="21.75" customHeight="1">
      <c r="A797" t="s">
        <v>947</v>
      </c>
      <c r="B797" s="3">
        <v>45655</v>
      </c>
      <c r="C797" t="s">
        <v>350</v>
      </c>
      <c r="D797" t="s">
        <v>174</v>
      </c>
      <c r="E797" t="s">
        <v>11</v>
      </c>
      <c r="F797" t="str">
        <f t="shared" si="12"/>
        <v>Central</v>
      </c>
      <c r="G797" t="s">
        <v>306</v>
      </c>
      <c r="H797" t="s">
        <v>32</v>
      </c>
      <c r="I797">
        <v>11</v>
      </c>
    </row>
    <row r="798" spans="1:9" ht="21.75" customHeight="1">
      <c r="A798" t="s">
        <v>948</v>
      </c>
      <c r="B798" s="3">
        <v>45579</v>
      </c>
      <c r="C798" t="s">
        <v>517</v>
      </c>
      <c r="D798" t="s">
        <v>41</v>
      </c>
      <c r="E798" t="s">
        <v>22</v>
      </c>
      <c r="F798" t="str">
        <f t="shared" si="12"/>
        <v>Central</v>
      </c>
      <c r="G798" t="s">
        <v>306</v>
      </c>
      <c r="H798" t="s">
        <v>36</v>
      </c>
      <c r="I798">
        <v>14</v>
      </c>
    </row>
    <row r="799" spans="1:9" ht="21.75" customHeight="1">
      <c r="A799" t="s">
        <v>949</v>
      </c>
      <c r="B799" s="3">
        <v>45438</v>
      </c>
      <c r="C799" t="s">
        <v>309</v>
      </c>
      <c r="D799" t="s">
        <v>102</v>
      </c>
      <c r="E799" t="s">
        <v>11</v>
      </c>
      <c r="F799" t="str">
        <f t="shared" si="12"/>
        <v>Central</v>
      </c>
      <c r="G799" t="s">
        <v>306</v>
      </c>
      <c r="H799" t="s">
        <v>13</v>
      </c>
      <c r="I799">
        <v>1</v>
      </c>
    </row>
    <row r="800" spans="1:9" ht="21.75" customHeight="1">
      <c r="A800" t="s">
        <v>950</v>
      </c>
      <c r="B800" s="3">
        <v>45635</v>
      </c>
      <c r="C800" t="s">
        <v>131</v>
      </c>
      <c r="D800" t="s">
        <v>119</v>
      </c>
      <c r="E800" t="s">
        <v>11</v>
      </c>
      <c r="F800" t="str">
        <f t="shared" si="12"/>
        <v>East</v>
      </c>
      <c r="G800" t="s">
        <v>42</v>
      </c>
      <c r="H800" t="s">
        <v>32</v>
      </c>
      <c r="I800">
        <v>6</v>
      </c>
    </row>
    <row r="801" spans="1:9" ht="21.75" customHeight="1">
      <c r="A801" t="s">
        <v>951</v>
      </c>
      <c r="B801" s="3">
        <v>45366</v>
      </c>
      <c r="C801" t="s">
        <v>131</v>
      </c>
      <c r="D801" t="s">
        <v>65</v>
      </c>
      <c r="E801" t="s">
        <v>22</v>
      </c>
      <c r="F801" t="str">
        <f t="shared" si="12"/>
        <v>East</v>
      </c>
      <c r="G801" t="s">
        <v>42</v>
      </c>
      <c r="H801" t="s">
        <v>23</v>
      </c>
      <c r="I801">
        <v>18</v>
      </c>
    </row>
    <row r="802" spans="1:9" ht="21.75" customHeight="1">
      <c r="A802" t="s">
        <v>952</v>
      </c>
      <c r="B802" s="3">
        <v>45344</v>
      </c>
      <c r="C802" t="s">
        <v>594</v>
      </c>
      <c r="D802" t="s">
        <v>197</v>
      </c>
      <c r="E802" t="s">
        <v>22</v>
      </c>
      <c r="F802" t="str">
        <f t="shared" si="12"/>
        <v>Central</v>
      </c>
      <c r="G802" t="s">
        <v>306</v>
      </c>
      <c r="H802" t="s">
        <v>36</v>
      </c>
      <c r="I802">
        <v>18</v>
      </c>
    </row>
    <row r="803" spans="1:9" ht="21.75" customHeight="1">
      <c r="A803" t="s">
        <v>953</v>
      </c>
      <c r="B803" s="3">
        <v>45648</v>
      </c>
      <c r="C803" t="s">
        <v>55</v>
      </c>
      <c r="D803" t="s">
        <v>31</v>
      </c>
      <c r="E803" t="s">
        <v>22</v>
      </c>
      <c r="F803" t="str">
        <f t="shared" si="12"/>
        <v>North</v>
      </c>
      <c r="G803" t="s">
        <v>12</v>
      </c>
      <c r="H803" t="s">
        <v>32</v>
      </c>
      <c r="I803">
        <v>13</v>
      </c>
    </row>
    <row r="804" spans="1:9" ht="21.75" customHeight="1">
      <c r="A804" t="s">
        <v>954</v>
      </c>
      <c r="B804" s="3">
        <v>45574</v>
      </c>
      <c r="C804" t="s">
        <v>9</v>
      </c>
      <c r="D804" t="s">
        <v>65</v>
      </c>
      <c r="E804" t="s">
        <v>11</v>
      </c>
      <c r="F804" t="str">
        <f t="shared" si="12"/>
        <v>East</v>
      </c>
      <c r="G804" t="s">
        <v>42</v>
      </c>
      <c r="H804" t="s">
        <v>23</v>
      </c>
      <c r="I804">
        <v>20</v>
      </c>
    </row>
    <row r="805" spans="1:9" ht="21.75" customHeight="1">
      <c r="A805" t="s">
        <v>955</v>
      </c>
      <c r="B805" s="3">
        <v>45407</v>
      </c>
      <c r="C805" t="s">
        <v>541</v>
      </c>
      <c r="D805" t="s">
        <v>119</v>
      </c>
      <c r="E805" t="s">
        <v>22</v>
      </c>
      <c r="F805" t="str">
        <f t="shared" si="12"/>
        <v>East</v>
      </c>
      <c r="G805" t="s">
        <v>42</v>
      </c>
      <c r="H805" t="s">
        <v>36</v>
      </c>
      <c r="I805">
        <v>19</v>
      </c>
    </row>
    <row r="806" spans="1:9" ht="21.75" customHeight="1">
      <c r="A806" t="s">
        <v>956</v>
      </c>
      <c r="B806" s="3">
        <v>45392</v>
      </c>
      <c r="C806" t="s">
        <v>420</v>
      </c>
      <c r="D806" t="s">
        <v>74</v>
      </c>
      <c r="E806" t="s">
        <v>22</v>
      </c>
      <c r="F806" t="str">
        <f t="shared" si="12"/>
        <v>South</v>
      </c>
      <c r="G806" t="s">
        <v>56</v>
      </c>
      <c r="H806" t="s">
        <v>13</v>
      </c>
      <c r="I806">
        <v>15</v>
      </c>
    </row>
    <row r="807" spans="1:9" ht="21.75" customHeight="1">
      <c r="A807" t="s">
        <v>957</v>
      </c>
      <c r="B807" s="3">
        <v>45387</v>
      </c>
      <c r="C807" t="s">
        <v>235</v>
      </c>
      <c r="D807" t="s">
        <v>102</v>
      </c>
      <c r="E807" t="s">
        <v>22</v>
      </c>
      <c r="F807" t="str">
        <f t="shared" si="12"/>
        <v>Central</v>
      </c>
      <c r="G807" t="s">
        <v>306</v>
      </c>
      <c r="H807" t="s">
        <v>32</v>
      </c>
      <c r="I807">
        <v>13</v>
      </c>
    </row>
    <row r="808" spans="1:9" ht="21.75" customHeight="1">
      <c r="A808" t="s">
        <v>958</v>
      </c>
      <c r="B808" s="3">
        <v>45576</v>
      </c>
      <c r="C808" t="s">
        <v>86</v>
      </c>
      <c r="D808" t="s">
        <v>59</v>
      </c>
      <c r="E808" t="s">
        <v>11</v>
      </c>
      <c r="F808" t="str">
        <f t="shared" si="12"/>
        <v>South</v>
      </c>
      <c r="G808" t="s">
        <v>56</v>
      </c>
      <c r="H808" t="s">
        <v>23</v>
      </c>
      <c r="I808">
        <v>9</v>
      </c>
    </row>
    <row r="809" spans="1:9" ht="21.75" customHeight="1">
      <c r="A809" t="s">
        <v>959</v>
      </c>
      <c r="B809" s="3">
        <v>45655</v>
      </c>
      <c r="C809" t="s">
        <v>125</v>
      </c>
      <c r="D809" t="s">
        <v>72</v>
      </c>
      <c r="E809" t="s">
        <v>11</v>
      </c>
      <c r="F809" t="str">
        <f t="shared" si="12"/>
        <v>South</v>
      </c>
      <c r="G809" t="s">
        <v>56</v>
      </c>
      <c r="H809" t="s">
        <v>36</v>
      </c>
      <c r="I809">
        <v>20</v>
      </c>
    </row>
    <row r="810" spans="1:9" ht="21.75" customHeight="1">
      <c r="A810" t="s">
        <v>960</v>
      </c>
      <c r="B810" s="3">
        <v>45630</v>
      </c>
      <c r="C810" t="s">
        <v>68</v>
      </c>
      <c r="D810" t="s">
        <v>174</v>
      </c>
      <c r="E810" t="s">
        <v>17</v>
      </c>
      <c r="F810" t="str">
        <f t="shared" si="12"/>
        <v>Central</v>
      </c>
      <c r="G810" t="s">
        <v>306</v>
      </c>
      <c r="H810" t="s">
        <v>32</v>
      </c>
      <c r="I810">
        <v>12</v>
      </c>
    </row>
    <row r="811" spans="1:9" ht="21.75" customHeight="1">
      <c r="A811" t="s">
        <v>961</v>
      </c>
      <c r="B811" s="3">
        <v>45561</v>
      </c>
      <c r="C811" t="s">
        <v>240</v>
      </c>
      <c r="D811" t="s">
        <v>10</v>
      </c>
      <c r="E811" t="s">
        <v>11</v>
      </c>
      <c r="F811" t="str">
        <f t="shared" si="12"/>
        <v>Central</v>
      </c>
      <c r="G811" t="s">
        <v>306</v>
      </c>
      <c r="H811" t="s">
        <v>36</v>
      </c>
      <c r="I811">
        <v>17</v>
      </c>
    </row>
    <row r="812" spans="1:9" ht="21.75" customHeight="1">
      <c r="A812" t="s">
        <v>962</v>
      </c>
      <c r="B812" s="3">
        <v>45566</v>
      </c>
      <c r="C812" t="s">
        <v>341</v>
      </c>
      <c r="D812" t="s">
        <v>197</v>
      </c>
      <c r="E812" t="s">
        <v>11</v>
      </c>
      <c r="F812" t="str">
        <f t="shared" si="12"/>
        <v>East</v>
      </c>
      <c r="G812" t="s">
        <v>42</v>
      </c>
      <c r="H812" t="s">
        <v>32</v>
      </c>
      <c r="I812">
        <v>7</v>
      </c>
    </row>
    <row r="813" spans="1:9" ht="21.75" customHeight="1">
      <c r="A813" t="s">
        <v>963</v>
      </c>
      <c r="B813" s="3">
        <v>45476</v>
      </c>
      <c r="C813" t="s">
        <v>61</v>
      </c>
      <c r="D813" t="s">
        <v>160</v>
      </c>
      <c r="E813" t="s">
        <v>11</v>
      </c>
      <c r="F813" t="str">
        <f t="shared" si="12"/>
        <v>Central</v>
      </c>
      <c r="G813" t="s">
        <v>306</v>
      </c>
      <c r="H813" t="s">
        <v>13</v>
      </c>
      <c r="I813">
        <v>16</v>
      </c>
    </row>
    <row r="814" spans="1:9" ht="21.75" customHeight="1">
      <c r="A814" t="s">
        <v>964</v>
      </c>
      <c r="B814" s="3">
        <v>45350</v>
      </c>
      <c r="C814" t="s">
        <v>317</v>
      </c>
      <c r="D814" t="s">
        <v>197</v>
      </c>
      <c r="E814" t="s">
        <v>17</v>
      </c>
      <c r="F814" t="str">
        <f t="shared" si="12"/>
        <v>West</v>
      </c>
      <c r="G814" t="s">
        <v>27</v>
      </c>
      <c r="H814" t="s">
        <v>28</v>
      </c>
      <c r="I814">
        <v>20</v>
      </c>
    </row>
    <row r="815" spans="1:9" ht="21.75" customHeight="1">
      <c r="A815" t="s">
        <v>965</v>
      </c>
      <c r="B815" s="3">
        <v>45312</v>
      </c>
      <c r="C815" t="s">
        <v>455</v>
      </c>
      <c r="D815" t="s">
        <v>102</v>
      </c>
      <c r="E815" t="s">
        <v>17</v>
      </c>
      <c r="F815" t="str">
        <f t="shared" si="12"/>
        <v>West</v>
      </c>
      <c r="G815" t="s">
        <v>27</v>
      </c>
      <c r="H815" t="s">
        <v>32</v>
      </c>
      <c r="I815">
        <v>13</v>
      </c>
    </row>
    <row r="816" spans="1:9" ht="21.75" customHeight="1">
      <c r="A816" t="s">
        <v>966</v>
      </c>
      <c r="B816" s="3">
        <v>45304</v>
      </c>
      <c r="C816" t="s">
        <v>363</v>
      </c>
      <c r="D816" t="s">
        <v>160</v>
      </c>
      <c r="E816" t="s">
        <v>17</v>
      </c>
      <c r="F816" t="str">
        <f t="shared" si="12"/>
        <v>Central</v>
      </c>
      <c r="G816" t="s">
        <v>306</v>
      </c>
      <c r="H816" t="s">
        <v>32</v>
      </c>
      <c r="I816">
        <v>15</v>
      </c>
    </row>
    <row r="817" spans="1:9" ht="21.75" customHeight="1">
      <c r="A817" t="s">
        <v>967</v>
      </c>
      <c r="B817" s="3">
        <v>45625</v>
      </c>
      <c r="C817" t="s">
        <v>150</v>
      </c>
      <c r="D817" t="s">
        <v>10</v>
      </c>
      <c r="E817" t="s">
        <v>17</v>
      </c>
      <c r="F817" t="str">
        <f t="shared" si="12"/>
        <v>Central</v>
      </c>
      <c r="G817" t="s">
        <v>306</v>
      </c>
      <c r="H817" t="s">
        <v>36</v>
      </c>
      <c r="I817">
        <v>4</v>
      </c>
    </row>
    <row r="818" spans="1:9" ht="21.75" customHeight="1">
      <c r="A818" t="s">
        <v>968</v>
      </c>
      <c r="B818" s="3">
        <v>45565</v>
      </c>
      <c r="C818" t="s">
        <v>25</v>
      </c>
      <c r="D818" t="s">
        <v>65</v>
      </c>
      <c r="E818" t="s">
        <v>22</v>
      </c>
      <c r="F818" t="str">
        <f t="shared" si="12"/>
        <v>North</v>
      </c>
      <c r="G818" t="s">
        <v>12</v>
      </c>
      <c r="H818" t="s">
        <v>23</v>
      </c>
      <c r="I818">
        <v>7</v>
      </c>
    </row>
    <row r="819" spans="1:9" ht="21.75" customHeight="1">
      <c r="A819" t="s">
        <v>969</v>
      </c>
      <c r="B819" s="3">
        <v>45345</v>
      </c>
      <c r="C819" t="s">
        <v>95</v>
      </c>
      <c r="D819" t="s">
        <v>21</v>
      </c>
      <c r="E819" t="s">
        <v>22</v>
      </c>
      <c r="F819" t="str">
        <f t="shared" si="12"/>
        <v>West</v>
      </c>
      <c r="G819" t="s">
        <v>27</v>
      </c>
      <c r="H819" t="s">
        <v>28</v>
      </c>
      <c r="I819">
        <v>3</v>
      </c>
    </row>
    <row r="820" spans="1:9" ht="21.75" customHeight="1">
      <c r="A820" t="s">
        <v>970</v>
      </c>
      <c r="B820" s="3">
        <v>45304</v>
      </c>
      <c r="C820" t="s">
        <v>366</v>
      </c>
      <c r="D820" t="s">
        <v>79</v>
      </c>
      <c r="E820" t="s">
        <v>22</v>
      </c>
      <c r="F820" t="str">
        <f t="shared" si="12"/>
        <v>East</v>
      </c>
      <c r="G820" t="s">
        <v>42</v>
      </c>
      <c r="H820" t="s">
        <v>28</v>
      </c>
      <c r="I820">
        <v>3</v>
      </c>
    </row>
    <row r="821" spans="1:9" ht="21.75" customHeight="1">
      <c r="A821" t="s">
        <v>971</v>
      </c>
      <c r="B821" s="3">
        <v>45420</v>
      </c>
      <c r="C821" t="s">
        <v>642</v>
      </c>
      <c r="D821" t="s">
        <v>197</v>
      </c>
      <c r="E821" t="s">
        <v>11</v>
      </c>
      <c r="F821" t="str">
        <f t="shared" si="12"/>
        <v>Central</v>
      </c>
      <c r="G821" t="s">
        <v>306</v>
      </c>
      <c r="H821" t="s">
        <v>23</v>
      </c>
      <c r="I821">
        <v>9</v>
      </c>
    </row>
    <row r="822" spans="1:9" ht="21.75" customHeight="1">
      <c r="A822" t="s">
        <v>972</v>
      </c>
      <c r="B822" s="3">
        <v>45614</v>
      </c>
      <c r="C822" t="s">
        <v>341</v>
      </c>
      <c r="D822" t="s">
        <v>96</v>
      </c>
      <c r="E822" t="s">
        <v>17</v>
      </c>
      <c r="F822" t="str">
        <f t="shared" si="12"/>
        <v>East</v>
      </c>
      <c r="G822" t="s">
        <v>42</v>
      </c>
      <c r="H822" t="s">
        <v>36</v>
      </c>
      <c r="I822">
        <v>13</v>
      </c>
    </row>
    <row r="823" spans="1:9" ht="21.75" customHeight="1">
      <c r="A823" t="s">
        <v>973</v>
      </c>
      <c r="B823" s="3">
        <v>45295</v>
      </c>
      <c r="C823" t="s">
        <v>736</v>
      </c>
      <c r="D823" t="s">
        <v>10</v>
      </c>
      <c r="E823" t="s">
        <v>22</v>
      </c>
      <c r="F823" t="str">
        <f t="shared" si="12"/>
        <v>Central</v>
      </c>
      <c r="G823" t="s">
        <v>306</v>
      </c>
      <c r="H823" t="s">
        <v>13</v>
      </c>
      <c r="I823">
        <v>19</v>
      </c>
    </row>
    <row r="824" spans="1:9" ht="21.75" customHeight="1">
      <c r="A824" t="s">
        <v>974</v>
      </c>
      <c r="B824" s="3">
        <v>45475</v>
      </c>
      <c r="C824" t="s">
        <v>358</v>
      </c>
      <c r="D824" t="s">
        <v>41</v>
      </c>
      <c r="E824" t="s">
        <v>11</v>
      </c>
      <c r="F824" t="str">
        <f t="shared" si="12"/>
        <v>East</v>
      </c>
      <c r="G824" t="s">
        <v>42</v>
      </c>
      <c r="H824" t="s">
        <v>32</v>
      </c>
      <c r="I824">
        <v>10</v>
      </c>
    </row>
    <row r="825" spans="1:9" ht="21.75" customHeight="1">
      <c r="A825" t="s">
        <v>975</v>
      </c>
      <c r="B825" s="3">
        <v>45516</v>
      </c>
      <c r="C825" t="s">
        <v>159</v>
      </c>
      <c r="D825" t="s">
        <v>35</v>
      </c>
      <c r="E825" t="s">
        <v>17</v>
      </c>
      <c r="F825" t="str">
        <f t="shared" si="12"/>
        <v>North</v>
      </c>
      <c r="G825" t="s">
        <v>12</v>
      </c>
      <c r="H825" t="s">
        <v>28</v>
      </c>
      <c r="I825">
        <v>6</v>
      </c>
    </row>
    <row r="826" spans="1:9" ht="21.75" customHeight="1">
      <c r="A826" t="s">
        <v>976</v>
      </c>
      <c r="B826" s="3">
        <v>45492</v>
      </c>
      <c r="C826" t="s">
        <v>591</v>
      </c>
      <c r="D826" t="s">
        <v>74</v>
      </c>
      <c r="E826" t="s">
        <v>17</v>
      </c>
      <c r="F826" t="str">
        <f t="shared" si="12"/>
        <v>South</v>
      </c>
      <c r="G826" t="s">
        <v>56</v>
      </c>
      <c r="H826" t="s">
        <v>13</v>
      </c>
      <c r="I826">
        <v>12</v>
      </c>
    </row>
    <row r="827" spans="1:9" ht="21.75" customHeight="1">
      <c r="A827" t="s">
        <v>977</v>
      </c>
      <c r="B827" s="3">
        <v>45575</v>
      </c>
      <c r="C827" t="s">
        <v>642</v>
      </c>
      <c r="D827" t="s">
        <v>79</v>
      </c>
      <c r="E827" t="s">
        <v>11</v>
      </c>
      <c r="F827" t="str">
        <f t="shared" si="12"/>
        <v>North</v>
      </c>
      <c r="G827" t="s">
        <v>12</v>
      </c>
      <c r="H827" t="s">
        <v>23</v>
      </c>
      <c r="I827">
        <v>1</v>
      </c>
    </row>
    <row r="828" spans="1:9" ht="21.75" customHeight="1">
      <c r="A828" t="s">
        <v>978</v>
      </c>
      <c r="B828" s="3">
        <v>45567</v>
      </c>
      <c r="C828" t="s">
        <v>378</v>
      </c>
      <c r="D828" t="s">
        <v>65</v>
      </c>
      <c r="E828" t="s">
        <v>11</v>
      </c>
      <c r="F828" t="str">
        <f t="shared" si="12"/>
        <v>East</v>
      </c>
      <c r="G828" t="s">
        <v>42</v>
      </c>
      <c r="H828" t="s">
        <v>36</v>
      </c>
      <c r="I828">
        <v>12</v>
      </c>
    </row>
    <row r="829" spans="1:9" ht="21.75" customHeight="1">
      <c r="A829" t="s">
        <v>979</v>
      </c>
      <c r="B829" s="3">
        <v>45364</v>
      </c>
      <c r="C829" t="s">
        <v>111</v>
      </c>
      <c r="D829" t="s">
        <v>109</v>
      </c>
      <c r="E829" t="s">
        <v>11</v>
      </c>
      <c r="F829" t="str">
        <f t="shared" si="12"/>
        <v>South</v>
      </c>
      <c r="G829" t="s">
        <v>56</v>
      </c>
      <c r="H829" t="s">
        <v>28</v>
      </c>
      <c r="I829">
        <v>9</v>
      </c>
    </row>
    <row r="830" spans="1:9" ht="21.75" customHeight="1">
      <c r="A830" t="s">
        <v>980</v>
      </c>
      <c r="B830" s="3">
        <v>45635</v>
      </c>
      <c r="C830" t="s">
        <v>614</v>
      </c>
      <c r="D830" t="s">
        <v>70</v>
      </c>
      <c r="E830" t="s">
        <v>11</v>
      </c>
      <c r="F830" t="str">
        <f t="shared" si="12"/>
        <v>Central</v>
      </c>
      <c r="G830" t="s">
        <v>306</v>
      </c>
      <c r="H830" t="s">
        <v>13</v>
      </c>
      <c r="I830">
        <v>18</v>
      </c>
    </row>
    <row r="831" spans="1:9" ht="21.75" customHeight="1">
      <c r="A831" t="s">
        <v>981</v>
      </c>
      <c r="B831" s="3">
        <v>45420</v>
      </c>
      <c r="C831" t="s">
        <v>108</v>
      </c>
      <c r="D831" t="s">
        <v>35</v>
      </c>
      <c r="E831" t="s">
        <v>11</v>
      </c>
      <c r="F831" t="str">
        <f t="shared" si="12"/>
        <v>Central</v>
      </c>
      <c r="G831" t="s">
        <v>306</v>
      </c>
      <c r="H831" t="s">
        <v>28</v>
      </c>
      <c r="I831">
        <v>11</v>
      </c>
    </row>
    <row r="832" spans="1:9" ht="21.75" customHeight="1">
      <c r="A832" t="s">
        <v>982</v>
      </c>
      <c r="B832" s="3">
        <v>45343</v>
      </c>
      <c r="C832" t="s">
        <v>55</v>
      </c>
      <c r="D832" t="s">
        <v>65</v>
      </c>
      <c r="E832" t="s">
        <v>22</v>
      </c>
      <c r="F832" t="str">
        <f t="shared" si="12"/>
        <v>North</v>
      </c>
      <c r="G832" t="s">
        <v>12</v>
      </c>
      <c r="H832" t="s">
        <v>32</v>
      </c>
      <c r="I832">
        <v>11</v>
      </c>
    </row>
    <row r="833" spans="1:9" ht="21.75" customHeight="1">
      <c r="A833" t="s">
        <v>983</v>
      </c>
      <c r="B833" s="3">
        <v>45607</v>
      </c>
      <c r="C833" t="s">
        <v>371</v>
      </c>
      <c r="D833" t="s">
        <v>16</v>
      </c>
      <c r="E833" t="s">
        <v>17</v>
      </c>
      <c r="F833" t="str">
        <f t="shared" si="12"/>
        <v>Central</v>
      </c>
      <c r="G833" t="s">
        <v>306</v>
      </c>
      <c r="H833" t="s">
        <v>32</v>
      </c>
      <c r="I833">
        <v>19</v>
      </c>
    </row>
    <row r="834" spans="1:9" ht="21.75" customHeight="1">
      <c r="A834" t="s">
        <v>984</v>
      </c>
      <c r="B834" s="3">
        <v>45511</v>
      </c>
      <c r="C834" t="s">
        <v>30</v>
      </c>
      <c r="D834" t="s">
        <v>197</v>
      </c>
      <c r="E834" t="s">
        <v>11</v>
      </c>
      <c r="F834" t="str">
        <f t="shared" si="12"/>
        <v>East</v>
      </c>
      <c r="G834" t="s">
        <v>42</v>
      </c>
      <c r="H834" t="s">
        <v>23</v>
      </c>
      <c r="I834">
        <v>8</v>
      </c>
    </row>
    <row r="835" spans="1:9" ht="21.75" customHeight="1">
      <c r="A835" t="s">
        <v>985</v>
      </c>
      <c r="B835" s="3">
        <v>45433</v>
      </c>
      <c r="C835" t="s">
        <v>83</v>
      </c>
      <c r="D835" t="s">
        <v>35</v>
      </c>
      <c r="E835" t="s">
        <v>11</v>
      </c>
      <c r="F835" t="str">
        <f t="shared" ref="F835:F898" si="13">TRIM(PROPER(G835))</f>
        <v>East</v>
      </c>
      <c r="G835" t="s">
        <v>42</v>
      </c>
      <c r="H835" t="s">
        <v>32</v>
      </c>
      <c r="I835">
        <v>15</v>
      </c>
    </row>
    <row r="836" spans="1:9" ht="21.75" customHeight="1">
      <c r="A836" t="s">
        <v>986</v>
      </c>
      <c r="B836" s="3">
        <v>45541</v>
      </c>
      <c r="C836" t="s">
        <v>378</v>
      </c>
      <c r="D836" t="s">
        <v>21</v>
      </c>
      <c r="E836" t="s">
        <v>11</v>
      </c>
      <c r="F836" t="str">
        <f t="shared" si="13"/>
        <v>South</v>
      </c>
      <c r="G836" t="s">
        <v>56</v>
      </c>
      <c r="H836" t="s">
        <v>32</v>
      </c>
      <c r="I836">
        <v>20</v>
      </c>
    </row>
    <row r="837" spans="1:9" ht="21.75" customHeight="1">
      <c r="A837" t="s">
        <v>987</v>
      </c>
      <c r="B837" s="3">
        <v>45363</v>
      </c>
      <c r="C837" t="s">
        <v>312</v>
      </c>
      <c r="D837" t="s">
        <v>84</v>
      </c>
      <c r="E837" t="s">
        <v>11</v>
      </c>
      <c r="F837" t="str">
        <f t="shared" si="13"/>
        <v>East</v>
      </c>
      <c r="G837" t="s">
        <v>42</v>
      </c>
      <c r="H837" t="s">
        <v>13</v>
      </c>
      <c r="I837">
        <v>3</v>
      </c>
    </row>
    <row r="838" spans="1:9" ht="21.75" customHeight="1">
      <c r="A838" t="s">
        <v>988</v>
      </c>
      <c r="B838" s="3">
        <v>45551</v>
      </c>
      <c r="C838" t="s">
        <v>451</v>
      </c>
      <c r="D838" t="s">
        <v>59</v>
      </c>
      <c r="E838" t="s">
        <v>11</v>
      </c>
      <c r="F838" t="str">
        <f t="shared" si="13"/>
        <v>Central</v>
      </c>
      <c r="G838" t="s">
        <v>306</v>
      </c>
      <c r="H838" t="s">
        <v>28</v>
      </c>
      <c r="I838">
        <v>13</v>
      </c>
    </row>
    <row r="839" spans="1:9" ht="21.75" customHeight="1">
      <c r="A839" t="s">
        <v>989</v>
      </c>
      <c r="B839" s="3">
        <v>45310</v>
      </c>
      <c r="C839" t="s">
        <v>378</v>
      </c>
      <c r="D839" t="s">
        <v>174</v>
      </c>
      <c r="E839" t="s">
        <v>17</v>
      </c>
      <c r="F839" t="str">
        <f t="shared" si="13"/>
        <v>Central</v>
      </c>
      <c r="G839" t="s">
        <v>306</v>
      </c>
      <c r="H839" t="s">
        <v>28</v>
      </c>
      <c r="I839">
        <v>16</v>
      </c>
    </row>
    <row r="840" spans="1:9" ht="21.75" customHeight="1">
      <c r="A840" t="s">
        <v>990</v>
      </c>
      <c r="B840" s="3">
        <v>45479</v>
      </c>
      <c r="C840" t="s">
        <v>106</v>
      </c>
      <c r="D840" t="s">
        <v>84</v>
      </c>
      <c r="E840" t="s">
        <v>11</v>
      </c>
      <c r="F840" t="str">
        <f t="shared" si="13"/>
        <v>Central</v>
      </c>
      <c r="G840" t="s">
        <v>306</v>
      </c>
      <c r="H840" t="s">
        <v>36</v>
      </c>
      <c r="I840">
        <v>10</v>
      </c>
    </row>
    <row r="841" spans="1:9" ht="21.75" customHeight="1">
      <c r="A841" t="s">
        <v>991</v>
      </c>
      <c r="B841" s="3">
        <v>45553</v>
      </c>
      <c r="C841" t="s">
        <v>203</v>
      </c>
      <c r="D841" t="s">
        <v>160</v>
      </c>
      <c r="E841" t="s">
        <v>17</v>
      </c>
      <c r="F841" t="str">
        <f t="shared" si="13"/>
        <v>East</v>
      </c>
      <c r="G841" t="s">
        <v>42</v>
      </c>
      <c r="H841" t="s">
        <v>36</v>
      </c>
      <c r="I841">
        <v>1</v>
      </c>
    </row>
    <row r="842" spans="1:9" ht="21.75" customHeight="1">
      <c r="A842" t="s">
        <v>992</v>
      </c>
      <c r="B842" s="3">
        <v>45642</v>
      </c>
      <c r="C842" t="s">
        <v>30</v>
      </c>
      <c r="D842" t="s">
        <v>70</v>
      </c>
      <c r="E842" t="s">
        <v>22</v>
      </c>
      <c r="F842" t="str">
        <f t="shared" si="13"/>
        <v>South</v>
      </c>
      <c r="G842" t="s">
        <v>56</v>
      </c>
      <c r="H842" t="s">
        <v>36</v>
      </c>
      <c r="I842">
        <v>6</v>
      </c>
    </row>
    <row r="843" spans="1:9" ht="21.75" customHeight="1">
      <c r="A843" t="s">
        <v>993</v>
      </c>
      <c r="B843" s="3">
        <v>45629</v>
      </c>
      <c r="C843" t="s">
        <v>167</v>
      </c>
      <c r="D843" t="s">
        <v>48</v>
      </c>
      <c r="E843" t="s">
        <v>22</v>
      </c>
      <c r="F843" t="str">
        <f t="shared" si="13"/>
        <v>West</v>
      </c>
      <c r="G843" t="s">
        <v>27</v>
      </c>
      <c r="H843" t="s">
        <v>23</v>
      </c>
      <c r="I843">
        <v>2</v>
      </c>
    </row>
    <row r="844" spans="1:9" ht="21.75" customHeight="1">
      <c r="A844" t="s">
        <v>994</v>
      </c>
      <c r="B844" s="3">
        <v>45410</v>
      </c>
      <c r="C844" t="s">
        <v>58</v>
      </c>
      <c r="D844" t="s">
        <v>197</v>
      </c>
      <c r="E844" t="s">
        <v>17</v>
      </c>
      <c r="F844" t="str">
        <f t="shared" si="13"/>
        <v>East</v>
      </c>
      <c r="G844" t="s">
        <v>42</v>
      </c>
      <c r="H844" t="s">
        <v>36</v>
      </c>
      <c r="I844">
        <v>2</v>
      </c>
    </row>
    <row r="845" spans="1:9" ht="21.75" customHeight="1">
      <c r="A845" t="s">
        <v>995</v>
      </c>
      <c r="B845" s="3">
        <v>45476</v>
      </c>
      <c r="C845" t="s">
        <v>53</v>
      </c>
      <c r="D845" t="s">
        <v>79</v>
      </c>
      <c r="E845" t="s">
        <v>17</v>
      </c>
      <c r="F845" t="str">
        <f t="shared" si="13"/>
        <v>West</v>
      </c>
      <c r="G845" t="s">
        <v>27</v>
      </c>
      <c r="H845" t="s">
        <v>32</v>
      </c>
      <c r="I845">
        <v>2</v>
      </c>
    </row>
    <row r="846" spans="1:9" ht="21.75" customHeight="1">
      <c r="A846" t="s">
        <v>996</v>
      </c>
      <c r="B846" s="3">
        <v>45344</v>
      </c>
      <c r="C846" t="s">
        <v>369</v>
      </c>
      <c r="D846" t="s">
        <v>84</v>
      </c>
      <c r="E846" t="s">
        <v>22</v>
      </c>
      <c r="F846" t="str">
        <f t="shared" si="13"/>
        <v>East</v>
      </c>
      <c r="G846" t="s">
        <v>42</v>
      </c>
      <c r="H846" t="s">
        <v>36</v>
      </c>
      <c r="I846">
        <v>9</v>
      </c>
    </row>
    <row r="847" spans="1:9" ht="21.75" customHeight="1">
      <c r="A847" t="s">
        <v>997</v>
      </c>
      <c r="B847" s="3">
        <v>45381</v>
      </c>
      <c r="C847" t="s">
        <v>159</v>
      </c>
      <c r="D847" t="s">
        <v>48</v>
      </c>
      <c r="E847" t="s">
        <v>22</v>
      </c>
      <c r="F847" t="str">
        <f t="shared" si="13"/>
        <v>West</v>
      </c>
      <c r="G847" t="s">
        <v>27</v>
      </c>
      <c r="H847" t="s">
        <v>13</v>
      </c>
      <c r="I847">
        <v>19</v>
      </c>
    </row>
    <row r="848" spans="1:9" ht="21.75" customHeight="1">
      <c r="A848" t="s">
        <v>998</v>
      </c>
      <c r="B848" s="3">
        <v>45556</v>
      </c>
      <c r="C848" t="s">
        <v>230</v>
      </c>
      <c r="D848" t="s">
        <v>160</v>
      </c>
      <c r="E848" t="s">
        <v>17</v>
      </c>
      <c r="F848" t="str">
        <f t="shared" si="13"/>
        <v>South</v>
      </c>
      <c r="G848" t="s">
        <v>56</v>
      </c>
      <c r="H848" t="s">
        <v>32</v>
      </c>
      <c r="I848">
        <v>13</v>
      </c>
    </row>
    <row r="849" spans="1:9" ht="21.75" customHeight="1">
      <c r="A849" t="s">
        <v>999</v>
      </c>
      <c r="B849" s="3">
        <v>45541</v>
      </c>
      <c r="C849" t="s">
        <v>517</v>
      </c>
      <c r="D849" t="s">
        <v>160</v>
      </c>
      <c r="E849" t="s">
        <v>22</v>
      </c>
      <c r="F849" t="str">
        <f t="shared" si="13"/>
        <v>North</v>
      </c>
      <c r="G849" t="s">
        <v>12</v>
      </c>
      <c r="H849" t="s">
        <v>28</v>
      </c>
      <c r="I849">
        <v>5</v>
      </c>
    </row>
    <row r="850" spans="1:9" ht="21.75" customHeight="1">
      <c r="A850" t="s">
        <v>1000</v>
      </c>
      <c r="B850" s="3">
        <v>45331</v>
      </c>
      <c r="C850" t="s">
        <v>345</v>
      </c>
      <c r="D850" t="s">
        <v>65</v>
      </c>
      <c r="E850" t="s">
        <v>22</v>
      </c>
      <c r="F850" t="str">
        <f t="shared" si="13"/>
        <v>East</v>
      </c>
      <c r="G850" t="s">
        <v>42</v>
      </c>
      <c r="H850" t="s">
        <v>32</v>
      </c>
      <c r="I850">
        <v>5</v>
      </c>
    </row>
    <row r="851" spans="1:9" ht="21.75" customHeight="1">
      <c r="A851" t="s">
        <v>1001</v>
      </c>
      <c r="B851" s="3">
        <v>45600</v>
      </c>
      <c r="C851" t="s">
        <v>436</v>
      </c>
      <c r="D851" t="s">
        <v>87</v>
      </c>
      <c r="E851" t="s">
        <v>11</v>
      </c>
      <c r="F851" t="str">
        <f t="shared" si="13"/>
        <v>South</v>
      </c>
      <c r="G851" t="s">
        <v>56</v>
      </c>
      <c r="H851" t="s">
        <v>23</v>
      </c>
      <c r="I851">
        <v>11</v>
      </c>
    </row>
    <row r="852" spans="1:9" ht="21.75" customHeight="1">
      <c r="A852" t="s">
        <v>1002</v>
      </c>
      <c r="B852" s="3">
        <v>45637</v>
      </c>
      <c r="C852" t="s">
        <v>517</v>
      </c>
      <c r="D852" t="s">
        <v>59</v>
      </c>
      <c r="E852" t="s">
        <v>17</v>
      </c>
      <c r="F852" t="str">
        <f t="shared" si="13"/>
        <v>South</v>
      </c>
      <c r="G852" t="s">
        <v>56</v>
      </c>
      <c r="H852" t="s">
        <v>23</v>
      </c>
      <c r="I852">
        <v>6</v>
      </c>
    </row>
    <row r="853" spans="1:9" ht="21.75" customHeight="1">
      <c r="A853" t="s">
        <v>1003</v>
      </c>
      <c r="B853" s="3">
        <v>45303</v>
      </c>
      <c r="C853" t="s">
        <v>78</v>
      </c>
      <c r="D853" t="s">
        <v>59</v>
      </c>
      <c r="E853" t="s">
        <v>11</v>
      </c>
      <c r="F853" t="str">
        <f t="shared" si="13"/>
        <v>South</v>
      </c>
      <c r="G853" t="s">
        <v>56</v>
      </c>
      <c r="H853" t="s">
        <v>36</v>
      </c>
      <c r="I853">
        <v>19</v>
      </c>
    </row>
    <row r="854" spans="1:9" ht="21.75" customHeight="1">
      <c r="A854" t="s">
        <v>1004</v>
      </c>
      <c r="B854" s="3">
        <v>45312</v>
      </c>
      <c r="C854" t="s">
        <v>314</v>
      </c>
      <c r="D854" t="s">
        <v>45</v>
      </c>
      <c r="E854" t="s">
        <v>11</v>
      </c>
      <c r="F854" t="str">
        <f t="shared" si="13"/>
        <v>North</v>
      </c>
      <c r="G854" t="s">
        <v>12</v>
      </c>
      <c r="H854" t="s">
        <v>36</v>
      </c>
      <c r="I854">
        <v>9</v>
      </c>
    </row>
    <row r="855" spans="1:9" ht="21.75" customHeight="1">
      <c r="A855" t="s">
        <v>1005</v>
      </c>
      <c r="B855" s="3">
        <v>45499</v>
      </c>
      <c r="C855" t="s">
        <v>327</v>
      </c>
      <c r="D855" t="s">
        <v>84</v>
      </c>
      <c r="E855" t="s">
        <v>22</v>
      </c>
      <c r="F855" t="str">
        <f t="shared" si="13"/>
        <v>North</v>
      </c>
      <c r="G855" t="s">
        <v>12</v>
      </c>
      <c r="H855" t="s">
        <v>28</v>
      </c>
      <c r="I855">
        <v>10</v>
      </c>
    </row>
    <row r="856" spans="1:9" ht="21.75" customHeight="1">
      <c r="A856" t="s">
        <v>1006</v>
      </c>
      <c r="B856" s="3">
        <v>45521</v>
      </c>
      <c r="C856" t="s">
        <v>493</v>
      </c>
      <c r="D856" t="s">
        <v>45</v>
      </c>
      <c r="E856" t="s">
        <v>17</v>
      </c>
      <c r="F856" t="str">
        <f t="shared" si="13"/>
        <v>West</v>
      </c>
      <c r="G856" t="s">
        <v>27</v>
      </c>
      <c r="H856" t="s">
        <v>36</v>
      </c>
      <c r="I856">
        <v>8</v>
      </c>
    </row>
    <row r="857" spans="1:9" ht="21.75" customHeight="1">
      <c r="A857" t="s">
        <v>1007</v>
      </c>
      <c r="B857" s="3">
        <v>45365</v>
      </c>
      <c r="C857" t="s">
        <v>361</v>
      </c>
      <c r="D857" t="s">
        <v>41</v>
      </c>
      <c r="E857" t="s">
        <v>11</v>
      </c>
      <c r="F857" t="str">
        <f t="shared" si="13"/>
        <v>Central</v>
      </c>
      <c r="G857" t="s">
        <v>306</v>
      </c>
      <c r="H857" t="s">
        <v>32</v>
      </c>
      <c r="I857">
        <v>17</v>
      </c>
    </row>
    <row r="858" spans="1:9" ht="21.75" customHeight="1">
      <c r="A858" t="s">
        <v>1008</v>
      </c>
      <c r="B858" s="3">
        <v>45524</v>
      </c>
      <c r="C858" t="s">
        <v>327</v>
      </c>
      <c r="D858" t="s">
        <v>197</v>
      </c>
      <c r="E858" t="s">
        <v>22</v>
      </c>
      <c r="F858" t="str">
        <f t="shared" si="13"/>
        <v>North</v>
      </c>
      <c r="G858" t="s">
        <v>12</v>
      </c>
      <c r="H858" t="s">
        <v>13</v>
      </c>
      <c r="I858">
        <v>13</v>
      </c>
    </row>
    <row r="859" spans="1:9" ht="21.75" customHeight="1">
      <c r="A859" t="s">
        <v>1009</v>
      </c>
      <c r="B859" s="3">
        <v>45300</v>
      </c>
      <c r="C859" t="s">
        <v>104</v>
      </c>
      <c r="D859" t="s">
        <v>41</v>
      </c>
      <c r="E859" t="s">
        <v>22</v>
      </c>
      <c r="F859" t="str">
        <f t="shared" si="13"/>
        <v>Central</v>
      </c>
      <c r="G859" t="s">
        <v>306</v>
      </c>
      <c r="H859" t="s">
        <v>36</v>
      </c>
      <c r="I859">
        <v>14</v>
      </c>
    </row>
    <row r="860" spans="1:9" ht="21.75" customHeight="1">
      <c r="A860" t="s">
        <v>1010</v>
      </c>
      <c r="B860" s="3">
        <v>45341</v>
      </c>
      <c r="C860" t="s">
        <v>235</v>
      </c>
      <c r="D860" t="s">
        <v>109</v>
      </c>
      <c r="E860" t="s">
        <v>17</v>
      </c>
      <c r="F860" t="str">
        <f t="shared" si="13"/>
        <v>Central</v>
      </c>
      <c r="G860" t="s">
        <v>306</v>
      </c>
      <c r="H860" t="s">
        <v>36</v>
      </c>
      <c r="I860">
        <v>2</v>
      </c>
    </row>
    <row r="861" spans="1:9" ht="21.75" customHeight="1">
      <c r="A861" t="s">
        <v>1011</v>
      </c>
      <c r="B861" s="3">
        <v>45549</v>
      </c>
      <c r="C861" t="s">
        <v>664</v>
      </c>
      <c r="D861" t="s">
        <v>35</v>
      </c>
      <c r="E861" t="s">
        <v>11</v>
      </c>
      <c r="F861" t="str">
        <f t="shared" si="13"/>
        <v>North</v>
      </c>
      <c r="G861" t="s">
        <v>12</v>
      </c>
      <c r="H861" t="s">
        <v>36</v>
      </c>
      <c r="I861">
        <v>5</v>
      </c>
    </row>
    <row r="862" spans="1:9" ht="21.75" customHeight="1">
      <c r="A862" t="s">
        <v>1012</v>
      </c>
      <c r="B862" s="3">
        <v>45292</v>
      </c>
      <c r="C862" t="s">
        <v>420</v>
      </c>
      <c r="D862" t="s">
        <v>160</v>
      </c>
      <c r="E862" t="s">
        <v>22</v>
      </c>
      <c r="F862" t="str">
        <f t="shared" si="13"/>
        <v>West</v>
      </c>
      <c r="G862" t="s">
        <v>27</v>
      </c>
      <c r="H862" t="s">
        <v>13</v>
      </c>
      <c r="I862">
        <v>14</v>
      </c>
    </row>
    <row r="863" spans="1:9" ht="21.75" customHeight="1">
      <c r="A863" t="s">
        <v>1013</v>
      </c>
      <c r="B863" s="3">
        <v>45649</v>
      </c>
      <c r="C863" t="s">
        <v>339</v>
      </c>
      <c r="D863" t="s">
        <v>35</v>
      </c>
      <c r="E863" t="s">
        <v>17</v>
      </c>
      <c r="F863" t="str">
        <f t="shared" si="13"/>
        <v>South</v>
      </c>
      <c r="G863" t="s">
        <v>56</v>
      </c>
      <c r="H863" t="s">
        <v>36</v>
      </c>
      <c r="I863">
        <v>13</v>
      </c>
    </row>
    <row r="864" spans="1:9" ht="21.75" customHeight="1">
      <c r="A864" t="s">
        <v>1014</v>
      </c>
      <c r="B864" s="3">
        <v>45342</v>
      </c>
      <c r="C864" t="s">
        <v>309</v>
      </c>
      <c r="D864" t="s">
        <v>35</v>
      </c>
      <c r="E864" t="s">
        <v>11</v>
      </c>
      <c r="F864" t="str">
        <f t="shared" si="13"/>
        <v>East</v>
      </c>
      <c r="G864" t="s">
        <v>42</v>
      </c>
      <c r="H864" t="s">
        <v>13</v>
      </c>
      <c r="I864">
        <v>8</v>
      </c>
    </row>
    <row r="865" spans="1:9" ht="21.75" customHeight="1">
      <c r="A865" t="s">
        <v>1015</v>
      </c>
      <c r="B865" s="3">
        <v>45437</v>
      </c>
      <c r="C865" t="s">
        <v>327</v>
      </c>
      <c r="D865" t="s">
        <v>26</v>
      </c>
      <c r="E865" t="s">
        <v>22</v>
      </c>
      <c r="F865" t="str">
        <f t="shared" si="13"/>
        <v>West</v>
      </c>
      <c r="G865" t="s">
        <v>27</v>
      </c>
      <c r="H865" t="s">
        <v>13</v>
      </c>
      <c r="I865">
        <v>7</v>
      </c>
    </row>
    <row r="866" spans="1:9" ht="21.75" customHeight="1">
      <c r="A866" t="s">
        <v>1016</v>
      </c>
      <c r="B866" s="3">
        <v>45587</v>
      </c>
      <c r="C866" t="s">
        <v>363</v>
      </c>
      <c r="D866" t="s">
        <v>96</v>
      </c>
      <c r="E866" t="s">
        <v>11</v>
      </c>
      <c r="F866" t="str">
        <f t="shared" si="13"/>
        <v>Central</v>
      </c>
      <c r="G866" t="s">
        <v>306</v>
      </c>
      <c r="H866" t="s">
        <v>32</v>
      </c>
      <c r="I866">
        <v>13</v>
      </c>
    </row>
    <row r="867" spans="1:9" ht="21.75" customHeight="1">
      <c r="A867" t="s">
        <v>1017</v>
      </c>
      <c r="B867" s="3">
        <v>45501</v>
      </c>
      <c r="C867" t="s">
        <v>83</v>
      </c>
      <c r="D867" t="s">
        <v>87</v>
      </c>
      <c r="E867" t="s">
        <v>11</v>
      </c>
      <c r="F867" t="str">
        <f t="shared" si="13"/>
        <v>South</v>
      </c>
      <c r="G867" t="s">
        <v>56</v>
      </c>
      <c r="H867" t="s">
        <v>36</v>
      </c>
      <c r="I867">
        <v>19</v>
      </c>
    </row>
    <row r="868" spans="1:9" ht="21.75" customHeight="1">
      <c r="A868" t="s">
        <v>1018</v>
      </c>
      <c r="B868" s="3">
        <v>45508</v>
      </c>
      <c r="C868" t="s">
        <v>614</v>
      </c>
      <c r="D868" t="s">
        <v>26</v>
      </c>
      <c r="E868" t="s">
        <v>17</v>
      </c>
      <c r="F868" t="str">
        <f t="shared" si="13"/>
        <v>Central</v>
      </c>
      <c r="G868" t="s">
        <v>306</v>
      </c>
      <c r="H868" t="s">
        <v>23</v>
      </c>
      <c r="I868">
        <v>13</v>
      </c>
    </row>
    <row r="869" spans="1:9" ht="21.75" customHeight="1">
      <c r="A869" t="s">
        <v>1019</v>
      </c>
      <c r="B869" s="3">
        <v>45574</v>
      </c>
      <c r="C869" t="s">
        <v>728</v>
      </c>
      <c r="D869" t="s">
        <v>45</v>
      </c>
      <c r="E869" t="s">
        <v>22</v>
      </c>
      <c r="F869" t="str">
        <f t="shared" si="13"/>
        <v>West</v>
      </c>
      <c r="G869" t="s">
        <v>27</v>
      </c>
      <c r="H869" t="s">
        <v>23</v>
      </c>
      <c r="I869">
        <v>12</v>
      </c>
    </row>
    <row r="870" spans="1:9" ht="21.75" customHeight="1">
      <c r="A870" t="s">
        <v>1020</v>
      </c>
      <c r="B870" s="3">
        <v>45421</v>
      </c>
      <c r="C870" t="s">
        <v>147</v>
      </c>
      <c r="D870" t="s">
        <v>119</v>
      </c>
      <c r="E870" t="s">
        <v>22</v>
      </c>
      <c r="F870" t="str">
        <f t="shared" si="13"/>
        <v>East</v>
      </c>
      <c r="G870" t="s">
        <v>42</v>
      </c>
      <c r="H870" t="s">
        <v>13</v>
      </c>
      <c r="I870">
        <v>13</v>
      </c>
    </row>
    <row r="871" spans="1:9" ht="21.75" customHeight="1">
      <c r="A871" t="s">
        <v>1021</v>
      </c>
      <c r="B871" s="3">
        <v>45409</v>
      </c>
      <c r="C871" t="s">
        <v>430</v>
      </c>
      <c r="D871" t="s">
        <v>102</v>
      </c>
      <c r="E871" t="s">
        <v>22</v>
      </c>
      <c r="F871" t="str">
        <f t="shared" si="13"/>
        <v>South</v>
      </c>
      <c r="G871" t="s">
        <v>56</v>
      </c>
      <c r="H871" t="s">
        <v>32</v>
      </c>
      <c r="I871">
        <v>7</v>
      </c>
    </row>
    <row r="872" spans="1:9" ht="21.75" customHeight="1">
      <c r="A872" t="s">
        <v>1022</v>
      </c>
      <c r="B872" s="3">
        <v>45573</v>
      </c>
      <c r="C872" t="s">
        <v>594</v>
      </c>
      <c r="D872" t="s">
        <v>45</v>
      </c>
      <c r="E872" t="s">
        <v>22</v>
      </c>
      <c r="F872" t="str">
        <f t="shared" si="13"/>
        <v>North</v>
      </c>
      <c r="G872" t="s">
        <v>12</v>
      </c>
      <c r="H872" t="s">
        <v>13</v>
      </c>
      <c r="I872">
        <v>13</v>
      </c>
    </row>
    <row r="873" spans="1:9" ht="21.75" customHeight="1">
      <c r="A873" t="s">
        <v>1023</v>
      </c>
      <c r="B873" s="3">
        <v>45338</v>
      </c>
      <c r="C873" t="s">
        <v>167</v>
      </c>
      <c r="D873" t="s">
        <v>87</v>
      </c>
      <c r="E873" t="s">
        <v>17</v>
      </c>
      <c r="F873" t="str">
        <f t="shared" si="13"/>
        <v>Central</v>
      </c>
      <c r="G873" t="s">
        <v>306</v>
      </c>
      <c r="H873" t="s">
        <v>28</v>
      </c>
      <c r="I873">
        <v>3</v>
      </c>
    </row>
    <row r="874" spans="1:9" ht="21.75" customHeight="1">
      <c r="A874" t="s">
        <v>1024</v>
      </c>
      <c r="B874" s="3">
        <v>45481</v>
      </c>
      <c r="C874" t="s">
        <v>81</v>
      </c>
      <c r="D874" t="s">
        <v>84</v>
      </c>
      <c r="E874" t="s">
        <v>22</v>
      </c>
      <c r="F874" t="str">
        <f t="shared" si="13"/>
        <v>North</v>
      </c>
      <c r="G874" t="s">
        <v>12</v>
      </c>
      <c r="H874" t="s">
        <v>23</v>
      </c>
      <c r="I874">
        <v>13</v>
      </c>
    </row>
    <row r="875" spans="1:9" ht="21.75" customHeight="1">
      <c r="A875" t="s">
        <v>1025</v>
      </c>
      <c r="B875" s="3">
        <v>45606</v>
      </c>
      <c r="C875" t="s">
        <v>350</v>
      </c>
      <c r="D875" t="s">
        <v>62</v>
      </c>
      <c r="E875" t="s">
        <v>22</v>
      </c>
      <c r="F875" t="str">
        <f t="shared" si="13"/>
        <v>East</v>
      </c>
      <c r="G875" t="s">
        <v>42</v>
      </c>
      <c r="H875" t="s">
        <v>28</v>
      </c>
      <c r="I875">
        <v>20</v>
      </c>
    </row>
    <row r="876" spans="1:9" ht="21.75" customHeight="1">
      <c r="A876" t="s">
        <v>1026</v>
      </c>
      <c r="B876" s="3">
        <v>45619</v>
      </c>
      <c r="C876" t="s">
        <v>432</v>
      </c>
      <c r="D876" t="s">
        <v>65</v>
      </c>
      <c r="E876" t="s">
        <v>17</v>
      </c>
      <c r="F876" t="str">
        <f t="shared" si="13"/>
        <v>North</v>
      </c>
      <c r="G876" t="s">
        <v>12</v>
      </c>
      <c r="H876" t="s">
        <v>13</v>
      </c>
      <c r="I876">
        <v>17</v>
      </c>
    </row>
    <row r="877" spans="1:9" ht="21.75" customHeight="1">
      <c r="A877" t="s">
        <v>1027</v>
      </c>
      <c r="B877" s="3">
        <v>45598</v>
      </c>
      <c r="C877" t="s">
        <v>345</v>
      </c>
      <c r="D877" t="s">
        <v>109</v>
      </c>
      <c r="E877" t="s">
        <v>22</v>
      </c>
      <c r="F877" t="str">
        <f t="shared" si="13"/>
        <v>South</v>
      </c>
      <c r="G877" t="s">
        <v>56</v>
      </c>
      <c r="H877" t="s">
        <v>32</v>
      </c>
      <c r="I877">
        <v>6</v>
      </c>
    </row>
    <row r="878" spans="1:9" ht="21.75" customHeight="1">
      <c r="A878" t="s">
        <v>1028</v>
      </c>
      <c r="B878" s="3">
        <v>45414</v>
      </c>
      <c r="C878" t="s">
        <v>350</v>
      </c>
      <c r="D878" t="s">
        <v>10</v>
      </c>
      <c r="E878" t="s">
        <v>11</v>
      </c>
      <c r="F878" t="str">
        <f t="shared" si="13"/>
        <v>South</v>
      </c>
      <c r="G878" t="s">
        <v>56</v>
      </c>
      <c r="H878" t="s">
        <v>32</v>
      </c>
      <c r="I878">
        <v>9</v>
      </c>
    </row>
    <row r="879" spans="1:9" ht="21.75" customHeight="1">
      <c r="A879" t="s">
        <v>1029</v>
      </c>
      <c r="B879" s="3">
        <v>45634</v>
      </c>
      <c r="C879" t="s">
        <v>106</v>
      </c>
      <c r="D879" t="s">
        <v>65</v>
      </c>
      <c r="E879" t="s">
        <v>17</v>
      </c>
      <c r="F879" t="str">
        <f t="shared" si="13"/>
        <v>Central</v>
      </c>
      <c r="G879" t="s">
        <v>306</v>
      </c>
      <c r="H879" t="s">
        <v>13</v>
      </c>
      <c r="I879">
        <v>17</v>
      </c>
    </row>
    <row r="880" spans="1:9" ht="21.75" customHeight="1">
      <c r="A880" t="s">
        <v>1030</v>
      </c>
      <c r="B880" s="3">
        <v>45338</v>
      </c>
      <c r="C880" t="s">
        <v>378</v>
      </c>
      <c r="D880" t="s">
        <v>59</v>
      </c>
      <c r="E880" t="s">
        <v>17</v>
      </c>
      <c r="F880" t="str">
        <f t="shared" si="13"/>
        <v>Central</v>
      </c>
      <c r="G880" t="s">
        <v>306</v>
      </c>
      <c r="H880" t="s">
        <v>32</v>
      </c>
      <c r="I880">
        <v>12</v>
      </c>
    </row>
    <row r="881" spans="1:9" ht="21.75" customHeight="1">
      <c r="A881" t="s">
        <v>1031</v>
      </c>
      <c r="B881" s="3">
        <v>45407</v>
      </c>
      <c r="C881" t="s">
        <v>493</v>
      </c>
      <c r="D881" t="s">
        <v>31</v>
      </c>
      <c r="E881" t="s">
        <v>11</v>
      </c>
      <c r="F881" t="str">
        <f t="shared" si="13"/>
        <v>West</v>
      </c>
      <c r="G881" t="s">
        <v>27</v>
      </c>
      <c r="H881" t="s">
        <v>28</v>
      </c>
      <c r="I881">
        <v>19</v>
      </c>
    </row>
    <row r="882" spans="1:9" ht="21.75" customHeight="1">
      <c r="A882" t="s">
        <v>1032</v>
      </c>
      <c r="B882" s="3">
        <v>45500</v>
      </c>
      <c r="C882" t="s">
        <v>358</v>
      </c>
      <c r="D882" t="s">
        <v>10</v>
      </c>
      <c r="E882" t="s">
        <v>11</v>
      </c>
      <c r="F882" t="str">
        <f t="shared" si="13"/>
        <v>Central</v>
      </c>
      <c r="G882" t="s">
        <v>306</v>
      </c>
      <c r="H882" t="s">
        <v>13</v>
      </c>
      <c r="I882">
        <v>17</v>
      </c>
    </row>
    <row r="883" spans="1:9" ht="21.75" customHeight="1">
      <c r="A883" t="s">
        <v>1033</v>
      </c>
      <c r="B883" s="3">
        <v>45554</v>
      </c>
      <c r="C883" t="s">
        <v>230</v>
      </c>
      <c r="D883" t="s">
        <v>26</v>
      </c>
      <c r="E883" t="s">
        <v>22</v>
      </c>
      <c r="F883" t="str">
        <f t="shared" si="13"/>
        <v>Central</v>
      </c>
      <c r="G883" t="s">
        <v>306</v>
      </c>
      <c r="H883" t="s">
        <v>36</v>
      </c>
      <c r="I883">
        <v>15</v>
      </c>
    </row>
    <row r="884" spans="1:9" ht="21.75" customHeight="1">
      <c r="A884" t="s">
        <v>1034</v>
      </c>
      <c r="B884" s="3">
        <v>45539</v>
      </c>
      <c r="C884" t="s">
        <v>337</v>
      </c>
      <c r="D884" t="s">
        <v>119</v>
      </c>
      <c r="E884" t="s">
        <v>11</v>
      </c>
      <c r="F884" t="str">
        <f t="shared" si="13"/>
        <v>East</v>
      </c>
      <c r="G884" t="s">
        <v>42</v>
      </c>
      <c r="H884" t="s">
        <v>36</v>
      </c>
      <c r="I884">
        <v>15</v>
      </c>
    </row>
    <row r="885" spans="1:9" ht="21.75" customHeight="1">
      <c r="A885" t="s">
        <v>1035</v>
      </c>
      <c r="B885" s="3">
        <v>45306</v>
      </c>
      <c r="C885" t="s">
        <v>517</v>
      </c>
      <c r="D885" t="s">
        <v>10</v>
      </c>
      <c r="E885" t="s">
        <v>11</v>
      </c>
      <c r="F885" t="str">
        <f t="shared" si="13"/>
        <v>East</v>
      </c>
      <c r="G885" t="s">
        <v>42</v>
      </c>
      <c r="H885" t="s">
        <v>28</v>
      </c>
      <c r="I885">
        <v>13</v>
      </c>
    </row>
    <row r="886" spans="1:9" ht="21.75" customHeight="1">
      <c r="A886" t="s">
        <v>1036</v>
      </c>
      <c r="B886" s="3">
        <v>45638</v>
      </c>
      <c r="C886" t="s">
        <v>424</v>
      </c>
      <c r="D886" t="s">
        <v>87</v>
      </c>
      <c r="E886" t="s">
        <v>11</v>
      </c>
      <c r="F886" t="str">
        <f t="shared" si="13"/>
        <v>East</v>
      </c>
      <c r="G886" t="s">
        <v>42</v>
      </c>
      <c r="H886" t="s">
        <v>13</v>
      </c>
      <c r="I886">
        <v>12</v>
      </c>
    </row>
    <row r="887" spans="1:9" ht="21.75" customHeight="1">
      <c r="A887" t="s">
        <v>1037</v>
      </c>
      <c r="B887" s="3">
        <v>45650</v>
      </c>
      <c r="C887" t="s">
        <v>86</v>
      </c>
      <c r="D887" t="s">
        <v>10</v>
      </c>
      <c r="E887" t="s">
        <v>11</v>
      </c>
      <c r="F887" t="str">
        <f t="shared" si="13"/>
        <v>East</v>
      </c>
      <c r="G887" t="s">
        <v>42</v>
      </c>
      <c r="H887" t="s">
        <v>32</v>
      </c>
      <c r="I887">
        <v>13</v>
      </c>
    </row>
    <row r="888" spans="1:9" ht="21.75" customHeight="1">
      <c r="A888" t="s">
        <v>1038</v>
      </c>
      <c r="B888" s="3">
        <v>45330</v>
      </c>
      <c r="C888" t="s">
        <v>378</v>
      </c>
      <c r="D888" t="s">
        <v>72</v>
      </c>
      <c r="E888" t="s">
        <v>11</v>
      </c>
      <c r="F888" t="str">
        <f t="shared" si="13"/>
        <v>West</v>
      </c>
      <c r="G888" t="s">
        <v>27</v>
      </c>
      <c r="H888" t="s">
        <v>36</v>
      </c>
      <c r="I888">
        <v>12</v>
      </c>
    </row>
    <row r="889" spans="1:9" ht="21.75" customHeight="1">
      <c r="A889" t="s">
        <v>1039</v>
      </c>
      <c r="B889" s="3">
        <v>45429</v>
      </c>
      <c r="C889" t="s">
        <v>44</v>
      </c>
      <c r="D889" t="s">
        <v>35</v>
      </c>
      <c r="E889" t="s">
        <v>22</v>
      </c>
      <c r="F889" t="str">
        <f t="shared" si="13"/>
        <v>South</v>
      </c>
      <c r="G889" t="s">
        <v>56</v>
      </c>
      <c r="H889" t="s">
        <v>28</v>
      </c>
      <c r="I889">
        <v>7</v>
      </c>
    </row>
    <row r="890" spans="1:9" ht="21.75" customHeight="1">
      <c r="A890" t="s">
        <v>1040</v>
      </c>
      <c r="B890" s="3">
        <v>45427</v>
      </c>
      <c r="C890" t="s">
        <v>95</v>
      </c>
      <c r="D890" t="s">
        <v>197</v>
      </c>
      <c r="E890" t="s">
        <v>11</v>
      </c>
      <c r="F890" t="str">
        <f t="shared" si="13"/>
        <v>South</v>
      </c>
      <c r="G890" t="s">
        <v>56</v>
      </c>
      <c r="H890" t="s">
        <v>13</v>
      </c>
      <c r="I890">
        <v>20</v>
      </c>
    </row>
    <row r="891" spans="1:9" ht="21.75" customHeight="1">
      <c r="A891" t="s">
        <v>1041</v>
      </c>
      <c r="B891" s="3">
        <v>45353</v>
      </c>
      <c r="C891" t="s">
        <v>81</v>
      </c>
      <c r="D891" t="s">
        <v>109</v>
      </c>
      <c r="E891" t="s">
        <v>22</v>
      </c>
      <c r="F891" t="str">
        <f t="shared" si="13"/>
        <v>West</v>
      </c>
      <c r="G891" t="s">
        <v>27</v>
      </c>
      <c r="H891" t="s">
        <v>36</v>
      </c>
      <c r="I891">
        <v>1</v>
      </c>
    </row>
    <row r="892" spans="1:9" ht="21.75" customHeight="1">
      <c r="A892" t="s">
        <v>1042</v>
      </c>
      <c r="B892" s="3">
        <v>45313</v>
      </c>
      <c r="C892" t="s">
        <v>517</v>
      </c>
      <c r="D892" t="s">
        <v>72</v>
      </c>
      <c r="E892" t="s">
        <v>17</v>
      </c>
      <c r="F892" t="str">
        <f t="shared" si="13"/>
        <v>Central</v>
      </c>
      <c r="G892" t="s">
        <v>306</v>
      </c>
      <c r="H892" t="s">
        <v>36</v>
      </c>
      <c r="I892">
        <v>16</v>
      </c>
    </row>
    <row r="893" spans="1:9" ht="21.75" customHeight="1">
      <c r="A893" t="s">
        <v>1043</v>
      </c>
      <c r="B893" s="3">
        <v>45432</v>
      </c>
      <c r="C893" t="s">
        <v>374</v>
      </c>
      <c r="D893" t="s">
        <v>26</v>
      </c>
      <c r="E893" t="s">
        <v>11</v>
      </c>
      <c r="F893" t="str">
        <f t="shared" si="13"/>
        <v>Central</v>
      </c>
      <c r="G893" t="s">
        <v>306</v>
      </c>
      <c r="H893" t="s">
        <v>36</v>
      </c>
      <c r="I893">
        <v>13</v>
      </c>
    </row>
    <row r="894" spans="1:9" ht="21.75" customHeight="1">
      <c r="A894" t="s">
        <v>1044</v>
      </c>
      <c r="B894" s="3">
        <v>45357</v>
      </c>
      <c r="C894" t="s">
        <v>9</v>
      </c>
      <c r="D894" t="s">
        <v>35</v>
      </c>
      <c r="E894" t="s">
        <v>22</v>
      </c>
      <c r="F894" t="str">
        <f t="shared" si="13"/>
        <v>West</v>
      </c>
      <c r="G894" t="s">
        <v>27</v>
      </c>
      <c r="H894" t="s">
        <v>32</v>
      </c>
      <c r="I894">
        <v>18</v>
      </c>
    </row>
    <row r="895" spans="1:9" ht="21.75" customHeight="1">
      <c r="A895" t="s">
        <v>1045</v>
      </c>
      <c r="B895" s="3">
        <v>45493</v>
      </c>
      <c r="C895" t="s">
        <v>455</v>
      </c>
      <c r="D895" t="s">
        <v>102</v>
      </c>
      <c r="E895" t="s">
        <v>11</v>
      </c>
      <c r="F895" t="str">
        <f t="shared" si="13"/>
        <v>West</v>
      </c>
      <c r="G895" t="s">
        <v>27</v>
      </c>
      <c r="H895" t="s">
        <v>13</v>
      </c>
      <c r="I895">
        <v>17</v>
      </c>
    </row>
    <row r="896" spans="1:9" ht="21.75" customHeight="1">
      <c r="A896" t="s">
        <v>1046</v>
      </c>
      <c r="B896" s="3">
        <v>45298</v>
      </c>
      <c r="C896" t="s">
        <v>422</v>
      </c>
      <c r="D896" t="s">
        <v>59</v>
      </c>
      <c r="E896" t="s">
        <v>11</v>
      </c>
      <c r="F896" t="str">
        <f t="shared" si="13"/>
        <v>West</v>
      </c>
      <c r="G896" t="s">
        <v>27</v>
      </c>
      <c r="H896" t="s">
        <v>36</v>
      </c>
      <c r="I896">
        <v>4</v>
      </c>
    </row>
    <row r="897" spans="1:9" ht="21.75" customHeight="1">
      <c r="A897" t="s">
        <v>1047</v>
      </c>
      <c r="B897" s="3">
        <v>45424</v>
      </c>
      <c r="C897" t="s">
        <v>44</v>
      </c>
      <c r="D897" t="s">
        <v>197</v>
      </c>
      <c r="E897" t="s">
        <v>22</v>
      </c>
      <c r="F897" t="str">
        <f t="shared" si="13"/>
        <v>East</v>
      </c>
      <c r="G897" t="s">
        <v>42</v>
      </c>
      <c r="H897" t="s">
        <v>36</v>
      </c>
      <c r="I897">
        <v>9</v>
      </c>
    </row>
    <row r="898" spans="1:9" ht="21.75" customHeight="1">
      <c r="A898" t="s">
        <v>1048</v>
      </c>
      <c r="B898" s="3">
        <v>45467</v>
      </c>
      <c r="C898" t="s">
        <v>83</v>
      </c>
      <c r="D898" t="s">
        <v>87</v>
      </c>
      <c r="E898" t="s">
        <v>11</v>
      </c>
      <c r="F898" t="str">
        <f t="shared" si="13"/>
        <v>West</v>
      </c>
      <c r="G898" t="s">
        <v>27</v>
      </c>
      <c r="H898" t="s">
        <v>32</v>
      </c>
      <c r="I898">
        <v>7</v>
      </c>
    </row>
    <row r="899" spans="1:9" ht="21.75" customHeight="1">
      <c r="A899" t="s">
        <v>1049</v>
      </c>
      <c r="B899" s="3">
        <v>45478</v>
      </c>
      <c r="C899" t="s">
        <v>341</v>
      </c>
      <c r="D899" t="s">
        <v>45</v>
      </c>
      <c r="E899" t="s">
        <v>17</v>
      </c>
      <c r="F899" t="str">
        <f t="shared" ref="F899:F962" si="14">TRIM(PROPER(G899))</f>
        <v>West</v>
      </c>
      <c r="G899" t="s">
        <v>27</v>
      </c>
      <c r="H899" t="s">
        <v>36</v>
      </c>
      <c r="I899">
        <v>19</v>
      </c>
    </row>
    <row r="900" spans="1:9" ht="21.75" customHeight="1">
      <c r="A900" t="s">
        <v>1050</v>
      </c>
      <c r="B900" s="3">
        <v>45643</v>
      </c>
      <c r="C900" t="s">
        <v>51</v>
      </c>
      <c r="D900" t="s">
        <v>197</v>
      </c>
      <c r="E900" t="s">
        <v>11</v>
      </c>
      <c r="F900" t="str">
        <f t="shared" si="14"/>
        <v>East</v>
      </c>
      <c r="G900" t="s">
        <v>42</v>
      </c>
      <c r="H900" t="s">
        <v>23</v>
      </c>
      <c r="I900">
        <v>18</v>
      </c>
    </row>
    <row r="901" spans="1:9" ht="21.75" customHeight="1">
      <c r="A901" t="s">
        <v>1051</v>
      </c>
      <c r="B901" s="3">
        <v>45392</v>
      </c>
      <c r="C901" t="s">
        <v>167</v>
      </c>
      <c r="D901" t="s">
        <v>35</v>
      </c>
      <c r="E901" t="s">
        <v>22</v>
      </c>
      <c r="F901" t="str">
        <f t="shared" si="14"/>
        <v>South</v>
      </c>
      <c r="G901" t="s">
        <v>56</v>
      </c>
      <c r="H901" t="s">
        <v>23</v>
      </c>
      <c r="I901">
        <v>1</v>
      </c>
    </row>
    <row r="902" spans="1:9" ht="21.75" customHeight="1">
      <c r="A902" t="s">
        <v>1052</v>
      </c>
      <c r="B902" s="3">
        <v>45360</v>
      </c>
      <c r="C902" t="s">
        <v>451</v>
      </c>
      <c r="D902" t="s">
        <v>84</v>
      </c>
      <c r="E902" t="s">
        <v>22</v>
      </c>
      <c r="F902" t="str">
        <f t="shared" si="14"/>
        <v>Central</v>
      </c>
      <c r="G902" t="s">
        <v>306</v>
      </c>
      <c r="H902" t="s">
        <v>32</v>
      </c>
      <c r="I902">
        <v>11</v>
      </c>
    </row>
    <row r="903" spans="1:9" ht="21.75" customHeight="1">
      <c r="A903" t="s">
        <v>1053</v>
      </c>
      <c r="B903" s="3">
        <v>45420</v>
      </c>
      <c r="C903" t="s">
        <v>642</v>
      </c>
      <c r="D903" t="s">
        <v>31</v>
      </c>
      <c r="E903" t="s">
        <v>22</v>
      </c>
      <c r="F903" t="str">
        <f t="shared" si="14"/>
        <v>North</v>
      </c>
      <c r="G903" t="s">
        <v>12</v>
      </c>
      <c r="H903" t="s">
        <v>13</v>
      </c>
      <c r="I903">
        <v>4</v>
      </c>
    </row>
    <row r="904" spans="1:9" ht="21.75" customHeight="1">
      <c r="A904" t="s">
        <v>1054</v>
      </c>
      <c r="B904" s="3">
        <v>45402</v>
      </c>
      <c r="C904" t="s">
        <v>230</v>
      </c>
      <c r="D904" t="s">
        <v>70</v>
      </c>
      <c r="E904" t="s">
        <v>17</v>
      </c>
      <c r="F904" t="str">
        <f t="shared" si="14"/>
        <v>North</v>
      </c>
      <c r="G904" t="s">
        <v>12</v>
      </c>
      <c r="H904" t="s">
        <v>32</v>
      </c>
      <c r="I904">
        <v>11</v>
      </c>
    </row>
    <row r="905" spans="1:9" ht="21.75" customHeight="1">
      <c r="A905" t="s">
        <v>1055</v>
      </c>
      <c r="B905" s="3">
        <v>45578</v>
      </c>
      <c r="C905" t="s">
        <v>642</v>
      </c>
      <c r="D905" t="s">
        <v>96</v>
      </c>
      <c r="E905" t="s">
        <v>17</v>
      </c>
      <c r="F905" t="str">
        <f t="shared" si="14"/>
        <v>East</v>
      </c>
      <c r="G905" t="s">
        <v>42</v>
      </c>
      <c r="H905" t="s">
        <v>36</v>
      </c>
      <c r="I905">
        <v>14</v>
      </c>
    </row>
    <row r="906" spans="1:9" ht="21.75" customHeight="1">
      <c r="A906" t="s">
        <v>1056</v>
      </c>
      <c r="B906" s="3">
        <v>45393</v>
      </c>
      <c r="C906" t="s">
        <v>314</v>
      </c>
      <c r="D906" t="s">
        <v>45</v>
      </c>
      <c r="E906" t="s">
        <v>22</v>
      </c>
      <c r="F906" t="str">
        <f t="shared" si="14"/>
        <v>Central</v>
      </c>
      <c r="G906" t="s">
        <v>306</v>
      </c>
      <c r="H906" t="s">
        <v>36</v>
      </c>
      <c r="I906">
        <v>10</v>
      </c>
    </row>
    <row r="907" spans="1:9" ht="21.75" customHeight="1">
      <c r="A907" t="s">
        <v>1057</v>
      </c>
      <c r="B907" s="3">
        <v>45541</v>
      </c>
      <c r="C907" t="s">
        <v>420</v>
      </c>
      <c r="D907" t="s">
        <v>10</v>
      </c>
      <c r="E907" t="s">
        <v>22</v>
      </c>
      <c r="F907" t="str">
        <f t="shared" si="14"/>
        <v>West</v>
      </c>
      <c r="G907" t="s">
        <v>27</v>
      </c>
      <c r="H907" t="s">
        <v>23</v>
      </c>
      <c r="I907">
        <v>13</v>
      </c>
    </row>
    <row r="908" spans="1:9" ht="21.75" customHeight="1">
      <c r="A908" t="s">
        <v>1058</v>
      </c>
      <c r="B908" s="3">
        <v>45615</v>
      </c>
      <c r="C908" t="s">
        <v>167</v>
      </c>
      <c r="D908" t="s">
        <v>87</v>
      </c>
      <c r="E908" t="s">
        <v>11</v>
      </c>
      <c r="F908" t="str">
        <f t="shared" si="14"/>
        <v>East</v>
      </c>
      <c r="G908" t="s">
        <v>42</v>
      </c>
      <c r="H908" t="s">
        <v>13</v>
      </c>
      <c r="I908">
        <v>20</v>
      </c>
    </row>
    <row r="909" spans="1:9" ht="21.75" customHeight="1">
      <c r="A909" t="s">
        <v>1059</v>
      </c>
      <c r="B909" s="3">
        <v>45332</v>
      </c>
      <c r="C909" t="s">
        <v>111</v>
      </c>
      <c r="D909" t="s">
        <v>72</v>
      </c>
      <c r="E909" t="s">
        <v>17</v>
      </c>
      <c r="F909" t="str">
        <f t="shared" si="14"/>
        <v>South</v>
      </c>
      <c r="G909" t="s">
        <v>56</v>
      </c>
      <c r="H909" t="s">
        <v>32</v>
      </c>
      <c r="I909">
        <v>11</v>
      </c>
    </row>
    <row r="910" spans="1:9" ht="21.75" customHeight="1">
      <c r="A910" t="s">
        <v>1060</v>
      </c>
      <c r="B910" s="3">
        <v>45601</v>
      </c>
      <c r="C910" t="s">
        <v>736</v>
      </c>
      <c r="D910" t="s">
        <v>70</v>
      </c>
      <c r="E910" t="s">
        <v>17</v>
      </c>
      <c r="F910" t="str">
        <f t="shared" si="14"/>
        <v>East</v>
      </c>
      <c r="G910" t="s">
        <v>42</v>
      </c>
      <c r="H910" t="s">
        <v>36</v>
      </c>
      <c r="I910">
        <v>12</v>
      </c>
    </row>
    <row r="911" spans="1:9" ht="21.75" customHeight="1">
      <c r="A911" t="s">
        <v>1061</v>
      </c>
      <c r="B911" s="3">
        <v>45522</v>
      </c>
      <c r="C911" t="s">
        <v>408</v>
      </c>
      <c r="D911" t="s">
        <v>96</v>
      </c>
      <c r="E911" t="s">
        <v>11</v>
      </c>
      <c r="F911" t="str">
        <f t="shared" si="14"/>
        <v>South</v>
      </c>
      <c r="G911" t="s">
        <v>56</v>
      </c>
      <c r="H911" t="s">
        <v>32</v>
      </c>
      <c r="I911">
        <v>5</v>
      </c>
    </row>
    <row r="912" spans="1:9" ht="21.75" customHeight="1">
      <c r="A912" t="s">
        <v>1062</v>
      </c>
      <c r="B912" s="3">
        <v>45650</v>
      </c>
      <c r="C912" t="s">
        <v>323</v>
      </c>
      <c r="D912" t="s">
        <v>45</v>
      </c>
      <c r="E912" t="s">
        <v>11</v>
      </c>
      <c r="F912" t="str">
        <f t="shared" si="14"/>
        <v>South</v>
      </c>
      <c r="G912" t="s">
        <v>56</v>
      </c>
      <c r="H912" t="s">
        <v>13</v>
      </c>
      <c r="I912">
        <v>13</v>
      </c>
    </row>
    <row r="913" spans="1:9" ht="21.75" customHeight="1">
      <c r="A913" t="s">
        <v>1063</v>
      </c>
      <c r="B913" s="3">
        <v>45534</v>
      </c>
      <c r="C913" t="s">
        <v>378</v>
      </c>
      <c r="D913" t="s">
        <v>119</v>
      </c>
      <c r="E913" t="s">
        <v>11</v>
      </c>
      <c r="F913" t="str">
        <f t="shared" si="14"/>
        <v>North</v>
      </c>
      <c r="G913" t="s">
        <v>12</v>
      </c>
      <c r="H913" t="s">
        <v>13</v>
      </c>
      <c r="I913">
        <v>13</v>
      </c>
    </row>
    <row r="914" spans="1:9" ht="21.75" customHeight="1">
      <c r="A914" t="s">
        <v>1064</v>
      </c>
      <c r="B914" s="3">
        <v>45345</v>
      </c>
      <c r="C914" t="s">
        <v>86</v>
      </c>
      <c r="D914" t="s">
        <v>10</v>
      </c>
      <c r="E914" t="s">
        <v>22</v>
      </c>
      <c r="F914" t="str">
        <f t="shared" si="14"/>
        <v>South</v>
      </c>
      <c r="G914" t="s">
        <v>56</v>
      </c>
      <c r="H914" t="s">
        <v>28</v>
      </c>
      <c r="I914">
        <v>13</v>
      </c>
    </row>
    <row r="915" spans="1:9" ht="21.75" customHeight="1">
      <c r="A915" t="s">
        <v>1065</v>
      </c>
      <c r="B915" s="3">
        <v>45437</v>
      </c>
      <c r="C915" t="s">
        <v>396</v>
      </c>
      <c r="D915" t="s">
        <v>16</v>
      </c>
      <c r="E915" t="s">
        <v>22</v>
      </c>
      <c r="F915" t="str">
        <f t="shared" si="14"/>
        <v>South</v>
      </c>
      <c r="G915" t="s">
        <v>56</v>
      </c>
      <c r="H915" t="s">
        <v>13</v>
      </c>
      <c r="I915">
        <v>17</v>
      </c>
    </row>
    <row r="916" spans="1:9" ht="21.75" customHeight="1">
      <c r="A916" t="s">
        <v>1066</v>
      </c>
      <c r="B916" s="3">
        <v>45309</v>
      </c>
      <c r="C916" t="s">
        <v>371</v>
      </c>
      <c r="D916" t="s">
        <v>35</v>
      </c>
      <c r="E916" t="s">
        <v>17</v>
      </c>
      <c r="F916" t="str">
        <f t="shared" si="14"/>
        <v>East</v>
      </c>
      <c r="G916" t="s">
        <v>42</v>
      </c>
      <c r="H916" t="s">
        <v>36</v>
      </c>
      <c r="I916">
        <v>15</v>
      </c>
    </row>
    <row r="917" spans="1:9" ht="21.75" customHeight="1">
      <c r="A917" t="s">
        <v>1067</v>
      </c>
      <c r="B917" s="3">
        <v>45431</v>
      </c>
      <c r="C917" t="s">
        <v>378</v>
      </c>
      <c r="D917" t="s">
        <v>62</v>
      </c>
      <c r="E917" t="s">
        <v>17</v>
      </c>
      <c r="F917" t="str">
        <f t="shared" si="14"/>
        <v>South</v>
      </c>
      <c r="G917" t="s">
        <v>56</v>
      </c>
      <c r="H917" t="s">
        <v>36</v>
      </c>
      <c r="I917">
        <v>18</v>
      </c>
    </row>
    <row r="918" spans="1:9" ht="21.75" customHeight="1">
      <c r="A918" t="s">
        <v>1068</v>
      </c>
      <c r="B918" s="3">
        <v>45525</v>
      </c>
      <c r="C918" t="s">
        <v>451</v>
      </c>
      <c r="D918" t="s">
        <v>87</v>
      </c>
      <c r="E918" t="s">
        <v>22</v>
      </c>
      <c r="F918" t="str">
        <f t="shared" si="14"/>
        <v>Central</v>
      </c>
      <c r="G918" t="s">
        <v>306</v>
      </c>
      <c r="H918" t="s">
        <v>36</v>
      </c>
      <c r="I918">
        <v>17</v>
      </c>
    </row>
    <row r="919" spans="1:9" ht="21.75" customHeight="1">
      <c r="A919" t="s">
        <v>1069</v>
      </c>
      <c r="B919" s="3">
        <v>45450</v>
      </c>
      <c r="C919" t="s">
        <v>20</v>
      </c>
      <c r="D919" t="s">
        <v>197</v>
      </c>
      <c r="E919" t="s">
        <v>17</v>
      </c>
      <c r="F919" t="str">
        <f t="shared" si="14"/>
        <v>Central</v>
      </c>
      <c r="G919" t="s">
        <v>306</v>
      </c>
      <c r="H919" t="s">
        <v>32</v>
      </c>
      <c r="I919">
        <v>3</v>
      </c>
    </row>
    <row r="920" spans="1:9" ht="21.75" customHeight="1">
      <c r="A920" t="s">
        <v>1070</v>
      </c>
      <c r="B920" s="3">
        <v>45503</v>
      </c>
      <c r="C920" t="s">
        <v>86</v>
      </c>
      <c r="D920" t="s">
        <v>96</v>
      </c>
      <c r="E920" t="s">
        <v>11</v>
      </c>
      <c r="F920" t="str">
        <f t="shared" si="14"/>
        <v>East</v>
      </c>
      <c r="G920" t="s">
        <v>42</v>
      </c>
      <c r="H920" t="s">
        <v>28</v>
      </c>
      <c r="I920">
        <v>1</v>
      </c>
    </row>
    <row r="921" spans="1:9" ht="21.75" customHeight="1">
      <c r="A921" t="s">
        <v>1071</v>
      </c>
      <c r="B921" s="3">
        <v>45468</v>
      </c>
      <c r="C921" t="s">
        <v>55</v>
      </c>
      <c r="D921" t="s">
        <v>96</v>
      </c>
      <c r="E921" t="s">
        <v>17</v>
      </c>
      <c r="F921" t="str">
        <f t="shared" si="14"/>
        <v>Central</v>
      </c>
      <c r="G921" t="s">
        <v>306</v>
      </c>
      <c r="H921" t="s">
        <v>23</v>
      </c>
      <c r="I921">
        <v>16</v>
      </c>
    </row>
    <row r="922" spans="1:9" ht="21.75" customHeight="1">
      <c r="A922" t="s">
        <v>1072</v>
      </c>
      <c r="B922" s="3">
        <v>45445</v>
      </c>
      <c r="C922" t="s">
        <v>142</v>
      </c>
      <c r="D922" t="s">
        <v>109</v>
      </c>
      <c r="E922" t="s">
        <v>17</v>
      </c>
      <c r="F922" t="str">
        <f t="shared" si="14"/>
        <v>East</v>
      </c>
      <c r="G922" t="s">
        <v>42</v>
      </c>
      <c r="H922" t="s">
        <v>36</v>
      </c>
      <c r="I922">
        <v>8</v>
      </c>
    </row>
    <row r="923" spans="1:9" ht="21.75" customHeight="1">
      <c r="A923" t="s">
        <v>1073</v>
      </c>
      <c r="B923" s="3">
        <v>45483</v>
      </c>
      <c r="C923" t="s">
        <v>150</v>
      </c>
      <c r="D923" t="s">
        <v>87</v>
      </c>
      <c r="E923" t="s">
        <v>17</v>
      </c>
      <c r="F923" t="str">
        <f t="shared" si="14"/>
        <v>Central</v>
      </c>
      <c r="G923" t="s">
        <v>306</v>
      </c>
      <c r="H923" t="s">
        <v>23</v>
      </c>
      <c r="I923">
        <v>13</v>
      </c>
    </row>
    <row r="924" spans="1:9" ht="21.75" customHeight="1">
      <c r="A924" t="s">
        <v>1074</v>
      </c>
      <c r="B924" s="3">
        <v>45485</v>
      </c>
      <c r="C924" t="s">
        <v>240</v>
      </c>
      <c r="D924" t="s">
        <v>87</v>
      </c>
      <c r="E924" t="s">
        <v>17</v>
      </c>
      <c r="F924" t="str">
        <f t="shared" si="14"/>
        <v>North</v>
      </c>
      <c r="G924" t="s">
        <v>12</v>
      </c>
      <c r="H924" t="s">
        <v>36</v>
      </c>
      <c r="I924">
        <v>8</v>
      </c>
    </row>
    <row r="925" spans="1:9" ht="21.75" customHeight="1">
      <c r="A925" t="s">
        <v>1075</v>
      </c>
      <c r="B925" s="3">
        <v>45647</v>
      </c>
      <c r="C925" t="s">
        <v>455</v>
      </c>
      <c r="D925" t="s">
        <v>21</v>
      </c>
      <c r="E925" t="s">
        <v>17</v>
      </c>
      <c r="F925" t="str">
        <f t="shared" si="14"/>
        <v>East</v>
      </c>
      <c r="G925" t="s">
        <v>42</v>
      </c>
      <c r="H925" t="s">
        <v>23</v>
      </c>
      <c r="I925">
        <v>18</v>
      </c>
    </row>
    <row r="926" spans="1:9" ht="21.75" customHeight="1">
      <c r="A926" t="s">
        <v>1076</v>
      </c>
      <c r="B926" s="3">
        <v>45388</v>
      </c>
      <c r="C926" t="s">
        <v>58</v>
      </c>
      <c r="D926" t="s">
        <v>74</v>
      </c>
      <c r="E926" t="s">
        <v>11</v>
      </c>
      <c r="F926" t="str">
        <f t="shared" si="14"/>
        <v>South</v>
      </c>
      <c r="G926" t="s">
        <v>56</v>
      </c>
      <c r="H926" t="s">
        <v>36</v>
      </c>
      <c r="I926">
        <v>4</v>
      </c>
    </row>
    <row r="927" spans="1:9" ht="21.75" customHeight="1">
      <c r="A927" t="s">
        <v>1077</v>
      </c>
      <c r="B927" s="3">
        <v>45523</v>
      </c>
      <c r="C927" t="s">
        <v>101</v>
      </c>
      <c r="D927" t="s">
        <v>35</v>
      </c>
      <c r="E927" t="s">
        <v>22</v>
      </c>
      <c r="F927" t="str">
        <f t="shared" si="14"/>
        <v>Central</v>
      </c>
      <c r="G927" t="s">
        <v>306</v>
      </c>
      <c r="H927" t="s">
        <v>28</v>
      </c>
      <c r="I927">
        <v>7</v>
      </c>
    </row>
    <row r="928" spans="1:9" ht="21.75" customHeight="1">
      <c r="A928" t="s">
        <v>1078</v>
      </c>
      <c r="B928" s="3">
        <v>45317</v>
      </c>
      <c r="C928" t="s">
        <v>312</v>
      </c>
      <c r="D928" t="s">
        <v>102</v>
      </c>
      <c r="E928" t="s">
        <v>11</v>
      </c>
      <c r="F928" t="str">
        <f t="shared" si="14"/>
        <v>South</v>
      </c>
      <c r="G928" t="s">
        <v>56</v>
      </c>
      <c r="H928" t="s">
        <v>23</v>
      </c>
      <c r="I928">
        <v>10</v>
      </c>
    </row>
    <row r="929" spans="1:9" ht="21.75" customHeight="1">
      <c r="A929" t="s">
        <v>1079</v>
      </c>
      <c r="B929" s="3">
        <v>45296</v>
      </c>
      <c r="C929" t="s">
        <v>51</v>
      </c>
      <c r="D929" t="s">
        <v>96</v>
      </c>
      <c r="E929" t="s">
        <v>11</v>
      </c>
      <c r="F929" t="str">
        <f t="shared" si="14"/>
        <v>South</v>
      </c>
      <c r="G929" t="s">
        <v>56</v>
      </c>
      <c r="H929" t="s">
        <v>23</v>
      </c>
      <c r="I929">
        <v>16</v>
      </c>
    </row>
    <row r="930" spans="1:9" ht="21.75" customHeight="1">
      <c r="A930" t="s">
        <v>1080</v>
      </c>
      <c r="B930" s="3">
        <v>45451</v>
      </c>
      <c r="C930" t="s">
        <v>728</v>
      </c>
      <c r="D930" t="s">
        <v>70</v>
      </c>
      <c r="E930" t="s">
        <v>17</v>
      </c>
      <c r="F930" t="str">
        <f t="shared" si="14"/>
        <v>East</v>
      </c>
      <c r="G930" t="s">
        <v>42</v>
      </c>
      <c r="H930" t="s">
        <v>28</v>
      </c>
      <c r="I930">
        <v>2</v>
      </c>
    </row>
    <row r="931" spans="1:9" ht="21.75" customHeight="1">
      <c r="A931" t="s">
        <v>1081</v>
      </c>
      <c r="B931" s="3">
        <v>45320</v>
      </c>
      <c r="C931" t="s">
        <v>101</v>
      </c>
      <c r="D931" t="s">
        <v>174</v>
      </c>
      <c r="E931" t="s">
        <v>17</v>
      </c>
      <c r="F931" t="str">
        <f t="shared" si="14"/>
        <v>North</v>
      </c>
      <c r="G931" t="s">
        <v>12</v>
      </c>
      <c r="H931" t="s">
        <v>32</v>
      </c>
      <c r="I931">
        <v>16</v>
      </c>
    </row>
    <row r="932" spans="1:9" ht="21.75" customHeight="1">
      <c r="A932" t="s">
        <v>1082</v>
      </c>
      <c r="B932" s="3">
        <v>45487</v>
      </c>
      <c r="C932" t="s">
        <v>142</v>
      </c>
      <c r="D932" t="s">
        <v>31</v>
      </c>
      <c r="E932" t="s">
        <v>11</v>
      </c>
      <c r="F932" t="str">
        <f t="shared" si="14"/>
        <v>South</v>
      </c>
      <c r="G932" t="s">
        <v>56</v>
      </c>
      <c r="H932" t="s">
        <v>13</v>
      </c>
      <c r="I932">
        <v>15</v>
      </c>
    </row>
    <row r="933" spans="1:9" ht="21.75" customHeight="1">
      <c r="A933" t="s">
        <v>1083</v>
      </c>
      <c r="B933" s="3">
        <v>45393</v>
      </c>
      <c r="C933" t="s">
        <v>366</v>
      </c>
      <c r="D933" t="s">
        <v>160</v>
      </c>
      <c r="E933" t="s">
        <v>22</v>
      </c>
      <c r="F933" t="str">
        <f t="shared" si="14"/>
        <v>North</v>
      </c>
      <c r="G933" t="s">
        <v>12</v>
      </c>
      <c r="H933" t="s">
        <v>32</v>
      </c>
      <c r="I933">
        <v>7</v>
      </c>
    </row>
    <row r="934" spans="1:9" ht="21.75" customHeight="1">
      <c r="A934" t="s">
        <v>1084</v>
      </c>
      <c r="B934" s="3">
        <v>45457</v>
      </c>
      <c r="C934" t="s">
        <v>111</v>
      </c>
      <c r="D934" t="s">
        <v>84</v>
      </c>
      <c r="E934" t="s">
        <v>22</v>
      </c>
      <c r="F934" t="str">
        <f t="shared" si="14"/>
        <v>North</v>
      </c>
      <c r="G934" t="s">
        <v>12</v>
      </c>
      <c r="H934" t="s">
        <v>32</v>
      </c>
      <c r="I934">
        <v>18</v>
      </c>
    </row>
    <row r="935" spans="1:9" ht="21.75" customHeight="1">
      <c r="A935" t="s">
        <v>1085</v>
      </c>
      <c r="B935" s="3">
        <v>45538</v>
      </c>
      <c r="C935" t="s">
        <v>541</v>
      </c>
      <c r="D935" t="s">
        <v>48</v>
      </c>
      <c r="E935" t="s">
        <v>17</v>
      </c>
      <c r="F935" t="str">
        <f t="shared" si="14"/>
        <v>South</v>
      </c>
      <c r="G935" t="s">
        <v>56</v>
      </c>
      <c r="H935" t="s">
        <v>28</v>
      </c>
      <c r="I935">
        <v>2</v>
      </c>
    </row>
    <row r="936" spans="1:9" ht="21.75" customHeight="1">
      <c r="A936" t="s">
        <v>1086</v>
      </c>
      <c r="B936" s="3">
        <v>45349</v>
      </c>
      <c r="C936" t="s">
        <v>93</v>
      </c>
      <c r="D936" t="s">
        <v>72</v>
      </c>
      <c r="E936" t="s">
        <v>22</v>
      </c>
      <c r="F936" t="str">
        <f t="shared" si="14"/>
        <v>West</v>
      </c>
      <c r="G936" t="s">
        <v>27</v>
      </c>
      <c r="H936" t="s">
        <v>32</v>
      </c>
      <c r="I936">
        <v>1</v>
      </c>
    </row>
    <row r="937" spans="1:9" ht="21.75" customHeight="1">
      <c r="A937" t="s">
        <v>1087</v>
      </c>
      <c r="B937" s="3">
        <v>45591</v>
      </c>
      <c r="C937" t="s">
        <v>114</v>
      </c>
      <c r="D937" t="s">
        <v>96</v>
      </c>
      <c r="E937" t="s">
        <v>17</v>
      </c>
      <c r="F937" t="str">
        <f t="shared" si="14"/>
        <v>South</v>
      </c>
      <c r="G937" t="s">
        <v>56</v>
      </c>
      <c r="H937" t="s">
        <v>23</v>
      </c>
      <c r="I937">
        <v>2</v>
      </c>
    </row>
    <row r="938" spans="1:9" ht="21.75" customHeight="1">
      <c r="A938" t="s">
        <v>1088</v>
      </c>
      <c r="B938" s="3">
        <v>45644</v>
      </c>
      <c r="C938" t="s">
        <v>327</v>
      </c>
      <c r="D938" t="s">
        <v>119</v>
      </c>
      <c r="E938" t="s">
        <v>11</v>
      </c>
      <c r="F938" t="str">
        <f t="shared" si="14"/>
        <v>East</v>
      </c>
      <c r="G938" t="s">
        <v>42</v>
      </c>
      <c r="H938" t="s">
        <v>23</v>
      </c>
      <c r="I938">
        <v>3</v>
      </c>
    </row>
    <row r="939" spans="1:9" ht="21.75" customHeight="1">
      <c r="A939" t="s">
        <v>1089</v>
      </c>
      <c r="B939" s="3">
        <v>45338</v>
      </c>
      <c r="C939" t="s">
        <v>455</v>
      </c>
      <c r="D939" t="s">
        <v>119</v>
      </c>
      <c r="E939" t="s">
        <v>22</v>
      </c>
      <c r="F939" t="str">
        <f t="shared" si="14"/>
        <v>East</v>
      </c>
      <c r="G939" t="s">
        <v>42</v>
      </c>
      <c r="H939" t="s">
        <v>28</v>
      </c>
      <c r="I939">
        <v>2</v>
      </c>
    </row>
    <row r="940" spans="1:9" ht="21.75" customHeight="1">
      <c r="A940" t="s">
        <v>1090</v>
      </c>
      <c r="B940" s="3">
        <v>45651</v>
      </c>
      <c r="C940" t="s">
        <v>312</v>
      </c>
      <c r="D940" t="s">
        <v>35</v>
      </c>
      <c r="E940" t="s">
        <v>11</v>
      </c>
      <c r="F940" t="str">
        <f t="shared" si="14"/>
        <v>South</v>
      </c>
      <c r="G940" t="s">
        <v>56</v>
      </c>
      <c r="H940" t="s">
        <v>36</v>
      </c>
      <c r="I940">
        <v>8</v>
      </c>
    </row>
    <row r="941" spans="1:9" ht="21.75" customHeight="1">
      <c r="A941" t="s">
        <v>1091</v>
      </c>
      <c r="B941" s="3">
        <v>45622</v>
      </c>
      <c r="C941" t="s">
        <v>664</v>
      </c>
      <c r="D941" t="s">
        <v>84</v>
      </c>
      <c r="E941" t="s">
        <v>17</v>
      </c>
      <c r="F941" t="str">
        <f t="shared" si="14"/>
        <v>West</v>
      </c>
      <c r="G941" t="s">
        <v>27</v>
      </c>
      <c r="H941" t="s">
        <v>23</v>
      </c>
      <c r="I941">
        <v>7</v>
      </c>
    </row>
    <row r="942" spans="1:9" ht="21.75" customHeight="1">
      <c r="A942" t="s">
        <v>1092</v>
      </c>
      <c r="B942" s="3">
        <v>45475</v>
      </c>
      <c r="C942" t="s">
        <v>329</v>
      </c>
      <c r="D942" t="s">
        <v>79</v>
      </c>
      <c r="E942" t="s">
        <v>11</v>
      </c>
      <c r="F942" t="str">
        <f t="shared" si="14"/>
        <v>East</v>
      </c>
      <c r="G942" t="s">
        <v>42</v>
      </c>
      <c r="H942" t="s">
        <v>36</v>
      </c>
      <c r="I942">
        <v>16</v>
      </c>
    </row>
    <row r="943" spans="1:9" ht="21.75" customHeight="1">
      <c r="A943" t="s">
        <v>1093</v>
      </c>
      <c r="B943" s="3">
        <v>45442</v>
      </c>
      <c r="C943" t="s">
        <v>591</v>
      </c>
      <c r="D943" t="s">
        <v>65</v>
      </c>
      <c r="E943" t="s">
        <v>22</v>
      </c>
      <c r="F943" t="str">
        <f t="shared" si="14"/>
        <v>West</v>
      </c>
      <c r="G943" t="s">
        <v>27</v>
      </c>
      <c r="H943" t="s">
        <v>32</v>
      </c>
      <c r="I943">
        <v>19</v>
      </c>
    </row>
    <row r="944" spans="1:9" ht="21.75" customHeight="1">
      <c r="A944" t="s">
        <v>1094</v>
      </c>
      <c r="B944" s="3">
        <v>45457</v>
      </c>
      <c r="C944" t="s">
        <v>388</v>
      </c>
      <c r="D944" t="s">
        <v>109</v>
      </c>
      <c r="E944" t="s">
        <v>17</v>
      </c>
      <c r="F944" t="str">
        <f t="shared" si="14"/>
        <v>East</v>
      </c>
      <c r="G944" t="s">
        <v>42</v>
      </c>
      <c r="H944" t="s">
        <v>36</v>
      </c>
      <c r="I944">
        <v>18</v>
      </c>
    </row>
    <row r="945" spans="1:9" ht="21.75" customHeight="1">
      <c r="A945" t="s">
        <v>1095</v>
      </c>
      <c r="B945" s="3">
        <v>45371</v>
      </c>
      <c r="C945" t="s">
        <v>430</v>
      </c>
      <c r="D945" t="s">
        <v>174</v>
      </c>
      <c r="E945" t="s">
        <v>17</v>
      </c>
      <c r="F945" t="str">
        <f t="shared" si="14"/>
        <v>East</v>
      </c>
      <c r="G945" t="s">
        <v>42</v>
      </c>
      <c r="H945" t="s">
        <v>36</v>
      </c>
      <c r="I945">
        <v>12</v>
      </c>
    </row>
    <row r="946" spans="1:9" ht="21.75" customHeight="1">
      <c r="A946" t="s">
        <v>1096</v>
      </c>
      <c r="B946" s="3">
        <v>45486</v>
      </c>
      <c r="C946" t="s">
        <v>388</v>
      </c>
      <c r="D946" t="s">
        <v>109</v>
      </c>
      <c r="E946" t="s">
        <v>11</v>
      </c>
      <c r="F946" t="str">
        <f t="shared" si="14"/>
        <v>North</v>
      </c>
      <c r="G946" t="s">
        <v>12</v>
      </c>
      <c r="H946" t="s">
        <v>28</v>
      </c>
      <c r="I946">
        <v>12</v>
      </c>
    </row>
    <row r="947" spans="1:9" ht="21.75" customHeight="1">
      <c r="A947" t="s">
        <v>1097</v>
      </c>
      <c r="B947" s="3">
        <v>45456</v>
      </c>
      <c r="C947" t="s">
        <v>329</v>
      </c>
      <c r="D947" t="s">
        <v>31</v>
      </c>
      <c r="E947" t="s">
        <v>11</v>
      </c>
      <c r="F947" t="str">
        <f t="shared" si="14"/>
        <v>Central</v>
      </c>
      <c r="G947" t="s">
        <v>306</v>
      </c>
      <c r="H947" t="s">
        <v>23</v>
      </c>
      <c r="I947">
        <v>7</v>
      </c>
    </row>
    <row r="948" spans="1:9" ht="21.75" customHeight="1">
      <c r="A948" t="s">
        <v>1098</v>
      </c>
      <c r="B948" s="3">
        <v>45574</v>
      </c>
      <c r="C948" t="s">
        <v>125</v>
      </c>
      <c r="D948" t="s">
        <v>72</v>
      </c>
      <c r="E948" t="s">
        <v>22</v>
      </c>
      <c r="F948" t="str">
        <f t="shared" si="14"/>
        <v>East</v>
      </c>
      <c r="G948" t="s">
        <v>42</v>
      </c>
      <c r="H948" t="s">
        <v>13</v>
      </c>
      <c r="I948">
        <v>14</v>
      </c>
    </row>
    <row r="949" spans="1:9" ht="21.75" customHeight="1">
      <c r="A949" t="s">
        <v>1099</v>
      </c>
      <c r="B949" s="3">
        <v>45341</v>
      </c>
      <c r="C949" t="s">
        <v>363</v>
      </c>
      <c r="D949" t="s">
        <v>79</v>
      </c>
      <c r="E949" t="s">
        <v>22</v>
      </c>
      <c r="F949" t="str">
        <f t="shared" si="14"/>
        <v>North</v>
      </c>
      <c r="G949" t="s">
        <v>12</v>
      </c>
      <c r="H949" t="s">
        <v>13</v>
      </c>
      <c r="I949">
        <v>5</v>
      </c>
    </row>
    <row r="950" spans="1:9" ht="21.75" customHeight="1">
      <c r="A950" t="s">
        <v>1100</v>
      </c>
      <c r="B950" s="3">
        <v>45395</v>
      </c>
      <c r="C950" t="s">
        <v>15</v>
      </c>
      <c r="D950" t="s">
        <v>102</v>
      </c>
      <c r="E950" t="s">
        <v>17</v>
      </c>
      <c r="F950" t="str">
        <f t="shared" si="14"/>
        <v>South</v>
      </c>
      <c r="G950" t="s">
        <v>56</v>
      </c>
      <c r="H950" t="s">
        <v>23</v>
      </c>
      <c r="I950">
        <v>2</v>
      </c>
    </row>
    <row r="951" spans="1:9" ht="21.75" customHeight="1">
      <c r="A951" t="s">
        <v>1101</v>
      </c>
      <c r="B951" s="3">
        <v>45628</v>
      </c>
      <c r="C951" t="s">
        <v>374</v>
      </c>
      <c r="D951" t="s">
        <v>62</v>
      </c>
      <c r="E951" t="s">
        <v>22</v>
      </c>
      <c r="F951" t="str">
        <f t="shared" si="14"/>
        <v>Central</v>
      </c>
      <c r="G951" t="s">
        <v>306</v>
      </c>
      <c r="H951" t="s">
        <v>32</v>
      </c>
      <c r="I951">
        <v>19</v>
      </c>
    </row>
    <row r="952" spans="1:9" ht="21.75" customHeight="1">
      <c r="A952" t="s">
        <v>1102</v>
      </c>
      <c r="B952" s="3">
        <v>45405</v>
      </c>
      <c r="C952" t="s">
        <v>493</v>
      </c>
      <c r="D952" t="s">
        <v>96</v>
      </c>
      <c r="E952" t="s">
        <v>22</v>
      </c>
      <c r="F952" t="str">
        <f t="shared" si="14"/>
        <v>North</v>
      </c>
      <c r="G952" t="s">
        <v>12</v>
      </c>
      <c r="H952" t="s">
        <v>13</v>
      </c>
      <c r="I952">
        <v>7</v>
      </c>
    </row>
    <row r="953" spans="1:9" ht="21.75" customHeight="1">
      <c r="A953" t="s">
        <v>1103</v>
      </c>
      <c r="B953" s="3">
        <v>45531</v>
      </c>
      <c r="C953" t="s">
        <v>541</v>
      </c>
      <c r="D953" t="s">
        <v>174</v>
      </c>
      <c r="E953" t="s">
        <v>11</v>
      </c>
      <c r="F953" t="str">
        <f t="shared" si="14"/>
        <v>East</v>
      </c>
      <c r="G953" t="s">
        <v>42</v>
      </c>
      <c r="H953" t="s">
        <v>13</v>
      </c>
      <c r="I953">
        <v>14</v>
      </c>
    </row>
    <row r="954" spans="1:9" ht="21.75" customHeight="1">
      <c r="A954" t="s">
        <v>1104</v>
      </c>
      <c r="B954" s="3">
        <v>45607</v>
      </c>
      <c r="C954" t="s">
        <v>101</v>
      </c>
      <c r="D954" t="s">
        <v>84</v>
      </c>
      <c r="E954" t="s">
        <v>22</v>
      </c>
      <c r="F954" t="str">
        <f t="shared" si="14"/>
        <v>North</v>
      </c>
      <c r="G954" t="s">
        <v>12</v>
      </c>
      <c r="H954" t="s">
        <v>13</v>
      </c>
      <c r="I954">
        <v>3</v>
      </c>
    </row>
    <row r="955" spans="1:9" ht="21.75" customHeight="1">
      <c r="A955" t="s">
        <v>1105</v>
      </c>
      <c r="B955" s="3">
        <v>45402</v>
      </c>
      <c r="C955" t="s">
        <v>363</v>
      </c>
      <c r="D955" t="s">
        <v>84</v>
      </c>
      <c r="E955" t="s">
        <v>11</v>
      </c>
      <c r="F955" t="str">
        <f t="shared" si="14"/>
        <v>North</v>
      </c>
      <c r="G955" t="s">
        <v>12</v>
      </c>
      <c r="H955" t="s">
        <v>28</v>
      </c>
      <c r="I955">
        <v>8</v>
      </c>
    </row>
    <row r="956" spans="1:9" ht="21.75" customHeight="1">
      <c r="A956" t="s">
        <v>1106</v>
      </c>
      <c r="B956" s="3">
        <v>45390</v>
      </c>
      <c r="C956" t="s">
        <v>339</v>
      </c>
      <c r="D956" t="s">
        <v>59</v>
      </c>
      <c r="E956" t="s">
        <v>22</v>
      </c>
      <c r="F956" t="str">
        <f t="shared" si="14"/>
        <v>South</v>
      </c>
      <c r="G956" t="s">
        <v>56</v>
      </c>
      <c r="H956" t="s">
        <v>36</v>
      </c>
      <c r="I956">
        <v>6</v>
      </c>
    </row>
    <row r="957" spans="1:9" ht="21.75" customHeight="1">
      <c r="A957" t="s">
        <v>1107</v>
      </c>
      <c r="B957" s="3">
        <v>45504</v>
      </c>
      <c r="C957" t="s">
        <v>323</v>
      </c>
      <c r="D957" t="s">
        <v>48</v>
      </c>
      <c r="E957" t="s">
        <v>11</v>
      </c>
      <c r="F957" t="str">
        <f t="shared" si="14"/>
        <v>Central</v>
      </c>
      <c r="G957" t="s">
        <v>306</v>
      </c>
      <c r="H957" t="s">
        <v>23</v>
      </c>
      <c r="I957">
        <v>15</v>
      </c>
    </row>
    <row r="958" spans="1:9" ht="21.75" customHeight="1">
      <c r="A958" t="s">
        <v>1108</v>
      </c>
      <c r="B958" s="3">
        <v>45345</v>
      </c>
      <c r="C958" t="s">
        <v>30</v>
      </c>
      <c r="D958" t="s">
        <v>31</v>
      </c>
      <c r="E958" t="s">
        <v>11</v>
      </c>
      <c r="F958" t="str">
        <f t="shared" si="14"/>
        <v>Central</v>
      </c>
      <c r="G958" t="s">
        <v>306</v>
      </c>
      <c r="H958" t="s">
        <v>28</v>
      </c>
      <c r="I958">
        <v>17</v>
      </c>
    </row>
    <row r="959" spans="1:9" ht="21.75" customHeight="1">
      <c r="A959" t="s">
        <v>1109</v>
      </c>
      <c r="B959" s="3">
        <v>45565</v>
      </c>
      <c r="C959" t="s">
        <v>327</v>
      </c>
      <c r="D959" t="s">
        <v>72</v>
      </c>
      <c r="E959" t="s">
        <v>17</v>
      </c>
      <c r="F959" t="str">
        <f t="shared" si="14"/>
        <v>East</v>
      </c>
      <c r="G959" t="s">
        <v>42</v>
      </c>
      <c r="H959" t="s">
        <v>32</v>
      </c>
      <c r="I959">
        <v>18</v>
      </c>
    </row>
    <row r="960" spans="1:9" ht="21.75" customHeight="1">
      <c r="A960" t="s">
        <v>1110</v>
      </c>
      <c r="B960" s="3">
        <v>45482</v>
      </c>
      <c r="C960" t="s">
        <v>408</v>
      </c>
      <c r="D960" t="s">
        <v>84</v>
      </c>
      <c r="E960" t="s">
        <v>22</v>
      </c>
      <c r="F960" t="str">
        <f t="shared" si="14"/>
        <v>West</v>
      </c>
      <c r="G960" t="s">
        <v>27</v>
      </c>
      <c r="H960" t="s">
        <v>36</v>
      </c>
      <c r="I960">
        <v>11</v>
      </c>
    </row>
    <row r="961" spans="1:9" ht="21.75" customHeight="1">
      <c r="A961" t="s">
        <v>1111</v>
      </c>
      <c r="B961" s="3">
        <v>45571</v>
      </c>
      <c r="C961" t="s">
        <v>133</v>
      </c>
      <c r="D961" t="s">
        <v>84</v>
      </c>
      <c r="E961" t="s">
        <v>17</v>
      </c>
      <c r="F961" t="str">
        <f t="shared" si="14"/>
        <v>Central</v>
      </c>
      <c r="G961" t="s">
        <v>306</v>
      </c>
      <c r="H961" t="s">
        <v>23</v>
      </c>
      <c r="I961">
        <v>9</v>
      </c>
    </row>
    <row r="962" spans="1:9" ht="21.75" customHeight="1">
      <c r="A962" t="s">
        <v>1112</v>
      </c>
      <c r="B962" s="3">
        <v>45521</v>
      </c>
      <c r="C962" t="s">
        <v>106</v>
      </c>
      <c r="D962" t="s">
        <v>74</v>
      </c>
      <c r="E962" t="s">
        <v>11</v>
      </c>
      <c r="F962" t="str">
        <f t="shared" si="14"/>
        <v>North</v>
      </c>
      <c r="G962" t="s">
        <v>12</v>
      </c>
      <c r="H962" t="s">
        <v>28</v>
      </c>
      <c r="I962">
        <v>20</v>
      </c>
    </row>
    <row r="963" spans="1:9" ht="21.75" customHeight="1">
      <c r="A963" t="s">
        <v>1113</v>
      </c>
      <c r="B963" s="3">
        <v>45446</v>
      </c>
      <c r="C963" t="s">
        <v>25</v>
      </c>
      <c r="D963" t="s">
        <v>65</v>
      </c>
      <c r="E963" t="s">
        <v>17</v>
      </c>
      <c r="F963" t="str">
        <f t="shared" ref="F963:F1026" si="15">TRIM(PROPER(G963))</f>
        <v>South</v>
      </c>
      <c r="G963" t="s">
        <v>56</v>
      </c>
      <c r="H963" t="s">
        <v>32</v>
      </c>
      <c r="I963">
        <v>11</v>
      </c>
    </row>
    <row r="964" spans="1:9" ht="21.75" customHeight="1">
      <c r="A964" t="s">
        <v>1114</v>
      </c>
      <c r="B964" s="3">
        <v>45575</v>
      </c>
      <c r="C964" t="s">
        <v>345</v>
      </c>
      <c r="D964" t="s">
        <v>59</v>
      </c>
      <c r="E964" t="s">
        <v>22</v>
      </c>
      <c r="F964" t="str">
        <f t="shared" si="15"/>
        <v>Central</v>
      </c>
      <c r="G964" t="s">
        <v>306</v>
      </c>
      <c r="H964" t="s">
        <v>23</v>
      </c>
      <c r="I964">
        <v>5</v>
      </c>
    </row>
    <row r="965" spans="1:9" ht="21.75" customHeight="1">
      <c r="A965" t="s">
        <v>1115</v>
      </c>
      <c r="B965" s="3">
        <v>45474</v>
      </c>
      <c r="C965" t="s">
        <v>125</v>
      </c>
      <c r="D965" t="s">
        <v>48</v>
      </c>
      <c r="E965" t="s">
        <v>11</v>
      </c>
      <c r="F965" t="str">
        <f t="shared" si="15"/>
        <v>East</v>
      </c>
      <c r="G965" t="s">
        <v>42</v>
      </c>
      <c r="H965" t="s">
        <v>32</v>
      </c>
      <c r="I965">
        <v>19</v>
      </c>
    </row>
    <row r="966" spans="1:9" ht="21.75" customHeight="1">
      <c r="A966" t="s">
        <v>1116</v>
      </c>
      <c r="B966" s="3">
        <v>45445</v>
      </c>
      <c r="C966" t="s">
        <v>203</v>
      </c>
      <c r="D966" t="s">
        <v>59</v>
      </c>
      <c r="E966" t="s">
        <v>22</v>
      </c>
      <c r="F966" t="str">
        <f t="shared" si="15"/>
        <v>West</v>
      </c>
      <c r="G966" t="s">
        <v>27</v>
      </c>
      <c r="H966" t="s">
        <v>32</v>
      </c>
      <c r="I966">
        <v>7</v>
      </c>
    </row>
    <row r="967" spans="1:9" ht="21.75" customHeight="1">
      <c r="A967" t="s">
        <v>1117</v>
      </c>
      <c r="B967" s="3">
        <v>45539</v>
      </c>
      <c r="C967" t="s">
        <v>235</v>
      </c>
      <c r="D967" t="s">
        <v>102</v>
      </c>
      <c r="E967" t="s">
        <v>17</v>
      </c>
      <c r="F967" t="str">
        <f t="shared" si="15"/>
        <v>Central</v>
      </c>
      <c r="G967" t="s">
        <v>306</v>
      </c>
      <c r="H967" t="s">
        <v>13</v>
      </c>
      <c r="I967">
        <v>20</v>
      </c>
    </row>
    <row r="968" spans="1:9" ht="21.75" customHeight="1">
      <c r="A968" t="s">
        <v>1118</v>
      </c>
      <c r="B968" s="3">
        <v>45587</v>
      </c>
      <c r="C968" t="s">
        <v>159</v>
      </c>
      <c r="D968" t="s">
        <v>119</v>
      </c>
      <c r="E968" t="s">
        <v>11</v>
      </c>
      <c r="F968" t="str">
        <f t="shared" si="15"/>
        <v>North</v>
      </c>
      <c r="G968" t="s">
        <v>12</v>
      </c>
      <c r="H968" t="s">
        <v>23</v>
      </c>
      <c r="I968">
        <v>11</v>
      </c>
    </row>
    <row r="969" spans="1:9" ht="21.75" customHeight="1">
      <c r="A969" t="s">
        <v>1119</v>
      </c>
      <c r="B969" s="3">
        <v>45505</v>
      </c>
      <c r="C969" t="s">
        <v>114</v>
      </c>
      <c r="D969" t="s">
        <v>96</v>
      </c>
      <c r="E969" t="s">
        <v>11</v>
      </c>
      <c r="F969" t="str">
        <f t="shared" si="15"/>
        <v>Central</v>
      </c>
      <c r="G969" t="s">
        <v>306</v>
      </c>
      <c r="H969" t="s">
        <v>36</v>
      </c>
      <c r="I969">
        <v>13</v>
      </c>
    </row>
    <row r="970" spans="1:9" ht="21.75" customHeight="1">
      <c r="A970" t="s">
        <v>1120</v>
      </c>
      <c r="B970" s="3">
        <v>45313</v>
      </c>
      <c r="C970" t="s">
        <v>38</v>
      </c>
      <c r="D970" t="s">
        <v>16</v>
      </c>
      <c r="E970" t="s">
        <v>22</v>
      </c>
      <c r="F970" t="str">
        <f t="shared" si="15"/>
        <v>Central</v>
      </c>
      <c r="G970" t="s">
        <v>306</v>
      </c>
      <c r="H970" t="s">
        <v>28</v>
      </c>
      <c r="I970">
        <v>11</v>
      </c>
    </row>
    <row r="971" spans="1:9" ht="21.75" customHeight="1">
      <c r="A971" t="s">
        <v>1121</v>
      </c>
      <c r="B971" s="3">
        <v>45370</v>
      </c>
      <c r="C971" t="s">
        <v>9</v>
      </c>
      <c r="D971" t="s">
        <v>70</v>
      </c>
      <c r="E971" t="s">
        <v>22</v>
      </c>
      <c r="F971" t="str">
        <f t="shared" si="15"/>
        <v>West</v>
      </c>
      <c r="G971" t="s">
        <v>27</v>
      </c>
      <c r="H971" t="s">
        <v>13</v>
      </c>
      <c r="I971">
        <v>20</v>
      </c>
    </row>
    <row r="972" spans="1:9" ht="21.75" customHeight="1">
      <c r="A972" t="s">
        <v>1122</v>
      </c>
      <c r="B972" s="3">
        <v>45405</v>
      </c>
      <c r="C972" t="s">
        <v>348</v>
      </c>
      <c r="D972" t="s">
        <v>16</v>
      </c>
      <c r="E972" t="s">
        <v>17</v>
      </c>
      <c r="F972" t="str">
        <f t="shared" si="15"/>
        <v>West</v>
      </c>
      <c r="G972" t="s">
        <v>27</v>
      </c>
      <c r="H972" t="s">
        <v>23</v>
      </c>
      <c r="I972">
        <v>5</v>
      </c>
    </row>
    <row r="973" spans="1:9" ht="21.75" customHeight="1">
      <c r="A973" t="s">
        <v>1123</v>
      </c>
      <c r="B973" s="3">
        <v>45584</v>
      </c>
      <c r="C973" t="s">
        <v>323</v>
      </c>
      <c r="D973" t="s">
        <v>31</v>
      </c>
      <c r="E973" t="s">
        <v>11</v>
      </c>
      <c r="F973" t="str">
        <f t="shared" si="15"/>
        <v>Central</v>
      </c>
      <c r="G973" t="s">
        <v>306</v>
      </c>
      <c r="H973" t="s">
        <v>36</v>
      </c>
      <c r="I973">
        <v>9</v>
      </c>
    </row>
    <row r="974" spans="1:9" ht="21.75" customHeight="1">
      <c r="A974" t="s">
        <v>1124</v>
      </c>
      <c r="B974" s="3">
        <v>45514</v>
      </c>
      <c r="C974" t="s">
        <v>420</v>
      </c>
      <c r="D974" t="s">
        <v>119</v>
      </c>
      <c r="E974" t="s">
        <v>22</v>
      </c>
      <c r="F974" t="str">
        <f t="shared" si="15"/>
        <v>South</v>
      </c>
      <c r="G974" t="s">
        <v>56</v>
      </c>
      <c r="H974" t="s">
        <v>28</v>
      </c>
      <c r="I974">
        <v>5</v>
      </c>
    </row>
    <row r="975" spans="1:9" ht="21.75" customHeight="1">
      <c r="A975" t="s">
        <v>1125</v>
      </c>
      <c r="B975" s="3">
        <v>45541</v>
      </c>
      <c r="C975" t="s">
        <v>106</v>
      </c>
      <c r="D975" t="s">
        <v>65</v>
      </c>
      <c r="E975" t="s">
        <v>22</v>
      </c>
      <c r="F975" t="str">
        <f t="shared" si="15"/>
        <v>Central</v>
      </c>
      <c r="G975" t="s">
        <v>306</v>
      </c>
      <c r="H975" t="s">
        <v>36</v>
      </c>
      <c r="I975">
        <v>18</v>
      </c>
    </row>
    <row r="976" spans="1:9" ht="21.75" customHeight="1">
      <c r="A976" t="s">
        <v>1126</v>
      </c>
      <c r="B976" s="3">
        <v>45418</v>
      </c>
      <c r="C976" t="s">
        <v>78</v>
      </c>
      <c r="D976" t="s">
        <v>119</v>
      </c>
      <c r="E976" t="s">
        <v>11</v>
      </c>
      <c r="F976" t="str">
        <f t="shared" si="15"/>
        <v>East</v>
      </c>
      <c r="G976" t="s">
        <v>42</v>
      </c>
      <c r="H976" t="s">
        <v>36</v>
      </c>
      <c r="I976">
        <v>14</v>
      </c>
    </row>
    <row r="977" spans="1:9" ht="21.75" customHeight="1">
      <c r="A977" t="s">
        <v>1127</v>
      </c>
      <c r="B977" s="3">
        <v>45337</v>
      </c>
      <c r="C977" t="s">
        <v>40</v>
      </c>
      <c r="D977" t="s">
        <v>87</v>
      </c>
      <c r="E977" t="s">
        <v>22</v>
      </c>
      <c r="F977" t="str">
        <f t="shared" si="15"/>
        <v>West</v>
      </c>
      <c r="G977" t="s">
        <v>27</v>
      </c>
      <c r="H977" t="s">
        <v>32</v>
      </c>
      <c r="I977">
        <v>12</v>
      </c>
    </row>
    <row r="978" spans="1:9" ht="21.75" customHeight="1">
      <c r="A978" t="s">
        <v>1128</v>
      </c>
      <c r="B978" s="3">
        <v>45468</v>
      </c>
      <c r="C978" t="s">
        <v>327</v>
      </c>
      <c r="D978" t="s">
        <v>119</v>
      </c>
      <c r="E978" t="s">
        <v>22</v>
      </c>
      <c r="F978" t="str">
        <f t="shared" si="15"/>
        <v>North</v>
      </c>
      <c r="G978" t="s">
        <v>12</v>
      </c>
      <c r="H978" t="s">
        <v>32</v>
      </c>
      <c r="I978">
        <v>10</v>
      </c>
    </row>
    <row r="979" spans="1:9" ht="21.75" customHeight="1">
      <c r="A979" t="s">
        <v>1129</v>
      </c>
      <c r="B979" s="3">
        <v>45607</v>
      </c>
      <c r="C979" t="s">
        <v>396</v>
      </c>
      <c r="D979" t="s">
        <v>70</v>
      </c>
      <c r="E979" t="s">
        <v>22</v>
      </c>
      <c r="F979" t="str">
        <f t="shared" si="15"/>
        <v>South</v>
      </c>
      <c r="G979" t="s">
        <v>56</v>
      </c>
      <c r="H979" t="s">
        <v>28</v>
      </c>
      <c r="I979">
        <v>2</v>
      </c>
    </row>
    <row r="980" spans="1:9" ht="21.75" customHeight="1">
      <c r="A980" t="s">
        <v>1130</v>
      </c>
      <c r="B980" s="3">
        <v>45394</v>
      </c>
      <c r="C980" t="s">
        <v>455</v>
      </c>
      <c r="D980" t="s">
        <v>119</v>
      </c>
      <c r="E980" t="s">
        <v>17</v>
      </c>
      <c r="F980" t="str">
        <f t="shared" si="15"/>
        <v>South</v>
      </c>
      <c r="G980" t="s">
        <v>56</v>
      </c>
      <c r="H980" t="s">
        <v>13</v>
      </c>
      <c r="I980">
        <v>3</v>
      </c>
    </row>
    <row r="981" spans="1:9" ht="21.75" customHeight="1">
      <c r="A981" t="s">
        <v>1131</v>
      </c>
      <c r="B981" s="3">
        <v>45416</v>
      </c>
      <c r="C981" t="s">
        <v>381</v>
      </c>
      <c r="D981" t="s">
        <v>96</v>
      </c>
      <c r="E981" t="s">
        <v>11</v>
      </c>
      <c r="F981" t="str">
        <f t="shared" si="15"/>
        <v>East</v>
      </c>
      <c r="G981" t="s">
        <v>42</v>
      </c>
      <c r="H981" t="s">
        <v>13</v>
      </c>
      <c r="I981">
        <v>11</v>
      </c>
    </row>
    <row r="982" spans="1:9" ht="21.75" customHeight="1">
      <c r="A982" t="s">
        <v>1132</v>
      </c>
      <c r="B982" s="3">
        <v>45448</v>
      </c>
      <c r="C982" t="s">
        <v>430</v>
      </c>
      <c r="D982" t="s">
        <v>72</v>
      </c>
      <c r="E982" t="s">
        <v>17</v>
      </c>
      <c r="F982" t="str">
        <f t="shared" si="15"/>
        <v>North</v>
      </c>
      <c r="G982" t="s">
        <v>12</v>
      </c>
      <c r="H982" t="s">
        <v>28</v>
      </c>
      <c r="I982">
        <v>7</v>
      </c>
    </row>
    <row r="983" spans="1:9" ht="21.75" customHeight="1">
      <c r="A983" t="s">
        <v>1133</v>
      </c>
      <c r="B983" s="3">
        <v>45396</v>
      </c>
      <c r="C983" t="s">
        <v>591</v>
      </c>
      <c r="D983" t="s">
        <v>174</v>
      </c>
      <c r="E983" t="s">
        <v>22</v>
      </c>
      <c r="F983" t="str">
        <f t="shared" si="15"/>
        <v>East</v>
      </c>
      <c r="G983" t="s">
        <v>42</v>
      </c>
      <c r="H983" t="s">
        <v>28</v>
      </c>
      <c r="I983">
        <v>16</v>
      </c>
    </row>
    <row r="984" spans="1:9" ht="21.75" customHeight="1">
      <c r="A984" t="s">
        <v>1134</v>
      </c>
      <c r="B984" s="3">
        <v>45647</v>
      </c>
      <c r="C984" t="s">
        <v>424</v>
      </c>
      <c r="D984" t="s">
        <v>31</v>
      </c>
      <c r="E984" t="s">
        <v>22</v>
      </c>
      <c r="F984" t="str">
        <f t="shared" si="15"/>
        <v>North</v>
      </c>
      <c r="G984" t="s">
        <v>12</v>
      </c>
      <c r="H984" t="s">
        <v>36</v>
      </c>
      <c r="I984">
        <v>19</v>
      </c>
    </row>
    <row r="985" spans="1:9" ht="21.75" customHeight="1">
      <c r="A985" t="s">
        <v>1135</v>
      </c>
      <c r="B985" s="3">
        <v>45314</v>
      </c>
      <c r="C985" t="s">
        <v>230</v>
      </c>
      <c r="D985" t="s">
        <v>74</v>
      </c>
      <c r="E985" t="s">
        <v>11</v>
      </c>
      <c r="F985" t="str">
        <f t="shared" si="15"/>
        <v>North</v>
      </c>
      <c r="G985" t="s">
        <v>12</v>
      </c>
      <c r="H985" t="s">
        <v>36</v>
      </c>
      <c r="I985">
        <v>7</v>
      </c>
    </row>
    <row r="986" spans="1:9" ht="21.75" customHeight="1">
      <c r="A986" t="s">
        <v>1136</v>
      </c>
      <c r="B986" s="3">
        <v>45430</v>
      </c>
      <c r="C986" t="s">
        <v>9</v>
      </c>
      <c r="D986" t="s">
        <v>10</v>
      </c>
      <c r="E986" t="s">
        <v>17</v>
      </c>
      <c r="F986" t="str">
        <f t="shared" si="15"/>
        <v>North</v>
      </c>
      <c r="G986" t="s">
        <v>12</v>
      </c>
      <c r="H986" t="s">
        <v>32</v>
      </c>
      <c r="I986">
        <v>13</v>
      </c>
    </row>
    <row r="987" spans="1:9" ht="21.75" customHeight="1">
      <c r="A987" t="s">
        <v>1137</v>
      </c>
      <c r="B987" s="3">
        <v>45347</v>
      </c>
      <c r="C987" t="s">
        <v>138</v>
      </c>
      <c r="D987" t="s">
        <v>197</v>
      </c>
      <c r="E987" t="s">
        <v>17</v>
      </c>
      <c r="F987" t="str">
        <f t="shared" si="15"/>
        <v>West</v>
      </c>
      <c r="G987" t="s">
        <v>27</v>
      </c>
      <c r="H987" t="s">
        <v>13</v>
      </c>
      <c r="I987">
        <v>13</v>
      </c>
    </row>
    <row r="988" spans="1:9" ht="21.75" customHeight="1">
      <c r="A988" t="s">
        <v>1138</v>
      </c>
      <c r="B988" s="3">
        <v>45453</v>
      </c>
      <c r="C988" t="s">
        <v>374</v>
      </c>
      <c r="D988" t="s">
        <v>10</v>
      </c>
      <c r="E988" t="s">
        <v>22</v>
      </c>
      <c r="F988" t="str">
        <f t="shared" si="15"/>
        <v>Central</v>
      </c>
      <c r="G988" t="s">
        <v>306</v>
      </c>
      <c r="H988" t="s">
        <v>23</v>
      </c>
      <c r="I988">
        <v>6</v>
      </c>
    </row>
    <row r="989" spans="1:9" ht="21.75" customHeight="1">
      <c r="A989" t="s">
        <v>1139</v>
      </c>
      <c r="B989" s="3">
        <v>45579</v>
      </c>
      <c r="C989" t="s">
        <v>436</v>
      </c>
      <c r="D989" t="s">
        <v>197</v>
      </c>
      <c r="E989" t="s">
        <v>11</v>
      </c>
      <c r="F989" t="str">
        <f t="shared" si="15"/>
        <v>North</v>
      </c>
      <c r="G989" t="s">
        <v>12</v>
      </c>
      <c r="H989" t="s">
        <v>23</v>
      </c>
      <c r="I989">
        <v>17</v>
      </c>
    </row>
    <row r="990" spans="1:9" ht="21.75" customHeight="1">
      <c r="A990" t="s">
        <v>1140</v>
      </c>
      <c r="B990" s="3">
        <v>45493</v>
      </c>
      <c r="C990" t="s">
        <v>323</v>
      </c>
      <c r="D990" t="s">
        <v>48</v>
      </c>
      <c r="E990" t="s">
        <v>11</v>
      </c>
      <c r="F990" t="str">
        <f t="shared" si="15"/>
        <v>North</v>
      </c>
      <c r="G990" t="s">
        <v>12</v>
      </c>
      <c r="H990" t="s">
        <v>32</v>
      </c>
      <c r="I990">
        <v>12</v>
      </c>
    </row>
    <row r="991" spans="1:9" ht="21.75" customHeight="1">
      <c r="A991" t="s">
        <v>1141</v>
      </c>
      <c r="B991" s="3">
        <v>45412</v>
      </c>
      <c r="C991" t="s">
        <v>358</v>
      </c>
      <c r="D991" t="s">
        <v>21</v>
      </c>
      <c r="E991" t="s">
        <v>17</v>
      </c>
      <c r="F991" t="str">
        <f t="shared" si="15"/>
        <v>North</v>
      </c>
      <c r="G991" t="s">
        <v>12</v>
      </c>
      <c r="H991" t="s">
        <v>13</v>
      </c>
      <c r="I991">
        <v>9</v>
      </c>
    </row>
    <row r="992" spans="1:9" ht="21.75" customHeight="1">
      <c r="A992" t="s">
        <v>1142</v>
      </c>
      <c r="B992" s="3">
        <v>45576</v>
      </c>
      <c r="C992" t="s">
        <v>89</v>
      </c>
      <c r="D992" t="s">
        <v>72</v>
      </c>
      <c r="E992" t="s">
        <v>11</v>
      </c>
      <c r="F992" t="str">
        <f t="shared" si="15"/>
        <v>South</v>
      </c>
      <c r="G992" t="s">
        <v>56</v>
      </c>
      <c r="H992" t="s">
        <v>13</v>
      </c>
      <c r="I992">
        <v>13</v>
      </c>
    </row>
    <row r="993" spans="1:9" ht="21.75" customHeight="1">
      <c r="A993" t="s">
        <v>1143</v>
      </c>
      <c r="B993" s="3">
        <v>45487</v>
      </c>
      <c r="C993" t="s">
        <v>363</v>
      </c>
      <c r="D993" t="s">
        <v>21</v>
      </c>
      <c r="E993" t="s">
        <v>22</v>
      </c>
      <c r="F993" t="str">
        <f t="shared" si="15"/>
        <v>Central</v>
      </c>
      <c r="G993" t="s">
        <v>306</v>
      </c>
      <c r="H993" t="s">
        <v>36</v>
      </c>
      <c r="I993">
        <v>8</v>
      </c>
    </row>
    <row r="994" spans="1:9" ht="21.75" customHeight="1">
      <c r="A994" t="s">
        <v>1144</v>
      </c>
      <c r="B994" s="3">
        <v>45370</v>
      </c>
      <c r="C994" t="s">
        <v>309</v>
      </c>
      <c r="D994" t="s">
        <v>72</v>
      </c>
      <c r="E994" t="s">
        <v>17</v>
      </c>
      <c r="F994" t="str">
        <f t="shared" si="15"/>
        <v>Central</v>
      </c>
      <c r="G994" t="s">
        <v>306</v>
      </c>
      <c r="H994" t="s">
        <v>28</v>
      </c>
      <c r="I994">
        <v>15</v>
      </c>
    </row>
    <row r="995" spans="1:9" ht="21.75" customHeight="1">
      <c r="A995" t="s">
        <v>1145</v>
      </c>
      <c r="B995" s="3">
        <v>45626</v>
      </c>
      <c r="C995" t="s">
        <v>99</v>
      </c>
      <c r="D995" t="s">
        <v>41</v>
      </c>
      <c r="E995" t="s">
        <v>22</v>
      </c>
      <c r="F995" t="str">
        <f t="shared" si="15"/>
        <v>Central</v>
      </c>
      <c r="G995" t="s">
        <v>306</v>
      </c>
      <c r="H995" t="s">
        <v>32</v>
      </c>
      <c r="I995">
        <v>7</v>
      </c>
    </row>
    <row r="996" spans="1:9" ht="21.75" customHeight="1">
      <c r="A996" t="s">
        <v>1146</v>
      </c>
      <c r="B996" s="3">
        <v>45644</v>
      </c>
      <c r="C996" t="s">
        <v>369</v>
      </c>
      <c r="D996" t="s">
        <v>87</v>
      </c>
      <c r="E996" t="s">
        <v>22</v>
      </c>
      <c r="F996" t="str">
        <f t="shared" si="15"/>
        <v>South</v>
      </c>
      <c r="G996" t="s">
        <v>56</v>
      </c>
      <c r="H996" t="s">
        <v>36</v>
      </c>
      <c r="I996">
        <v>5</v>
      </c>
    </row>
    <row r="997" spans="1:9" ht="21.75" customHeight="1">
      <c r="A997" t="s">
        <v>1147</v>
      </c>
      <c r="B997" s="3">
        <v>45372</v>
      </c>
      <c r="C997" t="s">
        <v>38</v>
      </c>
      <c r="D997" t="s">
        <v>174</v>
      </c>
      <c r="E997" t="s">
        <v>11</v>
      </c>
      <c r="F997" t="str">
        <f t="shared" si="15"/>
        <v>Central</v>
      </c>
      <c r="G997" t="s">
        <v>306</v>
      </c>
      <c r="H997" t="s">
        <v>28</v>
      </c>
      <c r="I997">
        <v>4</v>
      </c>
    </row>
    <row r="998" spans="1:9" ht="21.75" customHeight="1">
      <c r="A998" t="s">
        <v>1148</v>
      </c>
      <c r="B998" s="3">
        <v>45307</v>
      </c>
      <c r="C998" t="s">
        <v>332</v>
      </c>
      <c r="D998" t="s">
        <v>87</v>
      </c>
      <c r="E998" t="s">
        <v>17</v>
      </c>
      <c r="F998" t="str">
        <f t="shared" si="15"/>
        <v>West</v>
      </c>
      <c r="G998" t="s">
        <v>27</v>
      </c>
      <c r="H998" t="s">
        <v>32</v>
      </c>
      <c r="I998">
        <v>10</v>
      </c>
    </row>
    <row r="999" spans="1:9" ht="21.75" customHeight="1">
      <c r="A999" t="s">
        <v>1149</v>
      </c>
      <c r="B999" s="3">
        <v>45369</v>
      </c>
      <c r="C999" t="s">
        <v>420</v>
      </c>
      <c r="D999" t="s">
        <v>16</v>
      </c>
      <c r="E999" t="s">
        <v>11</v>
      </c>
      <c r="F999" t="str">
        <f t="shared" si="15"/>
        <v>North</v>
      </c>
      <c r="G999" t="s">
        <v>12</v>
      </c>
      <c r="H999" t="s">
        <v>36</v>
      </c>
      <c r="I999">
        <v>6</v>
      </c>
    </row>
    <row r="1000" spans="1:9" ht="21.75" customHeight="1">
      <c r="A1000" t="s">
        <v>1150</v>
      </c>
      <c r="B1000" s="3">
        <v>45607</v>
      </c>
      <c r="C1000" t="s">
        <v>101</v>
      </c>
      <c r="D1000" t="s">
        <v>109</v>
      </c>
      <c r="E1000" t="s">
        <v>22</v>
      </c>
      <c r="F1000" t="str">
        <f t="shared" si="15"/>
        <v>Central</v>
      </c>
      <c r="G1000" t="s">
        <v>306</v>
      </c>
      <c r="H1000" t="s">
        <v>28</v>
      </c>
      <c r="I1000">
        <v>8</v>
      </c>
    </row>
    <row r="1001" spans="1:9" ht="21.75" customHeight="1">
      <c r="A1001" t="s">
        <v>1151</v>
      </c>
      <c r="B1001" s="3">
        <v>45643</v>
      </c>
      <c r="C1001" t="s">
        <v>64</v>
      </c>
      <c r="D1001" t="s">
        <v>62</v>
      </c>
      <c r="E1001" t="s">
        <v>17</v>
      </c>
      <c r="F1001" t="str">
        <f t="shared" si="15"/>
        <v>North</v>
      </c>
      <c r="G1001" t="s">
        <v>12</v>
      </c>
      <c r="H1001" t="s">
        <v>36</v>
      </c>
      <c r="I1001">
        <v>16</v>
      </c>
    </row>
    <row r="1002" spans="1:9" ht="21.75" customHeight="1">
      <c r="A1002" t="s">
        <v>1152</v>
      </c>
      <c r="B1002" s="3">
        <v>45532</v>
      </c>
      <c r="C1002" t="s">
        <v>436</v>
      </c>
      <c r="D1002" t="s">
        <v>45</v>
      </c>
      <c r="E1002" t="s">
        <v>22</v>
      </c>
      <c r="F1002" t="str">
        <f t="shared" si="15"/>
        <v>East</v>
      </c>
      <c r="G1002" t="s">
        <v>42</v>
      </c>
      <c r="H1002" t="s">
        <v>28</v>
      </c>
      <c r="I1002">
        <v>13</v>
      </c>
    </row>
    <row r="1003" spans="1:9" ht="21.75" customHeight="1">
      <c r="A1003" t="s">
        <v>1153</v>
      </c>
      <c r="B1003" s="3">
        <v>45375</v>
      </c>
      <c r="C1003" t="s">
        <v>150</v>
      </c>
      <c r="D1003" t="s">
        <v>87</v>
      </c>
      <c r="E1003" t="s">
        <v>11</v>
      </c>
      <c r="F1003" t="str">
        <f t="shared" si="15"/>
        <v>North</v>
      </c>
      <c r="G1003" t="s">
        <v>12</v>
      </c>
      <c r="H1003" t="s">
        <v>23</v>
      </c>
      <c r="I1003">
        <v>1</v>
      </c>
    </row>
    <row r="1004" spans="1:9" ht="21.75" customHeight="1">
      <c r="A1004" t="s">
        <v>1154</v>
      </c>
      <c r="B1004" s="3">
        <v>45405</v>
      </c>
      <c r="C1004" t="s">
        <v>323</v>
      </c>
      <c r="D1004" t="s">
        <v>119</v>
      </c>
      <c r="E1004" t="s">
        <v>22</v>
      </c>
      <c r="F1004" t="str">
        <f t="shared" si="15"/>
        <v>South</v>
      </c>
      <c r="G1004" t="s">
        <v>56</v>
      </c>
      <c r="H1004" t="s">
        <v>23</v>
      </c>
      <c r="I1004">
        <v>7</v>
      </c>
    </row>
    <row r="1005" spans="1:9" ht="21.75" customHeight="1">
      <c r="A1005" t="s">
        <v>1155</v>
      </c>
      <c r="B1005" s="3">
        <v>45607</v>
      </c>
      <c r="C1005" t="s">
        <v>374</v>
      </c>
      <c r="D1005" t="s">
        <v>70</v>
      </c>
      <c r="E1005" t="s">
        <v>22</v>
      </c>
      <c r="F1005" t="str">
        <f t="shared" si="15"/>
        <v>East</v>
      </c>
      <c r="G1005" t="s">
        <v>42</v>
      </c>
      <c r="H1005" t="s">
        <v>13</v>
      </c>
      <c r="I1005">
        <v>8</v>
      </c>
    </row>
    <row r="1006" spans="1:9" ht="21.75" customHeight="1">
      <c r="A1006" t="s">
        <v>1156</v>
      </c>
      <c r="B1006" s="3">
        <v>45603</v>
      </c>
      <c r="C1006" t="s">
        <v>304</v>
      </c>
      <c r="D1006" t="s">
        <v>31</v>
      </c>
      <c r="E1006" t="s">
        <v>17</v>
      </c>
      <c r="F1006" t="str">
        <f t="shared" si="15"/>
        <v>East</v>
      </c>
      <c r="G1006" t="s">
        <v>42</v>
      </c>
      <c r="H1006" t="s">
        <v>36</v>
      </c>
      <c r="I1006">
        <v>20</v>
      </c>
    </row>
    <row r="1007" spans="1:9" ht="21.75" customHeight="1">
      <c r="A1007" t="s">
        <v>1157</v>
      </c>
      <c r="B1007" s="3">
        <v>45596</v>
      </c>
      <c r="C1007" t="s">
        <v>312</v>
      </c>
      <c r="D1007" t="s">
        <v>160</v>
      </c>
      <c r="E1007" t="s">
        <v>22</v>
      </c>
      <c r="F1007" t="str">
        <f t="shared" si="15"/>
        <v>North</v>
      </c>
      <c r="G1007" t="s">
        <v>12</v>
      </c>
      <c r="H1007" t="s">
        <v>13</v>
      </c>
      <c r="I1007">
        <v>4</v>
      </c>
    </row>
    <row r="1008" spans="1:9" ht="21.75" customHeight="1">
      <c r="A1008" t="s">
        <v>1158</v>
      </c>
      <c r="B1008" s="3">
        <v>45417</v>
      </c>
      <c r="C1008" t="s">
        <v>363</v>
      </c>
      <c r="D1008" t="s">
        <v>84</v>
      </c>
      <c r="E1008" t="s">
        <v>22</v>
      </c>
      <c r="F1008" t="str">
        <f t="shared" si="15"/>
        <v>West</v>
      </c>
      <c r="G1008" t="s">
        <v>27</v>
      </c>
      <c r="H1008" t="s">
        <v>36</v>
      </c>
      <c r="I1008">
        <v>2</v>
      </c>
    </row>
    <row r="1009" spans="1:9" ht="21.75" customHeight="1">
      <c r="A1009" t="s">
        <v>1159</v>
      </c>
      <c r="B1009" s="3">
        <v>45614</v>
      </c>
      <c r="C1009" t="s">
        <v>9</v>
      </c>
      <c r="D1009" t="s">
        <v>70</v>
      </c>
      <c r="E1009" t="s">
        <v>11</v>
      </c>
      <c r="F1009" t="str">
        <f t="shared" si="15"/>
        <v>East</v>
      </c>
      <c r="G1009" t="s">
        <v>42</v>
      </c>
      <c r="H1009" t="s">
        <v>32</v>
      </c>
      <c r="I1009">
        <v>13</v>
      </c>
    </row>
    <row r="1010" spans="1:9" ht="21.75" customHeight="1">
      <c r="A1010" t="s">
        <v>1160</v>
      </c>
      <c r="B1010" s="3">
        <v>45528</v>
      </c>
      <c r="C1010" t="s">
        <v>30</v>
      </c>
      <c r="D1010" t="s">
        <v>109</v>
      </c>
      <c r="E1010" t="s">
        <v>17</v>
      </c>
      <c r="F1010" t="str">
        <f t="shared" si="15"/>
        <v>East</v>
      </c>
      <c r="G1010" t="s">
        <v>42</v>
      </c>
      <c r="H1010" t="s">
        <v>28</v>
      </c>
      <c r="I1010">
        <v>2</v>
      </c>
    </row>
    <row r="1011" spans="1:9" ht="21.75" customHeight="1">
      <c r="A1011" t="s">
        <v>1161</v>
      </c>
      <c r="B1011" s="3">
        <v>45529</v>
      </c>
      <c r="C1011" t="s">
        <v>736</v>
      </c>
      <c r="D1011" t="s">
        <v>84</v>
      </c>
      <c r="E1011" t="s">
        <v>17</v>
      </c>
      <c r="F1011" t="str">
        <f t="shared" si="15"/>
        <v>North</v>
      </c>
      <c r="G1011" t="s">
        <v>12</v>
      </c>
      <c r="H1011" t="s">
        <v>36</v>
      </c>
      <c r="I1011">
        <v>17</v>
      </c>
    </row>
    <row r="1012" spans="1:9" ht="21.75" customHeight="1">
      <c r="A1012" t="s">
        <v>1162</v>
      </c>
      <c r="B1012" s="3">
        <v>45648</v>
      </c>
      <c r="C1012" t="s">
        <v>591</v>
      </c>
      <c r="D1012" t="s">
        <v>87</v>
      </c>
      <c r="E1012" t="s">
        <v>11</v>
      </c>
      <c r="F1012" t="str">
        <f t="shared" si="15"/>
        <v>West</v>
      </c>
      <c r="G1012" t="s">
        <v>27</v>
      </c>
      <c r="H1012" t="s">
        <v>28</v>
      </c>
      <c r="I1012">
        <v>11</v>
      </c>
    </row>
    <row r="1013" spans="1:9" ht="21.75" customHeight="1">
      <c r="A1013" t="s">
        <v>1163</v>
      </c>
      <c r="B1013" s="3">
        <v>45524</v>
      </c>
      <c r="C1013" t="s">
        <v>449</v>
      </c>
      <c r="D1013" t="s">
        <v>70</v>
      </c>
      <c r="E1013" t="s">
        <v>22</v>
      </c>
      <c r="F1013" t="str">
        <f t="shared" si="15"/>
        <v>South</v>
      </c>
      <c r="G1013" t="s">
        <v>56</v>
      </c>
      <c r="H1013" t="s">
        <v>28</v>
      </c>
      <c r="I1013">
        <v>3</v>
      </c>
    </row>
    <row r="1014" spans="1:9" ht="21.75" customHeight="1">
      <c r="A1014" t="s">
        <v>1164</v>
      </c>
      <c r="B1014" s="3">
        <v>45355</v>
      </c>
      <c r="C1014" t="s">
        <v>203</v>
      </c>
      <c r="D1014" t="s">
        <v>21</v>
      </c>
      <c r="E1014" t="s">
        <v>11</v>
      </c>
      <c r="F1014" t="str">
        <f t="shared" si="15"/>
        <v>West</v>
      </c>
      <c r="G1014" t="s">
        <v>27</v>
      </c>
      <c r="H1014" t="s">
        <v>23</v>
      </c>
      <c r="I1014">
        <v>12</v>
      </c>
    </row>
    <row r="1015" spans="1:9" ht="21.75" customHeight="1">
      <c r="A1015" t="s">
        <v>1165</v>
      </c>
      <c r="B1015" s="3">
        <v>45553</v>
      </c>
      <c r="C1015" t="s">
        <v>594</v>
      </c>
      <c r="D1015" t="s">
        <v>174</v>
      </c>
      <c r="E1015" t="s">
        <v>11</v>
      </c>
      <c r="F1015" t="str">
        <f t="shared" si="15"/>
        <v>West</v>
      </c>
      <c r="G1015" t="s">
        <v>27</v>
      </c>
      <c r="H1015" t="s">
        <v>28</v>
      </c>
      <c r="I1015">
        <v>13</v>
      </c>
    </row>
    <row r="1016" spans="1:9" ht="21.75" customHeight="1">
      <c r="A1016" t="s">
        <v>1166</v>
      </c>
      <c r="B1016" s="3">
        <v>45463</v>
      </c>
      <c r="C1016" t="s">
        <v>614</v>
      </c>
      <c r="D1016" t="s">
        <v>45</v>
      </c>
      <c r="E1016" t="s">
        <v>22</v>
      </c>
      <c r="F1016" t="str">
        <f t="shared" si="15"/>
        <v>South</v>
      </c>
      <c r="G1016" t="s">
        <v>56</v>
      </c>
      <c r="H1016" t="s">
        <v>13</v>
      </c>
      <c r="I1016">
        <v>5</v>
      </c>
    </row>
    <row r="1017" spans="1:9" ht="21.75" customHeight="1">
      <c r="A1017" t="s">
        <v>1167</v>
      </c>
      <c r="B1017" s="3">
        <v>45506</v>
      </c>
      <c r="C1017" t="s">
        <v>147</v>
      </c>
      <c r="D1017" t="s">
        <v>74</v>
      </c>
      <c r="E1017" t="s">
        <v>17</v>
      </c>
      <c r="F1017" t="str">
        <f t="shared" si="15"/>
        <v>West</v>
      </c>
      <c r="G1017" t="s">
        <v>27</v>
      </c>
      <c r="H1017" t="s">
        <v>28</v>
      </c>
      <c r="I1017">
        <v>6</v>
      </c>
    </row>
    <row r="1018" spans="1:9" ht="21.75" customHeight="1">
      <c r="A1018" t="s">
        <v>1168</v>
      </c>
      <c r="B1018" s="3">
        <v>45395</v>
      </c>
      <c r="C1018" t="s">
        <v>25</v>
      </c>
      <c r="D1018" t="s">
        <v>96</v>
      </c>
      <c r="E1018" t="s">
        <v>22</v>
      </c>
      <c r="F1018" t="str">
        <f t="shared" si="15"/>
        <v>East</v>
      </c>
      <c r="G1018" t="s">
        <v>42</v>
      </c>
      <c r="H1018" t="s">
        <v>23</v>
      </c>
      <c r="I1018">
        <v>15</v>
      </c>
    </row>
    <row r="1019" spans="1:9" ht="21.75" customHeight="1">
      <c r="A1019" t="s">
        <v>1169</v>
      </c>
      <c r="B1019" s="3">
        <v>45570</v>
      </c>
      <c r="C1019" t="s">
        <v>25</v>
      </c>
      <c r="D1019" t="s">
        <v>197</v>
      </c>
      <c r="E1019" t="s">
        <v>22</v>
      </c>
      <c r="F1019" t="str">
        <f t="shared" si="15"/>
        <v>West</v>
      </c>
      <c r="G1019" t="s">
        <v>27</v>
      </c>
      <c r="H1019" t="s">
        <v>23</v>
      </c>
      <c r="I1019">
        <v>7</v>
      </c>
    </row>
    <row r="1020" spans="1:9" ht="21.75" customHeight="1">
      <c r="A1020" t="s">
        <v>1170</v>
      </c>
      <c r="B1020" s="3">
        <v>45524</v>
      </c>
      <c r="C1020" t="s">
        <v>408</v>
      </c>
      <c r="D1020" t="s">
        <v>109</v>
      </c>
      <c r="E1020" t="s">
        <v>17</v>
      </c>
      <c r="F1020" t="str">
        <f t="shared" si="15"/>
        <v>North</v>
      </c>
      <c r="G1020" t="s">
        <v>12</v>
      </c>
      <c r="H1020" t="s">
        <v>36</v>
      </c>
      <c r="I1020">
        <v>20</v>
      </c>
    </row>
    <row r="1021" spans="1:9" ht="21.75" customHeight="1">
      <c r="A1021" t="s">
        <v>1171</v>
      </c>
      <c r="B1021" s="3">
        <v>45434</v>
      </c>
      <c r="C1021" t="s">
        <v>381</v>
      </c>
      <c r="D1021" t="s">
        <v>65</v>
      </c>
      <c r="E1021" t="s">
        <v>22</v>
      </c>
      <c r="F1021" t="str">
        <f t="shared" si="15"/>
        <v>Central</v>
      </c>
      <c r="G1021" t="s">
        <v>306</v>
      </c>
      <c r="H1021" t="s">
        <v>13</v>
      </c>
      <c r="I1021">
        <v>2</v>
      </c>
    </row>
    <row r="1022" spans="1:9" ht="21.75" customHeight="1">
      <c r="A1022" t="s">
        <v>1172</v>
      </c>
      <c r="B1022" s="3">
        <v>45626</v>
      </c>
      <c r="C1022" t="s">
        <v>20</v>
      </c>
      <c r="D1022" t="s">
        <v>79</v>
      </c>
      <c r="E1022" t="s">
        <v>11</v>
      </c>
      <c r="F1022" t="str">
        <f t="shared" si="15"/>
        <v>South</v>
      </c>
      <c r="G1022" t="s">
        <v>56</v>
      </c>
      <c r="H1022" t="s">
        <v>32</v>
      </c>
      <c r="I1022">
        <v>19</v>
      </c>
    </row>
    <row r="1023" spans="1:9" ht="21.75" customHeight="1">
      <c r="A1023" t="s">
        <v>1173</v>
      </c>
      <c r="B1023" s="3">
        <v>45461</v>
      </c>
      <c r="C1023" t="s">
        <v>203</v>
      </c>
      <c r="D1023" t="s">
        <v>87</v>
      </c>
      <c r="E1023" t="s">
        <v>11</v>
      </c>
      <c r="F1023" t="str">
        <f t="shared" si="15"/>
        <v>North</v>
      </c>
      <c r="G1023" t="s">
        <v>12</v>
      </c>
      <c r="H1023" t="s">
        <v>32</v>
      </c>
      <c r="I1023">
        <v>6</v>
      </c>
    </row>
    <row r="1024" spans="1:9" ht="21.75" customHeight="1">
      <c r="A1024" t="s">
        <v>1174</v>
      </c>
      <c r="B1024" s="3">
        <v>45604</v>
      </c>
      <c r="C1024" t="s">
        <v>371</v>
      </c>
      <c r="D1024" t="s">
        <v>59</v>
      </c>
      <c r="E1024" t="s">
        <v>22</v>
      </c>
      <c r="F1024" t="str">
        <f t="shared" si="15"/>
        <v>Central</v>
      </c>
      <c r="G1024" t="s">
        <v>306</v>
      </c>
      <c r="H1024" t="s">
        <v>23</v>
      </c>
      <c r="I1024">
        <v>18</v>
      </c>
    </row>
    <row r="1025" spans="1:9" ht="21.75" customHeight="1">
      <c r="A1025" t="s">
        <v>1175</v>
      </c>
      <c r="B1025" s="3">
        <v>45588</v>
      </c>
      <c r="C1025" t="s">
        <v>83</v>
      </c>
      <c r="D1025" t="s">
        <v>119</v>
      </c>
      <c r="E1025" t="s">
        <v>11</v>
      </c>
      <c r="F1025" t="str">
        <f t="shared" si="15"/>
        <v>North</v>
      </c>
      <c r="G1025" t="s">
        <v>12</v>
      </c>
      <c r="H1025" t="s">
        <v>23</v>
      </c>
      <c r="I1025">
        <v>10</v>
      </c>
    </row>
    <row r="1026" spans="1:9" ht="21.75" customHeight="1">
      <c r="A1026" t="s">
        <v>1176</v>
      </c>
      <c r="B1026" s="3">
        <v>45326</v>
      </c>
      <c r="C1026" t="s">
        <v>332</v>
      </c>
      <c r="D1026" t="s">
        <v>10</v>
      </c>
      <c r="E1026" t="s">
        <v>17</v>
      </c>
      <c r="F1026" t="str">
        <f t="shared" si="15"/>
        <v>Central</v>
      </c>
      <c r="G1026" t="s">
        <v>306</v>
      </c>
      <c r="H1026" t="s">
        <v>13</v>
      </c>
      <c r="I1026">
        <v>10</v>
      </c>
    </row>
    <row r="1027" spans="1:9" ht="21.75" customHeight="1">
      <c r="A1027" t="s">
        <v>1177</v>
      </c>
      <c r="B1027" s="3">
        <v>45647</v>
      </c>
      <c r="C1027" t="s">
        <v>89</v>
      </c>
      <c r="D1027" t="s">
        <v>87</v>
      </c>
      <c r="E1027" t="s">
        <v>17</v>
      </c>
      <c r="F1027" t="str">
        <f t="shared" ref="F1027:F1090" si="16">TRIM(PROPER(G1027))</f>
        <v>Central</v>
      </c>
      <c r="G1027" t="s">
        <v>306</v>
      </c>
      <c r="H1027" t="s">
        <v>28</v>
      </c>
      <c r="I1027">
        <v>17</v>
      </c>
    </row>
    <row r="1028" spans="1:9" ht="21.75" customHeight="1">
      <c r="A1028" t="s">
        <v>1178</v>
      </c>
      <c r="B1028" s="3">
        <v>45605</v>
      </c>
      <c r="C1028" t="s">
        <v>131</v>
      </c>
      <c r="D1028" t="s">
        <v>84</v>
      </c>
      <c r="E1028" t="s">
        <v>11</v>
      </c>
      <c r="F1028" t="str">
        <f t="shared" si="16"/>
        <v>Central</v>
      </c>
      <c r="G1028" t="s">
        <v>306</v>
      </c>
      <c r="H1028" t="s">
        <v>23</v>
      </c>
      <c r="I1028">
        <v>17</v>
      </c>
    </row>
    <row r="1029" spans="1:9" ht="21.75" customHeight="1">
      <c r="A1029" t="s">
        <v>1179</v>
      </c>
      <c r="B1029" s="3">
        <v>45644</v>
      </c>
      <c r="C1029" t="s">
        <v>493</v>
      </c>
      <c r="D1029" t="s">
        <v>87</v>
      </c>
      <c r="E1029" t="s">
        <v>22</v>
      </c>
      <c r="F1029" t="str">
        <f t="shared" si="16"/>
        <v>East</v>
      </c>
      <c r="G1029" t="s">
        <v>42</v>
      </c>
      <c r="H1029" t="s">
        <v>32</v>
      </c>
      <c r="I1029">
        <v>20</v>
      </c>
    </row>
    <row r="1030" spans="1:9" ht="21.75" customHeight="1">
      <c r="A1030" t="s">
        <v>1180</v>
      </c>
      <c r="B1030" s="3">
        <v>45561</v>
      </c>
      <c r="C1030" t="s">
        <v>314</v>
      </c>
      <c r="D1030" t="s">
        <v>16</v>
      </c>
      <c r="E1030" t="s">
        <v>22</v>
      </c>
      <c r="F1030" t="str">
        <f t="shared" si="16"/>
        <v>East</v>
      </c>
      <c r="G1030" t="s">
        <v>42</v>
      </c>
      <c r="H1030" t="s">
        <v>36</v>
      </c>
      <c r="I1030">
        <v>20</v>
      </c>
    </row>
    <row r="1031" spans="1:9" ht="21.75" customHeight="1">
      <c r="A1031" t="s">
        <v>1181</v>
      </c>
      <c r="B1031" s="3">
        <v>45615</v>
      </c>
      <c r="C1031" t="s">
        <v>432</v>
      </c>
      <c r="D1031" t="s">
        <v>109</v>
      </c>
      <c r="E1031" t="s">
        <v>17</v>
      </c>
      <c r="F1031" t="str">
        <f t="shared" si="16"/>
        <v>South</v>
      </c>
      <c r="G1031" t="s">
        <v>56</v>
      </c>
      <c r="H1031" t="s">
        <v>28</v>
      </c>
      <c r="I1031">
        <v>8</v>
      </c>
    </row>
    <row r="1032" spans="1:9" ht="21.75" customHeight="1">
      <c r="A1032" t="s">
        <v>1182</v>
      </c>
      <c r="B1032" s="3">
        <v>45292</v>
      </c>
      <c r="C1032" t="s">
        <v>114</v>
      </c>
      <c r="D1032" t="s">
        <v>21</v>
      </c>
      <c r="E1032" t="s">
        <v>11</v>
      </c>
      <c r="F1032" t="str">
        <f t="shared" si="16"/>
        <v>West</v>
      </c>
      <c r="G1032" t="s">
        <v>27</v>
      </c>
      <c r="H1032" t="s">
        <v>28</v>
      </c>
      <c r="I1032">
        <v>4</v>
      </c>
    </row>
    <row r="1033" spans="1:9" ht="21.75" customHeight="1">
      <c r="A1033" t="s">
        <v>1183</v>
      </c>
      <c r="B1033" s="3">
        <v>45607</v>
      </c>
      <c r="C1033" t="s">
        <v>572</v>
      </c>
      <c r="D1033" t="s">
        <v>72</v>
      </c>
      <c r="E1033" t="s">
        <v>17</v>
      </c>
      <c r="F1033" t="str">
        <f t="shared" si="16"/>
        <v>North</v>
      </c>
      <c r="G1033" t="s">
        <v>12</v>
      </c>
      <c r="H1033" t="s">
        <v>28</v>
      </c>
      <c r="I1033">
        <v>12</v>
      </c>
    </row>
    <row r="1034" spans="1:9" ht="21.75" customHeight="1">
      <c r="A1034" t="s">
        <v>1184</v>
      </c>
      <c r="B1034" s="3">
        <v>45297</v>
      </c>
      <c r="C1034" t="s">
        <v>541</v>
      </c>
      <c r="D1034" t="s">
        <v>26</v>
      </c>
      <c r="E1034" t="s">
        <v>11</v>
      </c>
      <c r="F1034" t="str">
        <f t="shared" si="16"/>
        <v>East</v>
      </c>
      <c r="G1034" t="s">
        <v>42</v>
      </c>
      <c r="H1034" t="s">
        <v>36</v>
      </c>
      <c r="I1034">
        <v>3</v>
      </c>
    </row>
    <row r="1035" spans="1:9" ht="21.75" customHeight="1">
      <c r="A1035" t="s">
        <v>1185</v>
      </c>
      <c r="B1035" s="3">
        <v>45573</v>
      </c>
      <c r="C1035" t="s">
        <v>187</v>
      </c>
      <c r="D1035" t="s">
        <v>41</v>
      </c>
      <c r="E1035" t="s">
        <v>11</v>
      </c>
      <c r="F1035" t="str">
        <f t="shared" si="16"/>
        <v>North</v>
      </c>
      <c r="G1035" t="s">
        <v>12</v>
      </c>
      <c r="H1035" t="s">
        <v>36</v>
      </c>
      <c r="I1035">
        <v>11</v>
      </c>
    </row>
    <row r="1036" spans="1:9" ht="21.75" customHeight="1">
      <c r="A1036" t="s">
        <v>1186</v>
      </c>
      <c r="B1036" s="3">
        <v>45607</v>
      </c>
      <c r="C1036" t="s">
        <v>64</v>
      </c>
      <c r="D1036" t="s">
        <v>72</v>
      </c>
      <c r="E1036" t="s">
        <v>11</v>
      </c>
      <c r="F1036" t="str">
        <f t="shared" si="16"/>
        <v>South</v>
      </c>
      <c r="G1036" t="s">
        <v>56</v>
      </c>
      <c r="H1036" t="s">
        <v>23</v>
      </c>
      <c r="I1036">
        <v>11</v>
      </c>
    </row>
    <row r="1037" spans="1:9" ht="21.75" customHeight="1">
      <c r="A1037" t="s">
        <v>1187</v>
      </c>
      <c r="B1037" s="3">
        <v>45534</v>
      </c>
      <c r="C1037" t="s">
        <v>122</v>
      </c>
      <c r="D1037" t="s">
        <v>35</v>
      </c>
      <c r="E1037" t="s">
        <v>22</v>
      </c>
      <c r="F1037" t="str">
        <f t="shared" si="16"/>
        <v>South</v>
      </c>
      <c r="G1037" t="s">
        <v>56</v>
      </c>
      <c r="H1037" t="s">
        <v>36</v>
      </c>
      <c r="I1037">
        <v>5</v>
      </c>
    </row>
    <row r="1038" spans="1:9" ht="21.75" customHeight="1">
      <c r="A1038" t="s">
        <v>1188</v>
      </c>
      <c r="B1038" s="3">
        <v>45463</v>
      </c>
      <c r="C1038" t="s">
        <v>319</v>
      </c>
      <c r="D1038" t="s">
        <v>160</v>
      </c>
      <c r="E1038" t="s">
        <v>17</v>
      </c>
      <c r="F1038" t="str">
        <f t="shared" si="16"/>
        <v>North</v>
      </c>
      <c r="G1038" t="s">
        <v>12</v>
      </c>
      <c r="H1038" t="s">
        <v>32</v>
      </c>
      <c r="I1038">
        <v>10</v>
      </c>
    </row>
    <row r="1039" spans="1:9" ht="21.75" customHeight="1">
      <c r="A1039" t="s">
        <v>1189</v>
      </c>
      <c r="B1039" s="3">
        <v>45576</v>
      </c>
      <c r="C1039" t="s">
        <v>312</v>
      </c>
      <c r="D1039" t="s">
        <v>59</v>
      </c>
      <c r="E1039" t="s">
        <v>11</v>
      </c>
      <c r="F1039" t="str">
        <f t="shared" si="16"/>
        <v>South</v>
      </c>
      <c r="G1039" t="s">
        <v>56</v>
      </c>
      <c r="H1039" t="s">
        <v>32</v>
      </c>
      <c r="I1039">
        <v>11</v>
      </c>
    </row>
    <row r="1040" spans="1:9" ht="21.75" customHeight="1">
      <c r="A1040" t="s">
        <v>1190</v>
      </c>
      <c r="B1040" s="3">
        <v>45325</v>
      </c>
      <c r="C1040" t="s">
        <v>125</v>
      </c>
      <c r="D1040" t="s">
        <v>72</v>
      </c>
      <c r="E1040" t="s">
        <v>17</v>
      </c>
      <c r="F1040" t="str">
        <f t="shared" si="16"/>
        <v>North</v>
      </c>
      <c r="G1040" t="s">
        <v>12</v>
      </c>
      <c r="H1040" t="s">
        <v>28</v>
      </c>
      <c r="I1040">
        <v>13</v>
      </c>
    </row>
    <row r="1041" spans="1:9" ht="21.75" customHeight="1">
      <c r="A1041" t="s">
        <v>1191</v>
      </c>
      <c r="B1041" s="3">
        <v>45584</v>
      </c>
      <c r="C1041" t="s">
        <v>493</v>
      </c>
      <c r="D1041" t="s">
        <v>109</v>
      </c>
      <c r="E1041" t="s">
        <v>17</v>
      </c>
      <c r="F1041" t="str">
        <f t="shared" si="16"/>
        <v>South</v>
      </c>
      <c r="G1041" t="s">
        <v>56</v>
      </c>
      <c r="H1041" t="s">
        <v>32</v>
      </c>
      <c r="I1041">
        <v>4</v>
      </c>
    </row>
    <row r="1042" spans="1:9" ht="21.75" customHeight="1">
      <c r="A1042" t="s">
        <v>1192</v>
      </c>
      <c r="B1042" s="3">
        <v>45653</v>
      </c>
      <c r="C1042" t="s">
        <v>38</v>
      </c>
      <c r="D1042" t="s">
        <v>26</v>
      </c>
      <c r="E1042" t="s">
        <v>22</v>
      </c>
      <c r="F1042" t="str">
        <f t="shared" si="16"/>
        <v>North</v>
      </c>
      <c r="G1042" t="s">
        <v>12</v>
      </c>
      <c r="H1042" t="s">
        <v>28</v>
      </c>
      <c r="I1042">
        <v>14</v>
      </c>
    </row>
    <row r="1043" spans="1:9" ht="21.75" customHeight="1">
      <c r="A1043" t="s">
        <v>1193</v>
      </c>
      <c r="B1043" s="3">
        <v>45482</v>
      </c>
      <c r="C1043" t="s">
        <v>430</v>
      </c>
      <c r="D1043" t="s">
        <v>160</v>
      </c>
      <c r="E1043" t="s">
        <v>17</v>
      </c>
      <c r="F1043" t="str">
        <f t="shared" si="16"/>
        <v>South</v>
      </c>
      <c r="G1043" t="s">
        <v>56</v>
      </c>
      <c r="H1043" t="s">
        <v>32</v>
      </c>
      <c r="I1043">
        <v>10</v>
      </c>
    </row>
    <row r="1044" spans="1:9" ht="21.75" customHeight="1">
      <c r="A1044" t="s">
        <v>1194</v>
      </c>
      <c r="B1044" s="3">
        <v>45311</v>
      </c>
      <c r="C1044" t="s">
        <v>420</v>
      </c>
      <c r="D1044" t="s">
        <v>70</v>
      </c>
      <c r="E1044" t="s">
        <v>11</v>
      </c>
      <c r="F1044" t="str">
        <f t="shared" si="16"/>
        <v>North</v>
      </c>
      <c r="G1044" t="s">
        <v>12</v>
      </c>
      <c r="H1044" t="s">
        <v>23</v>
      </c>
      <c r="I1044">
        <v>17</v>
      </c>
    </row>
    <row r="1045" spans="1:9" ht="21.75" customHeight="1">
      <c r="A1045" t="s">
        <v>1195</v>
      </c>
      <c r="B1045" s="3">
        <v>45548</v>
      </c>
      <c r="C1045" t="s">
        <v>125</v>
      </c>
      <c r="D1045" t="s">
        <v>35</v>
      </c>
      <c r="E1045" t="s">
        <v>11</v>
      </c>
      <c r="F1045" t="str">
        <f t="shared" si="16"/>
        <v>East</v>
      </c>
      <c r="G1045" t="s">
        <v>42</v>
      </c>
      <c r="H1045" t="s">
        <v>32</v>
      </c>
      <c r="I1045">
        <v>17</v>
      </c>
    </row>
    <row r="1046" spans="1:9" ht="21.75" customHeight="1">
      <c r="A1046" t="s">
        <v>1196</v>
      </c>
      <c r="B1046" s="3">
        <v>45365</v>
      </c>
      <c r="C1046" t="s">
        <v>337</v>
      </c>
      <c r="D1046" t="s">
        <v>41</v>
      </c>
      <c r="E1046" t="s">
        <v>11</v>
      </c>
      <c r="F1046" t="str">
        <f t="shared" si="16"/>
        <v>Central</v>
      </c>
      <c r="G1046" t="s">
        <v>306</v>
      </c>
      <c r="H1046" t="s">
        <v>13</v>
      </c>
      <c r="I1046">
        <v>5</v>
      </c>
    </row>
    <row r="1047" spans="1:9" ht="21.75" customHeight="1">
      <c r="A1047" t="s">
        <v>1197</v>
      </c>
      <c r="B1047" s="3">
        <v>45527</v>
      </c>
      <c r="C1047" t="s">
        <v>53</v>
      </c>
      <c r="D1047" t="s">
        <v>102</v>
      </c>
      <c r="E1047" t="s">
        <v>22</v>
      </c>
      <c r="F1047" t="str">
        <f t="shared" si="16"/>
        <v>Central</v>
      </c>
      <c r="G1047" t="s">
        <v>306</v>
      </c>
      <c r="H1047" t="s">
        <v>13</v>
      </c>
      <c r="I1047">
        <v>1</v>
      </c>
    </row>
    <row r="1048" spans="1:9" ht="21.75" customHeight="1">
      <c r="A1048" t="s">
        <v>1198</v>
      </c>
      <c r="B1048" s="3">
        <v>45643</v>
      </c>
      <c r="C1048" t="s">
        <v>327</v>
      </c>
      <c r="D1048" t="s">
        <v>70</v>
      </c>
      <c r="E1048" t="s">
        <v>11</v>
      </c>
      <c r="F1048" t="str">
        <f t="shared" si="16"/>
        <v>East</v>
      </c>
      <c r="G1048" t="s">
        <v>42</v>
      </c>
      <c r="H1048" t="s">
        <v>32</v>
      </c>
      <c r="I1048">
        <v>2</v>
      </c>
    </row>
    <row r="1049" spans="1:9" ht="21.75" customHeight="1">
      <c r="A1049" t="s">
        <v>1199</v>
      </c>
      <c r="B1049" s="3">
        <v>45303</v>
      </c>
      <c r="C1049" t="s">
        <v>314</v>
      </c>
      <c r="D1049" t="s">
        <v>72</v>
      </c>
      <c r="E1049" t="s">
        <v>17</v>
      </c>
      <c r="F1049" t="str">
        <f t="shared" si="16"/>
        <v>South</v>
      </c>
      <c r="G1049" t="s">
        <v>56</v>
      </c>
      <c r="H1049" t="s">
        <v>32</v>
      </c>
      <c r="I1049">
        <v>7</v>
      </c>
    </row>
    <row r="1050" spans="1:9" ht="21.75" customHeight="1">
      <c r="A1050" t="s">
        <v>1200</v>
      </c>
      <c r="B1050" s="3">
        <v>45564</v>
      </c>
      <c r="C1050" t="s">
        <v>38</v>
      </c>
      <c r="D1050" t="s">
        <v>26</v>
      </c>
      <c r="E1050" t="s">
        <v>17</v>
      </c>
      <c r="F1050" t="str">
        <f t="shared" si="16"/>
        <v>North</v>
      </c>
      <c r="G1050" t="s">
        <v>12</v>
      </c>
      <c r="H1050" t="s">
        <v>13</v>
      </c>
      <c r="I1050">
        <v>5</v>
      </c>
    </row>
    <row r="1051" spans="1:9" ht="21.75" customHeight="1">
      <c r="A1051" t="s">
        <v>1201</v>
      </c>
      <c r="B1051" s="3">
        <v>45299</v>
      </c>
      <c r="C1051" t="s">
        <v>381</v>
      </c>
      <c r="D1051" t="s">
        <v>102</v>
      </c>
      <c r="E1051" t="s">
        <v>22</v>
      </c>
      <c r="F1051" t="str">
        <f t="shared" si="16"/>
        <v>Central</v>
      </c>
      <c r="G1051" t="s">
        <v>306</v>
      </c>
      <c r="H1051" t="s">
        <v>36</v>
      </c>
      <c r="I1051">
        <v>7</v>
      </c>
    </row>
    <row r="1052" spans="1:9" ht="21.75" customHeight="1">
      <c r="A1052" t="s">
        <v>1202</v>
      </c>
      <c r="B1052" s="3">
        <v>45455</v>
      </c>
      <c r="C1052" t="s">
        <v>101</v>
      </c>
      <c r="D1052" t="s">
        <v>59</v>
      </c>
      <c r="E1052" t="s">
        <v>11</v>
      </c>
      <c r="F1052" t="str">
        <f t="shared" si="16"/>
        <v>East</v>
      </c>
      <c r="G1052" t="s">
        <v>42</v>
      </c>
      <c r="H1052" t="s">
        <v>32</v>
      </c>
      <c r="I1052">
        <v>8</v>
      </c>
    </row>
    <row r="1053" spans="1:9" ht="21.75" customHeight="1">
      <c r="A1053" t="s">
        <v>1203</v>
      </c>
      <c r="B1053" s="3">
        <v>45605</v>
      </c>
      <c r="C1053" t="s">
        <v>47</v>
      </c>
      <c r="D1053" t="s">
        <v>79</v>
      </c>
      <c r="E1053" t="s">
        <v>22</v>
      </c>
      <c r="F1053" t="str">
        <f t="shared" si="16"/>
        <v>West</v>
      </c>
      <c r="G1053" t="s">
        <v>27</v>
      </c>
      <c r="H1053" t="s">
        <v>13</v>
      </c>
      <c r="I1053">
        <v>5</v>
      </c>
    </row>
    <row r="1054" spans="1:9" ht="21.75" customHeight="1">
      <c r="A1054" t="s">
        <v>1204</v>
      </c>
      <c r="B1054" s="3">
        <v>45346</v>
      </c>
      <c r="C1054" t="s">
        <v>53</v>
      </c>
      <c r="D1054" t="s">
        <v>87</v>
      </c>
      <c r="E1054" t="s">
        <v>11</v>
      </c>
      <c r="F1054" t="str">
        <f t="shared" si="16"/>
        <v>North</v>
      </c>
      <c r="G1054" t="s">
        <v>12</v>
      </c>
      <c r="H1054" t="s">
        <v>36</v>
      </c>
      <c r="I1054">
        <v>13</v>
      </c>
    </row>
    <row r="1055" spans="1:9" ht="21.75" customHeight="1">
      <c r="A1055" t="s">
        <v>1205</v>
      </c>
      <c r="B1055" s="3">
        <v>45595</v>
      </c>
      <c r="C1055" t="s">
        <v>451</v>
      </c>
      <c r="D1055" t="s">
        <v>109</v>
      </c>
      <c r="E1055" t="s">
        <v>22</v>
      </c>
      <c r="F1055" t="str">
        <f t="shared" si="16"/>
        <v>West</v>
      </c>
      <c r="G1055" t="s">
        <v>27</v>
      </c>
      <c r="H1055" t="s">
        <v>28</v>
      </c>
      <c r="I1055">
        <v>12</v>
      </c>
    </row>
    <row r="1056" spans="1:9" ht="21.75" customHeight="1">
      <c r="A1056" t="s">
        <v>1206</v>
      </c>
      <c r="B1056" s="3">
        <v>45635</v>
      </c>
      <c r="C1056" t="s">
        <v>312</v>
      </c>
      <c r="D1056" t="s">
        <v>59</v>
      </c>
      <c r="E1056" t="s">
        <v>11</v>
      </c>
      <c r="F1056" t="str">
        <f t="shared" si="16"/>
        <v>West</v>
      </c>
      <c r="G1056" t="s">
        <v>27</v>
      </c>
      <c r="H1056" t="s">
        <v>23</v>
      </c>
      <c r="I1056">
        <v>5</v>
      </c>
    </row>
    <row r="1057" spans="1:9" ht="21.75" customHeight="1">
      <c r="A1057" t="s">
        <v>1207</v>
      </c>
      <c r="B1057" s="3">
        <v>45341</v>
      </c>
      <c r="C1057" t="s">
        <v>366</v>
      </c>
      <c r="D1057" t="s">
        <v>35</v>
      </c>
      <c r="E1057" t="s">
        <v>17</v>
      </c>
      <c r="F1057" t="str">
        <f t="shared" si="16"/>
        <v>West</v>
      </c>
      <c r="G1057" t="s">
        <v>27</v>
      </c>
      <c r="H1057" t="s">
        <v>28</v>
      </c>
      <c r="I1057">
        <v>8</v>
      </c>
    </row>
    <row r="1058" spans="1:9" ht="21.75" customHeight="1">
      <c r="A1058" t="s">
        <v>1208</v>
      </c>
      <c r="B1058" s="3">
        <v>45607</v>
      </c>
      <c r="C1058" t="s">
        <v>86</v>
      </c>
      <c r="D1058" t="s">
        <v>45</v>
      </c>
      <c r="E1058" t="s">
        <v>17</v>
      </c>
      <c r="F1058" t="str">
        <f t="shared" si="16"/>
        <v>West</v>
      </c>
      <c r="G1058" t="s">
        <v>27</v>
      </c>
      <c r="H1058" t="s">
        <v>32</v>
      </c>
      <c r="I1058">
        <v>11</v>
      </c>
    </row>
    <row r="1059" spans="1:9" ht="21.75" customHeight="1">
      <c r="A1059" t="s">
        <v>1209</v>
      </c>
      <c r="B1059" s="3">
        <v>45524</v>
      </c>
      <c r="C1059" t="s">
        <v>374</v>
      </c>
      <c r="D1059" t="s">
        <v>35</v>
      </c>
      <c r="E1059" t="s">
        <v>11</v>
      </c>
      <c r="F1059" t="str">
        <f t="shared" si="16"/>
        <v>North</v>
      </c>
      <c r="G1059" t="s">
        <v>12</v>
      </c>
      <c r="H1059" t="s">
        <v>23</v>
      </c>
      <c r="I1059">
        <v>4</v>
      </c>
    </row>
    <row r="1060" spans="1:9" ht="21.75" customHeight="1">
      <c r="A1060" t="s">
        <v>1210</v>
      </c>
      <c r="B1060" s="3">
        <v>45379</v>
      </c>
      <c r="C1060" t="s">
        <v>55</v>
      </c>
      <c r="D1060" t="s">
        <v>59</v>
      </c>
      <c r="E1060" t="s">
        <v>17</v>
      </c>
      <c r="F1060" t="str">
        <f t="shared" si="16"/>
        <v>Central</v>
      </c>
      <c r="G1060" t="s">
        <v>306</v>
      </c>
      <c r="H1060" t="s">
        <v>23</v>
      </c>
      <c r="I1060">
        <v>5</v>
      </c>
    </row>
    <row r="1061" spans="1:9" ht="21.75" customHeight="1">
      <c r="A1061" t="s">
        <v>1211</v>
      </c>
      <c r="B1061" s="3">
        <v>45346</v>
      </c>
      <c r="C1061" t="s">
        <v>187</v>
      </c>
      <c r="D1061" t="s">
        <v>74</v>
      </c>
      <c r="E1061" t="s">
        <v>22</v>
      </c>
      <c r="F1061" t="str">
        <f t="shared" si="16"/>
        <v>North</v>
      </c>
      <c r="G1061" t="s">
        <v>12</v>
      </c>
      <c r="H1061" t="s">
        <v>36</v>
      </c>
      <c r="I1061">
        <v>18</v>
      </c>
    </row>
    <row r="1062" spans="1:9" ht="21.75" customHeight="1">
      <c r="A1062" t="s">
        <v>1212</v>
      </c>
      <c r="B1062" s="3">
        <v>45503</v>
      </c>
      <c r="C1062" t="s">
        <v>93</v>
      </c>
      <c r="D1062" t="s">
        <v>174</v>
      </c>
      <c r="E1062" t="s">
        <v>22</v>
      </c>
      <c r="F1062" t="str">
        <f t="shared" si="16"/>
        <v>South</v>
      </c>
      <c r="G1062" t="s">
        <v>56</v>
      </c>
      <c r="H1062" t="s">
        <v>23</v>
      </c>
      <c r="I1062">
        <v>6</v>
      </c>
    </row>
    <row r="1063" spans="1:9" ht="21.75" customHeight="1">
      <c r="A1063" t="s">
        <v>1213</v>
      </c>
      <c r="B1063" s="3">
        <v>45325</v>
      </c>
      <c r="C1063" t="s">
        <v>47</v>
      </c>
      <c r="D1063" t="s">
        <v>87</v>
      </c>
      <c r="E1063" t="s">
        <v>11</v>
      </c>
      <c r="F1063" t="str">
        <f t="shared" si="16"/>
        <v>Central</v>
      </c>
      <c r="G1063" t="s">
        <v>306</v>
      </c>
      <c r="H1063" t="s">
        <v>32</v>
      </c>
      <c r="I1063">
        <v>14</v>
      </c>
    </row>
    <row r="1064" spans="1:9" ht="21.75" customHeight="1">
      <c r="A1064" t="s">
        <v>1214</v>
      </c>
      <c r="B1064" s="3">
        <v>45570</v>
      </c>
      <c r="C1064" t="s">
        <v>465</v>
      </c>
      <c r="D1064" t="s">
        <v>41</v>
      </c>
      <c r="E1064" t="s">
        <v>11</v>
      </c>
      <c r="F1064" t="str">
        <f t="shared" si="16"/>
        <v>South</v>
      </c>
      <c r="G1064" t="s">
        <v>56</v>
      </c>
      <c r="H1064" t="s">
        <v>36</v>
      </c>
      <c r="I1064">
        <v>3</v>
      </c>
    </row>
    <row r="1065" spans="1:9" ht="21.75" customHeight="1">
      <c r="A1065" t="s">
        <v>1215</v>
      </c>
      <c r="B1065" s="3">
        <v>45541</v>
      </c>
      <c r="C1065" t="s">
        <v>40</v>
      </c>
      <c r="D1065" t="s">
        <v>70</v>
      </c>
      <c r="E1065" t="s">
        <v>22</v>
      </c>
      <c r="F1065" t="str">
        <f t="shared" si="16"/>
        <v>Central</v>
      </c>
      <c r="G1065" t="s">
        <v>306</v>
      </c>
      <c r="H1065" t="s">
        <v>23</v>
      </c>
      <c r="I1065">
        <v>11</v>
      </c>
    </row>
    <row r="1066" spans="1:9" ht="21.75" customHeight="1">
      <c r="A1066" t="s">
        <v>1216</v>
      </c>
      <c r="B1066" s="3">
        <v>45382</v>
      </c>
      <c r="C1066" t="s">
        <v>147</v>
      </c>
      <c r="D1066" t="s">
        <v>109</v>
      </c>
      <c r="E1066" t="s">
        <v>17</v>
      </c>
      <c r="F1066" t="str">
        <f t="shared" si="16"/>
        <v>North</v>
      </c>
      <c r="G1066" t="s">
        <v>12</v>
      </c>
      <c r="H1066" t="s">
        <v>36</v>
      </c>
      <c r="I1066">
        <v>4</v>
      </c>
    </row>
    <row r="1067" spans="1:9" ht="21.75" customHeight="1">
      <c r="A1067" t="s">
        <v>1217</v>
      </c>
      <c r="B1067" s="3">
        <v>45486</v>
      </c>
      <c r="C1067" t="s">
        <v>187</v>
      </c>
      <c r="D1067" t="s">
        <v>10</v>
      </c>
      <c r="E1067" t="s">
        <v>17</v>
      </c>
      <c r="F1067" t="str">
        <f t="shared" si="16"/>
        <v>North</v>
      </c>
      <c r="G1067" t="s">
        <v>12</v>
      </c>
      <c r="H1067" t="s">
        <v>36</v>
      </c>
      <c r="I1067">
        <v>7</v>
      </c>
    </row>
    <row r="1068" spans="1:9" ht="21.75" customHeight="1">
      <c r="A1068" t="s">
        <v>1218</v>
      </c>
      <c r="B1068" s="3">
        <v>45617</v>
      </c>
      <c r="C1068" t="s">
        <v>25</v>
      </c>
      <c r="D1068" t="s">
        <v>70</v>
      </c>
      <c r="E1068" t="s">
        <v>11</v>
      </c>
      <c r="F1068" t="str">
        <f t="shared" si="16"/>
        <v>South</v>
      </c>
      <c r="G1068" t="s">
        <v>56</v>
      </c>
      <c r="H1068" t="s">
        <v>36</v>
      </c>
      <c r="I1068">
        <v>18</v>
      </c>
    </row>
    <row r="1069" spans="1:9" ht="21.75" customHeight="1">
      <c r="A1069" t="s">
        <v>1219</v>
      </c>
      <c r="B1069" s="3">
        <v>45587</v>
      </c>
      <c r="C1069" t="s">
        <v>430</v>
      </c>
      <c r="D1069" t="s">
        <v>41</v>
      </c>
      <c r="E1069" t="s">
        <v>11</v>
      </c>
      <c r="F1069" t="str">
        <f t="shared" si="16"/>
        <v>South</v>
      </c>
      <c r="G1069" t="s">
        <v>56</v>
      </c>
      <c r="H1069" t="s">
        <v>32</v>
      </c>
      <c r="I1069">
        <v>11</v>
      </c>
    </row>
    <row r="1070" spans="1:9" ht="21.75" customHeight="1">
      <c r="A1070" t="s">
        <v>1220</v>
      </c>
      <c r="B1070" s="3">
        <v>45514</v>
      </c>
      <c r="C1070" t="s">
        <v>436</v>
      </c>
      <c r="D1070" t="s">
        <v>59</v>
      </c>
      <c r="E1070" t="s">
        <v>17</v>
      </c>
      <c r="F1070" t="str">
        <f t="shared" si="16"/>
        <v>North</v>
      </c>
      <c r="G1070" t="s">
        <v>12</v>
      </c>
      <c r="H1070" t="s">
        <v>36</v>
      </c>
      <c r="I1070">
        <v>1</v>
      </c>
    </row>
    <row r="1071" spans="1:9" ht="21.75" customHeight="1">
      <c r="A1071" t="s">
        <v>1221</v>
      </c>
      <c r="B1071" s="3">
        <v>45498</v>
      </c>
      <c r="C1071" t="s">
        <v>34</v>
      </c>
      <c r="D1071" t="s">
        <v>48</v>
      </c>
      <c r="E1071" t="s">
        <v>17</v>
      </c>
      <c r="F1071" t="str">
        <f t="shared" si="16"/>
        <v>North</v>
      </c>
      <c r="G1071" t="s">
        <v>12</v>
      </c>
      <c r="H1071" t="s">
        <v>13</v>
      </c>
      <c r="I1071">
        <v>18</v>
      </c>
    </row>
    <row r="1072" spans="1:9" ht="21.75" customHeight="1">
      <c r="A1072" t="s">
        <v>1222</v>
      </c>
      <c r="B1072" s="3">
        <v>45652</v>
      </c>
      <c r="C1072" t="s">
        <v>642</v>
      </c>
      <c r="D1072" t="s">
        <v>74</v>
      </c>
      <c r="E1072" t="s">
        <v>17</v>
      </c>
      <c r="F1072" t="str">
        <f t="shared" si="16"/>
        <v>North</v>
      </c>
      <c r="G1072" t="s">
        <v>12</v>
      </c>
      <c r="H1072" t="s">
        <v>36</v>
      </c>
      <c r="I1072">
        <v>1</v>
      </c>
    </row>
    <row r="1073" spans="1:9" ht="21.75" customHeight="1">
      <c r="A1073" t="s">
        <v>1223</v>
      </c>
      <c r="B1073" s="3">
        <v>45493</v>
      </c>
      <c r="C1073" t="s">
        <v>451</v>
      </c>
      <c r="D1073" t="s">
        <v>31</v>
      </c>
      <c r="E1073" t="s">
        <v>17</v>
      </c>
      <c r="F1073" t="str">
        <f t="shared" si="16"/>
        <v>West</v>
      </c>
      <c r="G1073" t="s">
        <v>27</v>
      </c>
      <c r="H1073" t="s">
        <v>28</v>
      </c>
      <c r="I1073">
        <v>13</v>
      </c>
    </row>
    <row r="1074" spans="1:9" ht="21.75" customHeight="1">
      <c r="A1074" t="s">
        <v>1224</v>
      </c>
      <c r="B1074" s="3">
        <v>45631</v>
      </c>
      <c r="C1074" t="s">
        <v>235</v>
      </c>
      <c r="D1074" t="s">
        <v>65</v>
      </c>
      <c r="E1074" t="s">
        <v>17</v>
      </c>
      <c r="F1074" t="str">
        <f t="shared" si="16"/>
        <v>South</v>
      </c>
      <c r="G1074" t="s">
        <v>56</v>
      </c>
      <c r="H1074" t="s">
        <v>32</v>
      </c>
      <c r="I1074">
        <v>18</v>
      </c>
    </row>
    <row r="1075" spans="1:9" ht="21.75" customHeight="1">
      <c r="A1075" t="s">
        <v>1225</v>
      </c>
      <c r="B1075" s="3">
        <v>45505</v>
      </c>
      <c r="C1075" t="s">
        <v>125</v>
      </c>
      <c r="D1075" t="s">
        <v>16</v>
      </c>
      <c r="E1075" t="s">
        <v>17</v>
      </c>
      <c r="F1075" t="str">
        <f t="shared" si="16"/>
        <v>South</v>
      </c>
      <c r="G1075" t="s">
        <v>56</v>
      </c>
      <c r="H1075" t="s">
        <v>13</v>
      </c>
      <c r="I1075">
        <v>1</v>
      </c>
    </row>
    <row r="1076" spans="1:9" ht="21.75" customHeight="1">
      <c r="A1076" t="s">
        <v>1226</v>
      </c>
      <c r="B1076" s="3">
        <v>45365</v>
      </c>
      <c r="C1076" t="s">
        <v>329</v>
      </c>
      <c r="D1076" t="s">
        <v>16</v>
      </c>
      <c r="E1076" t="s">
        <v>17</v>
      </c>
      <c r="F1076" t="str">
        <f t="shared" si="16"/>
        <v>West</v>
      </c>
      <c r="G1076" t="s">
        <v>27</v>
      </c>
      <c r="H1076" t="s">
        <v>23</v>
      </c>
      <c r="I1076">
        <v>3</v>
      </c>
    </row>
    <row r="1077" spans="1:9" ht="21.75" customHeight="1">
      <c r="A1077" t="s">
        <v>1227</v>
      </c>
      <c r="B1077" s="3">
        <v>45525</v>
      </c>
      <c r="C1077" t="s">
        <v>728</v>
      </c>
      <c r="D1077" t="s">
        <v>87</v>
      </c>
      <c r="E1077" t="s">
        <v>22</v>
      </c>
      <c r="F1077" t="str">
        <f t="shared" si="16"/>
        <v>Central</v>
      </c>
      <c r="G1077" t="s">
        <v>306</v>
      </c>
      <c r="H1077" t="s">
        <v>36</v>
      </c>
      <c r="I1077">
        <v>20</v>
      </c>
    </row>
    <row r="1078" spans="1:9" ht="21.75" customHeight="1">
      <c r="A1078" t="s">
        <v>1228</v>
      </c>
      <c r="B1078" s="3">
        <v>45509</v>
      </c>
      <c r="C1078" t="s">
        <v>378</v>
      </c>
      <c r="D1078" t="s">
        <v>48</v>
      </c>
      <c r="E1078" t="s">
        <v>17</v>
      </c>
      <c r="F1078" t="str">
        <f t="shared" si="16"/>
        <v>West</v>
      </c>
      <c r="G1078" t="s">
        <v>27</v>
      </c>
      <c r="H1078" t="s">
        <v>36</v>
      </c>
      <c r="I1078">
        <v>8</v>
      </c>
    </row>
    <row r="1079" spans="1:9" ht="21.75" customHeight="1">
      <c r="A1079" t="s">
        <v>1229</v>
      </c>
      <c r="B1079" s="3">
        <v>45295</v>
      </c>
      <c r="C1079" t="s">
        <v>314</v>
      </c>
      <c r="D1079" t="s">
        <v>62</v>
      </c>
      <c r="E1079" t="s">
        <v>17</v>
      </c>
      <c r="F1079" t="str">
        <f t="shared" si="16"/>
        <v>South</v>
      </c>
      <c r="G1079" t="s">
        <v>56</v>
      </c>
      <c r="H1079" t="s">
        <v>36</v>
      </c>
      <c r="I1079">
        <v>17</v>
      </c>
    </row>
    <row r="1080" spans="1:9" ht="21.75" customHeight="1">
      <c r="A1080" t="s">
        <v>1230</v>
      </c>
      <c r="B1080" s="3">
        <v>45587</v>
      </c>
      <c r="C1080" t="s">
        <v>83</v>
      </c>
      <c r="D1080" t="s">
        <v>59</v>
      </c>
      <c r="E1080" t="s">
        <v>11</v>
      </c>
      <c r="F1080" t="str">
        <f t="shared" si="16"/>
        <v>North</v>
      </c>
      <c r="G1080" t="s">
        <v>12</v>
      </c>
      <c r="H1080" t="s">
        <v>13</v>
      </c>
      <c r="I1080">
        <v>16</v>
      </c>
    </row>
    <row r="1081" spans="1:9" ht="21.75" customHeight="1">
      <c r="A1081" t="s">
        <v>1231</v>
      </c>
      <c r="B1081" s="3">
        <v>45589</v>
      </c>
      <c r="C1081" t="s">
        <v>517</v>
      </c>
      <c r="D1081" t="s">
        <v>16</v>
      </c>
      <c r="E1081" t="s">
        <v>22</v>
      </c>
      <c r="F1081" t="str">
        <f t="shared" si="16"/>
        <v>North</v>
      </c>
      <c r="G1081" t="s">
        <v>12</v>
      </c>
      <c r="H1081" t="s">
        <v>32</v>
      </c>
      <c r="I1081">
        <v>17</v>
      </c>
    </row>
    <row r="1082" spans="1:9" ht="21.75" customHeight="1">
      <c r="A1082" t="s">
        <v>1232</v>
      </c>
      <c r="B1082" s="3">
        <v>45530</v>
      </c>
      <c r="C1082" t="s">
        <v>363</v>
      </c>
      <c r="D1082" t="s">
        <v>109</v>
      </c>
      <c r="E1082" t="s">
        <v>11</v>
      </c>
      <c r="F1082" t="str">
        <f t="shared" si="16"/>
        <v>Central</v>
      </c>
      <c r="G1082" t="s">
        <v>306</v>
      </c>
      <c r="H1082" t="s">
        <v>13</v>
      </c>
      <c r="I1082">
        <v>3</v>
      </c>
    </row>
    <row r="1083" spans="1:9" ht="21.75" customHeight="1">
      <c r="A1083" t="s">
        <v>1233</v>
      </c>
      <c r="B1083" s="3">
        <v>45642</v>
      </c>
      <c r="C1083" t="s">
        <v>541</v>
      </c>
      <c r="D1083" t="s">
        <v>74</v>
      </c>
      <c r="E1083" t="s">
        <v>22</v>
      </c>
      <c r="F1083" t="str">
        <f t="shared" si="16"/>
        <v>Central</v>
      </c>
      <c r="G1083" t="s">
        <v>306</v>
      </c>
      <c r="H1083" t="s">
        <v>32</v>
      </c>
      <c r="I1083">
        <v>20</v>
      </c>
    </row>
    <row r="1084" spans="1:9" ht="21.75" customHeight="1">
      <c r="A1084" t="s">
        <v>1234</v>
      </c>
      <c r="B1084" s="3">
        <v>45565</v>
      </c>
      <c r="C1084" t="s">
        <v>420</v>
      </c>
      <c r="D1084" t="s">
        <v>70</v>
      </c>
      <c r="E1084" t="s">
        <v>11</v>
      </c>
      <c r="F1084" t="str">
        <f t="shared" si="16"/>
        <v>West</v>
      </c>
      <c r="G1084" t="s">
        <v>27</v>
      </c>
      <c r="H1084" t="s">
        <v>36</v>
      </c>
      <c r="I1084">
        <v>17</v>
      </c>
    </row>
    <row r="1085" spans="1:9" ht="21.75" customHeight="1">
      <c r="A1085" t="s">
        <v>1235</v>
      </c>
      <c r="B1085" s="3">
        <v>45461</v>
      </c>
      <c r="C1085" t="s">
        <v>572</v>
      </c>
      <c r="D1085" t="s">
        <v>74</v>
      </c>
      <c r="E1085" t="s">
        <v>17</v>
      </c>
      <c r="F1085" t="str">
        <f t="shared" si="16"/>
        <v>East</v>
      </c>
      <c r="G1085" t="s">
        <v>42</v>
      </c>
      <c r="H1085" t="s">
        <v>36</v>
      </c>
      <c r="I1085">
        <v>6</v>
      </c>
    </row>
    <row r="1086" spans="1:9" ht="21.75" customHeight="1">
      <c r="A1086" t="s">
        <v>1236</v>
      </c>
      <c r="B1086" s="3">
        <v>45447</v>
      </c>
      <c r="C1086" t="s">
        <v>388</v>
      </c>
      <c r="D1086" t="s">
        <v>79</v>
      </c>
      <c r="E1086" t="s">
        <v>22</v>
      </c>
      <c r="F1086" t="str">
        <f t="shared" si="16"/>
        <v>East</v>
      </c>
      <c r="G1086" t="s">
        <v>42</v>
      </c>
      <c r="H1086" t="s">
        <v>36</v>
      </c>
      <c r="I1086">
        <v>16</v>
      </c>
    </row>
    <row r="1087" spans="1:9" ht="21.75" customHeight="1">
      <c r="A1087" t="s">
        <v>1237</v>
      </c>
      <c r="B1087" s="3">
        <v>45318</v>
      </c>
      <c r="C1087" t="s">
        <v>371</v>
      </c>
      <c r="D1087" t="s">
        <v>96</v>
      </c>
      <c r="E1087" t="s">
        <v>17</v>
      </c>
      <c r="F1087" t="str">
        <f t="shared" si="16"/>
        <v>Central</v>
      </c>
      <c r="G1087" t="s">
        <v>306</v>
      </c>
      <c r="H1087" t="s">
        <v>28</v>
      </c>
      <c r="I1087">
        <v>10</v>
      </c>
    </row>
    <row r="1088" spans="1:9" ht="21.75" customHeight="1">
      <c r="A1088" t="s">
        <v>1238</v>
      </c>
      <c r="B1088" s="3">
        <v>45550</v>
      </c>
      <c r="C1088" t="s">
        <v>208</v>
      </c>
      <c r="D1088" t="s">
        <v>16</v>
      </c>
      <c r="E1088" t="s">
        <v>17</v>
      </c>
      <c r="F1088" t="str">
        <f t="shared" si="16"/>
        <v>East</v>
      </c>
      <c r="G1088" t="s">
        <v>42</v>
      </c>
      <c r="H1088" t="s">
        <v>32</v>
      </c>
      <c r="I1088">
        <v>20</v>
      </c>
    </row>
    <row r="1089" spans="1:9" ht="21.75" customHeight="1">
      <c r="A1089" t="s">
        <v>1239</v>
      </c>
      <c r="B1089" s="3">
        <v>45299</v>
      </c>
      <c r="C1089" t="s">
        <v>304</v>
      </c>
      <c r="D1089" t="s">
        <v>45</v>
      </c>
      <c r="E1089" t="s">
        <v>11</v>
      </c>
      <c r="F1089" t="str">
        <f t="shared" si="16"/>
        <v>Central</v>
      </c>
      <c r="G1089" t="s">
        <v>306</v>
      </c>
      <c r="H1089" t="s">
        <v>23</v>
      </c>
      <c r="I1089">
        <v>19</v>
      </c>
    </row>
    <row r="1090" spans="1:9" ht="21.75" customHeight="1">
      <c r="A1090" t="s">
        <v>1240</v>
      </c>
      <c r="B1090" s="3">
        <v>45481</v>
      </c>
      <c r="C1090" t="s">
        <v>235</v>
      </c>
      <c r="D1090" t="s">
        <v>35</v>
      </c>
      <c r="E1090" t="s">
        <v>17</v>
      </c>
      <c r="F1090" t="str">
        <f t="shared" si="16"/>
        <v>South</v>
      </c>
      <c r="G1090" t="s">
        <v>56</v>
      </c>
      <c r="H1090" t="s">
        <v>13</v>
      </c>
      <c r="I1090">
        <v>6</v>
      </c>
    </row>
    <row r="1091" spans="1:9" ht="21.75" customHeight="1">
      <c r="A1091" t="s">
        <v>1241</v>
      </c>
      <c r="B1091" s="3">
        <v>45467</v>
      </c>
      <c r="C1091" t="s">
        <v>81</v>
      </c>
      <c r="D1091" t="s">
        <v>16</v>
      </c>
      <c r="E1091" t="s">
        <v>11</v>
      </c>
      <c r="F1091" t="str">
        <f t="shared" ref="F1091:F1154" si="17">TRIM(PROPER(G1091))</f>
        <v>Central</v>
      </c>
      <c r="G1091" t="s">
        <v>306</v>
      </c>
      <c r="H1091" t="s">
        <v>23</v>
      </c>
      <c r="I1091">
        <v>16</v>
      </c>
    </row>
    <row r="1092" spans="1:9" ht="21.75" customHeight="1">
      <c r="A1092" t="s">
        <v>1242</v>
      </c>
      <c r="B1092" s="3">
        <v>45488</v>
      </c>
      <c r="C1092" t="s">
        <v>93</v>
      </c>
      <c r="D1092" t="s">
        <v>84</v>
      </c>
      <c r="E1092" t="s">
        <v>22</v>
      </c>
      <c r="F1092" t="str">
        <f t="shared" si="17"/>
        <v>West</v>
      </c>
      <c r="G1092" t="s">
        <v>27</v>
      </c>
      <c r="H1092" t="s">
        <v>32</v>
      </c>
      <c r="I1092">
        <v>6</v>
      </c>
    </row>
    <row r="1093" spans="1:9" ht="21.75" customHeight="1">
      <c r="A1093" t="s">
        <v>1243</v>
      </c>
      <c r="B1093" s="3">
        <v>45319</v>
      </c>
      <c r="C1093" t="s">
        <v>736</v>
      </c>
      <c r="D1093" t="s">
        <v>79</v>
      </c>
      <c r="E1093" t="s">
        <v>17</v>
      </c>
      <c r="F1093" t="str">
        <f t="shared" si="17"/>
        <v>North</v>
      </c>
      <c r="G1093" t="s">
        <v>12</v>
      </c>
      <c r="H1093" t="s">
        <v>23</v>
      </c>
      <c r="I1093">
        <v>6</v>
      </c>
    </row>
    <row r="1094" spans="1:9" ht="21.75" customHeight="1">
      <c r="A1094" t="s">
        <v>1244</v>
      </c>
      <c r="B1094" s="3">
        <v>45446</v>
      </c>
      <c r="C1094" t="s">
        <v>553</v>
      </c>
      <c r="D1094" t="s">
        <v>197</v>
      </c>
      <c r="E1094" t="s">
        <v>22</v>
      </c>
      <c r="F1094" t="str">
        <f t="shared" si="17"/>
        <v>Central</v>
      </c>
      <c r="G1094" t="s">
        <v>306</v>
      </c>
      <c r="H1094" t="s">
        <v>23</v>
      </c>
      <c r="I1094">
        <v>13</v>
      </c>
    </row>
    <row r="1095" spans="1:9" ht="21.75" customHeight="1">
      <c r="A1095" t="s">
        <v>1245</v>
      </c>
      <c r="B1095" s="3">
        <v>45534</v>
      </c>
      <c r="C1095" t="s">
        <v>86</v>
      </c>
      <c r="D1095" t="s">
        <v>87</v>
      </c>
      <c r="E1095" t="s">
        <v>11</v>
      </c>
      <c r="F1095" t="str">
        <f t="shared" si="17"/>
        <v>Central</v>
      </c>
      <c r="G1095" t="s">
        <v>306</v>
      </c>
      <c r="H1095" t="s">
        <v>23</v>
      </c>
      <c r="I1095">
        <v>1</v>
      </c>
    </row>
    <row r="1096" spans="1:9" ht="21.75" customHeight="1">
      <c r="A1096" t="s">
        <v>1246</v>
      </c>
      <c r="B1096" s="3">
        <v>45487</v>
      </c>
      <c r="C1096" t="s">
        <v>422</v>
      </c>
      <c r="D1096" t="s">
        <v>41</v>
      </c>
      <c r="E1096" t="s">
        <v>17</v>
      </c>
      <c r="F1096" t="str">
        <f t="shared" si="17"/>
        <v>Central</v>
      </c>
      <c r="G1096" t="s">
        <v>306</v>
      </c>
      <c r="H1096" t="s">
        <v>36</v>
      </c>
      <c r="I1096">
        <v>2</v>
      </c>
    </row>
    <row r="1097" spans="1:9" ht="21.75" customHeight="1">
      <c r="A1097" t="s">
        <v>1247</v>
      </c>
      <c r="B1097" s="3">
        <v>45618</v>
      </c>
      <c r="C1097" t="s">
        <v>182</v>
      </c>
      <c r="D1097" t="s">
        <v>21</v>
      </c>
      <c r="E1097" t="s">
        <v>17</v>
      </c>
      <c r="F1097" t="str">
        <f t="shared" si="17"/>
        <v>Central</v>
      </c>
      <c r="G1097" t="s">
        <v>306</v>
      </c>
      <c r="H1097" t="s">
        <v>32</v>
      </c>
      <c r="I1097">
        <v>9</v>
      </c>
    </row>
    <row r="1098" spans="1:9" ht="21.75" customHeight="1">
      <c r="A1098" t="s">
        <v>1248</v>
      </c>
      <c r="B1098" s="3">
        <v>45342</v>
      </c>
      <c r="C1098" t="s">
        <v>230</v>
      </c>
      <c r="D1098" t="s">
        <v>31</v>
      </c>
      <c r="E1098" t="s">
        <v>22</v>
      </c>
      <c r="F1098" t="str">
        <f t="shared" si="17"/>
        <v>Central</v>
      </c>
      <c r="G1098" t="s">
        <v>306</v>
      </c>
      <c r="H1098" t="s">
        <v>28</v>
      </c>
      <c r="I1098">
        <v>15</v>
      </c>
    </row>
    <row r="1099" spans="1:9" ht="21.75" customHeight="1">
      <c r="A1099" t="s">
        <v>1249</v>
      </c>
      <c r="B1099" s="3">
        <v>45636</v>
      </c>
      <c r="C1099" t="s">
        <v>449</v>
      </c>
      <c r="D1099" t="s">
        <v>72</v>
      </c>
      <c r="E1099" t="s">
        <v>11</v>
      </c>
      <c r="F1099" t="str">
        <f t="shared" si="17"/>
        <v>Central</v>
      </c>
      <c r="G1099" t="s">
        <v>306</v>
      </c>
      <c r="H1099" t="s">
        <v>13</v>
      </c>
      <c r="I1099">
        <v>6</v>
      </c>
    </row>
    <row r="1100" spans="1:9" ht="21.75" customHeight="1">
      <c r="A1100" t="s">
        <v>1250</v>
      </c>
      <c r="B1100" s="3">
        <v>45636</v>
      </c>
      <c r="C1100" t="s">
        <v>142</v>
      </c>
      <c r="D1100" t="s">
        <v>87</v>
      </c>
      <c r="E1100" t="s">
        <v>11</v>
      </c>
      <c r="F1100" t="str">
        <f t="shared" si="17"/>
        <v>North</v>
      </c>
      <c r="G1100" t="s">
        <v>12</v>
      </c>
      <c r="H1100" t="s">
        <v>23</v>
      </c>
      <c r="I1100">
        <v>4</v>
      </c>
    </row>
    <row r="1101" spans="1:9" ht="21.75" customHeight="1">
      <c r="A1101" t="s">
        <v>1251</v>
      </c>
      <c r="B1101" s="3">
        <v>45471</v>
      </c>
      <c r="C1101" t="s">
        <v>240</v>
      </c>
      <c r="D1101" t="s">
        <v>26</v>
      </c>
      <c r="E1101" t="s">
        <v>22</v>
      </c>
      <c r="F1101" t="str">
        <f t="shared" si="17"/>
        <v>East</v>
      </c>
      <c r="G1101" t="s">
        <v>42</v>
      </c>
      <c r="H1101" t="s">
        <v>36</v>
      </c>
      <c r="I1101">
        <v>7</v>
      </c>
    </row>
    <row r="1102" spans="1:9" ht="21.75" customHeight="1">
      <c r="A1102" t="s">
        <v>1252</v>
      </c>
      <c r="B1102" s="3">
        <v>45339</v>
      </c>
      <c r="C1102" t="s">
        <v>131</v>
      </c>
      <c r="D1102" t="s">
        <v>109</v>
      </c>
      <c r="E1102" t="s">
        <v>22</v>
      </c>
      <c r="F1102" t="str">
        <f t="shared" si="17"/>
        <v>South</v>
      </c>
      <c r="G1102" t="s">
        <v>56</v>
      </c>
      <c r="H1102" t="s">
        <v>13</v>
      </c>
      <c r="I1102">
        <v>4</v>
      </c>
    </row>
    <row r="1103" spans="1:9" ht="21.75" customHeight="1">
      <c r="A1103" t="s">
        <v>1253</v>
      </c>
      <c r="B1103" s="3">
        <v>45336</v>
      </c>
      <c r="C1103" t="s">
        <v>493</v>
      </c>
      <c r="D1103" t="s">
        <v>41</v>
      </c>
      <c r="E1103" t="s">
        <v>11</v>
      </c>
      <c r="F1103" t="str">
        <f t="shared" si="17"/>
        <v>West</v>
      </c>
      <c r="G1103" t="s">
        <v>27</v>
      </c>
      <c r="H1103" t="s">
        <v>28</v>
      </c>
      <c r="I1103">
        <v>19</v>
      </c>
    </row>
    <row r="1104" spans="1:9" ht="21.75" customHeight="1">
      <c r="A1104" t="s">
        <v>1254</v>
      </c>
      <c r="B1104" s="3">
        <v>45348</v>
      </c>
      <c r="C1104" t="s">
        <v>424</v>
      </c>
      <c r="D1104" t="s">
        <v>74</v>
      </c>
      <c r="E1104" t="s">
        <v>11</v>
      </c>
      <c r="F1104" t="str">
        <f t="shared" si="17"/>
        <v>East</v>
      </c>
      <c r="G1104" t="s">
        <v>42</v>
      </c>
      <c r="H1104" t="s">
        <v>13</v>
      </c>
      <c r="I1104">
        <v>15</v>
      </c>
    </row>
    <row r="1105" spans="1:9" ht="21.75" customHeight="1">
      <c r="A1105" t="s">
        <v>1255</v>
      </c>
      <c r="B1105" s="3">
        <v>45619</v>
      </c>
      <c r="C1105" t="s">
        <v>366</v>
      </c>
      <c r="D1105" t="s">
        <v>62</v>
      </c>
      <c r="E1105" t="s">
        <v>17</v>
      </c>
      <c r="F1105" t="str">
        <f t="shared" si="17"/>
        <v>West</v>
      </c>
      <c r="G1105" t="s">
        <v>27</v>
      </c>
      <c r="H1105" t="s">
        <v>13</v>
      </c>
      <c r="I1105">
        <v>11</v>
      </c>
    </row>
    <row r="1106" spans="1:9" ht="21.75" customHeight="1">
      <c r="A1106" t="s">
        <v>1256</v>
      </c>
      <c r="B1106" s="3">
        <v>45433</v>
      </c>
      <c r="C1106" t="s">
        <v>420</v>
      </c>
      <c r="D1106" t="s">
        <v>31</v>
      </c>
      <c r="E1106" t="s">
        <v>11</v>
      </c>
      <c r="F1106" t="str">
        <f t="shared" si="17"/>
        <v>West</v>
      </c>
      <c r="G1106" t="s">
        <v>27</v>
      </c>
      <c r="H1106" t="s">
        <v>32</v>
      </c>
      <c r="I1106">
        <v>11</v>
      </c>
    </row>
    <row r="1107" spans="1:9" ht="21.75" customHeight="1">
      <c r="A1107" t="s">
        <v>1257</v>
      </c>
      <c r="B1107" s="3">
        <v>45427</v>
      </c>
      <c r="C1107" t="s">
        <v>235</v>
      </c>
      <c r="D1107" t="s">
        <v>35</v>
      </c>
      <c r="E1107" t="s">
        <v>17</v>
      </c>
      <c r="F1107" t="str">
        <f t="shared" si="17"/>
        <v>North</v>
      </c>
      <c r="G1107" t="s">
        <v>12</v>
      </c>
      <c r="H1107" t="s">
        <v>28</v>
      </c>
      <c r="I1107">
        <v>7</v>
      </c>
    </row>
    <row r="1108" spans="1:9" ht="21.75" customHeight="1">
      <c r="A1108" t="s">
        <v>1258</v>
      </c>
      <c r="B1108" s="3">
        <v>45622</v>
      </c>
      <c r="C1108" t="s">
        <v>374</v>
      </c>
      <c r="D1108" t="s">
        <v>174</v>
      </c>
      <c r="E1108" t="s">
        <v>11</v>
      </c>
      <c r="F1108" t="str">
        <f t="shared" si="17"/>
        <v>South</v>
      </c>
      <c r="G1108" t="s">
        <v>56</v>
      </c>
      <c r="H1108" t="s">
        <v>13</v>
      </c>
      <c r="I1108">
        <v>14</v>
      </c>
    </row>
    <row r="1109" spans="1:9" ht="21.75" customHeight="1">
      <c r="A1109" t="s">
        <v>1259</v>
      </c>
      <c r="B1109" s="3">
        <v>45518</v>
      </c>
      <c r="C1109" t="s">
        <v>436</v>
      </c>
      <c r="D1109" t="s">
        <v>79</v>
      </c>
      <c r="E1109" t="s">
        <v>17</v>
      </c>
      <c r="F1109" t="str">
        <f t="shared" si="17"/>
        <v>North</v>
      </c>
      <c r="G1109" t="s">
        <v>12</v>
      </c>
      <c r="H1109" t="s">
        <v>32</v>
      </c>
      <c r="I1109">
        <v>3</v>
      </c>
    </row>
    <row r="1110" spans="1:9" ht="21.75" customHeight="1">
      <c r="A1110" t="s">
        <v>1260</v>
      </c>
      <c r="B1110" s="3">
        <v>45520</v>
      </c>
      <c r="C1110" t="s">
        <v>138</v>
      </c>
      <c r="D1110" t="s">
        <v>21</v>
      </c>
      <c r="E1110" t="s">
        <v>17</v>
      </c>
      <c r="F1110" t="str">
        <f t="shared" si="17"/>
        <v>South</v>
      </c>
      <c r="G1110" t="s">
        <v>56</v>
      </c>
      <c r="H1110" t="s">
        <v>23</v>
      </c>
      <c r="I1110">
        <v>1</v>
      </c>
    </row>
    <row r="1111" spans="1:9" ht="21.75" customHeight="1">
      <c r="A1111" t="s">
        <v>1261</v>
      </c>
      <c r="B1111" s="3">
        <v>45428</v>
      </c>
      <c r="C1111" t="s">
        <v>125</v>
      </c>
      <c r="D1111" t="s">
        <v>31</v>
      </c>
      <c r="E1111" t="s">
        <v>22</v>
      </c>
      <c r="F1111" t="str">
        <f t="shared" si="17"/>
        <v>East</v>
      </c>
      <c r="G1111" t="s">
        <v>42</v>
      </c>
      <c r="H1111" t="s">
        <v>23</v>
      </c>
      <c r="I1111">
        <v>19</v>
      </c>
    </row>
    <row r="1112" spans="1:9" ht="21.75" customHeight="1">
      <c r="A1112" t="s">
        <v>1262</v>
      </c>
      <c r="B1112" s="3">
        <v>45536</v>
      </c>
      <c r="C1112" t="s">
        <v>348</v>
      </c>
      <c r="D1112" t="s">
        <v>174</v>
      </c>
      <c r="E1112" t="s">
        <v>17</v>
      </c>
      <c r="F1112" t="str">
        <f t="shared" si="17"/>
        <v>North</v>
      </c>
      <c r="G1112" t="s">
        <v>12</v>
      </c>
      <c r="H1112" t="s">
        <v>23</v>
      </c>
      <c r="I1112">
        <v>8</v>
      </c>
    </row>
    <row r="1113" spans="1:9" ht="21.75" customHeight="1">
      <c r="A1113" t="s">
        <v>1263</v>
      </c>
      <c r="B1113" s="3">
        <v>45354</v>
      </c>
      <c r="C1113" t="s">
        <v>614</v>
      </c>
      <c r="D1113" t="s">
        <v>72</v>
      </c>
      <c r="E1113" t="s">
        <v>22</v>
      </c>
      <c r="F1113" t="str">
        <f t="shared" si="17"/>
        <v>East</v>
      </c>
      <c r="G1113" t="s">
        <v>42</v>
      </c>
      <c r="H1113" t="s">
        <v>13</v>
      </c>
      <c r="I1113">
        <v>10</v>
      </c>
    </row>
    <row r="1114" spans="1:9" ht="21.75" customHeight="1">
      <c r="A1114" t="s">
        <v>1264</v>
      </c>
      <c r="B1114" s="3">
        <v>45479</v>
      </c>
      <c r="C1114" t="s">
        <v>312</v>
      </c>
      <c r="D1114" t="s">
        <v>70</v>
      </c>
      <c r="E1114" t="s">
        <v>17</v>
      </c>
      <c r="F1114" t="str">
        <f t="shared" si="17"/>
        <v>North</v>
      </c>
      <c r="G1114" t="s">
        <v>12</v>
      </c>
      <c r="H1114" t="s">
        <v>28</v>
      </c>
      <c r="I1114">
        <v>10</v>
      </c>
    </row>
    <row r="1115" spans="1:9" ht="21.75" customHeight="1">
      <c r="A1115" t="s">
        <v>1265</v>
      </c>
      <c r="B1115" s="3">
        <v>45575</v>
      </c>
      <c r="C1115" t="s">
        <v>116</v>
      </c>
      <c r="D1115" t="s">
        <v>74</v>
      </c>
      <c r="E1115" t="s">
        <v>17</v>
      </c>
      <c r="F1115" t="str">
        <f t="shared" si="17"/>
        <v>South</v>
      </c>
      <c r="G1115" t="s">
        <v>56</v>
      </c>
      <c r="H1115" t="s">
        <v>32</v>
      </c>
      <c r="I1115">
        <v>13</v>
      </c>
    </row>
    <row r="1116" spans="1:9" ht="21.75" customHeight="1">
      <c r="A1116" t="s">
        <v>1266</v>
      </c>
      <c r="B1116" s="3">
        <v>45541</v>
      </c>
      <c r="C1116" t="s">
        <v>81</v>
      </c>
      <c r="D1116" t="s">
        <v>84</v>
      </c>
      <c r="E1116" t="s">
        <v>22</v>
      </c>
      <c r="F1116" t="str">
        <f t="shared" si="17"/>
        <v>West</v>
      </c>
      <c r="G1116" t="s">
        <v>27</v>
      </c>
      <c r="H1116" t="s">
        <v>28</v>
      </c>
      <c r="I1116">
        <v>7</v>
      </c>
    </row>
    <row r="1117" spans="1:9" ht="21.75" customHeight="1">
      <c r="A1117" t="s">
        <v>1267</v>
      </c>
      <c r="B1117" s="3">
        <v>45304</v>
      </c>
      <c r="C1117" t="s">
        <v>329</v>
      </c>
      <c r="D1117" t="s">
        <v>35</v>
      </c>
      <c r="E1117" t="s">
        <v>22</v>
      </c>
      <c r="F1117" t="str">
        <f t="shared" si="17"/>
        <v>South</v>
      </c>
      <c r="G1117" t="s">
        <v>56</v>
      </c>
      <c r="H1117" t="s">
        <v>36</v>
      </c>
      <c r="I1117">
        <v>13</v>
      </c>
    </row>
    <row r="1118" spans="1:9" ht="21.75" customHeight="1">
      <c r="A1118" t="s">
        <v>1268</v>
      </c>
      <c r="B1118" s="3">
        <v>45621</v>
      </c>
      <c r="C1118" t="s">
        <v>147</v>
      </c>
      <c r="D1118" t="s">
        <v>70</v>
      </c>
      <c r="E1118" t="s">
        <v>17</v>
      </c>
      <c r="F1118" t="str">
        <f t="shared" si="17"/>
        <v>Central</v>
      </c>
      <c r="G1118" t="s">
        <v>306</v>
      </c>
      <c r="H1118" t="s">
        <v>13</v>
      </c>
      <c r="I1118">
        <v>1</v>
      </c>
    </row>
    <row r="1119" spans="1:9" ht="21.75" customHeight="1">
      <c r="A1119" t="s">
        <v>1269</v>
      </c>
      <c r="B1119" s="3">
        <v>45464</v>
      </c>
      <c r="C1119" t="s">
        <v>728</v>
      </c>
      <c r="D1119" t="s">
        <v>31</v>
      </c>
      <c r="E1119" t="s">
        <v>22</v>
      </c>
      <c r="F1119" t="str">
        <f t="shared" si="17"/>
        <v>North</v>
      </c>
      <c r="G1119" t="s">
        <v>12</v>
      </c>
      <c r="H1119" t="s">
        <v>36</v>
      </c>
      <c r="I1119">
        <v>4</v>
      </c>
    </row>
    <row r="1120" spans="1:9" ht="21.75" customHeight="1">
      <c r="A1120" t="s">
        <v>1270</v>
      </c>
      <c r="B1120" s="3">
        <v>45526</v>
      </c>
      <c r="C1120" t="s">
        <v>422</v>
      </c>
      <c r="D1120" t="s">
        <v>84</v>
      </c>
      <c r="E1120" t="s">
        <v>22</v>
      </c>
      <c r="F1120" t="str">
        <f t="shared" si="17"/>
        <v>South</v>
      </c>
      <c r="G1120" t="s">
        <v>56</v>
      </c>
      <c r="H1120" t="s">
        <v>13</v>
      </c>
      <c r="I1120">
        <v>19</v>
      </c>
    </row>
    <row r="1121" spans="1:9" ht="21.75" customHeight="1">
      <c r="A1121" t="s">
        <v>1271</v>
      </c>
      <c r="B1121" s="3">
        <v>45310</v>
      </c>
      <c r="C1121" t="s">
        <v>304</v>
      </c>
      <c r="D1121" t="s">
        <v>21</v>
      </c>
      <c r="E1121" t="s">
        <v>11</v>
      </c>
      <c r="F1121" t="str">
        <f t="shared" si="17"/>
        <v>West</v>
      </c>
      <c r="G1121" t="s">
        <v>27</v>
      </c>
      <c r="H1121" t="s">
        <v>36</v>
      </c>
      <c r="I1121">
        <v>1</v>
      </c>
    </row>
    <row r="1122" spans="1:9" ht="21.75" customHeight="1">
      <c r="A1122" t="s">
        <v>1272</v>
      </c>
      <c r="B1122" s="3">
        <v>45315</v>
      </c>
      <c r="C1122" t="s">
        <v>78</v>
      </c>
      <c r="D1122" t="s">
        <v>96</v>
      </c>
      <c r="E1122" t="s">
        <v>22</v>
      </c>
      <c r="F1122" t="str">
        <f t="shared" si="17"/>
        <v>South</v>
      </c>
      <c r="G1122" t="s">
        <v>56</v>
      </c>
      <c r="H1122" t="s">
        <v>32</v>
      </c>
      <c r="I1122">
        <v>6</v>
      </c>
    </row>
    <row r="1123" spans="1:9" ht="21.75" customHeight="1">
      <c r="A1123" t="s">
        <v>1273</v>
      </c>
      <c r="B1123" s="3">
        <v>45341</v>
      </c>
      <c r="C1123" t="s">
        <v>366</v>
      </c>
      <c r="D1123" t="s">
        <v>59</v>
      </c>
      <c r="E1123" t="s">
        <v>22</v>
      </c>
      <c r="F1123" t="str">
        <f t="shared" si="17"/>
        <v>South</v>
      </c>
      <c r="G1123" t="s">
        <v>56</v>
      </c>
      <c r="H1123" t="s">
        <v>13</v>
      </c>
      <c r="I1123">
        <v>3</v>
      </c>
    </row>
    <row r="1124" spans="1:9" ht="21.75" customHeight="1">
      <c r="A1124" t="s">
        <v>1274</v>
      </c>
      <c r="B1124" s="3">
        <v>45350</v>
      </c>
      <c r="C1124" t="s">
        <v>432</v>
      </c>
      <c r="D1124" t="s">
        <v>197</v>
      </c>
      <c r="E1124" t="s">
        <v>22</v>
      </c>
      <c r="F1124" t="str">
        <f t="shared" si="17"/>
        <v>Central</v>
      </c>
      <c r="G1124" t="s">
        <v>306</v>
      </c>
      <c r="H1124" t="s">
        <v>23</v>
      </c>
      <c r="I1124">
        <v>3</v>
      </c>
    </row>
    <row r="1125" spans="1:9" ht="21.75" customHeight="1">
      <c r="A1125" t="s">
        <v>1275</v>
      </c>
      <c r="B1125" s="3">
        <v>45464</v>
      </c>
      <c r="C1125" t="s">
        <v>304</v>
      </c>
      <c r="D1125" t="s">
        <v>72</v>
      </c>
      <c r="E1125" t="s">
        <v>22</v>
      </c>
      <c r="F1125" t="str">
        <f t="shared" si="17"/>
        <v>West</v>
      </c>
      <c r="G1125" t="s">
        <v>27</v>
      </c>
      <c r="H1125" t="s">
        <v>36</v>
      </c>
      <c r="I1125">
        <v>4</v>
      </c>
    </row>
    <row r="1126" spans="1:9" ht="21.75" customHeight="1">
      <c r="A1126" t="s">
        <v>1276</v>
      </c>
      <c r="B1126" s="3">
        <v>45571</v>
      </c>
      <c r="C1126" t="s">
        <v>99</v>
      </c>
      <c r="D1126" t="s">
        <v>119</v>
      </c>
      <c r="E1126" t="s">
        <v>17</v>
      </c>
      <c r="F1126" t="str">
        <f t="shared" si="17"/>
        <v>South</v>
      </c>
      <c r="G1126" t="s">
        <v>56</v>
      </c>
      <c r="H1126" t="s">
        <v>32</v>
      </c>
      <c r="I1126">
        <v>2</v>
      </c>
    </row>
    <row r="1127" spans="1:9" ht="21.75" customHeight="1">
      <c r="A1127" t="s">
        <v>1277</v>
      </c>
      <c r="B1127" s="3">
        <v>45324</v>
      </c>
      <c r="C1127" t="s">
        <v>114</v>
      </c>
      <c r="D1127" t="s">
        <v>119</v>
      </c>
      <c r="E1127" t="s">
        <v>17</v>
      </c>
      <c r="F1127" t="str">
        <f t="shared" si="17"/>
        <v>South</v>
      </c>
      <c r="G1127" t="s">
        <v>56</v>
      </c>
      <c r="H1127" t="s">
        <v>32</v>
      </c>
      <c r="I1127">
        <v>14</v>
      </c>
    </row>
    <row r="1128" spans="1:9" ht="21.75" customHeight="1">
      <c r="A1128" t="s">
        <v>1278</v>
      </c>
      <c r="B1128" s="3">
        <v>45575</v>
      </c>
      <c r="C1128" t="s">
        <v>30</v>
      </c>
      <c r="D1128" t="s">
        <v>59</v>
      </c>
      <c r="E1128" t="s">
        <v>17</v>
      </c>
      <c r="F1128" t="str">
        <f t="shared" si="17"/>
        <v>South</v>
      </c>
      <c r="G1128" t="s">
        <v>56</v>
      </c>
      <c r="H1128" t="s">
        <v>36</v>
      </c>
      <c r="I1128">
        <v>2</v>
      </c>
    </row>
    <row r="1129" spans="1:9" ht="21.75" customHeight="1">
      <c r="A1129" t="s">
        <v>1279</v>
      </c>
      <c r="B1129" s="3">
        <v>45484</v>
      </c>
      <c r="C1129" t="s">
        <v>420</v>
      </c>
      <c r="D1129" t="s">
        <v>35</v>
      </c>
      <c r="E1129" t="s">
        <v>11</v>
      </c>
      <c r="F1129" t="str">
        <f t="shared" si="17"/>
        <v>North</v>
      </c>
      <c r="G1129" t="s">
        <v>12</v>
      </c>
      <c r="H1129" t="s">
        <v>28</v>
      </c>
      <c r="I1129">
        <v>3</v>
      </c>
    </row>
    <row r="1130" spans="1:9" ht="21.75" customHeight="1">
      <c r="A1130" t="s">
        <v>1280</v>
      </c>
      <c r="B1130" s="3">
        <v>45337</v>
      </c>
      <c r="C1130" t="s">
        <v>369</v>
      </c>
      <c r="D1130" t="s">
        <v>74</v>
      </c>
      <c r="E1130" t="s">
        <v>22</v>
      </c>
      <c r="F1130" t="str">
        <f t="shared" si="17"/>
        <v>Central</v>
      </c>
      <c r="G1130" t="s">
        <v>306</v>
      </c>
      <c r="H1130" t="s">
        <v>23</v>
      </c>
      <c r="I1130">
        <v>14</v>
      </c>
    </row>
    <row r="1131" spans="1:9" ht="21.75" customHeight="1">
      <c r="A1131" t="s">
        <v>1281</v>
      </c>
      <c r="B1131" s="3">
        <v>45646</v>
      </c>
      <c r="C1131" t="s">
        <v>34</v>
      </c>
      <c r="D1131" t="s">
        <v>21</v>
      </c>
      <c r="E1131" t="s">
        <v>11</v>
      </c>
      <c r="F1131" t="str">
        <f t="shared" si="17"/>
        <v>South</v>
      </c>
      <c r="G1131" t="s">
        <v>56</v>
      </c>
      <c r="H1131" t="s">
        <v>23</v>
      </c>
      <c r="I1131">
        <v>9</v>
      </c>
    </row>
    <row r="1132" spans="1:9" ht="21.75" customHeight="1">
      <c r="A1132" t="s">
        <v>1282</v>
      </c>
      <c r="B1132" s="3">
        <v>45414</v>
      </c>
      <c r="C1132" t="s">
        <v>235</v>
      </c>
      <c r="D1132" t="s">
        <v>109</v>
      </c>
      <c r="E1132" t="s">
        <v>22</v>
      </c>
      <c r="F1132" t="str">
        <f t="shared" si="17"/>
        <v>North</v>
      </c>
      <c r="G1132" t="s">
        <v>12</v>
      </c>
      <c r="H1132" t="s">
        <v>36</v>
      </c>
      <c r="I1132">
        <v>6</v>
      </c>
    </row>
    <row r="1133" spans="1:9" ht="21.75" customHeight="1">
      <c r="A1133" t="s">
        <v>1283</v>
      </c>
      <c r="B1133" s="3">
        <v>45337</v>
      </c>
      <c r="C1133" t="s">
        <v>451</v>
      </c>
      <c r="D1133" t="s">
        <v>87</v>
      </c>
      <c r="E1133" t="s">
        <v>17</v>
      </c>
      <c r="F1133" t="str">
        <f t="shared" si="17"/>
        <v>East</v>
      </c>
      <c r="G1133" t="s">
        <v>42</v>
      </c>
      <c r="H1133" t="s">
        <v>28</v>
      </c>
      <c r="I1133">
        <v>1</v>
      </c>
    </row>
    <row r="1134" spans="1:9" ht="21.75" customHeight="1">
      <c r="A1134" t="s">
        <v>1284</v>
      </c>
      <c r="B1134" s="3">
        <v>45352</v>
      </c>
      <c r="C1134" t="s">
        <v>339</v>
      </c>
      <c r="D1134" t="s">
        <v>48</v>
      </c>
      <c r="E1134" t="s">
        <v>11</v>
      </c>
      <c r="F1134" t="str">
        <f t="shared" si="17"/>
        <v>Central</v>
      </c>
      <c r="G1134" t="s">
        <v>306</v>
      </c>
      <c r="H1134" t="s">
        <v>23</v>
      </c>
      <c r="I1134">
        <v>18</v>
      </c>
    </row>
    <row r="1135" spans="1:9" ht="21.75" customHeight="1">
      <c r="A1135" t="s">
        <v>1285</v>
      </c>
      <c r="B1135" s="3">
        <v>45612</v>
      </c>
      <c r="C1135" t="s">
        <v>371</v>
      </c>
      <c r="D1135" t="s">
        <v>79</v>
      </c>
      <c r="E1135" t="s">
        <v>11</v>
      </c>
      <c r="F1135" t="str">
        <f t="shared" si="17"/>
        <v>East</v>
      </c>
      <c r="G1135" t="s">
        <v>42</v>
      </c>
      <c r="H1135" t="s">
        <v>28</v>
      </c>
      <c r="I1135">
        <v>7</v>
      </c>
    </row>
    <row r="1136" spans="1:9" ht="21.75" customHeight="1">
      <c r="A1136" t="s">
        <v>1286</v>
      </c>
      <c r="B1136" s="3">
        <v>45642</v>
      </c>
      <c r="C1136" t="s">
        <v>553</v>
      </c>
      <c r="D1136" t="s">
        <v>45</v>
      </c>
      <c r="E1136" t="s">
        <v>17</v>
      </c>
      <c r="F1136" t="str">
        <f t="shared" si="17"/>
        <v>South</v>
      </c>
      <c r="G1136" t="s">
        <v>56</v>
      </c>
      <c r="H1136" t="s">
        <v>32</v>
      </c>
      <c r="I1136">
        <v>2</v>
      </c>
    </row>
    <row r="1137" spans="1:9" ht="21.75" customHeight="1">
      <c r="A1137" t="s">
        <v>1287</v>
      </c>
      <c r="B1137" s="3">
        <v>45437</v>
      </c>
      <c r="C1137" t="s">
        <v>95</v>
      </c>
      <c r="D1137" t="s">
        <v>72</v>
      </c>
      <c r="E1137" t="s">
        <v>17</v>
      </c>
      <c r="F1137" t="str">
        <f t="shared" si="17"/>
        <v>East</v>
      </c>
      <c r="G1137" t="s">
        <v>42</v>
      </c>
      <c r="H1137" t="s">
        <v>23</v>
      </c>
      <c r="I1137">
        <v>20</v>
      </c>
    </row>
    <row r="1138" spans="1:9" ht="21.75" customHeight="1">
      <c r="A1138" t="s">
        <v>1288</v>
      </c>
      <c r="B1138" s="3">
        <v>45314</v>
      </c>
      <c r="C1138" t="s">
        <v>15</v>
      </c>
      <c r="D1138" t="s">
        <v>174</v>
      </c>
      <c r="E1138" t="s">
        <v>22</v>
      </c>
      <c r="F1138" t="str">
        <f t="shared" si="17"/>
        <v>North</v>
      </c>
      <c r="G1138" t="s">
        <v>12</v>
      </c>
      <c r="H1138" t="s">
        <v>13</v>
      </c>
      <c r="I1138">
        <v>6</v>
      </c>
    </row>
    <row r="1139" spans="1:9" ht="21.75" customHeight="1">
      <c r="A1139" t="s">
        <v>1289</v>
      </c>
      <c r="B1139" s="3">
        <v>45540</v>
      </c>
      <c r="C1139" t="s">
        <v>345</v>
      </c>
      <c r="D1139" t="s">
        <v>197</v>
      </c>
      <c r="E1139" t="s">
        <v>11</v>
      </c>
      <c r="F1139" t="str">
        <f t="shared" si="17"/>
        <v>North</v>
      </c>
      <c r="G1139" t="s">
        <v>12</v>
      </c>
      <c r="H1139" t="s">
        <v>32</v>
      </c>
      <c r="I1139">
        <v>15</v>
      </c>
    </row>
    <row r="1140" spans="1:9" ht="21.75" customHeight="1">
      <c r="A1140" t="s">
        <v>1290</v>
      </c>
      <c r="B1140" s="3">
        <v>45506</v>
      </c>
      <c r="C1140" t="s">
        <v>104</v>
      </c>
      <c r="D1140" t="s">
        <v>197</v>
      </c>
      <c r="E1140" t="s">
        <v>22</v>
      </c>
      <c r="F1140" t="str">
        <f t="shared" si="17"/>
        <v>East</v>
      </c>
      <c r="G1140" t="s">
        <v>42</v>
      </c>
      <c r="H1140" t="s">
        <v>13</v>
      </c>
      <c r="I1140">
        <v>4</v>
      </c>
    </row>
    <row r="1141" spans="1:9" ht="21.75" customHeight="1">
      <c r="A1141" t="s">
        <v>1291</v>
      </c>
      <c r="B1141" s="3">
        <v>45413</v>
      </c>
      <c r="C1141" t="s">
        <v>304</v>
      </c>
      <c r="D1141" t="s">
        <v>31</v>
      </c>
      <c r="E1141" t="s">
        <v>17</v>
      </c>
      <c r="F1141" t="str">
        <f t="shared" si="17"/>
        <v>South</v>
      </c>
      <c r="G1141" t="s">
        <v>56</v>
      </c>
      <c r="H1141" t="s">
        <v>36</v>
      </c>
      <c r="I1141">
        <v>8</v>
      </c>
    </row>
    <row r="1142" spans="1:9" ht="21.75" customHeight="1">
      <c r="A1142" t="s">
        <v>1292</v>
      </c>
      <c r="B1142" s="3">
        <v>45540</v>
      </c>
      <c r="C1142" t="s">
        <v>9</v>
      </c>
      <c r="D1142" t="s">
        <v>65</v>
      </c>
      <c r="E1142" t="s">
        <v>17</v>
      </c>
      <c r="F1142" t="str">
        <f t="shared" si="17"/>
        <v>South</v>
      </c>
      <c r="G1142" t="s">
        <v>56</v>
      </c>
      <c r="H1142" t="s">
        <v>23</v>
      </c>
      <c r="I1142">
        <v>20</v>
      </c>
    </row>
    <row r="1143" spans="1:9" ht="21.75" customHeight="1">
      <c r="A1143" t="s">
        <v>1293</v>
      </c>
      <c r="B1143" s="3">
        <v>45483</v>
      </c>
      <c r="C1143" t="s">
        <v>99</v>
      </c>
      <c r="D1143" t="s">
        <v>21</v>
      </c>
      <c r="E1143" t="s">
        <v>17</v>
      </c>
      <c r="F1143" t="str">
        <f t="shared" si="17"/>
        <v>South</v>
      </c>
      <c r="G1143" t="s">
        <v>56</v>
      </c>
      <c r="H1143" t="s">
        <v>28</v>
      </c>
      <c r="I1143">
        <v>12</v>
      </c>
    </row>
    <row r="1144" spans="1:9" ht="21.75" customHeight="1">
      <c r="A1144" t="s">
        <v>1294</v>
      </c>
      <c r="B1144" s="3">
        <v>45463</v>
      </c>
      <c r="C1144" t="s">
        <v>34</v>
      </c>
      <c r="D1144" t="s">
        <v>79</v>
      </c>
      <c r="E1144" t="s">
        <v>11</v>
      </c>
      <c r="F1144" t="str">
        <f t="shared" si="17"/>
        <v>Central</v>
      </c>
      <c r="G1144" t="s">
        <v>306</v>
      </c>
      <c r="H1144" t="s">
        <v>23</v>
      </c>
      <c r="I1144">
        <v>9</v>
      </c>
    </row>
    <row r="1145" spans="1:9" ht="21.75" customHeight="1">
      <c r="A1145" t="s">
        <v>1295</v>
      </c>
      <c r="B1145" s="3">
        <v>45526</v>
      </c>
      <c r="C1145" t="s">
        <v>572</v>
      </c>
      <c r="D1145" t="s">
        <v>197</v>
      </c>
      <c r="E1145" t="s">
        <v>11</v>
      </c>
      <c r="F1145" t="str">
        <f t="shared" si="17"/>
        <v>East</v>
      </c>
      <c r="G1145" t="s">
        <v>42</v>
      </c>
      <c r="H1145" t="s">
        <v>36</v>
      </c>
      <c r="I1145">
        <v>10</v>
      </c>
    </row>
    <row r="1146" spans="1:9" ht="21.75" customHeight="1">
      <c r="A1146" t="s">
        <v>1296</v>
      </c>
      <c r="B1146" s="3">
        <v>45379</v>
      </c>
      <c r="C1146" t="s">
        <v>314</v>
      </c>
      <c r="D1146" t="s">
        <v>10</v>
      </c>
      <c r="E1146" t="s">
        <v>22</v>
      </c>
      <c r="F1146" t="str">
        <f t="shared" si="17"/>
        <v>South</v>
      </c>
      <c r="G1146" t="s">
        <v>56</v>
      </c>
      <c r="H1146" t="s">
        <v>23</v>
      </c>
      <c r="I1146">
        <v>14</v>
      </c>
    </row>
    <row r="1147" spans="1:9" ht="21.75" customHeight="1">
      <c r="A1147" t="s">
        <v>1297</v>
      </c>
      <c r="B1147" s="3">
        <v>45402</v>
      </c>
      <c r="C1147" t="s">
        <v>449</v>
      </c>
      <c r="D1147" t="s">
        <v>26</v>
      </c>
      <c r="E1147" t="s">
        <v>17</v>
      </c>
      <c r="F1147" t="str">
        <f t="shared" si="17"/>
        <v>West</v>
      </c>
      <c r="G1147" t="s">
        <v>27</v>
      </c>
      <c r="H1147" t="s">
        <v>28</v>
      </c>
      <c r="I1147">
        <v>1</v>
      </c>
    </row>
    <row r="1148" spans="1:9" ht="21.75" customHeight="1">
      <c r="A1148" t="s">
        <v>1298</v>
      </c>
      <c r="B1148" s="3">
        <v>45418</v>
      </c>
      <c r="C1148" t="s">
        <v>187</v>
      </c>
      <c r="D1148" t="s">
        <v>197</v>
      </c>
      <c r="E1148" t="s">
        <v>17</v>
      </c>
      <c r="F1148" t="str">
        <f t="shared" si="17"/>
        <v>Central</v>
      </c>
      <c r="G1148" t="s">
        <v>306</v>
      </c>
      <c r="H1148" t="s">
        <v>36</v>
      </c>
      <c r="I1148">
        <v>19</v>
      </c>
    </row>
    <row r="1149" spans="1:9" ht="21.75" customHeight="1">
      <c r="A1149" t="s">
        <v>1299</v>
      </c>
      <c r="B1149" s="3">
        <v>45294</v>
      </c>
      <c r="C1149" t="s">
        <v>572</v>
      </c>
      <c r="D1149" t="s">
        <v>35</v>
      </c>
      <c r="E1149" t="s">
        <v>11</v>
      </c>
      <c r="F1149" t="str">
        <f t="shared" si="17"/>
        <v>North</v>
      </c>
      <c r="G1149" t="s">
        <v>12</v>
      </c>
      <c r="H1149" t="s">
        <v>36</v>
      </c>
      <c r="I1149">
        <v>17</v>
      </c>
    </row>
    <row r="1150" spans="1:9" ht="21.75" customHeight="1">
      <c r="A1150" t="s">
        <v>1300</v>
      </c>
      <c r="B1150" s="3">
        <v>45493</v>
      </c>
      <c r="C1150" t="s">
        <v>517</v>
      </c>
      <c r="D1150" t="s">
        <v>70</v>
      </c>
      <c r="E1150" t="s">
        <v>22</v>
      </c>
      <c r="F1150" t="str">
        <f t="shared" si="17"/>
        <v>North</v>
      </c>
      <c r="G1150" t="s">
        <v>12</v>
      </c>
      <c r="H1150" t="s">
        <v>36</v>
      </c>
      <c r="I1150">
        <v>16</v>
      </c>
    </row>
    <row r="1151" spans="1:9" ht="21.75" customHeight="1">
      <c r="A1151" t="s">
        <v>1301</v>
      </c>
      <c r="B1151" s="3">
        <v>45298</v>
      </c>
      <c r="C1151" t="s">
        <v>465</v>
      </c>
      <c r="D1151" t="s">
        <v>65</v>
      </c>
      <c r="E1151" t="s">
        <v>22</v>
      </c>
      <c r="F1151" t="str">
        <f t="shared" si="17"/>
        <v>West</v>
      </c>
      <c r="G1151" t="s">
        <v>27</v>
      </c>
      <c r="H1151" t="s">
        <v>28</v>
      </c>
      <c r="I1151">
        <v>5</v>
      </c>
    </row>
    <row r="1152" spans="1:9" ht="21.75" customHeight="1">
      <c r="A1152" t="s">
        <v>1302</v>
      </c>
      <c r="B1152" s="3">
        <v>45623</v>
      </c>
      <c r="C1152" t="s">
        <v>203</v>
      </c>
      <c r="D1152" t="s">
        <v>41</v>
      </c>
      <c r="E1152" t="s">
        <v>11</v>
      </c>
      <c r="F1152" t="str">
        <f t="shared" si="17"/>
        <v>West</v>
      </c>
      <c r="G1152" t="s">
        <v>27</v>
      </c>
      <c r="H1152" t="s">
        <v>23</v>
      </c>
      <c r="I1152">
        <v>10</v>
      </c>
    </row>
    <row r="1153" spans="1:9" ht="21.75" customHeight="1">
      <c r="A1153" t="s">
        <v>1303</v>
      </c>
      <c r="B1153" s="3">
        <v>45584</v>
      </c>
      <c r="C1153" t="s">
        <v>323</v>
      </c>
      <c r="D1153" t="s">
        <v>70</v>
      </c>
      <c r="E1153" t="s">
        <v>22</v>
      </c>
      <c r="F1153" t="str">
        <f t="shared" si="17"/>
        <v>North</v>
      </c>
      <c r="G1153" t="s">
        <v>12</v>
      </c>
      <c r="H1153" t="s">
        <v>23</v>
      </c>
      <c r="I1153">
        <v>15</v>
      </c>
    </row>
    <row r="1154" spans="1:9" ht="21.75" customHeight="1">
      <c r="A1154" t="s">
        <v>1304</v>
      </c>
      <c r="B1154" s="3">
        <v>45386</v>
      </c>
      <c r="C1154" t="s">
        <v>200</v>
      </c>
      <c r="D1154" t="s">
        <v>62</v>
      </c>
      <c r="E1154" t="s">
        <v>22</v>
      </c>
      <c r="F1154" t="str">
        <f t="shared" si="17"/>
        <v>West</v>
      </c>
      <c r="G1154" t="s">
        <v>27</v>
      </c>
      <c r="H1154" t="s">
        <v>13</v>
      </c>
      <c r="I1154">
        <v>1</v>
      </c>
    </row>
    <row r="1155" spans="1:9" ht="21.75" customHeight="1">
      <c r="A1155" t="s">
        <v>1305</v>
      </c>
      <c r="B1155" s="3">
        <v>45489</v>
      </c>
      <c r="C1155" t="s">
        <v>465</v>
      </c>
      <c r="D1155" t="s">
        <v>79</v>
      </c>
      <c r="E1155" t="s">
        <v>17</v>
      </c>
      <c r="F1155" t="str">
        <f t="shared" ref="F1155:F1218" si="18">TRIM(PROPER(G1155))</f>
        <v>Central</v>
      </c>
      <c r="G1155" t="s">
        <v>306</v>
      </c>
      <c r="H1155" t="s">
        <v>32</v>
      </c>
      <c r="I1155">
        <v>10</v>
      </c>
    </row>
    <row r="1156" spans="1:9" ht="21.75" customHeight="1">
      <c r="A1156" t="s">
        <v>1306</v>
      </c>
      <c r="B1156" s="3">
        <v>45649</v>
      </c>
      <c r="C1156" t="s">
        <v>594</v>
      </c>
      <c r="D1156" t="s">
        <v>65</v>
      </c>
      <c r="E1156" t="s">
        <v>22</v>
      </c>
      <c r="F1156" t="str">
        <f t="shared" si="18"/>
        <v>Central</v>
      </c>
      <c r="G1156" t="s">
        <v>306</v>
      </c>
      <c r="H1156" t="s">
        <v>32</v>
      </c>
      <c r="I1156">
        <v>3</v>
      </c>
    </row>
    <row r="1157" spans="1:9" ht="21.75" customHeight="1">
      <c r="A1157" t="s">
        <v>1307</v>
      </c>
      <c r="B1157" s="3">
        <v>45320</v>
      </c>
      <c r="C1157" t="s">
        <v>345</v>
      </c>
      <c r="D1157" t="s">
        <v>79</v>
      </c>
      <c r="E1157" t="s">
        <v>22</v>
      </c>
      <c r="F1157" t="str">
        <f t="shared" si="18"/>
        <v>East</v>
      </c>
      <c r="G1157" t="s">
        <v>42</v>
      </c>
      <c r="H1157" t="s">
        <v>23</v>
      </c>
      <c r="I1157">
        <v>4</v>
      </c>
    </row>
    <row r="1158" spans="1:9" ht="21.75" customHeight="1">
      <c r="A1158" t="s">
        <v>1308</v>
      </c>
      <c r="B1158" s="3">
        <v>45608</v>
      </c>
      <c r="C1158" t="s">
        <v>116</v>
      </c>
      <c r="D1158" t="s">
        <v>45</v>
      </c>
      <c r="E1158" t="s">
        <v>17</v>
      </c>
      <c r="F1158" t="str">
        <f t="shared" si="18"/>
        <v>East</v>
      </c>
      <c r="G1158" t="s">
        <v>42</v>
      </c>
      <c r="H1158" t="s">
        <v>36</v>
      </c>
      <c r="I1158">
        <v>18</v>
      </c>
    </row>
    <row r="1159" spans="1:9" ht="21.75" customHeight="1">
      <c r="A1159" t="s">
        <v>1309</v>
      </c>
      <c r="B1159" s="3">
        <v>45655</v>
      </c>
      <c r="C1159" t="s">
        <v>420</v>
      </c>
      <c r="D1159" t="s">
        <v>72</v>
      </c>
      <c r="E1159" t="s">
        <v>11</v>
      </c>
      <c r="F1159" t="str">
        <f t="shared" si="18"/>
        <v>South</v>
      </c>
      <c r="G1159" t="s">
        <v>56</v>
      </c>
      <c r="H1159" t="s">
        <v>23</v>
      </c>
      <c r="I1159">
        <v>8</v>
      </c>
    </row>
    <row r="1160" spans="1:9" ht="21.75" customHeight="1">
      <c r="A1160" t="s">
        <v>1310</v>
      </c>
      <c r="B1160" s="3">
        <v>45589</v>
      </c>
      <c r="C1160" t="s">
        <v>424</v>
      </c>
      <c r="D1160" t="s">
        <v>72</v>
      </c>
      <c r="E1160" t="s">
        <v>11</v>
      </c>
      <c r="F1160" t="str">
        <f t="shared" si="18"/>
        <v>South</v>
      </c>
      <c r="G1160" t="s">
        <v>56</v>
      </c>
      <c r="H1160" t="s">
        <v>36</v>
      </c>
      <c r="I1160">
        <v>12</v>
      </c>
    </row>
    <row r="1161" spans="1:9" ht="21.75" customHeight="1">
      <c r="A1161" t="s">
        <v>1311</v>
      </c>
      <c r="B1161" s="3">
        <v>45640</v>
      </c>
      <c r="C1161" t="s">
        <v>309</v>
      </c>
      <c r="D1161" t="s">
        <v>10</v>
      </c>
      <c r="E1161" t="s">
        <v>17</v>
      </c>
      <c r="F1161" t="str">
        <f t="shared" si="18"/>
        <v>North</v>
      </c>
      <c r="G1161" t="s">
        <v>12</v>
      </c>
      <c r="H1161" t="s">
        <v>23</v>
      </c>
      <c r="I1161">
        <v>12</v>
      </c>
    </row>
    <row r="1162" spans="1:9" ht="21.75" customHeight="1">
      <c r="A1162" t="s">
        <v>1312</v>
      </c>
      <c r="B1162" s="3">
        <v>45548</v>
      </c>
      <c r="C1162" t="s">
        <v>339</v>
      </c>
      <c r="D1162" t="s">
        <v>62</v>
      </c>
      <c r="E1162" t="s">
        <v>11</v>
      </c>
      <c r="F1162" t="str">
        <f t="shared" si="18"/>
        <v>West</v>
      </c>
      <c r="G1162" t="s">
        <v>27</v>
      </c>
      <c r="H1162" t="s">
        <v>36</v>
      </c>
      <c r="I1162">
        <v>18</v>
      </c>
    </row>
    <row r="1163" spans="1:9" ht="21.75" customHeight="1">
      <c r="A1163" t="s">
        <v>1313</v>
      </c>
      <c r="B1163" s="3">
        <v>45441</v>
      </c>
      <c r="C1163" t="s">
        <v>430</v>
      </c>
      <c r="D1163" t="s">
        <v>41</v>
      </c>
      <c r="E1163" t="s">
        <v>22</v>
      </c>
      <c r="F1163" t="str">
        <f t="shared" si="18"/>
        <v>East</v>
      </c>
      <c r="G1163" t="s">
        <v>42</v>
      </c>
      <c r="H1163" t="s">
        <v>23</v>
      </c>
      <c r="I1163">
        <v>3</v>
      </c>
    </row>
    <row r="1164" spans="1:9" ht="21.75" customHeight="1">
      <c r="A1164" t="s">
        <v>1314</v>
      </c>
      <c r="B1164" s="3">
        <v>45336</v>
      </c>
      <c r="C1164" t="s">
        <v>81</v>
      </c>
      <c r="D1164" t="s">
        <v>74</v>
      </c>
      <c r="E1164" t="s">
        <v>17</v>
      </c>
      <c r="F1164" t="str">
        <f t="shared" si="18"/>
        <v>South</v>
      </c>
      <c r="G1164" t="s">
        <v>56</v>
      </c>
      <c r="H1164" t="s">
        <v>32</v>
      </c>
      <c r="I1164">
        <v>3</v>
      </c>
    </row>
    <row r="1165" spans="1:9" ht="21.75" customHeight="1">
      <c r="A1165" t="s">
        <v>1315</v>
      </c>
      <c r="B1165" s="3">
        <v>45349</v>
      </c>
      <c r="C1165" t="s">
        <v>424</v>
      </c>
      <c r="D1165" t="s">
        <v>16</v>
      </c>
      <c r="E1165" t="s">
        <v>11</v>
      </c>
      <c r="F1165" t="str">
        <f t="shared" si="18"/>
        <v>West</v>
      </c>
      <c r="G1165" t="s">
        <v>27</v>
      </c>
      <c r="H1165" t="s">
        <v>13</v>
      </c>
      <c r="I1165">
        <v>7</v>
      </c>
    </row>
    <row r="1166" spans="1:9" ht="21.75" customHeight="1">
      <c r="A1166" t="s">
        <v>1316</v>
      </c>
      <c r="B1166" s="3">
        <v>45442</v>
      </c>
      <c r="C1166" t="s">
        <v>572</v>
      </c>
      <c r="D1166" t="s">
        <v>16</v>
      </c>
      <c r="E1166" t="s">
        <v>22</v>
      </c>
      <c r="F1166" t="str">
        <f t="shared" si="18"/>
        <v>Central</v>
      </c>
      <c r="G1166" t="s">
        <v>306</v>
      </c>
      <c r="H1166" t="s">
        <v>23</v>
      </c>
      <c r="I1166">
        <v>16</v>
      </c>
    </row>
    <row r="1167" spans="1:9" ht="21.75" customHeight="1">
      <c r="A1167" t="s">
        <v>1317</v>
      </c>
      <c r="B1167" s="3">
        <v>45622</v>
      </c>
      <c r="C1167" t="s">
        <v>138</v>
      </c>
      <c r="D1167" t="s">
        <v>10</v>
      </c>
      <c r="E1167" t="s">
        <v>17</v>
      </c>
      <c r="F1167" t="str">
        <f t="shared" si="18"/>
        <v>South</v>
      </c>
      <c r="G1167" t="s">
        <v>56</v>
      </c>
      <c r="H1167" t="s">
        <v>28</v>
      </c>
      <c r="I1167">
        <v>1</v>
      </c>
    </row>
    <row r="1168" spans="1:9" ht="21.75" customHeight="1">
      <c r="A1168" t="s">
        <v>1318</v>
      </c>
      <c r="B1168" s="3">
        <v>45558</v>
      </c>
      <c r="C1168" t="s">
        <v>736</v>
      </c>
      <c r="D1168" t="s">
        <v>59</v>
      </c>
      <c r="E1168" t="s">
        <v>17</v>
      </c>
      <c r="F1168" t="str">
        <f t="shared" si="18"/>
        <v>West</v>
      </c>
      <c r="G1168" t="s">
        <v>27</v>
      </c>
      <c r="H1168" t="s">
        <v>32</v>
      </c>
      <c r="I1168">
        <v>11</v>
      </c>
    </row>
    <row r="1169" spans="1:9" ht="21.75" customHeight="1">
      <c r="A1169" t="s">
        <v>1319</v>
      </c>
      <c r="B1169" s="3">
        <v>45540</v>
      </c>
      <c r="C1169" t="s">
        <v>449</v>
      </c>
      <c r="D1169" t="s">
        <v>174</v>
      </c>
      <c r="E1169" t="s">
        <v>22</v>
      </c>
      <c r="F1169" t="str">
        <f t="shared" si="18"/>
        <v>Central</v>
      </c>
      <c r="G1169" t="s">
        <v>306</v>
      </c>
      <c r="H1169" t="s">
        <v>36</v>
      </c>
      <c r="I1169">
        <v>15</v>
      </c>
    </row>
    <row r="1170" spans="1:9" ht="21.75" customHeight="1">
      <c r="A1170" t="s">
        <v>1320</v>
      </c>
      <c r="B1170" s="3">
        <v>45359</v>
      </c>
      <c r="C1170" t="s">
        <v>147</v>
      </c>
      <c r="D1170" t="s">
        <v>197</v>
      </c>
      <c r="E1170" t="s">
        <v>11</v>
      </c>
      <c r="F1170" t="str">
        <f t="shared" si="18"/>
        <v>East</v>
      </c>
      <c r="G1170" t="s">
        <v>42</v>
      </c>
      <c r="H1170" t="s">
        <v>32</v>
      </c>
      <c r="I1170">
        <v>16</v>
      </c>
    </row>
    <row r="1171" spans="1:9" ht="21.75" customHeight="1">
      <c r="A1171" t="s">
        <v>1321</v>
      </c>
      <c r="B1171" s="3">
        <v>45316</v>
      </c>
      <c r="C1171" t="s">
        <v>167</v>
      </c>
      <c r="D1171" t="s">
        <v>70</v>
      </c>
      <c r="E1171" t="s">
        <v>17</v>
      </c>
      <c r="F1171" t="str">
        <f t="shared" si="18"/>
        <v>East</v>
      </c>
      <c r="G1171" t="s">
        <v>42</v>
      </c>
      <c r="H1171" t="s">
        <v>28</v>
      </c>
      <c r="I1171">
        <v>6</v>
      </c>
    </row>
    <row r="1172" spans="1:9" ht="21.75" customHeight="1">
      <c r="A1172" t="s">
        <v>1322</v>
      </c>
      <c r="B1172" s="3">
        <v>45656</v>
      </c>
      <c r="C1172" t="s">
        <v>312</v>
      </c>
      <c r="D1172" t="s">
        <v>45</v>
      </c>
      <c r="E1172" t="s">
        <v>17</v>
      </c>
      <c r="F1172" t="str">
        <f t="shared" si="18"/>
        <v>South</v>
      </c>
      <c r="G1172" t="s">
        <v>56</v>
      </c>
      <c r="H1172" t="s">
        <v>13</v>
      </c>
      <c r="I1172">
        <v>5</v>
      </c>
    </row>
    <row r="1173" spans="1:9" ht="21.75" customHeight="1">
      <c r="A1173" t="s">
        <v>1323</v>
      </c>
      <c r="B1173" s="3">
        <v>45313</v>
      </c>
      <c r="C1173" t="s">
        <v>38</v>
      </c>
      <c r="D1173" t="s">
        <v>70</v>
      </c>
      <c r="E1173" t="s">
        <v>22</v>
      </c>
      <c r="F1173" t="str">
        <f t="shared" si="18"/>
        <v>South</v>
      </c>
      <c r="G1173" t="s">
        <v>56</v>
      </c>
      <c r="H1173" t="s">
        <v>28</v>
      </c>
      <c r="I1173">
        <v>9</v>
      </c>
    </row>
    <row r="1174" spans="1:9" ht="21.75" customHeight="1">
      <c r="A1174" t="s">
        <v>1324</v>
      </c>
      <c r="B1174" s="3">
        <v>45579</v>
      </c>
      <c r="C1174" t="s">
        <v>369</v>
      </c>
      <c r="D1174" t="s">
        <v>48</v>
      </c>
      <c r="E1174" t="s">
        <v>11</v>
      </c>
      <c r="F1174" t="str">
        <f t="shared" si="18"/>
        <v>East</v>
      </c>
      <c r="G1174" t="s">
        <v>42</v>
      </c>
      <c r="H1174" t="s">
        <v>36</v>
      </c>
      <c r="I1174">
        <v>5</v>
      </c>
    </row>
    <row r="1175" spans="1:9" ht="21.75" customHeight="1">
      <c r="A1175" t="s">
        <v>1325</v>
      </c>
      <c r="B1175" s="3">
        <v>45375</v>
      </c>
      <c r="C1175" t="s">
        <v>312</v>
      </c>
      <c r="D1175" t="s">
        <v>96</v>
      </c>
      <c r="E1175" t="s">
        <v>17</v>
      </c>
      <c r="F1175" t="str">
        <f t="shared" si="18"/>
        <v>North</v>
      </c>
      <c r="G1175" t="s">
        <v>12</v>
      </c>
      <c r="H1175" t="s">
        <v>28</v>
      </c>
      <c r="I1175">
        <v>13</v>
      </c>
    </row>
    <row r="1176" spans="1:9" ht="21.75" customHeight="1">
      <c r="A1176" t="s">
        <v>1326</v>
      </c>
      <c r="B1176" s="3">
        <v>45526</v>
      </c>
      <c r="C1176" t="s">
        <v>38</v>
      </c>
      <c r="D1176" t="s">
        <v>84</v>
      </c>
      <c r="E1176" t="s">
        <v>11</v>
      </c>
      <c r="F1176" t="str">
        <f t="shared" si="18"/>
        <v>North</v>
      </c>
      <c r="G1176" t="s">
        <v>12</v>
      </c>
      <c r="H1176" t="s">
        <v>32</v>
      </c>
      <c r="I1176">
        <v>18</v>
      </c>
    </row>
    <row r="1177" spans="1:9" ht="21.75" customHeight="1">
      <c r="A1177" t="s">
        <v>1327</v>
      </c>
      <c r="B1177" s="3">
        <v>45623</v>
      </c>
      <c r="C1177" t="s">
        <v>369</v>
      </c>
      <c r="D1177" t="s">
        <v>74</v>
      </c>
      <c r="E1177" t="s">
        <v>17</v>
      </c>
      <c r="F1177" t="str">
        <f t="shared" si="18"/>
        <v>West</v>
      </c>
      <c r="G1177" t="s">
        <v>27</v>
      </c>
      <c r="H1177" t="s">
        <v>36</v>
      </c>
      <c r="I1177">
        <v>19</v>
      </c>
    </row>
    <row r="1178" spans="1:9" ht="21.75" customHeight="1">
      <c r="A1178" t="s">
        <v>1328</v>
      </c>
      <c r="B1178" s="3">
        <v>45518</v>
      </c>
      <c r="C1178" t="s">
        <v>47</v>
      </c>
      <c r="D1178" t="s">
        <v>84</v>
      </c>
      <c r="E1178" t="s">
        <v>22</v>
      </c>
      <c r="F1178" t="str">
        <f t="shared" si="18"/>
        <v>North</v>
      </c>
      <c r="G1178" t="s">
        <v>12</v>
      </c>
      <c r="H1178" t="s">
        <v>28</v>
      </c>
      <c r="I1178">
        <v>16</v>
      </c>
    </row>
    <row r="1179" spans="1:9" ht="21.75" customHeight="1">
      <c r="A1179" t="s">
        <v>1329</v>
      </c>
      <c r="B1179" s="3">
        <v>45639</v>
      </c>
      <c r="C1179" t="s">
        <v>378</v>
      </c>
      <c r="D1179" t="s">
        <v>96</v>
      </c>
      <c r="E1179" t="s">
        <v>11</v>
      </c>
      <c r="F1179" t="str">
        <f t="shared" si="18"/>
        <v>East</v>
      </c>
      <c r="G1179" t="s">
        <v>42</v>
      </c>
      <c r="H1179" t="s">
        <v>28</v>
      </c>
      <c r="I1179">
        <v>13</v>
      </c>
    </row>
    <row r="1180" spans="1:9" ht="21.75" customHeight="1">
      <c r="A1180" t="s">
        <v>1330</v>
      </c>
      <c r="B1180" s="3">
        <v>45520</v>
      </c>
      <c r="C1180" t="s">
        <v>182</v>
      </c>
      <c r="D1180" t="s">
        <v>79</v>
      </c>
      <c r="E1180" t="s">
        <v>11</v>
      </c>
      <c r="F1180" t="str">
        <f t="shared" si="18"/>
        <v>East</v>
      </c>
      <c r="G1180" t="s">
        <v>42</v>
      </c>
      <c r="H1180" t="s">
        <v>36</v>
      </c>
      <c r="I1180">
        <v>20</v>
      </c>
    </row>
    <row r="1181" spans="1:9" ht="21.75" customHeight="1">
      <c r="A1181" t="s">
        <v>1331</v>
      </c>
      <c r="B1181" s="3">
        <v>45561</v>
      </c>
      <c r="C1181" t="s">
        <v>240</v>
      </c>
      <c r="D1181" t="s">
        <v>96</v>
      </c>
      <c r="E1181" t="s">
        <v>17</v>
      </c>
      <c r="F1181" t="str">
        <f t="shared" si="18"/>
        <v>South</v>
      </c>
      <c r="G1181" t="s">
        <v>56</v>
      </c>
      <c r="H1181" t="s">
        <v>23</v>
      </c>
      <c r="I1181">
        <v>3</v>
      </c>
    </row>
    <row r="1182" spans="1:9" ht="21.75" customHeight="1">
      <c r="A1182" t="s">
        <v>1332</v>
      </c>
      <c r="B1182" s="3">
        <v>45638</v>
      </c>
      <c r="C1182" t="s">
        <v>317</v>
      </c>
      <c r="D1182" t="s">
        <v>31</v>
      </c>
      <c r="E1182" t="s">
        <v>11</v>
      </c>
      <c r="F1182" t="str">
        <f t="shared" si="18"/>
        <v>Central</v>
      </c>
      <c r="G1182" t="s">
        <v>306</v>
      </c>
      <c r="H1182" t="s">
        <v>36</v>
      </c>
      <c r="I1182">
        <v>7</v>
      </c>
    </row>
    <row r="1183" spans="1:9" ht="21.75" customHeight="1">
      <c r="A1183" t="s">
        <v>1333</v>
      </c>
      <c r="B1183" s="3">
        <v>45601</v>
      </c>
      <c r="C1183" t="s">
        <v>345</v>
      </c>
      <c r="D1183" t="s">
        <v>31</v>
      </c>
      <c r="E1183" t="s">
        <v>11</v>
      </c>
      <c r="F1183" t="str">
        <f t="shared" si="18"/>
        <v>East</v>
      </c>
      <c r="G1183" t="s">
        <v>42</v>
      </c>
      <c r="H1183" t="s">
        <v>23</v>
      </c>
      <c r="I1183">
        <v>5</v>
      </c>
    </row>
    <row r="1184" spans="1:9" ht="21.75" customHeight="1">
      <c r="A1184" t="s">
        <v>1334</v>
      </c>
      <c r="B1184" s="3">
        <v>45481</v>
      </c>
      <c r="C1184" t="s">
        <v>53</v>
      </c>
      <c r="D1184" t="s">
        <v>74</v>
      </c>
      <c r="E1184" t="s">
        <v>17</v>
      </c>
      <c r="F1184" t="str">
        <f t="shared" si="18"/>
        <v>North</v>
      </c>
      <c r="G1184" t="s">
        <v>12</v>
      </c>
      <c r="H1184" t="s">
        <v>23</v>
      </c>
      <c r="I1184">
        <v>12</v>
      </c>
    </row>
    <row r="1185" spans="1:9" ht="21.75" customHeight="1">
      <c r="A1185" t="s">
        <v>1335</v>
      </c>
      <c r="B1185" s="3">
        <v>45579</v>
      </c>
      <c r="C1185" t="s">
        <v>203</v>
      </c>
      <c r="D1185" t="s">
        <v>84</v>
      </c>
      <c r="E1185" t="s">
        <v>11</v>
      </c>
      <c r="F1185" t="str">
        <f t="shared" si="18"/>
        <v>West</v>
      </c>
      <c r="G1185" t="s">
        <v>27</v>
      </c>
      <c r="H1185" t="s">
        <v>32</v>
      </c>
      <c r="I1185">
        <v>14</v>
      </c>
    </row>
    <row r="1186" spans="1:9" ht="21.75" customHeight="1">
      <c r="A1186" t="s">
        <v>1336</v>
      </c>
      <c r="B1186" s="3">
        <v>45375</v>
      </c>
      <c r="C1186" t="s">
        <v>388</v>
      </c>
      <c r="D1186" t="s">
        <v>16</v>
      </c>
      <c r="E1186" t="s">
        <v>17</v>
      </c>
      <c r="F1186" t="str">
        <f t="shared" si="18"/>
        <v>West</v>
      </c>
      <c r="G1186" t="s">
        <v>27</v>
      </c>
      <c r="H1186" t="s">
        <v>28</v>
      </c>
      <c r="I1186">
        <v>19</v>
      </c>
    </row>
    <row r="1187" spans="1:9" ht="21.75" customHeight="1">
      <c r="A1187" t="s">
        <v>1337</v>
      </c>
      <c r="B1187" s="3">
        <v>45398</v>
      </c>
      <c r="C1187" t="s">
        <v>68</v>
      </c>
      <c r="D1187" t="s">
        <v>72</v>
      </c>
      <c r="E1187" t="s">
        <v>17</v>
      </c>
      <c r="F1187" t="str">
        <f t="shared" si="18"/>
        <v>Central</v>
      </c>
      <c r="G1187" t="s">
        <v>306</v>
      </c>
      <c r="H1187" t="s">
        <v>36</v>
      </c>
      <c r="I1187">
        <v>3</v>
      </c>
    </row>
    <row r="1188" spans="1:9" ht="21.75" customHeight="1">
      <c r="A1188" t="s">
        <v>1338</v>
      </c>
      <c r="B1188" s="3">
        <v>45484</v>
      </c>
      <c r="C1188" t="s">
        <v>203</v>
      </c>
      <c r="D1188" t="s">
        <v>21</v>
      </c>
      <c r="E1188" t="s">
        <v>11</v>
      </c>
      <c r="F1188" t="str">
        <f t="shared" si="18"/>
        <v>West</v>
      </c>
      <c r="G1188" t="s">
        <v>27</v>
      </c>
      <c r="H1188" t="s">
        <v>36</v>
      </c>
      <c r="I1188">
        <v>9</v>
      </c>
    </row>
    <row r="1189" spans="1:9" ht="21.75" customHeight="1">
      <c r="A1189" t="s">
        <v>1339</v>
      </c>
      <c r="B1189" s="3">
        <v>45528</v>
      </c>
      <c r="C1189" t="s">
        <v>369</v>
      </c>
      <c r="D1189" t="s">
        <v>65</v>
      </c>
      <c r="E1189" t="s">
        <v>22</v>
      </c>
      <c r="F1189" t="str">
        <f t="shared" si="18"/>
        <v>South</v>
      </c>
      <c r="G1189" t="s">
        <v>56</v>
      </c>
      <c r="H1189" t="s">
        <v>32</v>
      </c>
      <c r="I1189">
        <v>6</v>
      </c>
    </row>
    <row r="1190" spans="1:9" ht="21.75" customHeight="1">
      <c r="A1190" t="s">
        <v>1340</v>
      </c>
      <c r="B1190" s="3">
        <v>45575</v>
      </c>
      <c r="C1190" t="s">
        <v>374</v>
      </c>
      <c r="D1190" t="s">
        <v>59</v>
      </c>
      <c r="E1190" t="s">
        <v>11</v>
      </c>
      <c r="F1190" t="str">
        <f t="shared" si="18"/>
        <v>East</v>
      </c>
      <c r="G1190" t="s">
        <v>42</v>
      </c>
      <c r="H1190" t="s">
        <v>23</v>
      </c>
      <c r="I1190">
        <v>10</v>
      </c>
    </row>
    <row r="1191" spans="1:9" ht="21.75" customHeight="1">
      <c r="A1191" t="s">
        <v>1341</v>
      </c>
      <c r="B1191" s="3">
        <v>45406</v>
      </c>
      <c r="C1191" t="s">
        <v>64</v>
      </c>
      <c r="D1191" t="s">
        <v>26</v>
      </c>
      <c r="E1191" t="s">
        <v>11</v>
      </c>
      <c r="F1191" t="str">
        <f t="shared" si="18"/>
        <v>South</v>
      </c>
      <c r="G1191" t="s">
        <v>56</v>
      </c>
      <c r="H1191" t="s">
        <v>23</v>
      </c>
      <c r="I1191">
        <v>10</v>
      </c>
    </row>
    <row r="1192" spans="1:9" ht="21.75" customHeight="1">
      <c r="A1192" t="s">
        <v>1342</v>
      </c>
      <c r="B1192" s="3">
        <v>45355</v>
      </c>
      <c r="C1192" t="s">
        <v>350</v>
      </c>
      <c r="D1192" t="s">
        <v>87</v>
      </c>
      <c r="E1192" t="s">
        <v>22</v>
      </c>
      <c r="F1192" t="str">
        <f t="shared" si="18"/>
        <v>East</v>
      </c>
      <c r="G1192" t="s">
        <v>42</v>
      </c>
      <c r="H1192" t="s">
        <v>28</v>
      </c>
      <c r="I1192">
        <v>6</v>
      </c>
    </row>
    <row r="1193" spans="1:9" ht="21.75" customHeight="1">
      <c r="A1193" t="s">
        <v>1343</v>
      </c>
      <c r="B1193" s="3">
        <v>45306</v>
      </c>
      <c r="C1193" t="s">
        <v>114</v>
      </c>
      <c r="D1193" t="s">
        <v>10</v>
      </c>
      <c r="E1193" t="s">
        <v>17</v>
      </c>
      <c r="F1193" t="str">
        <f t="shared" si="18"/>
        <v>West</v>
      </c>
      <c r="G1193" t="s">
        <v>27</v>
      </c>
      <c r="H1193" t="s">
        <v>36</v>
      </c>
      <c r="I1193">
        <v>20</v>
      </c>
    </row>
    <row r="1194" spans="1:9" ht="21.75" customHeight="1">
      <c r="A1194" t="s">
        <v>1344</v>
      </c>
      <c r="B1194" s="3">
        <v>45538</v>
      </c>
      <c r="C1194" t="s">
        <v>614</v>
      </c>
      <c r="D1194" t="s">
        <v>21</v>
      </c>
      <c r="E1194" t="s">
        <v>17</v>
      </c>
      <c r="F1194" t="str">
        <f t="shared" si="18"/>
        <v>East</v>
      </c>
      <c r="G1194" t="s">
        <v>42</v>
      </c>
      <c r="H1194" t="s">
        <v>13</v>
      </c>
      <c r="I1194">
        <v>16</v>
      </c>
    </row>
    <row r="1195" spans="1:9" ht="21.75" customHeight="1">
      <c r="A1195" t="s">
        <v>1345</v>
      </c>
      <c r="B1195" s="3">
        <v>45483</v>
      </c>
      <c r="C1195" t="s">
        <v>345</v>
      </c>
      <c r="D1195" t="s">
        <v>96</v>
      </c>
      <c r="E1195" t="s">
        <v>22</v>
      </c>
      <c r="F1195" t="str">
        <f t="shared" si="18"/>
        <v>Central</v>
      </c>
      <c r="G1195" t="s">
        <v>306</v>
      </c>
      <c r="H1195" t="s">
        <v>13</v>
      </c>
      <c r="I1195">
        <v>9</v>
      </c>
    </row>
    <row r="1196" spans="1:9" ht="21.75" customHeight="1">
      <c r="A1196" t="s">
        <v>1346</v>
      </c>
      <c r="B1196" s="3">
        <v>45366</v>
      </c>
      <c r="C1196" t="s">
        <v>38</v>
      </c>
      <c r="D1196" t="s">
        <v>48</v>
      </c>
      <c r="E1196" t="s">
        <v>17</v>
      </c>
      <c r="F1196" t="str">
        <f t="shared" si="18"/>
        <v>South</v>
      </c>
      <c r="G1196" t="s">
        <v>56</v>
      </c>
      <c r="H1196" t="s">
        <v>32</v>
      </c>
      <c r="I1196">
        <v>6</v>
      </c>
    </row>
    <row r="1197" spans="1:9" ht="21.75" customHeight="1">
      <c r="A1197" t="s">
        <v>1347</v>
      </c>
      <c r="B1197" s="3">
        <v>45506</v>
      </c>
      <c r="C1197" t="s">
        <v>541</v>
      </c>
      <c r="D1197" t="s">
        <v>74</v>
      </c>
      <c r="E1197" t="s">
        <v>17</v>
      </c>
      <c r="F1197" t="str">
        <f t="shared" si="18"/>
        <v>North</v>
      </c>
      <c r="G1197" t="s">
        <v>12</v>
      </c>
      <c r="H1197" t="s">
        <v>13</v>
      </c>
      <c r="I1197">
        <v>10</v>
      </c>
    </row>
    <row r="1198" spans="1:9" ht="21.75" customHeight="1">
      <c r="A1198" t="s">
        <v>1348</v>
      </c>
      <c r="B1198" s="3">
        <v>45555</v>
      </c>
      <c r="C1198" t="s">
        <v>150</v>
      </c>
      <c r="D1198" t="s">
        <v>119</v>
      </c>
      <c r="E1198" t="s">
        <v>22</v>
      </c>
      <c r="F1198" t="str">
        <f t="shared" si="18"/>
        <v>South</v>
      </c>
      <c r="G1198" t="s">
        <v>56</v>
      </c>
      <c r="H1198" t="s">
        <v>28</v>
      </c>
      <c r="I1198">
        <v>4</v>
      </c>
    </row>
    <row r="1199" spans="1:9" ht="21.75" customHeight="1">
      <c r="A1199" t="s">
        <v>1349</v>
      </c>
      <c r="B1199" s="3">
        <v>45570</v>
      </c>
      <c r="C1199" t="s">
        <v>187</v>
      </c>
      <c r="D1199" t="s">
        <v>26</v>
      </c>
      <c r="E1199" t="s">
        <v>17</v>
      </c>
      <c r="F1199" t="str">
        <f t="shared" si="18"/>
        <v>East</v>
      </c>
      <c r="G1199" t="s">
        <v>42</v>
      </c>
      <c r="H1199" t="s">
        <v>36</v>
      </c>
      <c r="I1199">
        <v>12</v>
      </c>
    </row>
    <row r="1200" spans="1:9" ht="21.75" customHeight="1">
      <c r="A1200" t="s">
        <v>1350</v>
      </c>
      <c r="B1200" s="3">
        <v>45472</v>
      </c>
      <c r="C1200" t="s">
        <v>167</v>
      </c>
      <c r="D1200" t="s">
        <v>160</v>
      </c>
      <c r="E1200" t="s">
        <v>11</v>
      </c>
      <c r="F1200" t="str">
        <f t="shared" si="18"/>
        <v>South</v>
      </c>
      <c r="G1200" t="s">
        <v>56</v>
      </c>
      <c r="H1200" t="s">
        <v>23</v>
      </c>
      <c r="I1200">
        <v>10</v>
      </c>
    </row>
    <row r="1201" spans="1:9" ht="21.75" customHeight="1">
      <c r="A1201" t="s">
        <v>1351</v>
      </c>
      <c r="B1201" s="3">
        <v>45502</v>
      </c>
      <c r="C1201" t="s">
        <v>47</v>
      </c>
      <c r="D1201" t="s">
        <v>65</v>
      </c>
      <c r="E1201" t="s">
        <v>11</v>
      </c>
      <c r="F1201" t="str">
        <f t="shared" si="18"/>
        <v>North</v>
      </c>
      <c r="G1201" t="s">
        <v>12</v>
      </c>
      <c r="H1201" t="s">
        <v>28</v>
      </c>
      <c r="I1201">
        <v>5</v>
      </c>
    </row>
    <row r="1202" spans="1:9" ht="21.75" customHeight="1">
      <c r="A1202" t="s">
        <v>1352</v>
      </c>
      <c r="B1202" s="3">
        <v>45578</v>
      </c>
      <c r="C1202" t="s">
        <v>594</v>
      </c>
      <c r="D1202" t="s">
        <v>174</v>
      </c>
      <c r="E1202" t="s">
        <v>22</v>
      </c>
      <c r="F1202" t="str">
        <f t="shared" si="18"/>
        <v>Central</v>
      </c>
      <c r="G1202" t="s">
        <v>306</v>
      </c>
      <c r="H1202" t="s">
        <v>13</v>
      </c>
      <c r="I1202">
        <v>18</v>
      </c>
    </row>
    <row r="1203" spans="1:9" ht="21.75" customHeight="1">
      <c r="A1203" t="s">
        <v>1353</v>
      </c>
      <c r="B1203" s="3">
        <v>45505</v>
      </c>
      <c r="C1203" t="s">
        <v>366</v>
      </c>
      <c r="D1203" t="s">
        <v>16</v>
      </c>
      <c r="E1203" t="s">
        <v>11</v>
      </c>
      <c r="F1203" t="str">
        <f t="shared" si="18"/>
        <v>North</v>
      </c>
      <c r="G1203" t="s">
        <v>12</v>
      </c>
      <c r="H1203" t="s">
        <v>32</v>
      </c>
      <c r="I1203">
        <v>1</v>
      </c>
    </row>
    <row r="1204" spans="1:9" ht="21.75" customHeight="1">
      <c r="A1204" t="s">
        <v>1354</v>
      </c>
      <c r="B1204" s="3">
        <v>45645</v>
      </c>
      <c r="C1204" t="s">
        <v>83</v>
      </c>
      <c r="D1204" t="s">
        <v>109</v>
      </c>
      <c r="E1204" t="s">
        <v>11</v>
      </c>
      <c r="F1204" t="str">
        <f t="shared" si="18"/>
        <v>West</v>
      </c>
      <c r="G1204" t="s">
        <v>27</v>
      </c>
      <c r="H1204" t="s">
        <v>32</v>
      </c>
      <c r="I1204">
        <v>17</v>
      </c>
    </row>
    <row r="1205" spans="1:9" ht="21.75" customHeight="1">
      <c r="A1205" t="s">
        <v>1355</v>
      </c>
      <c r="B1205" s="3">
        <v>45380</v>
      </c>
      <c r="C1205" t="s">
        <v>369</v>
      </c>
      <c r="D1205" t="s">
        <v>84</v>
      </c>
      <c r="E1205" t="s">
        <v>17</v>
      </c>
      <c r="F1205" t="str">
        <f t="shared" si="18"/>
        <v>North</v>
      </c>
      <c r="G1205" t="s">
        <v>12</v>
      </c>
      <c r="H1205" t="s">
        <v>28</v>
      </c>
      <c r="I1205">
        <v>4</v>
      </c>
    </row>
    <row r="1206" spans="1:9" ht="21.75" customHeight="1">
      <c r="A1206" t="s">
        <v>1356</v>
      </c>
      <c r="B1206" s="3">
        <v>45644</v>
      </c>
      <c r="C1206" t="s">
        <v>51</v>
      </c>
      <c r="D1206" t="s">
        <v>65</v>
      </c>
      <c r="E1206" t="s">
        <v>17</v>
      </c>
      <c r="F1206" t="str">
        <f t="shared" si="18"/>
        <v>South</v>
      </c>
      <c r="G1206" t="s">
        <v>56</v>
      </c>
      <c r="H1206" t="s">
        <v>23</v>
      </c>
      <c r="I1206">
        <v>5</v>
      </c>
    </row>
    <row r="1207" spans="1:9" ht="21.75" customHeight="1">
      <c r="A1207" t="s">
        <v>1357</v>
      </c>
      <c r="B1207" s="3">
        <v>45645</v>
      </c>
      <c r="C1207" t="s">
        <v>332</v>
      </c>
      <c r="D1207" t="s">
        <v>96</v>
      </c>
      <c r="E1207" t="s">
        <v>11</v>
      </c>
      <c r="F1207" t="str">
        <f t="shared" si="18"/>
        <v>North</v>
      </c>
      <c r="G1207" t="s">
        <v>12</v>
      </c>
      <c r="H1207" t="s">
        <v>13</v>
      </c>
      <c r="I1207">
        <v>16</v>
      </c>
    </row>
    <row r="1208" spans="1:9" ht="21.75" customHeight="1">
      <c r="A1208" t="s">
        <v>1358</v>
      </c>
      <c r="B1208" s="3">
        <v>45392</v>
      </c>
      <c r="C1208" t="s">
        <v>15</v>
      </c>
      <c r="D1208" t="s">
        <v>59</v>
      </c>
      <c r="E1208" t="s">
        <v>11</v>
      </c>
      <c r="F1208" t="str">
        <f t="shared" si="18"/>
        <v>Central</v>
      </c>
      <c r="G1208" t="s">
        <v>306</v>
      </c>
      <c r="H1208" t="s">
        <v>32</v>
      </c>
      <c r="I1208">
        <v>2</v>
      </c>
    </row>
    <row r="1209" spans="1:9" ht="21.75" customHeight="1">
      <c r="A1209" t="s">
        <v>1359</v>
      </c>
      <c r="B1209" s="3">
        <v>45314</v>
      </c>
      <c r="C1209" t="s">
        <v>58</v>
      </c>
      <c r="D1209" t="s">
        <v>119</v>
      </c>
      <c r="E1209" t="s">
        <v>17</v>
      </c>
      <c r="F1209" t="str">
        <f t="shared" si="18"/>
        <v>North</v>
      </c>
      <c r="G1209" t="s">
        <v>12</v>
      </c>
      <c r="H1209" t="s">
        <v>36</v>
      </c>
      <c r="I1209">
        <v>4</v>
      </c>
    </row>
    <row r="1210" spans="1:9" ht="21.75" customHeight="1">
      <c r="A1210" t="s">
        <v>1360</v>
      </c>
      <c r="B1210" s="3">
        <v>45397</v>
      </c>
      <c r="C1210" t="s">
        <v>449</v>
      </c>
      <c r="D1210" t="s">
        <v>41</v>
      </c>
      <c r="E1210" t="s">
        <v>11</v>
      </c>
      <c r="F1210" t="str">
        <f t="shared" si="18"/>
        <v>South</v>
      </c>
      <c r="G1210" t="s">
        <v>56</v>
      </c>
      <c r="H1210" t="s">
        <v>28</v>
      </c>
      <c r="I1210">
        <v>12</v>
      </c>
    </row>
    <row r="1211" spans="1:9" ht="21.75" customHeight="1">
      <c r="A1211" t="s">
        <v>1361</v>
      </c>
      <c r="B1211" s="3">
        <v>45434</v>
      </c>
      <c r="C1211" t="s">
        <v>361</v>
      </c>
      <c r="D1211" t="s">
        <v>45</v>
      </c>
      <c r="E1211" t="s">
        <v>17</v>
      </c>
      <c r="F1211" t="str">
        <f t="shared" si="18"/>
        <v>East</v>
      </c>
      <c r="G1211" t="s">
        <v>42</v>
      </c>
      <c r="H1211" t="s">
        <v>36</v>
      </c>
      <c r="I1211">
        <v>17</v>
      </c>
    </row>
    <row r="1212" spans="1:9" ht="21.75" customHeight="1">
      <c r="A1212" t="s">
        <v>1362</v>
      </c>
      <c r="B1212" s="3">
        <v>45415</v>
      </c>
      <c r="C1212" t="s">
        <v>358</v>
      </c>
      <c r="D1212" t="s">
        <v>102</v>
      </c>
      <c r="E1212" t="s">
        <v>22</v>
      </c>
      <c r="F1212" t="str">
        <f t="shared" si="18"/>
        <v>North</v>
      </c>
      <c r="G1212" t="s">
        <v>12</v>
      </c>
      <c r="H1212" t="s">
        <v>36</v>
      </c>
      <c r="I1212">
        <v>19</v>
      </c>
    </row>
    <row r="1213" spans="1:9" ht="21.75" customHeight="1">
      <c r="A1213" t="s">
        <v>1363</v>
      </c>
      <c r="B1213" s="3">
        <v>45403</v>
      </c>
      <c r="C1213" t="s">
        <v>436</v>
      </c>
      <c r="D1213" t="s">
        <v>45</v>
      </c>
      <c r="E1213" t="s">
        <v>11</v>
      </c>
      <c r="F1213" t="str">
        <f t="shared" si="18"/>
        <v>East</v>
      </c>
      <c r="G1213" t="s">
        <v>42</v>
      </c>
      <c r="H1213" t="s">
        <v>13</v>
      </c>
      <c r="I1213">
        <v>18</v>
      </c>
    </row>
    <row r="1214" spans="1:9" ht="21.75" customHeight="1">
      <c r="A1214" t="s">
        <v>1364</v>
      </c>
      <c r="B1214" s="3">
        <v>45401</v>
      </c>
      <c r="C1214" t="s">
        <v>358</v>
      </c>
      <c r="D1214" t="s">
        <v>48</v>
      </c>
      <c r="E1214" t="s">
        <v>22</v>
      </c>
      <c r="F1214" t="str">
        <f t="shared" si="18"/>
        <v>West</v>
      </c>
      <c r="G1214" t="s">
        <v>27</v>
      </c>
      <c r="H1214" t="s">
        <v>13</v>
      </c>
      <c r="I1214">
        <v>19</v>
      </c>
    </row>
    <row r="1215" spans="1:9" ht="21.75" customHeight="1">
      <c r="A1215" t="s">
        <v>1365</v>
      </c>
      <c r="B1215" s="3">
        <v>45384</v>
      </c>
      <c r="C1215" t="s">
        <v>182</v>
      </c>
      <c r="D1215" t="s">
        <v>65</v>
      </c>
      <c r="E1215" t="s">
        <v>17</v>
      </c>
      <c r="F1215" t="str">
        <f t="shared" si="18"/>
        <v>West</v>
      </c>
      <c r="G1215" t="s">
        <v>27</v>
      </c>
      <c r="H1215" t="s">
        <v>13</v>
      </c>
      <c r="I1215">
        <v>17</v>
      </c>
    </row>
    <row r="1216" spans="1:9" ht="21.75" customHeight="1">
      <c r="A1216" t="s">
        <v>1366</v>
      </c>
      <c r="B1216" s="3">
        <v>45452</v>
      </c>
      <c r="C1216" t="s">
        <v>114</v>
      </c>
      <c r="D1216" t="s">
        <v>160</v>
      </c>
      <c r="E1216" t="s">
        <v>17</v>
      </c>
      <c r="F1216" t="str">
        <f t="shared" si="18"/>
        <v>North</v>
      </c>
      <c r="G1216" t="s">
        <v>12</v>
      </c>
      <c r="H1216" t="s">
        <v>32</v>
      </c>
      <c r="I1216">
        <v>5</v>
      </c>
    </row>
    <row r="1217" spans="1:9" ht="21.75" customHeight="1">
      <c r="A1217" t="s">
        <v>1367</v>
      </c>
      <c r="B1217" s="3">
        <v>45652</v>
      </c>
      <c r="C1217" t="s">
        <v>55</v>
      </c>
      <c r="D1217" t="s">
        <v>10</v>
      </c>
      <c r="E1217" t="s">
        <v>22</v>
      </c>
      <c r="F1217" t="str">
        <f t="shared" si="18"/>
        <v>North</v>
      </c>
      <c r="G1217" t="s">
        <v>12</v>
      </c>
      <c r="H1217" t="s">
        <v>23</v>
      </c>
      <c r="I1217">
        <v>11</v>
      </c>
    </row>
    <row r="1218" spans="1:9" ht="21.75" customHeight="1">
      <c r="A1218" t="s">
        <v>1368</v>
      </c>
      <c r="B1218" s="3">
        <v>45437</v>
      </c>
      <c r="C1218" t="s">
        <v>366</v>
      </c>
      <c r="D1218" t="s">
        <v>41</v>
      </c>
      <c r="E1218" t="s">
        <v>22</v>
      </c>
      <c r="F1218" t="str">
        <f t="shared" si="18"/>
        <v>East</v>
      </c>
      <c r="G1218" t="s">
        <v>42</v>
      </c>
      <c r="H1218" t="s">
        <v>23</v>
      </c>
      <c r="I1218">
        <v>15</v>
      </c>
    </row>
    <row r="1219" spans="1:9" ht="21.75" customHeight="1">
      <c r="A1219" t="s">
        <v>1369</v>
      </c>
      <c r="B1219" s="3">
        <v>45440</v>
      </c>
      <c r="C1219" t="s">
        <v>309</v>
      </c>
      <c r="D1219" t="s">
        <v>35</v>
      </c>
      <c r="E1219" t="s">
        <v>11</v>
      </c>
      <c r="F1219" t="str">
        <f t="shared" ref="F1219:F1282" si="19">TRIM(PROPER(G1219))</f>
        <v>North</v>
      </c>
      <c r="G1219" t="s">
        <v>12</v>
      </c>
      <c r="H1219" t="s">
        <v>23</v>
      </c>
      <c r="I1219">
        <v>12</v>
      </c>
    </row>
    <row r="1220" spans="1:9" ht="21.75" customHeight="1">
      <c r="A1220" t="s">
        <v>1370</v>
      </c>
      <c r="B1220" s="3">
        <v>45636</v>
      </c>
      <c r="C1220" t="s">
        <v>15</v>
      </c>
      <c r="D1220" t="s">
        <v>160</v>
      </c>
      <c r="E1220" t="s">
        <v>17</v>
      </c>
      <c r="F1220" t="str">
        <f t="shared" si="19"/>
        <v>West</v>
      </c>
      <c r="G1220" t="s">
        <v>27</v>
      </c>
      <c r="H1220" t="s">
        <v>23</v>
      </c>
      <c r="I1220">
        <v>3</v>
      </c>
    </row>
    <row r="1221" spans="1:9" ht="21.75" customHeight="1">
      <c r="A1221" t="s">
        <v>1371</v>
      </c>
      <c r="B1221" s="3">
        <v>45497</v>
      </c>
      <c r="C1221" t="s">
        <v>465</v>
      </c>
      <c r="D1221" t="s">
        <v>84</v>
      </c>
      <c r="E1221" t="s">
        <v>22</v>
      </c>
      <c r="F1221" t="str">
        <f t="shared" si="19"/>
        <v>North</v>
      </c>
      <c r="G1221" t="s">
        <v>12</v>
      </c>
      <c r="H1221" t="s">
        <v>28</v>
      </c>
      <c r="I1221">
        <v>6</v>
      </c>
    </row>
    <row r="1222" spans="1:9" ht="21.75" customHeight="1">
      <c r="A1222" t="s">
        <v>1372</v>
      </c>
      <c r="B1222" s="3">
        <v>45465</v>
      </c>
      <c r="C1222" t="s">
        <v>104</v>
      </c>
      <c r="D1222" t="s">
        <v>102</v>
      </c>
      <c r="E1222" t="s">
        <v>22</v>
      </c>
      <c r="F1222" t="str">
        <f t="shared" si="19"/>
        <v>West</v>
      </c>
      <c r="G1222" t="s">
        <v>27</v>
      </c>
      <c r="H1222" t="s">
        <v>23</v>
      </c>
      <c r="I1222">
        <v>8</v>
      </c>
    </row>
    <row r="1223" spans="1:9" ht="21.75" customHeight="1">
      <c r="A1223" t="s">
        <v>1373</v>
      </c>
      <c r="B1223" s="3">
        <v>45434</v>
      </c>
      <c r="C1223" t="s">
        <v>332</v>
      </c>
      <c r="D1223" t="s">
        <v>59</v>
      </c>
      <c r="E1223" t="s">
        <v>22</v>
      </c>
      <c r="F1223" t="str">
        <f t="shared" si="19"/>
        <v>Central</v>
      </c>
      <c r="G1223" t="s">
        <v>306</v>
      </c>
      <c r="H1223" t="s">
        <v>23</v>
      </c>
      <c r="I1223">
        <v>9</v>
      </c>
    </row>
    <row r="1224" spans="1:9" ht="21.75" customHeight="1">
      <c r="A1224" t="s">
        <v>1374</v>
      </c>
      <c r="B1224" s="3">
        <v>45474</v>
      </c>
      <c r="C1224" t="s">
        <v>553</v>
      </c>
      <c r="D1224" t="s">
        <v>31</v>
      </c>
      <c r="E1224" t="s">
        <v>22</v>
      </c>
      <c r="F1224" t="str">
        <f t="shared" si="19"/>
        <v>Central</v>
      </c>
      <c r="G1224" t="s">
        <v>306</v>
      </c>
      <c r="H1224" t="s">
        <v>28</v>
      </c>
      <c r="I1224">
        <v>16</v>
      </c>
    </row>
    <row r="1225" spans="1:9" ht="21.75" customHeight="1">
      <c r="A1225" t="s">
        <v>1375</v>
      </c>
      <c r="B1225" s="3">
        <v>45524</v>
      </c>
      <c r="C1225" t="s">
        <v>15</v>
      </c>
      <c r="D1225" t="s">
        <v>35</v>
      </c>
      <c r="E1225" t="s">
        <v>11</v>
      </c>
      <c r="F1225" t="str">
        <f t="shared" si="19"/>
        <v>East</v>
      </c>
      <c r="G1225" t="s">
        <v>42</v>
      </c>
      <c r="H1225" t="s">
        <v>28</v>
      </c>
      <c r="I1225">
        <v>16</v>
      </c>
    </row>
    <row r="1226" spans="1:9" ht="21.75" customHeight="1">
      <c r="A1226" t="s">
        <v>1376</v>
      </c>
      <c r="B1226" s="3">
        <v>45307</v>
      </c>
      <c r="C1226" t="s">
        <v>108</v>
      </c>
      <c r="D1226" t="s">
        <v>10</v>
      </c>
      <c r="E1226" t="s">
        <v>22</v>
      </c>
      <c r="F1226" t="str">
        <f t="shared" si="19"/>
        <v>North</v>
      </c>
      <c r="G1226" t="s">
        <v>12</v>
      </c>
      <c r="H1226" t="s">
        <v>28</v>
      </c>
      <c r="I1226">
        <v>16</v>
      </c>
    </row>
    <row r="1227" spans="1:9" ht="21.75" customHeight="1">
      <c r="A1227" t="s">
        <v>1377</v>
      </c>
      <c r="B1227" s="3">
        <v>45487</v>
      </c>
      <c r="C1227" t="s">
        <v>493</v>
      </c>
      <c r="D1227" t="s">
        <v>16</v>
      </c>
      <c r="E1227" t="s">
        <v>22</v>
      </c>
      <c r="F1227" t="str">
        <f t="shared" si="19"/>
        <v>East</v>
      </c>
      <c r="G1227" t="s">
        <v>42</v>
      </c>
      <c r="H1227" t="s">
        <v>13</v>
      </c>
      <c r="I1227">
        <v>10</v>
      </c>
    </row>
    <row r="1228" spans="1:9" ht="21.75" customHeight="1">
      <c r="A1228" t="s">
        <v>1378</v>
      </c>
      <c r="B1228" s="3">
        <v>45331</v>
      </c>
      <c r="C1228" t="s">
        <v>371</v>
      </c>
      <c r="D1228" t="s">
        <v>70</v>
      </c>
      <c r="E1228" t="s">
        <v>22</v>
      </c>
      <c r="F1228" t="str">
        <f t="shared" si="19"/>
        <v>West</v>
      </c>
      <c r="G1228" t="s">
        <v>27</v>
      </c>
      <c r="H1228" t="s">
        <v>23</v>
      </c>
      <c r="I1228">
        <v>7</v>
      </c>
    </row>
    <row r="1229" spans="1:9" ht="21.75" customHeight="1">
      <c r="A1229" t="s">
        <v>1379</v>
      </c>
      <c r="B1229" s="3">
        <v>45543</v>
      </c>
      <c r="C1229" t="s">
        <v>358</v>
      </c>
      <c r="D1229" t="s">
        <v>72</v>
      </c>
      <c r="E1229" t="s">
        <v>17</v>
      </c>
      <c r="F1229" t="str">
        <f t="shared" si="19"/>
        <v>Central</v>
      </c>
      <c r="G1229" t="s">
        <v>306</v>
      </c>
      <c r="H1229" t="s">
        <v>13</v>
      </c>
      <c r="I1229">
        <v>18</v>
      </c>
    </row>
    <row r="1230" spans="1:9" ht="21.75" customHeight="1">
      <c r="A1230" t="s">
        <v>1380</v>
      </c>
      <c r="B1230" s="3">
        <v>45512</v>
      </c>
      <c r="C1230" t="s">
        <v>114</v>
      </c>
      <c r="D1230" t="s">
        <v>72</v>
      </c>
      <c r="E1230" t="s">
        <v>17</v>
      </c>
      <c r="F1230" t="str">
        <f t="shared" si="19"/>
        <v>West</v>
      </c>
      <c r="G1230" t="s">
        <v>27</v>
      </c>
      <c r="H1230" t="s">
        <v>13</v>
      </c>
      <c r="I1230">
        <v>13</v>
      </c>
    </row>
    <row r="1231" spans="1:9" ht="21.75" customHeight="1">
      <c r="A1231" t="s">
        <v>1381</v>
      </c>
      <c r="B1231" s="3">
        <v>45308</v>
      </c>
      <c r="C1231" t="s">
        <v>235</v>
      </c>
      <c r="D1231" t="s">
        <v>62</v>
      </c>
      <c r="E1231" t="s">
        <v>22</v>
      </c>
      <c r="F1231" t="str">
        <f t="shared" si="19"/>
        <v>East</v>
      </c>
      <c r="G1231" t="s">
        <v>42</v>
      </c>
      <c r="H1231" t="s">
        <v>28</v>
      </c>
      <c r="I1231">
        <v>6</v>
      </c>
    </row>
    <row r="1232" spans="1:9" ht="21.75" customHeight="1">
      <c r="A1232" t="s">
        <v>1382</v>
      </c>
      <c r="B1232" s="3">
        <v>45451</v>
      </c>
      <c r="C1232" t="s">
        <v>436</v>
      </c>
      <c r="D1232" t="s">
        <v>119</v>
      </c>
      <c r="E1232" t="s">
        <v>17</v>
      </c>
      <c r="F1232" t="str">
        <f t="shared" si="19"/>
        <v>West</v>
      </c>
      <c r="G1232" t="s">
        <v>27</v>
      </c>
      <c r="H1232" t="s">
        <v>23</v>
      </c>
      <c r="I1232">
        <v>4</v>
      </c>
    </row>
    <row r="1233" spans="1:9" ht="21.75" customHeight="1">
      <c r="A1233" t="s">
        <v>1383</v>
      </c>
      <c r="B1233" s="3">
        <v>45629</v>
      </c>
      <c r="C1233" t="s">
        <v>378</v>
      </c>
      <c r="D1233" t="s">
        <v>59</v>
      </c>
      <c r="E1233" t="s">
        <v>22</v>
      </c>
      <c r="F1233" t="str">
        <f t="shared" si="19"/>
        <v>Central</v>
      </c>
      <c r="G1233" t="s">
        <v>306</v>
      </c>
      <c r="H1233" t="s">
        <v>28</v>
      </c>
      <c r="I1233">
        <v>16</v>
      </c>
    </row>
    <row r="1234" spans="1:9" ht="21.75" customHeight="1">
      <c r="A1234" t="s">
        <v>1384</v>
      </c>
      <c r="B1234" s="3">
        <v>45551</v>
      </c>
      <c r="C1234" t="s">
        <v>131</v>
      </c>
      <c r="D1234" t="s">
        <v>35</v>
      </c>
      <c r="E1234" t="s">
        <v>17</v>
      </c>
      <c r="F1234" t="str">
        <f t="shared" si="19"/>
        <v>East</v>
      </c>
      <c r="G1234" t="s">
        <v>42</v>
      </c>
      <c r="H1234" t="s">
        <v>36</v>
      </c>
      <c r="I1234">
        <v>19</v>
      </c>
    </row>
    <row r="1235" spans="1:9" ht="21.75" customHeight="1">
      <c r="A1235" t="s">
        <v>1385</v>
      </c>
      <c r="B1235" s="3">
        <v>45638</v>
      </c>
      <c r="C1235" t="s">
        <v>182</v>
      </c>
      <c r="D1235" t="s">
        <v>79</v>
      </c>
      <c r="E1235" t="s">
        <v>17</v>
      </c>
      <c r="F1235" t="str">
        <f t="shared" si="19"/>
        <v>East</v>
      </c>
      <c r="G1235" t="s">
        <v>42</v>
      </c>
      <c r="H1235" t="s">
        <v>28</v>
      </c>
      <c r="I1235">
        <v>1</v>
      </c>
    </row>
    <row r="1236" spans="1:9" ht="21.75" customHeight="1">
      <c r="A1236" t="s">
        <v>1386</v>
      </c>
      <c r="B1236" s="3">
        <v>45479</v>
      </c>
      <c r="C1236" t="s">
        <v>20</v>
      </c>
      <c r="D1236" t="s">
        <v>96</v>
      </c>
      <c r="E1236" t="s">
        <v>22</v>
      </c>
      <c r="F1236" t="str">
        <f t="shared" si="19"/>
        <v>Central</v>
      </c>
      <c r="G1236" t="s">
        <v>306</v>
      </c>
      <c r="H1236" t="s">
        <v>23</v>
      </c>
      <c r="I1236">
        <v>11</v>
      </c>
    </row>
    <row r="1237" spans="1:9" ht="21.75" customHeight="1">
      <c r="A1237" t="s">
        <v>1387</v>
      </c>
      <c r="B1237" s="3">
        <v>45468</v>
      </c>
      <c r="C1237" t="s">
        <v>182</v>
      </c>
      <c r="D1237" t="s">
        <v>79</v>
      </c>
      <c r="E1237" t="s">
        <v>17</v>
      </c>
      <c r="F1237" t="str">
        <f t="shared" si="19"/>
        <v>East</v>
      </c>
      <c r="G1237" t="s">
        <v>42</v>
      </c>
      <c r="H1237" t="s">
        <v>32</v>
      </c>
      <c r="I1237">
        <v>8</v>
      </c>
    </row>
    <row r="1238" spans="1:9" ht="21.75" customHeight="1">
      <c r="A1238" t="s">
        <v>1388</v>
      </c>
      <c r="B1238" s="3">
        <v>45595</v>
      </c>
      <c r="C1238" t="s">
        <v>81</v>
      </c>
      <c r="D1238" t="s">
        <v>74</v>
      </c>
      <c r="E1238" t="s">
        <v>22</v>
      </c>
      <c r="F1238" t="str">
        <f t="shared" si="19"/>
        <v>North</v>
      </c>
      <c r="G1238" t="s">
        <v>12</v>
      </c>
      <c r="H1238" t="s">
        <v>13</v>
      </c>
      <c r="I1238">
        <v>4</v>
      </c>
    </row>
    <row r="1239" spans="1:9" ht="21.75" customHeight="1">
      <c r="A1239" t="s">
        <v>1389</v>
      </c>
      <c r="B1239" s="3">
        <v>45567</v>
      </c>
      <c r="C1239" t="s">
        <v>187</v>
      </c>
      <c r="D1239" t="s">
        <v>41</v>
      </c>
      <c r="E1239" t="s">
        <v>11</v>
      </c>
      <c r="F1239" t="str">
        <f t="shared" si="19"/>
        <v>West</v>
      </c>
      <c r="G1239" t="s">
        <v>27</v>
      </c>
      <c r="H1239" t="s">
        <v>23</v>
      </c>
      <c r="I1239">
        <v>14</v>
      </c>
    </row>
    <row r="1240" spans="1:9" ht="21.75" customHeight="1">
      <c r="A1240" t="s">
        <v>1390</v>
      </c>
      <c r="B1240" s="3">
        <v>45428</v>
      </c>
      <c r="C1240" t="s">
        <v>138</v>
      </c>
      <c r="D1240" t="s">
        <v>59</v>
      </c>
      <c r="E1240" t="s">
        <v>22</v>
      </c>
      <c r="F1240" t="str">
        <f t="shared" si="19"/>
        <v>West</v>
      </c>
      <c r="G1240" t="s">
        <v>27</v>
      </c>
      <c r="H1240" t="s">
        <v>23</v>
      </c>
      <c r="I1240">
        <v>1</v>
      </c>
    </row>
    <row r="1241" spans="1:9" ht="21.75" customHeight="1">
      <c r="A1241" t="s">
        <v>1391</v>
      </c>
      <c r="B1241" s="3">
        <v>45584</v>
      </c>
      <c r="C1241" t="s">
        <v>53</v>
      </c>
      <c r="D1241" t="s">
        <v>102</v>
      </c>
      <c r="E1241" t="s">
        <v>17</v>
      </c>
      <c r="F1241" t="str">
        <f t="shared" si="19"/>
        <v>Central</v>
      </c>
      <c r="G1241" t="s">
        <v>306</v>
      </c>
      <c r="H1241" t="s">
        <v>28</v>
      </c>
      <c r="I1241">
        <v>16</v>
      </c>
    </row>
    <row r="1242" spans="1:9" ht="21.75" customHeight="1">
      <c r="A1242" t="s">
        <v>1392</v>
      </c>
      <c r="B1242" s="3">
        <v>45464</v>
      </c>
      <c r="C1242" t="s">
        <v>432</v>
      </c>
      <c r="D1242" t="s">
        <v>45</v>
      </c>
      <c r="E1242" t="s">
        <v>22</v>
      </c>
      <c r="F1242" t="str">
        <f t="shared" si="19"/>
        <v>East</v>
      </c>
      <c r="G1242" t="s">
        <v>42</v>
      </c>
      <c r="H1242" t="s">
        <v>23</v>
      </c>
      <c r="I1242">
        <v>20</v>
      </c>
    </row>
    <row r="1243" spans="1:9" ht="21.75" customHeight="1">
      <c r="A1243" t="s">
        <v>1393</v>
      </c>
      <c r="B1243" s="3">
        <v>45395</v>
      </c>
      <c r="C1243" t="s">
        <v>432</v>
      </c>
      <c r="D1243" t="s">
        <v>174</v>
      </c>
      <c r="E1243" t="s">
        <v>22</v>
      </c>
      <c r="F1243" t="str">
        <f t="shared" si="19"/>
        <v>North</v>
      </c>
      <c r="G1243" t="s">
        <v>12</v>
      </c>
      <c r="H1243" t="s">
        <v>13</v>
      </c>
      <c r="I1243">
        <v>7</v>
      </c>
    </row>
    <row r="1244" spans="1:9" ht="21.75" customHeight="1">
      <c r="A1244" t="s">
        <v>1394</v>
      </c>
      <c r="B1244" s="3">
        <v>45444</v>
      </c>
      <c r="C1244" t="s">
        <v>314</v>
      </c>
      <c r="D1244" t="s">
        <v>109</v>
      </c>
      <c r="E1244" t="s">
        <v>17</v>
      </c>
      <c r="F1244" t="str">
        <f t="shared" si="19"/>
        <v>South</v>
      </c>
      <c r="G1244" t="s">
        <v>56</v>
      </c>
      <c r="H1244" t="s">
        <v>36</v>
      </c>
      <c r="I1244">
        <v>3</v>
      </c>
    </row>
    <row r="1245" spans="1:9" ht="21.75" customHeight="1">
      <c r="A1245" t="s">
        <v>1395</v>
      </c>
      <c r="B1245" s="3">
        <v>45340</v>
      </c>
      <c r="C1245" t="s">
        <v>449</v>
      </c>
      <c r="D1245" t="s">
        <v>10</v>
      </c>
      <c r="E1245" t="s">
        <v>17</v>
      </c>
      <c r="F1245" t="str">
        <f t="shared" si="19"/>
        <v>East</v>
      </c>
      <c r="G1245" t="s">
        <v>42</v>
      </c>
      <c r="H1245" t="s">
        <v>23</v>
      </c>
      <c r="I1245">
        <v>19</v>
      </c>
    </row>
    <row r="1246" spans="1:9" ht="21.75" customHeight="1">
      <c r="A1246" t="s">
        <v>1396</v>
      </c>
      <c r="B1246" s="3">
        <v>45510</v>
      </c>
      <c r="C1246" t="s">
        <v>95</v>
      </c>
      <c r="D1246" t="s">
        <v>21</v>
      </c>
      <c r="E1246" t="s">
        <v>17</v>
      </c>
      <c r="F1246" t="str">
        <f t="shared" si="19"/>
        <v>North</v>
      </c>
      <c r="G1246" t="s">
        <v>12</v>
      </c>
      <c r="H1246" t="s">
        <v>32</v>
      </c>
      <c r="I1246">
        <v>10</v>
      </c>
    </row>
    <row r="1247" spans="1:9" ht="21.75" customHeight="1">
      <c r="A1247" t="s">
        <v>1397</v>
      </c>
      <c r="B1247" s="3">
        <v>45513</v>
      </c>
      <c r="C1247" t="s">
        <v>371</v>
      </c>
      <c r="D1247" t="s">
        <v>65</v>
      </c>
      <c r="E1247" t="s">
        <v>22</v>
      </c>
      <c r="F1247" t="str">
        <f t="shared" si="19"/>
        <v>East</v>
      </c>
      <c r="G1247" t="s">
        <v>42</v>
      </c>
      <c r="H1247" t="s">
        <v>36</v>
      </c>
      <c r="I1247">
        <v>14</v>
      </c>
    </row>
    <row r="1248" spans="1:9" ht="21.75" customHeight="1">
      <c r="A1248" t="s">
        <v>1398</v>
      </c>
      <c r="B1248" s="3">
        <v>45555</v>
      </c>
      <c r="C1248" t="s">
        <v>366</v>
      </c>
      <c r="D1248" t="s">
        <v>45</v>
      </c>
      <c r="E1248" t="s">
        <v>22</v>
      </c>
      <c r="F1248" t="str">
        <f t="shared" si="19"/>
        <v>Central</v>
      </c>
      <c r="G1248" t="s">
        <v>306</v>
      </c>
      <c r="H1248" t="s">
        <v>36</v>
      </c>
      <c r="I1248">
        <v>1</v>
      </c>
    </row>
    <row r="1249" spans="1:9" ht="21.75" customHeight="1">
      <c r="A1249" t="s">
        <v>1399</v>
      </c>
      <c r="B1249" s="3">
        <v>45387</v>
      </c>
      <c r="C1249" t="s">
        <v>314</v>
      </c>
      <c r="D1249" t="s">
        <v>41</v>
      </c>
      <c r="E1249" t="s">
        <v>17</v>
      </c>
      <c r="F1249" t="str">
        <f t="shared" si="19"/>
        <v>South</v>
      </c>
      <c r="G1249" t="s">
        <v>56</v>
      </c>
      <c r="H1249" t="s">
        <v>36</v>
      </c>
      <c r="I1249">
        <v>15</v>
      </c>
    </row>
    <row r="1250" spans="1:9" ht="21.75" customHeight="1">
      <c r="A1250" t="s">
        <v>1400</v>
      </c>
      <c r="B1250" s="3">
        <v>45606</v>
      </c>
      <c r="C1250" t="s">
        <v>337</v>
      </c>
      <c r="D1250" t="s">
        <v>84</v>
      </c>
      <c r="E1250" t="s">
        <v>17</v>
      </c>
      <c r="F1250" t="str">
        <f t="shared" si="19"/>
        <v>Central</v>
      </c>
      <c r="G1250" t="s">
        <v>306</v>
      </c>
      <c r="H1250" t="s">
        <v>32</v>
      </c>
      <c r="I1250">
        <v>2</v>
      </c>
    </row>
    <row r="1251" spans="1:9" ht="21.75" customHeight="1">
      <c r="A1251" t="s">
        <v>1401</v>
      </c>
      <c r="B1251" s="3">
        <v>45528</v>
      </c>
      <c r="C1251" t="s">
        <v>167</v>
      </c>
      <c r="D1251" t="s">
        <v>84</v>
      </c>
      <c r="E1251" t="s">
        <v>11</v>
      </c>
      <c r="F1251" t="str">
        <f t="shared" si="19"/>
        <v>South</v>
      </c>
      <c r="G1251" t="s">
        <v>56</v>
      </c>
      <c r="H1251" t="s">
        <v>23</v>
      </c>
      <c r="I1251">
        <v>10</v>
      </c>
    </row>
    <row r="1252" spans="1:9" ht="21.75" customHeight="1">
      <c r="A1252" t="s">
        <v>1402</v>
      </c>
      <c r="B1252" s="3">
        <v>45455</v>
      </c>
      <c r="C1252" t="s">
        <v>58</v>
      </c>
      <c r="D1252" t="s">
        <v>87</v>
      </c>
      <c r="E1252" t="s">
        <v>22</v>
      </c>
      <c r="F1252" t="str">
        <f t="shared" si="19"/>
        <v>South</v>
      </c>
      <c r="G1252" t="s">
        <v>56</v>
      </c>
      <c r="H1252" t="s">
        <v>28</v>
      </c>
      <c r="I1252">
        <v>9</v>
      </c>
    </row>
    <row r="1253" spans="1:9" ht="21.75" customHeight="1">
      <c r="A1253" t="s">
        <v>1403</v>
      </c>
      <c r="B1253" s="3">
        <v>45423</v>
      </c>
      <c r="C1253" t="s">
        <v>455</v>
      </c>
      <c r="D1253" t="s">
        <v>31</v>
      </c>
      <c r="E1253" t="s">
        <v>22</v>
      </c>
      <c r="F1253" t="str">
        <f t="shared" si="19"/>
        <v>South</v>
      </c>
      <c r="G1253" t="s">
        <v>56</v>
      </c>
      <c r="H1253" t="s">
        <v>28</v>
      </c>
      <c r="I1253">
        <v>8</v>
      </c>
    </row>
    <row r="1254" spans="1:9" ht="21.75" customHeight="1">
      <c r="A1254" t="s">
        <v>1404</v>
      </c>
      <c r="B1254" s="3">
        <v>45306</v>
      </c>
      <c r="C1254" t="s">
        <v>78</v>
      </c>
      <c r="D1254" t="s">
        <v>35</v>
      </c>
      <c r="E1254" t="s">
        <v>17</v>
      </c>
      <c r="F1254" t="str">
        <f t="shared" si="19"/>
        <v>West</v>
      </c>
      <c r="G1254" t="s">
        <v>27</v>
      </c>
      <c r="H1254" t="s">
        <v>23</v>
      </c>
      <c r="I1254">
        <v>18</v>
      </c>
    </row>
    <row r="1255" spans="1:9" ht="21.75" customHeight="1">
      <c r="A1255" t="s">
        <v>1405</v>
      </c>
      <c r="B1255" s="3">
        <v>45623</v>
      </c>
      <c r="C1255" t="s">
        <v>122</v>
      </c>
      <c r="D1255" t="s">
        <v>26</v>
      </c>
      <c r="E1255" t="s">
        <v>11</v>
      </c>
      <c r="F1255" t="str">
        <f t="shared" si="19"/>
        <v>South</v>
      </c>
      <c r="G1255" t="s">
        <v>56</v>
      </c>
      <c r="H1255" t="s">
        <v>32</v>
      </c>
      <c r="I1255">
        <v>5</v>
      </c>
    </row>
    <row r="1256" spans="1:9" ht="21.75" customHeight="1">
      <c r="A1256" t="s">
        <v>1406</v>
      </c>
      <c r="B1256" s="3">
        <v>45629</v>
      </c>
      <c r="C1256" t="s">
        <v>378</v>
      </c>
      <c r="D1256" t="s">
        <v>84</v>
      </c>
      <c r="E1256" t="s">
        <v>11</v>
      </c>
      <c r="F1256" t="str">
        <f t="shared" si="19"/>
        <v>North</v>
      </c>
      <c r="G1256" t="s">
        <v>12</v>
      </c>
      <c r="H1256" t="s">
        <v>13</v>
      </c>
      <c r="I1256">
        <v>16</v>
      </c>
    </row>
    <row r="1257" spans="1:9" ht="21.75" customHeight="1">
      <c r="A1257" t="s">
        <v>1407</v>
      </c>
      <c r="B1257" s="3">
        <v>45334</v>
      </c>
      <c r="C1257" t="s">
        <v>38</v>
      </c>
      <c r="D1257" t="s">
        <v>10</v>
      </c>
      <c r="E1257" t="s">
        <v>22</v>
      </c>
      <c r="F1257" t="str">
        <f t="shared" si="19"/>
        <v>East</v>
      </c>
      <c r="G1257" t="s">
        <v>42</v>
      </c>
      <c r="H1257" t="s">
        <v>13</v>
      </c>
      <c r="I1257">
        <v>14</v>
      </c>
    </row>
    <row r="1258" spans="1:9" ht="21.75" customHeight="1">
      <c r="A1258" t="s">
        <v>1408</v>
      </c>
      <c r="B1258" s="3">
        <v>45495</v>
      </c>
      <c r="C1258" t="s">
        <v>329</v>
      </c>
      <c r="D1258" t="s">
        <v>102</v>
      </c>
      <c r="E1258" t="s">
        <v>11</v>
      </c>
      <c r="F1258" t="str">
        <f t="shared" si="19"/>
        <v>South</v>
      </c>
      <c r="G1258" t="s">
        <v>56</v>
      </c>
      <c r="H1258" t="s">
        <v>13</v>
      </c>
      <c r="I1258">
        <v>19</v>
      </c>
    </row>
    <row r="1259" spans="1:9" ht="21.75" customHeight="1">
      <c r="A1259" t="s">
        <v>1409</v>
      </c>
      <c r="B1259" s="3">
        <v>45559</v>
      </c>
      <c r="C1259" t="s">
        <v>317</v>
      </c>
      <c r="D1259" t="s">
        <v>26</v>
      </c>
      <c r="E1259" t="s">
        <v>22</v>
      </c>
      <c r="F1259" t="str">
        <f t="shared" si="19"/>
        <v>Central</v>
      </c>
      <c r="G1259" t="s">
        <v>306</v>
      </c>
      <c r="H1259" t="s">
        <v>28</v>
      </c>
      <c r="I1259">
        <v>16</v>
      </c>
    </row>
    <row r="1260" spans="1:9" ht="21.75" customHeight="1">
      <c r="A1260" t="s">
        <v>1410</v>
      </c>
      <c r="B1260" s="3">
        <v>45599</v>
      </c>
      <c r="C1260" t="s">
        <v>114</v>
      </c>
      <c r="D1260" t="s">
        <v>59</v>
      </c>
      <c r="E1260" t="s">
        <v>17</v>
      </c>
      <c r="F1260" t="str">
        <f t="shared" si="19"/>
        <v>East</v>
      </c>
      <c r="G1260" t="s">
        <v>42</v>
      </c>
      <c r="H1260" t="s">
        <v>28</v>
      </c>
      <c r="I1260">
        <v>13</v>
      </c>
    </row>
    <row r="1261" spans="1:9" ht="21.75" customHeight="1">
      <c r="A1261" t="s">
        <v>1411</v>
      </c>
      <c r="B1261" s="3">
        <v>45508</v>
      </c>
      <c r="C1261" t="s">
        <v>133</v>
      </c>
      <c r="D1261" t="s">
        <v>45</v>
      </c>
      <c r="E1261" t="s">
        <v>11</v>
      </c>
      <c r="F1261" t="str">
        <f t="shared" si="19"/>
        <v>North</v>
      </c>
      <c r="G1261" t="s">
        <v>12</v>
      </c>
      <c r="H1261" t="s">
        <v>23</v>
      </c>
      <c r="I1261">
        <v>7</v>
      </c>
    </row>
    <row r="1262" spans="1:9" ht="21.75" customHeight="1">
      <c r="A1262" t="s">
        <v>1412</v>
      </c>
      <c r="B1262" s="3">
        <v>45501</v>
      </c>
      <c r="C1262" t="s">
        <v>230</v>
      </c>
      <c r="D1262" t="s">
        <v>35</v>
      </c>
      <c r="E1262" t="s">
        <v>22</v>
      </c>
      <c r="F1262" t="str">
        <f t="shared" si="19"/>
        <v>North</v>
      </c>
      <c r="G1262" t="s">
        <v>12</v>
      </c>
      <c r="H1262" t="s">
        <v>13</v>
      </c>
      <c r="I1262">
        <v>18</v>
      </c>
    </row>
    <row r="1263" spans="1:9" ht="21.75" customHeight="1">
      <c r="A1263" t="s">
        <v>1413</v>
      </c>
      <c r="B1263" s="3">
        <v>45454</v>
      </c>
      <c r="C1263" t="s">
        <v>591</v>
      </c>
      <c r="D1263" t="s">
        <v>41</v>
      </c>
      <c r="E1263" t="s">
        <v>17</v>
      </c>
      <c r="F1263" t="str">
        <f t="shared" si="19"/>
        <v>West</v>
      </c>
      <c r="G1263" t="s">
        <v>27</v>
      </c>
      <c r="H1263" t="s">
        <v>28</v>
      </c>
      <c r="I1263">
        <v>8</v>
      </c>
    </row>
    <row r="1264" spans="1:9" ht="21.75" customHeight="1">
      <c r="A1264" t="s">
        <v>1414</v>
      </c>
      <c r="B1264" s="3">
        <v>45477</v>
      </c>
      <c r="C1264" t="s">
        <v>553</v>
      </c>
      <c r="D1264" t="s">
        <v>74</v>
      </c>
      <c r="E1264" t="s">
        <v>22</v>
      </c>
      <c r="F1264" t="str">
        <f t="shared" si="19"/>
        <v>East</v>
      </c>
      <c r="G1264" t="s">
        <v>42</v>
      </c>
      <c r="H1264" t="s">
        <v>36</v>
      </c>
      <c r="I1264">
        <v>1</v>
      </c>
    </row>
    <row r="1265" spans="1:9" ht="21.75" customHeight="1">
      <c r="A1265" t="s">
        <v>1415</v>
      </c>
      <c r="B1265" s="3">
        <v>45309</v>
      </c>
      <c r="C1265" t="s">
        <v>304</v>
      </c>
      <c r="D1265" t="s">
        <v>62</v>
      </c>
      <c r="E1265" t="s">
        <v>22</v>
      </c>
      <c r="F1265" t="str">
        <f t="shared" si="19"/>
        <v>North</v>
      </c>
      <c r="G1265" t="s">
        <v>12</v>
      </c>
      <c r="H1265" t="s">
        <v>23</v>
      </c>
      <c r="I1265">
        <v>8</v>
      </c>
    </row>
    <row r="1266" spans="1:9" ht="21.75" customHeight="1">
      <c r="A1266" t="s">
        <v>1416</v>
      </c>
      <c r="B1266" s="3">
        <v>45450</v>
      </c>
      <c r="C1266" t="s">
        <v>541</v>
      </c>
      <c r="D1266" t="s">
        <v>41</v>
      </c>
      <c r="E1266" t="s">
        <v>22</v>
      </c>
      <c r="F1266" t="str">
        <f t="shared" si="19"/>
        <v>East</v>
      </c>
      <c r="G1266" t="s">
        <v>42</v>
      </c>
      <c r="H1266" t="s">
        <v>28</v>
      </c>
      <c r="I1266">
        <v>4</v>
      </c>
    </row>
    <row r="1267" spans="1:9" ht="21.75" customHeight="1">
      <c r="A1267" t="s">
        <v>1417</v>
      </c>
      <c r="B1267" s="3">
        <v>45518</v>
      </c>
      <c r="C1267" t="s">
        <v>53</v>
      </c>
      <c r="D1267" t="s">
        <v>26</v>
      </c>
      <c r="E1267" t="s">
        <v>11</v>
      </c>
      <c r="F1267" t="str">
        <f t="shared" si="19"/>
        <v>West</v>
      </c>
      <c r="G1267" t="s">
        <v>27</v>
      </c>
      <c r="H1267" t="s">
        <v>28</v>
      </c>
      <c r="I1267">
        <v>10</v>
      </c>
    </row>
    <row r="1268" spans="1:9" ht="21.75" customHeight="1">
      <c r="A1268" t="s">
        <v>1418</v>
      </c>
      <c r="B1268" s="3">
        <v>45444</v>
      </c>
      <c r="C1268" t="s">
        <v>95</v>
      </c>
      <c r="D1268" t="s">
        <v>21</v>
      </c>
      <c r="E1268" t="s">
        <v>11</v>
      </c>
      <c r="F1268" t="str">
        <f t="shared" si="19"/>
        <v>West</v>
      </c>
      <c r="G1268" t="s">
        <v>27</v>
      </c>
      <c r="H1268" t="s">
        <v>23</v>
      </c>
      <c r="I1268">
        <v>11</v>
      </c>
    </row>
    <row r="1269" spans="1:9" ht="21.75" customHeight="1">
      <c r="A1269" t="s">
        <v>1419</v>
      </c>
      <c r="B1269" s="3">
        <v>45309</v>
      </c>
      <c r="C1269" t="s">
        <v>89</v>
      </c>
      <c r="D1269" t="s">
        <v>35</v>
      </c>
      <c r="E1269" t="s">
        <v>11</v>
      </c>
      <c r="F1269" t="str">
        <f t="shared" si="19"/>
        <v>West</v>
      </c>
      <c r="G1269" t="s">
        <v>27</v>
      </c>
      <c r="H1269" t="s">
        <v>32</v>
      </c>
      <c r="I1269">
        <v>14</v>
      </c>
    </row>
    <row r="1270" spans="1:9" ht="21.75" customHeight="1">
      <c r="A1270" t="s">
        <v>1420</v>
      </c>
      <c r="B1270" s="3">
        <v>45508</v>
      </c>
      <c r="C1270" t="s">
        <v>108</v>
      </c>
      <c r="D1270" t="s">
        <v>160</v>
      </c>
      <c r="E1270" t="s">
        <v>11</v>
      </c>
      <c r="F1270" t="str">
        <f t="shared" si="19"/>
        <v>East</v>
      </c>
      <c r="G1270" t="s">
        <v>42</v>
      </c>
      <c r="H1270" t="s">
        <v>36</v>
      </c>
      <c r="I1270">
        <v>3</v>
      </c>
    </row>
    <row r="1271" spans="1:9" ht="21.75" customHeight="1">
      <c r="A1271" t="s">
        <v>1421</v>
      </c>
      <c r="B1271" s="3">
        <v>45572</v>
      </c>
      <c r="C1271" t="s">
        <v>304</v>
      </c>
      <c r="D1271" t="s">
        <v>62</v>
      </c>
      <c r="E1271" t="s">
        <v>17</v>
      </c>
      <c r="F1271" t="str">
        <f t="shared" si="19"/>
        <v>West</v>
      </c>
      <c r="G1271" t="s">
        <v>27</v>
      </c>
      <c r="H1271" t="s">
        <v>28</v>
      </c>
      <c r="I1271">
        <v>1</v>
      </c>
    </row>
    <row r="1272" spans="1:9" ht="21.75" customHeight="1">
      <c r="A1272" t="s">
        <v>1422</v>
      </c>
      <c r="B1272" s="3">
        <v>45614</v>
      </c>
      <c r="C1272" t="s">
        <v>396</v>
      </c>
      <c r="D1272" t="s">
        <v>96</v>
      </c>
      <c r="E1272" t="s">
        <v>22</v>
      </c>
      <c r="F1272" t="str">
        <f t="shared" si="19"/>
        <v>South</v>
      </c>
      <c r="G1272" t="s">
        <v>56</v>
      </c>
      <c r="H1272" t="s">
        <v>32</v>
      </c>
      <c r="I1272">
        <v>13</v>
      </c>
    </row>
    <row r="1273" spans="1:9" ht="21.75" customHeight="1">
      <c r="A1273" t="s">
        <v>1423</v>
      </c>
      <c r="B1273" s="3">
        <v>45452</v>
      </c>
      <c r="C1273" t="s">
        <v>314</v>
      </c>
      <c r="D1273" t="s">
        <v>45</v>
      </c>
      <c r="E1273" t="s">
        <v>11</v>
      </c>
      <c r="F1273" t="str">
        <f t="shared" si="19"/>
        <v>North</v>
      </c>
      <c r="G1273" t="s">
        <v>12</v>
      </c>
      <c r="H1273" t="s">
        <v>28</v>
      </c>
      <c r="I1273">
        <v>8</v>
      </c>
    </row>
    <row r="1274" spans="1:9" ht="21.75" customHeight="1">
      <c r="A1274" t="s">
        <v>1424</v>
      </c>
      <c r="B1274" s="3">
        <v>45596</v>
      </c>
      <c r="C1274" t="s">
        <v>455</v>
      </c>
      <c r="D1274" t="s">
        <v>70</v>
      </c>
      <c r="E1274" t="s">
        <v>17</v>
      </c>
      <c r="F1274" t="str">
        <f t="shared" si="19"/>
        <v>East</v>
      </c>
      <c r="G1274" t="s">
        <v>42</v>
      </c>
      <c r="H1274" t="s">
        <v>28</v>
      </c>
      <c r="I1274">
        <v>16</v>
      </c>
    </row>
    <row r="1275" spans="1:9" ht="21.75" customHeight="1">
      <c r="A1275" t="s">
        <v>1425</v>
      </c>
      <c r="B1275" s="3">
        <v>45425</v>
      </c>
      <c r="C1275" t="s">
        <v>235</v>
      </c>
      <c r="D1275" t="s">
        <v>72</v>
      </c>
      <c r="E1275" t="s">
        <v>22</v>
      </c>
      <c r="F1275" t="str">
        <f t="shared" si="19"/>
        <v>Central</v>
      </c>
      <c r="G1275" t="s">
        <v>306</v>
      </c>
      <c r="H1275" t="s">
        <v>23</v>
      </c>
      <c r="I1275">
        <v>10</v>
      </c>
    </row>
    <row r="1276" spans="1:9" ht="21.75" customHeight="1">
      <c r="A1276" t="s">
        <v>1426</v>
      </c>
      <c r="B1276" s="3">
        <v>45480</v>
      </c>
      <c r="C1276" t="s">
        <v>44</v>
      </c>
      <c r="D1276" t="s">
        <v>59</v>
      </c>
      <c r="E1276" t="s">
        <v>17</v>
      </c>
      <c r="F1276" t="str">
        <f t="shared" si="19"/>
        <v>West</v>
      </c>
      <c r="G1276" t="s">
        <v>27</v>
      </c>
      <c r="H1276" t="s">
        <v>13</v>
      </c>
      <c r="I1276">
        <v>8</v>
      </c>
    </row>
    <row r="1277" spans="1:9" ht="21.75" customHeight="1">
      <c r="A1277" t="s">
        <v>1427</v>
      </c>
      <c r="B1277" s="3">
        <v>45577</v>
      </c>
      <c r="C1277" t="s">
        <v>736</v>
      </c>
      <c r="D1277" t="s">
        <v>10</v>
      </c>
      <c r="E1277" t="s">
        <v>22</v>
      </c>
      <c r="F1277" t="str">
        <f t="shared" si="19"/>
        <v>South</v>
      </c>
      <c r="G1277" t="s">
        <v>56</v>
      </c>
      <c r="H1277" t="s">
        <v>28</v>
      </c>
      <c r="I1277">
        <v>15</v>
      </c>
    </row>
    <row r="1278" spans="1:9" ht="21.75" customHeight="1">
      <c r="A1278" t="s">
        <v>1428</v>
      </c>
      <c r="B1278" s="3">
        <v>45317</v>
      </c>
      <c r="C1278" t="s">
        <v>341</v>
      </c>
      <c r="D1278" t="s">
        <v>109</v>
      </c>
      <c r="E1278" t="s">
        <v>22</v>
      </c>
      <c r="F1278" t="str">
        <f t="shared" si="19"/>
        <v>West</v>
      </c>
      <c r="G1278" t="s">
        <v>27</v>
      </c>
      <c r="H1278" t="s">
        <v>32</v>
      </c>
      <c r="I1278">
        <v>9</v>
      </c>
    </row>
    <row r="1279" spans="1:9" ht="21.75" customHeight="1">
      <c r="A1279" t="s">
        <v>1429</v>
      </c>
      <c r="B1279" s="3">
        <v>45379</v>
      </c>
      <c r="C1279" t="s">
        <v>614</v>
      </c>
      <c r="D1279" t="s">
        <v>62</v>
      </c>
      <c r="E1279" t="s">
        <v>11</v>
      </c>
      <c r="F1279" t="str">
        <f t="shared" si="19"/>
        <v>North</v>
      </c>
      <c r="G1279" t="s">
        <v>12</v>
      </c>
      <c r="H1279" t="s">
        <v>23</v>
      </c>
      <c r="I1279">
        <v>17</v>
      </c>
    </row>
    <row r="1280" spans="1:9" ht="21.75" customHeight="1">
      <c r="A1280" t="s">
        <v>1430</v>
      </c>
      <c r="B1280" s="3">
        <v>45636</v>
      </c>
      <c r="C1280" t="s">
        <v>432</v>
      </c>
      <c r="D1280" t="s">
        <v>62</v>
      </c>
      <c r="E1280" t="s">
        <v>11</v>
      </c>
      <c r="F1280" t="str">
        <f t="shared" si="19"/>
        <v>South</v>
      </c>
      <c r="G1280" t="s">
        <v>56</v>
      </c>
      <c r="H1280" t="s">
        <v>32</v>
      </c>
      <c r="I1280">
        <v>7</v>
      </c>
    </row>
    <row r="1281" spans="1:9" ht="21.75" customHeight="1">
      <c r="A1281" t="s">
        <v>1431</v>
      </c>
      <c r="B1281" s="3">
        <v>45439</v>
      </c>
      <c r="C1281" t="s">
        <v>323</v>
      </c>
      <c r="D1281" t="s">
        <v>16</v>
      </c>
      <c r="E1281" t="s">
        <v>17</v>
      </c>
      <c r="F1281" t="str">
        <f t="shared" si="19"/>
        <v>West</v>
      </c>
      <c r="G1281" t="s">
        <v>27</v>
      </c>
      <c r="H1281" t="s">
        <v>36</v>
      </c>
      <c r="I1281">
        <v>14</v>
      </c>
    </row>
    <row r="1282" spans="1:9" ht="21.75" customHeight="1">
      <c r="A1282" t="s">
        <v>1432</v>
      </c>
      <c r="B1282" s="3">
        <v>45402</v>
      </c>
      <c r="C1282" t="s">
        <v>55</v>
      </c>
      <c r="D1282" t="s">
        <v>87</v>
      </c>
      <c r="E1282" t="s">
        <v>22</v>
      </c>
      <c r="F1282" t="str">
        <f t="shared" si="19"/>
        <v>South</v>
      </c>
      <c r="G1282" t="s">
        <v>56</v>
      </c>
      <c r="H1282" t="s">
        <v>28</v>
      </c>
      <c r="I1282">
        <v>6</v>
      </c>
    </row>
    <row r="1283" spans="1:9" ht="21.75" customHeight="1">
      <c r="A1283" t="s">
        <v>1433</v>
      </c>
      <c r="B1283" s="3">
        <v>45306</v>
      </c>
      <c r="C1283" t="s">
        <v>61</v>
      </c>
      <c r="D1283" t="s">
        <v>109</v>
      </c>
      <c r="E1283" t="s">
        <v>17</v>
      </c>
      <c r="F1283" t="str">
        <f t="shared" ref="F1283:F1346" si="20">TRIM(PROPER(G1283))</f>
        <v>South</v>
      </c>
      <c r="G1283" t="s">
        <v>56</v>
      </c>
      <c r="H1283" t="s">
        <v>32</v>
      </c>
      <c r="I1283">
        <v>15</v>
      </c>
    </row>
    <row r="1284" spans="1:9" ht="21.75" customHeight="1">
      <c r="A1284" t="s">
        <v>1434</v>
      </c>
      <c r="B1284" s="3">
        <v>45590</v>
      </c>
      <c r="C1284" t="s">
        <v>455</v>
      </c>
      <c r="D1284" t="s">
        <v>10</v>
      </c>
      <c r="E1284" t="s">
        <v>22</v>
      </c>
      <c r="F1284" t="str">
        <f t="shared" si="20"/>
        <v>West</v>
      </c>
      <c r="G1284" t="s">
        <v>27</v>
      </c>
      <c r="H1284" t="s">
        <v>32</v>
      </c>
      <c r="I1284">
        <v>1</v>
      </c>
    </row>
    <row r="1285" spans="1:9" ht="21.75" customHeight="1">
      <c r="A1285" t="s">
        <v>1435</v>
      </c>
      <c r="B1285" s="3">
        <v>45646</v>
      </c>
      <c r="C1285" t="s">
        <v>106</v>
      </c>
      <c r="D1285" t="s">
        <v>62</v>
      </c>
      <c r="E1285" t="s">
        <v>22</v>
      </c>
      <c r="F1285" t="str">
        <f t="shared" si="20"/>
        <v>South</v>
      </c>
      <c r="G1285" t="s">
        <v>56</v>
      </c>
      <c r="H1285" t="s">
        <v>36</v>
      </c>
      <c r="I1285">
        <v>13</v>
      </c>
    </row>
    <row r="1286" spans="1:9" ht="21.75" customHeight="1">
      <c r="A1286" t="s">
        <v>1436</v>
      </c>
      <c r="B1286" s="3">
        <v>45423</v>
      </c>
      <c r="C1286" t="s">
        <v>208</v>
      </c>
      <c r="D1286" t="s">
        <v>79</v>
      </c>
      <c r="E1286" t="s">
        <v>11</v>
      </c>
      <c r="F1286" t="str">
        <f t="shared" si="20"/>
        <v>Central</v>
      </c>
      <c r="G1286" t="s">
        <v>306</v>
      </c>
      <c r="H1286" t="s">
        <v>28</v>
      </c>
      <c r="I1286">
        <v>2</v>
      </c>
    </row>
    <row r="1287" spans="1:9" ht="21.75" customHeight="1">
      <c r="A1287" t="s">
        <v>1437</v>
      </c>
      <c r="B1287" s="3">
        <v>45533</v>
      </c>
      <c r="C1287" t="s">
        <v>182</v>
      </c>
      <c r="D1287" t="s">
        <v>62</v>
      </c>
      <c r="E1287" t="s">
        <v>22</v>
      </c>
      <c r="F1287" t="str">
        <f t="shared" si="20"/>
        <v>Central</v>
      </c>
      <c r="G1287" t="s">
        <v>306</v>
      </c>
      <c r="H1287" t="s">
        <v>36</v>
      </c>
      <c r="I1287">
        <v>2</v>
      </c>
    </row>
    <row r="1288" spans="1:9" ht="21.75" customHeight="1">
      <c r="A1288" t="s">
        <v>1438</v>
      </c>
      <c r="B1288" s="3">
        <v>45609</v>
      </c>
      <c r="C1288" t="s">
        <v>159</v>
      </c>
      <c r="D1288" t="s">
        <v>41</v>
      </c>
      <c r="E1288" t="s">
        <v>17</v>
      </c>
      <c r="F1288" t="str">
        <f t="shared" si="20"/>
        <v>West</v>
      </c>
      <c r="G1288" t="s">
        <v>27</v>
      </c>
      <c r="H1288" t="s">
        <v>36</v>
      </c>
      <c r="I1288">
        <v>12</v>
      </c>
    </row>
    <row r="1289" spans="1:9" ht="21.75" customHeight="1">
      <c r="A1289" t="s">
        <v>1439</v>
      </c>
      <c r="B1289" s="3">
        <v>45313</v>
      </c>
      <c r="C1289" t="s">
        <v>361</v>
      </c>
      <c r="D1289" t="s">
        <v>45</v>
      </c>
      <c r="E1289" t="s">
        <v>11</v>
      </c>
      <c r="F1289" t="str">
        <f t="shared" si="20"/>
        <v>East</v>
      </c>
      <c r="G1289" t="s">
        <v>42</v>
      </c>
      <c r="H1289" t="s">
        <v>32</v>
      </c>
      <c r="I1289">
        <v>17</v>
      </c>
    </row>
    <row r="1290" spans="1:9" ht="21.75" customHeight="1">
      <c r="A1290" t="s">
        <v>1440</v>
      </c>
      <c r="B1290" s="3">
        <v>45531</v>
      </c>
      <c r="C1290" t="s">
        <v>34</v>
      </c>
      <c r="D1290" t="s">
        <v>62</v>
      </c>
      <c r="E1290" t="s">
        <v>11</v>
      </c>
      <c r="F1290" t="str">
        <f t="shared" si="20"/>
        <v>East</v>
      </c>
      <c r="G1290" t="s">
        <v>42</v>
      </c>
      <c r="H1290" t="s">
        <v>32</v>
      </c>
      <c r="I1290">
        <v>17</v>
      </c>
    </row>
    <row r="1291" spans="1:9" ht="21.75" customHeight="1">
      <c r="A1291" t="s">
        <v>1441</v>
      </c>
      <c r="B1291" s="3">
        <v>45351</v>
      </c>
      <c r="C1291" t="s">
        <v>38</v>
      </c>
      <c r="D1291" t="s">
        <v>35</v>
      </c>
      <c r="E1291" t="s">
        <v>11</v>
      </c>
      <c r="F1291" t="str">
        <f t="shared" si="20"/>
        <v>South</v>
      </c>
      <c r="G1291" t="s">
        <v>56</v>
      </c>
      <c r="H1291" t="s">
        <v>23</v>
      </c>
      <c r="I1291">
        <v>9</v>
      </c>
    </row>
    <row r="1292" spans="1:9" ht="21.75" customHeight="1">
      <c r="A1292" t="s">
        <v>1442</v>
      </c>
      <c r="B1292" s="3">
        <v>45436</v>
      </c>
      <c r="C1292" t="s">
        <v>86</v>
      </c>
      <c r="D1292" t="s">
        <v>160</v>
      </c>
      <c r="E1292" t="s">
        <v>22</v>
      </c>
      <c r="F1292" t="str">
        <f t="shared" si="20"/>
        <v>East</v>
      </c>
      <c r="G1292" t="s">
        <v>42</v>
      </c>
      <c r="H1292" t="s">
        <v>28</v>
      </c>
      <c r="I1292">
        <v>11</v>
      </c>
    </row>
    <row r="1293" spans="1:9" ht="21.75" customHeight="1">
      <c r="A1293" t="s">
        <v>1443</v>
      </c>
      <c r="B1293" s="3">
        <v>45453</v>
      </c>
      <c r="C1293" t="s">
        <v>304</v>
      </c>
      <c r="D1293" t="s">
        <v>174</v>
      </c>
      <c r="E1293" t="s">
        <v>17</v>
      </c>
      <c r="F1293" t="str">
        <f t="shared" si="20"/>
        <v>South</v>
      </c>
      <c r="G1293" t="s">
        <v>56</v>
      </c>
      <c r="H1293" t="s">
        <v>28</v>
      </c>
      <c r="I1293">
        <v>15</v>
      </c>
    </row>
    <row r="1294" spans="1:9" ht="21.75" customHeight="1">
      <c r="A1294" t="s">
        <v>1444</v>
      </c>
      <c r="B1294" s="3">
        <v>45319</v>
      </c>
      <c r="C1294" t="s">
        <v>51</v>
      </c>
      <c r="D1294" t="s">
        <v>35</v>
      </c>
      <c r="E1294" t="s">
        <v>11</v>
      </c>
      <c r="F1294" t="str">
        <f t="shared" si="20"/>
        <v>North</v>
      </c>
      <c r="G1294" t="s">
        <v>12</v>
      </c>
      <c r="H1294" t="s">
        <v>23</v>
      </c>
      <c r="I1294">
        <v>9</v>
      </c>
    </row>
    <row r="1295" spans="1:9" ht="21.75" customHeight="1">
      <c r="A1295" t="s">
        <v>1445</v>
      </c>
      <c r="B1295" s="3">
        <v>45515</v>
      </c>
      <c r="C1295" t="s">
        <v>40</v>
      </c>
      <c r="D1295" t="s">
        <v>70</v>
      </c>
      <c r="E1295" t="s">
        <v>17</v>
      </c>
      <c r="F1295" t="str">
        <f t="shared" si="20"/>
        <v>North</v>
      </c>
      <c r="G1295" t="s">
        <v>12</v>
      </c>
      <c r="H1295" t="s">
        <v>36</v>
      </c>
      <c r="I1295">
        <v>12</v>
      </c>
    </row>
    <row r="1296" spans="1:9" ht="21.75" customHeight="1">
      <c r="A1296" t="s">
        <v>1446</v>
      </c>
      <c r="B1296" s="3">
        <v>45540</v>
      </c>
      <c r="C1296" t="s">
        <v>366</v>
      </c>
      <c r="D1296" t="s">
        <v>84</v>
      </c>
      <c r="E1296" t="s">
        <v>17</v>
      </c>
      <c r="F1296" t="str">
        <f t="shared" si="20"/>
        <v>North</v>
      </c>
      <c r="G1296" t="s">
        <v>12</v>
      </c>
      <c r="H1296" t="s">
        <v>13</v>
      </c>
      <c r="I1296">
        <v>5</v>
      </c>
    </row>
    <row r="1297" spans="1:9" ht="21.75" customHeight="1">
      <c r="A1297" t="s">
        <v>1447</v>
      </c>
      <c r="B1297" s="3">
        <v>45396</v>
      </c>
      <c r="C1297" t="s">
        <v>55</v>
      </c>
      <c r="D1297" t="s">
        <v>84</v>
      </c>
      <c r="E1297" t="s">
        <v>11</v>
      </c>
      <c r="F1297" t="str">
        <f t="shared" si="20"/>
        <v>South</v>
      </c>
      <c r="G1297" t="s">
        <v>56</v>
      </c>
      <c r="H1297" t="s">
        <v>36</v>
      </c>
      <c r="I1297">
        <v>17</v>
      </c>
    </row>
    <row r="1298" spans="1:9" ht="21.75" customHeight="1">
      <c r="A1298" t="s">
        <v>1448</v>
      </c>
      <c r="B1298" s="3">
        <v>45631</v>
      </c>
      <c r="C1298" t="s">
        <v>361</v>
      </c>
      <c r="D1298" t="s">
        <v>96</v>
      </c>
      <c r="E1298" t="s">
        <v>11</v>
      </c>
      <c r="F1298" t="str">
        <f t="shared" si="20"/>
        <v>Central</v>
      </c>
      <c r="G1298" t="s">
        <v>306</v>
      </c>
      <c r="H1298" t="s">
        <v>28</v>
      </c>
      <c r="I1298">
        <v>17</v>
      </c>
    </row>
    <row r="1299" spans="1:9" ht="21.75" customHeight="1">
      <c r="A1299" t="s">
        <v>1449</v>
      </c>
      <c r="B1299" s="3">
        <v>45505</v>
      </c>
      <c r="C1299" t="s">
        <v>208</v>
      </c>
      <c r="D1299" t="s">
        <v>41</v>
      </c>
      <c r="E1299" t="s">
        <v>11</v>
      </c>
      <c r="F1299" t="str">
        <f t="shared" si="20"/>
        <v>West</v>
      </c>
      <c r="G1299" t="s">
        <v>27</v>
      </c>
      <c r="H1299" t="s">
        <v>13</v>
      </c>
      <c r="I1299">
        <v>4</v>
      </c>
    </row>
    <row r="1300" spans="1:9" ht="21.75" customHeight="1">
      <c r="A1300" t="s">
        <v>1450</v>
      </c>
      <c r="B1300" s="3">
        <v>45437</v>
      </c>
      <c r="C1300" t="s">
        <v>455</v>
      </c>
      <c r="D1300" t="s">
        <v>31</v>
      </c>
      <c r="E1300" t="s">
        <v>22</v>
      </c>
      <c r="F1300" t="str">
        <f t="shared" si="20"/>
        <v>North</v>
      </c>
      <c r="G1300" t="s">
        <v>12</v>
      </c>
      <c r="H1300" t="s">
        <v>13</v>
      </c>
      <c r="I1300">
        <v>12</v>
      </c>
    </row>
    <row r="1301" spans="1:9" ht="21.75" customHeight="1">
      <c r="A1301" t="s">
        <v>1451</v>
      </c>
      <c r="B1301" s="3">
        <v>45457</v>
      </c>
      <c r="C1301" t="s">
        <v>125</v>
      </c>
      <c r="D1301" t="s">
        <v>70</v>
      </c>
      <c r="E1301" t="s">
        <v>11</v>
      </c>
      <c r="F1301" t="str">
        <f t="shared" si="20"/>
        <v>North</v>
      </c>
      <c r="G1301" t="s">
        <v>12</v>
      </c>
      <c r="H1301" t="s">
        <v>32</v>
      </c>
      <c r="I1301">
        <v>16</v>
      </c>
    </row>
    <row r="1302" spans="1:9" ht="21.75" customHeight="1">
      <c r="A1302" t="s">
        <v>1452</v>
      </c>
      <c r="B1302" s="3">
        <v>45596</v>
      </c>
      <c r="C1302" t="s">
        <v>371</v>
      </c>
      <c r="D1302" t="s">
        <v>79</v>
      </c>
      <c r="E1302" t="s">
        <v>11</v>
      </c>
      <c r="F1302" t="str">
        <f t="shared" si="20"/>
        <v>East</v>
      </c>
      <c r="G1302" t="s">
        <v>42</v>
      </c>
      <c r="H1302" t="s">
        <v>32</v>
      </c>
      <c r="I1302">
        <v>20</v>
      </c>
    </row>
    <row r="1303" spans="1:9" ht="21.75" customHeight="1">
      <c r="A1303" t="s">
        <v>1453</v>
      </c>
      <c r="B1303" s="3">
        <v>45619</v>
      </c>
      <c r="C1303" t="s">
        <v>40</v>
      </c>
      <c r="D1303" t="s">
        <v>96</v>
      </c>
      <c r="E1303" t="s">
        <v>22</v>
      </c>
      <c r="F1303" t="str">
        <f t="shared" si="20"/>
        <v>East</v>
      </c>
      <c r="G1303" t="s">
        <v>42</v>
      </c>
      <c r="H1303" t="s">
        <v>28</v>
      </c>
      <c r="I1303">
        <v>8</v>
      </c>
    </row>
    <row r="1304" spans="1:9" ht="21.75" customHeight="1">
      <c r="A1304" t="s">
        <v>1454</v>
      </c>
      <c r="B1304" s="3">
        <v>45344</v>
      </c>
      <c r="C1304" t="s">
        <v>422</v>
      </c>
      <c r="D1304" t="s">
        <v>84</v>
      </c>
      <c r="E1304" t="s">
        <v>22</v>
      </c>
      <c r="F1304" t="str">
        <f t="shared" si="20"/>
        <v>North</v>
      </c>
      <c r="G1304" t="s">
        <v>12</v>
      </c>
      <c r="H1304" t="s">
        <v>36</v>
      </c>
      <c r="I1304">
        <v>14</v>
      </c>
    </row>
    <row r="1305" spans="1:9" ht="21.75" customHeight="1">
      <c r="A1305" t="s">
        <v>1455</v>
      </c>
      <c r="B1305" s="3">
        <v>45339</v>
      </c>
      <c r="C1305" t="s">
        <v>133</v>
      </c>
      <c r="D1305" t="s">
        <v>197</v>
      </c>
      <c r="E1305" t="s">
        <v>22</v>
      </c>
      <c r="F1305" t="str">
        <f t="shared" si="20"/>
        <v>Central</v>
      </c>
      <c r="G1305" t="s">
        <v>306</v>
      </c>
      <c r="H1305" t="s">
        <v>13</v>
      </c>
      <c r="I1305">
        <v>18</v>
      </c>
    </row>
    <row r="1306" spans="1:9" ht="21.75" customHeight="1">
      <c r="A1306" t="s">
        <v>1456</v>
      </c>
      <c r="B1306" s="3">
        <v>45624</v>
      </c>
      <c r="C1306" t="s">
        <v>424</v>
      </c>
      <c r="D1306" t="s">
        <v>174</v>
      </c>
      <c r="E1306" t="s">
        <v>17</v>
      </c>
      <c r="F1306" t="str">
        <f t="shared" si="20"/>
        <v>South</v>
      </c>
      <c r="G1306" t="s">
        <v>56</v>
      </c>
      <c r="H1306" t="s">
        <v>23</v>
      </c>
      <c r="I1306">
        <v>19</v>
      </c>
    </row>
    <row r="1307" spans="1:9" ht="21.75" customHeight="1">
      <c r="A1307" t="s">
        <v>1457</v>
      </c>
      <c r="B1307" s="3">
        <v>45295</v>
      </c>
      <c r="C1307" t="s">
        <v>332</v>
      </c>
      <c r="D1307" t="s">
        <v>45</v>
      </c>
      <c r="E1307" t="s">
        <v>22</v>
      </c>
      <c r="F1307" t="str">
        <f t="shared" si="20"/>
        <v>West</v>
      </c>
      <c r="G1307" t="s">
        <v>27</v>
      </c>
      <c r="H1307" t="s">
        <v>32</v>
      </c>
      <c r="I1307">
        <v>9</v>
      </c>
    </row>
    <row r="1308" spans="1:9" ht="21.75" customHeight="1">
      <c r="A1308" t="s">
        <v>1458</v>
      </c>
      <c r="B1308" s="3">
        <v>45464</v>
      </c>
      <c r="C1308" t="s">
        <v>15</v>
      </c>
      <c r="D1308" t="s">
        <v>10</v>
      </c>
      <c r="E1308" t="s">
        <v>17</v>
      </c>
      <c r="F1308" t="str">
        <f t="shared" si="20"/>
        <v>North</v>
      </c>
      <c r="G1308" t="s">
        <v>12</v>
      </c>
      <c r="H1308" t="s">
        <v>32</v>
      </c>
      <c r="I1308">
        <v>12</v>
      </c>
    </row>
    <row r="1309" spans="1:9" ht="21.75" customHeight="1">
      <c r="A1309" t="s">
        <v>1459</v>
      </c>
      <c r="B1309" s="3">
        <v>45314</v>
      </c>
      <c r="C1309" t="s">
        <v>388</v>
      </c>
      <c r="D1309" t="s">
        <v>70</v>
      </c>
      <c r="E1309" t="s">
        <v>22</v>
      </c>
      <c r="F1309" t="str">
        <f t="shared" si="20"/>
        <v>North</v>
      </c>
      <c r="G1309" t="s">
        <v>12</v>
      </c>
      <c r="H1309" t="s">
        <v>23</v>
      </c>
      <c r="I1309">
        <v>3</v>
      </c>
    </row>
    <row r="1310" spans="1:9" ht="21.75" customHeight="1">
      <c r="A1310" t="s">
        <v>1460</v>
      </c>
      <c r="B1310" s="3">
        <v>45613</v>
      </c>
      <c r="C1310" t="s">
        <v>381</v>
      </c>
      <c r="D1310" t="s">
        <v>48</v>
      </c>
      <c r="E1310" t="s">
        <v>22</v>
      </c>
      <c r="F1310" t="str">
        <f t="shared" si="20"/>
        <v>South</v>
      </c>
      <c r="G1310" t="s">
        <v>56</v>
      </c>
      <c r="H1310" t="s">
        <v>13</v>
      </c>
      <c r="I1310">
        <v>2</v>
      </c>
    </row>
    <row r="1311" spans="1:9" ht="21.75" customHeight="1">
      <c r="A1311" t="s">
        <v>1461</v>
      </c>
      <c r="B1311" s="3">
        <v>45440</v>
      </c>
      <c r="C1311" t="s">
        <v>81</v>
      </c>
      <c r="D1311" t="s">
        <v>197</v>
      </c>
      <c r="E1311" t="s">
        <v>11</v>
      </c>
      <c r="F1311" t="str">
        <f t="shared" si="20"/>
        <v>West</v>
      </c>
      <c r="G1311" t="s">
        <v>27</v>
      </c>
      <c r="H1311" t="s">
        <v>32</v>
      </c>
      <c r="I1311">
        <v>15</v>
      </c>
    </row>
    <row r="1312" spans="1:9" ht="21.75" customHeight="1">
      <c r="A1312" t="s">
        <v>1462</v>
      </c>
      <c r="B1312" s="3">
        <v>45478</v>
      </c>
      <c r="C1312" t="s">
        <v>111</v>
      </c>
      <c r="D1312" t="s">
        <v>48</v>
      </c>
      <c r="E1312" t="s">
        <v>17</v>
      </c>
      <c r="F1312" t="str">
        <f t="shared" si="20"/>
        <v>South</v>
      </c>
      <c r="G1312" t="s">
        <v>56</v>
      </c>
      <c r="H1312" t="s">
        <v>32</v>
      </c>
      <c r="I1312">
        <v>3</v>
      </c>
    </row>
    <row r="1313" spans="1:9" ht="21.75" customHeight="1">
      <c r="A1313" t="s">
        <v>1463</v>
      </c>
      <c r="B1313" s="3">
        <v>45379</v>
      </c>
      <c r="C1313" t="s">
        <v>312</v>
      </c>
      <c r="D1313" t="s">
        <v>84</v>
      </c>
      <c r="E1313" t="s">
        <v>11</v>
      </c>
      <c r="F1313" t="str">
        <f t="shared" si="20"/>
        <v>South</v>
      </c>
      <c r="G1313" t="s">
        <v>56</v>
      </c>
      <c r="H1313" t="s">
        <v>23</v>
      </c>
      <c r="I1313">
        <v>13</v>
      </c>
    </row>
    <row r="1314" spans="1:9" ht="21.75" customHeight="1">
      <c r="A1314" t="s">
        <v>1464</v>
      </c>
      <c r="B1314" s="3">
        <v>45619</v>
      </c>
      <c r="C1314" t="s">
        <v>465</v>
      </c>
      <c r="D1314" t="s">
        <v>174</v>
      </c>
      <c r="E1314" t="s">
        <v>11</v>
      </c>
      <c r="F1314" t="str">
        <f t="shared" si="20"/>
        <v>East</v>
      </c>
      <c r="G1314" t="s">
        <v>42</v>
      </c>
      <c r="H1314" t="s">
        <v>13</v>
      </c>
      <c r="I1314">
        <v>8</v>
      </c>
    </row>
    <row r="1315" spans="1:9" ht="21.75" customHeight="1">
      <c r="A1315" t="s">
        <v>1465</v>
      </c>
      <c r="B1315" s="3">
        <v>45453</v>
      </c>
      <c r="C1315" t="s">
        <v>341</v>
      </c>
      <c r="D1315" t="s">
        <v>26</v>
      </c>
      <c r="E1315" t="s">
        <v>11</v>
      </c>
      <c r="F1315" t="str">
        <f t="shared" si="20"/>
        <v>South</v>
      </c>
      <c r="G1315" t="s">
        <v>56</v>
      </c>
      <c r="H1315" t="s">
        <v>36</v>
      </c>
      <c r="I1315">
        <v>11</v>
      </c>
    </row>
    <row r="1316" spans="1:9" ht="21.75" customHeight="1">
      <c r="A1316" t="s">
        <v>1466</v>
      </c>
      <c r="B1316" s="3">
        <v>45547</v>
      </c>
      <c r="C1316" t="s">
        <v>106</v>
      </c>
      <c r="D1316" t="s">
        <v>21</v>
      </c>
      <c r="E1316" t="s">
        <v>17</v>
      </c>
      <c r="F1316" t="str">
        <f t="shared" si="20"/>
        <v>South</v>
      </c>
      <c r="G1316" t="s">
        <v>56</v>
      </c>
      <c r="H1316" t="s">
        <v>32</v>
      </c>
      <c r="I1316">
        <v>5</v>
      </c>
    </row>
    <row r="1317" spans="1:9" ht="21.75" customHeight="1">
      <c r="A1317" t="s">
        <v>1467</v>
      </c>
      <c r="B1317" s="3">
        <v>45579</v>
      </c>
      <c r="C1317" t="s">
        <v>312</v>
      </c>
      <c r="D1317" t="s">
        <v>26</v>
      </c>
      <c r="E1317" t="s">
        <v>22</v>
      </c>
      <c r="F1317" t="str">
        <f t="shared" si="20"/>
        <v>Central</v>
      </c>
      <c r="G1317" t="s">
        <v>306</v>
      </c>
      <c r="H1317" t="s">
        <v>23</v>
      </c>
      <c r="I1317">
        <v>19</v>
      </c>
    </row>
    <row r="1318" spans="1:9" ht="21.75" customHeight="1">
      <c r="A1318" t="s">
        <v>1468</v>
      </c>
      <c r="B1318" s="3">
        <v>45404</v>
      </c>
      <c r="C1318" t="s">
        <v>99</v>
      </c>
      <c r="D1318" t="s">
        <v>160</v>
      </c>
      <c r="E1318" t="s">
        <v>17</v>
      </c>
      <c r="F1318" t="str">
        <f t="shared" si="20"/>
        <v>North</v>
      </c>
      <c r="G1318" t="s">
        <v>12</v>
      </c>
      <c r="H1318" t="s">
        <v>13</v>
      </c>
      <c r="I1318">
        <v>4</v>
      </c>
    </row>
    <row r="1319" spans="1:9" ht="21.75" customHeight="1">
      <c r="A1319" t="s">
        <v>1469</v>
      </c>
      <c r="B1319" s="3">
        <v>45373</v>
      </c>
      <c r="C1319" t="s">
        <v>455</v>
      </c>
      <c r="D1319" t="s">
        <v>87</v>
      </c>
      <c r="E1319" t="s">
        <v>22</v>
      </c>
      <c r="F1319" t="str">
        <f t="shared" si="20"/>
        <v>North</v>
      </c>
      <c r="G1319" t="s">
        <v>12</v>
      </c>
      <c r="H1319" t="s">
        <v>23</v>
      </c>
      <c r="I1319">
        <v>13</v>
      </c>
    </row>
    <row r="1320" spans="1:9" ht="21.75" customHeight="1">
      <c r="A1320" t="s">
        <v>1470</v>
      </c>
      <c r="B1320" s="3">
        <v>45531</v>
      </c>
      <c r="C1320" t="s">
        <v>339</v>
      </c>
      <c r="D1320" t="s">
        <v>26</v>
      </c>
      <c r="E1320" t="s">
        <v>22</v>
      </c>
      <c r="F1320" t="str">
        <f t="shared" si="20"/>
        <v>North</v>
      </c>
      <c r="G1320" t="s">
        <v>12</v>
      </c>
      <c r="H1320" t="s">
        <v>13</v>
      </c>
      <c r="I1320">
        <v>18</v>
      </c>
    </row>
    <row r="1321" spans="1:9" ht="21.75" customHeight="1">
      <c r="A1321" t="s">
        <v>1471</v>
      </c>
      <c r="B1321" s="3">
        <v>45620</v>
      </c>
      <c r="C1321" t="s">
        <v>47</v>
      </c>
      <c r="D1321" t="s">
        <v>102</v>
      </c>
      <c r="E1321" t="s">
        <v>17</v>
      </c>
      <c r="F1321" t="str">
        <f t="shared" si="20"/>
        <v>West</v>
      </c>
      <c r="G1321" t="s">
        <v>27</v>
      </c>
      <c r="H1321" t="s">
        <v>28</v>
      </c>
      <c r="I1321">
        <v>15</v>
      </c>
    </row>
    <row r="1322" spans="1:9" ht="21.75" customHeight="1">
      <c r="A1322" t="s">
        <v>1472</v>
      </c>
      <c r="B1322" s="3">
        <v>45426</v>
      </c>
      <c r="C1322" t="s">
        <v>358</v>
      </c>
      <c r="D1322" t="s">
        <v>119</v>
      </c>
      <c r="E1322" t="s">
        <v>11</v>
      </c>
      <c r="F1322" t="str">
        <f t="shared" si="20"/>
        <v>Central</v>
      </c>
      <c r="G1322" t="s">
        <v>306</v>
      </c>
      <c r="H1322" t="s">
        <v>13</v>
      </c>
      <c r="I1322">
        <v>10</v>
      </c>
    </row>
    <row r="1323" spans="1:9" ht="21.75" customHeight="1">
      <c r="A1323" t="s">
        <v>1473</v>
      </c>
      <c r="B1323" s="3">
        <v>45551</v>
      </c>
      <c r="C1323" t="s">
        <v>493</v>
      </c>
      <c r="D1323" t="s">
        <v>65</v>
      </c>
      <c r="E1323" t="s">
        <v>11</v>
      </c>
      <c r="F1323" t="str">
        <f t="shared" si="20"/>
        <v>East</v>
      </c>
      <c r="G1323" t="s">
        <v>42</v>
      </c>
      <c r="H1323" t="s">
        <v>28</v>
      </c>
      <c r="I1323">
        <v>18</v>
      </c>
    </row>
    <row r="1324" spans="1:9" ht="21.75" customHeight="1">
      <c r="A1324" t="s">
        <v>1474</v>
      </c>
      <c r="B1324" s="3">
        <v>45563</v>
      </c>
      <c r="C1324" t="s">
        <v>25</v>
      </c>
      <c r="D1324" t="s">
        <v>109</v>
      </c>
      <c r="E1324" t="s">
        <v>17</v>
      </c>
      <c r="F1324" t="str">
        <f t="shared" si="20"/>
        <v>West</v>
      </c>
      <c r="G1324" t="s">
        <v>27</v>
      </c>
      <c r="H1324" t="s">
        <v>13</v>
      </c>
      <c r="I1324">
        <v>4</v>
      </c>
    </row>
    <row r="1325" spans="1:9" ht="21.75" customHeight="1">
      <c r="A1325" t="s">
        <v>1475</v>
      </c>
      <c r="B1325" s="3">
        <v>45449</v>
      </c>
      <c r="C1325" t="s">
        <v>93</v>
      </c>
      <c r="D1325" t="s">
        <v>79</v>
      </c>
      <c r="E1325" t="s">
        <v>11</v>
      </c>
      <c r="F1325" t="str">
        <f t="shared" si="20"/>
        <v>Central</v>
      </c>
      <c r="G1325" t="s">
        <v>306</v>
      </c>
      <c r="H1325" t="s">
        <v>13</v>
      </c>
      <c r="I1325">
        <v>3</v>
      </c>
    </row>
    <row r="1326" spans="1:9" ht="21.75" customHeight="1">
      <c r="A1326" t="s">
        <v>1476</v>
      </c>
      <c r="B1326" s="3">
        <v>45327</v>
      </c>
      <c r="C1326" t="s">
        <v>332</v>
      </c>
      <c r="D1326" t="s">
        <v>174</v>
      </c>
      <c r="E1326" t="s">
        <v>11</v>
      </c>
      <c r="F1326" t="str">
        <f t="shared" si="20"/>
        <v>South</v>
      </c>
      <c r="G1326" t="s">
        <v>56</v>
      </c>
      <c r="H1326" t="s">
        <v>23</v>
      </c>
      <c r="I1326">
        <v>18</v>
      </c>
    </row>
    <row r="1327" spans="1:9" ht="21.75" customHeight="1">
      <c r="A1327" t="s">
        <v>1477</v>
      </c>
      <c r="B1327" s="3">
        <v>45562</v>
      </c>
      <c r="C1327" t="s">
        <v>493</v>
      </c>
      <c r="D1327" t="s">
        <v>87</v>
      </c>
      <c r="E1327" t="s">
        <v>11</v>
      </c>
      <c r="F1327" t="str">
        <f t="shared" si="20"/>
        <v>Central</v>
      </c>
      <c r="G1327" t="s">
        <v>306</v>
      </c>
      <c r="H1327" t="s">
        <v>28</v>
      </c>
      <c r="I1327">
        <v>10</v>
      </c>
    </row>
    <row r="1328" spans="1:9" ht="21.75" customHeight="1">
      <c r="A1328" t="s">
        <v>1478</v>
      </c>
      <c r="B1328" s="3">
        <v>45635</v>
      </c>
      <c r="C1328" t="s">
        <v>350</v>
      </c>
      <c r="D1328" t="s">
        <v>48</v>
      </c>
      <c r="E1328" t="s">
        <v>17</v>
      </c>
      <c r="F1328" t="str">
        <f t="shared" si="20"/>
        <v>Central</v>
      </c>
      <c r="G1328" t="s">
        <v>306</v>
      </c>
      <c r="H1328" t="s">
        <v>23</v>
      </c>
      <c r="I1328">
        <v>4</v>
      </c>
    </row>
    <row r="1329" spans="1:9" ht="21.75" customHeight="1">
      <c r="A1329" t="s">
        <v>1479</v>
      </c>
      <c r="B1329" s="3">
        <v>45324</v>
      </c>
      <c r="C1329" t="s">
        <v>47</v>
      </c>
      <c r="D1329" t="s">
        <v>96</v>
      </c>
      <c r="E1329" t="s">
        <v>22</v>
      </c>
      <c r="F1329" t="str">
        <f t="shared" si="20"/>
        <v>Central</v>
      </c>
      <c r="G1329" t="s">
        <v>306</v>
      </c>
      <c r="H1329" t="s">
        <v>28</v>
      </c>
      <c r="I1329">
        <v>19</v>
      </c>
    </row>
    <row r="1330" spans="1:9" ht="21.75" customHeight="1">
      <c r="A1330" t="s">
        <v>1480</v>
      </c>
      <c r="B1330" s="3">
        <v>45328</v>
      </c>
      <c r="C1330" t="s">
        <v>369</v>
      </c>
      <c r="D1330" t="s">
        <v>21</v>
      </c>
      <c r="E1330" t="s">
        <v>11</v>
      </c>
      <c r="F1330" t="str">
        <f t="shared" si="20"/>
        <v>South</v>
      </c>
      <c r="G1330" t="s">
        <v>56</v>
      </c>
      <c r="H1330" t="s">
        <v>13</v>
      </c>
      <c r="I1330">
        <v>2</v>
      </c>
    </row>
    <row r="1331" spans="1:9" ht="21.75" customHeight="1">
      <c r="A1331" t="s">
        <v>1481</v>
      </c>
      <c r="B1331" s="3">
        <v>45328</v>
      </c>
      <c r="C1331" t="s">
        <v>345</v>
      </c>
      <c r="D1331" t="s">
        <v>197</v>
      </c>
      <c r="E1331" t="s">
        <v>17</v>
      </c>
      <c r="F1331" t="str">
        <f t="shared" si="20"/>
        <v>West</v>
      </c>
      <c r="G1331" t="s">
        <v>27</v>
      </c>
      <c r="H1331" t="s">
        <v>28</v>
      </c>
      <c r="I1331">
        <v>18</v>
      </c>
    </row>
    <row r="1332" spans="1:9" ht="21.75" customHeight="1">
      <c r="A1332" t="s">
        <v>1482</v>
      </c>
      <c r="B1332" s="3">
        <v>45584</v>
      </c>
      <c r="C1332" t="s">
        <v>314</v>
      </c>
      <c r="D1332" t="s">
        <v>35</v>
      </c>
      <c r="E1332" t="s">
        <v>11</v>
      </c>
      <c r="F1332" t="str">
        <f t="shared" si="20"/>
        <v>West</v>
      </c>
      <c r="G1332" t="s">
        <v>27</v>
      </c>
      <c r="H1332" t="s">
        <v>23</v>
      </c>
      <c r="I1332">
        <v>7</v>
      </c>
    </row>
    <row r="1333" spans="1:9" ht="21.75" customHeight="1">
      <c r="A1333" t="s">
        <v>1483</v>
      </c>
      <c r="B1333" s="3">
        <v>45629</v>
      </c>
      <c r="C1333" t="s">
        <v>348</v>
      </c>
      <c r="D1333" t="s">
        <v>48</v>
      </c>
      <c r="E1333" t="s">
        <v>17</v>
      </c>
      <c r="F1333" t="str">
        <f t="shared" si="20"/>
        <v>West</v>
      </c>
      <c r="G1333" t="s">
        <v>27</v>
      </c>
      <c r="H1333" t="s">
        <v>23</v>
      </c>
      <c r="I1333">
        <v>2</v>
      </c>
    </row>
    <row r="1334" spans="1:9" ht="21.75" customHeight="1">
      <c r="A1334" t="s">
        <v>1484</v>
      </c>
      <c r="B1334" s="3">
        <v>45622</v>
      </c>
      <c r="C1334" t="s">
        <v>108</v>
      </c>
      <c r="D1334" t="s">
        <v>79</v>
      </c>
      <c r="E1334" t="s">
        <v>17</v>
      </c>
      <c r="F1334" t="str">
        <f t="shared" si="20"/>
        <v>East</v>
      </c>
      <c r="G1334" t="s">
        <v>42</v>
      </c>
      <c r="H1334" t="s">
        <v>13</v>
      </c>
      <c r="I1334">
        <v>8</v>
      </c>
    </row>
    <row r="1335" spans="1:9" ht="21.75" customHeight="1">
      <c r="A1335" t="s">
        <v>1485</v>
      </c>
      <c r="B1335" s="3">
        <v>45566</v>
      </c>
      <c r="C1335" t="s">
        <v>430</v>
      </c>
      <c r="D1335" t="s">
        <v>16</v>
      </c>
      <c r="E1335" t="s">
        <v>17</v>
      </c>
      <c r="F1335" t="str">
        <f t="shared" si="20"/>
        <v>South</v>
      </c>
      <c r="G1335" t="s">
        <v>56</v>
      </c>
      <c r="H1335" t="s">
        <v>32</v>
      </c>
      <c r="I1335">
        <v>15</v>
      </c>
    </row>
    <row r="1336" spans="1:9" ht="21.75" customHeight="1">
      <c r="A1336" t="s">
        <v>1486</v>
      </c>
      <c r="B1336" s="3">
        <v>45330</v>
      </c>
      <c r="C1336" t="s">
        <v>396</v>
      </c>
      <c r="D1336" t="s">
        <v>174</v>
      </c>
      <c r="E1336" t="s">
        <v>11</v>
      </c>
      <c r="F1336" t="str">
        <f t="shared" si="20"/>
        <v>North</v>
      </c>
      <c r="G1336" t="s">
        <v>12</v>
      </c>
      <c r="H1336" t="s">
        <v>36</v>
      </c>
      <c r="I1336">
        <v>1</v>
      </c>
    </row>
    <row r="1337" spans="1:9" ht="21.75" customHeight="1">
      <c r="A1337" t="s">
        <v>1487</v>
      </c>
      <c r="B1337" s="3">
        <v>45413</v>
      </c>
      <c r="C1337" t="s">
        <v>30</v>
      </c>
      <c r="D1337" t="s">
        <v>87</v>
      </c>
      <c r="E1337" t="s">
        <v>17</v>
      </c>
      <c r="F1337" t="str">
        <f t="shared" si="20"/>
        <v>West</v>
      </c>
      <c r="G1337" t="s">
        <v>27</v>
      </c>
      <c r="H1337" t="s">
        <v>28</v>
      </c>
      <c r="I1337">
        <v>13</v>
      </c>
    </row>
    <row r="1338" spans="1:9" ht="21.75" customHeight="1">
      <c r="A1338" t="s">
        <v>1488</v>
      </c>
      <c r="B1338" s="3">
        <v>45376</v>
      </c>
      <c r="C1338" t="s">
        <v>159</v>
      </c>
      <c r="D1338" t="s">
        <v>96</v>
      </c>
      <c r="E1338" t="s">
        <v>17</v>
      </c>
      <c r="F1338" t="str">
        <f t="shared" si="20"/>
        <v>East</v>
      </c>
      <c r="G1338" t="s">
        <v>42</v>
      </c>
      <c r="H1338" t="s">
        <v>23</v>
      </c>
      <c r="I1338">
        <v>10</v>
      </c>
    </row>
    <row r="1339" spans="1:9" ht="21.75" customHeight="1">
      <c r="A1339" t="s">
        <v>1489</v>
      </c>
      <c r="B1339" s="3">
        <v>45576</v>
      </c>
      <c r="C1339" t="s">
        <v>371</v>
      </c>
      <c r="D1339" t="s">
        <v>62</v>
      </c>
      <c r="E1339" t="s">
        <v>17</v>
      </c>
      <c r="F1339" t="str">
        <f t="shared" si="20"/>
        <v>South</v>
      </c>
      <c r="G1339" t="s">
        <v>56</v>
      </c>
      <c r="H1339" t="s">
        <v>28</v>
      </c>
      <c r="I1339">
        <v>10</v>
      </c>
    </row>
    <row r="1340" spans="1:9" ht="21.75" customHeight="1">
      <c r="A1340" t="s">
        <v>1490</v>
      </c>
      <c r="B1340" s="3">
        <v>45321</v>
      </c>
      <c r="C1340" t="s">
        <v>361</v>
      </c>
      <c r="D1340" t="s">
        <v>84</v>
      </c>
      <c r="E1340" t="s">
        <v>22</v>
      </c>
      <c r="F1340" t="str">
        <f t="shared" si="20"/>
        <v>North</v>
      </c>
      <c r="G1340" t="s">
        <v>12</v>
      </c>
      <c r="H1340" t="s">
        <v>32</v>
      </c>
      <c r="I1340">
        <v>2</v>
      </c>
    </row>
    <row r="1341" spans="1:9" ht="21.75" customHeight="1">
      <c r="A1341" t="s">
        <v>1491</v>
      </c>
      <c r="B1341" s="3">
        <v>45536</v>
      </c>
      <c r="C1341" t="s">
        <v>358</v>
      </c>
      <c r="D1341" t="s">
        <v>160</v>
      </c>
      <c r="E1341" t="s">
        <v>11</v>
      </c>
      <c r="F1341" t="str">
        <f t="shared" si="20"/>
        <v>North</v>
      </c>
      <c r="G1341" t="s">
        <v>12</v>
      </c>
      <c r="H1341" t="s">
        <v>36</v>
      </c>
      <c r="I1341">
        <v>3</v>
      </c>
    </row>
    <row r="1342" spans="1:9" ht="21.75" customHeight="1">
      <c r="A1342" t="s">
        <v>1492</v>
      </c>
      <c r="B1342" s="3">
        <v>45327</v>
      </c>
      <c r="C1342" t="s">
        <v>327</v>
      </c>
      <c r="D1342" t="s">
        <v>10</v>
      </c>
      <c r="E1342" t="s">
        <v>22</v>
      </c>
      <c r="F1342" t="str">
        <f t="shared" si="20"/>
        <v>South</v>
      </c>
      <c r="G1342" t="s">
        <v>56</v>
      </c>
      <c r="H1342" t="s">
        <v>23</v>
      </c>
      <c r="I1342">
        <v>4</v>
      </c>
    </row>
    <row r="1343" spans="1:9" ht="21.75" customHeight="1">
      <c r="A1343" t="s">
        <v>1493</v>
      </c>
      <c r="B1343" s="3">
        <v>45583</v>
      </c>
      <c r="C1343" t="s">
        <v>78</v>
      </c>
      <c r="D1343" t="s">
        <v>59</v>
      </c>
      <c r="E1343" t="s">
        <v>22</v>
      </c>
      <c r="F1343" t="str">
        <f t="shared" si="20"/>
        <v>North</v>
      </c>
      <c r="G1343" t="s">
        <v>12</v>
      </c>
      <c r="H1343" t="s">
        <v>36</v>
      </c>
      <c r="I1343">
        <v>3</v>
      </c>
    </row>
    <row r="1344" spans="1:9" ht="21.75" customHeight="1">
      <c r="A1344" t="s">
        <v>1494</v>
      </c>
      <c r="B1344" s="3">
        <v>45590</v>
      </c>
      <c r="C1344" t="s">
        <v>614</v>
      </c>
      <c r="D1344" t="s">
        <v>160</v>
      </c>
      <c r="E1344" t="s">
        <v>17</v>
      </c>
      <c r="F1344" t="str">
        <f t="shared" si="20"/>
        <v>East</v>
      </c>
      <c r="G1344" t="s">
        <v>42</v>
      </c>
      <c r="H1344" t="s">
        <v>28</v>
      </c>
      <c r="I1344">
        <v>11</v>
      </c>
    </row>
    <row r="1345" spans="1:9" ht="21.75" customHeight="1">
      <c r="A1345" t="s">
        <v>1495</v>
      </c>
      <c r="B1345" s="3">
        <v>45494</v>
      </c>
      <c r="C1345" t="s">
        <v>34</v>
      </c>
      <c r="D1345" t="s">
        <v>41</v>
      </c>
      <c r="E1345" t="s">
        <v>22</v>
      </c>
      <c r="F1345" t="str">
        <f t="shared" si="20"/>
        <v>East</v>
      </c>
      <c r="G1345" t="s">
        <v>42</v>
      </c>
      <c r="H1345" t="s">
        <v>23</v>
      </c>
      <c r="I1345">
        <v>11</v>
      </c>
    </row>
    <row r="1346" spans="1:9" ht="21.75" customHeight="1">
      <c r="A1346" t="s">
        <v>1496</v>
      </c>
      <c r="B1346" s="3">
        <v>45329</v>
      </c>
      <c r="C1346" t="s">
        <v>142</v>
      </c>
      <c r="D1346" t="s">
        <v>70</v>
      </c>
      <c r="E1346" t="s">
        <v>22</v>
      </c>
      <c r="F1346" t="str">
        <f t="shared" si="20"/>
        <v>Central</v>
      </c>
      <c r="G1346" t="s">
        <v>306</v>
      </c>
      <c r="H1346" t="s">
        <v>13</v>
      </c>
      <c r="I1346">
        <v>3</v>
      </c>
    </row>
    <row r="1347" spans="1:9" ht="21.75" customHeight="1">
      <c r="A1347" t="s">
        <v>1497</v>
      </c>
      <c r="B1347" s="3">
        <v>45551</v>
      </c>
      <c r="C1347" t="s">
        <v>86</v>
      </c>
      <c r="D1347" t="s">
        <v>16</v>
      </c>
      <c r="E1347" t="s">
        <v>17</v>
      </c>
      <c r="F1347" t="str">
        <f t="shared" ref="F1347:F1410" si="21">TRIM(PROPER(G1347))</f>
        <v>North</v>
      </c>
      <c r="G1347" t="s">
        <v>12</v>
      </c>
      <c r="H1347" t="s">
        <v>28</v>
      </c>
      <c r="I1347">
        <v>12</v>
      </c>
    </row>
    <row r="1348" spans="1:9" ht="21.75" customHeight="1">
      <c r="A1348" t="s">
        <v>1498</v>
      </c>
      <c r="B1348" s="3">
        <v>45516</v>
      </c>
      <c r="C1348" t="s">
        <v>591</v>
      </c>
      <c r="D1348" t="s">
        <v>62</v>
      </c>
      <c r="E1348" t="s">
        <v>17</v>
      </c>
      <c r="F1348" t="str">
        <f t="shared" si="21"/>
        <v>Central</v>
      </c>
      <c r="G1348" t="s">
        <v>306</v>
      </c>
      <c r="H1348" t="s">
        <v>36</v>
      </c>
      <c r="I1348">
        <v>1</v>
      </c>
    </row>
    <row r="1349" spans="1:9" ht="21.75" customHeight="1">
      <c r="A1349" t="s">
        <v>1499</v>
      </c>
      <c r="B1349" s="3">
        <v>45575</v>
      </c>
      <c r="C1349" t="s">
        <v>68</v>
      </c>
      <c r="D1349" t="s">
        <v>41</v>
      </c>
      <c r="E1349" t="s">
        <v>11</v>
      </c>
      <c r="F1349" t="str">
        <f t="shared" si="21"/>
        <v>South</v>
      </c>
      <c r="G1349" t="s">
        <v>56</v>
      </c>
      <c r="H1349" t="s">
        <v>32</v>
      </c>
      <c r="I1349">
        <v>4</v>
      </c>
    </row>
    <row r="1350" spans="1:9" ht="21.75" customHeight="1">
      <c r="A1350" t="s">
        <v>1500</v>
      </c>
      <c r="B1350" s="3">
        <v>45575</v>
      </c>
      <c r="C1350" t="s">
        <v>125</v>
      </c>
      <c r="D1350" t="s">
        <v>26</v>
      </c>
      <c r="E1350" t="s">
        <v>17</v>
      </c>
      <c r="F1350" t="str">
        <f t="shared" si="21"/>
        <v>Central</v>
      </c>
      <c r="G1350" t="s">
        <v>306</v>
      </c>
      <c r="H1350" t="s">
        <v>28</v>
      </c>
      <c r="I1350">
        <v>11</v>
      </c>
    </row>
    <row r="1351" spans="1:9" ht="21.75" customHeight="1">
      <c r="A1351" t="s">
        <v>1501</v>
      </c>
      <c r="B1351" s="3">
        <v>45616</v>
      </c>
      <c r="C1351" t="s">
        <v>86</v>
      </c>
      <c r="D1351" t="s">
        <v>160</v>
      </c>
      <c r="E1351" t="s">
        <v>17</v>
      </c>
      <c r="F1351" t="str">
        <f t="shared" si="21"/>
        <v>East</v>
      </c>
      <c r="G1351" t="s">
        <v>42</v>
      </c>
      <c r="H1351" t="s">
        <v>13</v>
      </c>
      <c r="I1351">
        <v>3</v>
      </c>
    </row>
    <row r="1352" spans="1:9" ht="21.75" customHeight="1">
      <c r="A1352" t="s">
        <v>1502</v>
      </c>
      <c r="B1352" s="3">
        <v>45433</v>
      </c>
      <c r="C1352" t="s">
        <v>116</v>
      </c>
      <c r="D1352" t="s">
        <v>96</v>
      </c>
      <c r="E1352" t="s">
        <v>17</v>
      </c>
      <c r="F1352" t="str">
        <f t="shared" si="21"/>
        <v>South</v>
      </c>
      <c r="G1352" t="s">
        <v>56</v>
      </c>
      <c r="H1352" t="s">
        <v>32</v>
      </c>
      <c r="I1352">
        <v>6</v>
      </c>
    </row>
    <row r="1353" spans="1:9" ht="21.75" customHeight="1">
      <c r="A1353" t="s">
        <v>1503</v>
      </c>
      <c r="B1353" s="3">
        <v>45574</v>
      </c>
      <c r="C1353" t="s">
        <v>369</v>
      </c>
      <c r="D1353" t="s">
        <v>87</v>
      </c>
      <c r="E1353" t="s">
        <v>22</v>
      </c>
      <c r="F1353" t="str">
        <f t="shared" si="21"/>
        <v>North</v>
      </c>
      <c r="G1353" t="s">
        <v>12</v>
      </c>
      <c r="H1353" t="s">
        <v>13</v>
      </c>
      <c r="I1353">
        <v>3</v>
      </c>
    </row>
    <row r="1354" spans="1:9" ht="21.75" customHeight="1">
      <c r="A1354" t="s">
        <v>1504</v>
      </c>
      <c r="B1354" s="3">
        <v>45645</v>
      </c>
      <c r="C1354" t="s">
        <v>125</v>
      </c>
      <c r="D1354" t="s">
        <v>174</v>
      </c>
      <c r="E1354" t="s">
        <v>11</v>
      </c>
      <c r="F1354" t="str">
        <f t="shared" si="21"/>
        <v>East</v>
      </c>
      <c r="G1354" t="s">
        <v>42</v>
      </c>
      <c r="H1354" t="s">
        <v>36</v>
      </c>
      <c r="I1354">
        <v>18</v>
      </c>
    </row>
    <row r="1355" spans="1:9" ht="21.75" customHeight="1">
      <c r="A1355" t="s">
        <v>1505</v>
      </c>
      <c r="B1355" s="3">
        <v>45357</v>
      </c>
      <c r="C1355" t="s">
        <v>116</v>
      </c>
      <c r="D1355" t="s">
        <v>74</v>
      </c>
      <c r="E1355" t="s">
        <v>17</v>
      </c>
      <c r="F1355" t="str">
        <f t="shared" si="21"/>
        <v>North</v>
      </c>
      <c r="G1355" t="s">
        <v>12</v>
      </c>
      <c r="H1355" t="s">
        <v>32</v>
      </c>
      <c r="I1355">
        <v>7</v>
      </c>
    </row>
    <row r="1356" spans="1:9" ht="21.75" customHeight="1">
      <c r="A1356" t="s">
        <v>1506</v>
      </c>
      <c r="B1356" s="3">
        <v>45633</v>
      </c>
      <c r="C1356" t="s">
        <v>15</v>
      </c>
      <c r="D1356" t="s">
        <v>48</v>
      </c>
      <c r="E1356" t="s">
        <v>22</v>
      </c>
      <c r="F1356" t="str">
        <f t="shared" si="21"/>
        <v>West</v>
      </c>
      <c r="G1356" t="s">
        <v>27</v>
      </c>
      <c r="H1356" t="s">
        <v>36</v>
      </c>
      <c r="I1356">
        <v>5</v>
      </c>
    </row>
    <row r="1357" spans="1:9" ht="21.75" customHeight="1">
      <c r="A1357" t="s">
        <v>1507</v>
      </c>
      <c r="B1357" s="3">
        <v>45413</v>
      </c>
      <c r="C1357" t="s">
        <v>111</v>
      </c>
      <c r="D1357" t="s">
        <v>45</v>
      </c>
      <c r="E1357" t="s">
        <v>17</v>
      </c>
      <c r="F1357" t="str">
        <f t="shared" si="21"/>
        <v>North</v>
      </c>
      <c r="G1357" t="s">
        <v>12</v>
      </c>
      <c r="H1357" t="s">
        <v>28</v>
      </c>
      <c r="I1357">
        <v>11</v>
      </c>
    </row>
    <row r="1358" spans="1:9" ht="21.75" customHeight="1">
      <c r="A1358" t="s">
        <v>1508</v>
      </c>
      <c r="B1358" s="3">
        <v>45502</v>
      </c>
      <c r="C1358" t="s">
        <v>317</v>
      </c>
      <c r="D1358" t="s">
        <v>84</v>
      </c>
      <c r="E1358" t="s">
        <v>11</v>
      </c>
      <c r="F1358" t="str">
        <f t="shared" si="21"/>
        <v>East</v>
      </c>
      <c r="G1358" t="s">
        <v>42</v>
      </c>
      <c r="H1358" t="s">
        <v>28</v>
      </c>
      <c r="I1358">
        <v>4</v>
      </c>
    </row>
    <row r="1359" spans="1:9" ht="21.75" customHeight="1">
      <c r="A1359" t="s">
        <v>1509</v>
      </c>
      <c r="B1359" s="3">
        <v>45311</v>
      </c>
      <c r="C1359" t="s">
        <v>553</v>
      </c>
      <c r="D1359" t="s">
        <v>197</v>
      </c>
      <c r="E1359" t="s">
        <v>11</v>
      </c>
      <c r="F1359" t="str">
        <f t="shared" si="21"/>
        <v>West</v>
      </c>
      <c r="G1359" t="s">
        <v>27</v>
      </c>
      <c r="H1359" t="s">
        <v>32</v>
      </c>
      <c r="I1359">
        <v>10</v>
      </c>
    </row>
    <row r="1360" spans="1:9" ht="21.75" customHeight="1">
      <c r="A1360" t="s">
        <v>1510</v>
      </c>
      <c r="B1360" s="3">
        <v>45408</v>
      </c>
      <c r="C1360" t="s">
        <v>240</v>
      </c>
      <c r="D1360" t="s">
        <v>96</v>
      </c>
      <c r="E1360" t="s">
        <v>22</v>
      </c>
      <c r="F1360" t="str">
        <f t="shared" si="21"/>
        <v>South</v>
      </c>
      <c r="G1360" t="s">
        <v>56</v>
      </c>
      <c r="H1360" t="s">
        <v>23</v>
      </c>
      <c r="I1360">
        <v>11</v>
      </c>
    </row>
    <row r="1361" spans="1:9" ht="21.75" customHeight="1">
      <c r="A1361" t="s">
        <v>1511</v>
      </c>
      <c r="B1361" s="3">
        <v>45327</v>
      </c>
      <c r="C1361" t="s">
        <v>337</v>
      </c>
      <c r="D1361" t="s">
        <v>26</v>
      </c>
      <c r="E1361" t="s">
        <v>17</v>
      </c>
      <c r="F1361" t="str">
        <f t="shared" si="21"/>
        <v>Central</v>
      </c>
      <c r="G1361" t="s">
        <v>306</v>
      </c>
      <c r="H1361" t="s">
        <v>23</v>
      </c>
      <c r="I1361">
        <v>18</v>
      </c>
    </row>
    <row r="1362" spans="1:9" ht="21.75" customHeight="1">
      <c r="A1362" t="s">
        <v>1512</v>
      </c>
      <c r="B1362" s="3">
        <v>45306</v>
      </c>
      <c r="C1362" t="s">
        <v>40</v>
      </c>
      <c r="D1362" t="s">
        <v>26</v>
      </c>
      <c r="E1362" t="s">
        <v>11</v>
      </c>
      <c r="F1362" t="str">
        <f t="shared" si="21"/>
        <v>Central</v>
      </c>
      <c r="G1362" t="s">
        <v>306</v>
      </c>
      <c r="H1362" t="s">
        <v>32</v>
      </c>
      <c r="I1362">
        <v>2</v>
      </c>
    </row>
    <row r="1363" spans="1:9" ht="21.75" customHeight="1">
      <c r="A1363" t="s">
        <v>1513</v>
      </c>
      <c r="B1363" s="3">
        <v>45514</v>
      </c>
      <c r="C1363" t="s">
        <v>20</v>
      </c>
      <c r="D1363" t="s">
        <v>84</v>
      </c>
      <c r="E1363" t="s">
        <v>17</v>
      </c>
      <c r="F1363" t="str">
        <f t="shared" si="21"/>
        <v>West</v>
      </c>
      <c r="G1363" t="s">
        <v>27</v>
      </c>
      <c r="H1363" t="s">
        <v>36</v>
      </c>
      <c r="I1363">
        <v>17</v>
      </c>
    </row>
    <row r="1364" spans="1:9" ht="21.75" customHeight="1">
      <c r="A1364" t="s">
        <v>1514</v>
      </c>
      <c r="B1364" s="3">
        <v>45587</v>
      </c>
      <c r="C1364" t="s">
        <v>150</v>
      </c>
      <c r="D1364" t="s">
        <v>26</v>
      </c>
      <c r="E1364" t="s">
        <v>11</v>
      </c>
      <c r="F1364" t="str">
        <f t="shared" si="21"/>
        <v>West</v>
      </c>
      <c r="G1364" t="s">
        <v>27</v>
      </c>
      <c r="H1364" t="s">
        <v>13</v>
      </c>
      <c r="I1364">
        <v>17</v>
      </c>
    </row>
    <row r="1365" spans="1:9" ht="21.75" customHeight="1">
      <c r="A1365" t="s">
        <v>1515</v>
      </c>
      <c r="B1365" s="3">
        <v>45567</v>
      </c>
      <c r="C1365" t="s">
        <v>455</v>
      </c>
      <c r="D1365" t="s">
        <v>84</v>
      </c>
      <c r="E1365" t="s">
        <v>22</v>
      </c>
      <c r="F1365" t="str">
        <f t="shared" si="21"/>
        <v>South</v>
      </c>
      <c r="G1365" t="s">
        <v>56</v>
      </c>
      <c r="H1365" t="s">
        <v>32</v>
      </c>
      <c r="I1365">
        <v>14</v>
      </c>
    </row>
    <row r="1366" spans="1:9" ht="21.75" customHeight="1">
      <c r="A1366" t="s">
        <v>1516</v>
      </c>
      <c r="B1366" s="3">
        <v>45632</v>
      </c>
      <c r="C1366" t="s">
        <v>118</v>
      </c>
      <c r="D1366" t="s">
        <v>109</v>
      </c>
      <c r="E1366" t="s">
        <v>17</v>
      </c>
      <c r="F1366" t="str">
        <f t="shared" si="21"/>
        <v>North</v>
      </c>
      <c r="G1366" t="s">
        <v>12</v>
      </c>
      <c r="H1366" t="s">
        <v>32</v>
      </c>
      <c r="I1366">
        <v>17</v>
      </c>
    </row>
    <row r="1367" spans="1:9" ht="21.75" customHeight="1">
      <c r="A1367" t="s">
        <v>1517</v>
      </c>
      <c r="B1367" s="3">
        <v>45501</v>
      </c>
      <c r="C1367" t="s">
        <v>187</v>
      </c>
      <c r="D1367" t="s">
        <v>31</v>
      </c>
      <c r="E1367" t="s">
        <v>22</v>
      </c>
      <c r="F1367" t="str">
        <f t="shared" si="21"/>
        <v>East</v>
      </c>
      <c r="G1367" t="s">
        <v>42</v>
      </c>
      <c r="H1367" t="s">
        <v>36</v>
      </c>
      <c r="I1367">
        <v>5</v>
      </c>
    </row>
    <row r="1368" spans="1:9" ht="21.75" customHeight="1">
      <c r="A1368" t="s">
        <v>1518</v>
      </c>
      <c r="B1368" s="3">
        <v>45632</v>
      </c>
      <c r="C1368" t="s">
        <v>159</v>
      </c>
      <c r="D1368" t="s">
        <v>41</v>
      </c>
      <c r="E1368" t="s">
        <v>22</v>
      </c>
      <c r="F1368" t="str">
        <f t="shared" si="21"/>
        <v>South</v>
      </c>
      <c r="G1368" t="s">
        <v>56</v>
      </c>
      <c r="H1368" t="s">
        <v>36</v>
      </c>
      <c r="I1368">
        <v>19</v>
      </c>
    </row>
    <row r="1369" spans="1:9" ht="21.75" customHeight="1">
      <c r="A1369" t="s">
        <v>1519</v>
      </c>
      <c r="B1369" s="3">
        <v>45572</v>
      </c>
      <c r="C1369" t="s">
        <v>25</v>
      </c>
      <c r="D1369" t="s">
        <v>74</v>
      </c>
      <c r="E1369" t="s">
        <v>17</v>
      </c>
      <c r="F1369" t="str">
        <f t="shared" si="21"/>
        <v>South</v>
      </c>
      <c r="G1369" t="s">
        <v>56</v>
      </c>
      <c r="H1369" t="s">
        <v>23</v>
      </c>
      <c r="I1369">
        <v>19</v>
      </c>
    </row>
    <row r="1370" spans="1:9" ht="21.75" customHeight="1">
      <c r="A1370" t="s">
        <v>1520</v>
      </c>
      <c r="B1370" s="3">
        <v>45456</v>
      </c>
      <c r="C1370" t="s">
        <v>319</v>
      </c>
      <c r="D1370" t="s">
        <v>70</v>
      </c>
      <c r="E1370" t="s">
        <v>17</v>
      </c>
      <c r="F1370" t="str">
        <f t="shared" si="21"/>
        <v>South</v>
      </c>
      <c r="G1370" t="s">
        <v>56</v>
      </c>
      <c r="H1370" t="s">
        <v>36</v>
      </c>
      <c r="I1370">
        <v>16</v>
      </c>
    </row>
    <row r="1371" spans="1:9" ht="21.75" customHeight="1">
      <c r="A1371" t="s">
        <v>1521</v>
      </c>
      <c r="B1371" s="3">
        <v>45378</v>
      </c>
      <c r="C1371" t="s">
        <v>371</v>
      </c>
      <c r="D1371" t="s">
        <v>10</v>
      </c>
      <c r="E1371" t="s">
        <v>17</v>
      </c>
      <c r="F1371" t="str">
        <f t="shared" si="21"/>
        <v>Central</v>
      </c>
      <c r="G1371" t="s">
        <v>306</v>
      </c>
      <c r="H1371" t="s">
        <v>36</v>
      </c>
      <c r="I1371">
        <v>11</v>
      </c>
    </row>
    <row r="1372" spans="1:9" ht="21.75" customHeight="1">
      <c r="A1372" t="s">
        <v>1522</v>
      </c>
      <c r="B1372" s="3">
        <v>45412</v>
      </c>
      <c r="C1372" t="s">
        <v>422</v>
      </c>
      <c r="D1372" t="s">
        <v>74</v>
      </c>
      <c r="E1372" t="s">
        <v>11</v>
      </c>
      <c r="F1372" t="str">
        <f t="shared" si="21"/>
        <v>South</v>
      </c>
      <c r="G1372" t="s">
        <v>56</v>
      </c>
      <c r="H1372" t="s">
        <v>28</v>
      </c>
      <c r="I1372">
        <v>1</v>
      </c>
    </row>
    <row r="1373" spans="1:9" ht="21.75" customHeight="1">
      <c r="A1373" t="s">
        <v>1523</v>
      </c>
      <c r="B1373" s="3">
        <v>45535</v>
      </c>
      <c r="C1373" t="s">
        <v>594</v>
      </c>
      <c r="D1373" t="s">
        <v>119</v>
      </c>
      <c r="E1373" t="s">
        <v>11</v>
      </c>
      <c r="F1373" t="str">
        <f t="shared" si="21"/>
        <v>West</v>
      </c>
      <c r="G1373" t="s">
        <v>27</v>
      </c>
      <c r="H1373" t="s">
        <v>23</v>
      </c>
      <c r="I1373">
        <v>19</v>
      </c>
    </row>
    <row r="1374" spans="1:9" ht="21.75" customHeight="1">
      <c r="A1374" t="s">
        <v>1524</v>
      </c>
      <c r="B1374" s="3">
        <v>45648</v>
      </c>
      <c r="C1374" t="s">
        <v>53</v>
      </c>
      <c r="D1374" t="s">
        <v>35</v>
      </c>
      <c r="E1374" t="s">
        <v>17</v>
      </c>
      <c r="F1374" t="str">
        <f t="shared" si="21"/>
        <v>South</v>
      </c>
      <c r="G1374" t="s">
        <v>56</v>
      </c>
      <c r="H1374" t="s">
        <v>28</v>
      </c>
      <c r="I1374">
        <v>1</v>
      </c>
    </row>
    <row r="1375" spans="1:9" ht="21.75" customHeight="1">
      <c r="A1375" t="s">
        <v>1525</v>
      </c>
      <c r="B1375" s="3">
        <v>45346</v>
      </c>
      <c r="C1375" t="s">
        <v>420</v>
      </c>
      <c r="D1375" t="s">
        <v>87</v>
      </c>
      <c r="E1375" t="s">
        <v>11</v>
      </c>
      <c r="F1375" t="str">
        <f t="shared" si="21"/>
        <v>South</v>
      </c>
      <c r="G1375" t="s">
        <v>56</v>
      </c>
      <c r="H1375" t="s">
        <v>36</v>
      </c>
      <c r="I1375">
        <v>15</v>
      </c>
    </row>
    <row r="1376" spans="1:9" ht="21.75" customHeight="1">
      <c r="A1376" t="s">
        <v>1526</v>
      </c>
      <c r="B1376" s="3">
        <v>45419</v>
      </c>
      <c r="C1376" t="s">
        <v>114</v>
      </c>
      <c r="D1376" t="s">
        <v>70</v>
      </c>
      <c r="E1376" t="s">
        <v>11</v>
      </c>
      <c r="F1376" t="str">
        <f t="shared" si="21"/>
        <v>West</v>
      </c>
      <c r="G1376" t="s">
        <v>27</v>
      </c>
      <c r="H1376" t="s">
        <v>36</v>
      </c>
      <c r="I1376">
        <v>18</v>
      </c>
    </row>
    <row r="1377" spans="1:9" ht="21.75" customHeight="1">
      <c r="A1377" t="s">
        <v>1527</v>
      </c>
      <c r="B1377" s="3">
        <v>45518</v>
      </c>
      <c r="C1377" t="s">
        <v>594</v>
      </c>
      <c r="D1377" t="s">
        <v>84</v>
      </c>
      <c r="E1377" t="s">
        <v>22</v>
      </c>
      <c r="F1377" t="str">
        <f t="shared" si="21"/>
        <v>West</v>
      </c>
      <c r="G1377" t="s">
        <v>27</v>
      </c>
      <c r="H1377" t="s">
        <v>36</v>
      </c>
      <c r="I1377">
        <v>15</v>
      </c>
    </row>
    <row r="1378" spans="1:9" ht="21.75" customHeight="1">
      <c r="A1378" t="s">
        <v>1528</v>
      </c>
      <c r="B1378" s="3">
        <v>45535</v>
      </c>
      <c r="C1378" t="s">
        <v>430</v>
      </c>
      <c r="D1378" t="s">
        <v>26</v>
      </c>
      <c r="E1378" t="s">
        <v>11</v>
      </c>
      <c r="F1378" t="str">
        <f t="shared" si="21"/>
        <v>East</v>
      </c>
      <c r="G1378" t="s">
        <v>42</v>
      </c>
      <c r="H1378" t="s">
        <v>36</v>
      </c>
      <c r="I1378">
        <v>16</v>
      </c>
    </row>
    <row r="1379" spans="1:9" ht="21.75" customHeight="1">
      <c r="A1379" t="s">
        <v>1529</v>
      </c>
      <c r="B1379" s="3">
        <v>45432</v>
      </c>
      <c r="C1379" t="s">
        <v>396</v>
      </c>
      <c r="D1379" t="s">
        <v>10</v>
      </c>
      <c r="E1379" t="s">
        <v>22</v>
      </c>
      <c r="F1379" t="str">
        <f t="shared" si="21"/>
        <v>East</v>
      </c>
      <c r="G1379" t="s">
        <v>42</v>
      </c>
      <c r="H1379" t="s">
        <v>28</v>
      </c>
      <c r="I1379">
        <v>9</v>
      </c>
    </row>
    <row r="1380" spans="1:9" ht="21.75" customHeight="1">
      <c r="A1380" t="s">
        <v>1530</v>
      </c>
      <c r="B1380" s="3">
        <v>45568</v>
      </c>
      <c r="C1380" t="s">
        <v>81</v>
      </c>
      <c r="D1380" t="s">
        <v>16</v>
      </c>
      <c r="E1380" t="s">
        <v>11</v>
      </c>
      <c r="F1380" t="str">
        <f t="shared" si="21"/>
        <v>South</v>
      </c>
      <c r="G1380" t="s">
        <v>56</v>
      </c>
      <c r="H1380" t="s">
        <v>23</v>
      </c>
      <c r="I1380">
        <v>5</v>
      </c>
    </row>
    <row r="1381" spans="1:9" ht="21.75" customHeight="1">
      <c r="A1381" t="s">
        <v>1531</v>
      </c>
      <c r="B1381" s="3">
        <v>45324</v>
      </c>
      <c r="C1381" t="s">
        <v>572</v>
      </c>
      <c r="D1381" t="s">
        <v>87</v>
      </c>
      <c r="E1381" t="s">
        <v>17</v>
      </c>
      <c r="F1381" t="str">
        <f t="shared" si="21"/>
        <v>Central</v>
      </c>
      <c r="G1381" t="s">
        <v>306</v>
      </c>
      <c r="H1381" t="s">
        <v>23</v>
      </c>
      <c r="I1381">
        <v>14</v>
      </c>
    </row>
    <row r="1382" spans="1:9" ht="21.75" customHeight="1">
      <c r="A1382" t="s">
        <v>1532</v>
      </c>
      <c r="B1382" s="3">
        <v>45507</v>
      </c>
      <c r="C1382" t="s">
        <v>53</v>
      </c>
      <c r="D1382" t="s">
        <v>119</v>
      </c>
      <c r="E1382" t="s">
        <v>22</v>
      </c>
      <c r="F1382" t="str">
        <f t="shared" si="21"/>
        <v>North</v>
      </c>
      <c r="G1382" t="s">
        <v>12</v>
      </c>
      <c r="H1382" t="s">
        <v>36</v>
      </c>
      <c r="I1382">
        <v>13</v>
      </c>
    </row>
    <row r="1383" spans="1:9" ht="21.75" customHeight="1">
      <c r="A1383" t="s">
        <v>1533</v>
      </c>
      <c r="B1383" s="3">
        <v>45472</v>
      </c>
      <c r="C1383" t="s">
        <v>68</v>
      </c>
      <c r="D1383" t="s">
        <v>119</v>
      </c>
      <c r="E1383" t="s">
        <v>17</v>
      </c>
      <c r="F1383" t="str">
        <f t="shared" si="21"/>
        <v>West</v>
      </c>
      <c r="G1383" t="s">
        <v>27</v>
      </c>
      <c r="H1383" t="s">
        <v>36</v>
      </c>
      <c r="I1383">
        <v>18</v>
      </c>
    </row>
    <row r="1384" spans="1:9" ht="21.75" customHeight="1">
      <c r="A1384" t="s">
        <v>1534</v>
      </c>
      <c r="B1384" s="3">
        <v>45404</v>
      </c>
      <c r="C1384" t="s">
        <v>374</v>
      </c>
      <c r="D1384" t="s">
        <v>197</v>
      </c>
      <c r="E1384" t="s">
        <v>17</v>
      </c>
      <c r="F1384" t="str">
        <f t="shared" si="21"/>
        <v>West</v>
      </c>
      <c r="G1384" t="s">
        <v>27</v>
      </c>
      <c r="H1384" t="s">
        <v>23</v>
      </c>
      <c r="I1384">
        <v>1</v>
      </c>
    </row>
    <row r="1385" spans="1:9" ht="21.75" customHeight="1">
      <c r="A1385" t="s">
        <v>1535</v>
      </c>
      <c r="B1385" s="3">
        <v>45634</v>
      </c>
      <c r="C1385" t="s">
        <v>422</v>
      </c>
      <c r="D1385" t="s">
        <v>31</v>
      </c>
      <c r="E1385" t="s">
        <v>22</v>
      </c>
      <c r="F1385" t="str">
        <f t="shared" si="21"/>
        <v>South</v>
      </c>
      <c r="G1385" t="s">
        <v>56</v>
      </c>
      <c r="H1385" t="s">
        <v>23</v>
      </c>
      <c r="I1385">
        <v>5</v>
      </c>
    </row>
    <row r="1386" spans="1:9" ht="21.75" customHeight="1">
      <c r="A1386" t="s">
        <v>1536</v>
      </c>
      <c r="B1386" s="3">
        <v>45565</v>
      </c>
      <c r="C1386" t="s">
        <v>64</v>
      </c>
      <c r="D1386" t="s">
        <v>31</v>
      </c>
      <c r="E1386" t="s">
        <v>22</v>
      </c>
      <c r="F1386" t="str">
        <f t="shared" si="21"/>
        <v>Central</v>
      </c>
      <c r="G1386" t="s">
        <v>306</v>
      </c>
      <c r="H1386" t="s">
        <v>13</v>
      </c>
      <c r="I1386">
        <v>3</v>
      </c>
    </row>
    <row r="1387" spans="1:9" ht="21.75" customHeight="1">
      <c r="A1387" t="s">
        <v>1537</v>
      </c>
      <c r="B1387" s="3">
        <v>45361</v>
      </c>
      <c r="C1387" t="s">
        <v>319</v>
      </c>
      <c r="D1387" t="s">
        <v>45</v>
      </c>
      <c r="E1387" t="s">
        <v>11</v>
      </c>
      <c r="F1387" t="str">
        <f t="shared" si="21"/>
        <v>East</v>
      </c>
      <c r="G1387" t="s">
        <v>42</v>
      </c>
      <c r="H1387" t="s">
        <v>23</v>
      </c>
      <c r="I1387">
        <v>11</v>
      </c>
    </row>
    <row r="1388" spans="1:9" ht="21.75" customHeight="1">
      <c r="A1388" t="s">
        <v>1538</v>
      </c>
      <c r="B1388" s="3">
        <v>45459</v>
      </c>
      <c r="C1388" t="s">
        <v>47</v>
      </c>
      <c r="D1388" t="s">
        <v>119</v>
      </c>
      <c r="E1388" t="s">
        <v>17</v>
      </c>
      <c r="F1388" t="str">
        <f t="shared" si="21"/>
        <v>East</v>
      </c>
      <c r="G1388" t="s">
        <v>42</v>
      </c>
      <c r="H1388" t="s">
        <v>23</v>
      </c>
      <c r="I1388">
        <v>9</v>
      </c>
    </row>
    <row r="1389" spans="1:9" ht="21.75" customHeight="1">
      <c r="A1389" t="s">
        <v>1539</v>
      </c>
      <c r="B1389" s="3">
        <v>45532</v>
      </c>
      <c r="C1389" t="s">
        <v>138</v>
      </c>
      <c r="D1389" t="s">
        <v>84</v>
      </c>
      <c r="E1389" t="s">
        <v>22</v>
      </c>
      <c r="F1389" t="str">
        <f t="shared" si="21"/>
        <v>North</v>
      </c>
      <c r="G1389" t="s">
        <v>12</v>
      </c>
      <c r="H1389" t="s">
        <v>32</v>
      </c>
      <c r="I1389">
        <v>8</v>
      </c>
    </row>
    <row r="1390" spans="1:9" ht="21.75" customHeight="1">
      <c r="A1390" t="s">
        <v>1540</v>
      </c>
      <c r="B1390" s="3">
        <v>45625</v>
      </c>
      <c r="C1390" t="s">
        <v>116</v>
      </c>
      <c r="D1390" t="s">
        <v>119</v>
      </c>
      <c r="E1390" t="s">
        <v>11</v>
      </c>
      <c r="F1390" t="str">
        <f t="shared" si="21"/>
        <v>South</v>
      </c>
      <c r="G1390" t="s">
        <v>56</v>
      </c>
      <c r="H1390" t="s">
        <v>28</v>
      </c>
      <c r="I1390">
        <v>1</v>
      </c>
    </row>
    <row r="1391" spans="1:9" ht="21.75" customHeight="1">
      <c r="A1391" t="s">
        <v>1541</v>
      </c>
      <c r="B1391" s="3">
        <v>45414</v>
      </c>
      <c r="C1391" t="s">
        <v>34</v>
      </c>
      <c r="D1391" t="s">
        <v>35</v>
      </c>
      <c r="E1391" t="s">
        <v>22</v>
      </c>
      <c r="F1391" t="str">
        <f t="shared" si="21"/>
        <v>North</v>
      </c>
      <c r="G1391" t="s">
        <v>12</v>
      </c>
      <c r="H1391" t="s">
        <v>36</v>
      </c>
      <c r="I1391">
        <v>7</v>
      </c>
    </row>
    <row r="1392" spans="1:9" ht="21.75" customHeight="1">
      <c r="A1392" t="s">
        <v>1542</v>
      </c>
      <c r="B1392" s="3">
        <v>45423</v>
      </c>
      <c r="C1392" t="s">
        <v>337</v>
      </c>
      <c r="D1392" t="s">
        <v>48</v>
      </c>
      <c r="E1392" t="s">
        <v>11</v>
      </c>
      <c r="F1392" t="str">
        <f t="shared" si="21"/>
        <v>Central</v>
      </c>
      <c r="G1392" t="s">
        <v>306</v>
      </c>
      <c r="H1392" t="s">
        <v>36</v>
      </c>
      <c r="I1392">
        <v>4</v>
      </c>
    </row>
    <row r="1393" spans="1:9" ht="21.75" customHeight="1">
      <c r="A1393" t="s">
        <v>1543</v>
      </c>
      <c r="B1393" s="3">
        <v>45375</v>
      </c>
      <c r="C1393" t="s">
        <v>147</v>
      </c>
      <c r="D1393" t="s">
        <v>102</v>
      </c>
      <c r="E1393" t="s">
        <v>22</v>
      </c>
      <c r="F1393" t="str">
        <f t="shared" si="21"/>
        <v>North</v>
      </c>
      <c r="G1393" t="s">
        <v>12</v>
      </c>
      <c r="H1393" t="s">
        <v>32</v>
      </c>
      <c r="I1393">
        <v>19</v>
      </c>
    </row>
    <row r="1394" spans="1:9" ht="21.75" customHeight="1">
      <c r="A1394" t="s">
        <v>1544</v>
      </c>
      <c r="B1394" s="3">
        <v>45484</v>
      </c>
      <c r="C1394" t="s">
        <v>106</v>
      </c>
      <c r="D1394" t="s">
        <v>62</v>
      </c>
      <c r="E1394" t="s">
        <v>11</v>
      </c>
      <c r="F1394" t="str">
        <f t="shared" si="21"/>
        <v>North</v>
      </c>
      <c r="G1394" t="s">
        <v>12</v>
      </c>
      <c r="H1394" t="s">
        <v>36</v>
      </c>
      <c r="I1394">
        <v>8</v>
      </c>
    </row>
    <row r="1395" spans="1:9" ht="21.75" customHeight="1">
      <c r="A1395" t="s">
        <v>1545</v>
      </c>
      <c r="B1395" s="3">
        <v>45446</v>
      </c>
      <c r="C1395" t="s">
        <v>455</v>
      </c>
      <c r="D1395" t="s">
        <v>109</v>
      </c>
      <c r="E1395" t="s">
        <v>11</v>
      </c>
      <c r="F1395" t="str">
        <f t="shared" si="21"/>
        <v>Central</v>
      </c>
      <c r="G1395" t="s">
        <v>306</v>
      </c>
      <c r="H1395" t="s">
        <v>13</v>
      </c>
      <c r="I1395">
        <v>12</v>
      </c>
    </row>
    <row r="1396" spans="1:9" ht="21.75" customHeight="1">
      <c r="A1396" t="s">
        <v>1546</v>
      </c>
      <c r="B1396" s="3">
        <v>45630</v>
      </c>
      <c r="C1396" t="s">
        <v>200</v>
      </c>
      <c r="D1396" t="s">
        <v>10</v>
      </c>
      <c r="E1396" t="s">
        <v>22</v>
      </c>
      <c r="F1396" t="str">
        <f t="shared" si="21"/>
        <v>East</v>
      </c>
      <c r="G1396" t="s">
        <v>42</v>
      </c>
      <c r="H1396" t="s">
        <v>13</v>
      </c>
      <c r="I1396">
        <v>14</v>
      </c>
    </row>
    <row r="1397" spans="1:9" ht="21.75" customHeight="1">
      <c r="A1397" t="s">
        <v>1547</v>
      </c>
      <c r="B1397" s="3">
        <v>45346</v>
      </c>
      <c r="C1397" t="s">
        <v>348</v>
      </c>
      <c r="D1397" t="s">
        <v>48</v>
      </c>
      <c r="E1397" t="s">
        <v>22</v>
      </c>
      <c r="F1397" t="str">
        <f t="shared" si="21"/>
        <v>West</v>
      </c>
      <c r="G1397" t="s">
        <v>27</v>
      </c>
      <c r="H1397" t="s">
        <v>28</v>
      </c>
      <c r="I1397">
        <v>14</v>
      </c>
    </row>
    <row r="1398" spans="1:9" ht="21.75" customHeight="1">
      <c r="A1398" t="s">
        <v>1548</v>
      </c>
      <c r="B1398" s="3">
        <v>45559</v>
      </c>
      <c r="C1398" t="s">
        <v>350</v>
      </c>
      <c r="D1398" t="s">
        <v>26</v>
      </c>
      <c r="E1398" t="s">
        <v>22</v>
      </c>
      <c r="F1398" t="str">
        <f t="shared" si="21"/>
        <v>Central</v>
      </c>
      <c r="G1398" t="s">
        <v>306</v>
      </c>
      <c r="H1398" t="s">
        <v>23</v>
      </c>
      <c r="I1398">
        <v>15</v>
      </c>
    </row>
    <row r="1399" spans="1:9" ht="21.75" customHeight="1">
      <c r="A1399" t="s">
        <v>1549</v>
      </c>
      <c r="B1399" s="3">
        <v>45595</v>
      </c>
      <c r="C1399" t="s">
        <v>101</v>
      </c>
      <c r="D1399" t="s">
        <v>72</v>
      </c>
      <c r="E1399" t="s">
        <v>11</v>
      </c>
      <c r="F1399" t="str">
        <f t="shared" si="21"/>
        <v>North</v>
      </c>
      <c r="G1399" t="s">
        <v>12</v>
      </c>
      <c r="H1399" t="s">
        <v>32</v>
      </c>
      <c r="I1399">
        <v>15</v>
      </c>
    </row>
    <row r="1400" spans="1:9" ht="21.75" customHeight="1">
      <c r="A1400" t="s">
        <v>1550</v>
      </c>
      <c r="B1400" s="3">
        <v>45529</v>
      </c>
      <c r="C1400" t="s">
        <v>614</v>
      </c>
      <c r="D1400" t="s">
        <v>109</v>
      </c>
      <c r="E1400" t="s">
        <v>22</v>
      </c>
      <c r="F1400" t="str">
        <f t="shared" si="21"/>
        <v>West</v>
      </c>
      <c r="G1400" t="s">
        <v>27</v>
      </c>
      <c r="H1400" t="s">
        <v>32</v>
      </c>
      <c r="I1400">
        <v>1</v>
      </c>
    </row>
    <row r="1401" spans="1:9" ht="21.75" customHeight="1">
      <c r="A1401" t="s">
        <v>1551</v>
      </c>
      <c r="B1401" s="3">
        <v>45458</v>
      </c>
      <c r="C1401" t="s">
        <v>44</v>
      </c>
      <c r="D1401" t="s">
        <v>35</v>
      </c>
      <c r="E1401" t="s">
        <v>11</v>
      </c>
      <c r="F1401" t="str">
        <f t="shared" si="21"/>
        <v>East</v>
      </c>
      <c r="G1401" t="s">
        <v>42</v>
      </c>
      <c r="H1401" t="s">
        <v>32</v>
      </c>
      <c r="I1401">
        <v>11</v>
      </c>
    </row>
    <row r="1402" spans="1:9" ht="21.75" customHeight="1">
      <c r="A1402" t="s">
        <v>1552</v>
      </c>
      <c r="B1402" s="3">
        <v>45597</v>
      </c>
      <c r="C1402" t="s">
        <v>424</v>
      </c>
      <c r="D1402" t="s">
        <v>26</v>
      </c>
      <c r="E1402" t="s">
        <v>22</v>
      </c>
      <c r="F1402" t="str">
        <f t="shared" si="21"/>
        <v>North</v>
      </c>
      <c r="G1402" t="s">
        <v>12</v>
      </c>
      <c r="H1402" t="s">
        <v>36</v>
      </c>
      <c r="I1402">
        <v>7</v>
      </c>
    </row>
    <row r="1403" spans="1:9" ht="21.75" customHeight="1">
      <c r="A1403" t="s">
        <v>1553</v>
      </c>
      <c r="B1403" s="3">
        <v>45500</v>
      </c>
      <c r="C1403" t="s">
        <v>374</v>
      </c>
      <c r="D1403" t="s">
        <v>174</v>
      </c>
      <c r="E1403" t="s">
        <v>11</v>
      </c>
      <c r="F1403" t="str">
        <f t="shared" si="21"/>
        <v>West</v>
      </c>
      <c r="G1403" t="s">
        <v>27</v>
      </c>
      <c r="H1403" t="s">
        <v>23</v>
      </c>
      <c r="I1403">
        <v>15</v>
      </c>
    </row>
    <row r="1404" spans="1:9" ht="21.75" customHeight="1">
      <c r="A1404" t="s">
        <v>1554</v>
      </c>
      <c r="B1404" s="3">
        <v>45339</v>
      </c>
      <c r="C1404" t="s">
        <v>61</v>
      </c>
      <c r="D1404" t="s">
        <v>197</v>
      </c>
      <c r="E1404" t="s">
        <v>17</v>
      </c>
      <c r="F1404" t="str">
        <f t="shared" si="21"/>
        <v>South</v>
      </c>
      <c r="G1404" t="s">
        <v>56</v>
      </c>
      <c r="H1404" t="s">
        <v>32</v>
      </c>
      <c r="I1404">
        <v>19</v>
      </c>
    </row>
    <row r="1405" spans="1:9" ht="21.75" customHeight="1">
      <c r="A1405" t="s">
        <v>1555</v>
      </c>
      <c r="B1405" s="3">
        <v>45575</v>
      </c>
      <c r="C1405" t="s">
        <v>339</v>
      </c>
      <c r="D1405" t="s">
        <v>48</v>
      </c>
      <c r="E1405" t="s">
        <v>17</v>
      </c>
      <c r="F1405" t="str">
        <f t="shared" si="21"/>
        <v>Central</v>
      </c>
      <c r="G1405" t="s">
        <v>306</v>
      </c>
      <c r="H1405" t="s">
        <v>32</v>
      </c>
      <c r="I1405">
        <v>12</v>
      </c>
    </row>
    <row r="1406" spans="1:9" ht="21.75" customHeight="1">
      <c r="A1406" t="s">
        <v>1556</v>
      </c>
      <c r="B1406" s="3">
        <v>45430</v>
      </c>
      <c r="C1406" t="s">
        <v>147</v>
      </c>
      <c r="D1406" t="s">
        <v>26</v>
      </c>
      <c r="E1406" t="s">
        <v>11</v>
      </c>
      <c r="F1406" t="str">
        <f t="shared" si="21"/>
        <v>North</v>
      </c>
      <c r="G1406" t="s">
        <v>12</v>
      </c>
      <c r="H1406" t="s">
        <v>28</v>
      </c>
      <c r="I1406">
        <v>11</v>
      </c>
    </row>
    <row r="1407" spans="1:9" ht="21.75" customHeight="1">
      <c r="A1407" t="s">
        <v>1557</v>
      </c>
      <c r="B1407" s="3">
        <v>45566</v>
      </c>
      <c r="C1407" t="s">
        <v>332</v>
      </c>
      <c r="D1407" t="s">
        <v>62</v>
      </c>
      <c r="E1407" t="s">
        <v>11</v>
      </c>
      <c r="F1407" t="str">
        <f t="shared" si="21"/>
        <v>South</v>
      </c>
      <c r="G1407" t="s">
        <v>56</v>
      </c>
      <c r="H1407" t="s">
        <v>28</v>
      </c>
      <c r="I1407">
        <v>16</v>
      </c>
    </row>
    <row r="1408" spans="1:9" ht="21.75" customHeight="1">
      <c r="A1408" t="s">
        <v>1558</v>
      </c>
      <c r="B1408" s="3">
        <v>45593</v>
      </c>
      <c r="C1408" t="s">
        <v>332</v>
      </c>
      <c r="D1408" t="s">
        <v>160</v>
      </c>
      <c r="E1408" t="s">
        <v>22</v>
      </c>
      <c r="F1408" t="str">
        <f t="shared" si="21"/>
        <v>East</v>
      </c>
      <c r="G1408" t="s">
        <v>42</v>
      </c>
      <c r="H1408" t="s">
        <v>13</v>
      </c>
      <c r="I1408">
        <v>7</v>
      </c>
    </row>
    <row r="1409" spans="1:9" ht="21.75" customHeight="1">
      <c r="A1409" t="s">
        <v>1559</v>
      </c>
      <c r="B1409" s="3">
        <v>45476</v>
      </c>
      <c r="C1409" t="s">
        <v>235</v>
      </c>
      <c r="D1409" t="s">
        <v>74</v>
      </c>
      <c r="E1409" t="s">
        <v>11</v>
      </c>
      <c r="F1409" t="str">
        <f t="shared" si="21"/>
        <v>Central</v>
      </c>
      <c r="G1409" t="s">
        <v>306</v>
      </c>
      <c r="H1409" t="s">
        <v>28</v>
      </c>
      <c r="I1409">
        <v>9</v>
      </c>
    </row>
    <row r="1410" spans="1:9" ht="21.75" customHeight="1">
      <c r="A1410" t="s">
        <v>1560</v>
      </c>
      <c r="B1410" s="3">
        <v>45319</v>
      </c>
      <c r="C1410" t="s">
        <v>378</v>
      </c>
      <c r="D1410" t="s">
        <v>74</v>
      </c>
      <c r="E1410" t="s">
        <v>22</v>
      </c>
      <c r="F1410" t="str">
        <f t="shared" si="21"/>
        <v>South</v>
      </c>
      <c r="G1410" t="s">
        <v>56</v>
      </c>
      <c r="H1410" t="s">
        <v>23</v>
      </c>
      <c r="I1410">
        <v>4</v>
      </c>
    </row>
    <row r="1411" spans="1:9" ht="21.75" customHeight="1">
      <c r="A1411" t="s">
        <v>1561</v>
      </c>
      <c r="B1411" s="3">
        <v>45585</v>
      </c>
      <c r="C1411" t="s">
        <v>55</v>
      </c>
      <c r="D1411" t="s">
        <v>35</v>
      </c>
      <c r="E1411" t="s">
        <v>17</v>
      </c>
      <c r="F1411" t="str">
        <f t="shared" ref="F1411:F1474" si="22">TRIM(PROPER(G1411))</f>
        <v>West</v>
      </c>
      <c r="G1411" t="s">
        <v>27</v>
      </c>
      <c r="H1411" t="s">
        <v>32</v>
      </c>
      <c r="I1411">
        <v>6</v>
      </c>
    </row>
    <row r="1412" spans="1:9" ht="21.75" customHeight="1">
      <c r="A1412" t="s">
        <v>1562</v>
      </c>
      <c r="B1412" s="3">
        <v>45421</v>
      </c>
      <c r="C1412" t="s">
        <v>517</v>
      </c>
      <c r="D1412" t="s">
        <v>102</v>
      </c>
      <c r="E1412" t="s">
        <v>11</v>
      </c>
      <c r="F1412" t="str">
        <f t="shared" si="22"/>
        <v>West</v>
      </c>
      <c r="G1412" t="s">
        <v>27</v>
      </c>
      <c r="H1412" t="s">
        <v>23</v>
      </c>
      <c r="I1412">
        <v>3</v>
      </c>
    </row>
    <row r="1413" spans="1:9" ht="21.75" customHeight="1">
      <c r="A1413" t="s">
        <v>1563</v>
      </c>
      <c r="B1413" s="3">
        <v>45643</v>
      </c>
      <c r="C1413" t="s">
        <v>9</v>
      </c>
      <c r="D1413" t="s">
        <v>16</v>
      </c>
      <c r="E1413" t="s">
        <v>11</v>
      </c>
      <c r="F1413" t="str">
        <f t="shared" si="22"/>
        <v>Central</v>
      </c>
      <c r="G1413" t="s">
        <v>306</v>
      </c>
      <c r="H1413" t="s">
        <v>32</v>
      </c>
      <c r="I1413">
        <v>3</v>
      </c>
    </row>
    <row r="1414" spans="1:9" ht="21.75" customHeight="1">
      <c r="A1414" t="s">
        <v>1564</v>
      </c>
      <c r="B1414" s="3">
        <v>45352</v>
      </c>
      <c r="C1414" t="s">
        <v>642</v>
      </c>
      <c r="D1414" t="s">
        <v>119</v>
      </c>
      <c r="E1414" t="s">
        <v>17</v>
      </c>
      <c r="F1414" t="str">
        <f t="shared" si="22"/>
        <v>Central</v>
      </c>
      <c r="G1414" t="s">
        <v>306</v>
      </c>
      <c r="H1414" t="s">
        <v>36</v>
      </c>
      <c r="I1414">
        <v>20</v>
      </c>
    </row>
    <row r="1415" spans="1:9" ht="21.75" customHeight="1">
      <c r="A1415" t="s">
        <v>1565</v>
      </c>
      <c r="B1415" s="3">
        <v>45559</v>
      </c>
      <c r="C1415" t="s">
        <v>159</v>
      </c>
      <c r="D1415" t="s">
        <v>70</v>
      </c>
      <c r="E1415" t="s">
        <v>17</v>
      </c>
      <c r="F1415" t="str">
        <f t="shared" si="22"/>
        <v>East</v>
      </c>
      <c r="G1415" t="s">
        <v>42</v>
      </c>
      <c r="H1415" t="s">
        <v>36</v>
      </c>
      <c r="I1415">
        <v>14</v>
      </c>
    </row>
    <row r="1416" spans="1:9" ht="21.75" customHeight="1">
      <c r="A1416" t="s">
        <v>1566</v>
      </c>
      <c r="B1416" s="3">
        <v>45609</v>
      </c>
      <c r="C1416" t="s">
        <v>131</v>
      </c>
      <c r="D1416" t="s">
        <v>109</v>
      </c>
      <c r="E1416" t="s">
        <v>22</v>
      </c>
      <c r="F1416" t="str">
        <f t="shared" si="22"/>
        <v>North</v>
      </c>
      <c r="G1416" t="s">
        <v>12</v>
      </c>
      <c r="H1416" t="s">
        <v>28</v>
      </c>
      <c r="I1416">
        <v>7</v>
      </c>
    </row>
    <row r="1417" spans="1:9" ht="21.75" customHeight="1">
      <c r="A1417" t="s">
        <v>1567</v>
      </c>
      <c r="B1417" s="3">
        <v>45333</v>
      </c>
      <c r="C1417" t="s">
        <v>111</v>
      </c>
      <c r="D1417" t="s">
        <v>197</v>
      </c>
      <c r="E1417" t="s">
        <v>11</v>
      </c>
      <c r="F1417" t="str">
        <f t="shared" si="22"/>
        <v>Central</v>
      </c>
      <c r="G1417" t="s">
        <v>306</v>
      </c>
      <c r="H1417" t="s">
        <v>13</v>
      </c>
      <c r="I1417">
        <v>6</v>
      </c>
    </row>
    <row r="1418" spans="1:9" ht="21.75" customHeight="1">
      <c r="A1418" t="s">
        <v>1568</v>
      </c>
      <c r="B1418" s="3">
        <v>45522</v>
      </c>
      <c r="C1418" t="s">
        <v>465</v>
      </c>
      <c r="D1418" t="s">
        <v>109</v>
      </c>
      <c r="E1418" t="s">
        <v>17</v>
      </c>
      <c r="F1418" t="str">
        <f t="shared" si="22"/>
        <v>East</v>
      </c>
      <c r="G1418" t="s">
        <v>42</v>
      </c>
      <c r="H1418" t="s">
        <v>13</v>
      </c>
      <c r="I1418">
        <v>8</v>
      </c>
    </row>
    <row r="1419" spans="1:9" ht="21.75" customHeight="1">
      <c r="A1419" t="s">
        <v>1569</v>
      </c>
      <c r="B1419" s="3">
        <v>45436</v>
      </c>
      <c r="C1419" t="s">
        <v>424</v>
      </c>
      <c r="D1419" t="s">
        <v>70</v>
      </c>
      <c r="E1419" t="s">
        <v>11</v>
      </c>
      <c r="F1419" t="str">
        <f t="shared" si="22"/>
        <v>South</v>
      </c>
      <c r="G1419" t="s">
        <v>56</v>
      </c>
      <c r="H1419" t="s">
        <v>32</v>
      </c>
      <c r="I1419">
        <v>19</v>
      </c>
    </row>
    <row r="1420" spans="1:9" ht="21.75" customHeight="1">
      <c r="A1420" t="s">
        <v>1570</v>
      </c>
      <c r="B1420" s="3">
        <v>45393</v>
      </c>
      <c r="C1420" t="s">
        <v>309</v>
      </c>
      <c r="D1420" t="s">
        <v>102</v>
      </c>
      <c r="E1420" t="s">
        <v>22</v>
      </c>
      <c r="F1420" t="str">
        <f t="shared" si="22"/>
        <v>South</v>
      </c>
      <c r="G1420" t="s">
        <v>56</v>
      </c>
      <c r="H1420" t="s">
        <v>28</v>
      </c>
      <c r="I1420">
        <v>9</v>
      </c>
    </row>
    <row r="1421" spans="1:9" ht="21.75" customHeight="1">
      <c r="A1421" t="s">
        <v>1571</v>
      </c>
      <c r="B1421" s="3">
        <v>45328</v>
      </c>
      <c r="C1421" t="s">
        <v>131</v>
      </c>
      <c r="D1421" t="s">
        <v>45</v>
      </c>
      <c r="E1421" t="s">
        <v>17</v>
      </c>
      <c r="F1421" t="str">
        <f t="shared" si="22"/>
        <v>Central</v>
      </c>
      <c r="G1421" t="s">
        <v>306</v>
      </c>
      <c r="H1421" t="s">
        <v>36</v>
      </c>
      <c r="I1421">
        <v>10</v>
      </c>
    </row>
    <row r="1422" spans="1:9" ht="21.75" customHeight="1">
      <c r="A1422" t="s">
        <v>1572</v>
      </c>
      <c r="B1422" s="3">
        <v>45531</v>
      </c>
      <c r="C1422" t="s">
        <v>465</v>
      </c>
      <c r="D1422" t="s">
        <v>74</v>
      </c>
      <c r="E1422" t="s">
        <v>22</v>
      </c>
      <c r="F1422" t="str">
        <f t="shared" si="22"/>
        <v>West</v>
      </c>
      <c r="G1422" t="s">
        <v>27</v>
      </c>
      <c r="H1422" t="s">
        <v>32</v>
      </c>
      <c r="I1422">
        <v>17</v>
      </c>
    </row>
    <row r="1423" spans="1:9" ht="21.75" customHeight="1">
      <c r="A1423" t="s">
        <v>1573</v>
      </c>
      <c r="B1423" s="3">
        <v>45516</v>
      </c>
      <c r="C1423" t="s">
        <v>81</v>
      </c>
      <c r="D1423" t="s">
        <v>109</v>
      </c>
      <c r="E1423" t="s">
        <v>11</v>
      </c>
      <c r="F1423" t="str">
        <f t="shared" si="22"/>
        <v>West</v>
      </c>
      <c r="G1423" t="s">
        <v>27</v>
      </c>
      <c r="H1423" t="s">
        <v>32</v>
      </c>
      <c r="I1423">
        <v>20</v>
      </c>
    </row>
    <row r="1424" spans="1:9" ht="21.75" customHeight="1">
      <c r="A1424" t="s">
        <v>1574</v>
      </c>
      <c r="B1424" s="3">
        <v>45338</v>
      </c>
      <c r="C1424" t="s">
        <v>51</v>
      </c>
      <c r="D1424" t="s">
        <v>41</v>
      </c>
      <c r="E1424" t="s">
        <v>22</v>
      </c>
      <c r="F1424" t="str">
        <f t="shared" si="22"/>
        <v>Central</v>
      </c>
      <c r="G1424" t="s">
        <v>306</v>
      </c>
      <c r="H1424" t="s">
        <v>13</v>
      </c>
      <c r="I1424">
        <v>9</v>
      </c>
    </row>
    <row r="1425" spans="1:9" ht="21.75" customHeight="1">
      <c r="A1425" t="s">
        <v>1575</v>
      </c>
      <c r="B1425" s="3">
        <v>45381</v>
      </c>
      <c r="C1425" t="s">
        <v>553</v>
      </c>
      <c r="D1425" t="s">
        <v>160</v>
      </c>
      <c r="E1425" t="s">
        <v>22</v>
      </c>
      <c r="F1425" t="str">
        <f t="shared" si="22"/>
        <v>West</v>
      </c>
      <c r="G1425" t="s">
        <v>27</v>
      </c>
      <c r="H1425" t="s">
        <v>32</v>
      </c>
      <c r="I1425">
        <v>6</v>
      </c>
    </row>
    <row r="1426" spans="1:9" ht="21.75" customHeight="1">
      <c r="A1426" t="s">
        <v>1576</v>
      </c>
      <c r="B1426" s="3">
        <v>45515</v>
      </c>
      <c r="C1426" t="s">
        <v>541</v>
      </c>
      <c r="D1426" t="s">
        <v>35</v>
      </c>
      <c r="E1426" t="s">
        <v>11</v>
      </c>
      <c r="F1426" t="str">
        <f t="shared" si="22"/>
        <v>West</v>
      </c>
      <c r="G1426" t="s">
        <v>27</v>
      </c>
      <c r="H1426" t="s">
        <v>32</v>
      </c>
      <c r="I1426">
        <v>14</v>
      </c>
    </row>
    <row r="1427" spans="1:9" ht="21.75" customHeight="1">
      <c r="A1427" t="s">
        <v>1577</v>
      </c>
      <c r="B1427" s="3">
        <v>45635</v>
      </c>
      <c r="C1427" t="s">
        <v>15</v>
      </c>
      <c r="D1427" t="s">
        <v>45</v>
      </c>
      <c r="E1427" t="s">
        <v>17</v>
      </c>
      <c r="F1427" t="str">
        <f t="shared" si="22"/>
        <v>West</v>
      </c>
      <c r="G1427" t="s">
        <v>27</v>
      </c>
      <c r="H1427" t="s">
        <v>23</v>
      </c>
      <c r="I1427">
        <v>10</v>
      </c>
    </row>
    <row r="1428" spans="1:9" ht="21.75" customHeight="1">
      <c r="A1428" t="s">
        <v>1578</v>
      </c>
      <c r="B1428" s="3">
        <v>45497</v>
      </c>
      <c r="C1428" t="s">
        <v>332</v>
      </c>
      <c r="D1428" t="s">
        <v>174</v>
      </c>
      <c r="E1428" t="s">
        <v>11</v>
      </c>
      <c r="F1428" t="str">
        <f t="shared" si="22"/>
        <v>West</v>
      </c>
      <c r="G1428" t="s">
        <v>27</v>
      </c>
      <c r="H1428" t="s">
        <v>13</v>
      </c>
      <c r="I1428">
        <v>11</v>
      </c>
    </row>
    <row r="1429" spans="1:9" ht="21.75" customHeight="1">
      <c r="A1429" t="s">
        <v>1579</v>
      </c>
      <c r="B1429" s="3">
        <v>45351</v>
      </c>
      <c r="C1429" t="s">
        <v>337</v>
      </c>
      <c r="D1429" t="s">
        <v>31</v>
      </c>
      <c r="E1429" t="s">
        <v>22</v>
      </c>
      <c r="F1429" t="str">
        <f t="shared" si="22"/>
        <v>North</v>
      </c>
      <c r="G1429" t="s">
        <v>12</v>
      </c>
      <c r="H1429" t="s">
        <v>36</v>
      </c>
      <c r="I1429">
        <v>15</v>
      </c>
    </row>
    <row r="1430" spans="1:9" ht="21.75" customHeight="1">
      <c r="A1430" t="s">
        <v>1580</v>
      </c>
      <c r="B1430" s="3">
        <v>45388</v>
      </c>
      <c r="C1430" t="s">
        <v>363</v>
      </c>
      <c r="D1430" t="s">
        <v>48</v>
      </c>
      <c r="E1430" t="s">
        <v>22</v>
      </c>
      <c r="F1430" t="str">
        <f t="shared" si="22"/>
        <v>West</v>
      </c>
      <c r="G1430" t="s">
        <v>27</v>
      </c>
      <c r="H1430" t="s">
        <v>23</v>
      </c>
      <c r="I1430">
        <v>2</v>
      </c>
    </row>
    <row r="1431" spans="1:9" ht="21.75" customHeight="1">
      <c r="A1431" t="s">
        <v>1581</v>
      </c>
      <c r="B1431" s="3">
        <v>45573</v>
      </c>
      <c r="C1431" t="s">
        <v>34</v>
      </c>
      <c r="D1431" t="s">
        <v>74</v>
      </c>
      <c r="E1431" t="s">
        <v>17</v>
      </c>
      <c r="F1431" t="str">
        <f t="shared" si="22"/>
        <v>West</v>
      </c>
      <c r="G1431" t="s">
        <v>27</v>
      </c>
      <c r="H1431" t="s">
        <v>13</v>
      </c>
      <c r="I1431">
        <v>1</v>
      </c>
    </row>
    <row r="1432" spans="1:9" ht="21.75" customHeight="1">
      <c r="A1432" t="s">
        <v>1582</v>
      </c>
      <c r="B1432" s="3">
        <v>45603</v>
      </c>
      <c r="C1432" t="s">
        <v>93</v>
      </c>
      <c r="D1432" t="s">
        <v>62</v>
      </c>
      <c r="E1432" t="s">
        <v>11</v>
      </c>
      <c r="F1432" t="str">
        <f t="shared" si="22"/>
        <v>East</v>
      </c>
      <c r="G1432" t="s">
        <v>42</v>
      </c>
      <c r="H1432" t="s">
        <v>36</v>
      </c>
      <c r="I1432">
        <v>1</v>
      </c>
    </row>
    <row r="1433" spans="1:9" ht="21.75" customHeight="1">
      <c r="A1433" t="s">
        <v>1583</v>
      </c>
      <c r="B1433" s="3">
        <v>45339</v>
      </c>
      <c r="C1433" t="s">
        <v>240</v>
      </c>
      <c r="D1433" t="s">
        <v>102</v>
      </c>
      <c r="E1433" t="s">
        <v>17</v>
      </c>
      <c r="F1433" t="str">
        <f t="shared" si="22"/>
        <v>North</v>
      </c>
      <c r="G1433" t="s">
        <v>12</v>
      </c>
      <c r="H1433" t="s">
        <v>28</v>
      </c>
      <c r="I1433">
        <v>16</v>
      </c>
    </row>
    <row r="1434" spans="1:9" ht="21.75" customHeight="1">
      <c r="A1434" t="s">
        <v>1584</v>
      </c>
      <c r="B1434" s="3">
        <v>45441</v>
      </c>
      <c r="C1434" t="s">
        <v>345</v>
      </c>
      <c r="D1434" t="s">
        <v>62</v>
      </c>
      <c r="E1434" t="s">
        <v>17</v>
      </c>
      <c r="F1434" t="str">
        <f t="shared" si="22"/>
        <v>West</v>
      </c>
      <c r="G1434" t="s">
        <v>27</v>
      </c>
      <c r="H1434" t="s">
        <v>23</v>
      </c>
      <c r="I1434">
        <v>16</v>
      </c>
    </row>
    <row r="1435" spans="1:9" ht="21.75" customHeight="1">
      <c r="A1435" t="s">
        <v>1585</v>
      </c>
      <c r="B1435" s="3">
        <v>45574</v>
      </c>
      <c r="C1435" t="s">
        <v>167</v>
      </c>
      <c r="D1435" t="s">
        <v>31</v>
      </c>
      <c r="E1435" t="s">
        <v>11</v>
      </c>
      <c r="F1435" t="str">
        <f t="shared" si="22"/>
        <v>Central</v>
      </c>
      <c r="G1435" t="s">
        <v>306</v>
      </c>
      <c r="H1435" t="s">
        <v>36</v>
      </c>
      <c r="I1435">
        <v>5</v>
      </c>
    </row>
    <row r="1436" spans="1:9" ht="21.75" customHeight="1">
      <c r="A1436" t="s">
        <v>1586</v>
      </c>
      <c r="B1436" s="3">
        <v>45433</v>
      </c>
      <c r="C1436" t="s">
        <v>337</v>
      </c>
      <c r="D1436" t="s">
        <v>87</v>
      </c>
      <c r="E1436" t="s">
        <v>17</v>
      </c>
      <c r="F1436" t="str">
        <f t="shared" si="22"/>
        <v>Central</v>
      </c>
      <c r="G1436" t="s">
        <v>306</v>
      </c>
      <c r="H1436" t="s">
        <v>32</v>
      </c>
      <c r="I1436">
        <v>1</v>
      </c>
    </row>
    <row r="1437" spans="1:9" ht="21.75" customHeight="1">
      <c r="A1437" t="s">
        <v>1587</v>
      </c>
      <c r="B1437" s="3">
        <v>45444</v>
      </c>
      <c r="C1437" t="s">
        <v>449</v>
      </c>
      <c r="D1437" t="s">
        <v>59</v>
      </c>
      <c r="E1437" t="s">
        <v>22</v>
      </c>
      <c r="F1437" t="str">
        <f t="shared" si="22"/>
        <v>West</v>
      </c>
      <c r="G1437" t="s">
        <v>27</v>
      </c>
      <c r="H1437" t="s">
        <v>28</v>
      </c>
      <c r="I1437">
        <v>15</v>
      </c>
    </row>
    <row r="1438" spans="1:9" ht="21.75" customHeight="1">
      <c r="A1438" t="s">
        <v>1588</v>
      </c>
      <c r="B1438" s="3">
        <v>45468</v>
      </c>
      <c r="C1438" t="s">
        <v>118</v>
      </c>
      <c r="D1438" t="s">
        <v>174</v>
      </c>
      <c r="E1438" t="s">
        <v>22</v>
      </c>
      <c r="F1438" t="str">
        <f t="shared" si="22"/>
        <v>West</v>
      </c>
      <c r="G1438" t="s">
        <v>27</v>
      </c>
      <c r="H1438" t="s">
        <v>23</v>
      </c>
      <c r="I1438">
        <v>11</v>
      </c>
    </row>
    <row r="1439" spans="1:9" ht="21.75" customHeight="1">
      <c r="A1439" t="s">
        <v>1589</v>
      </c>
      <c r="B1439" s="3">
        <v>45649</v>
      </c>
      <c r="C1439" t="s">
        <v>93</v>
      </c>
      <c r="D1439" t="s">
        <v>59</v>
      </c>
      <c r="E1439" t="s">
        <v>17</v>
      </c>
      <c r="F1439" t="str">
        <f t="shared" si="22"/>
        <v>South</v>
      </c>
      <c r="G1439" t="s">
        <v>56</v>
      </c>
      <c r="H1439" t="s">
        <v>23</v>
      </c>
      <c r="I1439">
        <v>2</v>
      </c>
    </row>
    <row r="1440" spans="1:9" ht="21.75" customHeight="1">
      <c r="A1440" t="s">
        <v>1590</v>
      </c>
      <c r="B1440" s="3">
        <v>45534</v>
      </c>
      <c r="C1440" t="s">
        <v>369</v>
      </c>
      <c r="D1440" t="s">
        <v>31</v>
      </c>
      <c r="E1440" t="s">
        <v>17</v>
      </c>
      <c r="F1440" t="str">
        <f t="shared" si="22"/>
        <v>South</v>
      </c>
      <c r="G1440" t="s">
        <v>56</v>
      </c>
      <c r="H1440" t="s">
        <v>23</v>
      </c>
      <c r="I1440">
        <v>2</v>
      </c>
    </row>
    <row r="1441" spans="1:9" ht="21.75" customHeight="1">
      <c r="A1441" t="s">
        <v>1591</v>
      </c>
      <c r="B1441" s="3">
        <v>45594</v>
      </c>
      <c r="C1441" t="s">
        <v>118</v>
      </c>
      <c r="D1441" t="s">
        <v>102</v>
      </c>
      <c r="E1441" t="s">
        <v>17</v>
      </c>
      <c r="F1441" t="str">
        <f t="shared" si="22"/>
        <v>North</v>
      </c>
      <c r="G1441" t="s">
        <v>12</v>
      </c>
      <c r="H1441" t="s">
        <v>36</v>
      </c>
      <c r="I1441">
        <v>15</v>
      </c>
    </row>
    <row r="1442" spans="1:9" ht="21.75" customHeight="1">
      <c r="A1442" t="s">
        <v>1592</v>
      </c>
      <c r="B1442" s="3">
        <v>45365</v>
      </c>
      <c r="C1442" t="s">
        <v>408</v>
      </c>
      <c r="D1442" t="s">
        <v>21</v>
      </c>
      <c r="E1442" t="s">
        <v>11</v>
      </c>
      <c r="F1442" t="str">
        <f t="shared" si="22"/>
        <v>North</v>
      </c>
      <c r="G1442" t="s">
        <v>12</v>
      </c>
      <c r="H1442" t="s">
        <v>23</v>
      </c>
      <c r="I1442">
        <v>9</v>
      </c>
    </row>
    <row r="1443" spans="1:9" ht="21.75" customHeight="1">
      <c r="A1443" t="s">
        <v>1593</v>
      </c>
      <c r="B1443" s="3">
        <v>45646</v>
      </c>
      <c r="C1443" t="s">
        <v>106</v>
      </c>
      <c r="D1443" t="s">
        <v>21</v>
      </c>
      <c r="E1443" t="s">
        <v>11</v>
      </c>
      <c r="F1443" t="str">
        <f t="shared" si="22"/>
        <v>East</v>
      </c>
      <c r="G1443" t="s">
        <v>42</v>
      </c>
      <c r="H1443" t="s">
        <v>36</v>
      </c>
      <c r="I1443">
        <v>13</v>
      </c>
    </row>
    <row r="1444" spans="1:9" ht="21.75" customHeight="1">
      <c r="A1444" t="s">
        <v>1594</v>
      </c>
      <c r="B1444" s="3">
        <v>45612</v>
      </c>
      <c r="C1444" t="s">
        <v>436</v>
      </c>
      <c r="D1444" t="s">
        <v>119</v>
      </c>
      <c r="E1444" t="s">
        <v>17</v>
      </c>
      <c r="F1444" t="str">
        <f t="shared" si="22"/>
        <v>Central</v>
      </c>
      <c r="G1444" t="s">
        <v>306</v>
      </c>
      <c r="H1444" t="s">
        <v>13</v>
      </c>
      <c r="I1444">
        <v>20</v>
      </c>
    </row>
    <row r="1445" spans="1:9" ht="21.75" customHeight="1">
      <c r="A1445" t="s">
        <v>1595</v>
      </c>
      <c r="B1445" s="3">
        <v>45615</v>
      </c>
      <c r="C1445" t="s">
        <v>455</v>
      </c>
      <c r="D1445" t="s">
        <v>74</v>
      </c>
      <c r="E1445" t="s">
        <v>11</v>
      </c>
      <c r="F1445" t="str">
        <f t="shared" si="22"/>
        <v>North</v>
      </c>
      <c r="G1445" t="s">
        <v>12</v>
      </c>
      <c r="H1445" t="s">
        <v>23</v>
      </c>
      <c r="I1445">
        <v>4</v>
      </c>
    </row>
    <row r="1446" spans="1:9" ht="21.75" customHeight="1">
      <c r="A1446" t="s">
        <v>1596</v>
      </c>
      <c r="B1446" s="3">
        <v>45652</v>
      </c>
      <c r="C1446" t="s">
        <v>108</v>
      </c>
      <c r="D1446" t="s">
        <v>70</v>
      </c>
      <c r="E1446" t="s">
        <v>11</v>
      </c>
      <c r="F1446" t="str">
        <f t="shared" si="22"/>
        <v>East</v>
      </c>
      <c r="G1446" t="s">
        <v>42</v>
      </c>
      <c r="H1446" t="s">
        <v>13</v>
      </c>
      <c r="I1446">
        <v>2</v>
      </c>
    </row>
    <row r="1447" spans="1:9" ht="21.75" customHeight="1">
      <c r="A1447" t="s">
        <v>1597</v>
      </c>
      <c r="B1447" s="3">
        <v>45320</v>
      </c>
      <c r="C1447" t="s">
        <v>61</v>
      </c>
      <c r="D1447" t="s">
        <v>48</v>
      </c>
      <c r="E1447" t="s">
        <v>17</v>
      </c>
      <c r="F1447" t="str">
        <f t="shared" si="22"/>
        <v>West</v>
      </c>
      <c r="G1447" t="s">
        <v>27</v>
      </c>
      <c r="H1447" t="s">
        <v>28</v>
      </c>
      <c r="I1447">
        <v>8</v>
      </c>
    </row>
    <row r="1448" spans="1:9" ht="21.75" customHeight="1">
      <c r="A1448" t="s">
        <v>1598</v>
      </c>
      <c r="B1448" s="3">
        <v>45581</v>
      </c>
      <c r="C1448" t="s">
        <v>455</v>
      </c>
      <c r="D1448" t="s">
        <v>45</v>
      </c>
      <c r="E1448" t="s">
        <v>11</v>
      </c>
      <c r="F1448" t="str">
        <f t="shared" si="22"/>
        <v>South</v>
      </c>
      <c r="G1448" t="s">
        <v>56</v>
      </c>
      <c r="H1448" t="s">
        <v>13</v>
      </c>
      <c r="I1448">
        <v>20</v>
      </c>
    </row>
    <row r="1449" spans="1:9" ht="21.75" customHeight="1">
      <c r="A1449" t="s">
        <v>1599</v>
      </c>
      <c r="B1449" s="3">
        <v>45609</v>
      </c>
      <c r="C1449" t="s">
        <v>455</v>
      </c>
      <c r="D1449" t="s">
        <v>197</v>
      </c>
      <c r="E1449" t="s">
        <v>17</v>
      </c>
      <c r="F1449" t="str">
        <f t="shared" si="22"/>
        <v>Central</v>
      </c>
      <c r="G1449" t="s">
        <v>306</v>
      </c>
      <c r="H1449" t="s">
        <v>28</v>
      </c>
      <c r="I1449">
        <v>8</v>
      </c>
    </row>
    <row r="1450" spans="1:9" ht="21.75" customHeight="1">
      <c r="A1450" t="s">
        <v>1600</v>
      </c>
      <c r="B1450" s="3">
        <v>45422</v>
      </c>
      <c r="C1450" t="s">
        <v>366</v>
      </c>
      <c r="D1450" t="s">
        <v>26</v>
      </c>
      <c r="E1450" t="s">
        <v>22</v>
      </c>
      <c r="F1450" t="str">
        <f t="shared" si="22"/>
        <v>North</v>
      </c>
      <c r="G1450" t="s">
        <v>12</v>
      </c>
      <c r="H1450" t="s">
        <v>23</v>
      </c>
      <c r="I1450">
        <v>10</v>
      </c>
    </row>
    <row r="1451" spans="1:9" ht="21.75" customHeight="1">
      <c r="A1451" t="s">
        <v>1601</v>
      </c>
      <c r="B1451" s="3">
        <v>45372</v>
      </c>
      <c r="C1451" t="s">
        <v>208</v>
      </c>
      <c r="D1451" t="s">
        <v>70</v>
      </c>
      <c r="E1451" t="s">
        <v>17</v>
      </c>
      <c r="F1451" t="str">
        <f t="shared" si="22"/>
        <v>Central</v>
      </c>
      <c r="G1451" t="s">
        <v>306</v>
      </c>
      <c r="H1451" t="s">
        <v>32</v>
      </c>
      <c r="I1451">
        <v>14</v>
      </c>
    </row>
    <row r="1452" spans="1:9" ht="21.75" customHeight="1">
      <c r="A1452" t="s">
        <v>1602</v>
      </c>
      <c r="B1452" s="3">
        <v>45525</v>
      </c>
      <c r="C1452" t="s">
        <v>68</v>
      </c>
      <c r="D1452" t="s">
        <v>65</v>
      </c>
      <c r="E1452" t="s">
        <v>17</v>
      </c>
      <c r="F1452" t="str">
        <f t="shared" si="22"/>
        <v>West</v>
      </c>
      <c r="G1452" t="s">
        <v>27</v>
      </c>
      <c r="H1452" t="s">
        <v>13</v>
      </c>
      <c r="I1452">
        <v>8</v>
      </c>
    </row>
    <row r="1453" spans="1:9" ht="21.75" customHeight="1">
      <c r="A1453" t="s">
        <v>1603</v>
      </c>
      <c r="B1453" s="3">
        <v>45475</v>
      </c>
      <c r="C1453" t="s">
        <v>314</v>
      </c>
      <c r="D1453" t="s">
        <v>74</v>
      </c>
      <c r="E1453" t="s">
        <v>22</v>
      </c>
      <c r="F1453" t="str">
        <f t="shared" si="22"/>
        <v>East</v>
      </c>
      <c r="G1453" t="s">
        <v>42</v>
      </c>
      <c r="H1453" t="s">
        <v>13</v>
      </c>
      <c r="I1453">
        <v>13</v>
      </c>
    </row>
    <row r="1454" spans="1:9" ht="21.75" customHeight="1">
      <c r="A1454" t="s">
        <v>1604</v>
      </c>
      <c r="B1454" s="3">
        <v>45581</v>
      </c>
      <c r="C1454" t="s">
        <v>455</v>
      </c>
      <c r="D1454" t="s">
        <v>119</v>
      </c>
      <c r="E1454" t="s">
        <v>22</v>
      </c>
      <c r="F1454" t="str">
        <f t="shared" si="22"/>
        <v>North</v>
      </c>
      <c r="G1454" t="s">
        <v>12</v>
      </c>
      <c r="H1454" t="s">
        <v>36</v>
      </c>
      <c r="I1454">
        <v>16</v>
      </c>
    </row>
    <row r="1455" spans="1:9" ht="21.75" customHeight="1">
      <c r="A1455" t="s">
        <v>1605</v>
      </c>
      <c r="B1455" s="3">
        <v>45438</v>
      </c>
      <c r="C1455" t="s">
        <v>420</v>
      </c>
      <c r="D1455" t="s">
        <v>197</v>
      </c>
      <c r="E1455" t="s">
        <v>22</v>
      </c>
      <c r="F1455" t="str">
        <f t="shared" si="22"/>
        <v>East</v>
      </c>
      <c r="G1455" t="s">
        <v>42</v>
      </c>
      <c r="H1455" t="s">
        <v>28</v>
      </c>
      <c r="I1455">
        <v>7</v>
      </c>
    </row>
    <row r="1456" spans="1:9" ht="21.75" customHeight="1">
      <c r="A1456" t="s">
        <v>1606</v>
      </c>
      <c r="B1456" s="3">
        <v>45639</v>
      </c>
      <c r="C1456" t="s">
        <v>664</v>
      </c>
      <c r="D1456" t="s">
        <v>84</v>
      </c>
      <c r="E1456" t="s">
        <v>22</v>
      </c>
      <c r="F1456" t="str">
        <f t="shared" si="22"/>
        <v>South</v>
      </c>
      <c r="G1456" t="s">
        <v>56</v>
      </c>
      <c r="H1456" t="s">
        <v>13</v>
      </c>
      <c r="I1456">
        <v>2</v>
      </c>
    </row>
    <row r="1457" spans="1:9" ht="21.75" customHeight="1">
      <c r="A1457" t="s">
        <v>1607</v>
      </c>
      <c r="B1457" s="3">
        <v>45517</v>
      </c>
      <c r="C1457" t="s">
        <v>122</v>
      </c>
      <c r="D1457" t="s">
        <v>59</v>
      </c>
      <c r="E1457" t="s">
        <v>17</v>
      </c>
      <c r="F1457" t="str">
        <f t="shared" si="22"/>
        <v>South</v>
      </c>
      <c r="G1457" t="s">
        <v>56</v>
      </c>
      <c r="H1457" t="s">
        <v>13</v>
      </c>
      <c r="I1457">
        <v>10</v>
      </c>
    </row>
    <row r="1458" spans="1:9" ht="21.75" customHeight="1">
      <c r="A1458" t="s">
        <v>1608</v>
      </c>
      <c r="B1458" s="3">
        <v>45504</v>
      </c>
      <c r="C1458" t="s">
        <v>235</v>
      </c>
      <c r="D1458" t="s">
        <v>65</v>
      </c>
      <c r="E1458" t="s">
        <v>11</v>
      </c>
      <c r="F1458" t="str">
        <f t="shared" si="22"/>
        <v>Central</v>
      </c>
      <c r="G1458" t="s">
        <v>306</v>
      </c>
      <c r="H1458" t="s">
        <v>32</v>
      </c>
      <c r="I1458">
        <v>17</v>
      </c>
    </row>
    <row r="1459" spans="1:9" ht="21.75" customHeight="1">
      <c r="A1459" t="s">
        <v>1609</v>
      </c>
      <c r="B1459" s="3">
        <v>45431</v>
      </c>
      <c r="C1459" t="s">
        <v>30</v>
      </c>
      <c r="D1459" t="s">
        <v>26</v>
      </c>
      <c r="E1459" t="s">
        <v>17</v>
      </c>
      <c r="F1459" t="str">
        <f t="shared" si="22"/>
        <v>East</v>
      </c>
      <c r="G1459" t="s">
        <v>42</v>
      </c>
      <c r="H1459" t="s">
        <v>32</v>
      </c>
      <c r="I1459">
        <v>4</v>
      </c>
    </row>
    <row r="1460" spans="1:9" ht="21.75" customHeight="1">
      <c r="A1460" t="s">
        <v>1610</v>
      </c>
      <c r="B1460" s="3">
        <v>45330</v>
      </c>
      <c r="C1460" t="s">
        <v>167</v>
      </c>
      <c r="D1460" t="s">
        <v>119</v>
      </c>
      <c r="E1460" t="s">
        <v>11</v>
      </c>
      <c r="F1460" t="str">
        <f t="shared" si="22"/>
        <v>West</v>
      </c>
      <c r="G1460" t="s">
        <v>27</v>
      </c>
      <c r="H1460" t="s">
        <v>36</v>
      </c>
      <c r="I1460">
        <v>12</v>
      </c>
    </row>
    <row r="1461" spans="1:9" ht="21.75" customHeight="1">
      <c r="A1461" t="s">
        <v>1611</v>
      </c>
      <c r="B1461" s="3">
        <v>45494</v>
      </c>
      <c r="C1461" t="s">
        <v>142</v>
      </c>
      <c r="D1461" t="s">
        <v>26</v>
      </c>
      <c r="E1461" t="s">
        <v>22</v>
      </c>
      <c r="F1461" t="str">
        <f t="shared" si="22"/>
        <v>North</v>
      </c>
      <c r="G1461" t="s">
        <v>12</v>
      </c>
      <c r="H1461" t="s">
        <v>23</v>
      </c>
      <c r="I1461">
        <v>12</v>
      </c>
    </row>
    <row r="1462" spans="1:9" ht="21.75" customHeight="1">
      <c r="A1462" t="s">
        <v>1612</v>
      </c>
      <c r="B1462" s="3">
        <v>45636</v>
      </c>
      <c r="C1462" t="s">
        <v>86</v>
      </c>
      <c r="D1462" t="s">
        <v>59</v>
      </c>
      <c r="E1462" t="s">
        <v>17</v>
      </c>
      <c r="F1462" t="str">
        <f t="shared" si="22"/>
        <v>East</v>
      </c>
      <c r="G1462" t="s">
        <v>42</v>
      </c>
      <c r="H1462" t="s">
        <v>13</v>
      </c>
      <c r="I1462">
        <v>8</v>
      </c>
    </row>
    <row r="1463" spans="1:9" ht="21.75" customHeight="1">
      <c r="A1463" t="s">
        <v>1613</v>
      </c>
      <c r="B1463" s="3">
        <v>45609</v>
      </c>
      <c r="C1463" t="s">
        <v>642</v>
      </c>
      <c r="D1463" t="s">
        <v>72</v>
      </c>
      <c r="E1463" t="s">
        <v>22</v>
      </c>
      <c r="F1463" t="str">
        <f t="shared" si="22"/>
        <v>South</v>
      </c>
      <c r="G1463" t="s">
        <v>56</v>
      </c>
      <c r="H1463" t="s">
        <v>13</v>
      </c>
      <c r="I1463">
        <v>15</v>
      </c>
    </row>
    <row r="1464" spans="1:9" ht="21.75" customHeight="1">
      <c r="A1464" t="s">
        <v>1614</v>
      </c>
      <c r="B1464" s="3">
        <v>45446</v>
      </c>
      <c r="C1464" t="s">
        <v>350</v>
      </c>
      <c r="D1464" t="s">
        <v>87</v>
      </c>
      <c r="E1464" t="s">
        <v>11</v>
      </c>
      <c r="F1464" t="str">
        <f t="shared" si="22"/>
        <v>South</v>
      </c>
      <c r="G1464" t="s">
        <v>56</v>
      </c>
      <c r="H1464" t="s">
        <v>13</v>
      </c>
      <c r="I1464">
        <v>2</v>
      </c>
    </row>
    <row r="1465" spans="1:9" ht="21.75" customHeight="1">
      <c r="A1465" t="s">
        <v>1615</v>
      </c>
      <c r="B1465" s="3">
        <v>45544</v>
      </c>
      <c r="C1465" t="s">
        <v>40</v>
      </c>
      <c r="D1465" t="s">
        <v>102</v>
      </c>
      <c r="E1465" t="s">
        <v>11</v>
      </c>
      <c r="F1465" t="str">
        <f t="shared" si="22"/>
        <v>Central</v>
      </c>
      <c r="G1465" t="s">
        <v>306</v>
      </c>
      <c r="H1465" t="s">
        <v>28</v>
      </c>
      <c r="I1465">
        <v>13</v>
      </c>
    </row>
    <row r="1466" spans="1:9" ht="21.75" customHeight="1">
      <c r="A1466" t="s">
        <v>1616</v>
      </c>
      <c r="B1466" s="3">
        <v>45635</v>
      </c>
      <c r="C1466" t="s">
        <v>323</v>
      </c>
      <c r="D1466" t="s">
        <v>62</v>
      </c>
      <c r="E1466" t="s">
        <v>22</v>
      </c>
      <c r="F1466" t="str">
        <f t="shared" si="22"/>
        <v>West</v>
      </c>
      <c r="G1466" t="s">
        <v>27</v>
      </c>
      <c r="H1466" t="s">
        <v>36</v>
      </c>
      <c r="I1466">
        <v>5</v>
      </c>
    </row>
    <row r="1467" spans="1:9" ht="21.75" customHeight="1">
      <c r="A1467" t="s">
        <v>1617</v>
      </c>
      <c r="B1467" s="3">
        <v>45627</v>
      </c>
      <c r="C1467" t="s">
        <v>108</v>
      </c>
      <c r="D1467" t="s">
        <v>35</v>
      </c>
      <c r="E1467" t="s">
        <v>22</v>
      </c>
      <c r="F1467" t="str">
        <f t="shared" si="22"/>
        <v>West</v>
      </c>
      <c r="G1467" t="s">
        <v>27</v>
      </c>
      <c r="H1467" t="s">
        <v>32</v>
      </c>
      <c r="I1467">
        <v>2</v>
      </c>
    </row>
    <row r="1468" spans="1:9" ht="21.75" customHeight="1">
      <c r="A1468" t="s">
        <v>1618</v>
      </c>
      <c r="B1468" s="3">
        <v>45403</v>
      </c>
      <c r="C1468" t="s">
        <v>396</v>
      </c>
      <c r="D1468" t="s">
        <v>70</v>
      </c>
      <c r="E1468" t="s">
        <v>11</v>
      </c>
      <c r="F1468" t="str">
        <f t="shared" si="22"/>
        <v>East</v>
      </c>
      <c r="G1468" t="s">
        <v>42</v>
      </c>
      <c r="H1468" t="s">
        <v>13</v>
      </c>
      <c r="I1468">
        <v>12</v>
      </c>
    </row>
    <row r="1469" spans="1:9" ht="21.75" customHeight="1">
      <c r="A1469" t="s">
        <v>1619</v>
      </c>
      <c r="B1469" s="3">
        <v>45622</v>
      </c>
      <c r="C1469" t="s">
        <v>182</v>
      </c>
      <c r="D1469" t="s">
        <v>79</v>
      </c>
      <c r="E1469" t="s">
        <v>17</v>
      </c>
      <c r="F1469" t="str">
        <f t="shared" si="22"/>
        <v>East</v>
      </c>
      <c r="G1469" t="s">
        <v>42</v>
      </c>
      <c r="H1469" t="s">
        <v>28</v>
      </c>
      <c r="I1469">
        <v>4</v>
      </c>
    </row>
    <row r="1470" spans="1:9" ht="21.75" customHeight="1">
      <c r="A1470" t="s">
        <v>1620</v>
      </c>
      <c r="B1470" s="3">
        <v>45524</v>
      </c>
      <c r="C1470" t="s">
        <v>203</v>
      </c>
      <c r="D1470" t="s">
        <v>41</v>
      </c>
      <c r="E1470" t="s">
        <v>11</v>
      </c>
      <c r="F1470" t="str">
        <f t="shared" si="22"/>
        <v>Central</v>
      </c>
      <c r="G1470" t="s">
        <v>306</v>
      </c>
      <c r="H1470" t="s">
        <v>13</v>
      </c>
      <c r="I1470">
        <v>2</v>
      </c>
    </row>
    <row r="1471" spans="1:9" ht="21.75" customHeight="1">
      <c r="A1471" t="s">
        <v>1621</v>
      </c>
      <c r="B1471" s="3">
        <v>45416</v>
      </c>
      <c r="C1471" t="s">
        <v>34</v>
      </c>
      <c r="D1471" t="s">
        <v>59</v>
      </c>
      <c r="E1471" t="s">
        <v>11</v>
      </c>
      <c r="F1471" t="str">
        <f t="shared" si="22"/>
        <v>North</v>
      </c>
      <c r="G1471" t="s">
        <v>12</v>
      </c>
      <c r="H1471" t="s">
        <v>36</v>
      </c>
      <c r="I1471">
        <v>7</v>
      </c>
    </row>
    <row r="1472" spans="1:9" ht="21.75" customHeight="1">
      <c r="A1472" t="s">
        <v>1622</v>
      </c>
      <c r="B1472" s="3">
        <v>45411</v>
      </c>
      <c r="C1472" t="s">
        <v>118</v>
      </c>
      <c r="D1472" t="s">
        <v>119</v>
      </c>
      <c r="E1472" t="s">
        <v>11</v>
      </c>
      <c r="F1472" t="str">
        <f t="shared" si="22"/>
        <v>Central</v>
      </c>
      <c r="G1472" t="s">
        <v>306</v>
      </c>
      <c r="H1472" t="s">
        <v>13</v>
      </c>
      <c r="I1472">
        <v>9</v>
      </c>
    </row>
    <row r="1473" spans="1:9" ht="21.75" customHeight="1">
      <c r="A1473" t="s">
        <v>1623</v>
      </c>
      <c r="B1473" s="3">
        <v>45366</v>
      </c>
      <c r="C1473" t="s">
        <v>34</v>
      </c>
      <c r="D1473" t="s">
        <v>174</v>
      </c>
      <c r="E1473" t="s">
        <v>17</v>
      </c>
      <c r="F1473" t="str">
        <f t="shared" si="22"/>
        <v>South</v>
      </c>
      <c r="G1473" t="s">
        <v>56</v>
      </c>
      <c r="H1473" t="s">
        <v>13</v>
      </c>
      <c r="I1473">
        <v>1</v>
      </c>
    </row>
    <row r="1474" spans="1:9" ht="21.75" customHeight="1">
      <c r="A1474" t="s">
        <v>1624</v>
      </c>
      <c r="B1474" s="3">
        <v>45475</v>
      </c>
      <c r="C1474" t="s">
        <v>728</v>
      </c>
      <c r="D1474" t="s">
        <v>197</v>
      </c>
      <c r="E1474" t="s">
        <v>22</v>
      </c>
      <c r="F1474" t="str">
        <f t="shared" si="22"/>
        <v>East</v>
      </c>
      <c r="G1474" t="s">
        <v>42</v>
      </c>
      <c r="H1474" t="s">
        <v>13</v>
      </c>
      <c r="I1474">
        <v>6</v>
      </c>
    </row>
    <row r="1475" spans="1:9" ht="21.75" customHeight="1">
      <c r="A1475" t="s">
        <v>1625</v>
      </c>
      <c r="B1475" s="3">
        <v>45356</v>
      </c>
      <c r="C1475" t="s">
        <v>304</v>
      </c>
      <c r="D1475" t="s">
        <v>87</v>
      </c>
      <c r="E1475" t="s">
        <v>22</v>
      </c>
      <c r="F1475" t="str">
        <f t="shared" ref="F1475:F1538" si="23">TRIM(PROPER(G1475))</f>
        <v>North</v>
      </c>
      <c r="G1475" t="s">
        <v>12</v>
      </c>
      <c r="H1475" t="s">
        <v>13</v>
      </c>
      <c r="I1475">
        <v>16</v>
      </c>
    </row>
    <row r="1476" spans="1:9" ht="21.75" customHeight="1">
      <c r="A1476" t="s">
        <v>1626</v>
      </c>
      <c r="B1476" s="3">
        <v>45477</v>
      </c>
      <c r="C1476" t="s">
        <v>345</v>
      </c>
      <c r="D1476" t="s">
        <v>59</v>
      </c>
      <c r="E1476" t="s">
        <v>11</v>
      </c>
      <c r="F1476" t="str">
        <f t="shared" si="23"/>
        <v>West</v>
      </c>
      <c r="G1476" t="s">
        <v>27</v>
      </c>
      <c r="H1476" t="s">
        <v>36</v>
      </c>
      <c r="I1476">
        <v>8</v>
      </c>
    </row>
    <row r="1477" spans="1:9" ht="21.75" customHeight="1">
      <c r="A1477" t="s">
        <v>1627</v>
      </c>
      <c r="B1477" s="3">
        <v>45314</v>
      </c>
      <c r="C1477" t="s">
        <v>388</v>
      </c>
      <c r="D1477" t="s">
        <v>41</v>
      </c>
      <c r="E1477" t="s">
        <v>22</v>
      </c>
      <c r="F1477" t="str">
        <f t="shared" si="23"/>
        <v>East</v>
      </c>
      <c r="G1477" t="s">
        <v>42</v>
      </c>
      <c r="H1477" t="s">
        <v>23</v>
      </c>
      <c r="I1477">
        <v>1</v>
      </c>
    </row>
    <row r="1478" spans="1:9" ht="21.75" customHeight="1">
      <c r="A1478" t="s">
        <v>1628</v>
      </c>
      <c r="B1478" s="3">
        <v>45537</v>
      </c>
      <c r="C1478" t="s">
        <v>341</v>
      </c>
      <c r="D1478" t="s">
        <v>87</v>
      </c>
      <c r="E1478" t="s">
        <v>22</v>
      </c>
      <c r="F1478" t="str">
        <f t="shared" si="23"/>
        <v>North</v>
      </c>
      <c r="G1478" t="s">
        <v>12</v>
      </c>
      <c r="H1478" t="s">
        <v>23</v>
      </c>
      <c r="I1478">
        <v>15</v>
      </c>
    </row>
    <row r="1479" spans="1:9" ht="21.75" customHeight="1">
      <c r="A1479" t="s">
        <v>1629</v>
      </c>
      <c r="B1479" s="3">
        <v>45333</v>
      </c>
      <c r="C1479" t="s">
        <v>187</v>
      </c>
      <c r="D1479" t="s">
        <v>109</v>
      </c>
      <c r="E1479" t="s">
        <v>11</v>
      </c>
      <c r="F1479" t="str">
        <f t="shared" si="23"/>
        <v>North</v>
      </c>
      <c r="G1479" t="s">
        <v>12</v>
      </c>
      <c r="H1479" t="s">
        <v>28</v>
      </c>
      <c r="I1479">
        <v>9</v>
      </c>
    </row>
    <row r="1480" spans="1:9" ht="21.75" customHeight="1">
      <c r="A1480" t="s">
        <v>1630</v>
      </c>
      <c r="B1480" s="3">
        <v>45591</v>
      </c>
      <c r="C1480" t="s">
        <v>378</v>
      </c>
      <c r="D1480" t="s">
        <v>62</v>
      </c>
      <c r="E1480" t="s">
        <v>17</v>
      </c>
      <c r="F1480" t="str">
        <f t="shared" si="23"/>
        <v>West</v>
      </c>
      <c r="G1480" t="s">
        <v>27</v>
      </c>
      <c r="H1480" t="s">
        <v>36</v>
      </c>
      <c r="I1480">
        <v>17</v>
      </c>
    </row>
    <row r="1481" spans="1:9" ht="21.75" customHeight="1">
      <c r="A1481" t="s">
        <v>1631</v>
      </c>
      <c r="B1481" s="3">
        <v>45550</v>
      </c>
      <c r="C1481" t="s">
        <v>493</v>
      </c>
      <c r="D1481" t="s">
        <v>87</v>
      </c>
      <c r="E1481" t="s">
        <v>11</v>
      </c>
      <c r="F1481" t="str">
        <f t="shared" si="23"/>
        <v>North</v>
      </c>
      <c r="G1481" t="s">
        <v>12</v>
      </c>
      <c r="H1481" t="s">
        <v>36</v>
      </c>
      <c r="I1481">
        <v>7</v>
      </c>
    </row>
    <row r="1482" spans="1:9" ht="21.75" customHeight="1">
      <c r="A1482" t="s">
        <v>1632</v>
      </c>
      <c r="B1482" s="3">
        <v>45408</v>
      </c>
      <c r="C1482" t="s">
        <v>408</v>
      </c>
      <c r="D1482" t="s">
        <v>72</v>
      </c>
      <c r="E1482" t="s">
        <v>17</v>
      </c>
      <c r="F1482" t="str">
        <f t="shared" si="23"/>
        <v>West</v>
      </c>
      <c r="G1482" t="s">
        <v>27</v>
      </c>
      <c r="H1482" t="s">
        <v>23</v>
      </c>
      <c r="I1482">
        <v>4</v>
      </c>
    </row>
    <row r="1483" spans="1:9" ht="21.75" customHeight="1">
      <c r="A1483" t="s">
        <v>1633</v>
      </c>
      <c r="B1483" s="3">
        <v>45452</v>
      </c>
      <c r="C1483" t="s">
        <v>317</v>
      </c>
      <c r="D1483" t="s">
        <v>26</v>
      </c>
      <c r="E1483" t="s">
        <v>17</v>
      </c>
      <c r="F1483" t="str">
        <f t="shared" si="23"/>
        <v>South</v>
      </c>
      <c r="G1483" t="s">
        <v>56</v>
      </c>
      <c r="H1483" t="s">
        <v>23</v>
      </c>
      <c r="I1483">
        <v>3</v>
      </c>
    </row>
    <row r="1484" spans="1:9" ht="21.75" customHeight="1">
      <c r="A1484" t="s">
        <v>1634</v>
      </c>
      <c r="B1484" s="3">
        <v>45335</v>
      </c>
      <c r="C1484" t="s">
        <v>203</v>
      </c>
      <c r="D1484" t="s">
        <v>87</v>
      </c>
      <c r="E1484" t="s">
        <v>11</v>
      </c>
      <c r="F1484" t="str">
        <f t="shared" si="23"/>
        <v>East</v>
      </c>
      <c r="G1484" t="s">
        <v>42</v>
      </c>
      <c r="H1484" t="s">
        <v>28</v>
      </c>
      <c r="I1484">
        <v>18</v>
      </c>
    </row>
    <row r="1485" spans="1:9" ht="21.75" customHeight="1">
      <c r="A1485" t="s">
        <v>1635</v>
      </c>
      <c r="B1485" s="3">
        <v>45579</v>
      </c>
      <c r="C1485" t="s">
        <v>642</v>
      </c>
      <c r="D1485" t="s">
        <v>72</v>
      </c>
      <c r="E1485" t="s">
        <v>22</v>
      </c>
      <c r="F1485" t="str">
        <f t="shared" si="23"/>
        <v>North</v>
      </c>
      <c r="G1485" t="s">
        <v>12</v>
      </c>
      <c r="H1485" t="s">
        <v>23</v>
      </c>
      <c r="I1485">
        <v>12</v>
      </c>
    </row>
    <row r="1486" spans="1:9" ht="21.75" customHeight="1">
      <c r="A1486" t="s">
        <v>1636</v>
      </c>
      <c r="B1486" s="3">
        <v>45508</v>
      </c>
      <c r="C1486" t="s">
        <v>329</v>
      </c>
      <c r="D1486" t="s">
        <v>79</v>
      </c>
      <c r="E1486" t="s">
        <v>17</v>
      </c>
      <c r="F1486" t="str">
        <f t="shared" si="23"/>
        <v>Central</v>
      </c>
      <c r="G1486" t="s">
        <v>306</v>
      </c>
      <c r="H1486" t="s">
        <v>32</v>
      </c>
      <c r="I1486">
        <v>12</v>
      </c>
    </row>
    <row r="1487" spans="1:9" ht="21.75" customHeight="1">
      <c r="A1487" t="s">
        <v>1637</v>
      </c>
      <c r="B1487" s="3">
        <v>45551</v>
      </c>
      <c r="C1487" t="s">
        <v>133</v>
      </c>
      <c r="D1487" t="s">
        <v>16</v>
      </c>
      <c r="E1487" t="s">
        <v>22</v>
      </c>
      <c r="F1487" t="str">
        <f t="shared" si="23"/>
        <v>West</v>
      </c>
      <c r="G1487" t="s">
        <v>27</v>
      </c>
      <c r="H1487" t="s">
        <v>28</v>
      </c>
      <c r="I1487">
        <v>4</v>
      </c>
    </row>
    <row r="1488" spans="1:9" ht="21.75" customHeight="1">
      <c r="A1488" t="s">
        <v>1638</v>
      </c>
      <c r="B1488" s="3">
        <v>45576</v>
      </c>
      <c r="C1488" t="s">
        <v>200</v>
      </c>
      <c r="D1488" t="s">
        <v>102</v>
      </c>
      <c r="E1488" t="s">
        <v>17</v>
      </c>
      <c r="F1488" t="str">
        <f t="shared" si="23"/>
        <v>Central</v>
      </c>
      <c r="G1488" t="s">
        <v>306</v>
      </c>
      <c r="H1488" t="s">
        <v>28</v>
      </c>
      <c r="I1488">
        <v>14</v>
      </c>
    </row>
    <row r="1489" spans="1:9" ht="21.75" customHeight="1">
      <c r="A1489" t="s">
        <v>1639</v>
      </c>
      <c r="B1489" s="3">
        <v>45610</v>
      </c>
      <c r="C1489" t="s">
        <v>594</v>
      </c>
      <c r="D1489" t="s">
        <v>41</v>
      </c>
      <c r="E1489" t="s">
        <v>22</v>
      </c>
      <c r="F1489" t="str">
        <f t="shared" si="23"/>
        <v>Central</v>
      </c>
      <c r="G1489" t="s">
        <v>306</v>
      </c>
      <c r="H1489" t="s">
        <v>13</v>
      </c>
      <c r="I1489">
        <v>20</v>
      </c>
    </row>
    <row r="1490" spans="1:9" ht="21.75" customHeight="1">
      <c r="A1490" t="s">
        <v>1640</v>
      </c>
      <c r="B1490" s="3">
        <v>45647</v>
      </c>
      <c r="C1490" t="s">
        <v>101</v>
      </c>
      <c r="D1490" t="s">
        <v>96</v>
      </c>
      <c r="E1490" t="s">
        <v>11</v>
      </c>
      <c r="F1490" t="str">
        <f t="shared" si="23"/>
        <v>East</v>
      </c>
      <c r="G1490" t="s">
        <v>42</v>
      </c>
      <c r="H1490" t="s">
        <v>32</v>
      </c>
      <c r="I1490">
        <v>11</v>
      </c>
    </row>
    <row r="1491" spans="1:9" ht="21.75" customHeight="1">
      <c r="A1491" t="s">
        <v>1641</v>
      </c>
      <c r="B1491" s="3">
        <v>45384</v>
      </c>
      <c r="C1491" t="s">
        <v>167</v>
      </c>
      <c r="D1491" t="s">
        <v>59</v>
      </c>
      <c r="E1491" t="s">
        <v>22</v>
      </c>
      <c r="F1491" t="str">
        <f t="shared" si="23"/>
        <v>West</v>
      </c>
      <c r="G1491" t="s">
        <v>27</v>
      </c>
      <c r="H1491" t="s">
        <v>13</v>
      </c>
      <c r="I1491">
        <v>5</v>
      </c>
    </row>
    <row r="1492" spans="1:9" ht="21.75" customHeight="1">
      <c r="A1492" t="s">
        <v>1642</v>
      </c>
      <c r="B1492" s="3">
        <v>45307</v>
      </c>
      <c r="C1492" t="s">
        <v>203</v>
      </c>
      <c r="D1492" t="s">
        <v>84</v>
      </c>
      <c r="E1492" t="s">
        <v>22</v>
      </c>
      <c r="F1492" t="str">
        <f t="shared" si="23"/>
        <v>South</v>
      </c>
      <c r="G1492" t="s">
        <v>56</v>
      </c>
      <c r="H1492" t="s">
        <v>23</v>
      </c>
      <c r="I1492">
        <v>14</v>
      </c>
    </row>
    <row r="1493" spans="1:9" ht="21.75" customHeight="1">
      <c r="A1493" t="s">
        <v>1643</v>
      </c>
      <c r="B1493" s="3">
        <v>45372</v>
      </c>
      <c r="C1493" t="s">
        <v>200</v>
      </c>
      <c r="D1493" t="s">
        <v>74</v>
      </c>
      <c r="E1493" t="s">
        <v>22</v>
      </c>
      <c r="F1493" t="str">
        <f t="shared" si="23"/>
        <v>East</v>
      </c>
      <c r="G1493" t="s">
        <v>42</v>
      </c>
      <c r="H1493" t="s">
        <v>36</v>
      </c>
      <c r="I1493">
        <v>20</v>
      </c>
    </row>
    <row r="1494" spans="1:9" ht="21.75" customHeight="1">
      <c r="A1494" t="s">
        <v>1644</v>
      </c>
      <c r="B1494" s="3">
        <v>45318</v>
      </c>
      <c r="C1494" t="s">
        <v>125</v>
      </c>
      <c r="D1494" t="s">
        <v>45</v>
      </c>
      <c r="E1494" t="s">
        <v>22</v>
      </c>
      <c r="F1494" t="str">
        <f t="shared" si="23"/>
        <v>North</v>
      </c>
      <c r="G1494" t="s">
        <v>12</v>
      </c>
      <c r="H1494" t="s">
        <v>13</v>
      </c>
      <c r="I1494">
        <v>9</v>
      </c>
    </row>
    <row r="1495" spans="1:9" ht="21.75" customHeight="1">
      <c r="A1495" t="s">
        <v>1645</v>
      </c>
      <c r="B1495" s="3">
        <v>45509</v>
      </c>
      <c r="C1495" t="s">
        <v>374</v>
      </c>
      <c r="D1495" t="s">
        <v>109</v>
      </c>
      <c r="E1495" t="s">
        <v>17</v>
      </c>
      <c r="F1495" t="str">
        <f t="shared" si="23"/>
        <v>West</v>
      </c>
      <c r="G1495" t="s">
        <v>27</v>
      </c>
      <c r="H1495" t="s">
        <v>32</v>
      </c>
      <c r="I1495">
        <v>7</v>
      </c>
    </row>
    <row r="1496" spans="1:9" ht="21.75" customHeight="1">
      <c r="A1496" t="s">
        <v>1646</v>
      </c>
      <c r="B1496" s="3">
        <v>45350</v>
      </c>
      <c r="C1496" t="s">
        <v>20</v>
      </c>
      <c r="D1496" t="s">
        <v>87</v>
      </c>
      <c r="E1496" t="s">
        <v>11</v>
      </c>
      <c r="F1496" t="str">
        <f t="shared" si="23"/>
        <v>East</v>
      </c>
      <c r="G1496" t="s">
        <v>42</v>
      </c>
      <c r="H1496" t="s">
        <v>36</v>
      </c>
      <c r="I1496">
        <v>16</v>
      </c>
    </row>
    <row r="1497" spans="1:9" ht="21.75" customHeight="1">
      <c r="A1497" t="s">
        <v>1647</v>
      </c>
      <c r="B1497" s="3">
        <v>45449</v>
      </c>
      <c r="C1497" t="s">
        <v>116</v>
      </c>
      <c r="D1497" t="s">
        <v>197</v>
      </c>
      <c r="E1497" t="s">
        <v>17</v>
      </c>
      <c r="F1497" t="str">
        <f t="shared" si="23"/>
        <v>Central</v>
      </c>
      <c r="G1497" t="s">
        <v>306</v>
      </c>
      <c r="H1497" t="s">
        <v>13</v>
      </c>
      <c r="I1497">
        <v>1</v>
      </c>
    </row>
    <row r="1498" spans="1:9" ht="21.75" customHeight="1">
      <c r="A1498" t="s">
        <v>1648</v>
      </c>
      <c r="B1498" s="3">
        <v>45400</v>
      </c>
      <c r="C1498" t="s">
        <v>337</v>
      </c>
      <c r="D1498" t="s">
        <v>16</v>
      </c>
      <c r="E1498" t="s">
        <v>17</v>
      </c>
      <c r="F1498" t="str">
        <f t="shared" si="23"/>
        <v>East</v>
      </c>
      <c r="G1498" t="s">
        <v>42</v>
      </c>
      <c r="H1498" t="s">
        <v>32</v>
      </c>
      <c r="I1498">
        <v>4</v>
      </c>
    </row>
    <row r="1499" spans="1:9" ht="21.75" customHeight="1">
      <c r="A1499" t="s">
        <v>1649</v>
      </c>
      <c r="B1499" s="3">
        <v>45512</v>
      </c>
      <c r="C1499" t="s">
        <v>235</v>
      </c>
      <c r="D1499" t="s">
        <v>16</v>
      </c>
      <c r="E1499" t="s">
        <v>17</v>
      </c>
      <c r="F1499" t="str">
        <f t="shared" si="23"/>
        <v>Central</v>
      </c>
      <c r="G1499" t="s">
        <v>306</v>
      </c>
      <c r="H1499" t="s">
        <v>28</v>
      </c>
      <c r="I1499">
        <v>17</v>
      </c>
    </row>
    <row r="1500" spans="1:9" ht="21.75" customHeight="1">
      <c r="A1500" t="s">
        <v>1650</v>
      </c>
      <c r="B1500" s="3">
        <v>45634</v>
      </c>
      <c r="C1500" t="s">
        <v>182</v>
      </c>
      <c r="D1500" t="s">
        <v>10</v>
      </c>
      <c r="E1500" t="s">
        <v>17</v>
      </c>
      <c r="F1500" t="str">
        <f t="shared" si="23"/>
        <v>North</v>
      </c>
      <c r="G1500" t="s">
        <v>12</v>
      </c>
      <c r="H1500" t="s">
        <v>23</v>
      </c>
      <c r="I1500">
        <v>1</v>
      </c>
    </row>
    <row r="1501" spans="1:9" ht="21.75" customHeight="1">
      <c r="A1501" t="s">
        <v>1651</v>
      </c>
      <c r="B1501" s="3">
        <v>45331</v>
      </c>
      <c r="C1501" t="s">
        <v>38</v>
      </c>
      <c r="D1501" t="s">
        <v>59</v>
      </c>
      <c r="E1501" t="s">
        <v>17</v>
      </c>
      <c r="F1501" t="str">
        <f t="shared" si="23"/>
        <v>Central</v>
      </c>
      <c r="G1501" t="s">
        <v>306</v>
      </c>
      <c r="H1501" t="s">
        <v>23</v>
      </c>
      <c r="I1501">
        <v>14</v>
      </c>
    </row>
    <row r="1502" spans="1:9" ht="21.75" customHeight="1">
      <c r="A1502" t="s">
        <v>1652</v>
      </c>
      <c r="B1502" s="3">
        <v>45499</v>
      </c>
      <c r="C1502" t="s">
        <v>138</v>
      </c>
      <c r="D1502" t="s">
        <v>72</v>
      </c>
      <c r="E1502" t="s">
        <v>11</v>
      </c>
      <c r="F1502" t="str">
        <f t="shared" si="23"/>
        <v>Central</v>
      </c>
      <c r="G1502" t="s">
        <v>306</v>
      </c>
      <c r="H1502" t="s">
        <v>23</v>
      </c>
      <c r="I1502">
        <v>12</v>
      </c>
    </row>
    <row r="1503" spans="1:9" ht="21.75" customHeight="1">
      <c r="A1503" t="s">
        <v>1653</v>
      </c>
      <c r="B1503" s="3">
        <v>45346</v>
      </c>
      <c r="C1503" t="s">
        <v>78</v>
      </c>
      <c r="D1503" t="s">
        <v>87</v>
      </c>
      <c r="E1503" t="s">
        <v>22</v>
      </c>
      <c r="F1503" t="str">
        <f t="shared" si="23"/>
        <v>West</v>
      </c>
      <c r="G1503" t="s">
        <v>27</v>
      </c>
      <c r="H1503" t="s">
        <v>36</v>
      </c>
      <c r="I1503">
        <v>3</v>
      </c>
    </row>
    <row r="1504" spans="1:9" ht="21.75" customHeight="1">
      <c r="A1504" t="s">
        <v>1654</v>
      </c>
      <c r="B1504" s="3">
        <v>45450</v>
      </c>
      <c r="C1504" t="s">
        <v>323</v>
      </c>
      <c r="D1504" t="s">
        <v>72</v>
      </c>
      <c r="E1504" t="s">
        <v>11</v>
      </c>
      <c r="F1504" t="str">
        <f t="shared" si="23"/>
        <v>East</v>
      </c>
      <c r="G1504" t="s">
        <v>42</v>
      </c>
      <c r="H1504" t="s">
        <v>28</v>
      </c>
      <c r="I1504">
        <v>3</v>
      </c>
    </row>
    <row r="1505" spans="1:9" ht="21.75" customHeight="1">
      <c r="A1505" t="s">
        <v>1655</v>
      </c>
      <c r="B1505" s="3">
        <v>45350</v>
      </c>
      <c r="C1505" t="s">
        <v>339</v>
      </c>
      <c r="D1505" t="s">
        <v>160</v>
      </c>
      <c r="E1505" t="s">
        <v>11</v>
      </c>
      <c r="F1505" t="str">
        <f t="shared" si="23"/>
        <v>East</v>
      </c>
      <c r="G1505" t="s">
        <v>42</v>
      </c>
      <c r="H1505" t="s">
        <v>32</v>
      </c>
      <c r="I1505">
        <v>5</v>
      </c>
    </row>
    <row r="1506" spans="1:9" ht="21.75" customHeight="1">
      <c r="A1506" t="s">
        <v>1656</v>
      </c>
      <c r="B1506" s="3">
        <v>45366</v>
      </c>
      <c r="C1506" t="s">
        <v>230</v>
      </c>
      <c r="D1506" t="s">
        <v>65</v>
      </c>
      <c r="E1506" t="s">
        <v>11</v>
      </c>
      <c r="F1506" t="str">
        <f t="shared" si="23"/>
        <v>Central</v>
      </c>
      <c r="G1506" t="s">
        <v>306</v>
      </c>
      <c r="H1506" t="s">
        <v>28</v>
      </c>
      <c r="I1506">
        <v>3</v>
      </c>
    </row>
    <row r="1507" spans="1:9" ht="21.75" customHeight="1">
      <c r="A1507" t="s">
        <v>1657</v>
      </c>
      <c r="B1507" s="3">
        <v>45613</v>
      </c>
      <c r="C1507" t="s">
        <v>432</v>
      </c>
      <c r="D1507" t="s">
        <v>70</v>
      </c>
      <c r="E1507" t="s">
        <v>22</v>
      </c>
      <c r="F1507" t="str">
        <f t="shared" si="23"/>
        <v>Central</v>
      </c>
      <c r="G1507" t="s">
        <v>306</v>
      </c>
      <c r="H1507" t="s">
        <v>23</v>
      </c>
      <c r="I1507">
        <v>19</v>
      </c>
    </row>
    <row r="1508" spans="1:9" ht="21.75" customHeight="1">
      <c r="A1508" t="s">
        <v>1658</v>
      </c>
      <c r="B1508" s="3">
        <v>45611</v>
      </c>
      <c r="C1508" t="s">
        <v>187</v>
      </c>
      <c r="D1508" t="s">
        <v>21</v>
      </c>
      <c r="E1508" t="s">
        <v>17</v>
      </c>
      <c r="F1508" t="str">
        <f t="shared" si="23"/>
        <v>South</v>
      </c>
      <c r="G1508" t="s">
        <v>56</v>
      </c>
      <c r="H1508" t="s">
        <v>23</v>
      </c>
      <c r="I1508">
        <v>3</v>
      </c>
    </row>
    <row r="1509" spans="1:9" ht="21.75" customHeight="1">
      <c r="A1509" t="s">
        <v>1659</v>
      </c>
      <c r="B1509" s="3">
        <v>45615</v>
      </c>
      <c r="C1509" t="s">
        <v>68</v>
      </c>
      <c r="D1509" t="s">
        <v>26</v>
      </c>
      <c r="E1509" t="s">
        <v>22</v>
      </c>
      <c r="F1509" t="str">
        <f t="shared" si="23"/>
        <v>North</v>
      </c>
      <c r="G1509" t="s">
        <v>12</v>
      </c>
      <c r="H1509" t="s">
        <v>32</v>
      </c>
      <c r="I1509">
        <v>17</v>
      </c>
    </row>
    <row r="1510" spans="1:9" ht="21.75" customHeight="1">
      <c r="A1510" t="s">
        <v>1660</v>
      </c>
      <c r="B1510" s="3">
        <v>45528</v>
      </c>
      <c r="C1510" t="s">
        <v>430</v>
      </c>
      <c r="D1510" t="s">
        <v>79</v>
      </c>
      <c r="E1510" t="s">
        <v>11</v>
      </c>
      <c r="F1510" t="str">
        <f t="shared" si="23"/>
        <v>East</v>
      </c>
      <c r="G1510" t="s">
        <v>42</v>
      </c>
      <c r="H1510" t="s">
        <v>32</v>
      </c>
      <c r="I1510">
        <v>3</v>
      </c>
    </row>
    <row r="1511" spans="1:9" ht="21.75" customHeight="1">
      <c r="A1511" t="s">
        <v>1661</v>
      </c>
      <c r="B1511" s="3">
        <v>45338</v>
      </c>
      <c r="C1511" t="s">
        <v>594</v>
      </c>
      <c r="D1511" t="s">
        <v>109</v>
      </c>
      <c r="E1511" t="s">
        <v>22</v>
      </c>
      <c r="F1511" t="str">
        <f t="shared" si="23"/>
        <v>West</v>
      </c>
      <c r="G1511" t="s">
        <v>27</v>
      </c>
      <c r="H1511" t="s">
        <v>23</v>
      </c>
      <c r="I1511">
        <v>19</v>
      </c>
    </row>
    <row r="1512" spans="1:9" ht="21.75" customHeight="1">
      <c r="A1512" t="s">
        <v>1662</v>
      </c>
      <c r="B1512" s="3">
        <v>45313</v>
      </c>
      <c r="C1512" t="s">
        <v>430</v>
      </c>
      <c r="D1512" t="s">
        <v>59</v>
      </c>
      <c r="E1512" t="s">
        <v>22</v>
      </c>
      <c r="F1512" t="str">
        <f t="shared" si="23"/>
        <v>South</v>
      </c>
      <c r="G1512" t="s">
        <v>56</v>
      </c>
      <c r="H1512" t="s">
        <v>32</v>
      </c>
      <c r="I1512">
        <v>20</v>
      </c>
    </row>
    <row r="1513" spans="1:9" ht="21.75" customHeight="1">
      <c r="A1513" t="s">
        <v>1663</v>
      </c>
      <c r="B1513" s="3">
        <v>45369</v>
      </c>
      <c r="C1513" t="s">
        <v>131</v>
      </c>
      <c r="D1513" t="s">
        <v>70</v>
      </c>
      <c r="E1513" t="s">
        <v>11</v>
      </c>
      <c r="F1513" t="str">
        <f t="shared" si="23"/>
        <v>East</v>
      </c>
      <c r="G1513" t="s">
        <v>42</v>
      </c>
      <c r="H1513" t="s">
        <v>13</v>
      </c>
      <c r="I1513">
        <v>17</v>
      </c>
    </row>
    <row r="1514" spans="1:9" ht="21.75" customHeight="1">
      <c r="A1514" t="s">
        <v>1664</v>
      </c>
      <c r="B1514" s="3">
        <v>45312</v>
      </c>
      <c r="C1514" t="s">
        <v>78</v>
      </c>
      <c r="D1514" t="s">
        <v>62</v>
      </c>
      <c r="E1514" t="s">
        <v>17</v>
      </c>
      <c r="F1514" t="str">
        <f t="shared" si="23"/>
        <v>West</v>
      </c>
      <c r="G1514" t="s">
        <v>27</v>
      </c>
      <c r="H1514" t="s">
        <v>36</v>
      </c>
      <c r="I1514">
        <v>17</v>
      </c>
    </row>
    <row r="1515" spans="1:9" ht="21.75" customHeight="1">
      <c r="A1515" t="s">
        <v>1665</v>
      </c>
      <c r="B1515" s="3">
        <v>45478</v>
      </c>
      <c r="C1515" t="s">
        <v>200</v>
      </c>
      <c r="D1515" t="s">
        <v>74</v>
      </c>
      <c r="E1515" t="s">
        <v>17</v>
      </c>
      <c r="F1515" t="str">
        <f t="shared" si="23"/>
        <v>West</v>
      </c>
      <c r="G1515" t="s">
        <v>27</v>
      </c>
      <c r="H1515" t="s">
        <v>32</v>
      </c>
      <c r="I1515">
        <v>20</v>
      </c>
    </row>
    <row r="1516" spans="1:9" ht="21.75" customHeight="1">
      <c r="A1516" t="s">
        <v>1666</v>
      </c>
      <c r="B1516" s="3">
        <v>45615</v>
      </c>
      <c r="C1516" t="s">
        <v>736</v>
      </c>
      <c r="D1516" t="s">
        <v>72</v>
      </c>
      <c r="E1516" t="s">
        <v>11</v>
      </c>
      <c r="F1516" t="str">
        <f t="shared" si="23"/>
        <v>East</v>
      </c>
      <c r="G1516" t="s">
        <v>42</v>
      </c>
      <c r="H1516" t="s">
        <v>13</v>
      </c>
      <c r="I1516">
        <v>18</v>
      </c>
    </row>
    <row r="1517" spans="1:9" ht="21.75" customHeight="1">
      <c r="A1517" t="s">
        <v>1667</v>
      </c>
      <c r="B1517" s="3">
        <v>45437</v>
      </c>
      <c r="C1517" t="s">
        <v>230</v>
      </c>
      <c r="D1517" t="s">
        <v>84</v>
      </c>
      <c r="E1517" t="s">
        <v>22</v>
      </c>
      <c r="F1517" t="str">
        <f t="shared" si="23"/>
        <v>Central</v>
      </c>
      <c r="G1517" t="s">
        <v>306</v>
      </c>
      <c r="H1517" t="s">
        <v>28</v>
      </c>
      <c r="I1517">
        <v>11</v>
      </c>
    </row>
    <row r="1518" spans="1:9" ht="21.75" customHeight="1">
      <c r="A1518" t="s">
        <v>1668</v>
      </c>
      <c r="B1518" s="3">
        <v>45631</v>
      </c>
      <c r="C1518" t="s">
        <v>167</v>
      </c>
      <c r="D1518" t="s">
        <v>48</v>
      </c>
      <c r="E1518" t="s">
        <v>17</v>
      </c>
      <c r="F1518" t="str">
        <f t="shared" si="23"/>
        <v>West</v>
      </c>
      <c r="G1518" t="s">
        <v>27</v>
      </c>
      <c r="H1518" t="s">
        <v>28</v>
      </c>
      <c r="I1518">
        <v>20</v>
      </c>
    </row>
    <row r="1519" spans="1:9" ht="21.75" customHeight="1">
      <c r="A1519" t="s">
        <v>1669</v>
      </c>
      <c r="B1519" s="3">
        <v>45335</v>
      </c>
      <c r="C1519" t="s">
        <v>147</v>
      </c>
      <c r="D1519" t="s">
        <v>174</v>
      </c>
      <c r="E1519" t="s">
        <v>17</v>
      </c>
      <c r="F1519" t="str">
        <f t="shared" si="23"/>
        <v>East</v>
      </c>
      <c r="G1519" t="s">
        <v>42</v>
      </c>
      <c r="H1519" t="s">
        <v>28</v>
      </c>
      <c r="I1519">
        <v>17</v>
      </c>
    </row>
    <row r="1520" spans="1:9" ht="21.75" customHeight="1">
      <c r="A1520" t="s">
        <v>1670</v>
      </c>
      <c r="B1520" s="3">
        <v>45635</v>
      </c>
      <c r="C1520" t="s">
        <v>309</v>
      </c>
      <c r="D1520" t="s">
        <v>160</v>
      </c>
      <c r="E1520" t="s">
        <v>17</v>
      </c>
      <c r="F1520" t="str">
        <f t="shared" si="23"/>
        <v>North</v>
      </c>
      <c r="G1520" t="s">
        <v>12</v>
      </c>
      <c r="H1520" t="s">
        <v>32</v>
      </c>
      <c r="I1520">
        <v>10</v>
      </c>
    </row>
    <row r="1521" spans="1:9" ht="21.75" customHeight="1">
      <c r="A1521" t="s">
        <v>1671</v>
      </c>
      <c r="B1521" s="3">
        <v>45401</v>
      </c>
      <c r="C1521" t="s">
        <v>47</v>
      </c>
      <c r="D1521" t="s">
        <v>119</v>
      </c>
      <c r="E1521" t="s">
        <v>17</v>
      </c>
      <c r="F1521" t="str">
        <f t="shared" si="23"/>
        <v>South</v>
      </c>
      <c r="G1521" t="s">
        <v>56</v>
      </c>
      <c r="H1521" t="s">
        <v>28</v>
      </c>
      <c r="I1521">
        <v>5</v>
      </c>
    </row>
    <row r="1522" spans="1:9" ht="21.75" customHeight="1">
      <c r="A1522" t="s">
        <v>1672</v>
      </c>
      <c r="B1522" s="3">
        <v>45443</v>
      </c>
      <c r="C1522" t="s">
        <v>728</v>
      </c>
      <c r="D1522" t="s">
        <v>102</v>
      </c>
      <c r="E1522" t="s">
        <v>22</v>
      </c>
      <c r="F1522" t="str">
        <f t="shared" si="23"/>
        <v>Central</v>
      </c>
      <c r="G1522" t="s">
        <v>306</v>
      </c>
      <c r="H1522" t="s">
        <v>36</v>
      </c>
      <c r="I1522">
        <v>2</v>
      </c>
    </row>
    <row r="1523" spans="1:9" ht="21.75" customHeight="1">
      <c r="A1523" t="s">
        <v>1673</v>
      </c>
      <c r="B1523" s="3">
        <v>45608</v>
      </c>
      <c r="C1523" t="s">
        <v>34</v>
      </c>
      <c r="D1523" t="s">
        <v>109</v>
      </c>
      <c r="E1523" t="s">
        <v>17</v>
      </c>
      <c r="F1523" t="str">
        <f t="shared" si="23"/>
        <v>South</v>
      </c>
      <c r="G1523" t="s">
        <v>56</v>
      </c>
      <c r="H1523" t="s">
        <v>28</v>
      </c>
      <c r="I1523">
        <v>6</v>
      </c>
    </row>
    <row r="1524" spans="1:9" ht="21.75" customHeight="1">
      <c r="A1524" t="s">
        <v>1674</v>
      </c>
      <c r="B1524" s="3">
        <v>45611</v>
      </c>
      <c r="C1524" t="s">
        <v>30</v>
      </c>
      <c r="D1524" t="s">
        <v>84</v>
      </c>
      <c r="E1524" t="s">
        <v>17</v>
      </c>
      <c r="F1524" t="str">
        <f t="shared" si="23"/>
        <v>North</v>
      </c>
      <c r="G1524" t="s">
        <v>12</v>
      </c>
      <c r="H1524" t="s">
        <v>23</v>
      </c>
      <c r="I1524">
        <v>12</v>
      </c>
    </row>
    <row r="1525" spans="1:9" ht="21.75" customHeight="1">
      <c r="A1525" t="s">
        <v>1675</v>
      </c>
      <c r="B1525" s="3">
        <v>45413</v>
      </c>
      <c r="C1525" t="s">
        <v>396</v>
      </c>
      <c r="D1525" t="s">
        <v>109</v>
      </c>
      <c r="E1525" t="s">
        <v>17</v>
      </c>
      <c r="F1525" t="str">
        <f t="shared" si="23"/>
        <v>West</v>
      </c>
      <c r="G1525" t="s">
        <v>27</v>
      </c>
      <c r="H1525" t="s">
        <v>28</v>
      </c>
      <c r="I1525">
        <v>18</v>
      </c>
    </row>
    <row r="1526" spans="1:9" ht="21.75" customHeight="1">
      <c r="A1526" t="s">
        <v>1676</v>
      </c>
      <c r="B1526" s="3">
        <v>45532</v>
      </c>
      <c r="C1526" t="s">
        <v>150</v>
      </c>
      <c r="D1526" t="s">
        <v>48</v>
      </c>
      <c r="E1526" t="s">
        <v>22</v>
      </c>
      <c r="F1526" t="str">
        <f t="shared" si="23"/>
        <v>Central</v>
      </c>
      <c r="G1526" t="s">
        <v>306</v>
      </c>
      <c r="H1526" t="s">
        <v>23</v>
      </c>
      <c r="I1526">
        <v>15</v>
      </c>
    </row>
    <row r="1527" spans="1:9" ht="21.75" customHeight="1">
      <c r="A1527" t="s">
        <v>1677</v>
      </c>
      <c r="B1527" s="3">
        <v>45487</v>
      </c>
      <c r="C1527" t="s">
        <v>358</v>
      </c>
      <c r="D1527" t="s">
        <v>160</v>
      </c>
      <c r="E1527" t="s">
        <v>17</v>
      </c>
      <c r="F1527" t="str">
        <f t="shared" si="23"/>
        <v>South</v>
      </c>
      <c r="G1527" t="s">
        <v>56</v>
      </c>
      <c r="H1527" t="s">
        <v>28</v>
      </c>
      <c r="I1527">
        <v>20</v>
      </c>
    </row>
    <row r="1528" spans="1:9" ht="21.75" customHeight="1">
      <c r="A1528" t="s">
        <v>1678</v>
      </c>
      <c r="B1528" s="3">
        <v>45420</v>
      </c>
      <c r="C1528" t="s">
        <v>9</v>
      </c>
      <c r="D1528" t="s">
        <v>21</v>
      </c>
      <c r="E1528" t="s">
        <v>17</v>
      </c>
      <c r="F1528" t="str">
        <f t="shared" si="23"/>
        <v>East</v>
      </c>
      <c r="G1528" t="s">
        <v>42</v>
      </c>
      <c r="H1528" t="s">
        <v>36</v>
      </c>
      <c r="I1528">
        <v>4</v>
      </c>
    </row>
    <row r="1529" spans="1:9" ht="21.75" customHeight="1">
      <c r="A1529" t="s">
        <v>1679</v>
      </c>
      <c r="B1529" s="3">
        <v>45556</v>
      </c>
      <c r="C1529" t="s">
        <v>114</v>
      </c>
      <c r="D1529" t="s">
        <v>74</v>
      </c>
      <c r="E1529" t="s">
        <v>11</v>
      </c>
      <c r="F1529" t="str">
        <f t="shared" si="23"/>
        <v>South</v>
      </c>
      <c r="G1529" t="s">
        <v>56</v>
      </c>
      <c r="H1529" t="s">
        <v>32</v>
      </c>
      <c r="I1529">
        <v>15</v>
      </c>
    </row>
    <row r="1530" spans="1:9" ht="21.75" customHeight="1">
      <c r="A1530" t="s">
        <v>1680</v>
      </c>
      <c r="B1530" s="3">
        <v>45367</v>
      </c>
      <c r="C1530" t="s">
        <v>348</v>
      </c>
      <c r="D1530" t="s">
        <v>10</v>
      </c>
      <c r="E1530" t="s">
        <v>11</v>
      </c>
      <c r="F1530" t="str">
        <f t="shared" si="23"/>
        <v>West</v>
      </c>
      <c r="G1530" t="s">
        <v>27</v>
      </c>
      <c r="H1530" t="s">
        <v>32</v>
      </c>
      <c r="I1530">
        <v>1</v>
      </c>
    </row>
    <row r="1531" spans="1:9" ht="21.75" customHeight="1">
      <c r="A1531" t="s">
        <v>1681</v>
      </c>
      <c r="B1531" s="3">
        <v>45494</v>
      </c>
      <c r="C1531" t="s">
        <v>358</v>
      </c>
      <c r="D1531" t="s">
        <v>48</v>
      </c>
      <c r="E1531" t="s">
        <v>11</v>
      </c>
      <c r="F1531" t="str">
        <f t="shared" si="23"/>
        <v>West</v>
      </c>
      <c r="G1531" t="s">
        <v>27</v>
      </c>
      <c r="H1531" t="s">
        <v>13</v>
      </c>
      <c r="I1531">
        <v>12</v>
      </c>
    </row>
    <row r="1532" spans="1:9" ht="21.75" customHeight="1">
      <c r="A1532" t="s">
        <v>1682</v>
      </c>
      <c r="B1532" s="3">
        <v>45455</v>
      </c>
      <c r="C1532" t="s">
        <v>108</v>
      </c>
      <c r="D1532" t="s">
        <v>62</v>
      </c>
      <c r="E1532" t="s">
        <v>22</v>
      </c>
      <c r="F1532" t="str">
        <f t="shared" si="23"/>
        <v>East</v>
      </c>
      <c r="G1532" t="s">
        <v>42</v>
      </c>
      <c r="H1532" t="s">
        <v>28</v>
      </c>
      <c r="I1532">
        <v>5</v>
      </c>
    </row>
    <row r="1533" spans="1:9" ht="21.75" customHeight="1">
      <c r="A1533" t="s">
        <v>1683</v>
      </c>
      <c r="B1533" s="3">
        <v>45533</v>
      </c>
      <c r="C1533" t="s">
        <v>424</v>
      </c>
      <c r="D1533" t="s">
        <v>16</v>
      </c>
      <c r="E1533" t="s">
        <v>22</v>
      </c>
      <c r="F1533" t="str">
        <f t="shared" si="23"/>
        <v>West</v>
      </c>
      <c r="G1533" t="s">
        <v>27</v>
      </c>
      <c r="H1533" t="s">
        <v>23</v>
      </c>
      <c r="I1533">
        <v>20</v>
      </c>
    </row>
    <row r="1534" spans="1:9" ht="21.75" customHeight="1">
      <c r="A1534" t="s">
        <v>1684</v>
      </c>
      <c r="B1534" s="3">
        <v>45332</v>
      </c>
      <c r="C1534" t="s">
        <v>138</v>
      </c>
      <c r="D1534" t="s">
        <v>26</v>
      </c>
      <c r="E1534" t="s">
        <v>11</v>
      </c>
      <c r="F1534" t="str">
        <f t="shared" si="23"/>
        <v>South</v>
      </c>
      <c r="G1534" t="s">
        <v>56</v>
      </c>
      <c r="H1534" t="s">
        <v>36</v>
      </c>
      <c r="I1534">
        <v>20</v>
      </c>
    </row>
    <row r="1535" spans="1:9" ht="21.75" customHeight="1">
      <c r="A1535" t="s">
        <v>1685</v>
      </c>
      <c r="B1535" s="3">
        <v>45348</v>
      </c>
      <c r="C1535" t="s">
        <v>420</v>
      </c>
      <c r="D1535" t="s">
        <v>74</v>
      </c>
      <c r="E1535" t="s">
        <v>11</v>
      </c>
      <c r="F1535" t="str">
        <f t="shared" si="23"/>
        <v>East</v>
      </c>
      <c r="G1535" t="s">
        <v>42</v>
      </c>
      <c r="H1535" t="s">
        <v>13</v>
      </c>
      <c r="I1535">
        <v>2</v>
      </c>
    </row>
    <row r="1536" spans="1:9" ht="21.75" customHeight="1">
      <c r="A1536" t="s">
        <v>1686</v>
      </c>
      <c r="B1536" s="3">
        <v>45619</v>
      </c>
      <c r="C1536" t="s">
        <v>381</v>
      </c>
      <c r="D1536" t="s">
        <v>70</v>
      </c>
      <c r="E1536" t="s">
        <v>11</v>
      </c>
      <c r="F1536" t="str">
        <f t="shared" si="23"/>
        <v>North</v>
      </c>
      <c r="G1536" t="s">
        <v>12</v>
      </c>
      <c r="H1536" t="s">
        <v>23</v>
      </c>
      <c r="I1536">
        <v>20</v>
      </c>
    </row>
    <row r="1537" spans="1:9" ht="21.75" customHeight="1">
      <c r="A1537" t="s">
        <v>1687</v>
      </c>
      <c r="B1537" s="3">
        <v>45615</v>
      </c>
      <c r="C1537" t="s">
        <v>345</v>
      </c>
      <c r="D1537" t="s">
        <v>59</v>
      </c>
      <c r="E1537" t="s">
        <v>11</v>
      </c>
      <c r="F1537" t="str">
        <f t="shared" si="23"/>
        <v>South</v>
      </c>
      <c r="G1537" t="s">
        <v>56</v>
      </c>
      <c r="H1537" t="s">
        <v>32</v>
      </c>
      <c r="I1537">
        <v>14</v>
      </c>
    </row>
    <row r="1538" spans="1:9" ht="21.75" customHeight="1">
      <c r="A1538" t="s">
        <v>1688</v>
      </c>
      <c r="B1538" s="3">
        <v>45472</v>
      </c>
      <c r="C1538" t="s">
        <v>93</v>
      </c>
      <c r="D1538" t="s">
        <v>59</v>
      </c>
      <c r="E1538" t="s">
        <v>17</v>
      </c>
      <c r="F1538" t="str">
        <f t="shared" si="23"/>
        <v>South</v>
      </c>
      <c r="G1538" t="s">
        <v>56</v>
      </c>
      <c r="H1538" t="s">
        <v>13</v>
      </c>
      <c r="I1538">
        <v>17</v>
      </c>
    </row>
    <row r="1539" spans="1:9" ht="21.75" customHeight="1">
      <c r="A1539" t="s">
        <v>1689</v>
      </c>
      <c r="B1539" s="3">
        <v>45326</v>
      </c>
      <c r="C1539" t="s">
        <v>339</v>
      </c>
      <c r="D1539" t="s">
        <v>174</v>
      </c>
      <c r="E1539" t="s">
        <v>22</v>
      </c>
      <c r="F1539" t="str">
        <f t="shared" ref="F1539:F1602" si="24">TRIM(PROPER(G1539))</f>
        <v>Central</v>
      </c>
      <c r="G1539" t="s">
        <v>306</v>
      </c>
      <c r="H1539" t="s">
        <v>36</v>
      </c>
      <c r="I1539">
        <v>1</v>
      </c>
    </row>
    <row r="1540" spans="1:9" ht="21.75" customHeight="1">
      <c r="A1540" t="s">
        <v>1690</v>
      </c>
      <c r="B1540" s="3">
        <v>45532</v>
      </c>
      <c r="C1540" t="s">
        <v>116</v>
      </c>
      <c r="D1540" t="s">
        <v>21</v>
      </c>
      <c r="E1540" t="s">
        <v>17</v>
      </c>
      <c r="F1540" t="str">
        <f t="shared" si="24"/>
        <v>East</v>
      </c>
      <c r="G1540" t="s">
        <v>42</v>
      </c>
      <c r="H1540" t="s">
        <v>32</v>
      </c>
      <c r="I1540">
        <v>1</v>
      </c>
    </row>
    <row r="1541" spans="1:9" ht="21.75" customHeight="1">
      <c r="A1541" t="s">
        <v>1691</v>
      </c>
      <c r="B1541" s="3">
        <v>45326</v>
      </c>
      <c r="C1541" t="s">
        <v>20</v>
      </c>
      <c r="D1541" t="s">
        <v>197</v>
      </c>
      <c r="E1541" t="s">
        <v>22</v>
      </c>
      <c r="F1541" t="str">
        <f t="shared" si="24"/>
        <v>North</v>
      </c>
      <c r="G1541" t="s">
        <v>12</v>
      </c>
      <c r="H1541" t="s">
        <v>36</v>
      </c>
      <c r="I1541">
        <v>11</v>
      </c>
    </row>
    <row r="1542" spans="1:9" ht="21.75" customHeight="1">
      <c r="A1542" t="s">
        <v>1692</v>
      </c>
      <c r="B1542" s="3">
        <v>45472</v>
      </c>
      <c r="C1542" t="s">
        <v>591</v>
      </c>
      <c r="D1542" t="s">
        <v>72</v>
      </c>
      <c r="E1542" t="s">
        <v>22</v>
      </c>
      <c r="F1542" t="str">
        <f t="shared" si="24"/>
        <v>South</v>
      </c>
      <c r="G1542" t="s">
        <v>56</v>
      </c>
      <c r="H1542" t="s">
        <v>23</v>
      </c>
      <c r="I1542">
        <v>16</v>
      </c>
    </row>
    <row r="1543" spans="1:9" ht="21.75" customHeight="1">
      <c r="A1543" t="s">
        <v>1693</v>
      </c>
      <c r="B1543" s="3">
        <v>45361</v>
      </c>
      <c r="C1543" t="s">
        <v>58</v>
      </c>
      <c r="D1543" t="s">
        <v>62</v>
      </c>
      <c r="E1543" t="s">
        <v>17</v>
      </c>
      <c r="F1543" t="str">
        <f t="shared" si="24"/>
        <v>North</v>
      </c>
      <c r="G1543" t="s">
        <v>12</v>
      </c>
      <c r="H1543" t="s">
        <v>32</v>
      </c>
      <c r="I1543">
        <v>7</v>
      </c>
    </row>
    <row r="1544" spans="1:9" ht="21.75" customHeight="1">
      <c r="A1544" t="s">
        <v>1694</v>
      </c>
      <c r="B1544" s="3">
        <v>45394</v>
      </c>
      <c r="C1544" t="s">
        <v>116</v>
      </c>
      <c r="D1544" t="s">
        <v>72</v>
      </c>
      <c r="E1544" t="s">
        <v>17</v>
      </c>
      <c r="F1544" t="str">
        <f t="shared" si="24"/>
        <v>Central</v>
      </c>
      <c r="G1544" t="s">
        <v>306</v>
      </c>
      <c r="H1544" t="s">
        <v>23</v>
      </c>
      <c r="I1544">
        <v>18</v>
      </c>
    </row>
    <row r="1545" spans="1:9" ht="21.75" customHeight="1">
      <c r="A1545" t="s">
        <v>1695</v>
      </c>
      <c r="B1545" s="3">
        <v>45310</v>
      </c>
      <c r="C1545" t="s">
        <v>664</v>
      </c>
      <c r="D1545" t="s">
        <v>21</v>
      </c>
      <c r="E1545" t="s">
        <v>11</v>
      </c>
      <c r="F1545" t="str">
        <f t="shared" si="24"/>
        <v>East</v>
      </c>
      <c r="G1545" t="s">
        <v>42</v>
      </c>
      <c r="H1545" t="s">
        <v>32</v>
      </c>
      <c r="I1545">
        <v>2</v>
      </c>
    </row>
    <row r="1546" spans="1:9" ht="21.75" customHeight="1">
      <c r="A1546" t="s">
        <v>1696</v>
      </c>
      <c r="B1546" s="3">
        <v>45461</v>
      </c>
      <c r="C1546" t="s">
        <v>101</v>
      </c>
      <c r="D1546" t="s">
        <v>102</v>
      </c>
      <c r="E1546" t="s">
        <v>17</v>
      </c>
      <c r="F1546" t="str">
        <f t="shared" si="24"/>
        <v>West</v>
      </c>
      <c r="G1546" t="s">
        <v>27</v>
      </c>
      <c r="H1546" t="s">
        <v>23</v>
      </c>
      <c r="I1546">
        <v>15</v>
      </c>
    </row>
    <row r="1547" spans="1:9" ht="21.75" customHeight="1">
      <c r="A1547" t="s">
        <v>1697</v>
      </c>
      <c r="B1547" s="3">
        <v>45489</v>
      </c>
      <c r="C1547" t="s">
        <v>47</v>
      </c>
      <c r="D1547" t="s">
        <v>45</v>
      </c>
      <c r="E1547" t="s">
        <v>17</v>
      </c>
      <c r="F1547" t="str">
        <f t="shared" si="24"/>
        <v>West</v>
      </c>
      <c r="G1547" t="s">
        <v>27</v>
      </c>
      <c r="H1547" t="s">
        <v>32</v>
      </c>
      <c r="I1547">
        <v>17</v>
      </c>
    </row>
    <row r="1548" spans="1:9" ht="21.75" customHeight="1">
      <c r="A1548" t="s">
        <v>1698</v>
      </c>
      <c r="B1548" s="3">
        <v>45334</v>
      </c>
      <c r="C1548" t="s">
        <v>388</v>
      </c>
      <c r="D1548" t="s">
        <v>87</v>
      </c>
      <c r="E1548" t="s">
        <v>11</v>
      </c>
      <c r="F1548" t="str">
        <f t="shared" si="24"/>
        <v>West</v>
      </c>
      <c r="G1548" t="s">
        <v>27</v>
      </c>
      <c r="H1548" t="s">
        <v>36</v>
      </c>
      <c r="I1548">
        <v>6</v>
      </c>
    </row>
    <row r="1549" spans="1:9" ht="21.75" customHeight="1">
      <c r="A1549" t="s">
        <v>1699</v>
      </c>
      <c r="B1549" s="3">
        <v>45456</v>
      </c>
      <c r="C1549" t="s">
        <v>15</v>
      </c>
      <c r="D1549" t="s">
        <v>10</v>
      </c>
      <c r="E1549" t="s">
        <v>17</v>
      </c>
      <c r="F1549" t="str">
        <f t="shared" si="24"/>
        <v>East</v>
      </c>
      <c r="G1549" t="s">
        <v>42</v>
      </c>
      <c r="H1549" t="s">
        <v>32</v>
      </c>
      <c r="I1549">
        <v>15</v>
      </c>
    </row>
    <row r="1550" spans="1:9" ht="21.75" customHeight="1">
      <c r="A1550" t="s">
        <v>1700</v>
      </c>
      <c r="B1550" s="3">
        <v>45510</v>
      </c>
      <c r="C1550" t="s">
        <v>30</v>
      </c>
      <c r="D1550" t="s">
        <v>62</v>
      </c>
      <c r="E1550" t="s">
        <v>17</v>
      </c>
      <c r="F1550" t="str">
        <f t="shared" si="24"/>
        <v>East</v>
      </c>
      <c r="G1550" t="s">
        <v>42</v>
      </c>
      <c r="H1550" t="s">
        <v>23</v>
      </c>
      <c r="I1550">
        <v>2</v>
      </c>
    </row>
    <row r="1551" spans="1:9" ht="21.75" customHeight="1">
      <c r="A1551" t="s">
        <v>1701</v>
      </c>
      <c r="B1551" s="3">
        <v>45472</v>
      </c>
      <c r="C1551" t="s">
        <v>594</v>
      </c>
      <c r="D1551" t="s">
        <v>87</v>
      </c>
      <c r="E1551" t="s">
        <v>17</v>
      </c>
      <c r="F1551" t="str">
        <f t="shared" si="24"/>
        <v>North</v>
      </c>
      <c r="G1551" t="s">
        <v>12</v>
      </c>
      <c r="H1551" t="s">
        <v>13</v>
      </c>
      <c r="I1551">
        <v>13</v>
      </c>
    </row>
    <row r="1552" spans="1:9" ht="21.75" customHeight="1">
      <c r="A1552" t="s">
        <v>1702</v>
      </c>
      <c r="B1552" s="3">
        <v>45639</v>
      </c>
      <c r="C1552" t="s">
        <v>111</v>
      </c>
      <c r="D1552" t="s">
        <v>96</v>
      </c>
      <c r="E1552" t="s">
        <v>11</v>
      </c>
      <c r="F1552" t="str">
        <f t="shared" si="24"/>
        <v>Central</v>
      </c>
      <c r="G1552" t="s">
        <v>306</v>
      </c>
      <c r="H1552" t="s">
        <v>23</v>
      </c>
      <c r="I1552">
        <v>2</v>
      </c>
    </row>
    <row r="1553" spans="1:9" ht="21.75" customHeight="1">
      <c r="A1553" t="s">
        <v>1703</v>
      </c>
      <c r="B1553" s="3">
        <v>45412</v>
      </c>
      <c r="C1553" t="s">
        <v>420</v>
      </c>
      <c r="D1553" t="s">
        <v>21</v>
      </c>
      <c r="E1553" t="s">
        <v>17</v>
      </c>
      <c r="F1553" t="str">
        <f t="shared" si="24"/>
        <v>East</v>
      </c>
      <c r="G1553" t="s">
        <v>42</v>
      </c>
      <c r="H1553" t="s">
        <v>23</v>
      </c>
      <c r="I1553">
        <v>19</v>
      </c>
    </row>
    <row r="1554" spans="1:9" ht="21.75" customHeight="1">
      <c r="A1554" t="s">
        <v>1704</v>
      </c>
      <c r="B1554" s="3">
        <v>45370</v>
      </c>
      <c r="C1554" t="s">
        <v>422</v>
      </c>
      <c r="D1554" t="s">
        <v>70</v>
      </c>
      <c r="E1554" t="s">
        <v>17</v>
      </c>
      <c r="F1554" t="str">
        <f t="shared" si="24"/>
        <v>East</v>
      </c>
      <c r="G1554" t="s">
        <v>42</v>
      </c>
      <c r="H1554" t="s">
        <v>23</v>
      </c>
      <c r="I1554">
        <v>3</v>
      </c>
    </row>
    <row r="1555" spans="1:9" ht="21.75" customHeight="1">
      <c r="A1555" t="s">
        <v>1705</v>
      </c>
      <c r="B1555" s="3">
        <v>45563</v>
      </c>
      <c r="C1555" t="s">
        <v>83</v>
      </c>
      <c r="D1555" t="s">
        <v>31</v>
      </c>
      <c r="E1555" t="s">
        <v>17</v>
      </c>
      <c r="F1555" t="str">
        <f t="shared" si="24"/>
        <v>East</v>
      </c>
      <c r="G1555" t="s">
        <v>42</v>
      </c>
      <c r="H1555" t="s">
        <v>28</v>
      </c>
      <c r="I1555">
        <v>4</v>
      </c>
    </row>
    <row r="1556" spans="1:9" ht="21.75" customHeight="1">
      <c r="A1556" t="s">
        <v>1706</v>
      </c>
      <c r="B1556" s="3">
        <v>45387</v>
      </c>
      <c r="C1556" t="s">
        <v>432</v>
      </c>
      <c r="D1556" t="s">
        <v>160</v>
      </c>
      <c r="E1556" t="s">
        <v>17</v>
      </c>
      <c r="F1556" t="str">
        <f t="shared" si="24"/>
        <v>Central</v>
      </c>
      <c r="G1556" t="s">
        <v>306</v>
      </c>
      <c r="H1556" t="s">
        <v>13</v>
      </c>
      <c r="I1556">
        <v>9</v>
      </c>
    </row>
    <row r="1557" spans="1:9" ht="21.75" customHeight="1">
      <c r="A1557" t="s">
        <v>1707</v>
      </c>
      <c r="B1557" s="3">
        <v>45652</v>
      </c>
      <c r="C1557" t="s">
        <v>430</v>
      </c>
      <c r="D1557" t="s">
        <v>65</v>
      </c>
      <c r="E1557" t="s">
        <v>22</v>
      </c>
      <c r="F1557" t="str">
        <f t="shared" si="24"/>
        <v>East</v>
      </c>
      <c r="G1557" t="s">
        <v>42</v>
      </c>
      <c r="H1557" t="s">
        <v>23</v>
      </c>
      <c r="I1557">
        <v>7</v>
      </c>
    </row>
    <row r="1558" spans="1:9" ht="21.75" customHeight="1">
      <c r="A1558" t="s">
        <v>1708</v>
      </c>
      <c r="B1558" s="3">
        <v>45329</v>
      </c>
      <c r="C1558" t="s">
        <v>430</v>
      </c>
      <c r="D1558" t="s">
        <v>45</v>
      </c>
      <c r="E1558" t="s">
        <v>22</v>
      </c>
      <c r="F1558" t="str">
        <f t="shared" si="24"/>
        <v>West</v>
      </c>
      <c r="G1558" t="s">
        <v>27</v>
      </c>
      <c r="H1558" t="s">
        <v>13</v>
      </c>
      <c r="I1558">
        <v>11</v>
      </c>
    </row>
    <row r="1559" spans="1:9" ht="21.75" customHeight="1">
      <c r="A1559" t="s">
        <v>1709</v>
      </c>
      <c r="B1559" s="3">
        <v>45655</v>
      </c>
      <c r="C1559" t="s">
        <v>58</v>
      </c>
      <c r="D1559" t="s">
        <v>174</v>
      </c>
      <c r="E1559" t="s">
        <v>22</v>
      </c>
      <c r="F1559" t="str">
        <f t="shared" si="24"/>
        <v>East</v>
      </c>
      <c r="G1559" t="s">
        <v>42</v>
      </c>
      <c r="H1559" t="s">
        <v>32</v>
      </c>
      <c r="I1559">
        <v>6</v>
      </c>
    </row>
    <row r="1560" spans="1:9" ht="21.75" customHeight="1">
      <c r="A1560" t="s">
        <v>1710</v>
      </c>
      <c r="B1560" s="3">
        <v>45650</v>
      </c>
      <c r="C1560" t="s">
        <v>541</v>
      </c>
      <c r="D1560" t="s">
        <v>45</v>
      </c>
      <c r="E1560" t="s">
        <v>17</v>
      </c>
      <c r="F1560" t="str">
        <f t="shared" si="24"/>
        <v>Central</v>
      </c>
      <c r="G1560" t="s">
        <v>306</v>
      </c>
      <c r="H1560" t="s">
        <v>28</v>
      </c>
      <c r="I1560">
        <v>4</v>
      </c>
    </row>
    <row r="1561" spans="1:9" ht="21.75" customHeight="1">
      <c r="A1561" t="s">
        <v>1711</v>
      </c>
      <c r="B1561" s="3">
        <v>45363</v>
      </c>
      <c r="C1561" t="s">
        <v>93</v>
      </c>
      <c r="D1561" t="s">
        <v>35</v>
      </c>
      <c r="E1561" t="s">
        <v>11</v>
      </c>
      <c r="F1561" t="str">
        <f t="shared" si="24"/>
        <v>East</v>
      </c>
      <c r="G1561" t="s">
        <v>42</v>
      </c>
      <c r="H1561" t="s">
        <v>36</v>
      </c>
      <c r="I1561">
        <v>19</v>
      </c>
    </row>
    <row r="1562" spans="1:9" ht="21.75" customHeight="1">
      <c r="A1562" t="s">
        <v>1712</v>
      </c>
      <c r="B1562" s="3">
        <v>45574</v>
      </c>
      <c r="C1562" t="s">
        <v>34</v>
      </c>
      <c r="D1562" t="s">
        <v>109</v>
      </c>
      <c r="E1562" t="s">
        <v>11</v>
      </c>
      <c r="F1562" t="str">
        <f t="shared" si="24"/>
        <v>North</v>
      </c>
      <c r="G1562" t="s">
        <v>12</v>
      </c>
      <c r="H1562" t="s">
        <v>32</v>
      </c>
      <c r="I1562">
        <v>13</v>
      </c>
    </row>
    <row r="1563" spans="1:9" ht="21.75" customHeight="1">
      <c r="A1563" t="s">
        <v>1713</v>
      </c>
      <c r="B1563" s="3">
        <v>45537</v>
      </c>
      <c r="C1563" t="s">
        <v>339</v>
      </c>
      <c r="D1563" t="s">
        <v>87</v>
      </c>
      <c r="E1563" t="s">
        <v>17</v>
      </c>
      <c r="F1563" t="str">
        <f t="shared" si="24"/>
        <v>Central</v>
      </c>
      <c r="G1563" t="s">
        <v>306</v>
      </c>
      <c r="H1563" t="s">
        <v>13</v>
      </c>
      <c r="I1563">
        <v>5</v>
      </c>
    </row>
    <row r="1564" spans="1:9" ht="21.75" customHeight="1">
      <c r="A1564" t="s">
        <v>1714</v>
      </c>
      <c r="B1564" s="3">
        <v>45620</v>
      </c>
      <c r="C1564" t="s">
        <v>208</v>
      </c>
      <c r="D1564" t="s">
        <v>70</v>
      </c>
      <c r="E1564" t="s">
        <v>17</v>
      </c>
      <c r="F1564" t="str">
        <f t="shared" si="24"/>
        <v>Central</v>
      </c>
      <c r="G1564" t="s">
        <v>306</v>
      </c>
      <c r="H1564" t="s">
        <v>32</v>
      </c>
      <c r="I1564">
        <v>5</v>
      </c>
    </row>
    <row r="1565" spans="1:9" ht="21.75" customHeight="1">
      <c r="A1565" t="s">
        <v>1715</v>
      </c>
      <c r="B1565" s="3">
        <v>45574</v>
      </c>
      <c r="C1565" t="s">
        <v>541</v>
      </c>
      <c r="D1565" t="s">
        <v>59</v>
      </c>
      <c r="E1565" t="s">
        <v>11</v>
      </c>
      <c r="F1565" t="str">
        <f t="shared" si="24"/>
        <v>South</v>
      </c>
      <c r="G1565" t="s">
        <v>56</v>
      </c>
      <c r="H1565" t="s">
        <v>23</v>
      </c>
      <c r="I1565">
        <v>17</v>
      </c>
    </row>
    <row r="1566" spans="1:9" ht="21.75" customHeight="1">
      <c r="A1566" t="s">
        <v>1716</v>
      </c>
      <c r="B1566" s="3">
        <v>45320</v>
      </c>
      <c r="C1566" t="s">
        <v>114</v>
      </c>
      <c r="D1566" t="s">
        <v>160</v>
      </c>
      <c r="E1566" t="s">
        <v>11</v>
      </c>
      <c r="F1566" t="str">
        <f t="shared" si="24"/>
        <v>East</v>
      </c>
      <c r="G1566" t="s">
        <v>42</v>
      </c>
      <c r="H1566" t="s">
        <v>28</v>
      </c>
      <c r="I1566">
        <v>6</v>
      </c>
    </row>
    <row r="1567" spans="1:9" ht="21.75" customHeight="1">
      <c r="A1567" t="s">
        <v>1717</v>
      </c>
      <c r="B1567" s="3">
        <v>45655</v>
      </c>
      <c r="C1567" t="s">
        <v>240</v>
      </c>
      <c r="D1567" t="s">
        <v>48</v>
      </c>
      <c r="E1567" t="s">
        <v>22</v>
      </c>
      <c r="F1567" t="str">
        <f t="shared" si="24"/>
        <v>East</v>
      </c>
      <c r="G1567" t="s">
        <v>42</v>
      </c>
      <c r="H1567" t="s">
        <v>13</v>
      </c>
      <c r="I1567">
        <v>9</v>
      </c>
    </row>
    <row r="1568" spans="1:9" ht="21.75" customHeight="1">
      <c r="A1568" t="s">
        <v>1718</v>
      </c>
      <c r="B1568" s="3">
        <v>45574</v>
      </c>
      <c r="C1568" t="s">
        <v>89</v>
      </c>
      <c r="D1568" t="s">
        <v>16</v>
      </c>
      <c r="E1568" t="s">
        <v>22</v>
      </c>
      <c r="F1568" t="str">
        <f t="shared" si="24"/>
        <v>East</v>
      </c>
      <c r="G1568" t="s">
        <v>42</v>
      </c>
      <c r="H1568" t="s">
        <v>36</v>
      </c>
      <c r="I1568">
        <v>18</v>
      </c>
    </row>
    <row r="1569" spans="1:9" ht="21.75" customHeight="1">
      <c r="A1569" t="s">
        <v>1719</v>
      </c>
      <c r="B1569" s="3">
        <v>45620</v>
      </c>
      <c r="C1569" t="s">
        <v>30</v>
      </c>
      <c r="D1569" t="s">
        <v>59</v>
      </c>
      <c r="E1569" t="s">
        <v>22</v>
      </c>
      <c r="F1569" t="str">
        <f t="shared" si="24"/>
        <v>South</v>
      </c>
      <c r="G1569" t="s">
        <v>56</v>
      </c>
      <c r="H1569" t="s">
        <v>28</v>
      </c>
      <c r="I1569">
        <v>20</v>
      </c>
    </row>
    <row r="1570" spans="1:9" ht="21.75" customHeight="1">
      <c r="A1570" t="s">
        <v>1720</v>
      </c>
      <c r="B1570" s="3">
        <v>45601</v>
      </c>
      <c r="C1570" t="s">
        <v>47</v>
      </c>
      <c r="D1570" t="s">
        <v>59</v>
      </c>
      <c r="E1570" t="s">
        <v>11</v>
      </c>
      <c r="F1570" t="str">
        <f t="shared" si="24"/>
        <v>North</v>
      </c>
      <c r="G1570" t="s">
        <v>12</v>
      </c>
      <c r="H1570" t="s">
        <v>13</v>
      </c>
      <c r="I1570">
        <v>2</v>
      </c>
    </row>
    <row r="1571" spans="1:9" ht="21.75" customHeight="1">
      <c r="A1571" t="s">
        <v>1721</v>
      </c>
      <c r="B1571" s="3">
        <v>45587</v>
      </c>
      <c r="C1571" t="s">
        <v>86</v>
      </c>
      <c r="D1571" t="s">
        <v>21</v>
      </c>
      <c r="E1571" t="s">
        <v>11</v>
      </c>
      <c r="F1571" t="str">
        <f t="shared" si="24"/>
        <v>Central</v>
      </c>
      <c r="G1571" t="s">
        <v>306</v>
      </c>
      <c r="H1571" t="s">
        <v>23</v>
      </c>
      <c r="I1571">
        <v>20</v>
      </c>
    </row>
    <row r="1572" spans="1:9" ht="21.75" customHeight="1">
      <c r="A1572" t="s">
        <v>1722</v>
      </c>
      <c r="B1572" s="3">
        <v>45546</v>
      </c>
      <c r="C1572" t="s">
        <v>451</v>
      </c>
      <c r="D1572" t="s">
        <v>174</v>
      </c>
      <c r="E1572" t="s">
        <v>17</v>
      </c>
      <c r="F1572" t="str">
        <f t="shared" si="24"/>
        <v>East</v>
      </c>
      <c r="G1572" t="s">
        <v>42</v>
      </c>
      <c r="H1572" t="s">
        <v>23</v>
      </c>
      <c r="I1572">
        <v>8</v>
      </c>
    </row>
    <row r="1573" spans="1:9" ht="21.75" customHeight="1">
      <c r="A1573" t="s">
        <v>1723</v>
      </c>
      <c r="B1573" s="3">
        <v>45642</v>
      </c>
      <c r="C1573" t="s">
        <v>341</v>
      </c>
      <c r="D1573" t="s">
        <v>74</v>
      </c>
      <c r="E1573" t="s">
        <v>17</v>
      </c>
      <c r="F1573" t="str">
        <f t="shared" si="24"/>
        <v>North</v>
      </c>
      <c r="G1573" t="s">
        <v>12</v>
      </c>
      <c r="H1573" t="s">
        <v>13</v>
      </c>
      <c r="I1573">
        <v>6</v>
      </c>
    </row>
    <row r="1574" spans="1:9" ht="21.75" customHeight="1">
      <c r="A1574" t="s">
        <v>1724</v>
      </c>
      <c r="B1574" s="3">
        <v>45539</v>
      </c>
      <c r="C1574" t="s">
        <v>319</v>
      </c>
      <c r="D1574" t="s">
        <v>65</v>
      </c>
      <c r="E1574" t="s">
        <v>17</v>
      </c>
      <c r="F1574" t="str">
        <f t="shared" si="24"/>
        <v>Central</v>
      </c>
      <c r="G1574" t="s">
        <v>306</v>
      </c>
      <c r="H1574" t="s">
        <v>28</v>
      </c>
      <c r="I1574">
        <v>11</v>
      </c>
    </row>
    <row r="1575" spans="1:9" ht="21.75" customHeight="1">
      <c r="A1575" t="s">
        <v>1725</v>
      </c>
      <c r="B1575" s="3">
        <v>45455</v>
      </c>
      <c r="C1575" t="s">
        <v>388</v>
      </c>
      <c r="D1575" t="s">
        <v>48</v>
      </c>
      <c r="E1575" t="s">
        <v>17</v>
      </c>
      <c r="F1575" t="str">
        <f t="shared" si="24"/>
        <v>South</v>
      </c>
      <c r="G1575" t="s">
        <v>56</v>
      </c>
      <c r="H1575" t="s">
        <v>32</v>
      </c>
      <c r="I1575">
        <v>17</v>
      </c>
    </row>
    <row r="1576" spans="1:9" ht="21.75" customHeight="1">
      <c r="A1576" t="s">
        <v>1726</v>
      </c>
      <c r="B1576" s="3">
        <v>45455</v>
      </c>
      <c r="C1576" t="s">
        <v>93</v>
      </c>
      <c r="D1576" t="s">
        <v>70</v>
      </c>
      <c r="E1576" t="s">
        <v>11</v>
      </c>
      <c r="F1576" t="str">
        <f t="shared" si="24"/>
        <v>East</v>
      </c>
      <c r="G1576" t="s">
        <v>42</v>
      </c>
      <c r="H1576" t="s">
        <v>23</v>
      </c>
      <c r="I1576">
        <v>8</v>
      </c>
    </row>
    <row r="1577" spans="1:9" ht="21.75" customHeight="1">
      <c r="A1577" t="s">
        <v>1727</v>
      </c>
      <c r="B1577" s="3">
        <v>45317</v>
      </c>
      <c r="C1577" t="s">
        <v>61</v>
      </c>
      <c r="D1577" t="s">
        <v>31</v>
      </c>
      <c r="E1577" t="s">
        <v>22</v>
      </c>
      <c r="F1577" t="str">
        <f t="shared" si="24"/>
        <v>West</v>
      </c>
      <c r="G1577" t="s">
        <v>27</v>
      </c>
      <c r="H1577" t="s">
        <v>28</v>
      </c>
      <c r="I1577">
        <v>6</v>
      </c>
    </row>
    <row r="1578" spans="1:9" ht="21.75" customHeight="1">
      <c r="A1578" t="s">
        <v>1728</v>
      </c>
      <c r="B1578" s="3">
        <v>45587</v>
      </c>
      <c r="C1578" t="s">
        <v>329</v>
      </c>
      <c r="D1578" t="s">
        <v>72</v>
      </c>
      <c r="E1578" t="s">
        <v>11</v>
      </c>
      <c r="F1578" t="str">
        <f t="shared" si="24"/>
        <v>South</v>
      </c>
      <c r="G1578" t="s">
        <v>56</v>
      </c>
      <c r="H1578" t="s">
        <v>23</v>
      </c>
      <c r="I1578">
        <v>17</v>
      </c>
    </row>
    <row r="1579" spans="1:9" ht="21.75" customHeight="1">
      <c r="A1579" t="s">
        <v>1729</v>
      </c>
      <c r="B1579" s="3">
        <v>45449</v>
      </c>
      <c r="C1579" t="s">
        <v>432</v>
      </c>
      <c r="D1579" t="s">
        <v>96</v>
      </c>
      <c r="E1579" t="s">
        <v>11</v>
      </c>
      <c r="F1579" t="str">
        <f t="shared" si="24"/>
        <v>West</v>
      </c>
      <c r="G1579" t="s">
        <v>27</v>
      </c>
      <c r="H1579" t="s">
        <v>36</v>
      </c>
      <c r="I1579">
        <v>15</v>
      </c>
    </row>
    <row r="1580" spans="1:9" ht="21.75" customHeight="1">
      <c r="A1580" t="s">
        <v>1730</v>
      </c>
      <c r="B1580" s="3">
        <v>45402</v>
      </c>
      <c r="C1580" t="s">
        <v>361</v>
      </c>
      <c r="D1580" t="s">
        <v>48</v>
      </c>
      <c r="E1580" t="s">
        <v>11</v>
      </c>
      <c r="F1580" t="str">
        <f t="shared" si="24"/>
        <v>North</v>
      </c>
      <c r="G1580" t="s">
        <v>12</v>
      </c>
      <c r="H1580" t="s">
        <v>32</v>
      </c>
      <c r="I1580">
        <v>16</v>
      </c>
    </row>
    <row r="1581" spans="1:9" ht="21.75" customHeight="1">
      <c r="A1581" t="s">
        <v>1731</v>
      </c>
      <c r="B1581" s="3">
        <v>45626</v>
      </c>
      <c r="C1581" t="s">
        <v>422</v>
      </c>
      <c r="D1581" t="s">
        <v>35</v>
      </c>
      <c r="E1581" t="s">
        <v>17</v>
      </c>
      <c r="F1581" t="str">
        <f t="shared" si="24"/>
        <v>Central</v>
      </c>
      <c r="G1581" t="s">
        <v>306</v>
      </c>
      <c r="H1581" t="s">
        <v>13</v>
      </c>
      <c r="I1581">
        <v>4</v>
      </c>
    </row>
    <row r="1582" spans="1:9" ht="21.75" customHeight="1">
      <c r="A1582" t="s">
        <v>1732</v>
      </c>
      <c r="B1582" s="3">
        <v>45427</v>
      </c>
      <c r="C1582" t="s">
        <v>388</v>
      </c>
      <c r="D1582" t="s">
        <v>48</v>
      </c>
      <c r="E1582" t="s">
        <v>17</v>
      </c>
      <c r="F1582" t="str">
        <f t="shared" si="24"/>
        <v>East</v>
      </c>
      <c r="G1582" t="s">
        <v>42</v>
      </c>
      <c r="H1582" t="s">
        <v>13</v>
      </c>
      <c r="I1582">
        <v>13</v>
      </c>
    </row>
    <row r="1583" spans="1:9" ht="21.75" customHeight="1">
      <c r="A1583" t="s">
        <v>1733</v>
      </c>
      <c r="B1583" s="3">
        <v>45579</v>
      </c>
      <c r="C1583" t="s">
        <v>150</v>
      </c>
      <c r="D1583" t="s">
        <v>48</v>
      </c>
      <c r="E1583" t="s">
        <v>22</v>
      </c>
      <c r="F1583" t="str">
        <f t="shared" si="24"/>
        <v>East</v>
      </c>
      <c r="G1583" t="s">
        <v>42</v>
      </c>
      <c r="H1583" t="s">
        <v>13</v>
      </c>
      <c r="I1583">
        <v>13</v>
      </c>
    </row>
    <row r="1584" spans="1:9" ht="21.75" customHeight="1">
      <c r="A1584" t="s">
        <v>1734</v>
      </c>
      <c r="B1584" s="3">
        <v>45573</v>
      </c>
      <c r="C1584" t="s">
        <v>89</v>
      </c>
      <c r="D1584" t="s">
        <v>109</v>
      </c>
      <c r="E1584" t="s">
        <v>22</v>
      </c>
      <c r="F1584" t="str">
        <f t="shared" si="24"/>
        <v>Central</v>
      </c>
      <c r="G1584" t="s">
        <v>306</v>
      </c>
      <c r="H1584" t="s">
        <v>13</v>
      </c>
      <c r="I1584">
        <v>5</v>
      </c>
    </row>
    <row r="1585" spans="1:9" ht="21.75" customHeight="1">
      <c r="A1585" t="s">
        <v>1735</v>
      </c>
      <c r="B1585" s="3">
        <v>45493</v>
      </c>
      <c r="C1585" t="s">
        <v>200</v>
      </c>
      <c r="D1585" t="s">
        <v>72</v>
      </c>
      <c r="E1585" t="s">
        <v>22</v>
      </c>
      <c r="F1585" t="str">
        <f t="shared" si="24"/>
        <v>East</v>
      </c>
      <c r="G1585" t="s">
        <v>42</v>
      </c>
      <c r="H1585" t="s">
        <v>28</v>
      </c>
      <c r="I1585">
        <v>7</v>
      </c>
    </row>
    <row r="1586" spans="1:9" ht="21.75" customHeight="1">
      <c r="A1586" t="s">
        <v>1736</v>
      </c>
      <c r="B1586" s="3">
        <v>45497</v>
      </c>
      <c r="C1586" t="s">
        <v>358</v>
      </c>
      <c r="D1586" t="s">
        <v>79</v>
      </c>
      <c r="E1586" t="s">
        <v>11</v>
      </c>
      <c r="F1586" t="str">
        <f t="shared" si="24"/>
        <v>North</v>
      </c>
      <c r="G1586" t="s">
        <v>12</v>
      </c>
      <c r="H1586" t="s">
        <v>28</v>
      </c>
      <c r="I1586">
        <v>11</v>
      </c>
    </row>
    <row r="1587" spans="1:9" ht="21.75" customHeight="1">
      <c r="A1587" t="s">
        <v>1737</v>
      </c>
      <c r="B1587" s="3">
        <v>45557</v>
      </c>
      <c r="C1587" t="s">
        <v>366</v>
      </c>
      <c r="D1587" t="s">
        <v>16</v>
      </c>
      <c r="E1587" t="s">
        <v>22</v>
      </c>
      <c r="F1587" t="str">
        <f t="shared" si="24"/>
        <v>Central</v>
      </c>
      <c r="G1587" t="s">
        <v>306</v>
      </c>
      <c r="H1587" t="s">
        <v>28</v>
      </c>
      <c r="I1587">
        <v>11</v>
      </c>
    </row>
    <row r="1588" spans="1:9" ht="21.75" customHeight="1">
      <c r="A1588" t="s">
        <v>1738</v>
      </c>
      <c r="B1588" s="3">
        <v>45455</v>
      </c>
      <c r="C1588" t="s">
        <v>111</v>
      </c>
      <c r="D1588" t="s">
        <v>31</v>
      </c>
      <c r="E1588" t="s">
        <v>22</v>
      </c>
      <c r="F1588" t="str">
        <f t="shared" si="24"/>
        <v>East</v>
      </c>
      <c r="G1588" t="s">
        <v>42</v>
      </c>
      <c r="H1588" t="s">
        <v>36</v>
      </c>
      <c r="I1588">
        <v>11</v>
      </c>
    </row>
    <row r="1589" spans="1:9" ht="21.75" customHeight="1">
      <c r="A1589" t="s">
        <v>1739</v>
      </c>
      <c r="B1589" s="3">
        <v>45552</v>
      </c>
      <c r="C1589" t="s">
        <v>312</v>
      </c>
      <c r="D1589" t="s">
        <v>35</v>
      </c>
      <c r="E1589" t="s">
        <v>22</v>
      </c>
      <c r="F1589" t="str">
        <f t="shared" si="24"/>
        <v>Central</v>
      </c>
      <c r="G1589" t="s">
        <v>306</v>
      </c>
      <c r="H1589" t="s">
        <v>32</v>
      </c>
      <c r="I1589">
        <v>16</v>
      </c>
    </row>
    <row r="1590" spans="1:9" ht="21.75" customHeight="1">
      <c r="A1590" t="s">
        <v>1740</v>
      </c>
      <c r="B1590" s="3">
        <v>45480</v>
      </c>
      <c r="C1590" t="s">
        <v>118</v>
      </c>
      <c r="D1590" t="s">
        <v>41</v>
      </c>
      <c r="E1590" t="s">
        <v>11</v>
      </c>
      <c r="F1590" t="str">
        <f t="shared" si="24"/>
        <v>West</v>
      </c>
      <c r="G1590" t="s">
        <v>27</v>
      </c>
      <c r="H1590" t="s">
        <v>36</v>
      </c>
      <c r="I1590">
        <v>10</v>
      </c>
    </row>
    <row r="1591" spans="1:9" ht="21.75" customHeight="1">
      <c r="A1591" t="s">
        <v>1741</v>
      </c>
      <c r="B1591" s="3">
        <v>45644</v>
      </c>
      <c r="C1591" t="s">
        <v>451</v>
      </c>
      <c r="D1591" t="s">
        <v>96</v>
      </c>
      <c r="E1591" t="s">
        <v>22</v>
      </c>
      <c r="F1591" t="str">
        <f t="shared" si="24"/>
        <v>West</v>
      </c>
      <c r="G1591" t="s">
        <v>27</v>
      </c>
      <c r="H1591" t="s">
        <v>32</v>
      </c>
      <c r="I1591">
        <v>19</v>
      </c>
    </row>
    <row r="1592" spans="1:9" ht="21.75" customHeight="1">
      <c r="A1592" t="s">
        <v>1742</v>
      </c>
      <c r="B1592" s="3">
        <v>45318</v>
      </c>
      <c r="C1592" t="s">
        <v>361</v>
      </c>
      <c r="D1592" t="s">
        <v>35</v>
      </c>
      <c r="E1592" t="s">
        <v>11</v>
      </c>
      <c r="F1592" t="str">
        <f t="shared" si="24"/>
        <v>Central</v>
      </c>
      <c r="G1592" t="s">
        <v>306</v>
      </c>
      <c r="H1592" t="s">
        <v>36</v>
      </c>
      <c r="I1592">
        <v>13</v>
      </c>
    </row>
    <row r="1593" spans="1:9" ht="21.75" customHeight="1">
      <c r="A1593" t="s">
        <v>1743</v>
      </c>
      <c r="B1593" s="3">
        <v>45640</v>
      </c>
      <c r="C1593" t="s">
        <v>78</v>
      </c>
      <c r="D1593" t="s">
        <v>79</v>
      </c>
      <c r="E1593" t="s">
        <v>22</v>
      </c>
      <c r="F1593" t="str">
        <f t="shared" si="24"/>
        <v>North</v>
      </c>
      <c r="G1593" t="s">
        <v>12</v>
      </c>
      <c r="H1593" t="s">
        <v>28</v>
      </c>
      <c r="I1593">
        <v>1</v>
      </c>
    </row>
    <row r="1594" spans="1:9" ht="21.75" customHeight="1">
      <c r="A1594" t="s">
        <v>1744</v>
      </c>
      <c r="B1594" s="3">
        <v>45506</v>
      </c>
      <c r="C1594" t="s">
        <v>125</v>
      </c>
      <c r="D1594" t="s">
        <v>87</v>
      </c>
      <c r="E1594" t="s">
        <v>22</v>
      </c>
      <c r="F1594" t="str">
        <f t="shared" si="24"/>
        <v>South</v>
      </c>
      <c r="G1594" t="s">
        <v>56</v>
      </c>
      <c r="H1594" t="s">
        <v>23</v>
      </c>
      <c r="I1594">
        <v>17</v>
      </c>
    </row>
    <row r="1595" spans="1:9" ht="21.75" customHeight="1">
      <c r="A1595" t="s">
        <v>1745</v>
      </c>
      <c r="B1595" s="3">
        <v>45533</v>
      </c>
      <c r="C1595" t="s">
        <v>304</v>
      </c>
      <c r="D1595" t="s">
        <v>84</v>
      </c>
      <c r="E1595" t="s">
        <v>11</v>
      </c>
      <c r="F1595" t="str">
        <f t="shared" si="24"/>
        <v>South</v>
      </c>
      <c r="G1595" t="s">
        <v>56</v>
      </c>
      <c r="H1595" t="s">
        <v>36</v>
      </c>
      <c r="I1595">
        <v>7</v>
      </c>
    </row>
    <row r="1596" spans="1:9" ht="21.75" customHeight="1">
      <c r="A1596" t="s">
        <v>1746</v>
      </c>
      <c r="B1596" s="3">
        <v>45631</v>
      </c>
      <c r="C1596" t="s">
        <v>517</v>
      </c>
      <c r="D1596" t="s">
        <v>160</v>
      </c>
      <c r="E1596" t="s">
        <v>17</v>
      </c>
      <c r="F1596" t="str">
        <f t="shared" si="24"/>
        <v>East</v>
      </c>
      <c r="G1596" t="s">
        <v>42</v>
      </c>
      <c r="H1596" t="s">
        <v>28</v>
      </c>
      <c r="I1596">
        <v>15</v>
      </c>
    </row>
    <row r="1597" spans="1:9" ht="21.75" customHeight="1">
      <c r="A1597" t="s">
        <v>1747</v>
      </c>
      <c r="B1597" s="3">
        <v>45467</v>
      </c>
      <c r="C1597" t="s">
        <v>591</v>
      </c>
      <c r="D1597" t="s">
        <v>48</v>
      </c>
      <c r="E1597" t="s">
        <v>22</v>
      </c>
      <c r="F1597" t="str">
        <f t="shared" si="24"/>
        <v>East</v>
      </c>
      <c r="G1597" t="s">
        <v>42</v>
      </c>
      <c r="H1597" t="s">
        <v>36</v>
      </c>
      <c r="I1597">
        <v>16</v>
      </c>
    </row>
    <row r="1598" spans="1:9" ht="21.75" customHeight="1">
      <c r="A1598" t="s">
        <v>1748</v>
      </c>
      <c r="B1598" s="3">
        <v>45418</v>
      </c>
      <c r="C1598" t="s">
        <v>89</v>
      </c>
      <c r="D1598" t="s">
        <v>174</v>
      </c>
      <c r="E1598" t="s">
        <v>17</v>
      </c>
      <c r="F1598" t="str">
        <f t="shared" si="24"/>
        <v>South</v>
      </c>
      <c r="G1598" t="s">
        <v>56</v>
      </c>
      <c r="H1598" t="s">
        <v>32</v>
      </c>
      <c r="I1598">
        <v>10</v>
      </c>
    </row>
    <row r="1599" spans="1:9" ht="21.75" customHeight="1">
      <c r="A1599" t="s">
        <v>1749</v>
      </c>
      <c r="B1599" s="3">
        <v>45645</v>
      </c>
      <c r="C1599" t="s">
        <v>369</v>
      </c>
      <c r="D1599" t="s">
        <v>35</v>
      </c>
      <c r="E1599" t="s">
        <v>17</v>
      </c>
      <c r="F1599" t="str">
        <f t="shared" si="24"/>
        <v>West</v>
      </c>
      <c r="G1599" t="s">
        <v>27</v>
      </c>
      <c r="H1599" t="s">
        <v>32</v>
      </c>
      <c r="I1599">
        <v>18</v>
      </c>
    </row>
    <row r="1600" spans="1:9" ht="21.75" customHeight="1">
      <c r="A1600" t="s">
        <v>1750</v>
      </c>
      <c r="B1600" s="3">
        <v>45432</v>
      </c>
      <c r="C1600" t="s">
        <v>55</v>
      </c>
      <c r="D1600" t="s">
        <v>102</v>
      </c>
      <c r="E1600" t="s">
        <v>22</v>
      </c>
      <c r="F1600" t="str">
        <f t="shared" si="24"/>
        <v>Central</v>
      </c>
      <c r="G1600" t="s">
        <v>306</v>
      </c>
      <c r="H1600" t="s">
        <v>23</v>
      </c>
      <c r="I1600">
        <v>13</v>
      </c>
    </row>
    <row r="1601" spans="1:9" ht="21.75" customHeight="1">
      <c r="A1601" t="s">
        <v>1751</v>
      </c>
      <c r="B1601" s="3">
        <v>45366</v>
      </c>
      <c r="C1601" t="s">
        <v>61</v>
      </c>
      <c r="D1601" t="s">
        <v>79</v>
      </c>
      <c r="E1601" t="s">
        <v>17</v>
      </c>
      <c r="F1601" t="str">
        <f t="shared" si="24"/>
        <v>North</v>
      </c>
      <c r="G1601" t="s">
        <v>12</v>
      </c>
      <c r="H1601" t="s">
        <v>32</v>
      </c>
      <c r="I1601">
        <v>15</v>
      </c>
    </row>
    <row r="1602" spans="1:9" ht="21.75" customHeight="1">
      <c r="A1602" t="s">
        <v>1752</v>
      </c>
      <c r="B1602" s="3">
        <v>45537</v>
      </c>
      <c r="C1602" t="s">
        <v>133</v>
      </c>
      <c r="D1602" t="s">
        <v>65</v>
      </c>
      <c r="E1602" t="s">
        <v>22</v>
      </c>
      <c r="F1602" t="str">
        <f t="shared" si="24"/>
        <v>East</v>
      </c>
      <c r="G1602" t="s">
        <v>42</v>
      </c>
      <c r="H1602" t="s">
        <v>36</v>
      </c>
      <c r="I1602">
        <v>9</v>
      </c>
    </row>
    <row r="1603" spans="1:9" ht="21.75" customHeight="1">
      <c r="A1603" t="s">
        <v>1753</v>
      </c>
      <c r="B1603" s="3">
        <v>45607</v>
      </c>
      <c r="C1603" t="s">
        <v>304</v>
      </c>
      <c r="D1603" t="s">
        <v>59</v>
      </c>
      <c r="E1603" t="s">
        <v>11</v>
      </c>
      <c r="F1603" t="str">
        <f t="shared" ref="F1603:F1666" si="25">TRIM(PROPER(G1603))</f>
        <v>South</v>
      </c>
      <c r="G1603" t="s">
        <v>56</v>
      </c>
      <c r="H1603" t="s">
        <v>13</v>
      </c>
      <c r="I1603">
        <v>17</v>
      </c>
    </row>
    <row r="1604" spans="1:9" ht="21.75" customHeight="1">
      <c r="A1604" t="s">
        <v>1754</v>
      </c>
      <c r="B1604" s="3">
        <v>45411</v>
      </c>
      <c r="C1604" t="s">
        <v>9</v>
      </c>
      <c r="D1604" t="s">
        <v>102</v>
      </c>
      <c r="E1604" t="s">
        <v>17</v>
      </c>
      <c r="F1604" t="str">
        <f t="shared" si="25"/>
        <v>East</v>
      </c>
      <c r="G1604" t="s">
        <v>42</v>
      </c>
      <c r="H1604" t="s">
        <v>23</v>
      </c>
      <c r="I1604">
        <v>4</v>
      </c>
    </row>
    <row r="1605" spans="1:9" ht="21.75" customHeight="1">
      <c r="A1605" t="s">
        <v>1755</v>
      </c>
      <c r="B1605" s="3">
        <v>45362</v>
      </c>
      <c r="C1605" t="s">
        <v>25</v>
      </c>
      <c r="D1605" t="s">
        <v>174</v>
      </c>
      <c r="E1605" t="s">
        <v>11</v>
      </c>
      <c r="F1605" t="str">
        <f t="shared" si="25"/>
        <v>West</v>
      </c>
      <c r="G1605" t="s">
        <v>27</v>
      </c>
      <c r="H1605" t="s">
        <v>23</v>
      </c>
      <c r="I1605">
        <v>16</v>
      </c>
    </row>
    <row r="1606" spans="1:9" ht="21.75" customHeight="1">
      <c r="A1606" t="s">
        <v>1756</v>
      </c>
      <c r="B1606" s="3">
        <v>45439</v>
      </c>
      <c r="C1606" t="s">
        <v>187</v>
      </c>
      <c r="D1606" t="s">
        <v>74</v>
      </c>
      <c r="E1606" t="s">
        <v>22</v>
      </c>
      <c r="F1606" t="str">
        <f t="shared" si="25"/>
        <v>North</v>
      </c>
      <c r="G1606" t="s">
        <v>12</v>
      </c>
      <c r="H1606" t="s">
        <v>13</v>
      </c>
      <c r="I1606">
        <v>19</v>
      </c>
    </row>
    <row r="1607" spans="1:9" ht="21.75" customHeight="1">
      <c r="A1607" t="s">
        <v>1757</v>
      </c>
      <c r="B1607" s="3">
        <v>45311</v>
      </c>
      <c r="C1607" t="s">
        <v>235</v>
      </c>
      <c r="D1607" t="s">
        <v>87</v>
      </c>
      <c r="E1607" t="s">
        <v>11</v>
      </c>
      <c r="F1607" t="str">
        <f t="shared" si="25"/>
        <v>North</v>
      </c>
      <c r="G1607" t="s">
        <v>12</v>
      </c>
      <c r="H1607" t="s">
        <v>23</v>
      </c>
      <c r="I1607">
        <v>16</v>
      </c>
    </row>
    <row r="1608" spans="1:9" ht="21.75" customHeight="1">
      <c r="A1608" t="s">
        <v>1758</v>
      </c>
      <c r="B1608" s="3">
        <v>45440</v>
      </c>
      <c r="C1608" t="s">
        <v>122</v>
      </c>
      <c r="D1608" t="s">
        <v>96</v>
      </c>
      <c r="E1608" t="s">
        <v>17</v>
      </c>
      <c r="F1608" t="str">
        <f t="shared" si="25"/>
        <v>Central</v>
      </c>
      <c r="G1608" t="s">
        <v>306</v>
      </c>
      <c r="H1608" t="s">
        <v>36</v>
      </c>
      <c r="I1608">
        <v>4</v>
      </c>
    </row>
    <row r="1609" spans="1:9" ht="21.75" customHeight="1">
      <c r="A1609" t="s">
        <v>1759</v>
      </c>
      <c r="B1609" s="3">
        <v>45463</v>
      </c>
      <c r="C1609" t="s">
        <v>55</v>
      </c>
      <c r="D1609" t="s">
        <v>70</v>
      </c>
      <c r="E1609" t="s">
        <v>22</v>
      </c>
      <c r="F1609" t="str">
        <f t="shared" si="25"/>
        <v>Central</v>
      </c>
      <c r="G1609" t="s">
        <v>306</v>
      </c>
      <c r="H1609" t="s">
        <v>36</v>
      </c>
      <c r="I1609">
        <v>16</v>
      </c>
    </row>
    <row r="1610" spans="1:9" ht="21.75" customHeight="1">
      <c r="A1610" t="s">
        <v>1760</v>
      </c>
      <c r="B1610" s="3">
        <v>45360</v>
      </c>
      <c r="C1610" t="s">
        <v>358</v>
      </c>
      <c r="D1610" t="s">
        <v>70</v>
      </c>
      <c r="E1610" t="s">
        <v>17</v>
      </c>
      <c r="F1610" t="str">
        <f t="shared" si="25"/>
        <v>South</v>
      </c>
      <c r="G1610" t="s">
        <v>56</v>
      </c>
      <c r="H1610" t="s">
        <v>13</v>
      </c>
      <c r="I1610">
        <v>11</v>
      </c>
    </row>
    <row r="1611" spans="1:9" ht="21.75" customHeight="1">
      <c r="A1611" t="s">
        <v>1761</v>
      </c>
      <c r="B1611" s="3">
        <v>45526</v>
      </c>
      <c r="C1611" t="s">
        <v>736</v>
      </c>
      <c r="D1611" t="s">
        <v>26</v>
      </c>
      <c r="E1611" t="s">
        <v>22</v>
      </c>
      <c r="F1611" t="str">
        <f t="shared" si="25"/>
        <v>South</v>
      </c>
      <c r="G1611" t="s">
        <v>56</v>
      </c>
      <c r="H1611" t="s">
        <v>13</v>
      </c>
      <c r="I1611">
        <v>11</v>
      </c>
    </row>
    <row r="1612" spans="1:9" ht="21.75" customHeight="1">
      <c r="A1612" t="s">
        <v>1762</v>
      </c>
      <c r="B1612" s="3">
        <v>45582</v>
      </c>
      <c r="C1612" t="s">
        <v>422</v>
      </c>
      <c r="D1612" t="s">
        <v>119</v>
      </c>
      <c r="E1612" t="s">
        <v>11</v>
      </c>
      <c r="F1612" t="str">
        <f t="shared" si="25"/>
        <v>South</v>
      </c>
      <c r="G1612" t="s">
        <v>56</v>
      </c>
      <c r="H1612" t="s">
        <v>36</v>
      </c>
      <c r="I1612">
        <v>13</v>
      </c>
    </row>
    <row r="1613" spans="1:9" ht="21.75" customHeight="1">
      <c r="A1613" t="s">
        <v>1763</v>
      </c>
      <c r="B1613" s="3">
        <v>45555</v>
      </c>
      <c r="C1613" t="s">
        <v>187</v>
      </c>
      <c r="D1613" t="s">
        <v>10</v>
      </c>
      <c r="E1613" t="s">
        <v>17</v>
      </c>
      <c r="F1613" t="str">
        <f t="shared" si="25"/>
        <v>North</v>
      </c>
      <c r="G1613" t="s">
        <v>12</v>
      </c>
      <c r="H1613" t="s">
        <v>28</v>
      </c>
      <c r="I1613">
        <v>5</v>
      </c>
    </row>
    <row r="1614" spans="1:9" ht="21.75" customHeight="1">
      <c r="A1614" t="s">
        <v>1764</v>
      </c>
      <c r="B1614" s="3">
        <v>45419</v>
      </c>
      <c r="C1614" t="s">
        <v>25</v>
      </c>
      <c r="D1614" t="s">
        <v>26</v>
      </c>
      <c r="E1614" t="s">
        <v>17</v>
      </c>
      <c r="F1614" t="str">
        <f t="shared" si="25"/>
        <v>South</v>
      </c>
      <c r="G1614" t="s">
        <v>56</v>
      </c>
      <c r="H1614" t="s">
        <v>23</v>
      </c>
      <c r="I1614">
        <v>9</v>
      </c>
    </row>
    <row r="1615" spans="1:9" ht="21.75" customHeight="1">
      <c r="A1615" t="s">
        <v>1765</v>
      </c>
      <c r="B1615" s="3">
        <v>45446</v>
      </c>
      <c r="C1615" t="s">
        <v>361</v>
      </c>
      <c r="D1615" t="s">
        <v>84</v>
      </c>
      <c r="E1615" t="s">
        <v>22</v>
      </c>
      <c r="F1615" t="str">
        <f t="shared" si="25"/>
        <v>North</v>
      </c>
      <c r="G1615" t="s">
        <v>12</v>
      </c>
      <c r="H1615" t="s">
        <v>32</v>
      </c>
      <c r="I1615">
        <v>12</v>
      </c>
    </row>
    <row r="1616" spans="1:9" ht="21.75" customHeight="1">
      <c r="A1616" t="s">
        <v>1766</v>
      </c>
      <c r="B1616" s="3">
        <v>45323</v>
      </c>
      <c r="C1616" t="s">
        <v>317</v>
      </c>
      <c r="D1616" t="s">
        <v>102</v>
      </c>
      <c r="E1616" t="s">
        <v>17</v>
      </c>
      <c r="F1616" t="str">
        <f t="shared" si="25"/>
        <v>East</v>
      </c>
      <c r="G1616" t="s">
        <v>42</v>
      </c>
      <c r="H1616" t="s">
        <v>28</v>
      </c>
      <c r="I1616">
        <v>13</v>
      </c>
    </row>
    <row r="1617" spans="1:9" ht="21.75" customHeight="1">
      <c r="A1617" t="s">
        <v>1767</v>
      </c>
      <c r="B1617" s="3">
        <v>45652</v>
      </c>
      <c r="C1617" t="s">
        <v>337</v>
      </c>
      <c r="D1617" t="s">
        <v>74</v>
      </c>
      <c r="E1617" t="s">
        <v>22</v>
      </c>
      <c r="F1617" t="str">
        <f t="shared" si="25"/>
        <v>North</v>
      </c>
      <c r="G1617" t="s">
        <v>12</v>
      </c>
      <c r="H1617" t="s">
        <v>32</v>
      </c>
      <c r="I1617">
        <v>12</v>
      </c>
    </row>
    <row r="1618" spans="1:9" ht="21.75" customHeight="1">
      <c r="A1618" t="s">
        <v>1768</v>
      </c>
      <c r="B1618" s="3">
        <v>45404</v>
      </c>
      <c r="C1618" t="s">
        <v>99</v>
      </c>
      <c r="D1618" t="s">
        <v>35</v>
      </c>
      <c r="E1618" t="s">
        <v>11</v>
      </c>
      <c r="F1618" t="str">
        <f t="shared" si="25"/>
        <v>West</v>
      </c>
      <c r="G1618" t="s">
        <v>27</v>
      </c>
      <c r="H1618" t="s">
        <v>36</v>
      </c>
      <c r="I1618">
        <v>12</v>
      </c>
    </row>
    <row r="1619" spans="1:9" ht="21.75" customHeight="1">
      <c r="A1619" t="s">
        <v>1769</v>
      </c>
      <c r="B1619" s="3">
        <v>45573</v>
      </c>
      <c r="C1619" t="s">
        <v>553</v>
      </c>
      <c r="D1619" t="s">
        <v>119</v>
      </c>
      <c r="E1619" t="s">
        <v>22</v>
      </c>
      <c r="F1619" t="str">
        <f t="shared" si="25"/>
        <v>South</v>
      </c>
      <c r="G1619" t="s">
        <v>56</v>
      </c>
      <c r="H1619" t="s">
        <v>28</v>
      </c>
      <c r="I1619">
        <v>20</v>
      </c>
    </row>
    <row r="1620" spans="1:9" ht="21.75" customHeight="1">
      <c r="A1620" t="s">
        <v>1770</v>
      </c>
      <c r="B1620" s="3">
        <v>45333</v>
      </c>
      <c r="C1620" t="s">
        <v>339</v>
      </c>
      <c r="D1620" t="s">
        <v>70</v>
      </c>
      <c r="E1620" t="s">
        <v>22</v>
      </c>
      <c r="F1620" t="str">
        <f t="shared" si="25"/>
        <v>East</v>
      </c>
      <c r="G1620" t="s">
        <v>42</v>
      </c>
      <c r="H1620" t="s">
        <v>13</v>
      </c>
      <c r="I1620">
        <v>19</v>
      </c>
    </row>
    <row r="1621" spans="1:9" ht="21.75" customHeight="1">
      <c r="A1621" t="s">
        <v>1771</v>
      </c>
      <c r="B1621" s="3">
        <v>45572</v>
      </c>
      <c r="C1621" t="s">
        <v>358</v>
      </c>
      <c r="D1621" t="s">
        <v>65</v>
      </c>
      <c r="E1621" t="s">
        <v>22</v>
      </c>
      <c r="F1621" t="str">
        <f t="shared" si="25"/>
        <v>Central</v>
      </c>
      <c r="G1621" t="s">
        <v>306</v>
      </c>
      <c r="H1621" t="s">
        <v>28</v>
      </c>
      <c r="I1621">
        <v>6</v>
      </c>
    </row>
    <row r="1622" spans="1:9" ht="21.75" customHeight="1">
      <c r="A1622" t="s">
        <v>1772</v>
      </c>
      <c r="B1622" s="3">
        <v>45558</v>
      </c>
      <c r="C1622" t="s">
        <v>396</v>
      </c>
      <c r="D1622" t="s">
        <v>102</v>
      </c>
      <c r="E1622" t="s">
        <v>22</v>
      </c>
      <c r="F1622" t="str">
        <f t="shared" si="25"/>
        <v>South</v>
      </c>
      <c r="G1622" t="s">
        <v>56</v>
      </c>
      <c r="H1622" t="s">
        <v>36</v>
      </c>
      <c r="I1622">
        <v>16</v>
      </c>
    </row>
    <row r="1623" spans="1:9" ht="21.75" customHeight="1">
      <c r="A1623" t="s">
        <v>1773</v>
      </c>
      <c r="B1623" s="3">
        <v>45553</v>
      </c>
      <c r="C1623" t="s">
        <v>430</v>
      </c>
      <c r="D1623" t="s">
        <v>79</v>
      </c>
      <c r="E1623" t="s">
        <v>17</v>
      </c>
      <c r="F1623" t="str">
        <f t="shared" si="25"/>
        <v>South</v>
      </c>
      <c r="G1623" t="s">
        <v>56</v>
      </c>
      <c r="H1623" t="s">
        <v>36</v>
      </c>
      <c r="I1623">
        <v>14</v>
      </c>
    </row>
    <row r="1624" spans="1:9" ht="21.75" customHeight="1">
      <c r="A1624" t="s">
        <v>1774</v>
      </c>
      <c r="B1624" s="3">
        <v>45321</v>
      </c>
      <c r="C1624" t="s">
        <v>642</v>
      </c>
      <c r="D1624" t="s">
        <v>70</v>
      </c>
      <c r="E1624" t="s">
        <v>22</v>
      </c>
      <c r="F1624" t="str">
        <f t="shared" si="25"/>
        <v>East</v>
      </c>
      <c r="G1624" t="s">
        <v>42</v>
      </c>
      <c r="H1624" t="s">
        <v>13</v>
      </c>
      <c r="I1624">
        <v>13</v>
      </c>
    </row>
    <row r="1625" spans="1:9" ht="21.75" customHeight="1">
      <c r="A1625" t="s">
        <v>1775</v>
      </c>
      <c r="B1625" s="3">
        <v>45293</v>
      </c>
      <c r="C1625" t="s">
        <v>323</v>
      </c>
      <c r="D1625" t="s">
        <v>65</v>
      </c>
      <c r="E1625" t="s">
        <v>22</v>
      </c>
      <c r="F1625" t="str">
        <f t="shared" si="25"/>
        <v>North</v>
      </c>
      <c r="G1625" t="s">
        <v>12</v>
      </c>
      <c r="H1625" t="s">
        <v>13</v>
      </c>
      <c r="I1625">
        <v>14</v>
      </c>
    </row>
    <row r="1626" spans="1:9" ht="21.75" customHeight="1">
      <c r="A1626" t="s">
        <v>1776</v>
      </c>
      <c r="B1626" s="3">
        <v>45324</v>
      </c>
      <c r="C1626" t="s">
        <v>591</v>
      </c>
      <c r="D1626" t="s">
        <v>79</v>
      </c>
      <c r="E1626" t="s">
        <v>11</v>
      </c>
      <c r="F1626" t="str">
        <f t="shared" si="25"/>
        <v>West</v>
      </c>
      <c r="G1626" t="s">
        <v>27</v>
      </c>
      <c r="H1626" t="s">
        <v>13</v>
      </c>
      <c r="I1626">
        <v>10</v>
      </c>
    </row>
    <row r="1627" spans="1:9" ht="21.75" customHeight="1">
      <c r="A1627" t="s">
        <v>1777</v>
      </c>
      <c r="B1627" s="3">
        <v>45361</v>
      </c>
      <c r="C1627" t="s">
        <v>337</v>
      </c>
      <c r="D1627" t="s">
        <v>21</v>
      </c>
      <c r="E1627" t="s">
        <v>22</v>
      </c>
      <c r="F1627" t="str">
        <f t="shared" si="25"/>
        <v>West</v>
      </c>
      <c r="G1627" t="s">
        <v>27</v>
      </c>
      <c r="H1627" t="s">
        <v>32</v>
      </c>
      <c r="I1627">
        <v>13</v>
      </c>
    </row>
    <row r="1628" spans="1:9" ht="21.75" customHeight="1">
      <c r="A1628" t="s">
        <v>1778</v>
      </c>
      <c r="B1628" s="3">
        <v>45485</v>
      </c>
      <c r="C1628" t="s">
        <v>159</v>
      </c>
      <c r="D1628" t="s">
        <v>10</v>
      </c>
      <c r="E1628" t="s">
        <v>22</v>
      </c>
      <c r="F1628" t="str">
        <f t="shared" si="25"/>
        <v>Central</v>
      </c>
      <c r="G1628" t="s">
        <v>306</v>
      </c>
      <c r="H1628" t="s">
        <v>28</v>
      </c>
      <c r="I1628">
        <v>12</v>
      </c>
    </row>
    <row r="1629" spans="1:9" ht="21.75" customHeight="1">
      <c r="A1629" t="s">
        <v>1779</v>
      </c>
      <c r="B1629" s="3">
        <v>45567</v>
      </c>
      <c r="C1629" t="s">
        <v>106</v>
      </c>
      <c r="D1629" t="s">
        <v>160</v>
      </c>
      <c r="E1629" t="s">
        <v>11</v>
      </c>
      <c r="F1629" t="str">
        <f t="shared" si="25"/>
        <v>South</v>
      </c>
      <c r="G1629" t="s">
        <v>56</v>
      </c>
      <c r="H1629" t="s">
        <v>13</v>
      </c>
      <c r="I1629">
        <v>1</v>
      </c>
    </row>
    <row r="1630" spans="1:9" ht="21.75" customHeight="1">
      <c r="A1630" t="s">
        <v>1780</v>
      </c>
      <c r="B1630" s="3">
        <v>45529</v>
      </c>
      <c r="C1630" t="s">
        <v>422</v>
      </c>
      <c r="D1630" t="s">
        <v>84</v>
      </c>
      <c r="E1630" t="s">
        <v>22</v>
      </c>
      <c r="F1630" t="str">
        <f t="shared" si="25"/>
        <v>West</v>
      </c>
      <c r="G1630" t="s">
        <v>27</v>
      </c>
      <c r="H1630" t="s">
        <v>36</v>
      </c>
      <c r="I1630">
        <v>13</v>
      </c>
    </row>
    <row r="1631" spans="1:9" ht="21.75" customHeight="1">
      <c r="A1631" t="s">
        <v>1781</v>
      </c>
      <c r="B1631" s="3">
        <v>45418</v>
      </c>
      <c r="C1631" t="s">
        <v>366</v>
      </c>
      <c r="D1631" t="s">
        <v>48</v>
      </c>
      <c r="E1631" t="s">
        <v>11</v>
      </c>
      <c r="F1631" t="str">
        <f t="shared" si="25"/>
        <v>East</v>
      </c>
      <c r="G1631" t="s">
        <v>42</v>
      </c>
      <c r="H1631" t="s">
        <v>28</v>
      </c>
      <c r="I1631">
        <v>4</v>
      </c>
    </row>
    <row r="1632" spans="1:9" ht="21.75" customHeight="1">
      <c r="A1632" t="s">
        <v>1782</v>
      </c>
      <c r="B1632" s="3">
        <v>45630</v>
      </c>
      <c r="C1632" t="s">
        <v>572</v>
      </c>
      <c r="D1632" t="s">
        <v>109</v>
      </c>
      <c r="E1632" t="s">
        <v>11</v>
      </c>
      <c r="F1632" t="str">
        <f t="shared" si="25"/>
        <v>South</v>
      </c>
      <c r="G1632" t="s">
        <v>56</v>
      </c>
      <c r="H1632" t="s">
        <v>28</v>
      </c>
      <c r="I1632">
        <v>3</v>
      </c>
    </row>
    <row r="1633" spans="1:9" ht="21.75" customHeight="1">
      <c r="A1633" t="s">
        <v>1783</v>
      </c>
      <c r="B1633" s="3">
        <v>45309</v>
      </c>
      <c r="C1633" t="s">
        <v>430</v>
      </c>
      <c r="D1633" t="s">
        <v>109</v>
      </c>
      <c r="E1633" t="s">
        <v>22</v>
      </c>
      <c r="F1633" t="str">
        <f t="shared" si="25"/>
        <v>North</v>
      </c>
      <c r="G1633" t="s">
        <v>12</v>
      </c>
      <c r="H1633" t="s">
        <v>28</v>
      </c>
      <c r="I1633">
        <v>2</v>
      </c>
    </row>
    <row r="1634" spans="1:9" ht="21.75" customHeight="1">
      <c r="A1634" t="s">
        <v>1784</v>
      </c>
      <c r="B1634" s="3">
        <v>45411</v>
      </c>
      <c r="C1634" t="s">
        <v>591</v>
      </c>
      <c r="D1634" t="s">
        <v>65</v>
      </c>
      <c r="E1634" t="s">
        <v>11</v>
      </c>
      <c r="F1634" t="str">
        <f t="shared" si="25"/>
        <v>South</v>
      </c>
      <c r="G1634" t="s">
        <v>56</v>
      </c>
      <c r="H1634" t="s">
        <v>36</v>
      </c>
      <c r="I1634">
        <v>10</v>
      </c>
    </row>
    <row r="1635" spans="1:9" ht="21.75" customHeight="1">
      <c r="A1635" t="s">
        <v>1785</v>
      </c>
      <c r="B1635" s="3">
        <v>45586</v>
      </c>
      <c r="C1635" t="s">
        <v>38</v>
      </c>
      <c r="D1635" t="s">
        <v>59</v>
      </c>
      <c r="E1635" t="s">
        <v>22</v>
      </c>
      <c r="F1635" t="str">
        <f t="shared" si="25"/>
        <v>East</v>
      </c>
      <c r="G1635" t="s">
        <v>42</v>
      </c>
      <c r="H1635" t="s">
        <v>28</v>
      </c>
      <c r="I1635">
        <v>10</v>
      </c>
    </row>
    <row r="1636" spans="1:9" ht="21.75" customHeight="1">
      <c r="A1636" t="s">
        <v>1786</v>
      </c>
      <c r="B1636" s="3">
        <v>45630</v>
      </c>
      <c r="C1636" t="s">
        <v>363</v>
      </c>
      <c r="D1636" t="s">
        <v>197</v>
      </c>
      <c r="E1636" t="s">
        <v>17</v>
      </c>
      <c r="F1636" t="str">
        <f t="shared" si="25"/>
        <v>East</v>
      </c>
      <c r="G1636" t="s">
        <v>42</v>
      </c>
      <c r="H1636" t="s">
        <v>32</v>
      </c>
      <c r="I1636">
        <v>2</v>
      </c>
    </row>
    <row r="1637" spans="1:9" ht="21.75" customHeight="1">
      <c r="A1637" t="s">
        <v>1787</v>
      </c>
      <c r="B1637" s="3">
        <v>45594</v>
      </c>
      <c r="C1637" t="s">
        <v>304</v>
      </c>
      <c r="D1637" t="s">
        <v>45</v>
      </c>
      <c r="E1637" t="s">
        <v>22</v>
      </c>
      <c r="F1637" t="str">
        <f t="shared" si="25"/>
        <v>West</v>
      </c>
      <c r="G1637" t="s">
        <v>27</v>
      </c>
      <c r="H1637" t="s">
        <v>36</v>
      </c>
      <c r="I1637">
        <v>16</v>
      </c>
    </row>
    <row r="1638" spans="1:9" ht="21.75" customHeight="1">
      <c r="A1638" t="s">
        <v>1788</v>
      </c>
      <c r="B1638" s="3">
        <v>45468</v>
      </c>
      <c r="C1638" t="s">
        <v>736</v>
      </c>
      <c r="D1638" t="s">
        <v>41</v>
      </c>
      <c r="E1638" t="s">
        <v>17</v>
      </c>
      <c r="F1638" t="str">
        <f t="shared" si="25"/>
        <v>Central</v>
      </c>
      <c r="G1638" t="s">
        <v>306</v>
      </c>
      <c r="H1638" t="s">
        <v>32</v>
      </c>
      <c r="I1638">
        <v>14</v>
      </c>
    </row>
    <row r="1639" spans="1:9" ht="21.75" customHeight="1">
      <c r="A1639" t="s">
        <v>1789</v>
      </c>
      <c r="B1639" s="3">
        <v>45445</v>
      </c>
      <c r="C1639" t="s">
        <v>159</v>
      </c>
      <c r="D1639" t="s">
        <v>45</v>
      </c>
      <c r="E1639" t="s">
        <v>22</v>
      </c>
      <c r="F1639" t="str">
        <f t="shared" si="25"/>
        <v>West</v>
      </c>
      <c r="G1639" t="s">
        <v>27</v>
      </c>
      <c r="H1639" t="s">
        <v>28</v>
      </c>
      <c r="I1639">
        <v>8</v>
      </c>
    </row>
    <row r="1640" spans="1:9" ht="21.75" customHeight="1">
      <c r="A1640" t="s">
        <v>1790</v>
      </c>
      <c r="B1640" s="3">
        <v>45654</v>
      </c>
      <c r="C1640" t="s">
        <v>167</v>
      </c>
      <c r="D1640" t="s">
        <v>70</v>
      </c>
      <c r="E1640" t="s">
        <v>11</v>
      </c>
      <c r="F1640" t="str">
        <f t="shared" si="25"/>
        <v>Central</v>
      </c>
      <c r="G1640" t="s">
        <v>306</v>
      </c>
      <c r="H1640" t="s">
        <v>23</v>
      </c>
      <c r="I1640">
        <v>14</v>
      </c>
    </row>
    <row r="1641" spans="1:9" ht="21.75" customHeight="1">
      <c r="A1641" t="s">
        <v>1791</v>
      </c>
      <c r="B1641" s="3">
        <v>45360</v>
      </c>
      <c r="C1641" t="s">
        <v>53</v>
      </c>
      <c r="D1641" t="s">
        <v>197</v>
      </c>
      <c r="E1641" t="s">
        <v>17</v>
      </c>
      <c r="F1641" t="str">
        <f t="shared" si="25"/>
        <v>South</v>
      </c>
      <c r="G1641" t="s">
        <v>56</v>
      </c>
      <c r="H1641" t="s">
        <v>32</v>
      </c>
      <c r="I1641">
        <v>3</v>
      </c>
    </row>
    <row r="1642" spans="1:9" ht="21.75" customHeight="1">
      <c r="A1642" t="s">
        <v>1792</v>
      </c>
      <c r="B1642" s="3">
        <v>45481</v>
      </c>
      <c r="C1642" t="s">
        <v>203</v>
      </c>
      <c r="D1642" t="s">
        <v>174</v>
      </c>
      <c r="E1642" t="s">
        <v>22</v>
      </c>
      <c r="F1642" t="str">
        <f t="shared" si="25"/>
        <v>South</v>
      </c>
      <c r="G1642" t="s">
        <v>56</v>
      </c>
      <c r="H1642" t="s">
        <v>13</v>
      </c>
      <c r="I1642">
        <v>9</v>
      </c>
    </row>
    <row r="1643" spans="1:9" ht="21.75" customHeight="1">
      <c r="A1643" t="s">
        <v>1793</v>
      </c>
      <c r="B1643" s="3">
        <v>45601</v>
      </c>
      <c r="C1643" t="s">
        <v>493</v>
      </c>
      <c r="D1643" t="s">
        <v>79</v>
      </c>
      <c r="E1643" t="s">
        <v>11</v>
      </c>
      <c r="F1643" t="str">
        <f t="shared" si="25"/>
        <v>South</v>
      </c>
      <c r="G1643" t="s">
        <v>56</v>
      </c>
      <c r="H1643" t="s">
        <v>36</v>
      </c>
      <c r="I1643">
        <v>18</v>
      </c>
    </row>
    <row r="1644" spans="1:9" ht="21.75" customHeight="1">
      <c r="A1644" t="s">
        <v>1794</v>
      </c>
      <c r="B1644" s="3">
        <v>45398</v>
      </c>
      <c r="C1644" t="s">
        <v>118</v>
      </c>
      <c r="D1644" t="s">
        <v>74</v>
      </c>
      <c r="E1644" t="s">
        <v>11</v>
      </c>
      <c r="F1644" t="str">
        <f t="shared" si="25"/>
        <v>South</v>
      </c>
      <c r="G1644" t="s">
        <v>56</v>
      </c>
      <c r="H1644" t="s">
        <v>28</v>
      </c>
      <c r="I1644">
        <v>4</v>
      </c>
    </row>
    <row r="1645" spans="1:9" ht="21.75" customHeight="1">
      <c r="A1645" t="s">
        <v>1795</v>
      </c>
      <c r="B1645" s="3">
        <v>45537</v>
      </c>
      <c r="C1645" t="s">
        <v>78</v>
      </c>
      <c r="D1645" t="s">
        <v>62</v>
      </c>
      <c r="E1645" t="s">
        <v>22</v>
      </c>
      <c r="F1645" t="str">
        <f t="shared" si="25"/>
        <v>South</v>
      </c>
      <c r="G1645" t="s">
        <v>56</v>
      </c>
      <c r="H1645" t="s">
        <v>23</v>
      </c>
      <c r="I1645">
        <v>8</v>
      </c>
    </row>
    <row r="1646" spans="1:9" ht="21.75" customHeight="1">
      <c r="A1646" t="s">
        <v>1796</v>
      </c>
      <c r="B1646" s="3">
        <v>45436</v>
      </c>
      <c r="C1646" t="s">
        <v>159</v>
      </c>
      <c r="D1646" t="s">
        <v>70</v>
      </c>
      <c r="E1646" t="s">
        <v>22</v>
      </c>
      <c r="F1646" t="str">
        <f t="shared" si="25"/>
        <v>East</v>
      </c>
      <c r="G1646" t="s">
        <v>42</v>
      </c>
      <c r="H1646" t="s">
        <v>32</v>
      </c>
      <c r="I1646">
        <v>9</v>
      </c>
    </row>
    <row r="1647" spans="1:9" ht="21.75" customHeight="1">
      <c r="A1647" t="s">
        <v>1797</v>
      </c>
      <c r="B1647" s="3">
        <v>45546</v>
      </c>
      <c r="C1647" t="s">
        <v>319</v>
      </c>
      <c r="D1647" t="s">
        <v>102</v>
      </c>
      <c r="E1647" t="s">
        <v>22</v>
      </c>
      <c r="F1647" t="str">
        <f t="shared" si="25"/>
        <v>West</v>
      </c>
      <c r="G1647" t="s">
        <v>27</v>
      </c>
      <c r="H1647" t="s">
        <v>32</v>
      </c>
      <c r="I1647">
        <v>7</v>
      </c>
    </row>
    <row r="1648" spans="1:9" ht="21.75" customHeight="1">
      <c r="A1648" t="s">
        <v>1798</v>
      </c>
      <c r="B1648" s="3">
        <v>45503</v>
      </c>
      <c r="C1648" t="s">
        <v>116</v>
      </c>
      <c r="D1648" t="s">
        <v>59</v>
      </c>
      <c r="E1648" t="s">
        <v>11</v>
      </c>
      <c r="F1648" t="str">
        <f t="shared" si="25"/>
        <v>South</v>
      </c>
      <c r="G1648" t="s">
        <v>56</v>
      </c>
      <c r="H1648" t="s">
        <v>13</v>
      </c>
      <c r="I1648">
        <v>9</v>
      </c>
    </row>
    <row r="1649" spans="1:9" ht="21.75" customHeight="1">
      <c r="A1649" t="s">
        <v>1799</v>
      </c>
      <c r="B1649" s="3">
        <v>45591</v>
      </c>
      <c r="C1649" t="s">
        <v>361</v>
      </c>
      <c r="D1649" t="s">
        <v>84</v>
      </c>
      <c r="E1649" t="s">
        <v>17</v>
      </c>
      <c r="F1649" t="str">
        <f t="shared" si="25"/>
        <v>East</v>
      </c>
      <c r="G1649" t="s">
        <v>42</v>
      </c>
      <c r="H1649" t="s">
        <v>28</v>
      </c>
      <c r="I1649">
        <v>7</v>
      </c>
    </row>
    <row r="1650" spans="1:9" ht="21.75" customHeight="1">
      <c r="A1650" t="s">
        <v>1800</v>
      </c>
      <c r="B1650" s="3">
        <v>45486</v>
      </c>
      <c r="C1650" t="s">
        <v>614</v>
      </c>
      <c r="D1650" t="s">
        <v>197</v>
      </c>
      <c r="E1650" t="s">
        <v>17</v>
      </c>
      <c r="F1650" t="str">
        <f t="shared" si="25"/>
        <v>Central</v>
      </c>
      <c r="G1650" t="s">
        <v>306</v>
      </c>
      <c r="H1650" t="s">
        <v>32</v>
      </c>
      <c r="I1650">
        <v>9</v>
      </c>
    </row>
    <row r="1651" spans="1:9" ht="21.75" customHeight="1">
      <c r="A1651" t="s">
        <v>1801</v>
      </c>
      <c r="B1651" s="3">
        <v>45542</v>
      </c>
      <c r="C1651" t="s">
        <v>329</v>
      </c>
      <c r="D1651" t="s">
        <v>21</v>
      </c>
      <c r="E1651" t="s">
        <v>22</v>
      </c>
      <c r="F1651" t="str">
        <f t="shared" si="25"/>
        <v>West</v>
      </c>
      <c r="G1651" t="s">
        <v>27</v>
      </c>
      <c r="H1651" t="s">
        <v>23</v>
      </c>
      <c r="I1651">
        <v>6</v>
      </c>
    </row>
    <row r="1652" spans="1:9" ht="21.75" customHeight="1">
      <c r="A1652" t="s">
        <v>1802</v>
      </c>
      <c r="B1652" s="3">
        <v>45472</v>
      </c>
      <c r="C1652" t="s">
        <v>30</v>
      </c>
      <c r="D1652" t="s">
        <v>16</v>
      </c>
      <c r="E1652" t="s">
        <v>22</v>
      </c>
      <c r="F1652" t="str">
        <f t="shared" si="25"/>
        <v>Central</v>
      </c>
      <c r="G1652" t="s">
        <v>306</v>
      </c>
      <c r="H1652" t="s">
        <v>23</v>
      </c>
      <c r="I1652">
        <v>6</v>
      </c>
    </row>
    <row r="1653" spans="1:9" ht="21.75" customHeight="1">
      <c r="A1653" t="s">
        <v>1803</v>
      </c>
      <c r="B1653" s="3">
        <v>45569</v>
      </c>
      <c r="C1653" t="s">
        <v>736</v>
      </c>
      <c r="D1653" t="s">
        <v>79</v>
      </c>
      <c r="E1653" t="s">
        <v>22</v>
      </c>
      <c r="F1653" t="str">
        <f t="shared" si="25"/>
        <v>North</v>
      </c>
      <c r="G1653" t="s">
        <v>12</v>
      </c>
      <c r="H1653" t="s">
        <v>13</v>
      </c>
      <c r="I1653">
        <v>2</v>
      </c>
    </row>
    <row r="1654" spans="1:9" ht="21.75" customHeight="1">
      <c r="A1654" t="s">
        <v>1804</v>
      </c>
      <c r="B1654" s="3">
        <v>45503</v>
      </c>
      <c r="C1654" t="s">
        <v>99</v>
      </c>
      <c r="D1654" t="s">
        <v>21</v>
      </c>
      <c r="E1654" t="s">
        <v>11</v>
      </c>
      <c r="F1654" t="str">
        <f t="shared" si="25"/>
        <v>North</v>
      </c>
      <c r="G1654" t="s">
        <v>12</v>
      </c>
      <c r="H1654" t="s">
        <v>28</v>
      </c>
      <c r="I1654">
        <v>1</v>
      </c>
    </row>
    <row r="1655" spans="1:9" ht="21.75" customHeight="1">
      <c r="A1655" t="s">
        <v>1805</v>
      </c>
      <c r="B1655" s="3">
        <v>45525</v>
      </c>
      <c r="C1655" t="s">
        <v>200</v>
      </c>
      <c r="D1655" t="s">
        <v>79</v>
      </c>
      <c r="E1655" t="s">
        <v>22</v>
      </c>
      <c r="F1655" t="str">
        <f t="shared" si="25"/>
        <v>Central</v>
      </c>
      <c r="G1655" t="s">
        <v>306</v>
      </c>
      <c r="H1655" t="s">
        <v>23</v>
      </c>
      <c r="I1655">
        <v>16</v>
      </c>
    </row>
    <row r="1656" spans="1:9" ht="21.75" customHeight="1">
      <c r="A1656" t="s">
        <v>1806</v>
      </c>
      <c r="B1656" s="3">
        <v>45564</v>
      </c>
      <c r="C1656" t="s">
        <v>378</v>
      </c>
      <c r="D1656" t="s">
        <v>87</v>
      </c>
      <c r="E1656" t="s">
        <v>11</v>
      </c>
      <c r="F1656" t="str">
        <f t="shared" si="25"/>
        <v>North</v>
      </c>
      <c r="G1656" t="s">
        <v>12</v>
      </c>
      <c r="H1656" t="s">
        <v>36</v>
      </c>
      <c r="I1656">
        <v>9</v>
      </c>
    </row>
    <row r="1657" spans="1:9" ht="21.75" customHeight="1">
      <c r="A1657" t="s">
        <v>1807</v>
      </c>
      <c r="B1657" s="3">
        <v>45438</v>
      </c>
      <c r="C1657" t="s">
        <v>138</v>
      </c>
      <c r="D1657" t="s">
        <v>160</v>
      </c>
      <c r="E1657" t="s">
        <v>22</v>
      </c>
      <c r="F1657" t="str">
        <f t="shared" si="25"/>
        <v>West</v>
      </c>
      <c r="G1657" t="s">
        <v>27</v>
      </c>
      <c r="H1657" t="s">
        <v>28</v>
      </c>
      <c r="I1657">
        <v>4</v>
      </c>
    </row>
    <row r="1658" spans="1:9" ht="21.75" customHeight="1">
      <c r="A1658" t="s">
        <v>1808</v>
      </c>
      <c r="B1658" s="3">
        <v>45560</v>
      </c>
      <c r="C1658" t="s">
        <v>125</v>
      </c>
      <c r="D1658" t="s">
        <v>197</v>
      </c>
      <c r="E1658" t="s">
        <v>11</v>
      </c>
      <c r="F1658" t="str">
        <f t="shared" si="25"/>
        <v>Central</v>
      </c>
      <c r="G1658" t="s">
        <v>306</v>
      </c>
      <c r="H1658" t="s">
        <v>36</v>
      </c>
      <c r="I1658">
        <v>9</v>
      </c>
    </row>
    <row r="1659" spans="1:9" ht="21.75" customHeight="1">
      <c r="A1659" t="s">
        <v>1809</v>
      </c>
      <c r="B1659" s="3">
        <v>45428</v>
      </c>
      <c r="C1659" t="s">
        <v>106</v>
      </c>
      <c r="D1659" t="s">
        <v>10</v>
      </c>
      <c r="E1659" t="s">
        <v>17</v>
      </c>
      <c r="F1659" t="str">
        <f t="shared" si="25"/>
        <v>West</v>
      </c>
      <c r="G1659" t="s">
        <v>27</v>
      </c>
      <c r="H1659" t="s">
        <v>23</v>
      </c>
      <c r="I1659">
        <v>19</v>
      </c>
    </row>
    <row r="1660" spans="1:9" ht="21.75" customHeight="1">
      <c r="A1660" t="s">
        <v>1810</v>
      </c>
      <c r="B1660" s="3">
        <v>45648</v>
      </c>
      <c r="C1660" t="s">
        <v>240</v>
      </c>
      <c r="D1660" t="s">
        <v>74</v>
      </c>
      <c r="E1660" t="s">
        <v>22</v>
      </c>
      <c r="F1660" t="str">
        <f t="shared" si="25"/>
        <v>North</v>
      </c>
      <c r="G1660" t="s">
        <v>12</v>
      </c>
      <c r="H1660" t="s">
        <v>13</v>
      </c>
      <c r="I1660">
        <v>3</v>
      </c>
    </row>
    <row r="1661" spans="1:9" ht="21.75" customHeight="1">
      <c r="A1661" t="s">
        <v>1811</v>
      </c>
      <c r="B1661" s="3">
        <v>45485</v>
      </c>
      <c r="C1661" t="s">
        <v>378</v>
      </c>
      <c r="D1661" t="s">
        <v>35</v>
      </c>
      <c r="E1661" t="s">
        <v>11</v>
      </c>
      <c r="F1661" t="str">
        <f t="shared" si="25"/>
        <v>North</v>
      </c>
      <c r="G1661" t="s">
        <v>12</v>
      </c>
      <c r="H1661" t="s">
        <v>28</v>
      </c>
      <c r="I1661">
        <v>3</v>
      </c>
    </row>
    <row r="1662" spans="1:9" ht="21.75" customHeight="1">
      <c r="A1662" t="s">
        <v>1812</v>
      </c>
      <c r="B1662" s="3">
        <v>45514</v>
      </c>
      <c r="C1662" t="s">
        <v>736</v>
      </c>
      <c r="D1662" t="s">
        <v>72</v>
      </c>
      <c r="E1662" t="s">
        <v>22</v>
      </c>
      <c r="F1662" t="str">
        <f t="shared" si="25"/>
        <v>North</v>
      </c>
      <c r="G1662" t="s">
        <v>12</v>
      </c>
      <c r="H1662" t="s">
        <v>36</v>
      </c>
      <c r="I1662">
        <v>2</v>
      </c>
    </row>
    <row r="1663" spans="1:9" ht="21.75" customHeight="1">
      <c r="A1663" t="s">
        <v>1813</v>
      </c>
      <c r="B1663" s="3">
        <v>45646</v>
      </c>
      <c r="C1663" t="s">
        <v>614</v>
      </c>
      <c r="D1663" t="s">
        <v>35</v>
      </c>
      <c r="E1663" t="s">
        <v>17</v>
      </c>
      <c r="F1663" t="str">
        <f t="shared" si="25"/>
        <v>North</v>
      </c>
      <c r="G1663" t="s">
        <v>12</v>
      </c>
      <c r="H1663" t="s">
        <v>13</v>
      </c>
      <c r="I1663">
        <v>9</v>
      </c>
    </row>
    <row r="1664" spans="1:9" ht="21.75" customHeight="1">
      <c r="A1664" t="s">
        <v>1814</v>
      </c>
      <c r="B1664" s="3">
        <v>45580</v>
      </c>
      <c r="C1664" t="s">
        <v>371</v>
      </c>
      <c r="D1664" t="s">
        <v>79</v>
      </c>
      <c r="E1664" t="s">
        <v>11</v>
      </c>
      <c r="F1664" t="str">
        <f t="shared" si="25"/>
        <v>East</v>
      </c>
      <c r="G1664" t="s">
        <v>42</v>
      </c>
      <c r="H1664" t="s">
        <v>13</v>
      </c>
      <c r="I1664">
        <v>7</v>
      </c>
    </row>
    <row r="1665" spans="1:9" ht="21.75" customHeight="1">
      <c r="A1665" t="s">
        <v>1815</v>
      </c>
      <c r="B1665" s="3">
        <v>45656</v>
      </c>
      <c r="C1665" t="s">
        <v>106</v>
      </c>
      <c r="D1665" t="s">
        <v>10</v>
      </c>
      <c r="E1665" t="s">
        <v>17</v>
      </c>
      <c r="F1665" t="str">
        <f t="shared" si="25"/>
        <v>South</v>
      </c>
      <c r="G1665" t="s">
        <v>56</v>
      </c>
      <c r="H1665" t="s">
        <v>36</v>
      </c>
      <c r="I1665">
        <v>8</v>
      </c>
    </row>
    <row r="1666" spans="1:9" ht="21.75" customHeight="1">
      <c r="A1666" t="s">
        <v>1816</v>
      </c>
      <c r="B1666" s="3">
        <v>45491</v>
      </c>
      <c r="C1666" t="s">
        <v>422</v>
      </c>
      <c r="D1666" t="s">
        <v>174</v>
      </c>
      <c r="E1666" t="s">
        <v>17</v>
      </c>
      <c r="F1666" t="str">
        <f t="shared" si="25"/>
        <v>West</v>
      </c>
      <c r="G1666" t="s">
        <v>27</v>
      </c>
      <c r="H1666" t="s">
        <v>28</v>
      </c>
      <c r="I1666">
        <v>3</v>
      </c>
    </row>
    <row r="1667" spans="1:9" ht="21.75" customHeight="1">
      <c r="A1667" t="s">
        <v>1817</v>
      </c>
      <c r="B1667" s="3">
        <v>45469</v>
      </c>
      <c r="C1667" t="s">
        <v>9</v>
      </c>
      <c r="D1667" t="s">
        <v>102</v>
      </c>
      <c r="E1667" t="s">
        <v>17</v>
      </c>
      <c r="F1667" t="str">
        <f t="shared" ref="F1667:F1730" si="26">TRIM(PROPER(G1667))</f>
        <v>South</v>
      </c>
      <c r="G1667" t="s">
        <v>56</v>
      </c>
      <c r="H1667" t="s">
        <v>13</v>
      </c>
      <c r="I1667">
        <v>11</v>
      </c>
    </row>
    <row r="1668" spans="1:9" ht="21.75" customHeight="1">
      <c r="A1668" t="s">
        <v>1818</v>
      </c>
      <c r="B1668" s="3">
        <v>45606</v>
      </c>
      <c r="C1668" t="s">
        <v>327</v>
      </c>
      <c r="D1668" t="s">
        <v>31</v>
      </c>
      <c r="E1668" t="s">
        <v>17</v>
      </c>
      <c r="F1668" t="str">
        <f t="shared" si="26"/>
        <v>North</v>
      </c>
      <c r="G1668" t="s">
        <v>12</v>
      </c>
      <c r="H1668" t="s">
        <v>32</v>
      </c>
      <c r="I1668">
        <v>15</v>
      </c>
    </row>
    <row r="1669" spans="1:9" ht="21.75" customHeight="1">
      <c r="A1669" t="s">
        <v>1819</v>
      </c>
      <c r="B1669" s="3">
        <v>45474</v>
      </c>
      <c r="C1669" t="s">
        <v>378</v>
      </c>
      <c r="D1669" t="s">
        <v>31</v>
      </c>
      <c r="E1669" t="s">
        <v>17</v>
      </c>
      <c r="F1669" t="str">
        <f t="shared" si="26"/>
        <v>South</v>
      </c>
      <c r="G1669" t="s">
        <v>56</v>
      </c>
      <c r="H1669" t="s">
        <v>36</v>
      </c>
      <c r="I1669">
        <v>13</v>
      </c>
    </row>
    <row r="1670" spans="1:9" ht="21.75" customHeight="1">
      <c r="A1670" t="s">
        <v>1820</v>
      </c>
      <c r="B1670" s="3">
        <v>45608</v>
      </c>
      <c r="C1670" t="s">
        <v>61</v>
      </c>
      <c r="D1670" t="s">
        <v>197</v>
      </c>
      <c r="E1670" t="s">
        <v>22</v>
      </c>
      <c r="F1670" t="str">
        <f t="shared" si="26"/>
        <v>North</v>
      </c>
      <c r="G1670" t="s">
        <v>12</v>
      </c>
      <c r="H1670" t="s">
        <v>13</v>
      </c>
      <c r="I1670">
        <v>9</v>
      </c>
    </row>
    <row r="1671" spans="1:9" ht="21.75" customHeight="1">
      <c r="A1671" t="s">
        <v>1821</v>
      </c>
      <c r="B1671" s="3">
        <v>45656</v>
      </c>
      <c r="C1671" t="s">
        <v>728</v>
      </c>
      <c r="D1671" t="s">
        <v>21</v>
      </c>
      <c r="E1671" t="s">
        <v>11</v>
      </c>
      <c r="F1671" t="str">
        <f t="shared" si="26"/>
        <v>West</v>
      </c>
      <c r="G1671" t="s">
        <v>27</v>
      </c>
      <c r="H1671" t="s">
        <v>32</v>
      </c>
      <c r="I1671">
        <v>12</v>
      </c>
    </row>
    <row r="1672" spans="1:9" ht="21.75" customHeight="1">
      <c r="A1672" t="s">
        <v>1822</v>
      </c>
      <c r="B1672" s="3">
        <v>45294</v>
      </c>
      <c r="C1672" t="s">
        <v>147</v>
      </c>
      <c r="D1672" t="s">
        <v>70</v>
      </c>
      <c r="E1672" t="s">
        <v>17</v>
      </c>
      <c r="F1672" t="str">
        <f t="shared" si="26"/>
        <v>East</v>
      </c>
      <c r="G1672" t="s">
        <v>42</v>
      </c>
      <c r="H1672" t="s">
        <v>13</v>
      </c>
      <c r="I1672">
        <v>5</v>
      </c>
    </row>
    <row r="1673" spans="1:9" ht="21.75" customHeight="1">
      <c r="A1673" t="s">
        <v>1823</v>
      </c>
      <c r="B1673" s="3">
        <v>45512</v>
      </c>
      <c r="C1673" t="s">
        <v>430</v>
      </c>
      <c r="D1673" t="s">
        <v>174</v>
      </c>
      <c r="E1673" t="s">
        <v>22</v>
      </c>
      <c r="F1673" t="str">
        <f t="shared" si="26"/>
        <v>Central</v>
      </c>
      <c r="G1673" t="s">
        <v>306</v>
      </c>
      <c r="H1673" t="s">
        <v>23</v>
      </c>
      <c r="I1673">
        <v>4</v>
      </c>
    </row>
    <row r="1674" spans="1:9" ht="21.75" customHeight="1">
      <c r="A1674" t="s">
        <v>1824</v>
      </c>
      <c r="B1674" s="3">
        <v>45473</v>
      </c>
      <c r="C1674" t="s">
        <v>378</v>
      </c>
      <c r="D1674" t="s">
        <v>10</v>
      </c>
      <c r="E1674" t="s">
        <v>22</v>
      </c>
      <c r="F1674" t="str">
        <f t="shared" si="26"/>
        <v>Central</v>
      </c>
      <c r="G1674" t="s">
        <v>306</v>
      </c>
      <c r="H1674" t="s">
        <v>32</v>
      </c>
      <c r="I1674">
        <v>13</v>
      </c>
    </row>
    <row r="1675" spans="1:9" ht="21.75" customHeight="1">
      <c r="A1675" t="s">
        <v>1825</v>
      </c>
      <c r="B1675" s="3">
        <v>45503</v>
      </c>
      <c r="C1675" t="s">
        <v>53</v>
      </c>
      <c r="D1675" t="s">
        <v>119</v>
      </c>
      <c r="E1675" t="s">
        <v>11</v>
      </c>
      <c r="F1675" t="str">
        <f t="shared" si="26"/>
        <v>Central</v>
      </c>
      <c r="G1675" t="s">
        <v>306</v>
      </c>
      <c r="H1675" t="s">
        <v>28</v>
      </c>
      <c r="I1675">
        <v>19</v>
      </c>
    </row>
    <row r="1676" spans="1:9" ht="21.75" customHeight="1">
      <c r="A1676" t="s">
        <v>1826</v>
      </c>
      <c r="B1676" s="3">
        <v>45642</v>
      </c>
      <c r="C1676" t="s">
        <v>159</v>
      </c>
      <c r="D1676" t="s">
        <v>45</v>
      </c>
      <c r="E1676" t="s">
        <v>11</v>
      </c>
      <c r="F1676" t="str">
        <f t="shared" si="26"/>
        <v>East</v>
      </c>
      <c r="G1676" t="s">
        <v>42</v>
      </c>
      <c r="H1676" t="s">
        <v>32</v>
      </c>
      <c r="I1676">
        <v>9</v>
      </c>
    </row>
    <row r="1677" spans="1:9" ht="21.75" customHeight="1">
      <c r="A1677" t="s">
        <v>1827</v>
      </c>
      <c r="B1677" s="3">
        <v>45324</v>
      </c>
      <c r="C1677" t="s">
        <v>30</v>
      </c>
      <c r="D1677" t="s">
        <v>87</v>
      </c>
      <c r="E1677" t="s">
        <v>17</v>
      </c>
      <c r="F1677" t="str">
        <f t="shared" si="26"/>
        <v>West</v>
      </c>
      <c r="G1677" t="s">
        <v>27</v>
      </c>
      <c r="H1677" t="s">
        <v>32</v>
      </c>
      <c r="I1677">
        <v>16</v>
      </c>
    </row>
    <row r="1678" spans="1:9" ht="21.75" customHeight="1">
      <c r="A1678" t="s">
        <v>1828</v>
      </c>
      <c r="B1678" s="3">
        <v>45476</v>
      </c>
      <c r="C1678" t="s">
        <v>230</v>
      </c>
      <c r="D1678" t="s">
        <v>197</v>
      </c>
      <c r="E1678" t="s">
        <v>22</v>
      </c>
      <c r="F1678" t="str">
        <f t="shared" si="26"/>
        <v>West</v>
      </c>
      <c r="G1678" t="s">
        <v>27</v>
      </c>
      <c r="H1678" t="s">
        <v>36</v>
      </c>
      <c r="I1678">
        <v>20</v>
      </c>
    </row>
    <row r="1679" spans="1:9" ht="21.75" customHeight="1">
      <c r="A1679" t="s">
        <v>1829</v>
      </c>
      <c r="B1679" s="3">
        <v>45346</v>
      </c>
      <c r="C1679" t="s">
        <v>99</v>
      </c>
      <c r="D1679" t="s">
        <v>74</v>
      </c>
      <c r="E1679" t="s">
        <v>11</v>
      </c>
      <c r="F1679" t="str">
        <f t="shared" si="26"/>
        <v>West</v>
      </c>
      <c r="G1679" t="s">
        <v>27</v>
      </c>
      <c r="H1679" t="s">
        <v>32</v>
      </c>
      <c r="I1679">
        <v>20</v>
      </c>
    </row>
    <row r="1680" spans="1:9" ht="21.75" customHeight="1">
      <c r="A1680" t="s">
        <v>1830</v>
      </c>
      <c r="B1680" s="3">
        <v>45460</v>
      </c>
      <c r="C1680" t="s">
        <v>396</v>
      </c>
      <c r="D1680" t="s">
        <v>72</v>
      </c>
      <c r="E1680" t="s">
        <v>17</v>
      </c>
      <c r="F1680" t="str">
        <f t="shared" si="26"/>
        <v>Central</v>
      </c>
      <c r="G1680" t="s">
        <v>306</v>
      </c>
      <c r="H1680" t="s">
        <v>28</v>
      </c>
      <c r="I1680">
        <v>10</v>
      </c>
    </row>
    <row r="1681" spans="1:9" ht="21.75" customHeight="1">
      <c r="A1681" t="s">
        <v>1831</v>
      </c>
      <c r="B1681" s="3">
        <v>45647</v>
      </c>
      <c r="C1681" t="s">
        <v>104</v>
      </c>
      <c r="D1681" t="s">
        <v>35</v>
      </c>
      <c r="E1681" t="s">
        <v>17</v>
      </c>
      <c r="F1681" t="str">
        <f t="shared" si="26"/>
        <v>South</v>
      </c>
      <c r="G1681" t="s">
        <v>56</v>
      </c>
      <c r="H1681" t="s">
        <v>23</v>
      </c>
      <c r="I1681">
        <v>11</v>
      </c>
    </row>
    <row r="1682" spans="1:9" ht="21.75" customHeight="1">
      <c r="A1682" t="s">
        <v>1832</v>
      </c>
      <c r="B1682" s="3">
        <v>45647</v>
      </c>
      <c r="C1682" t="s">
        <v>541</v>
      </c>
      <c r="D1682" t="s">
        <v>35</v>
      </c>
      <c r="E1682" t="s">
        <v>22</v>
      </c>
      <c r="F1682" t="str">
        <f t="shared" si="26"/>
        <v>South</v>
      </c>
      <c r="G1682" t="s">
        <v>56</v>
      </c>
      <c r="H1682" t="s">
        <v>32</v>
      </c>
      <c r="I1682">
        <v>13</v>
      </c>
    </row>
    <row r="1683" spans="1:9" ht="21.75" customHeight="1">
      <c r="A1683" t="s">
        <v>1833</v>
      </c>
      <c r="B1683" s="3">
        <v>45493</v>
      </c>
      <c r="C1683" t="s">
        <v>83</v>
      </c>
      <c r="D1683" t="s">
        <v>102</v>
      </c>
      <c r="E1683" t="s">
        <v>22</v>
      </c>
      <c r="F1683" t="str">
        <f t="shared" si="26"/>
        <v>South</v>
      </c>
      <c r="G1683" t="s">
        <v>56</v>
      </c>
      <c r="H1683" t="s">
        <v>36</v>
      </c>
      <c r="I1683">
        <v>18</v>
      </c>
    </row>
    <row r="1684" spans="1:9" ht="21.75" customHeight="1">
      <c r="A1684" t="s">
        <v>1834</v>
      </c>
      <c r="B1684" s="3">
        <v>45573</v>
      </c>
      <c r="C1684" t="s">
        <v>64</v>
      </c>
      <c r="D1684" t="s">
        <v>84</v>
      </c>
      <c r="E1684" t="s">
        <v>17</v>
      </c>
      <c r="F1684" t="str">
        <f t="shared" si="26"/>
        <v>South</v>
      </c>
      <c r="G1684" t="s">
        <v>56</v>
      </c>
      <c r="H1684" t="s">
        <v>23</v>
      </c>
      <c r="I1684">
        <v>10</v>
      </c>
    </row>
    <row r="1685" spans="1:9" ht="21.75" customHeight="1">
      <c r="A1685" t="s">
        <v>1835</v>
      </c>
      <c r="B1685" s="3">
        <v>45327</v>
      </c>
      <c r="C1685" t="s">
        <v>408</v>
      </c>
      <c r="D1685" t="s">
        <v>41</v>
      </c>
      <c r="E1685" t="s">
        <v>17</v>
      </c>
      <c r="F1685" t="str">
        <f t="shared" si="26"/>
        <v>South</v>
      </c>
      <c r="G1685" t="s">
        <v>56</v>
      </c>
      <c r="H1685" t="s">
        <v>32</v>
      </c>
      <c r="I1685">
        <v>8</v>
      </c>
    </row>
    <row r="1686" spans="1:9" ht="21.75" customHeight="1">
      <c r="A1686" t="s">
        <v>1836</v>
      </c>
      <c r="B1686" s="3">
        <v>45370</v>
      </c>
      <c r="C1686" t="s">
        <v>436</v>
      </c>
      <c r="D1686" t="s">
        <v>87</v>
      </c>
      <c r="E1686" t="s">
        <v>17</v>
      </c>
      <c r="F1686" t="str">
        <f t="shared" si="26"/>
        <v>North</v>
      </c>
      <c r="G1686" t="s">
        <v>12</v>
      </c>
      <c r="H1686" t="s">
        <v>23</v>
      </c>
      <c r="I1686">
        <v>20</v>
      </c>
    </row>
    <row r="1687" spans="1:9" ht="21.75" customHeight="1">
      <c r="A1687" t="s">
        <v>1837</v>
      </c>
      <c r="B1687" s="3">
        <v>45497</v>
      </c>
      <c r="C1687" t="s">
        <v>312</v>
      </c>
      <c r="D1687" t="s">
        <v>160</v>
      </c>
      <c r="E1687" t="s">
        <v>22</v>
      </c>
      <c r="F1687" t="str">
        <f t="shared" si="26"/>
        <v>West</v>
      </c>
      <c r="G1687" t="s">
        <v>27</v>
      </c>
      <c r="H1687" t="s">
        <v>36</v>
      </c>
      <c r="I1687">
        <v>2</v>
      </c>
    </row>
    <row r="1688" spans="1:9" ht="21.75" customHeight="1">
      <c r="A1688" t="s">
        <v>1838</v>
      </c>
      <c r="B1688" s="3">
        <v>45476</v>
      </c>
      <c r="C1688" t="s">
        <v>424</v>
      </c>
      <c r="D1688" t="s">
        <v>174</v>
      </c>
      <c r="E1688" t="s">
        <v>22</v>
      </c>
      <c r="F1688" t="str">
        <f t="shared" si="26"/>
        <v>North</v>
      </c>
      <c r="G1688" t="s">
        <v>12</v>
      </c>
      <c r="H1688" t="s">
        <v>13</v>
      </c>
      <c r="I1688">
        <v>8</v>
      </c>
    </row>
    <row r="1689" spans="1:9" ht="21.75" customHeight="1">
      <c r="A1689" t="s">
        <v>1839</v>
      </c>
      <c r="B1689" s="3">
        <v>45473</v>
      </c>
      <c r="C1689" t="s">
        <v>30</v>
      </c>
      <c r="D1689" t="s">
        <v>21</v>
      </c>
      <c r="E1689" t="s">
        <v>22</v>
      </c>
      <c r="F1689" t="str">
        <f t="shared" si="26"/>
        <v>North</v>
      </c>
      <c r="G1689" t="s">
        <v>12</v>
      </c>
      <c r="H1689" t="s">
        <v>36</v>
      </c>
      <c r="I1689">
        <v>13</v>
      </c>
    </row>
    <row r="1690" spans="1:9" ht="21.75" customHeight="1">
      <c r="A1690" t="s">
        <v>1840</v>
      </c>
      <c r="B1690" s="3">
        <v>45461</v>
      </c>
      <c r="C1690" t="s">
        <v>348</v>
      </c>
      <c r="D1690" t="s">
        <v>102</v>
      </c>
      <c r="E1690" t="s">
        <v>11</v>
      </c>
      <c r="F1690" t="str">
        <f t="shared" si="26"/>
        <v>North</v>
      </c>
      <c r="G1690" t="s">
        <v>12</v>
      </c>
      <c r="H1690" t="s">
        <v>32</v>
      </c>
      <c r="I1690">
        <v>8</v>
      </c>
    </row>
    <row r="1691" spans="1:9" ht="21.75" customHeight="1">
      <c r="A1691" t="s">
        <v>1841</v>
      </c>
      <c r="B1691" s="3">
        <v>45557</v>
      </c>
      <c r="C1691" t="s">
        <v>642</v>
      </c>
      <c r="D1691" t="s">
        <v>59</v>
      </c>
      <c r="E1691" t="s">
        <v>22</v>
      </c>
      <c r="F1691" t="str">
        <f t="shared" si="26"/>
        <v>Central</v>
      </c>
      <c r="G1691" t="s">
        <v>306</v>
      </c>
      <c r="H1691" t="s">
        <v>28</v>
      </c>
      <c r="I1691">
        <v>15</v>
      </c>
    </row>
    <row r="1692" spans="1:9" ht="21.75" customHeight="1">
      <c r="A1692" t="s">
        <v>1842</v>
      </c>
      <c r="B1692" s="3">
        <v>45529</v>
      </c>
      <c r="C1692" t="s">
        <v>337</v>
      </c>
      <c r="D1692" t="s">
        <v>41</v>
      </c>
      <c r="E1692" t="s">
        <v>22</v>
      </c>
      <c r="F1692" t="str">
        <f t="shared" si="26"/>
        <v>Central</v>
      </c>
      <c r="G1692" t="s">
        <v>306</v>
      </c>
      <c r="H1692" t="s">
        <v>28</v>
      </c>
      <c r="I1692">
        <v>12</v>
      </c>
    </row>
    <row r="1693" spans="1:9" ht="21.75" customHeight="1">
      <c r="A1693" t="s">
        <v>1843</v>
      </c>
      <c r="B1693" s="3">
        <v>45539</v>
      </c>
      <c r="C1693" t="s">
        <v>15</v>
      </c>
      <c r="D1693" t="s">
        <v>74</v>
      </c>
      <c r="E1693" t="s">
        <v>17</v>
      </c>
      <c r="F1693" t="str">
        <f t="shared" si="26"/>
        <v>North</v>
      </c>
      <c r="G1693" t="s">
        <v>12</v>
      </c>
      <c r="H1693" t="s">
        <v>13</v>
      </c>
      <c r="I1693">
        <v>5</v>
      </c>
    </row>
    <row r="1694" spans="1:9" ht="21.75" customHeight="1">
      <c r="A1694" t="s">
        <v>1844</v>
      </c>
      <c r="B1694" s="3">
        <v>45467</v>
      </c>
      <c r="C1694" t="s">
        <v>366</v>
      </c>
      <c r="D1694" t="s">
        <v>65</v>
      </c>
      <c r="E1694" t="s">
        <v>22</v>
      </c>
      <c r="F1694" t="str">
        <f t="shared" si="26"/>
        <v>West</v>
      </c>
      <c r="G1694" t="s">
        <v>27</v>
      </c>
      <c r="H1694" t="s">
        <v>32</v>
      </c>
      <c r="I1694">
        <v>16</v>
      </c>
    </row>
    <row r="1695" spans="1:9" ht="21.75" customHeight="1">
      <c r="A1695" t="s">
        <v>1845</v>
      </c>
      <c r="B1695" s="3">
        <v>45648</v>
      </c>
      <c r="C1695" t="s">
        <v>430</v>
      </c>
      <c r="D1695" t="s">
        <v>72</v>
      </c>
      <c r="E1695" t="s">
        <v>11</v>
      </c>
      <c r="F1695" t="str">
        <f t="shared" si="26"/>
        <v>East</v>
      </c>
      <c r="G1695" t="s">
        <v>42</v>
      </c>
      <c r="H1695" t="s">
        <v>13</v>
      </c>
      <c r="I1695">
        <v>4</v>
      </c>
    </row>
    <row r="1696" spans="1:9" ht="21.75" customHeight="1">
      <c r="A1696" t="s">
        <v>1846</v>
      </c>
      <c r="B1696" s="3">
        <v>45467</v>
      </c>
      <c r="C1696" t="s">
        <v>736</v>
      </c>
      <c r="D1696" t="s">
        <v>102</v>
      </c>
      <c r="E1696" t="s">
        <v>22</v>
      </c>
      <c r="F1696" t="str">
        <f t="shared" si="26"/>
        <v>South</v>
      </c>
      <c r="G1696" t="s">
        <v>56</v>
      </c>
      <c r="H1696" t="s">
        <v>28</v>
      </c>
      <c r="I1696">
        <v>17</v>
      </c>
    </row>
    <row r="1697" spans="1:9" ht="21.75" customHeight="1">
      <c r="A1697" t="s">
        <v>1847</v>
      </c>
      <c r="B1697" s="3">
        <v>45373</v>
      </c>
      <c r="C1697" t="s">
        <v>118</v>
      </c>
      <c r="D1697" t="s">
        <v>174</v>
      </c>
      <c r="E1697" t="s">
        <v>17</v>
      </c>
      <c r="F1697" t="str">
        <f t="shared" si="26"/>
        <v>West</v>
      </c>
      <c r="G1697" t="s">
        <v>27</v>
      </c>
      <c r="H1697" t="s">
        <v>28</v>
      </c>
      <c r="I1697">
        <v>13</v>
      </c>
    </row>
    <row r="1698" spans="1:9" ht="21.75" customHeight="1">
      <c r="A1698" t="s">
        <v>1848</v>
      </c>
      <c r="B1698" s="3">
        <v>45387</v>
      </c>
      <c r="C1698" t="s">
        <v>541</v>
      </c>
      <c r="D1698" t="s">
        <v>41</v>
      </c>
      <c r="E1698" t="s">
        <v>17</v>
      </c>
      <c r="F1698" t="str">
        <f t="shared" si="26"/>
        <v>West</v>
      </c>
      <c r="G1698" t="s">
        <v>27</v>
      </c>
      <c r="H1698" t="s">
        <v>13</v>
      </c>
      <c r="I1698">
        <v>20</v>
      </c>
    </row>
    <row r="1699" spans="1:9" ht="21.75" customHeight="1">
      <c r="A1699" t="s">
        <v>1849</v>
      </c>
      <c r="B1699" s="3">
        <v>45522</v>
      </c>
      <c r="C1699" t="s">
        <v>449</v>
      </c>
      <c r="D1699" t="s">
        <v>87</v>
      </c>
      <c r="E1699" t="s">
        <v>17</v>
      </c>
      <c r="F1699" t="str">
        <f t="shared" si="26"/>
        <v>North</v>
      </c>
      <c r="G1699" t="s">
        <v>12</v>
      </c>
      <c r="H1699" t="s">
        <v>28</v>
      </c>
      <c r="I1699">
        <v>7</v>
      </c>
    </row>
    <row r="1700" spans="1:9" ht="21.75" customHeight="1">
      <c r="A1700" t="s">
        <v>1850</v>
      </c>
      <c r="B1700" s="3">
        <v>45652</v>
      </c>
      <c r="C1700" t="s">
        <v>58</v>
      </c>
      <c r="D1700" t="s">
        <v>59</v>
      </c>
      <c r="E1700" t="s">
        <v>11</v>
      </c>
      <c r="F1700" t="str">
        <f t="shared" si="26"/>
        <v>Central</v>
      </c>
      <c r="G1700" t="s">
        <v>306</v>
      </c>
      <c r="H1700" t="s">
        <v>28</v>
      </c>
      <c r="I1700">
        <v>12</v>
      </c>
    </row>
    <row r="1701" spans="1:9" ht="21.75" customHeight="1">
      <c r="A1701" t="s">
        <v>1851</v>
      </c>
      <c r="B1701" s="3">
        <v>45526</v>
      </c>
      <c r="C1701" t="s">
        <v>40</v>
      </c>
      <c r="D1701" t="s">
        <v>26</v>
      </c>
      <c r="E1701" t="s">
        <v>22</v>
      </c>
      <c r="F1701" t="str">
        <f t="shared" si="26"/>
        <v>West</v>
      </c>
      <c r="G1701" t="s">
        <v>27</v>
      </c>
      <c r="H1701" t="s">
        <v>36</v>
      </c>
      <c r="I1701">
        <v>11</v>
      </c>
    </row>
    <row r="1702" spans="1:9" ht="21.75" customHeight="1">
      <c r="A1702" t="s">
        <v>1852</v>
      </c>
      <c r="B1702" s="3">
        <v>45604</v>
      </c>
      <c r="C1702" t="s">
        <v>106</v>
      </c>
      <c r="D1702" t="s">
        <v>59</v>
      </c>
      <c r="E1702" t="s">
        <v>11</v>
      </c>
      <c r="F1702" t="str">
        <f t="shared" si="26"/>
        <v>East</v>
      </c>
      <c r="G1702" t="s">
        <v>42</v>
      </c>
      <c r="H1702" t="s">
        <v>32</v>
      </c>
      <c r="I1702">
        <v>15</v>
      </c>
    </row>
    <row r="1703" spans="1:9" ht="21.75" customHeight="1">
      <c r="A1703" t="s">
        <v>1853</v>
      </c>
      <c r="B1703" s="3">
        <v>45636</v>
      </c>
      <c r="C1703" t="s">
        <v>369</v>
      </c>
      <c r="D1703" t="s">
        <v>74</v>
      </c>
      <c r="E1703" t="s">
        <v>22</v>
      </c>
      <c r="F1703" t="str">
        <f t="shared" si="26"/>
        <v>Central</v>
      </c>
      <c r="G1703" t="s">
        <v>306</v>
      </c>
      <c r="H1703" t="s">
        <v>13</v>
      </c>
      <c r="I1703">
        <v>5</v>
      </c>
    </row>
    <row r="1704" spans="1:9" ht="21.75" customHeight="1">
      <c r="A1704" t="s">
        <v>1854</v>
      </c>
      <c r="B1704" s="3">
        <v>45414</v>
      </c>
      <c r="C1704" t="s">
        <v>147</v>
      </c>
      <c r="D1704" t="s">
        <v>102</v>
      </c>
      <c r="E1704" t="s">
        <v>11</v>
      </c>
      <c r="F1704" t="str">
        <f t="shared" si="26"/>
        <v>East</v>
      </c>
      <c r="G1704" t="s">
        <v>42</v>
      </c>
      <c r="H1704" t="s">
        <v>28</v>
      </c>
      <c r="I1704">
        <v>17</v>
      </c>
    </row>
    <row r="1705" spans="1:9" ht="21.75" customHeight="1">
      <c r="A1705" t="s">
        <v>1855</v>
      </c>
      <c r="B1705" s="3">
        <v>45597</v>
      </c>
      <c r="C1705" t="s">
        <v>99</v>
      </c>
      <c r="D1705" t="s">
        <v>59</v>
      </c>
      <c r="E1705" t="s">
        <v>17</v>
      </c>
      <c r="F1705" t="str">
        <f t="shared" si="26"/>
        <v>West</v>
      </c>
      <c r="G1705" t="s">
        <v>27</v>
      </c>
      <c r="H1705" t="s">
        <v>28</v>
      </c>
      <c r="I1705">
        <v>16</v>
      </c>
    </row>
    <row r="1706" spans="1:9" ht="21.75" customHeight="1">
      <c r="A1706" t="s">
        <v>1856</v>
      </c>
      <c r="B1706" s="3">
        <v>45647</v>
      </c>
      <c r="C1706" t="s">
        <v>736</v>
      </c>
      <c r="D1706" t="s">
        <v>45</v>
      </c>
      <c r="E1706" t="s">
        <v>22</v>
      </c>
      <c r="F1706" t="str">
        <f t="shared" si="26"/>
        <v>South</v>
      </c>
      <c r="G1706" t="s">
        <v>56</v>
      </c>
      <c r="H1706" t="s">
        <v>23</v>
      </c>
      <c r="I1706">
        <v>10</v>
      </c>
    </row>
    <row r="1707" spans="1:9" ht="21.75" customHeight="1">
      <c r="A1707" t="s">
        <v>1857</v>
      </c>
      <c r="B1707" s="3">
        <v>45453</v>
      </c>
      <c r="C1707" t="s">
        <v>430</v>
      </c>
      <c r="D1707" t="s">
        <v>109</v>
      </c>
      <c r="E1707" t="s">
        <v>11</v>
      </c>
      <c r="F1707" t="str">
        <f t="shared" si="26"/>
        <v>East</v>
      </c>
      <c r="G1707" t="s">
        <v>42</v>
      </c>
      <c r="H1707" t="s">
        <v>13</v>
      </c>
      <c r="I1707">
        <v>16</v>
      </c>
    </row>
    <row r="1708" spans="1:9" ht="21.75" customHeight="1">
      <c r="A1708" t="s">
        <v>1858</v>
      </c>
      <c r="B1708" s="3">
        <v>45488</v>
      </c>
      <c r="C1708" t="s">
        <v>642</v>
      </c>
      <c r="D1708" t="s">
        <v>160</v>
      </c>
      <c r="E1708" t="s">
        <v>22</v>
      </c>
      <c r="F1708" t="str">
        <f t="shared" si="26"/>
        <v>West</v>
      </c>
      <c r="G1708" t="s">
        <v>27</v>
      </c>
      <c r="H1708" t="s">
        <v>23</v>
      </c>
      <c r="I1708">
        <v>16</v>
      </c>
    </row>
    <row r="1709" spans="1:9" ht="21.75" customHeight="1">
      <c r="A1709" t="s">
        <v>1859</v>
      </c>
      <c r="B1709" s="3">
        <v>45519</v>
      </c>
      <c r="C1709" t="s">
        <v>374</v>
      </c>
      <c r="D1709" t="s">
        <v>45</v>
      </c>
      <c r="E1709" t="s">
        <v>11</v>
      </c>
      <c r="F1709" t="str">
        <f t="shared" si="26"/>
        <v>Central</v>
      </c>
      <c r="G1709" t="s">
        <v>306</v>
      </c>
      <c r="H1709" t="s">
        <v>13</v>
      </c>
      <c r="I1709">
        <v>8</v>
      </c>
    </row>
    <row r="1710" spans="1:9" ht="21.75" customHeight="1">
      <c r="A1710" t="s">
        <v>1860</v>
      </c>
      <c r="B1710" s="3">
        <v>45432</v>
      </c>
      <c r="C1710" t="s">
        <v>240</v>
      </c>
      <c r="D1710" t="s">
        <v>174</v>
      </c>
      <c r="E1710" t="s">
        <v>17</v>
      </c>
      <c r="F1710" t="str">
        <f t="shared" si="26"/>
        <v>South</v>
      </c>
      <c r="G1710" t="s">
        <v>56</v>
      </c>
      <c r="H1710" t="s">
        <v>23</v>
      </c>
      <c r="I1710">
        <v>19</v>
      </c>
    </row>
    <row r="1711" spans="1:9" ht="21.75" customHeight="1">
      <c r="A1711" t="s">
        <v>1861</v>
      </c>
      <c r="B1711" s="3">
        <v>45545</v>
      </c>
      <c r="C1711" t="s">
        <v>378</v>
      </c>
      <c r="D1711" t="s">
        <v>160</v>
      </c>
      <c r="E1711" t="s">
        <v>11</v>
      </c>
      <c r="F1711" t="str">
        <f t="shared" si="26"/>
        <v>Central</v>
      </c>
      <c r="G1711" t="s">
        <v>306</v>
      </c>
      <c r="H1711" t="s">
        <v>13</v>
      </c>
      <c r="I1711">
        <v>9</v>
      </c>
    </row>
    <row r="1712" spans="1:9" ht="21.75" customHeight="1">
      <c r="A1712" t="s">
        <v>1862</v>
      </c>
      <c r="B1712" s="3">
        <v>45479</v>
      </c>
      <c r="C1712" t="s">
        <v>591</v>
      </c>
      <c r="D1712" t="s">
        <v>119</v>
      </c>
      <c r="E1712" t="s">
        <v>11</v>
      </c>
      <c r="F1712" t="str">
        <f t="shared" si="26"/>
        <v>West</v>
      </c>
      <c r="G1712" t="s">
        <v>27</v>
      </c>
      <c r="H1712" t="s">
        <v>36</v>
      </c>
      <c r="I1712">
        <v>7</v>
      </c>
    </row>
    <row r="1713" spans="1:9" ht="21.75" customHeight="1">
      <c r="A1713" t="s">
        <v>1863</v>
      </c>
      <c r="B1713" s="3">
        <v>45344</v>
      </c>
      <c r="C1713" t="s">
        <v>304</v>
      </c>
      <c r="D1713" t="s">
        <v>21</v>
      </c>
      <c r="E1713" t="s">
        <v>11</v>
      </c>
      <c r="F1713" t="str">
        <f t="shared" si="26"/>
        <v>East</v>
      </c>
      <c r="G1713" t="s">
        <v>42</v>
      </c>
      <c r="H1713" t="s">
        <v>13</v>
      </c>
      <c r="I1713">
        <v>15</v>
      </c>
    </row>
    <row r="1714" spans="1:9" ht="21.75" customHeight="1">
      <c r="A1714" t="s">
        <v>1864</v>
      </c>
      <c r="B1714" s="3">
        <v>45336</v>
      </c>
      <c r="C1714" t="s">
        <v>396</v>
      </c>
      <c r="D1714" t="s">
        <v>102</v>
      </c>
      <c r="E1714" t="s">
        <v>11</v>
      </c>
      <c r="F1714" t="str">
        <f t="shared" si="26"/>
        <v>South</v>
      </c>
      <c r="G1714" t="s">
        <v>56</v>
      </c>
      <c r="H1714" t="s">
        <v>36</v>
      </c>
      <c r="I1714">
        <v>12</v>
      </c>
    </row>
    <row r="1715" spans="1:9" ht="21.75" customHeight="1">
      <c r="A1715" t="s">
        <v>1865</v>
      </c>
      <c r="B1715" s="3">
        <v>45604</v>
      </c>
      <c r="C1715" t="s">
        <v>451</v>
      </c>
      <c r="D1715" t="s">
        <v>87</v>
      </c>
      <c r="E1715" t="s">
        <v>11</v>
      </c>
      <c r="F1715" t="str">
        <f t="shared" si="26"/>
        <v>Central</v>
      </c>
      <c r="G1715" t="s">
        <v>306</v>
      </c>
      <c r="H1715" t="s">
        <v>28</v>
      </c>
      <c r="I1715">
        <v>7</v>
      </c>
    </row>
    <row r="1716" spans="1:9" ht="21.75" customHeight="1">
      <c r="A1716" t="s">
        <v>1866</v>
      </c>
      <c r="B1716" s="3">
        <v>45322</v>
      </c>
      <c r="C1716" t="s">
        <v>614</v>
      </c>
      <c r="D1716" t="s">
        <v>48</v>
      </c>
      <c r="E1716" t="s">
        <v>22</v>
      </c>
      <c r="F1716" t="str">
        <f t="shared" si="26"/>
        <v>East</v>
      </c>
      <c r="G1716" t="s">
        <v>42</v>
      </c>
      <c r="H1716" t="s">
        <v>36</v>
      </c>
      <c r="I1716">
        <v>18</v>
      </c>
    </row>
    <row r="1717" spans="1:9" ht="21.75" customHeight="1">
      <c r="A1717" t="s">
        <v>1867</v>
      </c>
      <c r="B1717" s="3">
        <v>45652</v>
      </c>
      <c r="C1717" t="s">
        <v>61</v>
      </c>
      <c r="D1717" t="s">
        <v>74</v>
      </c>
      <c r="E1717" t="s">
        <v>22</v>
      </c>
      <c r="F1717" t="str">
        <f t="shared" si="26"/>
        <v>East</v>
      </c>
      <c r="G1717" t="s">
        <v>42</v>
      </c>
      <c r="H1717" t="s">
        <v>36</v>
      </c>
      <c r="I1717">
        <v>4</v>
      </c>
    </row>
    <row r="1718" spans="1:9" ht="21.75" customHeight="1">
      <c r="A1718" t="s">
        <v>1868</v>
      </c>
      <c r="B1718" s="3">
        <v>45502</v>
      </c>
      <c r="C1718" t="s">
        <v>131</v>
      </c>
      <c r="D1718" t="s">
        <v>26</v>
      </c>
      <c r="E1718" t="s">
        <v>22</v>
      </c>
      <c r="F1718" t="str">
        <f t="shared" si="26"/>
        <v>South</v>
      </c>
      <c r="G1718" t="s">
        <v>56</v>
      </c>
      <c r="H1718" t="s">
        <v>28</v>
      </c>
      <c r="I1718">
        <v>8</v>
      </c>
    </row>
    <row r="1719" spans="1:9" ht="21.75" customHeight="1">
      <c r="A1719" t="s">
        <v>1869</v>
      </c>
      <c r="B1719" s="3">
        <v>45456</v>
      </c>
      <c r="C1719" t="s">
        <v>78</v>
      </c>
      <c r="D1719" t="s">
        <v>119</v>
      </c>
      <c r="E1719" t="s">
        <v>22</v>
      </c>
      <c r="F1719" t="str">
        <f t="shared" si="26"/>
        <v>West</v>
      </c>
      <c r="G1719" t="s">
        <v>27</v>
      </c>
      <c r="H1719" t="s">
        <v>23</v>
      </c>
      <c r="I1719">
        <v>5</v>
      </c>
    </row>
    <row r="1720" spans="1:9" ht="21.75" customHeight="1">
      <c r="A1720" t="s">
        <v>1870</v>
      </c>
      <c r="B1720" s="3">
        <v>45429</v>
      </c>
      <c r="C1720" t="s">
        <v>451</v>
      </c>
      <c r="D1720" t="s">
        <v>87</v>
      </c>
      <c r="E1720" t="s">
        <v>17</v>
      </c>
      <c r="F1720" t="str">
        <f t="shared" si="26"/>
        <v>West</v>
      </c>
      <c r="G1720" t="s">
        <v>27</v>
      </c>
      <c r="H1720" t="s">
        <v>13</v>
      </c>
      <c r="I1720">
        <v>3</v>
      </c>
    </row>
    <row r="1721" spans="1:9" ht="21.75" customHeight="1">
      <c r="A1721" t="s">
        <v>1871</v>
      </c>
      <c r="B1721" s="3">
        <v>45434</v>
      </c>
      <c r="C1721" t="s">
        <v>465</v>
      </c>
      <c r="D1721" t="s">
        <v>48</v>
      </c>
      <c r="E1721" t="s">
        <v>17</v>
      </c>
      <c r="F1721" t="str">
        <f t="shared" si="26"/>
        <v>West</v>
      </c>
      <c r="G1721" t="s">
        <v>27</v>
      </c>
      <c r="H1721" t="s">
        <v>32</v>
      </c>
      <c r="I1721">
        <v>19</v>
      </c>
    </row>
    <row r="1722" spans="1:9" ht="21.75" customHeight="1">
      <c r="A1722" t="s">
        <v>1872</v>
      </c>
      <c r="B1722" s="3">
        <v>45339</v>
      </c>
      <c r="C1722" t="s">
        <v>388</v>
      </c>
      <c r="D1722" t="s">
        <v>70</v>
      </c>
      <c r="E1722" t="s">
        <v>22</v>
      </c>
      <c r="F1722" t="str">
        <f t="shared" si="26"/>
        <v>East</v>
      </c>
      <c r="G1722" t="s">
        <v>42</v>
      </c>
      <c r="H1722" t="s">
        <v>13</v>
      </c>
      <c r="I1722">
        <v>18</v>
      </c>
    </row>
    <row r="1723" spans="1:9" ht="21.75" customHeight="1">
      <c r="A1723" t="s">
        <v>1873</v>
      </c>
      <c r="B1723" s="3">
        <v>45511</v>
      </c>
      <c r="C1723" t="s">
        <v>133</v>
      </c>
      <c r="D1723" t="s">
        <v>35</v>
      </c>
      <c r="E1723" t="s">
        <v>17</v>
      </c>
      <c r="F1723" t="str">
        <f t="shared" si="26"/>
        <v>East</v>
      </c>
      <c r="G1723" t="s">
        <v>42</v>
      </c>
      <c r="H1723" t="s">
        <v>32</v>
      </c>
      <c r="I1723">
        <v>11</v>
      </c>
    </row>
    <row r="1724" spans="1:9" ht="21.75" customHeight="1">
      <c r="A1724" t="s">
        <v>1874</v>
      </c>
      <c r="B1724" s="3">
        <v>45358</v>
      </c>
      <c r="C1724" t="s">
        <v>614</v>
      </c>
      <c r="D1724" t="s">
        <v>35</v>
      </c>
      <c r="E1724" t="s">
        <v>17</v>
      </c>
      <c r="F1724" t="str">
        <f t="shared" si="26"/>
        <v>North</v>
      </c>
      <c r="G1724" t="s">
        <v>12</v>
      </c>
      <c r="H1724" t="s">
        <v>13</v>
      </c>
      <c r="I1724">
        <v>4</v>
      </c>
    </row>
    <row r="1725" spans="1:9" ht="21.75" customHeight="1">
      <c r="A1725" t="s">
        <v>1875</v>
      </c>
      <c r="B1725" s="3">
        <v>45527</v>
      </c>
      <c r="C1725" t="s">
        <v>138</v>
      </c>
      <c r="D1725" t="s">
        <v>102</v>
      </c>
      <c r="E1725" t="s">
        <v>11</v>
      </c>
      <c r="F1725" t="str">
        <f t="shared" si="26"/>
        <v>West</v>
      </c>
      <c r="G1725" t="s">
        <v>27</v>
      </c>
      <c r="H1725" t="s">
        <v>23</v>
      </c>
      <c r="I1725">
        <v>1</v>
      </c>
    </row>
    <row r="1726" spans="1:9" ht="21.75" customHeight="1">
      <c r="A1726" t="s">
        <v>1876</v>
      </c>
      <c r="B1726" s="3">
        <v>45511</v>
      </c>
      <c r="C1726" t="s">
        <v>104</v>
      </c>
      <c r="D1726" t="s">
        <v>62</v>
      </c>
      <c r="E1726" t="s">
        <v>11</v>
      </c>
      <c r="F1726" t="str">
        <f t="shared" si="26"/>
        <v>East</v>
      </c>
      <c r="G1726" t="s">
        <v>42</v>
      </c>
      <c r="H1726" t="s">
        <v>28</v>
      </c>
      <c r="I1726">
        <v>9</v>
      </c>
    </row>
    <row r="1727" spans="1:9" ht="21.75" customHeight="1">
      <c r="A1727" t="s">
        <v>1877</v>
      </c>
      <c r="B1727" s="3">
        <v>45476</v>
      </c>
      <c r="C1727" t="s">
        <v>230</v>
      </c>
      <c r="D1727" t="s">
        <v>10</v>
      </c>
      <c r="E1727" t="s">
        <v>17</v>
      </c>
      <c r="F1727" t="str">
        <f t="shared" si="26"/>
        <v>South</v>
      </c>
      <c r="G1727" t="s">
        <v>56</v>
      </c>
      <c r="H1727" t="s">
        <v>13</v>
      </c>
      <c r="I1727">
        <v>13</v>
      </c>
    </row>
    <row r="1728" spans="1:9" ht="21.75" customHeight="1">
      <c r="A1728" t="s">
        <v>1878</v>
      </c>
      <c r="B1728" s="3">
        <v>45650</v>
      </c>
      <c r="C1728" t="s">
        <v>664</v>
      </c>
      <c r="D1728" t="s">
        <v>197</v>
      </c>
      <c r="E1728" t="s">
        <v>17</v>
      </c>
      <c r="F1728" t="str">
        <f t="shared" si="26"/>
        <v>North</v>
      </c>
      <c r="G1728" t="s">
        <v>12</v>
      </c>
      <c r="H1728" t="s">
        <v>13</v>
      </c>
      <c r="I1728">
        <v>1</v>
      </c>
    </row>
    <row r="1729" spans="1:9" ht="21.75" customHeight="1">
      <c r="A1729" t="s">
        <v>1879</v>
      </c>
      <c r="B1729" s="3">
        <v>45331</v>
      </c>
      <c r="C1729" t="s">
        <v>34</v>
      </c>
      <c r="D1729" t="s">
        <v>59</v>
      </c>
      <c r="E1729" t="s">
        <v>11</v>
      </c>
      <c r="F1729" t="str">
        <f t="shared" si="26"/>
        <v>Central</v>
      </c>
      <c r="G1729" t="s">
        <v>306</v>
      </c>
      <c r="H1729" t="s">
        <v>23</v>
      </c>
      <c r="I1729">
        <v>1</v>
      </c>
    </row>
    <row r="1730" spans="1:9" ht="21.75" customHeight="1">
      <c r="A1730" t="s">
        <v>1880</v>
      </c>
      <c r="B1730" s="3">
        <v>45467</v>
      </c>
      <c r="C1730" t="s">
        <v>114</v>
      </c>
      <c r="D1730" t="s">
        <v>87</v>
      </c>
      <c r="E1730" t="s">
        <v>22</v>
      </c>
      <c r="F1730" t="str">
        <f t="shared" si="26"/>
        <v>South</v>
      </c>
      <c r="G1730" t="s">
        <v>56</v>
      </c>
      <c r="H1730" t="s">
        <v>23</v>
      </c>
      <c r="I1730">
        <v>3</v>
      </c>
    </row>
    <row r="1731" spans="1:9" ht="21.75" customHeight="1">
      <c r="A1731" t="s">
        <v>1881</v>
      </c>
      <c r="B1731" s="3">
        <v>45337</v>
      </c>
      <c r="C1731" t="s">
        <v>388</v>
      </c>
      <c r="D1731" t="s">
        <v>102</v>
      </c>
      <c r="E1731" t="s">
        <v>11</v>
      </c>
      <c r="F1731" t="str">
        <f t="shared" ref="F1731:F1794" si="27">TRIM(PROPER(G1731))</f>
        <v>East</v>
      </c>
      <c r="G1731" t="s">
        <v>42</v>
      </c>
      <c r="H1731" t="s">
        <v>32</v>
      </c>
      <c r="I1731">
        <v>10</v>
      </c>
    </row>
    <row r="1732" spans="1:9" ht="21.75" customHeight="1">
      <c r="A1732" t="s">
        <v>1882</v>
      </c>
      <c r="B1732" s="3">
        <v>45360</v>
      </c>
      <c r="C1732" t="s">
        <v>736</v>
      </c>
      <c r="D1732" t="s">
        <v>41</v>
      </c>
      <c r="E1732" t="s">
        <v>11</v>
      </c>
      <c r="F1732" t="str">
        <f t="shared" si="27"/>
        <v>North</v>
      </c>
      <c r="G1732" t="s">
        <v>12</v>
      </c>
      <c r="H1732" t="s">
        <v>36</v>
      </c>
      <c r="I1732">
        <v>19</v>
      </c>
    </row>
    <row r="1733" spans="1:9" ht="21.75" customHeight="1">
      <c r="A1733" t="s">
        <v>1883</v>
      </c>
      <c r="B1733" s="3">
        <v>45624</v>
      </c>
      <c r="C1733" t="s">
        <v>30</v>
      </c>
      <c r="D1733" t="s">
        <v>70</v>
      </c>
      <c r="E1733" t="s">
        <v>17</v>
      </c>
      <c r="F1733" t="str">
        <f t="shared" si="27"/>
        <v>South</v>
      </c>
      <c r="G1733" t="s">
        <v>56</v>
      </c>
      <c r="H1733" t="s">
        <v>28</v>
      </c>
      <c r="I1733">
        <v>14</v>
      </c>
    </row>
    <row r="1734" spans="1:9" ht="21.75" customHeight="1">
      <c r="A1734" t="s">
        <v>1884</v>
      </c>
      <c r="B1734" s="3">
        <v>45518</v>
      </c>
      <c r="C1734" t="s">
        <v>133</v>
      </c>
      <c r="D1734" t="s">
        <v>10</v>
      </c>
      <c r="E1734" t="s">
        <v>11</v>
      </c>
      <c r="F1734" t="str">
        <f t="shared" si="27"/>
        <v>South</v>
      </c>
      <c r="G1734" t="s">
        <v>56</v>
      </c>
      <c r="H1734" t="s">
        <v>13</v>
      </c>
      <c r="I1734">
        <v>19</v>
      </c>
    </row>
    <row r="1735" spans="1:9" ht="21.75" customHeight="1">
      <c r="A1735" t="s">
        <v>1885</v>
      </c>
      <c r="B1735" s="3">
        <v>45471</v>
      </c>
      <c r="C1735" t="s">
        <v>309</v>
      </c>
      <c r="D1735" t="s">
        <v>72</v>
      </c>
      <c r="E1735" t="s">
        <v>11</v>
      </c>
      <c r="F1735" t="str">
        <f t="shared" si="27"/>
        <v>South</v>
      </c>
      <c r="G1735" t="s">
        <v>56</v>
      </c>
      <c r="H1735" t="s">
        <v>32</v>
      </c>
      <c r="I1735">
        <v>3</v>
      </c>
    </row>
    <row r="1736" spans="1:9" ht="21.75" customHeight="1">
      <c r="A1736" t="s">
        <v>1886</v>
      </c>
      <c r="B1736" s="3">
        <v>45599</v>
      </c>
      <c r="C1736" t="s">
        <v>327</v>
      </c>
      <c r="D1736" t="s">
        <v>84</v>
      </c>
      <c r="E1736" t="s">
        <v>22</v>
      </c>
      <c r="F1736" t="str">
        <f t="shared" si="27"/>
        <v>East</v>
      </c>
      <c r="G1736" t="s">
        <v>42</v>
      </c>
      <c r="H1736" t="s">
        <v>13</v>
      </c>
      <c r="I1736">
        <v>10</v>
      </c>
    </row>
    <row r="1737" spans="1:9" ht="21.75" customHeight="1">
      <c r="A1737" t="s">
        <v>1887</v>
      </c>
      <c r="B1737" s="3">
        <v>45602</v>
      </c>
      <c r="C1737" t="s">
        <v>345</v>
      </c>
      <c r="D1737" t="s">
        <v>65</v>
      </c>
      <c r="E1737" t="s">
        <v>22</v>
      </c>
      <c r="F1737" t="str">
        <f t="shared" si="27"/>
        <v>West</v>
      </c>
      <c r="G1737" t="s">
        <v>27</v>
      </c>
      <c r="H1737" t="s">
        <v>32</v>
      </c>
      <c r="I1737">
        <v>2</v>
      </c>
    </row>
    <row r="1738" spans="1:9" ht="21.75" customHeight="1">
      <c r="A1738" t="s">
        <v>1888</v>
      </c>
      <c r="B1738" s="3">
        <v>45414</v>
      </c>
      <c r="C1738" t="s">
        <v>432</v>
      </c>
      <c r="D1738" t="s">
        <v>31</v>
      </c>
      <c r="E1738" t="s">
        <v>11</v>
      </c>
      <c r="F1738" t="str">
        <f t="shared" si="27"/>
        <v>South</v>
      </c>
      <c r="G1738" t="s">
        <v>56</v>
      </c>
      <c r="H1738" t="s">
        <v>23</v>
      </c>
      <c r="I1738">
        <v>20</v>
      </c>
    </row>
    <row r="1739" spans="1:9" ht="21.75" customHeight="1">
      <c r="A1739" t="s">
        <v>1889</v>
      </c>
      <c r="B1739" s="3">
        <v>45298</v>
      </c>
      <c r="C1739" t="s">
        <v>83</v>
      </c>
      <c r="D1739" t="s">
        <v>72</v>
      </c>
      <c r="E1739" t="s">
        <v>11</v>
      </c>
      <c r="F1739" t="str">
        <f t="shared" si="27"/>
        <v>West</v>
      </c>
      <c r="G1739" t="s">
        <v>27</v>
      </c>
      <c r="H1739" t="s">
        <v>36</v>
      </c>
      <c r="I1739">
        <v>14</v>
      </c>
    </row>
    <row r="1740" spans="1:9" ht="21.75" customHeight="1">
      <c r="A1740" t="s">
        <v>1890</v>
      </c>
      <c r="B1740" s="3">
        <v>45641</v>
      </c>
      <c r="C1740" t="s">
        <v>235</v>
      </c>
      <c r="D1740" t="s">
        <v>119</v>
      </c>
      <c r="E1740" t="s">
        <v>17</v>
      </c>
      <c r="F1740" t="str">
        <f t="shared" si="27"/>
        <v>North</v>
      </c>
      <c r="G1740" t="s">
        <v>12</v>
      </c>
      <c r="H1740" t="s">
        <v>13</v>
      </c>
      <c r="I1740">
        <v>19</v>
      </c>
    </row>
    <row r="1741" spans="1:9" ht="21.75" customHeight="1">
      <c r="A1741" t="s">
        <v>1891</v>
      </c>
      <c r="B1741" s="3">
        <v>45426</v>
      </c>
      <c r="C1741" t="s">
        <v>133</v>
      </c>
      <c r="D1741" t="s">
        <v>79</v>
      </c>
      <c r="E1741" t="s">
        <v>11</v>
      </c>
      <c r="F1741" t="str">
        <f t="shared" si="27"/>
        <v>West</v>
      </c>
      <c r="G1741" t="s">
        <v>27</v>
      </c>
      <c r="H1741" t="s">
        <v>36</v>
      </c>
      <c r="I1741">
        <v>10</v>
      </c>
    </row>
    <row r="1742" spans="1:9" ht="21.75" customHeight="1">
      <c r="A1742" t="s">
        <v>1892</v>
      </c>
      <c r="B1742" s="3">
        <v>45548</v>
      </c>
      <c r="C1742" t="s">
        <v>337</v>
      </c>
      <c r="D1742" t="s">
        <v>87</v>
      </c>
      <c r="E1742" t="s">
        <v>17</v>
      </c>
      <c r="F1742" t="str">
        <f t="shared" si="27"/>
        <v>West</v>
      </c>
      <c r="G1742" t="s">
        <v>27</v>
      </c>
      <c r="H1742" t="s">
        <v>13</v>
      </c>
      <c r="I1742">
        <v>18</v>
      </c>
    </row>
    <row r="1743" spans="1:9" ht="21.75" customHeight="1">
      <c r="A1743" t="s">
        <v>1893</v>
      </c>
      <c r="B1743" s="3">
        <v>45370</v>
      </c>
      <c r="C1743" t="s">
        <v>89</v>
      </c>
      <c r="D1743" t="s">
        <v>10</v>
      </c>
      <c r="E1743" t="s">
        <v>17</v>
      </c>
      <c r="F1743" t="str">
        <f t="shared" si="27"/>
        <v>North</v>
      </c>
      <c r="G1743" t="s">
        <v>12</v>
      </c>
      <c r="H1743" t="s">
        <v>36</v>
      </c>
      <c r="I1743">
        <v>7</v>
      </c>
    </row>
    <row r="1744" spans="1:9" ht="21.75" customHeight="1">
      <c r="A1744" t="s">
        <v>1894</v>
      </c>
      <c r="B1744" s="3">
        <v>45371</v>
      </c>
      <c r="C1744" t="s">
        <v>312</v>
      </c>
      <c r="D1744" t="s">
        <v>72</v>
      </c>
      <c r="E1744" t="s">
        <v>17</v>
      </c>
      <c r="F1744" t="str">
        <f t="shared" si="27"/>
        <v>Central</v>
      </c>
      <c r="G1744" t="s">
        <v>306</v>
      </c>
      <c r="H1744" t="s">
        <v>13</v>
      </c>
      <c r="I1744">
        <v>10</v>
      </c>
    </row>
    <row r="1745" spans="1:9" ht="21.75" customHeight="1">
      <c r="A1745" t="s">
        <v>1895</v>
      </c>
      <c r="B1745" s="3">
        <v>45414</v>
      </c>
      <c r="C1745" t="s">
        <v>131</v>
      </c>
      <c r="D1745" t="s">
        <v>197</v>
      </c>
      <c r="E1745" t="s">
        <v>11</v>
      </c>
      <c r="F1745" t="str">
        <f t="shared" si="27"/>
        <v>West</v>
      </c>
      <c r="G1745" t="s">
        <v>27</v>
      </c>
      <c r="H1745" t="s">
        <v>13</v>
      </c>
      <c r="I1745">
        <v>15</v>
      </c>
    </row>
    <row r="1746" spans="1:9" ht="21.75" customHeight="1">
      <c r="A1746" t="s">
        <v>1896</v>
      </c>
      <c r="B1746" s="3">
        <v>45320</v>
      </c>
      <c r="C1746" t="s">
        <v>147</v>
      </c>
      <c r="D1746" t="s">
        <v>41</v>
      </c>
      <c r="E1746" t="s">
        <v>22</v>
      </c>
      <c r="F1746" t="str">
        <f t="shared" si="27"/>
        <v>South</v>
      </c>
      <c r="G1746" t="s">
        <v>56</v>
      </c>
      <c r="H1746" t="s">
        <v>13</v>
      </c>
      <c r="I1746">
        <v>1</v>
      </c>
    </row>
    <row r="1747" spans="1:9" ht="21.75" customHeight="1">
      <c r="A1747" t="s">
        <v>1897</v>
      </c>
      <c r="B1747" s="3">
        <v>45651</v>
      </c>
      <c r="C1747" t="s">
        <v>142</v>
      </c>
      <c r="D1747" t="s">
        <v>45</v>
      </c>
      <c r="E1747" t="s">
        <v>17</v>
      </c>
      <c r="F1747" t="str">
        <f t="shared" si="27"/>
        <v>East</v>
      </c>
      <c r="G1747" t="s">
        <v>42</v>
      </c>
      <c r="H1747" t="s">
        <v>36</v>
      </c>
      <c r="I1747">
        <v>17</v>
      </c>
    </row>
    <row r="1748" spans="1:9" ht="21.75" customHeight="1">
      <c r="A1748" t="s">
        <v>1898</v>
      </c>
      <c r="B1748" s="3">
        <v>45424</v>
      </c>
      <c r="C1748" t="s">
        <v>30</v>
      </c>
      <c r="D1748" t="s">
        <v>48</v>
      </c>
      <c r="E1748" t="s">
        <v>11</v>
      </c>
      <c r="F1748" t="str">
        <f t="shared" si="27"/>
        <v>East</v>
      </c>
      <c r="G1748" t="s">
        <v>42</v>
      </c>
      <c r="H1748" t="s">
        <v>13</v>
      </c>
      <c r="I1748">
        <v>1</v>
      </c>
    </row>
    <row r="1749" spans="1:9" ht="21.75" customHeight="1">
      <c r="A1749" t="s">
        <v>1899</v>
      </c>
      <c r="B1749" s="3">
        <v>45511</v>
      </c>
      <c r="C1749" t="s">
        <v>101</v>
      </c>
      <c r="D1749" t="s">
        <v>160</v>
      </c>
      <c r="E1749" t="s">
        <v>11</v>
      </c>
      <c r="F1749" t="str">
        <f t="shared" si="27"/>
        <v>East</v>
      </c>
      <c r="G1749" t="s">
        <v>42</v>
      </c>
      <c r="H1749" t="s">
        <v>36</v>
      </c>
      <c r="I1749">
        <v>3</v>
      </c>
    </row>
    <row r="1750" spans="1:9" ht="21.75" customHeight="1">
      <c r="A1750" t="s">
        <v>1900</v>
      </c>
      <c r="B1750" s="3">
        <v>45553</v>
      </c>
      <c r="C1750" t="s">
        <v>83</v>
      </c>
      <c r="D1750" t="s">
        <v>79</v>
      </c>
      <c r="E1750" t="s">
        <v>17</v>
      </c>
      <c r="F1750" t="str">
        <f t="shared" si="27"/>
        <v>Central</v>
      </c>
      <c r="G1750" t="s">
        <v>306</v>
      </c>
      <c r="H1750" t="s">
        <v>28</v>
      </c>
      <c r="I1750">
        <v>12</v>
      </c>
    </row>
    <row r="1751" spans="1:9" ht="21.75" customHeight="1">
      <c r="A1751" t="s">
        <v>1901</v>
      </c>
      <c r="B1751" s="3">
        <v>45344</v>
      </c>
      <c r="C1751" t="s">
        <v>314</v>
      </c>
      <c r="D1751" t="s">
        <v>41</v>
      </c>
      <c r="E1751" t="s">
        <v>22</v>
      </c>
      <c r="F1751" t="str">
        <f t="shared" si="27"/>
        <v>North</v>
      </c>
      <c r="G1751" t="s">
        <v>12</v>
      </c>
      <c r="H1751" t="s">
        <v>28</v>
      </c>
      <c r="I1751">
        <v>17</v>
      </c>
    </row>
    <row r="1752" spans="1:9" ht="21.75" customHeight="1">
      <c r="A1752" t="s">
        <v>1902</v>
      </c>
      <c r="B1752" s="3">
        <v>45298</v>
      </c>
      <c r="C1752" t="s">
        <v>78</v>
      </c>
      <c r="D1752" t="s">
        <v>79</v>
      </c>
      <c r="E1752" t="s">
        <v>17</v>
      </c>
      <c r="F1752" t="str">
        <f t="shared" si="27"/>
        <v>East</v>
      </c>
      <c r="G1752" t="s">
        <v>42</v>
      </c>
      <c r="H1752" t="s">
        <v>23</v>
      </c>
      <c r="I1752">
        <v>5</v>
      </c>
    </row>
    <row r="1753" spans="1:9" ht="21.75" customHeight="1">
      <c r="A1753" t="s">
        <v>1903</v>
      </c>
      <c r="B1753" s="3">
        <v>45310</v>
      </c>
      <c r="C1753" t="s">
        <v>378</v>
      </c>
      <c r="D1753" t="s">
        <v>62</v>
      </c>
      <c r="E1753" t="s">
        <v>22</v>
      </c>
      <c r="F1753" t="str">
        <f t="shared" si="27"/>
        <v>West</v>
      </c>
      <c r="G1753" t="s">
        <v>27</v>
      </c>
      <c r="H1753" t="s">
        <v>28</v>
      </c>
      <c r="I1753">
        <v>11</v>
      </c>
    </row>
    <row r="1754" spans="1:9" ht="21.75" customHeight="1">
      <c r="A1754" t="s">
        <v>1904</v>
      </c>
      <c r="B1754" s="3">
        <v>45455</v>
      </c>
      <c r="C1754" t="s">
        <v>101</v>
      </c>
      <c r="D1754" t="s">
        <v>10</v>
      </c>
      <c r="E1754" t="s">
        <v>22</v>
      </c>
      <c r="F1754" t="str">
        <f t="shared" si="27"/>
        <v>East</v>
      </c>
      <c r="G1754" t="s">
        <v>42</v>
      </c>
      <c r="H1754" t="s">
        <v>13</v>
      </c>
      <c r="I1754">
        <v>17</v>
      </c>
    </row>
    <row r="1755" spans="1:9" ht="21.75" customHeight="1">
      <c r="A1755" t="s">
        <v>1905</v>
      </c>
      <c r="B1755" s="3">
        <v>45318</v>
      </c>
      <c r="C1755" t="s">
        <v>235</v>
      </c>
      <c r="D1755" t="s">
        <v>197</v>
      </c>
      <c r="E1755" t="s">
        <v>22</v>
      </c>
      <c r="F1755" t="str">
        <f t="shared" si="27"/>
        <v>North</v>
      </c>
      <c r="G1755" t="s">
        <v>12</v>
      </c>
      <c r="H1755" t="s">
        <v>23</v>
      </c>
      <c r="I1755">
        <v>3</v>
      </c>
    </row>
    <row r="1756" spans="1:9" ht="21.75" customHeight="1">
      <c r="A1756" t="s">
        <v>1906</v>
      </c>
      <c r="B1756" s="3">
        <v>45436</v>
      </c>
      <c r="C1756" t="s">
        <v>420</v>
      </c>
      <c r="D1756" t="s">
        <v>74</v>
      </c>
      <c r="E1756" t="s">
        <v>17</v>
      </c>
      <c r="F1756" t="str">
        <f t="shared" si="27"/>
        <v>North</v>
      </c>
      <c r="G1756" t="s">
        <v>12</v>
      </c>
      <c r="H1756" t="s">
        <v>36</v>
      </c>
      <c r="I1756">
        <v>15</v>
      </c>
    </row>
    <row r="1757" spans="1:9" ht="21.75" customHeight="1">
      <c r="A1757" t="s">
        <v>1907</v>
      </c>
      <c r="B1757" s="3">
        <v>45394</v>
      </c>
      <c r="C1757" t="s">
        <v>61</v>
      </c>
      <c r="D1757" t="s">
        <v>59</v>
      </c>
      <c r="E1757" t="s">
        <v>17</v>
      </c>
      <c r="F1757" t="str">
        <f t="shared" si="27"/>
        <v>Central</v>
      </c>
      <c r="G1757" t="s">
        <v>306</v>
      </c>
      <c r="H1757" t="s">
        <v>28</v>
      </c>
      <c r="I1757">
        <v>15</v>
      </c>
    </row>
    <row r="1758" spans="1:9" ht="21.75" customHeight="1">
      <c r="A1758" t="s">
        <v>1908</v>
      </c>
      <c r="B1758" s="3">
        <v>45544</v>
      </c>
      <c r="C1758" t="s">
        <v>337</v>
      </c>
      <c r="D1758" t="s">
        <v>119</v>
      </c>
      <c r="E1758" t="s">
        <v>11</v>
      </c>
      <c r="F1758" t="str">
        <f t="shared" si="27"/>
        <v>Central</v>
      </c>
      <c r="G1758" t="s">
        <v>306</v>
      </c>
      <c r="H1758" t="s">
        <v>28</v>
      </c>
      <c r="I1758">
        <v>5</v>
      </c>
    </row>
    <row r="1759" spans="1:9" ht="21.75" customHeight="1">
      <c r="A1759" t="s">
        <v>1909</v>
      </c>
      <c r="B1759" s="3">
        <v>45501</v>
      </c>
      <c r="C1759" t="s">
        <v>64</v>
      </c>
      <c r="D1759" t="s">
        <v>197</v>
      </c>
      <c r="E1759" t="s">
        <v>22</v>
      </c>
      <c r="F1759" t="str">
        <f t="shared" si="27"/>
        <v>East</v>
      </c>
      <c r="G1759" t="s">
        <v>42</v>
      </c>
      <c r="H1759" t="s">
        <v>13</v>
      </c>
      <c r="I1759">
        <v>11</v>
      </c>
    </row>
    <row r="1760" spans="1:9" ht="21.75" customHeight="1">
      <c r="A1760" t="s">
        <v>1910</v>
      </c>
      <c r="B1760" s="3">
        <v>45628</v>
      </c>
      <c r="C1760" t="s">
        <v>159</v>
      </c>
      <c r="D1760" t="s">
        <v>84</v>
      </c>
      <c r="E1760" t="s">
        <v>22</v>
      </c>
      <c r="F1760" t="str">
        <f t="shared" si="27"/>
        <v>East</v>
      </c>
      <c r="G1760" t="s">
        <v>42</v>
      </c>
      <c r="H1760" t="s">
        <v>13</v>
      </c>
      <c r="I1760">
        <v>7</v>
      </c>
    </row>
    <row r="1761" spans="1:9" ht="21.75" customHeight="1">
      <c r="A1761" t="s">
        <v>1911</v>
      </c>
      <c r="B1761" s="3">
        <v>45413</v>
      </c>
      <c r="C1761" t="s">
        <v>572</v>
      </c>
      <c r="D1761" t="s">
        <v>35</v>
      </c>
      <c r="E1761" t="s">
        <v>11</v>
      </c>
      <c r="F1761" t="str">
        <f t="shared" si="27"/>
        <v>South</v>
      </c>
      <c r="G1761" t="s">
        <v>56</v>
      </c>
      <c r="H1761" t="s">
        <v>32</v>
      </c>
      <c r="I1761">
        <v>3</v>
      </c>
    </row>
    <row r="1762" spans="1:9" ht="21.75" customHeight="1">
      <c r="A1762" t="s">
        <v>1912</v>
      </c>
      <c r="B1762" s="3">
        <v>45410</v>
      </c>
      <c r="C1762" t="s">
        <v>363</v>
      </c>
      <c r="D1762" t="s">
        <v>87</v>
      </c>
      <c r="E1762" t="s">
        <v>22</v>
      </c>
      <c r="F1762" t="str">
        <f t="shared" si="27"/>
        <v>East</v>
      </c>
      <c r="G1762" t="s">
        <v>42</v>
      </c>
      <c r="H1762" t="s">
        <v>23</v>
      </c>
      <c r="I1762">
        <v>3</v>
      </c>
    </row>
    <row r="1763" spans="1:9" ht="21.75" customHeight="1">
      <c r="A1763" t="s">
        <v>1913</v>
      </c>
      <c r="B1763" s="3">
        <v>45550</v>
      </c>
      <c r="C1763" t="s">
        <v>99</v>
      </c>
      <c r="D1763" t="s">
        <v>21</v>
      </c>
      <c r="E1763" t="s">
        <v>17</v>
      </c>
      <c r="F1763" t="str">
        <f t="shared" si="27"/>
        <v>North</v>
      </c>
      <c r="G1763" t="s">
        <v>12</v>
      </c>
      <c r="H1763" t="s">
        <v>36</v>
      </c>
      <c r="I1763">
        <v>19</v>
      </c>
    </row>
    <row r="1764" spans="1:9" ht="21.75" customHeight="1">
      <c r="A1764" t="s">
        <v>1914</v>
      </c>
      <c r="B1764" s="3">
        <v>45631</v>
      </c>
      <c r="C1764" t="s">
        <v>34</v>
      </c>
      <c r="D1764" t="s">
        <v>197</v>
      </c>
      <c r="E1764" t="s">
        <v>17</v>
      </c>
      <c r="F1764" t="str">
        <f t="shared" si="27"/>
        <v>East</v>
      </c>
      <c r="G1764" t="s">
        <v>42</v>
      </c>
      <c r="H1764" t="s">
        <v>32</v>
      </c>
      <c r="I1764">
        <v>13</v>
      </c>
    </row>
    <row r="1765" spans="1:9" ht="21.75" customHeight="1">
      <c r="A1765" t="s">
        <v>1915</v>
      </c>
      <c r="B1765" s="3">
        <v>45459</v>
      </c>
      <c r="C1765" t="s">
        <v>38</v>
      </c>
      <c r="D1765" t="s">
        <v>70</v>
      </c>
      <c r="E1765" t="s">
        <v>17</v>
      </c>
      <c r="F1765" t="str">
        <f t="shared" si="27"/>
        <v>South</v>
      </c>
      <c r="G1765" t="s">
        <v>56</v>
      </c>
      <c r="H1765" t="s">
        <v>13</v>
      </c>
      <c r="I1765">
        <v>7</v>
      </c>
    </row>
    <row r="1766" spans="1:9" ht="21.75" customHeight="1">
      <c r="A1766" t="s">
        <v>1916</v>
      </c>
      <c r="B1766" s="3">
        <v>45591</v>
      </c>
      <c r="C1766" t="s">
        <v>15</v>
      </c>
      <c r="D1766" t="s">
        <v>16</v>
      </c>
      <c r="E1766" t="s">
        <v>11</v>
      </c>
      <c r="F1766" t="str">
        <f t="shared" si="27"/>
        <v>South</v>
      </c>
      <c r="G1766" t="s">
        <v>56</v>
      </c>
      <c r="H1766" t="s">
        <v>23</v>
      </c>
      <c r="I1766">
        <v>15</v>
      </c>
    </row>
    <row r="1767" spans="1:9" ht="21.75" customHeight="1">
      <c r="A1767" t="s">
        <v>1917</v>
      </c>
      <c r="B1767" s="3">
        <v>45353</v>
      </c>
      <c r="C1767" t="s">
        <v>312</v>
      </c>
      <c r="D1767" t="s">
        <v>48</v>
      </c>
      <c r="E1767" t="s">
        <v>11</v>
      </c>
      <c r="F1767" t="str">
        <f t="shared" si="27"/>
        <v>West</v>
      </c>
      <c r="G1767" t="s">
        <v>27</v>
      </c>
      <c r="H1767" t="s">
        <v>32</v>
      </c>
      <c r="I1767">
        <v>15</v>
      </c>
    </row>
    <row r="1768" spans="1:9" ht="21.75" customHeight="1">
      <c r="A1768" t="s">
        <v>1918</v>
      </c>
      <c r="B1768" s="3">
        <v>45353</v>
      </c>
      <c r="C1768" t="s">
        <v>203</v>
      </c>
      <c r="D1768" t="s">
        <v>45</v>
      </c>
      <c r="E1768" t="s">
        <v>22</v>
      </c>
      <c r="F1768" t="str">
        <f t="shared" si="27"/>
        <v>East</v>
      </c>
      <c r="G1768" t="s">
        <v>42</v>
      </c>
      <c r="H1768" t="s">
        <v>36</v>
      </c>
      <c r="I1768">
        <v>2</v>
      </c>
    </row>
    <row r="1769" spans="1:9" ht="21.75" customHeight="1">
      <c r="A1769" t="s">
        <v>1919</v>
      </c>
      <c r="B1769" s="3">
        <v>45459</v>
      </c>
      <c r="C1769" t="s">
        <v>167</v>
      </c>
      <c r="D1769" t="s">
        <v>10</v>
      </c>
      <c r="E1769" t="s">
        <v>22</v>
      </c>
      <c r="F1769" t="str">
        <f t="shared" si="27"/>
        <v>South</v>
      </c>
      <c r="G1769" t="s">
        <v>56</v>
      </c>
      <c r="H1769" t="s">
        <v>32</v>
      </c>
      <c r="I1769">
        <v>13</v>
      </c>
    </row>
    <row r="1770" spans="1:9" ht="21.75" customHeight="1">
      <c r="A1770" t="s">
        <v>1920</v>
      </c>
      <c r="B1770" s="3">
        <v>45638</v>
      </c>
      <c r="C1770" t="s">
        <v>68</v>
      </c>
      <c r="D1770" t="s">
        <v>26</v>
      </c>
      <c r="E1770" t="s">
        <v>11</v>
      </c>
      <c r="F1770" t="str">
        <f t="shared" si="27"/>
        <v>North</v>
      </c>
      <c r="G1770" t="s">
        <v>12</v>
      </c>
      <c r="H1770" t="s">
        <v>23</v>
      </c>
      <c r="I1770">
        <v>15</v>
      </c>
    </row>
    <row r="1771" spans="1:9" ht="21.75" customHeight="1">
      <c r="A1771" t="s">
        <v>1921</v>
      </c>
      <c r="B1771" s="3">
        <v>45573</v>
      </c>
      <c r="C1771" t="s">
        <v>78</v>
      </c>
      <c r="D1771" t="s">
        <v>102</v>
      </c>
      <c r="E1771" t="s">
        <v>17</v>
      </c>
      <c r="F1771" t="str">
        <f t="shared" si="27"/>
        <v>North</v>
      </c>
      <c r="G1771" t="s">
        <v>12</v>
      </c>
      <c r="H1771" t="s">
        <v>28</v>
      </c>
      <c r="I1771">
        <v>4</v>
      </c>
    </row>
    <row r="1772" spans="1:9" ht="21.75" customHeight="1">
      <c r="A1772" t="s">
        <v>1922</v>
      </c>
      <c r="B1772" s="3">
        <v>45405</v>
      </c>
      <c r="C1772" t="s">
        <v>34</v>
      </c>
      <c r="D1772" t="s">
        <v>65</v>
      </c>
      <c r="E1772" t="s">
        <v>17</v>
      </c>
      <c r="F1772" t="str">
        <f t="shared" si="27"/>
        <v>East</v>
      </c>
      <c r="G1772" t="s">
        <v>42</v>
      </c>
      <c r="H1772" t="s">
        <v>13</v>
      </c>
      <c r="I1772">
        <v>19</v>
      </c>
    </row>
    <row r="1773" spans="1:9" ht="21.75" customHeight="1">
      <c r="A1773" t="s">
        <v>1923</v>
      </c>
      <c r="B1773" s="3">
        <v>45330</v>
      </c>
      <c r="C1773" t="s">
        <v>138</v>
      </c>
      <c r="D1773" t="s">
        <v>10</v>
      </c>
      <c r="E1773" t="s">
        <v>11</v>
      </c>
      <c r="F1773" t="str">
        <f t="shared" si="27"/>
        <v>West</v>
      </c>
      <c r="G1773" t="s">
        <v>27</v>
      </c>
      <c r="H1773" t="s">
        <v>28</v>
      </c>
      <c r="I1773">
        <v>3</v>
      </c>
    </row>
    <row r="1774" spans="1:9" ht="21.75" customHeight="1">
      <c r="A1774" t="s">
        <v>1924</v>
      </c>
      <c r="B1774" s="3">
        <v>45461</v>
      </c>
      <c r="C1774" t="s">
        <v>114</v>
      </c>
      <c r="D1774" t="s">
        <v>79</v>
      </c>
      <c r="E1774" t="s">
        <v>17</v>
      </c>
      <c r="F1774" t="str">
        <f t="shared" si="27"/>
        <v>North</v>
      </c>
      <c r="G1774" t="s">
        <v>12</v>
      </c>
      <c r="H1774" t="s">
        <v>28</v>
      </c>
      <c r="I1774">
        <v>19</v>
      </c>
    </row>
    <row r="1775" spans="1:9" ht="21.75" customHeight="1">
      <c r="A1775" t="s">
        <v>1925</v>
      </c>
      <c r="B1775" s="3">
        <v>45494</v>
      </c>
      <c r="C1775" t="s">
        <v>432</v>
      </c>
      <c r="D1775" t="s">
        <v>96</v>
      </c>
      <c r="E1775" t="s">
        <v>17</v>
      </c>
      <c r="F1775" t="str">
        <f t="shared" si="27"/>
        <v>West</v>
      </c>
      <c r="G1775" t="s">
        <v>27</v>
      </c>
      <c r="H1775" t="s">
        <v>28</v>
      </c>
      <c r="I1775">
        <v>12</v>
      </c>
    </row>
    <row r="1776" spans="1:9" ht="21.75" customHeight="1">
      <c r="A1776" t="s">
        <v>1926</v>
      </c>
      <c r="B1776" s="3">
        <v>45387</v>
      </c>
      <c r="C1776" t="s">
        <v>89</v>
      </c>
      <c r="D1776" t="s">
        <v>26</v>
      </c>
      <c r="E1776" t="s">
        <v>17</v>
      </c>
      <c r="F1776" t="str">
        <f t="shared" si="27"/>
        <v>South</v>
      </c>
      <c r="G1776" t="s">
        <v>56</v>
      </c>
      <c r="H1776" t="s">
        <v>13</v>
      </c>
      <c r="I1776">
        <v>20</v>
      </c>
    </row>
    <row r="1777" spans="1:9" ht="21.75" customHeight="1">
      <c r="A1777" t="s">
        <v>1927</v>
      </c>
      <c r="B1777" s="3">
        <v>45417</v>
      </c>
      <c r="C1777" t="s">
        <v>736</v>
      </c>
      <c r="D1777" t="s">
        <v>74</v>
      </c>
      <c r="E1777" t="s">
        <v>17</v>
      </c>
      <c r="F1777" t="str">
        <f t="shared" si="27"/>
        <v>West</v>
      </c>
      <c r="G1777" t="s">
        <v>27</v>
      </c>
      <c r="H1777" t="s">
        <v>36</v>
      </c>
      <c r="I1777">
        <v>16</v>
      </c>
    </row>
    <row r="1778" spans="1:9" ht="21.75" customHeight="1">
      <c r="A1778" t="s">
        <v>1928</v>
      </c>
      <c r="B1778" s="3">
        <v>45435</v>
      </c>
      <c r="C1778" t="s">
        <v>53</v>
      </c>
      <c r="D1778" t="s">
        <v>16</v>
      </c>
      <c r="E1778" t="s">
        <v>17</v>
      </c>
      <c r="F1778" t="str">
        <f t="shared" si="27"/>
        <v>South</v>
      </c>
      <c r="G1778" t="s">
        <v>56</v>
      </c>
      <c r="H1778" t="s">
        <v>36</v>
      </c>
      <c r="I1778">
        <v>8</v>
      </c>
    </row>
    <row r="1779" spans="1:9" ht="21.75" customHeight="1">
      <c r="A1779" t="s">
        <v>1929</v>
      </c>
      <c r="B1779" s="3">
        <v>45570</v>
      </c>
      <c r="C1779" t="s">
        <v>138</v>
      </c>
      <c r="D1779" t="s">
        <v>31</v>
      </c>
      <c r="E1779" t="s">
        <v>22</v>
      </c>
      <c r="F1779" t="str">
        <f t="shared" si="27"/>
        <v>East</v>
      </c>
      <c r="G1779" t="s">
        <v>42</v>
      </c>
      <c r="H1779" t="s">
        <v>23</v>
      </c>
      <c r="I1779">
        <v>18</v>
      </c>
    </row>
    <row r="1780" spans="1:9" ht="21.75" customHeight="1">
      <c r="A1780" t="s">
        <v>1930</v>
      </c>
      <c r="B1780" s="3">
        <v>45468</v>
      </c>
      <c r="C1780" t="s">
        <v>614</v>
      </c>
      <c r="D1780" t="s">
        <v>160</v>
      </c>
      <c r="E1780" t="s">
        <v>17</v>
      </c>
      <c r="F1780" t="str">
        <f t="shared" si="27"/>
        <v>West</v>
      </c>
      <c r="G1780" t="s">
        <v>27</v>
      </c>
      <c r="H1780" t="s">
        <v>32</v>
      </c>
      <c r="I1780">
        <v>6</v>
      </c>
    </row>
    <row r="1781" spans="1:9" ht="21.75" customHeight="1">
      <c r="A1781" t="s">
        <v>1931</v>
      </c>
      <c r="B1781" s="3">
        <v>45597</v>
      </c>
      <c r="C1781" t="s">
        <v>240</v>
      </c>
      <c r="D1781" t="s">
        <v>96</v>
      </c>
      <c r="E1781" t="s">
        <v>17</v>
      </c>
      <c r="F1781" t="str">
        <f t="shared" si="27"/>
        <v>North</v>
      </c>
      <c r="G1781" t="s">
        <v>12</v>
      </c>
      <c r="H1781" t="s">
        <v>23</v>
      </c>
      <c r="I1781">
        <v>17</v>
      </c>
    </row>
    <row r="1782" spans="1:9" ht="21.75" customHeight="1">
      <c r="A1782" t="s">
        <v>1932</v>
      </c>
      <c r="B1782" s="3">
        <v>45591</v>
      </c>
      <c r="C1782" t="s">
        <v>51</v>
      </c>
      <c r="D1782" t="s">
        <v>45</v>
      </c>
      <c r="E1782" t="s">
        <v>11</v>
      </c>
      <c r="F1782" t="str">
        <f t="shared" si="27"/>
        <v>South</v>
      </c>
      <c r="G1782" t="s">
        <v>56</v>
      </c>
      <c r="H1782" t="s">
        <v>28</v>
      </c>
      <c r="I1782">
        <v>9</v>
      </c>
    </row>
    <row r="1783" spans="1:9" ht="21.75" customHeight="1">
      <c r="A1783" t="s">
        <v>1933</v>
      </c>
      <c r="B1783" s="3">
        <v>45320</v>
      </c>
      <c r="C1783" t="s">
        <v>332</v>
      </c>
      <c r="D1783" t="s">
        <v>197</v>
      </c>
      <c r="E1783" t="s">
        <v>22</v>
      </c>
      <c r="F1783" t="str">
        <f t="shared" si="27"/>
        <v>West</v>
      </c>
      <c r="G1783" t="s">
        <v>27</v>
      </c>
      <c r="H1783" t="s">
        <v>32</v>
      </c>
      <c r="I1783">
        <v>6</v>
      </c>
    </row>
    <row r="1784" spans="1:9" ht="21.75" customHeight="1">
      <c r="A1784" t="s">
        <v>1934</v>
      </c>
      <c r="B1784" s="3">
        <v>45595</v>
      </c>
      <c r="C1784" t="s">
        <v>38</v>
      </c>
      <c r="D1784" t="s">
        <v>84</v>
      </c>
      <c r="E1784" t="s">
        <v>22</v>
      </c>
      <c r="F1784" t="str">
        <f t="shared" si="27"/>
        <v>East</v>
      </c>
      <c r="G1784" t="s">
        <v>42</v>
      </c>
      <c r="H1784" t="s">
        <v>36</v>
      </c>
      <c r="I1784">
        <v>1</v>
      </c>
    </row>
    <row r="1785" spans="1:9" ht="21.75" customHeight="1">
      <c r="A1785" t="s">
        <v>1935</v>
      </c>
      <c r="B1785" s="3">
        <v>45472</v>
      </c>
      <c r="C1785" t="s">
        <v>614</v>
      </c>
      <c r="D1785" t="s">
        <v>59</v>
      </c>
      <c r="E1785" t="s">
        <v>11</v>
      </c>
      <c r="F1785" t="str">
        <f t="shared" si="27"/>
        <v>Central</v>
      </c>
      <c r="G1785" t="s">
        <v>306</v>
      </c>
      <c r="H1785" t="s">
        <v>28</v>
      </c>
      <c r="I1785">
        <v>16</v>
      </c>
    </row>
    <row r="1786" spans="1:9" ht="21.75" customHeight="1">
      <c r="A1786" t="s">
        <v>1936</v>
      </c>
      <c r="B1786" s="3">
        <v>45381</v>
      </c>
      <c r="C1786" t="s">
        <v>374</v>
      </c>
      <c r="D1786" t="s">
        <v>79</v>
      </c>
      <c r="E1786" t="s">
        <v>11</v>
      </c>
      <c r="F1786" t="str">
        <f t="shared" si="27"/>
        <v>North</v>
      </c>
      <c r="G1786" t="s">
        <v>12</v>
      </c>
      <c r="H1786" t="s">
        <v>28</v>
      </c>
      <c r="I1786">
        <v>20</v>
      </c>
    </row>
    <row r="1787" spans="1:9" ht="21.75" customHeight="1">
      <c r="A1787" t="s">
        <v>1937</v>
      </c>
      <c r="B1787" s="3">
        <v>45561</v>
      </c>
      <c r="C1787" t="s">
        <v>517</v>
      </c>
      <c r="D1787" t="s">
        <v>96</v>
      </c>
      <c r="E1787" t="s">
        <v>17</v>
      </c>
      <c r="F1787" t="str">
        <f t="shared" si="27"/>
        <v>Central</v>
      </c>
      <c r="G1787" t="s">
        <v>306</v>
      </c>
      <c r="H1787" t="s">
        <v>28</v>
      </c>
      <c r="I1787">
        <v>5</v>
      </c>
    </row>
    <row r="1788" spans="1:9" ht="21.75" customHeight="1">
      <c r="A1788" t="s">
        <v>1938</v>
      </c>
      <c r="B1788" s="3">
        <v>45382</v>
      </c>
      <c r="C1788" t="s">
        <v>187</v>
      </c>
      <c r="D1788" t="s">
        <v>79</v>
      </c>
      <c r="E1788" t="s">
        <v>11</v>
      </c>
      <c r="F1788" t="str">
        <f t="shared" si="27"/>
        <v>South</v>
      </c>
      <c r="G1788" t="s">
        <v>56</v>
      </c>
      <c r="H1788" t="s">
        <v>36</v>
      </c>
      <c r="I1788">
        <v>5</v>
      </c>
    </row>
    <row r="1789" spans="1:9" ht="21.75" customHeight="1">
      <c r="A1789" t="s">
        <v>1939</v>
      </c>
      <c r="B1789" s="3">
        <v>45561</v>
      </c>
      <c r="C1789" t="s">
        <v>83</v>
      </c>
      <c r="D1789" t="s">
        <v>10</v>
      </c>
      <c r="E1789" t="s">
        <v>17</v>
      </c>
      <c r="F1789" t="str">
        <f t="shared" si="27"/>
        <v>West</v>
      </c>
      <c r="G1789" t="s">
        <v>27</v>
      </c>
      <c r="H1789" t="s">
        <v>36</v>
      </c>
      <c r="I1789">
        <v>4</v>
      </c>
    </row>
    <row r="1790" spans="1:9" ht="21.75" customHeight="1">
      <c r="A1790" t="s">
        <v>1940</v>
      </c>
      <c r="B1790" s="3">
        <v>45457</v>
      </c>
      <c r="C1790" t="s">
        <v>99</v>
      </c>
      <c r="D1790" t="s">
        <v>45</v>
      </c>
      <c r="E1790" t="s">
        <v>22</v>
      </c>
      <c r="F1790" t="str">
        <f t="shared" si="27"/>
        <v>West</v>
      </c>
      <c r="G1790" t="s">
        <v>27</v>
      </c>
      <c r="H1790" t="s">
        <v>23</v>
      </c>
      <c r="I1790">
        <v>11</v>
      </c>
    </row>
    <row r="1791" spans="1:9" ht="21.75" customHeight="1">
      <c r="A1791" t="s">
        <v>1941</v>
      </c>
      <c r="B1791" s="3">
        <v>45579</v>
      </c>
      <c r="C1791" t="s">
        <v>465</v>
      </c>
      <c r="D1791" t="s">
        <v>109</v>
      </c>
      <c r="E1791" t="s">
        <v>17</v>
      </c>
      <c r="F1791" t="str">
        <f t="shared" si="27"/>
        <v>South</v>
      </c>
      <c r="G1791" t="s">
        <v>56</v>
      </c>
      <c r="H1791" t="s">
        <v>36</v>
      </c>
      <c r="I1791">
        <v>6</v>
      </c>
    </row>
    <row r="1792" spans="1:9" ht="21.75" customHeight="1">
      <c r="A1792" t="s">
        <v>1942</v>
      </c>
      <c r="B1792" s="3">
        <v>45644</v>
      </c>
      <c r="C1792" t="s">
        <v>61</v>
      </c>
      <c r="D1792" t="s">
        <v>16</v>
      </c>
      <c r="E1792" t="s">
        <v>11</v>
      </c>
      <c r="F1792" t="str">
        <f t="shared" si="27"/>
        <v>North</v>
      </c>
      <c r="G1792" t="s">
        <v>12</v>
      </c>
      <c r="H1792" t="s">
        <v>36</v>
      </c>
      <c r="I1792">
        <v>13</v>
      </c>
    </row>
    <row r="1793" spans="1:9" ht="21.75" customHeight="1">
      <c r="A1793" t="s">
        <v>1943</v>
      </c>
      <c r="B1793" s="3">
        <v>45582</v>
      </c>
      <c r="C1793" t="s">
        <v>122</v>
      </c>
      <c r="D1793" t="s">
        <v>45</v>
      </c>
      <c r="E1793" t="s">
        <v>22</v>
      </c>
      <c r="F1793" t="str">
        <f t="shared" si="27"/>
        <v>East</v>
      </c>
      <c r="G1793" t="s">
        <v>42</v>
      </c>
      <c r="H1793" t="s">
        <v>36</v>
      </c>
      <c r="I1793">
        <v>8</v>
      </c>
    </row>
    <row r="1794" spans="1:9" ht="21.75" customHeight="1">
      <c r="A1794" t="s">
        <v>1944</v>
      </c>
      <c r="B1794" s="3">
        <v>45345</v>
      </c>
      <c r="C1794" t="s">
        <v>432</v>
      </c>
      <c r="D1794" t="s">
        <v>16</v>
      </c>
      <c r="E1794" t="s">
        <v>17</v>
      </c>
      <c r="F1794" t="str">
        <f t="shared" si="27"/>
        <v>North</v>
      </c>
      <c r="G1794" t="s">
        <v>12</v>
      </c>
      <c r="H1794" t="s">
        <v>28</v>
      </c>
      <c r="I1794">
        <v>12</v>
      </c>
    </row>
    <row r="1795" spans="1:9" ht="21.75" customHeight="1">
      <c r="A1795" t="s">
        <v>1945</v>
      </c>
      <c r="B1795" s="3">
        <v>45377</v>
      </c>
      <c r="C1795" t="s">
        <v>541</v>
      </c>
      <c r="D1795" t="s">
        <v>10</v>
      </c>
      <c r="E1795" t="s">
        <v>22</v>
      </c>
      <c r="F1795" t="str">
        <f t="shared" ref="F1795:F1858" si="28">TRIM(PROPER(G1795))</f>
        <v>East</v>
      </c>
      <c r="G1795" t="s">
        <v>42</v>
      </c>
      <c r="H1795" t="s">
        <v>23</v>
      </c>
      <c r="I1795">
        <v>1</v>
      </c>
    </row>
    <row r="1796" spans="1:9" ht="21.75" customHeight="1">
      <c r="A1796" t="s">
        <v>1946</v>
      </c>
      <c r="B1796" s="3">
        <v>45419</v>
      </c>
      <c r="C1796" t="s">
        <v>465</v>
      </c>
      <c r="D1796" t="s">
        <v>10</v>
      </c>
      <c r="E1796" t="s">
        <v>17</v>
      </c>
      <c r="F1796" t="str">
        <f t="shared" si="28"/>
        <v>East</v>
      </c>
      <c r="G1796" t="s">
        <v>42</v>
      </c>
      <c r="H1796" t="s">
        <v>13</v>
      </c>
      <c r="I1796">
        <v>1</v>
      </c>
    </row>
    <row r="1797" spans="1:9" ht="21.75" customHeight="1">
      <c r="A1797" t="s">
        <v>1947</v>
      </c>
      <c r="B1797" s="3">
        <v>45516</v>
      </c>
      <c r="C1797" t="s">
        <v>388</v>
      </c>
      <c r="D1797" t="s">
        <v>87</v>
      </c>
      <c r="E1797" t="s">
        <v>11</v>
      </c>
      <c r="F1797" t="str">
        <f t="shared" si="28"/>
        <v>West</v>
      </c>
      <c r="G1797" t="s">
        <v>27</v>
      </c>
      <c r="H1797" t="s">
        <v>23</v>
      </c>
      <c r="I1797">
        <v>13</v>
      </c>
    </row>
    <row r="1798" spans="1:9" ht="21.75" customHeight="1">
      <c r="A1798" t="s">
        <v>1948</v>
      </c>
      <c r="B1798" s="3">
        <v>45484</v>
      </c>
      <c r="C1798" t="s">
        <v>108</v>
      </c>
      <c r="D1798" t="s">
        <v>35</v>
      </c>
      <c r="E1798" t="s">
        <v>22</v>
      </c>
      <c r="F1798" t="str">
        <f t="shared" si="28"/>
        <v>South</v>
      </c>
      <c r="G1798" t="s">
        <v>56</v>
      </c>
      <c r="H1798" t="s">
        <v>28</v>
      </c>
      <c r="I1798">
        <v>15</v>
      </c>
    </row>
    <row r="1799" spans="1:9" ht="21.75" customHeight="1">
      <c r="A1799" t="s">
        <v>1949</v>
      </c>
      <c r="B1799" s="3">
        <v>45309</v>
      </c>
      <c r="C1799" t="s">
        <v>61</v>
      </c>
      <c r="D1799" t="s">
        <v>96</v>
      </c>
      <c r="E1799" t="s">
        <v>17</v>
      </c>
      <c r="F1799" t="str">
        <f t="shared" si="28"/>
        <v>East</v>
      </c>
      <c r="G1799" t="s">
        <v>42</v>
      </c>
      <c r="H1799" t="s">
        <v>13</v>
      </c>
      <c r="I1799">
        <v>3</v>
      </c>
    </row>
    <row r="1800" spans="1:9" ht="21.75" customHeight="1">
      <c r="A1800" t="s">
        <v>1950</v>
      </c>
      <c r="B1800" s="3">
        <v>45484</v>
      </c>
      <c r="C1800" t="s">
        <v>111</v>
      </c>
      <c r="D1800" t="s">
        <v>84</v>
      </c>
      <c r="E1800" t="s">
        <v>11</v>
      </c>
      <c r="F1800" t="str">
        <f t="shared" si="28"/>
        <v>Central</v>
      </c>
      <c r="G1800" t="s">
        <v>306</v>
      </c>
      <c r="H1800" t="s">
        <v>13</v>
      </c>
      <c r="I1800">
        <v>11</v>
      </c>
    </row>
    <row r="1801" spans="1:9" ht="21.75" customHeight="1">
      <c r="A1801" t="s">
        <v>1951</v>
      </c>
      <c r="B1801" s="3">
        <v>45606</v>
      </c>
      <c r="C1801" t="s">
        <v>517</v>
      </c>
      <c r="D1801" t="s">
        <v>62</v>
      </c>
      <c r="E1801" t="s">
        <v>11</v>
      </c>
      <c r="F1801" t="str">
        <f t="shared" si="28"/>
        <v>West</v>
      </c>
      <c r="G1801" t="s">
        <v>27</v>
      </c>
      <c r="H1801" t="s">
        <v>28</v>
      </c>
      <c r="I1801">
        <v>20</v>
      </c>
    </row>
    <row r="1802" spans="1:9" ht="21.75" customHeight="1">
      <c r="A1802" t="s">
        <v>1952</v>
      </c>
      <c r="B1802" s="3">
        <v>45372</v>
      </c>
      <c r="C1802" t="s">
        <v>9</v>
      </c>
      <c r="D1802" t="s">
        <v>102</v>
      </c>
      <c r="E1802" t="s">
        <v>17</v>
      </c>
      <c r="F1802" t="str">
        <f t="shared" si="28"/>
        <v>South</v>
      </c>
      <c r="G1802" t="s">
        <v>56</v>
      </c>
      <c r="H1802" t="s">
        <v>28</v>
      </c>
      <c r="I1802">
        <v>14</v>
      </c>
    </row>
    <row r="1803" spans="1:9" ht="21.75" customHeight="1">
      <c r="A1803" t="s">
        <v>1953</v>
      </c>
      <c r="B1803" s="3">
        <v>45568</v>
      </c>
      <c r="C1803" t="s">
        <v>86</v>
      </c>
      <c r="D1803" t="s">
        <v>41</v>
      </c>
      <c r="E1803" t="s">
        <v>17</v>
      </c>
      <c r="F1803" t="str">
        <f t="shared" si="28"/>
        <v>East</v>
      </c>
      <c r="G1803" t="s">
        <v>42</v>
      </c>
      <c r="H1803" t="s">
        <v>28</v>
      </c>
      <c r="I1803">
        <v>4</v>
      </c>
    </row>
    <row r="1804" spans="1:9" ht="21.75" customHeight="1">
      <c r="A1804" t="s">
        <v>1954</v>
      </c>
      <c r="B1804" s="3">
        <v>45584</v>
      </c>
      <c r="C1804" t="s">
        <v>378</v>
      </c>
      <c r="D1804" t="s">
        <v>35</v>
      </c>
      <c r="E1804" t="s">
        <v>11</v>
      </c>
      <c r="F1804" t="str">
        <f t="shared" si="28"/>
        <v>North</v>
      </c>
      <c r="G1804" t="s">
        <v>12</v>
      </c>
      <c r="H1804" t="s">
        <v>32</v>
      </c>
      <c r="I1804">
        <v>1</v>
      </c>
    </row>
    <row r="1805" spans="1:9" ht="21.75" customHeight="1">
      <c r="A1805" t="s">
        <v>1955</v>
      </c>
      <c r="B1805" s="3">
        <v>45442</v>
      </c>
      <c r="C1805" t="s">
        <v>371</v>
      </c>
      <c r="D1805" t="s">
        <v>21</v>
      </c>
      <c r="E1805" t="s">
        <v>22</v>
      </c>
      <c r="F1805" t="str">
        <f t="shared" si="28"/>
        <v>West</v>
      </c>
      <c r="G1805" t="s">
        <v>27</v>
      </c>
      <c r="H1805" t="s">
        <v>28</v>
      </c>
      <c r="I1805">
        <v>4</v>
      </c>
    </row>
    <row r="1806" spans="1:9" ht="21.75" customHeight="1">
      <c r="A1806" t="s">
        <v>1956</v>
      </c>
      <c r="B1806" s="3">
        <v>45379</v>
      </c>
      <c r="C1806" t="s">
        <v>541</v>
      </c>
      <c r="D1806" t="s">
        <v>74</v>
      </c>
      <c r="E1806" t="s">
        <v>11</v>
      </c>
      <c r="F1806" t="str">
        <f t="shared" si="28"/>
        <v>West</v>
      </c>
      <c r="G1806" t="s">
        <v>27</v>
      </c>
      <c r="H1806" t="s">
        <v>13</v>
      </c>
      <c r="I1806">
        <v>10</v>
      </c>
    </row>
    <row r="1807" spans="1:9" ht="21.75" customHeight="1">
      <c r="A1807" t="s">
        <v>1957</v>
      </c>
      <c r="B1807" s="3">
        <v>45533</v>
      </c>
      <c r="C1807" t="s">
        <v>374</v>
      </c>
      <c r="D1807" t="s">
        <v>41</v>
      </c>
      <c r="E1807" t="s">
        <v>17</v>
      </c>
      <c r="F1807" t="str">
        <f t="shared" si="28"/>
        <v>North</v>
      </c>
      <c r="G1807" t="s">
        <v>12</v>
      </c>
      <c r="H1807" t="s">
        <v>36</v>
      </c>
      <c r="I1807">
        <v>13</v>
      </c>
    </row>
    <row r="1808" spans="1:9" ht="21.75" customHeight="1">
      <c r="A1808" t="s">
        <v>1958</v>
      </c>
      <c r="B1808" s="3">
        <v>45487</v>
      </c>
      <c r="C1808" t="s">
        <v>200</v>
      </c>
      <c r="D1808" t="s">
        <v>45</v>
      </c>
      <c r="E1808" t="s">
        <v>17</v>
      </c>
      <c r="F1808" t="str">
        <f t="shared" si="28"/>
        <v>North</v>
      </c>
      <c r="G1808" t="s">
        <v>12</v>
      </c>
      <c r="H1808" t="s">
        <v>32</v>
      </c>
      <c r="I1808">
        <v>15</v>
      </c>
    </row>
    <row r="1809" spans="1:9" ht="21.75" customHeight="1">
      <c r="A1809" t="s">
        <v>1959</v>
      </c>
      <c r="B1809" s="3">
        <v>45407</v>
      </c>
      <c r="C1809" t="s">
        <v>101</v>
      </c>
      <c r="D1809" t="s">
        <v>59</v>
      </c>
      <c r="E1809" t="s">
        <v>11</v>
      </c>
      <c r="F1809" t="str">
        <f t="shared" si="28"/>
        <v>South</v>
      </c>
      <c r="G1809" t="s">
        <v>56</v>
      </c>
      <c r="H1809" t="s">
        <v>13</v>
      </c>
      <c r="I1809">
        <v>3</v>
      </c>
    </row>
    <row r="1810" spans="1:9" ht="21.75" customHeight="1">
      <c r="A1810" t="s">
        <v>1960</v>
      </c>
      <c r="B1810" s="3">
        <v>45569</v>
      </c>
      <c r="C1810" t="s">
        <v>408</v>
      </c>
      <c r="D1810" t="s">
        <v>119</v>
      </c>
      <c r="E1810" t="s">
        <v>22</v>
      </c>
      <c r="F1810" t="str">
        <f t="shared" si="28"/>
        <v>South</v>
      </c>
      <c r="G1810" t="s">
        <v>56</v>
      </c>
      <c r="H1810" t="s">
        <v>36</v>
      </c>
      <c r="I1810">
        <v>2</v>
      </c>
    </row>
    <row r="1811" spans="1:9" ht="21.75" customHeight="1">
      <c r="A1811" t="s">
        <v>1961</v>
      </c>
      <c r="B1811" s="3">
        <v>45559</v>
      </c>
      <c r="C1811" t="s">
        <v>572</v>
      </c>
      <c r="D1811" t="s">
        <v>174</v>
      </c>
      <c r="E1811" t="s">
        <v>22</v>
      </c>
      <c r="F1811" t="str">
        <f t="shared" si="28"/>
        <v>West</v>
      </c>
      <c r="G1811" t="s">
        <v>27</v>
      </c>
      <c r="H1811" t="s">
        <v>36</v>
      </c>
      <c r="I1811">
        <v>8</v>
      </c>
    </row>
    <row r="1812" spans="1:9" ht="21.75" customHeight="1">
      <c r="A1812" t="s">
        <v>1962</v>
      </c>
      <c r="B1812" s="3">
        <v>45332</v>
      </c>
      <c r="C1812" t="s">
        <v>106</v>
      </c>
      <c r="D1812" t="s">
        <v>62</v>
      </c>
      <c r="E1812" t="s">
        <v>11</v>
      </c>
      <c r="F1812" t="str">
        <f t="shared" si="28"/>
        <v>Central</v>
      </c>
      <c r="G1812" t="s">
        <v>306</v>
      </c>
      <c r="H1812" t="s">
        <v>36</v>
      </c>
      <c r="I1812">
        <v>17</v>
      </c>
    </row>
    <row r="1813" spans="1:9" ht="21.75" customHeight="1">
      <c r="A1813" t="s">
        <v>1963</v>
      </c>
      <c r="B1813" s="3">
        <v>45638</v>
      </c>
      <c r="C1813" t="s">
        <v>381</v>
      </c>
      <c r="D1813" t="s">
        <v>16</v>
      </c>
      <c r="E1813" t="s">
        <v>11</v>
      </c>
      <c r="F1813" t="str">
        <f t="shared" si="28"/>
        <v>West</v>
      </c>
      <c r="G1813" t="s">
        <v>27</v>
      </c>
      <c r="H1813" t="s">
        <v>28</v>
      </c>
      <c r="I1813">
        <v>6</v>
      </c>
    </row>
    <row r="1814" spans="1:9" ht="21.75" customHeight="1">
      <c r="A1814" t="s">
        <v>1964</v>
      </c>
      <c r="B1814" s="3">
        <v>45390</v>
      </c>
      <c r="C1814" t="s">
        <v>34</v>
      </c>
      <c r="D1814" t="s">
        <v>79</v>
      </c>
      <c r="E1814" t="s">
        <v>17</v>
      </c>
      <c r="F1814" t="str">
        <f t="shared" si="28"/>
        <v>North</v>
      </c>
      <c r="G1814" t="s">
        <v>12</v>
      </c>
      <c r="H1814" t="s">
        <v>23</v>
      </c>
      <c r="I1814">
        <v>7</v>
      </c>
    </row>
    <row r="1815" spans="1:9" ht="21.75" customHeight="1">
      <c r="A1815" t="s">
        <v>1965</v>
      </c>
      <c r="B1815" s="3">
        <v>45613</v>
      </c>
      <c r="C1815" t="s">
        <v>167</v>
      </c>
      <c r="D1815" t="s">
        <v>109</v>
      </c>
      <c r="E1815" t="s">
        <v>17</v>
      </c>
      <c r="F1815" t="str">
        <f t="shared" si="28"/>
        <v>East</v>
      </c>
      <c r="G1815" t="s">
        <v>42</v>
      </c>
      <c r="H1815" t="s">
        <v>13</v>
      </c>
      <c r="I1815">
        <v>3</v>
      </c>
    </row>
    <row r="1816" spans="1:9" ht="21.75" customHeight="1">
      <c r="A1816" t="s">
        <v>1966</v>
      </c>
      <c r="B1816" s="3">
        <v>45495</v>
      </c>
      <c r="C1816" t="s">
        <v>378</v>
      </c>
      <c r="D1816" t="s">
        <v>72</v>
      </c>
      <c r="E1816" t="s">
        <v>17</v>
      </c>
      <c r="F1816" t="str">
        <f t="shared" si="28"/>
        <v>Central</v>
      </c>
      <c r="G1816" t="s">
        <v>306</v>
      </c>
      <c r="H1816" t="s">
        <v>23</v>
      </c>
      <c r="I1816">
        <v>1</v>
      </c>
    </row>
    <row r="1817" spans="1:9" ht="21.75" customHeight="1">
      <c r="A1817" t="s">
        <v>1967</v>
      </c>
      <c r="B1817" s="3">
        <v>45611</v>
      </c>
      <c r="C1817" t="s">
        <v>449</v>
      </c>
      <c r="D1817" t="s">
        <v>160</v>
      </c>
      <c r="E1817" t="s">
        <v>17</v>
      </c>
      <c r="F1817" t="str">
        <f t="shared" si="28"/>
        <v>North</v>
      </c>
      <c r="G1817" t="s">
        <v>12</v>
      </c>
      <c r="H1817" t="s">
        <v>23</v>
      </c>
      <c r="I1817">
        <v>5</v>
      </c>
    </row>
    <row r="1818" spans="1:9" ht="21.75" customHeight="1">
      <c r="A1818" t="s">
        <v>1968</v>
      </c>
      <c r="B1818" s="3">
        <v>45593</v>
      </c>
      <c r="C1818" t="s">
        <v>361</v>
      </c>
      <c r="D1818" t="s">
        <v>119</v>
      </c>
      <c r="E1818" t="s">
        <v>11</v>
      </c>
      <c r="F1818" t="str">
        <f t="shared" si="28"/>
        <v>North</v>
      </c>
      <c r="G1818" t="s">
        <v>12</v>
      </c>
      <c r="H1818" t="s">
        <v>36</v>
      </c>
      <c r="I1818">
        <v>4</v>
      </c>
    </row>
    <row r="1819" spans="1:9" ht="21.75" customHeight="1">
      <c r="A1819" t="s">
        <v>1969</v>
      </c>
      <c r="B1819" s="3">
        <v>45566</v>
      </c>
      <c r="C1819" t="s">
        <v>20</v>
      </c>
      <c r="D1819" t="s">
        <v>87</v>
      </c>
      <c r="E1819" t="s">
        <v>17</v>
      </c>
      <c r="F1819" t="str">
        <f t="shared" si="28"/>
        <v>West</v>
      </c>
      <c r="G1819" t="s">
        <v>27</v>
      </c>
      <c r="H1819" t="s">
        <v>23</v>
      </c>
      <c r="I1819">
        <v>19</v>
      </c>
    </row>
    <row r="1820" spans="1:9" ht="21.75" customHeight="1">
      <c r="A1820" t="s">
        <v>1970</v>
      </c>
      <c r="B1820" s="3">
        <v>45311</v>
      </c>
      <c r="C1820" t="s">
        <v>235</v>
      </c>
      <c r="D1820" t="s">
        <v>26</v>
      </c>
      <c r="E1820" t="s">
        <v>17</v>
      </c>
      <c r="F1820" t="str">
        <f t="shared" si="28"/>
        <v>South</v>
      </c>
      <c r="G1820" t="s">
        <v>56</v>
      </c>
      <c r="H1820" t="s">
        <v>36</v>
      </c>
      <c r="I1820">
        <v>20</v>
      </c>
    </row>
    <row r="1821" spans="1:9" ht="21.75" customHeight="1">
      <c r="A1821" t="s">
        <v>1971</v>
      </c>
      <c r="B1821" s="3">
        <v>45497</v>
      </c>
      <c r="C1821" t="s">
        <v>122</v>
      </c>
      <c r="D1821" t="s">
        <v>31</v>
      </c>
      <c r="E1821" t="s">
        <v>17</v>
      </c>
      <c r="F1821" t="str">
        <f t="shared" si="28"/>
        <v>South</v>
      </c>
      <c r="G1821" t="s">
        <v>56</v>
      </c>
      <c r="H1821" t="s">
        <v>13</v>
      </c>
      <c r="I1821">
        <v>16</v>
      </c>
    </row>
    <row r="1822" spans="1:9" ht="21.75" customHeight="1">
      <c r="A1822" t="s">
        <v>1972</v>
      </c>
      <c r="B1822" s="3">
        <v>45482</v>
      </c>
      <c r="C1822" t="s">
        <v>138</v>
      </c>
      <c r="D1822" t="s">
        <v>72</v>
      </c>
      <c r="E1822" t="s">
        <v>17</v>
      </c>
      <c r="F1822" t="str">
        <f t="shared" si="28"/>
        <v>East</v>
      </c>
      <c r="G1822" t="s">
        <v>42</v>
      </c>
      <c r="H1822" t="s">
        <v>32</v>
      </c>
      <c r="I1822">
        <v>16</v>
      </c>
    </row>
    <row r="1823" spans="1:9" ht="21.75" customHeight="1">
      <c r="A1823" t="s">
        <v>1973</v>
      </c>
      <c r="B1823" s="3">
        <v>45642</v>
      </c>
      <c r="C1823" t="s">
        <v>108</v>
      </c>
      <c r="D1823" t="s">
        <v>197</v>
      </c>
      <c r="E1823" t="s">
        <v>11</v>
      </c>
      <c r="F1823" t="str">
        <f t="shared" si="28"/>
        <v>East</v>
      </c>
      <c r="G1823" t="s">
        <v>42</v>
      </c>
      <c r="H1823" t="s">
        <v>23</v>
      </c>
      <c r="I1823">
        <v>11</v>
      </c>
    </row>
    <row r="1824" spans="1:9" ht="21.75" customHeight="1">
      <c r="A1824" t="s">
        <v>1974</v>
      </c>
      <c r="B1824" s="3">
        <v>45505</v>
      </c>
      <c r="C1824" t="s">
        <v>493</v>
      </c>
      <c r="D1824" t="s">
        <v>21</v>
      </c>
      <c r="E1824" t="s">
        <v>11</v>
      </c>
      <c r="F1824" t="str">
        <f t="shared" si="28"/>
        <v>South</v>
      </c>
      <c r="G1824" t="s">
        <v>56</v>
      </c>
      <c r="H1824" t="s">
        <v>23</v>
      </c>
      <c r="I1824">
        <v>7</v>
      </c>
    </row>
    <row r="1825" spans="1:9" ht="21.75" customHeight="1">
      <c r="A1825" t="s">
        <v>1975</v>
      </c>
      <c r="B1825" s="3">
        <v>45500</v>
      </c>
      <c r="C1825" t="s">
        <v>304</v>
      </c>
      <c r="D1825" t="s">
        <v>35</v>
      </c>
      <c r="E1825" t="s">
        <v>22</v>
      </c>
      <c r="F1825" t="str">
        <f t="shared" si="28"/>
        <v>East</v>
      </c>
      <c r="G1825" t="s">
        <v>42</v>
      </c>
      <c r="H1825" t="s">
        <v>13</v>
      </c>
      <c r="I1825">
        <v>17</v>
      </c>
    </row>
    <row r="1826" spans="1:9" ht="21.75" customHeight="1">
      <c r="A1826" t="s">
        <v>1976</v>
      </c>
      <c r="B1826" s="3">
        <v>45325</v>
      </c>
      <c r="C1826" t="s">
        <v>147</v>
      </c>
      <c r="D1826" t="s">
        <v>62</v>
      </c>
      <c r="E1826" t="s">
        <v>22</v>
      </c>
      <c r="F1826" t="str">
        <f t="shared" si="28"/>
        <v>West</v>
      </c>
      <c r="G1826" t="s">
        <v>27</v>
      </c>
      <c r="H1826" t="s">
        <v>28</v>
      </c>
      <c r="I1826">
        <v>17</v>
      </c>
    </row>
    <row r="1827" spans="1:9" ht="21.75" customHeight="1">
      <c r="A1827" t="s">
        <v>1977</v>
      </c>
      <c r="B1827" s="3">
        <v>45306</v>
      </c>
      <c r="C1827" t="s">
        <v>235</v>
      </c>
      <c r="D1827" t="s">
        <v>65</v>
      </c>
      <c r="E1827" t="s">
        <v>11</v>
      </c>
      <c r="F1827" t="str">
        <f t="shared" si="28"/>
        <v>North</v>
      </c>
      <c r="G1827" t="s">
        <v>12</v>
      </c>
      <c r="H1827" t="s">
        <v>28</v>
      </c>
      <c r="I1827">
        <v>2</v>
      </c>
    </row>
    <row r="1828" spans="1:9" ht="21.75" customHeight="1">
      <c r="A1828" t="s">
        <v>1978</v>
      </c>
      <c r="B1828" s="3">
        <v>45476</v>
      </c>
      <c r="C1828" t="s">
        <v>369</v>
      </c>
      <c r="D1828" t="s">
        <v>65</v>
      </c>
      <c r="E1828" t="s">
        <v>17</v>
      </c>
      <c r="F1828" t="str">
        <f t="shared" si="28"/>
        <v>East</v>
      </c>
      <c r="G1828" t="s">
        <v>42</v>
      </c>
      <c r="H1828" t="s">
        <v>23</v>
      </c>
      <c r="I1828">
        <v>17</v>
      </c>
    </row>
    <row r="1829" spans="1:9" ht="21.75" customHeight="1">
      <c r="A1829" t="s">
        <v>1979</v>
      </c>
      <c r="B1829" s="3">
        <v>45355</v>
      </c>
      <c r="C1829" t="s">
        <v>455</v>
      </c>
      <c r="D1829" t="s">
        <v>96</v>
      </c>
      <c r="E1829" t="s">
        <v>11</v>
      </c>
      <c r="F1829" t="str">
        <f t="shared" si="28"/>
        <v>East</v>
      </c>
      <c r="G1829" t="s">
        <v>42</v>
      </c>
      <c r="H1829" t="s">
        <v>23</v>
      </c>
      <c r="I1829">
        <v>20</v>
      </c>
    </row>
    <row r="1830" spans="1:9" ht="21.75" customHeight="1">
      <c r="A1830" t="s">
        <v>1980</v>
      </c>
      <c r="B1830" s="3">
        <v>45534</v>
      </c>
      <c r="C1830" t="s">
        <v>449</v>
      </c>
      <c r="D1830" t="s">
        <v>174</v>
      </c>
      <c r="E1830" t="s">
        <v>17</v>
      </c>
      <c r="F1830" t="str">
        <f t="shared" si="28"/>
        <v>East</v>
      </c>
      <c r="G1830" t="s">
        <v>42</v>
      </c>
      <c r="H1830" t="s">
        <v>28</v>
      </c>
      <c r="I1830">
        <v>9</v>
      </c>
    </row>
    <row r="1831" spans="1:9" ht="21.75" customHeight="1">
      <c r="A1831" t="s">
        <v>1981</v>
      </c>
      <c r="B1831" s="3">
        <v>45644</v>
      </c>
      <c r="C1831" t="s">
        <v>203</v>
      </c>
      <c r="D1831" t="s">
        <v>74</v>
      </c>
      <c r="E1831" t="s">
        <v>11</v>
      </c>
      <c r="F1831" t="str">
        <f t="shared" si="28"/>
        <v>West</v>
      </c>
      <c r="G1831" t="s">
        <v>27</v>
      </c>
      <c r="H1831" t="s">
        <v>13</v>
      </c>
      <c r="I1831">
        <v>6</v>
      </c>
    </row>
    <row r="1832" spans="1:9" ht="21.75" customHeight="1">
      <c r="A1832" t="s">
        <v>1982</v>
      </c>
      <c r="B1832" s="3">
        <v>45401</v>
      </c>
      <c r="C1832" t="s">
        <v>240</v>
      </c>
      <c r="D1832" t="s">
        <v>21</v>
      </c>
      <c r="E1832" t="s">
        <v>11</v>
      </c>
      <c r="F1832" t="str">
        <f t="shared" si="28"/>
        <v>South</v>
      </c>
      <c r="G1832" t="s">
        <v>56</v>
      </c>
      <c r="H1832" t="s">
        <v>32</v>
      </c>
      <c r="I1832">
        <v>14</v>
      </c>
    </row>
    <row r="1833" spans="1:9" ht="21.75" customHeight="1">
      <c r="A1833" t="s">
        <v>1983</v>
      </c>
      <c r="B1833" s="3">
        <v>45641</v>
      </c>
      <c r="C1833" t="s">
        <v>142</v>
      </c>
      <c r="D1833" t="s">
        <v>35</v>
      </c>
      <c r="E1833" t="s">
        <v>11</v>
      </c>
      <c r="F1833" t="str">
        <f t="shared" si="28"/>
        <v>South</v>
      </c>
      <c r="G1833" t="s">
        <v>56</v>
      </c>
      <c r="H1833" t="s">
        <v>36</v>
      </c>
      <c r="I1833">
        <v>1</v>
      </c>
    </row>
    <row r="1834" spans="1:9" ht="21.75" customHeight="1">
      <c r="A1834" t="s">
        <v>1984</v>
      </c>
      <c r="B1834" s="3">
        <v>45603</v>
      </c>
      <c r="C1834" t="s">
        <v>147</v>
      </c>
      <c r="D1834" t="s">
        <v>62</v>
      </c>
      <c r="E1834" t="s">
        <v>22</v>
      </c>
      <c r="F1834" t="str">
        <f t="shared" si="28"/>
        <v>East</v>
      </c>
      <c r="G1834" t="s">
        <v>42</v>
      </c>
      <c r="H1834" t="s">
        <v>23</v>
      </c>
      <c r="I1834">
        <v>13</v>
      </c>
    </row>
    <row r="1835" spans="1:9" ht="21.75" customHeight="1">
      <c r="A1835" t="s">
        <v>1985</v>
      </c>
      <c r="B1835" s="3">
        <v>45527</v>
      </c>
      <c r="C1835" t="s">
        <v>230</v>
      </c>
      <c r="D1835" t="s">
        <v>65</v>
      </c>
      <c r="E1835" t="s">
        <v>17</v>
      </c>
      <c r="F1835" t="str">
        <f t="shared" si="28"/>
        <v>East</v>
      </c>
      <c r="G1835" t="s">
        <v>42</v>
      </c>
      <c r="H1835" t="s">
        <v>36</v>
      </c>
      <c r="I1835">
        <v>20</v>
      </c>
    </row>
    <row r="1836" spans="1:9" ht="21.75" customHeight="1">
      <c r="A1836" t="s">
        <v>1986</v>
      </c>
      <c r="B1836" s="3">
        <v>45344</v>
      </c>
      <c r="C1836" t="s">
        <v>25</v>
      </c>
      <c r="D1836" t="s">
        <v>160</v>
      </c>
      <c r="E1836" t="s">
        <v>22</v>
      </c>
      <c r="F1836" t="str">
        <f t="shared" si="28"/>
        <v>East</v>
      </c>
      <c r="G1836" t="s">
        <v>42</v>
      </c>
      <c r="H1836" t="s">
        <v>36</v>
      </c>
      <c r="I1836">
        <v>20</v>
      </c>
    </row>
    <row r="1837" spans="1:9" ht="21.75" customHeight="1">
      <c r="A1837" t="s">
        <v>1987</v>
      </c>
      <c r="B1837" s="3">
        <v>45444</v>
      </c>
      <c r="C1837" t="s">
        <v>455</v>
      </c>
      <c r="D1837" t="s">
        <v>102</v>
      </c>
      <c r="E1837" t="s">
        <v>17</v>
      </c>
      <c r="F1837" t="str">
        <f t="shared" si="28"/>
        <v>North</v>
      </c>
      <c r="G1837" t="s">
        <v>12</v>
      </c>
      <c r="H1837" t="s">
        <v>32</v>
      </c>
      <c r="I1837">
        <v>9</v>
      </c>
    </row>
    <row r="1838" spans="1:9" ht="21.75" customHeight="1">
      <c r="A1838" t="s">
        <v>1988</v>
      </c>
      <c r="B1838" s="3">
        <v>45433</v>
      </c>
      <c r="C1838" t="s">
        <v>86</v>
      </c>
      <c r="D1838" t="s">
        <v>21</v>
      </c>
      <c r="E1838" t="s">
        <v>22</v>
      </c>
      <c r="F1838" t="str">
        <f t="shared" si="28"/>
        <v>East</v>
      </c>
      <c r="G1838" t="s">
        <v>42</v>
      </c>
      <c r="H1838" t="s">
        <v>28</v>
      </c>
      <c r="I1838">
        <v>5</v>
      </c>
    </row>
    <row r="1839" spans="1:9" ht="21.75" customHeight="1">
      <c r="A1839" t="s">
        <v>1989</v>
      </c>
      <c r="B1839" s="3">
        <v>45415</v>
      </c>
      <c r="C1839" t="s">
        <v>131</v>
      </c>
      <c r="D1839" t="s">
        <v>109</v>
      </c>
      <c r="E1839" t="s">
        <v>17</v>
      </c>
      <c r="F1839" t="str">
        <f t="shared" si="28"/>
        <v>East</v>
      </c>
      <c r="G1839" t="s">
        <v>42</v>
      </c>
      <c r="H1839" t="s">
        <v>28</v>
      </c>
      <c r="I1839">
        <v>1</v>
      </c>
    </row>
    <row r="1840" spans="1:9" ht="21.75" customHeight="1">
      <c r="A1840" t="s">
        <v>1990</v>
      </c>
      <c r="B1840" s="3">
        <v>45443</v>
      </c>
      <c r="C1840" t="s">
        <v>86</v>
      </c>
      <c r="D1840" t="s">
        <v>87</v>
      </c>
      <c r="E1840" t="s">
        <v>17</v>
      </c>
      <c r="F1840" t="str">
        <f t="shared" si="28"/>
        <v>West</v>
      </c>
      <c r="G1840" t="s">
        <v>27</v>
      </c>
      <c r="H1840" t="s">
        <v>13</v>
      </c>
      <c r="I1840">
        <v>19</v>
      </c>
    </row>
    <row r="1841" spans="1:9" ht="21.75" customHeight="1">
      <c r="A1841" t="s">
        <v>1991</v>
      </c>
      <c r="B1841" s="3">
        <v>45584</v>
      </c>
      <c r="C1841" t="s">
        <v>150</v>
      </c>
      <c r="D1841" t="s">
        <v>72</v>
      </c>
      <c r="E1841" t="s">
        <v>22</v>
      </c>
      <c r="F1841" t="str">
        <f t="shared" si="28"/>
        <v>South</v>
      </c>
      <c r="G1841" t="s">
        <v>56</v>
      </c>
      <c r="H1841" t="s">
        <v>36</v>
      </c>
      <c r="I1841">
        <v>16</v>
      </c>
    </row>
    <row r="1842" spans="1:9" ht="21.75" customHeight="1">
      <c r="A1842" t="s">
        <v>1992</v>
      </c>
      <c r="B1842" s="3">
        <v>45635</v>
      </c>
      <c r="C1842" t="s">
        <v>182</v>
      </c>
      <c r="D1842" t="s">
        <v>160</v>
      </c>
      <c r="E1842" t="s">
        <v>17</v>
      </c>
      <c r="F1842" t="str">
        <f t="shared" si="28"/>
        <v>South</v>
      </c>
      <c r="G1842" t="s">
        <v>56</v>
      </c>
      <c r="H1842" t="s">
        <v>36</v>
      </c>
      <c r="I1842">
        <v>6</v>
      </c>
    </row>
    <row r="1843" spans="1:9" ht="21.75" customHeight="1">
      <c r="A1843" t="s">
        <v>1993</v>
      </c>
      <c r="B1843" s="3">
        <v>45533</v>
      </c>
      <c r="C1843" t="s">
        <v>34</v>
      </c>
      <c r="D1843" t="s">
        <v>84</v>
      </c>
      <c r="E1843" t="s">
        <v>17</v>
      </c>
      <c r="F1843" t="str">
        <f t="shared" si="28"/>
        <v>Central</v>
      </c>
      <c r="G1843" t="s">
        <v>306</v>
      </c>
      <c r="H1843" t="s">
        <v>28</v>
      </c>
      <c r="I1843">
        <v>11</v>
      </c>
    </row>
    <row r="1844" spans="1:9" ht="21.75" customHeight="1">
      <c r="A1844" t="s">
        <v>1994</v>
      </c>
      <c r="B1844" s="3">
        <v>45405</v>
      </c>
      <c r="C1844" t="s">
        <v>182</v>
      </c>
      <c r="D1844" t="s">
        <v>197</v>
      </c>
      <c r="E1844" t="s">
        <v>22</v>
      </c>
      <c r="F1844" t="str">
        <f t="shared" si="28"/>
        <v>East</v>
      </c>
      <c r="G1844" t="s">
        <v>42</v>
      </c>
      <c r="H1844" t="s">
        <v>23</v>
      </c>
      <c r="I1844">
        <v>11</v>
      </c>
    </row>
    <row r="1845" spans="1:9" ht="21.75" customHeight="1">
      <c r="A1845" t="s">
        <v>1995</v>
      </c>
      <c r="B1845" s="3">
        <v>45591</v>
      </c>
      <c r="C1845" t="s">
        <v>61</v>
      </c>
      <c r="D1845" t="s">
        <v>70</v>
      </c>
      <c r="E1845" t="s">
        <v>11</v>
      </c>
      <c r="F1845" t="str">
        <f t="shared" si="28"/>
        <v>West</v>
      </c>
      <c r="G1845" t="s">
        <v>27</v>
      </c>
      <c r="H1845" t="s">
        <v>13</v>
      </c>
      <c r="I1845">
        <v>19</v>
      </c>
    </row>
    <row r="1846" spans="1:9" ht="21.75" customHeight="1">
      <c r="A1846" t="s">
        <v>1996</v>
      </c>
      <c r="B1846" s="3">
        <v>45609</v>
      </c>
      <c r="C1846" t="s">
        <v>208</v>
      </c>
      <c r="D1846" t="s">
        <v>35</v>
      </c>
      <c r="E1846" t="s">
        <v>11</v>
      </c>
      <c r="F1846" t="str">
        <f t="shared" si="28"/>
        <v>Central</v>
      </c>
      <c r="G1846" t="s">
        <v>306</v>
      </c>
      <c r="H1846" t="s">
        <v>13</v>
      </c>
      <c r="I1846">
        <v>13</v>
      </c>
    </row>
    <row r="1847" spans="1:9" ht="21.75" customHeight="1">
      <c r="A1847" t="s">
        <v>1997</v>
      </c>
      <c r="B1847" s="3">
        <v>45503</v>
      </c>
      <c r="C1847" t="s">
        <v>9</v>
      </c>
      <c r="D1847" t="s">
        <v>16</v>
      </c>
      <c r="E1847" t="s">
        <v>11</v>
      </c>
      <c r="F1847" t="str">
        <f t="shared" si="28"/>
        <v>South</v>
      </c>
      <c r="G1847" t="s">
        <v>56</v>
      </c>
      <c r="H1847" t="s">
        <v>32</v>
      </c>
      <c r="I1847">
        <v>14</v>
      </c>
    </row>
    <row r="1848" spans="1:9" ht="21.75" customHeight="1">
      <c r="A1848" t="s">
        <v>1998</v>
      </c>
      <c r="B1848" s="3">
        <v>45526</v>
      </c>
      <c r="C1848" t="s">
        <v>167</v>
      </c>
      <c r="D1848" t="s">
        <v>72</v>
      </c>
      <c r="E1848" t="s">
        <v>22</v>
      </c>
      <c r="F1848" t="str">
        <f t="shared" si="28"/>
        <v>South</v>
      </c>
      <c r="G1848" t="s">
        <v>56</v>
      </c>
      <c r="H1848" t="s">
        <v>13</v>
      </c>
      <c r="I1848">
        <v>16</v>
      </c>
    </row>
    <row r="1849" spans="1:9" ht="21.75" customHeight="1">
      <c r="A1849" t="s">
        <v>1999</v>
      </c>
      <c r="B1849" s="3">
        <v>45382</v>
      </c>
      <c r="C1849" t="s">
        <v>38</v>
      </c>
      <c r="D1849" t="s">
        <v>21</v>
      </c>
      <c r="E1849" t="s">
        <v>11</v>
      </c>
      <c r="F1849" t="str">
        <f t="shared" si="28"/>
        <v>North</v>
      </c>
      <c r="G1849" t="s">
        <v>12</v>
      </c>
      <c r="H1849" t="s">
        <v>23</v>
      </c>
      <c r="I1849">
        <v>9</v>
      </c>
    </row>
    <row r="1850" spans="1:9" ht="21.75" customHeight="1">
      <c r="A1850" t="s">
        <v>2000</v>
      </c>
      <c r="B1850" s="3">
        <v>45378</v>
      </c>
      <c r="C1850" t="s">
        <v>314</v>
      </c>
      <c r="D1850" t="s">
        <v>119</v>
      </c>
      <c r="E1850" t="s">
        <v>11</v>
      </c>
      <c r="F1850" t="str">
        <f t="shared" si="28"/>
        <v>West</v>
      </c>
      <c r="G1850" t="s">
        <v>27</v>
      </c>
      <c r="H1850" t="s">
        <v>13</v>
      </c>
      <c r="I1850">
        <v>5</v>
      </c>
    </row>
    <row r="1851" spans="1:9" ht="21.75" customHeight="1">
      <c r="A1851" t="s">
        <v>2001</v>
      </c>
      <c r="B1851" s="3">
        <v>45616</v>
      </c>
      <c r="C1851" t="s">
        <v>309</v>
      </c>
      <c r="D1851" t="s">
        <v>31</v>
      </c>
      <c r="E1851" t="s">
        <v>17</v>
      </c>
      <c r="F1851" t="str">
        <f t="shared" si="28"/>
        <v>West</v>
      </c>
      <c r="G1851" t="s">
        <v>27</v>
      </c>
      <c r="H1851" t="s">
        <v>23</v>
      </c>
      <c r="I1851">
        <v>1</v>
      </c>
    </row>
    <row r="1852" spans="1:9" ht="21.75" customHeight="1">
      <c r="A1852" t="s">
        <v>2002</v>
      </c>
      <c r="B1852" s="3">
        <v>45394</v>
      </c>
      <c r="C1852" t="s">
        <v>388</v>
      </c>
      <c r="D1852" t="s">
        <v>48</v>
      </c>
      <c r="E1852" t="s">
        <v>11</v>
      </c>
      <c r="F1852" t="str">
        <f t="shared" si="28"/>
        <v>East</v>
      </c>
      <c r="G1852" t="s">
        <v>42</v>
      </c>
      <c r="H1852" t="s">
        <v>36</v>
      </c>
      <c r="I1852">
        <v>7</v>
      </c>
    </row>
    <row r="1853" spans="1:9" ht="21.75" customHeight="1">
      <c r="A1853" t="s">
        <v>2003</v>
      </c>
      <c r="B1853" s="3">
        <v>45294</v>
      </c>
      <c r="C1853" t="s">
        <v>451</v>
      </c>
      <c r="D1853" t="s">
        <v>84</v>
      </c>
      <c r="E1853" t="s">
        <v>11</v>
      </c>
      <c r="F1853" t="str">
        <f t="shared" si="28"/>
        <v>South</v>
      </c>
      <c r="G1853" t="s">
        <v>56</v>
      </c>
      <c r="H1853" t="s">
        <v>32</v>
      </c>
      <c r="I1853">
        <v>10</v>
      </c>
    </row>
    <row r="1854" spans="1:9" ht="21.75" customHeight="1">
      <c r="A1854" t="s">
        <v>2004</v>
      </c>
      <c r="B1854" s="3">
        <v>45488</v>
      </c>
      <c r="C1854" t="s">
        <v>358</v>
      </c>
      <c r="D1854" t="s">
        <v>59</v>
      </c>
      <c r="E1854" t="s">
        <v>17</v>
      </c>
      <c r="F1854" t="str">
        <f t="shared" si="28"/>
        <v>South</v>
      </c>
      <c r="G1854" t="s">
        <v>56</v>
      </c>
      <c r="H1854" t="s">
        <v>13</v>
      </c>
      <c r="I1854">
        <v>2</v>
      </c>
    </row>
    <row r="1855" spans="1:9" ht="21.75" customHeight="1">
      <c r="A1855" t="s">
        <v>2005</v>
      </c>
      <c r="B1855" s="3">
        <v>45440</v>
      </c>
      <c r="C1855" t="s">
        <v>366</v>
      </c>
      <c r="D1855" t="s">
        <v>84</v>
      </c>
      <c r="E1855" t="s">
        <v>22</v>
      </c>
      <c r="F1855" t="str">
        <f t="shared" si="28"/>
        <v>Central</v>
      </c>
      <c r="G1855" t="s">
        <v>306</v>
      </c>
      <c r="H1855" t="s">
        <v>36</v>
      </c>
      <c r="I1855">
        <v>11</v>
      </c>
    </row>
    <row r="1856" spans="1:9" ht="21.75" customHeight="1">
      <c r="A1856" t="s">
        <v>2006</v>
      </c>
      <c r="B1856" s="3">
        <v>45643</v>
      </c>
      <c r="C1856" t="s">
        <v>99</v>
      </c>
      <c r="D1856" t="s">
        <v>72</v>
      </c>
      <c r="E1856" t="s">
        <v>17</v>
      </c>
      <c r="F1856" t="str">
        <f t="shared" si="28"/>
        <v>East</v>
      </c>
      <c r="G1856" t="s">
        <v>42</v>
      </c>
      <c r="H1856" t="s">
        <v>28</v>
      </c>
      <c r="I1856">
        <v>6</v>
      </c>
    </row>
    <row r="1857" spans="1:9" ht="21.75" customHeight="1">
      <c r="A1857" t="s">
        <v>2007</v>
      </c>
      <c r="B1857" s="3">
        <v>45498</v>
      </c>
      <c r="C1857" t="s">
        <v>138</v>
      </c>
      <c r="D1857" t="s">
        <v>197</v>
      </c>
      <c r="E1857" t="s">
        <v>11</v>
      </c>
      <c r="F1857" t="str">
        <f t="shared" si="28"/>
        <v>South</v>
      </c>
      <c r="G1857" t="s">
        <v>56</v>
      </c>
      <c r="H1857" t="s">
        <v>28</v>
      </c>
      <c r="I1857">
        <v>1</v>
      </c>
    </row>
    <row r="1858" spans="1:9" ht="21.75" customHeight="1">
      <c r="A1858" t="s">
        <v>2008</v>
      </c>
      <c r="B1858" s="3">
        <v>45378</v>
      </c>
      <c r="C1858" t="s">
        <v>114</v>
      </c>
      <c r="D1858" t="s">
        <v>48</v>
      </c>
      <c r="E1858" t="s">
        <v>22</v>
      </c>
      <c r="F1858" t="str">
        <f t="shared" si="28"/>
        <v>North</v>
      </c>
      <c r="G1858" t="s">
        <v>12</v>
      </c>
      <c r="H1858" t="s">
        <v>23</v>
      </c>
      <c r="I1858">
        <v>9</v>
      </c>
    </row>
    <row r="1859" spans="1:9" ht="21.75" customHeight="1">
      <c r="A1859" t="s">
        <v>2009</v>
      </c>
      <c r="B1859" s="3">
        <v>45611</v>
      </c>
      <c r="C1859" t="s">
        <v>9</v>
      </c>
      <c r="D1859" t="s">
        <v>109</v>
      </c>
      <c r="E1859" t="s">
        <v>11</v>
      </c>
      <c r="F1859" t="str">
        <f t="shared" ref="F1859:F1922" si="29">TRIM(PROPER(G1859))</f>
        <v>North</v>
      </c>
      <c r="G1859" t="s">
        <v>12</v>
      </c>
      <c r="H1859" t="s">
        <v>13</v>
      </c>
      <c r="I1859">
        <v>2</v>
      </c>
    </row>
    <row r="1860" spans="1:9" ht="21.75" customHeight="1">
      <c r="A1860" t="s">
        <v>2010</v>
      </c>
      <c r="B1860" s="3">
        <v>45505</v>
      </c>
      <c r="C1860" t="s">
        <v>396</v>
      </c>
      <c r="D1860" t="s">
        <v>31</v>
      </c>
      <c r="E1860" t="s">
        <v>11</v>
      </c>
      <c r="F1860" t="str">
        <f t="shared" si="29"/>
        <v>Central</v>
      </c>
      <c r="G1860" t="s">
        <v>306</v>
      </c>
      <c r="H1860" t="s">
        <v>32</v>
      </c>
      <c r="I1860">
        <v>16</v>
      </c>
    </row>
    <row r="1861" spans="1:9" ht="21.75" customHeight="1">
      <c r="A1861" t="s">
        <v>2011</v>
      </c>
      <c r="B1861" s="3">
        <v>45397</v>
      </c>
      <c r="C1861" t="s">
        <v>465</v>
      </c>
      <c r="D1861" t="s">
        <v>41</v>
      </c>
      <c r="E1861" t="s">
        <v>22</v>
      </c>
      <c r="F1861" t="str">
        <f t="shared" si="29"/>
        <v>North</v>
      </c>
      <c r="G1861" t="s">
        <v>12</v>
      </c>
      <c r="H1861" t="s">
        <v>32</v>
      </c>
      <c r="I1861">
        <v>14</v>
      </c>
    </row>
    <row r="1862" spans="1:9" ht="21.75" customHeight="1">
      <c r="A1862" t="s">
        <v>2012</v>
      </c>
      <c r="B1862" s="3">
        <v>45631</v>
      </c>
      <c r="C1862" t="s">
        <v>363</v>
      </c>
      <c r="D1862" t="s">
        <v>26</v>
      </c>
      <c r="E1862" t="s">
        <v>22</v>
      </c>
      <c r="F1862" t="str">
        <f t="shared" si="29"/>
        <v>Central</v>
      </c>
      <c r="G1862" t="s">
        <v>306</v>
      </c>
      <c r="H1862" t="s">
        <v>28</v>
      </c>
      <c r="I1862">
        <v>14</v>
      </c>
    </row>
    <row r="1863" spans="1:9" ht="21.75" customHeight="1">
      <c r="A1863" t="s">
        <v>2013</v>
      </c>
      <c r="B1863" s="3">
        <v>45345</v>
      </c>
      <c r="C1863" t="s">
        <v>345</v>
      </c>
      <c r="D1863" t="s">
        <v>84</v>
      </c>
      <c r="E1863" t="s">
        <v>22</v>
      </c>
      <c r="F1863" t="str">
        <f t="shared" si="29"/>
        <v>North</v>
      </c>
      <c r="G1863" t="s">
        <v>12</v>
      </c>
      <c r="H1863" t="s">
        <v>32</v>
      </c>
      <c r="I1863">
        <v>4</v>
      </c>
    </row>
    <row r="1864" spans="1:9" ht="21.75" customHeight="1">
      <c r="A1864" t="s">
        <v>2014</v>
      </c>
      <c r="B1864" s="3">
        <v>45546</v>
      </c>
      <c r="C1864" t="s">
        <v>104</v>
      </c>
      <c r="D1864" t="s">
        <v>109</v>
      </c>
      <c r="E1864" t="s">
        <v>11</v>
      </c>
      <c r="F1864" t="str">
        <f t="shared" si="29"/>
        <v>East</v>
      </c>
      <c r="G1864" t="s">
        <v>42</v>
      </c>
      <c r="H1864" t="s">
        <v>36</v>
      </c>
      <c r="I1864">
        <v>7</v>
      </c>
    </row>
    <row r="1865" spans="1:9" ht="21.75" customHeight="1">
      <c r="A1865" t="s">
        <v>2015</v>
      </c>
      <c r="B1865" s="3">
        <v>45501</v>
      </c>
      <c r="C1865" t="s">
        <v>61</v>
      </c>
      <c r="D1865" t="s">
        <v>45</v>
      </c>
      <c r="E1865" t="s">
        <v>11</v>
      </c>
      <c r="F1865" t="str">
        <f t="shared" si="29"/>
        <v>Central</v>
      </c>
      <c r="G1865" t="s">
        <v>306</v>
      </c>
      <c r="H1865" t="s">
        <v>23</v>
      </c>
      <c r="I1865">
        <v>7</v>
      </c>
    </row>
    <row r="1866" spans="1:9" ht="21.75" customHeight="1">
      <c r="A1866" t="s">
        <v>2016</v>
      </c>
      <c r="B1866" s="3">
        <v>45538</v>
      </c>
      <c r="C1866" t="s">
        <v>118</v>
      </c>
      <c r="D1866" t="s">
        <v>197</v>
      </c>
      <c r="E1866" t="s">
        <v>11</v>
      </c>
      <c r="F1866" t="str">
        <f t="shared" si="29"/>
        <v>North</v>
      </c>
      <c r="G1866" t="s">
        <v>12</v>
      </c>
      <c r="H1866" t="s">
        <v>13</v>
      </c>
      <c r="I1866">
        <v>4</v>
      </c>
    </row>
    <row r="1867" spans="1:9" ht="21.75" customHeight="1">
      <c r="A1867" t="s">
        <v>2017</v>
      </c>
      <c r="B1867" s="3">
        <v>45634</v>
      </c>
      <c r="C1867" t="s">
        <v>432</v>
      </c>
      <c r="D1867" t="s">
        <v>16</v>
      </c>
      <c r="E1867" t="s">
        <v>11</v>
      </c>
      <c r="F1867" t="str">
        <f t="shared" si="29"/>
        <v>Central</v>
      </c>
      <c r="G1867" t="s">
        <v>306</v>
      </c>
      <c r="H1867" t="s">
        <v>13</v>
      </c>
      <c r="I1867">
        <v>4</v>
      </c>
    </row>
    <row r="1868" spans="1:9" ht="21.75" customHeight="1">
      <c r="A1868" t="s">
        <v>2018</v>
      </c>
      <c r="B1868" s="3">
        <v>45621</v>
      </c>
      <c r="C1868" t="s">
        <v>51</v>
      </c>
      <c r="D1868" t="s">
        <v>70</v>
      </c>
      <c r="E1868" t="s">
        <v>17</v>
      </c>
      <c r="F1868" t="str">
        <f t="shared" si="29"/>
        <v>East</v>
      </c>
      <c r="G1868" t="s">
        <v>42</v>
      </c>
      <c r="H1868" t="s">
        <v>23</v>
      </c>
      <c r="I1868">
        <v>2</v>
      </c>
    </row>
    <row r="1869" spans="1:9" ht="21.75" customHeight="1">
      <c r="A1869" t="s">
        <v>2019</v>
      </c>
      <c r="B1869" s="3">
        <v>45381</v>
      </c>
      <c r="C1869" t="s">
        <v>116</v>
      </c>
      <c r="D1869" t="s">
        <v>74</v>
      </c>
      <c r="E1869" t="s">
        <v>17</v>
      </c>
      <c r="F1869" t="str">
        <f t="shared" si="29"/>
        <v>East</v>
      </c>
      <c r="G1869" t="s">
        <v>42</v>
      </c>
      <c r="H1869" t="s">
        <v>23</v>
      </c>
      <c r="I1869">
        <v>4</v>
      </c>
    </row>
    <row r="1870" spans="1:9" ht="21.75" customHeight="1">
      <c r="A1870" t="s">
        <v>2020</v>
      </c>
      <c r="B1870" s="3">
        <v>45315</v>
      </c>
      <c r="C1870" t="s">
        <v>142</v>
      </c>
      <c r="D1870" t="s">
        <v>16</v>
      </c>
      <c r="E1870" t="s">
        <v>22</v>
      </c>
      <c r="F1870" t="str">
        <f t="shared" si="29"/>
        <v>South</v>
      </c>
      <c r="G1870" t="s">
        <v>56</v>
      </c>
      <c r="H1870" t="s">
        <v>32</v>
      </c>
      <c r="I1870">
        <v>12</v>
      </c>
    </row>
    <row r="1871" spans="1:9" ht="21.75" customHeight="1">
      <c r="A1871" t="s">
        <v>2021</v>
      </c>
      <c r="B1871" s="3">
        <v>45610</v>
      </c>
      <c r="C1871" t="s">
        <v>101</v>
      </c>
      <c r="D1871" t="s">
        <v>84</v>
      </c>
      <c r="E1871" t="s">
        <v>11</v>
      </c>
      <c r="F1871" t="str">
        <f t="shared" si="29"/>
        <v>East</v>
      </c>
      <c r="G1871" t="s">
        <v>42</v>
      </c>
      <c r="H1871" t="s">
        <v>32</v>
      </c>
      <c r="I1871">
        <v>6</v>
      </c>
    </row>
    <row r="1872" spans="1:9" ht="21.75" customHeight="1">
      <c r="A1872" t="s">
        <v>2022</v>
      </c>
      <c r="B1872" s="3">
        <v>45496</v>
      </c>
      <c r="C1872" t="s">
        <v>366</v>
      </c>
      <c r="D1872" t="s">
        <v>26</v>
      </c>
      <c r="E1872" t="s">
        <v>17</v>
      </c>
      <c r="F1872" t="str">
        <f t="shared" si="29"/>
        <v>West</v>
      </c>
      <c r="G1872" t="s">
        <v>27</v>
      </c>
      <c r="H1872" t="s">
        <v>23</v>
      </c>
      <c r="I1872">
        <v>6</v>
      </c>
    </row>
    <row r="1873" spans="1:9" ht="21.75" customHeight="1">
      <c r="A1873" t="s">
        <v>2023</v>
      </c>
      <c r="B1873" s="3">
        <v>45648</v>
      </c>
      <c r="C1873" t="s">
        <v>329</v>
      </c>
      <c r="D1873" t="s">
        <v>79</v>
      </c>
      <c r="E1873" t="s">
        <v>11</v>
      </c>
      <c r="F1873" t="str">
        <f t="shared" si="29"/>
        <v>North</v>
      </c>
      <c r="G1873" t="s">
        <v>12</v>
      </c>
      <c r="H1873" t="s">
        <v>23</v>
      </c>
      <c r="I1873">
        <v>19</v>
      </c>
    </row>
    <row r="1874" spans="1:9" ht="21.75" customHeight="1">
      <c r="A1874" t="s">
        <v>2024</v>
      </c>
      <c r="B1874" s="3">
        <v>45583</v>
      </c>
      <c r="C1874" t="s">
        <v>422</v>
      </c>
      <c r="D1874" t="s">
        <v>70</v>
      </c>
      <c r="E1874" t="s">
        <v>11</v>
      </c>
      <c r="F1874" t="str">
        <f t="shared" si="29"/>
        <v>Central</v>
      </c>
      <c r="G1874" t="s">
        <v>306</v>
      </c>
      <c r="H1874" t="s">
        <v>23</v>
      </c>
      <c r="I1874">
        <v>12</v>
      </c>
    </row>
    <row r="1875" spans="1:9" ht="21.75" customHeight="1">
      <c r="A1875" t="s">
        <v>2025</v>
      </c>
      <c r="B1875" s="3">
        <v>45642</v>
      </c>
      <c r="C1875" t="s">
        <v>388</v>
      </c>
      <c r="D1875" t="s">
        <v>16</v>
      </c>
      <c r="E1875" t="s">
        <v>17</v>
      </c>
      <c r="F1875" t="str">
        <f t="shared" si="29"/>
        <v>West</v>
      </c>
      <c r="G1875" t="s">
        <v>27</v>
      </c>
      <c r="H1875" t="s">
        <v>13</v>
      </c>
      <c r="I1875">
        <v>14</v>
      </c>
    </row>
    <row r="1876" spans="1:9" ht="21.75" customHeight="1">
      <c r="A1876" t="s">
        <v>2026</v>
      </c>
      <c r="B1876" s="3">
        <v>45324</v>
      </c>
      <c r="C1876" t="s">
        <v>86</v>
      </c>
      <c r="D1876" t="s">
        <v>21</v>
      </c>
      <c r="E1876" t="s">
        <v>17</v>
      </c>
      <c r="F1876" t="str">
        <f t="shared" si="29"/>
        <v>North</v>
      </c>
      <c r="G1876" t="s">
        <v>12</v>
      </c>
      <c r="H1876" t="s">
        <v>36</v>
      </c>
      <c r="I1876">
        <v>19</v>
      </c>
    </row>
    <row r="1877" spans="1:9" ht="21.75" customHeight="1">
      <c r="A1877" t="s">
        <v>2027</v>
      </c>
      <c r="B1877" s="3">
        <v>45406</v>
      </c>
      <c r="C1877" t="s">
        <v>317</v>
      </c>
      <c r="D1877" t="s">
        <v>72</v>
      </c>
      <c r="E1877" t="s">
        <v>22</v>
      </c>
      <c r="F1877" t="str">
        <f t="shared" si="29"/>
        <v>Central</v>
      </c>
      <c r="G1877" t="s">
        <v>306</v>
      </c>
      <c r="H1877" t="s">
        <v>36</v>
      </c>
      <c r="I1877">
        <v>4</v>
      </c>
    </row>
    <row r="1878" spans="1:9" ht="21.75" customHeight="1">
      <c r="A1878" t="s">
        <v>2028</v>
      </c>
      <c r="B1878" s="3">
        <v>45419</v>
      </c>
      <c r="C1878" t="s">
        <v>517</v>
      </c>
      <c r="D1878" t="s">
        <v>48</v>
      </c>
      <c r="E1878" t="s">
        <v>22</v>
      </c>
      <c r="F1878" t="str">
        <f t="shared" si="29"/>
        <v>West</v>
      </c>
      <c r="G1878" t="s">
        <v>27</v>
      </c>
      <c r="H1878" t="s">
        <v>28</v>
      </c>
      <c r="I1878">
        <v>18</v>
      </c>
    </row>
    <row r="1879" spans="1:9" ht="21.75" customHeight="1">
      <c r="A1879" t="s">
        <v>2029</v>
      </c>
      <c r="B1879" s="3">
        <v>45605</v>
      </c>
      <c r="C1879" t="s">
        <v>9</v>
      </c>
      <c r="D1879" t="s">
        <v>96</v>
      </c>
      <c r="E1879" t="s">
        <v>22</v>
      </c>
      <c r="F1879" t="str">
        <f t="shared" si="29"/>
        <v>South</v>
      </c>
      <c r="G1879" t="s">
        <v>56</v>
      </c>
      <c r="H1879" t="s">
        <v>36</v>
      </c>
      <c r="I1879">
        <v>16</v>
      </c>
    </row>
    <row r="1880" spans="1:9" ht="21.75" customHeight="1">
      <c r="A1880" t="s">
        <v>2030</v>
      </c>
      <c r="B1880" s="3">
        <v>45376</v>
      </c>
      <c r="C1880" t="s">
        <v>208</v>
      </c>
      <c r="D1880" t="s">
        <v>119</v>
      </c>
      <c r="E1880" t="s">
        <v>17</v>
      </c>
      <c r="F1880" t="str">
        <f t="shared" si="29"/>
        <v>East</v>
      </c>
      <c r="G1880" t="s">
        <v>42</v>
      </c>
      <c r="H1880" t="s">
        <v>28</v>
      </c>
      <c r="I1880">
        <v>11</v>
      </c>
    </row>
    <row r="1881" spans="1:9" ht="21.75" customHeight="1">
      <c r="A1881" t="s">
        <v>2031</v>
      </c>
      <c r="B1881" s="3">
        <v>45317</v>
      </c>
      <c r="C1881" t="s">
        <v>358</v>
      </c>
      <c r="D1881" t="s">
        <v>197</v>
      </c>
      <c r="E1881" t="s">
        <v>22</v>
      </c>
      <c r="F1881" t="str">
        <f t="shared" si="29"/>
        <v>West</v>
      </c>
      <c r="G1881" t="s">
        <v>27</v>
      </c>
      <c r="H1881" t="s">
        <v>23</v>
      </c>
      <c r="I1881">
        <v>8</v>
      </c>
    </row>
    <row r="1882" spans="1:9" ht="21.75" customHeight="1">
      <c r="A1882" t="s">
        <v>2032</v>
      </c>
      <c r="B1882" s="3">
        <v>45519</v>
      </c>
      <c r="C1882" t="s">
        <v>314</v>
      </c>
      <c r="D1882" t="s">
        <v>70</v>
      </c>
      <c r="E1882" t="s">
        <v>11</v>
      </c>
      <c r="F1882" t="str">
        <f t="shared" si="29"/>
        <v>West</v>
      </c>
      <c r="G1882" t="s">
        <v>27</v>
      </c>
      <c r="H1882" t="s">
        <v>23</v>
      </c>
      <c r="I1882">
        <v>11</v>
      </c>
    </row>
    <row r="1883" spans="1:9" ht="21.75" customHeight="1">
      <c r="A1883" t="s">
        <v>2033</v>
      </c>
      <c r="B1883" s="3">
        <v>45546</v>
      </c>
      <c r="C1883" t="s">
        <v>323</v>
      </c>
      <c r="D1883" t="s">
        <v>21</v>
      </c>
      <c r="E1883" t="s">
        <v>11</v>
      </c>
      <c r="F1883" t="str">
        <f t="shared" si="29"/>
        <v>North</v>
      </c>
      <c r="G1883" t="s">
        <v>12</v>
      </c>
      <c r="H1883" t="s">
        <v>23</v>
      </c>
      <c r="I1883">
        <v>14</v>
      </c>
    </row>
    <row r="1884" spans="1:9" ht="21.75" customHeight="1">
      <c r="A1884" t="s">
        <v>2034</v>
      </c>
      <c r="B1884" s="3">
        <v>45573</v>
      </c>
      <c r="C1884" t="s">
        <v>25</v>
      </c>
      <c r="D1884" t="s">
        <v>10</v>
      </c>
      <c r="E1884" t="s">
        <v>22</v>
      </c>
      <c r="F1884" t="str">
        <f t="shared" si="29"/>
        <v>Central</v>
      </c>
      <c r="G1884" t="s">
        <v>306</v>
      </c>
      <c r="H1884" t="s">
        <v>32</v>
      </c>
      <c r="I1884">
        <v>17</v>
      </c>
    </row>
    <row r="1885" spans="1:9" ht="21.75" customHeight="1">
      <c r="A1885" t="s">
        <v>2035</v>
      </c>
      <c r="B1885" s="3">
        <v>45627</v>
      </c>
      <c r="C1885" t="s">
        <v>317</v>
      </c>
      <c r="D1885" t="s">
        <v>70</v>
      </c>
      <c r="E1885" t="s">
        <v>17</v>
      </c>
      <c r="F1885" t="str">
        <f t="shared" si="29"/>
        <v>East</v>
      </c>
      <c r="G1885" t="s">
        <v>42</v>
      </c>
      <c r="H1885" t="s">
        <v>13</v>
      </c>
      <c r="I1885">
        <v>8</v>
      </c>
    </row>
    <row r="1886" spans="1:9" ht="21.75" customHeight="1">
      <c r="A1886" t="s">
        <v>2036</v>
      </c>
      <c r="B1886" s="3">
        <v>45461</v>
      </c>
      <c r="C1886" t="s">
        <v>642</v>
      </c>
      <c r="D1886" t="s">
        <v>119</v>
      </c>
      <c r="E1886" t="s">
        <v>22</v>
      </c>
      <c r="F1886" t="str">
        <f t="shared" si="29"/>
        <v>Central</v>
      </c>
      <c r="G1886" t="s">
        <v>306</v>
      </c>
      <c r="H1886" t="s">
        <v>23</v>
      </c>
      <c r="I1886">
        <v>12</v>
      </c>
    </row>
    <row r="1887" spans="1:9" ht="21.75" customHeight="1">
      <c r="A1887" t="s">
        <v>2037</v>
      </c>
      <c r="B1887" s="3">
        <v>45350</v>
      </c>
      <c r="C1887" t="s">
        <v>108</v>
      </c>
      <c r="D1887" t="s">
        <v>119</v>
      </c>
      <c r="E1887" t="s">
        <v>22</v>
      </c>
      <c r="F1887" t="str">
        <f t="shared" si="29"/>
        <v>South</v>
      </c>
      <c r="G1887" t="s">
        <v>56</v>
      </c>
      <c r="H1887" t="s">
        <v>13</v>
      </c>
      <c r="I1887">
        <v>11</v>
      </c>
    </row>
    <row r="1888" spans="1:9" ht="21.75" customHeight="1">
      <c r="A1888" t="s">
        <v>2038</v>
      </c>
      <c r="B1888" s="3">
        <v>45616</v>
      </c>
      <c r="C1888" t="s">
        <v>61</v>
      </c>
      <c r="D1888" t="s">
        <v>174</v>
      </c>
      <c r="E1888" t="s">
        <v>22</v>
      </c>
      <c r="F1888" t="str">
        <f t="shared" si="29"/>
        <v>East</v>
      </c>
      <c r="G1888" t="s">
        <v>42</v>
      </c>
      <c r="H1888" t="s">
        <v>13</v>
      </c>
      <c r="I1888">
        <v>2</v>
      </c>
    </row>
    <row r="1889" spans="1:9" ht="21.75" customHeight="1">
      <c r="A1889" t="s">
        <v>2039</v>
      </c>
      <c r="B1889" s="3">
        <v>45544</v>
      </c>
      <c r="C1889" t="s">
        <v>99</v>
      </c>
      <c r="D1889" t="s">
        <v>62</v>
      </c>
      <c r="E1889" t="s">
        <v>22</v>
      </c>
      <c r="F1889" t="str">
        <f t="shared" si="29"/>
        <v>West</v>
      </c>
      <c r="G1889" t="s">
        <v>27</v>
      </c>
      <c r="H1889" t="s">
        <v>13</v>
      </c>
      <c r="I1889">
        <v>9</v>
      </c>
    </row>
    <row r="1890" spans="1:9" ht="21.75" customHeight="1">
      <c r="A1890" t="s">
        <v>2040</v>
      </c>
      <c r="B1890" s="3">
        <v>45388</v>
      </c>
      <c r="C1890" t="s">
        <v>114</v>
      </c>
      <c r="D1890" t="s">
        <v>31</v>
      </c>
      <c r="E1890" t="s">
        <v>11</v>
      </c>
      <c r="F1890" t="str">
        <f t="shared" si="29"/>
        <v>West</v>
      </c>
      <c r="G1890" t="s">
        <v>27</v>
      </c>
      <c r="H1890" t="s">
        <v>28</v>
      </c>
      <c r="I1890">
        <v>11</v>
      </c>
    </row>
    <row r="1891" spans="1:9" ht="21.75" customHeight="1">
      <c r="A1891" t="s">
        <v>2041</v>
      </c>
      <c r="B1891" s="3">
        <v>45504</v>
      </c>
      <c r="C1891" t="s">
        <v>116</v>
      </c>
      <c r="D1891" t="s">
        <v>21</v>
      </c>
      <c r="E1891" t="s">
        <v>22</v>
      </c>
      <c r="F1891" t="str">
        <f t="shared" si="29"/>
        <v>Central</v>
      </c>
      <c r="G1891" t="s">
        <v>306</v>
      </c>
      <c r="H1891" t="s">
        <v>13</v>
      </c>
      <c r="I1891">
        <v>15</v>
      </c>
    </row>
    <row r="1892" spans="1:9" ht="21.75" customHeight="1">
      <c r="A1892" t="s">
        <v>2042</v>
      </c>
      <c r="B1892" s="3">
        <v>45593</v>
      </c>
      <c r="C1892" t="s">
        <v>358</v>
      </c>
      <c r="D1892" t="s">
        <v>16</v>
      </c>
      <c r="E1892" t="s">
        <v>17</v>
      </c>
      <c r="F1892" t="str">
        <f t="shared" si="29"/>
        <v>North</v>
      </c>
      <c r="G1892" t="s">
        <v>12</v>
      </c>
      <c r="H1892" t="s">
        <v>36</v>
      </c>
      <c r="I1892">
        <v>2</v>
      </c>
    </row>
    <row r="1893" spans="1:9" ht="21.75" customHeight="1">
      <c r="A1893" t="s">
        <v>2043</v>
      </c>
      <c r="B1893" s="3">
        <v>45513</v>
      </c>
      <c r="C1893" t="s">
        <v>361</v>
      </c>
      <c r="D1893" t="s">
        <v>35</v>
      </c>
      <c r="E1893" t="s">
        <v>22</v>
      </c>
      <c r="F1893" t="str">
        <f t="shared" si="29"/>
        <v>South</v>
      </c>
      <c r="G1893" t="s">
        <v>56</v>
      </c>
      <c r="H1893" t="s">
        <v>36</v>
      </c>
      <c r="I1893">
        <v>6</v>
      </c>
    </row>
    <row r="1894" spans="1:9" ht="21.75" customHeight="1">
      <c r="A1894" t="s">
        <v>2044</v>
      </c>
      <c r="B1894" s="3">
        <v>45357</v>
      </c>
      <c r="C1894" t="s">
        <v>15</v>
      </c>
      <c r="D1894" t="s">
        <v>31</v>
      </c>
      <c r="E1894" t="s">
        <v>22</v>
      </c>
      <c r="F1894" t="str">
        <f t="shared" si="29"/>
        <v>Central</v>
      </c>
      <c r="G1894" t="s">
        <v>306</v>
      </c>
      <c r="H1894" t="s">
        <v>36</v>
      </c>
      <c r="I1894">
        <v>11</v>
      </c>
    </row>
    <row r="1895" spans="1:9" ht="21.75" customHeight="1">
      <c r="A1895" t="s">
        <v>2045</v>
      </c>
      <c r="B1895" s="3">
        <v>45488</v>
      </c>
      <c r="C1895" t="s">
        <v>572</v>
      </c>
      <c r="D1895" t="s">
        <v>109</v>
      </c>
      <c r="E1895" t="s">
        <v>22</v>
      </c>
      <c r="F1895" t="str">
        <f t="shared" si="29"/>
        <v>South</v>
      </c>
      <c r="G1895" t="s">
        <v>56</v>
      </c>
      <c r="H1895" t="s">
        <v>32</v>
      </c>
      <c r="I1895">
        <v>13</v>
      </c>
    </row>
    <row r="1896" spans="1:9" ht="21.75" customHeight="1">
      <c r="A1896" t="s">
        <v>2046</v>
      </c>
      <c r="B1896" s="3">
        <v>45442</v>
      </c>
      <c r="C1896" t="s">
        <v>430</v>
      </c>
      <c r="D1896" t="s">
        <v>16</v>
      </c>
      <c r="E1896" t="s">
        <v>11</v>
      </c>
      <c r="F1896" t="str">
        <f t="shared" si="29"/>
        <v>West</v>
      </c>
      <c r="G1896" t="s">
        <v>27</v>
      </c>
      <c r="H1896" t="s">
        <v>36</v>
      </c>
      <c r="I1896">
        <v>17</v>
      </c>
    </row>
    <row r="1897" spans="1:9" ht="21.75" customHeight="1">
      <c r="A1897" t="s">
        <v>2047</v>
      </c>
      <c r="B1897" s="3">
        <v>45651</v>
      </c>
      <c r="C1897" t="s">
        <v>378</v>
      </c>
      <c r="D1897" t="s">
        <v>72</v>
      </c>
      <c r="E1897" t="s">
        <v>22</v>
      </c>
      <c r="F1897" t="str">
        <f t="shared" si="29"/>
        <v>Central</v>
      </c>
      <c r="G1897" t="s">
        <v>306</v>
      </c>
      <c r="H1897" t="s">
        <v>28</v>
      </c>
      <c r="I1897">
        <v>7</v>
      </c>
    </row>
    <row r="1898" spans="1:9" ht="21.75" customHeight="1">
      <c r="A1898" t="s">
        <v>2048</v>
      </c>
      <c r="B1898" s="3">
        <v>45440</v>
      </c>
      <c r="C1898" t="s">
        <v>455</v>
      </c>
      <c r="D1898" t="s">
        <v>48</v>
      </c>
      <c r="E1898" t="s">
        <v>22</v>
      </c>
      <c r="F1898" t="str">
        <f t="shared" si="29"/>
        <v>South</v>
      </c>
      <c r="G1898" t="s">
        <v>56</v>
      </c>
      <c r="H1898" t="s">
        <v>28</v>
      </c>
      <c r="I1898">
        <v>17</v>
      </c>
    </row>
    <row r="1899" spans="1:9" ht="21.75" customHeight="1">
      <c r="A1899" t="s">
        <v>2049</v>
      </c>
      <c r="B1899" s="3">
        <v>45618</v>
      </c>
      <c r="C1899" t="s">
        <v>187</v>
      </c>
      <c r="D1899" t="s">
        <v>62</v>
      </c>
      <c r="E1899" t="s">
        <v>11</v>
      </c>
      <c r="F1899" t="str">
        <f t="shared" si="29"/>
        <v>East</v>
      </c>
      <c r="G1899" t="s">
        <v>42</v>
      </c>
      <c r="H1899" t="s">
        <v>36</v>
      </c>
      <c r="I1899">
        <v>16</v>
      </c>
    </row>
    <row r="1900" spans="1:9" ht="21.75" customHeight="1">
      <c r="A1900" t="s">
        <v>2050</v>
      </c>
      <c r="B1900" s="3">
        <v>45633</v>
      </c>
      <c r="C1900" t="s">
        <v>369</v>
      </c>
      <c r="D1900" t="s">
        <v>87</v>
      </c>
      <c r="E1900" t="s">
        <v>22</v>
      </c>
      <c r="F1900" t="str">
        <f t="shared" si="29"/>
        <v>Central</v>
      </c>
      <c r="G1900" t="s">
        <v>306</v>
      </c>
      <c r="H1900" t="s">
        <v>32</v>
      </c>
      <c r="I1900">
        <v>14</v>
      </c>
    </row>
    <row r="1901" spans="1:9" ht="21.75" customHeight="1">
      <c r="A1901" t="s">
        <v>2051</v>
      </c>
      <c r="B1901" s="3">
        <v>45559</v>
      </c>
      <c r="C1901" t="s">
        <v>15</v>
      </c>
      <c r="D1901" t="s">
        <v>96</v>
      </c>
      <c r="E1901" t="s">
        <v>17</v>
      </c>
      <c r="F1901" t="str">
        <f t="shared" si="29"/>
        <v>South</v>
      </c>
      <c r="G1901" t="s">
        <v>56</v>
      </c>
      <c r="H1901" t="s">
        <v>13</v>
      </c>
      <c r="I1901">
        <v>2</v>
      </c>
    </row>
    <row r="1902" spans="1:9" ht="21.75" customHeight="1">
      <c r="A1902" t="s">
        <v>2052</v>
      </c>
      <c r="B1902" s="3">
        <v>45374</v>
      </c>
      <c r="C1902" t="s">
        <v>55</v>
      </c>
      <c r="D1902" t="s">
        <v>41</v>
      </c>
      <c r="E1902" t="s">
        <v>17</v>
      </c>
      <c r="F1902" t="str">
        <f t="shared" si="29"/>
        <v>South</v>
      </c>
      <c r="G1902" t="s">
        <v>56</v>
      </c>
      <c r="H1902" t="s">
        <v>13</v>
      </c>
      <c r="I1902">
        <v>10</v>
      </c>
    </row>
    <row r="1903" spans="1:9" ht="21.75" customHeight="1">
      <c r="A1903" t="s">
        <v>2053</v>
      </c>
      <c r="B1903" s="3">
        <v>45569</v>
      </c>
      <c r="C1903" t="s">
        <v>122</v>
      </c>
      <c r="D1903" t="s">
        <v>48</v>
      </c>
      <c r="E1903" t="s">
        <v>17</v>
      </c>
      <c r="F1903" t="str">
        <f t="shared" si="29"/>
        <v>North</v>
      </c>
      <c r="G1903" t="s">
        <v>12</v>
      </c>
      <c r="H1903" t="s">
        <v>36</v>
      </c>
      <c r="I1903">
        <v>18</v>
      </c>
    </row>
    <row r="1904" spans="1:9" ht="21.75" customHeight="1">
      <c r="A1904" t="s">
        <v>2054</v>
      </c>
      <c r="B1904" s="3">
        <v>45623</v>
      </c>
      <c r="C1904" t="s">
        <v>642</v>
      </c>
      <c r="D1904" t="s">
        <v>31</v>
      </c>
      <c r="E1904" t="s">
        <v>11</v>
      </c>
      <c r="F1904" t="str">
        <f t="shared" si="29"/>
        <v>Central</v>
      </c>
      <c r="G1904" t="s">
        <v>306</v>
      </c>
      <c r="H1904" t="s">
        <v>32</v>
      </c>
      <c r="I1904">
        <v>2</v>
      </c>
    </row>
    <row r="1905" spans="1:9" ht="21.75" customHeight="1">
      <c r="A1905" t="s">
        <v>2055</v>
      </c>
      <c r="B1905" s="3">
        <v>45490</v>
      </c>
      <c r="C1905" t="s">
        <v>572</v>
      </c>
      <c r="D1905" t="s">
        <v>41</v>
      </c>
      <c r="E1905" t="s">
        <v>17</v>
      </c>
      <c r="F1905" t="str">
        <f t="shared" si="29"/>
        <v>Central</v>
      </c>
      <c r="G1905" t="s">
        <v>306</v>
      </c>
      <c r="H1905" t="s">
        <v>13</v>
      </c>
      <c r="I1905">
        <v>1</v>
      </c>
    </row>
    <row r="1906" spans="1:9" ht="21.75" customHeight="1">
      <c r="A1906" t="s">
        <v>2056</v>
      </c>
      <c r="B1906" s="3">
        <v>45395</v>
      </c>
      <c r="C1906" t="s">
        <v>381</v>
      </c>
      <c r="D1906" t="s">
        <v>119</v>
      </c>
      <c r="E1906" t="s">
        <v>17</v>
      </c>
      <c r="F1906" t="str">
        <f t="shared" si="29"/>
        <v>South</v>
      </c>
      <c r="G1906" t="s">
        <v>56</v>
      </c>
      <c r="H1906" t="s">
        <v>32</v>
      </c>
      <c r="I1906">
        <v>19</v>
      </c>
    </row>
    <row r="1907" spans="1:9" ht="21.75" customHeight="1">
      <c r="A1907" t="s">
        <v>2057</v>
      </c>
      <c r="B1907" s="3">
        <v>45600</v>
      </c>
      <c r="C1907" t="s">
        <v>104</v>
      </c>
      <c r="D1907" t="s">
        <v>119</v>
      </c>
      <c r="E1907" t="s">
        <v>22</v>
      </c>
      <c r="F1907" t="str">
        <f t="shared" si="29"/>
        <v>South</v>
      </c>
      <c r="G1907" t="s">
        <v>56</v>
      </c>
      <c r="H1907" t="s">
        <v>32</v>
      </c>
      <c r="I1907">
        <v>15</v>
      </c>
    </row>
    <row r="1908" spans="1:9" ht="21.75" customHeight="1">
      <c r="A1908" t="s">
        <v>2058</v>
      </c>
      <c r="B1908" s="3">
        <v>45641</v>
      </c>
      <c r="C1908" t="s">
        <v>208</v>
      </c>
      <c r="D1908" t="s">
        <v>45</v>
      </c>
      <c r="E1908" t="s">
        <v>11</v>
      </c>
      <c r="F1908" t="str">
        <f t="shared" si="29"/>
        <v>Central</v>
      </c>
      <c r="G1908" t="s">
        <v>306</v>
      </c>
      <c r="H1908" t="s">
        <v>13</v>
      </c>
      <c r="I1908">
        <v>13</v>
      </c>
    </row>
    <row r="1909" spans="1:9" ht="21.75" customHeight="1">
      <c r="A1909" t="s">
        <v>2059</v>
      </c>
      <c r="B1909" s="3">
        <v>45434</v>
      </c>
      <c r="C1909" t="s">
        <v>642</v>
      </c>
      <c r="D1909" t="s">
        <v>26</v>
      </c>
      <c r="E1909" t="s">
        <v>11</v>
      </c>
      <c r="F1909" t="str">
        <f t="shared" si="29"/>
        <v>South</v>
      </c>
      <c r="G1909" t="s">
        <v>56</v>
      </c>
      <c r="H1909" t="s">
        <v>36</v>
      </c>
      <c r="I1909">
        <v>9</v>
      </c>
    </row>
    <row r="1910" spans="1:9" ht="21.75" customHeight="1">
      <c r="A1910" t="s">
        <v>2060</v>
      </c>
      <c r="B1910" s="3">
        <v>45530</v>
      </c>
      <c r="C1910" t="s">
        <v>369</v>
      </c>
      <c r="D1910" t="s">
        <v>16</v>
      </c>
      <c r="E1910" t="s">
        <v>11</v>
      </c>
      <c r="F1910" t="str">
        <f t="shared" si="29"/>
        <v>South</v>
      </c>
      <c r="G1910" t="s">
        <v>56</v>
      </c>
      <c r="H1910" t="s">
        <v>32</v>
      </c>
      <c r="I1910">
        <v>20</v>
      </c>
    </row>
    <row r="1911" spans="1:9" ht="21.75" customHeight="1">
      <c r="A1911" t="s">
        <v>2061</v>
      </c>
      <c r="B1911" s="3">
        <v>45612</v>
      </c>
      <c r="C1911" t="s">
        <v>594</v>
      </c>
      <c r="D1911" t="s">
        <v>41</v>
      </c>
      <c r="E1911" t="s">
        <v>17</v>
      </c>
      <c r="F1911" t="str">
        <f t="shared" si="29"/>
        <v>West</v>
      </c>
      <c r="G1911" t="s">
        <v>27</v>
      </c>
      <c r="H1911" t="s">
        <v>36</v>
      </c>
      <c r="I1911">
        <v>18</v>
      </c>
    </row>
    <row r="1912" spans="1:9" ht="21.75" customHeight="1">
      <c r="A1912" t="s">
        <v>2062</v>
      </c>
      <c r="B1912" s="3">
        <v>45654</v>
      </c>
      <c r="C1912" t="s">
        <v>38</v>
      </c>
      <c r="D1912" t="s">
        <v>160</v>
      </c>
      <c r="E1912" t="s">
        <v>11</v>
      </c>
      <c r="F1912" t="str">
        <f t="shared" si="29"/>
        <v>South</v>
      </c>
      <c r="G1912" t="s">
        <v>56</v>
      </c>
      <c r="H1912" t="s">
        <v>36</v>
      </c>
      <c r="I1912">
        <v>3</v>
      </c>
    </row>
    <row r="1913" spans="1:9" ht="21.75" customHeight="1">
      <c r="A1913" t="s">
        <v>2063</v>
      </c>
      <c r="B1913" s="3">
        <v>45373</v>
      </c>
      <c r="C1913" t="s">
        <v>572</v>
      </c>
      <c r="D1913" t="s">
        <v>174</v>
      </c>
      <c r="E1913" t="s">
        <v>22</v>
      </c>
      <c r="F1913" t="str">
        <f t="shared" si="29"/>
        <v>West</v>
      </c>
      <c r="G1913" t="s">
        <v>27</v>
      </c>
      <c r="H1913" t="s">
        <v>13</v>
      </c>
      <c r="I1913">
        <v>12</v>
      </c>
    </row>
    <row r="1914" spans="1:9" ht="21.75" customHeight="1">
      <c r="A1914" t="s">
        <v>2064</v>
      </c>
      <c r="B1914" s="3">
        <v>45401</v>
      </c>
      <c r="C1914" t="s">
        <v>371</v>
      </c>
      <c r="D1914" t="s">
        <v>72</v>
      </c>
      <c r="E1914" t="s">
        <v>17</v>
      </c>
      <c r="F1914" t="str">
        <f t="shared" si="29"/>
        <v>East</v>
      </c>
      <c r="G1914" t="s">
        <v>42</v>
      </c>
      <c r="H1914" t="s">
        <v>32</v>
      </c>
      <c r="I1914">
        <v>7</v>
      </c>
    </row>
    <row r="1915" spans="1:9" ht="21.75" customHeight="1">
      <c r="A1915" t="s">
        <v>2065</v>
      </c>
      <c r="B1915" s="3">
        <v>45608</v>
      </c>
      <c r="C1915" t="s">
        <v>339</v>
      </c>
      <c r="D1915" t="s">
        <v>35</v>
      </c>
      <c r="E1915" t="s">
        <v>22</v>
      </c>
      <c r="F1915" t="str">
        <f t="shared" si="29"/>
        <v>North</v>
      </c>
      <c r="G1915" t="s">
        <v>12</v>
      </c>
      <c r="H1915" t="s">
        <v>13</v>
      </c>
      <c r="I1915">
        <v>12</v>
      </c>
    </row>
    <row r="1916" spans="1:9" ht="21.75" customHeight="1">
      <c r="A1916" t="s">
        <v>2066</v>
      </c>
      <c r="B1916" s="3">
        <v>45620</v>
      </c>
      <c r="C1916" t="s">
        <v>594</v>
      </c>
      <c r="D1916" t="s">
        <v>109</v>
      </c>
      <c r="E1916" t="s">
        <v>11</v>
      </c>
      <c r="F1916" t="str">
        <f t="shared" si="29"/>
        <v>North</v>
      </c>
      <c r="G1916" t="s">
        <v>12</v>
      </c>
      <c r="H1916" t="s">
        <v>32</v>
      </c>
      <c r="I1916">
        <v>13</v>
      </c>
    </row>
    <row r="1917" spans="1:9" ht="21.75" customHeight="1">
      <c r="A1917" t="s">
        <v>2067</v>
      </c>
      <c r="B1917" s="3">
        <v>45350</v>
      </c>
      <c r="C1917" t="s">
        <v>53</v>
      </c>
      <c r="D1917" t="s">
        <v>26</v>
      </c>
      <c r="E1917" t="s">
        <v>22</v>
      </c>
      <c r="F1917" t="str">
        <f t="shared" si="29"/>
        <v>East</v>
      </c>
      <c r="G1917" t="s">
        <v>42</v>
      </c>
      <c r="H1917" t="s">
        <v>13</v>
      </c>
      <c r="I1917">
        <v>17</v>
      </c>
    </row>
    <row r="1918" spans="1:9" ht="21.75" customHeight="1">
      <c r="A1918" t="s">
        <v>2068</v>
      </c>
      <c r="B1918" s="3">
        <v>45483</v>
      </c>
      <c r="C1918" t="s">
        <v>345</v>
      </c>
      <c r="D1918" t="s">
        <v>160</v>
      </c>
      <c r="E1918" t="s">
        <v>17</v>
      </c>
      <c r="F1918" t="str">
        <f t="shared" si="29"/>
        <v>West</v>
      </c>
      <c r="G1918" t="s">
        <v>27</v>
      </c>
      <c r="H1918" t="s">
        <v>13</v>
      </c>
      <c r="I1918">
        <v>10</v>
      </c>
    </row>
    <row r="1919" spans="1:9" ht="21.75" customHeight="1">
      <c r="A1919" t="s">
        <v>2069</v>
      </c>
      <c r="B1919" s="3">
        <v>45390</v>
      </c>
      <c r="C1919" t="s">
        <v>187</v>
      </c>
      <c r="D1919" t="s">
        <v>160</v>
      </c>
      <c r="E1919" t="s">
        <v>11</v>
      </c>
      <c r="F1919" t="str">
        <f t="shared" si="29"/>
        <v>North</v>
      </c>
      <c r="G1919" t="s">
        <v>12</v>
      </c>
      <c r="H1919" t="s">
        <v>28</v>
      </c>
      <c r="I1919">
        <v>18</v>
      </c>
    </row>
    <row r="1920" spans="1:9" ht="21.75" customHeight="1">
      <c r="A1920" t="s">
        <v>2070</v>
      </c>
      <c r="B1920" s="3">
        <v>45612</v>
      </c>
      <c r="C1920" t="s">
        <v>58</v>
      </c>
      <c r="D1920" t="s">
        <v>65</v>
      </c>
      <c r="E1920" t="s">
        <v>22</v>
      </c>
      <c r="F1920" t="str">
        <f t="shared" si="29"/>
        <v>South</v>
      </c>
      <c r="G1920" t="s">
        <v>56</v>
      </c>
      <c r="H1920" t="s">
        <v>23</v>
      </c>
      <c r="I1920">
        <v>4</v>
      </c>
    </row>
    <row r="1921" spans="1:9" ht="21.75" customHeight="1">
      <c r="A1921" t="s">
        <v>2071</v>
      </c>
      <c r="B1921" s="3">
        <v>45651</v>
      </c>
      <c r="C1921" t="s">
        <v>304</v>
      </c>
      <c r="D1921" t="s">
        <v>119</v>
      </c>
      <c r="E1921" t="s">
        <v>17</v>
      </c>
      <c r="F1921" t="str">
        <f t="shared" si="29"/>
        <v>North</v>
      </c>
      <c r="G1921" t="s">
        <v>12</v>
      </c>
      <c r="H1921" t="s">
        <v>28</v>
      </c>
      <c r="I1921">
        <v>1</v>
      </c>
    </row>
    <row r="1922" spans="1:9" ht="21.75" customHeight="1">
      <c r="A1922" t="s">
        <v>2072</v>
      </c>
      <c r="B1922" s="3">
        <v>45461</v>
      </c>
      <c r="C1922" t="s">
        <v>122</v>
      </c>
      <c r="D1922" t="s">
        <v>10</v>
      </c>
      <c r="E1922" t="s">
        <v>11</v>
      </c>
      <c r="F1922" t="str">
        <f t="shared" si="29"/>
        <v>North</v>
      </c>
      <c r="G1922" t="s">
        <v>12</v>
      </c>
      <c r="H1922" t="s">
        <v>28</v>
      </c>
      <c r="I1922">
        <v>9</v>
      </c>
    </row>
    <row r="1923" spans="1:9" ht="21.75" customHeight="1">
      <c r="A1923" t="s">
        <v>2073</v>
      </c>
      <c r="B1923" s="3">
        <v>45586</v>
      </c>
      <c r="C1923" t="s">
        <v>51</v>
      </c>
      <c r="D1923" t="s">
        <v>26</v>
      </c>
      <c r="E1923" t="s">
        <v>17</v>
      </c>
      <c r="F1923" t="str">
        <f t="shared" ref="F1923:F1986" si="30">TRIM(PROPER(G1923))</f>
        <v>West</v>
      </c>
      <c r="G1923" t="s">
        <v>27</v>
      </c>
      <c r="H1923" t="s">
        <v>23</v>
      </c>
      <c r="I1923">
        <v>13</v>
      </c>
    </row>
    <row r="1924" spans="1:9" ht="21.75" customHeight="1">
      <c r="A1924" t="s">
        <v>2074</v>
      </c>
      <c r="B1924" s="3">
        <v>45300</v>
      </c>
      <c r="C1924" t="s">
        <v>53</v>
      </c>
      <c r="D1924" t="s">
        <v>41</v>
      </c>
      <c r="E1924" t="s">
        <v>11</v>
      </c>
      <c r="F1924" t="str">
        <f t="shared" si="30"/>
        <v>Central</v>
      </c>
      <c r="G1924" t="s">
        <v>306</v>
      </c>
      <c r="H1924" t="s">
        <v>13</v>
      </c>
      <c r="I1924">
        <v>20</v>
      </c>
    </row>
    <row r="1925" spans="1:9" ht="21.75" customHeight="1">
      <c r="A1925" t="s">
        <v>2075</v>
      </c>
      <c r="B1925" s="3">
        <v>45591</v>
      </c>
      <c r="C1925" t="s">
        <v>116</v>
      </c>
      <c r="D1925" t="s">
        <v>62</v>
      </c>
      <c r="E1925" t="s">
        <v>11</v>
      </c>
      <c r="F1925" t="str">
        <f t="shared" si="30"/>
        <v>East</v>
      </c>
      <c r="G1925" t="s">
        <v>42</v>
      </c>
      <c r="H1925" t="s">
        <v>36</v>
      </c>
      <c r="I1925">
        <v>4</v>
      </c>
    </row>
    <row r="1926" spans="1:9" ht="21.75" customHeight="1">
      <c r="A1926" t="s">
        <v>2076</v>
      </c>
      <c r="B1926" s="3">
        <v>45643</v>
      </c>
      <c r="C1926" t="s">
        <v>68</v>
      </c>
      <c r="D1926" t="s">
        <v>109</v>
      </c>
      <c r="E1926" t="s">
        <v>11</v>
      </c>
      <c r="F1926" t="str">
        <f t="shared" si="30"/>
        <v>East</v>
      </c>
      <c r="G1926" t="s">
        <v>42</v>
      </c>
      <c r="H1926" t="s">
        <v>23</v>
      </c>
      <c r="I1926">
        <v>13</v>
      </c>
    </row>
    <row r="1927" spans="1:9" ht="21.75" customHeight="1">
      <c r="A1927" t="s">
        <v>2077</v>
      </c>
      <c r="B1927" s="3">
        <v>45630</v>
      </c>
      <c r="C1927" t="s">
        <v>64</v>
      </c>
      <c r="D1927" t="s">
        <v>35</v>
      </c>
      <c r="E1927" t="s">
        <v>11</v>
      </c>
      <c r="F1927" t="str">
        <f t="shared" si="30"/>
        <v>Central</v>
      </c>
      <c r="G1927" t="s">
        <v>306</v>
      </c>
      <c r="H1927" t="s">
        <v>28</v>
      </c>
      <c r="I1927">
        <v>5</v>
      </c>
    </row>
    <row r="1928" spans="1:9" ht="21.75" customHeight="1">
      <c r="A1928" t="s">
        <v>2078</v>
      </c>
      <c r="B1928" s="3">
        <v>45571</v>
      </c>
      <c r="C1928" t="s">
        <v>61</v>
      </c>
      <c r="D1928" t="s">
        <v>21</v>
      </c>
      <c r="E1928" t="s">
        <v>11</v>
      </c>
      <c r="F1928" t="str">
        <f t="shared" si="30"/>
        <v>East</v>
      </c>
      <c r="G1928" t="s">
        <v>42</v>
      </c>
      <c r="H1928" t="s">
        <v>32</v>
      </c>
      <c r="I1928">
        <v>1</v>
      </c>
    </row>
    <row r="1929" spans="1:9" ht="21.75" customHeight="1">
      <c r="A1929" t="s">
        <v>2079</v>
      </c>
      <c r="B1929" s="3">
        <v>45576</v>
      </c>
      <c r="C1929" t="s">
        <v>167</v>
      </c>
      <c r="D1929" t="s">
        <v>102</v>
      </c>
      <c r="E1929" t="s">
        <v>11</v>
      </c>
      <c r="F1929" t="str">
        <f t="shared" si="30"/>
        <v>North</v>
      </c>
      <c r="G1929" t="s">
        <v>12</v>
      </c>
      <c r="H1929" t="s">
        <v>36</v>
      </c>
      <c r="I1929">
        <v>20</v>
      </c>
    </row>
    <row r="1930" spans="1:9" ht="21.75" customHeight="1">
      <c r="A1930" t="s">
        <v>2080</v>
      </c>
      <c r="B1930" s="3">
        <v>45572</v>
      </c>
      <c r="C1930" t="s">
        <v>81</v>
      </c>
      <c r="D1930" t="s">
        <v>74</v>
      </c>
      <c r="E1930" t="s">
        <v>11</v>
      </c>
      <c r="F1930" t="str">
        <f t="shared" si="30"/>
        <v>East</v>
      </c>
      <c r="G1930" t="s">
        <v>42</v>
      </c>
      <c r="H1930" t="s">
        <v>28</v>
      </c>
      <c r="I1930">
        <v>14</v>
      </c>
    </row>
    <row r="1931" spans="1:9" ht="21.75" customHeight="1">
      <c r="A1931" t="s">
        <v>2081</v>
      </c>
      <c r="B1931" s="3">
        <v>45554</v>
      </c>
      <c r="C1931" t="s">
        <v>167</v>
      </c>
      <c r="D1931" t="s">
        <v>45</v>
      </c>
      <c r="E1931" t="s">
        <v>11</v>
      </c>
      <c r="F1931" t="str">
        <f t="shared" si="30"/>
        <v>South</v>
      </c>
      <c r="G1931" t="s">
        <v>56</v>
      </c>
      <c r="H1931" t="s">
        <v>36</v>
      </c>
      <c r="I1931">
        <v>9</v>
      </c>
    </row>
    <row r="1932" spans="1:9" ht="21.75" customHeight="1">
      <c r="A1932" t="s">
        <v>2082</v>
      </c>
      <c r="B1932" s="3">
        <v>45384</v>
      </c>
      <c r="C1932" t="s">
        <v>317</v>
      </c>
      <c r="D1932" t="s">
        <v>59</v>
      </c>
      <c r="E1932" t="s">
        <v>11</v>
      </c>
      <c r="F1932" t="str">
        <f t="shared" si="30"/>
        <v>Central</v>
      </c>
      <c r="G1932" t="s">
        <v>306</v>
      </c>
      <c r="H1932" t="s">
        <v>23</v>
      </c>
      <c r="I1932">
        <v>18</v>
      </c>
    </row>
    <row r="1933" spans="1:9" ht="21.75" customHeight="1">
      <c r="A1933" t="s">
        <v>2083</v>
      </c>
      <c r="B1933" s="3">
        <v>45635</v>
      </c>
      <c r="C1933" t="s">
        <v>58</v>
      </c>
      <c r="D1933" t="s">
        <v>26</v>
      </c>
      <c r="E1933" t="s">
        <v>11</v>
      </c>
      <c r="F1933" t="str">
        <f t="shared" si="30"/>
        <v>South</v>
      </c>
      <c r="G1933" t="s">
        <v>56</v>
      </c>
      <c r="H1933" t="s">
        <v>36</v>
      </c>
      <c r="I1933">
        <v>16</v>
      </c>
    </row>
    <row r="1934" spans="1:9" ht="21.75" customHeight="1">
      <c r="A1934" t="s">
        <v>2084</v>
      </c>
      <c r="B1934" s="3">
        <v>45474</v>
      </c>
      <c r="C1934" t="s">
        <v>34</v>
      </c>
      <c r="D1934" t="s">
        <v>41</v>
      </c>
      <c r="E1934" t="s">
        <v>22</v>
      </c>
      <c r="F1934" t="str">
        <f t="shared" si="30"/>
        <v>South</v>
      </c>
      <c r="G1934" t="s">
        <v>56</v>
      </c>
      <c r="H1934" t="s">
        <v>13</v>
      </c>
      <c r="I1934">
        <v>10</v>
      </c>
    </row>
    <row r="1935" spans="1:9" ht="21.75" customHeight="1">
      <c r="A1935" t="s">
        <v>2085</v>
      </c>
      <c r="B1935" s="3">
        <v>45391</v>
      </c>
      <c r="C1935" t="s">
        <v>38</v>
      </c>
      <c r="D1935" t="s">
        <v>35</v>
      </c>
      <c r="E1935" t="s">
        <v>17</v>
      </c>
      <c r="F1935" t="str">
        <f t="shared" si="30"/>
        <v>East</v>
      </c>
      <c r="G1935" t="s">
        <v>42</v>
      </c>
      <c r="H1935" t="s">
        <v>36</v>
      </c>
      <c r="I1935">
        <v>10</v>
      </c>
    </row>
    <row r="1936" spans="1:9" ht="21.75" customHeight="1">
      <c r="A1936" t="s">
        <v>2086</v>
      </c>
      <c r="B1936" s="3">
        <v>45370</v>
      </c>
      <c r="C1936" t="s">
        <v>614</v>
      </c>
      <c r="D1936" t="s">
        <v>59</v>
      </c>
      <c r="E1936" t="s">
        <v>17</v>
      </c>
      <c r="F1936" t="str">
        <f t="shared" si="30"/>
        <v>East</v>
      </c>
      <c r="G1936" t="s">
        <v>42</v>
      </c>
      <c r="H1936" t="s">
        <v>23</v>
      </c>
      <c r="I1936">
        <v>6</v>
      </c>
    </row>
    <row r="1937" spans="1:9" ht="21.75" customHeight="1">
      <c r="A1937" t="s">
        <v>2087</v>
      </c>
      <c r="B1937" s="3">
        <v>45418</v>
      </c>
      <c r="C1937" t="s">
        <v>728</v>
      </c>
      <c r="D1937" t="s">
        <v>197</v>
      </c>
      <c r="E1937" t="s">
        <v>22</v>
      </c>
      <c r="F1937" t="str">
        <f t="shared" si="30"/>
        <v>West</v>
      </c>
      <c r="G1937" t="s">
        <v>27</v>
      </c>
      <c r="H1937" t="s">
        <v>32</v>
      </c>
      <c r="I1937">
        <v>12</v>
      </c>
    </row>
    <row r="1938" spans="1:9" ht="21.75" customHeight="1">
      <c r="A1938" t="s">
        <v>2088</v>
      </c>
      <c r="B1938" s="3">
        <v>45461</v>
      </c>
      <c r="C1938" t="s">
        <v>517</v>
      </c>
      <c r="D1938" t="s">
        <v>70</v>
      </c>
      <c r="E1938" t="s">
        <v>17</v>
      </c>
      <c r="F1938" t="str">
        <f t="shared" si="30"/>
        <v>East</v>
      </c>
      <c r="G1938" t="s">
        <v>42</v>
      </c>
      <c r="H1938" t="s">
        <v>32</v>
      </c>
      <c r="I1938">
        <v>16</v>
      </c>
    </row>
    <row r="1939" spans="1:9" ht="21.75" customHeight="1">
      <c r="A1939" t="s">
        <v>2089</v>
      </c>
      <c r="B1939" s="3">
        <v>45381</v>
      </c>
      <c r="C1939" t="s">
        <v>736</v>
      </c>
      <c r="D1939" t="s">
        <v>109</v>
      </c>
      <c r="E1939" t="s">
        <v>11</v>
      </c>
      <c r="F1939" t="str">
        <f t="shared" si="30"/>
        <v>East</v>
      </c>
      <c r="G1939" t="s">
        <v>42</v>
      </c>
      <c r="H1939" t="s">
        <v>28</v>
      </c>
      <c r="I1939">
        <v>18</v>
      </c>
    </row>
    <row r="1940" spans="1:9" ht="21.75" customHeight="1">
      <c r="A1940" t="s">
        <v>2090</v>
      </c>
      <c r="B1940" s="3">
        <v>45612</v>
      </c>
      <c r="C1940" t="s">
        <v>208</v>
      </c>
      <c r="D1940" t="s">
        <v>84</v>
      </c>
      <c r="E1940" t="s">
        <v>11</v>
      </c>
      <c r="F1940" t="str">
        <f t="shared" si="30"/>
        <v>North</v>
      </c>
      <c r="G1940" t="s">
        <v>12</v>
      </c>
      <c r="H1940" t="s">
        <v>36</v>
      </c>
      <c r="I1940">
        <v>1</v>
      </c>
    </row>
    <row r="1941" spans="1:9" ht="21.75" customHeight="1">
      <c r="A1941" t="s">
        <v>2091</v>
      </c>
      <c r="B1941" s="3">
        <v>45588</v>
      </c>
      <c r="C1941" t="s">
        <v>341</v>
      </c>
      <c r="D1941" t="s">
        <v>119</v>
      </c>
      <c r="E1941" t="s">
        <v>22</v>
      </c>
      <c r="F1941" t="str">
        <f t="shared" si="30"/>
        <v>South</v>
      </c>
      <c r="G1941" t="s">
        <v>56</v>
      </c>
      <c r="H1941" t="s">
        <v>13</v>
      </c>
      <c r="I1941">
        <v>18</v>
      </c>
    </row>
    <row r="1942" spans="1:9" ht="21.75" customHeight="1">
      <c r="A1942" t="s">
        <v>2092</v>
      </c>
      <c r="B1942" s="3">
        <v>45568</v>
      </c>
      <c r="C1942" t="s">
        <v>553</v>
      </c>
      <c r="D1942" t="s">
        <v>21</v>
      </c>
      <c r="E1942" t="s">
        <v>11</v>
      </c>
      <c r="F1942" t="str">
        <f t="shared" si="30"/>
        <v>East</v>
      </c>
      <c r="G1942" t="s">
        <v>42</v>
      </c>
      <c r="H1942" t="s">
        <v>23</v>
      </c>
      <c r="I1942">
        <v>8</v>
      </c>
    </row>
    <row r="1943" spans="1:9" ht="21.75" customHeight="1">
      <c r="A1943" t="s">
        <v>2093</v>
      </c>
      <c r="B1943" s="3">
        <v>45593</v>
      </c>
      <c r="C1943" t="s">
        <v>388</v>
      </c>
      <c r="D1943" t="s">
        <v>74</v>
      </c>
      <c r="E1943" t="s">
        <v>11</v>
      </c>
      <c r="F1943" t="str">
        <f t="shared" si="30"/>
        <v>West</v>
      </c>
      <c r="G1943" t="s">
        <v>27</v>
      </c>
      <c r="H1943" t="s">
        <v>36</v>
      </c>
      <c r="I1943">
        <v>17</v>
      </c>
    </row>
    <row r="1944" spans="1:9" ht="21.75" customHeight="1">
      <c r="A1944" t="s">
        <v>2094</v>
      </c>
      <c r="B1944" s="3">
        <v>45478</v>
      </c>
      <c r="C1944" t="s">
        <v>358</v>
      </c>
      <c r="D1944" t="s">
        <v>96</v>
      </c>
      <c r="E1944" t="s">
        <v>22</v>
      </c>
      <c r="F1944" t="str">
        <f t="shared" si="30"/>
        <v>South</v>
      </c>
      <c r="G1944" t="s">
        <v>56</v>
      </c>
      <c r="H1944" t="s">
        <v>36</v>
      </c>
      <c r="I1944">
        <v>6</v>
      </c>
    </row>
    <row r="1945" spans="1:9" ht="21.75" customHeight="1">
      <c r="A1945" t="s">
        <v>2095</v>
      </c>
      <c r="B1945" s="3">
        <v>45363</v>
      </c>
      <c r="C1945" t="s">
        <v>430</v>
      </c>
      <c r="D1945" t="s">
        <v>45</v>
      </c>
      <c r="E1945" t="s">
        <v>11</v>
      </c>
      <c r="F1945" t="str">
        <f t="shared" si="30"/>
        <v>Central</v>
      </c>
      <c r="G1945" t="s">
        <v>306</v>
      </c>
      <c r="H1945" t="s">
        <v>36</v>
      </c>
      <c r="I1945">
        <v>5</v>
      </c>
    </row>
    <row r="1946" spans="1:9" ht="21.75" customHeight="1">
      <c r="A1946" t="s">
        <v>2096</v>
      </c>
      <c r="B1946" s="3">
        <v>45539</v>
      </c>
      <c r="C1946" t="s">
        <v>182</v>
      </c>
      <c r="D1946" t="s">
        <v>79</v>
      </c>
      <c r="E1946" t="s">
        <v>11</v>
      </c>
      <c r="F1946" t="str">
        <f t="shared" si="30"/>
        <v>West</v>
      </c>
      <c r="G1946" t="s">
        <v>27</v>
      </c>
      <c r="H1946" t="s">
        <v>28</v>
      </c>
      <c r="I1946">
        <v>3</v>
      </c>
    </row>
    <row r="1947" spans="1:9" ht="21.75" customHeight="1">
      <c r="A1947" t="s">
        <v>2097</v>
      </c>
      <c r="B1947" s="3">
        <v>45411</v>
      </c>
      <c r="C1947" t="s">
        <v>116</v>
      </c>
      <c r="D1947" t="s">
        <v>41</v>
      </c>
      <c r="E1947" t="s">
        <v>11</v>
      </c>
      <c r="F1947" t="str">
        <f t="shared" si="30"/>
        <v>Central</v>
      </c>
      <c r="G1947" t="s">
        <v>306</v>
      </c>
      <c r="H1947" t="s">
        <v>32</v>
      </c>
      <c r="I1947">
        <v>13</v>
      </c>
    </row>
    <row r="1948" spans="1:9" ht="21.75" customHeight="1">
      <c r="A1948" t="s">
        <v>2098</v>
      </c>
      <c r="B1948" s="3">
        <v>45524</v>
      </c>
      <c r="C1948" t="s">
        <v>116</v>
      </c>
      <c r="D1948" t="s">
        <v>79</v>
      </c>
      <c r="E1948" t="s">
        <v>22</v>
      </c>
      <c r="F1948" t="str">
        <f t="shared" si="30"/>
        <v>East</v>
      </c>
      <c r="G1948" t="s">
        <v>42</v>
      </c>
      <c r="H1948" t="s">
        <v>13</v>
      </c>
      <c r="I1948">
        <v>17</v>
      </c>
    </row>
    <row r="1949" spans="1:9" ht="21.75" customHeight="1">
      <c r="A1949" t="s">
        <v>2099</v>
      </c>
      <c r="B1949" s="3">
        <v>45432</v>
      </c>
      <c r="C1949" t="s">
        <v>304</v>
      </c>
      <c r="D1949" t="s">
        <v>26</v>
      </c>
      <c r="E1949" t="s">
        <v>22</v>
      </c>
      <c r="F1949" t="str">
        <f t="shared" si="30"/>
        <v>Central</v>
      </c>
      <c r="G1949" t="s">
        <v>306</v>
      </c>
      <c r="H1949" t="s">
        <v>36</v>
      </c>
      <c r="I1949">
        <v>6</v>
      </c>
    </row>
    <row r="1950" spans="1:9" ht="21.75" customHeight="1">
      <c r="A1950" t="s">
        <v>2100</v>
      </c>
      <c r="B1950" s="3">
        <v>45485</v>
      </c>
      <c r="C1950" t="s">
        <v>83</v>
      </c>
      <c r="D1950" t="s">
        <v>59</v>
      </c>
      <c r="E1950" t="s">
        <v>22</v>
      </c>
      <c r="F1950" t="str">
        <f t="shared" si="30"/>
        <v>North</v>
      </c>
      <c r="G1950" t="s">
        <v>12</v>
      </c>
      <c r="H1950" t="s">
        <v>36</v>
      </c>
      <c r="I1950">
        <v>9</v>
      </c>
    </row>
    <row r="1951" spans="1:9" ht="21.75" customHeight="1">
      <c r="A1951" t="s">
        <v>2101</v>
      </c>
      <c r="B1951" s="3">
        <v>45406</v>
      </c>
      <c r="C1951" t="s">
        <v>363</v>
      </c>
      <c r="D1951" t="s">
        <v>31</v>
      </c>
      <c r="E1951" t="s">
        <v>17</v>
      </c>
      <c r="F1951" t="str">
        <f t="shared" si="30"/>
        <v>East</v>
      </c>
      <c r="G1951" t="s">
        <v>42</v>
      </c>
      <c r="H1951" t="s">
        <v>23</v>
      </c>
      <c r="I1951">
        <v>16</v>
      </c>
    </row>
    <row r="1952" spans="1:9" ht="21.75" customHeight="1">
      <c r="A1952" t="s">
        <v>2102</v>
      </c>
      <c r="B1952" s="3">
        <v>45295</v>
      </c>
      <c r="C1952" t="s">
        <v>358</v>
      </c>
      <c r="D1952" t="s">
        <v>16</v>
      </c>
      <c r="E1952" t="s">
        <v>17</v>
      </c>
      <c r="F1952" t="str">
        <f t="shared" si="30"/>
        <v>South</v>
      </c>
      <c r="G1952" t="s">
        <v>56</v>
      </c>
      <c r="H1952" t="s">
        <v>28</v>
      </c>
      <c r="I1952">
        <v>3</v>
      </c>
    </row>
    <row r="1953" spans="1:9" ht="21.75" customHeight="1">
      <c r="A1953" t="s">
        <v>2103</v>
      </c>
      <c r="B1953" s="3">
        <v>45435</v>
      </c>
      <c r="C1953" t="s">
        <v>133</v>
      </c>
      <c r="D1953" t="s">
        <v>16</v>
      </c>
      <c r="E1953" t="s">
        <v>11</v>
      </c>
      <c r="F1953" t="str">
        <f t="shared" si="30"/>
        <v>South</v>
      </c>
      <c r="G1953" t="s">
        <v>56</v>
      </c>
      <c r="H1953" t="s">
        <v>32</v>
      </c>
      <c r="I1953">
        <v>20</v>
      </c>
    </row>
    <row r="1954" spans="1:9" ht="21.75" customHeight="1">
      <c r="A1954" t="s">
        <v>2104</v>
      </c>
      <c r="B1954" s="3">
        <v>45352</v>
      </c>
      <c r="C1954" t="s">
        <v>371</v>
      </c>
      <c r="D1954" t="s">
        <v>197</v>
      </c>
      <c r="E1954" t="s">
        <v>17</v>
      </c>
      <c r="F1954" t="str">
        <f t="shared" si="30"/>
        <v>East</v>
      </c>
      <c r="G1954" t="s">
        <v>42</v>
      </c>
      <c r="H1954" t="s">
        <v>13</v>
      </c>
      <c r="I1954">
        <v>16</v>
      </c>
    </row>
    <row r="1955" spans="1:9" ht="21.75" customHeight="1">
      <c r="A1955" t="s">
        <v>2105</v>
      </c>
      <c r="B1955" s="3">
        <v>45537</v>
      </c>
      <c r="C1955" t="s">
        <v>95</v>
      </c>
      <c r="D1955" t="s">
        <v>59</v>
      </c>
      <c r="E1955" t="s">
        <v>11</v>
      </c>
      <c r="F1955" t="str">
        <f t="shared" si="30"/>
        <v>West</v>
      </c>
      <c r="G1955" t="s">
        <v>27</v>
      </c>
      <c r="H1955" t="s">
        <v>13</v>
      </c>
      <c r="I1955">
        <v>8</v>
      </c>
    </row>
    <row r="1956" spans="1:9" ht="21.75" customHeight="1">
      <c r="A1956" t="s">
        <v>2106</v>
      </c>
      <c r="B1956" s="3">
        <v>45585</v>
      </c>
      <c r="C1956" t="s">
        <v>449</v>
      </c>
      <c r="D1956" t="s">
        <v>45</v>
      </c>
      <c r="E1956" t="s">
        <v>11</v>
      </c>
      <c r="F1956" t="str">
        <f t="shared" si="30"/>
        <v>Central</v>
      </c>
      <c r="G1956" t="s">
        <v>306</v>
      </c>
      <c r="H1956" t="s">
        <v>13</v>
      </c>
      <c r="I1956">
        <v>19</v>
      </c>
    </row>
    <row r="1957" spans="1:9" ht="21.75" customHeight="1">
      <c r="A1957" t="s">
        <v>2107</v>
      </c>
      <c r="B1957" s="3">
        <v>45377</v>
      </c>
      <c r="C1957" t="s">
        <v>86</v>
      </c>
      <c r="D1957" t="s">
        <v>45</v>
      </c>
      <c r="E1957" t="s">
        <v>22</v>
      </c>
      <c r="F1957" t="str">
        <f t="shared" si="30"/>
        <v>West</v>
      </c>
      <c r="G1957" t="s">
        <v>27</v>
      </c>
      <c r="H1957" t="s">
        <v>36</v>
      </c>
      <c r="I1957">
        <v>19</v>
      </c>
    </row>
    <row r="1958" spans="1:9" ht="21.75" customHeight="1">
      <c r="A1958" t="s">
        <v>2108</v>
      </c>
      <c r="B1958" s="3">
        <v>45630</v>
      </c>
      <c r="C1958" t="s">
        <v>55</v>
      </c>
      <c r="D1958" t="s">
        <v>10</v>
      </c>
      <c r="E1958" t="s">
        <v>11</v>
      </c>
      <c r="F1958" t="str">
        <f t="shared" si="30"/>
        <v>West</v>
      </c>
      <c r="G1958" t="s">
        <v>27</v>
      </c>
      <c r="H1958" t="s">
        <v>36</v>
      </c>
      <c r="I1958">
        <v>16</v>
      </c>
    </row>
    <row r="1959" spans="1:9" ht="21.75" customHeight="1">
      <c r="A1959" t="s">
        <v>2109</v>
      </c>
      <c r="B1959" s="3">
        <v>45379</v>
      </c>
      <c r="C1959" t="s">
        <v>240</v>
      </c>
      <c r="D1959" t="s">
        <v>87</v>
      </c>
      <c r="E1959" t="s">
        <v>22</v>
      </c>
      <c r="F1959" t="str">
        <f t="shared" si="30"/>
        <v>South</v>
      </c>
      <c r="G1959" t="s">
        <v>56</v>
      </c>
      <c r="H1959" t="s">
        <v>36</v>
      </c>
      <c r="I1959">
        <v>6</v>
      </c>
    </row>
    <row r="1960" spans="1:9" ht="21.75" customHeight="1">
      <c r="A1960" t="s">
        <v>2110</v>
      </c>
      <c r="B1960" s="3">
        <v>45553</v>
      </c>
      <c r="C1960" t="s">
        <v>86</v>
      </c>
      <c r="D1960" t="s">
        <v>45</v>
      </c>
      <c r="E1960" t="s">
        <v>22</v>
      </c>
      <c r="F1960" t="str">
        <f t="shared" si="30"/>
        <v>East</v>
      </c>
      <c r="G1960" t="s">
        <v>42</v>
      </c>
      <c r="H1960" t="s">
        <v>23</v>
      </c>
      <c r="I1960">
        <v>20</v>
      </c>
    </row>
    <row r="1961" spans="1:9" ht="21.75" customHeight="1">
      <c r="A1961" t="s">
        <v>2111</v>
      </c>
      <c r="B1961" s="3">
        <v>45409</v>
      </c>
      <c r="C1961" t="s">
        <v>159</v>
      </c>
      <c r="D1961" t="s">
        <v>31</v>
      </c>
      <c r="E1961" t="s">
        <v>11</v>
      </c>
      <c r="F1961" t="str">
        <f t="shared" si="30"/>
        <v>North</v>
      </c>
      <c r="G1961" t="s">
        <v>12</v>
      </c>
      <c r="H1961" t="s">
        <v>13</v>
      </c>
      <c r="I1961">
        <v>7</v>
      </c>
    </row>
    <row r="1962" spans="1:9" ht="21.75" customHeight="1">
      <c r="A1962" t="s">
        <v>2112</v>
      </c>
      <c r="B1962" s="3">
        <v>45550</v>
      </c>
      <c r="C1962" t="s">
        <v>455</v>
      </c>
      <c r="D1962" t="s">
        <v>87</v>
      </c>
      <c r="E1962" t="s">
        <v>11</v>
      </c>
      <c r="F1962" t="str">
        <f t="shared" si="30"/>
        <v>Central</v>
      </c>
      <c r="G1962" t="s">
        <v>306</v>
      </c>
      <c r="H1962" t="s">
        <v>13</v>
      </c>
      <c r="I1962">
        <v>6</v>
      </c>
    </row>
    <row r="1963" spans="1:9" ht="21.75" customHeight="1">
      <c r="A1963" t="s">
        <v>2113</v>
      </c>
      <c r="B1963" s="3">
        <v>45606</v>
      </c>
      <c r="C1963" t="s">
        <v>327</v>
      </c>
      <c r="D1963" t="s">
        <v>79</v>
      </c>
      <c r="E1963" t="s">
        <v>22</v>
      </c>
      <c r="F1963" t="str">
        <f t="shared" si="30"/>
        <v>Central</v>
      </c>
      <c r="G1963" t="s">
        <v>306</v>
      </c>
      <c r="H1963" t="s">
        <v>13</v>
      </c>
      <c r="I1963">
        <v>3</v>
      </c>
    </row>
    <row r="1964" spans="1:9" ht="21.75" customHeight="1">
      <c r="A1964" t="s">
        <v>2114</v>
      </c>
      <c r="B1964" s="3">
        <v>45358</v>
      </c>
      <c r="C1964" t="s">
        <v>493</v>
      </c>
      <c r="D1964" t="s">
        <v>174</v>
      </c>
      <c r="E1964" t="s">
        <v>11</v>
      </c>
      <c r="F1964" t="str">
        <f t="shared" si="30"/>
        <v>West</v>
      </c>
      <c r="G1964" t="s">
        <v>27</v>
      </c>
      <c r="H1964" t="s">
        <v>36</v>
      </c>
      <c r="I1964">
        <v>14</v>
      </c>
    </row>
    <row r="1965" spans="1:9" ht="21.75" customHeight="1">
      <c r="A1965" t="s">
        <v>2115</v>
      </c>
      <c r="B1965" s="3">
        <v>45314</v>
      </c>
      <c r="C1965" t="s">
        <v>424</v>
      </c>
      <c r="D1965" t="s">
        <v>160</v>
      </c>
      <c r="E1965" t="s">
        <v>17</v>
      </c>
      <c r="F1965" t="str">
        <f t="shared" si="30"/>
        <v>South</v>
      </c>
      <c r="G1965" t="s">
        <v>56</v>
      </c>
      <c r="H1965" t="s">
        <v>23</v>
      </c>
      <c r="I1965">
        <v>13</v>
      </c>
    </row>
    <row r="1966" spans="1:9" ht="21.75" customHeight="1">
      <c r="A1966" t="s">
        <v>2116</v>
      </c>
      <c r="B1966" s="3">
        <v>45648</v>
      </c>
      <c r="C1966" t="s">
        <v>314</v>
      </c>
      <c r="D1966" t="s">
        <v>102</v>
      </c>
      <c r="E1966" t="s">
        <v>17</v>
      </c>
      <c r="F1966" t="str">
        <f t="shared" si="30"/>
        <v>South</v>
      </c>
      <c r="G1966" t="s">
        <v>56</v>
      </c>
      <c r="H1966" t="s">
        <v>32</v>
      </c>
      <c r="I1966">
        <v>16</v>
      </c>
    </row>
    <row r="1967" spans="1:9" ht="21.75" customHeight="1">
      <c r="A1967" t="s">
        <v>2117</v>
      </c>
      <c r="B1967" s="3">
        <v>45334</v>
      </c>
      <c r="C1967" t="s">
        <v>55</v>
      </c>
      <c r="D1967" t="s">
        <v>109</v>
      </c>
      <c r="E1967" t="s">
        <v>22</v>
      </c>
      <c r="F1967" t="str">
        <f t="shared" si="30"/>
        <v>West</v>
      </c>
      <c r="G1967" t="s">
        <v>27</v>
      </c>
      <c r="H1967" t="s">
        <v>32</v>
      </c>
      <c r="I1967">
        <v>7</v>
      </c>
    </row>
    <row r="1968" spans="1:9" ht="21.75" customHeight="1">
      <c r="A1968" t="s">
        <v>2118</v>
      </c>
      <c r="B1968" s="3">
        <v>45295</v>
      </c>
      <c r="C1968" t="s">
        <v>314</v>
      </c>
      <c r="D1968" t="s">
        <v>160</v>
      </c>
      <c r="E1968" t="s">
        <v>11</v>
      </c>
      <c r="F1968" t="str">
        <f t="shared" si="30"/>
        <v>Central</v>
      </c>
      <c r="G1968" t="s">
        <v>306</v>
      </c>
      <c r="H1968" t="s">
        <v>13</v>
      </c>
      <c r="I1968">
        <v>13</v>
      </c>
    </row>
    <row r="1969" spans="1:9" ht="21.75" customHeight="1">
      <c r="A1969" t="s">
        <v>2119</v>
      </c>
      <c r="B1969" s="3">
        <v>45644</v>
      </c>
      <c r="C1969" t="s">
        <v>38</v>
      </c>
      <c r="D1969" t="s">
        <v>87</v>
      </c>
      <c r="E1969" t="s">
        <v>17</v>
      </c>
      <c r="F1969" t="str">
        <f t="shared" si="30"/>
        <v>North</v>
      </c>
      <c r="G1969" t="s">
        <v>12</v>
      </c>
      <c r="H1969" t="s">
        <v>28</v>
      </c>
      <c r="I1969">
        <v>14</v>
      </c>
    </row>
    <row r="1970" spans="1:9" ht="21.75" customHeight="1">
      <c r="A1970" t="s">
        <v>2120</v>
      </c>
      <c r="B1970" s="3">
        <v>45421</v>
      </c>
      <c r="C1970" t="s">
        <v>86</v>
      </c>
      <c r="D1970" t="s">
        <v>174</v>
      </c>
      <c r="E1970" t="s">
        <v>17</v>
      </c>
      <c r="F1970" t="str">
        <f t="shared" si="30"/>
        <v>Central</v>
      </c>
      <c r="G1970" t="s">
        <v>306</v>
      </c>
      <c r="H1970" t="s">
        <v>32</v>
      </c>
      <c r="I1970">
        <v>20</v>
      </c>
    </row>
    <row r="1971" spans="1:9" ht="21.75" customHeight="1">
      <c r="A1971" t="s">
        <v>2121</v>
      </c>
      <c r="B1971" s="3">
        <v>45640</v>
      </c>
      <c r="C1971" t="s">
        <v>106</v>
      </c>
      <c r="D1971" t="s">
        <v>119</v>
      </c>
      <c r="E1971" t="s">
        <v>11</v>
      </c>
      <c r="F1971" t="str">
        <f t="shared" si="30"/>
        <v>West</v>
      </c>
      <c r="G1971" t="s">
        <v>27</v>
      </c>
      <c r="H1971" t="s">
        <v>36</v>
      </c>
      <c r="I1971">
        <v>18</v>
      </c>
    </row>
    <row r="1972" spans="1:9" ht="21.75" customHeight="1">
      <c r="A1972" t="s">
        <v>2122</v>
      </c>
      <c r="B1972" s="3">
        <v>45481</v>
      </c>
      <c r="C1972" t="s">
        <v>642</v>
      </c>
      <c r="D1972" t="s">
        <v>174</v>
      </c>
      <c r="E1972" t="s">
        <v>17</v>
      </c>
      <c r="F1972" t="str">
        <f t="shared" si="30"/>
        <v>East</v>
      </c>
      <c r="G1972" t="s">
        <v>42</v>
      </c>
      <c r="H1972" t="s">
        <v>32</v>
      </c>
      <c r="I1972">
        <v>19</v>
      </c>
    </row>
    <row r="1973" spans="1:9" ht="21.75" customHeight="1">
      <c r="A1973" t="s">
        <v>2123</v>
      </c>
      <c r="B1973" s="3">
        <v>45653</v>
      </c>
      <c r="C1973" t="s">
        <v>106</v>
      </c>
      <c r="D1973" t="s">
        <v>84</v>
      </c>
      <c r="E1973" t="s">
        <v>11</v>
      </c>
      <c r="F1973" t="str">
        <f t="shared" si="30"/>
        <v>North</v>
      </c>
      <c r="G1973" t="s">
        <v>12</v>
      </c>
      <c r="H1973" t="s">
        <v>28</v>
      </c>
      <c r="I1973">
        <v>15</v>
      </c>
    </row>
    <row r="1974" spans="1:9" ht="21.75" customHeight="1">
      <c r="A1974" t="s">
        <v>2124</v>
      </c>
      <c r="B1974" s="3">
        <v>45374</v>
      </c>
      <c r="C1974" t="s">
        <v>108</v>
      </c>
      <c r="D1974" t="s">
        <v>65</v>
      </c>
      <c r="E1974" t="s">
        <v>22</v>
      </c>
      <c r="F1974" t="str">
        <f t="shared" si="30"/>
        <v>West</v>
      </c>
      <c r="G1974" t="s">
        <v>27</v>
      </c>
      <c r="H1974" t="s">
        <v>32</v>
      </c>
      <c r="I1974">
        <v>18</v>
      </c>
    </row>
    <row r="1975" spans="1:9" ht="21.75" customHeight="1">
      <c r="A1975" t="s">
        <v>2125</v>
      </c>
      <c r="B1975" s="3">
        <v>45642</v>
      </c>
      <c r="C1975" t="s">
        <v>369</v>
      </c>
      <c r="D1975" t="s">
        <v>79</v>
      </c>
      <c r="E1975" t="s">
        <v>11</v>
      </c>
      <c r="F1975" t="str">
        <f t="shared" si="30"/>
        <v>West</v>
      </c>
      <c r="G1975" t="s">
        <v>27</v>
      </c>
      <c r="H1975" t="s">
        <v>13</v>
      </c>
      <c r="I1975">
        <v>3</v>
      </c>
    </row>
    <row r="1976" spans="1:9" ht="21.75" customHeight="1">
      <c r="A1976" t="s">
        <v>2126</v>
      </c>
      <c r="B1976" s="3">
        <v>45533</v>
      </c>
      <c r="C1976" t="s">
        <v>327</v>
      </c>
      <c r="D1976" t="s">
        <v>87</v>
      </c>
      <c r="E1976" t="s">
        <v>11</v>
      </c>
      <c r="F1976" t="str">
        <f t="shared" si="30"/>
        <v>North</v>
      </c>
      <c r="G1976" t="s">
        <v>12</v>
      </c>
      <c r="H1976" t="s">
        <v>32</v>
      </c>
      <c r="I1976">
        <v>8</v>
      </c>
    </row>
    <row r="1977" spans="1:9" ht="21.75" customHeight="1">
      <c r="A1977" t="s">
        <v>2127</v>
      </c>
      <c r="B1977" s="3">
        <v>45603</v>
      </c>
      <c r="C1977" t="s">
        <v>122</v>
      </c>
      <c r="D1977" t="s">
        <v>84</v>
      </c>
      <c r="E1977" t="s">
        <v>17</v>
      </c>
      <c r="F1977" t="str">
        <f t="shared" si="30"/>
        <v>West</v>
      </c>
      <c r="G1977" t="s">
        <v>27</v>
      </c>
      <c r="H1977" t="s">
        <v>36</v>
      </c>
      <c r="I1977">
        <v>17</v>
      </c>
    </row>
    <row r="1978" spans="1:9" ht="21.75" customHeight="1">
      <c r="A1978" t="s">
        <v>2128</v>
      </c>
      <c r="B1978" s="3">
        <v>45597</v>
      </c>
      <c r="C1978" t="s">
        <v>131</v>
      </c>
      <c r="D1978" t="s">
        <v>119</v>
      </c>
      <c r="E1978" t="s">
        <v>11</v>
      </c>
      <c r="F1978" t="str">
        <f t="shared" si="30"/>
        <v>West</v>
      </c>
      <c r="G1978" t="s">
        <v>27</v>
      </c>
      <c r="H1978" t="s">
        <v>23</v>
      </c>
      <c r="I1978">
        <v>1</v>
      </c>
    </row>
    <row r="1979" spans="1:9" ht="21.75" customHeight="1">
      <c r="A1979" t="s">
        <v>2129</v>
      </c>
      <c r="B1979" s="3">
        <v>45628</v>
      </c>
      <c r="C1979" t="s">
        <v>363</v>
      </c>
      <c r="D1979" t="s">
        <v>74</v>
      </c>
      <c r="E1979" t="s">
        <v>11</v>
      </c>
      <c r="F1979" t="str">
        <f t="shared" si="30"/>
        <v>North</v>
      </c>
      <c r="G1979" t="s">
        <v>12</v>
      </c>
      <c r="H1979" t="s">
        <v>36</v>
      </c>
      <c r="I1979">
        <v>17</v>
      </c>
    </row>
    <row r="1980" spans="1:9" ht="21.75" customHeight="1">
      <c r="A1980" t="s">
        <v>2130</v>
      </c>
      <c r="B1980" s="3">
        <v>45410</v>
      </c>
      <c r="C1980" t="s">
        <v>594</v>
      </c>
      <c r="D1980" t="s">
        <v>45</v>
      </c>
      <c r="E1980" t="s">
        <v>22</v>
      </c>
      <c r="F1980" t="str">
        <f t="shared" si="30"/>
        <v>North</v>
      </c>
      <c r="G1980" t="s">
        <v>12</v>
      </c>
      <c r="H1980" t="s">
        <v>32</v>
      </c>
      <c r="I1980">
        <v>8</v>
      </c>
    </row>
    <row r="1981" spans="1:9" ht="21.75" customHeight="1">
      <c r="A1981" t="s">
        <v>2131</v>
      </c>
      <c r="B1981" s="3">
        <v>45372</v>
      </c>
      <c r="C1981" t="s">
        <v>203</v>
      </c>
      <c r="D1981" t="s">
        <v>26</v>
      </c>
      <c r="E1981" t="s">
        <v>17</v>
      </c>
      <c r="F1981" t="str">
        <f t="shared" si="30"/>
        <v>East</v>
      </c>
      <c r="G1981" t="s">
        <v>42</v>
      </c>
      <c r="H1981" t="s">
        <v>23</v>
      </c>
      <c r="I1981">
        <v>13</v>
      </c>
    </row>
    <row r="1982" spans="1:9" ht="21.75" customHeight="1">
      <c r="A1982" t="s">
        <v>2132</v>
      </c>
      <c r="B1982" s="3">
        <v>45557</v>
      </c>
      <c r="C1982" t="s">
        <v>142</v>
      </c>
      <c r="D1982" t="s">
        <v>84</v>
      </c>
      <c r="E1982" t="s">
        <v>22</v>
      </c>
      <c r="F1982" t="str">
        <f t="shared" si="30"/>
        <v>North</v>
      </c>
      <c r="G1982" t="s">
        <v>12</v>
      </c>
      <c r="H1982" t="s">
        <v>13</v>
      </c>
      <c r="I1982">
        <v>18</v>
      </c>
    </row>
    <row r="1983" spans="1:9" ht="21.75" customHeight="1">
      <c r="A1983" t="s">
        <v>2133</v>
      </c>
      <c r="B1983" s="3">
        <v>45578</v>
      </c>
      <c r="C1983" t="s">
        <v>361</v>
      </c>
      <c r="D1983" t="s">
        <v>48</v>
      </c>
      <c r="E1983" t="s">
        <v>17</v>
      </c>
      <c r="F1983" t="str">
        <f t="shared" si="30"/>
        <v>East</v>
      </c>
      <c r="G1983" t="s">
        <v>42</v>
      </c>
      <c r="H1983" t="s">
        <v>28</v>
      </c>
      <c r="I1983">
        <v>20</v>
      </c>
    </row>
    <row r="1984" spans="1:9" ht="21.75" customHeight="1">
      <c r="A1984" t="s">
        <v>2134</v>
      </c>
      <c r="B1984" s="3">
        <v>45524</v>
      </c>
      <c r="C1984" t="s">
        <v>341</v>
      </c>
      <c r="D1984" t="s">
        <v>59</v>
      </c>
      <c r="E1984" t="s">
        <v>11</v>
      </c>
      <c r="F1984" t="str">
        <f t="shared" si="30"/>
        <v>East</v>
      </c>
      <c r="G1984" t="s">
        <v>42</v>
      </c>
      <c r="H1984" t="s">
        <v>28</v>
      </c>
      <c r="I1984">
        <v>14</v>
      </c>
    </row>
    <row r="1985" spans="1:9" ht="21.75" customHeight="1">
      <c r="A1985" t="s">
        <v>2135</v>
      </c>
      <c r="B1985" s="3">
        <v>45578</v>
      </c>
      <c r="C1985" t="s">
        <v>208</v>
      </c>
      <c r="D1985" t="s">
        <v>160</v>
      </c>
      <c r="E1985" t="s">
        <v>17</v>
      </c>
      <c r="F1985" t="str">
        <f t="shared" si="30"/>
        <v>East</v>
      </c>
      <c r="G1985" t="s">
        <v>42</v>
      </c>
      <c r="H1985" t="s">
        <v>13</v>
      </c>
      <c r="I1985">
        <v>17</v>
      </c>
    </row>
    <row r="1986" spans="1:9" ht="21.75" customHeight="1">
      <c r="A1986" t="s">
        <v>2136</v>
      </c>
      <c r="B1986" s="3">
        <v>45567</v>
      </c>
      <c r="C1986" t="s">
        <v>314</v>
      </c>
      <c r="D1986" t="s">
        <v>26</v>
      </c>
      <c r="E1986" t="s">
        <v>22</v>
      </c>
      <c r="F1986" t="str">
        <f t="shared" si="30"/>
        <v>West</v>
      </c>
      <c r="G1986" t="s">
        <v>27</v>
      </c>
      <c r="H1986" t="s">
        <v>23</v>
      </c>
      <c r="I1986">
        <v>19</v>
      </c>
    </row>
    <row r="1987" spans="1:9" ht="21.75" customHeight="1">
      <c r="A1987" t="s">
        <v>2137</v>
      </c>
      <c r="B1987" s="3">
        <v>45416</v>
      </c>
      <c r="C1987" t="s">
        <v>664</v>
      </c>
      <c r="D1987" t="s">
        <v>72</v>
      </c>
      <c r="E1987" t="s">
        <v>17</v>
      </c>
      <c r="F1987" t="str">
        <f t="shared" ref="F1987:F2050" si="31">TRIM(PROPER(G1987))</f>
        <v>West</v>
      </c>
      <c r="G1987" t="s">
        <v>27</v>
      </c>
      <c r="H1987" t="s">
        <v>36</v>
      </c>
      <c r="I1987">
        <v>1</v>
      </c>
    </row>
    <row r="1988" spans="1:9" ht="21.75" customHeight="1">
      <c r="A1988" t="s">
        <v>2138</v>
      </c>
      <c r="B1988" s="3">
        <v>45424</v>
      </c>
      <c r="C1988" t="s">
        <v>58</v>
      </c>
      <c r="D1988" t="s">
        <v>31</v>
      </c>
      <c r="E1988" t="s">
        <v>22</v>
      </c>
      <c r="F1988" t="str">
        <f t="shared" si="31"/>
        <v>South</v>
      </c>
      <c r="G1988" t="s">
        <v>56</v>
      </c>
      <c r="H1988" t="s">
        <v>28</v>
      </c>
      <c r="I1988">
        <v>11</v>
      </c>
    </row>
    <row r="1989" spans="1:9" ht="21.75" customHeight="1">
      <c r="A1989" t="s">
        <v>2139</v>
      </c>
      <c r="B1989" s="3">
        <v>45472</v>
      </c>
      <c r="C1989" t="s">
        <v>363</v>
      </c>
      <c r="D1989" t="s">
        <v>174</v>
      </c>
      <c r="E1989" t="s">
        <v>11</v>
      </c>
      <c r="F1989" t="str">
        <f t="shared" si="31"/>
        <v>East</v>
      </c>
      <c r="G1989" t="s">
        <v>42</v>
      </c>
      <c r="H1989" t="s">
        <v>28</v>
      </c>
      <c r="I1989">
        <v>10</v>
      </c>
    </row>
    <row r="1990" spans="1:9" ht="21.75" customHeight="1">
      <c r="A1990" t="s">
        <v>2140</v>
      </c>
      <c r="B1990" s="3">
        <v>45636</v>
      </c>
      <c r="C1990" t="s">
        <v>323</v>
      </c>
      <c r="D1990" t="s">
        <v>72</v>
      </c>
      <c r="E1990" t="s">
        <v>11</v>
      </c>
      <c r="F1990" t="str">
        <f t="shared" si="31"/>
        <v>Central</v>
      </c>
      <c r="G1990" t="s">
        <v>306</v>
      </c>
      <c r="H1990" t="s">
        <v>28</v>
      </c>
      <c r="I1990">
        <v>16</v>
      </c>
    </row>
    <row r="1991" spans="1:9" ht="21.75" customHeight="1">
      <c r="A1991" t="s">
        <v>2141</v>
      </c>
      <c r="B1991" s="3">
        <v>45403</v>
      </c>
      <c r="C1991" t="s">
        <v>314</v>
      </c>
      <c r="D1991" t="s">
        <v>26</v>
      </c>
      <c r="E1991" t="s">
        <v>11</v>
      </c>
      <c r="F1991" t="str">
        <f t="shared" si="31"/>
        <v>South</v>
      </c>
      <c r="G1991" t="s">
        <v>56</v>
      </c>
      <c r="H1991" t="s">
        <v>23</v>
      </c>
      <c r="I1991">
        <v>7</v>
      </c>
    </row>
    <row r="1992" spans="1:9" ht="21.75" customHeight="1">
      <c r="A1992" t="s">
        <v>2142</v>
      </c>
      <c r="B1992" s="3">
        <v>45415</v>
      </c>
      <c r="C1992" t="s">
        <v>86</v>
      </c>
      <c r="D1992" t="s">
        <v>65</v>
      </c>
      <c r="E1992" t="s">
        <v>11</v>
      </c>
      <c r="F1992" t="str">
        <f t="shared" si="31"/>
        <v>South</v>
      </c>
      <c r="G1992" t="s">
        <v>56</v>
      </c>
      <c r="H1992" t="s">
        <v>28</v>
      </c>
      <c r="I1992">
        <v>20</v>
      </c>
    </row>
    <row r="1993" spans="1:9" ht="21.75" customHeight="1">
      <c r="A1993" t="s">
        <v>2143</v>
      </c>
      <c r="B1993" s="3">
        <v>45346</v>
      </c>
      <c r="C1993" t="s">
        <v>114</v>
      </c>
      <c r="D1993" t="s">
        <v>10</v>
      </c>
      <c r="E1993" t="s">
        <v>22</v>
      </c>
      <c r="F1993" t="str">
        <f t="shared" si="31"/>
        <v>West</v>
      </c>
      <c r="G1993" t="s">
        <v>27</v>
      </c>
      <c r="H1993" t="s">
        <v>36</v>
      </c>
      <c r="I1993">
        <v>1</v>
      </c>
    </row>
    <row r="1994" spans="1:9" ht="21.75" customHeight="1">
      <c r="A1994" t="s">
        <v>2144</v>
      </c>
      <c r="B1994" s="3">
        <v>45569</v>
      </c>
      <c r="C1994" t="s">
        <v>116</v>
      </c>
      <c r="D1994" t="s">
        <v>35</v>
      </c>
      <c r="E1994" t="s">
        <v>17</v>
      </c>
      <c r="F1994" t="str">
        <f t="shared" si="31"/>
        <v>Central</v>
      </c>
      <c r="G1994" t="s">
        <v>306</v>
      </c>
      <c r="H1994" t="s">
        <v>32</v>
      </c>
      <c r="I1994">
        <v>16</v>
      </c>
    </row>
    <row r="1995" spans="1:9" ht="21.75" customHeight="1">
      <c r="A1995" t="s">
        <v>2145</v>
      </c>
      <c r="B1995" s="3">
        <v>45586</v>
      </c>
      <c r="C1995" t="s">
        <v>89</v>
      </c>
      <c r="D1995" t="s">
        <v>35</v>
      </c>
      <c r="E1995" t="s">
        <v>11</v>
      </c>
      <c r="F1995" t="str">
        <f t="shared" si="31"/>
        <v>Central</v>
      </c>
      <c r="G1995" t="s">
        <v>306</v>
      </c>
      <c r="H1995" t="s">
        <v>32</v>
      </c>
      <c r="I1995">
        <v>13</v>
      </c>
    </row>
    <row r="1996" spans="1:9" ht="21.75" customHeight="1">
      <c r="A1996" t="s">
        <v>2146</v>
      </c>
      <c r="B1996" s="3">
        <v>45587</v>
      </c>
      <c r="C1996" t="s">
        <v>34</v>
      </c>
      <c r="D1996" t="s">
        <v>79</v>
      </c>
      <c r="E1996" t="s">
        <v>22</v>
      </c>
      <c r="F1996" t="str">
        <f t="shared" si="31"/>
        <v>West</v>
      </c>
      <c r="G1996" t="s">
        <v>27</v>
      </c>
      <c r="H1996" t="s">
        <v>23</v>
      </c>
      <c r="I1996">
        <v>18</v>
      </c>
    </row>
    <row r="1997" spans="1:9" ht="21.75" customHeight="1">
      <c r="A1997" t="s">
        <v>2147</v>
      </c>
      <c r="B1997" s="3">
        <v>45469</v>
      </c>
      <c r="C1997" t="s">
        <v>106</v>
      </c>
      <c r="D1997" t="s">
        <v>41</v>
      </c>
      <c r="E1997" t="s">
        <v>11</v>
      </c>
      <c r="F1997" t="str">
        <f t="shared" si="31"/>
        <v>West</v>
      </c>
      <c r="G1997" t="s">
        <v>27</v>
      </c>
      <c r="H1997" t="s">
        <v>13</v>
      </c>
      <c r="I1997">
        <v>17</v>
      </c>
    </row>
    <row r="1998" spans="1:9" ht="21.75" customHeight="1">
      <c r="A1998" t="s">
        <v>2148</v>
      </c>
      <c r="B1998" s="3">
        <v>45644</v>
      </c>
      <c r="C1998" t="s">
        <v>142</v>
      </c>
      <c r="D1998" t="s">
        <v>96</v>
      </c>
      <c r="E1998" t="s">
        <v>22</v>
      </c>
      <c r="F1998" t="str">
        <f t="shared" si="31"/>
        <v>South</v>
      </c>
      <c r="G1998" t="s">
        <v>56</v>
      </c>
      <c r="H1998" t="s">
        <v>23</v>
      </c>
      <c r="I1998">
        <v>19</v>
      </c>
    </row>
    <row r="1999" spans="1:9" ht="21.75" customHeight="1">
      <c r="A1999" t="s">
        <v>2149</v>
      </c>
      <c r="B1999" s="3">
        <v>45477</v>
      </c>
      <c r="C1999" t="s">
        <v>594</v>
      </c>
      <c r="D1999" t="s">
        <v>26</v>
      </c>
      <c r="E1999" t="s">
        <v>11</v>
      </c>
      <c r="F1999" t="str">
        <f t="shared" si="31"/>
        <v>Central</v>
      </c>
      <c r="G1999" t="s">
        <v>306</v>
      </c>
      <c r="H1999" t="s">
        <v>32</v>
      </c>
      <c r="I1999">
        <v>8</v>
      </c>
    </row>
    <row r="2000" spans="1:9" ht="21.75" customHeight="1">
      <c r="A2000" t="s">
        <v>2150</v>
      </c>
      <c r="B2000" s="3">
        <v>45605</v>
      </c>
      <c r="C2000" t="s">
        <v>47</v>
      </c>
      <c r="D2000" t="s">
        <v>48</v>
      </c>
      <c r="E2000" t="s">
        <v>11</v>
      </c>
      <c r="F2000" t="str">
        <f t="shared" si="31"/>
        <v>West</v>
      </c>
      <c r="G2000" t="s">
        <v>27</v>
      </c>
      <c r="H2000" t="s">
        <v>23</v>
      </c>
      <c r="I2000">
        <v>7</v>
      </c>
    </row>
    <row r="2001" spans="1:9" ht="21.75" customHeight="1">
      <c r="A2001" t="s">
        <v>2151</v>
      </c>
      <c r="B2001" s="3">
        <v>45482</v>
      </c>
      <c r="C2001" t="s">
        <v>83</v>
      </c>
      <c r="D2001" t="s">
        <v>31</v>
      </c>
      <c r="E2001" t="s">
        <v>17</v>
      </c>
      <c r="F2001" t="str">
        <f t="shared" si="31"/>
        <v>West</v>
      </c>
      <c r="G2001" t="s">
        <v>27</v>
      </c>
      <c r="H2001" t="s">
        <v>28</v>
      </c>
      <c r="I2001">
        <v>19</v>
      </c>
    </row>
    <row r="2002" spans="1:9" ht="21.75" customHeight="1">
      <c r="A2002" t="s">
        <v>2152</v>
      </c>
      <c r="B2002" s="3">
        <v>45586</v>
      </c>
      <c r="C2002" t="s">
        <v>455</v>
      </c>
      <c r="D2002" t="s">
        <v>197</v>
      </c>
      <c r="E2002" t="s">
        <v>11</v>
      </c>
      <c r="F2002" t="str">
        <f t="shared" si="31"/>
        <v>East</v>
      </c>
      <c r="G2002" t="s">
        <v>42</v>
      </c>
      <c r="H2002" t="s">
        <v>28</v>
      </c>
      <c r="I2002">
        <v>18</v>
      </c>
    </row>
    <row r="2003" spans="1:9" ht="21.75" customHeight="1">
      <c r="A2003" t="s">
        <v>2153</v>
      </c>
      <c r="B2003" s="3">
        <v>45487</v>
      </c>
      <c r="C2003" t="s">
        <v>104</v>
      </c>
      <c r="D2003" t="s">
        <v>16</v>
      </c>
      <c r="E2003" t="s">
        <v>22</v>
      </c>
      <c r="F2003" t="str">
        <f t="shared" si="31"/>
        <v>South</v>
      </c>
      <c r="G2003" t="s">
        <v>56</v>
      </c>
      <c r="H2003" t="s">
        <v>23</v>
      </c>
      <c r="I2003">
        <v>1</v>
      </c>
    </row>
    <row r="2004" spans="1:9" ht="21.75" customHeight="1">
      <c r="A2004" t="s">
        <v>2154</v>
      </c>
      <c r="B2004" s="3">
        <v>45547</v>
      </c>
      <c r="C2004" t="s">
        <v>99</v>
      </c>
      <c r="D2004" t="s">
        <v>21</v>
      </c>
      <c r="E2004" t="s">
        <v>22</v>
      </c>
      <c r="F2004" t="str">
        <f t="shared" si="31"/>
        <v>Central</v>
      </c>
      <c r="G2004" t="s">
        <v>306</v>
      </c>
      <c r="H2004" t="s">
        <v>32</v>
      </c>
      <c r="I2004">
        <v>16</v>
      </c>
    </row>
    <row r="2005" spans="1:9" ht="21.75" customHeight="1">
      <c r="A2005" t="s">
        <v>2155</v>
      </c>
      <c r="B2005" s="3">
        <v>45579</v>
      </c>
      <c r="C2005" t="s">
        <v>614</v>
      </c>
      <c r="D2005" t="s">
        <v>79</v>
      </c>
      <c r="E2005" t="s">
        <v>17</v>
      </c>
      <c r="F2005" t="str">
        <f t="shared" si="31"/>
        <v>North</v>
      </c>
      <c r="G2005" t="s">
        <v>12</v>
      </c>
      <c r="H2005" t="s">
        <v>28</v>
      </c>
      <c r="I2005">
        <v>2</v>
      </c>
    </row>
    <row r="2006" spans="1:9" ht="21.75" customHeight="1">
      <c r="A2006" t="s">
        <v>2156</v>
      </c>
      <c r="B2006" s="3">
        <v>45422</v>
      </c>
      <c r="C2006" t="s">
        <v>553</v>
      </c>
      <c r="D2006" t="s">
        <v>21</v>
      </c>
      <c r="E2006" t="s">
        <v>11</v>
      </c>
      <c r="F2006" t="str">
        <f t="shared" si="31"/>
        <v>West</v>
      </c>
      <c r="G2006" t="s">
        <v>27</v>
      </c>
      <c r="H2006" t="s">
        <v>32</v>
      </c>
      <c r="I2006">
        <v>9</v>
      </c>
    </row>
    <row r="2007" spans="1:9" ht="21.75" customHeight="1">
      <c r="A2007" t="s">
        <v>2157</v>
      </c>
      <c r="B2007" s="3">
        <v>45578</v>
      </c>
      <c r="C2007" t="s">
        <v>642</v>
      </c>
      <c r="D2007" t="s">
        <v>26</v>
      </c>
      <c r="E2007" t="s">
        <v>17</v>
      </c>
      <c r="F2007" t="str">
        <f t="shared" si="31"/>
        <v>North</v>
      </c>
      <c r="G2007" t="s">
        <v>12</v>
      </c>
      <c r="H2007" t="s">
        <v>23</v>
      </c>
      <c r="I2007">
        <v>4</v>
      </c>
    </row>
    <row r="2008" spans="1:9" ht="21.75" customHeight="1">
      <c r="A2008" t="s">
        <v>2158</v>
      </c>
      <c r="B2008" s="3">
        <v>45639</v>
      </c>
      <c r="C2008" t="s">
        <v>493</v>
      </c>
      <c r="D2008" t="s">
        <v>65</v>
      </c>
      <c r="E2008" t="s">
        <v>22</v>
      </c>
      <c r="F2008" t="str">
        <f t="shared" si="31"/>
        <v>Central</v>
      </c>
      <c r="G2008" t="s">
        <v>306</v>
      </c>
      <c r="H2008" t="s">
        <v>36</v>
      </c>
      <c r="I2008">
        <v>6</v>
      </c>
    </row>
    <row r="2009" spans="1:9" ht="21.75" customHeight="1">
      <c r="A2009" t="s">
        <v>2159</v>
      </c>
      <c r="B2009" s="3">
        <v>45437</v>
      </c>
      <c r="C2009" t="s">
        <v>182</v>
      </c>
      <c r="D2009" t="s">
        <v>72</v>
      </c>
      <c r="E2009" t="s">
        <v>22</v>
      </c>
      <c r="F2009" t="str">
        <f t="shared" si="31"/>
        <v>Central</v>
      </c>
      <c r="G2009" t="s">
        <v>306</v>
      </c>
      <c r="H2009" t="s">
        <v>23</v>
      </c>
      <c r="I2009">
        <v>15</v>
      </c>
    </row>
    <row r="2010" spans="1:9" ht="21.75" customHeight="1">
      <c r="A2010" t="s">
        <v>2160</v>
      </c>
      <c r="B2010" s="3">
        <v>45487</v>
      </c>
      <c r="C2010" t="s">
        <v>594</v>
      </c>
      <c r="D2010" t="s">
        <v>74</v>
      </c>
      <c r="E2010" t="s">
        <v>17</v>
      </c>
      <c r="F2010" t="str">
        <f t="shared" si="31"/>
        <v>South</v>
      </c>
      <c r="G2010" t="s">
        <v>56</v>
      </c>
      <c r="H2010" t="s">
        <v>28</v>
      </c>
      <c r="I2010">
        <v>11</v>
      </c>
    </row>
    <row r="2011" spans="1:9" ht="21.75" customHeight="1">
      <c r="A2011" t="s">
        <v>2161</v>
      </c>
      <c r="B2011" s="3">
        <v>45605</v>
      </c>
      <c r="C2011" t="s">
        <v>314</v>
      </c>
      <c r="D2011" t="s">
        <v>31</v>
      </c>
      <c r="E2011" t="s">
        <v>11</v>
      </c>
      <c r="F2011" t="str">
        <f t="shared" si="31"/>
        <v>North</v>
      </c>
      <c r="G2011" t="s">
        <v>12</v>
      </c>
      <c r="H2011" t="s">
        <v>28</v>
      </c>
      <c r="I2011">
        <v>11</v>
      </c>
    </row>
    <row r="2012" spans="1:9" ht="21.75" customHeight="1">
      <c r="A2012" t="s">
        <v>2162</v>
      </c>
      <c r="B2012" s="3">
        <v>45454</v>
      </c>
      <c r="C2012" t="s">
        <v>350</v>
      </c>
      <c r="D2012" t="s">
        <v>74</v>
      </c>
      <c r="E2012" t="s">
        <v>22</v>
      </c>
      <c r="F2012" t="str">
        <f t="shared" si="31"/>
        <v>East</v>
      </c>
      <c r="G2012" t="s">
        <v>42</v>
      </c>
      <c r="H2012" t="s">
        <v>36</v>
      </c>
      <c r="I2012">
        <v>13</v>
      </c>
    </row>
    <row r="2013" spans="1:9" ht="21.75" customHeight="1">
      <c r="A2013" t="s">
        <v>2163</v>
      </c>
      <c r="B2013" s="3">
        <v>45519</v>
      </c>
      <c r="C2013" t="s">
        <v>420</v>
      </c>
      <c r="D2013" t="s">
        <v>48</v>
      </c>
      <c r="E2013" t="s">
        <v>22</v>
      </c>
      <c r="F2013" t="str">
        <f t="shared" si="31"/>
        <v>Central</v>
      </c>
      <c r="G2013" t="s">
        <v>306</v>
      </c>
      <c r="H2013" t="s">
        <v>36</v>
      </c>
      <c r="I2013">
        <v>15</v>
      </c>
    </row>
    <row r="2014" spans="1:9" ht="21.75" customHeight="1">
      <c r="A2014" t="s">
        <v>2164</v>
      </c>
      <c r="B2014" s="3">
        <v>45386</v>
      </c>
      <c r="C2014" t="s">
        <v>138</v>
      </c>
      <c r="D2014" t="s">
        <v>16</v>
      </c>
      <c r="E2014" t="s">
        <v>22</v>
      </c>
      <c r="F2014" t="str">
        <f t="shared" si="31"/>
        <v>South</v>
      </c>
      <c r="G2014" t="s">
        <v>56</v>
      </c>
      <c r="H2014" t="s">
        <v>32</v>
      </c>
      <c r="I2014">
        <v>3</v>
      </c>
    </row>
    <row r="2015" spans="1:9" ht="21.75" customHeight="1">
      <c r="A2015" t="s">
        <v>2165</v>
      </c>
      <c r="B2015" s="3">
        <v>45495</v>
      </c>
      <c r="C2015" t="s">
        <v>15</v>
      </c>
      <c r="D2015" t="s">
        <v>102</v>
      </c>
      <c r="E2015" t="s">
        <v>11</v>
      </c>
      <c r="F2015" t="str">
        <f t="shared" si="31"/>
        <v>West</v>
      </c>
      <c r="G2015" t="s">
        <v>27</v>
      </c>
      <c r="H2015" t="s">
        <v>36</v>
      </c>
      <c r="I2015">
        <v>2</v>
      </c>
    </row>
    <row r="2016" spans="1:9" ht="21.75" customHeight="1">
      <c r="A2016" t="s">
        <v>2166</v>
      </c>
      <c r="B2016" s="3">
        <v>45495</v>
      </c>
      <c r="C2016" t="s">
        <v>339</v>
      </c>
      <c r="D2016" t="s">
        <v>119</v>
      </c>
      <c r="E2016" t="s">
        <v>11</v>
      </c>
      <c r="F2016" t="str">
        <f t="shared" si="31"/>
        <v>North</v>
      </c>
      <c r="G2016" t="s">
        <v>12</v>
      </c>
      <c r="H2016" t="s">
        <v>32</v>
      </c>
      <c r="I2016">
        <v>20</v>
      </c>
    </row>
    <row r="2017" spans="1:9" ht="21.75" customHeight="1">
      <c r="A2017" t="s">
        <v>2167</v>
      </c>
      <c r="B2017" s="3">
        <v>45627</v>
      </c>
      <c r="C2017" t="s">
        <v>53</v>
      </c>
      <c r="D2017" t="s">
        <v>74</v>
      </c>
      <c r="E2017" t="s">
        <v>11</v>
      </c>
      <c r="F2017" t="str">
        <f t="shared" si="31"/>
        <v>South</v>
      </c>
      <c r="G2017" t="s">
        <v>56</v>
      </c>
      <c r="H2017" t="s">
        <v>32</v>
      </c>
      <c r="I2017">
        <v>15</v>
      </c>
    </row>
    <row r="2018" spans="1:9" ht="21.75" customHeight="1">
      <c r="A2018" t="s">
        <v>2168</v>
      </c>
      <c r="B2018" s="3">
        <v>45359</v>
      </c>
      <c r="C2018" t="s">
        <v>339</v>
      </c>
      <c r="D2018" t="s">
        <v>45</v>
      </c>
      <c r="E2018" t="s">
        <v>11</v>
      </c>
      <c r="F2018" t="str">
        <f t="shared" si="31"/>
        <v>North</v>
      </c>
      <c r="G2018" t="s">
        <v>12</v>
      </c>
      <c r="H2018" t="s">
        <v>32</v>
      </c>
      <c r="I2018">
        <v>11</v>
      </c>
    </row>
    <row r="2019" spans="1:9" ht="21.75" customHeight="1">
      <c r="A2019" t="s">
        <v>2169</v>
      </c>
      <c r="B2019" s="3">
        <v>45531</v>
      </c>
      <c r="C2019" t="s">
        <v>591</v>
      </c>
      <c r="D2019" t="s">
        <v>26</v>
      </c>
      <c r="E2019" t="s">
        <v>22</v>
      </c>
      <c r="F2019" t="str">
        <f t="shared" si="31"/>
        <v>West</v>
      </c>
      <c r="G2019" t="s">
        <v>27</v>
      </c>
      <c r="H2019" t="s">
        <v>28</v>
      </c>
      <c r="I2019">
        <v>18</v>
      </c>
    </row>
    <row r="2020" spans="1:9" ht="21.75" customHeight="1">
      <c r="A2020" t="s">
        <v>2170</v>
      </c>
      <c r="B2020" s="3">
        <v>45597</v>
      </c>
      <c r="C2020" t="s">
        <v>366</v>
      </c>
      <c r="D2020" t="s">
        <v>21</v>
      </c>
      <c r="E2020" t="s">
        <v>22</v>
      </c>
      <c r="F2020" t="str">
        <f t="shared" si="31"/>
        <v>Central</v>
      </c>
      <c r="G2020" t="s">
        <v>306</v>
      </c>
      <c r="H2020" t="s">
        <v>23</v>
      </c>
      <c r="I2020">
        <v>17</v>
      </c>
    </row>
    <row r="2021" spans="1:9" ht="21.75" customHeight="1">
      <c r="A2021" t="s">
        <v>2171</v>
      </c>
      <c r="B2021" s="3">
        <v>45565</v>
      </c>
      <c r="C2021" t="s">
        <v>147</v>
      </c>
      <c r="D2021" t="s">
        <v>48</v>
      </c>
      <c r="E2021" t="s">
        <v>17</v>
      </c>
      <c r="F2021" t="str">
        <f t="shared" si="31"/>
        <v>Central</v>
      </c>
      <c r="G2021" t="s">
        <v>306</v>
      </c>
      <c r="H2021" t="s">
        <v>28</v>
      </c>
      <c r="I2021">
        <v>3</v>
      </c>
    </row>
    <row r="2022" spans="1:9" ht="21.75" customHeight="1">
      <c r="A2022" t="s">
        <v>2172</v>
      </c>
      <c r="B2022" s="3">
        <v>45479</v>
      </c>
      <c r="C2022" t="s">
        <v>408</v>
      </c>
      <c r="D2022" t="s">
        <v>26</v>
      </c>
      <c r="E2022" t="s">
        <v>11</v>
      </c>
      <c r="F2022" t="str">
        <f t="shared" si="31"/>
        <v>East</v>
      </c>
      <c r="G2022" t="s">
        <v>42</v>
      </c>
      <c r="H2022" t="s">
        <v>13</v>
      </c>
      <c r="I2022">
        <v>1</v>
      </c>
    </row>
    <row r="2023" spans="1:9" ht="21.75" customHeight="1">
      <c r="A2023" t="s">
        <v>2173</v>
      </c>
      <c r="B2023" s="3">
        <v>45361</v>
      </c>
      <c r="C2023" t="s">
        <v>20</v>
      </c>
      <c r="D2023" t="s">
        <v>74</v>
      </c>
      <c r="E2023" t="s">
        <v>17</v>
      </c>
      <c r="F2023" t="str">
        <f t="shared" si="31"/>
        <v>Central</v>
      </c>
      <c r="G2023" t="s">
        <v>306</v>
      </c>
      <c r="H2023" t="s">
        <v>13</v>
      </c>
      <c r="I2023">
        <v>16</v>
      </c>
    </row>
    <row r="2024" spans="1:9" ht="21.75" customHeight="1">
      <c r="A2024" t="s">
        <v>2174</v>
      </c>
      <c r="B2024" s="3">
        <v>45536</v>
      </c>
      <c r="C2024" t="s">
        <v>68</v>
      </c>
      <c r="D2024" t="s">
        <v>96</v>
      </c>
      <c r="E2024" t="s">
        <v>17</v>
      </c>
      <c r="F2024" t="str">
        <f t="shared" si="31"/>
        <v>East</v>
      </c>
      <c r="G2024" t="s">
        <v>42</v>
      </c>
      <c r="H2024" t="s">
        <v>36</v>
      </c>
      <c r="I2024">
        <v>8</v>
      </c>
    </row>
    <row r="2025" spans="1:9" ht="21.75" customHeight="1">
      <c r="A2025" t="s">
        <v>2175</v>
      </c>
      <c r="B2025" s="3">
        <v>45572</v>
      </c>
      <c r="C2025" t="s">
        <v>200</v>
      </c>
      <c r="D2025" t="s">
        <v>65</v>
      </c>
      <c r="E2025" t="s">
        <v>17</v>
      </c>
      <c r="F2025" t="str">
        <f t="shared" si="31"/>
        <v>Central</v>
      </c>
      <c r="G2025" t="s">
        <v>306</v>
      </c>
      <c r="H2025" t="s">
        <v>23</v>
      </c>
      <c r="I2025">
        <v>13</v>
      </c>
    </row>
    <row r="2026" spans="1:9" ht="21.75" customHeight="1">
      <c r="A2026" t="s">
        <v>2176</v>
      </c>
      <c r="B2026" s="3">
        <v>45622</v>
      </c>
      <c r="C2026" t="s">
        <v>53</v>
      </c>
      <c r="D2026" t="s">
        <v>31</v>
      </c>
      <c r="E2026" t="s">
        <v>11</v>
      </c>
      <c r="F2026" t="str">
        <f t="shared" si="31"/>
        <v>East</v>
      </c>
      <c r="G2026" t="s">
        <v>42</v>
      </c>
      <c r="H2026" t="s">
        <v>13</v>
      </c>
      <c r="I2026">
        <v>14</v>
      </c>
    </row>
    <row r="2027" spans="1:9" ht="21.75" customHeight="1">
      <c r="A2027" t="s">
        <v>2177</v>
      </c>
      <c r="B2027" s="3">
        <v>45556</v>
      </c>
      <c r="C2027" t="s">
        <v>332</v>
      </c>
      <c r="D2027" t="s">
        <v>109</v>
      </c>
      <c r="E2027" t="s">
        <v>22</v>
      </c>
      <c r="F2027" t="str">
        <f t="shared" si="31"/>
        <v>East</v>
      </c>
      <c r="G2027" t="s">
        <v>42</v>
      </c>
      <c r="H2027" t="s">
        <v>32</v>
      </c>
      <c r="I2027">
        <v>18</v>
      </c>
    </row>
    <row r="2028" spans="1:9" ht="21.75" customHeight="1">
      <c r="A2028" t="s">
        <v>2178</v>
      </c>
      <c r="B2028" s="3">
        <v>45503</v>
      </c>
      <c r="C2028" t="s">
        <v>150</v>
      </c>
      <c r="D2028" t="s">
        <v>10</v>
      </c>
      <c r="E2028" t="s">
        <v>11</v>
      </c>
      <c r="F2028" t="str">
        <f t="shared" si="31"/>
        <v>South</v>
      </c>
      <c r="G2028" t="s">
        <v>56</v>
      </c>
      <c r="H2028" t="s">
        <v>32</v>
      </c>
      <c r="I2028">
        <v>4</v>
      </c>
    </row>
    <row r="2029" spans="1:9" ht="21.75" customHeight="1">
      <c r="A2029" t="s">
        <v>2179</v>
      </c>
      <c r="B2029" s="3">
        <v>45608</v>
      </c>
      <c r="C2029" t="s">
        <v>430</v>
      </c>
      <c r="D2029" t="s">
        <v>26</v>
      </c>
      <c r="E2029" t="s">
        <v>22</v>
      </c>
      <c r="F2029" t="str">
        <f t="shared" si="31"/>
        <v>Central</v>
      </c>
      <c r="G2029" t="s">
        <v>306</v>
      </c>
      <c r="H2029" t="s">
        <v>23</v>
      </c>
      <c r="I2029">
        <v>7</v>
      </c>
    </row>
    <row r="2030" spans="1:9" ht="21.75" customHeight="1">
      <c r="A2030" t="s">
        <v>2180</v>
      </c>
      <c r="B2030" s="3">
        <v>45369</v>
      </c>
      <c r="C2030" t="s">
        <v>9</v>
      </c>
      <c r="D2030" t="s">
        <v>174</v>
      </c>
      <c r="E2030" t="s">
        <v>11</v>
      </c>
      <c r="F2030" t="str">
        <f t="shared" si="31"/>
        <v>South</v>
      </c>
      <c r="G2030" t="s">
        <v>56</v>
      </c>
      <c r="H2030" t="s">
        <v>13</v>
      </c>
      <c r="I2030">
        <v>10</v>
      </c>
    </row>
    <row r="2031" spans="1:9" ht="21.75" customHeight="1">
      <c r="A2031" t="s">
        <v>2181</v>
      </c>
      <c r="B2031" s="3">
        <v>45516</v>
      </c>
      <c r="C2031" t="s">
        <v>388</v>
      </c>
      <c r="D2031" t="s">
        <v>96</v>
      </c>
      <c r="E2031" t="s">
        <v>11</v>
      </c>
      <c r="F2031" t="str">
        <f t="shared" si="31"/>
        <v>North</v>
      </c>
      <c r="G2031" t="s">
        <v>12</v>
      </c>
      <c r="H2031" t="s">
        <v>28</v>
      </c>
      <c r="I2031">
        <v>1</v>
      </c>
    </row>
    <row r="2032" spans="1:9" ht="21.75" customHeight="1">
      <c r="A2032" t="s">
        <v>2182</v>
      </c>
      <c r="B2032" s="3">
        <v>45467</v>
      </c>
      <c r="C2032" t="s">
        <v>572</v>
      </c>
      <c r="D2032" t="s">
        <v>74</v>
      </c>
      <c r="E2032" t="s">
        <v>17</v>
      </c>
      <c r="F2032" t="str">
        <f t="shared" si="31"/>
        <v>East</v>
      </c>
      <c r="G2032" t="s">
        <v>42</v>
      </c>
      <c r="H2032" t="s">
        <v>23</v>
      </c>
      <c r="I2032">
        <v>2</v>
      </c>
    </row>
    <row r="2033" spans="1:9" ht="21.75" customHeight="1">
      <c r="A2033" t="s">
        <v>2183</v>
      </c>
      <c r="B2033" s="3">
        <v>45366</v>
      </c>
      <c r="C2033" t="s">
        <v>131</v>
      </c>
      <c r="D2033" t="s">
        <v>26</v>
      </c>
      <c r="E2033" t="s">
        <v>17</v>
      </c>
      <c r="F2033" t="str">
        <f t="shared" si="31"/>
        <v>North</v>
      </c>
      <c r="G2033" t="s">
        <v>12</v>
      </c>
      <c r="H2033" t="s">
        <v>36</v>
      </c>
      <c r="I2033">
        <v>16</v>
      </c>
    </row>
    <row r="2034" spans="1:9" ht="21.75" customHeight="1">
      <c r="A2034" t="s">
        <v>2184</v>
      </c>
      <c r="B2034" s="3">
        <v>45420</v>
      </c>
      <c r="C2034" t="s">
        <v>159</v>
      </c>
      <c r="D2034" t="s">
        <v>96</v>
      </c>
      <c r="E2034" t="s">
        <v>11</v>
      </c>
      <c r="F2034" t="str">
        <f t="shared" si="31"/>
        <v>South</v>
      </c>
      <c r="G2034" t="s">
        <v>56</v>
      </c>
      <c r="H2034" t="s">
        <v>23</v>
      </c>
      <c r="I2034">
        <v>15</v>
      </c>
    </row>
    <row r="2035" spans="1:9" ht="21.75" customHeight="1">
      <c r="A2035" t="s">
        <v>2185</v>
      </c>
      <c r="B2035" s="3">
        <v>45309</v>
      </c>
      <c r="C2035" t="s">
        <v>104</v>
      </c>
      <c r="D2035" t="s">
        <v>70</v>
      </c>
      <c r="E2035" t="s">
        <v>22</v>
      </c>
      <c r="F2035" t="str">
        <f t="shared" si="31"/>
        <v>North</v>
      </c>
      <c r="G2035" t="s">
        <v>12</v>
      </c>
      <c r="H2035" t="s">
        <v>36</v>
      </c>
      <c r="I2035">
        <v>7</v>
      </c>
    </row>
    <row r="2036" spans="1:9" ht="21.75" customHeight="1">
      <c r="A2036" t="s">
        <v>2186</v>
      </c>
      <c r="B2036" s="3">
        <v>45640</v>
      </c>
      <c r="C2036" t="s">
        <v>147</v>
      </c>
      <c r="D2036" t="s">
        <v>72</v>
      </c>
      <c r="E2036" t="s">
        <v>11</v>
      </c>
      <c r="F2036" t="str">
        <f t="shared" si="31"/>
        <v>North</v>
      </c>
      <c r="G2036" t="s">
        <v>12</v>
      </c>
      <c r="H2036" t="s">
        <v>36</v>
      </c>
      <c r="I2036">
        <v>17</v>
      </c>
    </row>
    <row r="2037" spans="1:9" ht="21.75" customHeight="1">
      <c r="A2037" t="s">
        <v>2187</v>
      </c>
      <c r="B2037" s="3">
        <v>45538</v>
      </c>
      <c r="C2037" t="s">
        <v>541</v>
      </c>
      <c r="D2037" t="s">
        <v>74</v>
      </c>
      <c r="E2037" t="s">
        <v>11</v>
      </c>
      <c r="F2037" t="str">
        <f t="shared" si="31"/>
        <v>East</v>
      </c>
      <c r="G2037" t="s">
        <v>42</v>
      </c>
      <c r="H2037" t="s">
        <v>13</v>
      </c>
      <c r="I2037">
        <v>7</v>
      </c>
    </row>
    <row r="2038" spans="1:9" ht="21.75" customHeight="1">
      <c r="A2038" t="s">
        <v>2188</v>
      </c>
      <c r="B2038" s="3">
        <v>45412</v>
      </c>
      <c r="C2038" t="s">
        <v>541</v>
      </c>
      <c r="D2038" t="s">
        <v>87</v>
      </c>
      <c r="E2038" t="s">
        <v>17</v>
      </c>
      <c r="F2038" t="str">
        <f t="shared" si="31"/>
        <v>North</v>
      </c>
      <c r="G2038" t="s">
        <v>12</v>
      </c>
      <c r="H2038" t="s">
        <v>28</v>
      </c>
      <c r="I2038">
        <v>9</v>
      </c>
    </row>
    <row r="2039" spans="1:9" ht="21.75" customHeight="1">
      <c r="A2039" t="s">
        <v>2189</v>
      </c>
      <c r="B2039" s="3">
        <v>45494</v>
      </c>
      <c r="C2039" t="s">
        <v>78</v>
      </c>
      <c r="D2039" t="s">
        <v>96</v>
      </c>
      <c r="E2039" t="s">
        <v>11</v>
      </c>
      <c r="F2039" t="str">
        <f t="shared" si="31"/>
        <v>Central</v>
      </c>
      <c r="G2039" t="s">
        <v>306</v>
      </c>
      <c r="H2039" t="s">
        <v>23</v>
      </c>
      <c r="I2039">
        <v>20</v>
      </c>
    </row>
    <row r="2040" spans="1:9" ht="21.75" customHeight="1">
      <c r="A2040" t="s">
        <v>2190</v>
      </c>
      <c r="B2040" s="3">
        <v>45337</v>
      </c>
      <c r="C2040" t="s">
        <v>78</v>
      </c>
      <c r="D2040" t="s">
        <v>45</v>
      </c>
      <c r="E2040" t="s">
        <v>17</v>
      </c>
      <c r="F2040" t="str">
        <f t="shared" si="31"/>
        <v>North</v>
      </c>
      <c r="G2040" t="s">
        <v>12</v>
      </c>
      <c r="H2040" t="s">
        <v>36</v>
      </c>
      <c r="I2040">
        <v>11</v>
      </c>
    </row>
    <row r="2041" spans="1:9" ht="21.75" customHeight="1">
      <c r="A2041" t="s">
        <v>2191</v>
      </c>
      <c r="B2041" s="3">
        <v>45612</v>
      </c>
      <c r="C2041" t="s">
        <v>131</v>
      </c>
      <c r="D2041" t="s">
        <v>79</v>
      </c>
      <c r="E2041" t="s">
        <v>17</v>
      </c>
      <c r="F2041" t="str">
        <f t="shared" si="31"/>
        <v>South</v>
      </c>
      <c r="G2041" t="s">
        <v>56</v>
      </c>
      <c r="H2041" t="s">
        <v>36</v>
      </c>
      <c r="I2041">
        <v>4</v>
      </c>
    </row>
    <row r="2042" spans="1:9" ht="21.75" customHeight="1">
      <c r="A2042" t="s">
        <v>2192</v>
      </c>
      <c r="B2042" s="3">
        <v>45411</v>
      </c>
      <c r="C2042" t="s">
        <v>38</v>
      </c>
      <c r="D2042" t="s">
        <v>174</v>
      </c>
      <c r="E2042" t="s">
        <v>22</v>
      </c>
      <c r="F2042" t="str">
        <f t="shared" si="31"/>
        <v>East</v>
      </c>
      <c r="G2042" t="s">
        <v>42</v>
      </c>
      <c r="H2042" t="s">
        <v>23</v>
      </c>
      <c r="I2042">
        <v>7</v>
      </c>
    </row>
    <row r="2043" spans="1:9" ht="21.75" customHeight="1">
      <c r="A2043" t="s">
        <v>2193</v>
      </c>
      <c r="B2043" s="3">
        <v>45485</v>
      </c>
      <c r="C2043" t="s">
        <v>182</v>
      </c>
      <c r="D2043" t="s">
        <v>84</v>
      </c>
      <c r="E2043" t="s">
        <v>11</v>
      </c>
      <c r="F2043" t="str">
        <f t="shared" si="31"/>
        <v>East</v>
      </c>
      <c r="G2043" t="s">
        <v>42</v>
      </c>
      <c r="H2043" t="s">
        <v>13</v>
      </c>
      <c r="I2043">
        <v>16</v>
      </c>
    </row>
    <row r="2044" spans="1:9" ht="21.75" customHeight="1">
      <c r="A2044" t="s">
        <v>2194</v>
      </c>
      <c r="B2044" s="3">
        <v>45578</v>
      </c>
      <c r="C2044" t="s">
        <v>61</v>
      </c>
      <c r="D2044" t="s">
        <v>174</v>
      </c>
      <c r="E2044" t="s">
        <v>22</v>
      </c>
      <c r="F2044" t="str">
        <f t="shared" si="31"/>
        <v>West</v>
      </c>
      <c r="G2044" t="s">
        <v>27</v>
      </c>
      <c r="H2044" t="s">
        <v>28</v>
      </c>
      <c r="I2044">
        <v>19</v>
      </c>
    </row>
    <row r="2045" spans="1:9" ht="21.75" customHeight="1">
      <c r="A2045" t="s">
        <v>2195</v>
      </c>
      <c r="B2045" s="3">
        <v>45470</v>
      </c>
      <c r="C2045" t="s">
        <v>187</v>
      </c>
      <c r="D2045" t="s">
        <v>84</v>
      </c>
      <c r="E2045" t="s">
        <v>17</v>
      </c>
      <c r="F2045" t="str">
        <f t="shared" si="31"/>
        <v>East</v>
      </c>
      <c r="G2045" t="s">
        <v>42</v>
      </c>
      <c r="H2045" t="s">
        <v>36</v>
      </c>
      <c r="I2045">
        <v>18</v>
      </c>
    </row>
    <row r="2046" spans="1:9" ht="21.75" customHeight="1">
      <c r="A2046" t="s">
        <v>2196</v>
      </c>
      <c r="B2046" s="3">
        <v>45563</v>
      </c>
      <c r="C2046" t="s">
        <v>125</v>
      </c>
      <c r="D2046" t="s">
        <v>70</v>
      </c>
      <c r="E2046" t="s">
        <v>17</v>
      </c>
      <c r="F2046" t="str">
        <f t="shared" si="31"/>
        <v>East</v>
      </c>
      <c r="G2046" t="s">
        <v>42</v>
      </c>
      <c r="H2046" t="s">
        <v>36</v>
      </c>
      <c r="I2046">
        <v>12</v>
      </c>
    </row>
    <row r="2047" spans="1:9" ht="21.75" customHeight="1">
      <c r="A2047" t="s">
        <v>2197</v>
      </c>
      <c r="B2047" s="3">
        <v>45618</v>
      </c>
      <c r="C2047" t="s">
        <v>358</v>
      </c>
      <c r="D2047" t="s">
        <v>31</v>
      </c>
      <c r="E2047" t="s">
        <v>22</v>
      </c>
      <c r="F2047" t="str">
        <f t="shared" si="31"/>
        <v>South</v>
      </c>
      <c r="G2047" t="s">
        <v>56</v>
      </c>
      <c r="H2047" t="s">
        <v>13</v>
      </c>
      <c r="I2047">
        <v>20</v>
      </c>
    </row>
    <row r="2048" spans="1:9" ht="21.75" customHeight="1">
      <c r="A2048" t="s">
        <v>2198</v>
      </c>
      <c r="B2048" s="3">
        <v>45609</v>
      </c>
      <c r="C2048" t="s">
        <v>93</v>
      </c>
      <c r="D2048" t="s">
        <v>72</v>
      </c>
      <c r="E2048" t="s">
        <v>22</v>
      </c>
      <c r="F2048" t="str">
        <f t="shared" si="31"/>
        <v>North</v>
      </c>
      <c r="G2048" t="s">
        <v>12</v>
      </c>
      <c r="H2048" t="s">
        <v>36</v>
      </c>
      <c r="I2048">
        <v>13</v>
      </c>
    </row>
    <row r="2049" spans="1:9" ht="21.75" customHeight="1">
      <c r="A2049" t="s">
        <v>2199</v>
      </c>
      <c r="B2049" s="3">
        <v>45641</v>
      </c>
      <c r="C2049" t="s">
        <v>432</v>
      </c>
      <c r="D2049" t="s">
        <v>119</v>
      </c>
      <c r="E2049" t="s">
        <v>22</v>
      </c>
      <c r="F2049" t="str">
        <f t="shared" si="31"/>
        <v>South</v>
      </c>
      <c r="G2049" t="s">
        <v>56</v>
      </c>
      <c r="H2049" t="s">
        <v>36</v>
      </c>
      <c r="I2049">
        <v>10</v>
      </c>
    </row>
    <row r="2050" spans="1:9" ht="21.75" customHeight="1">
      <c r="A2050" t="s">
        <v>2200</v>
      </c>
      <c r="B2050" s="3">
        <v>45620</v>
      </c>
      <c r="C2050" t="s">
        <v>187</v>
      </c>
      <c r="D2050" t="s">
        <v>102</v>
      </c>
      <c r="E2050" t="s">
        <v>11</v>
      </c>
      <c r="F2050" t="str">
        <f t="shared" si="31"/>
        <v>Central</v>
      </c>
      <c r="G2050" t="s">
        <v>306</v>
      </c>
      <c r="H2050" t="s">
        <v>13</v>
      </c>
      <c r="I2050">
        <v>2</v>
      </c>
    </row>
    <row r="2051" spans="1:9" ht="21.75" customHeight="1">
      <c r="A2051" t="s">
        <v>2201</v>
      </c>
      <c r="B2051" s="3">
        <v>45358</v>
      </c>
      <c r="C2051" t="s">
        <v>235</v>
      </c>
      <c r="D2051" t="s">
        <v>79</v>
      </c>
      <c r="E2051" t="s">
        <v>11</v>
      </c>
      <c r="F2051" t="str">
        <f t="shared" ref="F2051:F2114" si="32">TRIM(PROPER(G2051))</f>
        <v>North</v>
      </c>
      <c r="G2051" t="s">
        <v>12</v>
      </c>
      <c r="H2051" t="s">
        <v>23</v>
      </c>
      <c r="I2051">
        <v>7</v>
      </c>
    </row>
    <row r="2052" spans="1:9" ht="21.75" customHeight="1">
      <c r="A2052" t="s">
        <v>2202</v>
      </c>
      <c r="B2052" s="3">
        <v>45584</v>
      </c>
      <c r="C2052" t="s">
        <v>736</v>
      </c>
      <c r="D2052" t="s">
        <v>31</v>
      </c>
      <c r="E2052" t="s">
        <v>22</v>
      </c>
      <c r="F2052" t="str">
        <f t="shared" si="32"/>
        <v>West</v>
      </c>
      <c r="G2052" t="s">
        <v>27</v>
      </c>
      <c r="H2052" t="s">
        <v>36</v>
      </c>
      <c r="I2052">
        <v>20</v>
      </c>
    </row>
    <row r="2053" spans="1:9" ht="21.75" customHeight="1">
      <c r="A2053" t="s">
        <v>2203</v>
      </c>
      <c r="B2053" s="3">
        <v>45423</v>
      </c>
      <c r="C2053" t="s">
        <v>9</v>
      </c>
      <c r="D2053" t="s">
        <v>48</v>
      </c>
      <c r="E2053" t="s">
        <v>11</v>
      </c>
      <c r="F2053" t="str">
        <f t="shared" si="32"/>
        <v>Central</v>
      </c>
      <c r="G2053" t="s">
        <v>306</v>
      </c>
      <c r="H2053" t="s">
        <v>13</v>
      </c>
      <c r="I2053">
        <v>1</v>
      </c>
    </row>
    <row r="2054" spans="1:9" ht="21.75" customHeight="1">
      <c r="A2054" t="s">
        <v>2204</v>
      </c>
      <c r="B2054" s="3">
        <v>45398</v>
      </c>
      <c r="C2054" t="s">
        <v>350</v>
      </c>
      <c r="D2054" t="s">
        <v>35</v>
      </c>
      <c r="E2054" t="s">
        <v>11</v>
      </c>
      <c r="F2054" t="str">
        <f t="shared" si="32"/>
        <v>West</v>
      </c>
      <c r="G2054" t="s">
        <v>27</v>
      </c>
      <c r="H2054" t="s">
        <v>13</v>
      </c>
      <c r="I2054">
        <v>12</v>
      </c>
    </row>
    <row r="2055" spans="1:9" ht="21.75" customHeight="1">
      <c r="A2055" t="s">
        <v>2205</v>
      </c>
      <c r="B2055" s="3">
        <v>45504</v>
      </c>
      <c r="C2055" t="s">
        <v>200</v>
      </c>
      <c r="D2055" t="s">
        <v>62</v>
      </c>
      <c r="E2055" t="s">
        <v>11</v>
      </c>
      <c r="F2055" t="str">
        <f t="shared" si="32"/>
        <v>Central</v>
      </c>
      <c r="G2055" t="s">
        <v>306</v>
      </c>
      <c r="H2055" t="s">
        <v>32</v>
      </c>
      <c r="I2055">
        <v>17</v>
      </c>
    </row>
    <row r="2056" spans="1:9" ht="21.75" customHeight="1">
      <c r="A2056" t="s">
        <v>2206</v>
      </c>
      <c r="B2056" s="3">
        <v>45328</v>
      </c>
      <c r="C2056" t="s">
        <v>68</v>
      </c>
      <c r="D2056" t="s">
        <v>10</v>
      </c>
      <c r="E2056" t="s">
        <v>11</v>
      </c>
      <c r="F2056" t="str">
        <f t="shared" si="32"/>
        <v>Central</v>
      </c>
      <c r="G2056" t="s">
        <v>306</v>
      </c>
      <c r="H2056" t="s">
        <v>13</v>
      </c>
      <c r="I2056">
        <v>4</v>
      </c>
    </row>
    <row r="2057" spans="1:9" ht="21.75" customHeight="1">
      <c r="A2057" t="s">
        <v>2207</v>
      </c>
      <c r="B2057" s="3">
        <v>45564</v>
      </c>
      <c r="C2057" t="s">
        <v>53</v>
      </c>
      <c r="D2057" t="s">
        <v>65</v>
      </c>
      <c r="E2057" t="s">
        <v>11</v>
      </c>
      <c r="F2057" t="str">
        <f t="shared" si="32"/>
        <v>Central</v>
      </c>
      <c r="G2057" t="s">
        <v>306</v>
      </c>
      <c r="H2057" t="s">
        <v>28</v>
      </c>
      <c r="I2057">
        <v>19</v>
      </c>
    </row>
    <row r="2058" spans="1:9" ht="21.75" customHeight="1">
      <c r="A2058" t="s">
        <v>2208</v>
      </c>
      <c r="B2058" s="3">
        <v>45383</v>
      </c>
      <c r="C2058" t="s">
        <v>642</v>
      </c>
      <c r="D2058" t="s">
        <v>84</v>
      </c>
      <c r="E2058" t="s">
        <v>22</v>
      </c>
      <c r="F2058" t="str">
        <f t="shared" si="32"/>
        <v>West</v>
      </c>
      <c r="G2058" t="s">
        <v>27</v>
      </c>
      <c r="H2058" t="s">
        <v>13</v>
      </c>
      <c r="I2058">
        <v>19</v>
      </c>
    </row>
    <row r="2059" spans="1:9" ht="21.75" customHeight="1">
      <c r="A2059" t="s">
        <v>2209</v>
      </c>
      <c r="B2059" s="3">
        <v>45526</v>
      </c>
      <c r="C2059" t="s">
        <v>424</v>
      </c>
      <c r="D2059" t="s">
        <v>41</v>
      </c>
      <c r="E2059" t="s">
        <v>17</v>
      </c>
      <c r="F2059" t="str">
        <f t="shared" si="32"/>
        <v>North</v>
      </c>
      <c r="G2059" t="s">
        <v>12</v>
      </c>
      <c r="H2059" t="s">
        <v>28</v>
      </c>
      <c r="I2059">
        <v>6</v>
      </c>
    </row>
    <row r="2060" spans="1:9" ht="21.75" customHeight="1">
      <c r="A2060" t="s">
        <v>2210</v>
      </c>
      <c r="B2060" s="3">
        <v>45550</v>
      </c>
      <c r="C2060" t="s">
        <v>47</v>
      </c>
      <c r="D2060" t="s">
        <v>41</v>
      </c>
      <c r="E2060" t="s">
        <v>11</v>
      </c>
      <c r="F2060" t="str">
        <f t="shared" si="32"/>
        <v>Central</v>
      </c>
      <c r="G2060" t="s">
        <v>306</v>
      </c>
      <c r="H2060" t="s">
        <v>36</v>
      </c>
      <c r="I2060">
        <v>15</v>
      </c>
    </row>
    <row r="2061" spans="1:9" ht="21.75" customHeight="1">
      <c r="A2061" t="s">
        <v>2211</v>
      </c>
      <c r="B2061" s="3">
        <v>45453</v>
      </c>
      <c r="C2061" t="s">
        <v>378</v>
      </c>
      <c r="D2061" t="s">
        <v>72</v>
      </c>
      <c r="E2061" t="s">
        <v>17</v>
      </c>
      <c r="F2061" t="str">
        <f t="shared" si="32"/>
        <v>West</v>
      </c>
      <c r="G2061" t="s">
        <v>27</v>
      </c>
      <c r="H2061" t="s">
        <v>23</v>
      </c>
      <c r="I2061">
        <v>11</v>
      </c>
    </row>
    <row r="2062" spans="1:9" ht="21.75" customHeight="1">
      <c r="A2062" t="s">
        <v>2212</v>
      </c>
      <c r="B2062" s="3">
        <v>45580</v>
      </c>
      <c r="C2062" t="s">
        <v>591</v>
      </c>
      <c r="D2062" t="s">
        <v>65</v>
      </c>
      <c r="E2062" t="s">
        <v>17</v>
      </c>
      <c r="F2062" t="str">
        <f t="shared" si="32"/>
        <v>Central</v>
      </c>
      <c r="G2062" t="s">
        <v>306</v>
      </c>
      <c r="H2062" t="s">
        <v>32</v>
      </c>
      <c r="I2062">
        <v>12</v>
      </c>
    </row>
    <row r="2063" spans="1:9" ht="21.75" customHeight="1">
      <c r="A2063" t="s">
        <v>2213</v>
      </c>
      <c r="B2063" s="3">
        <v>45521</v>
      </c>
      <c r="C2063" t="s">
        <v>106</v>
      </c>
      <c r="D2063" t="s">
        <v>96</v>
      </c>
      <c r="E2063" t="s">
        <v>22</v>
      </c>
      <c r="F2063" t="str">
        <f t="shared" si="32"/>
        <v>North</v>
      </c>
      <c r="G2063" t="s">
        <v>12</v>
      </c>
      <c r="H2063" t="s">
        <v>32</v>
      </c>
      <c r="I2063">
        <v>20</v>
      </c>
    </row>
    <row r="2064" spans="1:9" ht="21.75" customHeight="1">
      <c r="A2064" t="s">
        <v>2214</v>
      </c>
      <c r="B2064" s="3">
        <v>45361</v>
      </c>
      <c r="C2064" t="s">
        <v>68</v>
      </c>
      <c r="D2064" t="s">
        <v>96</v>
      </c>
      <c r="E2064" t="s">
        <v>17</v>
      </c>
      <c r="F2064" t="str">
        <f t="shared" si="32"/>
        <v>South</v>
      </c>
      <c r="G2064" t="s">
        <v>56</v>
      </c>
      <c r="H2064" t="s">
        <v>28</v>
      </c>
      <c r="I2064">
        <v>11</v>
      </c>
    </row>
    <row r="2065" spans="1:9" ht="21.75" customHeight="1">
      <c r="A2065" t="s">
        <v>2215</v>
      </c>
      <c r="B2065" s="3">
        <v>45645</v>
      </c>
      <c r="C2065" t="s">
        <v>89</v>
      </c>
      <c r="D2065" t="s">
        <v>174</v>
      </c>
      <c r="E2065" t="s">
        <v>22</v>
      </c>
      <c r="F2065" t="str">
        <f t="shared" si="32"/>
        <v>Central</v>
      </c>
      <c r="G2065" t="s">
        <v>306</v>
      </c>
      <c r="H2065" t="s">
        <v>36</v>
      </c>
      <c r="I2065">
        <v>19</v>
      </c>
    </row>
    <row r="2066" spans="1:9" ht="21.75" customHeight="1">
      <c r="A2066" t="s">
        <v>2216</v>
      </c>
      <c r="B2066" s="3">
        <v>45311</v>
      </c>
      <c r="C2066" t="s">
        <v>366</v>
      </c>
      <c r="D2066" t="s">
        <v>48</v>
      </c>
      <c r="E2066" t="s">
        <v>11</v>
      </c>
      <c r="F2066" t="str">
        <f t="shared" si="32"/>
        <v>South</v>
      </c>
      <c r="G2066" t="s">
        <v>56</v>
      </c>
      <c r="H2066" t="s">
        <v>32</v>
      </c>
      <c r="I2066">
        <v>12</v>
      </c>
    </row>
    <row r="2067" spans="1:9" ht="21.75" customHeight="1">
      <c r="A2067" t="s">
        <v>2217</v>
      </c>
      <c r="B2067" s="3">
        <v>45419</v>
      </c>
      <c r="C2067" t="s">
        <v>51</v>
      </c>
      <c r="D2067" t="s">
        <v>26</v>
      </c>
      <c r="E2067" t="s">
        <v>17</v>
      </c>
      <c r="F2067" t="str">
        <f t="shared" si="32"/>
        <v>North</v>
      </c>
      <c r="G2067" t="s">
        <v>12</v>
      </c>
      <c r="H2067" t="s">
        <v>36</v>
      </c>
      <c r="I2067">
        <v>13</v>
      </c>
    </row>
    <row r="2068" spans="1:9" ht="21.75" customHeight="1">
      <c r="A2068" t="s">
        <v>2218</v>
      </c>
      <c r="B2068" s="3">
        <v>45403</v>
      </c>
      <c r="C2068" t="s">
        <v>388</v>
      </c>
      <c r="D2068" t="s">
        <v>10</v>
      </c>
      <c r="E2068" t="s">
        <v>22</v>
      </c>
      <c r="F2068" t="str">
        <f t="shared" si="32"/>
        <v>East</v>
      </c>
      <c r="G2068" t="s">
        <v>42</v>
      </c>
      <c r="H2068" t="s">
        <v>23</v>
      </c>
      <c r="I2068">
        <v>6</v>
      </c>
    </row>
    <row r="2069" spans="1:9" ht="21.75" customHeight="1">
      <c r="A2069" t="s">
        <v>2219</v>
      </c>
      <c r="B2069" s="3">
        <v>45645</v>
      </c>
      <c r="C2069" t="s">
        <v>424</v>
      </c>
      <c r="D2069" t="s">
        <v>59</v>
      </c>
      <c r="E2069" t="s">
        <v>11</v>
      </c>
      <c r="F2069" t="str">
        <f t="shared" si="32"/>
        <v>Central</v>
      </c>
      <c r="G2069" t="s">
        <v>306</v>
      </c>
      <c r="H2069" t="s">
        <v>32</v>
      </c>
      <c r="I2069">
        <v>2</v>
      </c>
    </row>
    <row r="2070" spans="1:9" ht="21.75" customHeight="1">
      <c r="A2070" t="s">
        <v>2220</v>
      </c>
      <c r="B2070" s="3">
        <v>45587</v>
      </c>
      <c r="C2070" t="s">
        <v>159</v>
      </c>
      <c r="D2070" t="s">
        <v>10</v>
      </c>
      <c r="E2070" t="s">
        <v>11</v>
      </c>
      <c r="F2070" t="str">
        <f t="shared" si="32"/>
        <v>East</v>
      </c>
      <c r="G2070" t="s">
        <v>42</v>
      </c>
      <c r="H2070" t="s">
        <v>32</v>
      </c>
      <c r="I2070">
        <v>14</v>
      </c>
    </row>
    <row r="2071" spans="1:9" ht="21.75" customHeight="1">
      <c r="A2071" t="s">
        <v>2221</v>
      </c>
      <c r="B2071" s="3">
        <v>45353</v>
      </c>
      <c r="C2071" t="s">
        <v>337</v>
      </c>
      <c r="D2071" t="s">
        <v>197</v>
      </c>
      <c r="E2071" t="s">
        <v>22</v>
      </c>
      <c r="F2071" t="str">
        <f t="shared" si="32"/>
        <v>Central</v>
      </c>
      <c r="G2071" t="s">
        <v>306</v>
      </c>
      <c r="H2071" t="s">
        <v>13</v>
      </c>
      <c r="I2071">
        <v>13</v>
      </c>
    </row>
    <row r="2072" spans="1:9" ht="21.75" customHeight="1">
      <c r="A2072" t="s">
        <v>2222</v>
      </c>
      <c r="B2072" s="3">
        <v>45560</v>
      </c>
      <c r="C2072" t="s">
        <v>116</v>
      </c>
      <c r="D2072" t="s">
        <v>72</v>
      </c>
      <c r="E2072" t="s">
        <v>22</v>
      </c>
      <c r="F2072" t="str">
        <f t="shared" si="32"/>
        <v>Central</v>
      </c>
      <c r="G2072" t="s">
        <v>306</v>
      </c>
      <c r="H2072" t="s">
        <v>28</v>
      </c>
      <c r="I2072">
        <v>11</v>
      </c>
    </row>
    <row r="2073" spans="1:9" ht="21.75" customHeight="1">
      <c r="A2073" t="s">
        <v>2223</v>
      </c>
      <c r="B2073" s="3">
        <v>45405</v>
      </c>
      <c r="C2073" t="s">
        <v>125</v>
      </c>
      <c r="D2073" t="s">
        <v>79</v>
      </c>
      <c r="E2073" t="s">
        <v>22</v>
      </c>
      <c r="F2073" t="str">
        <f t="shared" si="32"/>
        <v>West</v>
      </c>
      <c r="G2073" t="s">
        <v>27</v>
      </c>
      <c r="H2073" t="s">
        <v>23</v>
      </c>
      <c r="I2073">
        <v>20</v>
      </c>
    </row>
    <row r="2074" spans="1:9" ht="21.75" customHeight="1">
      <c r="A2074" t="s">
        <v>2224</v>
      </c>
      <c r="B2074" s="3">
        <v>45338</v>
      </c>
      <c r="C2074" t="s">
        <v>240</v>
      </c>
      <c r="D2074" t="s">
        <v>87</v>
      </c>
      <c r="E2074" t="s">
        <v>17</v>
      </c>
      <c r="F2074" t="str">
        <f t="shared" si="32"/>
        <v>West</v>
      </c>
      <c r="G2074" t="s">
        <v>27</v>
      </c>
      <c r="H2074" t="s">
        <v>28</v>
      </c>
      <c r="I2074">
        <v>5</v>
      </c>
    </row>
    <row r="2075" spans="1:9" ht="21.75" customHeight="1">
      <c r="A2075" t="s">
        <v>2225</v>
      </c>
      <c r="B2075" s="3">
        <v>45535</v>
      </c>
      <c r="C2075" t="s">
        <v>314</v>
      </c>
      <c r="D2075" t="s">
        <v>84</v>
      </c>
      <c r="E2075" t="s">
        <v>11</v>
      </c>
      <c r="F2075" t="str">
        <f t="shared" si="32"/>
        <v>Central</v>
      </c>
      <c r="G2075" t="s">
        <v>306</v>
      </c>
      <c r="H2075" t="s">
        <v>23</v>
      </c>
      <c r="I2075">
        <v>9</v>
      </c>
    </row>
    <row r="2076" spans="1:9" ht="21.75" customHeight="1">
      <c r="A2076" t="s">
        <v>2226</v>
      </c>
      <c r="B2076" s="3">
        <v>45548</v>
      </c>
      <c r="C2076" t="s">
        <v>348</v>
      </c>
      <c r="D2076" t="s">
        <v>119</v>
      </c>
      <c r="E2076" t="s">
        <v>22</v>
      </c>
      <c r="F2076" t="str">
        <f t="shared" si="32"/>
        <v>South</v>
      </c>
      <c r="G2076" t="s">
        <v>56</v>
      </c>
      <c r="H2076" t="s">
        <v>28</v>
      </c>
      <c r="I2076">
        <v>16</v>
      </c>
    </row>
    <row r="2077" spans="1:9" ht="21.75" customHeight="1">
      <c r="A2077" t="s">
        <v>2227</v>
      </c>
      <c r="B2077" s="3">
        <v>45541</v>
      </c>
      <c r="C2077" t="s">
        <v>106</v>
      </c>
      <c r="D2077" t="s">
        <v>21</v>
      </c>
      <c r="E2077" t="s">
        <v>22</v>
      </c>
      <c r="F2077" t="str">
        <f t="shared" si="32"/>
        <v>South</v>
      </c>
      <c r="G2077" t="s">
        <v>56</v>
      </c>
      <c r="H2077" t="s">
        <v>36</v>
      </c>
      <c r="I2077">
        <v>20</v>
      </c>
    </row>
    <row r="2078" spans="1:9" ht="21.75" customHeight="1">
      <c r="A2078" t="s">
        <v>2228</v>
      </c>
      <c r="B2078" s="3">
        <v>45560</v>
      </c>
      <c r="C2078" t="s">
        <v>78</v>
      </c>
      <c r="D2078" t="s">
        <v>197</v>
      </c>
      <c r="E2078" t="s">
        <v>11</v>
      </c>
      <c r="F2078" t="str">
        <f t="shared" si="32"/>
        <v>East</v>
      </c>
      <c r="G2078" t="s">
        <v>42</v>
      </c>
      <c r="H2078" t="s">
        <v>23</v>
      </c>
      <c r="I2078">
        <v>11</v>
      </c>
    </row>
    <row r="2079" spans="1:9" ht="21.75" customHeight="1">
      <c r="A2079" t="s">
        <v>2229</v>
      </c>
      <c r="B2079" s="3">
        <v>45586</v>
      </c>
      <c r="C2079" t="s">
        <v>203</v>
      </c>
      <c r="D2079" t="s">
        <v>102</v>
      </c>
      <c r="E2079" t="s">
        <v>22</v>
      </c>
      <c r="F2079" t="str">
        <f t="shared" si="32"/>
        <v>West</v>
      </c>
      <c r="G2079" t="s">
        <v>27</v>
      </c>
      <c r="H2079" t="s">
        <v>23</v>
      </c>
      <c r="I2079">
        <v>12</v>
      </c>
    </row>
    <row r="2080" spans="1:9" ht="21.75" customHeight="1">
      <c r="A2080" t="s">
        <v>2230</v>
      </c>
      <c r="B2080" s="3">
        <v>45456</v>
      </c>
      <c r="C2080" t="s">
        <v>20</v>
      </c>
      <c r="D2080" t="s">
        <v>109</v>
      </c>
      <c r="E2080" t="s">
        <v>22</v>
      </c>
      <c r="F2080" t="str">
        <f t="shared" si="32"/>
        <v>North</v>
      </c>
      <c r="G2080" t="s">
        <v>12</v>
      </c>
      <c r="H2080" t="s">
        <v>32</v>
      </c>
      <c r="I2080">
        <v>6</v>
      </c>
    </row>
    <row r="2081" spans="1:9" ht="21.75" customHeight="1">
      <c r="A2081" t="s">
        <v>2231</v>
      </c>
      <c r="B2081" s="3">
        <v>45607</v>
      </c>
      <c r="C2081" t="s">
        <v>396</v>
      </c>
      <c r="D2081" t="s">
        <v>109</v>
      </c>
      <c r="E2081" t="s">
        <v>11</v>
      </c>
      <c r="F2081" t="str">
        <f t="shared" si="32"/>
        <v>West</v>
      </c>
      <c r="G2081" t="s">
        <v>27</v>
      </c>
      <c r="H2081" t="s">
        <v>13</v>
      </c>
      <c r="I2081">
        <v>8</v>
      </c>
    </row>
    <row r="2082" spans="1:9" ht="21.75" customHeight="1">
      <c r="A2082" t="s">
        <v>2232</v>
      </c>
      <c r="B2082" s="3">
        <v>45483</v>
      </c>
      <c r="C2082" t="s">
        <v>125</v>
      </c>
      <c r="D2082" t="s">
        <v>119</v>
      </c>
      <c r="E2082" t="s">
        <v>22</v>
      </c>
      <c r="F2082" t="str">
        <f t="shared" si="32"/>
        <v>North</v>
      </c>
      <c r="G2082" t="s">
        <v>12</v>
      </c>
      <c r="H2082" t="s">
        <v>13</v>
      </c>
      <c r="I2082">
        <v>2</v>
      </c>
    </row>
    <row r="2083" spans="1:9" ht="21.75" customHeight="1">
      <c r="A2083" t="s">
        <v>2233</v>
      </c>
      <c r="B2083" s="3">
        <v>45609</v>
      </c>
      <c r="C2083" t="s">
        <v>167</v>
      </c>
      <c r="D2083" t="s">
        <v>74</v>
      </c>
      <c r="E2083" t="s">
        <v>11</v>
      </c>
      <c r="F2083" t="str">
        <f t="shared" si="32"/>
        <v>East</v>
      </c>
      <c r="G2083" t="s">
        <v>42</v>
      </c>
      <c r="H2083" t="s">
        <v>13</v>
      </c>
      <c r="I2083">
        <v>10</v>
      </c>
    </row>
    <row r="2084" spans="1:9" ht="21.75" customHeight="1">
      <c r="A2084" t="s">
        <v>2234</v>
      </c>
      <c r="B2084" s="3">
        <v>45303</v>
      </c>
      <c r="C2084" t="s">
        <v>118</v>
      </c>
      <c r="D2084" t="s">
        <v>65</v>
      </c>
      <c r="E2084" t="s">
        <v>22</v>
      </c>
      <c r="F2084" t="str">
        <f t="shared" si="32"/>
        <v>Central</v>
      </c>
      <c r="G2084" t="s">
        <v>306</v>
      </c>
      <c r="H2084" t="s">
        <v>28</v>
      </c>
      <c r="I2084">
        <v>7</v>
      </c>
    </row>
    <row r="2085" spans="1:9" ht="21.75" customHeight="1">
      <c r="A2085" t="s">
        <v>2235</v>
      </c>
      <c r="B2085" s="3">
        <v>45424</v>
      </c>
      <c r="C2085" t="s">
        <v>378</v>
      </c>
      <c r="D2085" t="s">
        <v>35</v>
      </c>
      <c r="E2085" t="s">
        <v>22</v>
      </c>
      <c r="F2085" t="str">
        <f t="shared" si="32"/>
        <v>South</v>
      </c>
      <c r="G2085" t="s">
        <v>56</v>
      </c>
      <c r="H2085" t="s">
        <v>13</v>
      </c>
      <c r="I2085">
        <v>13</v>
      </c>
    </row>
    <row r="2086" spans="1:9" ht="21.75" customHeight="1">
      <c r="A2086" t="s">
        <v>2236</v>
      </c>
      <c r="B2086" s="3">
        <v>45631</v>
      </c>
      <c r="C2086" t="s">
        <v>339</v>
      </c>
      <c r="D2086" t="s">
        <v>79</v>
      </c>
      <c r="E2086" t="s">
        <v>17</v>
      </c>
      <c r="F2086" t="str">
        <f t="shared" si="32"/>
        <v>South</v>
      </c>
      <c r="G2086" t="s">
        <v>56</v>
      </c>
      <c r="H2086" t="s">
        <v>13</v>
      </c>
      <c r="I2086">
        <v>10</v>
      </c>
    </row>
    <row r="2087" spans="1:9" ht="21.75" customHeight="1">
      <c r="A2087" t="s">
        <v>2237</v>
      </c>
      <c r="B2087" s="3">
        <v>45648</v>
      </c>
      <c r="C2087" t="s">
        <v>381</v>
      </c>
      <c r="D2087" t="s">
        <v>26</v>
      </c>
      <c r="E2087" t="s">
        <v>11</v>
      </c>
      <c r="F2087" t="str">
        <f t="shared" si="32"/>
        <v>West</v>
      </c>
      <c r="G2087" t="s">
        <v>27</v>
      </c>
      <c r="H2087" t="s">
        <v>13</v>
      </c>
      <c r="I2087">
        <v>3</v>
      </c>
    </row>
    <row r="2088" spans="1:9" ht="21.75" customHeight="1">
      <c r="A2088" t="s">
        <v>2238</v>
      </c>
      <c r="B2088" s="3">
        <v>45430</v>
      </c>
      <c r="C2088" t="s">
        <v>371</v>
      </c>
      <c r="D2088" t="s">
        <v>41</v>
      </c>
      <c r="E2088" t="s">
        <v>17</v>
      </c>
      <c r="F2088" t="str">
        <f t="shared" si="32"/>
        <v>North</v>
      </c>
      <c r="G2088" t="s">
        <v>12</v>
      </c>
      <c r="H2088" t="s">
        <v>13</v>
      </c>
      <c r="I2088">
        <v>10</v>
      </c>
    </row>
    <row r="2089" spans="1:9" ht="21.75" customHeight="1">
      <c r="A2089" t="s">
        <v>2239</v>
      </c>
      <c r="B2089" s="3">
        <v>45624</v>
      </c>
      <c r="C2089" t="s">
        <v>53</v>
      </c>
      <c r="D2089" t="s">
        <v>197</v>
      </c>
      <c r="E2089" t="s">
        <v>17</v>
      </c>
      <c r="F2089" t="str">
        <f t="shared" si="32"/>
        <v>Central</v>
      </c>
      <c r="G2089" t="s">
        <v>306</v>
      </c>
      <c r="H2089" t="s">
        <v>13</v>
      </c>
      <c r="I2089">
        <v>11</v>
      </c>
    </row>
    <row r="2090" spans="1:9" ht="21.75" customHeight="1">
      <c r="A2090" t="s">
        <v>2240</v>
      </c>
      <c r="B2090" s="3">
        <v>45597</v>
      </c>
      <c r="C2090" t="s">
        <v>312</v>
      </c>
      <c r="D2090" t="s">
        <v>10</v>
      </c>
      <c r="E2090" t="s">
        <v>11</v>
      </c>
      <c r="F2090" t="str">
        <f t="shared" si="32"/>
        <v>South</v>
      </c>
      <c r="G2090" t="s">
        <v>56</v>
      </c>
      <c r="H2090" t="s">
        <v>36</v>
      </c>
      <c r="I2090">
        <v>15</v>
      </c>
    </row>
    <row r="2091" spans="1:9" ht="21.75" customHeight="1">
      <c r="A2091" t="s">
        <v>2241</v>
      </c>
      <c r="B2091" s="3">
        <v>45656</v>
      </c>
      <c r="C2091" t="s">
        <v>138</v>
      </c>
      <c r="D2091" t="s">
        <v>79</v>
      </c>
      <c r="E2091" t="s">
        <v>11</v>
      </c>
      <c r="F2091" t="str">
        <f t="shared" si="32"/>
        <v>Central</v>
      </c>
      <c r="G2091" t="s">
        <v>306</v>
      </c>
      <c r="H2091" t="s">
        <v>32</v>
      </c>
      <c r="I2091">
        <v>11</v>
      </c>
    </row>
    <row r="2092" spans="1:9" ht="21.75" customHeight="1">
      <c r="A2092" t="s">
        <v>2242</v>
      </c>
      <c r="B2092" s="3">
        <v>45372</v>
      </c>
      <c r="C2092" t="s">
        <v>138</v>
      </c>
      <c r="D2092" t="s">
        <v>48</v>
      </c>
      <c r="E2092" t="s">
        <v>22</v>
      </c>
      <c r="F2092" t="str">
        <f t="shared" si="32"/>
        <v>East</v>
      </c>
      <c r="G2092" t="s">
        <v>42</v>
      </c>
      <c r="H2092" t="s">
        <v>32</v>
      </c>
      <c r="I2092">
        <v>10</v>
      </c>
    </row>
    <row r="2093" spans="1:9" ht="21.75" customHeight="1">
      <c r="A2093" t="s">
        <v>2243</v>
      </c>
      <c r="B2093" s="3">
        <v>45548</v>
      </c>
      <c r="C2093" t="s">
        <v>89</v>
      </c>
      <c r="D2093" t="s">
        <v>79</v>
      </c>
      <c r="E2093" t="s">
        <v>22</v>
      </c>
      <c r="F2093" t="str">
        <f t="shared" si="32"/>
        <v>East</v>
      </c>
      <c r="G2093" t="s">
        <v>42</v>
      </c>
      <c r="H2093" t="s">
        <v>23</v>
      </c>
      <c r="I2093">
        <v>1</v>
      </c>
    </row>
    <row r="2094" spans="1:9" ht="21.75" customHeight="1">
      <c r="A2094" t="s">
        <v>2244</v>
      </c>
      <c r="B2094" s="3">
        <v>45435</v>
      </c>
      <c r="C2094" t="s">
        <v>240</v>
      </c>
      <c r="D2094" t="s">
        <v>16</v>
      </c>
      <c r="E2094" t="s">
        <v>17</v>
      </c>
      <c r="F2094" t="str">
        <f t="shared" si="32"/>
        <v>West</v>
      </c>
      <c r="G2094" t="s">
        <v>27</v>
      </c>
      <c r="H2094" t="s">
        <v>28</v>
      </c>
      <c r="I2094">
        <v>3</v>
      </c>
    </row>
    <row r="2095" spans="1:9" ht="21.75" customHeight="1">
      <c r="A2095" t="s">
        <v>2245</v>
      </c>
      <c r="B2095" s="3">
        <v>45558</v>
      </c>
      <c r="C2095" t="s">
        <v>422</v>
      </c>
      <c r="D2095" t="s">
        <v>109</v>
      </c>
      <c r="E2095" t="s">
        <v>22</v>
      </c>
      <c r="F2095" t="str">
        <f t="shared" si="32"/>
        <v>South</v>
      </c>
      <c r="G2095" t="s">
        <v>56</v>
      </c>
      <c r="H2095" t="s">
        <v>23</v>
      </c>
      <c r="I2095">
        <v>8</v>
      </c>
    </row>
    <row r="2096" spans="1:9" ht="21.75" customHeight="1">
      <c r="A2096" t="s">
        <v>2246</v>
      </c>
      <c r="B2096" s="3">
        <v>45510</v>
      </c>
      <c r="C2096" t="s">
        <v>147</v>
      </c>
      <c r="D2096" t="s">
        <v>109</v>
      </c>
      <c r="E2096" t="s">
        <v>17</v>
      </c>
      <c r="F2096" t="str">
        <f t="shared" si="32"/>
        <v>West</v>
      </c>
      <c r="G2096" t="s">
        <v>27</v>
      </c>
      <c r="H2096" t="s">
        <v>36</v>
      </c>
      <c r="I2096">
        <v>5</v>
      </c>
    </row>
    <row r="2097" spans="1:9" ht="21.75" customHeight="1">
      <c r="A2097" t="s">
        <v>2247</v>
      </c>
      <c r="B2097" s="3">
        <v>45362</v>
      </c>
      <c r="C2097" t="s">
        <v>361</v>
      </c>
      <c r="D2097" t="s">
        <v>174</v>
      </c>
      <c r="E2097" t="s">
        <v>22</v>
      </c>
      <c r="F2097" t="str">
        <f t="shared" si="32"/>
        <v>South</v>
      </c>
      <c r="G2097" t="s">
        <v>56</v>
      </c>
      <c r="H2097" t="s">
        <v>28</v>
      </c>
      <c r="I2097">
        <v>10</v>
      </c>
    </row>
    <row r="2098" spans="1:9" ht="21.75" customHeight="1">
      <c r="A2098" t="s">
        <v>2248</v>
      </c>
      <c r="B2098" s="3">
        <v>45560</v>
      </c>
      <c r="C2098" t="s">
        <v>99</v>
      </c>
      <c r="D2098" t="s">
        <v>87</v>
      </c>
      <c r="E2098" t="s">
        <v>11</v>
      </c>
      <c r="F2098" t="str">
        <f t="shared" si="32"/>
        <v>Central</v>
      </c>
      <c r="G2098" t="s">
        <v>306</v>
      </c>
      <c r="H2098" t="s">
        <v>28</v>
      </c>
      <c r="I2098">
        <v>11</v>
      </c>
    </row>
    <row r="2099" spans="1:9" ht="21.75" customHeight="1">
      <c r="A2099" t="s">
        <v>2249</v>
      </c>
      <c r="B2099" s="3">
        <v>45564</v>
      </c>
      <c r="C2099" t="s">
        <v>329</v>
      </c>
      <c r="D2099" t="s">
        <v>102</v>
      </c>
      <c r="E2099" t="s">
        <v>11</v>
      </c>
      <c r="F2099" t="str">
        <f t="shared" si="32"/>
        <v>East</v>
      </c>
      <c r="G2099" t="s">
        <v>42</v>
      </c>
      <c r="H2099" t="s">
        <v>28</v>
      </c>
      <c r="I2099">
        <v>1</v>
      </c>
    </row>
    <row r="2100" spans="1:9" ht="21.75" customHeight="1">
      <c r="A2100" t="s">
        <v>2250</v>
      </c>
      <c r="B2100" s="3">
        <v>45503</v>
      </c>
      <c r="C2100" t="s">
        <v>408</v>
      </c>
      <c r="D2100" t="s">
        <v>74</v>
      </c>
      <c r="E2100" t="s">
        <v>17</v>
      </c>
      <c r="F2100" t="str">
        <f t="shared" si="32"/>
        <v>East</v>
      </c>
      <c r="G2100" t="s">
        <v>42</v>
      </c>
      <c r="H2100" t="s">
        <v>28</v>
      </c>
      <c r="I2100">
        <v>7</v>
      </c>
    </row>
    <row r="2101" spans="1:9" ht="21.75" customHeight="1">
      <c r="A2101" t="s">
        <v>2251</v>
      </c>
      <c r="B2101" s="3">
        <v>45386</v>
      </c>
      <c r="C2101" t="s">
        <v>64</v>
      </c>
      <c r="D2101" t="s">
        <v>119</v>
      </c>
      <c r="E2101" t="s">
        <v>22</v>
      </c>
      <c r="F2101" t="str">
        <f t="shared" si="32"/>
        <v>Central</v>
      </c>
      <c r="G2101" t="s">
        <v>306</v>
      </c>
      <c r="H2101" t="s">
        <v>32</v>
      </c>
      <c r="I2101">
        <v>20</v>
      </c>
    </row>
    <row r="2102" spans="1:9" ht="21.75" customHeight="1">
      <c r="A2102" t="s">
        <v>2252</v>
      </c>
      <c r="B2102" s="3">
        <v>45410</v>
      </c>
      <c r="C2102" t="s">
        <v>327</v>
      </c>
      <c r="D2102" t="s">
        <v>197</v>
      </c>
      <c r="E2102" t="s">
        <v>11</v>
      </c>
      <c r="F2102" t="str">
        <f t="shared" si="32"/>
        <v>North</v>
      </c>
      <c r="G2102" t="s">
        <v>12</v>
      </c>
      <c r="H2102" t="s">
        <v>32</v>
      </c>
      <c r="I2102">
        <v>3</v>
      </c>
    </row>
    <row r="2103" spans="1:9" ht="21.75" customHeight="1">
      <c r="A2103" t="s">
        <v>2253</v>
      </c>
      <c r="B2103" s="3">
        <v>45536</v>
      </c>
      <c r="C2103" t="s">
        <v>99</v>
      </c>
      <c r="D2103" t="s">
        <v>160</v>
      </c>
      <c r="E2103" t="s">
        <v>22</v>
      </c>
      <c r="F2103" t="str">
        <f t="shared" si="32"/>
        <v>West</v>
      </c>
      <c r="G2103" t="s">
        <v>27</v>
      </c>
      <c r="H2103" t="s">
        <v>32</v>
      </c>
      <c r="I2103">
        <v>6</v>
      </c>
    </row>
    <row r="2104" spans="1:9" ht="21.75" customHeight="1">
      <c r="A2104" t="s">
        <v>2254</v>
      </c>
      <c r="B2104" s="3">
        <v>45543</v>
      </c>
      <c r="C2104" t="s">
        <v>553</v>
      </c>
      <c r="D2104" t="s">
        <v>16</v>
      </c>
      <c r="E2104" t="s">
        <v>11</v>
      </c>
      <c r="F2104" t="str">
        <f t="shared" si="32"/>
        <v>South</v>
      </c>
      <c r="G2104" t="s">
        <v>56</v>
      </c>
      <c r="H2104" t="s">
        <v>28</v>
      </c>
      <c r="I2104">
        <v>2</v>
      </c>
    </row>
    <row r="2105" spans="1:9" ht="21.75" customHeight="1">
      <c r="A2105" t="s">
        <v>2255</v>
      </c>
      <c r="B2105" s="3">
        <v>45299</v>
      </c>
      <c r="C2105" t="s">
        <v>101</v>
      </c>
      <c r="D2105" t="s">
        <v>87</v>
      </c>
      <c r="E2105" t="s">
        <v>11</v>
      </c>
      <c r="F2105" t="str">
        <f t="shared" si="32"/>
        <v>South</v>
      </c>
      <c r="G2105" t="s">
        <v>56</v>
      </c>
      <c r="H2105" t="s">
        <v>28</v>
      </c>
      <c r="I2105">
        <v>3</v>
      </c>
    </row>
    <row r="2106" spans="1:9" ht="21.75" customHeight="1">
      <c r="A2106" t="s">
        <v>2256</v>
      </c>
      <c r="B2106" s="3">
        <v>45516</v>
      </c>
      <c r="C2106" t="s">
        <v>594</v>
      </c>
      <c r="D2106" t="s">
        <v>35</v>
      </c>
      <c r="E2106" t="s">
        <v>22</v>
      </c>
      <c r="F2106" t="str">
        <f t="shared" si="32"/>
        <v>East</v>
      </c>
      <c r="G2106" t="s">
        <v>42</v>
      </c>
      <c r="H2106" t="s">
        <v>23</v>
      </c>
      <c r="I2106">
        <v>8</v>
      </c>
    </row>
    <row r="2107" spans="1:9" ht="21.75" customHeight="1">
      <c r="A2107" t="s">
        <v>2257</v>
      </c>
      <c r="B2107" s="3">
        <v>45313</v>
      </c>
      <c r="C2107" t="s">
        <v>493</v>
      </c>
      <c r="D2107" t="s">
        <v>84</v>
      </c>
      <c r="E2107" t="s">
        <v>17</v>
      </c>
      <c r="F2107" t="str">
        <f t="shared" si="32"/>
        <v>East</v>
      </c>
      <c r="G2107" t="s">
        <v>42</v>
      </c>
      <c r="H2107" t="s">
        <v>23</v>
      </c>
      <c r="I2107">
        <v>20</v>
      </c>
    </row>
    <row r="2108" spans="1:9" ht="21.75" customHeight="1">
      <c r="A2108" t="s">
        <v>2258</v>
      </c>
      <c r="B2108" s="3">
        <v>45584</v>
      </c>
      <c r="C2108" t="s">
        <v>327</v>
      </c>
      <c r="D2108" t="s">
        <v>174</v>
      </c>
      <c r="E2108" t="s">
        <v>22</v>
      </c>
      <c r="F2108" t="str">
        <f t="shared" si="32"/>
        <v>North</v>
      </c>
      <c r="G2108" t="s">
        <v>12</v>
      </c>
      <c r="H2108" t="s">
        <v>36</v>
      </c>
      <c r="I2108">
        <v>4</v>
      </c>
    </row>
    <row r="2109" spans="1:9" ht="21.75" customHeight="1">
      <c r="A2109" t="s">
        <v>2259</v>
      </c>
      <c r="B2109" s="3">
        <v>45313</v>
      </c>
      <c r="C2109" t="s">
        <v>78</v>
      </c>
      <c r="D2109" t="s">
        <v>160</v>
      </c>
      <c r="E2109" t="s">
        <v>22</v>
      </c>
      <c r="F2109" t="str">
        <f t="shared" si="32"/>
        <v>West</v>
      </c>
      <c r="G2109" t="s">
        <v>27</v>
      </c>
      <c r="H2109" t="s">
        <v>13</v>
      </c>
      <c r="I2109">
        <v>18</v>
      </c>
    </row>
    <row r="2110" spans="1:9" ht="21.75" customHeight="1">
      <c r="A2110" t="s">
        <v>2260</v>
      </c>
      <c r="B2110" s="3">
        <v>45614</v>
      </c>
      <c r="C2110" t="s">
        <v>9</v>
      </c>
      <c r="D2110" t="s">
        <v>65</v>
      </c>
      <c r="E2110" t="s">
        <v>17</v>
      </c>
      <c r="F2110" t="str">
        <f t="shared" si="32"/>
        <v>West</v>
      </c>
      <c r="G2110" t="s">
        <v>27</v>
      </c>
      <c r="H2110" t="s">
        <v>23</v>
      </c>
      <c r="I2110">
        <v>10</v>
      </c>
    </row>
    <row r="2111" spans="1:9" ht="21.75" customHeight="1">
      <c r="A2111" t="s">
        <v>2261</v>
      </c>
      <c r="B2111" s="3">
        <v>45438</v>
      </c>
      <c r="C2111" t="s">
        <v>319</v>
      </c>
      <c r="D2111" t="s">
        <v>45</v>
      </c>
      <c r="E2111" t="s">
        <v>17</v>
      </c>
      <c r="F2111" t="str">
        <f t="shared" si="32"/>
        <v>East</v>
      </c>
      <c r="G2111" t="s">
        <v>42</v>
      </c>
      <c r="H2111" t="s">
        <v>36</v>
      </c>
      <c r="I2111">
        <v>2</v>
      </c>
    </row>
    <row r="2112" spans="1:9" ht="21.75" customHeight="1">
      <c r="A2112" t="s">
        <v>2262</v>
      </c>
      <c r="B2112" s="3">
        <v>45364</v>
      </c>
      <c r="C2112" t="s">
        <v>319</v>
      </c>
      <c r="D2112" t="s">
        <v>21</v>
      </c>
      <c r="E2112" t="s">
        <v>17</v>
      </c>
      <c r="F2112" t="str">
        <f t="shared" si="32"/>
        <v>North</v>
      </c>
      <c r="G2112" t="s">
        <v>12</v>
      </c>
      <c r="H2112" t="s">
        <v>36</v>
      </c>
      <c r="I2112">
        <v>4</v>
      </c>
    </row>
    <row r="2113" spans="1:9" ht="21.75" customHeight="1">
      <c r="A2113" t="s">
        <v>2263</v>
      </c>
      <c r="B2113" s="3">
        <v>45591</v>
      </c>
      <c r="C2113" t="s">
        <v>424</v>
      </c>
      <c r="D2113" t="s">
        <v>174</v>
      </c>
      <c r="E2113" t="s">
        <v>11</v>
      </c>
      <c r="F2113" t="str">
        <f t="shared" si="32"/>
        <v>West</v>
      </c>
      <c r="G2113" t="s">
        <v>27</v>
      </c>
      <c r="H2113" t="s">
        <v>23</v>
      </c>
      <c r="I2113">
        <v>11</v>
      </c>
    </row>
    <row r="2114" spans="1:9" ht="21.75" customHeight="1">
      <c r="A2114" t="s">
        <v>2264</v>
      </c>
      <c r="B2114" s="3">
        <v>45383</v>
      </c>
      <c r="C2114" t="s">
        <v>366</v>
      </c>
      <c r="D2114" t="s">
        <v>59</v>
      </c>
      <c r="E2114" t="s">
        <v>22</v>
      </c>
      <c r="F2114" t="str">
        <f t="shared" si="32"/>
        <v>South</v>
      </c>
      <c r="G2114" t="s">
        <v>56</v>
      </c>
      <c r="H2114" t="s">
        <v>23</v>
      </c>
      <c r="I2114">
        <v>3</v>
      </c>
    </row>
    <row r="2115" spans="1:9" ht="21.75" customHeight="1">
      <c r="A2115" t="s">
        <v>2265</v>
      </c>
      <c r="B2115" s="3">
        <v>45646</v>
      </c>
      <c r="C2115" t="s">
        <v>350</v>
      </c>
      <c r="D2115" t="s">
        <v>62</v>
      </c>
      <c r="E2115" t="s">
        <v>11</v>
      </c>
      <c r="F2115" t="str">
        <f t="shared" ref="F2115:F2178" si="33">TRIM(PROPER(G2115))</f>
        <v>North</v>
      </c>
      <c r="G2115" t="s">
        <v>12</v>
      </c>
      <c r="H2115" t="s">
        <v>13</v>
      </c>
      <c r="I2115">
        <v>4</v>
      </c>
    </row>
    <row r="2116" spans="1:9" ht="21.75" customHeight="1">
      <c r="A2116" t="s">
        <v>2266</v>
      </c>
      <c r="B2116" s="3">
        <v>45616</v>
      </c>
      <c r="C2116" t="s">
        <v>83</v>
      </c>
      <c r="D2116" t="s">
        <v>10</v>
      </c>
      <c r="E2116" t="s">
        <v>22</v>
      </c>
      <c r="F2116" t="str">
        <f t="shared" si="33"/>
        <v>West</v>
      </c>
      <c r="G2116" t="s">
        <v>27</v>
      </c>
      <c r="H2116" t="s">
        <v>36</v>
      </c>
      <c r="I2116">
        <v>20</v>
      </c>
    </row>
    <row r="2117" spans="1:9" ht="21.75" customHeight="1">
      <c r="A2117" t="s">
        <v>2267</v>
      </c>
      <c r="B2117" s="3">
        <v>45485</v>
      </c>
      <c r="C2117" t="s">
        <v>378</v>
      </c>
      <c r="D2117" t="s">
        <v>31</v>
      </c>
      <c r="E2117" t="s">
        <v>11</v>
      </c>
      <c r="F2117" t="str">
        <f t="shared" si="33"/>
        <v>South</v>
      </c>
      <c r="G2117" t="s">
        <v>56</v>
      </c>
      <c r="H2117" t="s">
        <v>32</v>
      </c>
      <c r="I2117">
        <v>19</v>
      </c>
    </row>
    <row r="2118" spans="1:9" ht="21.75" customHeight="1">
      <c r="A2118" t="s">
        <v>2268</v>
      </c>
      <c r="B2118" s="3">
        <v>45368</v>
      </c>
      <c r="C2118" t="s">
        <v>111</v>
      </c>
      <c r="D2118" t="s">
        <v>16</v>
      </c>
      <c r="E2118" t="s">
        <v>11</v>
      </c>
      <c r="F2118" t="str">
        <f t="shared" si="33"/>
        <v>North</v>
      </c>
      <c r="G2118" t="s">
        <v>12</v>
      </c>
      <c r="H2118" t="s">
        <v>23</v>
      </c>
      <c r="I2118">
        <v>10</v>
      </c>
    </row>
    <row r="2119" spans="1:9" ht="21.75" customHeight="1">
      <c r="A2119" t="s">
        <v>2269</v>
      </c>
      <c r="B2119" s="3">
        <v>45520</v>
      </c>
      <c r="C2119" t="s">
        <v>55</v>
      </c>
      <c r="D2119" t="s">
        <v>21</v>
      </c>
      <c r="E2119" t="s">
        <v>11</v>
      </c>
      <c r="F2119" t="str">
        <f t="shared" si="33"/>
        <v>North</v>
      </c>
      <c r="G2119" t="s">
        <v>12</v>
      </c>
      <c r="H2119" t="s">
        <v>28</v>
      </c>
      <c r="I2119">
        <v>7</v>
      </c>
    </row>
    <row r="2120" spans="1:9" ht="21.75" customHeight="1">
      <c r="A2120" t="s">
        <v>2270</v>
      </c>
      <c r="B2120" s="3">
        <v>45421</v>
      </c>
      <c r="C2120" t="s">
        <v>142</v>
      </c>
      <c r="D2120" t="s">
        <v>70</v>
      </c>
      <c r="E2120" t="s">
        <v>17</v>
      </c>
      <c r="F2120" t="str">
        <f t="shared" si="33"/>
        <v>West</v>
      </c>
      <c r="G2120" t="s">
        <v>27</v>
      </c>
      <c r="H2120" t="s">
        <v>36</v>
      </c>
      <c r="I2120">
        <v>1</v>
      </c>
    </row>
    <row r="2121" spans="1:9" ht="21.75" customHeight="1">
      <c r="A2121" t="s">
        <v>2271</v>
      </c>
      <c r="B2121" s="3">
        <v>45544</v>
      </c>
      <c r="C2121" t="s">
        <v>93</v>
      </c>
      <c r="D2121" t="s">
        <v>65</v>
      </c>
      <c r="E2121" t="s">
        <v>22</v>
      </c>
      <c r="F2121" t="str">
        <f t="shared" si="33"/>
        <v>West</v>
      </c>
      <c r="G2121" t="s">
        <v>27</v>
      </c>
      <c r="H2121" t="s">
        <v>23</v>
      </c>
      <c r="I2121">
        <v>14</v>
      </c>
    </row>
    <row r="2122" spans="1:9" ht="21.75" customHeight="1">
      <c r="A2122" t="s">
        <v>2272</v>
      </c>
      <c r="B2122" s="3">
        <v>45599</v>
      </c>
      <c r="C2122" t="s">
        <v>327</v>
      </c>
      <c r="D2122" t="s">
        <v>96</v>
      </c>
      <c r="E2122" t="s">
        <v>11</v>
      </c>
      <c r="F2122" t="str">
        <f t="shared" si="33"/>
        <v>Central</v>
      </c>
      <c r="G2122" t="s">
        <v>306</v>
      </c>
      <c r="H2122" t="s">
        <v>32</v>
      </c>
      <c r="I2122">
        <v>20</v>
      </c>
    </row>
    <row r="2123" spans="1:9" ht="21.75" customHeight="1">
      <c r="A2123" t="s">
        <v>2273</v>
      </c>
      <c r="B2123" s="3">
        <v>45398</v>
      </c>
      <c r="C2123" t="s">
        <v>9</v>
      </c>
      <c r="D2123" t="s">
        <v>45</v>
      </c>
      <c r="E2123" t="s">
        <v>11</v>
      </c>
      <c r="F2123" t="str">
        <f t="shared" si="33"/>
        <v>North</v>
      </c>
      <c r="G2123" t="s">
        <v>12</v>
      </c>
      <c r="H2123" t="s">
        <v>32</v>
      </c>
      <c r="I2123">
        <v>2</v>
      </c>
    </row>
    <row r="2124" spans="1:9" ht="21.75" customHeight="1">
      <c r="A2124" t="s">
        <v>2274</v>
      </c>
      <c r="B2124" s="3">
        <v>45308</v>
      </c>
      <c r="C2124" t="s">
        <v>317</v>
      </c>
      <c r="D2124" t="s">
        <v>59</v>
      </c>
      <c r="E2124" t="s">
        <v>22</v>
      </c>
      <c r="F2124" t="str">
        <f t="shared" si="33"/>
        <v>East</v>
      </c>
      <c r="G2124" t="s">
        <v>42</v>
      </c>
      <c r="H2124" t="s">
        <v>32</v>
      </c>
      <c r="I2124">
        <v>3</v>
      </c>
    </row>
    <row r="2125" spans="1:9" ht="21.75" customHeight="1">
      <c r="A2125" t="s">
        <v>2275</v>
      </c>
      <c r="B2125" s="3">
        <v>45505</v>
      </c>
      <c r="C2125" t="s">
        <v>235</v>
      </c>
      <c r="D2125" t="s">
        <v>45</v>
      </c>
      <c r="E2125" t="s">
        <v>22</v>
      </c>
      <c r="F2125" t="str">
        <f t="shared" si="33"/>
        <v>East</v>
      </c>
      <c r="G2125" t="s">
        <v>42</v>
      </c>
      <c r="H2125" t="s">
        <v>36</v>
      </c>
      <c r="I2125">
        <v>20</v>
      </c>
    </row>
    <row r="2126" spans="1:9" ht="21.75" customHeight="1">
      <c r="A2126" t="s">
        <v>2276</v>
      </c>
      <c r="B2126" s="3">
        <v>45579</v>
      </c>
      <c r="C2126" t="s">
        <v>235</v>
      </c>
      <c r="D2126" t="s">
        <v>70</v>
      </c>
      <c r="E2126" t="s">
        <v>22</v>
      </c>
      <c r="F2126" t="str">
        <f t="shared" si="33"/>
        <v>Central</v>
      </c>
      <c r="G2126" t="s">
        <v>306</v>
      </c>
      <c r="H2126" t="s">
        <v>32</v>
      </c>
      <c r="I2126">
        <v>2</v>
      </c>
    </row>
    <row r="2127" spans="1:9" ht="21.75" customHeight="1">
      <c r="A2127" t="s">
        <v>2277</v>
      </c>
      <c r="B2127" s="3">
        <v>45445</v>
      </c>
      <c r="C2127" t="s">
        <v>187</v>
      </c>
      <c r="D2127" t="s">
        <v>48</v>
      </c>
      <c r="E2127" t="s">
        <v>17</v>
      </c>
      <c r="F2127" t="str">
        <f t="shared" si="33"/>
        <v>North</v>
      </c>
      <c r="G2127" t="s">
        <v>12</v>
      </c>
      <c r="H2127" t="s">
        <v>23</v>
      </c>
      <c r="I2127">
        <v>18</v>
      </c>
    </row>
    <row r="2128" spans="1:9" ht="21.75" customHeight="1">
      <c r="A2128" t="s">
        <v>2278</v>
      </c>
      <c r="B2128" s="3">
        <v>45533</v>
      </c>
      <c r="C2128" t="s">
        <v>99</v>
      </c>
      <c r="D2128" t="s">
        <v>102</v>
      </c>
      <c r="E2128" t="s">
        <v>22</v>
      </c>
      <c r="F2128" t="str">
        <f t="shared" si="33"/>
        <v>East</v>
      </c>
      <c r="G2128" t="s">
        <v>42</v>
      </c>
      <c r="H2128" t="s">
        <v>32</v>
      </c>
      <c r="I2128">
        <v>17</v>
      </c>
    </row>
    <row r="2129" spans="1:9" ht="21.75" customHeight="1">
      <c r="A2129" t="s">
        <v>2279</v>
      </c>
      <c r="B2129" s="3">
        <v>45399</v>
      </c>
      <c r="C2129" t="s">
        <v>424</v>
      </c>
      <c r="D2129" t="s">
        <v>65</v>
      </c>
      <c r="E2129" t="s">
        <v>22</v>
      </c>
      <c r="F2129" t="str">
        <f t="shared" si="33"/>
        <v>North</v>
      </c>
      <c r="G2129" t="s">
        <v>12</v>
      </c>
      <c r="H2129" t="s">
        <v>13</v>
      </c>
      <c r="I2129">
        <v>19</v>
      </c>
    </row>
    <row r="2130" spans="1:9" ht="21.75" customHeight="1">
      <c r="A2130" t="s">
        <v>2280</v>
      </c>
      <c r="B2130" s="3">
        <v>45614</v>
      </c>
      <c r="C2130" t="s">
        <v>339</v>
      </c>
      <c r="D2130" t="s">
        <v>10</v>
      </c>
      <c r="E2130" t="s">
        <v>17</v>
      </c>
      <c r="F2130" t="str">
        <f t="shared" si="33"/>
        <v>Central</v>
      </c>
      <c r="G2130" t="s">
        <v>306</v>
      </c>
      <c r="H2130" t="s">
        <v>32</v>
      </c>
      <c r="I2130">
        <v>14</v>
      </c>
    </row>
    <row r="2131" spans="1:9" ht="21.75" customHeight="1">
      <c r="A2131" t="s">
        <v>2281</v>
      </c>
      <c r="B2131" s="3">
        <v>45454</v>
      </c>
      <c r="C2131" t="s">
        <v>86</v>
      </c>
      <c r="D2131" t="s">
        <v>160</v>
      </c>
      <c r="E2131" t="s">
        <v>22</v>
      </c>
      <c r="F2131" t="str">
        <f t="shared" si="33"/>
        <v>Central</v>
      </c>
      <c r="G2131" t="s">
        <v>306</v>
      </c>
      <c r="H2131" t="s">
        <v>32</v>
      </c>
      <c r="I2131">
        <v>5</v>
      </c>
    </row>
    <row r="2132" spans="1:9" ht="21.75" customHeight="1">
      <c r="A2132" t="s">
        <v>2282</v>
      </c>
      <c r="B2132" s="3">
        <v>45546</v>
      </c>
      <c r="C2132" t="s">
        <v>363</v>
      </c>
      <c r="D2132" t="s">
        <v>84</v>
      </c>
      <c r="E2132" t="s">
        <v>22</v>
      </c>
      <c r="F2132" t="str">
        <f t="shared" si="33"/>
        <v>West</v>
      </c>
      <c r="G2132" t="s">
        <v>27</v>
      </c>
      <c r="H2132" t="s">
        <v>23</v>
      </c>
      <c r="I2132">
        <v>6</v>
      </c>
    </row>
    <row r="2133" spans="1:9" ht="21.75" customHeight="1">
      <c r="A2133" t="s">
        <v>2283</v>
      </c>
      <c r="B2133" s="3">
        <v>45411</v>
      </c>
      <c r="C2133" t="s">
        <v>369</v>
      </c>
      <c r="D2133" t="s">
        <v>74</v>
      </c>
      <c r="E2133" t="s">
        <v>11</v>
      </c>
      <c r="F2133" t="str">
        <f t="shared" si="33"/>
        <v>North</v>
      </c>
      <c r="G2133" t="s">
        <v>12</v>
      </c>
      <c r="H2133" t="s">
        <v>13</v>
      </c>
      <c r="I2133">
        <v>1</v>
      </c>
    </row>
    <row r="2134" spans="1:9" ht="21.75" customHeight="1">
      <c r="A2134" t="s">
        <v>2284</v>
      </c>
      <c r="B2134" s="3">
        <v>45352</v>
      </c>
      <c r="C2134" t="s">
        <v>304</v>
      </c>
      <c r="D2134" t="s">
        <v>65</v>
      </c>
      <c r="E2134" t="s">
        <v>22</v>
      </c>
      <c r="F2134" t="str">
        <f t="shared" si="33"/>
        <v>West</v>
      </c>
      <c r="G2134" t="s">
        <v>27</v>
      </c>
      <c r="H2134" t="s">
        <v>23</v>
      </c>
      <c r="I2134">
        <v>2</v>
      </c>
    </row>
    <row r="2135" spans="1:9" ht="21.75" customHeight="1">
      <c r="A2135" t="s">
        <v>2285</v>
      </c>
      <c r="B2135" s="3">
        <v>45578</v>
      </c>
      <c r="C2135" t="s">
        <v>541</v>
      </c>
      <c r="D2135" t="s">
        <v>65</v>
      </c>
      <c r="E2135" t="s">
        <v>11</v>
      </c>
      <c r="F2135" t="str">
        <f t="shared" si="33"/>
        <v>South</v>
      </c>
      <c r="G2135" t="s">
        <v>56</v>
      </c>
      <c r="H2135" t="s">
        <v>32</v>
      </c>
      <c r="I2135">
        <v>9</v>
      </c>
    </row>
    <row r="2136" spans="1:9" ht="21.75" customHeight="1">
      <c r="A2136" t="s">
        <v>2286</v>
      </c>
      <c r="B2136" s="3">
        <v>45449</v>
      </c>
      <c r="C2136" t="s">
        <v>68</v>
      </c>
      <c r="D2136" t="s">
        <v>160</v>
      </c>
      <c r="E2136" t="s">
        <v>22</v>
      </c>
      <c r="F2136" t="str">
        <f t="shared" si="33"/>
        <v>East</v>
      </c>
      <c r="G2136" t="s">
        <v>42</v>
      </c>
      <c r="H2136" t="s">
        <v>13</v>
      </c>
      <c r="I2136">
        <v>4</v>
      </c>
    </row>
    <row r="2137" spans="1:9" ht="21.75" customHeight="1">
      <c r="A2137" t="s">
        <v>2287</v>
      </c>
      <c r="B2137" s="3">
        <v>45466</v>
      </c>
      <c r="C2137" t="s">
        <v>106</v>
      </c>
      <c r="D2137" t="s">
        <v>84</v>
      </c>
      <c r="E2137" t="s">
        <v>22</v>
      </c>
      <c r="F2137" t="str">
        <f t="shared" si="33"/>
        <v>Central</v>
      </c>
      <c r="G2137" t="s">
        <v>306</v>
      </c>
      <c r="H2137" t="s">
        <v>13</v>
      </c>
      <c r="I2137">
        <v>6</v>
      </c>
    </row>
    <row r="2138" spans="1:9" ht="21.75" customHeight="1">
      <c r="A2138" t="s">
        <v>2288</v>
      </c>
      <c r="B2138" s="3">
        <v>45465</v>
      </c>
      <c r="C2138" t="s">
        <v>422</v>
      </c>
      <c r="D2138" t="s">
        <v>35</v>
      </c>
      <c r="E2138" t="s">
        <v>17</v>
      </c>
      <c r="F2138" t="str">
        <f t="shared" si="33"/>
        <v>North</v>
      </c>
      <c r="G2138" t="s">
        <v>12</v>
      </c>
      <c r="H2138" t="s">
        <v>28</v>
      </c>
      <c r="I2138">
        <v>16</v>
      </c>
    </row>
    <row r="2139" spans="1:9" ht="21.75" customHeight="1">
      <c r="A2139" t="s">
        <v>2289</v>
      </c>
      <c r="B2139" s="3">
        <v>45527</v>
      </c>
      <c r="C2139" t="s">
        <v>312</v>
      </c>
      <c r="D2139" t="s">
        <v>72</v>
      </c>
      <c r="E2139" t="s">
        <v>17</v>
      </c>
      <c r="F2139" t="str">
        <f t="shared" si="33"/>
        <v>West</v>
      </c>
      <c r="G2139" t="s">
        <v>27</v>
      </c>
      <c r="H2139" t="s">
        <v>13</v>
      </c>
      <c r="I2139">
        <v>17</v>
      </c>
    </row>
    <row r="2140" spans="1:9" ht="21.75" customHeight="1">
      <c r="A2140" t="s">
        <v>2290</v>
      </c>
      <c r="B2140" s="3">
        <v>45639</v>
      </c>
      <c r="C2140" t="s">
        <v>38</v>
      </c>
      <c r="D2140" t="s">
        <v>174</v>
      </c>
      <c r="E2140" t="s">
        <v>22</v>
      </c>
      <c r="F2140" t="str">
        <f t="shared" si="33"/>
        <v>North</v>
      </c>
      <c r="G2140" t="s">
        <v>12</v>
      </c>
      <c r="H2140" t="s">
        <v>28</v>
      </c>
      <c r="I2140">
        <v>19</v>
      </c>
    </row>
    <row r="2141" spans="1:9" ht="21.75" customHeight="1">
      <c r="A2141" t="s">
        <v>2291</v>
      </c>
      <c r="B2141" s="3">
        <v>45473</v>
      </c>
      <c r="C2141" t="s">
        <v>58</v>
      </c>
      <c r="D2141" t="s">
        <v>16</v>
      </c>
      <c r="E2141" t="s">
        <v>17</v>
      </c>
      <c r="F2141" t="str">
        <f t="shared" si="33"/>
        <v>North</v>
      </c>
      <c r="G2141" t="s">
        <v>12</v>
      </c>
      <c r="H2141" t="s">
        <v>32</v>
      </c>
      <c r="I2141">
        <v>13</v>
      </c>
    </row>
    <row r="2142" spans="1:9" ht="21.75" customHeight="1">
      <c r="A2142" t="s">
        <v>2292</v>
      </c>
      <c r="B2142" s="3">
        <v>45376</v>
      </c>
      <c r="C2142" t="s">
        <v>314</v>
      </c>
      <c r="D2142" t="s">
        <v>109</v>
      </c>
      <c r="E2142" t="s">
        <v>17</v>
      </c>
      <c r="F2142" t="str">
        <f t="shared" si="33"/>
        <v>South</v>
      </c>
      <c r="G2142" t="s">
        <v>56</v>
      </c>
      <c r="H2142" t="s">
        <v>36</v>
      </c>
      <c r="I2142">
        <v>4</v>
      </c>
    </row>
    <row r="2143" spans="1:9" ht="21.75" customHeight="1">
      <c r="A2143" t="s">
        <v>2293</v>
      </c>
      <c r="B2143" s="3">
        <v>45449</v>
      </c>
      <c r="C2143" t="s">
        <v>369</v>
      </c>
      <c r="D2143" t="s">
        <v>72</v>
      </c>
      <c r="E2143" t="s">
        <v>22</v>
      </c>
      <c r="F2143" t="str">
        <f t="shared" si="33"/>
        <v>North</v>
      </c>
      <c r="G2143" t="s">
        <v>12</v>
      </c>
      <c r="H2143" t="s">
        <v>32</v>
      </c>
      <c r="I2143">
        <v>14</v>
      </c>
    </row>
    <row r="2144" spans="1:9" ht="21.75" customHeight="1">
      <c r="A2144" t="s">
        <v>2294</v>
      </c>
      <c r="B2144" s="3">
        <v>45413</v>
      </c>
      <c r="C2144" t="s">
        <v>200</v>
      </c>
      <c r="D2144" t="s">
        <v>70</v>
      </c>
      <c r="E2144" t="s">
        <v>17</v>
      </c>
      <c r="F2144" t="str">
        <f t="shared" si="33"/>
        <v>South</v>
      </c>
      <c r="G2144" t="s">
        <v>56</v>
      </c>
      <c r="H2144" t="s">
        <v>36</v>
      </c>
      <c r="I2144">
        <v>10</v>
      </c>
    </row>
    <row r="2145" spans="1:9" ht="21.75" customHeight="1">
      <c r="A2145" t="s">
        <v>2295</v>
      </c>
      <c r="B2145" s="3">
        <v>45483</v>
      </c>
      <c r="C2145" t="s">
        <v>728</v>
      </c>
      <c r="D2145" t="s">
        <v>79</v>
      </c>
      <c r="E2145" t="s">
        <v>11</v>
      </c>
      <c r="F2145" t="str">
        <f t="shared" si="33"/>
        <v>North</v>
      </c>
      <c r="G2145" t="s">
        <v>12</v>
      </c>
      <c r="H2145" t="s">
        <v>23</v>
      </c>
      <c r="I2145">
        <v>17</v>
      </c>
    </row>
    <row r="2146" spans="1:9" ht="21.75" customHeight="1">
      <c r="A2146" t="s">
        <v>2296</v>
      </c>
      <c r="B2146" s="3">
        <v>45539</v>
      </c>
      <c r="C2146" t="s">
        <v>358</v>
      </c>
      <c r="D2146" t="s">
        <v>16</v>
      </c>
      <c r="E2146" t="s">
        <v>11</v>
      </c>
      <c r="F2146" t="str">
        <f t="shared" si="33"/>
        <v>East</v>
      </c>
      <c r="G2146" t="s">
        <v>42</v>
      </c>
      <c r="H2146" t="s">
        <v>23</v>
      </c>
      <c r="I2146">
        <v>17</v>
      </c>
    </row>
    <row r="2147" spans="1:9" ht="21.75" customHeight="1">
      <c r="A2147" t="s">
        <v>2297</v>
      </c>
      <c r="B2147" s="3">
        <v>45459</v>
      </c>
      <c r="C2147" t="s">
        <v>167</v>
      </c>
      <c r="D2147" t="s">
        <v>119</v>
      </c>
      <c r="E2147" t="s">
        <v>11</v>
      </c>
      <c r="F2147" t="str">
        <f t="shared" si="33"/>
        <v>Central</v>
      </c>
      <c r="G2147" t="s">
        <v>306</v>
      </c>
      <c r="H2147" t="s">
        <v>28</v>
      </c>
      <c r="I2147">
        <v>7</v>
      </c>
    </row>
    <row r="2148" spans="1:9" ht="21.75" customHeight="1">
      <c r="A2148" t="s">
        <v>2298</v>
      </c>
      <c r="B2148" s="3">
        <v>45527</v>
      </c>
      <c r="C2148" t="s">
        <v>53</v>
      </c>
      <c r="D2148" t="s">
        <v>62</v>
      </c>
      <c r="E2148" t="s">
        <v>22</v>
      </c>
      <c r="F2148" t="str">
        <f t="shared" si="33"/>
        <v>North</v>
      </c>
      <c r="G2148" t="s">
        <v>12</v>
      </c>
      <c r="H2148" t="s">
        <v>13</v>
      </c>
      <c r="I2148">
        <v>10</v>
      </c>
    </row>
    <row r="2149" spans="1:9" ht="21.75" customHeight="1">
      <c r="A2149" t="s">
        <v>2299</v>
      </c>
      <c r="B2149" s="3">
        <v>45643</v>
      </c>
      <c r="C2149" t="s">
        <v>327</v>
      </c>
      <c r="D2149" t="s">
        <v>10</v>
      </c>
      <c r="E2149" t="s">
        <v>17</v>
      </c>
      <c r="F2149" t="str">
        <f t="shared" si="33"/>
        <v>West</v>
      </c>
      <c r="G2149" t="s">
        <v>27</v>
      </c>
      <c r="H2149" t="s">
        <v>13</v>
      </c>
      <c r="I2149">
        <v>4</v>
      </c>
    </row>
    <row r="2150" spans="1:9" ht="21.75" customHeight="1">
      <c r="A2150" t="s">
        <v>2300</v>
      </c>
      <c r="B2150" s="3">
        <v>45629</v>
      </c>
      <c r="C2150" t="s">
        <v>323</v>
      </c>
      <c r="D2150" t="s">
        <v>74</v>
      </c>
      <c r="E2150" t="s">
        <v>11</v>
      </c>
      <c r="F2150" t="str">
        <f t="shared" si="33"/>
        <v>Central</v>
      </c>
      <c r="G2150" t="s">
        <v>306</v>
      </c>
      <c r="H2150" t="s">
        <v>32</v>
      </c>
      <c r="I2150">
        <v>7</v>
      </c>
    </row>
    <row r="2151" spans="1:9" ht="21.75" customHeight="1">
      <c r="A2151" t="s">
        <v>2301</v>
      </c>
      <c r="B2151" s="3">
        <v>45390</v>
      </c>
      <c r="C2151" t="s">
        <v>55</v>
      </c>
      <c r="D2151" t="s">
        <v>26</v>
      </c>
      <c r="E2151" t="s">
        <v>22</v>
      </c>
      <c r="F2151" t="str">
        <f t="shared" si="33"/>
        <v>East</v>
      </c>
      <c r="G2151" t="s">
        <v>42</v>
      </c>
      <c r="H2151" t="s">
        <v>23</v>
      </c>
      <c r="I2151">
        <v>4</v>
      </c>
    </row>
    <row r="2152" spans="1:9" ht="21.75" customHeight="1">
      <c r="A2152" t="s">
        <v>2302</v>
      </c>
      <c r="B2152" s="3">
        <v>45372</v>
      </c>
      <c r="C2152" t="s">
        <v>89</v>
      </c>
      <c r="D2152" t="s">
        <v>102</v>
      </c>
      <c r="E2152" t="s">
        <v>11</v>
      </c>
      <c r="F2152" t="str">
        <f t="shared" si="33"/>
        <v>Central</v>
      </c>
      <c r="G2152" t="s">
        <v>306</v>
      </c>
      <c r="H2152" t="s">
        <v>36</v>
      </c>
      <c r="I2152">
        <v>17</v>
      </c>
    </row>
    <row r="2153" spans="1:9" ht="21.75" customHeight="1">
      <c r="A2153" t="s">
        <v>2303</v>
      </c>
      <c r="B2153" s="3">
        <v>45569</v>
      </c>
      <c r="C2153" t="s">
        <v>20</v>
      </c>
      <c r="D2153" t="s">
        <v>174</v>
      </c>
      <c r="E2153" t="s">
        <v>17</v>
      </c>
      <c r="F2153" t="str">
        <f t="shared" si="33"/>
        <v>East</v>
      </c>
      <c r="G2153" t="s">
        <v>42</v>
      </c>
      <c r="H2153" t="s">
        <v>28</v>
      </c>
      <c r="I2153">
        <v>10</v>
      </c>
    </row>
    <row r="2154" spans="1:9" ht="21.75" customHeight="1">
      <c r="A2154" t="s">
        <v>2304</v>
      </c>
      <c r="B2154" s="3">
        <v>45379</v>
      </c>
      <c r="C2154" t="s">
        <v>208</v>
      </c>
      <c r="D2154" t="s">
        <v>74</v>
      </c>
      <c r="E2154" t="s">
        <v>22</v>
      </c>
      <c r="F2154" t="str">
        <f t="shared" si="33"/>
        <v>East</v>
      </c>
      <c r="G2154" t="s">
        <v>42</v>
      </c>
      <c r="H2154" t="s">
        <v>36</v>
      </c>
      <c r="I2154">
        <v>15</v>
      </c>
    </row>
    <row r="2155" spans="1:9" ht="21.75" customHeight="1">
      <c r="A2155" t="s">
        <v>2305</v>
      </c>
      <c r="B2155" s="3">
        <v>45306</v>
      </c>
      <c r="C2155" t="s">
        <v>553</v>
      </c>
      <c r="D2155" t="s">
        <v>41</v>
      </c>
      <c r="E2155" t="s">
        <v>11</v>
      </c>
      <c r="F2155" t="str">
        <f t="shared" si="33"/>
        <v>North</v>
      </c>
      <c r="G2155" t="s">
        <v>12</v>
      </c>
      <c r="H2155" t="s">
        <v>23</v>
      </c>
      <c r="I2155">
        <v>2</v>
      </c>
    </row>
    <row r="2156" spans="1:9" ht="21.75" customHeight="1">
      <c r="A2156" t="s">
        <v>2306</v>
      </c>
      <c r="B2156" s="3">
        <v>45492</v>
      </c>
      <c r="C2156" t="s">
        <v>235</v>
      </c>
      <c r="D2156" t="s">
        <v>62</v>
      </c>
      <c r="E2156" t="s">
        <v>22</v>
      </c>
      <c r="F2156" t="str">
        <f t="shared" si="33"/>
        <v>Central</v>
      </c>
      <c r="G2156" t="s">
        <v>306</v>
      </c>
      <c r="H2156" t="s">
        <v>23</v>
      </c>
      <c r="I2156">
        <v>20</v>
      </c>
    </row>
    <row r="2157" spans="1:9" ht="21.75" customHeight="1">
      <c r="A2157" t="s">
        <v>2307</v>
      </c>
      <c r="B2157" s="3">
        <v>45462</v>
      </c>
      <c r="C2157" t="s">
        <v>104</v>
      </c>
      <c r="D2157" t="s">
        <v>62</v>
      </c>
      <c r="E2157" t="s">
        <v>22</v>
      </c>
      <c r="F2157" t="str">
        <f t="shared" si="33"/>
        <v>Central</v>
      </c>
      <c r="G2157" t="s">
        <v>306</v>
      </c>
      <c r="H2157" t="s">
        <v>13</v>
      </c>
      <c r="I2157">
        <v>15</v>
      </c>
    </row>
    <row r="2158" spans="1:9" ht="21.75" customHeight="1">
      <c r="A2158" t="s">
        <v>2308</v>
      </c>
      <c r="B2158" s="3">
        <v>45339</v>
      </c>
      <c r="C2158" t="s">
        <v>424</v>
      </c>
      <c r="D2158" t="s">
        <v>70</v>
      </c>
      <c r="E2158" t="s">
        <v>11</v>
      </c>
      <c r="F2158" t="str">
        <f t="shared" si="33"/>
        <v>West</v>
      </c>
      <c r="G2158" t="s">
        <v>27</v>
      </c>
      <c r="H2158" t="s">
        <v>32</v>
      </c>
      <c r="I2158">
        <v>15</v>
      </c>
    </row>
    <row r="2159" spans="1:9" ht="21.75" customHeight="1">
      <c r="A2159" t="s">
        <v>2309</v>
      </c>
      <c r="B2159" s="3">
        <v>45406</v>
      </c>
      <c r="C2159" t="s">
        <v>167</v>
      </c>
      <c r="D2159" t="s">
        <v>109</v>
      </c>
      <c r="E2159" t="s">
        <v>17</v>
      </c>
      <c r="F2159" t="str">
        <f t="shared" si="33"/>
        <v>East</v>
      </c>
      <c r="G2159" t="s">
        <v>42</v>
      </c>
      <c r="H2159" t="s">
        <v>23</v>
      </c>
      <c r="I2159">
        <v>6</v>
      </c>
    </row>
    <row r="2160" spans="1:9" ht="21.75" customHeight="1">
      <c r="A2160" t="s">
        <v>2310</v>
      </c>
      <c r="B2160" s="3">
        <v>45632</v>
      </c>
      <c r="C2160" t="s">
        <v>118</v>
      </c>
      <c r="D2160" t="s">
        <v>72</v>
      </c>
      <c r="E2160" t="s">
        <v>17</v>
      </c>
      <c r="F2160" t="str">
        <f t="shared" si="33"/>
        <v>West</v>
      </c>
      <c r="G2160" t="s">
        <v>27</v>
      </c>
      <c r="H2160" t="s">
        <v>13</v>
      </c>
      <c r="I2160">
        <v>3</v>
      </c>
    </row>
    <row r="2161" spans="1:9" ht="21.75" customHeight="1">
      <c r="A2161" t="s">
        <v>2311</v>
      </c>
      <c r="B2161" s="3">
        <v>45471</v>
      </c>
      <c r="C2161" t="s">
        <v>517</v>
      </c>
      <c r="D2161" t="s">
        <v>70</v>
      </c>
      <c r="E2161" t="s">
        <v>11</v>
      </c>
      <c r="F2161" t="str">
        <f t="shared" si="33"/>
        <v>East</v>
      </c>
      <c r="G2161" t="s">
        <v>42</v>
      </c>
      <c r="H2161" t="s">
        <v>32</v>
      </c>
      <c r="I2161">
        <v>20</v>
      </c>
    </row>
    <row r="2162" spans="1:9" ht="21.75" customHeight="1">
      <c r="A2162" t="s">
        <v>2312</v>
      </c>
      <c r="B2162" s="3">
        <v>45552</v>
      </c>
      <c r="C2162" t="s">
        <v>15</v>
      </c>
      <c r="D2162" t="s">
        <v>31</v>
      </c>
      <c r="E2162" t="s">
        <v>22</v>
      </c>
      <c r="F2162" t="str">
        <f t="shared" si="33"/>
        <v>North</v>
      </c>
      <c r="G2162" t="s">
        <v>12</v>
      </c>
      <c r="H2162" t="s">
        <v>32</v>
      </c>
      <c r="I2162">
        <v>18</v>
      </c>
    </row>
    <row r="2163" spans="1:9" ht="21.75" customHeight="1">
      <c r="A2163" t="s">
        <v>2313</v>
      </c>
      <c r="B2163" s="3">
        <v>45446</v>
      </c>
      <c r="C2163" t="s">
        <v>312</v>
      </c>
      <c r="D2163" t="s">
        <v>70</v>
      </c>
      <c r="E2163" t="s">
        <v>17</v>
      </c>
      <c r="F2163" t="str">
        <f t="shared" si="33"/>
        <v>Central</v>
      </c>
      <c r="G2163" t="s">
        <v>306</v>
      </c>
      <c r="H2163" t="s">
        <v>23</v>
      </c>
      <c r="I2163">
        <v>8</v>
      </c>
    </row>
    <row r="2164" spans="1:9" ht="21.75" customHeight="1">
      <c r="A2164" t="s">
        <v>2314</v>
      </c>
      <c r="B2164" s="3">
        <v>45572</v>
      </c>
      <c r="C2164" t="s">
        <v>111</v>
      </c>
      <c r="D2164" t="s">
        <v>35</v>
      </c>
      <c r="E2164" t="s">
        <v>17</v>
      </c>
      <c r="F2164" t="str">
        <f t="shared" si="33"/>
        <v>North</v>
      </c>
      <c r="G2164" t="s">
        <v>12</v>
      </c>
      <c r="H2164" t="s">
        <v>32</v>
      </c>
      <c r="I2164">
        <v>7</v>
      </c>
    </row>
    <row r="2165" spans="1:9" ht="21.75" customHeight="1">
      <c r="A2165" t="s">
        <v>2315</v>
      </c>
      <c r="B2165" s="3">
        <v>45594</v>
      </c>
      <c r="C2165" t="s">
        <v>348</v>
      </c>
      <c r="D2165" t="s">
        <v>87</v>
      </c>
      <c r="E2165" t="s">
        <v>22</v>
      </c>
      <c r="F2165" t="str">
        <f t="shared" si="33"/>
        <v>East</v>
      </c>
      <c r="G2165" t="s">
        <v>42</v>
      </c>
      <c r="H2165" t="s">
        <v>36</v>
      </c>
      <c r="I2165">
        <v>8</v>
      </c>
    </row>
    <row r="2166" spans="1:9" ht="21.75" customHeight="1">
      <c r="A2166" t="s">
        <v>2316</v>
      </c>
      <c r="B2166" s="3">
        <v>45634</v>
      </c>
      <c r="C2166" t="s">
        <v>208</v>
      </c>
      <c r="D2166" t="s">
        <v>84</v>
      </c>
      <c r="E2166" t="s">
        <v>22</v>
      </c>
      <c r="F2166" t="str">
        <f t="shared" si="33"/>
        <v>Central</v>
      </c>
      <c r="G2166" t="s">
        <v>306</v>
      </c>
      <c r="H2166" t="s">
        <v>23</v>
      </c>
      <c r="I2166">
        <v>4</v>
      </c>
    </row>
    <row r="2167" spans="1:9" ht="21.75" customHeight="1">
      <c r="A2167" t="s">
        <v>2317</v>
      </c>
      <c r="B2167" s="3">
        <v>45529</v>
      </c>
      <c r="C2167" t="s">
        <v>187</v>
      </c>
      <c r="D2167" t="s">
        <v>174</v>
      </c>
      <c r="E2167" t="s">
        <v>11</v>
      </c>
      <c r="F2167" t="str">
        <f t="shared" si="33"/>
        <v>West</v>
      </c>
      <c r="G2167" t="s">
        <v>27</v>
      </c>
      <c r="H2167" t="s">
        <v>28</v>
      </c>
      <c r="I2167">
        <v>10</v>
      </c>
    </row>
    <row r="2168" spans="1:9" ht="21.75" customHeight="1">
      <c r="A2168" t="s">
        <v>2318</v>
      </c>
      <c r="B2168" s="3">
        <v>45327</v>
      </c>
      <c r="C2168" t="s">
        <v>327</v>
      </c>
      <c r="D2168" t="s">
        <v>102</v>
      </c>
      <c r="E2168" t="s">
        <v>22</v>
      </c>
      <c r="F2168" t="str">
        <f t="shared" si="33"/>
        <v>Central</v>
      </c>
      <c r="G2168" t="s">
        <v>306</v>
      </c>
      <c r="H2168" t="s">
        <v>23</v>
      </c>
      <c r="I2168">
        <v>11</v>
      </c>
    </row>
    <row r="2169" spans="1:9" ht="21.75" customHeight="1">
      <c r="A2169" t="s">
        <v>2319</v>
      </c>
      <c r="B2169" s="3">
        <v>45630</v>
      </c>
      <c r="C2169" t="s">
        <v>131</v>
      </c>
      <c r="D2169" t="s">
        <v>10</v>
      </c>
      <c r="E2169" t="s">
        <v>11</v>
      </c>
      <c r="F2169" t="str">
        <f t="shared" si="33"/>
        <v>South</v>
      </c>
      <c r="G2169" t="s">
        <v>56</v>
      </c>
      <c r="H2169" t="s">
        <v>36</v>
      </c>
      <c r="I2169">
        <v>1</v>
      </c>
    </row>
    <row r="2170" spans="1:9" ht="21.75" customHeight="1">
      <c r="A2170" t="s">
        <v>2320</v>
      </c>
      <c r="B2170" s="3">
        <v>45630</v>
      </c>
      <c r="C2170" t="s">
        <v>125</v>
      </c>
      <c r="D2170" t="s">
        <v>70</v>
      </c>
      <c r="E2170" t="s">
        <v>22</v>
      </c>
      <c r="F2170" t="str">
        <f t="shared" si="33"/>
        <v>East</v>
      </c>
      <c r="G2170" t="s">
        <v>42</v>
      </c>
      <c r="H2170" t="s">
        <v>23</v>
      </c>
      <c r="I2170">
        <v>20</v>
      </c>
    </row>
    <row r="2171" spans="1:9" ht="21.75" customHeight="1">
      <c r="A2171" t="s">
        <v>2321</v>
      </c>
      <c r="B2171" s="3">
        <v>45392</v>
      </c>
      <c r="C2171" t="s">
        <v>95</v>
      </c>
      <c r="D2171" t="s">
        <v>41</v>
      </c>
      <c r="E2171" t="s">
        <v>17</v>
      </c>
      <c r="F2171" t="str">
        <f t="shared" si="33"/>
        <v>East</v>
      </c>
      <c r="G2171" t="s">
        <v>42</v>
      </c>
      <c r="H2171" t="s">
        <v>36</v>
      </c>
      <c r="I2171">
        <v>10</v>
      </c>
    </row>
    <row r="2172" spans="1:9" ht="21.75" customHeight="1">
      <c r="A2172" t="s">
        <v>2322</v>
      </c>
      <c r="B2172" s="3">
        <v>45514</v>
      </c>
      <c r="C2172" t="s">
        <v>436</v>
      </c>
      <c r="D2172" t="s">
        <v>48</v>
      </c>
      <c r="E2172" t="s">
        <v>11</v>
      </c>
      <c r="F2172" t="str">
        <f t="shared" si="33"/>
        <v>Central</v>
      </c>
      <c r="G2172" t="s">
        <v>306</v>
      </c>
      <c r="H2172" t="s">
        <v>13</v>
      </c>
      <c r="I2172">
        <v>20</v>
      </c>
    </row>
    <row r="2173" spans="1:9" ht="21.75" customHeight="1">
      <c r="A2173" t="s">
        <v>2323</v>
      </c>
      <c r="B2173" s="3">
        <v>45498</v>
      </c>
      <c r="C2173" t="s">
        <v>34</v>
      </c>
      <c r="D2173" t="s">
        <v>74</v>
      </c>
      <c r="E2173" t="s">
        <v>11</v>
      </c>
      <c r="F2173" t="str">
        <f t="shared" si="33"/>
        <v>East</v>
      </c>
      <c r="G2173" t="s">
        <v>42</v>
      </c>
      <c r="H2173" t="s">
        <v>36</v>
      </c>
      <c r="I2173">
        <v>2</v>
      </c>
    </row>
    <row r="2174" spans="1:9" ht="21.75" customHeight="1">
      <c r="A2174" t="s">
        <v>2324</v>
      </c>
      <c r="B2174" s="3">
        <v>45578</v>
      </c>
      <c r="C2174" t="s">
        <v>182</v>
      </c>
      <c r="D2174" t="s">
        <v>102</v>
      </c>
      <c r="E2174" t="s">
        <v>17</v>
      </c>
      <c r="F2174" t="str">
        <f t="shared" si="33"/>
        <v>North</v>
      </c>
      <c r="G2174" t="s">
        <v>12</v>
      </c>
      <c r="H2174" t="s">
        <v>28</v>
      </c>
      <c r="I2174">
        <v>14</v>
      </c>
    </row>
    <row r="2175" spans="1:9" ht="21.75" customHeight="1">
      <c r="A2175" t="s">
        <v>2325</v>
      </c>
      <c r="B2175" s="3">
        <v>45493</v>
      </c>
      <c r="C2175" t="s">
        <v>451</v>
      </c>
      <c r="D2175" t="s">
        <v>72</v>
      </c>
      <c r="E2175" t="s">
        <v>22</v>
      </c>
      <c r="F2175" t="str">
        <f t="shared" si="33"/>
        <v>West</v>
      </c>
      <c r="G2175" t="s">
        <v>27</v>
      </c>
      <c r="H2175" t="s">
        <v>23</v>
      </c>
      <c r="I2175">
        <v>13</v>
      </c>
    </row>
    <row r="2176" spans="1:9" ht="21.75" customHeight="1">
      <c r="A2176" t="s">
        <v>2326</v>
      </c>
      <c r="B2176" s="3">
        <v>45400</v>
      </c>
      <c r="C2176" t="s">
        <v>371</v>
      </c>
      <c r="D2176" t="s">
        <v>45</v>
      </c>
      <c r="E2176" t="s">
        <v>17</v>
      </c>
      <c r="F2176" t="str">
        <f t="shared" si="33"/>
        <v>South</v>
      </c>
      <c r="G2176" t="s">
        <v>56</v>
      </c>
      <c r="H2176" t="s">
        <v>28</v>
      </c>
      <c r="I2176">
        <v>18</v>
      </c>
    </row>
    <row r="2177" spans="1:9" ht="21.75" customHeight="1">
      <c r="A2177" t="s">
        <v>2327</v>
      </c>
      <c r="B2177" s="3">
        <v>45476</v>
      </c>
      <c r="C2177" t="s">
        <v>572</v>
      </c>
      <c r="D2177" t="s">
        <v>16</v>
      </c>
      <c r="E2177" t="s">
        <v>17</v>
      </c>
      <c r="F2177" t="str">
        <f t="shared" si="33"/>
        <v>South</v>
      </c>
      <c r="G2177" t="s">
        <v>56</v>
      </c>
      <c r="H2177" t="s">
        <v>28</v>
      </c>
      <c r="I2177">
        <v>1</v>
      </c>
    </row>
    <row r="2178" spans="1:9" ht="21.75" customHeight="1">
      <c r="A2178" t="s">
        <v>2328</v>
      </c>
      <c r="B2178" s="3">
        <v>45300</v>
      </c>
      <c r="C2178" t="s">
        <v>167</v>
      </c>
      <c r="D2178" t="s">
        <v>84</v>
      </c>
      <c r="E2178" t="s">
        <v>17</v>
      </c>
      <c r="F2178" t="str">
        <f t="shared" si="33"/>
        <v>West</v>
      </c>
      <c r="G2178" t="s">
        <v>27</v>
      </c>
      <c r="H2178" t="s">
        <v>28</v>
      </c>
      <c r="I2178">
        <v>3</v>
      </c>
    </row>
    <row r="2179" spans="1:9" ht="21.75" customHeight="1">
      <c r="A2179" t="s">
        <v>2329</v>
      </c>
      <c r="B2179" s="3">
        <v>45504</v>
      </c>
      <c r="C2179" t="s">
        <v>366</v>
      </c>
      <c r="D2179" t="s">
        <v>62</v>
      </c>
      <c r="E2179" t="s">
        <v>22</v>
      </c>
      <c r="F2179" t="str">
        <f t="shared" ref="F2179:F2242" si="34">TRIM(PROPER(G2179))</f>
        <v>West</v>
      </c>
      <c r="G2179" t="s">
        <v>27</v>
      </c>
      <c r="H2179" t="s">
        <v>36</v>
      </c>
      <c r="I2179">
        <v>6</v>
      </c>
    </row>
    <row r="2180" spans="1:9" ht="21.75" customHeight="1">
      <c r="A2180" t="s">
        <v>2330</v>
      </c>
      <c r="B2180" s="3">
        <v>45509</v>
      </c>
      <c r="C2180" t="s">
        <v>378</v>
      </c>
      <c r="D2180" t="s">
        <v>70</v>
      </c>
      <c r="E2180" t="s">
        <v>17</v>
      </c>
      <c r="F2180" t="str">
        <f t="shared" si="34"/>
        <v>East</v>
      </c>
      <c r="G2180" t="s">
        <v>42</v>
      </c>
      <c r="H2180" t="s">
        <v>28</v>
      </c>
      <c r="I2180">
        <v>6</v>
      </c>
    </row>
    <row r="2181" spans="1:9" ht="21.75" customHeight="1">
      <c r="A2181" t="s">
        <v>2331</v>
      </c>
      <c r="B2181" s="3">
        <v>45295</v>
      </c>
      <c r="C2181" t="s">
        <v>314</v>
      </c>
      <c r="D2181" t="s">
        <v>35</v>
      </c>
      <c r="E2181" t="s">
        <v>22</v>
      </c>
      <c r="F2181" t="str">
        <f t="shared" si="34"/>
        <v>South</v>
      </c>
      <c r="G2181" t="s">
        <v>56</v>
      </c>
      <c r="H2181" t="s">
        <v>36</v>
      </c>
      <c r="I2181">
        <v>9</v>
      </c>
    </row>
    <row r="2182" spans="1:9" ht="21.75" customHeight="1">
      <c r="A2182" t="s">
        <v>2332</v>
      </c>
      <c r="B2182" s="3">
        <v>45571</v>
      </c>
      <c r="C2182" t="s">
        <v>314</v>
      </c>
      <c r="D2182" t="s">
        <v>48</v>
      </c>
      <c r="E2182" t="s">
        <v>11</v>
      </c>
      <c r="F2182" t="str">
        <f t="shared" si="34"/>
        <v>North</v>
      </c>
      <c r="G2182" t="s">
        <v>12</v>
      </c>
      <c r="H2182" t="s">
        <v>36</v>
      </c>
      <c r="I2182">
        <v>16</v>
      </c>
    </row>
    <row r="2183" spans="1:9" ht="21.75" customHeight="1">
      <c r="A2183" t="s">
        <v>2333</v>
      </c>
      <c r="B2183" s="3">
        <v>45349</v>
      </c>
      <c r="C2183" t="s">
        <v>361</v>
      </c>
      <c r="D2183" t="s">
        <v>35</v>
      </c>
      <c r="E2183" t="s">
        <v>22</v>
      </c>
      <c r="F2183" t="str">
        <f t="shared" si="34"/>
        <v>North</v>
      </c>
      <c r="G2183" t="s">
        <v>12</v>
      </c>
      <c r="H2183" t="s">
        <v>28</v>
      </c>
      <c r="I2183">
        <v>17</v>
      </c>
    </row>
    <row r="2184" spans="1:9" ht="21.75" customHeight="1">
      <c r="A2184" t="s">
        <v>2334</v>
      </c>
      <c r="B2184" s="3">
        <v>45435</v>
      </c>
      <c r="C2184" t="s">
        <v>319</v>
      </c>
      <c r="D2184" t="s">
        <v>160</v>
      </c>
      <c r="E2184" t="s">
        <v>11</v>
      </c>
      <c r="F2184" t="str">
        <f t="shared" si="34"/>
        <v>Central</v>
      </c>
      <c r="G2184" t="s">
        <v>306</v>
      </c>
      <c r="H2184" t="s">
        <v>36</v>
      </c>
      <c r="I2184">
        <v>3</v>
      </c>
    </row>
    <row r="2185" spans="1:9" ht="21.75" customHeight="1">
      <c r="A2185" t="s">
        <v>2335</v>
      </c>
      <c r="B2185" s="3">
        <v>45614</v>
      </c>
      <c r="C2185" t="s">
        <v>304</v>
      </c>
      <c r="D2185" t="s">
        <v>41</v>
      </c>
      <c r="E2185" t="s">
        <v>22</v>
      </c>
      <c r="F2185" t="str">
        <f t="shared" si="34"/>
        <v>North</v>
      </c>
      <c r="G2185" t="s">
        <v>12</v>
      </c>
      <c r="H2185" t="s">
        <v>36</v>
      </c>
      <c r="I2185">
        <v>19</v>
      </c>
    </row>
    <row r="2186" spans="1:9" ht="21.75" customHeight="1">
      <c r="A2186" t="s">
        <v>2336</v>
      </c>
      <c r="B2186" s="3">
        <v>45319</v>
      </c>
      <c r="C2186" t="s">
        <v>47</v>
      </c>
      <c r="D2186" t="s">
        <v>174</v>
      </c>
      <c r="E2186" t="s">
        <v>11</v>
      </c>
      <c r="F2186" t="str">
        <f t="shared" si="34"/>
        <v>West</v>
      </c>
      <c r="G2186" t="s">
        <v>27</v>
      </c>
      <c r="H2186" t="s">
        <v>23</v>
      </c>
      <c r="I2186">
        <v>17</v>
      </c>
    </row>
    <row r="2187" spans="1:9" ht="21.75" customHeight="1">
      <c r="A2187" t="s">
        <v>2337</v>
      </c>
      <c r="B2187" s="3">
        <v>45585</v>
      </c>
      <c r="C2187" t="s">
        <v>388</v>
      </c>
      <c r="D2187" t="s">
        <v>72</v>
      </c>
      <c r="E2187" t="s">
        <v>17</v>
      </c>
      <c r="F2187" t="str">
        <f t="shared" si="34"/>
        <v>East</v>
      </c>
      <c r="G2187" t="s">
        <v>42</v>
      </c>
      <c r="H2187" t="s">
        <v>32</v>
      </c>
      <c r="I2187">
        <v>10</v>
      </c>
    </row>
    <row r="2188" spans="1:9" ht="21.75" customHeight="1">
      <c r="A2188" t="s">
        <v>2338</v>
      </c>
      <c r="B2188" s="3">
        <v>45647</v>
      </c>
      <c r="C2188" t="s">
        <v>327</v>
      </c>
      <c r="D2188" t="s">
        <v>84</v>
      </c>
      <c r="E2188" t="s">
        <v>17</v>
      </c>
      <c r="F2188" t="str">
        <f t="shared" si="34"/>
        <v>Central</v>
      </c>
      <c r="G2188" t="s">
        <v>306</v>
      </c>
      <c r="H2188" t="s">
        <v>32</v>
      </c>
      <c r="I2188">
        <v>2</v>
      </c>
    </row>
    <row r="2189" spans="1:9" ht="21.75" customHeight="1">
      <c r="A2189" t="s">
        <v>2339</v>
      </c>
      <c r="B2189" s="3">
        <v>45588</v>
      </c>
      <c r="C2189" t="s">
        <v>30</v>
      </c>
      <c r="D2189" t="s">
        <v>59</v>
      </c>
      <c r="E2189" t="s">
        <v>11</v>
      </c>
      <c r="F2189" t="str">
        <f t="shared" si="34"/>
        <v>East</v>
      </c>
      <c r="G2189" t="s">
        <v>42</v>
      </c>
      <c r="H2189" t="s">
        <v>36</v>
      </c>
      <c r="I2189">
        <v>1</v>
      </c>
    </row>
    <row r="2190" spans="1:9" ht="21.75" customHeight="1">
      <c r="A2190" t="s">
        <v>2340</v>
      </c>
      <c r="B2190" s="3">
        <v>45334</v>
      </c>
      <c r="C2190" t="s">
        <v>34</v>
      </c>
      <c r="D2190" t="s">
        <v>160</v>
      </c>
      <c r="E2190" t="s">
        <v>11</v>
      </c>
      <c r="F2190" t="str">
        <f t="shared" si="34"/>
        <v>East</v>
      </c>
      <c r="G2190" t="s">
        <v>42</v>
      </c>
      <c r="H2190" t="s">
        <v>32</v>
      </c>
      <c r="I2190">
        <v>5</v>
      </c>
    </row>
    <row r="2191" spans="1:9" ht="21.75" customHeight="1">
      <c r="A2191" t="s">
        <v>2341</v>
      </c>
      <c r="B2191" s="3">
        <v>45432</v>
      </c>
      <c r="C2191" t="s">
        <v>230</v>
      </c>
      <c r="D2191" t="s">
        <v>96</v>
      </c>
      <c r="E2191" t="s">
        <v>22</v>
      </c>
      <c r="F2191" t="str">
        <f t="shared" si="34"/>
        <v>North</v>
      </c>
      <c r="G2191" t="s">
        <v>12</v>
      </c>
      <c r="H2191" t="s">
        <v>36</v>
      </c>
      <c r="I2191">
        <v>6</v>
      </c>
    </row>
    <row r="2192" spans="1:9" ht="21.75" customHeight="1">
      <c r="A2192" t="s">
        <v>2342</v>
      </c>
      <c r="B2192" s="3">
        <v>45369</v>
      </c>
      <c r="C2192" t="s">
        <v>371</v>
      </c>
      <c r="D2192" t="s">
        <v>70</v>
      </c>
      <c r="E2192" t="s">
        <v>17</v>
      </c>
      <c r="F2192" t="str">
        <f t="shared" si="34"/>
        <v>South</v>
      </c>
      <c r="G2192" t="s">
        <v>56</v>
      </c>
      <c r="H2192" t="s">
        <v>32</v>
      </c>
      <c r="I2192">
        <v>8</v>
      </c>
    </row>
    <row r="2193" spans="1:9" ht="21.75" customHeight="1">
      <c r="A2193" t="s">
        <v>2343</v>
      </c>
      <c r="B2193" s="3">
        <v>45562</v>
      </c>
      <c r="C2193" t="s">
        <v>122</v>
      </c>
      <c r="D2193" t="s">
        <v>72</v>
      </c>
      <c r="E2193" t="s">
        <v>11</v>
      </c>
      <c r="F2193" t="str">
        <f t="shared" si="34"/>
        <v>South</v>
      </c>
      <c r="G2193" t="s">
        <v>56</v>
      </c>
      <c r="H2193" t="s">
        <v>36</v>
      </c>
      <c r="I2193">
        <v>5</v>
      </c>
    </row>
    <row r="2194" spans="1:9" ht="21.75" customHeight="1">
      <c r="A2194" t="s">
        <v>2344</v>
      </c>
      <c r="B2194" s="3">
        <v>45503</v>
      </c>
      <c r="C2194" t="s">
        <v>337</v>
      </c>
      <c r="D2194" t="s">
        <v>31</v>
      </c>
      <c r="E2194" t="s">
        <v>11</v>
      </c>
      <c r="F2194" t="str">
        <f t="shared" si="34"/>
        <v>West</v>
      </c>
      <c r="G2194" t="s">
        <v>27</v>
      </c>
      <c r="H2194" t="s">
        <v>28</v>
      </c>
      <c r="I2194">
        <v>7</v>
      </c>
    </row>
    <row r="2195" spans="1:9" ht="21.75" customHeight="1">
      <c r="A2195" t="s">
        <v>2345</v>
      </c>
      <c r="B2195" s="3">
        <v>45468</v>
      </c>
      <c r="C2195" t="s">
        <v>9</v>
      </c>
      <c r="D2195" t="s">
        <v>21</v>
      </c>
      <c r="E2195" t="s">
        <v>17</v>
      </c>
      <c r="F2195" t="str">
        <f t="shared" si="34"/>
        <v>North</v>
      </c>
      <c r="G2195" t="s">
        <v>12</v>
      </c>
      <c r="H2195" t="s">
        <v>13</v>
      </c>
      <c r="I2195">
        <v>6</v>
      </c>
    </row>
    <row r="2196" spans="1:9" ht="21.75" customHeight="1">
      <c r="A2196" t="s">
        <v>2346</v>
      </c>
      <c r="B2196" s="3">
        <v>45535</v>
      </c>
      <c r="C2196" t="s">
        <v>68</v>
      </c>
      <c r="D2196" t="s">
        <v>35</v>
      </c>
      <c r="E2196" t="s">
        <v>22</v>
      </c>
      <c r="F2196" t="str">
        <f t="shared" si="34"/>
        <v>Central</v>
      </c>
      <c r="G2196" t="s">
        <v>306</v>
      </c>
      <c r="H2196" t="s">
        <v>28</v>
      </c>
      <c r="I2196">
        <v>13</v>
      </c>
    </row>
    <row r="2197" spans="1:9" ht="21.75" customHeight="1">
      <c r="A2197" t="s">
        <v>2347</v>
      </c>
      <c r="B2197" s="3">
        <v>45491</v>
      </c>
      <c r="C2197" t="s">
        <v>553</v>
      </c>
      <c r="D2197" t="s">
        <v>26</v>
      </c>
      <c r="E2197" t="s">
        <v>11</v>
      </c>
      <c r="F2197" t="str">
        <f t="shared" si="34"/>
        <v>Central</v>
      </c>
      <c r="G2197" t="s">
        <v>306</v>
      </c>
      <c r="H2197" t="s">
        <v>23</v>
      </c>
      <c r="I2197">
        <v>1</v>
      </c>
    </row>
    <row r="2198" spans="1:9" ht="21.75" customHeight="1">
      <c r="A2198" t="s">
        <v>2348</v>
      </c>
      <c r="B2198" s="3">
        <v>45521</v>
      </c>
      <c r="C2198" t="s">
        <v>159</v>
      </c>
      <c r="D2198" t="s">
        <v>41</v>
      </c>
      <c r="E2198" t="s">
        <v>17</v>
      </c>
      <c r="F2198" t="str">
        <f t="shared" si="34"/>
        <v>Central</v>
      </c>
      <c r="G2198" t="s">
        <v>306</v>
      </c>
      <c r="H2198" t="s">
        <v>13</v>
      </c>
      <c r="I2198">
        <v>4</v>
      </c>
    </row>
    <row r="2199" spans="1:9" ht="21.75" customHeight="1">
      <c r="A2199" t="s">
        <v>2349</v>
      </c>
      <c r="B2199" s="3">
        <v>45618</v>
      </c>
      <c r="C2199" t="s">
        <v>182</v>
      </c>
      <c r="D2199" t="s">
        <v>87</v>
      </c>
      <c r="E2199" t="s">
        <v>22</v>
      </c>
      <c r="F2199" t="str">
        <f t="shared" si="34"/>
        <v>East</v>
      </c>
      <c r="G2199" t="s">
        <v>42</v>
      </c>
      <c r="H2199" t="s">
        <v>32</v>
      </c>
      <c r="I2199">
        <v>9</v>
      </c>
    </row>
    <row r="2200" spans="1:9" ht="21.75" customHeight="1">
      <c r="A2200" t="s">
        <v>2350</v>
      </c>
      <c r="B2200" s="3">
        <v>45342</v>
      </c>
      <c r="C2200" t="s">
        <v>230</v>
      </c>
      <c r="D2200" t="s">
        <v>21</v>
      </c>
      <c r="E2200" t="s">
        <v>22</v>
      </c>
      <c r="F2200" t="str">
        <f t="shared" si="34"/>
        <v>West</v>
      </c>
      <c r="G2200" t="s">
        <v>27</v>
      </c>
      <c r="H2200" t="s">
        <v>23</v>
      </c>
      <c r="I2200">
        <v>8</v>
      </c>
    </row>
    <row r="2201" spans="1:9" ht="21.75" customHeight="1">
      <c r="A2201" t="s">
        <v>2351</v>
      </c>
      <c r="B2201" s="3">
        <v>45593</v>
      </c>
      <c r="C2201" t="s">
        <v>337</v>
      </c>
      <c r="D2201" t="s">
        <v>65</v>
      </c>
      <c r="E2201" t="s">
        <v>22</v>
      </c>
      <c r="F2201" t="str">
        <f t="shared" si="34"/>
        <v>East</v>
      </c>
      <c r="G2201" t="s">
        <v>42</v>
      </c>
      <c r="H2201" t="s">
        <v>28</v>
      </c>
      <c r="I2201">
        <v>11</v>
      </c>
    </row>
    <row r="2202" spans="1:9" ht="21.75" customHeight="1">
      <c r="A2202" t="s">
        <v>2352</v>
      </c>
      <c r="B2202" s="3">
        <v>45636</v>
      </c>
      <c r="C2202" t="s">
        <v>142</v>
      </c>
      <c r="D2202" t="s">
        <v>10</v>
      </c>
      <c r="E2202" t="s">
        <v>11</v>
      </c>
      <c r="F2202" t="str">
        <f t="shared" si="34"/>
        <v>West</v>
      </c>
      <c r="G2202" t="s">
        <v>27</v>
      </c>
      <c r="H2202" t="s">
        <v>13</v>
      </c>
      <c r="I2202">
        <v>17</v>
      </c>
    </row>
    <row r="2203" spans="1:9" ht="21.75" customHeight="1">
      <c r="A2203" t="s">
        <v>2353</v>
      </c>
      <c r="B2203" s="3">
        <v>45520</v>
      </c>
      <c r="C2203" t="s">
        <v>20</v>
      </c>
      <c r="D2203" t="s">
        <v>197</v>
      </c>
      <c r="E2203" t="s">
        <v>22</v>
      </c>
      <c r="F2203" t="str">
        <f t="shared" si="34"/>
        <v>East</v>
      </c>
      <c r="G2203" t="s">
        <v>42</v>
      </c>
      <c r="H2203" t="s">
        <v>32</v>
      </c>
      <c r="I2203">
        <v>7</v>
      </c>
    </row>
    <row r="2204" spans="1:9" ht="21.75" customHeight="1">
      <c r="A2204" t="s">
        <v>2354</v>
      </c>
      <c r="B2204" s="3">
        <v>45609</v>
      </c>
      <c r="C2204" t="s">
        <v>203</v>
      </c>
      <c r="D2204" t="s">
        <v>79</v>
      </c>
      <c r="E2204" t="s">
        <v>22</v>
      </c>
      <c r="F2204" t="str">
        <f t="shared" si="34"/>
        <v>South</v>
      </c>
      <c r="G2204" t="s">
        <v>56</v>
      </c>
      <c r="H2204" t="s">
        <v>36</v>
      </c>
      <c r="I2204">
        <v>4</v>
      </c>
    </row>
    <row r="2205" spans="1:9" ht="21.75" customHeight="1">
      <c r="A2205" t="s">
        <v>2355</v>
      </c>
      <c r="B2205" s="3">
        <v>45353</v>
      </c>
      <c r="C2205" t="s">
        <v>203</v>
      </c>
      <c r="D2205" t="s">
        <v>109</v>
      </c>
      <c r="E2205" t="s">
        <v>11</v>
      </c>
      <c r="F2205" t="str">
        <f t="shared" si="34"/>
        <v>West</v>
      </c>
      <c r="G2205" t="s">
        <v>27</v>
      </c>
      <c r="H2205" t="s">
        <v>36</v>
      </c>
      <c r="I2205">
        <v>6</v>
      </c>
    </row>
    <row r="2206" spans="1:9" ht="21.75" customHeight="1">
      <c r="A2206" t="s">
        <v>2356</v>
      </c>
      <c r="B2206" s="3">
        <v>45648</v>
      </c>
      <c r="C2206" t="s">
        <v>44</v>
      </c>
      <c r="D2206" t="s">
        <v>26</v>
      </c>
      <c r="E2206" t="s">
        <v>17</v>
      </c>
      <c r="F2206" t="str">
        <f t="shared" si="34"/>
        <v>West</v>
      </c>
      <c r="G2206" t="s">
        <v>27</v>
      </c>
      <c r="H2206" t="s">
        <v>13</v>
      </c>
      <c r="I2206">
        <v>15</v>
      </c>
    </row>
    <row r="2207" spans="1:9" ht="21.75" customHeight="1">
      <c r="A2207" t="s">
        <v>2357</v>
      </c>
      <c r="B2207" s="3">
        <v>45433</v>
      </c>
      <c r="C2207" t="s">
        <v>337</v>
      </c>
      <c r="D2207" t="s">
        <v>87</v>
      </c>
      <c r="E2207" t="s">
        <v>22</v>
      </c>
      <c r="F2207" t="str">
        <f t="shared" si="34"/>
        <v>East</v>
      </c>
      <c r="G2207" t="s">
        <v>42</v>
      </c>
      <c r="H2207" t="s">
        <v>32</v>
      </c>
      <c r="I2207">
        <v>6</v>
      </c>
    </row>
    <row r="2208" spans="1:9" ht="21.75" customHeight="1">
      <c r="A2208" t="s">
        <v>2358</v>
      </c>
      <c r="B2208" s="3">
        <v>45433</v>
      </c>
      <c r="C2208" t="s">
        <v>420</v>
      </c>
      <c r="D2208" t="s">
        <v>79</v>
      </c>
      <c r="E2208" t="s">
        <v>17</v>
      </c>
      <c r="F2208" t="str">
        <f t="shared" si="34"/>
        <v>West</v>
      </c>
      <c r="G2208" t="s">
        <v>27</v>
      </c>
      <c r="H2208" t="s">
        <v>32</v>
      </c>
      <c r="I2208">
        <v>2</v>
      </c>
    </row>
    <row r="2209" spans="1:9" ht="21.75" customHeight="1">
      <c r="A2209" t="s">
        <v>2359</v>
      </c>
      <c r="B2209" s="3">
        <v>45427</v>
      </c>
      <c r="C2209" t="s">
        <v>235</v>
      </c>
      <c r="D2209" t="s">
        <v>70</v>
      </c>
      <c r="E2209" t="s">
        <v>11</v>
      </c>
      <c r="F2209" t="str">
        <f t="shared" si="34"/>
        <v>West</v>
      </c>
      <c r="G2209" t="s">
        <v>27</v>
      </c>
      <c r="H2209" t="s">
        <v>28</v>
      </c>
      <c r="I2209">
        <v>20</v>
      </c>
    </row>
    <row r="2210" spans="1:9" ht="21.75" customHeight="1">
      <c r="A2210" t="s">
        <v>2360</v>
      </c>
      <c r="B2210" s="3">
        <v>45622</v>
      </c>
      <c r="C2210" t="s">
        <v>374</v>
      </c>
      <c r="D2210" t="s">
        <v>102</v>
      </c>
      <c r="E2210" t="s">
        <v>11</v>
      </c>
      <c r="F2210" t="str">
        <f t="shared" si="34"/>
        <v>Central</v>
      </c>
      <c r="G2210" t="s">
        <v>306</v>
      </c>
      <c r="H2210" t="s">
        <v>23</v>
      </c>
      <c r="I2210">
        <v>7</v>
      </c>
    </row>
    <row r="2211" spans="1:9" ht="21.75" customHeight="1">
      <c r="A2211" t="s">
        <v>2361</v>
      </c>
      <c r="B2211" s="3">
        <v>45346</v>
      </c>
      <c r="C2211" t="s">
        <v>396</v>
      </c>
      <c r="D2211" t="s">
        <v>62</v>
      </c>
      <c r="E2211" t="s">
        <v>17</v>
      </c>
      <c r="F2211" t="str">
        <f t="shared" si="34"/>
        <v>North</v>
      </c>
      <c r="G2211" t="s">
        <v>12</v>
      </c>
      <c r="H2211" t="s">
        <v>13</v>
      </c>
      <c r="I2211">
        <v>3</v>
      </c>
    </row>
    <row r="2212" spans="1:9" ht="21.75" customHeight="1">
      <c r="A2212" t="s">
        <v>2362</v>
      </c>
      <c r="B2212" s="3">
        <v>45420</v>
      </c>
      <c r="C2212" t="s">
        <v>420</v>
      </c>
      <c r="D2212" t="s">
        <v>70</v>
      </c>
      <c r="E2212" t="s">
        <v>11</v>
      </c>
      <c r="F2212" t="str">
        <f t="shared" si="34"/>
        <v>West</v>
      </c>
      <c r="G2212" t="s">
        <v>27</v>
      </c>
      <c r="H2212" t="s">
        <v>28</v>
      </c>
      <c r="I2212">
        <v>1</v>
      </c>
    </row>
    <row r="2213" spans="1:9" ht="21.75" customHeight="1">
      <c r="A2213" t="s">
        <v>2363</v>
      </c>
      <c r="B2213" s="3">
        <v>45632</v>
      </c>
      <c r="C2213" t="s">
        <v>53</v>
      </c>
      <c r="D2213" t="s">
        <v>26</v>
      </c>
      <c r="E2213" t="s">
        <v>11</v>
      </c>
      <c r="F2213" t="str">
        <f t="shared" si="34"/>
        <v>East</v>
      </c>
      <c r="G2213" t="s">
        <v>42</v>
      </c>
      <c r="H2213" t="s">
        <v>23</v>
      </c>
      <c r="I2213">
        <v>19</v>
      </c>
    </row>
    <row r="2214" spans="1:9" ht="21.75" customHeight="1">
      <c r="A2214" t="s">
        <v>2364</v>
      </c>
      <c r="B2214" s="3">
        <v>45654</v>
      </c>
      <c r="C2214" t="s">
        <v>337</v>
      </c>
      <c r="D2214" t="s">
        <v>35</v>
      </c>
      <c r="E2214" t="s">
        <v>17</v>
      </c>
      <c r="F2214" t="str">
        <f t="shared" si="34"/>
        <v>West</v>
      </c>
      <c r="G2214" t="s">
        <v>27</v>
      </c>
      <c r="H2214" t="s">
        <v>23</v>
      </c>
      <c r="I2214">
        <v>3</v>
      </c>
    </row>
    <row r="2215" spans="1:9" ht="21.75" customHeight="1">
      <c r="A2215" t="s">
        <v>2365</v>
      </c>
      <c r="B2215" s="3">
        <v>45293</v>
      </c>
      <c r="C2215" t="s">
        <v>53</v>
      </c>
      <c r="D2215" t="s">
        <v>62</v>
      </c>
      <c r="E2215" t="s">
        <v>17</v>
      </c>
      <c r="F2215" t="str">
        <f t="shared" si="34"/>
        <v>North</v>
      </c>
      <c r="G2215" t="s">
        <v>12</v>
      </c>
      <c r="H2215" t="s">
        <v>36</v>
      </c>
      <c r="I2215">
        <v>18</v>
      </c>
    </row>
    <row r="2216" spans="1:9" ht="21.75" customHeight="1">
      <c r="A2216" t="s">
        <v>2366</v>
      </c>
      <c r="B2216" s="3">
        <v>45475</v>
      </c>
      <c r="C2216" t="s">
        <v>118</v>
      </c>
      <c r="D2216" t="s">
        <v>41</v>
      </c>
      <c r="E2216" t="s">
        <v>17</v>
      </c>
      <c r="F2216" t="str">
        <f t="shared" si="34"/>
        <v>West</v>
      </c>
      <c r="G2216" t="s">
        <v>27</v>
      </c>
      <c r="H2216" t="s">
        <v>13</v>
      </c>
      <c r="I2216">
        <v>3</v>
      </c>
    </row>
    <row r="2217" spans="1:9" ht="21.75" customHeight="1">
      <c r="A2217" t="s">
        <v>2367</v>
      </c>
      <c r="B2217" s="3">
        <v>45466</v>
      </c>
      <c r="C2217" t="s">
        <v>81</v>
      </c>
      <c r="D2217" t="s">
        <v>70</v>
      </c>
      <c r="E2217" t="s">
        <v>17</v>
      </c>
      <c r="F2217" t="str">
        <f t="shared" si="34"/>
        <v>South</v>
      </c>
      <c r="G2217" t="s">
        <v>56</v>
      </c>
      <c r="H2217" t="s">
        <v>28</v>
      </c>
      <c r="I2217">
        <v>18</v>
      </c>
    </row>
    <row r="2218" spans="1:9" ht="21.75" customHeight="1">
      <c r="A2218" t="s">
        <v>2368</v>
      </c>
      <c r="B2218" s="3">
        <v>45488</v>
      </c>
      <c r="C2218" t="s">
        <v>371</v>
      </c>
      <c r="D2218" t="s">
        <v>65</v>
      </c>
      <c r="E2218" t="s">
        <v>17</v>
      </c>
      <c r="F2218" t="str">
        <f t="shared" si="34"/>
        <v>West</v>
      </c>
      <c r="G2218" t="s">
        <v>27</v>
      </c>
      <c r="H2218" t="s">
        <v>13</v>
      </c>
      <c r="I2218">
        <v>12</v>
      </c>
    </row>
    <row r="2219" spans="1:9" ht="21.75" customHeight="1">
      <c r="A2219" t="s">
        <v>2369</v>
      </c>
      <c r="B2219" s="3">
        <v>45615</v>
      </c>
      <c r="C2219" t="s">
        <v>396</v>
      </c>
      <c r="D2219" t="s">
        <v>84</v>
      </c>
      <c r="E2219" t="s">
        <v>11</v>
      </c>
      <c r="F2219" t="str">
        <f t="shared" si="34"/>
        <v>South</v>
      </c>
      <c r="G2219" t="s">
        <v>56</v>
      </c>
      <c r="H2219" t="s">
        <v>13</v>
      </c>
      <c r="I2219">
        <v>7</v>
      </c>
    </row>
    <row r="2220" spans="1:9" ht="21.75" customHeight="1">
      <c r="A2220" t="s">
        <v>2370</v>
      </c>
      <c r="B2220" s="3">
        <v>45595</v>
      </c>
      <c r="C2220" t="s">
        <v>93</v>
      </c>
      <c r="D2220" t="s">
        <v>35</v>
      </c>
      <c r="E2220" t="s">
        <v>17</v>
      </c>
      <c r="F2220" t="str">
        <f t="shared" si="34"/>
        <v>North</v>
      </c>
      <c r="G2220" t="s">
        <v>12</v>
      </c>
      <c r="H2220" t="s">
        <v>36</v>
      </c>
      <c r="I2220">
        <v>10</v>
      </c>
    </row>
    <row r="2221" spans="1:9" ht="21.75" customHeight="1">
      <c r="A2221" t="s">
        <v>2371</v>
      </c>
      <c r="B2221" s="3">
        <v>45522</v>
      </c>
      <c r="C2221" t="s">
        <v>138</v>
      </c>
      <c r="D2221" t="s">
        <v>79</v>
      </c>
      <c r="E2221" t="s">
        <v>17</v>
      </c>
      <c r="F2221" t="str">
        <f t="shared" si="34"/>
        <v>North</v>
      </c>
      <c r="G2221" t="s">
        <v>12</v>
      </c>
      <c r="H2221" t="s">
        <v>32</v>
      </c>
      <c r="I2221">
        <v>2</v>
      </c>
    </row>
    <row r="2222" spans="1:9" ht="21.75" customHeight="1">
      <c r="A2222" t="s">
        <v>2372</v>
      </c>
      <c r="B2222" s="3">
        <v>45400</v>
      </c>
      <c r="C2222" t="s">
        <v>350</v>
      </c>
      <c r="D2222" t="s">
        <v>41</v>
      </c>
      <c r="E2222" t="s">
        <v>22</v>
      </c>
      <c r="F2222" t="str">
        <f t="shared" si="34"/>
        <v>West</v>
      </c>
      <c r="G2222" t="s">
        <v>27</v>
      </c>
      <c r="H2222" t="s">
        <v>36</v>
      </c>
      <c r="I2222">
        <v>5</v>
      </c>
    </row>
    <row r="2223" spans="1:9" ht="21.75" customHeight="1">
      <c r="A2223" t="s">
        <v>2373</v>
      </c>
      <c r="B2223" s="3">
        <v>45411</v>
      </c>
      <c r="C2223" t="s">
        <v>208</v>
      </c>
      <c r="D2223" t="s">
        <v>79</v>
      </c>
      <c r="E2223" t="s">
        <v>22</v>
      </c>
      <c r="F2223" t="str">
        <f t="shared" si="34"/>
        <v>South</v>
      </c>
      <c r="G2223" t="s">
        <v>56</v>
      </c>
      <c r="H2223" t="s">
        <v>23</v>
      </c>
      <c r="I2223">
        <v>1</v>
      </c>
    </row>
    <row r="2224" spans="1:9" ht="21.75" customHeight="1">
      <c r="A2224" t="s">
        <v>2374</v>
      </c>
      <c r="B2224" s="3">
        <v>45608</v>
      </c>
      <c r="C2224" t="s">
        <v>116</v>
      </c>
      <c r="D2224" t="s">
        <v>197</v>
      </c>
      <c r="E2224" t="s">
        <v>22</v>
      </c>
      <c r="F2224" t="str">
        <f t="shared" si="34"/>
        <v>South</v>
      </c>
      <c r="G2224" t="s">
        <v>56</v>
      </c>
      <c r="H2224" t="s">
        <v>13</v>
      </c>
      <c r="I2224">
        <v>6</v>
      </c>
    </row>
    <row r="2225" spans="1:9" ht="21.75" customHeight="1">
      <c r="A2225" t="s">
        <v>2375</v>
      </c>
      <c r="B2225" s="3">
        <v>45449</v>
      </c>
      <c r="C2225" t="s">
        <v>108</v>
      </c>
      <c r="D2225" t="s">
        <v>70</v>
      </c>
      <c r="E2225" t="s">
        <v>22</v>
      </c>
      <c r="F2225" t="str">
        <f t="shared" si="34"/>
        <v>South</v>
      </c>
      <c r="G2225" t="s">
        <v>56</v>
      </c>
      <c r="H2225" t="s">
        <v>36</v>
      </c>
      <c r="I2225">
        <v>3</v>
      </c>
    </row>
    <row r="2226" spans="1:9" ht="21.75" customHeight="1">
      <c r="A2226" t="s">
        <v>2376</v>
      </c>
      <c r="B2226" s="3">
        <v>45346</v>
      </c>
      <c r="C2226" t="s">
        <v>40</v>
      </c>
      <c r="D2226" t="s">
        <v>35</v>
      </c>
      <c r="E2226" t="s">
        <v>22</v>
      </c>
      <c r="F2226" t="str">
        <f t="shared" si="34"/>
        <v>Central</v>
      </c>
      <c r="G2226" t="s">
        <v>306</v>
      </c>
      <c r="H2226" t="s">
        <v>28</v>
      </c>
      <c r="I2226">
        <v>3</v>
      </c>
    </row>
    <row r="2227" spans="1:9" ht="21.75" customHeight="1">
      <c r="A2227" t="s">
        <v>2377</v>
      </c>
      <c r="B2227" s="3">
        <v>45510</v>
      </c>
      <c r="C2227" t="s">
        <v>47</v>
      </c>
      <c r="D2227" t="s">
        <v>84</v>
      </c>
      <c r="E2227" t="s">
        <v>22</v>
      </c>
      <c r="F2227" t="str">
        <f t="shared" si="34"/>
        <v>West</v>
      </c>
      <c r="G2227" t="s">
        <v>27</v>
      </c>
      <c r="H2227" t="s">
        <v>32</v>
      </c>
      <c r="I2227">
        <v>4</v>
      </c>
    </row>
    <row r="2228" spans="1:9" ht="21.75" customHeight="1">
      <c r="A2228" t="s">
        <v>2378</v>
      </c>
      <c r="B2228" s="3">
        <v>45586</v>
      </c>
      <c r="C2228" t="s">
        <v>591</v>
      </c>
      <c r="D2228" t="s">
        <v>16</v>
      </c>
      <c r="E2228" t="s">
        <v>17</v>
      </c>
      <c r="F2228" t="str">
        <f t="shared" si="34"/>
        <v>South</v>
      </c>
      <c r="G2228" t="s">
        <v>56</v>
      </c>
      <c r="H2228" t="s">
        <v>13</v>
      </c>
      <c r="I2228">
        <v>19</v>
      </c>
    </row>
    <row r="2229" spans="1:9" ht="21.75" customHeight="1">
      <c r="A2229" t="s">
        <v>2379</v>
      </c>
      <c r="B2229" s="3">
        <v>45324</v>
      </c>
      <c r="C2229" t="s">
        <v>114</v>
      </c>
      <c r="D2229" t="s">
        <v>26</v>
      </c>
      <c r="E2229" t="s">
        <v>11</v>
      </c>
      <c r="F2229" t="str">
        <f t="shared" si="34"/>
        <v>West</v>
      </c>
      <c r="G2229" t="s">
        <v>27</v>
      </c>
      <c r="H2229" t="s">
        <v>28</v>
      </c>
      <c r="I2229">
        <v>12</v>
      </c>
    </row>
    <row r="2230" spans="1:9" ht="21.75" customHeight="1">
      <c r="A2230" t="s">
        <v>2380</v>
      </c>
      <c r="B2230" s="3">
        <v>45516</v>
      </c>
      <c r="C2230" t="s">
        <v>78</v>
      </c>
      <c r="D2230" t="s">
        <v>59</v>
      </c>
      <c r="E2230" t="s">
        <v>11</v>
      </c>
      <c r="F2230" t="str">
        <f t="shared" si="34"/>
        <v>South</v>
      </c>
      <c r="G2230" t="s">
        <v>56</v>
      </c>
      <c r="H2230" t="s">
        <v>13</v>
      </c>
      <c r="I2230">
        <v>20</v>
      </c>
    </row>
    <row r="2231" spans="1:9" ht="21.75" customHeight="1">
      <c r="A2231" t="s">
        <v>2381</v>
      </c>
      <c r="B2231" s="3">
        <v>45372</v>
      </c>
      <c r="C2231" t="s">
        <v>138</v>
      </c>
      <c r="D2231" t="s">
        <v>35</v>
      </c>
      <c r="E2231" t="s">
        <v>11</v>
      </c>
      <c r="F2231" t="str">
        <f t="shared" si="34"/>
        <v>North</v>
      </c>
      <c r="G2231" t="s">
        <v>12</v>
      </c>
      <c r="H2231" t="s">
        <v>13</v>
      </c>
      <c r="I2231">
        <v>6</v>
      </c>
    </row>
    <row r="2232" spans="1:9" ht="21.75" customHeight="1">
      <c r="A2232" t="s">
        <v>2382</v>
      </c>
      <c r="B2232" s="3">
        <v>45653</v>
      </c>
      <c r="C2232" t="s">
        <v>350</v>
      </c>
      <c r="D2232" t="s">
        <v>59</v>
      </c>
      <c r="E2232" t="s">
        <v>17</v>
      </c>
      <c r="F2232" t="str">
        <f t="shared" si="34"/>
        <v>West</v>
      </c>
      <c r="G2232" t="s">
        <v>27</v>
      </c>
      <c r="H2232" t="s">
        <v>23</v>
      </c>
      <c r="I2232">
        <v>5</v>
      </c>
    </row>
    <row r="2233" spans="1:9" ht="21.75" customHeight="1">
      <c r="A2233" t="s">
        <v>2383</v>
      </c>
      <c r="B2233" s="3">
        <v>45619</v>
      </c>
      <c r="C2233" t="s">
        <v>101</v>
      </c>
      <c r="D2233" t="s">
        <v>160</v>
      </c>
      <c r="E2233" t="s">
        <v>17</v>
      </c>
      <c r="F2233" t="str">
        <f t="shared" si="34"/>
        <v>West</v>
      </c>
      <c r="G2233" t="s">
        <v>27</v>
      </c>
      <c r="H2233" t="s">
        <v>28</v>
      </c>
      <c r="I2233">
        <v>6</v>
      </c>
    </row>
    <row r="2234" spans="1:9" ht="21.75" customHeight="1">
      <c r="A2234" t="s">
        <v>2384</v>
      </c>
      <c r="B2234" s="3">
        <v>45311</v>
      </c>
      <c r="C2234" t="s">
        <v>327</v>
      </c>
      <c r="D2234" t="s">
        <v>45</v>
      </c>
      <c r="E2234" t="s">
        <v>22</v>
      </c>
      <c r="F2234" t="str">
        <f t="shared" si="34"/>
        <v>West</v>
      </c>
      <c r="G2234" t="s">
        <v>27</v>
      </c>
      <c r="H2234" t="s">
        <v>36</v>
      </c>
      <c r="I2234">
        <v>3</v>
      </c>
    </row>
    <row r="2235" spans="1:9" ht="21.75" customHeight="1">
      <c r="A2235" t="s">
        <v>2385</v>
      </c>
      <c r="B2235" s="3">
        <v>45446</v>
      </c>
      <c r="C2235" t="s">
        <v>20</v>
      </c>
      <c r="D2235" t="s">
        <v>87</v>
      </c>
      <c r="E2235" t="s">
        <v>11</v>
      </c>
      <c r="F2235" t="str">
        <f t="shared" si="34"/>
        <v>Central</v>
      </c>
      <c r="G2235" t="s">
        <v>306</v>
      </c>
      <c r="H2235" t="s">
        <v>28</v>
      </c>
      <c r="I2235">
        <v>7</v>
      </c>
    </row>
    <row r="2236" spans="1:9" ht="21.75" customHeight="1">
      <c r="A2236" t="s">
        <v>2386</v>
      </c>
      <c r="B2236" s="3">
        <v>45563</v>
      </c>
      <c r="C2236" t="s">
        <v>108</v>
      </c>
      <c r="D2236" t="s">
        <v>109</v>
      </c>
      <c r="E2236" t="s">
        <v>17</v>
      </c>
      <c r="F2236" t="str">
        <f t="shared" si="34"/>
        <v>Central</v>
      </c>
      <c r="G2236" t="s">
        <v>306</v>
      </c>
      <c r="H2236" t="s">
        <v>36</v>
      </c>
      <c r="I2236">
        <v>8</v>
      </c>
    </row>
    <row r="2237" spans="1:9" ht="21.75" customHeight="1">
      <c r="A2237" t="s">
        <v>2387</v>
      </c>
      <c r="B2237" s="3">
        <v>45612</v>
      </c>
      <c r="C2237" t="s">
        <v>371</v>
      </c>
      <c r="D2237" t="s">
        <v>65</v>
      </c>
      <c r="E2237" t="s">
        <v>17</v>
      </c>
      <c r="F2237" t="str">
        <f t="shared" si="34"/>
        <v>North</v>
      </c>
      <c r="G2237" t="s">
        <v>12</v>
      </c>
      <c r="H2237" t="s">
        <v>28</v>
      </c>
      <c r="I2237">
        <v>4</v>
      </c>
    </row>
    <row r="2238" spans="1:9" ht="21.75" customHeight="1">
      <c r="A2238" t="s">
        <v>2388</v>
      </c>
      <c r="B2238" s="3">
        <v>45642</v>
      </c>
      <c r="C2238" t="s">
        <v>553</v>
      </c>
      <c r="D2238" t="s">
        <v>35</v>
      </c>
      <c r="E2238" t="s">
        <v>11</v>
      </c>
      <c r="F2238" t="str">
        <f t="shared" si="34"/>
        <v>South</v>
      </c>
      <c r="G2238" t="s">
        <v>56</v>
      </c>
      <c r="H2238" t="s">
        <v>13</v>
      </c>
      <c r="I2238">
        <v>2</v>
      </c>
    </row>
    <row r="2239" spans="1:9" ht="21.75" customHeight="1">
      <c r="A2239" t="s">
        <v>2389</v>
      </c>
      <c r="B2239" s="3">
        <v>45437</v>
      </c>
      <c r="C2239" t="s">
        <v>95</v>
      </c>
      <c r="D2239" t="s">
        <v>87</v>
      </c>
      <c r="E2239" t="s">
        <v>17</v>
      </c>
      <c r="F2239" t="str">
        <f t="shared" si="34"/>
        <v>East</v>
      </c>
      <c r="G2239" t="s">
        <v>42</v>
      </c>
      <c r="H2239" t="s">
        <v>36</v>
      </c>
      <c r="I2239">
        <v>15</v>
      </c>
    </row>
    <row r="2240" spans="1:9" ht="21.75" customHeight="1">
      <c r="A2240" t="s">
        <v>2390</v>
      </c>
      <c r="B2240" s="3">
        <v>45318</v>
      </c>
      <c r="C2240" t="s">
        <v>312</v>
      </c>
      <c r="D2240" t="s">
        <v>45</v>
      </c>
      <c r="E2240" t="s">
        <v>11</v>
      </c>
      <c r="F2240" t="str">
        <f t="shared" si="34"/>
        <v>North</v>
      </c>
      <c r="G2240" t="s">
        <v>12</v>
      </c>
      <c r="H2240" t="s">
        <v>23</v>
      </c>
      <c r="I2240">
        <v>17</v>
      </c>
    </row>
    <row r="2241" spans="1:9" ht="21.75" customHeight="1">
      <c r="A2241" t="s">
        <v>2391</v>
      </c>
      <c r="B2241" s="3">
        <v>45412</v>
      </c>
      <c r="C2241" t="s">
        <v>329</v>
      </c>
      <c r="D2241" t="s">
        <v>70</v>
      </c>
      <c r="E2241" t="s">
        <v>22</v>
      </c>
      <c r="F2241" t="str">
        <f t="shared" si="34"/>
        <v>Central</v>
      </c>
      <c r="G2241" t="s">
        <v>306</v>
      </c>
      <c r="H2241" t="s">
        <v>32</v>
      </c>
      <c r="I2241">
        <v>14</v>
      </c>
    </row>
    <row r="2242" spans="1:9" ht="21.75" customHeight="1">
      <c r="A2242" t="s">
        <v>2392</v>
      </c>
      <c r="B2242" s="3">
        <v>45638</v>
      </c>
      <c r="C2242" t="s">
        <v>187</v>
      </c>
      <c r="D2242" t="s">
        <v>197</v>
      </c>
      <c r="E2242" t="s">
        <v>11</v>
      </c>
      <c r="F2242" t="str">
        <f t="shared" si="34"/>
        <v>East</v>
      </c>
      <c r="G2242" t="s">
        <v>42</v>
      </c>
      <c r="H2242" t="s">
        <v>28</v>
      </c>
      <c r="I2242">
        <v>4</v>
      </c>
    </row>
    <row r="2243" spans="1:9" ht="21.75" customHeight="1">
      <c r="A2243" t="s">
        <v>2393</v>
      </c>
      <c r="B2243" s="3">
        <v>45503</v>
      </c>
      <c r="C2243" t="s">
        <v>104</v>
      </c>
      <c r="D2243" t="s">
        <v>31</v>
      </c>
      <c r="E2243" t="s">
        <v>11</v>
      </c>
      <c r="F2243" t="str">
        <f t="shared" ref="F2243:F2306" si="35">TRIM(PROPER(G2243))</f>
        <v>North</v>
      </c>
      <c r="G2243" t="s">
        <v>12</v>
      </c>
      <c r="H2243" t="s">
        <v>23</v>
      </c>
      <c r="I2243">
        <v>19</v>
      </c>
    </row>
    <row r="2244" spans="1:9" ht="21.75" customHeight="1">
      <c r="A2244" t="s">
        <v>2394</v>
      </c>
      <c r="B2244" s="3">
        <v>45515</v>
      </c>
      <c r="C2244" t="s">
        <v>167</v>
      </c>
      <c r="D2244" t="s">
        <v>65</v>
      </c>
      <c r="E2244" t="s">
        <v>22</v>
      </c>
      <c r="F2244" t="str">
        <f t="shared" si="35"/>
        <v>West</v>
      </c>
      <c r="G2244" t="s">
        <v>27</v>
      </c>
      <c r="H2244" t="s">
        <v>28</v>
      </c>
      <c r="I2244">
        <v>13</v>
      </c>
    </row>
    <row r="2245" spans="1:9" ht="21.75" customHeight="1">
      <c r="A2245" t="s">
        <v>2395</v>
      </c>
      <c r="B2245" s="3">
        <v>45526</v>
      </c>
      <c r="C2245" t="s">
        <v>329</v>
      </c>
      <c r="D2245" t="s">
        <v>65</v>
      </c>
      <c r="E2245" t="s">
        <v>22</v>
      </c>
      <c r="F2245" t="str">
        <f t="shared" si="35"/>
        <v>East</v>
      </c>
      <c r="G2245" t="s">
        <v>42</v>
      </c>
      <c r="H2245" t="s">
        <v>32</v>
      </c>
      <c r="I2245">
        <v>7</v>
      </c>
    </row>
    <row r="2246" spans="1:9" ht="21.75" customHeight="1">
      <c r="A2246" t="s">
        <v>2396</v>
      </c>
      <c r="B2246" s="3">
        <v>45308</v>
      </c>
      <c r="C2246" t="s">
        <v>465</v>
      </c>
      <c r="D2246" t="s">
        <v>59</v>
      </c>
      <c r="E2246" t="s">
        <v>11</v>
      </c>
      <c r="F2246" t="str">
        <f t="shared" si="35"/>
        <v>East</v>
      </c>
      <c r="G2246" t="s">
        <v>42</v>
      </c>
      <c r="H2246" t="s">
        <v>28</v>
      </c>
      <c r="I2246">
        <v>4</v>
      </c>
    </row>
    <row r="2247" spans="1:9" ht="21.75" customHeight="1">
      <c r="A2247" t="s">
        <v>2397</v>
      </c>
      <c r="B2247" s="3">
        <v>45526</v>
      </c>
      <c r="C2247" t="s">
        <v>572</v>
      </c>
      <c r="D2247" t="s">
        <v>45</v>
      </c>
      <c r="E2247" t="s">
        <v>17</v>
      </c>
      <c r="F2247" t="str">
        <f t="shared" si="35"/>
        <v>South</v>
      </c>
      <c r="G2247" t="s">
        <v>56</v>
      </c>
      <c r="H2247" t="s">
        <v>32</v>
      </c>
      <c r="I2247">
        <v>20</v>
      </c>
    </row>
    <row r="2248" spans="1:9" ht="21.75" customHeight="1">
      <c r="A2248" t="s">
        <v>2398</v>
      </c>
      <c r="B2248" s="3">
        <v>45618</v>
      </c>
      <c r="C2248" t="s">
        <v>594</v>
      </c>
      <c r="D2248" t="s">
        <v>45</v>
      </c>
      <c r="E2248" t="s">
        <v>22</v>
      </c>
      <c r="F2248" t="str">
        <f t="shared" si="35"/>
        <v>Central</v>
      </c>
      <c r="G2248" t="s">
        <v>306</v>
      </c>
      <c r="H2248" t="s">
        <v>28</v>
      </c>
      <c r="I2248">
        <v>3</v>
      </c>
    </row>
    <row r="2249" spans="1:9" ht="21.75" customHeight="1">
      <c r="A2249" t="s">
        <v>2399</v>
      </c>
      <c r="B2249" s="3">
        <v>45559</v>
      </c>
      <c r="C2249" t="s">
        <v>374</v>
      </c>
      <c r="D2249" t="s">
        <v>65</v>
      </c>
      <c r="E2249" t="s">
        <v>22</v>
      </c>
      <c r="F2249" t="str">
        <f t="shared" si="35"/>
        <v>West</v>
      </c>
      <c r="G2249" t="s">
        <v>27</v>
      </c>
      <c r="H2249" t="s">
        <v>23</v>
      </c>
      <c r="I2249">
        <v>9</v>
      </c>
    </row>
    <row r="2250" spans="1:9" ht="21.75" customHeight="1">
      <c r="A2250" t="s">
        <v>2400</v>
      </c>
      <c r="B2250" s="3">
        <v>45511</v>
      </c>
      <c r="C2250" t="s">
        <v>304</v>
      </c>
      <c r="D2250" t="s">
        <v>197</v>
      </c>
      <c r="E2250" t="s">
        <v>11</v>
      </c>
      <c r="F2250" t="str">
        <f t="shared" si="35"/>
        <v>East</v>
      </c>
      <c r="G2250" t="s">
        <v>42</v>
      </c>
      <c r="H2250" t="s">
        <v>23</v>
      </c>
      <c r="I2250">
        <v>19</v>
      </c>
    </row>
    <row r="2251" spans="1:9" ht="21.75" customHeight="1">
      <c r="A2251" t="s">
        <v>2401</v>
      </c>
      <c r="B2251" s="3">
        <v>45594</v>
      </c>
      <c r="C2251" t="s">
        <v>125</v>
      </c>
      <c r="D2251" t="s">
        <v>59</v>
      </c>
      <c r="E2251" t="s">
        <v>11</v>
      </c>
      <c r="F2251" t="str">
        <f t="shared" si="35"/>
        <v>West</v>
      </c>
      <c r="G2251" t="s">
        <v>27</v>
      </c>
      <c r="H2251" t="s">
        <v>13</v>
      </c>
      <c r="I2251">
        <v>2</v>
      </c>
    </row>
    <row r="2252" spans="1:9" ht="21.75" customHeight="1">
      <c r="A2252" t="s">
        <v>2402</v>
      </c>
      <c r="B2252" s="3">
        <v>45550</v>
      </c>
      <c r="C2252" t="s">
        <v>122</v>
      </c>
      <c r="D2252" t="s">
        <v>87</v>
      </c>
      <c r="E2252" t="s">
        <v>22</v>
      </c>
      <c r="F2252" t="str">
        <f t="shared" si="35"/>
        <v>West</v>
      </c>
      <c r="G2252" t="s">
        <v>27</v>
      </c>
      <c r="H2252" t="s">
        <v>23</v>
      </c>
      <c r="I2252">
        <v>4</v>
      </c>
    </row>
    <row r="2253" spans="1:9" ht="21.75" customHeight="1">
      <c r="A2253" t="s">
        <v>2403</v>
      </c>
      <c r="B2253" s="3">
        <v>45415</v>
      </c>
      <c r="C2253" t="s">
        <v>81</v>
      </c>
      <c r="D2253" t="s">
        <v>174</v>
      </c>
      <c r="E2253" t="s">
        <v>11</v>
      </c>
      <c r="F2253" t="str">
        <f t="shared" si="35"/>
        <v>West</v>
      </c>
      <c r="G2253" t="s">
        <v>27</v>
      </c>
      <c r="H2253" t="s">
        <v>28</v>
      </c>
      <c r="I2253">
        <v>5</v>
      </c>
    </row>
    <row r="2254" spans="1:9" ht="21.75" customHeight="1">
      <c r="A2254" t="s">
        <v>2404</v>
      </c>
      <c r="B2254" s="3">
        <v>45414</v>
      </c>
      <c r="C2254" t="s">
        <v>736</v>
      </c>
      <c r="D2254" t="s">
        <v>10</v>
      </c>
      <c r="E2254" t="s">
        <v>11</v>
      </c>
      <c r="F2254" t="str">
        <f t="shared" si="35"/>
        <v>West</v>
      </c>
      <c r="G2254" t="s">
        <v>27</v>
      </c>
      <c r="H2254" t="s">
        <v>32</v>
      </c>
      <c r="I2254">
        <v>6</v>
      </c>
    </row>
    <row r="2255" spans="1:9" ht="21.75" customHeight="1">
      <c r="A2255" t="s">
        <v>2405</v>
      </c>
      <c r="B2255" s="3">
        <v>45584</v>
      </c>
      <c r="C2255" t="s">
        <v>323</v>
      </c>
      <c r="D2255" t="s">
        <v>59</v>
      </c>
      <c r="E2255" t="s">
        <v>11</v>
      </c>
      <c r="F2255" t="str">
        <f t="shared" si="35"/>
        <v>West</v>
      </c>
      <c r="G2255" t="s">
        <v>27</v>
      </c>
      <c r="H2255" t="s">
        <v>23</v>
      </c>
      <c r="I2255">
        <v>5</v>
      </c>
    </row>
    <row r="2256" spans="1:9" ht="21.75" customHeight="1">
      <c r="A2256" t="s">
        <v>2406</v>
      </c>
      <c r="B2256" s="3">
        <v>45499</v>
      </c>
      <c r="C2256" t="s">
        <v>44</v>
      </c>
      <c r="D2256" t="s">
        <v>48</v>
      </c>
      <c r="E2256" t="s">
        <v>22</v>
      </c>
      <c r="F2256" t="str">
        <f t="shared" si="35"/>
        <v>West</v>
      </c>
      <c r="G2256" t="s">
        <v>27</v>
      </c>
      <c r="H2256" t="s">
        <v>13</v>
      </c>
      <c r="I2256">
        <v>3</v>
      </c>
    </row>
    <row r="2257" spans="1:9" ht="21.75" customHeight="1">
      <c r="A2257" t="s">
        <v>2407</v>
      </c>
      <c r="B2257" s="3">
        <v>45645</v>
      </c>
      <c r="C2257" t="s">
        <v>118</v>
      </c>
      <c r="D2257" t="s">
        <v>160</v>
      </c>
      <c r="E2257" t="s">
        <v>11</v>
      </c>
      <c r="F2257" t="str">
        <f t="shared" si="35"/>
        <v>East</v>
      </c>
      <c r="G2257" t="s">
        <v>42</v>
      </c>
      <c r="H2257" t="s">
        <v>23</v>
      </c>
      <c r="I2257">
        <v>9</v>
      </c>
    </row>
    <row r="2258" spans="1:9" ht="21.75" customHeight="1">
      <c r="A2258" t="s">
        <v>2408</v>
      </c>
      <c r="B2258" s="3">
        <v>45605</v>
      </c>
      <c r="C2258" t="s">
        <v>591</v>
      </c>
      <c r="D2258" t="s">
        <v>59</v>
      </c>
      <c r="E2258" t="s">
        <v>11</v>
      </c>
      <c r="F2258" t="str">
        <f t="shared" si="35"/>
        <v>North</v>
      </c>
      <c r="G2258" t="s">
        <v>12</v>
      </c>
      <c r="H2258" t="s">
        <v>36</v>
      </c>
      <c r="I2258">
        <v>11</v>
      </c>
    </row>
    <row r="2259" spans="1:9" ht="21.75" customHeight="1">
      <c r="A2259" t="s">
        <v>2409</v>
      </c>
      <c r="B2259" s="3">
        <v>45320</v>
      </c>
      <c r="C2259" t="s">
        <v>345</v>
      </c>
      <c r="D2259" t="s">
        <v>41</v>
      </c>
      <c r="E2259" t="s">
        <v>17</v>
      </c>
      <c r="F2259" t="str">
        <f t="shared" si="35"/>
        <v>North</v>
      </c>
      <c r="G2259" t="s">
        <v>12</v>
      </c>
      <c r="H2259" t="s">
        <v>13</v>
      </c>
      <c r="I2259">
        <v>13</v>
      </c>
    </row>
    <row r="2260" spans="1:9" ht="21.75" customHeight="1">
      <c r="A2260" t="s">
        <v>2410</v>
      </c>
      <c r="B2260" s="3">
        <v>45608</v>
      </c>
      <c r="C2260" t="s">
        <v>116</v>
      </c>
      <c r="D2260" t="s">
        <v>48</v>
      </c>
      <c r="E2260" t="s">
        <v>17</v>
      </c>
      <c r="F2260" t="str">
        <f t="shared" si="35"/>
        <v>South</v>
      </c>
      <c r="G2260" t="s">
        <v>56</v>
      </c>
      <c r="H2260" t="s">
        <v>36</v>
      </c>
      <c r="I2260">
        <v>3</v>
      </c>
    </row>
    <row r="2261" spans="1:9" ht="21.75" customHeight="1">
      <c r="A2261" t="s">
        <v>2411</v>
      </c>
      <c r="B2261" s="3">
        <v>45396</v>
      </c>
      <c r="C2261" t="s">
        <v>99</v>
      </c>
      <c r="D2261" t="s">
        <v>72</v>
      </c>
      <c r="E2261" t="s">
        <v>11</v>
      </c>
      <c r="F2261" t="str">
        <f t="shared" si="35"/>
        <v>Central</v>
      </c>
      <c r="G2261" t="s">
        <v>306</v>
      </c>
      <c r="H2261" t="s">
        <v>13</v>
      </c>
      <c r="I2261">
        <v>16</v>
      </c>
    </row>
    <row r="2262" spans="1:9" ht="21.75" customHeight="1">
      <c r="A2262" t="s">
        <v>2412</v>
      </c>
      <c r="B2262" s="3">
        <v>45589</v>
      </c>
      <c r="C2262" t="s">
        <v>424</v>
      </c>
      <c r="D2262" t="s">
        <v>65</v>
      </c>
      <c r="E2262" t="s">
        <v>22</v>
      </c>
      <c r="F2262" t="str">
        <f t="shared" si="35"/>
        <v>South</v>
      </c>
      <c r="G2262" t="s">
        <v>56</v>
      </c>
      <c r="H2262" t="s">
        <v>32</v>
      </c>
      <c r="I2262">
        <v>12</v>
      </c>
    </row>
    <row r="2263" spans="1:9" ht="21.75" customHeight="1">
      <c r="A2263" t="s">
        <v>2413</v>
      </c>
      <c r="B2263" s="3">
        <v>45549</v>
      </c>
      <c r="C2263" t="s">
        <v>455</v>
      </c>
      <c r="D2263" t="s">
        <v>87</v>
      </c>
      <c r="E2263" t="s">
        <v>17</v>
      </c>
      <c r="F2263" t="str">
        <f t="shared" si="35"/>
        <v>North</v>
      </c>
      <c r="G2263" t="s">
        <v>12</v>
      </c>
      <c r="H2263" t="s">
        <v>13</v>
      </c>
      <c r="I2263">
        <v>12</v>
      </c>
    </row>
    <row r="2264" spans="1:9" ht="21.75" customHeight="1">
      <c r="A2264" t="s">
        <v>2414</v>
      </c>
      <c r="B2264" s="3">
        <v>45540</v>
      </c>
      <c r="C2264" t="s">
        <v>358</v>
      </c>
      <c r="D2264" t="s">
        <v>160</v>
      </c>
      <c r="E2264" t="s">
        <v>11</v>
      </c>
      <c r="F2264" t="str">
        <f t="shared" si="35"/>
        <v>West</v>
      </c>
      <c r="G2264" t="s">
        <v>27</v>
      </c>
      <c r="H2264" t="s">
        <v>36</v>
      </c>
      <c r="I2264">
        <v>18</v>
      </c>
    </row>
    <row r="2265" spans="1:9" ht="21.75" customHeight="1">
      <c r="A2265" t="s">
        <v>2415</v>
      </c>
      <c r="B2265" s="3">
        <v>45523</v>
      </c>
      <c r="C2265" t="s">
        <v>381</v>
      </c>
      <c r="D2265" t="s">
        <v>48</v>
      </c>
      <c r="E2265" t="s">
        <v>22</v>
      </c>
      <c r="F2265" t="str">
        <f t="shared" si="35"/>
        <v>North</v>
      </c>
      <c r="G2265" t="s">
        <v>12</v>
      </c>
      <c r="H2265" t="s">
        <v>28</v>
      </c>
      <c r="I2265">
        <v>15</v>
      </c>
    </row>
    <row r="2266" spans="1:9" ht="21.75" customHeight="1">
      <c r="A2266" t="s">
        <v>2416</v>
      </c>
      <c r="B2266" s="3">
        <v>45492</v>
      </c>
      <c r="C2266" t="s">
        <v>235</v>
      </c>
      <c r="D2266" t="s">
        <v>74</v>
      </c>
      <c r="E2266" t="s">
        <v>11</v>
      </c>
      <c r="F2266" t="str">
        <f t="shared" si="35"/>
        <v>North</v>
      </c>
      <c r="G2266" t="s">
        <v>12</v>
      </c>
      <c r="H2266" t="s">
        <v>28</v>
      </c>
      <c r="I2266">
        <v>9</v>
      </c>
    </row>
    <row r="2267" spans="1:9" ht="21.75" customHeight="1">
      <c r="A2267" t="s">
        <v>2417</v>
      </c>
      <c r="B2267" s="3">
        <v>45367</v>
      </c>
      <c r="C2267" t="s">
        <v>432</v>
      </c>
      <c r="D2267" t="s">
        <v>16</v>
      </c>
      <c r="E2267" t="s">
        <v>11</v>
      </c>
      <c r="F2267" t="str">
        <f t="shared" si="35"/>
        <v>Central</v>
      </c>
      <c r="G2267" t="s">
        <v>306</v>
      </c>
      <c r="H2267" t="s">
        <v>13</v>
      </c>
      <c r="I2267">
        <v>10</v>
      </c>
    </row>
    <row r="2268" spans="1:9" ht="21.75" customHeight="1">
      <c r="A2268" t="s">
        <v>2418</v>
      </c>
      <c r="B2268" s="3">
        <v>45641</v>
      </c>
      <c r="C2268" t="s">
        <v>591</v>
      </c>
      <c r="D2268" t="s">
        <v>16</v>
      </c>
      <c r="E2268" t="s">
        <v>17</v>
      </c>
      <c r="F2268" t="str">
        <f t="shared" si="35"/>
        <v>East</v>
      </c>
      <c r="G2268" t="s">
        <v>42</v>
      </c>
      <c r="H2268" t="s">
        <v>23</v>
      </c>
      <c r="I2268">
        <v>15</v>
      </c>
    </row>
    <row r="2269" spans="1:9" ht="21.75" customHeight="1">
      <c r="A2269" t="s">
        <v>2419</v>
      </c>
      <c r="B2269" s="3">
        <v>45302</v>
      </c>
      <c r="C2269" t="s">
        <v>61</v>
      </c>
      <c r="D2269" t="s">
        <v>65</v>
      </c>
      <c r="E2269" t="s">
        <v>11</v>
      </c>
      <c r="F2269" t="str">
        <f t="shared" si="35"/>
        <v>North</v>
      </c>
      <c r="G2269" t="s">
        <v>12</v>
      </c>
      <c r="H2269" t="s">
        <v>28</v>
      </c>
      <c r="I2269">
        <v>17</v>
      </c>
    </row>
    <row r="2270" spans="1:9" ht="21.75" customHeight="1">
      <c r="A2270" t="s">
        <v>2420</v>
      </c>
      <c r="B2270" s="3">
        <v>45502</v>
      </c>
      <c r="C2270" t="s">
        <v>361</v>
      </c>
      <c r="D2270" t="s">
        <v>72</v>
      </c>
      <c r="E2270" t="s">
        <v>22</v>
      </c>
      <c r="F2270" t="str">
        <f t="shared" si="35"/>
        <v>East</v>
      </c>
      <c r="G2270" t="s">
        <v>42</v>
      </c>
      <c r="H2270" t="s">
        <v>23</v>
      </c>
      <c r="I2270">
        <v>19</v>
      </c>
    </row>
    <row r="2271" spans="1:9" ht="21.75" customHeight="1">
      <c r="A2271" t="s">
        <v>2421</v>
      </c>
      <c r="B2271" s="3">
        <v>45563</v>
      </c>
      <c r="C2271" t="s">
        <v>378</v>
      </c>
      <c r="D2271" t="s">
        <v>70</v>
      </c>
      <c r="E2271" t="s">
        <v>17</v>
      </c>
      <c r="F2271" t="str">
        <f t="shared" si="35"/>
        <v>East</v>
      </c>
      <c r="G2271" t="s">
        <v>42</v>
      </c>
      <c r="H2271" t="s">
        <v>36</v>
      </c>
      <c r="I2271">
        <v>5</v>
      </c>
    </row>
    <row r="2272" spans="1:9" ht="21.75" customHeight="1">
      <c r="A2272" t="s">
        <v>2422</v>
      </c>
      <c r="B2272" s="3">
        <v>45448</v>
      </c>
      <c r="C2272" t="s">
        <v>30</v>
      </c>
      <c r="D2272" t="s">
        <v>26</v>
      </c>
      <c r="E2272" t="s">
        <v>11</v>
      </c>
      <c r="F2272" t="str">
        <f t="shared" si="35"/>
        <v>West</v>
      </c>
      <c r="G2272" t="s">
        <v>27</v>
      </c>
      <c r="H2272" t="s">
        <v>32</v>
      </c>
      <c r="I2272">
        <v>10</v>
      </c>
    </row>
    <row r="2273" spans="1:9" ht="21.75" customHeight="1">
      <c r="A2273" t="s">
        <v>2423</v>
      </c>
      <c r="B2273" s="3">
        <v>45316</v>
      </c>
      <c r="C2273" t="s">
        <v>167</v>
      </c>
      <c r="D2273" t="s">
        <v>48</v>
      </c>
      <c r="E2273" t="s">
        <v>17</v>
      </c>
      <c r="F2273" t="str">
        <f t="shared" si="35"/>
        <v>West</v>
      </c>
      <c r="G2273" t="s">
        <v>27</v>
      </c>
      <c r="H2273" t="s">
        <v>28</v>
      </c>
      <c r="I2273">
        <v>20</v>
      </c>
    </row>
    <row r="2274" spans="1:9" ht="21.75" customHeight="1">
      <c r="A2274" t="s">
        <v>2424</v>
      </c>
      <c r="B2274" s="3">
        <v>45656</v>
      </c>
      <c r="C2274" t="s">
        <v>312</v>
      </c>
      <c r="D2274" t="s">
        <v>74</v>
      </c>
      <c r="E2274" t="s">
        <v>11</v>
      </c>
      <c r="F2274" t="str">
        <f t="shared" si="35"/>
        <v>South</v>
      </c>
      <c r="G2274" t="s">
        <v>56</v>
      </c>
      <c r="H2274" t="s">
        <v>28</v>
      </c>
      <c r="I2274">
        <v>6</v>
      </c>
    </row>
    <row r="2275" spans="1:9" ht="21.75" customHeight="1">
      <c r="A2275" t="s">
        <v>2425</v>
      </c>
      <c r="B2275" s="3">
        <v>45313</v>
      </c>
      <c r="C2275" t="s">
        <v>38</v>
      </c>
      <c r="D2275" t="s">
        <v>59</v>
      </c>
      <c r="E2275" t="s">
        <v>11</v>
      </c>
      <c r="F2275" t="str">
        <f t="shared" si="35"/>
        <v>West</v>
      </c>
      <c r="G2275" t="s">
        <v>27</v>
      </c>
      <c r="H2275" t="s">
        <v>32</v>
      </c>
      <c r="I2275">
        <v>12</v>
      </c>
    </row>
    <row r="2276" spans="1:9" ht="21.75" customHeight="1">
      <c r="A2276" t="s">
        <v>2426</v>
      </c>
      <c r="B2276" s="3">
        <v>45579</v>
      </c>
      <c r="C2276" t="s">
        <v>369</v>
      </c>
      <c r="D2276" t="s">
        <v>79</v>
      </c>
      <c r="E2276" t="s">
        <v>22</v>
      </c>
      <c r="F2276" t="str">
        <f t="shared" si="35"/>
        <v>East</v>
      </c>
      <c r="G2276" t="s">
        <v>42</v>
      </c>
      <c r="H2276" t="s">
        <v>32</v>
      </c>
      <c r="I2276">
        <v>5</v>
      </c>
    </row>
    <row r="2277" spans="1:9" ht="21.75" customHeight="1">
      <c r="A2277" t="s">
        <v>2427</v>
      </c>
      <c r="B2277" s="3">
        <v>45568</v>
      </c>
      <c r="C2277" t="s">
        <v>111</v>
      </c>
      <c r="D2277" t="s">
        <v>174</v>
      </c>
      <c r="E2277" t="s">
        <v>17</v>
      </c>
      <c r="F2277" t="str">
        <f t="shared" si="35"/>
        <v>North</v>
      </c>
      <c r="G2277" t="s">
        <v>12</v>
      </c>
      <c r="H2277" t="s">
        <v>13</v>
      </c>
      <c r="I2277">
        <v>13</v>
      </c>
    </row>
    <row r="2278" spans="1:9" ht="21.75" customHeight="1">
      <c r="A2278" t="s">
        <v>2428</v>
      </c>
      <c r="B2278" s="3">
        <v>45366</v>
      </c>
      <c r="C2278" t="s">
        <v>366</v>
      </c>
      <c r="D2278" t="s">
        <v>72</v>
      </c>
      <c r="E2278" t="s">
        <v>11</v>
      </c>
      <c r="F2278" t="str">
        <f t="shared" si="35"/>
        <v>North</v>
      </c>
      <c r="G2278" t="s">
        <v>12</v>
      </c>
      <c r="H2278" t="s">
        <v>36</v>
      </c>
      <c r="I2278">
        <v>17</v>
      </c>
    </row>
    <row r="2279" spans="1:9" ht="21.75" customHeight="1">
      <c r="A2279" t="s">
        <v>2429</v>
      </c>
      <c r="B2279" s="3">
        <v>45653</v>
      </c>
      <c r="C2279" t="s">
        <v>61</v>
      </c>
      <c r="D2279" t="s">
        <v>35</v>
      </c>
      <c r="E2279" t="s">
        <v>17</v>
      </c>
      <c r="F2279" t="str">
        <f t="shared" si="35"/>
        <v>Central</v>
      </c>
      <c r="G2279" t="s">
        <v>306</v>
      </c>
      <c r="H2279" t="s">
        <v>28</v>
      </c>
      <c r="I2279">
        <v>19</v>
      </c>
    </row>
    <row r="2280" spans="1:9" ht="21.75" customHeight="1">
      <c r="A2280" t="s">
        <v>2430</v>
      </c>
      <c r="B2280" s="3">
        <v>45518</v>
      </c>
      <c r="C2280" t="s">
        <v>47</v>
      </c>
      <c r="D2280" t="s">
        <v>62</v>
      </c>
      <c r="E2280" t="s">
        <v>11</v>
      </c>
      <c r="F2280" t="str">
        <f t="shared" si="35"/>
        <v>West</v>
      </c>
      <c r="G2280" t="s">
        <v>27</v>
      </c>
      <c r="H2280" t="s">
        <v>13</v>
      </c>
      <c r="I2280">
        <v>5</v>
      </c>
    </row>
    <row r="2281" spans="1:9" ht="21.75" customHeight="1">
      <c r="A2281" t="s">
        <v>2431</v>
      </c>
      <c r="B2281" s="3">
        <v>45351</v>
      </c>
      <c r="C2281" t="s">
        <v>147</v>
      </c>
      <c r="D2281" t="s">
        <v>96</v>
      </c>
      <c r="E2281" t="s">
        <v>17</v>
      </c>
      <c r="F2281" t="str">
        <f t="shared" si="35"/>
        <v>Central</v>
      </c>
      <c r="G2281" t="s">
        <v>306</v>
      </c>
      <c r="H2281" t="s">
        <v>28</v>
      </c>
      <c r="I2281">
        <v>15</v>
      </c>
    </row>
    <row r="2282" spans="1:9" ht="21.75" customHeight="1">
      <c r="A2282" t="s">
        <v>2432</v>
      </c>
      <c r="B2282" s="3">
        <v>45459</v>
      </c>
      <c r="C2282" t="s">
        <v>131</v>
      </c>
      <c r="D2282" t="s">
        <v>109</v>
      </c>
      <c r="E2282" t="s">
        <v>22</v>
      </c>
      <c r="F2282" t="str">
        <f t="shared" si="35"/>
        <v>South</v>
      </c>
      <c r="G2282" t="s">
        <v>56</v>
      </c>
      <c r="H2282" t="s">
        <v>36</v>
      </c>
      <c r="I2282">
        <v>17</v>
      </c>
    </row>
    <row r="2283" spans="1:9" ht="21.75" customHeight="1">
      <c r="A2283" t="s">
        <v>2433</v>
      </c>
      <c r="B2283" s="3">
        <v>45434</v>
      </c>
      <c r="C2283" t="s">
        <v>104</v>
      </c>
      <c r="D2283" t="s">
        <v>96</v>
      </c>
      <c r="E2283" t="s">
        <v>11</v>
      </c>
      <c r="F2283" t="str">
        <f t="shared" si="35"/>
        <v>Central</v>
      </c>
      <c r="G2283" t="s">
        <v>306</v>
      </c>
      <c r="H2283" t="s">
        <v>23</v>
      </c>
      <c r="I2283">
        <v>3</v>
      </c>
    </row>
    <row r="2284" spans="1:9" ht="21.75" customHeight="1">
      <c r="A2284" t="s">
        <v>2434</v>
      </c>
      <c r="B2284" s="3">
        <v>45493</v>
      </c>
      <c r="C2284" t="s">
        <v>150</v>
      </c>
      <c r="D2284" t="s">
        <v>35</v>
      </c>
      <c r="E2284" t="s">
        <v>17</v>
      </c>
      <c r="F2284" t="str">
        <f t="shared" si="35"/>
        <v>Central</v>
      </c>
      <c r="G2284" t="s">
        <v>306</v>
      </c>
      <c r="H2284" t="s">
        <v>36</v>
      </c>
      <c r="I2284">
        <v>17</v>
      </c>
    </row>
    <row r="2285" spans="1:9" ht="21.75" customHeight="1">
      <c r="A2285" t="s">
        <v>2435</v>
      </c>
      <c r="B2285" s="3">
        <v>45633</v>
      </c>
      <c r="C2285" t="s">
        <v>83</v>
      </c>
      <c r="D2285" t="s">
        <v>31</v>
      </c>
      <c r="E2285" t="s">
        <v>11</v>
      </c>
      <c r="F2285" t="str">
        <f t="shared" si="35"/>
        <v>West</v>
      </c>
      <c r="G2285" t="s">
        <v>27</v>
      </c>
      <c r="H2285" t="s">
        <v>32</v>
      </c>
      <c r="I2285">
        <v>13</v>
      </c>
    </row>
    <row r="2286" spans="1:9" ht="21.75" customHeight="1">
      <c r="A2286" t="s">
        <v>2436</v>
      </c>
      <c r="B2286" s="3">
        <v>45437</v>
      </c>
      <c r="C2286" t="s">
        <v>20</v>
      </c>
      <c r="D2286" t="s">
        <v>48</v>
      </c>
      <c r="E2286" t="s">
        <v>17</v>
      </c>
      <c r="F2286" t="str">
        <f t="shared" si="35"/>
        <v>West</v>
      </c>
      <c r="G2286" t="s">
        <v>27</v>
      </c>
      <c r="H2286" t="s">
        <v>36</v>
      </c>
      <c r="I2286">
        <v>3</v>
      </c>
    </row>
    <row r="2287" spans="1:9" ht="21.75" customHeight="1">
      <c r="A2287" t="s">
        <v>2437</v>
      </c>
      <c r="B2287" s="3">
        <v>45519</v>
      </c>
      <c r="C2287" t="s">
        <v>304</v>
      </c>
      <c r="D2287" t="s">
        <v>87</v>
      </c>
      <c r="E2287" t="s">
        <v>17</v>
      </c>
      <c r="F2287" t="str">
        <f t="shared" si="35"/>
        <v>East</v>
      </c>
      <c r="G2287" t="s">
        <v>42</v>
      </c>
      <c r="H2287" t="s">
        <v>28</v>
      </c>
      <c r="I2287">
        <v>14</v>
      </c>
    </row>
    <row r="2288" spans="1:9" ht="21.75" customHeight="1">
      <c r="A2288" t="s">
        <v>2438</v>
      </c>
      <c r="B2288" s="3">
        <v>45504</v>
      </c>
      <c r="C2288" t="s">
        <v>99</v>
      </c>
      <c r="D2288" t="s">
        <v>59</v>
      </c>
      <c r="E2288" t="s">
        <v>22</v>
      </c>
      <c r="F2288" t="str">
        <f t="shared" si="35"/>
        <v>North</v>
      </c>
      <c r="G2288" t="s">
        <v>12</v>
      </c>
      <c r="H2288" t="s">
        <v>28</v>
      </c>
      <c r="I2288">
        <v>7</v>
      </c>
    </row>
    <row r="2289" spans="1:9" ht="21.75" customHeight="1">
      <c r="A2289" t="s">
        <v>2439</v>
      </c>
      <c r="B2289" s="3">
        <v>45560</v>
      </c>
      <c r="C2289" t="s">
        <v>118</v>
      </c>
      <c r="D2289" t="s">
        <v>10</v>
      </c>
      <c r="E2289" t="s">
        <v>22</v>
      </c>
      <c r="F2289" t="str">
        <f t="shared" si="35"/>
        <v>West</v>
      </c>
      <c r="G2289" t="s">
        <v>27</v>
      </c>
      <c r="H2289" t="s">
        <v>13</v>
      </c>
      <c r="I2289">
        <v>1</v>
      </c>
    </row>
    <row r="2290" spans="1:9" ht="21.75" customHeight="1">
      <c r="A2290" t="s">
        <v>2440</v>
      </c>
      <c r="B2290" s="3">
        <v>45431</v>
      </c>
      <c r="C2290" t="s">
        <v>572</v>
      </c>
      <c r="D2290" t="s">
        <v>45</v>
      </c>
      <c r="E2290" t="s">
        <v>22</v>
      </c>
      <c r="F2290" t="str">
        <f t="shared" si="35"/>
        <v>West</v>
      </c>
      <c r="G2290" t="s">
        <v>27</v>
      </c>
      <c r="H2290" t="s">
        <v>36</v>
      </c>
      <c r="I2290">
        <v>5</v>
      </c>
    </row>
    <row r="2291" spans="1:9" ht="21.75" customHeight="1">
      <c r="A2291" t="s">
        <v>2441</v>
      </c>
      <c r="B2291" s="3">
        <v>45487</v>
      </c>
      <c r="C2291" t="s">
        <v>61</v>
      </c>
      <c r="D2291" t="s">
        <v>174</v>
      </c>
      <c r="E2291" t="s">
        <v>17</v>
      </c>
      <c r="F2291" t="str">
        <f t="shared" si="35"/>
        <v>North</v>
      </c>
      <c r="G2291" t="s">
        <v>12</v>
      </c>
      <c r="H2291" t="s">
        <v>32</v>
      </c>
      <c r="I2291">
        <v>19</v>
      </c>
    </row>
    <row r="2292" spans="1:9" ht="21.75" customHeight="1">
      <c r="A2292" t="s">
        <v>2442</v>
      </c>
      <c r="B2292" s="3">
        <v>45578</v>
      </c>
      <c r="C2292" t="s">
        <v>304</v>
      </c>
      <c r="D2292" t="s">
        <v>70</v>
      </c>
      <c r="E2292" t="s">
        <v>11</v>
      </c>
      <c r="F2292" t="str">
        <f t="shared" si="35"/>
        <v>North</v>
      </c>
      <c r="G2292" t="s">
        <v>12</v>
      </c>
      <c r="H2292" t="s">
        <v>13</v>
      </c>
      <c r="I2292">
        <v>5</v>
      </c>
    </row>
    <row r="2293" spans="1:9" ht="21.75" customHeight="1">
      <c r="A2293" t="s">
        <v>2443</v>
      </c>
      <c r="B2293" s="3">
        <v>45619</v>
      </c>
      <c r="C2293" t="s">
        <v>541</v>
      </c>
      <c r="D2293" t="s">
        <v>35</v>
      </c>
      <c r="E2293" t="s">
        <v>11</v>
      </c>
      <c r="F2293" t="str">
        <f t="shared" si="35"/>
        <v>East</v>
      </c>
      <c r="G2293" t="s">
        <v>42</v>
      </c>
      <c r="H2293" t="s">
        <v>23</v>
      </c>
      <c r="I2293">
        <v>6</v>
      </c>
    </row>
    <row r="2294" spans="1:9" ht="21.75" customHeight="1">
      <c r="A2294" t="s">
        <v>2444</v>
      </c>
      <c r="B2294" s="3">
        <v>45644</v>
      </c>
      <c r="C2294" t="s">
        <v>736</v>
      </c>
      <c r="D2294" t="s">
        <v>197</v>
      </c>
      <c r="E2294" t="s">
        <v>11</v>
      </c>
      <c r="F2294" t="str">
        <f t="shared" si="35"/>
        <v>North</v>
      </c>
      <c r="G2294" t="s">
        <v>12</v>
      </c>
      <c r="H2294" t="s">
        <v>32</v>
      </c>
      <c r="I2294">
        <v>16</v>
      </c>
    </row>
    <row r="2295" spans="1:9" ht="21.75" customHeight="1">
      <c r="A2295" t="s">
        <v>2445</v>
      </c>
      <c r="B2295" s="3">
        <v>45326</v>
      </c>
      <c r="C2295" t="s">
        <v>327</v>
      </c>
      <c r="D2295" t="s">
        <v>84</v>
      </c>
      <c r="E2295" t="s">
        <v>17</v>
      </c>
      <c r="F2295" t="str">
        <f t="shared" si="35"/>
        <v>Central</v>
      </c>
      <c r="G2295" t="s">
        <v>306</v>
      </c>
      <c r="H2295" t="s">
        <v>23</v>
      </c>
      <c r="I2295">
        <v>19</v>
      </c>
    </row>
    <row r="2296" spans="1:9" ht="21.75" customHeight="1">
      <c r="A2296" t="s">
        <v>2446</v>
      </c>
      <c r="B2296" s="3">
        <v>45424</v>
      </c>
      <c r="C2296" t="s">
        <v>451</v>
      </c>
      <c r="D2296" t="s">
        <v>41</v>
      </c>
      <c r="E2296" t="s">
        <v>17</v>
      </c>
      <c r="F2296" t="str">
        <f t="shared" si="35"/>
        <v>North</v>
      </c>
      <c r="G2296" t="s">
        <v>12</v>
      </c>
      <c r="H2296" t="s">
        <v>32</v>
      </c>
      <c r="I2296">
        <v>17</v>
      </c>
    </row>
    <row r="2297" spans="1:9" ht="21.75" customHeight="1">
      <c r="A2297" t="s">
        <v>2447</v>
      </c>
      <c r="B2297" s="3">
        <v>45300</v>
      </c>
      <c r="C2297" t="s">
        <v>86</v>
      </c>
      <c r="D2297" t="s">
        <v>45</v>
      </c>
      <c r="E2297" t="s">
        <v>22</v>
      </c>
      <c r="F2297" t="str">
        <f t="shared" si="35"/>
        <v>North</v>
      </c>
      <c r="G2297" t="s">
        <v>12</v>
      </c>
      <c r="H2297" t="s">
        <v>28</v>
      </c>
      <c r="I2297">
        <v>11</v>
      </c>
    </row>
    <row r="2298" spans="1:9" ht="21.75" customHeight="1">
      <c r="A2298" t="s">
        <v>2448</v>
      </c>
      <c r="B2298" s="3">
        <v>45646</v>
      </c>
      <c r="C2298" t="s">
        <v>99</v>
      </c>
      <c r="D2298" t="s">
        <v>48</v>
      </c>
      <c r="E2298" t="s">
        <v>11</v>
      </c>
      <c r="F2298" t="str">
        <f t="shared" si="35"/>
        <v>North</v>
      </c>
      <c r="G2298" t="s">
        <v>12</v>
      </c>
      <c r="H2298" t="s">
        <v>32</v>
      </c>
      <c r="I2298">
        <v>12</v>
      </c>
    </row>
    <row r="2299" spans="1:9" ht="21.75" customHeight="1">
      <c r="A2299" t="s">
        <v>2449</v>
      </c>
      <c r="B2299" s="3">
        <v>45474</v>
      </c>
      <c r="C2299" t="s">
        <v>9</v>
      </c>
      <c r="D2299" t="s">
        <v>74</v>
      </c>
      <c r="E2299" t="s">
        <v>17</v>
      </c>
      <c r="F2299" t="str">
        <f t="shared" si="35"/>
        <v>Central</v>
      </c>
      <c r="G2299" t="s">
        <v>306</v>
      </c>
      <c r="H2299" t="s">
        <v>13</v>
      </c>
      <c r="I2299">
        <v>17</v>
      </c>
    </row>
    <row r="2300" spans="1:9" ht="21.75" customHeight="1">
      <c r="A2300" t="s">
        <v>2450</v>
      </c>
      <c r="B2300" s="3">
        <v>45613</v>
      </c>
      <c r="C2300" t="s">
        <v>44</v>
      </c>
      <c r="D2300" t="s">
        <v>119</v>
      </c>
      <c r="E2300" t="s">
        <v>11</v>
      </c>
      <c r="F2300" t="str">
        <f t="shared" si="35"/>
        <v>Central</v>
      </c>
      <c r="G2300" t="s">
        <v>306</v>
      </c>
      <c r="H2300" t="s">
        <v>28</v>
      </c>
      <c r="I2300">
        <v>18</v>
      </c>
    </row>
    <row r="2301" spans="1:9" ht="21.75" customHeight="1">
      <c r="A2301" t="s">
        <v>2451</v>
      </c>
      <c r="B2301" s="3">
        <v>45453</v>
      </c>
      <c r="C2301" t="s">
        <v>455</v>
      </c>
      <c r="D2301" t="s">
        <v>74</v>
      </c>
      <c r="E2301" t="s">
        <v>17</v>
      </c>
      <c r="F2301" t="str">
        <f t="shared" si="35"/>
        <v>East</v>
      </c>
      <c r="G2301" t="s">
        <v>42</v>
      </c>
      <c r="H2301" t="s">
        <v>13</v>
      </c>
      <c r="I2301">
        <v>18</v>
      </c>
    </row>
    <row r="2302" spans="1:9" ht="21.75" customHeight="1">
      <c r="A2302" t="s">
        <v>2452</v>
      </c>
      <c r="B2302" s="3">
        <v>45365</v>
      </c>
      <c r="C2302" t="s">
        <v>142</v>
      </c>
      <c r="D2302" t="s">
        <v>16</v>
      </c>
      <c r="E2302" t="s">
        <v>22</v>
      </c>
      <c r="F2302" t="str">
        <f t="shared" si="35"/>
        <v>East</v>
      </c>
      <c r="G2302" t="s">
        <v>42</v>
      </c>
      <c r="H2302" t="s">
        <v>32</v>
      </c>
      <c r="I2302">
        <v>16</v>
      </c>
    </row>
    <row r="2303" spans="1:9" ht="21.75" customHeight="1">
      <c r="A2303" t="s">
        <v>2453</v>
      </c>
      <c r="B2303" s="3">
        <v>45375</v>
      </c>
      <c r="C2303" t="s">
        <v>15</v>
      </c>
      <c r="D2303" t="s">
        <v>65</v>
      </c>
      <c r="E2303" t="s">
        <v>11</v>
      </c>
      <c r="F2303" t="str">
        <f t="shared" si="35"/>
        <v>Central</v>
      </c>
      <c r="G2303" t="s">
        <v>306</v>
      </c>
      <c r="H2303" t="s">
        <v>28</v>
      </c>
      <c r="I2303">
        <v>7</v>
      </c>
    </row>
    <row r="2304" spans="1:9" ht="21.75" customHeight="1">
      <c r="A2304" t="s">
        <v>2454</v>
      </c>
      <c r="B2304" s="3">
        <v>45578</v>
      </c>
      <c r="C2304" t="s">
        <v>594</v>
      </c>
      <c r="D2304" t="s">
        <v>62</v>
      </c>
      <c r="E2304" t="s">
        <v>22</v>
      </c>
      <c r="F2304" t="str">
        <f t="shared" si="35"/>
        <v>Central</v>
      </c>
      <c r="G2304" t="s">
        <v>306</v>
      </c>
      <c r="H2304" t="s">
        <v>36</v>
      </c>
      <c r="I2304">
        <v>4</v>
      </c>
    </row>
    <row r="2305" spans="1:9" ht="21.75" customHeight="1">
      <c r="A2305" t="s">
        <v>2455</v>
      </c>
      <c r="B2305" s="3">
        <v>45331</v>
      </c>
      <c r="C2305" t="s">
        <v>40</v>
      </c>
      <c r="D2305" t="s">
        <v>16</v>
      </c>
      <c r="E2305" t="s">
        <v>11</v>
      </c>
      <c r="F2305" t="str">
        <f t="shared" si="35"/>
        <v>West</v>
      </c>
      <c r="G2305" t="s">
        <v>27</v>
      </c>
      <c r="H2305" t="s">
        <v>32</v>
      </c>
      <c r="I2305">
        <v>10</v>
      </c>
    </row>
    <row r="2306" spans="1:9" ht="21.75" customHeight="1">
      <c r="A2306" t="s">
        <v>2456</v>
      </c>
      <c r="B2306" s="3">
        <v>45363</v>
      </c>
      <c r="C2306" t="s">
        <v>396</v>
      </c>
      <c r="D2306" t="s">
        <v>109</v>
      </c>
      <c r="E2306" t="s">
        <v>22</v>
      </c>
      <c r="F2306" t="str">
        <f t="shared" si="35"/>
        <v>East</v>
      </c>
      <c r="G2306" t="s">
        <v>42</v>
      </c>
      <c r="H2306" t="s">
        <v>28</v>
      </c>
      <c r="I2306">
        <v>10</v>
      </c>
    </row>
    <row r="2307" spans="1:9" ht="21.75" customHeight="1">
      <c r="A2307" t="s">
        <v>2457</v>
      </c>
      <c r="B2307" s="3">
        <v>45352</v>
      </c>
      <c r="C2307" t="s">
        <v>240</v>
      </c>
      <c r="D2307" t="s">
        <v>16</v>
      </c>
      <c r="E2307" t="s">
        <v>22</v>
      </c>
      <c r="F2307" t="str">
        <f t="shared" ref="F2307:F2370" si="36">TRIM(PROPER(G2307))</f>
        <v>South</v>
      </c>
      <c r="G2307" t="s">
        <v>56</v>
      </c>
      <c r="H2307" t="s">
        <v>28</v>
      </c>
      <c r="I2307">
        <v>10</v>
      </c>
    </row>
    <row r="2308" spans="1:9" ht="21.75" customHeight="1">
      <c r="A2308" t="s">
        <v>2458</v>
      </c>
      <c r="B2308" s="3">
        <v>45358</v>
      </c>
      <c r="C2308" t="s">
        <v>81</v>
      </c>
      <c r="D2308" t="s">
        <v>87</v>
      </c>
      <c r="E2308" t="s">
        <v>22</v>
      </c>
      <c r="F2308" t="str">
        <f t="shared" si="36"/>
        <v>North</v>
      </c>
      <c r="G2308" t="s">
        <v>12</v>
      </c>
      <c r="H2308" t="s">
        <v>13</v>
      </c>
      <c r="I2308">
        <v>1</v>
      </c>
    </row>
    <row r="2309" spans="1:9" ht="21.75" customHeight="1">
      <c r="A2309" t="s">
        <v>2459</v>
      </c>
      <c r="B2309" s="3">
        <v>45512</v>
      </c>
      <c r="C2309" t="s">
        <v>116</v>
      </c>
      <c r="D2309" t="s">
        <v>65</v>
      </c>
      <c r="E2309" t="s">
        <v>11</v>
      </c>
      <c r="F2309" t="str">
        <f t="shared" si="36"/>
        <v>North</v>
      </c>
      <c r="G2309" t="s">
        <v>12</v>
      </c>
      <c r="H2309" t="s">
        <v>36</v>
      </c>
      <c r="I2309">
        <v>19</v>
      </c>
    </row>
    <row r="2310" spans="1:9" ht="21.75" customHeight="1">
      <c r="A2310" t="s">
        <v>2460</v>
      </c>
      <c r="B2310" s="3">
        <v>45352</v>
      </c>
      <c r="C2310" t="s">
        <v>230</v>
      </c>
      <c r="D2310" t="s">
        <v>79</v>
      </c>
      <c r="E2310" t="s">
        <v>11</v>
      </c>
      <c r="F2310" t="str">
        <f t="shared" si="36"/>
        <v>East</v>
      </c>
      <c r="G2310" t="s">
        <v>42</v>
      </c>
      <c r="H2310" t="s">
        <v>13</v>
      </c>
      <c r="I2310">
        <v>4</v>
      </c>
    </row>
    <row r="2311" spans="1:9" ht="21.75" customHeight="1">
      <c r="A2311" t="s">
        <v>2461</v>
      </c>
      <c r="B2311" s="3">
        <v>45600</v>
      </c>
      <c r="C2311" t="s">
        <v>95</v>
      </c>
      <c r="D2311" t="s">
        <v>59</v>
      </c>
      <c r="E2311" t="s">
        <v>11</v>
      </c>
      <c r="F2311" t="str">
        <f t="shared" si="36"/>
        <v>South</v>
      </c>
      <c r="G2311" t="s">
        <v>56</v>
      </c>
      <c r="H2311" t="s">
        <v>32</v>
      </c>
      <c r="I2311">
        <v>1</v>
      </c>
    </row>
    <row r="2312" spans="1:9" ht="21.75" customHeight="1">
      <c r="A2312" t="s">
        <v>2462</v>
      </c>
      <c r="B2312" s="3">
        <v>45434</v>
      </c>
      <c r="C2312" t="s">
        <v>361</v>
      </c>
      <c r="D2312" t="s">
        <v>48</v>
      </c>
      <c r="E2312" t="s">
        <v>17</v>
      </c>
      <c r="F2312" t="str">
        <f t="shared" si="36"/>
        <v>South</v>
      </c>
      <c r="G2312" t="s">
        <v>56</v>
      </c>
      <c r="H2312" t="s">
        <v>36</v>
      </c>
      <c r="I2312">
        <v>20</v>
      </c>
    </row>
    <row r="2313" spans="1:9" ht="21.75" customHeight="1">
      <c r="A2313" t="s">
        <v>2463</v>
      </c>
      <c r="B2313" s="3">
        <v>45583</v>
      </c>
      <c r="C2313" t="s">
        <v>58</v>
      </c>
      <c r="D2313" t="s">
        <v>102</v>
      </c>
      <c r="E2313" t="s">
        <v>22</v>
      </c>
      <c r="F2313" t="str">
        <f t="shared" si="36"/>
        <v>North</v>
      </c>
      <c r="G2313" t="s">
        <v>12</v>
      </c>
      <c r="H2313" t="s">
        <v>36</v>
      </c>
      <c r="I2313">
        <v>7</v>
      </c>
    </row>
    <row r="2314" spans="1:9" ht="21.75" customHeight="1">
      <c r="A2314" t="s">
        <v>2464</v>
      </c>
      <c r="B2314" s="3">
        <v>45436</v>
      </c>
      <c r="C2314" t="s">
        <v>30</v>
      </c>
      <c r="D2314" t="s">
        <v>119</v>
      </c>
      <c r="E2314" t="s">
        <v>22</v>
      </c>
      <c r="F2314" t="str">
        <f t="shared" si="36"/>
        <v>North</v>
      </c>
      <c r="G2314" t="s">
        <v>12</v>
      </c>
      <c r="H2314" t="s">
        <v>13</v>
      </c>
      <c r="I2314">
        <v>7</v>
      </c>
    </row>
    <row r="2315" spans="1:9" ht="21.75" customHeight="1">
      <c r="A2315" t="s">
        <v>2465</v>
      </c>
      <c r="B2315" s="3">
        <v>45654</v>
      </c>
      <c r="C2315" t="s">
        <v>553</v>
      </c>
      <c r="D2315" t="s">
        <v>48</v>
      </c>
      <c r="E2315" t="s">
        <v>22</v>
      </c>
      <c r="F2315" t="str">
        <f t="shared" si="36"/>
        <v>Central</v>
      </c>
      <c r="G2315" t="s">
        <v>306</v>
      </c>
      <c r="H2315" t="s">
        <v>28</v>
      </c>
      <c r="I2315">
        <v>15</v>
      </c>
    </row>
    <row r="2316" spans="1:9" ht="21.75" customHeight="1">
      <c r="A2316" t="s">
        <v>2466</v>
      </c>
      <c r="B2316" s="3">
        <v>45346</v>
      </c>
      <c r="C2316" t="s">
        <v>44</v>
      </c>
      <c r="D2316" t="s">
        <v>48</v>
      </c>
      <c r="E2316" t="s">
        <v>17</v>
      </c>
      <c r="F2316" t="str">
        <f t="shared" si="36"/>
        <v>West</v>
      </c>
      <c r="G2316" t="s">
        <v>27</v>
      </c>
      <c r="H2316" t="s">
        <v>28</v>
      </c>
      <c r="I2316">
        <v>17</v>
      </c>
    </row>
    <row r="2317" spans="1:9" ht="21.75" customHeight="1">
      <c r="A2317" t="s">
        <v>2467</v>
      </c>
      <c r="B2317" s="3">
        <v>45349</v>
      </c>
      <c r="C2317" t="s">
        <v>332</v>
      </c>
      <c r="D2317" t="s">
        <v>72</v>
      </c>
      <c r="E2317" t="s">
        <v>11</v>
      </c>
      <c r="F2317" t="str">
        <f t="shared" si="36"/>
        <v>West</v>
      </c>
      <c r="G2317" t="s">
        <v>27</v>
      </c>
      <c r="H2317" t="s">
        <v>13</v>
      </c>
      <c r="I2317">
        <v>17</v>
      </c>
    </row>
    <row r="2318" spans="1:9" ht="21.75" customHeight="1">
      <c r="A2318" t="s">
        <v>2468</v>
      </c>
      <c r="B2318" s="3">
        <v>45476</v>
      </c>
      <c r="C2318" t="s">
        <v>369</v>
      </c>
      <c r="D2318" t="s">
        <v>74</v>
      </c>
      <c r="E2318" t="s">
        <v>22</v>
      </c>
      <c r="F2318" t="str">
        <f t="shared" si="36"/>
        <v>North</v>
      </c>
      <c r="G2318" t="s">
        <v>12</v>
      </c>
      <c r="H2318" t="s">
        <v>13</v>
      </c>
      <c r="I2318">
        <v>11</v>
      </c>
    </row>
    <row r="2319" spans="1:9" ht="21.75" customHeight="1">
      <c r="A2319" t="s">
        <v>2469</v>
      </c>
      <c r="B2319" s="3">
        <v>45489</v>
      </c>
      <c r="C2319" t="s">
        <v>55</v>
      </c>
      <c r="D2319" t="s">
        <v>70</v>
      </c>
      <c r="E2319" t="s">
        <v>22</v>
      </c>
      <c r="F2319" t="str">
        <f t="shared" si="36"/>
        <v>East</v>
      </c>
      <c r="G2319" t="s">
        <v>42</v>
      </c>
      <c r="H2319" t="s">
        <v>23</v>
      </c>
      <c r="I2319">
        <v>8</v>
      </c>
    </row>
    <row r="2320" spans="1:9" ht="21.75" customHeight="1">
      <c r="A2320" t="s">
        <v>2470</v>
      </c>
      <c r="B2320" s="3">
        <v>45440</v>
      </c>
      <c r="C2320" t="s">
        <v>309</v>
      </c>
      <c r="D2320" t="s">
        <v>65</v>
      </c>
      <c r="E2320" t="s">
        <v>11</v>
      </c>
      <c r="F2320" t="str">
        <f t="shared" si="36"/>
        <v>West</v>
      </c>
      <c r="G2320" t="s">
        <v>27</v>
      </c>
      <c r="H2320" t="s">
        <v>32</v>
      </c>
      <c r="I2320">
        <v>6</v>
      </c>
    </row>
    <row r="2321" spans="1:9" ht="21.75" customHeight="1">
      <c r="A2321" t="s">
        <v>2471</v>
      </c>
      <c r="B2321" s="3">
        <v>45637</v>
      </c>
      <c r="C2321" t="s">
        <v>374</v>
      </c>
      <c r="D2321" t="s">
        <v>41</v>
      </c>
      <c r="E2321" t="s">
        <v>11</v>
      </c>
      <c r="F2321" t="str">
        <f t="shared" si="36"/>
        <v>West</v>
      </c>
      <c r="G2321" t="s">
        <v>27</v>
      </c>
      <c r="H2321" t="s">
        <v>23</v>
      </c>
      <c r="I2321">
        <v>17</v>
      </c>
    </row>
    <row r="2322" spans="1:9" ht="21.75" customHeight="1">
      <c r="A2322" t="s">
        <v>2472</v>
      </c>
      <c r="B2322" s="3">
        <v>45335</v>
      </c>
      <c r="C2322" t="s">
        <v>114</v>
      </c>
      <c r="D2322" t="s">
        <v>16</v>
      </c>
      <c r="E2322" t="s">
        <v>17</v>
      </c>
      <c r="F2322" t="str">
        <f t="shared" si="36"/>
        <v>West</v>
      </c>
      <c r="G2322" t="s">
        <v>27</v>
      </c>
      <c r="H2322" t="s">
        <v>36</v>
      </c>
      <c r="I2322">
        <v>4</v>
      </c>
    </row>
    <row r="2323" spans="1:9" ht="21.75" customHeight="1">
      <c r="A2323" t="s">
        <v>2473</v>
      </c>
      <c r="B2323" s="3">
        <v>45378</v>
      </c>
      <c r="C2323" t="s">
        <v>58</v>
      </c>
      <c r="D2323" t="s">
        <v>48</v>
      </c>
      <c r="E2323" t="s">
        <v>11</v>
      </c>
      <c r="F2323" t="str">
        <f t="shared" si="36"/>
        <v>East</v>
      </c>
      <c r="G2323" t="s">
        <v>42</v>
      </c>
      <c r="H2323" t="s">
        <v>28</v>
      </c>
      <c r="I2323">
        <v>20</v>
      </c>
    </row>
    <row r="2324" spans="1:9" ht="21.75" customHeight="1">
      <c r="A2324" t="s">
        <v>2474</v>
      </c>
      <c r="B2324" s="3">
        <v>45498</v>
      </c>
      <c r="C2324" t="s">
        <v>114</v>
      </c>
      <c r="D2324" t="s">
        <v>197</v>
      </c>
      <c r="E2324" t="s">
        <v>17</v>
      </c>
      <c r="F2324" t="str">
        <f t="shared" si="36"/>
        <v>West</v>
      </c>
      <c r="G2324" t="s">
        <v>27</v>
      </c>
      <c r="H2324" t="s">
        <v>32</v>
      </c>
      <c r="I2324">
        <v>19</v>
      </c>
    </row>
    <row r="2325" spans="1:9" ht="21.75" customHeight="1">
      <c r="A2325" t="s">
        <v>2475</v>
      </c>
      <c r="B2325" s="3">
        <v>45621</v>
      </c>
      <c r="C2325" t="s">
        <v>341</v>
      </c>
      <c r="D2325" t="s">
        <v>48</v>
      </c>
      <c r="E2325" t="s">
        <v>17</v>
      </c>
      <c r="F2325" t="str">
        <f t="shared" si="36"/>
        <v>Central</v>
      </c>
      <c r="G2325" t="s">
        <v>306</v>
      </c>
      <c r="H2325" t="s">
        <v>23</v>
      </c>
      <c r="I2325">
        <v>16</v>
      </c>
    </row>
    <row r="2326" spans="1:9" ht="21.75" customHeight="1">
      <c r="A2326" t="s">
        <v>2476</v>
      </c>
      <c r="B2326" s="3">
        <v>45367</v>
      </c>
      <c r="C2326" t="s">
        <v>337</v>
      </c>
      <c r="D2326" t="s">
        <v>70</v>
      </c>
      <c r="E2326" t="s">
        <v>11</v>
      </c>
      <c r="F2326" t="str">
        <f t="shared" si="36"/>
        <v>North</v>
      </c>
      <c r="G2326" t="s">
        <v>12</v>
      </c>
      <c r="H2326" t="s">
        <v>32</v>
      </c>
      <c r="I2326">
        <v>16</v>
      </c>
    </row>
    <row r="2327" spans="1:9" ht="21.75" customHeight="1">
      <c r="A2327" t="s">
        <v>2477</v>
      </c>
      <c r="B2327" s="3">
        <v>45613</v>
      </c>
      <c r="C2327" t="s">
        <v>99</v>
      </c>
      <c r="D2327" t="s">
        <v>96</v>
      </c>
      <c r="E2327" t="s">
        <v>11</v>
      </c>
      <c r="F2327" t="str">
        <f t="shared" si="36"/>
        <v>North</v>
      </c>
      <c r="G2327" t="s">
        <v>12</v>
      </c>
      <c r="H2327" t="s">
        <v>13</v>
      </c>
      <c r="I2327">
        <v>16</v>
      </c>
    </row>
    <row r="2328" spans="1:9" ht="21.75" customHeight="1">
      <c r="A2328" t="s">
        <v>2478</v>
      </c>
      <c r="B2328" s="3">
        <v>45383</v>
      </c>
      <c r="C2328" t="s">
        <v>159</v>
      </c>
      <c r="D2328" t="s">
        <v>109</v>
      </c>
      <c r="E2328" t="s">
        <v>22</v>
      </c>
      <c r="F2328" t="str">
        <f t="shared" si="36"/>
        <v>East</v>
      </c>
      <c r="G2328" t="s">
        <v>42</v>
      </c>
      <c r="H2328" t="s">
        <v>28</v>
      </c>
      <c r="I2328">
        <v>10</v>
      </c>
    </row>
    <row r="2329" spans="1:9" ht="21.75" customHeight="1">
      <c r="A2329" t="s">
        <v>2479</v>
      </c>
      <c r="B2329" s="3">
        <v>45341</v>
      </c>
      <c r="C2329" t="s">
        <v>332</v>
      </c>
      <c r="D2329" t="s">
        <v>10</v>
      </c>
      <c r="E2329" t="s">
        <v>22</v>
      </c>
      <c r="F2329" t="str">
        <f t="shared" si="36"/>
        <v>Central</v>
      </c>
      <c r="G2329" t="s">
        <v>306</v>
      </c>
      <c r="H2329" t="s">
        <v>23</v>
      </c>
      <c r="I2329">
        <v>15</v>
      </c>
    </row>
    <row r="2330" spans="1:9" ht="21.75" customHeight="1">
      <c r="A2330" t="s">
        <v>2480</v>
      </c>
      <c r="B2330" s="3">
        <v>45630</v>
      </c>
      <c r="C2330" t="s">
        <v>432</v>
      </c>
      <c r="D2330" t="s">
        <v>35</v>
      </c>
      <c r="E2330" t="s">
        <v>22</v>
      </c>
      <c r="F2330" t="str">
        <f t="shared" si="36"/>
        <v>East</v>
      </c>
      <c r="G2330" t="s">
        <v>42</v>
      </c>
      <c r="H2330" t="s">
        <v>36</v>
      </c>
      <c r="I2330">
        <v>11</v>
      </c>
    </row>
    <row r="2331" spans="1:9" ht="21.75" customHeight="1">
      <c r="A2331" t="s">
        <v>2481</v>
      </c>
      <c r="B2331" s="3">
        <v>45568</v>
      </c>
      <c r="C2331" t="s">
        <v>591</v>
      </c>
      <c r="D2331" t="s">
        <v>96</v>
      </c>
      <c r="E2331" t="s">
        <v>11</v>
      </c>
      <c r="F2331" t="str">
        <f t="shared" si="36"/>
        <v>West</v>
      </c>
      <c r="G2331" t="s">
        <v>27</v>
      </c>
      <c r="H2331" t="s">
        <v>13</v>
      </c>
      <c r="I2331">
        <v>13</v>
      </c>
    </row>
    <row r="2332" spans="1:9" ht="21.75" customHeight="1">
      <c r="A2332" t="s">
        <v>2482</v>
      </c>
      <c r="B2332" s="3">
        <v>45484</v>
      </c>
      <c r="C2332" t="s">
        <v>396</v>
      </c>
      <c r="D2332" t="s">
        <v>70</v>
      </c>
      <c r="E2332" t="s">
        <v>11</v>
      </c>
      <c r="F2332" t="str">
        <f t="shared" si="36"/>
        <v>North</v>
      </c>
      <c r="G2332" t="s">
        <v>12</v>
      </c>
      <c r="H2332" t="s">
        <v>28</v>
      </c>
      <c r="I2332">
        <v>18</v>
      </c>
    </row>
    <row r="2333" spans="1:9" ht="21.75" customHeight="1">
      <c r="A2333" t="s">
        <v>2483</v>
      </c>
      <c r="B2333" s="3">
        <v>45447</v>
      </c>
      <c r="C2333" t="s">
        <v>369</v>
      </c>
      <c r="D2333" t="s">
        <v>45</v>
      </c>
      <c r="E2333" t="s">
        <v>17</v>
      </c>
      <c r="F2333" t="str">
        <f t="shared" si="36"/>
        <v>West</v>
      </c>
      <c r="G2333" t="s">
        <v>27</v>
      </c>
      <c r="H2333" t="s">
        <v>28</v>
      </c>
      <c r="I2333">
        <v>10</v>
      </c>
    </row>
    <row r="2334" spans="1:9" ht="21.75" customHeight="1">
      <c r="A2334" t="s">
        <v>2484</v>
      </c>
      <c r="B2334" s="3">
        <v>45541</v>
      </c>
      <c r="C2334" t="s">
        <v>332</v>
      </c>
      <c r="D2334" t="s">
        <v>102</v>
      </c>
      <c r="E2334" t="s">
        <v>22</v>
      </c>
      <c r="F2334" t="str">
        <f t="shared" si="36"/>
        <v>West</v>
      </c>
      <c r="G2334" t="s">
        <v>27</v>
      </c>
      <c r="H2334" t="s">
        <v>36</v>
      </c>
      <c r="I2334">
        <v>18</v>
      </c>
    </row>
    <row r="2335" spans="1:9" ht="21.75" customHeight="1">
      <c r="A2335" t="s">
        <v>2485</v>
      </c>
      <c r="B2335" s="3">
        <v>45535</v>
      </c>
      <c r="C2335" t="s">
        <v>642</v>
      </c>
      <c r="D2335" t="s">
        <v>45</v>
      </c>
      <c r="E2335" t="s">
        <v>22</v>
      </c>
      <c r="F2335" t="str">
        <f t="shared" si="36"/>
        <v>North</v>
      </c>
      <c r="G2335" t="s">
        <v>12</v>
      </c>
      <c r="H2335" t="s">
        <v>23</v>
      </c>
      <c r="I2335">
        <v>9</v>
      </c>
    </row>
    <row r="2336" spans="1:9" ht="21.75" customHeight="1">
      <c r="A2336" t="s">
        <v>2486</v>
      </c>
      <c r="B2336" s="3">
        <v>45485</v>
      </c>
      <c r="C2336" t="s">
        <v>594</v>
      </c>
      <c r="D2336" t="s">
        <v>41</v>
      </c>
      <c r="E2336" t="s">
        <v>17</v>
      </c>
      <c r="F2336" t="str">
        <f t="shared" si="36"/>
        <v>East</v>
      </c>
      <c r="G2336" t="s">
        <v>42</v>
      </c>
      <c r="H2336" t="s">
        <v>32</v>
      </c>
      <c r="I2336">
        <v>2</v>
      </c>
    </row>
    <row r="2337" spans="1:9" ht="21.75" customHeight="1">
      <c r="A2337" t="s">
        <v>2487</v>
      </c>
      <c r="B2337" s="3">
        <v>45315</v>
      </c>
      <c r="C2337" t="s">
        <v>34</v>
      </c>
      <c r="D2337" t="s">
        <v>48</v>
      </c>
      <c r="E2337" t="s">
        <v>17</v>
      </c>
      <c r="F2337" t="str">
        <f t="shared" si="36"/>
        <v>Central</v>
      </c>
      <c r="G2337" t="s">
        <v>306</v>
      </c>
      <c r="H2337" t="s">
        <v>13</v>
      </c>
      <c r="I2337">
        <v>11</v>
      </c>
    </row>
    <row r="2338" spans="1:9" ht="21.75" customHeight="1">
      <c r="A2338" t="s">
        <v>2488</v>
      </c>
      <c r="B2338" s="3">
        <v>45511</v>
      </c>
      <c r="C2338" t="s">
        <v>20</v>
      </c>
      <c r="D2338" t="s">
        <v>48</v>
      </c>
      <c r="E2338" t="s">
        <v>17</v>
      </c>
      <c r="F2338" t="str">
        <f t="shared" si="36"/>
        <v>East</v>
      </c>
      <c r="G2338" t="s">
        <v>42</v>
      </c>
      <c r="H2338" t="s">
        <v>13</v>
      </c>
      <c r="I2338">
        <v>8</v>
      </c>
    </row>
    <row r="2339" spans="1:9" ht="21.75" customHeight="1">
      <c r="A2339" t="s">
        <v>2489</v>
      </c>
      <c r="B2339" s="3">
        <v>45623</v>
      </c>
      <c r="C2339" t="s">
        <v>147</v>
      </c>
      <c r="D2339" t="s">
        <v>59</v>
      </c>
      <c r="E2339" t="s">
        <v>11</v>
      </c>
      <c r="F2339" t="str">
        <f t="shared" si="36"/>
        <v>North</v>
      </c>
      <c r="G2339" t="s">
        <v>12</v>
      </c>
      <c r="H2339" t="s">
        <v>32</v>
      </c>
      <c r="I2339">
        <v>4</v>
      </c>
    </row>
    <row r="2340" spans="1:9" ht="21.75" customHeight="1">
      <c r="A2340" t="s">
        <v>2490</v>
      </c>
      <c r="B2340" s="3">
        <v>45302</v>
      </c>
      <c r="C2340" t="s">
        <v>312</v>
      </c>
      <c r="D2340" t="s">
        <v>72</v>
      </c>
      <c r="E2340" t="s">
        <v>11</v>
      </c>
      <c r="F2340" t="str">
        <f t="shared" si="36"/>
        <v>West</v>
      </c>
      <c r="G2340" t="s">
        <v>27</v>
      </c>
      <c r="H2340" t="s">
        <v>23</v>
      </c>
      <c r="I2340">
        <v>19</v>
      </c>
    </row>
    <row r="2341" spans="1:9" ht="21.75" customHeight="1">
      <c r="A2341" t="s">
        <v>2491</v>
      </c>
      <c r="B2341" s="3">
        <v>45507</v>
      </c>
      <c r="C2341" t="s">
        <v>101</v>
      </c>
      <c r="D2341" t="s">
        <v>96</v>
      </c>
      <c r="E2341" t="s">
        <v>22</v>
      </c>
      <c r="F2341" t="str">
        <f t="shared" si="36"/>
        <v>West</v>
      </c>
      <c r="G2341" t="s">
        <v>27</v>
      </c>
      <c r="H2341" t="s">
        <v>36</v>
      </c>
      <c r="I2341">
        <v>1</v>
      </c>
    </row>
    <row r="2342" spans="1:9" ht="21.75" customHeight="1">
      <c r="A2342" t="s">
        <v>2492</v>
      </c>
      <c r="B2342" s="3">
        <v>45485</v>
      </c>
      <c r="C2342" t="s">
        <v>314</v>
      </c>
      <c r="D2342" t="s">
        <v>31</v>
      </c>
      <c r="E2342" t="s">
        <v>17</v>
      </c>
      <c r="F2342" t="str">
        <f t="shared" si="36"/>
        <v>Central</v>
      </c>
      <c r="G2342" t="s">
        <v>306</v>
      </c>
      <c r="H2342" t="s">
        <v>13</v>
      </c>
      <c r="I2342">
        <v>16</v>
      </c>
    </row>
    <row r="2343" spans="1:9" ht="21.75" customHeight="1">
      <c r="A2343" t="s">
        <v>2493</v>
      </c>
      <c r="B2343" s="3">
        <v>45637</v>
      </c>
      <c r="C2343" t="s">
        <v>95</v>
      </c>
      <c r="D2343" t="s">
        <v>72</v>
      </c>
      <c r="E2343" t="s">
        <v>17</v>
      </c>
      <c r="F2343" t="str">
        <f t="shared" si="36"/>
        <v>Central</v>
      </c>
      <c r="G2343" t="s">
        <v>306</v>
      </c>
      <c r="H2343" t="s">
        <v>32</v>
      </c>
      <c r="I2343">
        <v>6</v>
      </c>
    </row>
    <row r="2344" spans="1:9" ht="21.75" customHeight="1">
      <c r="A2344" t="s">
        <v>2494</v>
      </c>
      <c r="B2344" s="3">
        <v>45478</v>
      </c>
      <c r="C2344" t="s">
        <v>348</v>
      </c>
      <c r="D2344" t="s">
        <v>65</v>
      </c>
      <c r="E2344" t="s">
        <v>17</v>
      </c>
      <c r="F2344" t="str">
        <f t="shared" si="36"/>
        <v>North</v>
      </c>
      <c r="G2344" t="s">
        <v>12</v>
      </c>
      <c r="H2344" t="s">
        <v>36</v>
      </c>
      <c r="I2344">
        <v>7</v>
      </c>
    </row>
    <row r="2345" spans="1:9" ht="21.75" customHeight="1">
      <c r="A2345" t="s">
        <v>2495</v>
      </c>
      <c r="B2345" s="3">
        <v>45316</v>
      </c>
      <c r="C2345" t="s">
        <v>68</v>
      </c>
      <c r="D2345" t="s">
        <v>59</v>
      </c>
      <c r="E2345" t="s">
        <v>17</v>
      </c>
      <c r="F2345" t="str">
        <f t="shared" si="36"/>
        <v>South</v>
      </c>
      <c r="G2345" t="s">
        <v>56</v>
      </c>
      <c r="H2345" t="s">
        <v>36</v>
      </c>
      <c r="I2345">
        <v>3</v>
      </c>
    </row>
    <row r="2346" spans="1:9" ht="21.75" customHeight="1">
      <c r="A2346" t="s">
        <v>2496</v>
      </c>
      <c r="B2346" s="3">
        <v>45588</v>
      </c>
      <c r="C2346" t="s">
        <v>108</v>
      </c>
      <c r="D2346" t="s">
        <v>59</v>
      </c>
      <c r="E2346" t="s">
        <v>17</v>
      </c>
      <c r="F2346" t="str">
        <f t="shared" si="36"/>
        <v>East</v>
      </c>
      <c r="G2346" t="s">
        <v>42</v>
      </c>
      <c r="H2346" t="s">
        <v>13</v>
      </c>
      <c r="I2346">
        <v>19</v>
      </c>
    </row>
    <row r="2347" spans="1:9" ht="21.75" customHeight="1">
      <c r="A2347" t="s">
        <v>2497</v>
      </c>
      <c r="B2347" s="3">
        <v>45535</v>
      </c>
      <c r="C2347" t="s">
        <v>309</v>
      </c>
      <c r="D2347" t="s">
        <v>65</v>
      </c>
      <c r="E2347" t="s">
        <v>17</v>
      </c>
      <c r="F2347" t="str">
        <f t="shared" si="36"/>
        <v>North</v>
      </c>
      <c r="G2347" t="s">
        <v>12</v>
      </c>
      <c r="H2347" t="s">
        <v>32</v>
      </c>
      <c r="I2347">
        <v>17</v>
      </c>
    </row>
    <row r="2348" spans="1:9" ht="21.75" customHeight="1">
      <c r="A2348" t="s">
        <v>2498</v>
      </c>
      <c r="B2348" s="3">
        <v>45513</v>
      </c>
      <c r="C2348" t="s">
        <v>371</v>
      </c>
      <c r="D2348" t="s">
        <v>174</v>
      </c>
      <c r="E2348" t="s">
        <v>17</v>
      </c>
      <c r="F2348" t="str">
        <f t="shared" si="36"/>
        <v>South</v>
      </c>
      <c r="G2348" t="s">
        <v>56</v>
      </c>
      <c r="H2348" t="s">
        <v>23</v>
      </c>
      <c r="I2348">
        <v>13</v>
      </c>
    </row>
    <row r="2349" spans="1:9" ht="21.75" customHeight="1">
      <c r="A2349" t="s">
        <v>2499</v>
      </c>
      <c r="B2349" s="3">
        <v>45555</v>
      </c>
      <c r="C2349" t="s">
        <v>366</v>
      </c>
      <c r="D2349" t="s">
        <v>41</v>
      </c>
      <c r="E2349" t="s">
        <v>22</v>
      </c>
      <c r="F2349" t="str">
        <f t="shared" si="36"/>
        <v>South</v>
      </c>
      <c r="G2349" t="s">
        <v>56</v>
      </c>
      <c r="H2349" t="s">
        <v>13</v>
      </c>
      <c r="I2349">
        <v>17</v>
      </c>
    </row>
    <row r="2350" spans="1:9" ht="21.75" customHeight="1">
      <c r="A2350" t="s">
        <v>2500</v>
      </c>
      <c r="B2350" s="3">
        <v>45587</v>
      </c>
      <c r="C2350" t="s">
        <v>432</v>
      </c>
      <c r="D2350" t="s">
        <v>65</v>
      </c>
      <c r="E2350" t="s">
        <v>22</v>
      </c>
      <c r="F2350" t="str">
        <f t="shared" si="36"/>
        <v>West</v>
      </c>
      <c r="G2350" t="s">
        <v>27</v>
      </c>
      <c r="H2350" t="s">
        <v>32</v>
      </c>
      <c r="I2350">
        <v>18</v>
      </c>
    </row>
    <row r="2351" spans="1:9" ht="21.75" customHeight="1">
      <c r="A2351" t="s">
        <v>2501</v>
      </c>
      <c r="B2351" s="3">
        <v>45514</v>
      </c>
      <c r="C2351" t="s">
        <v>614</v>
      </c>
      <c r="D2351" t="s">
        <v>84</v>
      </c>
      <c r="E2351" t="s">
        <v>22</v>
      </c>
      <c r="F2351" t="str">
        <f t="shared" si="36"/>
        <v>North</v>
      </c>
      <c r="G2351" t="s">
        <v>12</v>
      </c>
      <c r="H2351" t="s">
        <v>36</v>
      </c>
      <c r="I2351">
        <v>7</v>
      </c>
    </row>
    <row r="2352" spans="1:9" ht="21.75" customHeight="1">
      <c r="A2352" t="s">
        <v>2502</v>
      </c>
      <c r="B2352" s="3">
        <v>45367</v>
      </c>
      <c r="C2352" t="s">
        <v>93</v>
      </c>
      <c r="D2352" t="s">
        <v>16</v>
      </c>
      <c r="E2352" t="s">
        <v>22</v>
      </c>
      <c r="F2352" t="str">
        <f t="shared" si="36"/>
        <v>East</v>
      </c>
      <c r="G2352" t="s">
        <v>42</v>
      </c>
      <c r="H2352" t="s">
        <v>23</v>
      </c>
      <c r="I2352">
        <v>14</v>
      </c>
    </row>
    <row r="2353" spans="1:9" ht="21.75" customHeight="1">
      <c r="A2353" t="s">
        <v>2503</v>
      </c>
      <c r="B2353" s="3">
        <v>45324</v>
      </c>
      <c r="C2353" t="s">
        <v>541</v>
      </c>
      <c r="D2353" t="s">
        <v>65</v>
      </c>
      <c r="E2353" t="s">
        <v>17</v>
      </c>
      <c r="F2353" t="str">
        <f t="shared" si="36"/>
        <v>East</v>
      </c>
      <c r="G2353" t="s">
        <v>42</v>
      </c>
      <c r="H2353" t="s">
        <v>32</v>
      </c>
      <c r="I2353">
        <v>6</v>
      </c>
    </row>
    <row r="2354" spans="1:9" ht="21.75" customHeight="1">
      <c r="A2354" t="s">
        <v>2504</v>
      </c>
      <c r="B2354" s="3">
        <v>45599</v>
      </c>
      <c r="C2354" t="s">
        <v>93</v>
      </c>
      <c r="D2354" t="s">
        <v>31</v>
      </c>
      <c r="E2354" t="s">
        <v>11</v>
      </c>
      <c r="F2354" t="str">
        <f t="shared" si="36"/>
        <v>North</v>
      </c>
      <c r="G2354" t="s">
        <v>12</v>
      </c>
      <c r="H2354" t="s">
        <v>28</v>
      </c>
      <c r="I2354">
        <v>7</v>
      </c>
    </row>
    <row r="2355" spans="1:9" ht="21.75" customHeight="1">
      <c r="A2355" t="s">
        <v>2505</v>
      </c>
      <c r="B2355" s="3">
        <v>45450</v>
      </c>
      <c r="C2355" t="s">
        <v>319</v>
      </c>
      <c r="D2355" t="s">
        <v>35</v>
      </c>
      <c r="E2355" t="s">
        <v>22</v>
      </c>
      <c r="F2355" t="str">
        <f t="shared" si="36"/>
        <v>West</v>
      </c>
      <c r="G2355" t="s">
        <v>27</v>
      </c>
      <c r="H2355" t="s">
        <v>23</v>
      </c>
      <c r="I2355">
        <v>2</v>
      </c>
    </row>
    <row r="2356" spans="1:9" ht="21.75" customHeight="1">
      <c r="A2356" t="s">
        <v>2506</v>
      </c>
      <c r="B2356" s="3">
        <v>45431</v>
      </c>
      <c r="C2356" t="s">
        <v>99</v>
      </c>
      <c r="D2356" t="s">
        <v>96</v>
      </c>
      <c r="E2356" t="s">
        <v>17</v>
      </c>
      <c r="F2356" t="str">
        <f t="shared" si="36"/>
        <v>East</v>
      </c>
      <c r="G2356" t="s">
        <v>42</v>
      </c>
      <c r="H2356" t="s">
        <v>36</v>
      </c>
      <c r="I2356">
        <v>6</v>
      </c>
    </row>
    <row r="2357" spans="1:9" ht="21.75" customHeight="1">
      <c r="A2357" t="s">
        <v>2507</v>
      </c>
      <c r="B2357" s="3">
        <v>45313</v>
      </c>
      <c r="C2357" t="s">
        <v>329</v>
      </c>
      <c r="D2357" t="s">
        <v>35</v>
      </c>
      <c r="E2357" t="s">
        <v>11</v>
      </c>
      <c r="F2357" t="str">
        <f t="shared" si="36"/>
        <v>North</v>
      </c>
      <c r="G2357" t="s">
        <v>12</v>
      </c>
      <c r="H2357" t="s">
        <v>13</v>
      </c>
      <c r="I2357">
        <v>11</v>
      </c>
    </row>
    <row r="2358" spans="1:9" ht="21.75" customHeight="1">
      <c r="A2358" t="s">
        <v>2508</v>
      </c>
      <c r="B2358" s="3">
        <v>45324</v>
      </c>
      <c r="C2358" t="s">
        <v>408</v>
      </c>
      <c r="D2358" t="s">
        <v>48</v>
      </c>
      <c r="E2358" t="s">
        <v>22</v>
      </c>
      <c r="F2358" t="str">
        <f t="shared" si="36"/>
        <v>North</v>
      </c>
      <c r="G2358" t="s">
        <v>12</v>
      </c>
      <c r="H2358" t="s">
        <v>23</v>
      </c>
      <c r="I2358">
        <v>5</v>
      </c>
    </row>
    <row r="2359" spans="1:9" ht="21.75" customHeight="1">
      <c r="A2359" t="s">
        <v>2509</v>
      </c>
      <c r="B2359" s="3">
        <v>45584</v>
      </c>
      <c r="C2359" t="s">
        <v>304</v>
      </c>
      <c r="D2359" t="s">
        <v>160</v>
      </c>
      <c r="E2359" t="s">
        <v>11</v>
      </c>
      <c r="F2359" t="str">
        <f t="shared" si="36"/>
        <v>Central</v>
      </c>
      <c r="G2359" t="s">
        <v>306</v>
      </c>
      <c r="H2359" t="s">
        <v>36</v>
      </c>
      <c r="I2359">
        <v>17</v>
      </c>
    </row>
    <row r="2360" spans="1:9" ht="21.75" customHeight="1">
      <c r="A2360" t="s">
        <v>2510</v>
      </c>
      <c r="B2360" s="3">
        <v>45338</v>
      </c>
      <c r="C2360" t="s">
        <v>93</v>
      </c>
      <c r="D2360" t="s">
        <v>109</v>
      </c>
      <c r="E2360" t="s">
        <v>11</v>
      </c>
      <c r="F2360" t="str">
        <f t="shared" si="36"/>
        <v>East</v>
      </c>
      <c r="G2360" t="s">
        <v>42</v>
      </c>
      <c r="H2360" t="s">
        <v>32</v>
      </c>
      <c r="I2360">
        <v>19</v>
      </c>
    </row>
    <row r="2361" spans="1:9" ht="21.75" customHeight="1">
      <c r="A2361" t="s">
        <v>2511</v>
      </c>
      <c r="B2361" s="3">
        <v>45412</v>
      </c>
      <c r="C2361" t="s">
        <v>309</v>
      </c>
      <c r="D2361" t="s">
        <v>65</v>
      </c>
      <c r="E2361" t="s">
        <v>11</v>
      </c>
      <c r="F2361" t="str">
        <f t="shared" si="36"/>
        <v>North</v>
      </c>
      <c r="G2361" t="s">
        <v>12</v>
      </c>
      <c r="H2361" t="s">
        <v>28</v>
      </c>
      <c r="I2361">
        <v>7</v>
      </c>
    </row>
    <row r="2362" spans="1:9" ht="21.75" customHeight="1">
      <c r="A2362" t="s">
        <v>2512</v>
      </c>
      <c r="B2362" s="3">
        <v>45517</v>
      </c>
      <c r="C2362" t="s">
        <v>408</v>
      </c>
      <c r="D2362" t="s">
        <v>26</v>
      </c>
      <c r="E2362" t="s">
        <v>22</v>
      </c>
      <c r="F2362" t="str">
        <f t="shared" si="36"/>
        <v>North</v>
      </c>
      <c r="G2362" t="s">
        <v>12</v>
      </c>
      <c r="H2362" t="s">
        <v>23</v>
      </c>
      <c r="I2362">
        <v>18</v>
      </c>
    </row>
    <row r="2363" spans="1:9" ht="21.75" customHeight="1">
      <c r="A2363" t="s">
        <v>2513</v>
      </c>
      <c r="B2363" s="3">
        <v>45349</v>
      </c>
      <c r="C2363" t="s">
        <v>38</v>
      </c>
      <c r="D2363" t="s">
        <v>174</v>
      </c>
      <c r="E2363" t="s">
        <v>17</v>
      </c>
      <c r="F2363" t="str">
        <f t="shared" si="36"/>
        <v>West</v>
      </c>
      <c r="G2363" t="s">
        <v>27</v>
      </c>
      <c r="H2363" t="s">
        <v>28</v>
      </c>
      <c r="I2363">
        <v>9</v>
      </c>
    </row>
    <row r="2364" spans="1:9" ht="21.75" customHeight="1">
      <c r="A2364" t="s">
        <v>2514</v>
      </c>
      <c r="B2364" s="3">
        <v>45366</v>
      </c>
      <c r="C2364" t="s">
        <v>83</v>
      </c>
      <c r="D2364" t="s">
        <v>35</v>
      </c>
      <c r="E2364" t="s">
        <v>22</v>
      </c>
      <c r="F2364" t="str">
        <f t="shared" si="36"/>
        <v>East</v>
      </c>
      <c r="G2364" t="s">
        <v>42</v>
      </c>
      <c r="H2364" t="s">
        <v>32</v>
      </c>
      <c r="I2364">
        <v>1</v>
      </c>
    </row>
    <row r="2365" spans="1:9" ht="21.75" customHeight="1">
      <c r="A2365" t="s">
        <v>2515</v>
      </c>
      <c r="B2365" s="3">
        <v>45602</v>
      </c>
      <c r="C2365" t="s">
        <v>122</v>
      </c>
      <c r="D2365" t="s">
        <v>84</v>
      </c>
      <c r="E2365" t="s">
        <v>22</v>
      </c>
      <c r="F2365" t="str">
        <f t="shared" si="36"/>
        <v>North</v>
      </c>
      <c r="G2365" t="s">
        <v>12</v>
      </c>
      <c r="H2365" t="s">
        <v>28</v>
      </c>
      <c r="I2365">
        <v>9</v>
      </c>
    </row>
    <row r="2366" spans="1:9" ht="21.75" customHeight="1">
      <c r="A2366" t="s">
        <v>2516</v>
      </c>
      <c r="B2366" s="3">
        <v>45450</v>
      </c>
      <c r="C2366" t="s">
        <v>541</v>
      </c>
      <c r="D2366" t="s">
        <v>62</v>
      </c>
      <c r="E2366" t="s">
        <v>17</v>
      </c>
      <c r="F2366" t="str">
        <f t="shared" si="36"/>
        <v>North</v>
      </c>
      <c r="G2366" t="s">
        <v>12</v>
      </c>
      <c r="H2366" t="s">
        <v>36</v>
      </c>
      <c r="I2366">
        <v>8</v>
      </c>
    </row>
    <row r="2367" spans="1:9" ht="21.75" customHeight="1">
      <c r="A2367" t="s">
        <v>2517</v>
      </c>
      <c r="B2367" s="3">
        <v>45490</v>
      </c>
      <c r="C2367" t="s">
        <v>142</v>
      </c>
      <c r="D2367" t="s">
        <v>31</v>
      </c>
      <c r="E2367" t="s">
        <v>17</v>
      </c>
      <c r="F2367" t="str">
        <f t="shared" si="36"/>
        <v>East</v>
      </c>
      <c r="G2367" t="s">
        <v>42</v>
      </c>
      <c r="H2367" t="s">
        <v>13</v>
      </c>
      <c r="I2367">
        <v>8</v>
      </c>
    </row>
    <row r="2368" spans="1:9" ht="21.75" customHeight="1">
      <c r="A2368" t="s">
        <v>2518</v>
      </c>
      <c r="B2368" s="3">
        <v>45374</v>
      </c>
      <c r="C2368" t="s">
        <v>396</v>
      </c>
      <c r="D2368" t="s">
        <v>21</v>
      </c>
      <c r="E2368" t="s">
        <v>17</v>
      </c>
      <c r="F2368" t="str">
        <f t="shared" si="36"/>
        <v>West</v>
      </c>
      <c r="G2368" t="s">
        <v>27</v>
      </c>
      <c r="H2368" t="s">
        <v>13</v>
      </c>
      <c r="I2368">
        <v>9</v>
      </c>
    </row>
    <row r="2369" spans="1:9" ht="21.75" customHeight="1">
      <c r="A2369" t="s">
        <v>2519</v>
      </c>
      <c r="B2369" s="3">
        <v>45543</v>
      </c>
      <c r="C2369" t="s">
        <v>553</v>
      </c>
      <c r="D2369" t="s">
        <v>84</v>
      </c>
      <c r="E2369" t="s">
        <v>17</v>
      </c>
      <c r="F2369" t="str">
        <f t="shared" si="36"/>
        <v>East</v>
      </c>
      <c r="G2369" t="s">
        <v>42</v>
      </c>
      <c r="H2369" t="s">
        <v>23</v>
      </c>
      <c r="I2369">
        <v>4</v>
      </c>
    </row>
    <row r="2370" spans="1:9" ht="21.75" customHeight="1">
      <c r="A2370" t="s">
        <v>2520</v>
      </c>
      <c r="B2370" s="3">
        <v>45649</v>
      </c>
      <c r="C2370" t="s">
        <v>86</v>
      </c>
      <c r="D2370" t="s">
        <v>160</v>
      </c>
      <c r="E2370" t="s">
        <v>11</v>
      </c>
      <c r="F2370" t="str">
        <f t="shared" si="36"/>
        <v>East</v>
      </c>
      <c r="G2370" t="s">
        <v>42</v>
      </c>
      <c r="H2370" t="s">
        <v>23</v>
      </c>
      <c r="I2370">
        <v>20</v>
      </c>
    </row>
    <row r="2371" spans="1:9" ht="21.75" customHeight="1">
      <c r="A2371" t="s">
        <v>2521</v>
      </c>
      <c r="B2371" s="3">
        <v>45572</v>
      </c>
      <c r="C2371" t="s">
        <v>304</v>
      </c>
      <c r="D2371" t="s">
        <v>72</v>
      </c>
      <c r="E2371" t="s">
        <v>17</v>
      </c>
      <c r="F2371" t="str">
        <f t="shared" ref="F2371:F2434" si="37">TRIM(PROPER(G2371))</f>
        <v>North</v>
      </c>
      <c r="G2371" t="s">
        <v>12</v>
      </c>
      <c r="H2371" t="s">
        <v>13</v>
      </c>
      <c r="I2371">
        <v>6</v>
      </c>
    </row>
    <row r="2372" spans="1:9" ht="21.75" customHeight="1">
      <c r="A2372" t="s">
        <v>2522</v>
      </c>
      <c r="B2372" s="3">
        <v>45620</v>
      </c>
      <c r="C2372" t="s">
        <v>99</v>
      </c>
      <c r="D2372" t="s">
        <v>96</v>
      </c>
      <c r="E2372" t="s">
        <v>17</v>
      </c>
      <c r="F2372" t="str">
        <f t="shared" si="37"/>
        <v>South</v>
      </c>
      <c r="G2372" t="s">
        <v>56</v>
      </c>
      <c r="H2372" t="s">
        <v>32</v>
      </c>
      <c r="I2372">
        <v>11</v>
      </c>
    </row>
    <row r="2373" spans="1:9" ht="21.75" customHeight="1">
      <c r="A2373" t="s">
        <v>2523</v>
      </c>
      <c r="B2373" s="3">
        <v>45348</v>
      </c>
      <c r="C2373" t="s">
        <v>111</v>
      </c>
      <c r="D2373" t="s">
        <v>197</v>
      </c>
      <c r="E2373" t="s">
        <v>22</v>
      </c>
      <c r="F2373" t="str">
        <f t="shared" si="37"/>
        <v>South</v>
      </c>
      <c r="G2373" t="s">
        <v>56</v>
      </c>
      <c r="H2373" t="s">
        <v>36</v>
      </c>
      <c r="I2373">
        <v>14</v>
      </c>
    </row>
    <row r="2374" spans="1:9" ht="21.75" customHeight="1">
      <c r="A2374" t="s">
        <v>2524</v>
      </c>
      <c r="B2374" s="3">
        <v>45455</v>
      </c>
      <c r="C2374" t="s">
        <v>430</v>
      </c>
      <c r="D2374" t="s">
        <v>35</v>
      </c>
      <c r="E2374" t="s">
        <v>22</v>
      </c>
      <c r="F2374" t="str">
        <f t="shared" si="37"/>
        <v>South</v>
      </c>
      <c r="G2374" t="s">
        <v>56</v>
      </c>
      <c r="H2374" t="s">
        <v>32</v>
      </c>
      <c r="I2374">
        <v>6</v>
      </c>
    </row>
    <row r="2375" spans="1:9" ht="21.75" customHeight="1">
      <c r="A2375" t="s">
        <v>2525</v>
      </c>
      <c r="B2375" s="3">
        <v>45459</v>
      </c>
      <c r="C2375" t="s">
        <v>55</v>
      </c>
      <c r="D2375" t="s">
        <v>65</v>
      </c>
      <c r="E2375" t="s">
        <v>11</v>
      </c>
      <c r="F2375" t="str">
        <f t="shared" si="37"/>
        <v>West</v>
      </c>
      <c r="G2375" t="s">
        <v>27</v>
      </c>
      <c r="H2375" t="s">
        <v>32</v>
      </c>
      <c r="I2375">
        <v>6</v>
      </c>
    </row>
    <row r="2376" spans="1:9" ht="21.75" customHeight="1">
      <c r="A2376" t="s">
        <v>2526</v>
      </c>
      <c r="B2376" s="3">
        <v>45485</v>
      </c>
      <c r="C2376" t="s">
        <v>314</v>
      </c>
      <c r="D2376" t="s">
        <v>197</v>
      </c>
      <c r="E2376" t="s">
        <v>11</v>
      </c>
      <c r="F2376" t="str">
        <f t="shared" si="37"/>
        <v>North</v>
      </c>
      <c r="G2376" t="s">
        <v>12</v>
      </c>
      <c r="H2376" t="s">
        <v>36</v>
      </c>
      <c r="I2376">
        <v>20</v>
      </c>
    </row>
    <row r="2377" spans="1:9" ht="21.75" customHeight="1">
      <c r="A2377" t="s">
        <v>2527</v>
      </c>
      <c r="B2377" s="3">
        <v>45337</v>
      </c>
      <c r="C2377" t="s">
        <v>319</v>
      </c>
      <c r="D2377" t="s">
        <v>65</v>
      </c>
      <c r="E2377" t="s">
        <v>17</v>
      </c>
      <c r="F2377" t="str">
        <f t="shared" si="37"/>
        <v>South</v>
      </c>
      <c r="G2377" t="s">
        <v>56</v>
      </c>
      <c r="H2377" t="s">
        <v>13</v>
      </c>
      <c r="I2377">
        <v>13</v>
      </c>
    </row>
    <row r="2378" spans="1:9" ht="21.75" customHeight="1">
      <c r="A2378" t="s">
        <v>2528</v>
      </c>
      <c r="B2378" s="3">
        <v>45599</v>
      </c>
      <c r="C2378" t="s">
        <v>86</v>
      </c>
      <c r="D2378" t="s">
        <v>16</v>
      </c>
      <c r="E2378" t="s">
        <v>11</v>
      </c>
      <c r="F2378" t="str">
        <f t="shared" si="37"/>
        <v>East</v>
      </c>
      <c r="G2378" t="s">
        <v>42</v>
      </c>
      <c r="H2378" t="s">
        <v>28</v>
      </c>
      <c r="I2378">
        <v>19</v>
      </c>
    </row>
    <row r="2379" spans="1:9" ht="21.75" customHeight="1">
      <c r="A2379" t="s">
        <v>2529</v>
      </c>
      <c r="B2379" s="3">
        <v>45561</v>
      </c>
      <c r="C2379" t="s">
        <v>348</v>
      </c>
      <c r="D2379" t="s">
        <v>119</v>
      </c>
      <c r="E2379" t="s">
        <v>17</v>
      </c>
      <c r="F2379" t="str">
        <f t="shared" si="37"/>
        <v>West</v>
      </c>
      <c r="G2379" t="s">
        <v>27</v>
      </c>
      <c r="H2379" t="s">
        <v>13</v>
      </c>
      <c r="I2379">
        <v>8</v>
      </c>
    </row>
    <row r="2380" spans="1:9" ht="21.75" customHeight="1">
      <c r="A2380" t="s">
        <v>2530</v>
      </c>
      <c r="B2380" s="3">
        <v>45389</v>
      </c>
      <c r="C2380" t="s">
        <v>728</v>
      </c>
      <c r="D2380" t="s">
        <v>26</v>
      </c>
      <c r="E2380" t="s">
        <v>17</v>
      </c>
      <c r="F2380" t="str">
        <f t="shared" si="37"/>
        <v>West</v>
      </c>
      <c r="G2380" t="s">
        <v>27</v>
      </c>
      <c r="H2380" t="s">
        <v>23</v>
      </c>
      <c r="I2380">
        <v>5</v>
      </c>
    </row>
    <row r="2381" spans="1:9" ht="21.75" customHeight="1">
      <c r="A2381" t="s">
        <v>2531</v>
      </c>
      <c r="B2381" s="3">
        <v>45397</v>
      </c>
      <c r="C2381" t="s">
        <v>327</v>
      </c>
      <c r="D2381" t="s">
        <v>65</v>
      </c>
      <c r="E2381" t="s">
        <v>17</v>
      </c>
      <c r="F2381" t="str">
        <f t="shared" si="37"/>
        <v>South</v>
      </c>
      <c r="G2381" t="s">
        <v>56</v>
      </c>
      <c r="H2381" t="s">
        <v>23</v>
      </c>
      <c r="I2381">
        <v>6</v>
      </c>
    </row>
    <row r="2382" spans="1:9" ht="21.75" customHeight="1">
      <c r="A2382" t="s">
        <v>2532</v>
      </c>
      <c r="B2382" s="3">
        <v>45366</v>
      </c>
      <c r="C2382" t="s">
        <v>64</v>
      </c>
      <c r="D2382" t="s">
        <v>74</v>
      </c>
      <c r="E2382" t="s">
        <v>17</v>
      </c>
      <c r="F2382" t="str">
        <f t="shared" si="37"/>
        <v>South</v>
      </c>
      <c r="G2382" t="s">
        <v>56</v>
      </c>
      <c r="H2382" t="s">
        <v>36</v>
      </c>
      <c r="I2382">
        <v>15</v>
      </c>
    </row>
    <row r="2383" spans="1:9" ht="21.75" customHeight="1">
      <c r="A2383" t="s">
        <v>2533</v>
      </c>
      <c r="B2383" s="3">
        <v>45481</v>
      </c>
      <c r="C2383" t="s">
        <v>361</v>
      </c>
      <c r="D2383" t="s">
        <v>41</v>
      </c>
      <c r="E2383" t="s">
        <v>22</v>
      </c>
      <c r="F2383" t="str">
        <f t="shared" si="37"/>
        <v>West</v>
      </c>
      <c r="G2383" t="s">
        <v>27</v>
      </c>
      <c r="H2383" t="s">
        <v>13</v>
      </c>
      <c r="I2383">
        <v>1</v>
      </c>
    </row>
    <row r="2384" spans="1:9" ht="21.75" customHeight="1">
      <c r="A2384" t="s">
        <v>2534</v>
      </c>
      <c r="B2384" s="3">
        <v>45457</v>
      </c>
      <c r="C2384" t="s">
        <v>465</v>
      </c>
      <c r="D2384" t="s">
        <v>31</v>
      </c>
      <c r="E2384" t="s">
        <v>22</v>
      </c>
      <c r="F2384" t="str">
        <f t="shared" si="37"/>
        <v>South</v>
      </c>
      <c r="G2384" t="s">
        <v>56</v>
      </c>
      <c r="H2384" t="s">
        <v>23</v>
      </c>
      <c r="I2384">
        <v>14</v>
      </c>
    </row>
    <row r="2385" spans="1:9" ht="21.75" customHeight="1">
      <c r="A2385" t="s">
        <v>2535</v>
      </c>
      <c r="B2385" s="3">
        <v>45423</v>
      </c>
      <c r="C2385" t="s">
        <v>208</v>
      </c>
      <c r="D2385" t="s">
        <v>102</v>
      </c>
      <c r="E2385" t="s">
        <v>22</v>
      </c>
      <c r="F2385" t="str">
        <f t="shared" si="37"/>
        <v>North</v>
      </c>
      <c r="G2385" t="s">
        <v>12</v>
      </c>
      <c r="H2385" t="s">
        <v>13</v>
      </c>
      <c r="I2385">
        <v>11</v>
      </c>
    </row>
    <row r="2386" spans="1:9" ht="21.75" customHeight="1">
      <c r="A2386" t="s">
        <v>2536</v>
      </c>
      <c r="B2386" s="3">
        <v>45533</v>
      </c>
      <c r="C2386" t="s">
        <v>182</v>
      </c>
      <c r="D2386" t="s">
        <v>109</v>
      </c>
      <c r="E2386" t="s">
        <v>22</v>
      </c>
      <c r="F2386" t="str">
        <f t="shared" si="37"/>
        <v>Central</v>
      </c>
      <c r="G2386" t="s">
        <v>306</v>
      </c>
      <c r="H2386" t="s">
        <v>13</v>
      </c>
      <c r="I2386">
        <v>1</v>
      </c>
    </row>
    <row r="2387" spans="1:9" ht="21.75" customHeight="1">
      <c r="A2387" t="s">
        <v>2537</v>
      </c>
      <c r="B2387" s="3">
        <v>45609</v>
      </c>
      <c r="C2387" t="s">
        <v>159</v>
      </c>
      <c r="D2387" t="s">
        <v>74</v>
      </c>
      <c r="E2387" t="s">
        <v>17</v>
      </c>
      <c r="F2387" t="str">
        <f t="shared" si="37"/>
        <v>East</v>
      </c>
      <c r="G2387" t="s">
        <v>42</v>
      </c>
      <c r="H2387" t="s">
        <v>28</v>
      </c>
      <c r="I2387">
        <v>18</v>
      </c>
    </row>
    <row r="2388" spans="1:9" ht="21.75" customHeight="1">
      <c r="A2388" t="s">
        <v>2538</v>
      </c>
      <c r="B2388" s="3">
        <v>45383</v>
      </c>
      <c r="C2388" t="s">
        <v>86</v>
      </c>
      <c r="D2388" t="s">
        <v>45</v>
      </c>
      <c r="E2388" t="s">
        <v>22</v>
      </c>
      <c r="F2388" t="str">
        <f t="shared" si="37"/>
        <v>West</v>
      </c>
      <c r="G2388" t="s">
        <v>27</v>
      </c>
      <c r="H2388" t="s">
        <v>32</v>
      </c>
      <c r="I2388">
        <v>15</v>
      </c>
    </row>
    <row r="2389" spans="1:9" ht="21.75" customHeight="1">
      <c r="A2389" t="s">
        <v>2539</v>
      </c>
      <c r="B2389" s="3">
        <v>45454</v>
      </c>
      <c r="C2389" t="s">
        <v>369</v>
      </c>
      <c r="D2389" t="s">
        <v>160</v>
      </c>
      <c r="E2389" t="s">
        <v>17</v>
      </c>
      <c r="F2389" t="str">
        <f t="shared" si="37"/>
        <v>South</v>
      </c>
      <c r="G2389" t="s">
        <v>56</v>
      </c>
      <c r="H2389" t="s">
        <v>32</v>
      </c>
      <c r="I2389">
        <v>4</v>
      </c>
    </row>
    <row r="2390" spans="1:9" ht="21.75" customHeight="1">
      <c r="A2390" t="s">
        <v>2540</v>
      </c>
      <c r="B2390" s="3">
        <v>45357</v>
      </c>
      <c r="C2390" t="s">
        <v>432</v>
      </c>
      <c r="D2390" t="s">
        <v>26</v>
      </c>
      <c r="E2390" t="s">
        <v>22</v>
      </c>
      <c r="F2390" t="str">
        <f t="shared" si="37"/>
        <v>East</v>
      </c>
      <c r="G2390" t="s">
        <v>42</v>
      </c>
      <c r="H2390" t="s">
        <v>23</v>
      </c>
      <c r="I2390">
        <v>10</v>
      </c>
    </row>
    <row r="2391" spans="1:9" ht="21.75" customHeight="1">
      <c r="A2391" t="s">
        <v>2541</v>
      </c>
      <c r="B2391" s="3">
        <v>45426</v>
      </c>
      <c r="C2391" t="s">
        <v>594</v>
      </c>
      <c r="D2391" t="s">
        <v>119</v>
      </c>
      <c r="E2391" t="s">
        <v>17</v>
      </c>
      <c r="F2391" t="str">
        <f t="shared" si="37"/>
        <v>Central</v>
      </c>
      <c r="G2391" t="s">
        <v>306</v>
      </c>
      <c r="H2391" t="s">
        <v>32</v>
      </c>
      <c r="I2391">
        <v>14</v>
      </c>
    </row>
    <row r="2392" spans="1:9" ht="21.75" customHeight="1">
      <c r="A2392" t="s">
        <v>2542</v>
      </c>
      <c r="B2392" s="3">
        <v>45453</v>
      </c>
      <c r="C2392" t="s">
        <v>304</v>
      </c>
      <c r="D2392" t="s">
        <v>35</v>
      </c>
      <c r="E2392" t="s">
        <v>11</v>
      </c>
      <c r="F2392" t="str">
        <f t="shared" si="37"/>
        <v>Central</v>
      </c>
      <c r="G2392" t="s">
        <v>306</v>
      </c>
      <c r="H2392" t="s">
        <v>23</v>
      </c>
      <c r="I2392">
        <v>2</v>
      </c>
    </row>
    <row r="2393" spans="1:9" ht="21.75" customHeight="1">
      <c r="A2393" t="s">
        <v>2543</v>
      </c>
      <c r="B2393" s="3">
        <v>45319</v>
      </c>
      <c r="C2393" t="s">
        <v>51</v>
      </c>
      <c r="D2393" t="s">
        <v>45</v>
      </c>
      <c r="E2393" t="s">
        <v>11</v>
      </c>
      <c r="F2393" t="str">
        <f t="shared" si="37"/>
        <v>West</v>
      </c>
      <c r="G2393" t="s">
        <v>27</v>
      </c>
      <c r="H2393" t="s">
        <v>32</v>
      </c>
      <c r="I2393">
        <v>6</v>
      </c>
    </row>
    <row r="2394" spans="1:9" ht="21.75" customHeight="1">
      <c r="A2394" t="s">
        <v>2544</v>
      </c>
      <c r="B2394" s="3">
        <v>45515</v>
      </c>
      <c r="C2394" t="s">
        <v>40</v>
      </c>
      <c r="D2394" t="s">
        <v>35</v>
      </c>
      <c r="E2394" t="s">
        <v>11</v>
      </c>
      <c r="F2394" t="str">
        <f t="shared" si="37"/>
        <v>West</v>
      </c>
      <c r="G2394" t="s">
        <v>27</v>
      </c>
      <c r="H2394" t="s">
        <v>32</v>
      </c>
      <c r="I2394">
        <v>18</v>
      </c>
    </row>
    <row r="2395" spans="1:9" ht="21.75" customHeight="1">
      <c r="A2395" t="s">
        <v>2545</v>
      </c>
      <c r="B2395" s="3">
        <v>45544</v>
      </c>
      <c r="C2395" t="s">
        <v>40</v>
      </c>
      <c r="D2395" t="s">
        <v>84</v>
      </c>
      <c r="E2395" t="s">
        <v>11</v>
      </c>
      <c r="F2395" t="str">
        <f t="shared" si="37"/>
        <v>North</v>
      </c>
      <c r="G2395" t="s">
        <v>12</v>
      </c>
      <c r="H2395" t="s">
        <v>32</v>
      </c>
      <c r="I2395">
        <v>3</v>
      </c>
    </row>
    <row r="2396" spans="1:9" ht="21.75" customHeight="1">
      <c r="A2396" t="s">
        <v>2546</v>
      </c>
      <c r="B2396" s="3">
        <v>45437</v>
      </c>
      <c r="C2396" t="s">
        <v>44</v>
      </c>
      <c r="D2396" t="s">
        <v>45</v>
      </c>
      <c r="E2396" t="s">
        <v>22</v>
      </c>
      <c r="F2396" t="str">
        <f t="shared" si="37"/>
        <v>Central</v>
      </c>
      <c r="G2396" t="s">
        <v>306</v>
      </c>
      <c r="H2396" t="s">
        <v>32</v>
      </c>
      <c r="I2396">
        <v>19</v>
      </c>
    </row>
    <row r="2397" spans="1:9" ht="21.75" customHeight="1">
      <c r="A2397" t="s">
        <v>2547</v>
      </c>
      <c r="B2397" s="3">
        <v>45591</v>
      </c>
      <c r="C2397" t="s">
        <v>133</v>
      </c>
      <c r="D2397" t="s">
        <v>59</v>
      </c>
      <c r="E2397" t="s">
        <v>11</v>
      </c>
      <c r="F2397" t="str">
        <f t="shared" si="37"/>
        <v>Central</v>
      </c>
      <c r="G2397" t="s">
        <v>306</v>
      </c>
      <c r="H2397" t="s">
        <v>36</v>
      </c>
      <c r="I2397">
        <v>6</v>
      </c>
    </row>
    <row r="2398" spans="1:9" ht="21.75" customHeight="1">
      <c r="A2398" t="s">
        <v>2548</v>
      </c>
      <c r="B2398" s="3">
        <v>45331</v>
      </c>
      <c r="C2398" t="s">
        <v>78</v>
      </c>
      <c r="D2398" t="s">
        <v>119</v>
      </c>
      <c r="E2398" t="s">
        <v>17</v>
      </c>
      <c r="F2398" t="str">
        <f t="shared" si="37"/>
        <v>North</v>
      </c>
      <c r="G2398" t="s">
        <v>12</v>
      </c>
      <c r="H2398" t="s">
        <v>32</v>
      </c>
      <c r="I2398">
        <v>1</v>
      </c>
    </row>
    <row r="2399" spans="1:9" ht="21.75" customHeight="1">
      <c r="A2399" t="s">
        <v>2549</v>
      </c>
      <c r="B2399" s="3">
        <v>45640</v>
      </c>
      <c r="C2399" t="s">
        <v>114</v>
      </c>
      <c r="D2399" t="s">
        <v>31</v>
      </c>
      <c r="E2399" t="s">
        <v>17</v>
      </c>
      <c r="F2399" t="str">
        <f t="shared" si="37"/>
        <v>Central</v>
      </c>
      <c r="G2399" t="s">
        <v>306</v>
      </c>
      <c r="H2399" t="s">
        <v>13</v>
      </c>
      <c r="I2399">
        <v>11</v>
      </c>
    </row>
    <row r="2400" spans="1:9" ht="21.75" customHeight="1">
      <c r="A2400" t="s">
        <v>2550</v>
      </c>
      <c r="B2400" s="3">
        <v>45333</v>
      </c>
      <c r="C2400" t="s">
        <v>366</v>
      </c>
      <c r="D2400" t="s">
        <v>62</v>
      </c>
      <c r="E2400" t="s">
        <v>22</v>
      </c>
      <c r="F2400" t="str">
        <f t="shared" si="37"/>
        <v>West</v>
      </c>
      <c r="G2400" t="s">
        <v>27</v>
      </c>
      <c r="H2400" t="s">
        <v>23</v>
      </c>
      <c r="I2400">
        <v>9</v>
      </c>
    </row>
    <row r="2401" spans="1:9" ht="21.75" customHeight="1">
      <c r="A2401" t="s">
        <v>2551</v>
      </c>
      <c r="B2401" s="3">
        <v>45294</v>
      </c>
      <c r="C2401" t="s">
        <v>118</v>
      </c>
      <c r="D2401" t="s">
        <v>79</v>
      </c>
      <c r="E2401" t="s">
        <v>22</v>
      </c>
      <c r="F2401" t="str">
        <f t="shared" si="37"/>
        <v>Central</v>
      </c>
      <c r="G2401" t="s">
        <v>306</v>
      </c>
      <c r="H2401" t="s">
        <v>23</v>
      </c>
      <c r="I2401">
        <v>11</v>
      </c>
    </row>
    <row r="2402" spans="1:9" ht="21.75" customHeight="1">
      <c r="A2402" t="s">
        <v>2552</v>
      </c>
      <c r="B2402" s="3">
        <v>45583</v>
      </c>
      <c r="C2402" t="s">
        <v>34</v>
      </c>
      <c r="D2402" t="s">
        <v>65</v>
      </c>
      <c r="E2402" t="s">
        <v>11</v>
      </c>
      <c r="F2402" t="str">
        <f t="shared" si="37"/>
        <v>East</v>
      </c>
      <c r="G2402" t="s">
        <v>42</v>
      </c>
      <c r="H2402" t="s">
        <v>32</v>
      </c>
      <c r="I2402">
        <v>2</v>
      </c>
    </row>
    <row r="2403" spans="1:9" ht="21.75" customHeight="1">
      <c r="A2403" t="s">
        <v>2553</v>
      </c>
      <c r="B2403" s="3">
        <v>45572</v>
      </c>
      <c r="C2403" t="s">
        <v>493</v>
      </c>
      <c r="D2403" t="s">
        <v>31</v>
      </c>
      <c r="E2403" t="s">
        <v>11</v>
      </c>
      <c r="F2403" t="str">
        <f t="shared" si="37"/>
        <v>West</v>
      </c>
      <c r="G2403" t="s">
        <v>27</v>
      </c>
      <c r="H2403" t="s">
        <v>32</v>
      </c>
      <c r="I2403">
        <v>6</v>
      </c>
    </row>
    <row r="2404" spans="1:9" ht="21.75" customHeight="1">
      <c r="A2404" t="s">
        <v>2554</v>
      </c>
      <c r="B2404" s="3">
        <v>45496</v>
      </c>
      <c r="C2404" t="s">
        <v>203</v>
      </c>
      <c r="D2404" t="s">
        <v>96</v>
      </c>
      <c r="E2404" t="s">
        <v>11</v>
      </c>
      <c r="F2404" t="str">
        <f t="shared" si="37"/>
        <v>South</v>
      </c>
      <c r="G2404" t="s">
        <v>56</v>
      </c>
      <c r="H2404" t="s">
        <v>23</v>
      </c>
      <c r="I2404">
        <v>13</v>
      </c>
    </row>
    <row r="2405" spans="1:9" ht="21.75" customHeight="1">
      <c r="A2405" t="s">
        <v>2555</v>
      </c>
      <c r="B2405" s="3">
        <v>45626</v>
      </c>
      <c r="C2405" t="s">
        <v>125</v>
      </c>
      <c r="D2405" t="s">
        <v>102</v>
      </c>
      <c r="E2405" t="s">
        <v>17</v>
      </c>
      <c r="F2405" t="str">
        <f t="shared" si="37"/>
        <v>West</v>
      </c>
      <c r="G2405" t="s">
        <v>27</v>
      </c>
      <c r="H2405" t="s">
        <v>23</v>
      </c>
      <c r="I2405">
        <v>10</v>
      </c>
    </row>
    <row r="2406" spans="1:9" ht="21.75" customHeight="1">
      <c r="A2406" t="s">
        <v>2556</v>
      </c>
      <c r="B2406" s="3">
        <v>45600</v>
      </c>
      <c r="C2406" t="s">
        <v>34</v>
      </c>
      <c r="D2406" t="s">
        <v>48</v>
      </c>
      <c r="E2406" t="s">
        <v>22</v>
      </c>
      <c r="F2406" t="str">
        <f t="shared" si="37"/>
        <v>North</v>
      </c>
      <c r="G2406" t="s">
        <v>12</v>
      </c>
      <c r="H2406" t="s">
        <v>32</v>
      </c>
      <c r="I2406">
        <v>17</v>
      </c>
    </row>
    <row r="2407" spans="1:9" ht="21.75" customHeight="1">
      <c r="A2407" t="s">
        <v>2557</v>
      </c>
      <c r="B2407" s="3">
        <v>45520</v>
      </c>
      <c r="C2407" t="s">
        <v>53</v>
      </c>
      <c r="D2407" t="s">
        <v>35</v>
      </c>
      <c r="E2407" t="s">
        <v>17</v>
      </c>
      <c r="F2407" t="str">
        <f t="shared" si="37"/>
        <v>Central</v>
      </c>
      <c r="G2407" t="s">
        <v>306</v>
      </c>
      <c r="H2407" t="s">
        <v>36</v>
      </c>
      <c r="I2407">
        <v>14</v>
      </c>
    </row>
    <row r="2408" spans="1:9" ht="21.75" customHeight="1">
      <c r="A2408" t="s">
        <v>2558</v>
      </c>
      <c r="B2408" s="3">
        <v>45508</v>
      </c>
      <c r="C2408" t="s">
        <v>200</v>
      </c>
      <c r="D2408" t="s">
        <v>109</v>
      </c>
      <c r="E2408" t="s">
        <v>11</v>
      </c>
      <c r="F2408" t="str">
        <f t="shared" si="37"/>
        <v>West</v>
      </c>
      <c r="G2408" t="s">
        <v>27</v>
      </c>
      <c r="H2408" t="s">
        <v>23</v>
      </c>
      <c r="I2408">
        <v>3</v>
      </c>
    </row>
    <row r="2409" spans="1:9" ht="21.75" customHeight="1">
      <c r="A2409" t="s">
        <v>2559</v>
      </c>
      <c r="B2409" s="3">
        <v>45466</v>
      </c>
      <c r="C2409" t="s">
        <v>319</v>
      </c>
      <c r="D2409" t="s">
        <v>41</v>
      </c>
      <c r="E2409" t="s">
        <v>11</v>
      </c>
      <c r="F2409" t="str">
        <f t="shared" si="37"/>
        <v>South</v>
      </c>
      <c r="G2409" t="s">
        <v>56</v>
      </c>
      <c r="H2409" t="s">
        <v>23</v>
      </c>
      <c r="I2409">
        <v>17</v>
      </c>
    </row>
    <row r="2410" spans="1:9" ht="21.75" customHeight="1">
      <c r="A2410" t="s">
        <v>2560</v>
      </c>
      <c r="B2410" s="3">
        <v>45560</v>
      </c>
      <c r="C2410" t="s">
        <v>81</v>
      </c>
      <c r="D2410" t="s">
        <v>74</v>
      </c>
      <c r="E2410" t="s">
        <v>17</v>
      </c>
      <c r="F2410" t="str">
        <f t="shared" si="37"/>
        <v>West</v>
      </c>
      <c r="G2410" t="s">
        <v>27</v>
      </c>
      <c r="H2410" t="s">
        <v>13</v>
      </c>
      <c r="I2410">
        <v>16</v>
      </c>
    </row>
    <row r="2411" spans="1:9" ht="21.75" customHeight="1">
      <c r="A2411" t="s">
        <v>2561</v>
      </c>
      <c r="B2411" s="3">
        <v>45357</v>
      </c>
      <c r="C2411" t="s">
        <v>455</v>
      </c>
      <c r="D2411" t="s">
        <v>74</v>
      </c>
      <c r="E2411" t="s">
        <v>11</v>
      </c>
      <c r="F2411" t="str">
        <f t="shared" si="37"/>
        <v>Central</v>
      </c>
      <c r="G2411" t="s">
        <v>306</v>
      </c>
      <c r="H2411" t="s">
        <v>23</v>
      </c>
      <c r="I2411">
        <v>10</v>
      </c>
    </row>
    <row r="2412" spans="1:9" ht="21.75" customHeight="1">
      <c r="A2412" t="s">
        <v>2562</v>
      </c>
      <c r="B2412" s="3">
        <v>45574</v>
      </c>
      <c r="C2412" t="s">
        <v>208</v>
      </c>
      <c r="D2412" t="s">
        <v>79</v>
      </c>
      <c r="E2412" t="s">
        <v>22</v>
      </c>
      <c r="F2412" t="str">
        <f t="shared" si="37"/>
        <v>North</v>
      </c>
      <c r="G2412" t="s">
        <v>12</v>
      </c>
      <c r="H2412" t="s">
        <v>36</v>
      </c>
      <c r="I2412">
        <v>14</v>
      </c>
    </row>
    <row r="2413" spans="1:9" ht="21.75" customHeight="1">
      <c r="A2413" t="s">
        <v>2563</v>
      </c>
      <c r="B2413" s="3">
        <v>45529</v>
      </c>
      <c r="C2413" t="s">
        <v>371</v>
      </c>
      <c r="D2413" t="s">
        <v>84</v>
      </c>
      <c r="E2413" t="s">
        <v>22</v>
      </c>
      <c r="F2413" t="str">
        <f t="shared" si="37"/>
        <v>East</v>
      </c>
      <c r="G2413" t="s">
        <v>42</v>
      </c>
      <c r="H2413" t="s">
        <v>32</v>
      </c>
      <c r="I2413">
        <v>9</v>
      </c>
    </row>
    <row r="2414" spans="1:9" ht="21.75" customHeight="1">
      <c r="A2414" t="s">
        <v>2564</v>
      </c>
      <c r="B2414" s="3">
        <v>45549</v>
      </c>
      <c r="C2414" t="s">
        <v>138</v>
      </c>
      <c r="D2414" t="s">
        <v>102</v>
      </c>
      <c r="E2414" t="s">
        <v>22</v>
      </c>
      <c r="F2414" t="str">
        <f t="shared" si="37"/>
        <v>West</v>
      </c>
      <c r="G2414" t="s">
        <v>27</v>
      </c>
      <c r="H2414" t="s">
        <v>28</v>
      </c>
      <c r="I2414">
        <v>6</v>
      </c>
    </row>
    <row r="2415" spans="1:9" ht="21.75" customHeight="1">
      <c r="A2415" t="s">
        <v>2565</v>
      </c>
      <c r="B2415" s="3">
        <v>45315</v>
      </c>
      <c r="C2415" t="s">
        <v>81</v>
      </c>
      <c r="D2415" t="s">
        <v>87</v>
      </c>
      <c r="E2415" t="s">
        <v>22</v>
      </c>
      <c r="F2415" t="str">
        <f t="shared" si="37"/>
        <v>East</v>
      </c>
      <c r="G2415" t="s">
        <v>42</v>
      </c>
      <c r="H2415" t="s">
        <v>32</v>
      </c>
      <c r="I2415">
        <v>19</v>
      </c>
    </row>
    <row r="2416" spans="1:9" ht="21.75" customHeight="1">
      <c r="A2416" t="s">
        <v>2566</v>
      </c>
      <c r="B2416" s="3">
        <v>45635</v>
      </c>
      <c r="C2416" t="s">
        <v>430</v>
      </c>
      <c r="D2416" t="s">
        <v>109</v>
      </c>
      <c r="E2416" t="s">
        <v>17</v>
      </c>
      <c r="F2416" t="str">
        <f t="shared" si="37"/>
        <v>East</v>
      </c>
      <c r="G2416" t="s">
        <v>42</v>
      </c>
      <c r="H2416" t="s">
        <v>28</v>
      </c>
      <c r="I2416">
        <v>7</v>
      </c>
    </row>
    <row r="2417" spans="1:9" ht="21.75" customHeight="1">
      <c r="A2417" t="s">
        <v>2567</v>
      </c>
      <c r="B2417" s="3">
        <v>45601</v>
      </c>
      <c r="C2417" t="s">
        <v>86</v>
      </c>
      <c r="D2417" t="s">
        <v>41</v>
      </c>
      <c r="E2417" t="s">
        <v>11</v>
      </c>
      <c r="F2417" t="str">
        <f t="shared" si="37"/>
        <v>West</v>
      </c>
      <c r="G2417" t="s">
        <v>27</v>
      </c>
      <c r="H2417" t="s">
        <v>36</v>
      </c>
      <c r="I2417">
        <v>1</v>
      </c>
    </row>
    <row r="2418" spans="1:9" ht="21.75" customHeight="1">
      <c r="A2418" t="s">
        <v>2568</v>
      </c>
      <c r="B2418" s="3">
        <v>45351</v>
      </c>
      <c r="C2418" t="s">
        <v>142</v>
      </c>
      <c r="D2418" t="s">
        <v>45</v>
      </c>
      <c r="E2418" t="s">
        <v>22</v>
      </c>
      <c r="F2418" t="str">
        <f t="shared" si="37"/>
        <v>West</v>
      </c>
      <c r="G2418" t="s">
        <v>27</v>
      </c>
      <c r="H2418" t="s">
        <v>23</v>
      </c>
      <c r="I2418">
        <v>13</v>
      </c>
    </row>
    <row r="2419" spans="1:9" ht="21.75" customHeight="1">
      <c r="A2419" t="s">
        <v>2569</v>
      </c>
      <c r="B2419" s="3">
        <v>45600</v>
      </c>
      <c r="C2419" t="s">
        <v>329</v>
      </c>
      <c r="D2419" t="s">
        <v>35</v>
      </c>
      <c r="E2419" t="s">
        <v>17</v>
      </c>
      <c r="F2419" t="str">
        <f t="shared" si="37"/>
        <v>Central</v>
      </c>
      <c r="G2419" t="s">
        <v>306</v>
      </c>
      <c r="H2419" t="s">
        <v>36</v>
      </c>
      <c r="I2419">
        <v>12</v>
      </c>
    </row>
    <row r="2420" spans="1:9" ht="21.75" customHeight="1">
      <c r="A2420" t="s">
        <v>2570</v>
      </c>
      <c r="B2420" s="3">
        <v>45645</v>
      </c>
      <c r="C2420" t="s">
        <v>422</v>
      </c>
      <c r="D2420" t="s">
        <v>31</v>
      </c>
      <c r="E2420" t="s">
        <v>17</v>
      </c>
      <c r="F2420" t="str">
        <f t="shared" si="37"/>
        <v>North</v>
      </c>
      <c r="G2420" t="s">
        <v>12</v>
      </c>
      <c r="H2420" t="s">
        <v>28</v>
      </c>
      <c r="I2420">
        <v>5</v>
      </c>
    </row>
    <row r="2421" spans="1:9" ht="21.75" customHeight="1">
      <c r="A2421" t="s">
        <v>2571</v>
      </c>
      <c r="B2421" s="3">
        <v>45349</v>
      </c>
      <c r="C2421" t="s">
        <v>138</v>
      </c>
      <c r="D2421" t="s">
        <v>62</v>
      </c>
      <c r="E2421" t="s">
        <v>11</v>
      </c>
      <c r="F2421" t="str">
        <f t="shared" si="37"/>
        <v>North</v>
      </c>
      <c r="G2421" t="s">
        <v>12</v>
      </c>
      <c r="H2421" t="s">
        <v>28</v>
      </c>
      <c r="I2421">
        <v>16</v>
      </c>
    </row>
    <row r="2422" spans="1:9" ht="21.75" customHeight="1">
      <c r="A2422" t="s">
        <v>2572</v>
      </c>
      <c r="B2422" s="3">
        <v>45624</v>
      </c>
      <c r="C2422" t="s">
        <v>93</v>
      </c>
      <c r="D2422" t="s">
        <v>87</v>
      </c>
      <c r="E2422" t="s">
        <v>22</v>
      </c>
      <c r="F2422" t="str">
        <f t="shared" si="37"/>
        <v>Central</v>
      </c>
      <c r="G2422" t="s">
        <v>306</v>
      </c>
      <c r="H2422" t="s">
        <v>28</v>
      </c>
      <c r="I2422">
        <v>3</v>
      </c>
    </row>
    <row r="2423" spans="1:9" ht="21.75" customHeight="1">
      <c r="A2423" t="s">
        <v>2573</v>
      </c>
      <c r="B2423" s="3">
        <v>45529</v>
      </c>
      <c r="C2423" t="s">
        <v>167</v>
      </c>
      <c r="D2423" t="s">
        <v>35</v>
      </c>
      <c r="E2423" t="s">
        <v>17</v>
      </c>
      <c r="F2423" t="str">
        <f t="shared" si="37"/>
        <v>North</v>
      </c>
      <c r="G2423" t="s">
        <v>12</v>
      </c>
      <c r="H2423" t="s">
        <v>13</v>
      </c>
      <c r="I2423">
        <v>6</v>
      </c>
    </row>
    <row r="2424" spans="1:9" ht="21.75" customHeight="1">
      <c r="A2424" t="s">
        <v>2574</v>
      </c>
      <c r="B2424" s="3">
        <v>45651</v>
      </c>
      <c r="C2424" t="s">
        <v>396</v>
      </c>
      <c r="D2424" t="s">
        <v>35</v>
      </c>
      <c r="E2424" t="s">
        <v>17</v>
      </c>
      <c r="F2424" t="str">
        <f t="shared" si="37"/>
        <v>North</v>
      </c>
      <c r="G2424" t="s">
        <v>12</v>
      </c>
      <c r="H2424" t="s">
        <v>23</v>
      </c>
      <c r="I2424">
        <v>19</v>
      </c>
    </row>
    <row r="2425" spans="1:9" ht="21.75" customHeight="1">
      <c r="A2425" t="s">
        <v>2575</v>
      </c>
      <c r="B2425" s="3">
        <v>45442</v>
      </c>
      <c r="C2425" t="s">
        <v>614</v>
      </c>
      <c r="D2425" t="s">
        <v>31</v>
      </c>
      <c r="E2425" t="s">
        <v>11</v>
      </c>
      <c r="F2425" t="str">
        <f t="shared" si="37"/>
        <v>East</v>
      </c>
      <c r="G2425" t="s">
        <v>42</v>
      </c>
      <c r="H2425" t="s">
        <v>13</v>
      </c>
      <c r="I2425">
        <v>4</v>
      </c>
    </row>
    <row r="2426" spans="1:9" ht="21.75" customHeight="1">
      <c r="A2426" t="s">
        <v>2576</v>
      </c>
      <c r="B2426" s="3">
        <v>45513</v>
      </c>
      <c r="C2426" t="s">
        <v>572</v>
      </c>
      <c r="D2426" t="s">
        <v>35</v>
      </c>
      <c r="E2426" t="s">
        <v>22</v>
      </c>
      <c r="F2426" t="str">
        <f t="shared" si="37"/>
        <v>Central</v>
      </c>
      <c r="G2426" t="s">
        <v>306</v>
      </c>
      <c r="H2426" t="s">
        <v>36</v>
      </c>
      <c r="I2426">
        <v>18</v>
      </c>
    </row>
    <row r="2427" spans="1:9" ht="21.75" customHeight="1">
      <c r="A2427" t="s">
        <v>2577</v>
      </c>
      <c r="B2427" s="3">
        <v>45310</v>
      </c>
      <c r="C2427" t="s">
        <v>374</v>
      </c>
      <c r="D2427" t="s">
        <v>31</v>
      </c>
      <c r="E2427" t="s">
        <v>17</v>
      </c>
      <c r="F2427" t="str">
        <f t="shared" si="37"/>
        <v>Central</v>
      </c>
      <c r="G2427" t="s">
        <v>306</v>
      </c>
      <c r="H2427" t="s">
        <v>36</v>
      </c>
      <c r="I2427">
        <v>20</v>
      </c>
    </row>
    <row r="2428" spans="1:9" ht="21.75" customHeight="1">
      <c r="A2428" t="s">
        <v>2578</v>
      </c>
      <c r="B2428" s="3">
        <v>45541</v>
      </c>
      <c r="C2428" t="s">
        <v>51</v>
      </c>
      <c r="D2428" t="s">
        <v>62</v>
      </c>
      <c r="E2428" t="s">
        <v>11</v>
      </c>
      <c r="F2428" t="str">
        <f t="shared" si="37"/>
        <v>Central</v>
      </c>
      <c r="G2428" t="s">
        <v>306</v>
      </c>
      <c r="H2428" t="s">
        <v>13</v>
      </c>
      <c r="I2428">
        <v>14</v>
      </c>
    </row>
    <row r="2429" spans="1:9" ht="21.75" customHeight="1">
      <c r="A2429" t="s">
        <v>2579</v>
      </c>
      <c r="B2429" s="3">
        <v>45575</v>
      </c>
      <c r="C2429" t="s">
        <v>58</v>
      </c>
      <c r="D2429" t="s">
        <v>26</v>
      </c>
      <c r="E2429" t="s">
        <v>22</v>
      </c>
      <c r="F2429" t="str">
        <f t="shared" si="37"/>
        <v>West</v>
      </c>
      <c r="G2429" t="s">
        <v>27</v>
      </c>
      <c r="H2429" t="s">
        <v>23</v>
      </c>
      <c r="I2429">
        <v>4</v>
      </c>
    </row>
    <row r="2430" spans="1:9" ht="21.75" customHeight="1">
      <c r="A2430" t="s">
        <v>2580</v>
      </c>
      <c r="B2430" s="3">
        <v>45622</v>
      </c>
      <c r="C2430" t="s">
        <v>20</v>
      </c>
      <c r="D2430" t="s">
        <v>70</v>
      </c>
      <c r="E2430" t="s">
        <v>22</v>
      </c>
      <c r="F2430" t="str">
        <f t="shared" si="37"/>
        <v>West</v>
      </c>
      <c r="G2430" t="s">
        <v>27</v>
      </c>
      <c r="H2430" t="s">
        <v>13</v>
      </c>
      <c r="I2430">
        <v>6</v>
      </c>
    </row>
    <row r="2431" spans="1:9" ht="21.75" customHeight="1">
      <c r="A2431" t="s">
        <v>2581</v>
      </c>
      <c r="B2431" s="3">
        <v>45390</v>
      </c>
      <c r="C2431" t="s">
        <v>553</v>
      </c>
      <c r="D2431" t="s">
        <v>48</v>
      </c>
      <c r="E2431" t="s">
        <v>17</v>
      </c>
      <c r="F2431" t="str">
        <f t="shared" si="37"/>
        <v>South</v>
      </c>
      <c r="G2431" t="s">
        <v>56</v>
      </c>
      <c r="H2431" t="s">
        <v>36</v>
      </c>
      <c r="I2431">
        <v>8</v>
      </c>
    </row>
    <row r="2432" spans="1:9" ht="21.75" customHeight="1">
      <c r="A2432" t="s">
        <v>2582</v>
      </c>
      <c r="B2432" s="3">
        <v>45642</v>
      </c>
      <c r="C2432" t="s">
        <v>47</v>
      </c>
      <c r="D2432" t="s">
        <v>109</v>
      </c>
      <c r="E2432" t="s">
        <v>22</v>
      </c>
      <c r="F2432" t="str">
        <f t="shared" si="37"/>
        <v>West</v>
      </c>
      <c r="G2432" t="s">
        <v>27</v>
      </c>
      <c r="H2432" t="s">
        <v>28</v>
      </c>
      <c r="I2432">
        <v>10</v>
      </c>
    </row>
    <row r="2433" spans="1:9" ht="21.75" customHeight="1">
      <c r="A2433" t="s">
        <v>2583</v>
      </c>
      <c r="B2433" s="3">
        <v>45491</v>
      </c>
      <c r="C2433" t="s">
        <v>572</v>
      </c>
      <c r="D2433" t="s">
        <v>41</v>
      </c>
      <c r="E2433" t="s">
        <v>22</v>
      </c>
      <c r="F2433" t="str">
        <f t="shared" si="37"/>
        <v>East</v>
      </c>
      <c r="G2433" t="s">
        <v>42</v>
      </c>
      <c r="H2433" t="s">
        <v>23</v>
      </c>
      <c r="I2433">
        <v>6</v>
      </c>
    </row>
    <row r="2434" spans="1:9" ht="21.75" customHeight="1">
      <c r="A2434" t="s">
        <v>2584</v>
      </c>
      <c r="B2434" s="3">
        <v>45436</v>
      </c>
      <c r="C2434" t="s">
        <v>465</v>
      </c>
      <c r="D2434" t="s">
        <v>84</v>
      </c>
      <c r="E2434" t="s">
        <v>11</v>
      </c>
      <c r="F2434" t="str">
        <f t="shared" si="37"/>
        <v>West</v>
      </c>
      <c r="G2434" t="s">
        <v>27</v>
      </c>
      <c r="H2434" t="s">
        <v>28</v>
      </c>
      <c r="I2434">
        <v>6</v>
      </c>
    </row>
    <row r="2435" spans="1:9" ht="21.75" customHeight="1">
      <c r="A2435" t="s">
        <v>2585</v>
      </c>
      <c r="B2435" s="3">
        <v>45602</v>
      </c>
      <c r="C2435" t="s">
        <v>374</v>
      </c>
      <c r="D2435" t="s">
        <v>102</v>
      </c>
      <c r="E2435" t="s">
        <v>17</v>
      </c>
      <c r="F2435" t="str">
        <f t="shared" ref="F2435:F2498" si="38">TRIM(PROPER(G2435))</f>
        <v>West</v>
      </c>
      <c r="G2435" t="s">
        <v>27</v>
      </c>
      <c r="H2435" t="s">
        <v>32</v>
      </c>
      <c r="I2435">
        <v>8</v>
      </c>
    </row>
    <row r="2436" spans="1:9" ht="21.75" customHeight="1">
      <c r="A2436" t="s">
        <v>2586</v>
      </c>
      <c r="B2436" s="3">
        <v>45316</v>
      </c>
      <c r="C2436" t="s">
        <v>138</v>
      </c>
      <c r="D2436" t="s">
        <v>48</v>
      </c>
      <c r="E2436" t="s">
        <v>17</v>
      </c>
      <c r="F2436" t="str">
        <f t="shared" si="38"/>
        <v>East</v>
      </c>
      <c r="G2436" t="s">
        <v>42</v>
      </c>
      <c r="H2436" t="s">
        <v>28</v>
      </c>
      <c r="I2436">
        <v>6</v>
      </c>
    </row>
    <row r="2437" spans="1:9" ht="21.75" customHeight="1">
      <c r="A2437" t="s">
        <v>2587</v>
      </c>
      <c r="B2437" s="3">
        <v>45549</v>
      </c>
      <c r="C2437" t="s">
        <v>122</v>
      </c>
      <c r="D2437" t="s">
        <v>10</v>
      </c>
      <c r="E2437" t="s">
        <v>17</v>
      </c>
      <c r="F2437" t="str">
        <f t="shared" si="38"/>
        <v>West</v>
      </c>
      <c r="G2437" t="s">
        <v>27</v>
      </c>
      <c r="H2437" t="s">
        <v>13</v>
      </c>
      <c r="I2437">
        <v>20</v>
      </c>
    </row>
    <row r="2438" spans="1:9" ht="21.75" customHeight="1">
      <c r="A2438" t="s">
        <v>2588</v>
      </c>
      <c r="B2438" s="3">
        <v>45579</v>
      </c>
      <c r="C2438" t="s">
        <v>240</v>
      </c>
      <c r="D2438" t="s">
        <v>35</v>
      </c>
      <c r="E2438" t="s">
        <v>17</v>
      </c>
      <c r="F2438" t="str">
        <f t="shared" si="38"/>
        <v>East</v>
      </c>
      <c r="G2438" t="s">
        <v>42</v>
      </c>
      <c r="H2438" t="s">
        <v>32</v>
      </c>
      <c r="I2438">
        <v>2</v>
      </c>
    </row>
    <row r="2439" spans="1:9" ht="21.75" customHeight="1">
      <c r="A2439" t="s">
        <v>2589</v>
      </c>
      <c r="B2439" s="3">
        <v>45577</v>
      </c>
      <c r="C2439" t="s">
        <v>101</v>
      </c>
      <c r="D2439" t="s">
        <v>16</v>
      </c>
      <c r="E2439" t="s">
        <v>22</v>
      </c>
      <c r="F2439" t="str">
        <f t="shared" si="38"/>
        <v>Central</v>
      </c>
      <c r="G2439" t="s">
        <v>306</v>
      </c>
      <c r="H2439" t="s">
        <v>36</v>
      </c>
      <c r="I2439">
        <v>4</v>
      </c>
    </row>
    <row r="2440" spans="1:9" ht="21.75" customHeight="1">
      <c r="A2440" t="s">
        <v>2590</v>
      </c>
      <c r="B2440" s="3">
        <v>45516</v>
      </c>
      <c r="C2440" t="s">
        <v>366</v>
      </c>
      <c r="D2440" t="s">
        <v>119</v>
      </c>
      <c r="E2440" t="s">
        <v>11</v>
      </c>
      <c r="F2440" t="str">
        <f t="shared" si="38"/>
        <v>North</v>
      </c>
      <c r="G2440" t="s">
        <v>12</v>
      </c>
      <c r="H2440" t="s">
        <v>36</v>
      </c>
      <c r="I2440">
        <v>20</v>
      </c>
    </row>
    <row r="2441" spans="1:9" ht="21.75" customHeight="1">
      <c r="A2441" t="s">
        <v>2591</v>
      </c>
      <c r="B2441" s="3">
        <v>45344</v>
      </c>
      <c r="C2441" t="s">
        <v>642</v>
      </c>
      <c r="D2441" t="s">
        <v>79</v>
      </c>
      <c r="E2441" t="s">
        <v>22</v>
      </c>
      <c r="F2441" t="str">
        <f t="shared" si="38"/>
        <v>North</v>
      </c>
      <c r="G2441" t="s">
        <v>12</v>
      </c>
      <c r="H2441" t="s">
        <v>28</v>
      </c>
      <c r="I2441">
        <v>4</v>
      </c>
    </row>
    <row r="2442" spans="1:9" ht="21.75" customHeight="1">
      <c r="A2442" t="s">
        <v>2592</v>
      </c>
      <c r="B2442" s="3">
        <v>45477</v>
      </c>
      <c r="C2442" t="s">
        <v>111</v>
      </c>
      <c r="D2442" t="s">
        <v>84</v>
      </c>
      <c r="E2442" t="s">
        <v>17</v>
      </c>
      <c r="F2442" t="str">
        <f t="shared" si="38"/>
        <v>West</v>
      </c>
      <c r="G2442" t="s">
        <v>27</v>
      </c>
      <c r="H2442" t="s">
        <v>36</v>
      </c>
      <c r="I2442">
        <v>16</v>
      </c>
    </row>
    <row r="2443" spans="1:9" ht="21.75" customHeight="1">
      <c r="A2443" t="s">
        <v>2593</v>
      </c>
      <c r="B2443" s="3">
        <v>45342</v>
      </c>
      <c r="C2443" t="s">
        <v>125</v>
      </c>
      <c r="D2443" t="s">
        <v>21</v>
      </c>
      <c r="E2443" t="s">
        <v>17</v>
      </c>
      <c r="F2443" t="str">
        <f t="shared" si="38"/>
        <v>East</v>
      </c>
      <c r="G2443" t="s">
        <v>42</v>
      </c>
      <c r="H2443" t="s">
        <v>28</v>
      </c>
      <c r="I2443">
        <v>4</v>
      </c>
    </row>
    <row r="2444" spans="1:9" ht="21.75" customHeight="1">
      <c r="A2444" t="s">
        <v>2594</v>
      </c>
      <c r="B2444" s="3">
        <v>45516</v>
      </c>
      <c r="C2444" t="s">
        <v>572</v>
      </c>
      <c r="D2444" t="s">
        <v>119</v>
      </c>
      <c r="E2444" t="s">
        <v>11</v>
      </c>
      <c r="F2444" t="str">
        <f t="shared" si="38"/>
        <v>South</v>
      </c>
      <c r="G2444" t="s">
        <v>56</v>
      </c>
      <c r="H2444" t="s">
        <v>23</v>
      </c>
      <c r="I2444">
        <v>11</v>
      </c>
    </row>
    <row r="2445" spans="1:9" ht="21.75" customHeight="1">
      <c r="A2445" t="s">
        <v>2595</v>
      </c>
      <c r="B2445" s="3">
        <v>45379</v>
      </c>
      <c r="C2445" t="s">
        <v>81</v>
      </c>
      <c r="D2445" t="s">
        <v>26</v>
      </c>
      <c r="E2445" t="s">
        <v>17</v>
      </c>
      <c r="F2445" t="str">
        <f t="shared" si="38"/>
        <v>West</v>
      </c>
      <c r="G2445" t="s">
        <v>27</v>
      </c>
      <c r="H2445" t="s">
        <v>32</v>
      </c>
      <c r="I2445">
        <v>8</v>
      </c>
    </row>
    <row r="2446" spans="1:9" ht="21.75" customHeight="1">
      <c r="A2446" t="s">
        <v>2596</v>
      </c>
      <c r="B2446" s="3">
        <v>45563</v>
      </c>
      <c r="C2446" t="s">
        <v>572</v>
      </c>
      <c r="D2446" t="s">
        <v>197</v>
      </c>
      <c r="E2446" t="s">
        <v>11</v>
      </c>
      <c r="F2446" t="str">
        <f t="shared" si="38"/>
        <v>West</v>
      </c>
      <c r="G2446" t="s">
        <v>27</v>
      </c>
      <c r="H2446" t="s">
        <v>23</v>
      </c>
      <c r="I2446">
        <v>14</v>
      </c>
    </row>
    <row r="2447" spans="1:9" ht="21.75" customHeight="1">
      <c r="A2447" t="s">
        <v>2597</v>
      </c>
      <c r="B2447" s="3">
        <v>45556</v>
      </c>
      <c r="C2447" t="s">
        <v>455</v>
      </c>
      <c r="D2447" t="s">
        <v>48</v>
      </c>
      <c r="E2447" t="s">
        <v>11</v>
      </c>
      <c r="F2447" t="str">
        <f t="shared" si="38"/>
        <v>West</v>
      </c>
      <c r="G2447" t="s">
        <v>27</v>
      </c>
      <c r="H2447" t="s">
        <v>28</v>
      </c>
      <c r="I2447">
        <v>1</v>
      </c>
    </row>
    <row r="2448" spans="1:9" ht="21.75" customHeight="1">
      <c r="A2448" t="s">
        <v>2598</v>
      </c>
      <c r="B2448" s="3">
        <v>45556</v>
      </c>
      <c r="C2448" t="s">
        <v>58</v>
      </c>
      <c r="D2448" t="s">
        <v>10</v>
      </c>
      <c r="E2448" t="s">
        <v>17</v>
      </c>
      <c r="F2448" t="str">
        <f t="shared" si="38"/>
        <v>East</v>
      </c>
      <c r="G2448" t="s">
        <v>42</v>
      </c>
      <c r="H2448" t="s">
        <v>23</v>
      </c>
      <c r="I2448">
        <v>6</v>
      </c>
    </row>
    <row r="2449" spans="1:9" ht="21.75" customHeight="1">
      <c r="A2449" t="s">
        <v>2599</v>
      </c>
      <c r="B2449" s="3">
        <v>45493</v>
      </c>
      <c r="C2449" t="s">
        <v>332</v>
      </c>
      <c r="D2449" t="s">
        <v>79</v>
      </c>
      <c r="E2449" t="s">
        <v>22</v>
      </c>
      <c r="F2449" t="str">
        <f t="shared" si="38"/>
        <v>South</v>
      </c>
      <c r="G2449" t="s">
        <v>56</v>
      </c>
      <c r="H2449" t="s">
        <v>36</v>
      </c>
      <c r="I2449">
        <v>2</v>
      </c>
    </row>
    <row r="2450" spans="1:9" ht="21.75" customHeight="1">
      <c r="A2450" t="s">
        <v>2600</v>
      </c>
      <c r="B2450" s="3">
        <v>45630</v>
      </c>
      <c r="C2450" t="s">
        <v>363</v>
      </c>
      <c r="D2450" t="s">
        <v>74</v>
      </c>
      <c r="E2450" t="s">
        <v>17</v>
      </c>
      <c r="F2450" t="str">
        <f t="shared" si="38"/>
        <v>West</v>
      </c>
      <c r="G2450" t="s">
        <v>27</v>
      </c>
      <c r="H2450" t="s">
        <v>36</v>
      </c>
      <c r="I2450">
        <v>10</v>
      </c>
    </row>
    <row r="2451" spans="1:9" ht="21.75" customHeight="1">
      <c r="A2451" t="s">
        <v>2601</v>
      </c>
      <c r="B2451" s="3">
        <v>45452</v>
      </c>
      <c r="C2451" t="s">
        <v>20</v>
      </c>
      <c r="D2451" t="s">
        <v>96</v>
      </c>
      <c r="E2451" t="s">
        <v>17</v>
      </c>
      <c r="F2451" t="str">
        <f t="shared" si="38"/>
        <v>Central</v>
      </c>
      <c r="G2451" t="s">
        <v>306</v>
      </c>
      <c r="H2451" t="s">
        <v>36</v>
      </c>
      <c r="I2451">
        <v>5</v>
      </c>
    </row>
    <row r="2452" spans="1:9" ht="21.75" customHeight="1">
      <c r="A2452" t="s">
        <v>2602</v>
      </c>
      <c r="B2452" s="3">
        <v>45520</v>
      </c>
      <c r="C2452" t="s">
        <v>736</v>
      </c>
      <c r="D2452" t="s">
        <v>65</v>
      </c>
      <c r="E2452" t="s">
        <v>22</v>
      </c>
      <c r="F2452" t="str">
        <f t="shared" si="38"/>
        <v>Central</v>
      </c>
      <c r="G2452" t="s">
        <v>306</v>
      </c>
      <c r="H2452" t="s">
        <v>36</v>
      </c>
      <c r="I2452">
        <v>15</v>
      </c>
    </row>
    <row r="2453" spans="1:9" ht="21.75" customHeight="1">
      <c r="A2453" t="s">
        <v>2603</v>
      </c>
      <c r="B2453" s="3">
        <v>45624</v>
      </c>
      <c r="C2453" t="s">
        <v>341</v>
      </c>
      <c r="D2453" t="s">
        <v>119</v>
      </c>
      <c r="E2453" t="s">
        <v>11</v>
      </c>
      <c r="F2453" t="str">
        <f t="shared" si="38"/>
        <v>East</v>
      </c>
      <c r="G2453" t="s">
        <v>42</v>
      </c>
      <c r="H2453" t="s">
        <v>13</v>
      </c>
      <c r="I2453">
        <v>2</v>
      </c>
    </row>
    <row r="2454" spans="1:9" ht="21.75" customHeight="1">
      <c r="A2454" t="s">
        <v>2604</v>
      </c>
      <c r="B2454" s="3">
        <v>45491</v>
      </c>
      <c r="C2454" t="s">
        <v>329</v>
      </c>
      <c r="D2454" t="s">
        <v>84</v>
      </c>
      <c r="E2454" t="s">
        <v>22</v>
      </c>
      <c r="F2454" t="str">
        <f t="shared" si="38"/>
        <v>South</v>
      </c>
      <c r="G2454" t="s">
        <v>56</v>
      </c>
      <c r="H2454" t="s">
        <v>36</v>
      </c>
      <c r="I2454">
        <v>18</v>
      </c>
    </row>
    <row r="2455" spans="1:9" ht="21.75" customHeight="1">
      <c r="A2455" t="s">
        <v>2605</v>
      </c>
      <c r="B2455" s="3">
        <v>45339</v>
      </c>
      <c r="C2455" t="s">
        <v>345</v>
      </c>
      <c r="D2455" t="s">
        <v>174</v>
      </c>
      <c r="E2455" t="s">
        <v>17</v>
      </c>
      <c r="F2455" t="str">
        <f t="shared" si="38"/>
        <v>Central</v>
      </c>
      <c r="G2455" t="s">
        <v>306</v>
      </c>
      <c r="H2455" t="s">
        <v>32</v>
      </c>
      <c r="I2455">
        <v>6</v>
      </c>
    </row>
    <row r="2456" spans="1:9" ht="21.75" customHeight="1">
      <c r="A2456" t="s">
        <v>2606</v>
      </c>
      <c r="B2456" s="3">
        <v>45568</v>
      </c>
      <c r="C2456" t="s">
        <v>449</v>
      </c>
      <c r="D2456" t="s">
        <v>26</v>
      </c>
      <c r="E2456" t="s">
        <v>11</v>
      </c>
      <c r="F2456" t="str">
        <f t="shared" si="38"/>
        <v>East</v>
      </c>
      <c r="G2456" t="s">
        <v>42</v>
      </c>
      <c r="H2456" t="s">
        <v>23</v>
      </c>
      <c r="I2456">
        <v>17</v>
      </c>
    </row>
    <row r="2457" spans="1:9" ht="21.75" customHeight="1">
      <c r="A2457" t="s">
        <v>2607</v>
      </c>
      <c r="B2457" s="3">
        <v>45322</v>
      </c>
      <c r="C2457" t="s">
        <v>200</v>
      </c>
      <c r="D2457" t="s">
        <v>26</v>
      </c>
      <c r="E2457" t="s">
        <v>22</v>
      </c>
      <c r="F2457" t="str">
        <f t="shared" si="38"/>
        <v>Central</v>
      </c>
      <c r="G2457" t="s">
        <v>306</v>
      </c>
      <c r="H2457" t="s">
        <v>32</v>
      </c>
      <c r="I2457">
        <v>4</v>
      </c>
    </row>
    <row r="2458" spans="1:9" ht="21.75" customHeight="1">
      <c r="A2458" t="s">
        <v>2608</v>
      </c>
      <c r="B2458" s="3">
        <v>45625</v>
      </c>
      <c r="C2458" t="s">
        <v>114</v>
      </c>
      <c r="D2458" t="s">
        <v>70</v>
      </c>
      <c r="E2458" t="s">
        <v>17</v>
      </c>
      <c r="F2458" t="str">
        <f t="shared" si="38"/>
        <v>Central</v>
      </c>
      <c r="G2458" t="s">
        <v>306</v>
      </c>
      <c r="H2458" t="s">
        <v>13</v>
      </c>
      <c r="I2458">
        <v>15</v>
      </c>
    </row>
    <row r="2459" spans="1:9" ht="21.75" customHeight="1">
      <c r="A2459" t="s">
        <v>2609</v>
      </c>
      <c r="B2459" s="3">
        <v>45412</v>
      </c>
      <c r="C2459" t="s">
        <v>323</v>
      </c>
      <c r="D2459" t="s">
        <v>59</v>
      </c>
      <c r="E2459" t="s">
        <v>22</v>
      </c>
      <c r="F2459" t="str">
        <f t="shared" si="38"/>
        <v>Central</v>
      </c>
      <c r="G2459" t="s">
        <v>306</v>
      </c>
      <c r="H2459" t="s">
        <v>36</v>
      </c>
      <c r="I2459">
        <v>8</v>
      </c>
    </row>
    <row r="2460" spans="1:9" ht="21.75" customHeight="1">
      <c r="A2460" t="s">
        <v>2610</v>
      </c>
      <c r="B2460" s="3">
        <v>45437</v>
      </c>
      <c r="C2460" t="s">
        <v>317</v>
      </c>
      <c r="D2460" t="s">
        <v>62</v>
      </c>
      <c r="E2460" t="s">
        <v>22</v>
      </c>
      <c r="F2460" t="str">
        <f t="shared" si="38"/>
        <v>South</v>
      </c>
      <c r="G2460" t="s">
        <v>56</v>
      </c>
      <c r="H2460" t="s">
        <v>23</v>
      </c>
      <c r="I2460">
        <v>17</v>
      </c>
    </row>
    <row r="2461" spans="1:9" ht="21.75" customHeight="1">
      <c r="A2461" t="s">
        <v>2611</v>
      </c>
      <c r="B2461" s="3">
        <v>45345</v>
      </c>
      <c r="C2461" t="s">
        <v>187</v>
      </c>
      <c r="D2461" t="s">
        <v>160</v>
      </c>
      <c r="E2461" t="s">
        <v>22</v>
      </c>
      <c r="F2461" t="str">
        <f t="shared" si="38"/>
        <v>South</v>
      </c>
      <c r="G2461" t="s">
        <v>56</v>
      </c>
      <c r="H2461" t="s">
        <v>32</v>
      </c>
      <c r="I2461">
        <v>15</v>
      </c>
    </row>
    <row r="2462" spans="1:9" ht="21.75" customHeight="1">
      <c r="A2462" t="s">
        <v>2612</v>
      </c>
      <c r="B2462" s="3">
        <v>45656</v>
      </c>
      <c r="C2462" t="s">
        <v>309</v>
      </c>
      <c r="D2462" t="s">
        <v>87</v>
      </c>
      <c r="E2462" t="s">
        <v>11</v>
      </c>
      <c r="F2462" t="str">
        <f t="shared" si="38"/>
        <v>North</v>
      </c>
      <c r="G2462" t="s">
        <v>12</v>
      </c>
      <c r="H2462" t="s">
        <v>13</v>
      </c>
      <c r="I2462">
        <v>14</v>
      </c>
    </row>
    <row r="2463" spans="1:9" ht="21.75" customHeight="1">
      <c r="A2463" t="s">
        <v>2613</v>
      </c>
      <c r="B2463" s="3">
        <v>45535</v>
      </c>
      <c r="C2463" t="s">
        <v>133</v>
      </c>
      <c r="D2463" t="s">
        <v>70</v>
      </c>
      <c r="E2463" t="s">
        <v>11</v>
      </c>
      <c r="F2463" t="str">
        <f t="shared" si="38"/>
        <v>East</v>
      </c>
      <c r="G2463" t="s">
        <v>42</v>
      </c>
      <c r="H2463" t="s">
        <v>36</v>
      </c>
      <c r="I2463">
        <v>13</v>
      </c>
    </row>
    <row r="2464" spans="1:9" ht="21.75" customHeight="1">
      <c r="A2464" t="s">
        <v>2614</v>
      </c>
      <c r="B2464" s="3">
        <v>45557</v>
      </c>
      <c r="C2464" t="s">
        <v>420</v>
      </c>
      <c r="D2464" t="s">
        <v>31</v>
      </c>
      <c r="E2464" t="s">
        <v>17</v>
      </c>
      <c r="F2464" t="str">
        <f t="shared" si="38"/>
        <v>Central</v>
      </c>
      <c r="G2464" t="s">
        <v>306</v>
      </c>
      <c r="H2464" t="s">
        <v>23</v>
      </c>
      <c r="I2464">
        <v>14</v>
      </c>
    </row>
    <row r="2465" spans="1:9" ht="21.75" customHeight="1">
      <c r="A2465" t="s">
        <v>2615</v>
      </c>
      <c r="B2465" s="3">
        <v>45644</v>
      </c>
      <c r="C2465" t="s">
        <v>374</v>
      </c>
      <c r="D2465" t="s">
        <v>84</v>
      </c>
      <c r="E2465" t="s">
        <v>17</v>
      </c>
      <c r="F2465" t="str">
        <f t="shared" si="38"/>
        <v>South</v>
      </c>
      <c r="G2465" t="s">
        <v>56</v>
      </c>
      <c r="H2465" t="s">
        <v>28</v>
      </c>
      <c r="I2465">
        <v>17</v>
      </c>
    </row>
    <row r="2466" spans="1:9" ht="21.75" customHeight="1">
      <c r="A2466" t="s">
        <v>2616</v>
      </c>
      <c r="B2466" s="3">
        <v>45656</v>
      </c>
      <c r="C2466" t="s">
        <v>366</v>
      </c>
      <c r="D2466" t="s">
        <v>16</v>
      </c>
      <c r="E2466" t="s">
        <v>22</v>
      </c>
      <c r="F2466" t="str">
        <f t="shared" si="38"/>
        <v>Central</v>
      </c>
      <c r="G2466" t="s">
        <v>306</v>
      </c>
      <c r="H2466" t="s">
        <v>36</v>
      </c>
      <c r="I2466">
        <v>4</v>
      </c>
    </row>
    <row r="2467" spans="1:9" ht="21.75" customHeight="1">
      <c r="A2467" t="s">
        <v>2617</v>
      </c>
      <c r="B2467" s="3">
        <v>45525</v>
      </c>
      <c r="C2467" t="s">
        <v>553</v>
      </c>
      <c r="D2467" t="s">
        <v>79</v>
      </c>
      <c r="E2467" t="s">
        <v>22</v>
      </c>
      <c r="F2467" t="str">
        <f t="shared" si="38"/>
        <v>South</v>
      </c>
      <c r="G2467" t="s">
        <v>56</v>
      </c>
      <c r="H2467" t="s">
        <v>36</v>
      </c>
      <c r="I2467">
        <v>12</v>
      </c>
    </row>
    <row r="2468" spans="1:9" ht="21.75" customHeight="1">
      <c r="A2468" t="s">
        <v>2618</v>
      </c>
      <c r="B2468" s="3">
        <v>45352</v>
      </c>
      <c r="C2468" t="s">
        <v>493</v>
      </c>
      <c r="D2468" t="s">
        <v>87</v>
      </c>
      <c r="E2468" t="s">
        <v>11</v>
      </c>
      <c r="F2468" t="str">
        <f t="shared" si="38"/>
        <v>North</v>
      </c>
      <c r="G2468" t="s">
        <v>12</v>
      </c>
      <c r="H2468" t="s">
        <v>32</v>
      </c>
      <c r="I2468">
        <v>19</v>
      </c>
    </row>
    <row r="2469" spans="1:9" ht="21.75" customHeight="1">
      <c r="A2469" t="s">
        <v>2619</v>
      </c>
      <c r="B2469" s="3">
        <v>45559</v>
      </c>
      <c r="C2469" t="s">
        <v>125</v>
      </c>
      <c r="D2469" t="s">
        <v>102</v>
      </c>
      <c r="E2469" t="s">
        <v>17</v>
      </c>
      <c r="F2469" t="str">
        <f t="shared" si="38"/>
        <v>East</v>
      </c>
      <c r="G2469" t="s">
        <v>42</v>
      </c>
      <c r="H2469" t="s">
        <v>32</v>
      </c>
      <c r="I2469">
        <v>10</v>
      </c>
    </row>
    <row r="2470" spans="1:9" ht="21.75" customHeight="1">
      <c r="A2470" t="s">
        <v>2620</v>
      </c>
      <c r="B2470" s="3">
        <v>45306</v>
      </c>
      <c r="C2470" t="s">
        <v>167</v>
      </c>
      <c r="D2470" t="s">
        <v>16</v>
      </c>
      <c r="E2470" t="s">
        <v>22</v>
      </c>
      <c r="F2470" t="str">
        <f t="shared" si="38"/>
        <v>West</v>
      </c>
      <c r="G2470" t="s">
        <v>27</v>
      </c>
      <c r="H2470" t="s">
        <v>13</v>
      </c>
      <c r="I2470">
        <v>10</v>
      </c>
    </row>
    <row r="2471" spans="1:9" ht="21.75" customHeight="1">
      <c r="A2471" t="s">
        <v>2621</v>
      </c>
      <c r="B2471" s="3">
        <v>45402</v>
      </c>
      <c r="C2471" t="s">
        <v>44</v>
      </c>
      <c r="D2471" t="s">
        <v>84</v>
      </c>
      <c r="E2471" t="s">
        <v>17</v>
      </c>
      <c r="F2471" t="str">
        <f t="shared" si="38"/>
        <v>North</v>
      </c>
      <c r="G2471" t="s">
        <v>12</v>
      </c>
      <c r="H2471" t="s">
        <v>13</v>
      </c>
      <c r="I2471">
        <v>18</v>
      </c>
    </row>
    <row r="2472" spans="1:9" ht="21.75" customHeight="1">
      <c r="A2472" t="s">
        <v>2622</v>
      </c>
      <c r="B2472" s="3">
        <v>45314</v>
      </c>
      <c r="C2472" t="s">
        <v>572</v>
      </c>
      <c r="D2472" t="s">
        <v>35</v>
      </c>
      <c r="E2472" t="s">
        <v>22</v>
      </c>
      <c r="F2472" t="str">
        <f t="shared" si="38"/>
        <v>East</v>
      </c>
      <c r="G2472" t="s">
        <v>42</v>
      </c>
      <c r="H2472" t="s">
        <v>36</v>
      </c>
      <c r="I2472">
        <v>15</v>
      </c>
    </row>
    <row r="2473" spans="1:9" ht="21.75" customHeight="1">
      <c r="A2473" t="s">
        <v>2623</v>
      </c>
      <c r="B2473" s="3">
        <v>45485</v>
      </c>
      <c r="C2473" t="s">
        <v>553</v>
      </c>
      <c r="D2473" t="s">
        <v>84</v>
      </c>
      <c r="E2473" t="s">
        <v>22</v>
      </c>
      <c r="F2473" t="str">
        <f t="shared" si="38"/>
        <v>South</v>
      </c>
      <c r="G2473" t="s">
        <v>56</v>
      </c>
      <c r="H2473" t="s">
        <v>28</v>
      </c>
      <c r="I2473">
        <v>17</v>
      </c>
    </row>
    <row r="2474" spans="1:9" ht="21.75" customHeight="1">
      <c r="A2474" t="s">
        <v>2624</v>
      </c>
      <c r="B2474" s="3">
        <v>45522</v>
      </c>
      <c r="C2474" t="s">
        <v>317</v>
      </c>
      <c r="D2474" t="s">
        <v>70</v>
      </c>
      <c r="E2474" t="s">
        <v>11</v>
      </c>
      <c r="F2474" t="str">
        <f t="shared" si="38"/>
        <v>East</v>
      </c>
      <c r="G2474" t="s">
        <v>42</v>
      </c>
      <c r="H2474" t="s">
        <v>13</v>
      </c>
      <c r="I2474">
        <v>20</v>
      </c>
    </row>
    <row r="2475" spans="1:9" ht="21.75" customHeight="1">
      <c r="A2475" t="s">
        <v>2625</v>
      </c>
      <c r="B2475" s="3">
        <v>45501</v>
      </c>
      <c r="C2475" t="s">
        <v>53</v>
      </c>
      <c r="D2475" t="s">
        <v>197</v>
      </c>
      <c r="E2475" t="s">
        <v>17</v>
      </c>
      <c r="F2475" t="str">
        <f t="shared" si="38"/>
        <v>East</v>
      </c>
      <c r="G2475" t="s">
        <v>42</v>
      </c>
      <c r="H2475" t="s">
        <v>36</v>
      </c>
      <c r="I2475">
        <v>2</v>
      </c>
    </row>
    <row r="2476" spans="1:9" ht="21.75" customHeight="1">
      <c r="A2476" t="s">
        <v>2626</v>
      </c>
      <c r="B2476" s="3">
        <v>45518</v>
      </c>
      <c r="C2476" t="s">
        <v>304</v>
      </c>
      <c r="D2476" t="s">
        <v>26</v>
      </c>
      <c r="E2476" t="s">
        <v>22</v>
      </c>
      <c r="F2476" t="str">
        <f t="shared" si="38"/>
        <v>North</v>
      </c>
      <c r="G2476" t="s">
        <v>12</v>
      </c>
      <c r="H2476" t="s">
        <v>28</v>
      </c>
      <c r="I2476">
        <v>1</v>
      </c>
    </row>
    <row r="2477" spans="1:9" ht="21.75" customHeight="1">
      <c r="A2477" t="s">
        <v>2627</v>
      </c>
      <c r="B2477" s="3">
        <v>45654</v>
      </c>
      <c r="C2477" t="s">
        <v>147</v>
      </c>
      <c r="D2477" t="s">
        <v>174</v>
      </c>
      <c r="E2477" t="s">
        <v>22</v>
      </c>
      <c r="F2477" t="str">
        <f t="shared" si="38"/>
        <v>North</v>
      </c>
      <c r="G2477" t="s">
        <v>12</v>
      </c>
      <c r="H2477" t="s">
        <v>36</v>
      </c>
      <c r="I2477">
        <v>3</v>
      </c>
    </row>
    <row r="2478" spans="1:9" ht="21.75" customHeight="1">
      <c r="A2478" t="s">
        <v>2628</v>
      </c>
      <c r="B2478" s="3">
        <v>45608</v>
      </c>
      <c r="C2478" t="s">
        <v>591</v>
      </c>
      <c r="D2478" t="s">
        <v>59</v>
      </c>
      <c r="E2478" t="s">
        <v>11</v>
      </c>
      <c r="F2478" t="str">
        <f t="shared" si="38"/>
        <v>Central</v>
      </c>
      <c r="G2478" t="s">
        <v>306</v>
      </c>
      <c r="H2478" t="s">
        <v>36</v>
      </c>
      <c r="I2478">
        <v>7</v>
      </c>
    </row>
    <row r="2479" spans="1:9" ht="21.75" customHeight="1">
      <c r="A2479" t="s">
        <v>2629</v>
      </c>
      <c r="B2479" s="3">
        <v>45549</v>
      </c>
      <c r="C2479" t="s">
        <v>138</v>
      </c>
      <c r="D2479" t="s">
        <v>102</v>
      </c>
      <c r="E2479" t="s">
        <v>22</v>
      </c>
      <c r="F2479" t="str">
        <f t="shared" si="38"/>
        <v>Central</v>
      </c>
      <c r="G2479" t="s">
        <v>306</v>
      </c>
      <c r="H2479" t="s">
        <v>28</v>
      </c>
      <c r="I2479">
        <v>1</v>
      </c>
    </row>
    <row r="2480" spans="1:9" ht="21.75" customHeight="1">
      <c r="A2480" t="s">
        <v>2630</v>
      </c>
      <c r="B2480" s="3">
        <v>45397</v>
      </c>
      <c r="C2480" t="s">
        <v>78</v>
      </c>
      <c r="D2480" t="s">
        <v>62</v>
      </c>
      <c r="E2480" t="s">
        <v>22</v>
      </c>
      <c r="F2480" t="str">
        <f t="shared" si="38"/>
        <v>West</v>
      </c>
      <c r="G2480" t="s">
        <v>27</v>
      </c>
      <c r="H2480" t="s">
        <v>13</v>
      </c>
      <c r="I2480">
        <v>18</v>
      </c>
    </row>
    <row r="2481" spans="1:9" ht="21.75" customHeight="1">
      <c r="A2481" t="s">
        <v>2631</v>
      </c>
      <c r="B2481" s="3">
        <v>45497</v>
      </c>
      <c r="C2481" t="s">
        <v>449</v>
      </c>
      <c r="D2481" t="s">
        <v>79</v>
      </c>
      <c r="E2481" t="s">
        <v>17</v>
      </c>
      <c r="F2481" t="str">
        <f t="shared" si="38"/>
        <v>North</v>
      </c>
      <c r="G2481" t="s">
        <v>12</v>
      </c>
      <c r="H2481" t="s">
        <v>32</v>
      </c>
      <c r="I2481">
        <v>14</v>
      </c>
    </row>
    <row r="2482" spans="1:9" ht="21.75" customHeight="1">
      <c r="A2482" t="s">
        <v>2632</v>
      </c>
      <c r="B2482" s="3">
        <v>45304</v>
      </c>
      <c r="C2482" t="s">
        <v>339</v>
      </c>
      <c r="D2482" t="s">
        <v>72</v>
      </c>
      <c r="E2482" t="s">
        <v>17</v>
      </c>
      <c r="F2482" t="str">
        <f t="shared" si="38"/>
        <v>East</v>
      </c>
      <c r="G2482" t="s">
        <v>42</v>
      </c>
      <c r="H2482" t="s">
        <v>13</v>
      </c>
      <c r="I2482">
        <v>4</v>
      </c>
    </row>
    <row r="2483" spans="1:9" ht="21.75" customHeight="1">
      <c r="A2483" t="s">
        <v>2633</v>
      </c>
      <c r="B2483" s="3">
        <v>45569</v>
      </c>
      <c r="C2483" t="s">
        <v>30</v>
      </c>
      <c r="D2483" t="s">
        <v>74</v>
      </c>
      <c r="E2483" t="s">
        <v>11</v>
      </c>
      <c r="F2483" t="str">
        <f t="shared" si="38"/>
        <v>South</v>
      </c>
      <c r="G2483" t="s">
        <v>56</v>
      </c>
      <c r="H2483" t="s">
        <v>32</v>
      </c>
      <c r="I2483">
        <v>3</v>
      </c>
    </row>
    <row r="2484" spans="1:9" ht="21.75" customHeight="1">
      <c r="A2484" t="s">
        <v>2634</v>
      </c>
      <c r="B2484" s="3">
        <v>45500</v>
      </c>
      <c r="C2484" t="s">
        <v>422</v>
      </c>
      <c r="D2484" t="s">
        <v>45</v>
      </c>
      <c r="E2484" t="s">
        <v>11</v>
      </c>
      <c r="F2484" t="str">
        <f t="shared" si="38"/>
        <v>Central</v>
      </c>
      <c r="G2484" t="s">
        <v>306</v>
      </c>
      <c r="H2484" t="s">
        <v>32</v>
      </c>
      <c r="I2484">
        <v>6</v>
      </c>
    </row>
    <row r="2485" spans="1:9" ht="21.75" customHeight="1">
      <c r="A2485" t="s">
        <v>2635</v>
      </c>
      <c r="B2485" s="3">
        <v>45321</v>
      </c>
      <c r="C2485" t="s">
        <v>68</v>
      </c>
      <c r="D2485" t="s">
        <v>31</v>
      </c>
      <c r="E2485" t="s">
        <v>11</v>
      </c>
      <c r="F2485" t="str">
        <f t="shared" si="38"/>
        <v>East</v>
      </c>
      <c r="G2485" t="s">
        <v>42</v>
      </c>
      <c r="H2485" t="s">
        <v>28</v>
      </c>
      <c r="I2485">
        <v>14</v>
      </c>
    </row>
    <row r="2486" spans="1:9" ht="21.75" customHeight="1">
      <c r="A2486" t="s">
        <v>2636</v>
      </c>
      <c r="B2486" s="3">
        <v>45424</v>
      </c>
      <c r="C2486" t="s">
        <v>159</v>
      </c>
      <c r="D2486" t="s">
        <v>102</v>
      </c>
      <c r="E2486" t="s">
        <v>11</v>
      </c>
      <c r="F2486" t="str">
        <f t="shared" si="38"/>
        <v>South</v>
      </c>
      <c r="G2486" t="s">
        <v>56</v>
      </c>
      <c r="H2486" t="s">
        <v>28</v>
      </c>
      <c r="I2486">
        <v>20</v>
      </c>
    </row>
    <row r="2487" spans="1:9" ht="21.75" customHeight="1">
      <c r="A2487" t="s">
        <v>2637</v>
      </c>
      <c r="B2487" s="3">
        <v>45544</v>
      </c>
      <c r="C2487" t="s">
        <v>345</v>
      </c>
      <c r="D2487" t="s">
        <v>119</v>
      </c>
      <c r="E2487" t="s">
        <v>22</v>
      </c>
      <c r="F2487" t="str">
        <f t="shared" si="38"/>
        <v>West</v>
      </c>
      <c r="G2487" t="s">
        <v>27</v>
      </c>
      <c r="H2487" t="s">
        <v>13</v>
      </c>
      <c r="I2487">
        <v>9</v>
      </c>
    </row>
    <row r="2488" spans="1:9" ht="21.75" customHeight="1">
      <c r="A2488" t="s">
        <v>2638</v>
      </c>
      <c r="B2488" s="3">
        <v>45529</v>
      </c>
      <c r="C2488" t="s">
        <v>378</v>
      </c>
      <c r="D2488" t="s">
        <v>87</v>
      </c>
      <c r="E2488" t="s">
        <v>11</v>
      </c>
      <c r="F2488" t="str">
        <f t="shared" si="38"/>
        <v>West</v>
      </c>
      <c r="G2488" t="s">
        <v>27</v>
      </c>
      <c r="H2488" t="s">
        <v>13</v>
      </c>
      <c r="I2488">
        <v>14</v>
      </c>
    </row>
    <row r="2489" spans="1:9" ht="21.75" customHeight="1">
      <c r="A2489" t="s">
        <v>2639</v>
      </c>
      <c r="B2489" s="3">
        <v>45301</v>
      </c>
      <c r="C2489" t="s">
        <v>101</v>
      </c>
      <c r="D2489" t="s">
        <v>174</v>
      </c>
      <c r="E2489" t="s">
        <v>22</v>
      </c>
      <c r="F2489" t="str">
        <f t="shared" si="38"/>
        <v>North</v>
      </c>
      <c r="G2489" t="s">
        <v>12</v>
      </c>
      <c r="H2489" t="s">
        <v>28</v>
      </c>
      <c r="I2489">
        <v>18</v>
      </c>
    </row>
    <row r="2490" spans="1:9" ht="21.75" customHeight="1">
      <c r="A2490" t="s">
        <v>2640</v>
      </c>
      <c r="B2490" s="3">
        <v>45356</v>
      </c>
      <c r="C2490" t="s">
        <v>68</v>
      </c>
      <c r="D2490" t="s">
        <v>59</v>
      </c>
      <c r="E2490" t="s">
        <v>17</v>
      </c>
      <c r="F2490" t="str">
        <f t="shared" si="38"/>
        <v>West</v>
      </c>
      <c r="G2490" t="s">
        <v>27</v>
      </c>
      <c r="H2490" t="s">
        <v>13</v>
      </c>
      <c r="I2490">
        <v>17</v>
      </c>
    </row>
    <row r="2491" spans="1:9" ht="21.75" customHeight="1">
      <c r="A2491" t="s">
        <v>2641</v>
      </c>
      <c r="B2491" s="3">
        <v>45364</v>
      </c>
      <c r="C2491" t="s">
        <v>200</v>
      </c>
      <c r="D2491" t="s">
        <v>174</v>
      </c>
      <c r="E2491" t="s">
        <v>11</v>
      </c>
      <c r="F2491" t="str">
        <f t="shared" si="38"/>
        <v>South</v>
      </c>
      <c r="G2491" t="s">
        <v>56</v>
      </c>
      <c r="H2491" t="s">
        <v>36</v>
      </c>
      <c r="I2491">
        <v>14</v>
      </c>
    </row>
    <row r="2492" spans="1:9" ht="21.75" customHeight="1">
      <c r="A2492" t="s">
        <v>2642</v>
      </c>
      <c r="B2492" s="3">
        <v>45576</v>
      </c>
      <c r="C2492" t="s">
        <v>430</v>
      </c>
      <c r="D2492" t="s">
        <v>79</v>
      </c>
      <c r="E2492" t="s">
        <v>11</v>
      </c>
      <c r="F2492" t="str">
        <f t="shared" si="38"/>
        <v>West</v>
      </c>
      <c r="G2492" t="s">
        <v>27</v>
      </c>
      <c r="H2492" t="s">
        <v>36</v>
      </c>
      <c r="I2492">
        <v>10</v>
      </c>
    </row>
    <row r="2493" spans="1:9" ht="21.75" customHeight="1">
      <c r="A2493" t="s">
        <v>2643</v>
      </c>
      <c r="B2493" s="3">
        <v>45377</v>
      </c>
      <c r="C2493" t="s">
        <v>25</v>
      </c>
      <c r="D2493" t="s">
        <v>79</v>
      </c>
      <c r="E2493" t="s">
        <v>17</v>
      </c>
      <c r="F2493" t="str">
        <f t="shared" si="38"/>
        <v>East</v>
      </c>
      <c r="G2493" t="s">
        <v>42</v>
      </c>
      <c r="H2493" t="s">
        <v>36</v>
      </c>
      <c r="I2493">
        <v>9</v>
      </c>
    </row>
    <row r="2494" spans="1:9" ht="21.75" customHeight="1">
      <c r="A2494" t="s">
        <v>2644</v>
      </c>
      <c r="B2494" s="3">
        <v>45486</v>
      </c>
      <c r="C2494" t="s">
        <v>20</v>
      </c>
      <c r="D2494" t="s">
        <v>21</v>
      </c>
      <c r="E2494" t="s">
        <v>11</v>
      </c>
      <c r="F2494" t="str">
        <f t="shared" si="38"/>
        <v>Central</v>
      </c>
      <c r="G2494" t="s">
        <v>306</v>
      </c>
      <c r="H2494" t="s">
        <v>36</v>
      </c>
      <c r="I2494">
        <v>10</v>
      </c>
    </row>
    <row r="2495" spans="1:9" ht="21.75" customHeight="1">
      <c r="A2495" t="s">
        <v>2645</v>
      </c>
      <c r="B2495" s="3">
        <v>45565</v>
      </c>
      <c r="C2495" t="s">
        <v>614</v>
      </c>
      <c r="D2495" t="s">
        <v>10</v>
      </c>
      <c r="E2495" t="s">
        <v>17</v>
      </c>
      <c r="F2495" t="str">
        <f t="shared" si="38"/>
        <v>North</v>
      </c>
      <c r="G2495" t="s">
        <v>12</v>
      </c>
      <c r="H2495" t="s">
        <v>23</v>
      </c>
      <c r="I2495">
        <v>4</v>
      </c>
    </row>
    <row r="2496" spans="1:9" ht="21.75" customHeight="1">
      <c r="A2496" t="s">
        <v>2646</v>
      </c>
      <c r="B2496" s="3">
        <v>45576</v>
      </c>
      <c r="C2496" t="s">
        <v>89</v>
      </c>
      <c r="D2496" t="s">
        <v>87</v>
      </c>
      <c r="E2496" t="s">
        <v>11</v>
      </c>
      <c r="F2496" t="str">
        <f t="shared" si="38"/>
        <v>Central</v>
      </c>
      <c r="G2496" t="s">
        <v>306</v>
      </c>
      <c r="H2496" t="s">
        <v>36</v>
      </c>
      <c r="I2496">
        <v>11</v>
      </c>
    </row>
    <row r="2497" spans="1:9" ht="21.75" customHeight="1">
      <c r="A2497" t="s">
        <v>2647</v>
      </c>
      <c r="B2497" s="3">
        <v>45467</v>
      </c>
      <c r="C2497" t="s">
        <v>541</v>
      </c>
      <c r="D2497" t="s">
        <v>26</v>
      </c>
      <c r="E2497" t="s">
        <v>22</v>
      </c>
      <c r="F2497" t="str">
        <f t="shared" si="38"/>
        <v>West</v>
      </c>
      <c r="G2497" t="s">
        <v>27</v>
      </c>
      <c r="H2497" t="s">
        <v>32</v>
      </c>
      <c r="I2497">
        <v>8</v>
      </c>
    </row>
    <row r="2498" spans="1:9" ht="21.75" customHeight="1">
      <c r="A2498" t="s">
        <v>2648</v>
      </c>
      <c r="B2498" s="3">
        <v>45456</v>
      </c>
      <c r="C2498" t="s">
        <v>47</v>
      </c>
      <c r="D2498" t="s">
        <v>65</v>
      </c>
      <c r="E2498" t="s">
        <v>17</v>
      </c>
      <c r="F2498" t="str">
        <f t="shared" si="38"/>
        <v>Central</v>
      </c>
      <c r="G2498" t="s">
        <v>306</v>
      </c>
      <c r="H2498" t="s">
        <v>32</v>
      </c>
      <c r="I2498">
        <v>1</v>
      </c>
    </row>
    <row r="2499" spans="1:9" ht="21.75" customHeight="1">
      <c r="A2499" t="s">
        <v>2649</v>
      </c>
      <c r="B2499" s="3">
        <v>45360</v>
      </c>
      <c r="C2499" t="s">
        <v>736</v>
      </c>
      <c r="D2499" t="s">
        <v>96</v>
      </c>
      <c r="E2499" t="s">
        <v>22</v>
      </c>
      <c r="F2499" t="str">
        <f t="shared" ref="F2499:F2562" si="39">TRIM(PROPER(G2499))</f>
        <v>West</v>
      </c>
      <c r="G2499" t="s">
        <v>27</v>
      </c>
      <c r="H2499" t="s">
        <v>13</v>
      </c>
      <c r="I2499">
        <v>1</v>
      </c>
    </row>
    <row r="2500" spans="1:9" ht="21.75" customHeight="1">
      <c r="A2500" t="s">
        <v>2650</v>
      </c>
      <c r="B2500" s="3">
        <v>45503</v>
      </c>
      <c r="C2500" t="s">
        <v>642</v>
      </c>
      <c r="D2500" t="s">
        <v>62</v>
      </c>
      <c r="E2500" t="s">
        <v>22</v>
      </c>
      <c r="F2500" t="str">
        <f t="shared" si="39"/>
        <v>West</v>
      </c>
      <c r="G2500" t="s">
        <v>27</v>
      </c>
      <c r="H2500" t="s">
        <v>23</v>
      </c>
      <c r="I2500">
        <v>18</v>
      </c>
    </row>
    <row r="2501" spans="1:9" ht="21.75" customHeight="1">
      <c r="A2501" t="s">
        <v>2651</v>
      </c>
      <c r="B2501" s="3">
        <v>45624</v>
      </c>
      <c r="C2501" t="s">
        <v>350</v>
      </c>
      <c r="D2501" t="s">
        <v>10</v>
      </c>
      <c r="E2501" t="s">
        <v>22</v>
      </c>
      <c r="F2501" t="str">
        <f t="shared" si="39"/>
        <v>North</v>
      </c>
      <c r="G2501" t="s">
        <v>12</v>
      </c>
      <c r="H2501" t="s">
        <v>23</v>
      </c>
      <c r="I2501">
        <v>4</v>
      </c>
    </row>
    <row r="2502" spans="1:9" ht="21.75" customHeight="1">
      <c r="A2502" t="s">
        <v>2652</v>
      </c>
      <c r="B2502" s="3">
        <v>45484</v>
      </c>
      <c r="C2502" t="s">
        <v>327</v>
      </c>
      <c r="D2502" t="s">
        <v>48</v>
      </c>
      <c r="E2502" t="s">
        <v>17</v>
      </c>
      <c r="F2502" t="str">
        <f t="shared" si="39"/>
        <v>South</v>
      </c>
      <c r="G2502" t="s">
        <v>56</v>
      </c>
      <c r="H2502" t="s">
        <v>13</v>
      </c>
      <c r="I2502">
        <v>4</v>
      </c>
    </row>
    <row r="2503" spans="1:9" ht="21.75" customHeight="1">
      <c r="A2503" t="s">
        <v>2653</v>
      </c>
      <c r="B2503" s="3">
        <v>45390</v>
      </c>
      <c r="C2503" t="s">
        <v>396</v>
      </c>
      <c r="D2503" t="s">
        <v>96</v>
      </c>
      <c r="E2503" t="s">
        <v>11</v>
      </c>
      <c r="F2503" t="str">
        <f t="shared" si="39"/>
        <v>North</v>
      </c>
      <c r="G2503" t="s">
        <v>12</v>
      </c>
      <c r="H2503" t="s">
        <v>32</v>
      </c>
      <c r="I2503">
        <v>12</v>
      </c>
    </row>
    <row r="2504" spans="1:9" ht="21.75" customHeight="1">
      <c r="A2504" t="s">
        <v>2654</v>
      </c>
      <c r="B2504" s="3">
        <v>45606</v>
      </c>
      <c r="C2504" t="s">
        <v>451</v>
      </c>
      <c r="D2504" t="s">
        <v>74</v>
      </c>
      <c r="E2504" t="s">
        <v>22</v>
      </c>
      <c r="F2504" t="str">
        <f t="shared" si="39"/>
        <v>South</v>
      </c>
      <c r="G2504" t="s">
        <v>56</v>
      </c>
      <c r="H2504" t="s">
        <v>28</v>
      </c>
      <c r="I2504">
        <v>16</v>
      </c>
    </row>
    <row r="2505" spans="1:9" ht="21.75" customHeight="1">
      <c r="A2505" t="s">
        <v>2655</v>
      </c>
      <c r="B2505" s="3">
        <v>45310</v>
      </c>
      <c r="C2505" t="s">
        <v>89</v>
      </c>
      <c r="D2505" t="s">
        <v>35</v>
      </c>
      <c r="E2505" t="s">
        <v>22</v>
      </c>
      <c r="F2505" t="str">
        <f t="shared" si="39"/>
        <v>Central</v>
      </c>
      <c r="G2505" t="s">
        <v>306</v>
      </c>
      <c r="H2505" t="s">
        <v>28</v>
      </c>
      <c r="I2505">
        <v>1</v>
      </c>
    </row>
    <row r="2506" spans="1:9" ht="21.75" customHeight="1">
      <c r="A2506" t="s">
        <v>2656</v>
      </c>
      <c r="B2506" s="3">
        <v>45618</v>
      </c>
      <c r="C2506" t="s">
        <v>106</v>
      </c>
      <c r="D2506" t="s">
        <v>102</v>
      </c>
      <c r="E2506" t="s">
        <v>17</v>
      </c>
      <c r="F2506" t="str">
        <f t="shared" si="39"/>
        <v>Central</v>
      </c>
      <c r="G2506" t="s">
        <v>306</v>
      </c>
      <c r="H2506" t="s">
        <v>36</v>
      </c>
      <c r="I2506">
        <v>16</v>
      </c>
    </row>
    <row r="2507" spans="1:9" ht="21.75" customHeight="1">
      <c r="A2507" t="s">
        <v>2657</v>
      </c>
      <c r="B2507" s="3">
        <v>45391</v>
      </c>
      <c r="C2507" t="s">
        <v>371</v>
      </c>
      <c r="D2507" t="s">
        <v>84</v>
      </c>
      <c r="E2507" t="s">
        <v>22</v>
      </c>
      <c r="F2507" t="str">
        <f t="shared" si="39"/>
        <v>Central</v>
      </c>
      <c r="G2507" t="s">
        <v>306</v>
      </c>
      <c r="H2507" t="s">
        <v>36</v>
      </c>
      <c r="I2507">
        <v>6</v>
      </c>
    </row>
    <row r="2508" spans="1:9" ht="21.75" customHeight="1">
      <c r="A2508" t="s">
        <v>2658</v>
      </c>
      <c r="B2508" s="3">
        <v>45357</v>
      </c>
      <c r="C2508" t="s">
        <v>323</v>
      </c>
      <c r="D2508" t="s">
        <v>10</v>
      </c>
      <c r="E2508" t="s">
        <v>11</v>
      </c>
      <c r="F2508" t="str">
        <f t="shared" si="39"/>
        <v>East</v>
      </c>
      <c r="G2508" t="s">
        <v>42</v>
      </c>
      <c r="H2508" t="s">
        <v>36</v>
      </c>
      <c r="I2508">
        <v>8</v>
      </c>
    </row>
    <row r="2509" spans="1:9" ht="21.75" customHeight="1">
      <c r="A2509" t="s">
        <v>2659</v>
      </c>
      <c r="B2509" s="3">
        <v>45432</v>
      </c>
      <c r="C2509" t="s">
        <v>150</v>
      </c>
      <c r="D2509" t="s">
        <v>41</v>
      </c>
      <c r="E2509" t="s">
        <v>11</v>
      </c>
      <c r="F2509" t="str">
        <f t="shared" si="39"/>
        <v>Central</v>
      </c>
      <c r="G2509" t="s">
        <v>306</v>
      </c>
      <c r="H2509" t="s">
        <v>36</v>
      </c>
      <c r="I2509">
        <v>9</v>
      </c>
    </row>
    <row r="2510" spans="1:9" ht="21.75" customHeight="1">
      <c r="A2510" t="s">
        <v>2660</v>
      </c>
      <c r="B2510" s="3">
        <v>45524</v>
      </c>
      <c r="C2510" t="s">
        <v>25</v>
      </c>
      <c r="D2510" t="s">
        <v>87</v>
      </c>
      <c r="E2510" t="s">
        <v>22</v>
      </c>
      <c r="F2510" t="str">
        <f t="shared" si="39"/>
        <v>North</v>
      </c>
      <c r="G2510" t="s">
        <v>12</v>
      </c>
      <c r="H2510" t="s">
        <v>32</v>
      </c>
      <c r="I2510">
        <v>14</v>
      </c>
    </row>
    <row r="2511" spans="1:9" ht="21.75" customHeight="1">
      <c r="A2511" t="s">
        <v>2661</v>
      </c>
      <c r="B2511" s="3">
        <v>45500</v>
      </c>
      <c r="C2511" t="s">
        <v>89</v>
      </c>
      <c r="D2511" t="s">
        <v>102</v>
      </c>
      <c r="E2511" t="s">
        <v>22</v>
      </c>
      <c r="F2511" t="str">
        <f t="shared" si="39"/>
        <v>Central</v>
      </c>
      <c r="G2511" t="s">
        <v>306</v>
      </c>
      <c r="H2511" t="s">
        <v>23</v>
      </c>
      <c r="I2511">
        <v>16</v>
      </c>
    </row>
    <row r="2512" spans="1:9" ht="21.75" customHeight="1">
      <c r="A2512" t="s">
        <v>2662</v>
      </c>
      <c r="B2512" s="3">
        <v>45314</v>
      </c>
      <c r="C2512" t="s">
        <v>329</v>
      </c>
      <c r="D2512" t="s">
        <v>197</v>
      </c>
      <c r="E2512" t="s">
        <v>11</v>
      </c>
      <c r="F2512" t="str">
        <f t="shared" si="39"/>
        <v>East</v>
      </c>
      <c r="G2512" t="s">
        <v>42</v>
      </c>
      <c r="H2512" t="s">
        <v>23</v>
      </c>
      <c r="I2512">
        <v>18</v>
      </c>
    </row>
    <row r="2513" spans="1:9" ht="21.75" customHeight="1">
      <c r="A2513" t="s">
        <v>2663</v>
      </c>
      <c r="B2513" s="3">
        <v>45294</v>
      </c>
      <c r="C2513" t="s">
        <v>106</v>
      </c>
      <c r="D2513" t="s">
        <v>65</v>
      </c>
      <c r="E2513" t="s">
        <v>17</v>
      </c>
      <c r="F2513" t="str">
        <f t="shared" si="39"/>
        <v>North</v>
      </c>
      <c r="G2513" t="s">
        <v>12</v>
      </c>
      <c r="H2513" t="s">
        <v>36</v>
      </c>
      <c r="I2513">
        <v>1</v>
      </c>
    </row>
    <row r="2514" spans="1:9" ht="21.75" customHeight="1">
      <c r="A2514" t="s">
        <v>2664</v>
      </c>
      <c r="B2514" s="3">
        <v>45407</v>
      </c>
      <c r="C2514" t="s">
        <v>465</v>
      </c>
      <c r="D2514" t="s">
        <v>87</v>
      </c>
      <c r="E2514" t="s">
        <v>11</v>
      </c>
      <c r="F2514" t="str">
        <f t="shared" si="39"/>
        <v>South</v>
      </c>
      <c r="G2514" t="s">
        <v>56</v>
      </c>
      <c r="H2514" t="s">
        <v>28</v>
      </c>
      <c r="I2514">
        <v>6</v>
      </c>
    </row>
    <row r="2515" spans="1:9" ht="21.75" customHeight="1">
      <c r="A2515" t="s">
        <v>2665</v>
      </c>
      <c r="B2515" s="3">
        <v>45324</v>
      </c>
      <c r="C2515" t="s">
        <v>451</v>
      </c>
      <c r="D2515" t="s">
        <v>21</v>
      </c>
      <c r="E2515" t="s">
        <v>11</v>
      </c>
      <c r="F2515" t="str">
        <f t="shared" si="39"/>
        <v>North</v>
      </c>
      <c r="G2515" t="s">
        <v>12</v>
      </c>
      <c r="H2515" t="s">
        <v>23</v>
      </c>
      <c r="I2515">
        <v>14</v>
      </c>
    </row>
    <row r="2516" spans="1:9" ht="21.75" customHeight="1">
      <c r="A2516" t="s">
        <v>2666</v>
      </c>
      <c r="B2516" s="3">
        <v>45595</v>
      </c>
      <c r="C2516" t="s">
        <v>451</v>
      </c>
      <c r="D2516" t="s">
        <v>72</v>
      </c>
      <c r="E2516" t="s">
        <v>17</v>
      </c>
      <c r="F2516" t="str">
        <f t="shared" si="39"/>
        <v>South</v>
      </c>
      <c r="G2516" t="s">
        <v>56</v>
      </c>
      <c r="H2516" t="s">
        <v>13</v>
      </c>
      <c r="I2516">
        <v>16</v>
      </c>
    </row>
    <row r="2517" spans="1:9" ht="21.75" customHeight="1">
      <c r="A2517" t="s">
        <v>2667</v>
      </c>
      <c r="B2517" s="3">
        <v>45466</v>
      </c>
      <c r="C2517" t="s">
        <v>9</v>
      </c>
      <c r="D2517" t="s">
        <v>72</v>
      </c>
      <c r="E2517" t="s">
        <v>22</v>
      </c>
      <c r="F2517" t="str">
        <f t="shared" si="39"/>
        <v>South</v>
      </c>
      <c r="G2517" t="s">
        <v>56</v>
      </c>
      <c r="H2517" t="s">
        <v>13</v>
      </c>
      <c r="I2517">
        <v>20</v>
      </c>
    </row>
    <row r="2518" spans="1:9" ht="21.75" customHeight="1">
      <c r="A2518" t="s">
        <v>2668</v>
      </c>
      <c r="B2518" s="3">
        <v>45340</v>
      </c>
      <c r="C2518" t="s">
        <v>451</v>
      </c>
      <c r="D2518" t="s">
        <v>70</v>
      </c>
      <c r="E2518" t="s">
        <v>22</v>
      </c>
      <c r="F2518" t="str">
        <f t="shared" si="39"/>
        <v>North</v>
      </c>
      <c r="G2518" t="s">
        <v>12</v>
      </c>
      <c r="H2518" t="s">
        <v>13</v>
      </c>
      <c r="I2518">
        <v>2</v>
      </c>
    </row>
    <row r="2519" spans="1:9" ht="21.75" customHeight="1">
      <c r="A2519" t="s">
        <v>2669</v>
      </c>
      <c r="B2519" s="3">
        <v>45485</v>
      </c>
      <c r="C2519" t="s">
        <v>38</v>
      </c>
      <c r="D2519" t="s">
        <v>62</v>
      </c>
      <c r="E2519" t="s">
        <v>11</v>
      </c>
      <c r="F2519" t="str">
        <f t="shared" si="39"/>
        <v>South</v>
      </c>
      <c r="G2519" t="s">
        <v>56</v>
      </c>
      <c r="H2519" t="s">
        <v>13</v>
      </c>
      <c r="I2519">
        <v>15</v>
      </c>
    </row>
    <row r="2520" spans="1:9" ht="21.75" customHeight="1">
      <c r="A2520" t="s">
        <v>2670</v>
      </c>
      <c r="B2520" s="3">
        <v>45604</v>
      </c>
      <c r="C2520" t="s">
        <v>451</v>
      </c>
      <c r="D2520" t="s">
        <v>87</v>
      </c>
      <c r="E2520" t="s">
        <v>11</v>
      </c>
      <c r="F2520" t="str">
        <f t="shared" si="39"/>
        <v>North</v>
      </c>
      <c r="G2520" t="s">
        <v>12</v>
      </c>
      <c r="H2520" t="s">
        <v>13</v>
      </c>
      <c r="I2520">
        <v>18</v>
      </c>
    </row>
    <row r="2521" spans="1:9" ht="21.75" customHeight="1">
      <c r="A2521" t="s">
        <v>2671</v>
      </c>
      <c r="B2521" s="3">
        <v>45487</v>
      </c>
      <c r="C2521" t="s">
        <v>341</v>
      </c>
      <c r="D2521" t="s">
        <v>102</v>
      </c>
      <c r="E2521" t="s">
        <v>22</v>
      </c>
      <c r="F2521" t="str">
        <f t="shared" si="39"/>
        <v>West</v>
      </c>
      <c r="G2521" t="s">
        <v>27</v>
      </c>
      <c r="H2521" t="s">
        <v>28</v>
      </c>
      <c r="I2521">
        <v>20</v>
      </c>
    </row>
    <row r="2522" spans="1:9" ht="21.75" customHeight="1">
      <c r="A2522" t="s">
        <v>2672</v>
      </c>
      <c r="B2522" s="3">
        <v>45611</v>
      </c>
      <c r="C2522" t="s">
        <v>142</v>
      </c>
      <c r="D2522" t="s">
        <v>70</v>
      </c>
      <c r="E2522" t="s">
        <v>17</v>
      </c>
      <c r="F2522" t="str">
        <f t="shared" si="39"/>
        <v>West</v>
      </c>
      <c r="G2522" t="s">
        <v>27</v>
      </c>
      <c r="H2522" t="s">
        <v>23</v>
      </c>
      <c r="I2522">
        <v>20</v>
      </c>
    </row>
    <row r="2523" spans="1:9" ht="21.75" customHeight="1">
      <c r="A2523" t="s">
        <v>2673</v>
      </c>
      <c r="B2523" s="3">
        <v>45465</v>
      </c>
      <c r="C2523" t="s">
        <v>350</v>
      </c>
      <c r="D2523" t="s">
        <v>41</v>
      </c>
      <c r="E2523" t="s">
        <v>11</v>
      </c>
      <c r="F2523" t="str">
        <f t="shared" si="39"/>
        <v>West</v>
      </c>
      <c r="G2523" t="s">
        <v>27</v>
      </c>
      <c r="H2523" t="s">
        <v>36</v>
      </c>
      <c r="I2523">
        <v>11</v>
      </c>
    </row>
    <row r="2524" spans="1:9" ht="21.75" customHeight="1">
      <c r="A2524" t="s">
        <v>2674</v>
      </c>
      <c r="B2524" s="3">
        <v>45347</v>
      </c>
      <c r="C2524" t="s">
        <v>15</v>
      </c>
      <c r="D2524" t="s">
        <v>96</v>
      </c>
      <c r="E2524" t="s">
        <v>22</v>
      </c>
      <c r="F2524" t="str">
        <f t="shared" si="39"/>
        <v>North</v>
      </c>
      <c r="G2524" t="s">
        <v>12</v>
      </c>
      <c r="H2524" t="s">
        <v>36</v>
      </c>
      <c r="I2524">
        <v>7</v>
      </c>
    </row>
    <row r="2525" spans="1:9" ht="21.75" customHeight="1">
      <c r="A2525" t="s">
        <v>2675</v>
      </c>
      <c r="B2525" s="3">
        <v>45356</v>
      </c>
      <c r="C2525" t="s">
        <v>541</v>
      </c>
      <c r="D2525" t="s">
        <v>160</v>
      </c>
      <c r="E2525" t="s">
        <v>17</v>
      </c>
      <c r="F2525" t="str">
        <f t="shared" si="39"/>
        <v>East</v>
      </c>
      <c r="G2525" t="s">
        <v>42</v>
      </c>
      <c r="H2525" t="s">
        <v>23</v>
      </c>
      <c r="I2525">
        <v>16</v>
      </c>
    </row>
    <row r="2526" spans="1:9" ht="21.75" customHeight="1">
      <c r="A2526" t="s">
        <v>2676</v>
      </c>
      <c r="B2526" s="3">
        <v>45519</v>
      </c>
      <c r="C2526" t="s">
        <v>44</v>
      </c>
      <c r="D2526" t="s">
        <v>197</v>
      </c>
      <c r="E2526" t="s">
        <v>11</v>
      </c>
      <c r="F2526" t="str">
        <f t="shared" si="39"/>
        <v>North</v>
      </c>
      <c r="G2526" t="s">
        <v>12</v>
      </c>
      <c r="H2526" t="s">
        <v>13</v>
      </c>
      <c r="I2526">
        <v>5</v>
      </c>
    </row>
    <row r="2527" spans="1:9" ht="21.75" customHeight="1">
      <c r="A2527" t="s">
        <v>2677</v>
      </c>
      <c r="B2527" s="3">
        <v>45515</v>
      </c>
      <c r="C2527" t="s">
        <v>345</v>
      </c>
      <c r="D2527" t="s">
        <v>21</v>
      </c>
      <c r="E2527" t="s">
        <v>17</v>
      </c>
      <c r="F2527" t="str">
        <f t="shared" si="39"/>
        <v>East</v>
      </c>
      <c r="G2527" t="s">
        <v>42</v>
      </c>
      <c r="H2527" t="s">
        <v>36</v>
      </c>
      <c r="I2527">
        <v>18</v>
      </c>
    </row>
    <row r="2528" spans="1:9" ht="21.75" customHeight="1">
      <c r="A2528" t="s">
        <v>2678</v>
      </c>
      <c r="B2528" s="3">
        <v>45367</v>
      </c>
      <c r="C2528" t="s">
        <v>553</v>
      </c>
      <c r="D2528" t="s">
        <v>74</v>
      </c>
      <c r="E2528" t="s">
        <v>22</v>
      </c>
      <c r="F2528" t="str">
        <f t="shared" si="39"/>
        <v>East</v>
      </c>
      <c r="G2528" t="s">
        <v>42</v>
      </c>
      <c r="H2528" t="s">
        <v>32</v>
      </c>
      <c r="I2528">
        <v>12</v>
      </c>
    </row>
    <row r="2529" spans="1:9" ht="21.75" customHeight="1">
      <c r="A2529" t="s">
        <v>2679</v>
      </c>
      <c r="B2529" s="3">
        <v>45557</v>
      </c>
      <c r="C2529" t="s">
        <v>449</v>
      </c>
      <c r="D2529" t="s">
        <v>41</v>
      </c>
      <c r="E2529" t="s">
        <v>22</v>
      </c>
      <c r="F2529" t="str">
        <f t="shared" si="39"/>
        <v>South</v>
      </c>
      <c r="G2529" t="s">
        <v>56</v>
      </c>
      <c r="H2529" t="s">
        <v>13</v>
      </c>
      <c r="I2529">
        <v>8</v>
      </c>
    </row>
    <row r="2530" spans="1:9" ht="21.75" customHeight="1">
      <c r="A2530" t="s">
        <v>2680</v>
      </c>
      <c r="B2530" s="3">
        <v>45578</v>
      </c>
      <c r="C2530" t="s">
        <v>9</v>
      </c>
      <c r="D2530" t="s">
        <v>87</v>
      </c>
      <c r="E2530" t="s">
        <v>17</v>
      </c>
      <c r="F2530" t="str">
        <f t="shared" si="39"/>
        <v>South</v>
      </c>
      <c r="G2530" t="s">
        <v>56</v>
      </c>
      <c r="H2530" t="s">
        <v>28</v>
      </c>
      <c r="I2530">
        <v>7</v>
      </c>
    </row>
    <row r="2531" spans="1:9" ht="21.75" customHeight="1">
      <c r="A2531" t="s">
        <v>2681</v>
      </c>
      <c r="B2531" s="3">
        <v>45466</v>
      </c>
      <c r="C2531" t="s">
        <v>150</v>
      </c>
      <c r="D2531" t="s">
        <v>41</v>
      </c>
      <c r="E2531" t="s">
        <v>17</v>
      </c>
      <c r="F2531" t="str">
        <f t="shared" si="39"/>
        <v>West</v>
      </c>
      <c r="G2531" t="s">
        <v>27</v>
      </c>
      <c r="H2531" t="s">
        <v>36</v>
      </c>
      <c r="I2531">
        <v>11</v>
      </c>
    </row>
    <row r="2532" spans="1:9" ht="21.75" customHeight="1">
      <c r="A2532" t="s">
        <v>2682</v>
      </c>
      <c r="B2532" s="3">
        <v>45581</v>
      </c>
      <c r="C2532" t="s">
        <v>118</v>
      </c>
      <c r="D2532" t="s">
        <v>109</v>
      </c>
      <c r="E2532" t="s">
        <v>17</v>
      </c>
      <c r="F2532" t="str">
        <f t="shared" si="39"/>
        <v>West</v>
      </c>
      <c r="G2532" t="s">
        <v>27</v>
      </c>
      <c r="H2532" t="s">
        <v>32</v>
      </c>
      <c r="I2532">
        <v>6</v>
      </c>
    </row>
    <row r="2533" spans="1:9" ht="21.75" customHeight="1">
      <c r="A2533" t="s">
        <v>2683</v>
      </c>
      <c r="B2533" s="3">
        <v>45313</v>
      </c>
      <c r="C2533" t="s">
        <v>432</v>
      </c>
      <c r="D2533" t="s">
        <v>197</v>
      </c>
      <c r="E2533" t="s">
        <v>11</v>
      </c>
      <c r="F2533" t="str">
        <f t="shared" si="39"/>
        <v>South</v>
      </c>
      <c r="G2533" t="s">
        <v>56</v>
      </c>
      <c r="H2533" t="s">
        <v>28</v>
      </c>
      <c r="I2533">
        <v>15</v>
      </c>
    </row>
    <row r="2534" spans="1:9" ht="21.75" customHeight="1">
      <c r="A2534" t="s">
        <v>2684</v>
      </c>
      <c r="B2534" s="3">
        <v>45414</v>
      </c>
      <c r="C2534" t="s">
        <v>517</v>
      </c>
      <c r="D2534" t="s">
        <v>84</v>
      </c>
      <c r="E2534" t="s">
        <v>17</v>
      </c>
      <c r="F2534" t="str">
        <f t="shared" si="39"/>
        <v>West</v>
      </c>
      <c r="G2534" t="s">
        <v>27</v>
      </c>
      <c r="H2534" t="s">
        <v>28</v>
      </c>
      <c r="I2534">
        <v>13</v>
      </c>
    </row>
    <row r="2535" spans="1:9" ht="21.75" customHeight="1">
      <c r="A2535" t="s">
        <v>2685</v>
      </c>
      <c r="B2535" s="3">
        <v>45295</v>
      </c>
      <c r="C2535" t="s">
        <v>83</v>
      </c>
      <c r="D2535" t="s">
        <v>96</v>
      </c>
      <c r="E2535" t="s">
        <v>11</v>
      </c>
      <c r="F2535" t="str">
        <f t="shared" si="39"/>
        <v>East</v>
      </c>
      <c r="G2535" t="s">
        <v>42</v>
      </c>
      <c r="H2535" t="s">
        <v>13</v>
      </c>
      <c r="I2535">
        <v>18</v>
      </c>
    </row>
    <row r="2536" spans="1:9" ht="21.75" customHeight="1">
      <c r="A2536" t="s">
        <v>2686</v>
      </c>
      <c r="B2536" s="3">
        <v>45440</v>
      </c>
      <c r="C2536" t="s">
        <v>396</v>
      </c>
      <c r="D2536" t="s">
        <v>65</v>
      </c>
      <c r="E2536" t="s">
        <v>22</v>
      </c>
      <c r="F2536" t="str">
        <f t="shared" si="39"/>
        <v>Central</v>
      </c>
      <c r="G2536" t="s">
        <v>306</v>
      </c>
      <c r="H2536" t="s">
        <v>32</v>
      </c>
      <c r="I2536">
        <v>2</v>
      </c>
    </row>
    <row r="2537" spans="1:9" ht="21.75" customHeight="1">
      <c r="A2537" t="s">
        <v>2687</v>
      </c>
      <c r="B2537" s="3">
        <v>45393</v>
      </c>
      <c r="C2537" t="s">
        <v>104</v>
      </c>
      <c r="D2537" t="s">
        <v>74</v>
      </c>
      <c r="E2537" t="s">
        <v>11</v>
      </c>
      <c r="F2537" t="str">
        <f t="shared" si="39"/>
        <v>South</v>
      </c>
      <c r="G2537" t="s">
        <v>56</v>
      </c>
      <c r="H2537" t="s">
        <v>32</v>
      </c>
      <c r="I2537">
        <v>6</v>
      </c>
    </row>
    <row r="2538" spans="1:9" ht="21.75" customHeight="1">
      <c r="A2538" t="s">
        <v>2688</v>
      </c>
      <c r="B2538" s="3">
        <v>45575</v>
      </c>
      <c r="C2538" t="s">
        <v>78</v>
      </c>
      <c r="D2538" t="s">
        <v>45</v>
      </c>
      <c r="E2538" t="s">
        <v>11</v>
      </c>
      <c r="F2538" t="str">
        <f t="shared" si="39"/>
        <v>North</v>
      </c>
      <c r="G2538" t="s">
        <v>12</v>
      </c>
      <c r="H2538" t="s">
        <v>28</v>
      </c>
      <c r="I2538">
        <v>9</v>
      </c>
    </row>
    <row r="2539" spans="1:9" ht="21.75" customHeight="1">
      <c r="A2539" t="s">
        <v>2689</v>
      </c>
      <c r="B2539" s="3">
        <v>45302</v>
      </c>
      <c r="C2539" t="s">
        <v>422</v>
      </c>
      <c r="D2539" t="s">
        <v>16</v>
      </c>
      <c r="E2539" t="s">
        <v>17</v>
      </c>
      <c r="F2539" t="str">
        <f t="shared" si="39"/>
        <v>North</v>
      </c>
      <c r="G2539" t="s">
        <v>12</v>
      </c>
      <c r="H2539" t="s">
        <v>32</v>
      </c>
      <c r="I2539">
        <v>7</v>
      </c>
    </row>
    <row r="2540" spans="1:9" ht="21.75" customHeight="1">
      <c r="A2540" t="s">
        <v>2690</v>
      </c>
      <c r="B2540" s="3">
        <v>45414</v>
      </c>
      <c r="C2540" t="s">
        <v>200</v>
      </c>
      <c r="D2540" t="s">
        <v>48</v>
      </c>
      <c r="E2540" t="s">
        <v>22</v>
      </c>
      <c r="F2540" t="str">
        <f t="shared" si="39"/>
        <v>South</v>
      </c>
      <c r="G2540" t="s">
        <v>56</v>
      </c>
      <c r="H2540" t="s">
        <v>36</v>
      </c>
      <c r="I2540">
        <v>20</v>
      </c>
    </row>
    <row r="2541" spans="1:9" ht="21.75" customHeight="1">
      <c r="A2541" t="s">
        <v>2691</v>
      </c>
      <c r="B2541" s="3">
        <v>45656</v>
      </c>
      <c r="C2541" t="s">
        <v>58</v>
      </c>
      <c r="D2541" t="s">
        <v>102</v>
      </c>
      <c r="E2541" t="s">
        <v>11</v>
      </c>
      <c r="F2541" t="str">
        <f t="shared" si="39"/>
        <v>South</v>
      </c>
      <c r="G2541" t="s">
        <v>56</v>
      </c>
      <c r="H2541" t="s">
        <v>28</v>
      </c>
      <c r="I2541">
        <v>7</v>
      </c>
    </row>
    <row r="2542" spans="1:9" ht="21.75" customHeight="1">
      <c r="A2542" t="s">
        <v>2692</v>
      </c>
      <c r="B2542" s="3">
        <v>45647</v>
      </c>
      <c r="C2542" t="s">
        <v>200</v>
      </c>
      <c r="D2542" t="s">
        <v>72</v>
      </c>
      <c r="E2542" t="s">
        <v>22</v>
      </c>
      <c r="F2542" t="str">
        <f t="shared" si="39"/>
        <v>West</v>
      </c>
      <c r="G2542" t="s">
        <v>27</v>
      </c>
      <c r="H2542" t="s">
        <v>28</v>
      </c>
      <c r="I2542">
        <v>2</v>
      </c>
    </row>
    <row r="2543" spans="1:9" ht="21.75" customHeight="1">
      <c r="A2543" t="s">
        <v>2693</v>
      </c>
      <c r="B2543" s="3">
        <v>45592</v>
      </c>
      <c r="C2543" t="s">
        <v>150</v>
      </c>
      <c r="D2543" t="s">
        <v>174</v>
      </c>
      <c r="E2543" t="s">
        <v>17</v>
      </c>
      <c r="F2543" t="str">
        <f t="shared" si="39"/>
        <v>South</v>
      </c>
      <c r="G2543" t="s">
        <v>56</v>
      </c>
      <c r="H2543" t="s">
        <v>32</v>
      </c>
      <c r="I2543">
        <v>8</v>
      </c>
    </row>
    <row r="2544" spans="1:9" ht="21.75" customHeight="1">
      <c r="A2544" t="s">
        <v>2694</v>
      </c>
      <c r="B2544" s="3">
        <v>45435</v>
      </c>
      <c r="C2544" t="s">
        <v>34</v>
      </c>
      <c r="D2544" t="s">
        <v>160</v>
      </c>
      <c r="E2544" t="s">
        <v>22</v>
      </c>
      <c r="F2544" t="str">
        <f t="shared" si="39"/>
        <v>West</v>
      </c>
      <c r="G2544" t="s">
        <v>27</v>
      </c>
      <c r="H2544" t="s">
        <v>28</v>
      </c>
      <c r="I2544">
        <v>3</v>
      </c>
    </row>
    <row r="2545" spans="1:9" ht="21.75" customHeight="1">
      <c r="A2545" t="s">
        <v>2695</v>
      </c>
      <c r="B2545" s="3">
        <v>45631</v>
      </c>
      <c r="C2545" t="s">
        <v>594</v>
      </c>
      <c r="D2545" t="s">
        <v>10</v>
      </c>
      <c r="E2545" t="s">
        <v>11</v>
      </c>
      <c r="F2545" t="str">
        <f t="shared" si="39"/>
        <v>Central</v>
      </c>
      <c r="G2545" t="s">
        <v>306</v>
      </c>
      <c r="H2545" t="s">
        <v>23</v>
      </c>
      <c r="I2545">
        <v>17</v>
      </c>
    </row>
    <row r="2546" spans="1:9" ht="21.75" customHeight="1">
      <c r="A2546" t="s">
        <v>2696</v>
      </c>
      <c r="B2546" s="3">
        <v>45557</v>
      </c>
      <c r="C2546" t="s">
        <v>319</v>
      </c>
      <c r="D2546" t="s">
        <v>45</v>
      </c>
      <c r="E2546" t="s">
        <v>17</v>
      </c>
      <c r="F2546" t="str">
        <f t="shared" si="39"/>
        <v>East</v>
      </c>
      <c r="G2546" t="s">
        <v>42</v>
      </c>
      <c r="H2546" t="s">
        <v>36</v>
      </c>
      <c r="I2546">
        <v>16</v>
      </c>
    </row>
    <row r="2547" spans="1:9" ht="21.75" customHeight="1">
      <c r="A2547" t="s">
        <v>2697</v>
      </c>
      <c r="B2547" s="3">
        <v>45545</v>
      </c>
      <c r="C2547" t="s">
        <v>553</v>
      </c>
      <c r="D2547" t="s">
        <v>26</v>
      </c>
      <c r="E2547" t="s">
        <v>22</v>
      </c>
      <c r="F2547" t="str">
        <f t="shared" si="39"/>
        <v>West</v>
      </c>
      <c r="G2547" t="s">
        <v>27</v>
      </c>
      <c r="H2547" t="s">
        <v>36</v>
      </c>
      <c r="I2547">
        <v>2</v>
      </c>
    </row>
    <row r="2548" spans="1:9" ht="21.75" customHeight="1">
      <c r="A2548" t="s">
        <v>2698</v>
      </c>
      <c r="B2548" s="3">
        <v>45395</v>
      </c>
      <c r="C2548" t="s">
        <v>430</v>
      </c>
      <c r="D2548" t="s">
        <v>197</v>
      </c>
      <c r="E2548" t="s">
        <v>17</v>
      </c>
      <c r="F2548" t="str">
        <f t="shared" si="39"/>
        <v>South</v>
      </c>
      <c r="G2548" t="s">
        <v>56</v>
      </c>
      <c r="H2548" t="s">
        <v>32</v>
      </c>
      <c r="I2548">
        <v>14</v>
      </c>
    </row>
    <row r="2549" spans="1:9" ht="21.75" customHeight="1">
      <c r="A2549" t="s">
        <v>2699</v>
      </c>
      <c r="B2549" s="3">
        <v>45584</v>
      </c>
      <c r="C2549" t="s">
        <v>111</v>
      </c>
      <c r="D2549" t="s">
        <v>48</v>
      </c>
      <c r="E2549" t="s">
        <v>17</v>
      </c>
      <c r="F2549" t="str">
        <f t="shared" si="39"/>
        <v>Central</v>
      </c>
      <c r="G2549" t="s">
        <v>306</v>
      </c>
      <c r="H2549" t="s">
        <v>13</v>
      </c>
      <c r="I2549">
        <v>5</v>
      </c>
    </row>
    <row r="2550" spans="1:9" ht="21.75" customHeight="1">
      <c r="A2550" t="s">
        <v>2700</v>
      </c>
      <c r="B2550" s="3">
        <v>45443</v>
      </c>
      <c r="C2550" t="s">
        <v>396</v>
      </c>
      <c r="D2550" t="s">
        <v>160</v>
      </c>
      <c r="E2550" t="s">
        <v>17</v>
      </c>
      <c r="F2550" t="str">
        <f t="shared" si="39"/>
        <v>South</v>
      </c>
      <c r="G2550" t="s">
        <v>56</v>
      </c>
      <c r="H2550" t="s">
        <v>36</v>
      </c>
      <c r="I2550">
        <v>2</v>
      </c>
    </row>
    <row r="2551" spans="1:9" ht="21.75" customHeight="1">
      <c r="A2551" t="s">
        <v>2701</v>
      </c>
      <c r="B2551" s="3">
        <v>45610</v>
      </c>
      <c r="C2551" t="s">
        <v>47</v>
      </c>
      <c r="D2551" t="s">
        <v>87</v>
      </c>
      <c r="E2551" t="s">
        <v>17</v>
      </c>
      <c r="F2551" t="str">
        <f t="shared" si="39"/>
        <v>West</v>
      </c>
      <c r="G2551" t="s">
        <v>27</v>
      </c>
      <c r="H2551" t="s">
        <v>23</v>
      </c>
      <c r="I2551">
        <v>14</v>
      </c>
    </row>
    <row r="2552" spans="1:9" ht="21.75" customHeight="1">
      <c r="A2552" t="s">
        <v>2702</v>
      </c>
      <c r="B2552" s="3">
        <v>45546</v>
      </c>
      <c r="C2552" t="s">
        <v>38</v>
      </c>
      <c r="D2552" t="s">
        <v>26</v>
      </c>
      <c r="E2552" t="s">
        <v>17</v>
      </c>
      <c r="F2552" t="str">
        <f t="shared" si="39"/>
        <v>North</v>
      </c>
      <c r="G2552" t="s">
        <v>12</v>
      </c>
      <c r="H2552" t="s">
        <v>28</v>
      </c>
      <c r="I2552">
        <v>15</v>
      </c>
    </row>
    <row r="2553" spans="1:9" ht="21.75" customHeight="1">
      <c r="A2553" t="s">
        <v>2703</v>
      </c>
      <c r="B2553" s="3">
        <v>45622</v>
      </c>
      <c r="C2553" t="s">
        <v>208</v>
      </c>
      <c r="D2553" t="s">
        <v>48</v>
      </c>
      <c r="E2553" t="s">
        <v>11</v>
      </c>
      <c r="F2553" t="str">
        <f t="shared" si="39"/>
        <v>East</v>
      </c>
      <c r="G2553" t="s">
        <v>42</v>
      </c>
      <c r="H2553" t="s">
        <v>36</v>
      </c>
      <c r="I2553">
        <v>17</v>
      </c>
    </row>
    <row r="2554" spans="1:9" ht="21.75" customHeight="1">
      <c r="A2554" t="s">
        <v>2704</v>
      </c>
      <c r="B2554" s="3">
        <v>45332</v>
      </c>
      <c r="C2554" t="s">
        <v>728</v>
      </c>
      <c r="D2554" t="s">
        <v>26</v>
      </c>
      <c r="E2554" t="s">
        <v>11</v>
      </c>
      <c r="F2554" t="str">
        <f t="shared" si="39"/>
        <v>North</v>
      </c>
      <c r="G2554" t="s">
        <v>12</v>
      </c>
      <c r="H2554" t="s">
        <v>13</v>
      </c>
      <c r="I2554">
        <v>3</v>
      </c>
    </row>
    <row r="2555" spans="1:9" ht="21.75" customHeight="1">
      <c r="A2555" t="s">
        <v>2705</v>
      </c>
      <c r="B2555" s="3">
        <v>45571</v>
      </c>
      <c r="C2555" t="s">
        <v>104</v>
      </c>
      <c r="D2555" t="s">
        <v>72</v>
      </c>
      <c r="E2555" t="s">
        <v>11</v>
      </c>
      <c r="F2555" t="str">
        <f t="shared" si="39"/>
        <v>East</v>
      </c>
      <c r="G2555" t="s">
        <v>42</v>
      </c>
      <c r="H2555" t="s">
        <v>32</v>
      </c>
      <c r="I2555">
        <v>10</v>
      </c>
    </row>
    <row r="2556" spans="1:9" ht="21.75" customHeight="1">
      <c r="A2556" t="s">
        <v>2706</v>
      </c>
      <c r="B2556" s="3">
        <v>45641</v>
      </c>
      <c r="C2556" t="s">
        <v>89</v>
      </c>
      <c r="D2556" t="s">
        <v>65</v>
      </c>
      <c r="E2556" t="s">
        <v>22</v>
      </c>
      <c r="F2556" t="str">
        <f t="shared" si="39"/>
        <v>Central</v>
      </c>
      <c r="G2556" t="s">
        <v>306</v>
      </c>
      <c r="H2556" t="s">
        <v>28</v>
      </c>
      <c r="I2556">
        <v>18</v>
      </c>
    </row>
    <row r="2557" spans="1:9" ht="21.75" customHeight="1">
      <c r="A2557" t="s">
        <v>2707</v>
      </c>
      <c r="B2557" s="3">
        <v>45296</v>
      </c>
      <c r="C2557" t="s">
        <v>337</v>
      </c>
      <c r="D2557" t="s">
        <v>74</v>
      </c>
      <c r="E2557" t="s">
        <v>17</v>
      </c>
      <c r="F2557" t="str">
        <f t="shared" si="39"/>
        <v>East</v>
      </c>
      <c r="G2557" t="s">
        <v>42</v>
      </c>
      <c r="H2557" t="s">
        <v>23</v>
      </c>
      <c r="I2557">
        <v>13</v>
      </c>
    </row>
    <row r="2558" spans="1:9" ht="21.75" customHeight="1">
      <c r="A2558" t="s">
        <v>2708</v>
      </c>
      <c r="B2558" s="3">
        <v>45627</v>
      </c>
      <c r="C2558" t="s">
        <v>142</v>
      </c>
      <c r="D2558" t="s">
        <v>35</v>
      </c>
      <c r="E2558" t="s">
        <v>22</v>
      </c>
      <c r="F2558" t="str">
        <f t="shared" si="39"/>
        <v>Central</v>
      </c>
      <c r="G2558" t="s">
        <v>306</v>
      </c>
      <c r="H2558" t="s">
        <v>28</v>
      </c>
      <c r="I2558">
        <v>13</v>
      </c>
    </row>
    <row r="2559" spans="1:9" ht="21.75" customHeight="1">
      <c r="A2559" t="s">
        <v>2709</v>
      </c>
      <c r="B2559" s="3">
        <v>45399</v>
      </c>
      <c r="C2559" t="s">
        <v>553</v>
      </c>
      <c r="D2559" t="s">
        <v>197</v>
      </c>
      <c r="E2559" t="s">
        <v>22</v>
      </c>
      <c r="F2559" t="str">
        <f t="shared" si="39"/>
        <v>Central</v>
      </c>
      <c r="G2559" t="s">
        <v>306</v>
      </c>
      <c r="H2559" t="s">
        <v>36</v>
      </c>
      <c r="I2559">
        <v>15</v>
      </c>
    </row>
    <row r="2560" spans="1:9" ht="21.75" customHeight="1">
      <c r="A2560" t="s">
        <v>2710</v>
      </c>
      <c r="B2560" s="3">
        <v>45528</v>
      </c>
      <c r="C2560" t="s">
        <v>47</v>
      </c>
      <c r="D2560" t="s">
        <v>10</v>
      </c>
      <c r="E2560" t="s">
        <v>17</v>
      </c>
      <c r="F2560" t="str">
        <f t="shared" si="39"/>
        <v>South</v>
      </c>
      <c r="G2560" t="s">
        <v>56</v>
      </c>
      <c r="H2560" t="s">
        <v>23</v>
      </c>
      <c r="I2560">
        <v>14</v>
      </c>
    </row>
    <row r="2561" spans="1:9" ht="21.75" customHeight="1">
      <c r="A2561" t="s">
        <v>2711</v>
      </c>
      <c r="B2561" s="3">
        <v>45522</v>
      </c>
      <c r="C2561" t="s">
        <v>642</v>
      </c>
      <c r="D2561" t="s">
        <v>96</v>
      </c>
      <c r="E2561" t="s">
        <v>17</v>
      </c>
      <c r="F2561" t="str">
        <f t="shared" si="39"/>
        <v>South</v>
      </c>
      <c r="G2561" t="s">
        <v>56</v>
      </c>
      <c r="H2561" t="s">
        <v>36</v>
      </c>
      <c r="I2561">
        <v>5</v>
      </c>
    </row>
    <row r="2562" spans="1:9" ht="21.75" customHeight="1">
      <c r="A2562" t="s">
        <v>2712</v>
      </c>
      <c r="B2562" s="3">
        <v>45296</v>
      </c>
      <c r="C2562" t="s">
        <v>432</v>
      </c>
      <c r="D2562" t="s">
        <v>41</v>
      </c>
      <c r="E2562" t="s">
        <v>17</v>
      </c>
      <c r="F2562" t="str">
        <f t="shared" si="39"/>
        <v>East</v>
      </c>
      <c r="G2562" t="s">
        <v>42</v>
      </c>
      <c r="H2562" t="s">
        <v>28</v>
      </c>
      <c r="I2562">
        <v>14</v>
      </c>
    </row>
    <row r="2563" spans="1:9" ht="21.75" customHeight="1">
      <c r="A2563" t="s">
        <v>2713</v>
      </c>
      <c r="B2563" s="3">
        <v>45498</v>
      </c>
      <c r="C2563" t="s">
        <v>332</v>
      </c>
      <c r="D2563" t="s">
        <v>119</v>
      </c>
      <c r="E2563" t="s">
        <v>22</v>
      </c>
      <c r="F2563" t="str">
        <f t="shared" ref="F2563:F2626" si="40">TRIM(PROPER(G2563))</f>
        <v>Central</v>
      </c>
      <c r="G2563" t="s">
        <v>306</v>
      </c>
      <c r="H2563" t="s">
        <v>32</v>
      </c>
      <c r="I2563">
        <v>11</v>
      </c>
    </row>
    <row r="2564" spans="1:9" ht="21.75" customHeight="1">
      <c r="A2564" t="s">
        <v>2714</v>
      </c>
      <c r="B2564" s="3">
        <v>45582</v>
      </c>
      <c r="C2564" t="s">
        <v>728</v>
      </c>
      <c r="D2564" t="s">
        <v>79</v>
      </c>
      <c r="E2564" t="s">
        <v>11</v>
      </c>
      <c r="F2564" t="str">
        <f t="shared" si="40"/>
        <v>South</v>
      </c>
      <c r="G2564" t="s">
        <v>56</v>
      </c>
      <c r="H2564" t="s">
        <v>32</v>
      </c>
      <c r="I2564">
        <v>19</v>
      </c>
    </row>
    <row r="2565" spans="1:9" ht="21.75" customHeight="1">
      <c r="A2565" t="s">
        <v>2715</v>
      </c>
      <c r="B2565" s="3">
        <v>45600</v>
      </c>
      <c r="C2565" t="s">
        <v>493</v>
      </c>
      <c r="D2565" t="s">
        <v>59</v>
      </c>
      <c r="E2565" t="s">
        <v>17</v>
      </c>
      <c r="F2565" t="str">
        <f t="shared" si="40"/>
        <v>West</v>
      </c>
      <c r="G2565" t="s">
        <v>27</v>
      </c>
      <c r="H2565" t="s">
        <v>28</v>
      </c>
      <c r="I2565">
        <v>13</v>
      </c>
    </row>
    <row r="2566" spans="1:9" ht="21.75" customHeight="1">
      <c r="A2566" t="s">
        <v>2716</v>
      </c>
      <c r="B2566" s="3">
        <v>45489</v>
      </c>
      <c r="C2566" t="s">
        <v>150</v>
      </c>
      <c r="D2566" t="s">
        <v>35</v>
      </c>
      <c r="E2566" t="s">
        <v>11</v>
      </c>
      <c r="F2566" t="str">
        <f t="shared" si="40"/>
        <v>East</v>
      </c>
      <c r="G2566" t="s">
        <v>42</v>
      </c>
      <c r="H2566" t="s">
        <v>36</v>
      </c>
      <c r="I2566">
        <v>15</v>
      </c>
    </row>
    <row r="2567" spans="1:9" ht="21.75" customHeight="1">
      <c r="A2567" t="s">
        <v>2717</v>
      </c>
      <c r="B2567" s="3">
        <v>45447</v>
      </c>
      <c r="C2567" t="s">
        <v>203</v>
      </c>
      <c r="D2567" t="s">
        <v>45</v>
      </c>
      <c r="E2567" t="s">
        <v>11</v>
      </c>
      <c r="F2567" t="str">
        <f t="shared" si="40"/>
        <v>Central</v>
      </c>
      <c r="G2567" t="s">
        <v>306</v>
      </c>
      <c r="H2567" t="s">
        <v>28</v>
      </c>
      <c r="I2567">
        <v>2</v>
      </c>
    </row>
    <row r="2568" spans="1:9" ht="21.75" customHeight="1">
      <c r="A2568" t="s">
        <v>2718</v>
      </c>
      <c r="B2568" s="3">
        <v>45600</v>
      </c>
      <c r="C2568" t="s">
        <v>374</v>
      </c>
      <c r="D2568" t="s">
        <v>96</v>
      </c>
      <c r="E2568" t="s">
        <v>11</v>
      </c>
      <c r="F2568" t="str">
        <f t="shared" si="40"/>
        <v>South</v>
      </c>
      <c r="G2568" t="s">
        <v>56</v>
      </c>
      <c r="H2568" t="s">
        <v>13</v>
      </c>
      <c r="I2568">
        <v>13</v>
      </c>
    </row>
    <row r="2569" spans="1:9" ht="21.75" customHeight="1">
      <c r="A2569" t="s">
        <v>2719</v>
      </c>
      <c r="B2569" s="3">
        <v>45411</v>
      </c>
      <c r="C2569" t="s">
        <v>61</v>
      </c>
      <c r="D2569" t="s">
        <v>41</v>
      </c>
      <c r="E2569" t="s">
        <v>22</v>
      </c>
      <c r="F2569" t="str">
        <f t="shared" si="40"/>
        <v>North</v>
      </c>
      <c r="G2569" t="s">
        <v>12</v>
      </c>
      <c r="H2569" t="s">
        <v>23</v>
      </c>
      <c r="I2569">
        <v>2</v>
      </c>
    </row>
    <row r="2570" spans="1:9" ht="21.75" customHeight="1">
      <c r="A2570" t="s">
        <v>2720</v>
      </c>
      <c r="B2570" s="3">
        <v>45297</v>
      </c>
      <c r="C2570" t="s">
        <v>30</v>
      </c>
      <c r="D2570" t="s">
        <v>72</v>
      </c>
      <c r="E2570" t="s">
        <v>17</v>
      </c>
      <c r="F2570" t="str">
        <f t="shared" si="40"/>
        <v>West</v>
      </c>
      <c r="G2570" t="s">
        <v>27</v>
      </c>
      <c r="H2570" t="s">
        <v>28</v>
      </c>
      <c r="I2570">
        <v>4</v>
      </c>
    </row>
    <row r="2571" spans="1:9" ht="21.75" customHeight="1">
      <c r="A2571" t="s">
        <v>2721</v>
      </c>
      <c r="B2571" s="3">
        <v>45506</v>
      </c>
      <c r="C2571" t="s">
        <v>517</v>
      </c>
      <c r="D2571" t="s">
        <v>84</v>
      </c>
      <c r="E2571" t="s">
        <v>11</v>
      </c>
      <c r="F2571" t="str">
        <f t="shared" si="40"/>
        <v>West</v>
      </c>
      <c r="G2571" t="s">
        <v>27</v>
      </c>
      <c r="H2571" t="s">
        <v>28</v>
      </c>
      <c r="I2571">
        <v>5</v>
      </c>
    </row>
    <row r="2572" spans="1:9" ht="21.75" customHeight="1">
      <c r="A2572" t="s">
        <v>2722</v>
      </c>
      <c r="B2572" s="3">
        <v>45450</v>
      </c>
      <c r="C2572" t="s">
        <v>348</v>
      </c>
      <c r="D2572" t="s">
        <v>62</v>
      </c>
      <c r="E2572" t="s">
        <v>22</v>
      </c>
      <c r="F2572" t="str">
        <f t="shared" si="40"/>
        <v>West</v>
      </c>
      <c r="G2572" t="s">
        <v>27</v>
      </c>
      <c r="H2572" t="s">
        <v>28</v>
      </c>
      <c r="I2572">
        <v>20</v>
      </c>
    </row>
    <row r="2573" spans="1:9" ht="21.75" customHeight="1">
      <c r="A2573" t="s">
        <v>2723</v>
      </c>
      <c r="B2573" s="3">
        <v>45450</v>
      </c>
      <c r="C2573" t="s">
        <v>449</v>
      </c>
      <c r="D2573" t="s">
        <v>65</v>
      </c>
      <c r="E2573" t="s">
        <v>22</v>
      </c>
      <c r="F2573" t="str">
        <f t="shared" si="40"/>
        <v>West</v>
      </c>
      <c r="G2573" t="s">
        <v>27</v>
      </c>
      <c r="H2573" t="s">
        <v>32</v>
      </c>
      <c r="I2573">
        <v>7</v>
      </c>
    </row>
    <row r="2574" spans="1:9" ht="21.75" customHeight="1">
      <c r="A2574" t="s">
        <v>2724</v>
      </c>
      <c r="B2574" s="3">
        <v>45365</v>
      </c>
      <c r="C2574" t="s">
        <v>430</v>
      </c>
      <c r="D2574" t="s">
        <v>10</v>
      </c>
      <c r="E2574" t="s">
        <v>17</v>
      </c>
      <c r="F2574" t="str">
        <f t="shared" si="40"/>
        <v>Central</v>
      </c>
      <c r="G2574" t="s">
        <v>306</v>
      </c>
      <c r="H2574" t="s">
        <v>28</v>
      </c>
      <c r="I2574">
        <v>17</v>
      </c>
    </row>
    <row r="2575" spans="1:9" ht="21.75" customHeight="1">
      <c r="A2575" t="s">
        <v>2725</v>
      </c>
      <c r="B2575" s="3">
        <v>45583</v>
      </c>
      <c r="C2575" t="s">
        <v>374</v>
      </c>
      <c r="D2575" t="s">
        <v>70</v>
      </c>
      <c r="E2575" t="s">
        <v>17</v>
      </c>
      <c r="F2575" t="str">
        <f t="shared" si="40"/>
        <v>Central</v>
      </c>
      <c r="G2575" t="s">
        <v>306</v>
      </c>
      <c r="H2575" t="s">
        <v>13</v>
      </c>
      <c r="I2575">
        <v>3</v>
      </c>
    </row>
    <row r="2576" spans="1:9" ht="21.75" customHeight="1">
      <c r="A2576" t="s">
        <v>2726</v>
      </c>
      <c r="B2576" s="3">
        <v>45525</v>
      </c>
      <c r="C2576" t="s">
        <v>20</v>
      </c>
      <c r="D2576" t="s">
        <v>62</v>
      </c>
      <c r="E2576" t="s">
        <v>22</v>
      </c>
      <c r="F2576" t="str">
        <f t="shared" si="40"/>
        <v>East</v>
      </c>
      <c r="G2576" t="s">
        <v>42</v>
      </c>
      <c r="H2576" t="s">
        <v>23</v>
      </c>
      <c r="I2576">
        <v>20</v>
      </c>
    </row>
    <row r="2577" spans="1:9" ht="21.75" customHeight="1">
      <c r="A2577" t="s">
        <v>2727</v>
      </c>
      <c r="B2577" s="3">
        <v>45381</v>
      </c>
      <c r="C2577" t="s">
        <v>572</v>
      </c>
      <c r="D2577" t="s">
        <v>197</v>
      </c>
      <c r="E2577" t="s">
        <v>11</v>
      </c>
      <c r="F2577" t="str">
        <f t="shared" si="40"/>
        <v>Central</v>
      </c>
      <c r="G2577" t="s">
        <v>306</v>
      </c>
      <c r="H2577" t="s">
        <v>23</v>
      </c>
      <c r="I2577">
        <v>15</v>
      </c>
    </row>
    <row r="2578" spans="1:9" ht="21.75" customHeight="1">
      <c r="A2578" t="s">
        <v>2728</v>
      </c>
      <c r="B2578" s="3">
        <v>45629</v>
      </c>
      <c r="C2578" t="s">
        <v>44</v>
      </c>
      <c r="D2578" t="s">
        <v>62</v>
      </c>
      <c r="E2578" t="s">
        <v>22</v>
      </c>
      <c r="F2578" t="str">
        <f t="shared" si="40"/>
        <v>North</v>
      </c>
      <c r="G2578" t="s">
        <v>12</v>
      </c>
      <c r="H2578" t="s">
        <v>23</v>
      </c>
      <c r="I2578">
        <v>2</v>
      </c>
    </row>
    <row r="2579" spans="1:9" ht="21.75" customHeight="1">
      <c r="A2579" t="s">
        <v>2729</v>
      </c>
      <c r="B2579" s="3">
        <v>45372</v>
      </c>
      <c r="C2579" t="s">
        <v>89</v>
      </c>
      <c r="D2579" t="s">
        <v>21</v>
      </c>
      <c r="E2579" t="s">
        <v>22</v>
      </c>
      <c r="F2579" t="str">
        <f t="shared" si="40"/>
        <v>East</v>
      </c>
      <c r="G2579" t="s">
        <v>42</v>
      </c>
      <c r="H2579" t="s">
        <v>13</v>
      </c>
      <c r="I2579">
        <v>7</v>
      </c>
    </row>
    <row r="2580" spans="1:9" ht="21.75" customHeight="1">
      <c r="A2580" t="s">
        <v>2730</v>
      </c>
      <c r="B2580" s="3">
        <v>45502</v>
      </c>
      <c r="C2580" t="s">
        <v>332</v>
      </c>
      <c r="D2580" t="s">
        <v>174</v>
      </c>
      <c r="E2580" t="s">
        <v>11</v>
      </c>
      <c r="F2580" t="str">
        <f t="shared" si="40"/>
        <v>East</v>
      </c>
      <c r="G2580" t="s">
        <v>42</v>
      </c>
      <c r="H2580" t="s">
        <v>13</v>
      </c>
      <c r="I2580">
        <v>4</v>
      </c>
    </row>
    <row r="2581" spans="1:9" ht="21.75" customHeight="1">
      <c r="A2581" t="s">
        <v>2731</v>
      </c>
      <c r="B2581" s="3">
        <v>45458</v>
      </c>
      <c r="C2581" t="s">
        <v>408</v>
      </c>
      <c r="D2581" t="s">
        <v>70</v>
      </c>
      <c r="E2581" t="s">
        <v>11</v>
      </c>
      <c r="F2581" t="str">
        <f t="shared" si="40"/>
        <v>East</v>
      </c>
      <c r="G2581" t="s">
        <v>42</v>
      </c>
      <c r="H2581" t="s">
        <v>28</v>
      </c>
      <c r="I2581">
        <v>17</v>
      </c>
    </row>
    <row r="2582" spans="1:9" ht="21.75" customHeight="1">
      <c r="A2582" t="s">
        <v>2732</v>
      </c>
      <c r="B2582" s="3">
        <v>45305</v>
      </c>
      <c r="C2582" t="s">
        <v>208</v>
      </c>
      <c r="D2582" t="s">
        <v>21</v>
      </c>
      <c r="E2582" t="s">
        <v>22</v>
      </c>
      <c r="F2582" t="str">
        <f t="shared" si="40"/>
        <v>West</v>
      </c>
      <c r="G2582" t="s">
        <v>27</v>
      </c>
      <c r="H2582" t="s">
        <v>23</v>
      </c>
      <c r="I2582">
        <v>11</v>
      </c>
    </row>
    <row r="2583" spans="1:9" ht="21.75" customHeight="1">
      <c r="A2583" t="s">
        <v>2733</v>
      </c>
      <c r="B2583" s="3">
        <v>45391</v>
      </c>
      <c r="C2583" t="s">
        <v>106</v>
      </c>
      <c r="D2583" t="s">
        <v>79</v>
      </c>
      <c r="E2583" t="s">
        <v>11</v>
      </c>
      <c r="F2583" t="str">
        <f t="shared" si="40"/>
        <v>East</v>
      </c>
      <c r="G2583" t="s">
        <v>42</v>
      </c>
      <c r="H2583" t="s">
        <v>13</v>
      </c>
      <c r="I2583">
        <v>5</v>
      </c>
    </row>
    <row r="2584" spans="1:9" ht="21.75" customHeight="1">
      <c r="A2584" t="s">
        <v>2734</v>
      </c>
      <c r="B2584" s="3">
        <v>45529</v>
      </c>
      <c r="C2584" t="s">
        <v>374</v>
      </c>
      <c r="D2584" t="s">
        <v>70</v>
      </c>
      <c r="E2584" t="s">
        <v>11</v>
      </c>
      <c r="F2584" t="str">
        <f t="shared" si="40"/>
        <v>North</v>
      </c>
      <c r="G2584" t="s">
        <v>12</v>
      </c>
      <c r="H2584" t="s">
        <v>36</v>
      </c>
      <c r="I2584">
        <v>8</v>
      </c>
    </row>
    <row r="2585" spans="1:9" ht="21.75" customHeight="1">
      <c r="A2585" t="s">
        <v>2735</v>
      </c>
      <c r="B2585" s="3">
        <v>45516</v>
      </c>
      <c r="C2585" t="s">
        <v>99</v>
      </c>
      <c r="D2585" t="s">
        <v>35</v>
      </c>
      <c r="E2585" t="s">
        <v>17</v>
      </c>
      <c r="F2585" t="str">
        <f t="shared" si="40"/>
        <v>South</v>
      </c>
      <c r="G2585" t="s">
        <v>56</v>
      </c>
      <c r="H2585" t="s">
        <v>28</v>
      </c>
      <c r="I2585">
        <v>1</v>
      </c>
    </row>
    <row r="2586" spans="1:9" ht="21.75" customHeight="1">
      <c r="A2586" t="s">
        <v>2736</v>
      </c>
      <c r="B2586" s="3">
        <v>45382</v>
      </c>
      <c r="C2586" t="s">
        <v>61</v>
      </c>
      <c r="D2586" t="s">
        <v>102</v>
      </c>
      <c r="E2586" t="s">
        <v>22</v>
      </c>
      <c r="F2586" t="str">
        <f t="shared" si="40"/>
        <v>West</v>
      </c>
      <c r="G2586" t="s">
        <v>27</v>
      </c>
      <c r="H2586" t="s">
        <v>28</v>
      </c>
      <c r="I2586">
        <v>3</v>
      </c>
    </row>
    <row r="2587" spans="1:9" ht="21.75" customHeight="1">
      <c r="A2587" t="s">
        <v>2737</v>
      </c>
      <c r="B2587" s="3">
        <v>45297</v>
      </c>
      <c r="C2587" t="s">
        <v>422</v>
      </c>
      <c r="D2587" t="s">
        <v>26</v>
      </c>
      <c r="E2587" t="s">
        <v>11</v>
      </c>
      <c r="F2587" t="str">
        <f t="shared" si="40"/>
        <v>West</v>
      </c>
      <c r="G2587" t="s">
        <v>27</v>
      </c>
      <c r="H2587" t="s">
        <v>32</v>
      </c>
      <c r="I2587">
        <v>6</v>
      </c>
    </row>
    <row r="2588" spans="1:9" ht="21.75" customHeight="1">
      <c r="A2588" t="s">
        <v>2738</v>
      </c>
      <c r="B2588" s="3">
        <v>45309</v>
      </c>
      <c r="C2588" t="s">
        <v>422</v>
      </c>
      <c r="D2588" t="s">
        <v>174</v>
      </c>
      <c r="E2588" t="s">
        <v>11</v>
      </c>
      <c r="F2588" t="str">
        <f t="shared" si="40"/>
        <v>West</v>
      </c>
      <c r="G2588" t="s">
        <v>27</v>
      </c>
      <c r="H2588" t="s">
        <v>13</v>
      </c>
      <c r="I2588">
        <v>17</v>
      </c>
    </row>
    <row r="2589" spans="1:9" ht="21.75" customHeight="1">
      <c r="A2589" t="s">
        <v>2739</v>
      </c>
      <c r="B2589" s="3">
        <v>45629</v>
      </c>
      <c r="C2589" t="s">
        <v>15</v>
      </c>
      <c r="D2589" t="s">
        <v>31</v>
      </c>
      <c r="E2589" t="s">
        <v>22</v>
      </c>
      <c r="F2589" t="str">
        <f t="shared" si="40"/>
        <v>East</v>
      </c>
      <c r="G2589" t="s">
        <v>42</v>
      </c>
      <c r="H2589" t="s">
        <v>23</v>
      </c>
      <c r="I2589">
        <v>2</v>
      </c>
    </row>
    <row r="2590" spans="1:9" ht="21.75" customHeight="1">
      <c r="A2590" t="s">
        <v>2740</v>
      </c>
      <c r="B2590" s="3">
        <v>45316</v>
      </c>
      <c r="C2590" t="s">
        <v>337</v>
      </c>
      <c r="D2590" t="s">
        <v>31</v>
      </c>
      <c r="E2590" t="s">
        <v>11</v>
      </c>
      <c r="F2590" t="str">
        <f t="shared" si="40"/>
        <v>South</v>
      </c>
      <c r="G2590" t="s">
        <v>56</v>
      </c>
      <c r="H2590" t="s">
        <v>32</v>
      </c>
      <c r="I2590">
        <v>8</v>
      </c>
    </row>
    <row r="2591" spans="1:9" ht="21.75" customHeight="1">
      <c r="A2591" t="s">
        <v>2741</v>
      </c>
      <c r="B2591" s="3">
        <v>45300</v>
      </c>
      <c r="C2591" t="s">
        <v>572</v>
      </c>
      <c r="D2591" t="s">
        <v>96</v>
      </c>
      <c r="E2591" t="s">
        <v>11</v>
      </c>
      <c r="F2591" t="str">
        <f t="shared" si="40"/>
        <v>East</v>
      </c>
      <c r="G2591" t="s">
        <v>42</v>
      </c>
      <c r="H2591" t="s">
        <v>28</v>
      </c>
      <c r="I2591">
        <v>3</v>
      </c>
    </row>
    <row r="2592" spans="1:9" ht="21.75" customHeight="1">
      <c r="A2592" t="s">
        <v>2742</v>
      </c>
      <c r="B2592" s="3">
        <v>45341</v>
      </c>
      <c r="C2592" t="s">
        <v>317</v>
      </c>
      <c r="D2592" t="s">
        <v>45</v>
      </c>
      <c r="E2592" t="s">
        <v>22</v>
      </c>
      <c r="F2592" t="str">
        <f t="shared" si="40"/>
        <v>South</v>
      </c>
      <c r="G2592" t="s">
        <v>56</v>
      </c>
      <c r="H2592" t="s">
        <v>13</v>
      </c>
      <c r="I2592">
        <v>14</v>
      </c>
    </row>
    <row r="2593" spans="1:9" ht="21.75" customHeight="1">
      <c r="A2593" t="s">
        <v>2743</v>
      </c>
      <c r="B2593" s="3">
        <v>45459</v>
      </c>
      <c r="C2593" t="s">
        <v>187</v>
      </c>
      <c r="D2593" t="s">
        <v>174</v>
      </c>
      <c r="E2593" t="s">
        <v>22</v>
      </c>
      <c r="F2593" t="str">
        <f t="shared" si="40"/>
        <v>South</v>
      </c>
      <c r="G2593" t="s">
        <v>56</v>
      </c>
      <c r="H2593" t="s">
        <v>36</v>
      </c>
      <c r="I2593">
        <v>7</v>
      </c>
    </row>
    <row r="2594" spans="1:9" ht="21.75" customHeight="1">
      <c r="A2594" t="s">
        <v>2744</v>
      </c>
      <c r="B2594" s="3">
        <v>45494</v>
      </c>
      <c r="C2594" t="s">
        <v>309</v>
      </c>
      <c r="D2594" t="s">
        <v>102</v>
      </c>
      <c r="E2594" t="s">
        <v>11</v>
      </c>
      <c r="F2594" t="str">
        <f t="shared" si="40"/>
        <v>South</v>
      </c>
      <c r="G2594" t="s">
        <v>56</v>
      </c>
      <c r="H2594" t="s">
        <v>13</v>
      </c>
      <c r="I2594">
        <v>12</v>
      </c>
    </row>
    <row r="2595" spans="1:9" ht="21.75" customHeight="1">
      <c r="A2595" t="s">
        <v>2745</v>
      </c>
      <c r="B2595" s="3">
        <v>45299</v>
      </c>
      <c r="C2595" t="s">
        <v>341</v>
      </c>
      <c r="D2595" t="s">
        <v>21</v>
      </c>
      <c r="E2595" t="s">
        <v>17</v>
      </c>
      <c r="F2595" t="str">
        <f t="shared" si="40"/>
        <v>North</v>
      </c>
      <c r="G2595" t="s">
        <v>12</v>
      </c>
      <c r="H2595" t="s">
        <v>23</v>
      </c>
      <c r="I2595">
        <v>7</v>
      </c>
    </row>
    <row r="2596" spans="1:9" ht="21.75" customHeight="1">
      <c r="A2596" t="s">
        <v>2746</v>
      </c>
      <c r="B2596" s="3">
        <v>45325</v>
      </c>
      <c r="C2596" t="s">
        <v>371</v>
      </c>
      <c r="D2596" t="s">
        <v>26</v>
      </c>
      <c r="E2596" t="s">
        <v>22</v>
      </c>
      <c r="F2596" t="str">
        <f t="shared" si="40"/>
        <v>Central</v>
      </c>
      <c r="G2596" t="s">
        <v>306</v>
      </c>
      <c r="H2596" t="s">
        <v>32</v>
      </c>
      <c r="I2596">
        <v>2</v>
      </c>
    </row>
    <row r="2597" spans="1:9" ht="21.75" customHeight="1">
      <c r="A2597" t="s">
        <v>2747</v>
      </c>
      <c r="B2597" s="3">
        <v>45403</v>
      </c>
      <c r="C2597" t="s">
        <v>408</v>
      </c>
      <c r="D2597" t="s">
        <v>74</v>
      </c>
      <c r="E2597" t="s">
        <v>22</v>
      </c>
      <c r="F2597" t="str">
        <f t="shared" si="40"/>
        <v>West</v>
      </c>
      <c r="G2597" t="s">
        <v>27</v>
      </c>
      <c r="H2597" t="s">
        <v>13</v>
      </c>
      <c r="I2597">
        <v>18</v>
      </c>
    </row>
    <row r="2598" spans="1:9" ht="21.75" customHeight="1">
      <c r="A2598" t="s">
        <v>2748</v>
      </c>
      <c r="B2598" s="3">
        <v>45583</v>
      </c>
      <c r="C2598" t="s">
        <v>30</v>
      </c>
      <c r="D2598" t="s">
        <v>26</v>
      </c>
      <c r="E2598" t="s">
        <v>11</v>
      </c>
      <c r="F2598" t="str">
        <f t="shared" si="40"/>
        <v>Central</v>
      </c>
      <c r="G2598" t="s">
        <v>306</v>
      </c>
      <c r="H2598" t="s">
        <v>32</v>
      </c>
      <c r="I2598">
        <v>13</v>
      </c>
    </row>
    <row r="2599" spans="1:9" ht="21.75" customHeight="1">
      <c r="A2599" t="s">
        <v>2749</v>
      </c>
      <c r="B2599" s="3">
        <v>45647</v>
      </c>
      <c r="C2599" t="s">
        <v>99</v>
      </c>
      <c r="D2599" t="s">
        <v>72</v>
      </c>
      <c r="E2599" t="s">
        <v>11</v>
      </c>
      <c r="F2599" t="str">
        <f t="shared" si="40"/>
        <v>East</v>
      </c>
      <c r="G2599" t="s">
        <v>42</v>
      </c>
      <c r="H2599" t="s">
        <v>23</v>
      </c>
      <c r="I2599">
        <v>3</v>
      </c>
    </row>
    <row r="2600" spans="1:9" ht="21.75" customHeight="1">
      <c r="A2600" t="s">
        <v>2750</v>
      </c>
      <c r="B2600" s="3">
        <v>45603</v>
      </c>
      <c r="C2600" t="s">
        <v>361</v>
      </c>
      <c r="D2600" t="s">
        <v>70</v>
      </c>
      <c r="E2600" t="s">
        <v>17</v>
      </c>
      <c r="F2600" t="str">
        <f t="shared" si="40"/>
        <v>Central</v>
      </c>
      <c r="G2600" t="s">
        <v>306</v>
      </c>
      <c r="H2600" t="s">
        <v>28</v>
      </c>
      <c r="I2600">
        <v>17</v>
      </c>
    </row>
    <row r="2601" spans="1:9" ht="21.75" customHeight="1">
      <c r="A2601" t="s">
        <v>2751</v>
      </c>
      <c r="B2601" s="3">
        <v>45298</v>
      </c>
      <c r="C2601" t="s">
        <v>51</v>
      </c>
      <c r="D2601" t="s">
        <v>96</v>
      </c>
      <c r="E2601" t="s">
        <v>22</v>
      </c>
      <c r="F2601" t="str">
        <f t="shared" si="40"/>
        <v>North</v>
      </c>
      <c r="G2601" t="s">
        <v>12</v>
      </c>
      <c r="H2601" t="s">
        <v>32</v>
      </c>
      <c r="I2601">
        <v>8</v>
      </c>
    </row>
    <row r="2602" spans="1:9" ht="21.75" customHeight="1">
      <c r="A2602" t="s">
        <v>2752</v>
      </c>
      <c r="B2602" s="3">
        <v>45416</v>
      </c>
      <c r="C2602" t="s">
        <v>381</v>
      </c>
      <c r="D2602" t="s">
        <v>10</v>
      </c>
      <c r="E2602" t="s">
        <v>11</v>
      </c>
      <c r="F2602" t="str">
        <f t="shared" si="40"/>
        <v>South</v>
      </c>
      <c r="G2602" t="s">
        <v>56</v>
      </c>
      <c r="H2602" t="s">
        <v>32</v>
      </c>
      <c r="I2602">
        <v>16</v>
      </c>
    </row>
    <row r="2603" spans="1:9" ht="21.75" customHeight="1">
      <c r="A2603" t="s">
        <v>2753</v>
      </c>
      <c r="B2603" s="3">
        <v>45369</v>
      </c>
      <c r="C2603" t="s">
        <v>159</v>
      </c>
      <c r="D2603" t="s">
        <v>65</v>
      </c>
      <c r="E2603" t="s">
        <v>22</v>
      </c>
      <c r="F2603" t="str">
        <f t="shared" si="40"/>
        <v>North</v>
      </c>
      <c r="G2603" t="s">
        <v>12</v>
      </c>
      <c r="H2603" t="s">
        <v>28</v>
      </c>
      <c r="I2603">
        <v>20</v>
      </c>
    </row>
    <row r="2604" spans="1:9" ht="21.75" customHeight="1">
      <c r="A2604" t="s">
        <v>2754</v>
      </c>
      <c r="B2604" s="3">
        <v>45519</v>
      </c>
      <c r="C2604" t="s">
        <v>304</v>
      </c>
      <c r="D2604" t="s">
        <v>72</v>
      </c>
      <c r="E2604" t="s">
        <v>11</v>
      </c>
      <c r="F2604" t="str">
        <f t="shared" si="40"/>
        <v>East</v>
      </c>
      <c r="G2604" t="s">
        <v>42</v>
      </c>
      <c r="H2604" t="s">
        <v>32</v>
      </c>
      <c r="I2604">
        <v>2</v>
      </c>
    </row>
    <row r="2605" spans="1:9" ht="21.75" customHeight="1">
      <c r="A2605" t="s">
        <v>2755</v>
      </c>
      <c r="B2605" s="3">
        <v>45504</v>
      </c>
      <c r="C2605" t="s">
        <v>736</v>
      </c>
      <c r="D2605" t="s">
        <v>74</v>
      </c>
      <c r="E2605" t="s">
        <v>11</v>
      </c>
      <c r="F2605" t="str">
        <f t="shared" si="40"/>
        <v>South</v>
      </c>
      <c r="G2605" t="s">
        <v>56</v>
      </c>
      <c r="H2605" t="s">
        <v>32</v>
      </c>
      <c r="I2605">
        <v>11</v>
      </c>
    </row>
    <row r="2606" spans="1:9" ht="21.75" customHeight="1">
      <c r="A2606" t="s">
        <v>2756</v>
      </c>
      <c r="B2606" s="3">
        <v>45568</v>
      </c>
      <c r="C2606" t="s">
        <v>9</v>
      </c>
      <c r="D2606" t="s">
        <v>41</v>
      </c>
      <c r="E2606" t="s">
        <v>11</v>
      </c>
      <c r="F2606" t="str">
        <f t="shared" si="40"/>
        <v>South</v>
      </c>
      <c r="G2606" t="s">
        <v>56</v>
      </c>
      <c r="H2606" t="s">
        <v>36</v>
      </c>
      <c r="I2606">
        <v>13</v>
      </c>
    </row>
    <row r="2607" spans="1:9" ht="21.75" customHeight="1">
      <c r="A2607" t="s">
        <v>2757</v>
      </c>
      <c r="B2607" s="3">
        <v>45385</v>
      </c>
      <c r="C2607" t="s">
        <v>396</v>
      </c>
      <c r="D2607" t="s">
        <v>21</v>
      </c>
      <c r="E2607" t="s">
        <v>11</v>
      </c>
      <c r="F2607" t="str">
        <f t="shared" si="40"/>
        <v>North</v>
      </c>
      <c r="G2607" t="s">
        <v>12</v>
      </c>
      <c r="H2607" t="s">
        <v>23</v>
      </c>
      <c r="I2607">
        <v>3</v>
      </c>
    </row>
    <row r="2608" spans="1:9" ht="21.75" customHeight="1">
      <c r="A2608" t="s">
        <v>2758</v>
      </c>
      <c r="B2608" s="3">
        <v>45318</v>
      </c>
      <c r="C2608" t="s">
        <v>541</v>
      </c>
      <c r="D2608" t="s">
        <v>16</v>
      </c>
      <c r="E2608" t="s">
        <v>11</v>
      </c>
      <c r="F2608" t="str">
        <f t="shared" si="40"/>
        <v>South</v>
      </c>
      <c r="G2608" t="s">
        <v>56</v>
      </c>
      <c r="H2608" t="s">
        <v>13</v>
      </c>
      <c r="I2608">
        <v>6</v>
      </c>
    </row>
    <row r="2609" spans="1:9" ht="21.75" customHeight="1">
      <c r="A2609" t="s">
        <v>2759</v>
      </c>
      <c r="B2609" s="3">
        <v>45396</v>
      </c>
      <c r="C2609" t="s">
        <v>93</v>
      </c>
      <c r="D2609" t="s">
        <v>160</v>
      </c>
      <c r="E2609" t="s">
        <v>11</v>
      </c>
      <c r="F2609" t="str">
        <f t="shared" si="40"/>
        <v>West</v>
      </c>
      <c r="G2609" t="s">
        <v>27</v>
      </c>
      <c r="H2609" t="s">
        <v>23</v>
      </c>
      <c r="I2609">
        <v>10</v>
      </c>
    </row>
    <row r="2610" spans="1:9" ht="21.75" customHeight="1">
      <c r="A2610" t="s">
        <v>2760</v>
      </c>
      <c r="B2610" s="3">
        <v>45393</v>
      </c>
      <c r="C2610" t="s">
        <v>78</v>
      </c>
      <c r="D2610" t="s">
        <v>87</v>
      </c>
      <c r="E2610" t="s">
        <v>11</v>
      </c>
      <c r="F2610" t="str">
        <f t="shared" si="40"/>
        <v>Central</v>
      </c>
      <c r="G2610" t="s">
        <v>306</v>
      </c>
      <c r="H2610" t="s">
        <v>28</v>
      </c>
      <c r="I2610">
        <v>10</v>
      </c>
    </row>
    <row r="2611" spans="1:9" ht="21.75" customHeight="1">
      <c r="A2611" t="s">
        <v>2761</v>
      </c>
      <c r="B2611" s="3">
        <v>45521</v>
      </c>
      <c r="C2611" t="s">
        <v>541</v>
      </c>
      <c r="D2611" t="s">
        <v>65</v>
      </c>
      <c r="E2611" t="s">
        <v>17</v>
      </c>
      <c r="F2611" t="str">
        <f t="shared" si="40"/>
        <v>West</v>
      </c>
      <c r="G2611" t="s">
        <v>27</v>
      </c>
      <c r="H2611" t="s">
        <v>13</v>
      </c>
      <c r="I2611">
        <v>12</v>
      </c>
    </row>
    <row r="2612" spans="1:9" ht="21.75" customHeight="1">
      <c r="A2612" t="s">
        <v>2762</v>
      </c>
      <c r="B2612" s="3">
        <v>45377</v>
      </c>
      <c r="C2612" t="s">
        <v>553</v>
      </c>
      <c r="D2612" t="s">
        <v>70</v>
      </c>
      <c r="E2612" t="s">
        <v>17</v>
      </c>
      <c r="F2612" t="str">
        <f t="shared" si="40"/>
        <v>Central</v>
      </c>
      <c r="G2612" t="s">
        <v>306</v>
      </c>
      <c r="H2612" t="s">
        <v>36</v>
      </c>
      <c r="I2612">
        <v>14</v>
      </c>
    </row>
    <row r="2613" spans="1:9" ht="21.75" customHeight="1">
      <c r="A2613" t="s">
        <v>2763</v>
      </c>
      <c r="B2613" s="3">
        <v>45538</v>
      </c>
      <c r="C2613" t="s">
        <v>138</v>
      </c>
      <c r="D2613" t="s">
        <v>119</v>
      </c>
      <c r="E2613" t="s">
        <v>17</v>
      </c>
      <c r="F2613" t="str">
        <f t="shared" si="40"/>
        <v>West</v>
      </c>
      <c r="G2613" t="s">
        <v>27</v>
      </c>
      <c r="H2613" t="s">
        <v>13</v>
      </c>
      <c r="I2613">
        <v>10</v>
      </c>
    </row>
    <row r="2614" spans="1:9" ht="21.75" customHeight="1">
      <c r="A2614" t="s">
        <v>2764</v>
      </c>
      <c r="B2614" s="3">
        <v>45370</v>
      </c>
      <c r="C2614" t="s">
        <v>378</v>
      </c>
      <c r="D2614" t="s">
        <v>84</v>
      </c>
      <c r="E2614" t="s">
        <v>11</v>
      </c>
      <c r="F2614" t="str">
        <f t="shared" si="40"/>
        <v>East</v>
      </c>
      <c r="G2614" t="s">
        <v>42</v>
      </c>
      <c r="H2614" t="s">
        <v>23</v>
      </c>
      <c r="I2614">
        <v>15</v>
      </c>
    </row>
    <row r="2615" spans="1:9" ht="21.75" customHeight="1">
      <c r="A2615" t="s">
        <v>2765</v>
      </c>
      <c r="B2615" s="3">
        <v>45437</v>
      </c>
      <c r="C2615" t="s">
        <v>159</v>
      </c>
      <c r="D2615" t="s">
        <v>174</v>
      </c>
      <c r="E2615" t="s">
        <v>22</v>
      </c>
      <c r="F2615" t="str">
        <f t="shared" si="40"/>
        <v>West</v>
      </c>
      <c r="G2615" t="s">
        <v>27</v>
      </c>
      <c r="H2615" t="s">
        <v>13</v>
      </c>
      <c r="I2615">
        <v>11</v>
      </c>
    </row>
    <row r="2616" spans="1:9" ht="21.75" customHeight="1">
      <c r="A2616" t="s">
        <v>2766</v>
      </c>
      <c r="B2616" s="3">
        <v>45532</v>
      </c>
      <c r="C2616" t="s">
        <v>104</v>
      </c>
      <c r="D2616" t="s">
        <v>16</v>
      </c>
      <c r="E2616" t="s">
        <v>11</v>
      </c>
      <c r="F2616" t="str">
        <f t="shared" si="40"/>
        <v>North</v>
      </c>
      <c r="G2616" t="s">
        <v>12</v>
      </c>
      <c r="H2616" t="s">
        <v>13</v>
      </c>
      <c r="I2616">
        <v>17</v>
      </c>
    </row>
    <row r="2617" spans="1:9" ht="21.75" customHeight="1">
      <c r="A2617" t="s">
        <v>2767</v>
      </c>
      <c r="B2617" s="3">
        <v>45483</v>
      </c>
      <c r="C2617" t="s">
        <v>374</v>
      </c>
      <c r="D2617" t="s">
        <v>31</v>
      </c>
      <c r="E2617" t="s">
        <v>17</v>
      </c>
      <c r="F2617" t="str">
        <f t="shared" si="40"/>
        <v>West</v>
      </c>
      <c r="G2617" t="s">
        <v>27</v>
      </c>
      <c r="H2617" t="s">
        <v>32</v>
      </c>
      <c r="I2617">
        <v>13</v>
      </c>
    </row>
    <row r="2618" spans="1:9" ht="21.75" customHeight="1">
      <c r="A2618" t="s">
        <v>2768</v>
      </c>
      <c r="B2618" s="3">
        <v>45620</v>
      </c>
      <c r="C2618" t="s">
        <v>449</v>
      </c>
      <c r="D2618" t="s">
        <v>10</v>
      </c>
      <c r="E2618" t="s">
        <v>17</v>
      </c>
      <c r="F2618" t="str">
        <f t="shared" si="40"/>
        <v>North</v>
      </c>
      <c r="G2618" t="s">
        <v>12</v>
      </c>
      <c r="H2618" t="s">
        <v>13</v>
      </c>
      <c r="I2618">
        <v>13</v>
      </c>
    </row>
    <row r="2619" spans="1:9" ht="21.75" customHeight="1">
      <c r="A2619" t="s">
        <v>2769</v>
      </c>
      <c r="B2619" s="3">
        <v>45375</v>
      </c>
      <c r="C2619" t="s">
        <v>150</v>
      </c>
      <c r="D2619" t="s">
        <v>119</v>
      </c>
      <c r="E2619" t="s">
        <v>17</v>
      </c>
      <c r="F2619" t="str">
        <f t="shared" si="40"/>
        <v>East</v>
      </c>
      <c r="G2619" t="s">
        <v>42</v>
      </c>
      <c r="H2619" t="s">
        <v>32</v>
      </c>
      <c r="I2619">
        <v>17</v>
      </c>
    </row>
    <row r="2620" spans="1:9" ht="21.75" customHeight="1">
      <c r="A2620" t="s">
        <v>2770</v>
      </c>
      <c r="B2620" s="3">
        <v>45617</v>
      </c>
      <c r="C2620" t="s">
        <v>465</v>
      </c>
      <c r="D2620" t="s">
        <v>48</v>
      </c>
      <c r="E2620" t="s">
        <v>22</v>
      </c>
      <c r="F2620" t="str">
        <f t="shared" si="40"/>
        <v>North</v>
      </c>
      <c r="G2620" t="s">
        <v>12</v>
      </c>
      <c r="H2620" t="s">
        <v>23</v>
      </c>
      <c r="I2620">
        <v>14</v>
      </c>
    </row>
    <row r="2621" spans="1:9" ht="21.75" customHeight="1">
      <c r="A2621" t="s">
        <v>2771</v>
      </c>
      <c r="B2621" s="3">
        <v>45416</v>
      </c>
      <c r="C2621" t="s">
        <v>517</v>
      </c>
      <c r="D2621" t="s">
        <v>79</v>
      </c>
      <c r="E2621" t="s">
        <v>17</v>
      </c>
      <c r="F2621" t="str">
        <f t="shared" si="40"/>
        <v>North</v>
      </c>
      <c r="G2621" t="s">
        <v>12</v>
      </c>
      <c r="H2621" t="s">
        <v>28</v>
      </c>
      <c r="I2621">
        <v>9</v>
      </c>
    </row>
    <row r="2622" spans="1:9" ht="21.75" customHeight="1">
      <c r="A2622" t="s">
        <v>2772</v>
      </c>
      <c r="B2622" s="3">
        <v>45640</v>
      </c>
      <c r="C2622" t="s">
        <v>167</v>
      </c>
      <c r="D2622" t="s">
        <v>26</v>
      </c>
      <c r="E2622" t="s">
        <v>11</v>
      </c>
      <c r="F2622" t="str">
        <f t="shared" si="40"/>
        <v>Central</v>
      </c>
      <c r="G2622" t="s">
        <v>306</v>
      </c>
      <c r="H2622" t="s">
        <v>36</v>
      </c>
      <c r="I2622">
        <v>6</v>
      </c>
    </row>
    <row r="2623" spans="1:9" ht="21.75" customHeight="1">
      <c r="A2623" t="s">
        <v>2773</v>
      </c>
      <c r="B2623" s="3">
        <v>45339</v>
      </c>
      <c r="C2623" t="s">
        <v>736</v>
      </c>
      <c r="D2623" t="s">
        <v>62</v>
      </c>
      <c r="E2623" t="s">
        <v>17</v>
      </c>
      <c r="F2623" t="str">
        <f t="shared" si="40"/>
        <v>West</v>
      </c>
      <c r="G2623" t="s">
        <v>27</v>
      </c>
      <c r="H2623" t="s">
        <v>36</v>
      </c>
      <c r="I2623">
        <v>3</v>
      </c>
    </row>
    <row r="2624" spans="1:9" ht="21.75" customHeight="1">
      <c r="A2624" t="s">
        <v>2774</v>
      </c>
      <c r="B2624" s="3">
        <v>45388</v>
      </c>
      <c r="C2624" t="s">
        <v>309</v>
      </c>
      <c r="D2624" t="s">
        <v>45</v>
      </c>
      <c r="E2624" t="s">
        <v>17</v>
      </c>
      <c r="F2624" t="str">
        <f t="shared" si="40"/>
        <v>East</v>
      </c>
      <c r="G2624" t="s">
        <v>42</v>
      </c>
      <c r="H2624" t="s">
        <v>32</v>
      </c>
      <c r="I2624">
        <v>17</v>
      </c>
    </row>
    <row r="2625" spans="1:9" ht="21.75" customHeight="1">
      <c r="A2625" t="s">
        <v>2775</v>
      </c>
      <c r="B2625" s="3">
        <v>45629</v>
      </c>
      <c r="C2625" t="s">
        <v>159</v>
      </c>
      <c r="D2625" t="s">
        <v>59</v>
      </c>
      <c r="E2625" t="s">
        <v>17</v>
      </c>
      <c r="F2625" t="str">
        <f t="shared" si="40"/>
        <v>West</v>
      </c>
      <c r="G2625" t="s">
        <v>27</v>
      </c>
      <c r="H2625" t="s">
        <v>13</v>
      </c>
      <c r="I2625">
        <v>4</v>
      </c>
    </row>
    <row r="2626" spans="1:9" ht="21.75" customHeight="1">
      <c r="A2626" t="s">
        <v>2776</v>
      </c>
      <c r="B2626" s="3">
        <v>45468</v>
      </c>
      <c r="C2626" t="s">
        <v>167</v>
      </c>
      <c r="D2626" t="s">
        <v>26</v>
      </c>
      <c r="E2626" t="s">
        <v>22</v>
      </c>
      <c r="F2626" t="str">
        <f t="shared" si="40"/>
        <v>South</v>
      </c>
      <c r="G2626" t="s">
        <v>56</v>
      </c>
      <c r="H2626" t="s">
        <v>23</v>
      </c>
      <c r="I2626">
        <v>10</v>
      </c>
    </row>
    <row r="2627" spans="1:9" ht="21.75" customHeight="1">
      <c r="A2627" t="s">
        <v>2777</v>
      </c>
      <c r="B2627" s="3">
        <v>45378</v>
      </c>
      <c r="C2627" t="s">
        <v>374</v>
      </c>
      <c r="D2627" t="s">
        <v>96</v>
      </c>
      <c r="E2627" t="s">
        <v>11</v>
      </c>
      <c r="F2627" t="str">
        <f t="shared" ref="F2627:F2690" si="41">TRIM(PROPER(G2627))</f>
        <v>North</v>
      </c>
      <c r="G2627" t="s">
        <v>12</v>
      </c>
      <c r="H2627" t="s">
        <v>23</v>
      </c>
      <c r="I2627">
        <v>17</v>
      </c>
    </row>
    <row r="2628" spans="1:9" ht="21.75" customHeight="1">
      <c r="A2628" t="s">
        <v>2778</v>
      </c>
      <c r="B2628" s="3">
        <v>45439</v>
      </c>
      <c r="C2628" t="s">
        <v>388</v>
      </c>
      <c r="D2628" t="s">
        <v>87</v>
      </c>
      <c r="E2628" t="s">
        <v>11</v>
      </c>
      <c r="F2628" t="str">
        <f t="shared" si="41"/>
        <v>South</v>
      </c>
      <c r="G2628" t="s">
        <v>56</v>
      </c>
      <c r="H2628" t="s">
        <v>32</v>
      </c>
      <c r="I2628">
        <v>6</v>
      </c>
    </row>
    <row r="2629" spans="1:9" ht="21.75" customHeight="1">
      <c r="A2629" t="s">
        <v>2779</v>
      </c>
      <c r="B2629" s="3">
        <v>45393</v>
      </c>
      <c r="C2629" t="s">
        <v>374</v>
      </c>
      <c r="D2629" t="s">
        <v>45</v>
      </c>
      <c r="E2629" t="s">
        <v>22</v>
      </c>
      <c r="F2629" t="str">
        <f t="shared" si="41"/>
        <v>North</v>
      </c>
      <c r="G2629" t="s">
        <v>12</v>
      </c>
      <c r="H2629" t="s">
        <v>23</v>
      </c>
      <c r="I2629">
        <v>19</v>
      </c>
    </row>
    <row r="2630" spans="1:9" ht="21.75" customHeight="1">
      <c r="A2630" t="s">
        <v>2780</v>
      </c>
      <c r="B2630" s="3">
        <v>45387</v>
      </c>
      <c r="C2630" t="s">
        <v>104</v>
      </c>
      <c r="D2630" t="s">
        <v>79</v>
      </c>
      <c r="E2630" t="s">
        <v>22</v>
      </c>
      <c r="F2630" t="str">
        <f t="shared" si="41"/>
        <v>South</v>
      </c>
      <c r="G2630" t="s">
        <v>56</v>
      </c>
      <c r="H2630" t="s">
        <v>28</v>
      </c>
      <c r="I2630">
        <v>9</v>
      </c>
    </row>
    <row r="2631" spans="1:9" ht="21.75" customHeight="1">
      <c r="A2631" t="s">
        <v>2781</v>
      </c>
      <c r="B2631" s="3">
        <v>45501</v>
      </c>
      <c r="C2631" t="s">
        <v>396</v>
      </c>
      <c r="D2631" t="s">
        <v>21</v>
      </c>
      <c r="E2631" t="s">
        <v>22</v>
      </c>
      <c r="F2631" t="str">
        <f t="shared" si="41"/>
        <v>North</v>
      </c>
      <c r="G2631" t="s">
        <v>12</v>
      </c>
      <c r="H2631" t="s">
        <v>28</v>
      </c>
      <c r="I2631">
        <v>3</v>
      </c>
    </row>
    <row r="2632" spans="1:9" ht="21.75" customHeight="1">
      <c r="A2632" t="s">
        <v>2782</v>
      </c>
      <c r="B2632" s="3">
        <v>45485</v>
      </c>
      <c r="C2632" t="s">
        <v>114</v>
      </c>
      <c r="D2632" t="s">
        <v>26</v>
      </c>
      <c r="E2632" t="s">
        <v>11</v>
      </c>
      <c r="F2632" t="str">
        <f t="shared" si="41"/>
        <v>East</v>
      </c>
      <c r="G2632" t="s">
        <v>42</v>
      </c>
      <c r="H2632" t="s">
        <v>13</v>
      </c>
      <c r="I2632">
        <v>19</v>
      </c>
    </row>
    <row r="2633" spans="1:9" ht="21.75" customHeight="1">
      <c r="A2633" t="s">
        <v>2783</v>
      </c>
      <c r="B2633" s="3">
        <v>45540</v>
      </c>
      <c r="C2633" t="s">
        <v>422</v>
      </c>
      <c r="D2633" t="s">
        <v>119</v>
      </c>
      <c r="E2633" t="s">
        <v>11</v>
      </c>
      <c r="F2633" t="str">
        <f t="shared" si="41"/>
        <v>North</v>
      </c>
      <c r="G2633" t="s">
        <v>12</v>
      </c>
      <c r="H2633" t="s">
        <v>13</v>
      </c>
      <c r="I2633">
        <v>9</v>
      </c>
    </row>
    <row r="2634" spans="1:9" ht="21.75" customHeight="1">
      <c r="A2634" t="s">
        <v>2784</v>
      </c>
      <c r="B2634" s="3">
        <v>45295</v>
      </c>
      <c r="C2634" t="s">
        <v>317</v>
      </c>
      <c r="D2634" t="s">
        <v>59</v>
      </c>
      <c r="E2634" t="s">
        <v>11</v>
      </c>
      <c r="F2634" t="str">
        <f t="shared" si="41"/>
        <v>North</v>
      </c>
      <c r="G2634" t="s">
        <v>12</v>
      </c>
      <c r="H2634" t="s">
        <v>28</v>
      </c>
      <c r="I2634">
        <v>17</v>
      </c>
    </row>
    <row r="2635" spans="1:9" ht="21.75" customHeight="1">
      <c r="A2635" t="s">
        <v>2785</v>
      </c>
      <c r="B2635" s="3">
        <v>45484</v>
      </c>
      <c r="C2635" t="s">
        <v>493</v>
      </c>
      <c r="D2635" t="s">
        <v>160</v>
      </c>
      <c r="E2635" t="s">
        <v>17</v>
      </c>
      <c r="F2635" t="str">
        <f t="shared" si="41"/>
        <v>West</v>
      </c>
      <c r="G2635" t="s">
        <v>27</v>
      </c>
      <c r="H2635" t="s">
        <v>23</v>
      </c>
      <c r="I2635">
        <v>11</v>
      </c>
    </row>
    <row r="2636" spans="1:9" ht="21.75" customHeight="1">
      <c r="A2636" t="s">
        <v>2786</v>
      </c>
      <c r="B2636" s="3">
        <v>45464</v>
      </c>
      <c r="C2636" t="s">
        <v>200</v>
      </c>
      <c r="D2636" t="s">
        <v>41</v>
      </c>
      <c r="E2636" t="s">
        <v>17</v>
      </c>
      <c r="F2636" t="str">
        <f t="shared" si="41"/>
        <v>East</v>
      </c>
      <c r="G2636" t="s">
        <v>42</v>
      </c>
      <c r="H2636" t="s">
        <v>28</v>
      </c>
      <c r="I2636">
        <v>12</v>
      </c>
    </row>
    <row r="2637" spans="1:9" ht="21.75" customHeight="1">
      <c r="A2637" t="s">
        <v>2787</v>
      </c>
      <c r="B2637" s="3">
        <v>45485</v>
      </c>
      <c r="C2637" t="s">
        <v>594</v>
      </c>
      <c r="D2637" t="s">
        <v>79</v>
      </c>
      <c r="E2637" t="s">
        <v>17</v>
      </c>
      <c r="F2637" t="str">
        <f t="shared" si="41"/>
        <v>East</v>
      </c>
      <c r="G2637" t="s">
        <v>42</v>
      </c>
      <c r="H2637" t="s">
        <v>13</v>
      </c>
      <c r="I2637">
        <v>1</v>
      </c>
    </row>
    <row r="2638" spans="1:9" ht="21.75" customHeight="1">
      <c r="A2638" t="s">
        <v>2788</v>
      </c>
      <c r="B2638" s="3">
        <v>45649</v>
      </c>
      <c r="C2638" t="s">
        <v>341</v>
      </c>
      <c r="D2638" t="s">
        <v>84</v>
      </c>
      <c r="E2638" t="s">
        <v>11</v>
      </c>
      <c r="F2638" t="str">
        <f t="shared" si="41"/>
        <v>North</v>
      </c>
      <c r="G2638" t="s">
        <v>12</v>
      </c>
      <c r="H2638" t="s">
        <v>36</v>
      </c>
      <c r="I2638">
        <v>4</v>
      </c>
    </row>
    <row r="2639" spans="1:9" ht="21.75" customHeight="1">
      <c r="A2639" t="s">
        <v>2789</v>
      </c>
      <c r="B2639" s="3">
        <v>45435</v>
      </c>
      <c r="C2639" t="s">
        <v>424</v>
      </c>
      <c r="D2639" t="s">
        <v>119</v>
      </c>
      <c r="E2639" t="s">
        <v>11</v>
      </c>
      <c r="F2639" t="str">
        <f t="shared" si="41"/>
        <v>East</v>
      </c>
      <c r="G2639" t="s">
        <v>42</v>
      </c>
      <c r="H2639" t="s">
        <v>23</v>
      </c>
      <c r="I2639">
        <v>20</v>
      </c>
    </row>
    <row r="2640" spans="1:9" ht="21.75" customHeight="1">
      <c r="A2640" t="s">
        <v>2790</v>
      </c>
      <c r="B2640" s="3">
        <v>45535</v>
      </c>
      <c r="C2640" t="s">
        <v>345</v>
      </c>
      <c r="D2640" t="s">
        <v>87</v>
      </c>
      <c r="E2640" t="s">
        <v>22</v>
      </c>
      <c r="F2640" t="str">
        <f t="shared" si="41"/>
        <v>South</v>
      </c>
      <c r="G2640" t="s">
        <v>56</v>
      </c>
      <c r="H2640" t="s">
        <v>13</v>
      </c>
      <c r="I2640">
        <v>11</v>
      </c>
    </row>
    <row r="2641" spans="1:9" ht="21.75" customHeight="1">
      <c r="A2641" t="s">
        <v>2791</v>
      </c>
      <c r="B2641" s="3">
        <v>45476</v>
      </c>
      <c r="C2641" t="s">
        <v>116</v>
      </c>
      <c r="D2641" t="s">
        <v>84</v>
      </c>
      <c r="E2641" t="s">
        <v>17</v>
      </c>
      <c r="F2641" t="str">
        <f t="shared" si="41"/>
        <v>West</v>
      </c>
      <c r="G2641" t="s">
        <v>27</v>
      </c>
      <c r="H2641" t="s">
        <v>28</v>
      </c>
      <c r="I2641">
        <v>20</v>
      </c>
    </row>
    <row r="2642" spans="1:9" ht="21.75" customHeight="1">
      <c r="A2642" t="s">
        <v>2792</v>
      </c>
      <c r="B2642" s="3">
        <v>45605</v>
      </c>
      <c r="C2642" t="s">
        <v>81</v>
      </c>
      <c r="D2642" t="s">
        <v>48</v>
      </c>
      <c r="E2642" t="s">
        <v>17</v>
      </c>
      <c r="F2642" t="str">
        <f t="shared" si="41"/>
        <v>West</v>
      </c>
      <c r="G2642" t="s">
        <v>27</v>
      </c>
      <c r="H2642" t="s">
        <v>13</v>
      </c>
      <c r="I2642">
        <v>13</v>
      </c>
    </row>
    <row r="2643" spans="1:9" ht="21.75" customHeight="1">
      <c r="A2643" t="s">
        <v>2793</v>
      </c>
      <c r="B2643" s="3">
        <v>45391</v>
      </c>
      <c r="C2643" t="s">
        <v>436</v>
      </c>
      <c r="D2643" t="s">
        <v>16</v>
      </c>
      <c r="E2643" t="s">
        <v>22</v>
      </c>
      <c r="F2643" t="str">
        <f t="shared" si="41"/>
        <v>Central</v>
      </c>
      <c r="G2643" t="s">
        <v>306</v>
      </c>
      <c r="H2643" t="s">
        <v>36</v>
      </c>
      <c r="I2643">
        <v>2</v>
      </c>
    </row>
    <row r="2644" spans="1:9" ht="21.75" customHeight="1">
      <c r="A2644" t="s">
        <v>2794</v>
      </c>
      <c r="B2644" s="3">
        <v>45336</v>
      </c>
      <c r="C2644" t="s">
        <v>68</v>
      </c>
      <c r="D2644" t="s">
        <v>41</v>
      </c>
      <c r="E2644" t="s">
        <v>22</v>
      </c>
      <c r="F2644" t="str">
        <f t="shared" si="41"/>
        <v>West</v>
      </c>
      <c r="G2644" t="s">
        <v>27</v>
      </c>
      <c r="H2644" t="s">
        <v>28</v>
      </c>
      <c r="I2644">
        <v>15</v>
      </c>
    </row>
    <row r="2645" spans="1:9" ht="21.75" customHeight="1">
      <c r="A2645" t="s">
        <v>2795</v>
      </c>
      <c r="B2645" s="3">
        <v>45538</v>
      </c>
      <c r="C2645" t="s">
        <v>371</v>
      </c>
      <c r="D2645" t="s">
        <v>174</v>
      </c>
      <c r="E2645" t="s">
        <v>11</v>
      </c>
      <c r="F2645" t="str">
        <f t="shared" si="41"/>
        <v>South</v>
      </c>
      <c r="G2645" t="s">
        <v>56</v>
      </c>
      <c r="H2645" t="s">
        <v>28</v>
      </c>
      <c r="I2645">
        <v>6</v>
      </c>
    </row>
    <row r="2646" spans="1:9" ht="21.75" customHeight="1">
      <c r="A2646" t="s">
        <v>2796</v>
      </c>
      <c r="B2646" s="3">
        <v>45629</v>
      </c>
      <c r="C2646" t="s">
        <v>424</v>
      </c>
      <c r="D2646" t="s">
        <v>10</v>
      </c>
      <c r="E2646" t="s">
        <v>11</v>
      </c>
      <c r="F2646" t="str">
        <f t="shared" si="41"/>
        <v>West</v>
      </c>
      <c r="G2646" t="s">
        <v>27</v>
      </c>
      <c r="H2646" t="s">
        <v>13</v>
      </c>
      <c r="I2646">
        <v>6</v>
      </c>
    </row>
    <row r="2647" spans="1:9" ht="21.75" customHeight="1">
      <c r="A2647" t="s">
        <v>2797</v>
      </c>
      <c r="B2647" s="3">
        <v>45459</v>
      </c>
      <c r="C2647" t="s">
        <v>53</v>
      </c>
      <c r="D2647" t="s">
        <v>119</v>
      </c>
      <c r="E2647" t="s">
        <v>17</v>
      </c>
      <c r="F2647" t="str">
        <f t="shared" si="41"/>
        <v>South</v>
      </c>
      <c r="G2647" t="s">
        <v>56</v>
      </c>
      <c r="H2647" t="s">
        <v>32</v>
      </c>
      <c r="I2647">
        <v>16</v>
      </c>
    </row>
    <row r="2648" spans="1:9" ht="21.75" customHeight="1">
      <c r="A2648" t="s">
        <v>2798</v>
      </c>
      <c r="B2648" s="3">
        <v>45635</v>
      </c>
      <c r="C2648" t="s">
        <v>114</v>
      </c>
      <c r="D2648" t="s">
        <v>41</v>
      </c>
      <c r="E2648" t="s">
        <v>11</v>
      </c>
      <c r="F2648" t="str">
        <f t="shared" si="41"/>
        <v>Central</v>
      </c>
      <c r="G2648" t="s">
        <v>306</v>
      </c>
      <c r="H2648" t="s">
        <v>23</v>
      </c>
      <c r="I2648">
        <v>3</v>
      </c>
    </row>
    <row r="2649" spans="1:9" ht="21.75" customHeight="1">
      <c r="A2649" t="s">
        <v>2799</v>
      </c>
      <c r="B2649" s="3">
        <v>45462</v>
      </c>
      <c r="C2649" t="s">
        <v>240</v>
      </c>
      <c r="D2649" t="s">
        <v>59</v>
      </c>
      <c r="E2649" t="s">
        <v>22</v>
      </c>
      <c r="F2649" t="str">
        <f t="shared" si="41"/>
        <v>North</v>
      </c>
      <c r="G2649" t="s">
        <v>12</v>
      </c>
      <c r="H2649" t="s">
        <v>32</v>
      </c>
      <c r="I2649">
        <v>13</v>
      </c>
    </row>
    <row r="2650" spans="1:9" ht="21.75" customHeight="1">
      <c r="A2650" t="s">
        <v>2800</v>
      </c>
      <c r="B2650" s="3">
        <v>45487</v>
      </c>
      <c r="C2650" t="s">
        <v>350</v>
      </c>
      <c r="D2650" t="s">
        <v>21</v>
      </c>
      <c r="E2650" t="s">
        <v>22</v>
      </c>
      <c r="F2650" t="str">
        <f t="shared" si="41"/>
        <v>West</v>
      </c>
      <c r="G2650" t="s">
        <v>27</v>
      </c>
      <c r="H2650" t="s">
        <v>28</v>
      </c>
      <c r="I2650">
        <v>8</v>
      </c>
    </row>
    <row r="2651" spans="1:9" ht="21.75" customHeight="1">
      <c r="A2651" t="s">
        <v>2801</v>
      </c>
      <c r="B2651" s="3">
        <v>45440</v>
      </c>
      <c r="C2651" t="s">
        <v>203</v>
      </c>
      <c r="D2651" t="s">
        <v>102</v>
      </c>
      <c r="E2651" t="s">
        <v>11</v>
      </c>
      <c r="F2651" t="str">
        <f t="shared" si="41"/>
        <v>East</v>
      </c>
      <c r="G2651" t="s">
        <v>42</v>
      </c>
      <c r="H2651" t="s">
        <v>36</v>
      </c>
      <c r="I2651">
        <v>7</v>
      </c>
    </row>
    <row r="2652" spans="1:9" ht="21.75" customHeight="1">
      <c r="A2652" t="s">
        <v>2802</v>
      </c>
      <c r="B2652" s="3">
        <v>45351</v>
      </c>
      <c r="C2652" t="s">
        <v>314</v>
      </c>
      <c r="D2652" t="s">
        <v>48</v>
      </c>
      <c r="E2652" t="s">
        <v>11</v>
      </c>
      <c r="F2652" t="str">
        <f t="shared" si="41"/>
        <v>East</v>
      </c>
      <c r="G2652" t="s">
        <v>42</v>
      </c>
      <c r="H2652" t="s">
        <v>23</v>
      </c>
      <c r="I2652">
        <v>19</v>
      </c>
    </row>
    <row r="2653" spans="1:9" ht="21.75" customHeight="1">
      <c r="A2653" t="s">
        <v>2803</v>
      </c>
      <c r="B2653" s="3">
        <v>45451</v>
      </c>
      <c r="C2653" t="s">
        <v>131</v>
      </c>
      <c r="D2653" t="s">
        <v>59</v>
      </c>
      <c r="E2653" t="s">
        <v>22</v>
      </c>
      <c r="F2653" t="str">
        <f t="shared" si="41"/>
        <v>South</v>
      </c>
      <c r="G2653" t="s">
        <v>56</v>
      </c>
      <c r="H2653" t="s">
        <v>23</v>
      </c>
      <c r="I2653">
        <v>14</v>
      </c>
    </row>
    <row r="2654" spans="1:9" ht="21.75" customHeight="1">
      <c r="A2654" t="s">
        <v>2804</v>
      </c>
      <c r="B2654" s="3">
        <v>45478</v>
      </c>
      <c r="C2654" t="s">
        <v>422</v>
      </c>
      <c r="D2654" t="s">
        <v>16</v>
      </c>
      <c r="E2654" t="s">
        <v>22</v>
      </c>
      <c r="F2654" t="str">
        <f t="shared" si="41"/>
        <v>Central</v>
      </c>
      <c r="G2654" t="s">
        <v>306</v>
      </c>
      <c r="H2654" t="s">
        <v>36</v>
      </c>
      <c r="I2654">
        <v>8</v>
      </c>
    </row>
    <row r="2655" spans="1:9" ht="21.75" customHeight="1">
      <c r="A2655" t="s">
        <v>2805</v>
      </c>
      <c r="B2655" s="3">
        <v>45296</v>
      </c>
      <c r="C2655" t="s">
        <v>312</v>
      </c>
      <c r="D2655" t="s">
        <v>70</v>
      </c>
      <c r="E2655" t="s">
        <v>17</v>
      </c>
      <c r="F2655" t="str">
        <f t="shared" si="41"/>
        <v>South</v>
      </c>
      <c r="G2655" t="s">
        <v>56</v>
      </c>
      <c r="H2655" t="s">
        <v>32</v>
      </c>
      <c r="I2655">
        <v>8</v>
      </c>
    </row>
    <row r="2656" spans="1:9" ht="21.75" customHeight="1">
      <c r="A2656" t="s">
        <v>2806</v>
      </c>
      <c r="B2656" s="3">
        <v>45525</v>
      </c>
      <c r="C2656" t="s">
        <v>167</v>
      </c>
      <c r="D2656" t="s">
        <v>109</v>
      </c>
      <c r="E2656" t="s">
        <v>17</v>
      </c>
      <c r="F2656" t="str">
        <f t="shared" si="41"/>
        <v>South</v>
      </c>
      <c r="G2656" t="s">
        <v>56</v>
      </c>
      <c r="H2656" t="s">
        <v>13</v>
      </c>
      <c r="I2656">
        <v>20</v>
      </c>
    </row>
    <row r="2657" spans="1:9" ht="21.75" customHeight="1">
      <c r="A2657" t="s">
        <v>2807</v>
      </c>
      <c r="B2657" s="3">
        <v>45549</v>
      </c>
      <c r="C2657" t="s">
        <v>465</v>
      </c>
      <c r="D2657" t="s">
        <v>102</v>
      </c>
      <c r="E2657" t="s">
        <v>17</v>
      </c>
      <c r="F2657" t="str">
        <f t="shared" si="41"/>
        <v>Central</v>
      </c>
      <c r="G2657" t="s">
        <v>306</v>
      </c>
      <c r="H2657" t="s">
        <v>23</v>
      </c>
      <c r="I2657">
        <v>7</v>
      </c>
    </row>
    <row r="2658" spans="1:9" ht="21.75" customHeight="1">
      <c r="A2658" t="s">
        <v>2808</v>
      </c>
      <c r="B2658" s="3">
        <v>45652</v>
      </c>
      <c r="C2658" t="s">
        <v>159</v>
      </c>
      <c r="D2658" t="s">
        <v>79</v>
      </c>
      <c r="E2658" t="s">
        <v>17</v>
      </c>
      <c r="F2658" t="str">
        <f t="shared" si="41"/>
        <v>South</v>
      </c>
      <c r="G2658" t="s">
        <v>56</v>
      </c>
      <c r="H2658" t="s">
        <v>28</v>
      </c>
      <c r="I2658">
        <v>8</v>
      </c>
    </row>
    <row r="2659" spans="1:9" ht="21.75" customHeight="1">
      <c r="A2659" t="s">
        <v>2809</v>
      </c>
      <c r="B2659" s="3">
        <v>45318</v>
      </c>
      <c r="C2659" t="s">
        <v>420</v>
      </c>
      <c r="D2659" t="s">
        <v>45</v>
      </c>
      <c r="E2659" t="s">
        <v>17</v>
      </c>
      <c r="F2659" t="str">
        <f t="shared" si="41"/>
        <v>West</v>
      </c>
      <c r="G2659" t="s">
        <v>27</v>
      </c>
      <c r="H2659" t="s">
        <v>32</v>
      </c>
      <c r="I2659">
        <v>6</v>
      </c>
    </row>
    <row r="2660" spans="1:9" ht="21.75" customHeight="1">
      <c r="A2660" t="s">
        <v>2810</v>
      </c>
      <c r="B2660" s="3">
        <v>45572</v>
      </c>
      <c r="C2660" t="s">
        <v>106</v>
      </c>
      <c r="D2660" t="s">
        <v>72</v>
      </c>
      <c r="E2660" t="s">
        <v>17</v>
      </c>
      <c r="F2660" t="str">
        <f t="shared" si="41"/>
        <v>West</v>
      </c>
      <c r="G2660" t="s">
        <v>27</v>
      </c>
      <c r="H2660" t="s">
        <v>32</v>
      </c>
      <c r="I2660">
        <v>13</v>
      </c>
    </row>
    <row r="2661" spans="1:9" ht="21.75" customHeight="1">
      <c r="A2661" t="s">
        <v>2811</v>
      </c>
      <c r="B2661" s="3">
        <v>45562</v>
      </c>
      <c r="C2661" t="s">
        <v>388</v>
      </c>
      <c r="D2661" t="s">
        <v>74</v>
      </c>
      <c r="E2661" t="s">
        <v>17</v>
      </c>
      <c r="F2661" t="str">
        <f t="shared" si="41"/>
        <v>South</v>
      </c>
      <c r="G2661" t="s">
        <v>56</v>
      </c>
      <c r="H2661" t="s">
        <v>36</v>
      </c>
      <c r="I2661">
        <v>13</v>
      </c>
    </row>
    <row r="2662" spans="1:9" ht="21.75" customHeight="1">
      <c r="A2662" t="s">
        <v>2812</v>
      </c>
      <c r="B2662" s="3">
        <v>45457</v>
      </c>
      <c r="C2662" t="s">
        <v>664</v>
      </c>
      <c r="D2662" t="s">
        <v>59</v>
      </c>
      <c r="E2662" t="s">
        <v>11</v>
      </c>
      <c r="F2662" t="str">
        <f t="shared" si="41"/>
        <v>East</v>
      </c>
      <c r="G2662" t="s">
        <v>42</v>
      </c>
      <c r="H2662" t="s">
        <v>23</v>
      </c>
      <c r="I2662">
        <v>6</v>
      </c>
    </row>
    <row r="2663" spans="1:9" ht="21.75" customHeight="1">
      <c r="A2663" t="s">
        <v>2813</v>
      </c>
      <c r="B2663" s="3">
        <v>45518</v>
      </c>
      <c r="C2663" t="s">
        <v>424</v>
      </c>
      <c r="D2663" t="s">
        <v>35</v>
      </c>
      <c r="E2663" t="s">
        <v>17</v>
      </c>
      <c r="F2663" t="str">
        <f t="shared" si="41"/>
        <v>South</v>
      </c>
      <c r="G2663" t="s">
        <v>56</v>
      </c>
      <c r="H2663" t="s">
        <v>28</v>
      </c>
      <c r="I2663">
        <v>7</v>
      </c>
    </row>
    <row r="2664" spans="1:9" ht="21.75" customHeight="1">
      <c r="A2664" t="s">
        <v>2814</v>
      </c>
      <c r="B2664" s="3">
        <v>45392</v>
      </c>
      <c r="C2664" t="s">
        <v>304</v>
      </c>
      <c r="D2664" t="s">
        <v>21</v>
      </c>
      <c r="E2664" t="s">
        <v>11</v>
      </c>
      <c r="F2664" t="str">
        <f t="shared" si="41"/>
        <v>East</v>
      </c>
      <c r="G2664" t="s">
        <v>42</v>
      </c>
      <c r="H2664" t="s">
        <v>36</v>
      </c>
      <c r="I2664">
        <v>4</v>
      </c>
    </row>
    <row r="2665" spans="1:9" ht="21.75" customHeight="1">
      <c r="A2665" t="s">
        <v>2815</v>
      </c>
      <c r="B2665" s="3">
        <v>45367</v>
      </c>
      <c r="C2665" t="s">
        <v>159</v>
      </c>
      <c r="D2665" t="s">
        <v>87</v>
      </c>
      <c r="E2665" t="s">
        <v>22</v>
      </c>
      <c r="F2665" t="str">
        <f t="shared" si="41"/>
        <v>South</v>
      </c>
      <c r="G2665" t="s">
        <v>56</v>
      </c>
      <c r="H2665" t="s">
        <v>13</v>
      </c>
      <c r="I2665">
        <v>4</v>
      </c>
    </row>
    <row r="2666" spans="1:9" ht="21.75" customHeight="1">
      <c r="A2666" t="s">
        <v>2816</v>
      </c>
      <c r="B2666" s="3">
        <v>45534</v>
      </c>
      <c r="C2666" t="s">
        <v>235</v>
      </c>
      <c r="D2666" t="s">
        <v>79</v>
      </c>
      <c r="E2666" t="s">
        <v>11</v>
      </c>
      <c r="F2666" t="str">
        <f t="shared" si="41"/>
        <v>Central</v>
      </c>
      <c r="G2666" t="s">
        <v>306</v>
      </c>
      <c r="H2666" t="s">
        <v>32</v>
      </c>
      <c r="I2666">
        <v>19</v>
      </c>
    </row>
    <row r="2667" spans="1:9" ht="21.75" customHeight="1">
      <c r="A2667" t="s">
        <v>2817</v>
      </c>
      <c r="B2667" s="3">
        <v>45368</v>
      </c>
      <c r="C2667" t="s">
        <v>451</v>
      </c>
      <c r="D2667" t="s">
        <v>84</v>
      </c>
      <c r="E2667" t="s">
        <v>17</v>
      </c>
      <c r="F2667" t="str">
        <f t="shared" si="41"/>
        <v>South</v>
      </c>
      <c r="G2667" t="s">
        <v>56</v>
      </c>
      <c r="H2667" t="s">
        <v>13</v>
      </c>
      <c r="I2667">
        <v>4</v>
      </c>
    </row>
    <row r="2668" spans="1:9" ht="21.75" customHeight="1">
      <c r="A2668" t="s">
        <v>2818</v>
      </c>
      <c r="B2668" s="3">
        <v>45542</v>
      </c>
      <c r="C2668" t="s">
        <v>68</v>
      </c>
      <c r="D2668" t="s">
        <v>62</v>
      </c>
      <c r="E2668" t="s">
        <v>22</v>
      </c>
      <c r="F2668" t="str">
        <f t="shared" si="41"/>
        <v>South</v>
      </c>
      <c r="G2668" t="s">
        <v>56</v>
      </c>
      <c r="H2668" t="s">
        <v>23</v>
      </c>
      <c r="I2668">
        <v>3</v>
      </c>
    </row>
    <row r="2669" spans="1:9" ht="21.75" customHeight="1">
      <c r="A2669" t="s">
        <v>2819</v>
      </c>
      <c r="B2669" s="3">
        <v>45624</v>
      </c>
      <c r="C2669" t="s">
        <v>159</v>
      </c>
      <c r="D2669" t="s">
        <v>26</v>
      </c>
      <c r="E2669" t="s">
        <v>22</v>
      </c>
      <c r="F2669" t="str">
        <f t="shared" si="41"/>
        <v>West</v>
      </c>
      <c r="G2669" t="s">
        <v>27</v>
      </c>
      <c r="H2669" t="s">
        <v>32</v>
      </c>
      <c r="I2669">
        <v>1</v>
      </c>
    </row>
    <row r="2670" spans="1:9" ht="21.75" customHeight="1">
      <c r="A2670" t="s">
        <v>2820</v>
      </c>
      <c r="B2670" s="3">
        <v>45334</v>
      </c>
      <c r="C2670" t="s">
        <v>114</v>
      </c>
      <c r="D2670" t="s">
        <v>35</v>
      </c>
      <c r="E2670" t="s">
        <v>22</v>
      </c>
      <c r="F2670" t="str">
        <f t="shared" si="41"/>
        <v>Central</v>
      </c>
      <c r="G2670" t="s">
        <v>306</v>
      </c>
      <c r="H2670" t="s">
        <v>28</v>
      </c>
      <c r="I2670">
        <v>1</v>
      </c>
    </row>
    <row r="2671" spans="1:9" ht="21.75" customHeight="1">
      <c r="A2671" t="s">
        <v>2821</v>
      </c>
      <c r="B2671" s="3">
        <v>45585</v>
      </c>
      <c r="C2671" t="s">
        <v>517</v>
      </c>
      <c r="D2671" t="s">
        <v>26</v>
      </c>
      <c r="E2671" t="s">
        <v>22</v>
      </c>
      <c r="F2671" t="str">
        <f t="shared" si="41"/>
        <v>North</v>
      </c>
      <c r="G2671" t="s">
        <v>12</v>
      </c>
      <c r="H2671" t="s">
        <v>36</v>
      </c>
      <c r="I2671">
        <v>6</v>
      </c>
    </row>
    <row r="2672" spans="1:9" ht="21.75" customHeight="1">
      <c r="A2672" t="s">
        <v>2822</v>
      </c>
      <c r="B2672" s="3">
        <v>45622</v>
      </c>
      <c r="C2672" t="s">
        <v>424</v>
      </c>
      <c r="D2672" t="s">
        <v>87</v>
      </c>
      <c r="E2672" t="s">
        <v>17</v>
      </c>
      <c r="F2672" t="str">
        <f t="shared" si="41"/>
        <v>Central</v>
      </c>
      <c r="G2672" t="s">
        <v>306</v>
      </c>
      <c r="H2672" t="s">
        <v>28</v>
      </c>
      <c r="I2672">
        <v>4</v>
      </c>
    </row>
    <row r="2673" spans="1:9" ht="21.75" customHeight="1">
      <c r="A2673" t="s">
        <v>2823</v>
      </c>
      <c r="B2673" s="3">
        <v>45567</v>
      </c>
      <c r="C2673" t="s">
        <v>44</v>
      </c>
      <c r="D2673" t="s">
        <v>31</v>
      </c>
      <c r="E2673" t="s">
        <v>22</v>
      </c>
      <c r="F2673" t="str">
        <f t="shared" si="41"/>
        <v>North</v>
      </c>
      <c r="G2673" t="s">
        <v>12</v>
      </c>
      <c r="H2673" t="s">
        <v>23</v>
      </c>
      <c r="I2673">
        <v>18</v>
      </c>
    </row>
    <row r="2674" spans="1:9" ht="21.75" customHeight="1">
      <c r="A2674" t="s">
        <v>2824</v>
      </c>
      <c r="B2674" s="3">
        <v>45563</v>
      </c>
      <c r="C2674" t="s">
        <v>374</v>
      </c>
      <c r="D2674" t="s">
        <v>10</v>
      </c>
      <c r="E2674" t="s">
        <v>22</v>
      </c>
      <c r="F2674" t="str">
        <f t="shared" si="41"/>
        <v>Central</v>
      </c>
      <c r="G2674" t="s">
        <v>306</v>
      </c>
      <c r="H2674" t="s">
        <v>36</v>
      </c>
      <c r="I2674">
        <v>4</v>
      </c>
    </row>
    <row r="2675" spans="1:9" ht="21.75" customHeight="1">
      <c r="A2675" t="s">
        <v>2825</v>
      </c>
      <c r="B2675" s="3">
        <v>45398</v>
      </c>
      <c r="C2675" t="s">
        <v>371</v>
      </c>
      <c r="D2675" t="s">
        <v>102</v>
      </c>
      <c r="E2675" t="s">
        <v>11</v>
      </c>
      <c r="F2675" t="str">
        <f t="shared" si="41"/>
        <v>Central</v>
      </c>
      <c r="G2675" t="s">
        <v>306</v>
      </c>
      <c r="H2675" t="s">
        <v>28</v>
      </c>
      <c r="I2675">
        <v>1</v>
      </c>
    </row>
    <row r="2676" spans="1:9" ht="21.75" customHeight="1">
      <c r="A2676" t="s">
        <v>2826</v>
      </c>
      <c r="B2676" s="3">
        <v>45452</v>
      </c>
      <c r="C2676" t="s">
        <v>114</v>
      </c>
      <c r="D2676" t="s">
        <v>79</v>
      </c>
      <c r="E2676" t="s">
        <v>11</v>
      </c>
      <c r="F2676" t="str">
        <f t="shared" si="41"/>
        <v>Central</v>
      </c>
      <c r="G2676" t="s">
        <v>306</v>
      </c>
      <c r="H2676" t="s">
        <v>28</v>
      </c>
      <c r="I2676">
        <v>6</v>
      </c>
    </row>
    <row r="2677" spans="1:9" ht="21.75" customHeight="1">
      <c r="A2677" t="s">
        <v>2827</v>
      </c>
      <c r="B2677" s="3">
        <v>45423</v>
      </c>
      <c r="C2677" t="s">
        <v>664</v>
      </c>
      <c r="D2677" t="s">
        <v>79</v>
      </c>
      <c r="E2677" t="s">
        <v>11</v>
      </c>
      <c r="F2677" t="str">
        <f t="shared" si="41"/>
        <v>North</v>
      </c>
      <c r="G2677" t="s">
        <v>12</v>
      </c>
      <c r="H2677" t="s">
        <v>36</v>
      </c>
      <c r="I2677">
        <v>10</v>
      </c>
    </row>
    <row r="2678" spans="1:9" ht="21.75" customHeight="1">
      <c r="A2678" t="s">
        <v>2828</v>
      </c>
      <c r="B2678" s="3">
        <v>45570</v>
      </c>
      <c r="C2678" t="s">
        <v>30</v>
      </c>
      <c r="D2678" t="s">
        <v>87</v>
      </c>
      <c r="E2678" t="s">
        <v>22</v>
      </c>
      <c r="F2678" t="str">
        <f t="shared" si="41"/>
        <v>North</v>
      </c>
      <c r="G2678" t="s">
        <v>12</v>
      </c>
      <c r="H2678" t="s">
        <v>28</v>
      </c>
      <c r="I2678">
        <v>10</v>
      </c>
    </row>
    <row r="2679" spans="1:9" ht="21.75" customHeight="1">
      <c r="A2679" t="s">
        <v>2829</v>
      </c>
      <c r="B2679" s="3">
        <v>45557</v>
      </c>
      <c r="C2679" t="s">
        <v>728</v>
      </c>
      <c r="D2679" t="s">
        <v>74</v>
      </c>
      <c r="E2679" t="s">
        <v>22</v>
      </c>
      <c r="F2679" t="str">
        <f t="shared" si="41"/>
        <v>Central</v>
      </c>
      <c r="G2679" t="s">
        <v>306</v>
      </c>
      <c r="H2679" t="s">
        <v>23</v>
      </c>
      <c r="I2679">
        <v>5</v>
      </c>
    </row>
    <row r="2680" spans="1:9" ht="21.75" customHeight="1">
      <c r="A2680" t="s">
        <v>2830</v>
      </c>
      <c r="B2680" s="3">
        <v>45647</v>
      </c>
      <c r="C2680" t="s">
        <v>38</v>
      </c>
      <c r="D2680" t="s">
        <v>160</v>
      </c>
      <c r="E2680" t="s">
        <v>17</v>
      </c>
      <c r="F2680" t="str">
        <f t="shared" si="41"/>
        <v>Central</v>
      </c>
      <c r="G2680" t="s">
        <v>306</v>
      </c>
      <c r="H2680" t="s">
        <v>36</v>
      </c>
      <c r="I2680">
        <v>17</v>
      </c>
    </row>
    <row r="2681" spans="1:9" ht="21.75" customHeight="1">
      <c r="A2681" t="s">
        <v>2831</v>
      </c>
      <c r="B2681" s="3">
        <v>45342</v>
      </c>
      <c r="C2681" t="s">
        <v>371</v>
      </c>
      <c r="D2681" t="s">
        <v>79</v>
      </c>
      <c r="E2681" t="s">
        <v>11</v>
      </c>
      <c r="F2681" t="str">
        <f t="shared" si="41"/>
        <v>North</v>
      </c>
      <c r="G2681" t="s">
        <v>12</v>
      </c>
      <c r="H2681" t="s">
        <v>28</v>
      </c>
      <c r="I2681">
        <v>5</v>
      </c>
    </row>
    <row r="2682" spans="1:9" ht="21.75" customHeight="1">
      <c r="A2682" t="s">
        <v>2832</v>
      </c>
      <c r="B2682" s="3">
        <v>45402</v>
      </c>
      <c r="C2682" t="s">
        <v>99</v>
      </c>
      <c r="D2682" t="s">
        <v>109</v>
      </c>
      <c r="E2682" t="s">
        <v>22</v>
      </c>
      <c r="F2682" t="str">
        <f t="shared" si="41"/>
        <v>South</v>
      </c>
      <c r="G2682" t="s">
        <v>56</v>
      </c>
      <c r="H2682" t="s">
        <v>36</v>
      </c>
      <c r="I2682">
        <v>12</v>
      </c>
    </row>
    <row r="2683" spans="1:9" ht="21.75" customHeight="1">
      <c r="A2683" t="s">
        <v>2833</v>
      </c>
      <c r="B2683" s="3">
        <v>45610</v>
      </c>
      <c r="C2683" t="s">
        <v>309</v>
      </c>
      <c r="D2683" t="s">
        <v>10</v>
      </c>
      <c r="E2683" t="s">
        <v>22</v>
      </c>
      <c r="F2683" t="str">
        <f t="shared" si="41"/>
        <v>East</v>
      </c>
      <c r="G2683" t="s">
        <v>42</v>
      </c>
      <c r="H2683" t="s">
        <v>32</v>
      </c>
      <c r="I2683">
        <v>13</v>
      </c>
    </row>
    <row r="2684" spans="1:9" ht="21.75" customHeight="1">
      <c r="A2684" t="s">
        <v>2834</v>
      </c>
      <c r="B2684" s="3">
        <v>45375</v>
      </c>
      <c r="C2684" t="s">
        <v>341</v>
      </c>
      <c r="D2684" t="s">
        <v>70</v>
      </c>
      <c r="E2684" t="s">
        <v>11</v>
      </c>
      <c r="F2684" t="str">
        <f t="shared" si="41"/>
        <v>East</v>
      </c>
      <c r="G2684" t="s">
        <v>42</v>
      </c>
      <c r="H2684" t="s">
        <v>23</v>
      </c>
      <c r="I2684">
        <v>5</v>
      </c>
    </row>
    <row r="2685" spans="1:9" ht="21.75" customHeight="1">
      <c r="A2685" t="s">
        <v>2835</v>
      </c>
      <c r="B2685" s="3">
        <v>45328</v>
      </c>
      <c r="C2685" t="s">
        <v>451</v>
      </c>
      <c r="D2685" t="s">
        <v>84</v>
      </c>
      <c r="E2685" t="s">
        <v>17</v>
      </c>
      <c r="F2685" t="str">
        <f t="shared" si="41"/>
        <v>South</v>
      </c>
      <c r="G2685" t="s">
        <v>56</v>
      </c>
      <c r="H2685" t="s">
        <v>32</v>
      </c>
      <c r="I2685">
        <v>19</v>
      </c>
    </row>
    <row r="2686" spans="1:9" ht="21.75" customHeight="1">
      <c r="A2686" t="s">
        <v>2836</v>
      </c>
      <c r="B2686" s="3">
        <v>45553</v>
      </c>
      <c r="C2686" t="s">
        <v>493</v>
      </c>
      <c r="D2686" t="s">
        <v>45</v>
      </c>
      <c r="E2686" t="s">
        <v>17</v>
      </c>
      <c r="F2686" t="str">
        <f t="shared" si="41"/>
        <v>South</v>
      </c>
      <c r="G2686" t="s">
        <v>56</v>
      </c>
      <c r="H2686" t="s">
        <v>32</v>
      </c>
      <c r="I2686">
        <v>14</v>
      </c>
    </row>
    <row r="2687" spans="1:9" ht="21.75" customHeight="1">
      <c r="A2687" t="s">
        <v>2837</v>
      </c>
      <c r="B2687" s="3">
        <v>45601</v>
      </c>
      <c r="C2687" t="s">
        <v>78</v>
      </c>
      <c r="D2687" t="s">
        <v>10</v>
      </c>
      <c r="E2687" t="s">
        <v>17</v>
      </c>
      <c r="F2687" t="str">
        <f t="shared" si="41"/>
        <v>North</v>
      </c>
      <c r="G2687" t="s">
        <v>12</v>
      </c>
      <c r="H2687" t="s">
        <v>36</v>
      </c>
      <c r="I2687">
        <v>4</v>
      </c>
    </row>
    <row r="2688" spans="1:9" ht="21.75" customHeight="1">
      <c r="A2688" t="s">
        <v>2838</v>
      </c>
      <c r="B2688" s="3">
        <v>45500</v>
      </c>
      <c r="C2688" t="s">
        <v>58</v>
      </c>
      <c r="D2688" t="s">
        <v>72</v>
      </c>
      <c r="E2688" t="s">
        <v>22</v>
      </c>
      <c r="F2688" t="str">
        <f t="shared" si="41"/>
        <v>North</v>
      </c>
      <c r="G2688" t="s">
        <v>12</v>
      </c>
      <c r="H2688" t="s">
        <v>32</v>
      </c>
      <c r="I2688">
        <v>11</v>
      </c>
    </row>
    <row r="2689" spans="1:9" ht="21.75" customHeight="1">
      <c r="A2689" t="s">
        <v>2839</v>
      </c>
      <c r="B2689" s="3">
        <v>45366</v>
      </c>
      <c r="C2689" t="s">
        <v>240</v>
      </c>
      <c r="D2689" t="s">
        <v>26</v>
      </c>
      <c r="E2689" t="s">
        <v>11</v>
      </c>
      <c r="F2689" t="str">
        <f t="shared" si="41"/>
        <v>North</v>
      </c>
      <c r="G2689" t="s">
        <v>12</v>
      </c>
      <c r="H2689" t="s">
        <v>23</v>
      </c>
      <c r="I2689">
        <v>8</v>
      </c>
    </row>
    <row r="2690" spans="1:9" ht="21.75" customHeight="1">
      <c r="A2690" t="s">
        <v>2840</v>
      </c>
      <c r="B2690" s="3">
        <v>45345</v>
      </c>
      <c r="C2690" t="s">
        <v>728</v>
      </c>
      <c r="D2690" t="s">
        <v>102</v>
      </c>
      <c r="E2690" t="s">
        <v>11</v>
      </c>
      <c r="F2690" t="str">
        <f t="shared" si="41"/>
        <v>Central</v>
      </c>
      <c r="G2690" t="s">
        <v>306</v>
      </c>
      <c r="H2690" t="s">
        <v>32</v>
      </c>
      <c r="I2690">
        <v>19</v>
      </c>
    </row>
    <row r="2691" spans="1:9" ht="21.75" customHeight="1">
      <c r="A2691" t="s">
        <v>2841</v>
      </c>
      <c r="B2691" s="3">
        <v>45542</v>
      </c>
      <c r="C2691" t="s">
        <v>108</v>
      </c>
      <c r="D2691" t="s">
        <v>160</v>
      </c>
      <c r="E2691" t="s">
        <v>17</v>
      </c>
      <c r="F2691" t="str">
        <f t="shared" ref="F2691:F2754" si="42">TRIM(PROPER(G2691))</f>
        <v>Central</v>
      </c>
      <c r="G2691" t="s">
        <v>306</v>
      </c>
      <c r="H2691" t="s">
        <v>32</v>
      </c>
      <c r="I2691">
        <v>18</v>
      </c>
    </row>
    <row r="2692" spans="1:9" ht="21.75" customHeight="1">
      <c r="A2692" t="s">
        <v>2842</v>
      </c>
      <c r="B2692" s="3">
        <v>45342</v>
      </c>
      <c r="C2692" t="s">
        <v>9</v>
      </c>
      <c r="D2692" t="s">
        <v>45</v>
      </c>
      <c r="E2692" t="s">
        <v>17</v>
      </c>
      <c r="F2692" t="str">
        <f t="shared" si="42"/>
        <v>West</v>
      </c>
      <c r="G2692" t="s">
        <v>27</v>
      </c>
      <c r="H2692" t="s">
        <v>28</v>
      </c>
      <c r="I2692">
        <v>12</v>
      </c>
    </row>
    <row r="2693" spans="1:9" ht="21.75" customHeight="1">
      <c r="A2693" t="s">
        <v>2843</v>
      </c>
      <c r="B2693" s="3">
        <v>45639</v>
      </c>
      <c r="C2693" t="s">
        <v>728</v>
      </c>
      <c r="D2693" t="s">
        <v>174</v>
      </c>
      <c r="E2693" t="s">
        <v>22</v>
      </c>
      <c r="F2693" t="str">
        <f t="shared" si="42"/>
        <v>Central</v>
      </c>
      <c r="G2693" t="s">
        <v>306</v>
      </c>
      <c r="H2693" t="s">
        <v>23</v>
      </c>
      <c r="I2693">
        <v>16</v>
      </c>
    </row>
    <row r="2694" spans="1:9" ht="21.75" customHeight="1">
      <c r="A2694" t="s">
        <v>2844</v>
      </c>
      <c r="B2694" s="3">
        <v>45424</v>
      </c>
      <c r="C2694" t="s">
        <v>142</v>
      </c>
      <c r="D2694" t="s">
        <v>41</v>
      </c>
      <c r="E2694" t="s">
        <v>22</v>
      </c>
      <c r="F2694" t="str">
        <f t="shared" si="42"/>
        <v>South</v>
      </c>
      <c r="G2694" t="s">
        <v>56</v>
      </c>
      <c r="H2694" t="s">
        <v>28</v>
      </c>
      <c r="I2694">
        <v>5</v>
      </c>
    </row>
    <row r="2695" spans="1:9" ht="21.75" customHeight="1">
      <c r="A2695" t="s">
        <v>2845</v>
      </c>
      <c r="B2695" s="3">
        <v>45428</v>
      </c>
      <c r="C2695" t="s">
        <v>9</v>
      </c>
      <c r="D2695" t="s">
        <v>84</v>
      </c>
      <c r="E2695" t="s">
        <v>22</v>
      </c>
      <c r="F2695" t="str">
        <f t="shared" si="42"/>
        <v>East</v>
      </c>
      <c r="G2695" t="s">
        <v>42</v>
      </c>
      <c r="H2695" t="s">
        <v>28</v>
      </c>
      <c r="I2695">
        <v>20</v>
      </c>
    </row>
    <row r="2696" spans="1:9" ht="21.75" customHeight="1">
      <c r="A2696" t="s">
        <v>2846</v>
      </c>
      <c r="B2696" s="3">
        <v>45526</v>
      </c>
      <c r="C2696" t="s">
        <v>44</v>
      </c>
      <c r="D2696" t="s">
        <v>70</v>
      </c>
      <c r="E2696" t="s">
        <v>17</v>
      </c>
      <c r="F2696" t="str">
        <f t="shared" si="42"/>
        <v>West</v>
      </c>
      <c r="G2696" t="s">
        <v>27</v>
      </c>
      <c r="H2696" t="s">
        <v>36</v>
      </c>
      <c r="I2696">
        <v>10</v>
      </c>
    </row>
    <row r="2697" spans="1:9" ht="21.75" customHeight="1">
      <c r="A2697" t="s">
        <v>2847</v>
      </c>
      <c r="B2697" s="3">
        <v>45511</v>
      </c>
      <c r="C2697" t="s">
        <v>363</v>
      </c>
      <c r="D2697" t="s">
        <v>62</v>
      </c>
      <c r="E2697" t="s">
        <v>11</v>
      </c>
      <c r="F2697" t="str">
        <f t="shared" si="42"/>
        <v>East</v>
      </c>
      <c r="G2697" t="s">
        <v>42</v>
      </c>
      <c r="H2697" t="s">
        <v>13</v>
      </c>
      <c r="I2697">
        <v>10</v>
      </c>
    </row>
    <row r="2698" spans="1:9" ht="21.75" customHeight="1">
      <c r="A2698" t="s">
        <v>2848</v>
      </c>
      <c r="B2698" s="3">
        <v>45452</v>
      </c>
      <c r="C2698" t="s">
        <v>203</v>
      </c>
      <c r="D2698" t="s">
        <v>21</v>
      </c>
      <c r="E2698" t="s">
        <v>11</v>
      </c>
      <c r="F2698" t="str">
        <f t="shared" si="42"/>
        <v>North</v>
      </c>
      <c r="G2698" t="s">
        <v>12</v>
      </c>
      <c r="H2698" t="s">
        <v>28</v>
      </c>
      <c r="I2698">
        <v>3</v>
      </c>
    </row>
    <row r="2699" spans="1:9" ht="21.75" customHeight="1">
      <c r="A2699" t="s">
        <v>2849</v>
      </c>
      <c r="B2699" s="3">
        <v>45321</v>
      </c>
      <c r="C2699" t="s">
        <v>81</v>
      </c>
      <c r="D2699" t="s">
        <v>84</v>
      </c>
      <c r="E2699" t="s">
        <v>17</v>
      </c>
      <c r="F2699" t="str">
        <f t="shared" si="42"/>
        <v>Central</v>
      </c>
      <c r="G2699" t="s">
        <v>306</v>
      </c>
      <c r="H2699" t="s">
        <v>23</v>
      </c>
      <c r="I2699">
        <v>1</v>
      </c>
    </row>
    <row r="2700" spans="1:9" ht="21.75" customHeight="1">
      <c r="A2700" t="s">
        <v>2850</v>
      </c>
      <c r="B2700" s="3">
        <v>45509</v>
      </c>
      <c r="C2700" t="s">
        <v>422</v>
      </c>
      <c r="D2700" t="s">
        <v>160</v>
      </c>
      <c r="E2700" t="s">
        <v>22</v>
      </c>
      <c r="F2700" t="str">
        <f t="shared" si="42"/>
        <v>South</v>
      </c>
      <c r="G2700" t="s">
        <v>56</v>
      </c>
      <c r="H2700" t="s">
        <v>23</v>
      </c>
      <c r="I2700">
        <v>16</v>
      </c>
    </row>
    <row r="2701" spans="1:9" ht="21.75" customHeight="1">
      <c r="A2701" t="s">
        <v>2851</v>
      </c>
      <c r="B2701" s="3">
        <v>45638</v>
      </c>
      <c r="C2701" t="s">
        <v>312</v>
      </c>
      <c r="D2701" t="s">
        <v>62</v>
      </c>
      <c r="E2701" t="s">
        <v>11</v>
      </c>
      <c r="F2701" t="str">
        <f t="shared" si="42"/>
        <v>West</v>
      </c>
      <c r="G2701" t="s">
        <v>27</v>
      </c>
      <c r="H2701" t="s">
        <v>13</v>
      </c>
      <c r="I2701">
        <v>20</v>
      </c>
    </row>
    <row r="2702" spans="1:9" ht="21.75" customHeight="1">
      <c r="A2702" t="s">
        <v>2852</v>
      </c>
      <c r="B2702" s="3">
        <v>45295</v>
      </c>
      <c r="C2702" t="s">
        <v>436</v>
      </c>
      <c r="D2702" t="s">
        <v>87</v>
      </c>
      <c r="E2702" t="s">
        <v>22</v>
      </c>
      <c r="F2702" t="str">
        <f t="shared" si="42"/>
        <v>Central</v>
      </c>
      <c r="G2702" t="s">
        <v>306</v>
      </c>
      <c r="H2702" t="s">
        <v>32</v>
      </c>
      <c r="I2702">
        <v>8</v>
      </c>
    </row>
    <row r="2703" spans="1:9" ht="21.75" customHeight="1">
      <c r="A2703" t="s">
        <v>2853</v>
      </c>
      <c r="B2703" s="3">
        <v>45630</v>
      </c>
      <c r="C2703" t="s">
        <v>339</v>
      </c>
      <c r="D2703" t="s">
        <v>41</v>
      </c>
      <c r="E2703" t="s">
        <v>22</v>
      </c>
      <c r="F2703" t="str">
        <f t="shared" si="42"/>
        <v>North</v>
      </c>
      <c r="G2703" t="s">
        <v>12</v>
      </c>
      <c r="H2703" t="s">
        <v>36</v>
      </c>
      <c r="I2703">
        <v>15</v>
      </c>
    </row>
    <row r="2704" spans="1:9" ht="21.75" customHeight="1">
      <c r="A2704" t="s">
        <v>2854</v>
      </c>
      <c r="B2704" s="3">
        <v>45637</v>
      </c>
      <c r="C2704" t="s">
        <v>332</v>
      </c>
      <c r="D2704" t="s">
        <v>160</v>
      </c>
      <c r="E2704" t="s">
        <v>11</v>
      </c>
      <c r="F2704" t="str">
        <f t="shared" si="42"/>
        <v>South</v>
      </c>
      <c r="G2704" t="s">
        <v>56</v>
      </c>
      <c r="H2704" t="s">
        <v>13</v>
      </c>
      <c r="I2704">
        <v>12</v>
      </c>
    </row>
    <row r="2705" spans="1:9" ht="21.75" customHeight="1">
      <c r="A2705" t="s">
        <v>2855</v>
      </c>
      <c r="B2705" s="3">
        <v>45555</v>
      </c>
      <c r="C2705" t="s">
        <v>182</v>
      </c>
      <c r="D2705" t="s">
        <v>79</v>
      </c>
      <c r="E2705" t="s">
        <v>17</v>
      </c>
      <c r="F2705" t="str">
        <f t="shared" si="42"/>
        <v>West</v>
      </c>
      <c r="G2705" t="s">
        <v>27</v>
      </c>
      <c r="H2705" t="s">
        <v>23</v>
      </c>
      <c r="I2705">
        <v>6</v>
      </c>
    </row>
    <row r="2706" spans="1:9" ht="21.75" customHeight="1">
      <c r="A2706" t="s">
        <v>2856</v>
      </c>
      <c r="B2706" s="3">
        <v>45349</v>
      </c>
      <c r="C2706" t="s">
        <v>47</v>
      </c>
      <c r="D2706" t="s">
        <v>41</v>
      </c>
      <c r="E2706" t="s">
        <v>11</v>
      </c>
      <c r="F2706" t="str">
        <f t="shared" si="42"/>
        <v>Central</v>
      </c>
      <c r="G2706" t="s">
        <v>306</v>
      </c>
      <c r="H2706" t="s">
        <v>13</v>
      </c>
      <c r="I2706">
        <v>10</v>
      </c>
    </row>
    <row r="2707" spans="1:9" ht="21.75" customHeight="1">
      <c r="A2707" t="s">
        <v>2857</v>
      </c>
      <c r="B2707" s="3">
        <v>45442</v>
      </c>
      <c r="C2707" t="s">
        <v>86</v>
      </c>
      <c r="D2707" t="s">
        <v>65</v>
      </c>
      <c r="E2707" t="s">
        <v>11</v>
      </c>
      <c r="F2707" t="str">
        <f t="shared" si="42"/>
        <v>Central</v>
      </c>
      <c r="G2707" t="s">
        <v>306</v>
      </c>
      <c r="H2707" t="s">
        <v>23</v>
      </c>
      <c r="I2707">
        <v>7</v>
      </c>
    </row>
    <row r="2708" spans="1:9" ht="21.75" customHeight="1">
      <c r="A2708" t="s">
        <v>2858</v>
      </c>
      <c r="B2708" s="3">
        <v>45621</v>
      </c>
      <c r="C2708" t="s">
        <v>345</v>
      </c>
      <c r="D2708" t="s">
        <v>79</v>
      </c>
      <c r="E2708" t="s">
        <v>17</v>
      </c>
      <c r="F2708" t="str">
        <f t="shared" si="42"/>
        <v>Central</v>
      </c>
      <c r="G2708" t="s">
        <v>306</v>
      </c>
      <c r="H2708" t="s">
        <v>23</v>
      </c>
      <c r="I2708">
        <v>2</v>
      </c>
    </row>
    <row r="2709" spans="1:9" ht="21.75" customHeight="1">
      <c r="A2709" t="s">
        <v>2859</v>
      </c>
      <c r="B2709" s="3">
        <v>45607</v>
      </c>
      <c r="C2709" t="s">
        <v>366</v>
      </c>
      <c r="D2709" t="s">
        <v>72</v>
      </c>
      <c r="E2709" t="s">
        <v>17</v>
      </c>
      <c r="F2709" t="str">
        <f t="shared" si="42"/>
        <v>East</v>
      </c>
      <c r="G2709" t="s">
        <v>42</v>
      </c>
      <c r="H2709" t="s">
        <v>13</v>
      </c>
      <c r="I2709">
        <v>1</v>
      </c>
    </row>
    <row r="2710" spans="1:9" ht="21.75" customHeight="1">
      <c r="A2710" t="s">
        <v>2860</v>
      </c>
      <c r="B2710" s="3">
        <v>45387</v>
      </c>
      <c r="C2710" t="s">
        <v>341</v>
      </c>
      <c r="D2710" t="s">
        <v>48</v>
      </c>
      <c r="E2710" t="s">
        <v>11</v>
      </c>
      <c r="F2710" t="str">
        <f t="shared" si="42"/>
        <v>North</v>
      </c>
      <c r="G2710" t="s">
        <v>12</v>
      </c>
      <c r="H2710" t="s">
        <v>23</v>
      </c>
      <c r="I2710">
        <v>16</v>
      </c>
    </row>
    <row r="2711" spans="1:9" ht="21.75" customHeight="1">
      <c r="A2711" t="s">
        <v>2861</v>
      </c>
      <c r="B2711" s="3">
        <v>45562</v>
      </c>
      <c r="C2711" t="s">
        <v>345</v>
      </c>
      <c r="D2711" t="s">
        <v>16</v>
      </c>
      <c r="E2711" t="s">
        <v>17</v>
      </c>
      <c r="F2711" t="str">
        <f t="shared" si="42"/>
        <v>North</v>
      </c>
      <c r="G2711" t="s">
        <v>12</v>
      </c>
      <c r="H2711" t="s">
        <v>23</v>
      </c>
      <c r="I2711">
        <v>1</v>
      </c>
    </row>
    <row r="2712" spans="1:9" ht="21.75" customHeight="1">
      <c r="A2712" t="s">
        <v>2862</v>
      </c>
      <c r="B2712" s="3">
        <v>45628</v>
      </c>
      <c r="C2712" t="s">
        <v>230</v>
      </c>
      <c r="D2712" t="s">
        <v>197</v>
      </c>
      <c r="E2712" t="s">
        <v>17</v>
      </c>
      <c r="F2712" t="str">
        <f t="shared" si="42"/>
        <v>West</v>
      </c>
      <c r="G2712" t="s">
        <v>27</v>
      </c>
      <c r="H2712" t="s">
        <v>32</v>
      </c>
      <c r="I2712">
        <v>10</v>
      </c>
    </row>
    <row r="2713" spans="1:9" ht="21.75" customHeight="1">
      <c r="A2713" t="s">
        <v>2863</v>
      </c>
      <c r="B2713" s="3">
        <v>45385</v>
      </c>
      <c r="C2713" t="s">
        <v>312</v>
      </c>
      <c r="D2713" t="s">
        <v>26</v>
      </c>
      <c r="E2713" t="s">
        <v>11</v>
      </c>
      <c r="F2713" t="str">
        <f t="shared" si="42"/>
        <v>West</v>
      </c>
      <c r="G2713" t="s">
        <v>27</v>
      </c>
      <c r="H2713" t="s">
        <v>23</v>
      </c>
      <c r="I2713">
        <v>6</v>
      </c>
    </row>
    <row r="2714" spans="1:9" ht="21.75" customHeight="1">
      <c r="A2714" t="s">
        <v>2864</v>
      </c>
      <c r="B2714" s="3">
        <v>45514</v>
      </c>
      <c r="C2714" t="s">
        <v>25</v>
      </c>
      <c r="D2714" t="s">
        <v>48</v>
      </c>
      <c r="E2714" t="s">
        <v>22</v>
      </c>
      <c r="F2714" t="str">
        <f t="shared" si="42"/>
        <v>South</v>
      </c>
      <c r="G2714" t="s">
        <v>56</v>
      </c>
      <c r="H2714" t="s">
        <v>13</v>
      </c>
      <c r="I2714">
        <v>7</v>
      </c>
    </row>
    <row r="2715" spans="1:9" ht="21.75" customHeight="1">
      <c r="A2715" t="s">
        <v>2865</v>
      </c>
      <c r="B2715" s="3">
        <v>45360</v>
      </c>
      <c r="C2715" t="s">
        <v>106</v>
      </c>
      <c r="D2715" t="s">
        <v>87</v>
      </c>
      <c r="E2715" t="s">
        <v>22</v>
      </c>
      <c r="F2715" t="str">
        <f t="shared" si="42"/>
        <v>East</v>
      </c>
      <c r="G2715" t="s">
        <v>42</v>
      </c>
      <c r="H2715" t="s">
        <v>13</v>
      </c>
      <c r="I2715">
        <v>6</v>
      </c>
    </row>
    <row r="2716" spans="1:9" ht="21.75" customHeight="1">
      <c r="A2716" t="s">
        <v>2866</v>
      </c>
      <c r="B2716" s="3">
        <v>45537</v>
      </c>
      <c r="C2716" t="s">
        <v>317</v>
      </c>
      <c r="D2716" t="s">
        <v>26</v>
      </c>
      <c r="E2716" t="s">
        <v>11</v>
      </c>
      <c r="F2716" t="str">
        <f t="shared" si="42"/>
        <v>West</v>
      </c>
      <c r="G2716" t="s">
        <v>27</v>
      </c>
      <c r="H2716" t="s">
        <v>23</v>
      </c>
      <c r="I2716">
        <v>18</v>
      </c>
    </row>
    <row r="2717" spans="1:9" ht="21.75" customHeight="1">
      <c r="A2717" t="s">
        <v>2867</v>
      </c>
      <c r="B2717" s="3">
        <v>45641</v>
      </c>
      <c r="C2717" t="s">
        <v>436</v>
      </c>
      <c r="D2717" t="s">
        <v>16</v>
      </c>
      <c r="E2717" t="s">
        <v>17</v>
      </c>
      <c r="F2717" t="str">
        <f t="shared" si="42"/>
        <v>West</v>
      </c>
      <c r="G2717" t="s">
        <v>27</v>
      </c>
      <c r="H2717" t="s">
        <v>36</v>
      </c>
      <c r="I2717">
        <v>13</v>
      </c>
    </row>
    <row r="2718" spans="1:9" ht="21.75" customHeight="1">
      <c r="A2718" t="s">
        <v>2868</v>
      </c>
      <c r="B2718" s="3">
        <v>45347</v>
      </c>
      <c r="C2718" t="s">
        <v>138</v>
      </c>
      <c r="D2718" t="s">
        <v>16</v>
      </c>
      <c r="E2718" t="s">
        <v>11</v>
      </c>
      <c r="F2718" t="str">
        <f t="shared" si="42"/>
        <v>East</v>
      </c>
      <c r="G2718" t="s">
        <v>42</v>
      </c>
      <c r="H2718" t="s">
        <v>36</v>
      </c>
      <c r="I2718">
        <v>1</v>
      </c>
    </row>
    <row r="2719" spans="1:9" ht="21.75" customHeight="1">
      <c r="A2719" t="s">
        <v>2869</v>
      </c>
      <c r="B2719" s="3">
        <v>45413</v>
      </c>
      <c r="C2719" t="s">
        <v>9</v>
      </c>
      <c r="D2719" t="s">
        <v>41</v>
      </c>
      <c r="E2719" t="s">
        <v>17</v>
      </c>
      <c r="F2719" t="str">
        <f t="shared" si="42"/>
        <v>West</v>
      </c>
      <c r="G2719" t="s">
        <v>27</v>
      </c>
      <c r="H2719" t="s">
        <v>36</v>
      </c>
      <c r="I2719">
        <v>1</v>
      </c>
    </row>
    <row r="2720" spans="1:9" ht="21.75" customHeight="1">
      <c r="A2720" t="s">
        <v>2870</v>
      </c>
      <c r="B2720" s="3">
        <v>45440</v>
      </c>
      <c r="C2720" t="s">
        <v>55</v>
      </c>
      <c r="D2720" t="s">
        <v>35</v>
      </c>
      <c r="E2720" t="s">
        <v>11</v>
      </c>
      <c r="F2720" t="str">
        <f t="shared" si="42"/>
        <v>West</v>
      </c>
      <c r="G2720" t="s">
        <v>27</v>
      </c>
      <c r="H2720" t="s">
        <v>28</v>
      </c>
      <c r="I2720">
        <v>20</v>
      </c>
    </row>
    <row r="2721" spans="1:9" ht="21.75" customHeight="1">
      <c r="A2721" t="s">
        <v>2871</v>
      </c>
      <c r="B2721" s="3">
        <v>45553</v>
      </c>
      <c r="C2721" t="s">
        <v>44</v>
      </c>
      <c r="D2721" t="s">
        <v>197</v>
      </c>
      <c r="E2721" t="s">
        <v>17</v>
      </c>
      <c r="F2721" t="str">
        <f t="shared" si="42"/>
        <v>North</v>
      </c>
      <c r="G2721" t="s">
        <v>12</v>
      </c>
      <c r="H2721" t="s">
        <v>32</v>
      </c>
      <c r="I2721">
        <v>8</v>
      </c>
    </row>
    <row r="2722" spans="1:9" ht="21.75" customHeight="1">
      <c r="A2722" t="s">
        <v>2872</v>
      </c>
      <c r="B2722" s="3">
        <v>45511</v>
      </c>
      <c r="C2722" t="s">
        <v>104</v>
      </c>
      <c r="D2722" t="s">
        <v>35</v>
      </c>
      <c r="E2722" t="s">
        <v>22</v>
      </c>
      <c r="F2722" t="str">
        <f t="shared" si="42"/>
        <v>North</v>
      </c>
      <c r="G2722" t="s">
        <v>12</v>
      </c>
      <c r="H2722" t="s">
        <v>36</v>
      </c>
      <c r="I2722">
        <v>20</v>
      </c>
    </row>
    <row r="2723" spans="1:9" ht="21.75" customHeight="1">
      <c r="A2723" t="s">
        <v>2873</v>
      </c>
      <c r="B2723" s="3">
        <v>45594</v>
      </c>
      <c r="C2723" t="s">
        <v>451</v>
      </c>
      <c r="D2723" t="s">
        <v>21</v>
      </c>
      <c r="E2723" t="s">
        <v>11</v>
      </c>
      <c r="F2723" t="str">
        <f t="shared" si="42"/>
        <v>South</v>
      </c>
      <c r="G2723" t="s">
        <v>56</v>
      </c>
      <c r="H2723" t="s">
        <v>13</v>
      </c>
      <c r="I2723">
        <v>5</v>
      </c>
    </row>
    <row r="2724" spans="1:9" ht="21.75" customHeight="1">
      <c r="A2724" t="s">
        <v>2874</v>
      </c>
      <c r="B2724" s="3">
        <v>45432</v>
      </c>
      <c r="C2724" t="s">
        <v>150</v>
      </c>
      <c r="D2724" t="s">
        <v>16</v>
      </c>
      <c r="E2724" t="s">
        <v>17</v>
      </c>
      <c r="F2724" t="str">
        <f t="shared" si="42"/>
        <v>North</v>
      </c>
      <c r="G2724" t="s">
        <v>12</v>
      </c>
      <c r="H2724" t="s">
        <v>36</v>
      </c>
      <c r="I2724">
        <v>7</v>
      </c>
    </row>
    <row r="2725" spans="1:9" ht="21.75" customHeight="1">
      <c r="A2725" t="s">
        <v>2875</v>
      </c>
      <c r="B2725" s="3">
        <v>45318</v>
      </c>
      <c r="C2725" t="s">
        <v>159</v>
      </c>
      <c r="D2725" t="s">
        <v>87</v>
      </c>
      <c r="E2725" t="s">
        <v>22</v>
      </c>
      <c r="F2725" t="str">
        <f t="shared" si="42"/>
        <v>East</v>
      </c>
      <c r="G2725" t="s">
        <v>42</v>
      </c>
      <c r="H2725" t="s">
        <v>28</v>
      </c>
      <c r="I2725">
        <v>8</v>
      </c>
    </row>
    <row r="2726" spans="1:9" ht="21.75" customHeight="1">
      <c r="A2726" t="s">
        <v>2876</v>
      </c>
      <c r="B2726" s="3">
        <v>45537</v>
      </c>
      <c r="C2726" t="s">
        <v>131</v>
      </c>
      <c r="D2726" t="s">
        <v>160</v>
      </c>
      <c r="E2726" t="s">
        <v>17</v>
      </c>
      <c r="F2726" t="str">
        <f t="shared" si="42"/>
        <v>North</v>
      </c>
      <c r="G2726" t="s">
        <v>12</v>
      </c>
      <c r="H2726" t="s">
        <v>32</v>
      </c>
      <c r="I2726">
        <v>4</v>
      </c>
    </row>
    <row r="2727" spans="1:9" ht="21.75" customHeight="1">
      <c r="A2727" t="s">
        <v>2877</v>
      </c>
      <c r="B2727" s="3">
        <v>45435</v>
      </c>
      <c r="C2727" t="s">
        <v>20</v>
      </c>
      <c r="D2727" t="s">
        <v>62</v>
      </c>
      <c r="E2727" t="s">
        <v>17</v>
      </c>
      <c r="F2727" t="str">
        <f t="shared" si="42"/>
        <v>South</v>
      </c>
      <c r="G2727" t="s">
        <v>56</v>
      </c>
      <c r="H2727" t="s">
        <v>32</v>
      </c>
      <c r="I2727">
        <v>2</v>
      </c>
    </row>
    <row r="2728" spans="1:9" ht="21.75" customHeight="1">
      <c r="A2728" t="s">
        <v>2878</v>
      </c>
      <c r="B2728" s="3">
        <v>45292</v>
      </c>
      <c r="C2728" t="s">
        <v>9</v>
      </c>
      <c r="D2728" t="s">
        <v>41</v>
      </c>
      <c r="E2728" t="s">
        <v>22</v>
      </c>
      <c r="F2728" t="str">
        <f t="shared" si="42"/>
        <v>East</v>
      </c>
      <c r="G2728" t="s">
        <v>42</v>
      </c>
      <c r="H2728" t="s">
        <v>28</v>
      </c>
      <c r="I2728">
        <v>10</v>
      </c>
    </row>
    <row r="2729" spans="1:9" ht="21.75" customHeight="1">
      <c r="A2729" t="s">
        <v>2879</v>
      </c>
      <c r="B2729" s="3">
        <v>45602</v>
      </c>
      <c r="C2729" t="s">
        <v>108</v>
      </c>
      <c r="D2729" t="s">
        <v>87</v>
      </c>
      <c r="E2729" t="s">
        <v>11</v>
      </c>
      <c r="F2729" t="str">
        <f t="shared" si="42"/>
        <v>East</v>
      </c>
      <c r="G2729" t="s">
        <v>42</v>
      </c>
      <c r="H2729" t="s">
        <v>23</v>
      </c>
      <c r="I2729">
        <v>12</v>
      </c>
    </row>
    <row r="2730" spans="1:9" ht="21.75" customHeight="1">
      <c r="A2730" t="s">
        <v>2880</v>
      </c>
      <c r="B2730" s="3">
        <v>45349</v>
      </c>
      <c r="C2730" t="s">
        <v>108</v>
      </c>
      <c r="D2730" t="s">
        <v>41</v>
      </c>
      <c r="E2730" t="s">
        <v>11</v>
      </c>
      <c r="F2730" t="str">
        <f t="shared" si="42"/>
        <v>Central</v>
      </c>
      <c r="G2730" t="s">
        <v>306</v>
      </c>
      <c r="H2730" t="s">
        <v>28</v>
      </c>
      <c r="I2730">
        <v>11</v>
      </c>
    </row>
    <row r="2731" spans="1:9" ht="21.75" customHeight="1">
      <c r="A2731" t="s">
        <v>2881</v>
      </c>
      <c r="B2731" s="3">
        <v>45477</v>
      </c>
      <c r="C2731" t="s">
        <v>323</v>
      </c>
      <c r="D2731" t="s">
        <v>119</v>
      </c>
      <c r="E2731" t="s">
        <v>22</v>
      </c>
      <c r="F2731" t="str">
        <f t="shared" si="42"/>
        <v>Central</v>
      </c>
      <c r="G2731" t="s">
        <v>306</v>
      </c>
      <c r="H2731" t="s">
        <v>36</v>
      </c>
      <c r="I2731">
        <v>12</v>
      </c>
    </row>
    <row r="2732" spans="1:9" ht="21.75" customHeight="1">
      <c r="A2732" t="s">
        <v>2882</v>
      </c>
      <c r="B2732" s="3">
        <v>45433</v>
      </c>
      <c r="C2732" t="s">
        <v>95</v>
      </c>
      <c r="D2732" t="s">
        <v>59</v>
      </c>
      <c r="E2732" t="s">
        <v>17</v>
      </c>
      <c r="F2732" t="str">
        <f t="shared" si="42"/>
        <v>North</v>
      </c>
      <c r="G2732" t="s">
        <v>12</v>
      </c>
      <c r="H2732" t="s">
        <v>13</v>
      </c>
      <c r="I2732">
        <v>5</v>
      </c>
    </row>
    <row r="2733" spans="1:9" ht="21.75" customHeight="1">
      <c r="A2733" t="s">
        <v>2883</v>
      </c>
      <c r="B2733" s="3">
        <v>45600</v>
      </c>
      <c r="C2733" t="s">
        <v>114</v>
      </c>
      <c r="D2733" t="s">
        <v>79</v>
      </c>
      <c r="E2733" t="s">
        <v>22</v>
      </c>
      <c r="F2733" t="str">
        <f t="shared" si="42"/>
        <v>South</v>
      </c>
      <c r="G2733" t="s">
        <v>56</v>
      </c>
      <c r="H2733" t="s">
        <v>28</v>
      </c>
      <c r="I2733">
        <v>15</v>
      </c>
    </row>
    <row r="2734" spans="1:9" ht="21.75" customHeight="1">
      <c r="A2734" t="s">
        <v>2884</v>
      </c>
      <c r="B2734" s="3">
        <v>45330</v>
      </c>
      <c r="C2734" t="s">
        <v>591</v>
      </c>
      <c r="D2734" t="s">
        <v>109</v>
      </c>
      <c r="E2734" t="s">
        <v>17</v>
      </c>
      <c r="F2734" t="str">
        <f t="shared" si="42"/>
        <v>East</v>
      </c>
      <c r="G2734" t="s">
        <v>42</v>
      </c>
      <c r="H2734" t="s">
        <v>23</v>
      </c>
      <c r="I2734">
        <v>7</v>
      </c>
    </row>
    <row r="2735" spans="1:9" ht="21.75" customHeight="1">
      <c r="A2735" t="s">
        <v>2885</v>
      </c>
      <c r="B2735" s="3">
        <v>45370</v>
      </c>
      <c r="C2735" t="s">
        <v>116</v>
      </c>
      <c r="D2735" t="s">
        <v>16</v>
      </c>
      <c r="E2735" t="s">
        <v>11</v>
      </c>
      <c r="F2735" t="str">
        <f t="shared" si="42"/>
        <v>West</v>
      </c>
      <c r="G2735" t="s">
        <v>27</v>
      </c>
      <c r="H2735" t="s">
        <v>36</v>
      </c>
      <c r="I2735">
        <v>9</v>
      </c>
    </row>
    <row r="2736" spans="1:9" ht="21.75" customHeight="1">
      <c r="A2736" t="s">
        <v>2886</v>
      </c>
      <c r="B2736" s="3">
        <v>45578</v>
      </c>
      <c r="C2736" t="s">
        <v>20</v>
      </c>
      <c r="D2736" t="s">
        <v>48</v>
      </c>
      <c r="E2736" t="s">
        <v>17</v>
      </c>
      <c r="F2736" t="str">
        <f t="shared" si="42"/>
        <v>North</v>
      </c>
      <c r="G2736" t="s">
        <v>12</v>
      </c>
      <c r="H2736" t="s">
        <v>23</v>
      </c>
      <c r="I2736">
        <v>3</v>
      </c>
    </row>
    <row r="2737" spans="1:9" ht="21.75" customHeight="1">
      <c r="A2737" t="s">
        <v>2887</v>
      </c>
      <c r="B2737" s="3">
        <v>45560</v>
      </c>
      <c r="C2737" t="s">
        <v>358</v>
      </c>
      <c r="D2737" t="s">
        <v>96</v>
      </c>
      <c r="E2737" t="s">
        <v>11</v>
      </c>
      <c r="F2737" t="str">
        <f t="shared" si="42"/>
        <v>Central</v>
      </c>
      <c r="G2737" t="s">
        <v>306</v>
      </c>
      <c r="H2737" t="s">
        <v>32</v>
      </c>
      <c r="I2737">
        <v>5</v>
      </c>
    </row>
    <row r="2738" spans="1:9" ht="21.75" customHeight="1">
      <c r="A2738" t="s">
        <v>2888</v>
      </c>
      <c r="B2738" s="3">
        <v>45581</v>
      </c>
      <c r="C2738" t="s">
        <v>131</v>
      </c>
      <c r="D2738" t="s">
        <v>62</v>
      </c>
      <c r="E2738" t="s">
        <v>11</v>
      </c>
      <c r="F2738" t="str">
        <f t="shared" si="42"/>
        <v>West</v>
      </c>
      <c r="G2738" t="s">
        <v>27</v>
      </c>
      <c r="H2738" t="s">
        <v>23</v>
      </c>
      <c r="I2738">
        <v>18</v>
      </c>
    </row>
    <row r="2739" spans="1:9" ht="21.75" customHeight="1">
      <c r="A2739" t="s">
        <v>2889</v>
      </c>
      <c r="B2739" s="3">
        <v>45330</v>
      </c>
      <c r="C2739" t="s">
        <v>30</v>
      </c>
      <c r="D2739" t="s">
        <v>70</v>
      </c>
      <c r="E2739" t="s">
        <v>22</v>
      </c>
      <c r="F2739" t="str">
        <f t="shared" si="42"/>
        <v>West</v>
      </c>
      <c r="G2739" t="s">
        <v>27</v>
      </c>
      <c r="H2739" t="s">
        <v>36</v>
      </c>
      <c r="I2739">
        <v>13</v>
      </c>
    </row>
    <row r="2740" spans="1:9" ht="21.75" customHeight="1">
      <c r="A2740" t="s">
        <v>2890</v>
      </c>
      <c r="B2740" s="3">
        <v>45431</v>
      </c>
      <c r="C2740" t="s">
        <v>95</v>
      </c>
      <c r="D2740" t="s">
        <v>45</v>
      </c>
      <c r="E2740" t="s">
        <v>11</v>
      </c>
      <c r="F2740" t="str">
        <f t="shared" si="42"/>
        <v>South</v>
      </c>
      <c r="G2740" t="s">
        <v>56</v>
      </c>
      <c r="H2740" t="s">
        <v>36</v>
      </c>
      <c r="I2740">
        <v>7</v>
      </c>
    </row>
    <row r="2741" spans="1:9" ht="21.75" customHeight="1">
      <c r="A2741" t="s">
        <v>2891</v>
      </c>
      <c r="B2741" s="3">
        <v>45296</v>
      </c>
      <c r="C2741" t="s">
        <v>345</v>
      </c>
      <c r="D2741" t="s">
        <v>70</v>
      </c>
      <c r="E2741" t="s">
        <v>22</v>
      </c>
      <c r="F2741" t="str">
        <f t="shared" si="42"/>
        <v>Central</v>
      </c>
      <c r="G2741" t="s">
        <v>306</v>
      </c>
      <c r="H2741" t="s">
        <v>32</v>
      </c>
      <c r="I2741">
        <v>10</v>
      </c>
    </row>
    <row r="2742" spans="1:9" ht="21.75" customHeight="1">
      <c r="A2742" t="s">
        <v>2892</v>
      </c>
      <c r="B2742" s="3">
        <v>45443</v>
      </c>
      <c r="C2742" t="s">
        <v>369</v>
      </c>
      <c r="D2742" t="s">
        <v>26</v>
      </c>
      <c r="E2742" t="s">
        <v>22</v>
      </c>
      <c r="F2742" t="str">
        <f t="shared" si="42"/>
        <v>North</v>
      </c>
      <c r="G2742" t="s">
        <v>12</v>
      </c>
      <c r="H2742" t="s">
        <v>28</v>
      </c>
      <c r="I2742">
        <v>8</v>
      </c>
    </row>
    <row r="2743" spans="1:9" ht="21.75" customHeight="1">
      <c r="A2743" t="s">
        <v>2893</v>
      </c>
      <c r="B2743" s="3">
        <v>45413</v>
      </c>
      <c r="C2743" t="s">
        <v>61</v>
      </c>
      <c r="D2743" t="s">
        <v>79</v>
      </c>
      <c r="E2743" t="s">
        <v>22</v>
      </c>
      <c r="F2743" t="str">
        <f t="shared" si="42"/>
        <v>South</v>
      </c>
      <c r="G2743" t="s">
        <v>56</v>
      </c>
      <c r="H2743" t="s">
        <v>32</v>
      </c>
      <c r="I2743">
        <v>5</v>
      </c>
    </row>
    <row r="2744" spans="1:9" ht="21.75" customHeight="1">
      <c r="A2744" t="s">
        <v>2894</v>
      </c>
      <c r="B2744" s="3">
        <v>45318</v>
      </c>
      <c r="C2744" t="s">
        <v>736</v>
      </c>
      <c r="D2744" t="s">
        <v>197</v>
      </c>
      <c r="E2744" t="s">
        <v>11</v>
      </c>
      <c r="F2744" t="str">
        <f t="shared" si="42"/>
        <v>Central</v>
      </c>
      <c r="G2744" t="s">
        <v>306</v>
      </c>
      <c r="H2744" t="s">
        <v>13</v>
      </c>
      <c r="I2744">
        <v>1</v>
      </c>
    </row>
    <row r="2745" spans="1:9" ht="21.75" customHeight="1">
      <c r="A2745" t="s">
        <v>2895</v>
      </c>
      <c r="B2745" s="3">
        <v>45615</v>
      </c>
      <c r="C2745" t="s">
        <v>493</v>
      </c>
      <c r="D2745" t="s">
        <v>48</v>
      </c>
      <c r="E2745" t="s">
        <v>17</v>
      </c>
      <c r="F2745" t="str">
        <f t="shared" si="42"/>
        <v>North</v>
      </c>
      <c r="G2745" t="s">
        <v>12</v>
      </c>
      <c r="H2745" t="s">
        <v>36</v>
      </c>
      <c r="I2745">
        <v>9</v>
      </c>
    </row>
    <row r="2746" spans="1:9" ht="21.75" customHeight="1">
      <c r="A2746" t="s">
        <v>2896</v>
      </c>
      <c r="B2746" s="3">
        <v>45501</v>
      </c>
      <c r="C2746" t="s">
        <v>594</v>
      </c>
      <c r="D2746" t="s">
        <v>74</v>
      </c>
      <c r="E2746" t="s">
        <v>17</v>
      </c>
      <c r="F2746" t="str">
        <f t="shared" si="42"/>
        <v>North</v>
      </c>
      <c r="G2746" t="s">
        <v>12</v>
      </c>
      <c r="H2746" t="s">
        <v>13</v>
      </c>
      <c r="I2746">
        <v>12</v>
      </c>
    </row>
    <row r="2747" spans="1:9" ht="21.75" customHeight="1">
      <c r="A2747" t="s">
        <v>2897</v>
      </c>
      <c r="B2747" s="3">
        <v>45435</v>
      </c>
      <c r="C2747" t="s">
        <v>235</v>
      </c>
      <c r="D2747" t="s">
        <v>26</v>
      </c>
      <c r="E2747" t="s">
        <v>11</v>
      </c>
      <c r="F2747" t="str">
        <f t="shared" si="42"/>
        <v>Central</v>
      </c>
      <c r="G2747" t="s">
        <v>306</v>
      </c>
      <c r="H2747" t="s">
        <v>36</v>
      </c>
      <c r="I2747">
        <v>4</v>
      </c>
    </row>
    <row r="2748" spans="1:9" ht="21.75" customHeight="1">
      <c r="A2748" t="s">
        <v>2898</v>
      </c>
      <c r="B2748" s="3">
        <v>45644</v>
      </c>
      <c r="C2748" t="s">
        <v>159</v>
      </c>
      <c r="D2748" t="s">
        <v>21</v>
      </c>
      <c r="E2748" t="s">
        <v>17</v>
      </c>
      <c r="F2748" t="str">
        <f t="shared" si="42"/>
        <v>Central</v>
      </c>
      <c r="G2748" t="s">
        <v>306</v>
      </c>
      <c r="H2748" t="s">
        <v>36</v>
      </c>
      <c r="I2748">
        <v>7</v>
      </c>
    </row>
    <row r="2749" spans="1:9" ht="21.75" customHeight="1">
      <c r="A2749" t="s">
        <v>2899</v>
      </c>
      <c r="B2749" s="3">
        <v>45404</v>
      </c>
      <c r="C2749" t="s">
        <v>187</v>
      </c>
      <c r="D2749" t="s">
        <v>26</v>
      </c>
      <c r="E2749" t="s">
        <v>11</v>
      </c>
      <c r="F2749" t="str">
        <f t="shared" si="42"/>
        <v>Central</v>
      </c>
      <c r="G2749" t="s">
        <v>306</v>
      </c>
      <c r="H2749" t="s">
        <v>23</v>
      </c>
      <c r="I2749">
        <v>5</v>
      </c>
    </row>
    <row r="2750" spans="1:9" ht="21.75" customHeight="1">
      <c r="A2750" t="s">
        <v>2900</v>
      </c>
      <c r="B2750" s="3">
        <v>45514</v>
      </c>
      <c r="C2750" t="s">
        <v>200</v>
      </c>
      <c r="D2750" t="s">
        <v>16</v>
      </c>
      <c r="E2750" t="s">
        <v>17</v>
      </c>
      <c r="F2750" t="str">
        <f t="shared" si="42"/>
        <v>North</v>
      </c>
      <c r="G2750" t="s">
        <v>12</v>
      </c>
      <c r="H2750" t="s">
        <v>23</v>
      </c>
      <c r="I2750">
        <v>6</v>
      </c>
    </row>
    <row r="2751" spans="1:9" ht="21.75" customHeight="1">
      <c r="A2751" t="s">
        <v>2901</v>
      </c>
      <c r="B2751" s="3">
        <v>45382</v>
      </c>
      <c r="C2751" t="s">
        <v>150</v>
      </c>
      <c r="D2751" t="s">
        <v>59</v>
      </c>
      <c r="E2751" t="s">
        <v>17</v>
      </c>
      <c r="F2751" t="str">
        <f t="shared" si="42"/>
        <v>South</v>
      </c>
      <c r="G2751" t="s">
        <v>56</v>
      </c>
      <c r="H2751" t="s">
        <v>32</v>
      </c>
      <c r="I2751">
        <v>1</v>
      </c>
    </row>
    <row r="2752" spans="1:9" ht="21.75" customHeight="1">
      <c r="A2752" t="s">
        <v>2902</v>
      </c>
      <c r="B2752" s="3">
        <v>45382</v>
      </c>
      <c r="C2752" t="s">
        <v>106</v>
      </c>
      <c r="D2752" t="s">
        <v>41</v>
      </c>
      <c r="E2752" t="s">
        <v>22</v>
      </c>
      <c r="F2752" t="str">
        <f t="shared" si="42"/>
        <v>South</v>
      </c>
      <c r="G2752" t="s">
        <v>56</v>
      </c>
      <c r="H2752" t="s">
        <v>13</v>
      </c>
      <c r="I2752">
        <v>5</v>
      </c>
    </row>
    <row r="2753" spans="1:9" ht="21.75" customHeight="1">
      <c r="A2753" t="s">
        <v>2903</v>
      </c>
      <c r="B2753" s="3">
        <v>45417</v>
      </c>
      <c r="C2753" t="s">
        <v>366</v>
      </c>
      <c r="D2753" t="s">
        <v>21</v>
      </c>
      <c r="E2753" t="s">
        <v>17</v>
      </c>
      <c r="F2753" t="str">
        <f t="shared" si="42"/>
        <v>North</v>
      </c>
      <c r="G2753" t="s">
        <v>12</v>
      </c>
      <c r="H2753" t="s">
        <v>36</v>
      </c>
      <c r="I2753">
        <v>5</v>
      </c>
    </row>
    <row r="2754" spans="1:9" ht="21.75" customHeight="1">
      <c r="A2754" t="s">
        <v>2904</v>
      </c>
      <c r="B2754" s="3">
        <v>45298</v>
      </c>
      <c r="C2754" t="s">
        <v>493</v>
      </c>
      <c r="D2754" t="s">
        <v>102</v>
      </c>
      <c r="E2754" t="s">
        <v>17</v>
      </c>
      <c r="F2754" t="str">
        <f t="shared" si="42"/>
        <v>West</v>
      </c>
      <c r="G2754" t="s">
        <v>27</v>
      </c>
      <c r="H2754" t="s">
        <v>13</v>
      </c>
      <c r="I2754">
        <v>4</v>
      </c>
    </row>
    <row r="2755" spans="1:9" ht="21.75" customHeight="1">
      <c r="A2755" t="s">
        <v>2905</v>
      </c>
      <c r="B2755" s="3">
        <v>45621</v>
      </c>
      <c r="C2755" t="s">
        <v>116</v>
      </c>
      <c r="D2755" t="s">
        <v>16</v>
      </c>
      <c r="E2755" t="s">
        <v>11</v>
      </c>
      <c r="F2755" t="str">
        <f t="shared" ref="F2755:F2818" si="43">TRIM(PROPER(G2755))</f>
        <v>North</v>
      </c>
      <c r="G2755" t="s">
        <v>12</v>
      </c>
      <c r="H2755" t="s">
        <v>32</v>
      </c>
      <c r="I2755">
        <v>5</v>
      </c>
    </row>
    <row r="2756" spans="1:9" ht="21.75" customHeight="1">
      <c r="A2756" t="s">
        <v>2906</v>
      </c>
      <c r="B2756" s="3">
        <v>45599</v>
      </c>
      <c r="C2756" t="s">
        <v>142</v>
      </c>
      <c r="D2756" t="s">
        <v>96</v>
      </c>
      <c r="E2756" t="s">
        <v>11</v>
      </c>
      <c r="F2756" t="str">
        <f t="shared" si="43"/>
        <v>Central</v>
      </c>
      <c r="G2756" t="s">
        <v>306</v>
      </c>
      <c r="H2756" t="s">
        <v>32</v>
      </c>
      <c r="I2756">
        <v>3</v>
      </c>
    </row>
    <row r="2757" spans="1:9" ht="21.75" customHeight="1">
      <c r="A2757" t="s">
        <v>2907</v>
      </c>
      <c r="B2757" s="3">
        <v>45537</v>
      </c>
      <c r="C2757" t="s">
        <v>332</v>
      </c>
      <c r="D2757" t="s">
        <v>59</v>
      </c>
      <c r="E2757" t="s">
        <v>17</v>
      </c>
      <c r="F2757" t="str">
        <f t="shared" si="43"/>
        <v>South</v>
      </c>
      <c r="G2757" t="s">
        <v>56</v>
      </c>
      <c r="H2757" t="s">
        <v>32</v>
      </c>
      <c r="I2757">
        <v>11</v>
      </c>
    </row>
    <row r="2758" spans="1:9" ht="21.75" customHeight="1">
      <c r="A2758" t="s">
        <v>2908</v>
      </c>
      <c r="B2758" s="3">
        <v>45416</v>
      </c>
      <c r="C2758" t="s">
        <v>131</v>
      </c>
      <c r="D2758" t="s">
        <v>174</v>
      </c>
      <c r="E2758" t="s">
        <v>22</v>
      </c>
      <c r="F2758" t="str">
        <f t="shared" si="43"/>
        <v>East</v>
      </c>
      <c r="G2758" t="s">
        <v>42</v>
      </c>
      <c r="H2758" t="s">
        <v>36</v>
      </c>
      <c r="I2758">
        <v>4</v>
      </c>
    </row>
    <row r="2759" spans="1:9" ht="21.75" customHeight="1">
      <c r="A2759" t="s">
        <v>2909</v>
      </c>
      <c r="B2759" s="3">
        <v>45314</v>
      </c>
      <c r="C2759" t="s">
        <v>15</v>
      </c>
      <c r="D2759" t="s">
        <v>174</v>
      </c>
      <c r="E2759" t="s">
        <v>17</v>
      </c>
      <c r="F2759" t="str">
        <f t="shared" si="43"/>
        <v>North</v>
      </c>
      <c r="G2759" t="s">
        <v>12</v>
      </c>
      <c r="H2759" t="s">
        <v>36</v>
      </c>
      <c r="I2759">
        <v>14</v>
      </c>
    </row>
    <row r="2760" spans="1:9" ht="21.75" customHeight="1">
      <c r="A2760" t="s">
        <v>2910</v>
      </c>
      <c r="B2760" s="3">
        <v>45406</v>
      </c>
      <c r="C2760" t="s">
        <v>64</v>
      </c>
      <c r="D2760" t="s">
        <v>197</v>
      </c>
      <c r="E2760" t="s">
        <v>17</v>
      </c>
      <c r="F2760" t="str">
        <f t="shared" si="43"/>
        <v>West</v>
      </c>
      <c r="G2760" t="s">
        <v>27</v>
      </c>
      <c r="H2760" t="s">
        <v>28</v>
      </c>
      <c r="I2760">
        <v>12</v>
      </c>
    </row>
    <row r="2761" spans="1:9" ht="21.75" customHeight="1">
      <c r="A2761" t="s">
        <v>2911</v>
      </c>
      <c r="B2761" s="3">
        <v>45407</v>
      </c>
      <c r="C2761" t="s">
        <v>455</v>
      </c>
      <c r="D2761" t="s">
        <v>31</v>
      </c>
      <c r="E2761" t="s">
        <v>22</v>
      </c>
      <c r="F2761" t="str">
        <f t="shared" si="43"/>
        <v>North</v>
      </c>
      <c r="G2761" t="s">
        <v>12</v>
      </c>
      <c r="H2761" t="s">
        <v>23</v>
      </c>
      <c r="I2761">
        <v>6</v>
      </c>
    </row>
    <row r="2762" spans="1:9" ht="21.75" customHeight="1">
      <c r="A2762" t="s">
        <v>2912</v>
      </c>
      <c r="B2762" s="3">
        <v>45406</v>
      </c>
      <c r="C2762" t="s">
        <v>15</v>
      </c>
      <c r="D2762" t="s">
        <v>74</v>
      </c>
      <c r="E2762" t="s">
        <v>17</v>
      </c>
      <c r="F2762" t="str">
        <f t="shared" si="43"/>
        <v>North</v>
      </c>
      <c r="G2762" t="s">
        <v>12</v>
      </c>
      <c r="H2762" t="s">
        <v>36</v>
      </c>
      <c r="I2762">
        <v>11</v>
      </c>
    </row>
    <row r="2763" spans="1:9" ht="21.75" customHeight="1">
      <c r="A2763" t="s">
        <v>2913</v>
      </c>
      <c r="B2763" s="3">
        <v>45335</v>
      </c>
      <c r="C2763" t="s">
        <v>116</v>
      </c>
      <c r="D2763" t="s">
        <v>109</v>
      </c>
      <c r="E2763" t="s">
        <v>11</v>
      </c>
      <c r="F2763" t="str">
        <f t="shared" si="43"/>
        <v>South</v>
      </c>
      <c r="G2763" t="s">
        <v>56</v>
      </c>
      <c r="H2763" t="s">
        <v>23</v>
      </c>
      <c r="I2763">
        <v>17</v>
      </c>
    </row>
    <row r="2764" spans="1:9" ht="21.75" customHeight="1">
      <c r="A2764" t="s">
        <v>2914</v>
      </c>
      <c r="B2764" s="3">
        <v>45384</v>
      </c>
      <c r="C2764" t="s">
        <v>422</v>
      </c>
      <c r="D2764" t="s">
        <v>87</v>
      </c>
      <c r="E2764" t="s">
        <v>11</v>
      </c>
      <c r="F2764" t="str">
        <f t="shared" si="43"/>
        <v>East</v>
      </c>
      <c r="G2764" t="s">
        <v>42</v>
      </c>
      <c r="H2764" t="s">
        <v>36</v>
      </c>
      <c r="I2764">
        <v>10</v>
      </c>
    </row>
    <row r="2765" spans="1:9" ht="21.75" customHeight="1">
      <c r="A2765" t="s">
        <v>2915</v>
      </c>
      <c r="B2765" s="3">
        <v>45345</v>
      </c>
      <c r="C2765" t="s">
        <v>101</v>
      </c>
      <c r="D2765" t="s">
        <v>35</v>
      </c>
      <c r="E2765" t="s">
        <v>22</v>
      </c>
      <c r="F2765" t="str">
        <f t="shared" si="43"/>
        <v>East</v>
      </c>
      <c r="G2765" t="s">
        <v>42</v>
      </c>
      <c r="H2765" t="s">
        <v>32</v>
      </c>
      <c r="I2765">
        <v>3</v>
      </c>
    </row>
    <row r="2766" spans="1:9" ht="21.75" customHeight="1">
      <c r="A2766" t="s">
        <v>2916</v>
      </c>
      <c r="B2766" s="3">
        <v>45368</v>
      </c>
      <c r="C2766" t="s">
        <v>420</v>
      </c>
      <c r="D2766" t="s">
        <v>21</v>
      </c>
      <c r="E2766" t="s">
        <v>11</v>
      </c>
      <c r="F2766" t="str">
        <f t="shared" si="43"/>
        <v>East</v>
      </c>
      <c r="G2766" t="s">
        <v>42</v>
      </c>
      <c r="H2766" t="s">
        <v>28</v>
      </c>
      <c r="I2766">
        <v>13</v>
      </c>
    </row>
    <row r="2767" spans="1:9" ht="21.75" customHeight="1">
      <c r="A2767" t="s">
        <v>2917</v>
      </c>
      <c r="B2767" s="3">
        <v>45536</v>
      </c>
      <c r="C2767" t="s">
        <v>58</v>
      </c>
      <c r="D2767" t="s">
        <v>102</v>
      </c>
      <c r="E2767" t="s">
        <v>22</v>
      </c>
      <c r="F2767" t="str">
        <f t="shared" si="43"/>
        <v>West</v>
      </c>
      <c r="G2767" t="s">
        <v>27</v>
      </c>
      <c r="H2767" t="s">
        <v>32</v>
      </c>
      <c r="I2767">
        <v>5</v>
      </c>
    </row>
    <row r="2768" spans="1:9" ht="21.75" customHeight="1">
      <c r="A2768" t="s">
        <v>2918</v>
      </c>
      <c r="B2768" s="3">
        <v>45357</v>
      </c>
      <c r="C2768" t="s">
        <v>44</v>
      </c>
      <c r="D2768" t="s">
        <v>119</v>
      </c>
      <c r="E2768" t="s">
        <v>17</v>
      </c>
      <c r="F2768" t="str">
        <f t="shared" si="43"/>
        <v>East</v>
      </c>
      <c r="G2768" t="s">
        <v>42</v>
      </c>
      <c r="H2768" t="s">
        <v>32</v>
      </c>
      <c r="I2768">
        <v>16</v>
      </c>
    </row>
    <row r="2769" spans="1:9" ht="21.75" customHeight="1">
      <c r="A2769" t="s">
        <v>2919</v>
      </c>
      <c r="B2769" s="3">
        <v>45647</v>
      </c>
      <c r="C2769" t="s">
        <v>408</v>
      </c>
      <c r="D2769" t="s">
        <v>109</v>
      </c>
      <c r="E2769" t="s">
        <v>22</v>
      </c>
      <c r="F2769" t="str">
        <f t="shared" si="43"/>
        <v>East</v>
      </c>
      <c r="G2769" t="s">
        <v>42</v>
      </c>
      <c r="H2769" t="s">
        <v>28</v>
      </c>
      <c r="I2769">
        <v>8</v>
      </c>
    </row>
    <row r="2770" spans="1:9" ht="21.75" customHeight="1">
      <c r="A2770" t="s">
        <v>2920</v>
      </c>
      <c r="B2770" s="3">
        <v>45573</v>
      </c>
      <c r="C2770" t="s">
        <v>432</v>
      </c>
      <c r="D2770" t="s">
        <v>174</v>
      </c>
      <c r="E2770" t="s">
        <v>22</v>
      </c>
      <c r="F2770" t="str">
        <f t="shared" si="43"/>
        <v>West</v>
      </c>
      <c r="G2770" t="s">
        <v>27</v>
      </c>
      <c r="H2770" t="s">
        <v>36</v>
      </c>
      <c r="I2770">
        <v>18</v>
      </c>
    </row>
    <row r="2771" spans="1:9" ht="21.75" customHeight="1">
      <c r="A2771" t="s">
        <v>2921</v>
      </c>
      <c r="B2771" s="3">
        <v>45488</v>
      </c>
      <c r="C2771" t="s">
        <v>81</v>
      </c>
      <c r="D2771" t="s">
        <v>59</v>
      </c>
      <c r="E2771" t="s">
        <v>22</v>
      </c>
      <c r="F2771" t="str">
        <f t="shared" si="43"/>
        <v>West</v>
      </c>
      <c r="G2771" t="s">
        <v>27</v>
      </c>
      <c r="H2771" t="s">
        <v>36</v>
      </c>
      <c r="I2771">
        <v>19</v>
      </c>
    </row>
    <row r="2772" spans="1:9" ht="21.75" customHeight="1">
      <c r="A2772" t="s">
        <v>2922</v>
      </c>
      <c r="B2772" s="3">
        <v>45404</v>
      </c>
      <c r="C2772" t="s">
        <v>424</v>
      </c>
      <c r="D2772" t="s">
        <v>10</v>
      </c>
      <c r="E2772" t="s">
        <v>11</v>
      </c>
      <c r="F2772" t="str">
        <f t="shared" si="43"/>
        <v>East</v>
      </c>
      <c r="G2772" t="s">
        <v>42</v>
      </c>
      <c r="H2772" t="s">
        <v>13</v>
      </c>
      <c r="I2772">
        <v>7</v>
      </c>
    </row>
    <row r="2773" spans="1:9" ht="21.75" customHeight="1">
      <c r="A2773" t="s">
        <v>2923</v>
      </c>
      <c r="B2773" s="3">
        <v>45300</v>
      </c>
      <c r="C2773" t="s">
        <v>83</v>
      </c>
      <c r="D2773" t="s">
        <v>174</v>
      </c>
      <c r="E2773" t="s">
        <v>17</v>
      </c>
      <c r="F2773" t="str">
        <f t="shared" si="43"/>
        <v>South</v>
      </c>
      <c r="G2773" t="s">
        <v>56</v>
      </c>
      <c r="H2773" t="s">
        <v>13</v>
      </c>
      <c r="I2773">
        <v>2</v>
      </c>
    </row>
    <row r="2774" spans="1:9" ht="21.75" customHeight="1">
      <c r="A2774" t="s">
        <v>2924</v>
      </c>
      <c r="B2774" s="3">
        <v>45476</v>
      </c>
      <c r="C2774" t="s">
        <v>420</v>
      </c>
      <c r="D2774" t="s">
        <v>16</v>
      </c>
      <c r="E2774" t="s">
        <v>17</v>
      </c>
      <c r="F2774" t="str">
        <f t="shared" si="43"/>
        <v>West</v>
      </c>
      <c r="G2774" t="s">
        <v>27</v>
      </c>
      <c r="H2774" t="s">
        <v>28</v>
      </c>
      <c r="I2774">
        <v>18</v>
      </c>
    </row>
    <row r="2775" spans="1:9" ht="21.75" customHeight="1">
      <c r="A2775" t="s">
        <v>2925</v>
      </c>
      <c r="B2775" s="3">
        <v>45507</v>
      </c>
      <c r="C2775" t="s">
        <v>78</v>
      </c>
      <c r="D2775" t="s">
        <v>65</v>
      </c>
      <c r="E2775" t="s">
        <v>11</v>
      </c>
      <c r="F2775" t="str">
        <f t="shared" si="43"/>
        <v>North</v>
      </c>
      <c r="G2775" t="s">
        <v>12</v>
      </c>
      <c r="H2775" t="s">
        <v>28</v>
      </c>
      <c r="I2775">
        <v>4</v>
      </c>
    </row>
    <row r="2776" spans="1:9" ht="21.75" customHeight="1">
      <c r="A2776" t="s">
        <v>2926</v>
      </c>
      <c r="B2776" s="3">
        <v>45652</v>
      </c>
      <c r="C2776" t="s">
        <v>167</v>
      </c>
      <c r="D2776" t="s">
        <v>31</v>
      </c>
      <c r="E2776" t="s">
        <v>22</v>
      </c>
      <c r="F2776" t="str">
        <f t="shared" si="43"/>
        <v>North</v>
      </c>
      <c r="G2776" t="s">
        <v>12</v>
      </c>
      <c r="H2776" t="s">
        <v>23</v>
      </c>
      <c r="I2776">
        <v>12</v>
      </c>
    </row>
    <row r="2777" spans="1:9" ht="21.75" customHeight="1">
      <c r="A2777" t="s">
        <v>2927</v>
      </c>
      <c r="B2777" s="3">
        <v>45346</v>
      </c>
      <c r="C2777" t="s">
        <v>371</v>
      </c>
      <c r="D2777" t="s">
        <v>59</v>
      </c>
      <c r="E2777" t="s">
        <v>11</v>
      </c>
      <c r="F2777" t="str">
        <f t="shared" si="43"/>
        <v>West</v>
      </c>
      <c r="G2777" t="s">
        <v>27</v>
      </c>
      <c r="H2777" t="s">
        <v>36</v>
      </c>
      <c r="I2777">
        <v>6</v>
      </c>
    </row>
    <row r="2778" spans="1:9" ht="21.75" customHeight="1">
      <c r="A2778" t="s">
        <v>2928</v>
      </c>
      <c r="B2778" s="3">
        <v>45479</v>
      </c>
      <c r="C2778" t="s">
        <v>167</v>
      </c>
      <c r="D2778" t="s">
        <v>10</v>
      </c>
      <c r="E2778" t="s">
        <v>11</v>
      </c>
      <c r="F2778" t="str">
        <f t="shared" si="43"/>
        <v>North</v>
      </c>
      <c r="G2778" t="s">
        <v>12</v>
      </c>
      <c r="H2778" t="s">
        <v>13</v>
      </c>
      <c r="I2778">
        <v>19</v>
      </c>
    </row>
    <row r="2779" spans="1:9" ht="21.75" customHeight="1">
      <c r="A2779" t="s">
        <v>2929</v>
      </c>
      <c r="B2779" s="3">
        <v>45505</v>
      </c>
      <c r="C2779" t="s">
        <v>125</v>
      </c>
      <c r="D2779" t="s">
        <v>119</v>
      </c>
      <c r="E2779" t="s">
        <v>11</v>
      </c>
      <c r="F2779" t="str">
        <f t="shared" si="43"/>
        <v>West</v>
      </c>
      <c r="G2779" t="s">
        <v>27</v>
      </c>
      <c r="H2779" t="s">
        <v>28</v>
      </c>
      <c r="I2779">
        <v>17</v>
      </c>
    </row>
    <row r="2780" spans="1:9" ht="21.75" customHeight="1">
      <c r="A2780" t="s">
        <v>2930</v>
      </c>
      <c r="B2780" s="3">
        <v>45445</v>
      </c>
      <c r="C2780" t="s">
        <v>553</v>
      </c>
      <c r="D2780" t="s">
        <v>87</v>
      </c>
      <c r="E2780" t="s">
        <v>22</v>
      </c>
      <c r="F2780" t="str">
        <f t="shared" si="43"/>
        <v>East</v>
      </c>
      <c r="G2780" t="s">
        <v>42</v>
      </c>
      <c r="H2780" t="s">
        <v>23</v>
      </c>
      <c r="I2780">
        <v>1</v>
      </c>
    </row>
    <row r="2781" spans="1:9" ht="21.75" customHeight="1">
      <c r="A2781" t="s">
        <v>2931</v>
      </c>
      <c r="B2781" s="3">
        <v>45371</v>
      </c>
      <c r="C2781" t="s">
        <v>131</v>
      </c>
      <c r="D2781" t="s">
        <v>21</v>
      </c>
      <c r="E2781" t="s">
        <v>11</v>
      </c>
      <c r="F2781" t="str">
        <f t="shared" si="43"/>
        <v>Central</v>
      </c>
      <c r="G2781" t="s">
        <v>306</v>
      </c>
      <c r="H2781" t="s">
        <v>28</v>
      </c>
      <c r="I2781">
        <v>17</v>
      </c>
    </row>
    <row r="2782" spans="1:9" ht="21.75" customHeight="1">
      <c r="A2782" t="s">
        <v>2932</v>
      </c>
      <c r="B2782" s="3">
        <v>45494</v>
      </c>
      <c r="C2782" t="s">
        <v>309</v>
      </c>
      <c r="D2782" t="s">
        <v>41</v>
      </c>
      <c r="E2782" t="s">
        <v>17</v>
      </c>
      <c r="F2782" t="str">
        <f t="shared" si="43"/>
        <v>Central</v>
      </c>
      <c r="G2782" t="s">
        <v>306</v>
      </c>
      <c r="H2782" t="s">
        <v>32</v>
      </c>
      <c r="I2782">
        <v>19</v>
      </c>
    </row>
    <row r="2783" spans="1:9" ht="21.75" customHeight="1">
      <c r="A2783" t="s">
        <v>2933</v>
      </c>
      <c r="B2783" s="3">
        <v>45655</v>
      </c>
      <c r="C2783" t="s">
        <v>51</v>
      </c>
      <c r="D2783" t="s">
        <v>87</v>
      </c>
      <c r="E2783" t="s">
        <v>11</v>
      </c>
      <c r="F2783" t="str">
        <f t="shared" si="43"/>
        <v>East</v>
      </c>
      <c r="G2783" t="s">
        <v>42</v>
      </c>
      <c r="H2783" t="s">
        <v>13</v>
      </c>
      <c r="I2783">
        <v>17</v>
      </c>
    </row>
    <row r="2784" spans="1:9" ht="21.75" customHeight="1">
      <c r="A2784" t="s">
        <v>2934</v>
      </c>
      <c r="B2784" s="3">
        <v>45356</v>
      </c>
      <c r="C2784" t="s">
        <v>323</v>
      </c>
      <c r="D2784" t="s">
        <v>65</v>
      </c>
      <c r="E2784" t="s">
        <v>17</v>
      </c>
      <c r="F2784" t="str">
        <f t="shared" si="43"/>
        <v>Central</v>
      </c>
      <c r="G2784" t="s">
        <v>306</v>
      </c>
      <c r="H2784" t="s">
        <v>13</v>
      </c>
      <c r="I2784">
        <v>8</v>
      </c>
    </row>
    <row r="2785" spans="1:9" ht="21.75" customHeight="1">
      <c r="A2785" t="s">
        <v>2935</v>
      </c>
      <c r="B2785" s="3">
        <v>45578</v>
      </c>
      <c r="C2785" t="s">
        <v>493</v>
      </c>
      <c r="D2785" t="s">
        <v>10</v>
      </c>
      <c r="E2785" t="s">
        <v>22</v>
      </c>
      <c r="F2785" t="str">
        <f t="shared" si="43"/>
        <v>West</v>
      </c>
      <c r="G2785" t="s">
        <v>27</v>
      </c>
      <c r="H2785" t="s">
        <v>23</v>
      </c>
      <c r="I2785">
        <v>11</v>
      </c>
    </row>
    <row r="2786" spans="1:9" ht="21.75" customHeight="1">
      <c r="A2786" t="s">
        <v>2936</v>
      </c>
      <c r="B2786" s="3">
        <v>45499</v>
      </c>
      <c r="C2786" t="s">
        <v>159</v>
      </c>
      <c r="D2786" t="s">
        <v>45</v>
      </c>
      <c r="E2786" t="s">
        <v>11</v>
      </c>
      <c r="F2786" t="str">
        <f t="shared" si="43"/>
        <v>East</v>
      </c>
      <c r="G2786" t="s">
        <v>42</v>
      </c>
      <c r="H2786" t="s">
        <v>23</v>
      </c>
      <c r="I2786">
        <v>7</v>
      </c>
    </row>
    <row r="2787" spans="1:9" ht="21.75" customHeight="1">
      <c r="A2787" t="s">
        <v>2937</v>
      </c>
      <c r="B2787" s="3">
        <v>45345</v>
      </c>
      <c r="C2787" t="s">
        <v>208</v>
      </c>
      <c r="D2787" t="s">
        <v>48</v>
      </c>
      <c r="E2787" t="s">
        <v>22</v>
      </c>
      <c r="F2787" t="str">
        <f t="shared" si="43"/>
        <v>East</v>
      </c>
      <c r="G2787" t="s">
        <v>42</v>
      </c>
      <c r="H2787" t="s">
        <v>13</v>
      </c>
      <c r="I2787">
        <v>8</v>
      </c>
    </row>
    <row r="2788" spans="1:9" ht="21.75" customHeight="1">
      <c r="A2788" t="s">
        <v>2938</v>
      </c>
      <c r="B2788" s="3">
        <v>45569</v>
      </c>
      <c r="C2788" t="s">
        <v>15</v>
      </c>
      <c r="D2788" t="s">
        <v>10</v>
      </c>
      <c r="E2788" t="s">
        <v>11</v>
      </c>
      <c r="F2788" t="str">
        <f t="shared" si="43"/>
        <v>Central</v>
      </c>
      <c r="G2788" t="s">
        <v>306</v>
      </c>
      <c r="H2788" t="s">
        <v>13</v>
      </c>
      <c r="I2788">
        <v>10</v>
      </c>
    </row>
    <row r="2789" spans="1:9" ht="21.75" customHeight="1">
      <c r="A2789" t="s">
        <v>2939</v>
      </c>
      <c r="B2789" s="3">
        <v>45395</v>
      </c>
      <c r="C2789" t="s">
        <v>541</v>
      </c>
      <c r="D2789" t="s">
        <v>79</v>
      </c>
      <c r="E2789" t="s">
        <v>11</v>
      </c>
      <c r="F2789" t="str">
        <f t="shared" si="43"/>
        <v>East</v>
      </c>
      <c r="G2789" t="s">
        <v>42</v>
      </c>
      <c r="H2789" t="s">
        <v>13</v>
      </c>
      <c r="I2789">
        <v>19</v>
      </c>
    </row>
    <row r="2790" spans="1:9" ht="21.75" customHeight="1">
      <c r="A2790" t="s">
        <v>2940</v>
      </c>
      <c r="B2790" s="3">
        <v>45580</v>
      </c>
      <c r="C2790" t="s">
        <v>517</v>
      </c>
      <c r="D2790" t="s">
        <v>79</v>
      </c>
      <c r="E2790" t="s">
        <v>11</v>
      </c>
      <c r="F2790" t="str">
        <f t="shared" si="43"/>
        <v>East</v>
      </c>
      <c r="G2790" t="s">
        <v>42</v>
      </c>
      <c r="H2790" t="s">
        <v>13</v>
      </c>
      <c r="I2790">
        <v>10</v>
      </c>
    </row>
    <row r="2791" spans="1:9" ht="21.75" customHeight="1">
      <c r="A2791" t="s">
        <v>2941</v>
      </c>
      <c r="B2791" s="3">
        <v>45474</v>
      </c>
      <c r="C2791" t="s">
        <v>664</v>
      </c>
      <c r="D2791" t="s">
        <v>74</v>
      </c>
      <c r="E2791" t="s">
        <v>17</v>
      </c>
      <c r="F2791" t="str">
        <f t="shared" si="43"/>
        <v>Central</v>
      </c>
      <c r="G2791" t="s">
        <v>306</v>
      </c>
      <c r="H2791" t="s">
        <v>28</v>
      </c>
      <c r="I2791">
        <v>11</v>
      </c>
    </row>
    <row r="2792" spans="1:9" ht="21.75" customHeight="1">
      <c r="A2792" t="s">
        <v>2942</v>
      </c>
      <c r="B2792" s="3">
        <v>45474</v>
      </c>
      <c r="C2792" t="s">
        <v>34</v>
      </c>
      <c r="D2792" t="s">
        <v>62</v>
      </c>
      <c r="E2792" t="s">
        <v>22</v>
      </c>
      <c r="F2792" t="str">
        <f t="shared" si="43"/>
        <v>North</v>
      </c>
      <c r="G2792" t="s">
        <v>12</v>
      </c>
      <c r="H2792" t="s">
        <v>32</v>
      </c>
      <c r="I2792">
        <v>14</v>
      </c>
    </row>
    <row r="2793" spans="1:9" ht="21.75" customHeight="1">
      <c r="A2793" t="s">
        <v>2943</v>
      </c>
      <c r="B2793" s="3">
        <v>45549</v>
      </c>
      <c r="C2793" t="s">
        <v>108</v>
      </c>
      <c r="D2793" t="s">
        <v>160</v>
      </c>
      <c r="E2793" t="s">
        <v>11</v>
      </c>
      <c r="F2793" t="str">
        <f t="shared" si="43"/>
        <v>North</v>
      </c>
      <c r="G2793" t="s">
        <v>12</v>
      </c>
      <c r="H2793" t="s">
        <v>36</v>
      </c>
      <c r="I2793">
        <v>13</v>
      </c>
    </row>
    <row r="2794" spans="1:9" ht="21.75" customHeight="1">
      <c r="A2794" t="s">
        <v>2944</v>
      </c>
      <c r="B2794" s="3">
        <v>45311</v>
      </c>
      <c r="C2794" t="s">
        <v>61</v>
      </c>
      <c r="D2794" t="s">
        <v>45</v>
      </c>
      <c r="E2794" t="s">
        <v>11</v>
      </c>
      <c r="F2794" t="str">
        <f t="shared" si="43"/>
        <v>West</v>
      </c>
      <c r="G2794" t="s">
        <v>27</v>
      </c>
      <c r="H2794" t="s">
        <v>13</v>
      </c>
      <c r="I2794">
        <v>3</v>
      </c>
    </row>
    <row r="2795" spans="1:9" ht="21.75" customHeight="1">
      <c r="A2795" t="s">
        <v>2945</v>
      </c>
      <c r="B2795" s="3">
        <v>45410</v>
      </c>
      <c r="C2795" t="s">
        <v>133</v>
      </c>
      <c r="D2795" t="s">
        <v>41</v>
      </c>
      <c r="E2795" t="s">
        <v>22</v>
      </c>
      <c r="F2795" t="str">
        <f t="shared" si="43"/>
        <v>South</v>
      </c>
      <c r="G2795" t="s">
        <v>56</v>
      </c>
      <c r="H2795" t="s">
        <v>28</v>
      </c>
      <c r="I2795">
        <v>17</v>
      </c>
    </row>
    <row r="2796" spans="1:9" ht="21.75" customHeight="1">
      <c r="A2796" t="s">
        <v>2946</v>
      </c>
      <c r="B2796" s="3">
        <v>45603</v>
      </c>
      <c r="C2796" t="s">
        <v>350</v>
      </c>
      <c r="D2796" t="s">
        <v>160</v>
      </c>
      <c r="E2796" t="s">
        <v>17</v>
      </c>
      <c r="F2796" t="str">
        <f t="shared" si="43"/>
        <v>West</v>
      </c>
      <c r="G2796" t="s">
        <v>27</v>
      </c>
      <c r="H2796" t="s">
        <v>28</v>
      </c>
      <c r="I2796">
        <v>11</v>
      </c>
    </row>
    <row r="2797" spans="1:9" ht="21.75" customHeight="1">
      <c r="A2797" t="s">
        <v>2947</v>
      </c>
      <c r="B2797" s="3">
        <v>45611</v>
      </c>
      <c r="C2797" t="s">
        <v>348</v>
      </c>
      <c r="D2797" t="s">
        <v>79</v>
      </c>
      <c r="E2797" t="s">
        <v>22</v>
      </c>
      <c r="F2797" t="str">
        <f t="shared" si="43"/>
        <v>West</v>
      </c>
      <c r="G2797" t="s">
        <v>27</v>
      </c>
      <c r="H2797" t="s">
        <v>28</v>
      </c>
      <c r="I2797">
        <v>7</v>
      </c>
    </row>
    <row r="2798" spans="1:9" ht="21.75" customHeight="1">
      <c r="A2798" t="s">
        <v>2948</v>
      </c>
      <c r="B2798" s="3">
        <v>45602</v>
      </c>
      <c r="C2798" t="s">
        <v>208</v>
      </c>
      <c r="D2798" t="s">
        <v>16</v>
      </c>
      <c r="E2798" t="s">
        <v>22</v>
      </c>
      <c r="F2798" t="str">
        <f t="shared" si="43"/>
        <v>West</v>
      </c>
      <c r="G2798" t="s">
        <v>27</v>
      </c>
      <c r="H2798" t="s">
        <v>13</v>
      </c>
      <c r="I2798">
        <v>1</v>
      </c>
    </row>
    <row r="2799" spans="1:9" ht="21.75" customHeight="1">
      <c r="A2799" t="s">
        <v>2949</v>
      </c>
      <c r="B2799" s="3">
        <v>45450</v>
      </c>
      <c r="C2799" t="s">
        <v>378</v>
      </c>
      <c r="D2799" t="s">
        <v>10</v>
      </c>
      <c r="E2799" t="s">
        <v>17</v>
      </c>
      <c r="F2799" t="str">
        <f t="shared" si="43"/>
        <v>North</v>
      </c>
      <c r="G2799" t="s">
        <v>12</v>
      </c>
      <c r="H2799" t="s">
        <v>23</v>
      </c>
      <c r="I2799">
        <v>11</v>
      </c>
    </row>
    <row r="2800" spans="1:9" ht="21.75" customHeight="1">
      <c r="A2800" t="s">
        <v>2950</v>
      </c>
      <c r="B2800" s="3">
        <v>45443</v>
      </c>
      <c r="C2800" t="s">
        <v>111</v>
      </c>
      <c r="D2800" t="s">
        <v>10</v>
      </c>
      <c r="E2800" t="s">
        <v>17</v>
      </c>
      <c r="F2800" t="str">
        <f t="shared" si="43"/>
        <v>Central</v>
      </c>
      <c r="G2800" t="s">
        <v>306</v>
      </c>
      <c r="H2800" t="s">
        <v>32</v>
      </c>
      <c r="I2800">
        <v>12</v>
      </c>
    </row>
    <row r="2801" spans="1:9" ht="21.75" customHeight="1">
      <c r="A2801" t="s">
        <v>2951</v>
      </c>
      <c r="B2801" s="3">
        <v>45383</v>
      </c>
      <c r="C2801" t="s">
        <v>369</v>
      </c>
      <c r="D2801" t="s">
        <v>119</v>
      </c>
      <c r="E2801" t="s">
        <v>17</v>
      </c>
      <c r="F2801" t="str">
        <f t="shared" si="43"/>
        <v>East</v>
      </c>
      <c r="G2801" t="s">
        <v>42</v>
      </c>
      <c r="H2801" t="s">
        <v>23</v>
      </c>
      <c r="I2801">
        <v>9</v>
      </c>
    </row>
    <row r="2802" spans="1:9" ht="21.75" customHeight="1">
      <c r="A2802" t="s">
        <v>2952</v>
      </c>
      <c r="B2802" s="3">
        <v>45518</v>
      </c>
      <c r="C2802" t="s">
        <v>350</v>
      </c>
      <c r="D2802" t="s">
        <v>16</v>
      </c>
      <c r="E2802" t="s">
        <v>11</v>
      </c>
      <c r="F2802" t="str">
        <f t="shared" si="43"/>
        <v>Central</v>
      </c>
      <c r="G2802" t="s">
        <v>306</v>
      </c>
      <c r="H2802" t="s">
        <v>23</v>
      </c>
      <c r="I2802">
        <v>2</v>
      </c>
    </row>
    <row r="2803" spans="1:9" ht="21.75" customHeight="1">
      <c r="A2803" t="s">
        <v>2953</v>
      </c>
      <c r="B2803" s="3">
        <v>45438</v>
      </c>
      <c r="C2803" t="s">
        <v>341</v>
      </c>
      <c r="D2803" t="s">
        <v>87</v>
      </c>
      <c r="E2803" t="s">
        <v>22</v>
      </c>
      <c r="F2803" t="str">
        <f t="shared" si="43"/>
        <v>South</v>
      </c>
      <c r="G2803" t="s">
        <v>56</v>
      </c>
      <c r="H2803" t="s">
        <v>23</v>
      </c>
      <c r="I2803">
        <v>12</v>
      </c>
    </row>
    <row r="2804" spans="1:9" ht="21.75" customHeight="1">
      <c r="A2804" t="s">
        <v>2954</v>
      </c>
      <c r="B2804" s="3">
        <v>45611</v>
      </c>
      <c r="C2804" t="s">
        <v>38</v>
      </c>
      <c r="D2804" t="s">
        <v>48</v>
      </c>
      <c r="E2804" t="s">
        <v>11</v>
      </c>
      <c r="F2804" t="str">
        <f t="shared" si="43"/>
        <v>West</v>
      </c>
      <c r="G2804" t="s">
        <v>27</v>
      </c>
      <c r="H2804" t="s">
        <v>36</v>
      </c>
      <c r="I2804">
        <v>15</v>
      </c>
    </row>
    <row r="2805" spans="1:9" ht="21.75" customHeight="1">
      <c r="A2805" t="s">
        <v>2955</v>
      </c>
      <c r="B2805" s="3">
        <v>45641</v>
      </c>
      <c r="C2805" t="s">
        <v>116</v>
      </c>
      <c r="D2805" t="s">
        <v>109</v>
      </c>
      <c r="E2805" t="s">
        <v>22</v>
      </c>
      <c r="F2805" t="str">
        <f t="shared" si="43"/>
        <v>North</v>
      </c>
      <c r="G2805" t="s">
        <v>12</v>
      </c>
      <c r="H2805" t="s">
        <v>28</v>
      </c>
      <c r="I2805">
        <v>18</v>
      </c>
    </row>
    <row r="2806" spans="1:9" ht="21.75" customHeight="1">
      <c r="A2806" t="s">
        <v>2956</v>
      </c>
      <c r="B2806" s="3">
        <v>45345</v>
      </c>
      <c r="C2806" t="s">
        <v>61</v>
      </c>
      <c r="D2806" t="s">
        <v>31</v>
      </c>
      <c r="E2806" t="s">
        <v>11</v>
      </c>
      <c r="F2806" t="str">
        <f t="shared" si="43"/>
        <v>Central</v>
      </c>
      <c r="G2806" t="s">
        <v>306</v>
      </c>
      <c r="H2806" t="s">
        <v>23</v>
      </c>
      <c r="I2806">
        <v>3</v>
      </c>
    </row>
    <row r="2807" spans="1:9" ht="21.75" customHeight="1">
      <c r="A2807" t="s">
        <v>2957</v>
      </c>
      <c r="B2807" s="3">
        <v>45528</v>
      </c>
      <c r="C2807" t="s">
        <v>317</v>
      </c>
      <c r="D2807" t="s">
        <v>10</v>
      </c>
      <c r="E2807" t="s">
        <v>17</v>
      </c>
      <c r="F2807" t="str">
        <f t="shared" si="43"/>
        <v>West</v>
      </c>
      <c r="G2807" t="s">
        <v>27</v>
      </c>
      <c r="H2807" t="s">
        <v>23</v>
      </c>
      <c r="I2807">
        <v>18</v>
      </c>
    </row>
    <row r="2808" spans="1:9" ht="21.75" customHeight="1">
      <c r="A2808" t="s">
        <v>2958</v>
      </c>
      <c r="B2808" s="3">
        <v>45530</v>
      </c>
      <c r="C2808" t="s">
        <v>15</v>
      </c>
      <c r="D2808" t="s">
        <v>10</v>
      </c>
      <c r="E2808" t="s">
        <v>11</v>
      </c>
      <c r="F2808" t="str">
        <f t="shared" si="43"/>
        <v>North</v>
      </c>
      <c r="G2808" t="s">
        <v>12</v>
      </c>
      <c r="H2808" t="s">
        <v>23</v>
      </c>
      <c r="I2808">
        <v>14</v>
      </c>
    </row>
    <row r="2809" spans="1:9" ht="21.75" customHeight="1">
      <c r="A2809" t="s">
        <v>2959</v>
      </c>
      <c r="B2809" s="3">
        <v>45460</v>
      </c>
      <c r="C2809" t="s">
        <v>58</v>
      </c>
      <c r="D2809" t="s">
        <v>72</v>
      </c>
      <c r="E2809" t="s">
        <v>17</v>
      </c>
      <c r="F2809" t="str">
        <f t="shared" si="43"/>
        <v>Central</v>
      </c>
      <c r="G2809" t="s">
        <v>306</v>
      </c>
      <c r="H2809" t="s">
        <v>23</v>
      </c>
      <c r="I2809">
        <v>7</v>
      </c>
    </row>
    <row r="2810" spans="1:9" ht="21.75" customHeight="1">
      <c r="A2810" t="s">
        <v>2960</v>
      </c>
      <c r="B2810" s="3">
        <v>45535</v>
      </c>
      <c r="C2810" t="s">
        <v>40</v>
      </c>
      <c r="D2810" t="s">
        <v>26</v>
      </c>
      <c r="E2810" t="s">
        <v>17</v>
      </c>
      <c r="F2810" t="str">
        <f t="shared" si="43"/>
        <v>North</v>
      </c>
      <c r="G2810" t="s">
        <v>12</v>
      </c>
      <c r="H2810" t="s">
        <v>36</v>
      </c>
      <c r="I2810">
        <v>5</v>
      </c>
    </row>
    <row r="2811" spans="1:9" ht="21.75" customHeight="1">
      <c r="A2811" t="s">
        <v>2961</v>
      </c>
      <c r="B2811" s="3">
        <v>45366</v>
      </c>
      <c r="C2811" t="s">
        <v>541</v>
      </c>
      <c r="D2811" t="s">
        <v>65</v>
      </c>
      <c r="E2811" t="s">
        <v>17</v>
      </c>
      <c r="F2811" t="str">
        <f t="shared" si="43"/>
        <v>Central</v>
      </c>
      <c r="G2811" t="s">
        <v>306</v>
      </c>
      <c r="H2811" t="s">
        <v>13</v>
      </c>
      <c r="I2811">
        <v>20</v>
      </c>
    </row>
    <row r="2812" spans="1:9" ht="21.75" customHeight="1">
      <c r="A2812" t="s">
        <v>2962</v>
      </c>
      <c r="B2812" s="3">
        <v>45323</v>
      </c>
      <c r="C2812" t="s">
        <v>83</v>
      </c>
      <c r="D2812" t="s">
        <v>87</v>
      </c>
      <c r="E2812" t="s">
        <v>17</v>
      </c>
      <c r="F2812" t="str">
        <f t="shared" si="43"/>
        <v>South</v>
      </c>
      <c r="G2812" t="s">
        <v>56</v>
      </c>
      <c r="H2812" t="s">
        <v>13</v>
      </c>
      <c r="I2812">
        <v>7</v>
      </c>
    </row>
    <row r="2813" spans="1:9" ht="21.75" customHeight="1">
      <c r="A2813" t="s">
        <v>2963</v>
      </c>
      <c r="B2813" s="3">
        <v>45642</v>
      </c>
      <c r="C2813" t="s">
        <v>309</v>
      </c>
      <c r="D2813" t="s">
        <v>26</v>
      </c>
      <c r="E2813" t="s">
        <v>17</v>
      </c>
      <c r="F2813" t="str">
        <f t="shared" si="43"/>
        <v>South</v>
      </c>
      <c r="G2813" t="s">
        <v>56</v>
      </c>
      <c r="H2813" t="s">
        <v>13</v>
      </c>
      <c r="I2813">
        <v>5</v>
      </c>
    </row>
    <row r="2814" spans="1:9" ht="21.75" customHeight="1">
      <c r="A2814" t="s">
        <v>2964</v>
      </c>
      <c r="B2814" s="3">
        <v>45499</v>
      </c>
      <c r="C2814" t="s">
        <v>81</v>
      </c>
      <c r="D2814" t="s">
        <v>74</v>
      </c>
      <c r="E2814" t="s">
        <v>22</v>
      </c>
      <c r="F2814" t="str">
        <f t="shared" si="43"/>
        <v>West</v>
      </c>
      <c r="G2814" t="s">
        <v>27</v>
      </c>
      <c r="H2814" t="s">
        <v>23</v>
      </c>
      <c r="I2814">
        <v>17</v>
      </c>
    </row>
    <row r="2815" spans="1:9" ht="21.75" customHeight="1">
      <c r="A2815" t="s">
        <v>2965</v>
      </c>
      <c r="B2815" s="3">
        <v>45424</v>
      </c>
      <c r="C2815" t="s">
        <v>44</v>
      </c>
      <c r="D2815" t="s">
        <v>79</v>
      </c>
      <c r="E2815" t="s">
        <v>11</v>
      </c>
      <c r="F2815" t="str">
        <f t="shared" si="43"/>
        <v>West</v>
      </c>
      <c r="G2815" t="s">
        <v>27</v>
      </c>
      <c r="H2815" t="s">
        <v>32</v>
      </c>
      <c r="I2815">
        <v>10</v>
      </c>
    </row>
    <row r="2816" spans="1:9" ht="21.75" customHeight="1">
      <c r="A2816" t="s">
        <v>2966</v>
      </c>
      <c r="B2816" s="3">
        <v>45470</v>
      </c>
      <c r="C2816" t="s">
        <v>572</v>
      </c>
      <c r="D2816" t="s">
        <v>35</v>
      </c>
      <c r="E2816" t="s">
        <v>17</v>
      </c>
      <c r="F2816" t="str">
        <f t="shared" si="43"/>
        <v>Central</v>
      </c>
      <c r="G2816" t="s">
        <v>306</v>
      </c>
      <c r="H2816" t="s">
        <v>28</v>
      </c>
      <c r="I2816">
        <v>14</v>
      </c>
    </row>
    <row r="2817" spans="1:9" ht="21.75" customHeight="1">
      <c r="A2817" t="s">
        <v>2967</v>
      </c>
      <c r="B2817" s="3">
        <v>45646</v>
      </c>
      <c r="C2817" t="s">
        <v>314</v>
      </c>
      <c r="D2817" t="s">
        <v>31</v>
      </c>
      <c r="E2817" t="s">
        <v>11</v>
      </c>
      <c r="F2817" t="str">
        <f t="shared" si="43"/>
        <v>Central</v>
      </c>
      <c r="G2817" t="s">
        <v>306</v>
      </c>
      <c r="H2817" t="s">
        <v>36</v>
      </c>
      <c r="I2817">
        <v>7</v>
      </c>
    </row>
    <row r="2818" spans="1:9" ht="21.75" customHeight="1">
      <c r="A2818" t="s">
        <v>2968</v>
      </c>
      <c r="B2818" s="3">
        <v>45633</v>
      </c>
      <c r="C2818" t="s">
        <v>361</v>
      </c>
      <c r="D2818" t="s">
        <v>109</v>
      </c>
      <c r="E2818" t="s">
        <v>11</v>
      </c>
      <c r="F2818" t="str">
        <f t="shared" si="43"/>
        <v>East</v>
      </c>
      <c r="G2818" t="s">
        <v>42</v>
      </c>
      <c r="H2818" t="s">
        <v>32</v>
      </c>
      <c r="I2818">
        <v>1</v>
      </c>
    </row>
    <row r="2819" spans="1:9" ht="21.75" customHeight="1">
      <c r="A2819" t="s">
        <v>2969</v>
      </c>
      <c r="B2819" s="3">
        <v>45526</v>
      </c>
      <c r="C2819" t="s">
        <v>167</v>
      </c>
      <c r="D2819" t="s">
        <v>35</v>
      </c>
      <c r="E2819" t="s">
        <v>17</v>
      </c>
      <c r="F2819" t="str">
        <f t="shared" ref="F2819:F2882" si="44">TRIM(PROPER(G2819))</f>
        <v>North</v>
      </c>
      <c r="G2819" t="s">
        <v>12</v>
      </c>
      <c r="H2819" t="s">
        <v>23</v>
      </c>
      <c r="I2819">
        <v>9</v>
      </c>
    </row>
    <row r="2820" spans="1:9" ht="21.75" customHeight="1">
      <c r="A2820" t="s">
        <v>2970</v>
      </c>
      <c r="B2820" s="3">
        <v>45293</v>
      </c>
      <c r="C2820" t="s">
        <v>430</v>
      </c>
      <c r="D2820" t="s">
        <v>16</v>
      </c>
      <c r="E2820" t="s">
        <v>22</v>
      </c>
      <c r="F2820" t="str">
        <f t="shared" si="44"/>
        <v>West</v>
      </c>
      <c r="G2820" t="s">
        <v>27</v>
      </c>
      <c r="H2820" t="s">
        <v>36</v>
      </c>
      <c r="I2820">
        <v>4</v>
      </c>
    </row>
    <row r="2821" spans="1:9" ht="21.75" customHeight="1">
      <c r="A2821" t="s">
        <v>2971</v>
      </c>
      <c r="B2821" s="3">
        <v>45388</v>
      </c>
      <c r="C2821" t="s">
        <v>572</v>
      </c>
      <c r="D2821" t="s">
        <v>62</v>
      </c>
      <c r="E2821" t="s">
        <v>22</v>
      </c>
      <c r="F2821" t="str">
        <f t="shared" si="44"/>
        <v>South</v>
      </c>
      <c r="G2821" t="s">
        <v>56</v>
      </c>
      <c r="H2821" t="s">
        <v>36</v>
      </c>
      <c r="I2821">
        <v>13</v>
      </c>
    </row>
    <row r="2822" spans="1:9" ht="21.75" customHeight="1">
      <c r="A2822" t="s">
        <v>2972</v>
      </c>
      <c r="B2822" s="3">
        <v>45399</v>
      </c>
      <c r="C2822" t="s">
        <v>150</v>
      </c>
      <c r="D2822" t="s">
        <v>41</v>
      </c>
      <c r="E2822" t="s">
        <v>22</v>
      </c>
      <c r="F2822" t="str">
        <f t="shared" si="44"/>
        <v>North</v>
      </c>
      <c r="G2822" t="s">
        <v>12</v>
      </c>
      <c r="H2822" t="s">
        <v>32</v>
      </c>
      <c r="I2822">
        <v>12</v>
      </c>
    </row>
    <row r="2823" spans="1:9" ht="21.75" customHeight="1">
      <c r="A2823" t="s">
        <v>2973</v>
      </c>
      <c r="B2823" s="3">
        <v>45449</v>
      </c>
      <c r="C2823" t="s">
        <v>358</v>
      </c>
      <c r="D2823" t="s">
        <v>102</v>
      </c>
      <c r="E2823" t="s">
        <v>22</v>
      </c>
      <c r="F2823" t="str">
        <f t="shared" si="44"/>
        <v>West</v>
      </c>
      <c r="G2823" t="s">
        <v>27</v>
      </c>
      <c r="H2823" t="s">
        <v>23</v>
      </c>
      <c r="I2823">
        <v>14</v>
      </c>
    </row>
    <row r="2824" spans="1:9" ht="21.75" customHeight="1">
      <c r="A2824" t="s">
        <v>2974</v>
      </c>
      <c r="B2824" s="3">
        <v>45472</v>
      </c>
      <c r="C2824" t="s">
        <v>591</v>
      </c>
      <c r="D2824" t="s">
        <v>87</v>
      </c>
      <c r="E2824" t="s">
        <v>22</v>
      </c>
      <c r="F2824" t="str">
        <f t="shared" si="44"/>
        <v>East</v>
      </c>
      <c r="G2824" t="s">
        <v>42</v>
      </c>
      <c r="H2824" t="s">
        <v>13</v>
      </c>
      <c r="I2824">
        <v>6</v>
      </c>
    </row>
    <row r="2825" spans="1:9" ht="21.75" customHeight="1">
      <c r="A2825" t="s">
        <v>2975</v>
      </c>
      <c r="B2825" s="3">
        <v>45483</v>
      </c>
      <c r="C2825" t="s">
        <v>235</v>
      </c>
      <c r="D2825" t="s">
        <v>174</v>
      </c>
      <c r="E2825" t="s">
        <v>22</v>
      </c>
      <c r="F2825" t="str">
        <f t="shared" si="44"/>
        <v>South</v>
      </c>
      <c r="G2825" t="s">
        <v>56</v>
      </c>
      <c r="H2825" t="s">
        <v>36</v>
      </c>
      <c r="I2825">
        <v>14</v>
      </c>
    </row>
    <row r="2826" spans="1:9" ht="21.75" customHeight="1">
      <c r="A2826" t="s">
        <v>2976</v>
      </c>
      <c r="B2826" s="3">
        <v>45629</v>
      </c>
      <c r="C2826" t="s">
        <v>465</v>
      </c>
      <c r="D2826" t="s">
        <v>41</v>
      </c>
      <c r="E2826" t="s">
        <v>17</v>
      </c>
      <c r="F2826" t="str">
        <f t="shared" si="44"/>
        <v>East</v>
      </c>
      <c r="G2826" t="s">
        <v>42</v>
      </c>
      <c r="H2826" t="s">
        <v>36</v>
      </c>
      <c r="I2826">
        <v>4</v>
      </c>
    </row>
    <row r="2827" spans="1:9" ht="21.75" customHeight="1">
      <c r="A2827" t="s">
        <v>2977</v>
      </c>
      <c r="B2827" s="3">
        <v>45345</v>
      </c>
      <c r="C2827" t="s">
        <v>203</v>
      </c>
      <c r="D2827" t="s">
        <v>21</v>
      </c>
      <c r="E2827" t="s">
        <v>11</v>
      </c>
      <c r="F2827" t="str">
        <f t="shared" si="44"/>
        <v>Central</v>
      </c>
      <c r="G2827" t="s">
        <v>306</v>
      </c>
      <c r="H2827" t="s">
        <v>23</v>
      </c>
      <c r="I2827">
        <v>4</v>
      </c>
    </row>
    <row r="2828" spans="1:9" ht="21.75" customHeight="1">
      <c r="A2828" t="s">
        <v>2978</v>
      </c>
      <c r="B2828" s="3">
        <v>45611</v>
      </c>
      <c r="C2828" t="s">
        <v>591</v>
      </c>
      <c r="D2828" t="s">
        <v>102</v>
      </c>
      <c r="E2828" t="s">
        <v>22</v>
      </c>
      <c r="F2828" t="str">
        <f t="shared" si="44"/>
        <v>West</v>
      </c>
      <c r="G2828" t="s">
        <v>27</v>
      </c>
      <c r="H2828" t="s">
        <v>36</v>
      </c>
      <c r="I2828">
        <v>19</v>
      </c>
    </row>
    <row r="2829" spans="1:9" ht="21.75" customHeight="1">
      <c r="A2829" t="s">
        <v>2979</v>
      </c>
      <c r="B2829" s="3">
        <v>45633</v>
      </c>
      <c r="C2829" t="s">
        <v>61</v>
      </c>
      <c r="D2829" t="s">
        <v>87</v>
      </c>
      <c r="E2829" t="s">
        <v>11</v>
      </c>
      <c r="F2829" t="str">
        <f t="shared" si="44"/>
        <v>South</v>
      </c>
      <c r="G2829" t="s">
        <v>56</v>
      </c>
      <c r="H2829" t="s">
        <v>23</v>
      </c>
      <c r="I2829">
        <v>18</v>
      </c>
    </row>
    <row r="2830" spans="1:9" ht="21.75" customHeight="1">
      <c r="A2830" t="s">
        <v>2980</v>
      </c>
      <c r="B2830" s="3">
        <v>45392</v>
      </c>
      <c r="C2830" t="s">
        <v>553</v>
      </c>
      <c r="D2830" t="s">
        <v>102</v>
      </c>
      <c r="E2830" t="s">
        <v>17</v>
      </c>
      <c r="F2830" t="str">
        <f t="shared" si="44"/>
        <v>West</v>
      </c>
      <c r="G2830" t="s">
        <v>27</v>
      </c>
      <c r="H2830" t="s">
        <v>23</v>
      </c>
      <c r="I2830">
        <v>13</v>
      </c>
    </row>
    <row r="2831" spans="1:9" ht="21.75" customHeight="1">
      <c r="A2831" t="s">
        <v>2981</v>
      </c>
      <c r="B2831" s="3">
        <v>45483</v>
      </c>
      <c r="C2831" t="s">
        <v>728</v>
      </c>
      <c r="D2831" t="s">
        <v>197</v>
      </c>
      <c r="E2831" t="s">
        <v>22</v>
      </c>
      <c r="F2831" t="str">
        <f t="shared" si="44"/>
        <v>East</v>
      </c>
      <c r="G2831" t="s">
        <v>42</v>
      </c>
      <c r="H2831" t="s">
        <v>32</v>
      </c>
      <c r="I2831">
        <v>9</v>
      </c>
    </row>
    <row r="2832" spans="1:9" ht="21.75" customHeight="1">
      <c r="A2832" t="s">
        <v>2982</v>
      </c>
      <c r="B2832" s="3">
        <v>45504</v>
      </c>
      <c r="C2832" t="s">
        <v>422</v>
      </c>
      <c r="D2832" t="s">
        <v>197</v>
      </c>
      <c r="E2832" t="s">
        <v>11</v>
      </c>
      <c r="F2832" t="str">
        <f t="shared" si="44"/>
        <v>West</v>
      </c>
      <c r="G2832" t="s">
        <v>27</v>
      </c>
      <c r="H2832" t="s">
        <v>13</v>
      </c>
      <c r="I2832">
        <v>1</v>
      </c>
    </row>
    <row r="2833" spans="1:9" ht="21.75" customHeight="1">
      <c r="A2833" t="s">
        <v>2983</v>
      </c>
      <c r="B2833" s="3">
        <v>45483</v>
      </c>
      <c r="C2833" t="s">
        <v>363</v>
      </c>
      <c r="D2833" t="s">
        <v>84</v>
      </c>
      <c r="E2833" t="s">
        <v>22</v>
      </c>
      <c r="F2833" t="str">
        <f t="shared" si="44"/>
        <v>East</v>
      </c>
      <c r="G2833" t="s">
        <v>42</v>
      </c>
      <c r="H2833" t="s">
        <v>32</v>
      </c>
      <c r="I2833">
        <v>6</v>
      </c>
    </row>
    <row r="2834" spans="1:9" ht="21.75" customHeight="1">
      <c r="A2834" t="s">
        <v>2984</v>
      </c>
      <c r="B2834" s="3">
        <v>45512</v>
      </c>
      <c r="C2834" t="s">
        <v>93</v>
      </c>
      <c r="D2834" t="s">
        <v>174</v>
      </c>
      <c r="E2834" t="s">
        <v>17</v>
      </c>
      <c r="F2834" t="str">
        <f t="shared" si="44"/>
        <v>South</v>
      </c>
      <c r="G2834" t="s">
        <v>56</v>
      </c>
      <c r="H2834" t="s">
        <v>36</v>
      </c>
      <c r="I2834">
        <v>13</v>
      </c>
    </row>
    <row r="2835" spans="1:9" ht="21.75" customHeight="1">
      <c r="A2835" t="s">
        <v>2985</v>
      </c>
      <c r="B2835" s="3">
        <v>45587</v>
      </c>
      <c r="C2835" t="s">
        <v>309</v>
      </c>
      <c r="D2835" t="s">
        <v>16</v>
      </c>
      <c r="E2835" t="s">
        <v>22</v>
      </c>
      <c r="F2835" t="str">
        <f t="shared" si="44"/>
        <v>West</v>
      </c>
      <c r="G2835" t="s">
        <v>27</v>
      </c>
      <c r="H2835" t="s">
        <v>28</v>
      </c>
      <c r="I2835">
        <v>13</v>
      </c>
    </row>
    <row r="2836" spans="1:9" ht="21.75" customHeight="1">
      <c r="A2836" t="s">
        <v>2986</v>
      </c>
      <c r="B2836" s="3">
        <v>45556</v>
      </c>
      <c r="C2836" t="s">
        <v>111</v>
      </c>
      <c r="D2836" t="s">
        <v>87</v>
      </c>
      <c r="E2836" t="s">
        <v>11</v>
      </c>
      <c r="F2836" t="str">
        <f t="shared" si="44"/>
        <v>North</v>
      </c>
      <c r="G2836" t="s">
        <v>12</v>
      </c>
      <c r="H2836" t="s">
        <v>28</v>
      </c>
      <c r="I2836">
        <v>17</v>
      </c>
    </row>
    <row r="2837" spans="1:9" ht="21.75" customHeight="1">
      <c r="A2837" t="s">
        <v>2987</v>
      </c>
      <c r="B2837" s="3">
        <v>45587</v>
      </c>
      <c r="C2837" t="s">
        <v>728</v>
      </c>
      <c r="D2837" t="s">
        <v>31</v>
      </c>
      <c r="E2837" t="s">
        <v>22</v>
      </c>
      <c r="F2837" t="str">
        <f t="shared" si="44"/>
        <v>East</v>
      </c>
      <c r="G2837" t="s">
        <v>42</v>
      </c>
      <c r="H2837" t="s">
        <v>36</v>
      </c>
      <c r="I2837">
        <v>6</v>
      </c>
    </row>
    <row r="2838" spans="1:9" ht="21.75" customHeight="1">
      <c r="A2838" t="s">
        <v>2988</v>
      </c>
      <c r="B2838" s="3">
        <v>45396</v>
      </c>
      <c r="C2838" t="s">
        <v>203</v>
      </c>
      <c r="D2838" t="s">
        <v>10</v>
      </c>
      <c r="E2838" t="s">
        <v>11</v>
      </c>
      <c r="F2838" t="str">
        <f t="shared" si="44"/>
        <v>West</v>
      </c>
      <c r="G2838" t="s">
        <v>27</v>
      </c>
      <c r="H2838" t="s">
        <v>13</v>
      </c>
      <c r="I2838">
        <v>19</v>
      </c>
    </row>
    <row r="2839" spans="1:9" ht="21.75" customHeight="1">
      <c r="A2839" t="s">
        <v>2989</v>
      </c>
      <c r="B2839" s="3">
        <v>45608</v>
      </c>
      <c r="C2839" t="s">
        <v>369</v>
      </c>
      <c r="D2839" t="s">
        <v>174</v>
      </c>
      <c r="E2839" t="s">
        <v>11</v>
      </c>
      <c r="F2839" t="str">
        <f t="shared" si="44"/>
        <v>Central</v>
      </c>
      <c r="G2839" t="s">
        <v>306</v>
      </c>
      <c r="H2839" t="s">
        <v>23</v>
      </c>
      <c r="I2839">
        <v>1</v>
      </c>
    </row>
    <row r="2840" spans="1:9" ht="21.75" customHeight="1">
      <c r="A2840" t="s">
        <v>2990</v>
      </c>
      <c r="B2840" s="3">
        <v>45358</v>
      </c>
      <c r="C2840" t="s">
        <v>366</v>
      </c>
      <c r="D2840" t="s">
        <v>21</v>
      </c>
      <c r="E2840" t="s">
        <v>22</v>
      </c>
      <c r="F2840" t="str">
        <f t="shared" si="44"/>
        <v>East</v>
      </c>
      <c r="G2840" t="s">
        <v>42</v>
      </c>
      <c r="H2840" t="s">
        <v>28</v>
      </c>
      <c r="I2840">
        <v>8</v>
      </c>
    </row>
    <row r="2841" spans="1:9" ht="21.75" customHeight="1">
      <c r="A2841" t="s">
        <v>2991</v>
      </c>
      <c r="B2841" s="3">
        <v>45405</v>
      </c>
      <c r="C2841" t="s">
        <v>68</v>
      </c>
      <c r="D2841" t="s">
        <v>65</v>
      </c>
      <c r="E2841" t="s">
        <v>22</v>
      </c>
      <c r="F2841" t="str">
        <f t="shared" si="44"/>
        <v>South</v>
      </c>
      <c r="G2841" t="s">
        <v>56</v>
      </c>
      <c r="H2841" t="s">
        <v>23</v>
      </c>
      <c r="I2841">
        <v>9</v>
      </c>
    </row>
    <row r="2842" spans="1:9" ht="21.75" customHeight="1">
      <c r="A2842" t="s">
        <v>2992</v>
      </c>
      <c r="B2842" s="3">
        <v>45432</v>
      </c>
      <c r="C2842" t="s">
        <v>81</v>
      </c>
      <c r="D2842" t="s">
        <v>16</v>
      </c>
      <c r="E2842" t="s">
        <v>22</v>
      </c>
      <c r="F2842" t="str">
        <f t="shared" si="44"/>
        <v>North</v>
      </c>
      <c r="G2842" t="s">
        <v>12</v>
      </c>
      <c r="H2842" t="s">
        <v>36</v>
      </c>
      <c r="I2842">
        <v>4</v>
      </c>
    </row>
    <row r="2843" spans="1:9" ht="21.75" customHeight="1">
      <c r="A2843" t="s">
        <v>2993</v>
      </c>
      <c r="B2843" s="3">
        <v>45597</v>
      </c>
      <c r="C2843" t="s">
        <v>114</v>
      </c>
      <c r="D2843" t="s">
        <v>102</v>
      </c>
      <c r="E2843" t="s">
        <v>11</v>
      </c>
      <c r="F2843" t="str">
        <f t="shared" si="44"/>
        <v>East</v>
      </c>
      <c r="G2843" t="s">
        <v>42</v>
      </c>
      <c r="H2843" t="s">
        <v>32</v>
      </c>
      <c r="I2843">
        <v>6</v>
      </c>
    </row>
    <row r="2844" spans="1:9" ht="21.75" customHeight="1">
      <c r="A2844" t="s">
        <v>2994</v>
      </c>
      <c r="B2844" s="3">
        <v>45545</v>
      </c>
      <c r="C2844" t="s">
        <v>83</v>
      </c>
      <c r="D2844" t="s">
        <v>65</v>
      </c>
      <c r="E2844" t="s">
        <v>17</v>
      </c>
      <c r="F2844" t="str">
        <f t="shared" si="44"/>
        <v>North</v>
      </c>
      <c r="G2844" t="s">
        <v>12</v>
      </c>
      <c r="H2844" t="s">
        <v>23</v>
      </c>
      <c r="I2844">
        <v>1</v>
      </c>
    </row>
    <row r="2845" spans="1:9" ht="21.75" customHeight="1">
      <c r="A2845" t="s">
        <v>2995</v>
      </c>
      <c r="B2845" s="3">
        <v>45541</v>
      </c>
      <c r="C2845" t="s">
        <v>451</v>
      </c>
      <c r="D2845" t="s">
        <v>10</v>
      </c>
      <c r="E2845" t="s">
        <v>11</v>
      </c>
      <c r="F2845" t="str">
        <f t="shared" si="44"/>
        <v>West</v>
      </c>
      <c r="G2845" t="s">
        <v>27</v>
      </c>
      <c r="H2845" t="s">
        <v>23</v>
      </c>
      <c r="I2845">
        <v>11</v>
      </c>
    </row>
    <row r="2846" spans="1:9" ht="21.75" customHeight="1">
      <c r="A2846" t="s">
        <v>2996</v>
      </c>
      <c r="B2846" s="3">
        <v>45522</v>
      </c>
      <c r="C2846" t="s">
        <v>111</v>
      </c>
      <c r="D2846" t="s">
        <v>45</v>
      </c>
      <c r="E2846" t="s">
        <v>17</v>
      </c>
      <c r="F2846" t="str">
        <f t="shared" si="44"/>
        <v>North</v>
      </c>
      <c r="G2846" t="s">
        <v>12</v>
      </c>
      <c r="H2846" t="s">
        <v>28</v>
      </c>
      <c r="I2846">
        <v>19</v>
      </c>
    </row>
    <row r="2847" spans="1:9" ht="21.75" customHeight="1">
      <c r="A2847" t="s">
        <v>2997</v>
      </c>
      <c r="B2847" s="3">
        <v>45308</v>
      </c>
      <c r="C2847" t="s">
        <v>114</v>
      </c>
      <c r="D2847" t="s">
        <v>72</v>
      </c>
      <c r="E2847" t="s">
        <v>17</v>
      </c>
      <c r="F2847" t="str">
        <f t="shared" si="44"/>
        <v>West</v>
      </c>
      <c r="G2847" t="s">
        <v>27</v>
      </c>
      <c r="H2847" t="s">
        <v>36</v>
      </c>
      <c r="I2847">
        <v>20</v>
      </c>
    </row>
    <row r="2848" spans="1:9" ht="21.75" customHeight="1">
      <c r="A2848" t="s">
        <v>2998</v>
      </c>
      <c r="B2848" s="3">
        <v>45373</v>
      </c>
      <c r="C2848" t="s">
        <v>363</v>
      </c>
      <c r="D2848" t="s">
        <v>84</v>
      </c>
      <c r="E2848" t="s">
        <v>17</v>
      </c>
      <c r="F2848" t="str">
        <f t="shared" si="44"/>
        <v>North</v>
      </c>
      <c r="G2848" t="s">
        <v>12</v>
      </c>
      <c r="H2848" t="s">
        <v>28</v>
      </c>
      <c r="I2848">
        <v>20</v>
      </c>
    </row>
    <row r="2849" spans="1:9" ht="21.75" customHeight="1">
      <c r="A2849" t="s">
        <v>2999</v>
      </c>
      <c r="B2849" s="3">
        <v>45303</v>
      </c>
      <c r="C2849" t="s">
        <v>363</v>
      </c>
      <c r="D2849" t="s">
        <v>160</v>
      </c>
      <c r="E2849" t="s">
        <v>11</v>
      </c>
      <c r="F2849" t="str">
        <f t="shared" si="44"/>
        <v>South</v>
      </c>
      <c r="G2849" t="s">
        <v>56</v>
      </c>
      <c r="H2849" t="s">
        <v>32</v>
      </c>
      <c r="I2849">
        <v>4</v>
      </c>
    </row>
    <row r="2850" spans="1:9" ht="21.75" customHeight="1">
      <c r="A2850" t="s">
        <v>3000</v>
      </c>
      <c r="B2850" s="3">
        <v>45307</v>
      </c>
      <c r="C2850" t="s">
        <v>187</v>
      </c>
      <c r="D2850" t="s">
        <v>16</v>
      </c>
      <c r="E2850" t="s">
        <v>11</v>
      </c>
      <c r="F2850" t="str">
        <f t="shared" si="44"/>
        <v>North</v>
      </c>
      <c r="G2850" t="s">
        <v>12</v>
      </c>
      <c r="H2850" t="s">
        <v>28</v>
      </c>
      <c r="I2850">
        <v>9</v>
      </c>
    </row>
    <row r="2851" spans="1:9" ht="21.75" customHeight="1">
      <c r="A2851" t="s">
        <v>3001</v>
      </c>
      <c r="B2851" s="3">
        <v>45394</v>
      </c>
      <c r="C2851" t="s">
        <v>203</v>
      </c>
      <c r="D2851" t="s">
        <v>48</v>
      </c>
      <c r="E2851" t="s">
        <v>22</v>
      </c>
      <c r="F2851" t="str">
        <f t="shared" si="44"/>
        <v>Central</v>
      </c>
      <c r="G2851" t="s">
        <v>306</v>
      </c>
      <c r="H2851" t="s">
        <v>32</v>
      </c>
      <c r="I2851">
        <v>15</v>
      </c>
    </row>
    <row r="2852" spans="1:9" ht="21.75" customHeight="1">
      <c r="A2852" t="s">
        <v>3002</v>
      </c>
      <c r="B2852" s="3">
        <v>45545</v>
      </c>
      <c r="C2852" t="s">
        <v>348</v>
      </c>
      <c r="D2852" t="s">
        <v>160</v>
      </c>
      <c r="E2852" t="s">
        <v>17</v>
      </c>
      <c r="F2852" t="str">
        <f t="shared" si="44"/>
        <v>South</v>
      </c>
      <c r="G2852" t="s">
        <v>56</v>
      </c>
      <c r="H2852" t="s">
        <v>32</v>
      </c>
      <c r="I2852">
        <v>6</v>
      </c>
    </row>
    <row r="2853" spans="1:9" ht="21.75" customHeight="1">
      <c r="A2853" t="s">
        <v>3003</v>
      </c>
      <c r="B2853" s="3">
        <v>45435</v>
      </c>
      <c r="C2853" t="s">
        <v>106</v>
      </c>
      <c r="D2853" t="s">
        <v>102</v>
      </c>
      <c r="E2853" t="s">
        <v>22</v>
      </c>
      <c r="F2853" t="str">
        <f t="shared" si="44"/>
        <v>Central</v>
      </c>
      <c r="G2853" t="s">
        <v>306</v>
      </c>
      <c r="H2853" t="s">
        <v>32</v>
      </c>
      <c r="I2853">
        <v>6</v>
      </c>
    </row>
    <row r="2854" spans="1:9" ht="21.75" customHeight="1">
      <c r="A2854" t="s">
        <v>3004</v>
      </c>
      <c r="B2854" s="3">
        <v>45541</v>
      </c>
      <c r="C2854" t="s">
        <v>348</v>
      </c>
      <c r="D2854" t="s">
        <v>70</v>
      </c>
      <c r="E2854" t="s">
        <v>17</v>
      </c>
      <c r="F2854" t="str">
        <f t="shared" si="44"/>
        <v>Central</v>
      </c>
      <c r="G2854" t="s">
        <v>306</v>
      </c>
      <c r="H2854" t="s">
        <v>32</v>
      </c>
      <c r="I2854">
        <v>11</v>
      </c>
    </row>
    <row r="2855" spans="1:9" ht="21.75" customHeight="1">
      <c r="A2855" t="s">
        <v>3005</v>
      </c>
      <c r="B2855" s="3">
        <v>45602</v>
      </c>
      <c r="C2855" t="s">
        <v>53</v>
      </c>
      <c r="D2855" t="s">
        <v>87</v>
      </c>
      <c r="E2855" t="s">
        <v>11</v>
      </c>
      <c r="F2855" t="str">
        <f t="shared" si="44"/>
        <v>Central</v>
      </c>
      <c r="G2855" t="s">
        <v>306</v>
      </c>
      <c r="H2855" t="s">
        <v>32</v>
      </c>
      <c r="I2855">
        <v>12</v>
      </c>
    </row>
    <row r="2856" spans="1:9" ht="21.75" customHeight="1">
      <c r="A2856" t="s">
        <v>3006</v>
      </c>
      <c r="B2856" s="3">
        <v>45324</v>
      </c>
      <c r="C2856" t="s">
        <v>430</v>
      </c>
      <c r="D2856" t="s">
        <v>45</v>
      </c>
      <c r="E2856" t="s">
        <v>11</v>
      </c>
      <c r="F2856" t="str">
        <f t="shared" si="44"/>
        <v>Central</v>
      </c>
      <c r="G2856" t="s">
        <v>306</v>
      </c>
      <c r="H2856" t="s">
        <v>32</v>
      </c>
      <c r="I2856">
        <v>19</v>
      </c>
    </row>
    <row r="2857" spans="1:9" ht="21.75" customHeight="1">
      <c r="A2857" t="s">
        <v>3007</v>
      </c>
      <c r="B2857" s="3">
        <v>45601</v>
      </c>
      <c r="C2857" t="s">
        <v>736</v>
      </c>
      <c r="D2857" t="s">
        <v>160</v>
      </c>
      <c r="E2857" t="s">
        <v>17</v>
      </c>
      <c r="F2857" t="str">
        <f t="shared" si="44"/>
        <v>West</v>
      </c>
      <c r="G2857" t="s">
        <v>27</v>
      </c>
      <c r="H2857" t="s">
        <v>13</v>
      </c>
      <c r="I2857">
        <v>4</v>
      </c>
    </row>
    <row r="2858" spans="1:9" ht="21.75" customHeight="1">
      <c r="A2858" t="s">
        <v>3008</v>
      </c>
      <c r="B2858" s="3">
        <v>45457</v>
      </c>
      <c r="C2858" t="s">
        <v>309</v>
      </c>
      <c r="D2858" t="s">
        <v>45</v>
      </c>
      <c r="E2858" t="s">
        <v>17</v>
      </c>
      <c r="F2858" t="str">
        <f t="shared" si="44"/>
        <v>South</v>
      </c>
      <c r="G2858" t="s">
        <v>56</v>
      </c>
      <c r="H2858" t="s">
        <v>13</v>
      </c>
      <c r="I2858">
        <v>7</v>
      </c>
    </row>
    <row r="2859" spans="1:9" ht="21.75" customHeight="1">
      <c r="A2859" t="s">
        <v>3009</v>
      </c>
      <c r="B2859" s="3">
        <v>45482</v>
      </c>
      <c r="C2859" t="s">
        <v>167</v>
      </c>
      <c r="D2859" t="s">
        <v>119</v>
      </c>
      <c r="E2859" t="s">
        <v>17</v>
      </c>
      <c r="F2859" t="str">
        <f t="shared" si="44"/>
        <v>North</v>
      </c>
      <c r="G2859" t="s">
        <v>12</v>
      </c>
      <c r="H2859" t="s">
        <v>13</v>
      </c>
      <c r="I2859">
        <v>11</v>
      </c>
    </row>
    <row r="2860" spans="1:9" ht="21.75" customHeight="1">
      <c r="A2860" t="s">
        <v>3010</v>
      </c>
      <c r="B2860" s="3">
        <v>45460</v>
      </c>
      <c r="C2860" t="s">
        <v>133</v>
      </c>
      <c r="D2860" t="s">
        <v>70</v>
      </c>
      <c r="E2860" t="s">
        <v>22</v>
      </c>
      <c r="F2860" t="str">
        <f t="shared" si="44"/>
        <v>East</v>
      </c>
      <c r="G2860" t="s">
        <v>42</v>
      </c>
      <c r="H2860" t="s">
        <v>28</v>
      </c>
      <c r="I2860">
        <v>18</v>
      </c>
    </row>
    <row r="2861" spans="1:9" ht="21.75" customHeight="1">
      <c r="A2861" t="s">
        <v>3011</v>
      </c>
      <c r="B2861" s="3">
        <v>45437</v>
      </c>
      <c r="C2861" t="s">
        <v>493</v>
      </c>
      <c r="D2861" t="s">
        <v>65</v>
      </c>
      <c r="E2861" t="s">
        <v>22</v>
      </c>
      <c r="F2861" t="str">
        <f t="shared" si="44"/>
        <v>South</v>
      </c>
      <c r="G2861" t="s">
        <v>56</v>
      </c>
      <c r="H2861" t="s">
        <v>13</v>
      </c>
      <c r="I2861">
        <v>18</v>
      </c>
    </row>
    <row r="2862" spans="1:9" ht="21.75" customHeight="1">
      <c r="A2862" t="s">
        <v>3012</v>
      </c>
      <c r="B2862" s="3">
        <v>45603</v>
      </c>
      <c r="C2862" t="s">
        <v>317</v>
      </c>
      <c r="D2862" t="s">
        <v>10</v>
      </c>
      <c r="E2862" t="s">
        <v>22</v>
      </c>
      <c r="F2862" t="str">
        <f t="shared" si="44"/>
        <v>West</v>
      </c>
      <c r="G2862" t="s">
        <v>27</v>
      </c>
      <c r="H2862" t="s">
        <v>23</v>
      </c>
      <c r="I2862">
        <v>11</v>
      </c>
    </row>
    <row r="2863" spans="1:9" ht="21.75" customHeight="1">
      <c r="A2863" t="s">
        <v>3013</v>
      </c>
      <c r="B2863" s="3">
        <v>45393</v>
      </c>
      <c r="C2863" t="s">
        <v>104</v>
      </c>
      <c r="D2863" t="s">
        <v>79</v>
      </c>
      <c r="E2863" t="s">
        <v>17</v>
      </c>
      <c r="F2863" t="str">
        <f t="shared" si="44"/>
        <v>West</v>
      </c>
      <c r="G2863" t="s">
        <v>27</v>
      </c>
      <c r="H2863" t="s">
        <v>13</v>
      </c>
      <c r="I2863">
        <v>9</v>
      </c>
    </row>
    <row r="2864" spans="1:9" ht="21.75" customHeight="1">
      <c r="A2864" t="s">
        <v>3014</v>
      </c>
      <c r="B2864" s="3">
        <v>45355</v>
      </c>
      <c r="C2864" t="s">
        <v>430</v>
      </c>
      <c r="D2864" t="s">
        <v>45</v>
      </c>
      <c r="E2864" t="s">
        <v>22</v>
      </c>
      <c r="F2864" t="str">
        <f t="shared" si="44"/>
        <v>East</v>
      </c>
      <c r="G2864" t="s">
        <v>42</v>
      </c>
      <c r="H2864" t="s">
        <v>36</v>
      </c>
      <c r="I2864">
        <v>13</v>
      </c>
    </row>
    <row r="2865" spans="1:9" ht="21.75" customHeight="1">
      <c r="A2865" t="s">
        <v>3015</v>
      </c>
      <c r="B2865" s="3">
        <v>45302</v>
      </c>
      <c r="C2865" t="s">
        <v>55</v>
      </c>
      <c r="D2865" t="s">
        <v>96</v>
      </c>
      <c r="E2865" t="s">
        <v>22</v>
      </c>
      <c r="F2865" t="str">
        <f t="shared" si="44"/>
        <v>Central</v>
      </c>
      <c r="G2865" t="s">
        <v>306</v>
      </c>
      <c r="H2865" t="s">
        <v>13</v>
      </c>
      <c r="I2865">
        <v>15</v>
      </c>
    </row>
    <row r="2866" spans="1:9" ht="21.75" customHeight="1">
      <c r="A2866" t="s">
        <v>3016</v>
      </c>
      <c r="B2866" s="3">
        <v>45498</v>
      </c>
      <c r="C2866" t="s">
        <v>122</v>
      </c>
      <c r="D2866" t="s">
        <v>174</v>
      </c>
      <c r="E2866" t="s">
        <v>22</v>
      </c>
      <c r="F2866" t="str">
        <f t="shared" si="44"/>
        <v>North</v>
      </c>
      <c r="G2866" t="s">
        <v>12</v>
      </c>
      <c r="H2866" t="s">
        <v>32</v>
      </c>
      <c r="I2866">
        <v>1</v>
      </c>
    </row>
    <row r="2867" spans="1:9" ht="21.75" customHeight="1">
      <c r="A2867" t="s">
        <v>3017</v>
      </c>
      <c r="B2867" s="3">
        <v>45340</v>
      </c>
      <c r="C2867" t="s">
        <v>572</v>
      </c>
      <c r="D2867" t="s">
        <v>84</v>
      </c>
      <c r="E2867" t="s">
        <v>17</v>
      </c>
      <c r="F2867" t="str">
        <f t="shared" si="44"/>
        <v>East</v>
      </c>
      <c r="G2867" t="s">
        <v>42</v>
      </c>
      <c r="H2867" t="s">
        <v>32</v>
      </c>
      <c r="I2867">
        <v>12</v>
      </c>
    </row>
    <row r="2868" spans="1:9" ht="21.75" customHeight="1">
      <c r="A2868" t="s">
        <v>3018</v>
      </c>
      <c r="B2868" s="3">
        <v>45576</v>
      </c>
      <c r="C2868" t="s">
        <v>420</v>
      </c>
      <c r="D2868" t="s">
        <v>72</v>
      </c>
      <c r="E2868" t="s">
        <v>17</v>
      </c>
      <c r="F2868" t="str">
        <f t="shared" si="44"/>
        <v>Central</v>
      </c>
      <c r="G2868" t="s">
        <v>306</v>
      </c>
      <c r="H2868" t="s">
        <v>13</v>
      </c>
      <c r="I2868">
        <v>13</v>
      </c>
    </row>
    <row r="2869" spans="1:9" ht="21.75" customHeight="1">
      <c r="A2869" t="s">
        <v>3019</v>
      </c>
      <c r="B2869" s="3">
        <v>45524</v>
      </c>
      <c r="C2869" t="s">
        <v>432</v>
      </c>
      <c r="D2869" t="s">
        <v>21</v>
      </c>
      <c r="E2869" t="s">
        <v>11</v>
      </c>
      <c r="F2869" t="str">
        <f t="shared" si="44"/>
        <v>East</v>
      </c>
      <c r="G2869" t="s">
        <v>42</v>
      </c>
      <c r="H2869" t="s">
        <v>36</v>
      </c>
      <c r="I2869">
        <v>4</v>
      </c>
    </row>
    <row r="2870" spans="1:9" ht="21.75" customHeight="1">
      <c r="A2870" t="s">
        <v>3020</v>
      </c>
      <c r="B2870" s="3">
        <v>45316</v>
      </c>
      <c r="C2870" t="s">
        <v>142</v>
      </c>
      <c r="D2870" t="s">
        <v>16</v>
      </c>
      <c r="E2870" t="s">
        <v>11</v>
      </c>
      <c r="F2870" t="str">
        <f t="shared" si="44"/>
        <v>East</v>
      </c>
      <c r="G2870" t="s">
        <v>42</v>
      </c>
      <c r="H2870" t="s">
        <v>23</v>
      </c>
      <c r="I2870">
        <v>8</v>
      </c>
    </row>
    <row r="2871" spans="1:9" ht="21.75" customHeight="1">
      <c r="A2871" t="s">
        <v>3021</v>
      </c>
      <c r="B2871" s="3">
        <v>45389</v>
      </c>
      <c r="C2871" t="s">
        <v>329</v>
      </c>
      <c r="D2871" t="s">
        <v>48</v>
      </c>
      <c r="E2871" t="s">
        <v>22</v>
      </c>
      <c r="F2871" t="str">
        <f t="shared" si="44"/>
        <v>North</v>
      </c>
      <c r="G2871" t="s">
        <v>12</v>
      </c>
      <c r="H2871" t="s">
        <v>13</v>
      </c>
      <c r="I2871">
        <v>9</v>
      </c>
    </row>
    <row r="2872" spans="1:9" ht="21.75" customHeight="1">
      <c r="A2872" t="s">
        <v>3022</v>
      </c>
      <c r="B2872" s="3">
        <v>45314</v>
      </c>
      <c r="C2872" t="s">
        <v>40</v>
      </c>
      <c r="D2872" t="s">
        <v>79</v>
      </c>
      <c r="E2872" t="s">
        <v>17</v>
      </c>
      <c r="F2872" t="str">
        <f t="shared" si="44"/>
        <v>North</v>
      </c>
      <c r="G2872" t="s">
        <v>12</v>
      </c>
      <c r="H2872" t="s">
        <v>32</v>
      </c>
      <c r="I2872">
        <v>11</v>
      </c>
    </row>
    <row r="2873" spans="1:9" ht="21.75" customHeight="1">
      <c r="A2873" t="s">
        <v>3023</v>
      </c>
      <c r="B2873" s="3">
        <v>45486</v>
      </c>
      <c r="C2873" t="s">
        <v>101</v>
      </c>
      <c r="D2873" t="s">
        <v>62</v>
      </c>
      <c r="E2873" t="s">
        <v>11</v>
      </c>
      <c r="F2873" t="str">
        <f t="shared" si="44"/>
        <v>South</v>
      </c>
      <c r="G2873" t="s">
        <v>56</v>
      </c>
      <c r="H2873" t="s">
        <v>36</v>
      </c>
      <c r="I2873">
        <v>15</v>
      </c>
    </row>
    <row r="2874" spans="1:9" ht="21.75" customHeight="1">
      <c r="A2874" t="s">
        <v>3024</v>
      </c>
      <c r="B2874" s="3">
        <v>45455</v>
      </c>
      <c r="C2874" t="s">
        <v>167</v>
      </c>
      <c r="D2874" t="s">
        <v>119</v>
      </c>
      <c r="E2874" t="s">
        <v>22</v>
      </c>
      <c r="F2874" t="str">
        <f t="shared" si="44"/>
        <v>West</v>
      </c>
      <c r="G2874" t="s">
        <v>27</v>
      </c>
      <c r="H2874" t="s">
        <v>23</v>
      </c>
      <c r="I2874">
        <v>4</v>
      </c>
    </row>
    <row r="2875" spans="1:9" ht="21.75" customHeight="1">
      <c r="A2875" t="s">
        <v>3025</v>
      </c>
      <c r="B2875" s="3">
        <v>45415</v>
      </c>
      <c r="C2875" t="s">
        <v>314</v>
      </c>
      <c r="D2875" t="s">
        <v>35</v>
      </c>
      <c r="E2875" t="s">
        <v>22</v>
      </c>
      <c r="F2875" t="str">
        <f t="shared" si="44"/>
        <v>West</v>
      </c>
      <c r="G2875" t="s">
        <v>27</v>
      </c>
      <c r="H2875" t="s">
        <v>32</v>
      </c>
      <c r="I2875">
        <v>11</v>
      </c>
    </row>
    <row r="2876" spans="1:9" ht="21.75" customHeight="1">
      <c r="A2876" t="s">
        <v>3026</v>
      </c>
      <c r="B2876" s="3">
        <v>45539</v>
      </c>
      <c r="C2876" t="s">
        <v>240</v>
      </c>
      <c r="D2876" t="s">
        <v>10</v>
      </c>
      <c r="E2876" t="s">
        <v>17</v>
      </c>
      <c r="F2876" t="str">
        <f t="shared" si="44"/>
        <v>East</v>
      </c>
      <c r="G2876" t="s">
        <v>42</v>
      </c>
      <c r="H2876" t="s">
        <v>13</v>
      </c>
      <c r="I2876">
        <v>12</v>
      </c>
    </row>
    <row r="2877" spans="1:9" ht="21.75" customHeight="1">
      <c r="A2877" t="s">
        <v>3027</v>
      </c>
      <c r="B2877" s="3">
        <v>45416</v>
      </c>
      <c r="C2877" t="s">
        <v>371</v>
      </c>
      <c r="D2877" t="s">
        <v>21</v>
      </c>
      <c r="E2877" t="s">
        <v>22</v>
      </c>
      <c r="F2877" t="str">
        <f t="shared" si="44"/>
        <v>South</v>
      </c>
      <c r="G2877" t="s">
        <v>56</v>
      </c>
      <c r="H2877" t="s">
        <v>13</v>
      </c>
      <c r="I2877">
        <v>3</v>
      </c>
    </row>
    <row r="2878" spans="1:9" ht="21.75" customHeight="1">
      <c r="A2878" t="s">
        <v>3028</v>
      </c>
      <c r="B2878" s="3">
        <v>45322</v>
      </c>
      <c r="C2878" t="s">
        <v>133</v>
      </c>
      <c r="D2878" t="s">
        <v>96</v>
      </c>
      <c r="E2878" t="s">
        <v>22</v>
      </c>
      <c r="F2878" t="str">
        <f t="shared" si="44"/>
        <v>South</v>
      </c>
      <c r="G2878" t="s">
        <v>56</v>
      </c>
      <c r="H2878" t="s">
        <v>23</v>
      </c>
      <c r="I2878">
        <v>13</v>
      </c>
    </row>
    <row r="2879" spans="1:9" ht="21.75" customHeight="1">
      <c r="A2879" t="s">
        <v>3029</v>
      </c>
      <c r="B2879" s="3">
        <v>45345</v>
      </c>
      <c r="C2879" t="s">
        <v>47</v>
      </c>
      <c r="D2879" t="s">
        <v>65</v>
      </c>
      <c r="E2879" t="s">
        <v>22</v>
      </c>
      <c r="F2879" t="str">
        <f t="shared" si="44"/>
        <v>Central</v>
      </c>
      <c r="G2879" t="s">
        <v>306</v>
      </c>
      <c r="H2879" t="s">
        <v>36</v>
      </c>
      <c r="I2879">
        <v>11</v>
      </c>
    </row>
    <row r="2880" spans="1:9" ht="21.75" customHeight="1">
      <c r="A2880" t="s">
        <v>3030</v>
      </c>
      <c r="B2880" s="3">
        <v>45451</v>
      </c>
      <c r="C2880" t="s">
        <v>369</v>
      </c>
      <c r="D2880" t="s">
        <v>70</v>
      </c>
      <c r="E2880" t="s">
        <v>22</v>
      </c>
      <c r="F2880" t="str">
        <f t="shared" si="44"/>
        <v>South</v>
      </c>
      <c r="G2880" t="s">
        <v>56</v>
      </c>
      <c r="H2880" t="s">
        <v>36</v>
      </c>
      <c r="I2880">
        <v>4</v>
      </c>
    </row>
    <row r="2881" spans="1:9" ht="21.75" customHeight="1">
      <c r="A2881" t="s">
        <v>3031</v>
      </c>
      <c r="B2881" s="3">
        <v>45404</v>
      </c>
      <c r="C2881" t="s">
        <v>83</v>
      </c>
      <c r="D2881" t="s">
        <v>31</v>
      </c>
      <c r="E2881" t="s">
        <v>17</v>
      </c>
      <c r="F2881" t="str">
        <f t="shared" si="44"/>
        <v>Central</v>
      </c>
      <c r="G2881" t="s">
        <v>306</v>
      </c>
      <c r="H2881" t="s">
        <v>36</v>
      </c>
      <c r="I2881">
        <v>7</v>
      </c>
    </row>
    <row r="2882" spans="1:9" ht="21.75" customHeight="1">
      <c r="A2882" t="s">
        <v>3032</v>
      </c>
      <c r="B2882" s="3">
        <v>45388</v>
      </c>
      <c r="C2882" t="s">
        <v>58</v>
      </c>
      <c r="D2882" t="s">
        <v>26</v>
      </c>
      <c r="E2882" t="s">
        <v>17</v>
      </c>
      <c r="F2882" t="str">
        <f t="shared" si="44"/>
        <v>South</v>
      </c>
      <c r="G2882" t="s">
        <v>56</v>
      </c>
      <c r="H2882" t="s">
        <v>32</v>
      </c>
      <c r="I2882">
        <v>19</v>
      </c>
    </row>
    <row r="2883" spans="1:9" ht="21.75" customHeight="1">
      <c r="A2883" t="s">
        <v>3033</v>
      </c>
      <c r="B2883" s="3">
        <v>45367</v>
      </c>
      <c r="C2883" t="s">
        <v>319</v>
      </c>
      <c r="D2883" t="s">
        <v>102</v>
      </c>
      <c r="E2883" t="s">
        <v>22</v>
      </c>
      <c r="F2883" t="str">
        <f t="shared" ref="F2883:F2946" si="45">TRIM(PROPER(G2883))</f>
        <v>North</v>
      </c>
      <c r="G2883" t="s">
        <v>12</v>
      </c>
      <c r="H2883" t="s">
        <v>28</v>
      </c>
      <c r="I2883">
        <v>1</v>
      </c>
    </row>
    <row r="2884" spans="1:9" ht="21.75" customHeight="1">
      <c r="A2884" t="s">
        <v>3034</v>
      </c>
      <c r="B2884" s="3">
        <v>45387</v>
      </c>
      <c r="C2884" t="s">
        <v>101</v>
      </c>
      <c r="D2884" t="s">
        <v>96</v>
      </c>
      <c r="E2884" t="s">
        <v>17</v>
      </c>
      <c r="F2884" t="str">
        <f t="shared" si="45"/>
        <v>Central</v>
      </c>
      <c r="G2884" t="s">
        <v>306</v>
      </c>
      <c r="H2884" t="s">
        <v>23</v>
      </c>
      <c r="I2884">
        <v>12</v>
      </c>
    </row>
    <row r="2885" spans="1:9" ht="21.75" customHeight="1">
      <c r="A2885" t="s">
        <v>3035</v>
      </c>
      <c r="B2885" s="3">
        <v>45573</v>
      </c>
      <c r="C2885" t="s">
        <v>81</v>
      </c>
      <c r="D2885" t="s">
        <v>48</v>
      </c>
      <c r="E2885" t="s">
        <v>17</v>
      </c>
      <c r="F2885" t="str">
        <f t="shared" si="45"/>
        <v>South</v>
      </c>
      <c r="G2885" t="s">
        <v>56</v>
      </c>
      <c r="H2885" t="s">
        <v>28</v>
      </c>
      <c r="I2885">
        <v>13</v>
      </c>
    </row>
    <row r="2886" spans="1:9" ht="21.75" customHeight="1">
      <c r="A2886" t="s">
        <v>3036</v>
      </c>
      <c r="B2886" s="3">
        <v>45552</v>
      </c>
      <c r="C2886" t="s">
        <v>118</v>
      </c>
      <c r="D2886" t="s">
        <v>79</v>
      </c>
      <c r="E2886" t="s">
        <v>17</v>
      </c>
      <c r="F2886" t="str">
        <f t="shared" si="45"/>
        <v>East</v>
      </c>
      <c r="G2886" t="s">
        <v>42</v>
      </c>
      <c r="H2886" t="s">
        <v>32</v>
      </c>
      <c r="I2886">
        <v>4</v>
      </c>
    </row>
    <row r="2887" spans="1:9" ht="21.75" customHeight="1">
      <c r="A2887" t="s">
        <v>3037</v>
      </c>
      <c r="B2887" s="3">
        <v>45487</v>
      </c>
      <c r="C2887" t="s">
        <v>388</v>
      </c>
      <c r="D2887" t="s">
        <v>87</v>
      </c>
      <c r="E2887" t="s">
        <v>11</v>
      </c>
      <c r="F2887" t="str">
        <f t="shared" si="45"/>
        <v>East</v>
      </c>
      <c r="G2887" t="s">
        <v>42</v>
      </c>
      <c r="H2887" t="s">
        <v>28</v>
      </c>
      <c r="I2887">
        <v>13</v>
      </c>
    </row>
    <row r="2888" spans="1:9" ht="21.75" customHeight="1">
      <c r="A2888" t="s">
        <v>3038</v>
      </c>
      <c r="B2888" s="3">
        <v>45433</v>
      </c>
      <c r="C2888" t="s">
        <v>339</v>
      </c>
      <c r="D2888" t="s">
        <v>109</v>
      </c>
      <c r="E2888" t="s">
        <v>17</v>
      </c>
      <c r="F2888" t="str">
        <f t="shared" si="45"/>
        <v>Central</v>
      </c>
      <c r="G2888" t="s">
        <v>306</v>
      </c>
      <c r="H2888" t="s">
        <v>23</v>
      </c>
      <c r="I2888">
        <v>4</v>
      </c>
    </row>
    <row r="2889" spans="1:9" ht="21.75" customHeight="1">
      <c r="A2889" t="s">
        <v>3039</v>
      </c>
      <c r="B2889" s="3">
        <v>45622</v>
      </c>
      <c r="C2889" t="s">
        <v>78</v>
      </c>
      <c r="D2889" t="s">
        <v>102</v>
      </c>
      <c r="E2889" t="s">
        <v>11</v>
      </c>
      <c r="F2889" t="str">
        <f t="shared" si="45"/>
        <v>North</v>
      </c>
      <c r="G2889" t="s">
        <v>12</v>
      </c>
      <c r="H2889" t="s">
        <v>13</v>
      </c>
      <c r="I2889">
        <v>2</v>
      </c>
    </row>
    <row r="2890" spans="1:9" ht="21.75" customHeight="1">
      <c r="A2890" t="s">
        <v>3040</v>
      </c>
      <c r="B2890" s="3">
        <v>45414</v>
      </c>
      <c r="C2890" t="s">
        <v>58</v>
      </c>
      <c r="D2890" t="s">
        <v>174</v>
      </c>
      <c r="E2890" t="s">
        <v>11</v>
      </c>
      <c r="F2890" t="str">
        <f t="shared" si="45"/>
        <v>East</v>
      </c>
      <c r="G2890" t="s">
        <v>42</v>
      </c>
      <c r="H2890" t="s">
        <v>28</v>
      </c>
      <c r="I2890">
        <v>20</v>
      </c>
    </row>
    <row r="2891" spans="1:9" ht="21.75" customHeight="1">
      <c r="A2891" t="s">
        <v>3041</v>
      </c>
      <c r="B2891" s="3">
        <v>45499</v>
      </c>
      <c r="C2891" t="s">
        <v>106</v>
      </c>
      <c r="D2891" t="s">
        <v>31</v>
      </c>
      <c r="E2891" t="s">
        <v>11</v>
      </c>
      <c r="F2891" t="str">
        <f t="shared" si="45"/>
        <v>South</v>
      </c>
      <c r="G2891" t="s">
        <v>56</v>
      </c>
      <c r="H2891" t="s">
        <v>32</v>
      </c>
      <c r="I2891">
        <v>16</v>
      </c>
    </row>
    <row r="2892" spans="1:9" ht="21.75" customHeight="1">
      <c r="A2892" t="s">
        <v>3042</v>
      </c>
      <c r="B2892" s="3">
        <v>45396</v>
      </c>
      <c r="C2892" t="s">
        <v>20</v>
      </c>
      <c r="D2892" t="s">
        <v>21</v>
      </c>
      <c r="E2892" t="s">
        <v>17</v>
      </c>
      <c r="F2892" t="str">
        <f t="shared" si="45"/>
        <v>Central</v>
      </c>
      <c r="G2892" t="s">
        <v>306</v>
      </c>
      <c r="H2892" t="s">
        <v>32</v>
      </c>
      <c r="I2892">
        <v>1</v>
      </c>
    </row>
    <row r="2893" spans="1:9" ht="21.75" customHeight="1">
      <c r="A2893" t="s">
        <v>3043</v>
      </c>
      <c r="B2893" s="3">
        <v>45549</v>
      </c>
      <c r="C2893" t="s">
        <v>424</v>
      </c>
      <c r="D2893" t="s">
        <v>109</v>
      </c>
      <c r="E2893" t="s">
        <v>17</v>
      </c>
      <c r="F2893" t="str">
        <f t="shared" si="45"/>
        <v>East</v>
      </c>
      <c r="G2893" t="s">
        <v>42</v>
      </c>
      <c r="H2893" t="s">
        <v>28</v>
      </c>
      <c r="I2893">
        <v>6</v>
      </c>
    </row>
    <row r="2894" spans="1:9" ht="21.75" customHeight="1">
      <c r="A2894" t="s">
        <v>3044</v>
      </c>
      <c r="B2894" s="3">
        <v>45327</v>
      </c>
      <c r="C2894" t="s">
        <v>30</v>
      </c>
      <c r="D2894" t="s">
        <v>45</v>
      </c>
      <c r="E2894" t="s">
        <v>17</v>
      </c>
      <c r="F2894" t="str">
        <f t="shared" si="45"/>
        <v>West</v>
      </c>
      <c r="G2894" t="s">
        <v>27</v>
      </c>
      <c r="H2894" t="s">
        <v>28</v>
      </c>
      <c r="I2894">
        <v>1</v>
      </c>
    </row>
    <row r="2895" spans="1:9" ht="21.75" customHeight="1">
      <c r="A2895" t="s">
        <v>3045</v>
      </c>
      <c r="B2895" s="3">
        <v>45511</v>
      </c>
      <c r="C2895" t="s">
        <v>118</v>
      </c>
      <c r="D2895" t="s">
        <v>96</v>
      </c>
      <c r="E2895" t="s">
        <v>11</v>
      </c>
      <c r="F2895" t="str">
        <f t="shared" si="45"/>
        <v>East</v>
      </c>
      <c r="G2895" t="s">
        <v>42</v>
      </c>
      <c r="H2895" t="s">
        <v>13</v>
      </c>
      <c r="I2895">
        <v>6</v>
      </c>
    </row>
    <row r="2896" spans="1:9" ht="21.75" customHeight="1">
      <c r="A2896" t="s">
        <v>3046</v>
      </c>
      <c r="B2896" s="3">
        <v>45296</v>
      </c>
      <c r="C2896" t="s">
        <v>327</v>
      </c>
      <c r="D2896" t="s">
        <v>48</v>
      </c>
      <c r="E2896" t="s">
        <v>17</v>
      </c>
      <c r="F2896" t="str">
        <f t="shared" si="45"/>
        <v>Central</v>
      </c>
      <c r="G2896" t="s">
        <v>306</v>
      </c>
      <c r="H2896" t="s">
        <v>13</v>
      </c>
      <c r="I2896">
        <v>16</v>
      </c>
    </row>
    <row r="2897" spans="1:9" ht="21.75" customHeight="1">
      <c r="A2897" t="s">
        <v>3047</v>
      </c>
      <c r="B2897" s="3">
        <v>45533</v>
      </c>
      <c r="C2897" t="s">
        <v>40</v>
      </c>
      <c r="D2897" t="s">
        <v>79</v>
      </c>
      <c r="E2897" t="s">
        <v>11</v>
      </c>
      <c r="F2897" t="str">
        <f t="shared" si="45"/>
        <v>Central</v>
      </c>
      <c r="G2897" t="s">
        <v>306</v>
      </c>
      <c r="H2897" t="s">
        <v>32</v>
      </c>
      <c r="I2897">
        <v>8</v>
      </c>
    </row>
    <row r="2898" spans="1:9" ht="21.75" customHeight="1">
      <c r="A2898" t="s">
        <v>3048</v>
      </c>
      <c r="B2898" s="3">
        <v>45377</v>
      </c>
      <c r="C2898" t="s">
        <v>664</v>
      </c>
      <c r="D2898" t="s">
        <v>16</v>
      </c>
      <c r="E2898" t="s">
        <v>11</v>
      </c>
      <c r="F2898" t="str">
        <f t="shared" si="45"/>
        <v>North</v>
      </c>
      <c r="G2898" t="s">
        <v>12</v>
      </c>
      <c r="H2898" t="s">
        <v>32</v>
      </c>
      <c r="I2898">
        <v>11</v>
      </c>
    </row>
    <row r="2899" spans="1:9" ht="21.75" customHeight="1">
      <c r="A2899" t="s">
        <v>3049</v>
      </c>
      <c r="B2899" s="3">
        <v>45471</v>
      </c>
      <c r="C2899" t="s">
        <v>591</v>
      </c>
      <c r="D2899" t="s">
        <v>26</v>
      </c>
      <c r="E2899" t="s">
        <v>22</v>
      </c>
      <c r="F2899" t="str">
        <f t="shared" si="45"/>
        <v>West</v>
      </c>
      <c r="G2899" t="s">
        <v>27</v>
      </c>
      <c r="H2899" t="s">
        <v>32</v>
      </c>
      <c r="I2899">
        <v>12</v>
      </c>
    </row>
    <row r="2900" spans="1:9" ht="21.75" customHeight="1">
      <c r="A2900" t="s">
        <v>3050</v>
      </c>
      <c r="B2900" s="3">
        <v>45472</v>
      </c>
      <c r="C2900" t="s">
        <v>68</v>
      </c>
      <c r="D2900" t="s">
        <v>62</v>
      </c>
      <c r="E2900" t="s">
        <v>17</v>
      </c>
      <c r="F2900" t="str">
        <f t="shared" si="45"/>
        <v>Central</v>
      </c>
      <c r="G2900" t="s">
        <v>306</v>
      </c>
      <c r="H2900" t="s">
        <v>36</v>
      </c>
      <c r="I2900">
        <v>16</v>
      </c>
    </row>
    <row r="2901" spans="1:9" ht="21.75" customHeight="1">
      <c r="A2901" t="s">
        <v>3051</v>
      </c>
      <c r="B2901" s="3">
        <v>45643</v>
      </c>
      <c r="C2901" t="s">
        <v>363</v>
      </c>
      <c r="D2901" t="s">
        <v>84</v>
      </c>
      <c r="E2901" t="s">
        <v>22</v>
      </c>
      <c r="F2901" t="str">
        <f t="shared" si="45"/>
        <v>North</v>
      </c>
      <c r="G2901" t="s">
        <v>12</v>
      </c>
      <c r="H2901" t="s">
        <v>28</v>
      </c>
      <c r="I2901">
        <v>14</v>
      </c>
    </row>
    <row r="2902" spans="1:9" ht="21.75" customHeight="1">
      <c r="A2902" t="s">
        <v>3052</v>
      </c>
      <c r="B2902" s="3">
        <v>45629</v>
      </c>
      <c r="C2902" t="s">
        <v>167</v>
      </c>
      <c r="D2902" t="s">
        <v>48</v>
      </c>
      <c r="E2902" t="s">
        <v>17</v>
      </c>
      <c r="F2902" t="str">
        <f t="shared" si="45"/>
        <v>North</v>
      </c>
      <c r="G2902" t="s">
        <v>12</v>
      </c>
      <c r="H2902" t="s">
        <v>28</v>
      </c>
      <c r="I2902">
        <v>19</v>
      </c>
    </row>
    <row r="2903" spans="1:9" ht="21.75" customHeight="1">
      <c r="A2903" t="s">
        <v>3053</v>
      </c>
      <c r="B2903" s="3">
        <v>45512</v>
      </c>
      <c r="C2903" t="s">
        <v>83</v>
      </c>
      <c r="D2903" t="s">
        <v>65</v>
      </c>
      <c r="E2903" t="s">
        <v>22</v>
      </c>
      <c r="F2903" t="str">
        <f t="shared" si="45"/>
        <v>North</v>
      </c>
      <c r="G2903" t="s">
        <v>12</v>
      </c>
      <c r="H2903" t="s">
        <v>28</v>
      </c>
      <c r="I2903">
        <v>13</v>
      </c>
    </row>
    <row r="2904" spans="1:9" ht="21.75" customHeight="1">
      <c r="A2904" t="s">
        <v>3054</v>
      </c>
      <c r="B2904" s="3">
        <v>45432</v>
      </c>
      <c r="C2904" t="s">
        <v>451</v>
      </c>
      <c r="D2904" t="s">
        <v>41</v>
      </c>
      <c r="E2904" t="s">
        <v>22</v>
      </c>
      <c r="F2904" t="str">
        <f t="shared" si="45"/>
        <v>West</v>
      </c>
      <c r="G2904" t="s">
        <v>27</v>
      </c>
      <c r="H2904" t="s">
        <v>36</v>
      </c>
      <c r="I2904">
        <v>6</v>
      </c>
    </row>
    <row r="2905" spans="1:9" ht="21.75" customHeight="1">
      <c r="A2905" t="s">
        <v>3055</v>
      </c>
      <c r="B2905" s="3">
        <v>45639</v>
      </c>
      <c r="C2905" t="s">
        <v>20</v>
      </c>
      <c r="D2905" t="s">
        <v>72</v>
      </c>
      <c r="E2905" t="s">
        <v>17</v>
      </c>
      <c r="F2905" t="str">
        <f t="shared" si="45"/>
        <v>Central</v>
      </c>
      <c r="G2905" t="s">
        <v>306</v>
      </c>
      <c r="H2905" t="s">
        <v>23</v>
      </c>
      <c r="I2905">
        <v>9</v>
      </c>
    </row>
    <row r="2906" spans="1:9" ht="21.75" customHeight="1">
      <c r="A2906" t="s">
        <v>3056</v>
      </c>
      <c r="B2906" s="3">
        <v>45313</v>
      </c>
      <c r="C2906" t="s">
        <v>361</v>
      </c>
      <c r="D2906" t="s">
        <v>160</v>
      </c>
      <c r="E2906" t="s">
        <v>22</v>
      </c>
      <c r="F2906" t="str">
        <f t="shared" si="45"/>
        <v>East</v>
      </c>
      <c r="G2906" t="s">
        <v>42</v>
      </c>
      <c r="H2906" t="s">
        <v>36</v>
      </c>
      <c r="I2906">
        <v>4</v>
      </c>
    </row>
    <row r="2907" spans="1:9" ht="21.75" customHeight="1">
      <c r="A2907" t="s">
        <v>3057</v>
      </c>
      <c r="B2907" s="3">
        <v>45524</v>
      </c>
      <c r="C2907" t="s">
        <v>614</v>
      </c>
      <c r="D2907" t="s">
        <v>48</v>
      </c>
      <c r="E2907" t="s">
        <v>17</v>
      </c>
      <c r="F2907" t="str">
        <f t="shared" si="45"/>
        <v>North</v>
      </c>
      <c r="G2907" t="s">
        <v>12</v>
      </c>
      <c r="H2907" t="s">
        <v>13</v>
      </c>
      <c r="I2907">
        <v>16</v>
      </c>
    </row>
    <row r="2908" spans="1:9" ht="21.75" customHeight="1">
      <c r="A2908" t="s">
        <v>3058</v>
      </c>
      <c r="B2908" s="3">
        <v>45367</v>
      </c>
      <c r="C2908" t="s">
        <v>319</v>
      </c>
      <c r="D2908" t="s">
        <v>41</v>
      </c>
      <c r="E2908" t="s">
        <v>11</v>
      </c>
      <c r="F2908" t="str">
        <f t="shared" si="45"/>
        <v>Central</v>
      </c>
      <c r="G2908" t="s">
        <v>306</v>
      </c>
      <c r="H2908" t="s">
        <v>32</v>
      </c>
      <c r="I2908">
        <v>20</v>
      </c>
    </row>
    <row r="2909" spans="1:9" ht="21.75" customHeight="1">
      <c r="A2909" t="s">
        <v>3059</v>
      </c>
      <c r="B2909" s="3">
        <v>45375</v>
      </c>
      <c r="C2909" t="s">
        <v>68</v>
      </c>
      <c r="D2909" t="s">
        <v>35</v>
      </c>
      <c r="E2909" t="s">
        <v>17</v>
      </c>
      <c r="F2909" t="str">
        <f t="shared" si="45"/>
        <v>North</v>
      </c>
      <c r="G2909" t="s">
        <v>12</v>
      </c>
      <c r="H2909" t="s">
        <v>32</v>
      </c>
      <c r="I2909">
        <v>1</v>
      </c>
    </row>
    <row r="2910" spans="1:9" ht="21.75" customHeight="1">
      <c r="A2910" t="s">
        <v>3060</v>
      </c>
      <c r="B2910" s="3">
        <v>45403</v>
      </c>
      <c r="C2910" t="s">
        <v>55</v>
      </c>
      <c r="D2910" t="s">
        <v>59</v>
      </c>
      <c r="E2910" t="s">
        <v>11</v>
      </c>
      <c r="F2910" t="str">
        <f t="shared" si="45"/>
        <v>North</v>
      </c>
      <c r="G2910" t="s">
        <v>12</v>
      </c>
      <c r="H2910" t="s">
        <v>23</v>
      </c>
      <c r="I2910">
        <v>10</v>
      </c>
    </row>
    <row r="2911" spans="1:9" ht="21.75" customHeight="1">
      <c r="A2911" t="s">
        <v>3061</v>
      </c>
      <c r="B2911" s="3">
        <v>45472</v>
      </c>
      <c r="C2911" t="s">
        <v>371</v>
      </c>
      <c r="D2911" t="s">
        <v>96</v>
      </c>
      <c r="E2911" t="s">
        <v>11</v>
      </c>
      <c r="F2911" t="str">
        <f t="shared" si="45"/>
        <v>East</v>
      </c>
      <c r="G2911" t="s">
        <v>42</v>
      </c>
      <c r="H2911" t="s">
        <v>28</v>
      </c>
      <c r="I2911">
        <v>12</v>
      </c>
    </row>
    <row r="2912" spans="1:9" ht="21.75" customHeight="1">
      <c r="A2912" t="s">
        <v>3062</v>
      </c>
      <c r="B2912" s="3">
        <v>45549</v>
      </c>
      <c r="C2912" t="s">
        <v>317</v>
      </c>
      <c r="D2912" t="s">
        <v>119</v>
      </c>
      <c r="E2912" t="s">
        <v>22</v>
      </c>
      <c r="F2912" t="str">
        <f t="shared" si="45"/>
        <v>South</v>
      </c>
      <c r="G2912" t="s">
        <v>56</v>
      </c>
      <c r="H2912" t="s">
        <v>13</v>
      </c>
      <c r="I2912">
        <v>9</v>
      </c>
    </row>
    <row r="2913" spans="1:9" ht="21.75" customHeight="1">
      <c r="A2913" t="s">
        <v>3063</v>
      </c>
      <c r="B2913" s="3">
        <v>45392</v>
      </c>
      <c r="C2913" t="s">
        <v>348</v>
      </c>
      <c r="D2913" t="s">
        <v>59</v>
      </c>
      <c r="E2913" t="s">
        <v>11</v>
      </c>
      <c r="F2913" t="str">
        <f t="shared" si="45"/>
        <v>East</v>
      </c>
      <c r="G2913" t="s">
        <v>42</v>
      </c>
      <c r="H2913" t="s">
        <v>28</v>
      </c>
      <c r="I2913">
        <v>2</v>
      </c>
    </row>
    <row r="2914" spans="1:9" ht="21.75" customHeight="1">
      <c r="A2914" t="s">
        <v>3064</v>
      </c>
      <c r="B2914" s="3">
        <v>45473</v>
      </c>
      <c r="C2914" t="s">
        <v>78</v>
      </c>
      <c r="D2914" t="s">
        <v>41</v>
      </c>
      <c r="E2914" t="s">
        <v>22</v>
      </c>
      <c r="F2914" t="str">
        <f t="shared" si="45"/>
        <v>West</v>
      </c>
      <c r="G2914" t="s">
        <v>27</v>
      </c>
      <c r="H2914" t="s">
        <v>23</v>
      </c>
      <c r="I2914">
        <v>13</v>
      </c>
    </row>
    <row r="2915" spans="1:9" ht="21.75" customHeight="1">
      <c r="A2915" t="s">
        <v>3065</v>
      </c>
      <c r="B2915" s="3">
        <v>45342</v>
      </c>
      <c r="C2915" t="s">
        <v>86</v>
      </c>
      <c r="D2915" t="s">
        <v>74</v>
      </c>
      <c r="E2915" t="s">
        <v>22</v>
      </c>
      <c r="F2915" t="str">
        <f t="shared" si="45"/>
        <v>East</v>
      </c>
      <c r="G2915" t="s">
        <v>42</v>
      </c>
      <c r="H2915" t="s">
        <v>28</v>
      </c>
      <c r="I2915">
        <v>19</v>
      </c>
    </row>
    <row r="2916" spans="1:9" ht="21.75" customHeight="1">
      <c r="A2916" t="s">
        <v>3066</v>
      </c>
      <c r="B2916" s="3">
        <v>45457</v>
      </c>
      <c r="C2916" t="s">
        <v>361</v>
      </c>
      <c r="D2916" t="s">
        <v>16</v>
      </c>
      <c r="E2916" t="s">
        <v>22</v>
      </c>
      <c r="F2916" t="str">
        <f t="shared" si="45"/>
        <v>South</v>
      </c>
      <c r="G2916" t="s">
        <v>56</v>
      </c>
      <c r="H2916" t="s">
        <v>32</v>
      </c>
      <c r="I2916">
        <v>5</v>
      </c>
    </row>
    <row r="2917" spans="1:9" ht="21.75" customHeight="1">
      <c r="A2917" t="s">
        <v>3067</v>
      </c>
      <c r="B2917" s="3">
        <v>45394</v>
      </c>
      <c r="C2917" t="s">
        <v>68</v>
      </c>
      <c r="D2917" t="s">
        <v>74</v>
      </c>
      <c r="E2917" t="s">
        <v>11</v>
      </c>
      <c r="F2917" t="str">
        <f t="shared" si="45"/>
        <v>East</v>
      </c>
      <c r="G2917" t="s">
        <v>42</v>
      </c>
      <c r="H2917" t="s">
        <v>36</v>
      </c>
      <c r="I2917">
        <v>15</v>
      </c>
    </row>
    <row r="2918" spans="1:9" ht="21.75" customHeight="1">
      <c r="A2918" t="s">
        <v>3068</v>
      </c>
      <c r="B2918" s="3">
        <v>45484</v>
      </c>
      <c r="C2918" t="s">
        <v>728</v>
      </c>
      <c r="D2918" t="s">
        <v>87</v>
      </c>
      <c r="E2918" t="s">
        <v>11</v>
      </c>
      <c r="F2918" t="str">
        <f t="shared" si="45"/>
        <v>South</v>
      </c>
      <c r="G2918" t="s">
        <v>56</v>
      </c>
      <c r="H2918" t="s">
        <v>36</v>
      </c>
      <c r="I2918">
        <v>15</v>
      </c>
    </row>
    <row r="2919" spans="1:9" ht="21.75" customHeight="1">
      <c r="A2919" t="s">
        <v>3069</v>
      </c>
      <c r="B2919" s="3">
        <v>45549</v>
      </c>
      <c r="C2919" t="s">
        <v>455</v>
      </c>
      <c r="D2919" t="s">
        <v>62</v>
      </c>
      <c r="E2919" t="s">
        <v>17</v>
      </c>
      <c r="F2919" t="str">
        <f t="shared" si="45"/>
        <v>West</v>
      </c>
      <c r="G2919" t="s">
        <v>27</v>
      </c>
      <c r="H2919" t="s">
        <v>32</v>
      </c>
      <c r="I2919">
        <v>14</v>
      </c>
    </row>
    <row r="2920" spans="1:9" ht="21.75" customHeight="1">
      <c r="A2920" t="s">
        <v>3070</v>
      </c>
      <c r="B2920" s="3">
        <v>45502</v>
      </c>
      <c r="C2920" t="s">
        <v>319</v>
      </c>
      <c r="D2920" t="s">
        <v>96</v>
      </c>
      <c r="E2920" t="s">
        <v>22</v>
      </c>
      <c r="F2920" t="str">
        <f t="shared" si="45"/>
        <v>North</v>
      </c>
      <c r="G2920" t="s">
        <v>12</v>
      </c>
      <c r="H2920" t="s">
        <v>23</v>
      </c>
      <c r="I2920">
        <v>3</v>
      </c>
    </row>
    <row r="2921" spans="1:9" ht="21.75" customHeight="1">
      <c r="A2921" t="s">
        <v>3071</v>
      </c>
      <c r="B2921" s="3">
        <v>45606</v>
      </c>
      <c r="C2921" t="s">
        <v>68</v>
      </c>
      <c r="D2921" t="s">
        <v>197</v>
      </c>
      <c r="E2921" t="s">
        <v>22</v>
      </c>
      <c r="F2921" t="str">
        <f t="shared" si="45"/>
        <v>Central</v>
      </c>
      <c r="G2921" t="s">
        <v>306</v>
      </c>
      <c r="H2921" t="s">
        <v>32</v>
      </c>
      <c r="I2921">
        <v>5</v>
      </c>
    </row>
    <row r="2922" spans="1:9" ht="21.75" customHeight="1">
      <c r="A2922" t="s">
        <v>3072</v>
      </c>
      <c r="B2922" s="3">
        <v>45581</v>
      </c>
      <c r="C2922" t="s">
        <v>61</v>
      </c>
      <c r="D2922" t="s">
        <v>79</v>
      </c>
      <c r="E2922" t="s">
        <v>17</v>
      </c>
      <c r="F2922" t="str">
        <f t="shared" si="45"/>
        <v>South</v>
      </c>
      <c r="G2922" t="s">
        <v>56</v>
      </c>
      <c r="H2922" t="s">
        <v>23</v>
      </c>
      <c r="I2922">
        <v>1</v>
      </c>
    </row>
    <row r="2923" spans="1:9" ht="21.75" customHeight="1">
      <c r="A2923" t="s">
        <v>3073</v>
      </c>
      <c r="B2923" s="3">
        <v>45557</v>
      </c>
      <c r="C2923" t="s">
        <v>366</v>
      </c>
      <c r="D2923" t="s">
        <v>79</v>
      </c>
      <c r="E2923" t="s">
        <v>11</v>
      </c>
      <c r="F2923" t="str">
        <f t="shared" si="45"/>
        <v>North</v>
      </c>
      <c r="G2923" t="s">
        <v>12</v>
      </c>
      <c r="H2923" t="s">
        <v>32</v>
      </c>
      <c r="I2923">
        <v>4</v>
      </c>
    </row>
    <row r="2924" spans="1:9" ht="21.75" customHeight="1">
      <c r="A2924" t="s">
        <v>3074</v>
      </c>
      <c r="B2924" s="3">
        <v>45341</v>
      </c>
      <c r="C2924" t="s">
        <v>61</v>
      </c>
      <c r="D2924" t="s">
        <v>59</v>
      </c>
      <c r="E2924" t="s">
        <v>17</v>
      </c>
      <c r="F2924" t="str">
        <f t="shared" si="45"/>
        <v>East</v>
      </c>
      <c r="G2924" t="s">
        <v>42</v>
      </c>
      <c r="H2924" t="s">
        <v>13</v>
      </c>
      <c r="I2924">
        <v>4</v>
      </c>
    </row>
    <row r="2925" spans="1:9" ht="21.75" customHeight="1">
      <c r="A2925" t="s">
        <v>3075</v>
      </c>
      <c r="B2925" s="3">
        <v>45637</v>
      </c>
      <c r="C2925" t="s">
        <v>345</v>
      </c>
      <c r="D2925" t="s">
        <v>84</v>
      </c>
      <c r="E2925" t="s">
        <v>22</v>
      </c>
      <c r="F2925" t="str">
        <f t="shared" si="45"/>
        <v>North</v>
      </c>
      <c r="G2925" t="s">
        <v>12</v>
      </c>
      <c r="H2925" t="s">
        <v>28</v>
      </c>
      <c r="I2925">
        <v>17</v>
      </c>
    </row>
    <row r="2926" spans="1:9" ht="21.75" customHeight="1">
      <c r="A2926" t="s">
        <v>3076</v>
      </c>
      <c r="B2926" s="3">
        <v>45545</v>
      </c>
      <c r="C2926" t="s">
        <v>99</v>
      </c>
      <c r="D2926" t="s">
        <v>197</v>
      </c>
      <c r="E2926" t="s">
        <v>22</v>
      </c>
      <c r="F2926" t="str">
        <f t="shared" si="45"/>
        <v>South</v>
      </c>
      <c r="G2926" t="s">
        <v>56</v>
      </c>
      <c r="H2926" t="s">
        <v>32</v>
      </c>
      <c r="I2926">
        <v>10</v>
      </c>
    </row>
    <row r="2927" spans="1:9" ht="21.75" customHeight="1">
      <c r="A2927" t="s">
        <v>3077</v>
      </c>
      <c r="B2927" s="3">
        <v>45295</v>
      </c>
      <c r="C2927" t="s">
        <v>374</v>
      </c>
      <c r="D2927" t="s">
        <v>109</v>
      </c>
      <c r="E2927" t="s">
        <v>22</v>
      </c>
      <c r="F2927" t="str">
        <f t="shared" si="45"/>
        <v>South</v>
      </c>
      <c r="G2927" t="s">
        <v>56</v>
      </c>
      <c r="H2927" t="s">
        <v>13</v>
      </c>
      <c r="I2927">
        <v>3</v>
      </c>
    </row>
    <row r="2928" spans="1:9" ht="21.75" customHeight="1">
      <c r="A2928" t="s">
        <v>3078</v>
      </c>
      <c r="B2928" s="3">
        <v>45601</v>
      </c>
      <c r="C2928" t="s">
        <v>114</v>
      </c>
      <c r="D2928" t="s">
        <v>160</v>
      </c>
      <c r="E2928" t="s">
        <v>11</v>
      </c>
      <c r="F2928" t="str">
        <f t="shared" si="45"/>
        <v>South</v>
      </c>
      <c r="G2928" t="s">
        <v>56</v>
      </c>
      <c r="H2928" t="s">
        <v>28</v>
      </c>
      <c r="I2928">
        <v>4</v>
      </c>
    </row>
    <row r="2929" spans="1:9" ht="21.75" customHeight="1">
      <c r="A2929" t="s">
        <v>3079</v>
      </c>
      <c r="B2929" s="3">
        <v>45550</v>
      </c>
      <c r="C2929" t="s">
        <v>396</v>
      </c>
      <c r="D2929" t="s">
        <v>31</v>
      </c>
      <c r="E2929" t="s">
        <v>11</v>
      </c>
      <c r="F2929" t="str">
        <f t="shared" si="45"/>
        <v>North</v>
      </c>
      <c r="G2929" t="s">
        <v>12</v>
      </c>
      <c r="H2929" t="s">
        <v>32</v>
      </c>
      <c r="I2929">
        <v>13</v>
      </c>
    </row>
    <row r="2930" spans="1:9" ht="21.75" customHeight="1">
      <c r="A2930" t="s">
        <v>3080</v>
      </c>
      <c r="B2930" s="3">
        <v>45386</v>
      </c>
      <c r="C2930" t="s">
        <v>93</v>
      </c>
      <c r="D2930" t="s">
        <v>174</v>
      </c>
      <c r="E2930" t="s">
        <v>17</v>
      </c>
      <c r="F2930" t="str">
        <f t="shared" si="45"/>
        <v>Central</v>
      </c>
      <c r="G2930" t="s">
        <v>306</v>
      </c>
      <c r="H2930" t="s">
        <v>23</v>
      </c>
      <c r="I2930">
        <v>20</v>
      </c>
    </row>
    <row r="2931" spans="1:9" ht="21.75" customHeight="1">
      <c r="A2931" t="s">
        <v>3081</v>
      </c>
      <c r="B2931" s="3">
        <v>45366</v>
      </c>
      <c r="C2931" t="s">
        <v>541</v>
      </c>
      <c r="D2931" t="s">
        <v>96</v>
      </c>
      <c r="E2931" t="s">
        <v>11</v>
      </c>
      <c r="F2931" t="str">
        <f t="shared" si="45"/>
        <v>South</v>
      </c>
      <c r="G2931" t="s">
        <v>56</v>
      </c>
      <c r="H2931" t="s">
        <v>28</v>
      </c>
      <c r="I2931">
        <v>6</v>
      </c>
    </row>
    <row r="2932" spans="1:9" ht="21.75" customHeight="1">
      <c r="A2932" t="s">
        <v>3082</v>
      </c>
      <c r="B2932" s="3">
        <v>45650</v>
      </c>
      <c r="C2932" t="s">
        <v>591</v>
      </c>
      <c r="D2932" t="s">
        <v>65</v>
      </c>
      <c r="E2932" t="s">
        <v>17</v>
      </c>
      <c r="F2932" t="str">
        <f t="shared" si="45"/>
        <v>West</v>
      </c>
      <c r="G2932" t="s">
        <v>27</v>
      </c>
      <c r="H2932" t="s">
        <v>32</v>
      </c>
      <c r="I2932">
        <v>10</v>
      </c>
    </row>
    <row r="2933" spans="1:9" ht="21.75" customHeight="1">
      <c r="A2933" t="s">
        <v>3083</v>
      </c>
      <c r="B2933" s="3">
        <v>45593</v>
      </c>
      <c r="C2933" t="s">
        <v>432</v>
      </c>
      <c r="D2933" t="s">
        <v>48</v>
      </c>
      <c r="E2933" t="s">
        <v>22</v>
      </c>
      <c r="F2933" t="str">
        <f t="shared" si="45"/>
        <v>East</v>
      </c>
      <c r="G2933" t="s">
        <v>42</v>
      </c>
      <c r="H2933" t="s">
        <v>23</v>
      </c>
      <c r="I2933">
        <v>13</v>
      </c>
    </row>
    <row r="2934" spans="1:9" ht="21.75" customHeight="1">
      <c r="A2934" t="s">
        <v>3084</v>
      </c>
      <c r="B2934" s="3">
        <v>45346</v>
      </c>
      <c r="C2934" t="s">
        <v>319</v>
      </c>
      <c r="D2934" t="s">
        <v>87</v>
      </c>
      <c r="E2934" t="s">
        <v>17</v>
      </c>
      <c r="F2934" t="str">
        <f t="shared" si="45"/>
        <v>South</v>
      </c>
      <c r="G2934" t="s">
        <v>56</v>
      </c>
      <c r="H2934" t="s">
        <v>13</v>
      </c>
      <c r="I2934">
        <v>10</v>
      </c>
    </row>
    <row r="2935" spans="1:9" ht="21.75" customHeight="1">
      <c r="A2935" t="s">
        <v>3085</v>
      </c>
      <c r="B2935" s="3">
        <v>45580</v>
      </c>
      <c r="C2935" t="s">
        <v>53</v>
      </c>
      <c r="D2935" t="s">
        <v>96</v>
      </c>
      <c r="E2935" t="s">
        <v>22</v>
      </c>
      <c r="F2935" t="str">
        <f t="shared" si="45"/>
        <v>East</v>
      </c>
      <c r="G2935" t="s">
        <v>42</v>
      </c>
      <c r="H2935" t="s">
        <v>13</v>
      </c>
      <c r="I2935">
        <v>20</v>
      </c>
    </row>
    <row r="2936" spans="1:9" ht="21.75" customHeight="1">
      <c r="A2936" t="s">
        <v>3086</v>
      </c>
      <c r="B2936" s="3">
        <v>45473</v>
      </c>
      <c r="C2936" t="s">
        <v>99</v>
      </c>
      <c r="D2936" t="s">
        <v>70</v>
      </c>
      <c r="E2936" t="s">
        <v>22</v>
      </c>
      <c r="F2936" t="str">
        <f t="shared" si="45"/>
        <v>West</v>
      </c>
      <c r="G2936" t="s">
        <v>27</v>
      </c>
      <c r="H2936" t="s">
        <v>32</v>
      </c>
      <c r="I2936">
        <v>1</v>
      </c>
    </row>
    <row r="2937" spans="1:9" ht="21.75" customHeight="1">
      <c r="A2937" t="s">
        <v>3087</v>
      </c>
      <c r="B2937" s="3">
        <v>45475</v>
      </c>
      <c r="C2937" t="s">
        <v>358</v>
      </c>
      <c r="D2937" t="s">
        <v>160</v>
      </c>
      <c r="E2937" t="s">
        <v>11</v>
      </c>
      <c r="F2937" t="str">
        <f t="shared" si="45"/>
        <v>East</v>
      </c>
      <c r="G2937" t="s">
        <v>42</v>
      </c>
      <c r="H2937" t="s">
        <v>36</v>
      </c>
      <c r="I2937">
        <v>13</v>
      </c>
    </row>
    <row r="2938" spans="1:9" ht="21.75" customHeight="1">
      <c r="A2938" t="s">
        <v>3088</v>
      </c>
      <c r="B2938" s="3">
        <v>45381</v>
      </c>
      <c r="C2938" t="s">
        <v>350</v>
      </c>
      <c r="D2938" t="s">
        <v>16</v>
      </c>
      <c r="E2938" t="s">
        <v>17</v>
      </c>
      <c r="F2938" t="str">
        <f t="shared" si="45"/>
        <v>Central</v>
      </c>
      <c r="G2938" t="s">
        <v>306</v>
      </c>
      <c r="H2938" t="s">
        <v>32</v>
      </c>
      <c r="I2938">
        <v>15</v>
      </c>
    </row>
    <row r="2939" spans="1:9" ht="21.75" customHeight="1">
      <c r="A2939" t="s">
        <v>3089</v>
      </c>
      <c r="B2939" s="3">
        <v>45363</v>
      </c>
      <c r="C2939" t="s">
        <v>89</v>
      </c>
      <c r="D2939" t="s">
        <v>119</v>
      </c>
      <c r="E2939" t="s">
        <v>22</v>
      </c>
      <c r="F2939" t="str">
        <f t="shared" si="45"/>
        <v>East</v>
      </c>
      <c r="G2939" t="s">
        <v>42</v>
      </c>
      <c r="H2939" t="s">
        <v>23</v>
      </c>
      <c r="I2939">
        <v>3</v>
      </c>
    </row>
    <row r="2940" spans="1:9" ht="21.75" customHeight="1">
      <c r="A2940" t="s">
        <v>3090</v>
      </c>
      <c r="B2940" s="3">
        <v>45622</v>
      </c>
      <c r="C2940" t="s">
        <v>517</v>
      </c>
      <c r="D2940" t="s">
        <v>31</v>
      </c>
      <c r="E2940" t="s">
        <v>17</v>
      </c>
      <c r="F2940" t="str">
        <f t="shared" si="45"/>
        <v>Central</v>
      </c>
      <c r="G2940" t="s">
        <v>306</v>
      </c>
      <c r="H2940" t="s">
        <v>28</v>
      </c>
      <c r="I2940">
        <v>19</v>
      </c>
    </row>
    <row r="2941" spans="1:9" ht="21.75" customHeight="1">
      <c r="A2941" t="s">
        <v>3091</v>
      </c>
      <c r="B2941" s="3">
        <v>45551</v>
      </c>
      <c r="C2941" t="s">
        <v>420</v>
      </c>
      <c r="D2941" t="s">
        <v>41</v>
      </c>
      <c r="E2941" t="s">
        <v>22</v>
      </c>
      <c r="F2941" t="str">
        <f t="shared" si="45"/>
        <v>East</v>
      </c>
      <c r="G2941" t="s">
        <v>42</v>
      </c>
      <c r="H2941" t="s">
        <v>28</v>
      </c>
      <c r="I2941">
        <v>11</v>
      </c>
    </row>
    <row r="2942" spans="1:9" ht="21.75" customHeight="1">
      <c r="A2942" t="s">
        <v>3092</v>
      </c>
      <c r="B2942" s="3">
        <v>45589</v>
      </c>
      <c r="C2942" t="s">
        <v>20</v>
      </c>
      <c r="D2942" t="s">
        <v>59</v>
      </c>
      <c r="E2942" t="s">
        <v>22</v>
      </c>
      <c r="F2942" t="str">
        <f t="shared" si="45"/>
        <v>West</v>
      </c>
      <c r="G2942" t="s">
        <v>27</v>
      </c>
      <c r="H2942" t="s">
        <v>13</v>
      </c>
      <c r="I2942">
        <v>2</v>
      </c>
    </row>
    <row r="2943" spans="1:9" ht="21.75" customHeight="1">
      <c r="A2943" t="s">
        <v>3093</v>
      </c>
      <c r="B2943" s="3">
        <v>45373</v>
      </c>
      <c r="C2943" t="s">
        <v>51</v>
      </c>
      <c r="D2943" t="s">
        <v>102</v>
      </c>
      <c r="E2943" t="s">
        <v>22</v>
      </c>
      <c r="F2943" t="str">
        <f t="shared" si="45"/>
        <v>North</v>
      </c>
      <c r="G2943" t="s">
        <v>12</v>
      </c>
      <c r="H2943" t="s">
        <v>23</v>
      </c>
      <c r="I2943">
        <v>16</v>
      </c>
    </row>
    <row r="2944" spans="1:9" ht="21.75" customHeight="1">
      <c r="A2944" t="s">
        <v>3094</v>
      </c>
      <c r="B2944" s="3">
        <v>45410</v>
      </c>
      <c r="C2944" t="s">
        <v>337</v>
      </c>
      <c r="D2944" t="s">
        <v>84</v>
      </c>
      <c r="E2944" t="s">
        <v>11</v>
      </c>
      <c r="F2944" t="str">
        <f t="shared" si="45"/>
        <v>North</v>
      </c>
      <c r="G2944" t="s">
        <v>12</v>
      </c>
      <c r="H2944" t="s">
        <v>28</v>
      </c>
      <c r="I2944">
        <v>13</v>
      </c>
    </row>
    <row r="2945" spans="1:9" ht="21.75" customHeight="1">
      <c r="A2945" t="s">
        <v>3095</v>
      </c>
      <c r="B2945" s="3">
        <v>45507</v>
      </c>
      <c r="C2945" t="s">
        <v>58</v>
      </c>
      <c r="D2945" t="s">
        <v>79</v>
      </c>
      <c r="E2945" t="s">
        <v>22</v>
      </c>
      <c r="F2945" t="str">
        <f t="shared" si="45"/>
        <v>East</v>
      </c>
      <c r="G2945" t="s">
        <v>42</v>
      </c>
      <c r="H2945" t="s">
        <v>13</v>
      </c>
      <c r="I2945">
        <v>2</v>
      </c>
    </row>
    <row r="2946" spans="1:9" ht="21.75" customHeight="1">
      <c r="A2946" t="s">
        <v>3096</v>
      </c>
      <c r="B2946" s="3">
        <v>45329</v>
      </c>
      <c r="C2946" t="s">
        <v>396</v>
      </c>
      <c r="D2946" t="s">
        <v>119</v>
      </c>
      <c r="E2946" t="s">
        <v>17</v>
      </c>
      <c r="F2946" t="str">
        <f t="shared" si="45"/>
        <v>Central</v>
      </c>
      <c r="G2946" t="s">
        <v>306</v>
      </c>
      <c r="H2946" t="s">
        <v>13</v>
      </c>
      <c r="I2946">
        <v>6</v>
      </c>
    </row>
    <row r="2947" spans="1:9" ht="21.75" customHeight="1">
      <c r="A2947" t="s">
        <v>3097</v>
      </c>
      <c r="B2947" s="3">
        <v>45649</v>
      </c>
      <c r="C2947" t="s">
        <v>430</v>
      </c>
      <c r="D2947" t="s">
        <v>31</v>
      </c>
      <c r="E2947" t="s">
        <v>11</v>
      </c>
      <c r="F2947" t="str">
        <f t="shared" ref="F2947:F3010" si="46">TRIM(PROPER(G2947))</f>
        <v>Central</v>
      </c>
      <c r="G2947" t="s">
        <v>306</v>
      </c>
      <c r="H2947" t="s">
        <v>36</v>
      </c>
      <c r="I2947">
        <v>7</v>
      </c>
    </row>
    <row r="2948" spans="1:9" ht="21.75" customHeight="1">
      <c r="A2948" t="s">
        <v>3098</v>
      </c>
      <c r="B2948" s="3">
        <v>45543</v>
      </c>
      <c r="C2948" t="s">
        <v>396</v>
      </c>
      <c r="D2948" t="s">
        <v>41</v>
      </c>
      <c r="E2948" t="s">
        <v>17</v>
      </c>
      <c r="F2948" t="str">
        <f t="shared" si="46"/>
        <v>South</v>
      </c>
      <c r="G2948" t="s">
        <v>56</v>
      </c>
      <c r="H2948" t="s">
        <v>28</v>
      </c>
      <c r="I2948">
        <v>6</v>
      </c>
    </row>
    <row r="2949" spans="1:9" ht="21.75" customHeight="1">
      <c r="A2949" t="s">
        <v>3099</v>
      </c>
      <c r="B2949" s="3">
        <v>45562</v>
      </c>
      <c r="C2949" t="s">
        <v>150</v>
      </c>
      <c r="D2949" t="s">
        <v>10</v>
      </c>
      <c r="E2949" t="s">
        <v>22</v>
      </c>
      <c r="F2949" t="str">
        <f t="shared" si="46"/>
        <v>North</v>
      </c>
      <c r="G2949" t="s">
        <v>12</v>
      </c>
      <c r="H2949" t="s">
        <v>13</v>
      </c>
      <c r="I2949">
        <v>7</v>
      </c>
    </row>
    <row r="2950" spans="1:9" ht="21.75" customHeight="1">
      <c r="A2950" t="s">
        <v>3100</v>
      </c>
      <c r="B2950" s="3">
        <v>45363</v>
      </c>
      <c r="C2950" t="s">
        <v>25</v>
      </c>
      <c r="D2950" t="s">
        <v>48</v>
      </c>
      <c r="E2950" t="s">
        <v>17</v>
      </c>
      <c r="F2950" t="str">
        <f t="shared" si="46"/>
        <v>Central</v>
      </c>
      <c r="G2950" t="s">
        <v>306</v>
      </c>
      <c r="H2950" t="s">
        <v>36</v>
      </c>
      <c r="I2950">
        <v>3</v>
      </c>
    </row>
    <row r="2951" spans="1:9" ht="21.75" customHeight="1">
      <c r="A2951" t="s">
        <v>3101</v>
      </c>
      <c r="B2951" s="3">
        <v>45641</v>
      </c>
      <c r="C2951" t="s">
        <v>388</v>
      </c>
      <c r="D2951" t="s">
        <v>84</v>
      </c>
      <c r="E2951" t="s">
        <v>22</v>
      </c>
      <c r="F2951" t="str">
        <f t="shared" si="46"/>
        <v>Central</v>
      </c>
      <c r="G2951" t="s">
        <v>306</v>
      </c>
      <c r="H2951" t="s">
        <v>23</v>
      </c>
      <c r="I2951">
        <v>7</v>
      </c>
    </row>
    <row r="2952" spans="1:9" ht="21.75" customHeight="1">
      <c r="A2952" t="s">
        <v>3102</v>
      </c>
      <c r="B2952" s="3">
        <v>45584</v>
      </c>
      <c r="C2952" t="s">
        <v>553</v>
      </c>
      <c r="D2952" t="s">
        <v>160</v>
      </c>
      <c r="E2952" t="s">
        <v>17</v>
      </c>
      <c r="F2952" t="str">
        <f t="shared" si="46"/>
        <v>East</v>
      </c>
      <c r="G2952" t="s">
        <v>42</v>
      </c>
      <c r="H2952" t="s">
        <v>36</v>
      </c>
      <c r="I2952">
        <v>18</v>
      </c>
    </row>
    <row r="2953" spans="1:9" ht="21.75" customHeight="1">
      <c r="A2953" t="s">
        <v>3103</v>
      </c>
      <c r="B2953" s="3">
        <v>45326</v>
      </c>
      <c r="C2953" t="s">
        <v>396</v>
      </c>
      <c r="D2953" t="s">
        <v>87</v>
      </c>
      <c r="E2953" t="s">
        <v>22</v>
      </c>
      <c r="F2953" t="str">
        <f t="shared" si="46"/>
        <v>West</v>
      </c>
      <c r="G2953" t="s">
        <v>27</v>
      </c>
      <c r="H2953" t="s">
        <v>13</v>
      </c>
      <c r="I2953">
        <v>19</v>
      </c>
    </row>
    <row r="2954" spans="1:9" ht="21.75" customHeight="1">
      <c r="A2954" t="s">
        <v>3104</v>
      </c>
      <c r="B2954" s="3">
        <v>45556</v>
      </c>
      <c r="C2954" t="s">
        <v>68</v>
      </c>
      <c r="D2954" t="s">
        <v>102</v>
      </c>
      <c r="E2954" t="s">
        <v>11</v>
      </c>
      <c r="F2954" t="str">
        <f t="shared" si="46"/>
        <v>West</v>
      </c>
      <c r="G2954" t="s">
        <v>27</v>
      </c>
      <c r="H2954" t="s">
        <v>28</v>
      </c>
      <c r="I2954">
        <v>2</v>
      </c>
    </row>
    <row r="2955" spans="1:9" ht="21.75" customHeight="1">
      <c r="A2955" t="s">
        <v>3105</v>
      </c>
      <c r="B2955" s="3">
        <v>45461</v>
      </c>
      <c r="C2955" t="s">
        <v>138</v>
      </c>
      <c r="D2955" t="s">
        <v>197</v>
      </c>
      <c r="E2955" t="s">
        <v>17</v>
      </c>
      <c r="F2955" t="str">
        <f t="shared" si="46"/>
        <v>East</v>
      </c>
      <c r="G2955" t="s">
        <v>42</v>
      </c>
      <c r="H2955" t="s">
        <v>23</v>
      </c>
      <c r="I2955">
        <v>12</v>
      </c>
    </row>
    <row r="2956" spans="1:9" ht="21.75" customHeight="1">
      <c r="A2956" t="s">
        <v>3106</v>
      </c>
      <c r="B2956" s="3">
        <v>45372</v>
      </c>
      <c r="C2956" t="s">
        <v>55</v>
      </c>
      <c r="D2956" t="s">
        <v>10</v>
      </c>
      <c r="E2956" t="s">
        <v>22</v>
      </c>
      <c r="F2956" t="str">
        <f t="shared" si="46"/>
        <v>Central</v>
      </c>
      <c r="G2956" t="s">
        <v>306</v>
      </c>
      <c r="H2956" t="s">
        <v>28</v>
      </c>
      <c r="I2956">
        <v>17</v>
      </c>
    </row>
    <row r="2957" spans="1:9" ht="21.75" customHeight="1">
      <c r="A2957" t="s">
        <v>3107</v>
      </c>
      <c r="B2957" s="3">
        <v>45548</v>
      </c>
      <c r="C2957" t="s">
        <v>147</v>
      </c>
      <c r="D2957" t="s">
        <v>31</v>
      </c>
      <c r="E2957" t="s">
        <v>22</v>
      </c>
      <c r="F2957" t="str">
        <f t="shared" si="46"/>
        <v>North</v>
      </c>
      <c r="G2957" t="s">
        <v>12</v>
      </c>
      <c r="H2957" t="s">
        <v>36</v>
      </c>
      <c r="I2957">
        <v>4</v>
      </c>
    </row>
    <row r="2958" spans="1:9" ht="21.75" customHeight="1">
      <c r="A2958" t="s">
        <v>3108</v>
      </c>
      <c r="B2958" s="3">
        <v>45426</v>
      </c>
      <c r="C2958" t="s">
        <v>350</v>
      </c>
      <c r="D2958" t="s">
        <v>96</v>
      </c>
      <c r="E2958" t="s">
        <v>11</v>
      </c>
      <c r="F2958" t="str">
        <f t="shared" si="46"/>
        <v>East</v>
      </c>
      <c r="G2958" t="s">
        <v>42</v>
      </c>
      <c r="H2958" t="s">
        <v>23</v>
      </c>
      <c r="I2958">
        <v>9</v>
      </c>
    </row>
    <row r="2959" spans="1:9" ht="21.75" customHeight="1">
      <c r="A2959" t="s">
        <v>3109</v>
      </c>
      <c r="B2959" s="3">
        <v>45322</v>
      </c>
      <c r="C2959" t="s">
        <v>99</v>
      </c>
      <c r="D2959" t="s">
        <v>65</v>
      </c>
      <c r="E2959" t="s">
        <v>22</v>
      </c>
      <c r="F2959" t="str">
        <f t="shared" si="46"/>
        <v>East</v>
      </c>
      <c r="G2959" t="s">
        <v>42</v>
      </c>
      <c r="H2959" t="s">
        <v>13</v>
      </c>
      <c r="I2959">
        <v>8</v>
      </c>
    </row>
    <row r="2960" spans="1:9" ht="21.75" customHeight="1">
      <c r="A2960" t="s">
        <v>3110</v>
      </c>
      <c r="B2960" s="3">
        <v>45580</v>
      </c>
      <c r="C2960" t="s">
        <v>594</v>
      </c>
      <c r="D2960" t="s">
        <v>62</v>
      </c>
      <c r="E2960" t="s">
        <v>11</v>
      </c>
      <c r="F2960" t="str">
        <f t="shared" si="46"/>
        <v>East</v>
      </c>
      <c r="G2960" t="s">
        <v>42</v>
      </c>
      <c r="H2960" t="s">
        <v>13</v>
      </c>
      <c r="I2960">
        <v>14</v>
      </c>
    </row>
    <row r="2961" spans="1:9" ht="21.75" customHeight="1">
      <c r="A2961" t="s">
        <v>3111</v>
      </c>
      <c r="B2961" s="3">
        <v>45605</v>
      </c>
      <c r="C2961" t="s">
        <v>81</v>
      </c>
      <c r="D2961" t="s">
        <v>174</v>
      </c>
      <c r="E2961" t="s">
        <v>17</v>
      </c>
      <c r="F2961" t="str">
        <f t="shared" si="46"/>
        <v>South</v>
      </c>
      <c r="G2961" t="s">
        <v>56</v>
      </c>
      <c r="H2961" t="s">
        <v>32</v>
      </c>
      <c r="I2961">
        <v>2</v>
      </c>
    </row>
    <row r="2962" spans="1:9" ht="21.75" customHeight="1">
      <c r="A2962" t="s">
        <v>3112</v>
      </c>
      <c r="B2962" s="3">
        <v>45546</v>
      </c>
      <c r="C2962" t="s">
        <v>358</v>
      </c>
      <c r="D2962" t="s">
        <v>197</v>
      </c>
      <c r="E2962" t="s">
        <v>22</v>
      </c>
      <c r="F2962" t="str">
        <f t="shared" si="46"/>
        <v>East</v>
      </c>
      <c r="G2962" t="s">
        <v>42</v>
      </c>
      <c r="H2962" t="s">
        <v>23</v>
      </c>
      <c r="I2962">
        <v>16</v>
      </c>
    </row>
    <row r="2963" spans="1:9" ht="21.75" customHeight="1">
      <c r="A2963" t="s">
        <v>3113</v>
      </c>
      <c r="B2963" s="3">
        <v>45408</v>
      </c>
      <c r="C2963" t="s">
        <v>138</v>
      </c>
      <c r="D2963" t="s">
        <v>79</v>
      </c>
      <c r="E2963" t="s">
        <v>11</v>
      </c>
      <c r="F2963" t="str">
        <f t="shared" si="46"/>
        <v>South</v>
      </c>
      <c r="G2963" t="s">
        <v>56</v>
      </c>
      <c r="H2963" t="s">
        <v>36</v>
      </c>
      <c r="I2963">
        <v>20</v>
      </c>
    </row>
    <row r="2964" spans="1:9" ht="21.75" customHeight="1">
      <c r="A2964" t="s">
        <v>3114</v>
      </c>
      <c r="B2964" s="3">
        <v>45641</v>
      </c>
      <c r="C2964" t="s">
        <v>455</v>
      </c>
      <c r="D2964" t="s">
        <v>84</v>
      </c>
      <c r="E2964" t="s">
        <v>11</v>
      </c>
      <c r="F2964" t="str">
        <f t="shared" si="46"/>
        <v>Central</v>
      </c>
      <c r="G2964" t="s">
        <v>306</v>
      </c>
      <c r="H2964" t="s">
        <v>23</v>
      </c>
      <c r="I2964">
        <v>2</v>
      </c>
    </row>
    <row r="2965" spans="1:9" ht="21.75" customHeight="1">
      <c r="A2965" t="s">
        <v>3115</v>
      </c>
      <c r="B2965" s="3">
        <v>45485</v>
      </c>
      <c r="C2965" t="s">
        <v>424</v>
      </c>
      <c r="D2965" t="s">
        <v>16</v>
      </c>
      <c r="E2965" t="s">
        <v>17</v>
      </c>
      <c r="F2965" t="str">
        <f t="shared" si="46"/>
        <v>West</v>
      </c>
      <c r="G2965" t="s">
        <v>27</v>
      </c>
      <c r="H2965" t="s">
        <v>36</v>
      </c>
      <c r="I2965">
        <v>5</v>
      </c>
    </row>
    <row r="2966" spans="1:9" ht="21.75" customHeight="1">
      <c r="A2966" t="s">
        <v>3116</v>
      </c>
      <c r="B2966" s="3">
        <v>45352</v>
      </c>
      <c r="C2966" t="s">
        <v>594</v>
      </c>
      <c r="D2966" t="s">
        <v>48</v>
      </c>
      <c r="E2966" t="s">
        <v>17</v>
      </c>
      <c r="F2966" t="str">
        <f t="shared" si="46"/>
        <v>South</v>
      </c>
      <c r="G2966" t="s">
        <v>56</v>
      </c>
      <c r="H2966" t="s">
        <v>32</v>
      </c>
      <c r="I2966">
        <v>14</v>
      </c>
    </row>
    <row r="2967" spans="1:9" ht="21.75" customHeight="1">
      <c r="A2967" t="s">
        <v>3117</v>
      </c>
      <c r="B2967" s="3">
        <v>45413</v>
      </c>
      <c r="C2967" t="s">
        <v>51</v>
      </c>
      <c r="D2967" t="s">
        <v>10</v>
      </c>
      <c r="E2967" t="s">
        <v>22</v>
      </c>
      <c r="F2967" t="str">
        <f t="shared" si="46"/>
        <v>North</v>
      </c>
      <c r="G2967" t="s">
        <v>12</v>
      </c>
      <c r="H2967" t="s">
        <v>28</v>
      </c>
      <c r="I2967">
        <v>14</v>
      </c>
    </row>
    <row r="2968" spans="1:9" ht="21.75" customHeight="1">
      <c r="A2968" t="s">
        <v>3118</v>
      </c>
      <c r="B2968" s="3">
        <v>45566</v>
      </c>
      <c r="C2968" t="s">
        <v>614</v>
      </c>
      <c r="D2968" t="s">
        <v>79</v>
      </c>
      <c r="E2968" t="s">
        <v>11</v>
      </c>
      <c r="F2968" t="str">
        <f t="shared" si="46"/>
        <v>South</v>
      </c>
      <c r="G2968" t="s">
        <v>56</v>
      </c>
      <c r="H2968" t="s">
        <v>13</v>
      </c>
      <c r="I2968">
        <v>3</v>
      </c>
    </row>
    <row r="2969" spans="1:9" ht="21.75" customHeight="1">
      <c r="A2969" t="s">
        <v>3119</v>
      </c>
      <c r="B2969" s="3">
        <v>45516</v>
      </c>
      <c r="C2969" t="s">
        <v>44</v>
      </c>
      <c r="D2969" t="s">
        <v>74</v>
      </c>
      <c r="E2969" t="s">
        <v>11</v>
      </c>
      <c r="F2969" t="str">
        <f t="shared" si="46"/>
        <v>East</v>
      </c>
      <c r="G2969" t="s">
        <v>42</v>
      </c>
      <c r="H2969" t="s">
        <v>32</v>
      </c>
      <c r="I2969">
        <v>20</v>
      </c>
    </row>
    <row r="2970" spans="1:9" ht="21.75" customHeight="1">
      <c r="A2970" t="s">
        <v>3120</v>
      </c>
      <c r="B2970" s="3">
        <v>45417</v>
      </c>
      <c r="C2970" t="s">
        <v>61</v>
      </c>
      <c r="D2970" t="s">
        <v>16</v>
      </c>
      <c r="E2970" t="s">
        <v>22</v>
      </c>
      <c r="F2970" t="str">
        <f t="shared" si="46"/>
        <v>West</v>
      </c>
      <c r="G2970" t="s">
        <v>27</v>
      </c>
      <c r="H2970" t="s">
        <v>23</v>
      </c>
      <c r="I2970">
        <v>4</v>
      </c>
    </row>
    <row r="2971" spans="1:9" ht="21.75" customHeight="1">
      <c r="A2971" t="s">
        <v>3121</v>
      </c>
      <c r="B2971" s="3">
        <v>45331</v>
      </c>
      <c r="C2971" t="s">
        <v>230</v>
      </c>
      <c r="D2971" t="s">
        <v>174</v>
      </c>
      <c r="E2971" t="s">
        <v>11</v>
      </c>
      <c r="F2971" t="str">
        <f t="shared" si="46"/>
        <v>West</v>
      </c>
      <c r="G2971" t="s">
        <v>27</v>
      </c>
      <c r="H2971" t="s">
        <v>32</v>
      </c>
      <c r="I2971">
        <v>8</v>
      </c>
    </row>
    <row r="2972" spans="1:9" ht="21.75" customHeight="1">
      <c r="A2972" t="s">
        <v>3122</v>
      </c>
      <c r="B2972" s="3">
        <v>45446</v>
      </c>
      <c r="C2972" t="s">
        <v>83</v>
      </c>
      <c r="D2972" t="s">
        <v>119</v>
      </c>
      <c r="E2972" t="s">
        <v>22</v>
      </c>
      <c r="F2972" t="str">
        <f t="shared" si="46"/>
        <v>East</v>
      </c>
      <c r="G2972" t="s">
        <v>42</v>
      </c>
      <c r="H2972" t="s">
        <v>28</v>
      </c>
      <c r="I2972">
        <v>17</v>
      </c>
    </row>
    <row r="2973" spans="1:9" ht="21.75" customHeight="1">
      <c r="A2973" t="s">
        <v>3123</v>
      </c>
      <c r="B2973" s="3">
        <v>45455</v>
      </c>
      <c r="C2973" t="s">
        <v>424</v>
      </c>
      <c r="D2973" t="s">
        <v>174</v>
      </c>
      <c r="E2973" t="s">
        <v>22</v>
      </c>
      <c r="F2973" t="str">
        <f t="shared" si="46"/>
        <v>North</v>
      </c>
      <c r="G2973" t="s">
        <v>12</v>
      </c>
      <c r="H2973" t="s">
        <v>13</v>
      </c>
      <c r="I2973">
        <v>12</v>
      </c>
    </row>
    <row r="2974" spans="1:9" ht="21.75" customHeight="1">
      <c r="A2974" t="s">
        <v>3124</v>
      </c>
      <c r="B2974" s="3">
        <v>45653</v>
      </c>
      <c r="C2974" t="s">
        <v>381</v>
      </c>
      <c r="D2974" t="s">
        <v>35</v>
      </c>
      <c r="E2974" t="s">
        <v>17</v>
      </c>
      <c r="F2974" t="str">
        <f t="shared" si="46"/>
        <v>North</v>
      </c>
      <c r="G2974" t="s">
        <v>12</v>
      </c>
      <c r="H2974" t="s">
        <v>28</v>
      </c>
      <c r="I2974">
        <v>5</v>
      </c>
    </row>
    <row r="2975" spans="1:9" ht="21.75" customHeight="1">
      <c r="A2975" t="s">
        <v>3125</v>
      </c>
      <c r="B2975" s="3">
        <v>45558</v>
      </c>
      <c r="C2975" t="s">
        <v>51</v>
      </c>
      <c r="D2975" t="s">
        <v>74</v>
      </c>
      <c r="E2975" t="s">
        <v>22</v>
      </c>
      <c r="F2975" t="str">
        <f t="shared" si="46"/>
        <v>Central</v>
      </c>
      <c r="G2975" t="s">
        <v>306</v>
      </c>
      <c r="H2975" t="s">
        <v>28</v>
      </c>
      <c r="I2975">
        <v>4</v>
      </c>
    </row>
    <row r="2976" spans="1:9" ht="21.75" customHeight="1">
      <c r="A2976" t="s">
        <v>3126</v>
      </c>
      <c r="B2976" s="3">
        <v>45364</v>
      </c>
      <c r="C2976" t="s">
        <v>122</v>
      </c>
      <c r="D2976" t="s">
        <v>197</v>
      </c>
      <c r="E2976" t="s">
        <v>22</v>
      </c>
      <c r="F2976" t="str">
        <f t="shared" si="46"/>
        <v>West</v>
      </c>
      <c r="G2976" t="s">
        <v>27</v>
      </c>
      <c r="H2976" t="s">
        <v>23</v>
      </c>
      <c r="I2976">
        <v>4</v>
      </c>
    </row>
    <row r="2977" spans="1:9" ht="21.75" customHeight="1">
      <c r="A2977" t="s">
        <v>3127</v>
      </c>
      <c r="B2977" s="3">
        <v>45309</v>
      </c>
      <c r="C2977" t="s">
        <v>101</v>
      </c>
      <c r="D2977" t="s">
        <v>26</v>
      </c>
      <c r="E2977" t="s">
        <v>22</v>
      </c>
      <c r="F2977" t="str">
        <f t="shared" si="46"/>
        <v>West</v>
      </c>
      <c r="G2977" t="s">
        <v>27</v>
      </c>
      <c r="H2977" t="s">
        <v>32</v>
      </c>
      <c r="I2977">
        <v>3</v>
      </c>
    </row>
    <row r="2978" spans="1:9" ht="21.75" customHeight="1">
      <c r="A2978" t="s">
        <v>3128</v>
      </c>
      <c r="B2978" s="3">
        <v>45604</v>
      </c>
      <c r="C2978" t="s">
        <v>53</v>
      </c>
      <c r="D2978" t="s">
        <v>35</v>
      </c>
      <c r="E2978" t="s">
        <v>11</v>
      </c>
      <c r="F2978" t="str">
        <f t="shared" si="46"/>
        <v>West</v>
      </c>
      <c r="G2978" t="s">
        <v>27</v>
      </c>
      <c r="H2978" t="s">
        <v>23</v>
      </c>
      <c r="I2978">
        <v>15</v>
      </c>
    </row>
    <row r="2979" spans="1:9" ht="21.75" customHeight="1">
      <c r="A2979" t="s">
        <v>3129</v>
      </c>
      <c r="B2979" s="3">
        <v>45397</v>
      </c>
      <c r="C2979" t="s">
        <v>159</v>
      </c>
      <c r="D2979" t="s">
        <v>45</v>
      </c>
      <c r="E2979" t="s">
        <v>22</v>
      </c>
      <c r="F2979" t="str">
        <f t="shared" si="46"/>
        <v>West</v>
      </c>
      <c r="G2979" t="s">
        <v>27</v>
      </c>
      <c r="H2979" t="s">
        <v>36</v>
      </c>
      <c r="I2979">
        <v>2</v>
      </c>
    </row>
    <row r="2980" spans="1:9" ht="21.75" customHeight="1">
      <c r="A2980" t="s">
        <v>3130</v>
      </c>
      <c r="B2980" s="3">
        <v>45308</v>
      </c>
      <c r="C2980" t="s">
        <v>591</v>
      </c>
      <c r="D2980" t="s">
        <v>119</v>
      </c>
      <c r="E2980" t="s">
        <v>17</v>
      </c>
      <c r="F2980" t="str">
        <f t="shared" si="46"/>
        <v>North</v>
      </c>
      <c r="G2980" t="s">
        <v>12</v>
      </c>
      <c r="H2980" t="s">
        <v>36</v>
      </c>
      <c r="I2980">
        <v>11</v>
      </c>
    </row>
    <row r="2981" spans="1:9" ht="21.75" customHeight="1">
      <c r="A2981" t="s">
        <v>3131</v>
      </c>
      <c r="B2981" s="3">
        <v>45426</v>
      </c>
      <c r="C2981" t="s">
        <v>664</v>
      </c>
      <c r="D2981" t="s">
        <v>59</v>
      </c>
      <c r="E2981" t="s">
        <v>11</v>
      </c>
      <c r="F2981" t="str">
        <f t="shared" si="46"/>
        <v>North</v>
      </c>
      <c r="G2981" t="s">
        <v>12</v>
      </c>
      <c r="H2981" t="s">
        <v>32</v>
      </c>
      <c r="I2981">
        <v>20</v>
      </c>
    </row>
    <row r="2982" spans="1:9" ht="21.75" customHeight="1">
      <c r="A2982" t="s">
        <v>3132</v>
      </c>
      <c r="B2982" s="3">
        <v>45510</v>
      </c>
      <c r="C2982" t="s">
        <v>728</v>
      </c>
      <c r="D2982" t="s">
        <v>84</v>
      </c>
      <c r="E2982" t="s">
        <v>22</v>
      </c>
      <c r="F2982" t="str">
        <f t="shared" si="46"/>
        <v>North</v>
      </c>
      <c r="G2982" t="s">
        <v>12</v>
      </c>
      <c r="H2982" t="s">
        <v>13</v>
      </c>
      <c r="I2982">
        <v>18</v>
      </c>
    </row>
    <row r="2983" spans="1:9" ht="21.75" customHeight="1">
      <c r="A2983" t="s">
        <v>3133</v>
      </c>
      <c r="B2983" s="3">
        <v>45639</v>
      </c>
      <c r="C2983" t="s">
        <v>55</v>
      </c>
      <c r="D2983" t="s">
        <v>174</v>
      </c>
      <c r="E2983" t="s">
        <v>17</v>
      </c>
      <c r="F2983" t="str">
        <f t="shared" si="46"/>
        <v>West</v>
      </c>
      <c r="G2983" t="s">
        <v>27</v>
      </c>
      <c r="H2983" t="s">
        <v>36</v>
      </c>
      <c r="I2983">
        <v>19</v>
      </c>
    </row>
    <row r="2984" spans="1:9" ht="21.75" customHeight="1">
      <c r="A2984" t="s">
        <v>3134</v>
      </c>
      <c r="B2984" s="3">
        <v>45425</v>
      </c>
      <c r="C2984" t="s">
        <v>111</v>
      </c>
      <c r="D2984" t="s">
        <v>31</v>
      </c>
      <c r="E2984" t="s">
        <v>17</v>
      </c>
      <c r="F2984" t="str">
        <f t="shared" si="46"/>
        <v>South</v>
      </c>
      <c r="G2984" t="s">
        <v>56</v>
      </c>
      <c r="H2984" t="s">
        <v>28</v>
      </c>
      <c r="I2984">
        <v>1</v>
      </c>
    </row>
    <row r="2985" spans="1:9" ht="21.75" customHeight="1">
      <c r="A2985" t="s">
        <v>3135</v>
      </c>
      <c r="B2985" s="3">
        <v>45641</v>
      </c>
      <c r="C2985" t="s">
        <v>89</v>
      </c>
      <c r="D2985" t="s">
        <v>10</v>
      </c>
      <c r="E2985" t="s">
        <v>11</v>
      </c>
      <c r="F2985" t="str">
        <f t="shared" si="46"/>
        <v>Central</v>
      </c>
      <c r="G2985" t="s">
        <v>306</v>
      </c>
      <c r="H2985" t="s">
        <v>32</v>
      </c>
      <c r="I2985">
        <v>11</v>
      </c>
    </row>
    <row r="2986" spans="1:9" ht="21.75" customHeight="1">
      <c r="A2986" t="s">
        <v>3136</v>
      </c>
      <c r="B2986" s="3">
        <v>45311</v>
      </c>
      <c r="C2986" t="s">
        <v>594</v>
      </c>
      <c r="D2986" t="s">
        <v>26</v>
      </c>
      <c r="E2986" t="s">
        <v>17</v>
      </c>
      <c r="F2986" t="str">
        <f t="shared" si="46"/>
        <v>East</v>
      </c>
      <c r="G2986" t="s">
        <v>42</v>
      </c>
      <c r="H2986" t="s">
        <v>32</v>
      </c>
      <c r="I2986">
        <v>20</v>
      </c>
    </row>
    <row r="2987" spans="1:9" ht="21.75" customHeight="1">
      <c r="A2987" t="s">
        <v>3137</v>
      </c>
      <c r="B2987" s="3">
        <v>45449</v>
      </c>
      <c r="C2987" t="s">
        <v>614</v>
      </c>
      <c r="D2987" t="s">
        <v>41</v>
      </c>
      <c r="E2987" t="s">
        <v>17</v>
      </c>
      <c r="F2987" t="str">
        <f t="shared" si="46"/>
        <v>East</v>
      </c>
      <c r="G2987" t="s">
        <v>42</v>
      </c>
      <c r="H2987" t="s">
        <v>28</v>
      </c>
      <c r="I2987">
        <v>15</v>
      </c>
    </row>
    <row r="2988" spans="1:9" ht="21.75" customHeight="1">
      <c r="A2988" t="s">
        <v>3138</v>
      </c>
      <c r="B2988" s="3">
        <v>45517</v>
      </c>
      <c r="C2988" t="s">
        <v>142</v>
      </c>
      <c r="D2988" t="s">
        <v>70</v>
      </c>
      <c r="E2988" t="s">
        <v>11</v>
      </c>
      <c r="F2988" t="str">
        <f t="shared" si="46"/>
        <v>East</v>
      </c>
      <c r="G2988" t="s">
        <v>42</v>
      </c>
      <c r="H2988" t="s">
        <v>23</v>
      </c>
      <c r="I2988">
        <v>18</v>
      </c>
    </row>
    <row r="2989" spans="1:9" ht="21.75" customHeight="1">
      <c r="A2989" t="s">
        <v>3139</v>
      </c>
      <c r="B2989" s="3">
        <v>45321</v>
      </c>
      <c r="C2989" t="s">
        <v>361</v>
      </c>
      <c r="D2989" t="s">
        <v>10</v>
      </c>
      <c r="E2989" t="s">
        <v>17</v>
      </c>
      <c r="F2989" t="str">
        <f t="shared" si="46"/>
        <v>Central</v>
      </c>
      <c r="G2989" t="s">
        <v>306</v>
      </c>
      <c r="H2989" t="s">
        <v>36</v>
      </c>
      <c r="I2989">
        <v>11</v>
      </c>
    </row>
    <row r="2990" spans="1:9" ht="21.75" customHeight="1">
      <c r="A2990" t="s">
        <v>3140</v>
      </c>
      <c r="B2990" s="3">
        <v>45517</v>
      </c>
      <c r="C2990" t="s">
        <v>44</v>
      </c>
      <c r="D2990" t="s">
        <v>26</v>
      </c>
      <c r="E2990" t="s">
        <v>17</v>
      </c>
      <c r="F2990" t="str">
        <f t="shared" si="46"/>
        <v>East</v>
      </c>
      <c r="G2990" t="s">
        <v>42</v>
      </c>
      <c r="H2990" t="s">
        <v>23</v>
      </c>
      <c r="I2990">
        <v>5</v>
      </c>
    </row>
    <row r="2991" spans="1:9" ht="21.75" customHeight="1">
      <c r="A2991" t="s">
        <v>3141</v>
      </c>
      <c r="B2991" s="3">
        <v>45381</v>
      </c>
      <c r="C2991" t="s">
        <v>167</v>
      </c>
      <c r="D2991" t="s">
        <v>109</v>
      </c>
      <c r="E2991" t="s">
        <v>22</v>
      </c>
      <c r="F2991" t="str">
        <f t="shared" si="46"/>
        <v>North</v>
      </c>
      <c r="G2991" t="s">
        <v>12</v>
      </c>
      <c r="H2991" t="s">
        <v>28</v>
      </c>
      <c r="I2991">
        <v>4</v>
      </c>
    </row>
    <row r="2992" spans="1:9" ht="21.75" customHeight="1">
      <c r="A2992" t="s">
        <v>3142</v>
      </c>
      <c r="B2992" s="3">
        <v>45386</v>
      </c>
      <c r="C2992" t="s">
        <v>455</v>
      </c>
      <c r="D2992" t="s">
        <v>160</v>
      </c>
      <c r="E2992" t="s">
        <v>17</v>
      </c>
      <c r="F2992" t="str">
        <f t="shared" si="46"/>
        <v>Central</v>
      </c>
      <c r="G2992" t="s">
        <v>306</v>
      </c>
      <c r="H2992" t="s">
        <v>32</v>
      </c>
      <c r="I2992">
        <v>2</v>
      </c>
    </row>
    <row r="2993" spans="1:9" ht="21.75" customHeight="1">
      <c r="A2993" t="s">
        <v>3143</v>
      </c>
      <c r="B2993" s="3">
        <v>45408</v>
      </c>
      <c r="C2993" t="s">
        <v>131</v>
      </c>
      <c r="D2993" t="s">
        <v>62</v>
      </c>
      <c r="E2993" t="s">
        <v>17</v>
      </c>
      <c r="F2993" t="str">
        <f t="shared" si="46"/>
        <v>East</v>
      </c>
      <c r="G2993" t="s">
        <v>42</v>
      </c>
      <c r="H2993" t="s">
        <v>13</v>
      </c>
      <c r="I2993">
        <v>12</v>
      </c>
    </row>
    <row r="2994" spans="1:9" ht="21.75" customHeight="1">
      <c r="A2994" t="s">
        <v>3144</v>
      </c>
      <c r="B2994" s="3">
        <v>45314</v>
      </c>
      <c r="C2994" t="s">
        <v>327</v>
      </c>
      <c r="D2994" t="s">
        <v>197</v>
      </c>
      <c r="E2994" t="s">
        <v>17</v>
      </c>
      <c r="F2994" t="str">
        <f t="shared" si="46"/>
        <v>North</v>
      </c>
      <c r="G2994" t="s">
        <v>12</v>
      </c>
      <c r="H2994" t="s">
        <v>13</v>
      </c>
      <c r="I2994">
        <v>17</v>
      </c>
    </row>
    <row r="2995" spans="1:9" ht="21.75" customHeight="1">
      <c r="A2995" t="s">
        <v>3145</v>
      </c>
      <c r="B2995" s="3">
        <v>45553</v>
      </c>
      <c r="C2995" t="s">
        <v>208</v>
      </c>
      <c r="D2995" t="s">
        <v>197</v>
      </c>
      <c r="E2995" t="s">
        <v>11</v>
      </c>
      <c r="F2995" t="str">
        <f t="shared" si="46"/>
        <v>East</v>
      </c>
      <c r="G2995" t="s">
        <v>42</v>
      </c>
      <c r="H2995" t="s">
        <v>36</v>
      </c>
      <c r="I2995">
        <v>12</v>
      </c>
    </row>
    <row r="2996" spans="1:9" ht="21.75" customHeight="1">
      <c r="A2996" t="s">
        <v>3146</v>
      </c>
      <c r="B2996" s="3">
        <v>45640</v>
      </c>
      <c r="C2996" t="s">
        <v>572</v>
      </c>
      <c r="D2996" t="s">
        <v>10</v>
      </c>
      <c r="E2996" t="s">
        <v>22</v>
      </c>
      <c r="F2996" t="str">
        <f t="shared" si="46"/>
        <v>West</v>
      </c>
      <c r="G2996" t="s">
        <v>27</v>
      </c>
      <c r="H2996" t="s">
        <v>32</v>
      </c>
      <c r="I2996">
        <v>5</v>
      </c>
    </row>
    <row r="2997" spans="1:9" ht="21.75" customHeight="1">
      <c r="A2997" t="s">
        <v>3147</v>
      </c>
      <c r="B2997" s="3">
        <v>45602</v>
      </c>
      <c r="C2997" t="s">
        <v>728</v>
      </c>
      <c r="D2997" t="s">
        <v>48</v>
      </c>
      <c r="E2997" t="s">
        <v>17</v>
      </c>
      <c r="F2997" t="str">
        <f t="shared" si="46"/>
        <v>West</v>
      </c>
      <c r="G2997" t="s">
        <v>27</v>
      </c>
      <c r="H2997" t="s">
        <v>32</v>
      </c>
      <c r="I2997">
        <v>16</v>
      </c>
    </row>
    <row r="2998" spans="1:9" ht="21.75" customHeight="1">
      <c r="A2998" t="s">
        <v>3148</v>
      </c>
      <c r="B2998" s="3">
        <v>45442</v>
      </c>
      <c r="C2998" t="s">
        <v>381</v>
      </c>
      <c r="D2998" t="s">
        <v>96</v>
      </c>
      <c r="E2998" t="s">
        <v>11</v>
      </c>
      <c r="F2998" t="str">
        <f t="shared" si="46"/>
        <v>East</v>
      </c>
      <c r="G2998" t="s">
        <v>42</v>
      </c>
      <c r="H2998" t="s">
        <v>13</v>
      </c>
      <c r="I2998">
        <v>10</v>
      </c>
    </row>
    <row r="2999" spans="1:9" ht="21.75" customHeight="1">
      <c r="A2999" t="s">
        <v>3149</v>
      </c>
      <c r="B2999" s="3">
        <v>45594</v>
      </c>
      <c r="C2999" t="s">
        <v>64</v>
      </c>
      <c r="D2999" t="s">
        <v>102</v>
      </c>
      <c r="E2999" t="s">
        <v>22</v>
      </c>
      <c r="F2999" t="str">
        <f t="shared" si="46"/>
        <v>South</v>
      </c>
      <c r="G2999" t="s">
        <v>56</v>
      </c>
      <c r="H2999" t="s">
        <v>32</v>
      </c>
      <c r="I2999">
        <v>17</v>
      </c>
    </row>
    <row r="3000" spans="1:9" ht="21.75" customHeight="1">
      <c r="A3000" t="s">
        <v>3150</v>
      </c>
      <c r="B3000" s="3">
        <v>45552</v>
      </c>
      <c r="C3000" t="s">
        <v>728</v>
      </c>
      <c r="D3000" t="s">
        <v>59</v>
      </c>
      <c r="E3000" t="s">
        <v>22</v>
      </c>
      <c r="F3000" t="str">
        <f t="shared" si="46"/>
        <v>East</v>
      </c>
      <c r="G3000" t="s">
        <v>42</v>
      </c>
      <c r="H3000" t="s">
        <v>28</v>
      </c>
      <c r="I3000">
        <v>13</v>
      </c>
    </row>
    <row r="3001" spans="1:9" ht="21.75" customHeight="1">
      <c r="A3001" t="s">
        <v>3151</v>
      </c>
      <c r="B3001" s="3">
        <v>45308</v>
      </c>
      <c r="C3001" t="s">
        <v>371</v>
      </c>
      <c r="D3001" t="s">
        <v>84</v>
      </c>
      <c r="E3001" t="s">
        <v>11</v>
      </c>
      <c r="F3001" t="str">
        <f t="shared" si="46"/>
        <v>West</v>
      </c>
      <c r="G3001" t="s">
        <v>27</v>
      </c>
      <c r="H3001" t="s">
        <v>13</v>
      </c>
      <c r="I3001">
        <v>3</v>
      </c>
    </row>
    <row r="3002" spans="1:9" ht="21.75" customHeight="1">
      <c r="A3002" t="s">
        <v>3152</v>
      </c>
      <c r="B3002" s="3">
        <v>45406</v>
      </c>
      <c r="C3002" t="s">
        <v>614</v>
      </c>
      <c r="D3002" t="s">
        <v>160</v>
      </c>
      <c r="E3002" t="s">
        <v>22</v>
      </c>
      <c r="F3002" t="str">
        <f t="shared" si="46"/>
        <v>Central</v>
      </c>
      <c r="G3002" t="s">
        <v>306</v>
      </c>
      <c r="H3002" t="s">
        <v>23</v>
      </c>
      <c r="I3002">
        <v>18</v>
      </c>
    </row>
    <row r="3003" spans="1:9" ht="21.75" customHeight="1">
      <c r="A3003" t="s">
        <v>3153</v>
      </c>
      <c r="B3003" s="3">
        <v>45562</v>
      </c>
      <c r="C3003" t="s">
        <v>9</v>
      </c>
      <c r="D3003" t="s">
        <v>109</v>
      </c>
      <c r="E3003" t="s">
        <v>17</v>
      </c>
      <c r="F3003" t="str">
        <f t="shared" si="46"/>
        <v>Central</v>
      </c>
      <c r="G3003" t="s">
        <v>306</v>
      </c>
      <c r="H3003" t="s">
        <v>36</v>
      </c>
      <c r="I3003">
        <v>15</v>
      </c>
    </row>
    <row r="3004" spans="1:9" ht="21.75" customHeight="1">
      <c r="A3004" t="s">
        <v>3154</v>
      </c>
      <c r="B3004" s="3">
        <v>45391</v>
      </c>
      <c r="C3004" t="s">
        <v>314</v>
      </c>
      <c r="D3004" t="s">
        <v>74</v>
      </c>
      <c r="E3004" t="s">
        <v>11</v>
      </c>
      <c r="F3004" t="str">
        <f t="shared" si="46"/>
        <v>East</v>
      </c>
      <c r="G3004" t="s">
        <v>42</v>
      </c>
      <c r="H3004" t="s">
        <v>28</v>
      </c>
      <c r="I3004">
        <v>12</v>
      </c>
    </row>
    <row r="3005" spans="1:9" ht="21.75" customHeight="1">
      <c r="A3005" t="s">
        <v>3155</v>
      </c>
      <c r="B3005" s="3">
        <v>45453</v>
      </c>
      <c r="C3005" t="s">
        <v>323</v>
      </c>
      <c r="D3005" t="s">
        <v>102</v>
      </c>
      <c r="E3005" t="s">
        <v>22</v>
      </c>
      <c r="F3005" t="str">
        <f t="shared" si="46"/>
        <v>South</v>
      </c>
      <c r="G3005" t="s">
        <v>56</v>
      </c>
      <c r="H3005" t="s">
        <v>23</v>
      </c>
      <c r="I3005">
        <v>14</v>
      </c>
    </row>
    <row r="3006" spans="1:9" ht="21.75" customHeight="1">
      <c r="A3006" t="s">
        <v>3156</v>
      </c>
      <c r="B3006" s="3">
        <v>45472</v>
      </c>
      <c r="C3006" t="s">
        <v>642</v>
      </c>
      <c r="D3006" t="s">
        <v>160</v>
      </c>
      <c r="E3006" t="s">
        <v>11</v>
      </c>
      <c r="F3006" t="str">
        <f t="shared" si="46"/>
        <v>East</v>
      </c>
      <c r="G3006" t="s">
        <v>42</v>
      </c>
      <c r="H3006" t="s">
        <v>23</v>
      </c>
      <c r="I3006">
        <v>20</v>
      </c>
    </row>
    <row r="3007" spans="1:9" ht="21.75" customHeight="1">
      <c r="A3007" t="s">
        <v>3157</v>
      </c>
      <c r="B3007" s="3">
        <v>45506</v>
      </c>
      <c r="C3007" t="s">
        <v>51</v>
      </c>
      <c r="D3007" t="s">
        <v>59</v>
      </c>
      <c r="E3007" t="s">
        <v>11</v>
      </c>
      <c r="F3007" t="str">
        <f t="shared" si="46"/>
        <v>Central</v>
      </c>
      <c r="G3007" t="s">
        <v>306</v>
      </c>
      <c r="H3007" t="s">
        <v>28</v>
      </c>
      <c r="I3007">
        <v>14</v>
      </c>
    </row>
    <row r="3008" spans="1:9" ht="21.75" customHeight="1">
      <c r="A3008" t="s">
        <v>3158</v>
      </c>
      <c r="B3008" s="3">
        <v>45632</v>
      </c>
      <c r="C3008" t="s">
        <v>99</v>
      </c>
      <c r="D3008" t="s">
        <v>109</v>
      </c>
      <c r="E3008" t="s">
        <v>17</v>
      </c>
      <c r="F3008" t="str">
        <f t="shared" si="46"/>
        <v>East</v>
      </c>
      <c r="G3008" t="s">
        <v>42</v>
      </c>
      <c r="H3008" t="s">
        <v>32</v>
      </c>
      <c r="I3008">
        <v>11</v>
      </c>
    </row>
    <row r="3009" spans="1:9" ht="21.75" customHeight="1">
      <c r="A3009" t="s">
        <v>3159</v>
      </c>
      <c r="B3009" s="3">
        <v>45501</v>
      </c>
      <c r="C3009" t="s">
        <v>572</v>
      </c>
      <c r="D3009" t="s">
        <v>160</v>
      </c>
      <c r="E3009" t="s">
        <v>11</v>
      </c>
      <c r="F3009" t="str">
        <f t="shared" si="46"/>
        <v>Central</v>
      </c>
      <c r="G3009" t="s">
        <v>306</v>
      </c>
      <c r="H3009" t="s">
        <v>23</v>
      </c>
      <c r="I3009">
        <v>7</v>
      </c>
    </row>
    <row r="3010" spans="1:9" ht="21.75" customHeight="1">
      <c r="A3010" t="s">
        <v>3160</v>
      </c>
      <c r="B3010" s="3">
        <v>45524</v>
      </c>
      <c r="C3010" t="s">
        <v>142</v>
      </c>
      <c r="D3010" t="s">
        <v>45</v>
      </c>
      <c r="E3010" t="s">
        <v>11</v>
      </c>
      <c r="F3010" t="str">
        <f t="shared" si="46"/>
        <v>West</v>
      </c>
      <c r="G3010" t="s">
        <v>27</v>
      </c>
      <c r="H3010" t="s">
        <v>32</v>
      </c>
      <c r="I3010">
        <v>18</v>
      </c>
    </row>
    <row r="3011" spans="1:9" ht="21.75" customHeight="1">
      <c r="A3011" t="s">
        <v>3161</v>
      </c>
      <c r="B3011" s="3">
        <v>45532</v>
      </c>
      <c r="C3011" t="s">
        <v>323</v>
      </c>
      <c r="D3011" t="s">
        <v>102</v>
      </c>
      <c r="E3011" t="s">
        <v>11</v>
      </c>
      <c r="F3011" t="str">
        <f t="shared" ref="F3011:F3074" si="47">TRIM(PROPER(G3011))</f>
        <v>North</v>
      </c>
      <c r="G3011" t="s">
        <v>12</v>
      </c>
      <c r="H3011" t="s">
        <v>23</v>
      </c>
      <c r="I3011">
        <v>1</v>
      </c>
    </row>
    <row r="3012" spans="1:9" ht="21.75" customHeight="1">
      <c r="A3012" t="s">
        <v>3162</v>
      </c>
      <c r="B3012" s="3">
        <v>45329</v>
      </c>
      <c r="C3012" t="s">
        <v>34</v>
      </c>
      <c r="D3012" t="s">
        <v>160</v>
      </c>
      <c r="E3012" t="s">
        <v>22</v>
      </c>
      <c r="F3012" t="str">
        <f t="shared" si="47"/>
        <v>West</v>
      </c>
      <c r="G3012" t="s">
        <v>27</v>
      </c>
      <c r="H3012" t="s">
        <v>23</v>
      </c>
      <c r="I3012">
        <v>12</v>
      </c>
    </row>
    <row r="3013" spans="1:9" ht="21.75" customHeight="1">
      <c r="A3013" t="s">
        <v>3163</v>
      </c>
      <c r="B3013" s="3">
        <v>45648</v>
      </c>
      <c r="C3013" t="s">
        <v>642</v>
      </c>
      <c r="D3013" t="s">
        <v>197</v>
      </c>
      <c r="E3013" t="s">
        <v>22</v>
      </c>
      <c r="F3013" t="str">
        <f t="shared" si="47"/>
        <v>East</v>
      </c>
      <c r="G3013" t="s">
        <v>42</v>
      </c>
      <c r="H3013" t="s">
        <v>13</v>
      </c>
      <c r="I3013">
        <v>11</v>
      </c>
    </row>
    <row r="3014" spans="1:9" ht="21.75" customHeight="1">
      <c r="A3014" t="s">
        <v>3164</v>
      </c>
      <c r="B3014" s="3">
        <v>45464</v>
      </c>
      <c r="C3014" t="s">
        <v>449</v>
      </c>
      <c r="D3014" t="s">
        <v>109</v>
      </c>
      <c r="E3014" t="s">
        <v>22</v>
      </c>
      <c r="F3014" t="str">
        <f t="shared" si="47"/>
        <v>North</v>
      </c>
      <c r="G3014" t="s">
        <v>12</v>
      </c>
      <c r="H3014" t="s">
        <v>13</v>
      </c>
      <c r="I3014">
        <v>3</v>
      </c>
    </row>
    <row r="3015" spans="1:9" ht="21.75" customHeight="1">
      <c r="A3015" t="s">
        <v>3165</v>
      </c>
      <c r="B3015" s="3">
        <v>45473</v>
      </c>
      <c r="C3015" t="s">
        <v>430</v>
      </c>
      <c r="D3015" t="s">
        <v>87</v>
      </c>
      <c r="E3015" t="s">
        <v>22</v>
      </c>
      <c r="F3015" t="str">
        <f t="shared" si="47"/>
        <v>West</v>
      </c>
      <c r="G3015" t="s">
        <v>27</v>
      </c>
      <c r="H3015" t="s">
        <v>23</v>
      </c>
      <c r="I3015">
        <v>10</v>
      </c>
    </row>
    <row r="3016" spans="1:9" ht="21.75" customHeight="1">
      <c r="A3016" t="s">
        <v>3166</v>
      </c>
      <c r="B3016" s="3">
        <v>45650</v>
      </c>
      <c r="C3016" t="s">
        <v>99</v>
      </c>
      <c r="D3016" t="s">
        <v>84</v>
      </c>
      <c r="E3016" t="s">
        <v>11</v>
      </c>
      <c r="F3016" t="str">
        <f t="shared" si="47"/>
        <v>Central</v>
      </c>
      <c r="G3016" t="s">
        <v>306</v>
      </c>
      <c r="H3016" t="s">
        <v>36</v>
      </c>
      <c r="I3016">
        <v>3</v>
      </c>
    </row>
    <row r="3017" spans="1:9" ht="21.75" customHeight="1">
      <c r="A3017" t="s">
        <v>3167</v>
      </c>
      <c r="B3017" s="3">
        <v>45295</v>
      </c>
      <c r="C3017" t="s">
        <v>449</v>
      </c>
      <c r="D3017" t="s">
        <v>59</v>
      </c>
      <c r="E3017" t="s">
        <v>17</v>
      </c>
      <c r="F3017" t="str">
        <f t="shared" si="47"/>
        <v>West</v>
      </c>
      <c r="G3017" t="s">
        <v>27</v>
      </c>
      <c r="H3017" t="s">
        <v>23</v>
      </c>
      <c r="I3017">
        <v>11</v>
      </c>
    </row>
    <row r="3018" spans="1:9" ht="21.75" customHeight="1">
      <c r="A3018" t="s">
        <v>3168</v>
      </c>
      <c r="B3018" s="3">
        <v>45552</v>
      </c>
      <c r="C3018" t="s">
        <v>329</v>
      </c>
      <c r="D3018" t="s">
        <v>59</v>
      </c>
      <c r="E3018" t="s">
        <v>17</v>
      </c>
      <c r="F3018" t="str">
        <f t="shared" si="47"/>
        <v>North</v>
      </c>
      <c r="G3018" t="s">
        <v>12</v>
      </c>
      <c r="H3018" t="s">
        <v>28</v>
      </c>
      <c r="I3018">
        <v>10</v>
      </c>
    </row>
    <row r="3019" spans="1:9" ht="21.75" customHeight="1">
      <c r="A3019" t="s">
        <v>3169</v>
      </c>
      <c r="B3019" s="3">
        <v>45316</v>
      </c>
      <c r="C3019" t="s">
        <v>614</v>
      </c>
      <c r="D3019" t="s">
        <v>160</v>
      </c>
      <c r="E3019" t="s">
        <v>22</v>
      </c>
      <c r="F3019" t="str">
        <f t="shared" si="47"/>
        <v>Central</v>
      </c>
      <c r="G3019" t="s">
        <v>306</v>
      </c>
      <c r="H3019" t="s">
        <v>36</v>
      </c>
      <c r="I3019">
        <v>14</v>
      </c>
    </row>
    <row r="3020" spans="1:9" ht="21.75" customHeight="1">
      <c r="A3020" t="s">
        <v>3170</v>
      </c>
      <c r="B3020" s="3">
        <v>45488</v>
      </c>
      <c r="C3020" t="s">
        <v>38</v>
      </c>
      <c r="D3020" t="s">
        <v>119</v>
      </c>
      <c r="E3020" t="s">
        <v>11</v>
      </c>
      <c r="F3020" t="str">
        <f t="shared" si="47"/>
        <v>South</v>
      </c>
      <c r="G3020" t="s">
        <v>56</v>
      </c>
      <c r="H3020" t="s">
        <v>13</v>
      </c>
      <c r="I3020">
        <v>7</v>
      </c>
    </row>
    <row r="3021" spans="1:9" ht="21.75" customHeight="1">
      <c r="A3021" t="s">
        <v>3171</v>
      </c>
      <c r="B3021" s="3">
        <v>45434</v>
      </c>
      <c r="C3021" t="s">
        <v>314</v>
      </c>
      <c r="D3021" t="s">
        <v>109</v>
      </c>
      <c r="E3021" t="s">
        <v>17</v>
      </c>
      <c r="F3021" t="str">
        <f t="shared" si="47"/>
        <v>North</v>
      </c>
      <c r="G3021" t="s">
        <v>12</v>
      </c>
      <c r="H3021" t="s">
        <v>32</v>
      </c>
      <c r="I3021">
        <v>10</v>
      </c>
    </row>
    <row r="3022" spans="1:9" ht="21.75" customHeight="1">
      <c r="A3022" t="s">
        <v>3172</v>
      </c>
      <c r="B3022" s="3">
        <v>45439</v>
      </c>
      <c r="C3022" t="s">
        <v>89</v>
      </c>
      <c r="D3022" t="s">
        <v>35</v>
      </c>
      <c r="E3022" t="s">
        <v>17</v>
      </c>
      <c r="F3022" t="str">
        <f t="shared" si="47"/>
        <v>South</v>
      </c>
      <c r="G3022" t="s">
        <v>56</v>
      </c>
      <c r="H3022" t="s">
        <v>28</v>
      </c>
      <c r="I3022">
        <v>10</v>
      </c>
    </row>
    <row r="3023" spans="1:9" ht="21.75" customHeight="1">
      <c r="A3023" t="s">
        <v>3173</v>
      </c>
      <c r="B3023" s="3">
        <v>45424</v>
      </c>
      <c r="C3023" t="s">
        <v>493</v>
      </c>
      <c r="D3023" t="s">
        <v>119</v>
      </c>
      <c r="E3023" t="s">
        <v>11</v>
      </c>
      <c r="F3023" t="str">
        <f t="shared" si="47"/>
        <v>South</v>
      </c>
      <c r="G3023" t="s">
        <v>56</v>
      </c>
      <c r="H3023" t="s">
        <v>32</v>
      </c>
      <c r="I3023">
        <v>5</v>
      </c>
    </row>
    <row r="3024" spans="1:9" ht="21.75" customHeight="1">
      <c r="A3024" t="s">
        <v>3174</v>
      </c>
      <c r="B3024" s="3">
        <v>45574</v>
      </c>
      <c r="C3024" t="s">
        <v>345</v>
      </c>
      <c r="D3024" t="s">
        <v>119</v>
      </c>
      <c r="E3024" t="s">
        <v>11</v>
      </c>
      <c r="F3024" t="str">
        <f t="shared" si="47"/>
        <v>North</v>
      </c>
      <c r="G3024" t="s">
        <v>12</v>
      </c>
      <c r="H3024" t="s">
        <v>36</v>
      </c>
      <c r="I3024">
        <v>2</v>
      </c>
    </row>
    <row r="3025" spans="1:9" ht="21.75" customHeight="1">
      <c r="A3025" t="s">
        <v>3175</v>
      </c>
      <c r="B3025" s="3">
        <v>45568</v>
      </c>
      <c r="C3025" t="s">
        <v>312</v>
      </c>
      <c r="D3025" t="s">
        <v>65</v>
      </c>
      <c r="E3025" t="s">
        <v>11</v>
      </c>
      <c r="F3025" t="str">
        <f t="shared" si="47"/>
        <v>West</v>
      </c>
      <c r="G3025" t="s">
        <v>27</v>
      </c>
      <c r="H3025" t="s">
        <v>13</v>
      </c>
      <c r="I3025">
        <v>12</v>
      </c>
    </row>
    <row r="3026" spans="1:9" ht="21.75" customHeight="1">
      <c r="A3026" t="s">
        <v>3176</v>
      </c>
      <c r="B3026" s="3">
        <v>45584</v>
      </c>
      <c r="C3026" t="s">
        <v>309</v>
      </c>
      <c r="D3026" t="s">
        <v>84</v>
      </c>
      <c r="E3026" t="s">
        <v>17</v>
      </c>
      <c r="F3026" t="str">
        <f t="shared" si="47"/>
        <v>Central</v>
      </c>
      <c r="G3026" t="s">
        <v>306</v>
      </c>
      <c r="H3026" t="s">
        <v>28</v>
      </c>
      <c r="I3026">
        <v>15</v>
      </c>
    </row>
    <row r="3027" spans="1:9" ht="21.75" customHeight="1">
      <c r="A3027" t="s">
        <v>3177</v>
      </c>
      <c r="B3027" s="3">
        <v>45348</v>
      </c>
      <c r="C3027" t="s">
        <v>436</v>
      </c>
      <c r="D3027" t="s">
        <v>62</v>
      </c>
      <c r="E3027" t="s">
        <v>11</v>
      </c>
      <c r="F3027" t="str">
        <f t="shared" si="47"/>
        <v>West</v>
      </c>
      <c r="G3027" t="s">
        <v>27</v>
      </c>
      <c r="H3027" t="s">
        <v>23</v>
      </c>
      <c r="I3027">
        <v>16</v>
      </c>
    </row>
    <row r="3028" spans="1:9" ht="21.75" customHeight="1">
      <c r="A3028" t="s">
        <v>3178</v>
      </c>
      <c r="B3028" s="3">
        <v>45362</v>
      </c>
      <c r="C3028" t="s">
        <v>89</v>
      </c>
      <c r="D3028" t="s">
        <v>84</v>
      </c>
      <c r="E3028" t="s">
        <v>22</v>
      </c>
      <c r="F3028" t="str">
        <f t="shared" si="47"/>
        <v>North</v>
      </c>
      <c r="G3028" t="s">
        <v>12</v>
      </c>
      <c r="H3028" t="s">
        <v>32</v>
      </c>
      <c r="I3028">
        <v>3</v>
      </c>
    </row>
    <row r="3029" spans="1:9" ht="21.75" customHeight="1">
      <c r="A3029" t="s">
        <v>3179</v>
      </c>
      <c r="B3029" s="3">
        <v>45405</v>
      </c>
      <c r="C3029" t="s">
        <v>388</v>
      </c>
      <c r="D3029" t="s">
        <v>10</v>
      </c>
      <c r="E3029" t="s">
        <v>17</v>
      </c>
      <c r="F3029" t="str">
        <f t="shared" si="47"/>
        <v>South</v>
      </c>
      <c r="G3029" t="s">
        <v>56</v>
      </c>
      <c r="H3029" t="s">
        <v>36</v>
      </c>
      <c r="I3029">
        <v>11</v>
      </c>
    </row>
    <row r="3030" spans="1:9" ht="21.75" customHeight="1">
      <c r="A3030" t="s">
        <v>3180</v>
      </c>
      <c r="B3030" s="3">
        <v>45614</v>
      </c>
      <c r="C3030" t="s">
        <v>304</v>
      </c>
      <c r="D3030" t="s">
        <v>160</v>
      </c>
      <c r="E3030" t="s">
        <v>22</v>
      </c>
      <c r="F3030" t="str">
        <f t="shared" si="47"/>
        <v>North</v>
      </c>
      <c r="G3030" t="s">
        <v>12</v>
      </c>
      <c r="H3030" t="s">
        <v>32</v>
      </c>
      <c r="I3030">
        <v>2</v>
      </c>
    </row>
    <row r="3031" spans="1:9" ht="21.75" customHeight="1">
      <c r="A3031" t="s">
        <v>3181</v>
      </c>
      <c r="B3031" s="3">
        <v>45653</v>
      </c>
      <c r="C3031" t="s">
        <v>363</v>
      </c>
      <c r="D3031" t="s">
        <v>72</v>
      </c>
      <c r="E3031" t="s">
        <v>11</v>
      </c>
      <c r="F3031" t="str">
        <f t="shared" si="47"/>
        <v>Central</v>
      </c>
      <c r="G3031" t="s">
        <v>306</v>
      </c>
      <c r="H3031" t="s">
        <v>13</v>
      </c>
      <c r="I3031">
        <v>1</v>
      </c>
    </row>
    <row r="3032" spans="1:9" ht="21.75" customHeight="1">
      <c r="A3032" t="s">
        <v>3182</v>
      </c>
      <c r="B3032" s="3">
        <v>45592</v>
      </c>
      <c r="C3032" t="s">
        <v>159</v>
      </c>
      <c r="D3032" t="s">
        <v>197</v>
      </c>
      <c r="E3032" t="s">
        <v>22</v>
      </c>
      <c r="F3032" t="str">
        <f t="shared" si="47"/>
        <v>South</v>
      </c>
      <c r="G3032" t="s">
        <v>56</v>
      </c>
      <c r="H3032" t="s">
        <v>32</v>
      </c>
      <c r="I3032">
        <v>16</v>
      </c>
    </row>
    <row r="3033" spans="1:9" ht="21.75" customHeight="1">
      <c r="A3033" t="s">
        <v>3183</v>
      </c>
      <c r="B3033" s="3">
        <v>45387</v>
      </c>
      <c r="C3033" t="s">
        <v>388</v>
      </c>
      <c r="D3033" t="s">
        <v>35</v>
      </c>
      <c r="E3033" t="s">
        <v>17</v>
      </c>
      <c r="F3033" t="str">
        <f t="shared" si="47"/>
        <v>South</v>
      </c>
      <c r="G3033" t="s">
        <v>56</v>
      </c>
      <c r="H3033" t="s">
        <v>28</v>
      </c>
      <c r="I3033">
        <v>3</v>
      </c>
    </row>
    <row r="3034" spans="1:9" ht="21.75" customHeight="1">
      <c r="A3034" t="s">
        <v>3184</v>
      </c>
      <c r="B3034" s="3">
        <v>45401</v>
      </c>
      <c r="C3034" t="s">
        <v>25</v>
      </c>
      <c r="D3034" t="s">
        <v>87</v>
      </c>
      <c r="E3034" t="s">
        <v>11</v>
      </c>
      <c r="F3034" t="str">
        <f t="shared" si="47"/>
        <v>West</v>
      </c>
      <c r="G3034" t="s">
        <v>27</v>
      </c>
      <c r="H3034" t="s">
        <v>36</v>
      </c>
      <c r="I3034">
        <v>20</v>
      </c>
    </row>
    <row r="3035" spans="1:9" ht="21.75" customHeight="1">
      <c r="A3035" t="s">
        <v>3185</v>
      </c>
      <c r="B3035" s="3">
        <v>45383</v>
      </c>
      <c r="C3035" t="s">
        <v>122</v>
      </c>
      <c r="D3035" t="s">
        <v>87</v>
      </c>
      <c r="E3035" t="s">
        <v>22</v>
      </c>
      <c r="F3035" t="str">
        <f t="shared" si="47"/>
        <v>East</v>
      </c>
      <c r="G3035" t="s">
        <v>42</v>
      </c>
      <c r="H3035" t="s">
        <v>36</v>
      </c>
      <c r="I3035">
        <v>13</v>
      </c>
    </row>
    <row r="3036" spans="1:9" ht="21.75" customHeight="1">
      <c r="A3036" t="s">
        <v>3186</v>
      </c>
      <c r="B3036" s="3">
        <v>45412</v>
      </c>
      <c r="C3036" t="s">
        <v>541</v>
      </c>
      <c r="D3036" t="s">
        <v>48</v>
      </c>
      <c r="E3036" t="s">
        <v>17</v>
      </c>
      <c r="F3036" t="str">
        <f t="shared" si="47"/>
        <v>Central</v>
      </c>
      <c r="G3036" t="s">
        <v>306</v>
      </c>
      <c r="H3036" t="s">
        <v>28</v>
      </c>
      <c r="I3036">
        <v>10</v>
      </c>
    </row>
    <row r="3037" spans="1:9" ht="21.75" customHeight="1">
      <c r="A3037" t="s">
        <v>3187</v>
      </c>
      <c r="B3037" s="3">
        <v>45441</v>
      </c>
      <c r="C3037" t="s">
        <v>317</v>
      </c>
      <c r="D3037" t="s">
        <v>35</v>
      </c>
      <c r="E3037" t="s">
        <v>17</v>
      </c>
      <c r="F3037" t="str">
        <f t="shared" si="47"/>
        <v>West</v>
      </c>
      <c r="G3037" t="s">
        <v>27</v>
      </c>
      <c r="H3037" t="s">
        <v>36</v>
      </c>
      <c r="I3037">
        <v>12</v>
      </c>
    </row>
    <row r="3038" spans="1:9" ht="21.75" customHeight="1">
      <c r="A3038" t="s">
        <v>3188</v>
      </c>
      <c r="B3038" s="3">
        <v>45443</v>
      </c>
      <c r="C3038" t="s">
        <v>108</v>
      </c>
      <c r="D3038" t="s">
        <v>197</v>
      </c>
      <c r="E3038" t="s">
        <v>11</v>
      </c>
      <c r="F3038" t="str">
        <f t="shared" si="47"/>
        <v>East</v>
      </c>
      <c r="G3038" t="s">
        <v>42</v>
      </c>
      <c r="H3038" t="s">
        <v>23</v>
      </c>
      <c r="I3038">
        <v>15</v>
      </c>
    </row>
    <row r="3039" spans="1:9" ht="21.75" customHeight="1">
      <c r="A3039" t="s">
        <v>3189</v>
      </c>
      <c r="B3039" s="3">
        <v>45631</v>
      </c>
      <c r="C3039" t="s">
        <v>309</v>
      </c>
      <c r="D3039" t="s">
        <v>102</v>
      </c>
      <c r="E3039" t="s">
        <v>11</v>
      </c>
      <c r="F3039" t="str">
        <f t="shared" si="47"/>
        <v>West</v>
      </c>
      <c r="G3039" t="s">
        <v>27</v>
      </c>
      <c r="H3039" t="s">
        <v>32</v>
      </c>
      <c r="I3039">
        <v>4</v>
      </c>
    </row>
    <row r="3040" spans="1:9" ht="21.75" customHeight="1">
      <c r="A3040" t="s">
        <v>3190</v>
      </c>
      <c r="B3040" s="3">
        <v>45495</v>
      </c>
      <c r="C3040" t="s">
        <v>369</v>
      </c>
      <c r="D3040" t="s">
        <v>16</v>
      </c>
      <c r="E3040" t="s">
        <v>17</v>
      </c>
      <c r="F3040" t="str">
        <f t="shared" si="47"/>
        <v>West</v>
      </c>
      <c r="G3040" t="s">
        <v>27</v>
      </c>
      <c r="H3040" t="s">
        <v>36</v>
      </c>
      <c r="I3040">
        <v>14</v>
      </c>
    </row>
    <row r="3041" spans="1:9" ht="21.75" customHeight="1">
      <c r="A3041" t="s">
        <v>3191</v>
      </c>
      <c r="B3041" s="3">
        <v>45306</v>
      </c>
      <c r="C3041" t="s">
        <v>61</v>
      </c>
      <c r="D3041" t="s">
        <v>26</v>
      </c>
      <c r="E3041" t="s">
        <v>22</v>
      </c>
      <c r="F3041" t="str">
        <f t="shared" si="47"/>
        <v>South</v>
      </c>
      <c r="G3041" t="s">
        <v>56</v>
      </c>
      <c r="H3041" t="s">
        <v>23</v>
      </c>
      <c r="I3041">
        <v>2</v>
      </c>
    </row>
    <row r="3042" spans="1:9" ht="21.75" customHeight="1">
      <c r="A3042" t="s">
        <v>3192</v>
      </c>
      <c r="B3042" s="3">
        <v>45457</v>
      </c>
      <c r="C3042" t="s">
        <v>86</v>
      </c>
      <c r="D3042" t="s">
        <v>41</v>
      </c>
      <c r="E3042" t="s">
        <v>17</v>
      </c>
      <c r="F3042" t="str">
        <f t="shared" si="47"/>
        <v>West</v>
      </c>
      <c r="G3042" t="s">
        <v>27</v>
      </c>
      <c r="H3042" t="s">
        <v>23</v>
      </c>
      <c r="I3042">
        <v>15</v>
      </c>
    </row>
    <row r="3043" spans="1:9" ht="21.75" customHeight="1">
      <c r="A3043" t="s">
        <v>3193</v>
      </c>
      <c r="B3043" s="3">
        <v>45425</v>
      </c>
      <c r="C3043" t="s">
        <v>9</v>
      </c>
      <c r="D3043" t="s">
        <v>26</v>
      </c>
      <c r="E3043" t="s">
        <v>17</v>
      </c>
      <c r="F3043" t="str">
        <f t="shared" si="47"/>
        <v>South</v>
      </c>
      <c r="G3043" t="s">
        <v>56</v>
      </c>
      <c r="H3043" t="s">
        <v>32</v>
      </c>
      <c r="I3043">
        <v>2</v>
      </c>
    </row>
    <row r="3044" spans="1:9" ht="21.75" customHeight="1">
      <c r="A3044" t="s">
        <v>3194</v>
      </c>
      <c r="B3044" s="3">
        <v>45501</v>
      </c>
      <c r="C3044" t="s">
        <v>240</v>
      </c>
      <c r="D3044" t="s">
        <v>59</v>
      </c>
      <c r="E3044" t="s">
        <v>11</v>
      </c>
      <c r="F3044" t="str">
        <f t="shared" si="47"/>
        <v>Central</v>
      </c>
      <c r="G3044" t="s">
        <v>306</v>
      </c>
      <c r="H3044" t="s">
        <v>28</v>
      </c>
      <c r="I3044">
        <v>4</v>
      </c>
    </row>
    <row r="3045" spans="1:9" ht="21.75" customHeight="1">
      <c r="A3045" t="s">
        <v>3195</v>
      </c>
      <c r="B3045" s="3">
        <v>45606</v>
      </c>
      <c r="C3045" t="s">
        <v>594</v>
      </c>
      <c r="D3045" t="s">
        <v>72</v>
      </c>
      <c r="E3045" t="s">
        <v>11</v>
      </c>
      <c r="F3045" t="str">
        <f t="shared" si="47"/>
        <v>Central</v>
      </c>
      <c r="G3045" t="s">
        <v>306</v>
      </c>
      <c r="H3045" t="s">
        <v>36</v>
      </c>
      <c r="I3045">
        <v>1</v>
      </c>
    </row>
    <row r="3046" spans="1:9" ht="21.75" customHeight="1">
      <c r="A3046" t="s">
        <v>3196</v>
      </c>
      <c r="B3046" s="3">
        <v>45302</v>
      </c>
      <c r="C3046" t="s">
        <v>159</v>
      </c>
      <c r="D3046" t="s">
        <v>10</v>
      </c>
      <c r="E3046" t="s">
        <v>22</v>
      </c>
      <c r="F3046" t="str">
        <f t="shared" si="47"/>
        <v>East</v>
      </c>
      <c r="G3046" t="s">
        <v>42</v>
      </c>
      <c r="H3046" t="s">
        <v>32</v>
      </c>
      <c r="I3046">
        <v>18</v>
      </c>
    </row>
    <row r="3047" spans="1:9" ht="21.75" customHeight="1">
      <c r="A3047" t="s">
        <v>3197</v>
      </c>
      <c r="B3047" s="3">
        <v>45317</v>
      </c>
      <c r="C3047" t="s">
        <v>363</v>
      </c>
      <c r="D3047" t="s">
        <v>65</v>
      </c>
      <c r="E3047" t="s">
        <v>17</v>
      </c>
      <c r="F3047" t="str">
        <f t="shared" si="47"/>
        <v>Central</v>
      </c>
      <c r="G3047" t="s">
        <v>306</v>
      </c>
      <c r="H3047" t="s">
        <v>28</v>
      </c>
      <c r="I3047">
        <v>6</v>
      </c>
    </row>
    <row r="3048" spans="1:9" ht="21.75" customHeight="1">
      <c r="A3048" t="s">
        <v>3198</v>
      </c>
      <c r="B3048" s="3">
        <v>45494</v>
      </c>
      <c r="C3048" t="s">
        <v>436</v>
      </c>
      <c r="D3048" t="s">
        <v>197</v>
      </c>
      <c r="E3048" t="s">
        <v>17</v>
      </c>
      <c r="F3048" t="str">
        <f t="shared" si="47"/>
        <v>South</v>
      </c>
      <c r="G3048" t="s">
        <v>56</v>
      </c>
      <c r="H3048" t="s">
        <v>32</v>
      </c>
      <c r="I3048">
        <v>11</v>
      </c>
    </row>
    <row r="3049" spans="1:9" ht="21.75" customHeight="1">
      <c r="A3049" t="s">
        <v>3199</v>
      </c>
      <c r="B3049" s="3">
        <v>45575</v>
      </c>
      <c r="C3049" t="s">
        <v>388</v>
      </c>
      <c r="D3049" t="s">
        <v>197</v>
      </c>
      <c r="E3049" t="s">
        <v>11</v>
      </c>
      <c r="F3049" t="str">
        <f t="shared" si="47"/>
        <v>North</v>
      </c>
      <c r="G3049" t="s">
        <v>12</v>
      </c>
      <c r="H3049" t="s">
        <v>13</v>
      </c>
      <c r="I3049">
        <v>17</v>
      </c>
    </row>
    <row r="3050" spans="1:9" ht="21.75" customHeight="1">
      <c r="A3050" t="s">
        <v>3200</v>
      </c>
      <c r="B3050" s="3">
        <v>45495</v>
      </c>
      <c r="C3050" t="s">
        <v>374</v>
      </c>
      <c r="D3050" t="s">
        <v>79</v>
      </c>
      <c r="E3050" t="s">
        <v>11</v>
      </c>
      <c r="F3050" t="str">
        <f t="shared" si="47"/>
        <v>East</v>
      </c>
      <c r="G3050" t="s">
        <v>42</v>
      </c>
      <c r="H3050" t="s">
        <v>32</v>
      </c>
      <c r="I3050">
        <v>1</v>
      </c>
    </row>
    <row r="3051" spans="1:9" ht="21.75" customHeight="1">
      <c r="A3051" t="s">
        <v>3201</v>
      </c>
      <c r="B3051" s="3">
        <v>45644</v>
      </c>
      <c r="C3051" t="s">
        <v>78</v>
      </c>
      <c r="D3051" t="s">
        <v>79</v>
      </c>
      <c r="E3051" t="s">
        <v>17</v>
      </c>
      <c r="F3051" t="str">
        <f t="shared" si="47"/>
        <v>North</v>
      </c>
      <c r="G3051" t="s">
        <v>12</v>
      </c>
      <c r="H3051" t="s">
        <v>23</v>
      </c>
      <c r="I3051">
        <v>13</v>
      </c>
    </row>
    <row r="3052" spans="1:9" ht="21.75" customHeight="1">
      <c r="A3052" t="s">
        <v>3202</v>
      </c>
      <c r="B3052" s="3">
        <v>45430</v>
      </c>
      <c r="C3052" t="s">
        <v>81</v>
      </c>
      <c r="D3052" t="s">
        <v>10</v>
      </c>
      <c r="E3052" t="s">
        <v>11</v>
      </c>
      <c r="F3052" t="str">
        <f t="shared" si="47"/>
        <v>Central</v>
      </c>
      <c r="G3052" t="s">
        <v>306</v>
      </c>
      <c r="H3052" t="s">
        <v>23</v>
      </c>
      <c r="I3052">
        <v>1</v>
      </c>
    </row>
    <row r="3053" spans="1:9" ht="21.75" customHeight="1">
      <c r="A3053" t="s">
        <v>3203</v>
      </c>
      <c r="B3053" s="3">
        <v>45569</v>
      </c>
      <c r="C3053" t="s">
        <v>493</v>
      </c>
      <c r="D3053" t="s">
        <v>16</v>
      </c>
      <c r="E3053" t="s">
        <v>11</v>
      </c>
      <c r="F3053" t="str">
        <f t="shared" si="47"/>
        <v>Central</v>
      </c>
      <c r="G3053" t="s">
        <v>306</v>
      </c>
      <c r="H3053" t="s">
        <v>23</v>
      </c>
      <c r="I3053">
        <v>7</v>
      </c>
    </row>
    <row r="3054" spans="1:9" ht="21.75" customHeight="1">
      <c r="A3054" t="s">
        <v>3204</v>
      </c>
      <c r="B3054" s="3">
        <v>45451</v>
      </c>
      <c r="C3054" t="s">
        <v>728</v>
      </c>
      <c r="D3054" t="s">
        <v>72</v>
      </c>
      <c r="E3054" t="s">
        <v>17</v>
      </c>
      <c r="F3054" t="str">
        <f t="shared" si="47"/>
        <v>Central</v>
      </c>
      <c r="G3054" t="s">
        <v>306</v>
      </c>
      <c r="H3054" t="s">
        <v>13</v>
      </c>
      <c r="I3054">
        <v>10</v>
      </c>
    </row>
    <row r="3055" spans="1:9" ht="21.75" customHeight="1">
      <c r="A3055" t="s">
        <v>3205</v>
      </c>
      <c r="B3055" s="3">
        <v>45395</v>
      </c>
      <c r="C3055" t="s">
        <v>108</v>
      </c>
      <c r="D3055" t="s">
        <v>26</v>
      </c>
      <c r="E3055" t="s">
        <v>22</v>
      </c>
      <c r="F3055" t="str">
        <f t="shared" si="47"/>
        <v>Central</v>
      </c>
      <c r="G3055" t="s">
        <v>306</v>
      </c>
      <c r="H3055" t="s">
        <v>23</v>
      </c>
      <c r="I3055">
        <v>13</v>
      </c>
    </row>
    <row r="3056" spans="1:9" ht="21.75" customHeight="1">
      <c r="A3056" t="s">
        <v>3206</v>
      </c>
      <c r="B3056" s="3">
        <v>45339</v>
      </c>
      <c r="C3056" t="s">
        <v>240</v>
      </c>
      <c r="D3056" t="s">
        <v>87</v>
      </c>
      <c r="E3056" t="s">
        <v>22</v>
      </c>
      <c r="F3056" t="str">
        <f t="shared" si="47"/>
        <v>East</v>
      </c>
      <c r="G3056" t="s">
        <v>42</v>
      </c>
      <c r="H3056" t="s">
        <v>23</v>
      </c>
      <c r="I3056">
        <v>10</v>
      </c>
    </row>
    <row r="3057" spans="1:9" ht="21.75" customHeight="1">
      <c r="A3057" t="s">
        <v>3207</v>
      </c>
      <c r="B3057" s="3">
        <v>45565</v>
      </c>
      <c r="C3057" t="s">
        <v>358</v>
      </c>
      <c r="D3057" t="s">
        <v>197</v>
      </c>
      <c r="E3057" t="s">
        <v>17</v>
      </c>
      <c r="F3057" t="str">
        <f t="shared" si="47"/>
        <v>North</v>
      </c>
      <c r="G3057" t="s">
        <v>12</v>
      </c>
      <c r="H3057" t="s">
        <v>23</v>
      </c>
      <c r="I3057">
        <v>13</v>
      </c>
    </row>
    <row r="3058" spans="1:9" ht="21.75" customHeight="1">
      <c r="A3058" t="s">
        <v>3208</v>
      </c>
      <c r="B3058" s="3">
        <v>45571</v>
      </c>
      <c r="C3058" t="s">
        <v>436</v>
      </c>
      <c r="D3058" t="s">
        <v>102</v>
      </c>
      <c r="E3058" t="s">
        <v>17</v>
      </c>
      <c r="F3058" t="str">
        <f t="shared" si="47"/>
        <v>South</v>
      </c>
      <c r="G3058" t="s">
        <v>56</v>
      </c>
      <c r="H3058" t="s">
        <v>36</v>
      </c>
      <c r="I3058">
        <v>1</v>
      </c>
    </row>
    <row r="3059" spans="1:9" ht="21.75" customHeight="1">
      <c r="A3059" t="s">
        <v>3209</v>
      </c>
      <c r="B3059" s="3">
        <v>45410</v>
      </c>
      <c r="C3059" t="s">
        <v>430</v>
      </c>
      <c r="D3059" t="s">
        <v>48</v>
      </c>
      <c r="E3059" t="s">
        <v>17</v>
      </c>
      <c r="F3059" t="str">
        <f t="shared" si="47"/>
        <v>Central</v>
      </c>
      <c r="G3059" t="s">
        <v>306</v>
      </c>
      <c r="H3059" t="s">
        <v>13</v>
      </c>
      <c r="I3059">
        <v>10</v>
      </c>
    </row>
    <row r="3060" spans="1:9" ht="21.75" customHeight="1">
      <c r="A3060" t="s">
        <v>3210</v>
      </c>
      <c r="B3060" s="3">
        <v>45614</v>
      </c>
      <c r="C3060" t="s">
        <v>81</v>
      </c>
      <c r="D3060" t="s">
        <v>102</v>
      </c>
      <c r="E3060" t="s">
        <v>22</v>
      </c>
      <c r="F3060" t="str">
        <f t="shared" si="47"/>
        <v>South</v>
      </c>
      <c r="G3060" t="s">
        <v>56</v>
      </c>
      <c r="H3060" t="s">
        <v>28</v>
      </c>
      <c r="I3060">
        <v>16</v>
      </c>
    </row>
    <row r="3061" spans="1:9" ht="21.75" customHeight="1">
      <c r="A3061" t="s">
        <v>3211</v>
      </c>
      <c r="B3061" s="3">
        <v>45334</v>
      </c>
      <c r="C3061" t="s">
        <v>167</v>
      </c>
      <c r="D3061" t="s">
        <v>31</v>
      </c>
      <c r="E3061" t="s">
        <v>22</v>
      </c>
      <c r="F3061" t="str">
        <f t="shared" si="47"/>
        <v>West</v>
      </c>
      <c r="G3061" t="s">
        <v>27</v>
      </c>
      <c r="H3061" t="s">
        <v>36</v>
      </c>
      <c r="I3061">
        <v>19</v>
      </c>
    </row>
    <row r="3062" spans="1:9" ht="21.75" customHeight="1">
      <c r="A3062" t="s">
        <v>3212</v>
      </c>
      <c r="B3062" s="3">
        <v>45322</v>
      </c>
      <c r="C3062" t="s">
        <v>337</v>
      </c>
      <c r="D3062" t="s">
        <v>35</v>
      </c>
      <c r="E3062" t="s">
        <v>17</v>
      </c>
      <c r="F3062" t="str">
        <f t="shared" si="47"/>
        <v>West</v>
      </c>
      <c r="G3062" t="s">
        <v>27</v>
      </c>
      <c r="H3062" t="s">
        <v>32</v>
      </c>
      <c r="I3062">
        <v>11</v>
      </c>
    </row>
    <row r="3063" spans="1:9" ht="21.75" customHeight="1">
      <c r="A3063" t="s">
        <v>3213</v>
      </c>
      <c r="B3063" s="3">
        <v>45310</v>
      </c>
      <c r="C3063" t="s">
        <v>187</v>
      </c>
      <c r="D3063" t="s">
        <v>62</v>
      </c>
      <c r="E3063" t="s">
        <v>22</v>
      </c>
      <c r="F3063" t="str">
        <f t="shared" si="47"/>
        <v>Central</v>
      </c>
      <c r="G3063" t="s">
        <v>306</v>
      </c>
      <c r="H3063" t="s">
        <v>23</v>
      </c>
      <c r="I3063">
        <v>1</v>
      </c>
    </row>
    <row r="3064" spans="1:9" ht="21.75" customHeight="1">
      <c r="A3064" t="s">
        <v>3214</v>
      </c>
      <c r="B3064" s="3">
        <v>45399</v>
      </c>
      <c r="C3064" t="s">
        <v>664</v>
      </c>
      <c r="D3064" t="s">
        <v>174</v>
      </c>
      <c r="E3064" t="s">
        <v>17</v>
      </c>
      <c r="F3064" t="str">
        <f t="shared" si="47"/>
        <v>Central</v>
      </c>
      <c r="G3064" t="s">
        <v>306</v>
      </c>
      <c r="H3064" t="s">
        <v>23</v>
      </c>
      <c r="I3064">
        <v>11</v>
      </c>
    </row>
    <row r="3065" spans="1:9" ht="21.75" customHeight="1">
      <c r="A3065" t="s">
        <v>3215</v>
      </c>
      <c r="B3065" s="3">
        <v>45412</v>
      </c>
      <c r="C3065" t="s">
        <v>187</v>
      </c>
      <c r="D3065" t="s">
        <v>70</v>
      </c>
      <c r="E3065" t="s">
        <v>22</v>
      </c>
      <c r="F3065" t="str">
        <f t="shared" si="47"/>
        <v>West</v>
      </c>
      <c r="G3065" t="s">
        <v>27</v>
      </c>
      <c r="H3065" t="s">
        <v>36</v>
      </c>
      <c r="I3065">
        <v>18</v>
      </c>
    </row>
    <row r="3066" spans="1:9" ht="21.75" customHeight="1">
      <c r="A3066" t="s">
        <v>3216</v>
      </c>
      <c r="B3066" s="3">
        <v>45333</v>
      </c>
      <c r="C3066" t="s">
        <v>15</v>
      </c>
      <c r="D3066" t="s">
        <v>87</v>
      </c>
      <c r="E3066" t="s">
        <v>22</v>
      </c>
      <c r="F3066" t="str">
        <f t="shared" si="47"/>
        <v>North</v>
      </c>
      <c r="G3066" t="s">
        <v>12</v>
      </c>
      <c r="H3066" t="s">
        <v>23</v>
      </c>
      <c r="I3066">
        <v>5</v>
      </c>
    </row>
    <row r="3067" spans="1:9" ht="21.75" customHeight="1">
      <c r="A3067" t="s">
        <v>3217</v>
      </c>
      <c r="B3067" s="3">
        <v>45374</v>
      </c>
      <c r="C3067" t="s">
        <v>363</v>
      </c>
      <c r="D3067" t="s">
        <v>84</v>
      </c>
      <c r="E3067" t="s">
        <v>11</v>
      </c>
      <c r="F3067" t="str">
        <f t="shared" si="47"/>
        <v>South</v>
      </c>
      <c r="G3067" t="s">
        <v>56</v>
      </c>
      <c r="H3067" t="s">
        <v>28</v>
      </c>
      <c r="I3067">
        <v>15</v>
      </c>
    </row>
    <row r="3068" spans="1:9" ht="21.75" customHeight="1">
      <c r="A3068" t="s">
        <v>3218</v>
      </c>
      <c r="B3068" s="3">
        <v>45350</v>
      </c>
      <c r="C3068" t="s">
        <v>122</v>
      </c>
      <c r="D3068" t="s">
        <v>87</v>
      </c>
      <c r="E3068" t="s">
        <v>17</v>
      </c>
      <c r="F3068" t="str">
        <f t="shared" si="47"/>
        <v>South</v>
      </c>
      <c r="G3068" t="s">
        <v>56</v>
      </c>
      <c r="H3068" t="s">
        <v>36</v>
      </c>
      <c r="I3068">
        <v>16</v>
      </c>
    </row>
    <row r="3069" spans="1:9" ht="21.75" customHeight="1">
      <c r="A3069" t="s">
        <v>3219</v>
      </c>
      <c r="B3069" s="3">
        <v>45572</v>
      </c>
      <c r="C3069" t="s">
        <v>572</v>
      </c>
      <c r="D3069" t="s">
        <v>31</v>
      </c>
      <c r="E3069" t="s">
        <v>11</v>
      </c>
      <c r="F3069" t="str">
        <f t="shared" si="47"/>
        <v>East</v>
      </c>
      <c r="G3069" t="s">
        <v>42</v>
      </c>
      <c r="H3069" t="s">
        <v>13</v>
      </c>
      <c r="I3069">
        <v>14</v>
      </c>
    </row>
    <row r="3070" spans="1:9" ht="21.75" customHeight="1">
      <c r="A3070" t="s">
        <v>3220</v>
      </c>
      <c r="B3070" s="3">
        <v>45638</v>
      </c>
      <c r="C3070" t="s">
        <v>101</v>
      </c>
      <c r="D3070" t="s">
        <v>160</v>
      </c>
      <c r="E3070" t="s">
        <v>17</v>
      </c>
      <c r="F3070" t="str">
        <f t="shared" si="47"/>
        <v>Central</v>
      </c>
      <c r="G3070" t="s">
        <v>306</v>
      </c>
      <c r="H3070" t="s">
        <v>32</v>
      </c>
      <c r="I3070">
        <v>19</v>
      </c>
    </row>
    <row r="3071" spans="1:9" ht="21.75" customHeight="1">
      <c r="A3071" t="s">
        <v>3221</v>
      </c>
      <c r="B3071" s="3">
        <v>45364</v>
      </c>
      <c r="C3071" t="s">
        <v>61</v>
      </c>
      <c r="D3071" t="s">
        <v>160</v>
      </c>
      <c r="E3071" t="s">
        <v>22</v>
      </c>
      <c r="F3071" t="str">
        <f t="shared" si="47"/>
        <v>South</v>
      </c>
      <c r="G3071" t="s">
        <v>56</v>
      </c>
      <c r="H3071" t="s">
        <v>36</v>
      </c>
      <c r="I3071">
        <v>12</v>
      </c>
    </row>
    <row r="3072" spans="1:9" ht="21.75" customHeight="1">
      <c r="A3072" t="s">
        <v>3222</v>
      </c>
      <c r="B3072" s="3">
        <v>45420</v>
      </c>
      <c r="C3072" t="s">
        <v>553</v>
      </c>
      <c r="D3072" t="s">
        <v>70</v>
      </c>
      <c r="E3072" t="s">
        <v>11</v>
      </c>
      <c r="F3072" t="str">
        <f t="shared" si="47"/>
        <v>East</v>
      </c>
      <c r="G3072" t="s">
        <v>42</v>
      </c>
      <c r="H3072" t="s">
        <v>28</v>
      </c>
      <c r="I3072">
        <v>6</v>
      </c>
    </row>
    <row r="3073" spans="1:9" ht="21.75" customHeight="1">
      <c r="A3073" t="s">
        <v>3223</v>
      </c>
      <c r="B3073" s="3">
        <v>45534</v>
      </c>
      <c r="C3073" t="s">
        <v>142</v>
      </c>
      <c r="D3073" t="s">
        <v>72</v>
      </c>
      <c r="E3073" t="s">
        <v>17</v>
      </c>
      <c r="F3073" t="str">
        <f t="shared" si="47"/>
        <v>South</v>
      </c>
      <c r="G3073" t="s">
        <v>56</v>
      </c>
      <c r="H3073" t="s">
        <v>28</v>
      </c>
      <c r="I3073">
        <v>16</v>
      </c>
    </row>
    <row r="3074" spans="1:9" ht="21.75" customHeight="1">
      <c r="A3074" t="s">
        <v>3224</v>
      </c>
      <c r="B3074" s="3">
        <v>45294</v>
      </c>
      <c r="C3074" t="s">
        <v>147</v>
      </c>
      <c r="D3074" t="s">
        <v>62</v>
      </c>
      <c r="E3074" t="s">
        <v>11</v>
      </c>
      <c r="F3074" t="str">
        <f t="shared" si="47"/>
        <v>South</v>
      </c>
      <c r="G3074" t="s">
        <v>56</v>
      </c>
      <c r="H3074" t="s">
        <v>13</v>
      </c>
      <c r="I3074">
        <v>18</v>
      </c>
    </row>
    <row r="3075" spans="1:9" ht="21.75" customHeight="1">
      <c r="A3075" t="s">
        <v>3225</v>
      </c>
      <c r="B3075" s="3">
        <v>45340</v>
      </c>
      <c r="C3075" t="s">
        <v>131</v>
      </c>
      <c r="D3075" t="s">
        <v>109</v>
      </c>
      <c r="E3075" t="s">
        <v>17</v>
      </c>
      <c r="F3075" t="str">
        <f t="shared" ref="F3075:F3138" si="48">TRIM(PROPER(G3075))</f>
        <v>Central</v>
      </c>
      <c r="G3075" t="s">
        <v>306</v>
      </c>
      <c r="H3075" t="s">
        <v>28</v>
      </c>
      <c r="I3075">
        <v>3</v>
      </c>
    </row>
    <row r="3076" spans="1:9" ht="21.75" customHeight="1">
      <c r="A3076" t="s">
        <v>3226</v>
      </c>
      <c r="B3076" s="3">
        <v>45578</v>
      </c>
      <c r="C3076" t="s">
        <v>240</v>
      </c>
      <c r="D3076" t="s">
        <v>48</v>
      </c>
      <c r="E3076" t="s">
        <v>22</v>
      </c>
      <c r="F3076" t="str">
        <f t="shared" si="48"/>
        <v>North</v>
      </c>
      <c r="G3076" t="s">
        <v>12</v>
      </c>
      <c r="H3076" t="s">
        <v>28</v>
      </c>
      <c r="I3076">
        <v>9</v>
      </c>
    </row>
    <row r="3077" spans="1:9" ht="21.75" customHeight="1">
      <c r="A3077" t="s">
        <v>3227</v>
      </c>
      <c r="B3077" s="3">
        <v>45510</v>
      </c>
      <c r="C3077" t="s">
        <v>361</v>
      </c>
      <c r="D3077" t="s">
        <v>84</v>
      </c>
      <c r="E3077" t="s">
        <v>17</v>
      </c>
      <c r="F3077" t="str">
        <f t="shared" si="48"/>
        <v>East</v>
      </c>
      <c r="G3077" t="s">
        <v>42</v>
      </c>
      <c r="H3077" t="s">
        <v>36</v>
      </c>
      <c r="I3077">
        <v>13</v>
      </c>
    </row>
    <row r="3078" spans="1:9" ht="21.75" customHeight="1">
      <c r="A3078" t="s">
        <v>3228</v>
      </c>
      <c r="B3078" s="3">
        <v>45579</v>
      </c>
      <c r="C3078" t="s">
        <v>591</v>
      </c>
      <c r="D3078" t="s">
        <v>21</v>
      </c>
      <c r="E3078" t="s">
        <v>22</v>
      </c>
      <c r="F3078" t="str">
        <f t="shared" si="48"/>
        <v>South</v>
      </c>
      <c r="G3078" t="s">
        <v>56</v>
      </c>
      <c r="H3078" t="s">
        <v>13</v>
      </c>
      <c r="I3078">
        <v>19</v>
      </c>
    </row>
    <row r="3079" spans="1:9" ht="21.75" customHeight="1">
      <c r="A3079" t="s">
        <v>3229</v>
      </c>
      <c r="B3079" s="3">
        <v>45402</v>
      </c>
      <c r="C3079" t="s">
        <v>89</v>
      </c>
      <c r="D3079" t="s">
        <v>45</v>
      </c>
      <c r="E3079" t="s">
        <v>17</v>
      </c>
      <c r="F3079" t="str">
        <f t="shared" si="48"/>
        <v>Central</v>
      </c>
      <c r="G3079" t="s">
        <v>306</v>
      </c>
      <c r="H3079" t="s">
        <v>13</v>
      </c>
      <c r="I3079">
        <v>5</v>
      </c>
    </row>
    <row r="3080" spans="1:9" ht="21.75" customHeight="1">
      <c r="A3080" t="s">
        <v>3230</v>
      </c>
      <c r="B3080" s="3">
        <v>45592</v>
      </c>
      <c r="C3080" t="s">
        <v>736</v>
      </c>
      <c r="D3080" t="s">
        <v>119</v>
      </c>
      <c r="E3080" t="s">
        <v>17</v>
      </c>
      <c r="F3080" t="str">
        <f t="shared" si="48"/>
        <v>East</v>
      </c>
      <c r="G3080" t="s">
        <v>42</v>
      </c>
      <c r="H3080" t="s">
        <v>36</v>
      </c>
      <c r="I3080">
        <v>19</v>
      </c>
    </row>
    <row r="3081" spans="1:9" ht="21.75" customHeight="1">
      <c r="A3081" t="s">
        <v>3231</v>
      </c>
      <c r="B3081" s="3">
        <v>45607</v>
      </c>
      <c r="C3081" t="s">
        <v>317</v>
      </c>
      <c r="D3081" t="s">
        <v>35</v>
      </c>
      <c r="E3081" t="s">
        <v>11</v>
      </c>
      <c r="F3081" t="str">
        <f t="shared" si="48"/>
        <v>South</v>
      </c>
      <c r="G3081" t="s">
        <v>56</v>
      </c>
      <c r="H3081" t="s">
        <v>13</v>
      </c>
      <c r="I3081">
        <v>8</v>
      </c>
    </row>
    <row r="3082" spans="1:9" ht="21.75" customHeight="1">
      <c r="A3082" t="s">
        <v>3232</v>
      </c>
      <c r="B3082" s="3">
        <v>45338</v>
      </c>
      <c r="C3082" t="s">
        <v>594</v>
      </c>
      <c r="D3082" t="s">
        <v>16</v>
      </c>
      <c r="E3082" t="s">
        <v>11</v>
      </c>
      <c r="F3082" t="str">
        <f t="shared" si="48"/>
        <v>South</v>
      </c>
      <c r="G3082" t="s">
        <v>56</v>
      </c>
      <c r="H3082" t="s">
        <v>23</v>
      </c>
      <c r="I3082">
        <v>1</v>
      </c>
    </row>
    <row r="3083" spans="1:9" ht="21.75" customHeight="1">
      <c r="A3083" t="s">
        <v>3233</v>
      </c>
      <c r="B3083" s="3">
        <v>45318</v>
      </c>
      <c r="C3083" t="s">
        <v>99</v>
      </c>
      <c r="D3083" t="s">
        <v>160</v>
      </c>
      <c r="E3083" t="s">
        <v>17</v>
      </c>
      <c r="F3083" t="str">
        <f t="shared" si="48"/>
        <v>West</v>
      </c>
      <c r="G3083" t="s">
        <v>27</v>
      </c>
      <c r="H3083" t="s">
        <v>23</v>
      </c>
      <c r="I3083">
        <v>11</v>
      </c>
    </row>
    <row r="3084" spans="1:9" ht="21.75" customHeight="1">
      <c r="A3084" t="s">
        <v>3234</v>
      </c>
      <c r="B3084" s="3">
        <v>45352</v>
      </c>
      <c r="C3084" t="s">
        <v>93</v>
      </c>
      <c r="D3084" t="s">
        <v>174</v>
      </c>
      <c r="E3084" t="s">
        <v>17</v>
      </c>
      <c r="F3084" t="str">
        <f t="shared" si="48"/>
        <v>West</v>
      </c>
      <c r="G3084" t="s">
        <v>27</v>
      </c>
      <c r="H3084" t="s">
        <v>23</v>
      </c>
      <c r="I3084">
        <v>16</v>
      </c>
    </row>
    <row r="3085" spans="1:9" ht="21.75" customHeight="1">
      <c r="A3085" t="s">
        <v>3235</v>
      </c>
      <c r="B3085" s="3">
        <v>45559</v>
      </c>
      <c r="C3085" t="s">
        <v>38</v>
      </c>
      <c r="D3085" t="s">
        <v>160</v>
      </c>
      <c r="E3085" t="s">
        <v>11</v>
      </c>
      <c r="F3085" t="str">
        <f t="shared" si="48"/>
        <v>Central</v>
      </c>
      <c r="G3085" t="s">
        <v>306</v>
      </c>
      <c r="H3085" t="s">
        <v>28</v>
      </c>
      <c r="I3085">
        <v>6</v>
      </c>
    </row>
    <row r="3086" spans="1:9" ht="21.75" customHeight="1">
      <c r="A3086" t="s">
        <v>3236</v>
      </c>
      <c r="B3086" s="3">
        <v>45434</v>
      </c>
      <c r="C3086" t="s">
        <v>436</v>
      </c>
      <c r="D3086" t="s">
        <v>16</v>
      </c>
      <c r="E3086" t="s">
        <v>17</v>
      </c>
      <c r="F3086" t="str">
        <f t="shared" si="48"/>
        <v>Central</v>
      </c>
      <c r="G3086" t="s">
        <v>306</v>
      </c>
      <c r="H3086" t="s">
        <v>23</v>
      </c>
      <c r="I3086">
        <v>16</v>
      </c>
    </row>
    <row r="3087" spans="1:9" ht="21.75" customHeight="1">
      <c r="A3087" t="s">
        <v>3237</v>
      </c>
      <c r="B3087" s="3">
        <v>45420</v>
      </c>
      <c r="C3087" t="s">
        <v>455</v>
      </c>
      <c r="D3087" t="s">
        <v>102</v>
      </c>
      <c r="E3087" t="s">
        <v>22</v>
      </c>
      <c r="F3087" t="str">
        <f t="shared" si="48"/>
        <v>West</v>
      </c>
      <c r="G3087" t="s">
        <v>27</v>
      </c>
      <c r="H3087" t="s">
        <v>32</v>
      </c>
      <c r="I3087">
        <v>6</v>
      </c>
    </row>
    <row r="3088" spans="1:9" ht="21.75" customHeight="1">
      <c r="A3088" t="s">
        <v>3238</v>
      </c>
      <c r="B3088" s="3">
        <v>45479</v>
      </c>
      <c r="C3088" t="s">
        <v>319</v>
      </c>
      <c r="D3088" t="s">
        <v>119</v>
      </c>
      <c r="E3088" t="s">
        <v>22</v>
      </c>
      <c r="F3088" t="str">
        <f t="shared" si="48"/>
        <v>East</v>
      </c>
      <c r="G3088" t="s">
        <v>42</v>
      </c>
      <c r="H3088" t="s">
        <v>23</v>
      </c>
      <c r="I3088">
        <v>7</v>
      </c>
    </row>
    <row r="3089" spans="1:9" ht="21.75" customHeight="1">
      <c r="A3089" t="s">
        <v>3239</v>
      </c>
      <c r="B3089" s="3">
        <v>45389</v>
      </c>
      <c r="C3089" t="s">
        <v>159</v>
      </c>
      <c r="D3089" t="s">
        <v>48</v>
      </c>
      <c r="E3089" t="s">
        <v>11</v>
      </c>
      <c r="F3089" t="str">
        <f t="shared" si="48"/>
        <v>North</v>
      </c>
      <c r="G3089" t="s">
        <v>12</v>
      </c>
      <c r="H3089" t="s">
        <v>28</v>
      </c>
      <c r="I3089">
        <v>15</v>
      </c>
    </row>
    <row r="3090" spans="1:9" ht="21.75" customHeight="1">
      <c r="A3090" t="s">
        <v>3240</v>
      </c>
      <c r="B3090" s="3">
        <v>45391</v>
      </c>
      <c r="C3090" t="s">
        <v>25</v>
      </c>
      <c r="D3090" t="s">
        <v>59</v>
      </c>
      <c r="E3090" t="s">
        <v>17</v>
      </c>
      <c r="F3090" t="str">
        <f t="shared" si="48"/>
        <v>East</v>
      </c>
      <c r="G3090" t="s">
        <v>42</v>
      </c>
      <c r="H3090" t="s">
        <v>13</v>
      </c>
      <c r="I3090">
        <v>12</v>
      </c>
    </row>
    <row r="3091" spans="1:9" ht="21.75" customHeight="1">
      <c r="A3091" t="s">
        <v>3241</v>
      </c>
      <c r="B3091" s="3">
        <v>45549</v>
      </c>
      <c r="C3091" t="s">
        <v>142</v>
      </c>
      <c r="D3091" t="s">
        <v>109</v>
      </c>
      <c r="E3091" t="s">
        <v>17</v>
      </c>
      <c r="F3091" t="str">
        <f t="shared" si="48"/>
        <v>North</v>
      </c>
      <c r="G3091" t="s">
        <v>12</v>
      </c>
      <c r="H3091" t="s">
        <v>32</v>
      </c>
      <c r="I3091">
        <v>16</v>
      </c>
    </row>
    <row r="3092" spans="1:9" ht="21.75" customHeight="1">
      <c r="A3092" t="s">
        <v>3242</v>
      </c>
      <c r="B3092" s="3">
        <v>45648</v>
      </c>
      <c r="C3092" t="s">
        <v>369</v>
      </c>
      <c r="D3092" t="s">
        <v>26</v>
      </c>
      <c r="E3092" t="s">
        <v>17</v>
      </c>
      <c r="F3092" t="str">
        <f t="shared" si="48"/>
        <v>North</v>
      </c>
      <c r="G3092" t="s">
        <v>12</v>
      </c>
      <c r="H3092" t="s">
        <v>36</v>
      </c>
      <c r="I3092">
        <v>1</v>
      </c>
    </row>
    <row r="3093" spans="1:9" ht="21.75" customHeight="1">
      <c r="A3093" t="s">
        <v>3243</v>
      </c>
      <c r="B3093" s="3">
        <v>45533</v>
      </c>
      <c r="C3093" t="s">
        <v>493</v>
      </c>
      <c r="D3093" t="s">
        <v>21</v>
      </c>
      <c r="E3093" t="s">
        <v>17</v>
      </c>
      <c r="F3093" t="str">
        <f t="shared" si="48"/>
        <v>West</v>
      </c>
      <c r="G3093" t="s">
        <v>27</v>
      </c>
      <c r="H3093" t="s">
        <v>28</v>
      </c>
      <c r="I3093">
        <v>16</v>
      </c>
    </row>
    <row r="3094" spans="1:9" ht="21.75" customHeight="1">
      <c r="A3094" t="s">
        <v>3244</v>
      </c>
      <c r="B3094" s="3">
        <v>45623</v>
      </c>
      <c r="C3094" t="s">
        <v>664</v>
      </c>
      <c r="D3094" t="s">
        <v>174</v>
      </c>
      <c r="E3094" t="s">
        <v>11</v>
      </c>
      <c r="F3094" t="str">
        <f t="shared" si="48"/>
        <v>North</v>
      </c>
      <c r="G3094" t="s">
        <v>12</v>
      </c>
      <c r="H3094" t="s">
        <v>32</v>
      </c>
      <c r="I3094">
        <v>1</v>
      </c>
    </row>
    <row r="3095" spans="1:9" ht="21.75" customHeight="1">
      <c r="A3095" t="s">
        <v>3245</v>
      </c>
      <c r="B3095" s="3">
        <v>45370</v>
      </c>
      <c r="C3095" t="s">
        <v>369</v>
      </c>
      <c r="D3095" t="s">
        <v>84</v>
      </c>
      <c r="E3095" t="s">
        <v>11</v>
      </c>
      <c r="F3095" t="str">
        <f t="shared" si="48"/>
        <v>South</v>
      </c>
      <c r="G3095" t="s">
        <v>56</v>
      </c>
      <c r="H3095" t="s">
        <v>13</v>
      </c>
      <c r="I3095">
        <v>14</v>
      </c>
    </row>
    <row r="3096" spans="1:9" ht="21.75" customHeight="1">
      <c r="A3096" t="s">
        <v>3246</v>
      </c>
      <c r="B3096" s="3">
        <v>45353</v>
      </c>
      <c r="C3096" t="s">
        <v>131</v>
      </c>
      <c r="D3096" t="s">
        <v>70</v>
      </c>
      <c r="E3096" t="s">
        <v>22</v>
      </c>
      <c r="F3096" t="str">
        <f t="shared" si="48"/>
        <v>North</v>
      </c>
      <c r="G3096" t="s">
        <v>12</v>
      </c>
      <c r="H3096" t="s">
        <v>32</v>
      </c>
      <c r="I3096">
        <v>4</v>
      </c>
    </row>
    <row r="3097" spans="1:9" ht="21.75" customHeight="1">
      <c r="A3097" t="s">
        <v>3247</v>
      </c>
      <c r="B3097" s="3">
        <v>45434</v>
      </c>
      <c r="C3097" t="s">
        <v>150</v>
      </c>
      <c r="D3097" t="s">
        <v>21</v>
      </c>
      <c r="E3097" t="s">
        <v>22</v>
      </c>
      <c r="F3097" t="str">
        <f t="shared" si="48"/>
        <v>North</v>
      </c>
      <c r="G3097" t="s">
        <v>12</v>
      </c>
      <c r="H3097" t="s">
        <v>32</v>
      </c>
      <c r="I3097">
        <v>11</v>
      </c>
    </row>
    <row r="3098" spans="1:9" ht="21.75" customHeight="1">
      <c r="A3098" t="s">
        <v>3248</v>
      </c>
      <c r="B3098" s="3">
        <v>45378</v>
      </c>
      <c r="C3098" t="s">
        <v>449</v>
      </c>
      <c r="D3098" t="s">
        <v>84</v>
      </c>
      <c r="E3098" t="s">
        <v>17</v>
      </c>
      <c r="F3098" t="str">
        <f t="shared" si="48"/>
        <v>Central</v>
      </c>
      <c r="G3098" t="s">
        <v>306</v>
      </c>
      <c r="H3098" t="s">
        <v>13</v>
      </c>
      <c r="I3098">
        <v>13</v>
      </c>
    </row>
    <row r="3099" spans="1:9" ht="21.75" customHeight="1">
      <c r="A3099" t="s">
        <v>3249</v>
      </c>
      <c r="B3099" s="3">
        <v>45633</v>
      </c>
      <c r="C3099" t="s">
        <v>317</v>
      </c>
      <c r="D3099" t="s">
        <v>79</v>
      </c>
      <c r="E3099" t="s">
        <v>11</v>
      </c>
      <c r="F3099" t="str">
        <f t="shared" si="48"/>
        <v>South</v>
      </c>
      <c r="G3099" t="s">
        <v>56</v>
      </c>
      <c r="H3099" t="s">
        <v>36</v>
      </c>
      <c r="I3099">
        <v>5</v>
      </c>
    </row>
    <row r="3100" spans="1:9" ht="21.75" customHeight="1">
      <c r="A3100" t="s">
        <v>3250</v>
      </c>
      <c r="B3100" s="3">
        <v>45334</v>
      </c>
      <c r="C3100" t="s">
        <v>235</v>
      </c>
      <c r="D3100" t="s">
        <v>70</v>
      </c>
      <c r="E3100" t="s">
        <v>11</v>
      </c>
      <c r="F3100" t="str">
        <f t="shared" si="48"/>
        <v>East</v>
      </c>
      <c r="G3100" t="s">
        <v>42</v>
      </c>
      <c r="H3100" t="s">
        <v>36</v>
      </c>
      <c r="I3100">
        <v>7</v>
      </c>
    </row>
    <row r="3101" spans="1:9" ht="21.75" customHeight="1">
      <c r="A3101" t="s">
        <v>3251</v>
      </c>
      <c r="B3101" s="3">
        <v>45501</v>
      </c>
      <c r="C3101" t="s">
        <v>235</v>
      </c>
      <c r="D3101" t="s">
        <v>21</v>
      </c>
      <c r="E3101" t="s">
        <v>22</v>
      </c>
      <c r="F3101" t="str">
        <f t="shared" si="48"/>
        <v>North</v>
      </c>
      <c r="G3101" t="s">
        <v>12</v>
      </c>
      <c r="H3101" t="s">
        <v>32</v>
      </c>
      <c r="I3101">
        <v>9</v>
      </c>
    </row>
    <row r="3102" spans="1:9" ht="21.75" customHeight="1">
      <c r="A3102" t="s">
        <v>3252</v>
      </c>
      <c r="B3102" s="3">
        <v>45352</v>
      </c>
      <c r="C3102" t="s">
        <v>47</v>
      </c>
      <c r="D3102" t="s">
        <v>70</v>
      </c>
      <c r="E3102" t="s">
        <v>22</v>
      </c>
      <c r="F3102" t="str">
        <f t="shared" si="48"/>
        <v>North</v>
      </c>
      <c r="G3102" t="s">
        <v>12</v>
      </c>
      <c r="H3102" t="s">
        <v>36</v>
      </c>
      <c r="I3102">
        <v>15</v>
      </c>
    </row>
    <row r="3103" spans="1:9" ht="21.75" customHeight="1">
      <c r="A3103" t="s">
        <v>3253</v>
      </c>
      <c r="B3103" s="3">
        <v>45338</v>
      </c>
      <c r="C3103" t="s">
        <v>44</v>
      </c>
      <c r="D3103" t="s">
        <v>84</v>
      </c>
      <c r="E3103" t="s">
        <v>11</v>
      </c>
      <c r="F3103" t="str">
        <f t="shared" si="48"/>
        <v>South</v>
      </c>
      <c r="G3103" t="s">
        <v>56</v>
      </c>
      <c r="H3103" t="s">
        <v>32</v>
      </c>
      <c r="I3103">
        <v>19</v>
      </c>
    </row>
    <row r="3104" spans="1:9" ht="21.75" customHeight="1">
      <c r="A3104" t="s">
        <v>3254</v>
      </c>
      <c r="B3104" s="3">
        <v>45302</v>
      </c>
      <c r="C3104" t="s">
        <v>337</v>
      </c>
      <c r="D3104" t="s">
        <v>45</v>
      </c>
      <c r="E3104" t="s">
        <v>11</v>
      </c>
      <c r="F3104" t="str">
        <f t="shared" si="48"/>
        <v>South</v>
      </c>
      <c r="G3104" t="s">
        <v>56</v>
      </c>
      <c r="H3104" t="s">
        <v>32</v>
      </c>
      <c r="I3104">
        <v>15</v>
      </c>
    </row>
    <row r="3105" spans="1:9" ht="21.75" customHeight="1">
      <c r="A3105" t="s">
        <v>3255</v>
      </c>
      <c r="B3105" s="3">
        <v>45418</v>
      </c>
      <c r="C3105" t="s">
        <v>147</v>
      </c>
      <c r="D3105" t="s">
        <v>41</v>
      </c>
      <c r="E3105" t="s">
        <v>22</v>
      </c>
      <c r="F3105" t="str">
        <f t="shared" si="48"/>
        <v>South</v>
      </c>
      <c r="G3105" t="s">
        <v>56</v>
      </c>
      <c r="H3105" t="s">
        <v>28</v>
      </c>
      <c r="I3105">
        <v>10</v>
      </c>
    </row>
    <row r="3106" spans="1:9" ht="21.75" customHeight="1">
      <c r="A3106" t="s">
        <v>3256</v>
      </c>
      <c r="B3106" s="3">
        <v>45653</v>
      </c>
      <c r="C3106" t="s">
        <v>55</v>
      </c>
      <c r="D3106" t="s">
        <v>45</v>
      </c>
      <c r="E3106" t="s">
        <v>17</v>
      </c>
      <c r="F3106" t="str">
        <f t="shared" si="48"/>
        <v>South</v>
      </c>
      <c r="G3106" t="s">
        <v>56</v>
      </c>
      <c r="H3106" t="s">
        <v>36</v>
      </c>
      <c r="I3106">
        <v>11</v>
      </c>
    </row>
    <row r="3107" spans="1:9" ht="21.75" customHeight="1">
      <c r="A3107" t="s">
        <v>3257</v>
      </c>
      <c r="B3107" s="3">
        <v>45388</v>
      </c>
      <c r="C3107" t="s">
        <v>101</v>
      </c>
      <c r="D3107" t="s">
        <v>65</v>
      </c>
      <c r="E3107" t="s">
        <v>11</v>
      </c>
      <c r="F3107" t="str">
        <f t="shared" si="48"/>
        <v>East</v>
      </c>
      <c r="G3107" t="s">
        <v>42</v>
      </c>
      <c r="H3107" t="s">
        <v>32</v>
      </c>
      <c r="I3107">
        <v>15</v>
      </c>
    </row>
    <row r="3108" spans="1:9" ht="21.75" customHeight="1">
      <c r="A3108" t="s">
        <v>3258</v>
      </c>
      <c r="B3108" s="3">
        <v>45542</v>
      </c>
      <c r="C3108" t="s">
        <v>182</v>
      </c>
      <c r="D3108" t="s">
        <v>59</v>
      </c>
      <c r="E3108" t="s">
        <v>17</v>
      </c>
      <c r="F3108" t="str">
        <f t="shared" si="48"/>
        <v>East</v>
      </c>
      <c r="G3108" t="s">
        <v>42</v>
      </c>
      <c r="H3108" t="s">
        <v>36</v>
      </c>
      <c r="I3108">
        <v>15</v>
      </c>
    </row>
    <row r="3109" spans="1:9" ht="21.75" customHeight="1">
      <c r="A3109" t="s">
        <v>3259</v>
      </c>
      <c r="B3109" s="3">
        <v>45643</v>
      </c>
      <c r="C3109" t="s">
        <v>30</v>
      </c>
      <c r="D3109" t="s">
        <v>79</v>
      </c>
      <c r="E3109" t="s">
        <v>22</v>
      </c>
      <c r="F3109" t="str">
        <f t="shared" si="48"/>
        <v>West</v>
      </c>
      <c r="G3109" t="s">
        <v>27</v>
      </c>
      <c r="H3109" t="s">
        <v>28</v>
      </c>
      <c r="I3109">
        <v>18</v>
      </c>
    </row>
    <row r="3110" spans="1:9" ht="21.75" customHeight="1">
      <c r="A3110" t="s">
        <v>3260</v>
      </c>
      <c r="B3110" s="3">
        <v>45651</v>
      </c>
      <c r="C3110" t="s">
        <v>348</v>
      </c>
      <c r="D3110" t="s">
        <v>48</v>
      </c>
      <c r="E3110" t="s">
        <v>22</v>
      </c>
      <c r="F3110" t="str">
        <f t="shared" si="48"/>
        <v>East</v>
      </c>
      <c r="G3110" t="s">
        <v>42</v>
      </c>
      <c r="H3110" t="s">
        <v>28</v>
      </c>
      <c r="I3110">
        <v>11</v>
      </c>
    </row>
    <row r="3111" spans="1:9" ht="21.75" customHeight="1">
      <c r="A3111" t="s">
        <v>3261</v>
      </c>
      <c r="B3111" s="3">
        <v>45549</v>
      </c>
      <c r="C3111" t="s">
        <v>378</v>
      </c>
      <c r="D3111" t="s">
        <v>84</v>
      </c>
      <c r="E3111" t="s">
        <v>17</v>
      </c>
      <c r="F3111" t="str">
        <f t="shared" si="48"/>
        <v>North</v>
      </c>
      <c r="G3111" t="s">
        <v>12</v>
      </c>
      <c r="H3111" t="s">
        <v>36</v>
      </c>
      <c r="I3111">
        <v>7</v>
      </c>
    </row>
    <row r="3112" spans="1:9" ht="21.75" customHeight="1">
      <c r="A3112" t="s">
        <v>3262</v>
      </c>
      <c r="B3112" s="3">
        <v>45531</v>
      </c>
      <c r="C3112" t="s">
        <v>86</v>
      </c>
      <c r="D3112" t="s">
        <v>79</v>
      </c>
      <c r="E3112" t="s">
        <v>11</v>
      </c>
      <c r="F3112" t="str">
        <f t="shared" si="48"/>
        <v>Central</v>
      </c>
      <c r="G3112" t="s">
        <v>306</v>
      </c>
      <c r="H3112" t="s">
        <v>28</v>
      </c>
      <c r="I3112">
        <v>16</v>
      </c>
    </row>
    <row r="3113" spans="1:9" ht="21.75" customHeight="1">
      <c r="A3113" t="s">
        <v>3263</v>
      </c>
      <c r="B3113" s="3">
        <v>45592</v>
      </c>
      <c r="C3113" t="s">
        <v>187</v>
      </c>
      <c r="D3113" t="s">
        <v>48</v>
      </c>
      <c r="E3113" t="s">
        <v>22</v>
      </c>
      <c r="F3113" t="str">
        <f t="shared" si="48"/>
        <v>West</v>
      </c>
      <c r="G3113" t="s">
        <v>27</v>
      </c>
      <c r="H3113" t="s">
        <v>36</v>
      </c>
      <c r="I3113">
        <v>2</v>
      </c>
    </row>
    <row r="3114" spans="1:9" ht="21.75" customHeight="1">
      <c r="A3114" t="s">
        <v>3264</v>
      </c>
      <c r="B3114" s="3">
        <v>45345</v>
      </c>
      <c r="C3114" t="s">
        <v>451</v>
      </c>
      <c r="D3114" t="s">
        <v>48</v>
      </c>
      <c r="E3114" t="s">
        <v>11</v>
      </c>
      <c r="F3114" t="str">
        <f t="shared" si="48"/>
        <v>South</v>
      </c>
      <c r="G3114" t="s">
        <v>56</v>
      </c>
      <c r="H3114" t="s">
        <v>23</v>
      </c>
      <c r="I3114">
        <v>16</v>
      </c>
    </row>
    <row r="3115" spans="1:9" ht="21.75" customHeight="1">
      <c r="A3115" t="s">
        <v>3265</v>
      </c>
      <c r="B3115" s="3">
        <v>45623</v>
      </c>
      <c r="C3115" t="s">
        <v>108</v>
      </c>
      <c r="D3115" t="s">
        <v>45</v>
      </c>
      <c r="E3115" t="s">
        <v>17</v>
      </c>
      <c r="F3115" t="str">
        <f t="shared" si="48"/>
        <v>East</v>
      </c>
      <c r="G3115" t="s">
        <v>42</v>
      </c>
      <c r="H3115" t="s">
        <v>28</v>
      </c>
      <c r="I3115">
        <v>15</v>
      </c>
    </row>
    <row r="3116" spans="1:9" ht="21.75" customHeight="1">
      <c r="A3116" t="s">
        <v>3266</v>
      </c>
      <c r="B3116" s="3">
        <v>45303</v>
      </c>
      <c r="C3116" t="s">
        <v>396</v>
      </c>
      <c r="D3116" t="s">
        <v>109</v>
      </c>
      <c r="E3116" t="s">
        <v>17</v>
      </c>
      <c r="F3116" t="str">
        <f t="shared" si="48"/>
        <v>Central</v>
      </c>
      <c r="G3116" t="s">
        <v>306</v>
      </c>
      <c r="H3116" t="s">
        <v>36</v>
      </c>
      <c r="I3116">
        <v>14</v>
      </c>
    </row>
    <row r="3117" spans="1:9" ht="21.75" customHeight="1">
      <c r="A3117" t="s">
        <v>3267</v>
      </c>
      <c r="B3117" s="3">
        <v>45534</v>
      </c>
      <c r="C3117" t="s">
        <v>78</v>
      </c>
      <c r="D3117" t="s">
        <v>26</v>
      </c>
      <c r="E3117" t="s">
        <v>22</v>
      </c>
      <c r="F3117" t="str">
        <f t="shared" si="48"/>
        <v>East</v>
      </c>
      <c r="G3117" t="s">
        <v>42</v>
      </c>
      <c r="H3117" t="s">
        <v>36</v>
      </c>
      <c r="I3117">
        <v>11</v>
      </c>
    </row>
    <row r="3118" spans="1:9" ht="21.75" customHeight="1">
      <c r="A3118" t="s">
        <v>3268</v>
      </c>
      <c r="B3118" s="3">
        <v>45497</v>
      </c>
      <c r="C3118" t="s">
        <v>68</v>
      </c>
      <c r="D3118" t="s">
        <v>79</v>
      </c>
      <c r="E3118" t="s">
        <v>11</v>
      </c>
      <c r="F3118" t="str">
        <f t="shared" si="48"/>
        <v>Central</v>
      </c>
      <c r="G3118" t="s">
        <v>306</v>
      </c>
      <c r="H3118" t="s">
        <v>13</v>
      </c>
      <c r="I3118">
        <v>14</v>
      </c>
    </row>
    <row r="3119" spans="1:9" ht="21.75" customHeight="1">
      <c r="A3119" t="s">
        <v>3269</v>
      </c>
      <c r="B3119" s="3">
        <v>45429</v>
      </c>
      <c r="C3119" t="s">
        <v>314</v>
      </c>
      <c r="D3119" t="s">
        <v>31</v>
      </c>
      <c r="E3119" t="s">
        <v>22</v>
      </c>
      <c r="F3119" t="str">
        <f t="shared" si="48"/>
        <v>North</v>
      </c>
      <c r="G3119" t="s">
        <v>12</v>
      </c>
      <c r="H3119" t="s">
        <v>28</v>
      </c>
      <c r="I3119">
        <v>17</v>
      </c>
    </row>
    <row r="3120" spans="1:9" ht="21.75" customHeight="1">
      <c r="A3120" t="s">
        <v>3270</v>
      </c>
      <c r="B3120" s="3">
        <v>45445</v>
      </c>
      <c r="C3120" t="s">
        <v>327</v>
      </c>
      <c r="D3120" t="s">
        <v>62</v>
      </c>
      <c r="E3120" t="s">
        <v>22</v>
      </c>
      <c r="F3120" t="str">
        <f t="shared" si="48"/>
        <v>South</v>
      </c>
      <c r="G3120" t="s">
        <v>56</v>
      </c>
      <c r="H3120" t="s">
        <v>36</v>
      </c>
      <c r="I3120">
        <v>5</v>
      </c>
    </row>
    <row r="3121" spans="1:9" ht="21.75" customHeight="1">
      <c r="A3121" t="s">
        <v>3271</v>
      </c>
      <c r="B3121" s="3">
        <v>45462</v>
      </c>
      <c r="C3121" t="s">
        <v>728</v>
      </c>
      <c r="D3121" t="s">
        <v>79</v>
      </c>
      <c r="E3121" t="s">
        <v>11</v>
      </c>
      <c r="F3121" t="str">
        <f t="shared" si="48"/>
        <v>East</v>
      </c>
      <c r="G3121" t="s">
        <v>42</v>
      </c>
      <c r="H3121" t="s">
        <v>28</v>
      </c>
      <c r="I3121">
        <v>12</v>
      </c>
    </row>
    <row r="3122" spans="1:9" ht="21.75" customHeight="1">
      <c r="A3122" t="s">
        <v>3272</v>
      </c>
      <c r="B3122" s="3">
        <v>45376</v>
      </c>
      <c r="C3122" t="s">
        <v>366</v>
      </c>
      <c r="D3122" t="s">
        <v>96</v>
      </c>
      <c r="E3122" t="s">
        <v>22</v>
      </c>
      <c r="F3122" t="str">
        <f t="shared" si="48"/>
        <v>South</v>
      </c>
      <c r="G3122" t="s">
        <v>56</v>
      </c>
      <c r="H3122" t="s">
        <v>28</v>
      </c>
      <c r="I3122">
        <v>6</v>
      </c>
    </row>
    <row r="3123" spans="1:9" ht="21.75" customHeight="1">
      <c r="A3123" t="s">
        <v>3273</v>
      </c>
      <c r="B3123" s="3">
        <v>45333</v>
      </c>
      <c r="C3123" t="s">
        <v>44</v>
      </c>
      <c r="D3123" t="s">
        <v>197</v>
      </c>
      <c r="E3123" t="s">
        <v>11</v>
      </c>
      <c r="F3123" t="str">
        <f t="shared" si="48"/>
        <v>West</v>
      </c>
      <c r="G3123" t="s">
        <v>27</v>
      </c>
      <c r="H3123" t="s">
        <v>13</v>
      </c>
      <c r="I3123">
        <v>8</v>
      </c>
    </row>
    <row r="3124" spans="1:9" ht="21.75" customHeight="1">
      <c r="A3124" t="s">
        <v>3274</v>
      </c>
      <c r="B3124" s="3">
        <v>45576</v>
      </c>
      <c r="C3124" t="s">
        <v>420</v>
      </c>
      <c r="D3124" t="s">
        <v>48</v>
      </c>
      <c r="E3124" t="s">
        <v>11</v>
      </c>
      <c r="F3124" t="str">
        <f t="shared" si="48"/>
        <v>West</v>
      </c>
      <c r="G3124" t="s">
        <v>27</v>
      </c>
      <c r="H3124" t="s">
        <v>28</v>
      </c>
      <c r="I3124">
        <v>12</v>
      </c>
    </row>
    <row r="3125" spans="1:9" ht="21.75" customHeight="1">
      <c r="A3125" t="s">
        <v>3275</v>
      </c>
      <c r="B3125" s="3">
        <v>45573</v>
      </c>
      <c r="C3125" t="s">
        <v>455</v>
      </c>
      <c r="D3125" t="s">
        <v>31</v>
      </c>
      <c r="E3125" t="s">
        <v>22</v>
      </c>
      <c r="F3125" t="str">
        <f t="shared" si="48"/>
        <v>South</v>
      </c>
      <c r="G3125" t="s">
        <v>56</v>
      </c>
      <c r="H3125" t="s">
        <v>23</v>
      </c>
      <c r="I3125">
        <v>13</v>
      </c>
    </row>
    <row r="3126" spans="1:9" ht="21.75" customHeight="1">
      <c r="A3126" t="s">
        <v>3276</v>
      </c>
      <c r="B3126" s="3">
        <v>45653</v>
      </c>
      <c r="C3126" t="s">
        <v>78</v>
      </c>
      <c r="D3126" t="s">
        <v>119</v>
      </c>
      <c r="E3126" t="s">
        <v>11</v>
      </c>
      <c r="F3126" t="str">
        <f t="shared" si="48"/>
        <v>West</v>
      </c>
      <c r="G3126" t="s">
        <v>27</v>
      </c>
      <c r="H3126" t="s">
        <v>28</v>
      </c>
      <c r="I3126">
        <v>11</v>
      </c>
    </row>
    <row r="3127" spans="1:9" ht="21.75" customHeight="1">
      <c r="A3127" t="s">
        <v>3277</v>
      </c>
      <c r="B3127" s="3">
        <v>45360</v>
      </c>
      <c r="C3127" t="s">
        <v>341</v>
      </c>
      <c r="D3127" t="s">
        <v>119</v>
      </c>
      <c r="E3127" t="s">
        <v>17</v>
      </c>
      <c r="F3127" t="str">
        <f t="shared" si="48"/>
        <v>East</v>
      </c>
      <c r="G3127" t="s">
        <v>42</v>
      </c>
      <c r="H3127" t="s">
        <v>23</v>
      </c>
      <c r="I3127">
        <v>20</v>
      </c>
    </row>
    <row r="3128" spans="1:9" ht="21.75" customHeight="1">
      <c r="A3128" t="s">
        <v>3278</v>
      </c>
      <c r="B3128" s="3">
        <v>45328</v>
      </c>
      <c r="C3128" t="s">
        <v>20</v>
      </c>
      <c r="D3128" t="s">
        <v>35</v>
      </c>
      <c r="E3128" t="s">
        <v>22</v>
      </c>
      <c r="F3128" t="str">
        <f t="shared" si="48"/>
        <v>Central</v>
      </c>
      <c r="G3128" t="s">
        <v>306</v>
      </c>
      <c r="H3128" t="s">
        <v>13</v>
      </c>
      <c r="I3128">
        <v>8</v>
      </c>
    </row>
    <row r="3129" spans="1:9" ht="21.75" customHeight="1">
      <c r="A3129" t="s">
        <v>3279</v>
      </c>
      <c r="B3129" s="3">
        <v>45383</v>
      </c>
      <c r="C3129" t="s">
        <v>337</v>
      </c>
      <c r="D3129" t="s">
        <v>197</v>
      </c>
      <c r="E3129" t="s">
        <v>17</v>
      </c>
      <c r="F3129" t="str">
        <f t="shared" si="48"/>
        <v>East</v>
      </c>
      <c r="G3129" t="s">
        <v>42</v>
      </c>
      <c r="H3129" t="s">
        <v>32</v>
      </c>
      <c r="I3129">
        <v>17</v>
      </c>
    </row>
    <row r="3130" spans="1:9" ht="21.75" customHeight="1">
      <c r="A3130" t="s">
        <v>3280</v>
      </c>
      <c r="B3130" s="3">
        <v>45604</v>
      </c>
      <c r="C3130" t="s">
        <v>327</v>
      </c>
      <c r="D3130" t="s">
        <v>119</v>
      </c>
      <c r="E3130" t="s">
        <v>17</v>
      </c>
      <c r="F3130" t="str">
        <f t="shared" si="48"/>
        <v>North</v>
      </c>
      <c r="G3130" t="s">
        <v>12</v>
      </c>
      <c r="H3130" t="s">
        <v>28</v>
      </c>
      <c r="I3130">
        <v>5</v>
      </c>
    </row>
    <row r="3131" spans="1:9" ht="21.75" customHeight="1">
      <c r="A3131" t="s">
        <v>3281</v>
      </c>
      <c r="B3131" s="3">
        <v>45314</v>
      </c>
      <c r="C3131" t="s">
        <v>133</v>
      </c>
      <c r="D3131" t="s">
        <v>74</v>
      </c>
      <c r="E3131" t="s">
        <v>17</v>
      </c>
      <c r="F3131" t="str">
        <f t="shared" si="48"/>
        <v>North</v>
      </c>
      <c r="G3131" t="s">
        <v>12</v>
      </c>
      <c r="H3131" t="s">
        <v>32</v>
      </c>
      <c r="I3131">
        <v>13</v>
      </c>
    </row>
    <row r="3132" spans="1:9" ht="21.75" customHeight="1">
      <c r="A3132" t="s">
        <v>3282</v>
      </c>
      <c r="B3132" s="3">
        <v>45509</v>
      </c>
      <c r="C3132" t="s">
        <v>125</v>
      </c>
      <c r="D3132" t="s">
        <v>74</v>
      </c>
      <c r="E3132" t="s">
        <v>17</v>
      </c>
      <c r="F3132" t="str">
        <f t="shared" si="48"/>
        <v>West</v>
      </c>
      <c r="G3132" t="s">
        <v>27</v>
      </c>
      <c r="H3132" t="s">
        <v>23</v>
      </c>
      <c r="I3132">
        <v>2</v>
      </c>
    </row>
    <row r="3133" spans="1:9" ht="21.75" customHeight="1">
      <c r="A3133" t="s">
        <v>3283</v>
      </c>
      <c r="B3133" s="3">
        <v>45507</v>
      </c>
      <c r="C3133" t="s">
        <v>235</v>
      </c>
      <c r="D3133" t="s">
        <v>45</v>
      </c>
      <c r="E3133" t="s">
        <v>17</v>
      </c>
      <c r="F3133" t="str">
        <f t="shared" si="48"/>
        <v>Central</v>
      </c>
      <c r="G3133" t="s">
        <v>306</v>
      </c>
      <c r="H3133" t="s">
        <v>13</v>
      </c>
      <c r="I3133">
        <v>15</v>
      </c>
    </row>
    <row r="3134" spans="1:9" ht="21.75" customHeight="1">
      <c r="A3134" t="s">
        <v>3284</v>
      </c>
      <c r="B3134" s="3">
        <v>45469</v>
      </c>
      <c r="C3134" t="s">
        <v>455</v>
      </c>
      <c r="D3134" t="s">
        <v>84</v>
      </c>
      <c r="E3134" t="s">
        <v>11</v>
      </c>
      <c r="F3134" t="str">
        <f t="shared" si="48"/>
        <v>West</v>
      </c>
      <c r="G3134" t="s">
        <v>27</v>
      </c>
      <c r="H3134" t="s">
        <v>13</v>
      </c>
      <c r="I3134">
        <v>6</v>
      </c>
    </row>
    <row r="3135" spans="1:9" ht="21.75" customHeight="1">
      <c r="A3135" t="s">
        <v>3285</v>
      </c>
      <c r="B3135" s="3">
        <v>45586</v>
      </c>
      <c r="C3135" t="s">
        <v>358</v>
      </c>
      <c r="D3135" t="s">
        <v>31</v>
      </c>
      <c r="E3135" t="s">
        <v>22</v>
      </c>
      <c r="F3135" t="str">
        <f t="shared" si="48"/>
        <v>West</v>
      </c>
      <c r="G3135" t="s">
        <v>27</v>
      </c>
      <c r="H3135" t="s">
        <v>13</v>
      </c>
      <c r="I3135">
        <v>16</v>
      </c>
    </row>
    <row r="3136" spans="1:9" ht="21.75" customHeight="1">
      <c r="A3136" t="s">
        <v>3286</v>
      </c>
      <c r="B3136" s="3">
        <v>45635</v>
      </c>
      <c r="C3136" t="s">
        <v>341</v>
      </c>
      <c r="D3136" t="s">
        <v>87</v>
      </c>
      <c r="E3136" t="s">
        <v>11</v>
      </c>
      <c r="F3136" t="str">
        <f t="shared" si="48"/>
        <v>East</v>
      </c>
      <c r="G3136" t="s">
        <v>42</v>
      </c>
      <c r="H3136" t="s">
        <v>23</v>
      </c>
      <c r="I3136">
        <v>9</v>
      </c>
    </row>
    <row r="3137" spans="1:9" ht="21.75" customHeight="1">
      <c r="A3137" t="s">
        <v>3287</v>
      </c>
      <c r="B3137" s="3">
        <v>45351</v>
      </c>
      <c r="C3137" t="s">
        <v>493</v>
      </c>
      <c r="D3137" t="s">
        <v>70</v>
      </c>
      <c r="E3137" t="s">
        <v>22</v>
      </c>
      <c r="F3137" t="str">
        <f t="shared" si="48"/>
        <v>East</v>
      </c>
      <c r="G3137" t="s">
        <v>42</v>
      </c>
      <c r="H3137" t="s">
        <v>23</v>
      </c>
      <c r="I3137">
        <v>11</v>
      </c>
    </row>
    <row r="3138" spans="1:9" ht="21.75" customHeight="1">
      <c r="A3138" t="s">
        <v>3288</v>
      </c>
      <c r="B3138" s="3">
        <v>45478</v>
      </c>
      <c r="C3138" t="s">
        <v>40</v>
      </c>
      <c r="D3138" t="s">
        <v>45</v>
      </c>
      <c r="E3138" t="s">
        <v>17</v>
      </c>
      <c r="F3138" t="str">
        <f t="shared" si="48"/>
        <v>Central</v>
      </c>
      <c r="G3138" t="s">
        <v>306</v>
      </c>
      <c r="H3138" t="s">
        <v>23</v>
      </c>
      <c r="I3138">
        <v>3</v>
      </c>
    </row>
    <row r="3139" spans="1:9" ht="21.75" customHeight="1">
      <c r="A3139" t="s">
        <v>3289</v>
      </c>
      <c r="B3139" s="3">
        <v>45464</v>
      </c>
      <c r="C3139" t="s">
        <v>369</v>
      </c>
      <c r="D3139" t="s">
        <v>59</v>
      </c>
      <c r="E3139" t="s">
        <v>17</v>
      </c>
      <c r="F3139" t="str">
        <f t="shared" ref="F3139:F3202" si="49">TRIM(PROPER(G3139))</f>
        <v>South</v>
      </c>
      <c r="G3139" t="s">
        <v>56</v>
      </c>
      <c r="H3139" t="s">
        <v>36</v>
      </c>
      <c r="I3139">
        <v>20</v>
      </c>
    </row>
    <row r="3140" spans="1:9" ht="21.75" customHeight="1">
      <c r="A3140" t="s">
        <v>3290</v>
      </c>
      <c r="B3140" s="3">
        <v>45524</v>
      </c>
      <c r="C3140" t="s">
        <v>348</v>
      </c>
      <c r="D3140" t="s">
        <v>79</v>
      </c>
      <c r="E3140" t="s">
        <v>17</v>
      </c>
      <c r="F3140" t="str">
        <f t="shared" si="49"/>
        <v>East</v>
      </c>
      <c r="G3140" t="s">
        <v>42</v>
      </c>
      <c r="H3140" t="s">
        <v>13</v>
      </c>
      <c r="I3140">
        <v>4</v>
      </c>
    </row>
    <row r="3141" spans="1:9" ht="21.75" customHeight="1">
      <c r="A3141" t="s">
        <v>3291</v>
      </c>
      <c r="B3141" s="3">
        <v>45527</v>
      </c>
      <c r="C3141" t="s">
        <v>83</v>
      </c>
      <c r="D3141" t="s">
        <v>79</v>
      </c>
      <c r="E3141" t="s">
        <v>22</v>
      </c>
      <c r="F3141" t="str">
        <f t="shared" si="49"/>
        <v>East</v>
      </c>
      <c r="G3141" t="s">
        <v>42</v>
      </c>
      <c r="H3141" t="s">
        <v>32</v>
      </c>
      <c r="I3141">
        <v>14</v>
      </c>
    </row>
    <row r="3142" spans="1:9" ht="21.75" customHeight="1">
      <c r="A3142" t="s">
        <v>3292</v>
      </c>
      <c r="B3142" s="3">
        <v>45443</v>
      </c>
      <c r="C3142" t="s">
        <v>337</v>
      </c>
      <c r="D3142" t="s">
        <v>96</v>
      </c>
      <c r="E3142" t="s">
        <v>22</v>
      </c>
      <c r="F3142" t="str">
        <f t="shared" si="49"/>
        <v>East</v>
      </c>
      <c r="G3142" t="s">
        <v>42</v>
      </c>
      <c r="H3142" t="s">
        <v>28</v>
      </c>
      <c r="I3142">
        <v>10</v>
      </c>
    </row>
    <row r="3143" spans="1:9" ht="21.75" customHeight="1">
      <c r="A3143" t="s">
        <v>3293</v>
      </c>
      <c r="B3143" s="3">
        <v>45300</v>
      </c>
      <c r="C3143" t="s">
        <v>430</v>
      </c>
      <c r="D3143" t="s">
        <v>72</v>
      </c>
      <c r="E3143" t="s">
        <v>17</v>
      </c>
      <c r="F3143" t="str">
        <f t="shared" si="49"/>
        <v>North</v>
      </c>
      <c r="G3143" t="s">
        <v>12</v>
      </c>
      <c r="H3143" t="s">
        <v>36</v>
      </c>
      <c r="I3143">
        <v>4</v>
      </c>
    </row>
    <row r="3144" spans="1:9" ht="21.75" customHeight="1">
      <c r="A3144" t="s">
        <v>3294</v>
      </c>
      <c r="B3144" s="3">
        <v>45310</v>
      </c>
      <c r="C3144" t="s">
        <v>312</v>
      </c>
      <c r="D3144" t="s">
        <v>84</v>
      </c>
      <c r="E3144" t="s">
        <v>17</v>
      </c>
      <c r="F3144" t="str">
        <f t="shared" si="49"/>
        <v>South</v>
      </c>
      <c r="G3144" t="s">
        <v>56</v>
      </c>
      <c r="H3144" t="s">
        <v>28</v>
      </c>
      <c r="I3144">
        <v>3</v>
      </c>
    </row>
    <row r="3145" spans="1:9" ht="21.75" customHeight="1">
      <c r="A3145" t="s">
        <v>3295</v>
      </c>
      <c r="B3145" s="3">
        <v>45356</v>
      </c>
      <c r="C3145" t="s">
        <v>388</v>
      </c>
      <c r="D3145" t="s">
        <v>16</v>
      </c>
      <c r="E3145" t="s">
        <v>22</v>
      </c>
      <c r="F3145" t="str">
        <f t="shared" si="49"/>
        <v>West</v>
      </c>
      <c r="G3145" t="s">
        <v>27</v>
      </c>
      <c r="H3145" t="s">
        <v>23</v>
      </c>
      <c r="I3145">
        <v>9</v>
      </c>
    </row>
    <row r="3146" spans="1:9" ht="21.75" customHeight="1">
      <c r="A3146" t="s">
        <v>3296</v>
      </c>
      <c r="B3146" s="3">
        <v>45526</v>
      </c>
      <c r="C3146" t="s">
        <v>465</v>
      </c>
      <c r="D3146" t="s">
        <v>109</v>
      </c>
      <c r="E3146" t="s">
        <v>11</v>
      </c>
      <c r="F3146" t="str">
        <f t="shared" si="49"/>
        <v>Central</v>
      </c>
      <c r="G3146" t="s">
        <v>306</v>
      </c>
      <c r="H3146" t="s">
        <v>36</v>
      </c>
      <c r="I3146">
        <v>15</v>
      </c>
    </row>
    <row r="3147" spans="1:9" ht="21.75" customHeight="1">
      <c r="A3147" t="s">
        <v>3297</v>
      </c>
      <c r="B3147" s="3">
        <v>45459</v>
      </c>
      <c r="C3147" t="s">
        <v>200</v>
      </c>
      <c r="D3147" t="s">
        <v>79</v>
      </c>
      <c r="E3147" t="s">
        <v>11</v>
      </c>
      <c r="F3147" t="str">
        <f t="shared" si="49"/>
        <v>Central</v>
      </c>
      <c r="G3147" t="s">
        <v>306</v>
      </c>
      <c r="H3147" t="s">
        <v>13</v>
      </c>
      <c r="I3147">
        <v>13</v>
      </c>
    </row>
    <row r="3148" spans="1:9" ht="21.75" customHeight="1">
      <c r="A3148" t="s">
        <v>3298</v>
      </c>
      <c r="B3148" s="3">
        <v>45332</v>
      </c>
      <c r="C3148" t="s">
        <v>47</v>
      </c>
      <c r="D3148" t="s">
        <v>21</v>
      </c>
      <c r="E3148" t="s">
        <v>22</v>
      </c>
      <c r="F3148" t="str">
        <f t="shared" si="49"/>
        <v>East</v>
      </c>
      <c r="G3148" t="s">
        <v>42</v>
      </c>
      <c r="H3148" t="s">
        <v>23</v>
      </c>
      <c r="I3148">
        <v>13</v>
      </c>
    </row>
    <row r="3149" spans="1:9" ht="21.75" customHeight="1">
      <c r="A3149" t="s">
        <v>3299</v>
      </c>
      <c r="B3149" s="3">
        <v>45423</v>
      </c>
      <c r="C3149" t="s">
        <v>329</v>
      </c>
      <c r="D3149" t="s">
        <v>21</v>
      </c>
      <c r="E3149" t="s">
        <v>22</v>
      </c>
      <c r="F3149" t="str">
        <f t="shared" si="49"/>
        <v>North</v>
      </c>
      <c r="G3149" t="s">
        <v>12</v>
      </c>
      <c r="H3149" t="s">
        <v>23</v>
      </c>
      <c r="I3149">
        <v>4</v>
      </c>
    </row>
    <row r="3150" spans="1:9" ht="21.75" customHeight="1">
      <c r="A3150" t="s">
        <v>3300</v>
      </c>
      <c r="B3150" s="3">
        <v>45584</v>
      </c>
      <c r="C3150" t="s">
        <v>86</v>
      </c>
      <c r="D3150" t="s">
        <v>74</v>
      </c>
      <c r="E3150" t="s">
        <v>22</v>
      </c>
      <c r="F3150" t="str">
        <f t="shared" si="49"/>
        <v>Central</v>
      </c>
      <c r="G3150" t="s">
        <v>306</v>
      </c>
      <c r="H3150" t="s">
        <v>36</v>
      </c>
      <c r="I3150">
        <v>8</v>
      </c>
    </row>
    <row r="3151" spans="1:9" ht="21.75" customHeight="1">
      <c r="A3151" t="s">
        <v>3301</v>
      </c>
      <c r="B3151" s="3">
        <v>45317</v>
      </c>
      <c r="C3151" t="s">
        <v>200</v>
      </c>
      <c r="D3151" t="s">
        <v>59</v>
      </c>
      <c r="E3151" t="s">
        <v>17</v>
      </c>
      <c r="F3151" t="str">
        <f t="shared" si="49"/>
        <v>South</v>
      </c>
      <c r="G3151" t="s">
        <v>56</v>
      </c>
      <c r="H3151" t="s">
        <v>23</v>
      </c>
      <c r="I3151">
        <v>9</v>
      </c>
    </row>
    <row r="3152" spans="1:9" ht="21.75" customHeight="1">
      <c r="A3152" t="s">
        <v>3302</v>
      </c>
      <c r="B3152" s="3">
        <v>45387</v>
      </c>
      <c r="C3152" t="s">
        <v>89</v>
      </c>
      <c r="D3152" t="s">
        <v>160</v>
      </c>
      <c r="E3152" t="s">
        <v>22</v>
      </c>
      <c r="F3152" t="str">
        <f t="shared" si="49"/>
        <v>North</v>
      </c>
      <c r="G3152" t="s">
        <v>12</v>
      </c>
      <c r="H3152" t="s">
        <v>36</v>
      </c>
      <c r="I3152">
        <v>13</v>
      </c>
    </row>
    <row r="3153" spans="1:9" ht="21.75" customHeight="1">
      <c r="A3153" t="s">
        <v>3303</v>
      </c>
      <c r="B3153" s="3">
        <v>45639</v>
      </c>
      <c r="C3153" t="s">
        <v>55</v>
      </c>
      <c r="D3153" t="s">
        <v>26</v>
      </c>
      <c r="E3153" t="s">
        <v>11</v>
      </c>
      <c r="F3153" t="str">
        <f t="shared" si="49"/>
        <v>West</v>
      </c>
      <c r="G3153" t="s">
        <v>27</v>
      </c>
      <c r="H3153" t="s">
        <v>28</v>
      </c>
      <c r="I3153">
        <v>1</v>
      </c>
    </row>
    <row r="3154" spans="1:9" ht="21.75" customHeight="1">
      <c r="A3154" t="s">
        <v>3304</v>
      </c>
      <c r="B3154" s="3">
        <v>45628</v>
      </c>
      <c r="C3154" t="s">
        <v>34</v>
      </c>
      <c r="D3154" t="s">
        <v>26</v>
      </c>
      <c r="E3154" t="s">
        <v>17</v>
      </c>
      <c r="F3154" t="str">
        <f t="shared" si="49"/>
        <v>West</v>
      </c>
      <c r="G3154" t="s">
        <v>27</v>
      </c>
      <c r="H3154" t="s">
        <v>36</v>
      </c>
      <c r="I3154">
        <v>11</v>
      </c>
    </row>
    <row r="3155" spans="1:9" ht="21.75" customHeight="1">
      <c r="A3155" t="s">
        <v>3305</v>
      </c>
      <c r="B3155" s="3">
        <v>45407</v>
      </c>
      <c r="C3155" t="s">
        <v>138</v>
      </c>
      <c r="D3155" t="s">
        <v>62</v>
      </c>
      <c r="E3155" t="s">
        <v>17</v>
      </c>
      <c r="F3155" t="str">
        <f t="shared" si="49"/>
        <v>South</v>
      </c>
      <c r="G3155" t="s">
        <v>56</v>
      </c>
      <c r="H3155" t="s">
        <v>13</v>
      </c>
      <c r="I3155">
        <v>20</v>
      </c>
    </row>
    <row r="3156" spans="1:9" ht="21.75" customHeight="1">
      <c r="A3156" t="s">
        <v>3306</v>
      </c>
      <c r="B3156" s="3">
        <v>45656</v>
      </c>
      <c r="C3156" t="s">
        <v>493</v>
      </c>
      <c r="D3156" t="s">
        <v>70</v>
      </c>
      <c r="E3156" t="s">
        <v>22</v>
      </c>
      <c r="F3156" t="str">
        <f t="shared" si="49"/>
        <v>West</v>
      </c>
      <c r="G3156" t="s">
        <v>27</v>
      </c>
      <c r="H3156" t="s">
        <v>36</v>
      </c>
      <c r="I3156">
        <v>11</v>
      </c>
    </row>
    <row r="3157" spans="1:9" ht="21.75" customHeight="1">
      <c r="A3157" t="s">
        <v>3307</v>
      </c>
      <c r="B3157" s="3">
        <v>45535</v>
      </c>
      <c r="C3157" t="s">
        <v>642</v>
      </c>
      <c r="D3157" t="s">
        <v>96</v>
      </c>
      <c r="E3157" t="s">
        <v>17</v>
      </c>
      <c r="F3157" t="str">
        <f t="shared" si="49"/>
        <v>East</v>
      </c>
      <c r="G3157" t="s">
        <v>42</v>
      </c>
      <c r="H3157" t="s">
        <v>32</v>
      </c>
      <c r="I3157">
        <v>12</v>
      </c>
    </row>
    <row r="3158" spans="1:9" ht="21.75" customHeight="1">
      <c r="A3158" t="s">
        <v>3308</v>
      </c>
      <c r="B3158" s="3">
        <v>45369</v>
      </c>
      <c r="C3158" t="s">
        <v>319</v>
      </c>
      <c r="D3158" t="s">
        <v>84</v>
      </c>
      <c r="E3158" t="s">
        <v>17</v>
      </c>
      <c r="F3158" t="str">
        <f t="shared" si="49"/>
        <v>South</v>
      </c>
      <c r="G3158" t="s">
        <v>56</v>
      </c>
      <c r="H3158" t="s">
        <v>36</v>
      </c>
      <c r="I3158">
        <v>6</v>
      </c>
    </row>
    <row r="3159" spans="1:9" ht="21.75" customHeight="1">
      <c r="A3159" t="s">
        <v>3309</v>
      </c>
      <c r="B3159" s="3">
        <v>45422</v>
      </c>
      <c r="C3159" t="s">
        <v>341</v>
      </c>
      <c r="D3159" t="s">
        <v>79</v>
      </c>
      <c r="E3159" t="s">
        <v>22</v>
      </c>
      <c r="F3159" t="str">
        <f t="shared" si="49"/>
        <v>Central</v>
      </c>
      <c r="G3159" t="s">
        <v>306</v>
      </c>
      <c r="H3159" t="s">
        <v>13</v>
      </c>
      <c r="I3159">
        <v>16</v>
      </c>
    </row>
    <row r="3160" spans="1:9" ht="21.75" customHeight="1">
      <c r="A3160" t="s">
        <v>3310</v>
      </c>
      <c r="B3160" s="3">
        <v>45468</v>
      </c>
      <c r="C3160" t="s">
        <v>81</v>
      </c>
      <c r="D3160" t="s">
        <v>65</v>
      </c>
      <c r="E3160" t="s">
        <v>22</v>
      </c>
      <c r="F3160" t="str">
        <f t="shared" si="49"/>
        <v>Central</v>
      </c>
      <c r="G3160" t="s">
        <v>306</v>
      </c>
      <c r="H3160" t="s">
        <v>32</v>
      </c>
      <c r="I3160">
        <v>10</v>
      </c>
    </row>
    <row r="3161" spans="1:9" ht="21.75" customHeight="1">
      <c r="A3161" t="s">
        <v>3311</v>
      </c>
      <c r="B3161" s="3">
        <v>45453</v>
      </c>
      <c r="C3161" t="s">
        <v>430</v>
      </c>
      <c r="D3161" t="s">
        <v>41</v>
      </c>
      <c r="E3161" t="s">
        <v>17</v>
      </c>
      <c r="F3161" t="str">
        <f t="shared" si="49"/>
        <v>North</v>
      </c>
      <c r="G3161" t="s">
        <v>12</v>
      </c>
      <c r="H3161" t="s">
        <v>28</v>
      </c>
      <c r="I3161">
        <v>20</v>
      </c>
    </row>
    <row r="3162" spans="1:9" ht="21.75" customHeight="1">
      <c r="A3162" t="s">
        <v>3312</v>
      </c>
      <c r="B3162" s="3">
        <v>45611</v>
      </c>
      <c r="C3162" t="s">
        <v>182</v>
      </c>
      <c r="D3162" t="s">
        <v>59</v>
      </c>
      <c r="E3162" t="s">
        <v>17</v>
      </c>
      <c r="F3162" t="str">
        <f t="shared" si="49"/>
        <v>West</v>
      </c>
      <c r="G3162" t="s">
        <v>27</v>
      </c>
      <c r="H3162" t="s">
        <v>13</v>
      </c>
      <c r="I3162">
        <v>10</v>
      </c>
    </row>
    <row r="3163" spans="1:9" ht="21.75" customHeight="1">
      <c r="A3163" t="s">
        <v>3313</v>
      </c>
      <c r="B3163" s="3">
        <v>45543</v>
      </c>
      <c r="C3163" t="s">
        <v>93</v>
      </c>
      <c r="D3163" t="s">
        <v>31</v>
      </c>
      <c r="E3163" t="s">
        <v>22</v>
      </c>
      <c r="F3163" t="str">
        <f t="shared" si="49"/>
        <v>South</v>
      </c>
      <c r="G3163" t="s">
        <v>56</v>
      </c>
      <c r="H3163" t="s">
        <v>23</v>
      </c>
      <c r="I3163">
        <v>20</v>
      </c>
    </row>
    <row r="3164" spans="1:9" ht="21.75" customHeight="1">
      <c r="A3164" t="s">
        <v>3314</v>
      </c>
      <c r="B3164" s="3">
        <v>45355</v>
      </c>
      <c r="C3164" t="s">
        <v>108</v>
      </c>
      <c r="D3164" t="s">
        <v>31</v>
      </c>
      <c r="E3164" t="s">
        <v>11</v>
      </c>
      <c r="F3164" t="str">
        <f t="shared" si="49"/>
        <v>South</v>
      </c>
      <c r="G3164" t="s">
        <v>56</v>
      </c>
      <c r="H3164" t="s">
        <v>13</v>
      </c>
      <c r="I3164">
        <v>19</v>
      </c>
    </row>
    <row r="3165" spans="1:9" ht="21.75" customHeight="1">
      <c r="A3165" t="s">
        <v>3315</v>
      </c>
      <c r="B3165" s="3">
        <v>45373</v>
      </c>
      <c r="C3165" t="s">
        <v>337</v>
      </c>
      <c r="D3165" t="s">
        <v>119</v>
      </c>
      <c r="E3165" t="s">
        <v>22</v>
      </c>
      <c r="F3165" t="str">
        <f t="shared" si="49"/>
        <v>West</v>
      </c>
      <c r="G3165" t="s">
        <v>27</v>
      </c>
      <c r="H3165" t="s">
        <v>36</v>
      </c>
      <c r="I3165">
        <v>14</v>
      </c>
    </row>
    <row r="3166" spans="1:9" ht="21.75" customHeight="1">
      <c r="A3166" t="s">
        <v>3316</v>
      </c>
      <c r="B3166" s="3">
        <v>45403</v>
      </c>
      <c r="C3166" t="s">
        <v>572</v>
      </c>
      <c r="D3166" t="s">
        <v>109</v>
      </c>
      <c r="E3166" t="s">
        <v>17</v>
      </c>
      <c r="F3166" t="str">
        <f t="shared" si="49"/>
        <v>East</v>
      </c>
      <c r="G3166" t="s">
        <v>42</v>
      </c>
      <c r="H3166" t="s">
        <v>32</v>
      </c>
      <c r="I3166">
        <v>4</v>
      </c>
    </row>
    <row r="3167" spans="1:9" ht="21.75" customHeight="1">
      <c r="A3167" t="s">
        <v>3317</v>
      </c>
      <c r="B3167" s="3">
        <v>45643</v>
      </c>
      <c r="C3167" t="s">
        <v>541</v>
      </c>
      <c r="D3167" t="s">
        <v>119</v>
      </c>
      <c r="E3167" t="s">
        <v>22</v>
      </c>
      <c r="F3167" t="str">
        <f t="shared" si="49"/>
        <v>East</v>
      </c>
      <c r="G3167" t="s">
        <v>42</v>
      </c>
      <c r="H3167" t="s">
        <v>36</v>
      </c>
      <c r="I3167">
        <v>18</v>
      </c>
    </row>
    <row r="3168" spans="1:9" ht="21.75" customHeight="1">
      <c r="A3168" t="s">
        <v>3318</v>
      </c>
      <c r="B3168" s="3">
        <v>45407</v>
      </c>
      <c r="C3168" t="s">
        <v>341</v>
      </c>
      <c r="D3168" t="s">
        <v>35</v>
      </c>
      <c r="E3168" t="s">
        <v>17</v>
      </c>
      <c r="F3168" t="str">
        <f t="shared" si="49"/>
        <v>East</v>
      </c>
      <c r="G3168" t="s">
        <v>42</v>
      </c>
      <c r="H3168" t="s">
        <v>23</v>
      </c>
      <c r="I3168">
        <v>6</v>
      </c>
    </row>
    <row r="3169" spans="1:9" ht="21.75" customHeight="1">
      <c r="A3169" t="s">
        <v>3319</v>
      </c>
      <c r="B3169" s="3">
        <v>45382</v>
      </c>
      <c r="C3169" t="s">
        <v>341</v>
      </c>
      <c r="D3169" t="s">
        <v>74</v>
      </c>
      <c r="E3169" t="s">
        <v>11</v>
      </c>
      <c r="F3169" t="str">
        <f t="shared" si="49"/>
        <v>Central</v>
      </c>
      <c r="G3169" t="s">
        <v>306</v>
      </c>
      <c r="H3169" t="s">
        <v>32</v>
      </c>
      <c r="I3169">
        <v>15</v>
      </c>
    </row>
    <row r="3170" spans="1:9" ht="21.75" customHeight="1">
      <c r="A3170" t="s">
        <v>3320</v>
      </c>
      <c r="B3170" s="3">
        <v>45641</v>
      </c>
      <c r="C3170" t="s">
        <v>108</v>
      </c>
      <c r="D3170" t="s">
        <v>31</v>
      </c>
      <c r="E3170" t="s">
        <v>22</v>
      </c>
      <c r="F3170" t="str">
        <f t="shared" si="49"/>
        <v>West</v>
      </c>
      <c r="G3170" t="s">
        <v>27</v>
      </c>
      <c r="H3170" t="s">
        <v>23</v>
      </c>
      <c r="I3170">
        <v>14</v>
      </c>
    </row>
    <row r="3171" spans="1:9" ht="21.75" customHeight="1">
      <c r="A3171" t="s">
        <v>3321</v>
      </c>
      <c r="B3171" s="3">
        <v>45306</v>
      </c>
      <c r="C3171" t="s">
        <v>381</v>
      </c>
      <c r="D3171" t="s">
        <v>197</v>
      </c>
      <c r="E3171" t="s">
        <v>11</v>
      </c>
      <c r="F3171" t="str">
        <f t="shared" si="49"/>
        <v>Central</v>
      </c>
      <c r="G3171" t="s">
        <v>306</v>
      </c>
      <c r="H3171" t="s">
        <v>36</v>
      </c>
      <c r="I3171">
        <v>17</v>
      </c>
    </row>
    <row r="3172" spans="1:9" ht="21.75" customHeight="1">
      <c r="A3172" t="s">
        <v>3322</v>
      </c>
      <c r="B3172" s="3">
        <v>45598</v>
      </c>
      <c r="C3172" t="s">
        <v>314</v>
      </c>
      <c r="D3172" t="s">
        <v>84</v>
      </c>
      <c r="E3172" t="s">
        <v>17</v>
      </c>
      <c r="F3172" t="str">
        <f t="shared" si="49"/>
        <v>North</v>
      </c>
      <c r="G3172" t="s">
        <v>12</v>
      </c>
      <c r="H3172" t="s">
        <v>32</v>
      </c>
      <c r="I3172">
        <v>20</v>
      </c>
    </row>
    <row r="3173" spans="1:9" ht="21.75" customHeight="1">
      <c r="A3173" t="s">
        <v>3323</v>
      </c>
      <c r="B3173" s="3">
        <v>45583</v>
      </c>
      <c r="C3173" t="s">
        <v>451</v>
      </c>
      <c r="D3173" t="s">
        <v>35</v>
      </c>
      <c r="E3173" t="s">
        <v>22</v>
      </c>
      <c r="F3173" t="str">
        <f t="shared" si="49"/>
        <v>North</v>
      </c>
      <c r="G3173" t="s">
        <v>12</v>
      </c>
      <c r="H3173" t="s">
        <v>32</v>
      </c>
      <c r="I3173">
        <v>1</v>
      </c>
    </row>
    <row r="3174" spans="1:9" ht="21.75" customHeight="1">
      <c r="A3174" t="s">
        <v>3324</v>
      </c>
      <c r="B3174" s="3">
        <v>45626</v>
      </c>
      <c r="C3174" t="s">
        <v>53</v>
      </c>
      <c r="D3174" t="s">
        <v>174</v>
      </c>
      <c r="E3174" t="s">
        <v>22</v>
      </c>
      <c r="F3174" t="str">
        <f t="shared" si="49"/>
        <v>South</v>
      </c>
      <c r="G3174" t="s">
        <v>56</v>
      </c>
      <c r="H3174" t="s">
        <v>28</v>
      </c>
      <c r="I3174">
        <v>15</v>
      </c>
    </row>
    <row r="3175" spans="1:9" ht="21.75" customHeight="1">
      <c r="A3175" t="s">
        <v>3325</v>
      </c>
      <c r="B3175" s="3">
        <v>45414</v>
      </c>
      <c r="C3175" t="s">
        <v>235</v>
      </c>
      <c r="D3175" t="s">
        <v>35</v>
      </c>
      <c r="E3175" t="s">
        <v>22</v>
      </c>
      <c r="F3175" t="str">
        <f t="shared" si="49"/>
        <v>South</v>
      </c>
      <c r="G3175" t="s">
        <v>56</v>
      </c>
      <c r="H3175" t="s">
        <v>32</v>
      </c>
      <c r="I3175">
        <v>5</v>
      </c>
    </row>
    <row r="3176" spans="1:9" ht="21.75" customHeight="1">
      <c r="A3176" t="s">
        <v>3326</v>
      </c>
      <c r="B3176" s="3">
        <v>45307</v>
      </c>
      <c r="C3176" t="s">
        <v>95</v>
      </c>
      <c r="D3176" t="s">
        <v>59</v>
      </c>
      <c r="E3176" t="s">
        <v>17</v>
      </c>
      <c r="F3176" t="str">
        <f t="shared" si="49"/>
        <v>West</v>
      </c>
      <c r="G3176" t="s">
        <v>27</v>
      </c>
      <c r="H3176" t="s">
        <v>28</v>
      </c>
      <c r="I3176">
        <v>20</v>
      </c>
    </row>
    <row r="3177" spans="1:9" ht="21.75" customHeight="1">
      <c r="A3177" t="s">
        <v>3327</v>
      </c>
      <c r="B3177" s="3">
        <v>45415</v>
      </c>
      <c r="C3177" t="s">
        <v>235</v>
      </c>
      <c r="D3177" t="s">
        <v>70</v>
      </c>
      <c r="E3177" t="s">
        <v>22</v>
      </c>
      <c r="F3177" t="str">
        <f t="shared" si="49"/>
        <v>North</v>
      </c>
      <c r="G3177" t="s">
        <v>12</v>
      </c>
      <c r="H3177" t="s">
        <v>36</v>
      </c>
      <c r="I3177">
        <v>11</v>
      </c>
    </row>
    <row r="3178" spans="1:9" ht="21.75" customHeight="1">
      <c r="A3178" t="s">
        <v>3328</v>
      </c>
      <c r="B3178" s="3">
        <v>45373</v>
      </c>
      <c r="C3178" t="s">
        <v>78</v>
      </c>
      <c r="D3178" t="s">
        <v>70</v>
      </c>
      <c r="E3178" t="s">
        <v>22</v>
      </c>
      <c r="F3178" t="str">
        <f t="shared" si="49"/>
        <v>North</v>
      </c>
      <c r="G3178" t="s">
        <v>12</v>
      </c>
      <c r="H3178" t="s">
        <v>13</v>
      </c>
      <c r="I3178">
        <v>2</v>
      </c>
    </row>
    <row r="3179" spans="1:9" ht="21.75" customHeight="1">
      <c r="A3179" t="s">
        <v>3329</v>
      </c>
      <c r="B3179" s="3">
        <v>45500</v>
      </c>
      <c r="C3179" t="s">
        <v>363</v>
      </c>
      <c r="D3179" t="s">
        <v>35</v>
      </c>
      <c r="E3179" t="s">
        <v>17</v>
      </c>
      <c r="F3179" t="str">
        <f t="shared" si="49"/>
        <v>North</v>
      </c>
      <c r="G3179" t="s">
        <v>12</v>
      </c>
      <c r="H3179" t="s">
        <v>23</v>
      </c>
      <c r="I3179">
        <v>9</v>
      </c>
    </row>
    <row r="3180" spans="1:9" ht="21.75" customHeight="1">
      <c r="A3180" t="s">
        <v>3330</v>
      </c>
      <c r="B3180" s="3">
        <v>45567</v>
      </c>
      <c r="C3180" t="s">
        <v>114</v>
      </c>
      <c r="D3180" t="s">
        <v>62</v>
      </c>
      <c r="E3180" t="s">
        <v>22</v>
      </c>
      <c r="F3180" t="str">
        <f t="shared" si="49"/>
        <v>Central</v>
      </c>
      <c r="G3180" t="s">
        <v>306</v>
      </c>
      <c r="H3180" t="s">
        <v>13</v>
      </c>
      <c r="I3180">
        <v>15</v>
      </c>
    </row>
    <row r="3181" spans="1:9" ht="21.75" customHeight="1">
      <c r="A3181" t="s">
        <v>3331</v>
      </c>
      <c r="B3181" s="3">
        <v>45322</v>
      </c>
      <c r="C3181" t="s">
        <v>61</v>
      </c>
      <c r="D3181" t="s">
        <v>31</v>
      </c>
      <c r="E3181" t="s">
        <v>22</v>
      </c>
      <c r="F3181" t="str">
        <f t="shared" si="49"/>
        <v>North</v>
      </c>
      <c r="G3181" t="s">
        <v>12</v>
      </c>
      <c r="H3181" t="s">
        <v>32</v>
      </c>
      <c r="I3181">
        <v>13</v>
      </c>
    </row>
    <row r="3182" spans="1:9" ht="21.75" customHeight="1">
      <c r="A3182" t="s">
        <v>3332</v>
      </c>
      <c r="B3182" s="3">
        <v>45553</v>
      </c>
      <c r="C3182" t="s">
        <v>451</v>
      </c>
      <c r="D3182" t="s">
        <v>21</v>
      </c>
      <c r="E3182" t="s">
        <v>17</v>
      </c>
      <c r="F3182" t="str">
        <f t="shared" si="49"/>
        <v>West</v>
      </c>
      <c r="G3182" t="s">
        <v>27</v>
      </c>
      <c r="H3182" t="s">
        <v>13</v>
      </c>
      <c r="I3182">
        <v>4</v>
      </c>
    </row>
    <row r="3183" spans="1:9" ht="21.75" customHeight="1">
      <c r="A3183" t="s">
        <v>3333</v>
      </c>
      <c r="B3183" s="3">
        <v>45426</v>
      </c>
      <c r="C3183" t="s">
        <v>332</v>
      </c>
      <c r="D3183" t="s">
        <v>59</v>
      </c>
      <c r="E3183" t="s">
        <v>11</v>
      </c>
      <c r="F3183" t="str">
        <f t="shared" si="49"/>
        <v>South</v>
      </c>
      <c r="G3183" t="s">
        <v>56</v>
      </c>
      <c r="H3183" t="s">
        <v>32</v>
      </c>
      <c r="I3183">
        <v>14</v>
      </c>
    </row>
    <row r="3184" spans="1:9" ht="21.75" customHeight="1">
      <c r="A3184" t="s">
        <v>3334</v>
      </c>
      <c r="B3184" s="3">
        <v>45364</v>
      </c>
      <c r="C3184" t="s">
        <v>78</v>
      </c>
      <c r="D3184" t="s">
        <v>35</v>
      </c>
      <c r="E3184" t="s">
        <v>11</v>
      </c>
      <c r="F3184" t="str">
        <f t="shared" si="49"/>
        <v>East</v>
      </c>
      <c r="G3184" t="s">
        <v>42</v>
      </c>
      <c r="H3184" t="s">
        <v>13</v>
      </c>
      <c r="I3184">
        <v>11</v>
      </c>
    </row>
    <row r="3185" spans="1:9" ht="21.75" customHeight="1">
      <c r="A3185" t="s">
        <v>3335</v>
      </c>
      <c r="B3185" s="3">
        <v>45329</v>
      </c>
      <c r="C3185" t="s">
        <v>366</v>
      </c>
      <c r="D3185" t="s">
        <v>62</v>
      </c>
      <c r="E3185" t="s">
        <v>17</v>
      </c>
      <c r="F3185" t="str">
        <f t="shared" si="49"/>
        <v>South</v>
      </c>
      <c r="G3185" t="s">
        <v>56</v>
      </c>
      <c r="H3185" t="s">
        <v>32</v>
      </c>
      <c r="I3185">
        <v>11</v>
      </c>
    </row>
    <row r="3186" spans="1:9" ht="21.75" customHeight="1">
      <c r="A3186" t="s">
        <v>3336</v>
      </c>
      <c r="B3186" s="3">
        <v>45519</v>
      </c>
      <c r="C3186" t="s">
        <v>118</v>
      </c>
      <c r="D3186" t="s">
        <v>70</v>
      </c>
      <c r="E3186" t="s">
        <v>22</v>
      </c>
      <c r="F3186" t="str">
        <f t="shared" si="49"/>
        <v>East</v>
      </c>
      <c r="G3186" t="s">
        <v>42</v>
      </c>
      <c r="H3186" t="s">
        <v>36</v>
      </c>
      <c r="I3186">
        <v>9</v>
      </c>
    </row>
    <row r="3187" spans="1:9" ht="21.75" customHeight="1">
      <c r="A3187" t="s">
        <v>3337</v>
      </c>
      <c r="B3187" s="3">
        <v>45363</v>
      </c>
      <c r="C3187" t="s">
        <v>167</v>
      </c>
      <c r="D3187" t="s">
        <v>160</v>
      </c>
      <c r="E3187" t="s">
        <v>17</v>
      </c>
      <c r="F3187" t="str">
        <f t="shared" si="49"/>
        <v>North</v>
      </c>
      <c r="G3187" t="s">
        <v>12</v>
      </c>
      <c r="H3187" t="s">
        <v>28</v>
      </c>
      <c r="I3187">
        <v>12</v>
      </c>
    </row>
    <row r="3188" spans="1:9" ht="21.75" customHeight="1">
      <c r="A3188" t="s">
        <v>3338</v>
      </c>
      <c r="B3188" s="3">
        <v>45441</v>
      </c>
      <c r="C3188" t="s">
        <v>147</v>
      </c>
      <c r="D3188" t="s">
        <v>62</v>
      </c>
      <c r="E3188" t="s">
        <v>11</v>
      </c>
      <c r="F3188" t="str">
        <f t="shared" si="49"/>
        <v>Central</v>
      </c>
      <c r="G3188" t="s">
        <v>306</v>
      </c>
      <c r="H3188" t="s">
        <v>32</v>
      </c>
      <c r="I3188">
        <v>16</v>
      </c>
    </row>
    <row r="3189" spans="1:9" ht="21.75" customHeight="1">
      <c r="A3189" t="s">
        <v>3339</v>
      </c>
      <c r="B3189" s="3">
        <v>45636</v>
      </c>
      <c r="C3189" t="s">
        <v>61</v>
      </c>
      <c r="D3189" t="s">
        <v>16</v>
      </c>
      <c r="E3189" t="s">
        <v>22</v>
      </c>
      <c r="F3189" t="str">
        <f t="shared" si="49"/>
        <v>South</v>
      </c>
      <c r="G3189" t="s">
        <v>56</v>
      </c>
      <c r="H3189" t="s">
        <v>28</v>
      </c>
      <c r="I3189">
        <v>20</v>
      </c>
    </row>
    <row r="3190" spans="1:9" ht="21.75" customHeight="1">
      <c r="A3190" t="s">
        <v>3340</v>
      </c>
      <c r="B3190" s="3">
        <v>45488</v>
      </c>
      <c r="C3190" t="s">
        <v>230</v>
      </c>
      <c r="D3190" t="s">
        <v>21</v>
      </c>
      <c r="E3190" t="s">
        <v>11</v>
      </c>
      <c r="F3190" t="str">
        <f t="shared" si="49"/>
        <v>North</v>
      </c>
      <c r="G3190" t="s">
        <v>12</v>
      </c>
      <c r="H3190" t="s">
        <v>28</v>
      </c>
      <c r="I3190">
        <v>19</v>
      </c>
    </row>
    <row r="3191" spans="1:9" ht="21.75" customHeight="1">
      <c r="A3191" t="s">
        <v>3341</v>
      </c>
      <c r="B3191" s="3">
        <v>45591</v>
      </c>
      <c r="C3191" t="s">
        <v>142</v>
      </c>
      <c r="D3191" t="s">
        <v>26</v>
      </c>
      <c r="E3191" t="s">
        <v>17</v>
      </c>
      <c r="F3191" t="str">
        <f t="shared" si="49"/>
        <v>Central</v>
      </c>
      <c r="G3191" t="s">
        <v>306</v>
      </c>
      <c r="H3191" t="s">
        <v>36</v>
      </c>
      <c r="I3191">
        <v>13</v>
      </c>
    </row>
    <row r="3192" spans="1:9" ht="21.75" customHeight="1">
      <c r="A3192" t="s">
        <v>3342</v>
      </c>
      <c r="B3192" s="3">
        <v>45379</v>
      </c>
      <c r="C3192" t="s">
        <v>20</v>
      </c>
      <c r="D3192" t="s">
        <v>21</v>
      </c>
      <c r="E3192" t="s">
        <v>11</v>
      </c>
      <c r="F3192" t="str">
        <f t="shared" si="49"/>
        <v>Central</v>
      </c>
      <c r="G3192" t="s">
        <v>306</v>
      </c>
      <c r="H3192" t="s">
        <v>36</v>
      </c>
      <c r="I3192">
        <v>11</v>
      </c>
    </row>
    <row r="3193" spans="1:9" ht="21.75" customHeight="1">
      <c r="A3193" t="s">
        <v>3343</v>
      </c>
      <c r="B3193" s="3">
        <v>45485</v>
      </c>
      <c r="C3193" t="s">
        <v>374</v>
      </c>
      <c r="D3193" t="s">
        <v>21</v>
      </c>
      <c r="E3193" t="s">
        <v>11</v>
      </c>
      <c r="F3193" t="str">
        <f t="shared" si="49"/>
        <v>Central</v>
      </c>
      <c r="G3193" t="s">
        <v>306</v>
      </c>
      <c r="H3193" t="s">
        <v>23</v>
      </c>
      <c r="I3193">
        <v>6</v>
      </c>
    </row>
    <row r="3194" spans="1:9" ht="21.75" customHeight="1">
      <c r="A3194" t="s">
        <v>3344</v>
      </c>
      <c r="B3194" s="3">
        <v>45486</v>
      </c>
      <c r="C3194" t="s">
        <v>142</v>
      </c>
      <c r="D3194" t="s">
        <v>41</v>
      </c>
      <c r="E3194" t="s">
        <v>11</v>
      </c>
      <c r="F3194" t="str">
        <f t="shared" si="49"/>
        <v>East</v>
      </c>
      <c r="G3194" t="s">
        <v>42</v>
      </c>
      <c r="H3194" t="s">
        <v>28</v>
      </c>
      <c r="I3194">
        <v>10</v>
      </c>
    </row>
    <row r="3195" spans="1:9" ht="21.75" customHeight="1">
      <c r="A3195" t="s">
        <v>3345</v>
      </c>
      <c r="B3195" s="3">
        <v>45368</v>
      </c>
      <c r="C3195" t="s">
        <v>89</v>
      </c>
      <c r="D3195" t="s">
        <v>109</v>
      </c>
      <c r="E3195" t="s">
        <v>22</v>
      </c>
      <c r="F3195" t="str">
        <f t="shared" si="49"/>
        <v>North</v>
      </c>
      <c r="G3195" t="s">
        <v>12</v>
      </c>
      <c r="H3195" t="s">
        <v>28</v>
      </c>
      <c r="I3195">
        <v>12</v>
      </c>
    </row>
    <row r="3196" spans="1:9" ht="21.75" customHeight="1">
      <c r="A3196" t="s">
        <v>3346</v>
      </c>
      <c r="B3196" s="3">
        <v>45583</v>
      </c>
      <c r="C3196" t="s">
        <v>541</v>
      </c>
      <c r="D3196" t="s">
        <v>96</v>
      </c>
      <c r="E3196" t="s">
        <v>22</v>
      </c>
      <c r="F3196" t="str">
        <f t="shared" si="49"/>
        <v>Central</v>
      </c>
      <c r="G3196" t="s">
        <v>306</v>
      </c>
      <c r="H3196" t="s">
        <v>28</v>
      </c>
      <c r="I3196">
        <v>7</v>
      </c>
    </row>
    <row r="3197" spans="1:9" ht="21.75" customHeight="1">
      <c r="A3197" t="s">
        <v>3347</v>
      </c>
      <c r="B3197" s="3">
        <v>45308</v>
      </c>
      <c r="C3197" t="s">
        <v>341</v>
      </c>
      <c r="D3197" t="s">
        <v>21</v>
      </c>
      <c r="E3197" t="s">
        <v>11</v>
      </c>
      <c r="F3197" t="str">
        <f t="shared" si="49"/>
        <v>East</v>
      </c>
      <c r="G3197" t="s">
        <v>42</v>
      </c>
      <c r="H3197" t="s">
        <v>36</v>
      </c>
      <c r="I3197">
        <v>3</v>
      </c>
    </row>
    <row r="3198" spans="1:9" ht="21.75" customHeight="1">
      <c r="A3198" t="s">
        <v>3348</v>
      </c>
      <c r="B3198" s="3">
        <v>45565</v>
      </c>
      <c r="C3198" t="s">
        <v>304</v>
      </c>
      <c r="D3198" t="s">
        <v>174</v>
      </c>
      <c r="E3198" t="s">
        <v>11</v>
      </c>
      <c r="F3198" t="str">
        <f t="shared" si="49"/>
        <v>North</v>
      </c>
      <c r="G3198" t="s">
        <v>12</v>
      </c>
      <c r="H3198" t="s">
        <v>23</v>
      </c>
      <c r="I3198">
        <v>19</v>
      </c>
    </row>
    <row r="3199" spans="1:9" ht="21.75" customHeight="1">
      <c r="A3199" t="s">
        <v>3349</v>
      </c>
      <c r="B3199" s="3">
        <v>45417</v>
      </c>
      <c r="C3199" t="s">
        <v>230</v>
      </c>
      <c r="D3199" t="s">
        <v>84</v>
      </c>
      <c r="E3199" t="s">
        <v>11</v>
      </c>
      <c r="F3199" t="str">
        <f t="shared" si="49"/>
        <v>South</v>
      </c>
      <c r="G3199" t="s">
        <v>56</v>
      </c>
      <c r="H3199" t="s">
        <v>28</v>
      </c>
      <c r="I3199">
        <v>15</v>
      </c>
    </row>
    <row r="3200" spans="1:9" ht="21.75" customHeight="1">
      <c r="A3200" t="s">
        <v>3350</v>
      </c>
      <c r="B3200" s="3">
        <v>45603</v>
      </c>
      <c r="C3200" t="s">
        <v>101</v>
      </c>
      <c r="D3200" t="s">
        <v>174</v>
      </c>
      <c r="E3200" t="s">
        <v>17</v>
      </c>
      <c r="F3200" t="str">
        <f t="shared" si="49"/>
        <v>North</v>
      </c>
      <c r="G3200" t="s">
        <v>12</v>
      </c>
      <c r="H3200" t="s">
        <v>28</v>
      </c>
      <c r="I3200">
        <v>3</v>
      </c>
    </row>
    <row r="3201" spans="1:9" ht="21.75" customHeight="1">
      <c r="A3201" t="s">
        <v>3351</v>
      </c>
      <c r="B3201" s="3">
        <v>45359</v>
      </c>
      <c r="C3201" t="s">
        <v>363</v>
      </c>
      <c r="D3201" t="s">
        <v>74</v>
      </c>
      <c r="E3201" t="s">
        <v>11</v>
      </c>
      <c r="F3201" t="str">
        <f t="shared" si="49"/>
        <v>South</v>
      </c>
      <c r="G3201" t="s">
        <v>56</v>
      </c>
      <c r="H3201" t="s">
        <v>28</v>
      </c>
      <c r="I3201">
        <v>8</v>
      </c>
    </row>
    <row r="3202" spans="1:9" ht="21.75" customHeight="1">
      <c r="A3202" t="s">
        <v>3352</v>
      </c>
      <c r="B3202" s="3">
        <v>45589</v>
      </c>
      <c r="C3202" t="s">
        <v>517</v>
      </c>
      <c r="D3202" t="s">
        <v>70</v>
      </c>
      <c r="E3202" t="s">
        <v>11</v>
      </c>
      <c r="F3202" t="str">
        <f t="shared" si="49"/>
        <v>Central</v>
      </c>
      <c r="G3202" t="s">
        <v>306</v>
      </c>
      <c r="H3202" t="s">
        <v>13</v>
      </c>
      <c r="I3202">
        <v>11</v>
      </c>
    </row>
    <row r="3203" spans="1:9" ht="21.75" customHeight="1">
      <c r="A3203" t="s">
        <v>3353</v>
      </c>
      <c r="B3203" s="3">
        <v>45329</v>
      </c>
      <c r="C3203" t="s">
        <v>104</v>
      </c>
      <c r="D3203" t="s">
        <v>35</v>
      </c>
      <c r="E3203" t="s">
        <v>11</v>
      </c>
      <c r="F3203" t="str">
        <f t="shared" ref="F3203:F3266" si="50">TRIM(PROPER(G3203))</f>
        <v>West</v>
      </c>
      <c r="G3203" t="s">
        <v>27</v>
      </c>
      <c r="H3203" t="s">
        <v>13</v>
      </c>
      <c r="I3203">
        <v>16</v>
      </c>
    </row>
    <row r="3204" spans="1:9" ht="21.75" customHeight="1">
      <c r="A3204" t="s">
        <v>3354</v>
      </c>
      <c r="B3204" s="3">
        <v>45569</v>
      </c>
      <c r="C3204" t="s">
        <v>449</v>
      </c>
      <c r="D3204" t="s">
        <v>65</v>
      </c>
      <c r="E3204" t="s">
        <v>22</v>
      </c>
      <c r="F3204" t="str">
        <f t="shared" si="50"/>
        <v>West</v>
      </c>
      <c r="G3204" t="s">
        <v>27</v>
      </c>
      <c r="H3204" t="s">
        <v>32</v>
      </c>
      <c r="I3204">
        <v>19</v>
      </c>
    </row>
    <row r="3205" spans="1:9" ht="21.75" customHeight="1">
      <c r="A3205" t="s">
        <v>3355</v>
      </c>
      <c r="B3205" s="3">
        <v>45512</v>
      </c>
      <c r="C3205" t="s">
        <v>40</v>
      </c>
      <c r="D3205" t="s">
        <v>84</v>
      </c>
      <c r="E3205" t="s">
        <v>17</v>
      </c>
      <c r="F3205" t="str">
        <f t="shared" si="50"/>
        <v>South</v>
      </c>
      <c r="G3205" t="s">
        <v>56</v>
      </c>
      <c r="H3205" t="s">
        <v>36</v>
      </c>
      <c r="I3205">
        <v>20</v>
      </c>
    </row>
    <row r="3206" spans="1:9" ht="21.75" customHeight="1">
      <c r="A3206" t="s">
        <v>3356</v>
      </c>
      <c r="B3206" s="3">
        <v>45292</v>
      </c>
      <c r="C3206" t="s">
        <v>230</v>
      </c>
      <c r="D3206" t="s">
        <v>119</v>
      </c>
      <c r="E3206" t="s">
        <v>17</v>
      </c>
      <c r="F3206" t="str">
        <f t="shared" si="50"/>
        <v>Central</v>
      </c>
      <c r="G3206" t="s">
        <v>306</v>
      </c>
      <c r="H3206" t="s">
        <v>32</v>
      </c>
      <c r="I3206">
        <v>16</v>
      </c>
    </row>
    <row r="3207" spans="1:9" ht="21.75" customHeight="1">
      <c r="A3207" t="s">
        <v>3357</v>
      </c>
      <c r="B3207" s="3">
        <v>45460</v>
      </c>
      <c r="C3207" t="s">
        <v>358</v>
      </c>
      <c r="D3207" t="s">
        <v>35</v>
      </c>
      <c r="E3207" t="s">
        <v>22</v>
      </c>
      <c r="F3207" t="str">
        <f t="shared" si="50"/>
        <v>East</v>
      </c>
      <c r="G3207" t="s">
        <v>42</v>
      </c>
      <c r="H3207" t="s">
        <v>32</v>
      </c>
      <c r="I3207">
        <v>9</v>
      </c>
    </row>
    <row r="3208" spans="1:9" ht="21.75" customHeight="1">
      <c r="A3208" t="s">
        <v>3358</v>
      </c>
      <c r="B3208" s="3">
        <v>45419</v>
      </c>
      <c r="C3208" t="s">
        <v>47</v>
      </c>
      <c r="D3208" t="s">
        <v>26</v>
      </c>
      <c r="E3208" t="s">
        <v>22</v>
      </c>
      <c r="F3208" t="str">
        <f t="shared" si="50"/>
        <v>Central</v>
      </c>
      <c r="G3208" t="s">
        <v>306</v>
      </c>
      <c r="H3208" t="s">
        <v>36</v>
      </c>
      <c r="I3208">
        <v>10</v>
      </c>
    </row>
    <row r="3209" spans="1:9" ht="21.75" customHeight="1">
      <c r="A3209" t="s">
        <v>3359</v>
      </c>
      <c r="B3209" s="3">
        <v>45349</v>
      </c>
      <c r="C3209" t="s">
        <v>664</v>
      </c>
      <c r="D3209" t="s">
        <v>45</v>
      </c>
      <c r="E3209" t="s">
        <v>17</v>
      </c>
      <c r="F3209" t="str">
        <f t="shared" si="50"/>
        <v>North</v>
      </c>
      <c r="G3209" t="s">
        <v>12</v>
      </c>
      <c r="H3209" t="s">
        <v>32</v>
      </c>
      <c r="I3209">
        <v>17</v>
      </c>
    </row>
    <row r="3210" spans="1:9" ht="21.75" customHeight="1">
      <c r="A3210" t="s">
        <v>3360</v>
      </c>
      <c r="B3210" s="3">
        <v>45375</v>
      </c>
      <c r="C3210" t="s">
        <v>235</v>
      </c>
      <c r="D3210" t="s">
        <v>10</v>
      </c>
      <c r="E3210" t="s">
        <v>17</v>
      </c>
      <c r="F3210" t="str">
        <f t="shared" si="50"/>
        <v>East</v>
      </c>
      <c r="G3210" t="s">
        <v>42</v>
      </c>
      <c r="H3210" t="s">
        <v>13</v>
      </c>
      <c r="I3210">
        <v>15</v>
      </c>
    </row>
    <row r="3211" spans="1:9" ht="21.75" customHeight="1">
      <c r="A3211" t="s">
        <v>3361</v>
      </c>
      <c r="B3211" s="3">
        <v>45643</v>
      </c>
      <c r="C3211" t="s">
        <v>312</v>
      </c>
      <c r="D3211" t="s">
        <v>45</v>
      </c>
      <c r="E3211" t="s">
        <v>11</v>
      </c>
      <c r="F3211" t="str">
        <f t="shared" si="50"/>
        <v>North</v>
      </c>
      <c r="G3211" t="s">
        <v>12</v>
      </c>
      <c r="H3211" t="s">
        <v>28</v>
      </c>
      <c r="I3211">
        <v>7</v>
      </c>
    </row>
    <row r="3212" spans="1:9" ht="21.75" customHeight="1">
      <c r="A3212" t="s">
        <v>3362</v>
      </c>
      <c r="B3212" s="3">
        <v>45448</v>
      </c>
      <c r="C3212" t="s">
        <v>38</v>
      </c>
      <c r="D3212" t="s">
        <v>119</v>
      </c>
      <c r="E3212" t="s">
        <v>22</v>
      </c>
      <c r="F3212" t="str">
        <f t="shared" si="50"/>
        <v>West</v>
      </c>
      <c r="G3212" t="s">
        <v>27</v>
      </c>
      <c r="H3212" t="s">
        <v>13</v>
      </c>
      <c r="I3212">
        <v>10</v>
      </c>
    </row>
    <row r="3213" spans="1:9" ht="21.75" customHeight="1">
      <c r="A3213" t="s">
        <v>3363</v>
      </c>
      <c r="B3213" s="3">
        <v>45399</v>
      </c>
      <c r="C3213" t="s">
        <v>314</v>
      </c>
      <c r="D3213" t="s">
        <v>41</v>
      </c>
      <c r="E3213" t="s">
        <v>11</v>
      </c>
      <c r="F3213" t="str">
        <f t="shared" si="50"/>
        <v>East</v>
      </c>
      <c r="G3213" t="s">
        <v>42</v>
      </c>
      <c r="H3213" t="s">
        <v>28</v>
      </c>
      <c r="I3213">
        <v>7</v>
      </c>
    </row>
    <row r="3214" spans="1:9" ht="21.75" customHeight="1">
      <c r="A3214" t="s">
        <v>3364</v>
      </c>
      <c r="B3214" s="3">
        <v>45379</v>
      </c>
      <c r="C3214" t="s">
        <v>111</v>
      </c>
      <c r="D3214" t="s">
        <v>109</v>
      </c>
      <c r="E3214" t="s">
        <v>22</v>
      </c>
      <c r="F3214" t="str">
        <f t="shared" si="50"/>
        <v>South</v>
      </c>
      <c r="G3214" t="s">
        <v>56</v>
      </c>
      <c r="H3214" t="s">
        <v>32</v>
      </c>
      <c r="I3214">
        <v>17</v>
      </c>
    </row>
    <row r="3215" spans="1:9" ht="21.75" customHeight="1">
      <c r="A3215" t="s">
        <v>3365</v>
      </c>
      <c r="B3215" s="3">
        <v>45626</v>
      </c>
      <c r="C3215" t="s">
        <v>327</v>
      </c>
      <c r="D3215" t="s">
        <v>87</v>
      </c>
      <c r="E3215" t="s">
        <v>22</v>
      </c>
      <c r="F3215" t="str">
        <f t="shared" si="50"/>
        <v>East</v>
      </c>
      <c r="G3215" t="s">
        <v>42</v>
      </c>
      <c r="H3215" t="s">
        <v>28</v>
      </c>
      <c r="I3215">
        <v>9</v>
      </c>
    </row>
    <row r="3216" spans="1:9" ht="21.75" customHeight="1">
      <c r="A3216" t="s">
        <v>3366</v>
      </c>
      <c r="B3216" s="3">
        <v>45447</v>
      </c>
      <c r="C3216" t="s">
        <v>200</v>
      </c>
      <c r="D3216" t="s">
        <v>16</v>
      </c>
      <c r="E3216" t="s">
        <v>17</v>
      </c>
      <c r="F3216" t="str">
        <f t="shared" si="50"/>
        <v>East</v>
      </c>
      <c r="G3216" t="s">
        <v>42</v>
      </c>
      <c r="H3216" t="s">
        <v>32</v>
      </c>
      <c r="I3216">
        <v>11</v>
      </c>
    </row>
    <row r="3217" spans="1:9" ht="21.75" customHeight="1">
      <c r="A3217" t="s">
        <v>3367</v>
      </c>
      <c r="B3217" s="3">
        <v>45509</v>
      </c>
      <c r="C3217" t="s">
        <v>614</v>
      </c>
      <c r="D3217" t="s">
        <v>31</v>
      </c>
      <c r="E3217" t="s">
        <v>17</v>
      </c>
      <c r="F3217" t="str">
        <f t="shared" si="50"/>
        <v>North</v>
      </c>
      <c r="G3217" t="s">
        <v>12</v>
      </c>
      <c r="H3217" t="s">
        <v>23</v>
      </c>
      <c r="I3217">
        <v>2</v>
      </c>
    </row>
    <row r="3218" spans="1:9" ht="21.75" customHeight="1">
      <c r="A3218" t="s">
        <v>3368</v>
      </c>
      <c r="B3218" s="3">
        <v>45473</v>
      </c>
      <c r="C3218" t="s">
        <v>736</v>
      </c>
      <c r="D3218" t="s">
        <v>16</v>
      </c>
      <c r="E3218" t="s">
        <v>17</v>
      </c>
      <c r="F3218" t="str">
        <f t="shared" si="50"/>
        <v>East</v>
      </c>
      <c r="G3218" t="s">
        <v>42</v>
      </c>
      <c r="H3218" t="s">
        <v>13</v>
      </c>
      <c r="I3218">
        <v>7</v>
      </c>
    </row>
    <row r="3219" spans="1:9" ht="21.75" customHeight="1">
      <c r="A3219" t="s">
        <v>3369</v>
      </c>
      <c r="B3219" s="3">
        <v>45423</v>
      </c>
      <c r="C3219" t="s">
        <v>61</v>
      </c>
      <c r="D3219" t="s">
        <v>48</v>
      </c>
      <c r="E3219" t="s">
        <v>11</v>
      </c>
      <c r="F3219" t="str">
        <f t="shared" si="50"/>
        <v>East</v>
      </c>
      <c r="G3219" t="s">
        <v>42</v>
      </c>
      <c r="H3219" t="s">
        <v>23</v>
      </c>
      <c r="I3219">
        <v>13</v>
      </c>
    </row>
    <row r="3220" spans="1:9" ht="21.75" customHeight="1">
      <c r="A3220" t="s">
        <v>3370</v>
      </c>
      <c r="B3220" s="3">
        <v>45578</v>
      </c>
      <c r="C3220" t="s">
        <v>304</v>
      </c>
      <c r="D3220" t="s">
        <v>65</v>
      </c>
      <c r="E3220" t="s">
        <v>11</v>
      </c>
      <c r="F3220" t="str">
        <f t="shared" si="50"/>
        <v>Central</v>
      </c>
      <c r="G3220" t="s">
        <v>306</v>
      </c>
      <c r="H3220" t="s">
        <v>36</v>
      </c>
      <c r="I3220">
        <v>15</v>
      </c>
    </row>
    <row r="3221" spans="1:9" ht="21.75" customHeight="1">
      <c r="A3221" t="s">
        <v>3371</v>
      </c>
      <c r="B3221" s="3">
        <v>45346</v>
      </c>
      <c r="C3221" t="s">
        <v>208</v>
      </c>
      <c r="D3221" t="s">
        <v>197</v>
      </c>
      <c r="E3221" t="s">
        <v>11</v>
      </c>
      <c r="F3221" t="str">
        <f t="shared" si="50"/>
        <v>East</v>
      </c>
      <c r="G3221" t="s">
        <v>42</v>
      </c>
      <c r="H3221" t="s">
        <v>23</v>
      </c>
      <c r="I3221">
        <v>19</v>
      </c>
    </row>
    <row r="3222" spans="1:9" ht="21.75" customHeight="1">
      <c r="A3222" t="s">
        <v>3372</v>
      </c>
      <c r="B3222" s="3">
        <v>45315</v>
      </c>
      <c r="C3222" t="s">
        <v>420</v>
      </c>
      <c r="D3222" t="s">
        <v>41</v>
      </c>
      <c r="E3222" t="s">
        <v>17</v>
      </c>
      <c r="F3222" t="str">
        <f t="shared" si="50"/>
        <v>West</v>
      </c>
      <c r="G3222" t="s">
        <v>27</v>
      </c>
      <c r="H3222" t="s">
        <v>28</v>
      </c>
      <c r="I3222">
        <v>9</v>
      </c>
    </row>
    <row r="3223" spans="1:9" ht="21.75" customHeight="1">
      <c r="A3223" t="s">
        <v>3373</v>
      </c>
      <c r="B3223" s="3">
        <v>45592</v>
      </c>
      <c r="C3223" t="s">
        <v>159</v>
      </c>
      <c r="D3223" t="s">
        <v>79</v>
      </c>
      <c r="E3223" t="s">
        <v>11</v>
      </c>
      <c r="F3223" t="str">
        <f t="shared" si="50"/>
        <v>North</v>
      </c>
      <c r="G3223" t="s">
        <v>12</v>
      </c>
      <c r="H3223" t="s">
        <v>32</v>
      </c>
      <c r="I3223">
        <v>9</v>
      </c>
    </row>
    <row r="3224" spans="1:9" ht="21.75" customHeight="1">
      <c r="A3224" t="s">
        <v>3374</v>
      </c>
      <c r="B3224" s="3">
        <v>45516</v>
      </c>
      <c r="C3224" t="s">
        <v>55</v>
      </c>
      <c r="D3224" t="s">
        <v>102</v>
      </c>
      <c r="E3224" t="s">
        <v>17</v>
      </c>
      <c r="F3224" t="str">
        <f t="shared" si="50"/>
        <v>South</v>
      </c>
      <c r="G3224" t="s">
        <v>56</v>
      </c>
      <c r="H3224" t="s">
        <v>13</v>
      </c>
      <c r="I3224">
        <v>11</v>
      </c>
    </row>
    <row r="3225" spans="1:9" ht="21.75" customHeight="1">
      <c r="A3225" t="s">
        <v>3375</v>
      </c>
      <c r="B3225" s="3">
        <v>45503</v>
      </c>
      <c r="C3225" t="s">
        <v>125</v>
      </c>
      <c r="D3225" t="s">
        <v>16</v>
      </c>
      <c r="E3225" t="s">
        <v>22</v>
      </c>
      <c r="F3225" t="str">
        <f t="shared" si="50"/>
        <v>East</v>
      </c>
      <c r="G3225" t="s">
        <v>42</v>
      </c>
      <c r="H3225" t="s">
        <v>36</v>
      </c>
      <c r="I3225">
        <v>7</v>
      </c>
    </row>
    <row r="3226" spans="1:9" ht="21.75" customHeight="1">
      <c r="A3226" t="s">
        <v>3376</v>
      </c>
      <c r="B3226" s="3">
        <v>45516</v>
      </c>
      <c r="C3226" t="s">
        <v>78</v>
      </c>
      <c r="D3226" t="s">
        <v>72</v>
      </c>
      <c r="E3226" t="s">
        <v>22</v>
      </c>
      <c r="F3226" t="str">
        <f t="shared" si="50"/>
        <v>Central</v>
      </c>
      <c r="G3226" t="s">
        <v>306</v>
      </c>
      <c r="H3226" t="s">
        <v>32</v>
      </c>
      <c r="I3226">
        <v>18</v>
      </c>
    </row>
    <row r="3227" spans="1:9" ht="21.75" customHeight="1">
      <c r="A3227" t="s">
        <v>3377</v>
      </c>
      <c r="B3227" s="3">
        <v>45441</v>
      </c>
      <c r="C3227" t="s">
        <v>465</v>
      </c>
      <c r="D3227" t="s">
        <v>96</v>
      </c>
      <c r="E3227" t="s">
        <v>11</v>
      </c>
      <c r="F3227" t="str">
        <f t="shared" si="50"/>
        <v>North</v>
      </c>
      <c r="G3227" t="s">
        <v>12</v>
      </c>
      <c r="H3227" t="s">
        <v>32</v>
      </c>
      <c r="I3227">
        <v>12</v>
      </c>
    </row>
    <row r="3228" spans="1:9" ht="21.75" customHeight="1">
      <c r="A3228" t="s">
        <v>3378</v>
      </c>
      <c r="B3228" s="3">
        <v>45520</v>
      </c>
      <c r="C3228" t="s">
        <v>323</v>
      </c>
      <c r="D3228" t="s">
        <v>65</v>
      </c>
      <c r="E3228" t="s">
        <v>11</v>
      </c>
      <c r="F3228" t="str">
        <f t="shared" si="50"/>
        <v>East</v>
      </c>
      <c r="G3228" t="s">
        <v>42</v>
      </c>
      <c r="H3228" t="s">
        <v>23</v>
      </c>
      <c r="I3228">
        <v>8</v>
      </c>
    </row>
    <row r="3229" spans="1:9" ht="21.75" customHeight="1">
      <c r="A3229" t="s">
        <v>3379</v>
      </c>
      <c r="B3229" s="3">
        <v>45462</v>
      </c>
      <c r="C3229" t="s">
        <v>104</v>
      </c>
      <c r="D3229" t="s">
        <v>41</v>
      </c>
      <c r="E3229" t="s">
        <v>22</v>
      </c>
      <c r="F3229" t="str">
        <f t="shared" si="50"/>
        <v>East</v>
      </c>
      <c r="G3229" t="s">
        <v>42</v>
      </c>
      <c r="H3229" t="s">
        <v>32</v>
      </c>
      <c r="I3229">
        <v>20</v>
      </c>
    </row>
    <row r="3230" spans="1:9" ht="21.75" customHeight="1">
      <c r="A3230" t="s">
        <v>3380</v>
      </c>
      <c r="B3230" s="3">
        <v>45303</v>
      </c>
      <c r="C3230" t="s">
        <v>99</v>
      </c>
      <c r="D3230" t="s">
        <v>102</v>
      </c>
      <c r="E3230" t="s">
        <v>22</v>
      </c>
      <c r="F3230" t="str">
        <f t="shared" si="50"/>
        <v>West</v>
      </c>
      <c r="G3230" t="s">
        <v>27</v>
      </c>
      <c r="H3230" t="s">
        <v>23</v>
      </c>
      <c r="I3230">
        <v>13</v>
      </c>
    </row>
    <row r="3231" spans="1:9" ht="21.75" customHeight="1">
      <c r="A3231" t="s">
        <v>3381</v>
      </c>
      <c r="B3231" s="3">
        <v>45316</v>
      </c>
      <c r="C3231" t="s">
        <v>339</v>
      </c>
      <c r="D3231" t="s">
        <v>79</v>
      </c>
      <c r="E3231" t="s">
        <v>22</v>
      </c>
      <c r="F3231" t="str">
        <f t="shared" si="50"/>
        <v>East</v>
      </c>
      <c r="G3231" t="s">
        <v>42</v>
      </c>
      <c r="H3231" t="s">
        <v>13</v>
      </c>
      <c r="I3231">
        <v>19</v>
      </c>
    </row>
    <row r="3232" spans="1:9" ht="21.75" customHeight="1">
      <c r="A3232" t="s">
        <v>3382</v>
      </c>
      <c r="B3232" s="3">
        <v>45308</v>
      </c>
      <c r="C3232" t="s">
        <v>358</v>
      </c>
      <c r="D3232" t="s">
        <v>72</v>
      </c>
      <c r="E3232" t="s">
        <v>22</v>
      </c>
      <c r="F3232" t="str">
        <f t="shared" si="50"/>
        <v>West</v>
      </c>
      <c r="G3232" t="s">
        <v>27</v>
      </c>
      <c r="H3232" t="s">
        <v>32</v>
      </c>
      <c r="I3232">
        <v>19</v>
      </c>
    </row>
    <row r="3233" spans="1:9" ht="21.75" customHeight="1">
      <c r="A3233" t="s">
        <v>3383</v>
      </c>
      <c r="B3233" s="3">
        <v>45326</v>
      </c>
      <c r="C3233" t="s">
        <v>304</v>
      </c>
      <c r="D3233" t="s">
        <v>10</v>
      </c>
      <c r="E3233" t="s">
        <v>22</v>
      </c>
      <c r="F3233" t="str">
        <f t="shared" si="50"/>
        <v>North</v>
      </c>
      <c r="G3233" t="s">
        <v>12</v>
      </c>
      <c r="H3233" t="s">
        <v>36</v>
      </c>
      <c r="I3233">
        <v>4</v>
      </c>
    </row>
    <row r="3234" spans="1:9" ht="21.75" customHeight="1">
      <c r="A3234" t="s">
        <v>3384</v>
      </c>
      <c r="B3234" s="3">
        <v>45554</v>
      </c>
      <c r="C3234" t="s">
        <v>203</v>
      </c>
      <c r="D3234" t="s">
        <v>59</v>
      </c>
      <c r="E3234" t="s">
        <v>17</v>
      </c>
      <c r="F3234" t="str">
        <f t="shared" si="50"/>
        <v>Central</v>
      </c>
      <c r="G3234" t="s">
        <v>306</v>
      </c>
      <c r="H3234" t="s">
        <v>28</v>
      </c>
      <c r="I3234">
        <v>3</v>
      </c>
    </row>
    <row r="3235" spans="1:9" ht="21.75" customHeight="1">
      <c r="A3235" t="s">
        <v>3385</v>
      </c>
      <c r="B3235" s="3">
        <v>45512</v>
      </c>
      <c r="C3235" t="s">
        <v>89</v>
      </c>
      <c r="D3235" t="s">
        <v>70</v>
      </c>
      <c r="E3235" t="s">
        <v>17</v>
      </c>
      <c r="F3235" t="str">
        <f t="shared" si="50"/>
        <v>South</v>
      </c>
      <c r="G3235" t="s">
        <v>56</v>
      </c>
      <c r="H3235" t="s">
        <v>32</v>
      </c>
      <c r="I3235">
        <v>3</v>
      </c>
    </row>
    <row r="3236" spans="1:9" ht="21.75" customHeight="1">
      <c r="A3236" t="s">
        <v>3386</v>
      </c>
      <c r="B3236" s="3">
        <v>45586</v>
      </c>
      <c r="C3236" t="s">
        <v>47</v>
      </c>
      <c r="D3236" t="s">
        <v>70</v>
      </c>
      <c r="E3236" t="s">
        <v>22</v>
      </c>
      <c r="F3236" t="str">
        <f t="shared" si="50"/>
        <v>West</v>
      </c>
      <c r="G3236" t="s">
        <v>27</v>
      </c>
      <c r="H3236" t="s">
        <v>13</v>
      </c>
      <c r="I3236">
        <v>13</v>
      </c>
    </row>
    <row r="3237" spans="1:9" ht="21.75" customHeight="1">
      <c r="A3237" t="s">
        <v>3387</v>
      </c>
      <c r="B3237" s="3">
        <v>45295</v>
      </c>
      <c r="C3237" t="s">
        <v>381</v>
      </c>
      <c r="D3237" t="s">
        <v>31</v>
      </c>
      <c r="E3237" t="s">
        <v>11</v>
      </c>
      <c r="F3237" t="str">
        <f t="shared" si="50"/>
        <v>North</v>
      </c>
      <c r="G3237" t="s">
        <v>12</v>
      </c>
      <c r="H3237" t="s">
        <v>28</v>
      </c>
      <c r="I3237">
        <v>11</v>
      </c>
    </row>
    <row r="3238" spans="1:9" ht="21.75" customHeight="1">
      <c r="A3238" t="s">
        <v>3388</v>
      </c>
      <c r="B3238" s="3">
        <v>45424</v>
      </c>
      <c r="C3238" t="s">
        <v>240</v>
      </c>
      <c r="D3238" t="s">
        <v>59</v>
      </c>
      <c r="E3238" t="s">
        <v>22</v>
      </c>
      <c r="F3238" t="str">
        <f t="shared" si="50"/>
        <v>East</v>
      </c>
      <c r="G3238" t="s">
        <v>42</v>
      </c>
      <c r="H3238" t="s">
        <v>36</v>
      </c>
      <c r="I3238">
        <v>15</v>
      </c>
    </row>
    <row r="3239" spans="1:9" ht="21.75" customHeight="1">
      <c r="A3239" t="s">
        <v>3389</v>
      </c>
      <c r="B3239" s="3">
        <v>45394</v>
      </c>
      <c r="C3239" t="s">
        <v>337</v>
      </c>
      <c r="D3239" t="s">
        <v>59</v>
      </c>
      <c r="E3239" t="s">
        <v>17</v>
      </c>
      <c r="F3239" t="str">
        <f t="shared" si="50"/>
        <v>Central</v>
      </c>
      <c r="G3239" t="s">
        <v>306</v>
      </c>
      <c r="H3239" t="s">
        <v>28</v>
      </c>
      <c r="I3239">
        <v>7</v>
      </c>
    </row>
    <row r="3240" spans="1:9" ht="21.75" customHeight="1">
      <c r="A3240" t="s">
        <v>3390</v>
      </c>
      <c r="B3240" s="3">
        <v>45397</v>
      </c>
      <c r="C3240" t="s">
        <v>147</v>
      </c>
      <c r="D3240" t="s">
        <v>45</v>
      </c>
      <c r="E3240" t="s">
        <v>11</v>
      </c>
      <c r="F3240" t="str">
        <f t="shared" si="50"/>
        <v>North</v>
      </c>
      <c r="G3240" t="s">
        <v>12</v>
      </c>
      <c r="H3240" t="s">
        <v>36</v>
      </c>
      <c r="I3240">
        <v>20</v>
      </c>
    </row>
    <row r="3241" spans="1:9" ht="21.75" customHeight="1">
      <c r="A3241" t="s">
        <v>3391</v>
      </c>
      <c r="B3241" s="3">
        <v>45312</v>
      </c>
      <c r="C3241" t="s">
        <v>420</v>
      </c>
      <c r="D3241" t="s">
        <v>16</v>
      </c>
      <c r="E3241" t="s">
        <v>22</v>
      </c>
      <c r="F3241" t="str">
        <f t="shared" si="50"/>
        <v>East</v>
      </c>
      <c r="G3241" t="s">
        <v>42</v>
      </c>
      <c r="H3241" t="s">
        <v>13</v>
      </c>
      <c r="I3241">
        <v>11</v>
      </c>
    </row>
    <row r="3242" spans="1:9" ht="21.75" customHeight="1">
      <c r="A3242" t="s">
        <v>3392</v>
      </c>
      <c r="B3242" s="3">
        <v>45409</v>
      </c>
      <c r="C3242" t="s">
        <v>371</v>
      </c>
      <c r="D3242" t="s">
        <v>65</v>
      </c>
      <c r="E3242" t="s">
        <v>11</v>
      </c>
      <c r="F3242" t="str">
        <f t="shared" si="50"/>
        <v>East</v>
      </c>
      <c r="G3242" t="s">
        <v>42</v>
      </c>
      <c r="H3242" t="s">
        <v>28</v>
      </c>
      <c r="I3242">
        <v>14</v>
      </c>
    </row>
    <row r="3243" spans="1:9" ht="21.75" customHeight="1">
      <c r="A3243" t="s">
        <v>3393</v>
      </c>
      <c r="B3243" s="3">
        <v>45411</v>
      </c>
      <c r="C3243" t="s">
        <v>133</v>
      </c>
      <c r="D3243" t="s">
        <v>119</v>
      </c>
      <c r="E3243" t="s">
        <v>17</v>
      </c>
      <c r="F3243" t="str">
        <f t="shared" si="50"/>
        <v>North</v>
      </c>
      <c r="G3243" t="s">
        <v>12</v>
      </c>
      <c r="H3243" t="s">
        <v>28</v>
      </c>
      <c r="I3243">
        <v>15</v>
      </c>
    </row>
    <row r="3244" spans="1:9" ht="21.75" customHeight="1">
      <c r="A3244" t="s">
        <v>3394</v>
      </c>
      <c r="B3244" s="3">
        <v>45484</v>
      </c>
      <c r="C3244" t="s">
        <v>64</v>
      </c>
      <c r="D3244" t="s">
        <v>70</v>
      </c>
      <c r="E3244" t="s">
        <v>22</v>
      </c>
      <c r="F3244" t="str">
        <f t="shared" si="50"/>
        <v>South</v>
      </c>
      <c r="G3244" t="s">
        <v>56</v>
      </c>
      <c r="H3244" t="s">
        <v>23</v>
      </c>
      <c r="I3244">
        <v>2</v>
      </c>
    </row>
    <row r="3245" spans="1:9" ht="21.75" customHeight="1">
      <c r="A3245" t="s">
        <v>3395</v>
      </c>
      <c r="B3245" s="3">
        <v>45496</v>
      </c>
      <c r="C3245" t="s">
        <v>104</v>
      </c>
      <c r="D3245" t="s">
        <v>65</v>
      </c>
      <c r="E3245" t="s">
        <v>17</v>
      </c>
      <c r="F3245" t="str">
        <f t="shared" si="50"/>
        <v>Central</v>
      </c>
      <c r="G3245" t="s">
        <v>306</v>
      </c>
      <c r="H3245" t="s">
        <v>13</v>
      </c>
      <c r="I3245">
        <v>3</v>
      </c>
    </row>
    <row r="3246" spans="1:9" ht="21.75" customHeight="1">
      <c r="A3246" t="s">
        <v>3396</v>
      </c>
      <c r="B3246" s="3">
        <v>45551</v>
      </c>
      <c r="C3246" t="s">
        <v>361</v>
      </c>
      <c r="D3246" t="s">
        <v>84</v>
      </c>
      <c r="E3246" t="s">
        <v>22</v>
      </c>
      <c r="F3246" t="str">
        <f t="shared" si="50"/>
        <v>North</v>
      </c>
      <c r="G3246" t="s">
        <v>12</v>
      </c>
      <c r="H3246" t="s">
        <v>28</v>
      </c>
      <c r="I3246">
        <v>7</v>
      </c>
    </row>
    <row r="3247" spans="1:9" ht="21.75" customHeight="1">
      <c r="A3247" t="s">
        <v>3397</v>
      </c>
      <c r="B3247" s="3">
        <v>45542</v>
      </c>
      <c r="C3247" t="s">
        <v>304</v>
      </c>
      <c r="D3247" t="s">
        <v>109</v>
      </c>
      <c r="E3247" t="s">
        <v>17</v>
      </c>
      <c r="F3247" t="str">
        <f t="shared" si="50"/>
        <v>East</v>
      </c>
      <c r="G3247" t="s">
        <v>42</v>
      </c>
      <c r="H3247" t="s">
        <v>23</v>
      </c>
      <c r="I3247">
        <v>7</v>
      </c>
    </row>
    <row r="3248" spans="1:9" ht="21.75" customHeight="1">
      <c r="A3248" t="s">
        <v>3398</v>
      </c>
      <c r="B3248" s="3">
        <v>45338</v>
      </c>
      <c r="C3248" t="s">
        <v>358</v>
      </c>
      <c r="D3248" t="s">
        <v>48</v>
      </c>
      <c r="E3248" t="s">
        <v>17</v>
      </c>
      <c r="F3248" t="str">
        <f t="shared" si="50"/>
        <v>East</v>
      </c>
      <c r="G3248" t="s">
        <v>42</v>
      </c>
      <c r="H3248" t="s">
        <v>36</v>
      </c>
      <c r="I3248">
        <v>4</v>
      </c>
    </row>
    <row r="3249" spans="1:9" ht="21.75" customHeight="1">
      <c r="A3249" t="s">
        <v>3399</v>
      </c>
      <c r="B3249" s="3">
        <v>45300</v>
      </c>
      <c r="C3249" t="s">
        <v>25</v>
      </c>
      <c r="D3249" t="s">
        <v>31</v>
      </c>
      <c r="E3249" t="s">
        <v>17</v>
      </c>
      <c r="F3249" t="str">
        <f t="shared" si="50"/>
        <v>West</v>
      </c>
      <c r="G3249" t="s">
        <v>27</v>
      </c>
      <c r="H3249" t="s">
        <v>13</v>
      </c>
      <c r="I3249">
        <v>12</v>
      </c>
    </row>
    <row r="3250" spans="1:9" ht="21.75" customHeight="1">
      <c r="A3250" t="s">
        <v>3400</v>
      </c>
      <c r="B3250" s="3">
        <v>45450</v>
      </c>
      <c r="C3250" t="s">
        <v>58</v>
      </c>
      <c r="D3250" t="s">
        <v>87</v>
      </c>
      <c r="E3250" t="s">
        <v>22</v>
      </c>
      <c r="F3250" t="str">
        <f t="shared" si="50"/>
        <v>East</v>
      </c>
      <c r="G3250" t="s">
        <v>42</v>
      </c>
      <c r="H3250" t="s">
        <v>28</v>
      </c>
      <c r="I3250">
        <v>3</v>
      </c>
    </row>
    <row r="3251" spans="1:9" ht="21.75" customHeight="1">
      <c r="A3251" t="s">
        <v>3401</v>
      </c>
      <c r="B3251" s="3">
        <v>45491</v>
      </c>
      <c r="C3251" t="s">
        <v>553</v>
      </c>
      <c r="D3251" t="s">
        <v>96</v>
      </c>
      <c r="E3251" t="s">
        <v>17</v>
      </c>
      <c r="F3251" t="str">
        <f t="shared" si="50"/>
        <v>East</v>
      </c>
      <c r="G3251" t="s">
        <v>42</v>
      </c>
      <c r="H3251" t="s">
        <v>13</v>
      </c>
      <c r="I3251">
        <v>5</v>
      </c>
    </row>
    <row r="3252" spans="1:9" ht="21.75" customHeight="1">
      <c r="A3252" t="s">
        <v>3402</v>
      </c>
      <c r="B3252" s="3">
        <v>45382</v>
      </c>
      <c r="C3252" t="s">
        <v>614</v>
      </c>
      <c r="D3252" t="s">
        <v>96</v>
      </c>
      <c r="E3252" t="s">
        <v>11</v>
      </c>
      <c r="F3252" t="str">
        <f t="shared" si="50"/>
        <v>Central</v>
      </c>
      <c r="G3252" t="s">
        <v>306</v>
      </c>
      <c r="H3252" t="s">
        <v>28</v>
      </c>
      <c r="I3252">
        <v>5</v>
      </c>
    </row>
    <row r="3253" spans="1:9" ht="21.75" customHeight="1">
      <c r="A3253" t="s">
        <v>3403</v>
      </c>
      <c r="B3253" s="3">
        <v>45311</v>
      </c>
      <c r="C3253" t="s">
        <v>131</v>
      </c>
      <c r="D3253" t="s">
        <v>109</v>
      </c>
      <c r="E3253" t="s">
        <v>11</v>
      </c>
      <c r="F3253" t="str">
        <f t="shared" si="50"/>
        <v>East</v>
      </c>
      <c r="G3253" t="s">
        <v>42</v>
      </c>
      <c r="H3253" t="s">
        <v>32</v>
      </c>
      <c r="I3253">
        <v>20</v>
      </c>
    </row>
    <row r="3254" spans="1:9" ht="21.75" customHeight="1">
      <c r="A3254" t="s">
        <v>3404</v>
      </c>
      <c r="B3254" s="3">
        <v>45372</v>
      </c>
      <c r="C3254" t="s">
        <v>572</v>
      </c>
      <c r="D3254" t="s">
        <v>45</v>
      </c>
      <c r="E3254" t="s">
        <v>11</v>
      </c>
      <c r="F3254" t="str">
        <f t="shared" si="50"/>
        <v>Central</v>
      </c>
      <c r="G3254" t="s">
        <v>306</v>
      </c>
      <c r="H3254" t="s">
        <v>28</v>
      </c>
      <c r="I3254">
        <v>6</v>
      </c>
    </row>
    <row r="3255" spans="1:9" ht="21.75" customHeight="1">
      <c r="A3255" t="s">
        <v>3405</v>
      </c>
      <c r="B3255" s="3">
        <v>45348</v>
      </c>
      <c r="C3255" t="s">
        <v>728</v>
      </c>
      <c r="D3255" t="s">
        <v>45</v>
      </c>
      <c r="E3255" t="s">
        <v>11</v>
      </c>
      <c r="F3255" t="str">
        <f t="shared" si="50"/>
        <v>West</v>
      </c>
      <c r="G3255" t="s">
        <v>27</v>
      </c>
      <c r="H3255" t="s">
        <v>28</v>
      </c>
      <c r="I3255">
        <v>10</v>
      </c>
    </row>
    <row r="3256" spans="1:9" ht="21.75" customHeight="1">
      <c r="A3256" t="s">
        <v>3406</v>
      </c>
      <c r="B3256" s="3">
        <v>45483</v>
      </c>
      <c r="C3256" t="s">
        <v>86</v>
      </c>
      <c r="D3256" t="s">
        <v>109</v>
      </c>
      <c r="E3256" t="s">
        <v>17</v>
      </c>
      <c r="F3256" t="str">
        <f t="shared" si="50"/>
        <v>North</v>
      </c>
      <c r="G3256" t="s">
        <v>12</v>
      </c>
      <c r="H3256" t="s">
        <v>13</v>
      </c>
      <c r="I3256">
        <v>11</v>
      </c>
    </row>
    <row r="3257" spans="1:9" ht="21.75" customHeight="1">
      <c r="A3257" t="s">
        <v>3407</v>
      </c>
      <c r="B3257" s="3">
        <v>45532</v>
      </c>
      <c r="C3257" t="s">
        <v>122</v>
      </c>
      <c r="D3257" t="s">
        <v>84</v>
      </c>
      <c r="E3257" t="s">
        <v>11</v>
      </c>
      <c r="F3257" t="str">
        <f t="shared" si="50"/>
        <v>West</v>
      </c>
      <c r="G3257" t="s">
        <v>27</v>
      </c>
      <c r="H3257" t="s">
        <v>13</v>
      </c>
      <c r="I3257">
        <v>18</v>
      </c>
    </row>
    <row r="3258" spans="1:9" ht="21.75" customHeight="1">
      <c r="A3258" t="s">
        <v>3408</v>
      </c>
      <c r="B3258" s="3">
        <v>45598</v>
      </c>
      <c r="C3258" t="s">
        <v>329</v>
      </c>
      <c r="D3258" t="s">
        <v>160</v>
      </c>
      <c r="E3258" t="s">
        <v>11</v>
      </c>
      <c r="F3258" t="str">
        <f t="shared" si="50"/>
        <v>South</v>
      </c>
      <c r="G3258" t="s">
        <v>56</v>
      </c>
      <c r="H3258" t="s">
        <v>13</v>
      </c>
      <c r="I3258">
        <v>1</v>
      </c>
    </row>
    <row r="3259" spans="1:9" ht="21.75" customHeight="1">
      <c r="A3259" t="s">
        <v>3409</v>
      </c>
      <c r="B3259" s="3">
        <v>45406</v>
      </c>
      <c r="C3259" t="s">
        <v>203</v>
      </c>
      <c r="D3259" t="s">
        <v>87</v>
      </c>
      <c r="E3259" t="s">
        <v>11</v>
      </c>
      <c r="F3259" t="str">
        <f t="shared" si="50"/>
        <v>North</v>
      </c>
      <c r="G3259" t="s">
        <v>12</v>
      </c>
      <c r="H3259" t="s">
        <v>23</v>
      </c>
      <c r="I3259">
        <v>15</v>
      </c>
    </row>
    <row r="3260" spans="1:9" ht="21.75" customHeight="1">
      <c r="A3260" t="s">
        <v>3410</v>
      </c>
      <c r="B3260" s="3">
        <v>45566</v>
      </c>
      <c r="C3260" t="s">
        <v>396</v>
      </c>
      <c r="D3260" t="s">
        <v>16</v>
      </c>
      <c r="E3260" t="s">
        <v>22</v>
      </c>
      <c r="F3260" t="str">
        <f t="shared" si="50"/>
        <v>North</v>
      </c>
      <c r="G3260" t="s">
        <v>12</v>
      </c>
      <c r="H3260" t="s">
        <v>32</v>
      </c>
      <c r="I3260">
        <v>16</v>
      </c>
    </row>
    <row r="3261" spans="1:9" ht="21.75" customHeight="1">
      <c r="A3261" t="s">
        <v>3411</v>
      </c>
      <c r="B3261" s="3">
        <v>45423</v>
      </c>
      <c r="C3261" t="s">
        <v>34</v>
      </c>
      <c r="D3261" t="s">
        <v>72</v>
      </c>
      <c r="E3261" t="s">
        <v>22</v>
      </c>
      <c r="F3261" t="str">
        <f t="shared" si="50"/>
        <v>Central</v>
      </c>
      <c r="G3261" t="s">
        <v>306</v>
      </c>
      <c r="H3261" t="s">
        <v>32</v>
      </c>
      <c r="I3261">
        <v>20</v>
      </c>
    </row>
    <row r="3262" spans="1:9" ht="21.75" customHeight="1">
      <c r="A3262" t="s">
        <v>3412</v>
      </c>
      <c r="B3262" s="3">
        <v>45341</v>
      </c>
      <c r="C3262" t="s">
        <v>517</v>
      </c>
      <c r="D3262" t="s">
        <v>35</v>
      </c>
      <c r="E3262" t="s">
        <v>22</v>
      </c>
      <c r="F3262" t="str">
        <f t="shared" si="50"/>
        <v>Central</v>
      </c>
      <c r="G3262" t="s">
        <v>306</v>
      </c>
      <c r="H3262" t="s">
        <v>28</v>
      </c>
      <c r="I3262">
        <v>5</v>
      </c>
    </row>
    <row r="3263" spans="1:9" ht="21.75" customHeight="1">
      <c r="A3263" t="s">
        <v>3413</v>
      </c>
      <c r="B3263" s="3">
        <v>45358</v>
      </c>
      <c r="C3263" t="s">
        <v>167</v>
      </c>
      <c r="D3263" t="s">
        <v>197</v>
      </c>
      <c r="E3263" t="s">
        <v>22</v>
      </c>
      <c r="F3263" t="str">
        <f t="shared" si="50"/>
        <v>North</v>
      </c>
      <c r="G3263" t="s">
        <v>12</v>
      </c>
      <c r="H3263" t="s">
        <v>13</v>
      </c>
      <c r="I3263">
        <v>13</v>
      </c>
    </row>
    <row r="3264" spans="1:9" ht="21.75" customHeight="1">
      <c r="A3264" t="s">
        <v>3414</v>
      </c>
      <c r="B3264" s="3">
        <v>45606</v>
      </c>
      <c r="C3264" t="s">
        <v>15</v>
      </c>
      <c r="D3264" t="s">
        <v>197</v>
      </c>
      <c r="E3264" t="s">
        <v>11</v>
      </c>
      <c r="F3264" t="str">
        <f t="shared" si="50"/>
        <v>East</v>
      </c>
      <c r="G3264" t="s">
        <v>42</v>
      </c>
      <c r="H3264" t="s">
        <v>28</v>
      </c>
      <c r="I3264">
        <v>10</v>
      </c>
    </row>
    <row r="3265" spans="1:9" ht="21.75" customHeight="1">
      <c r="A3265" t="s">
        <v>3415</v>
      </c>
      <c r="B3265" s="3">
        <v>45528</v>
      </c>
      <c r="C3265" t="s">
        <v>317</v>
      </c>
      <c r="D3265" t="s">
        <v>59</v>
      </c>
      <c r="E3265" t="s">
        <v>22</v>
      </c>
      <c r="F3265" t="str">
        <f t="shared" si="50"/>
        <v>Central</v>
      </c>
      <c r="G3265" t="s">
        <v>306</v>
      </c>
      <c r="H3265" t="s">
        <v>36</v>
      </c>
      <c r="I3265">
        <v>9</v>
      </c>
    </row>
    <row r="3266" spans="1:9" ht="21.75" customHeight="1">
      <c r="A3266" t="s">
        <v>3416</v>
      </c>
      <c r="B3266" s="3">
        <v>45359</v>
      </c>
      <c r="C3266" t="s">
        <v>187</v>
      </c>
      <c r="D3266" t="s">
        <v>87</v>
      </c>
      <c r="E3266" t="s">
        <v>17</v>
      </c>
      <c r="F3266" t="str">
        <f t="shared" si="50"/>
        <v>South</v>
      </c>
      <c r="G3266" t="s">
        <v>56</v>
      </c>
      <c r="H3266" t="s">
        <v>36</v>
      </c>
      <c r="I3266">
        <v>2</v>
      </c>
    </row>
    <row r="3267" spans="1:9" ht="21.75" customHeight="1">
      <c r="A3267" t="s">
        <v>3417</v>
      </c>
      <c r="B3267" s="3">
        <v>45489</v>
      </c>
      <c r="C3267" t="s">
        <v>451</v>
      </c>
      <c r="D3267" t="s">
        <v>79</v>
      </c>
      <c r="E3267" t="s">
        <v>11</v>
      </c>
      <c r="F3267" t="str">
        <f t="shared" ref="F3267:F3302" si="51">TRIM(PROPER(G3267))</f>
        <v>South</v>
      </c>
      <c r="G3267" t="s">
        <v>56</v>
      </c>
      <c r="H3267" t="s">
        <v>13</v>
      </c>
      <c r="I3267">
        <v>5</v>
      </c>
    </row>
    <row r="3268" spans="1:9" ht="21.75" customHeight="1">
      <c r="A3268" t="s">
        <v>3418</v>
      </c>
      <c r="B3268" s="3">
        <v>45413</v>
      </c>
      <c r="C3268" t="s">
        <v>111</v>
      </c>
      <c r="D3268" t="s">
        <v>31</v>
      </c>
      <c r="E3268" t="s">
        <v>17</v>
      </c>
      <c r="F3268" t="str">
        <f t="shared" si="51"/>
        <v>North</v>
      </c>
      <c r="G3268" t="s">
        <v>12</v>
      </c>
      <c r="H3268" t="s">
        <v>36</v>
      </c>
      <c r="I3268">
        <v>16</v>
      </c>
    </row>
    <row r="3269" spans="1:9" ht="21.75" customHeight="1">
      <c r="A3269" t="s">
        <v>3419</v>
      </c>
      <c r="B3269" s="3">
        <v>45468</v>
      </c>
      <c r="C3269" t="s">
        <v>150</v>
      </c>
      <c r="D3269" t="s">
        <v>21</v>
      </c>
      <c r="E3269" t="s">
        <v>22</v>
      </c>
      <c r="F3269" t="str">
        <f t="shared" si="51"/>
        <v>West</v>
      </c>
      <c r="G3269" t="s">
        <v>27</v>
      </c>
      <c r="H3269" t="s">
        <v>23</v>
      </c>
      <c r="I3269">
        <v>7</v>
      </c>
    </row>
    <row r="3270" spans="1:9" ht="21.75" customHeight="1">
      <c r="A3270" t="s">
        <v>3420</v>
      </c>
      <c r="B3270" s="3">
        <v>45426</v>
      </c>
      <c r="C3270" t="s">
        <v>591</v>
      </c>
      <c r="D3270" t="s">
        <v>70</v>
      </c>
      <c r="E3270" t="s">
        <v>11</v>
      </c>
      <c r="F3270" t="str">
        <f t="shared" si="51"/>
        <v>East</v>
      </c>
      <c r="G3270" t="s">
        <v>42</v>
      </c>
      <c r="H3270" t="s">
        <v>36</v>
      </c>
      <c r="I3270">
        <v>11</v>
      </c>
    </row>
    <row r="3271" spans="1:9" ht="21.75" customHeight="1">
      <c r="A3271" t="s">
        <v>3421</v>
      </c>
      <c r="B3271" s="3">
        <v>45387</v>
      </c>
      <c r="C3271" t="s">
        <v>230</v>
      </c>
      <c r="D3271" t="s">
        <v>72</v>
      </c>
      <c r="E3271" t="s">
        <v>17</v>
      </c>
      <c r="F3271" t="str">
        <f t="shared" si="51"/>
        <v>Central</v>
      </c>
      <c r="G3271" t="s">
        <v>306</v>
      </c>
      <c r="H3271" t="s">
        <v>23</v>
      </c>
      <c r="I3271">
        <v>4</v>
      </c>
    </row>
    <row r="3272" spans="1:9" ht="21.75" customHeight="1">
      <c r="A3272" t="s">
        <v>3422</v>
      </c>
      <c r="B3272" s="3">
        <v>45467</v>
      </c>
      <c r="C3272" t="s">
        <v>332</v>
      </c>
      <c r="D3272" t="s">
        <v>160</v>
      </c>
      <c r="E3272" t="s">
        <v>17</v>
      </c>
      <c r="F3272" t="str">
        <f t="shared" si="51"/>
        <v>North</v>
      </c>
      <c r="G3272" t="s">
        <v>12</v>
      </c>
      <c r="H3272" t="s">
        <v>32</v>
      </c>
      <c r="I3272">
        <v>14</v>
      </c>
    </row>
    <row r="3273" spans="1:9" ht="21.75" customHeight="1">
      <c r="A3273" t="s">
        <v>3423</v>
      </c>
      <c r="B3273" s="3">
        <v>45570</v>
      </c>
      <c r="C3273" t="s">
        <v>34</v>
      </c>
      <c r="D3273" t="s">
        <v>102</v>
      </c>
      <c r="E3273" t="s">
        <v>11</v>
      </c>
      <c r="F3273" t="str">
        <f t="shared" si="51"/>
        <v>West</v>
      </c>
      <c r="G3273" t="s">
        <v>27</v>
      </c>
      <c r="H3273" t="s">
        <v>13</v>
      </c>
      <c r="I3273">
        <v>4</v>
      </c>
    </row>
    <row r="3274" spans="1:9" ht="21.75" customHeight="1">
      <c r="A3274" t="s">
        <v>3424</v>
      </c>
      <c r="B3274" s="3">
        <v>45443</v>
      </c>
      <c r="C3274" t="s">
        <v>34</v>
      </c>
      <c r="D3274" t="s">
        <v>48</v>
      </c>
      <c r="E3274" t="s">
        <v>17</v>
      </c>
      <c r="F3274" t="str">
        <f t="shared" si="51"/>
        <v>West</v>
      </c>
      <c r="G3274" t="s">
        <v>27</v>
      </c>
      <c r="H3274" t="s">
        <v>23</v>
      </c>
      <c r="I3274">
        <v>18</v>
      </c>
    </row>
    <row r="3275" spans="1:9" ht="21.75" customHeight="1">
      <c r="A3275" t="s">
        <v>3425</v>
      </c>
      <c r="B3275" s="3">
        <v>45334</v>
      </c>
      <c r="C3275" t="s">
        <v>358</v>
      </c>
      <c r="D3275" t="s">
        <v>45</v>
      </c>
      <c r="E3275" t="s">
        <v>17</v>
      </c>
      <c r="F3275" t="str">
        <f t="shared" si="51"/>
        <v>Central</v>
      </c>
      <c r="G3275" t="s">
        <v>306</v>
      </c>
      <c r="H3275" t="s">
        <v>28</v>
      </c>
      <c r="I3275">
        <v>5</v>
      </c>
    </row>
    <row r="3276" spans="1:9" ht="21.75" customHeight="1">
      <c r="A3276" t="s">
        <v>3426</v>
      </c>
      <c r="B3276" s="3">
        <v>45405</v>
      </c>
      <c r="C3276" t="s">
        <v>420</v>
      </c>
      <c r="D3276" t="s">
        <v>96</v>
      </c>
      <c r="E3276" t="s">
        <v>11</v>
      </c>
      <c r="F3276" t="str">
        <f t="shared" si="51"/>
        <v>East</v>
      </c>
      <c r="G3276" t="s">
        <v>42</v>
      </c>
      <c r="H3276" t="s">
        <v>36</v>
      </c>
      <c r="I3276">
        <v>20</v>
      </c>
    </row>
    <row r="3277" spans="1:9" ht="21.75" customHeight="1">
      <c r="A3277" t="s">
        <v>3427</v>
      </c>
      <c r="B3277" s="3">
        <v>45580</v>
      </c>
      <c r="C3277" t="s">
        <v>339</v>
      </c>
      <c r="D3277" t="s">
        <v>160</v>
      </c>
      <c r="E3277" t="s">
        <v>11</v>
      </c>
      <c r="F3277" t="str">
        <f t="shared" si="51"/>
        <v>Central</v>
      </c>
      <c r="G3277" t="s">
        <v>306</v>
      </c>
      <c r="H3277" t="s">
        <v>32</v>
      </c>
      <c r="I3277">
        <v>18</v>
      </c>
    </row>
    <row r="3278" spans="1:9" ht="21.75" customHeight="1">
      <c r="A3278" t="s">
        <v>3428</v>
      </c>
      <c r="B3278" s="3">
        <v>45563</v>
      </c>
      <c r="C3278" t="s">
        <v>30</v>
      </c>
      <c r="D3278" t="s">
        <v>48</v>
      </c>
      <c r="E3278" t="s">
        <v>11</v>
      </c>
      <c r="F3278" t="str">
        <f t="shared" si="51"/>
        <v>North</v>
      </c>
      <c r="G3278" t="s">
        <v>12</v>
      </c>
      <c r="H3278" t="s">
        <v>28</v>
      </c>
      <c r="I3278">
        <v>20</v>
      </c>
    </row>
    <row r="3279" spans="1:9" ht="21.75" customHeight="1">
      <c r="A3279" t="s">
        <v>3429</v>
      </c>
      <c r="B3279" s="3">
        <v>45369</v>
      </c>
      <c r="C3279" t="s">
        <v>591</v>
      </c>
      <c r="D3279" t="s">
        <v>109</v>
      </c>
      <c r="E3279" t="s">
        <v>17</v>
      </c>
      <c r="F3279" t="str">
        <f t="shared" si="51"/>
        <v>South</v>
      </c>
      <c r="G3279" t="s">
        <v>56</v>
      </c>
      <c r="H3279" t="s">
        <v>32</v>
      </c>
      <c r="I3279">
        <v>2</v>
      </c>
    </row>
    <row r="3280" spans="1:9" ht="21.75" customHeight="1">
      <c r="A3280" t="s">
        <v>3430</v>
      </c>
      <c r="B3280" s="3">
        <v>45497</v>
      </c>
      <c r="C3280" t="s">
        <v>61</v>
      </c>
      <c r="D3280" t="s">
        <v>31</v>
      </c>
      <c r="E3280" t="s">
        <v>22</v>
      </c>
      <c r="F3280" t="str">
        <f t="shared" si="51"/>
        <v>West</v>
      </c>
      <c r="G3280" t="s">
        <v>27</v>
      </c>
      <c r="H3280" t="s">
        <v>23</v>
      </c>
      <c r="I3280">
        <v>15</v>
      </c>
    </row>
    <row r="3281" spans="1:9" ht="21.75" customHeight="1">
      <c r="A3281" t="s">
        <v>3431</v>
      </c>
      <c r="B3281" s="3">
        <v>45445</v>
      </c>
      <c r="C3281" t="s">
        <v>25</v>
      </c>
      <c r="D3281" t="s">
        <v>10</v>
      </c>
      <c r="E3281" t="s">
        <v>17</v>
      </c>
      <c r="F3281" t="str">
        <f t="shared" si="51"/>
        <v>Central</v>
      </c>
      <c r="G3281" t="s">
        <v>306</v>
      </c>
      <c r="H3281" t="s">
        <v>32</v>
      </c>
      <c r="I3281">
        <v>7</v>
      </c>
    </row>
    <row r="3282" spans="1:9" ht="21.75" customHeight="1">
      <c r="A3282" t="s">
        <v>3432</v>
      </c>
      <c r="B3282" s="3">
        <v>45605</v>
      </c>
      <c r="C3282" t="s">
        <v>327</v>
      </c>
      <c r="D3282" t="s">
        <v>10</v>
      </c>
      <c r="E3282" t="s">
        <v>11</v>
      </c>
      <c r="F3282" t="str">
        <f t="shared" si="51"/>
        <v>West</v>
      </c>
      <c r="G3282" t="s">
        <v>27</v>
      </c>
      <c r="H3282" t="s">
        <v>28</v>
      </c>
      <c r="I3282">
        <v>5</v>
      </c>
    </row>
    <row r="3283" spans="1:9" ht="21.75" customHeight="1">
      <c r="A3283" t="s">
        <v>3433</v>
      </c>
      <c r="B3283" s="3">
        <v>45374</v>
      </c>
      <c r="C3283" t="s">
        <v>332</v>
      </c>
      <c r="D3283" t="s">
        <v>197</v>
      </c>
      <c r="E3283" t="s">
        <v>17</v>
      </c>
      <c r="F3283" t="str">
        <f t="shared" si="51"/>
        <v>South</v>
      </c>
      <c r="G3283" t="s">
        <v>56</v>
      </c>
      <c r="H3283" t="s">
        <v>23</v>
      </c>
      <c r="I3283">
        <v>13</v>
      </c>
    </row>
    <row r="3284" spans="1:9" ht="21.75" customHeight="1">
      <c r="A3284" t="s">
        <v>3434</v>
      </c>
      <c r="B3284" s="3">
        <v>45419</v>
      </c>
      <c r="C3284" t="s">
        <v>20</v>
      </c>
      <c r="D3284" t="s">
        <v>10</v>
      </c>
      <c r="E3284" t="s">
        <v>11</v>
      </c>
      <c r="F3284" t="str">
        <f t="shared" si="51"/>
        <v>East</v>
      </c>
      <c r="G3284" t="s">
        <v>42</v>
      </c>
      <c r="H3284" t="s">
        <v>28</v>
      </c>
      <c r="I3284">
        <v>13</v>
      </c>
    </row>
    <row r="3285" spans="1:9" ht="21.75" customHeight="1">
      <c r="A3285" t="s">
        <v>3435</v>
      </c>
      <c r="B3285" s="3">
        <v>45591</v>
      </c>
      <c r="C3285" t="s">
        <v>422</v>
      </c>
      <c r="D3285" t="s">
        <v>16</v>
      </c>
      <c r="E3285" t="s">
        <v>11</v>
      </c>
      <c r="F3285" t="str">
        <f t="shared" si="51"/>
        <v>West</v>
      </c>
      <c r="G3285" t="s">
        <v>27</v>
      </c>
      <c r="H3285" t="s">
        <v>28</v>
      </c>
      <c r="I3285">
        <v>9</v>
      </c>
    </row>
    <row r="3286" spans="1:9" ht="21.75" customHeight="1">
      <c r="A3286" t="s">
        <v>3436</v>
      </c>
      <c r="B3286" s="3">
        <v>45297</v>
      </c>
      <c r="C3286" t="s">
        <v>541</v>
      </c>
      <c r="D3286" t="s">
        <v>102</v>
      </c>
      <c r="E3286" t="s">
        <v>22</v>
      </c>
      <c r="F3286" t="str">
        <f t="shared" si="51"/>
        <v>East</v>
      </c>
      <c r="G3286" t="s">
        <v>42</v>
      </c>
      <c r="H3286" t="s">
        <v>36</v>
      </c>
      <c r="I3286">
        <v>4</v>
      </c>
    </row>
    <row r="3287" spans="1:9" ht="21.75" customHeight="1">
      <c r="A3287" t="s">
        <v>3437</v>
      </c>
      <c r="B3287" s="3">
        <v>45598</v>
      </c>
      <c r="C3287" t="s">
        <v>553</v>
      </c>
      <c r="D3287" t="s">
        <v>197</v>
      </c>
      <c r="E3287" t="s">
        <v>22</v>
      </c>
      <c r="F3287" t="str">
        <f t="shared" si="51"/>
        <v>West</v>
      </c>
      <c r="G3287" t="s">
        <v>27</v>
      </c>
      <c r="H3287" t="s">
        <v>32</v>
      </c>
      <c r="I3287">
        <v>4</v>
      </c>
    </row>
    <row r="3288" spans="1:9" ht="21.75" customHeight="1">
      <c r="A3288" t="s">
        <v>3438</v>
      </c>
      <c r="B3288" s="3">
        <v>45604</v>
      </c>
      <c r="C3288" t="s">
        <v>366</v>
      </c>
      <c r="D3288" t="s">
        <v>16</v>
      </c>
      <c r="E3288" t="s">
        <v>11</v>
      </c>
      <c r="F3288" t="str">
        <f t="shared" si="51"/>
        <v>East</v>
      </c>
      <c r="G3288" t="s">
        <v>42</v>
      </c>
      <c r="H3288" t="s">
        <v>32</v>
      </c>
      <c r="I3288">
        <v>2</v>
      </c>
    </row>
    <row r="3289" spans="1:9" ht="21.75" customHeight="1">
      <c r="A3289" t="s">
        <v>3439</v>
      </c>
      <c r="B3289" s="3">
        <v>45422</v>
      </c>
      <c r="C3289" t="s">
        <v>40</v>
      </c>
      <c r="D3289" t="s">
        <v>21</v>
      </c>
      <c r="E3289" t="s">
        <v>17</v>
      </c>
      <c r="F3289" t="str">
        <f t="shared" si="51"/>
        <v>West</v>
      </c>
      <c r="G3289" t="s">
        <v>27</v>
      </c>
      <c r="H3289" t="s">
        <v>36</v>
      </c>
      <c r="I3289">
        <v>6</v>
      </c>
    </row>
    <row r="3290" spans="1:9" ht="21.75" customHeight="1">
      <c r="A3290" t="s">
        <v>3440</v>
      </c>
      <c r="B3290" s="3">
        <v>45646</v>
      </c>
      <c r="C3290" t="s">
        <v>374</v>
      </c>
      <c r="D3290" t="s">
        <v>119</v>
      </c>
      <c r="E3290" t="s">
        <v>17</v>
      </c>
      <c r="F3290" t="str">
        <f t="shared" si="51"/>
        <v>South</v>
      </c>
      <c r="G3290" t="s">
        <v>56</v>
      </c>
      <c r="H3290" t="s">
        <v>36</v>
      </c>
      <c r="I3290">
        <v>4</v>
      </c>
    </row>
    <row r="3291" spans="1:9" ht="21.75" customHeight="1">
      <c r="A3291" t="s">
        <v>3441</v>
      </c>
      <c r="B3291" s="3">
        <v>45600</v>
      </c>
      <c r="C3291" t="s">
        <v>327</v>
      </c>
      <c r="D3291" t="s">
        <v>48</v>
      </c>
      <c r="E3291" t="s">
        <v>11</v>
      </c>
      <c r="F3291" t="str">
        <f t="shared" si="51"/>
        <v>West</v>
      </c>
      <c r="G3291" t="s">
        <v>27</v>
      </c>
      <c r="H3291" t="s">
        <v>23</v>
      </c>
      <c r="I3291">
        <v>14</v>
      </c>
    </row>
    <row r="3292" spans="1:9" ht="21.75" customHeight="1">
      <c r="A3292" t="s">
        <v>3442</v>
      </c>
      <c r="B3292" s="3">
        <v>45345</v>
      </c>
      <c r="C3292" t="s">
        <v>337</v>
      </c>
      <c r="D3292" t="s">
        <v>26</v>
      </c>
      <c r="E3292" t="s">
        <v>22</v>
      </c>
      <c r="F3292" t="str">
        <f t="shared" si="51"/>
        <v>East</v>
      </c>
      <c r="G3292" t="s">
        <v>42</v>
      </c>
      <c r="H3292" t="s">
        <v>32</v>
      </c>
      <c r="I3292">
        <v>17</v>
      </c>
    </row>
    <row r="3293" spans="1:9" ht="21.75" customHeight="1">
      <c r="A3293" t="s">
        <v>3443</v>
      </c>
      <c r="B3293" s="3">
        <v>45633</v>
      </c>
      <c r="C3293" t="s">
        <v>230</v>
      </c>
      <c r="D3293" t="s">
        <v>48</v>
      </c>
      <c r="E3293" t="s">
        <v>11</v>
      </c>
      <c r="F3293" t="str">
        <f t="shared" si="51"/>
        <v>North</v>
      </c>
      <c r="G3293" t="s">
        <v>12</v>
      </c>
      <c r="H3293" t="s">
        <v>13</v>
      </c>
      <c r="I3293">
        <v>16</v>
      </c>
    </row>
    <row r="3294" spans="1:9" ht="21.75" customHeight="1">
      <c r="A3294" t="s">
        <v>3444</v>
      </c>
      <c r="B3294" s="3">
        <v>45545</v>
      </c>
      <c r="C3294" t="s">
        <v>240</v>
      </c>
      <c r="D3294" t="s">
        <v>59</v>
      </c>
      <c r="E3294" t="s">
        <v>17</v>
      </c>
      <c r="F3294" t="str">
        <f t="shared" si="51"/>
        <v>East</v>
      </c>
      <c r="G3294" t="s">
        <v>42</v>
      </c>
      <c r="H3294" t="s">
        <v>13</v>
      </c>
      <c r="I3294">
        <v>16</v>
      </c>
    </row>
    <row r="3295" spans="1:9" ht="21.75" customHeight="1">
      <c r="A3295" t="s">
        <v>3445</v>
      </c>
      <c r="B3295" s="3">
        <v>45581</v>
      </c>
      <c r="C3295" t="s">
        <v>159</v>
      </c>
      <c r="D3295" t="s">
        <v>109</v>
      </c>
      <c r="E3295" t="s">
        <v>22</v>
      </c>
      <c r="F3295" t="str">
        <f t="shared" si="51"/>
        <v>West</v>
      </c>
      <c r="G3295" t="s">
        <v>27</v>
      </c>
      <c r="H3295" t="s">
        <v>13</v>
      </c>
      <c r="I3295">
        <v>20</v>
      </c>
    </row>
    <row r="3296" spans="1:9" ht="21.75" customHeight="1">
      <c r="A3296" t="s">
        <v>3446</v>
      </c>
      <c r="B3296" s="3">
        <v>45621</v>
      </c>
      <c r="C3296" t="s">
        <v>108</v>
      </c>
      <c r="D3296" t="s">
        <v>59</v>
      </c>
      <c r="E3296" t="s">
        <v>11</v>
      </c>
      <c r="F3296" t="str">
        <f t="shared" si="51"/>
        <v>North</v>
      </c>
      <c r="G3296" t="s">
        <v>12</v>
      </c>
      <c r="H3296" t="s">
        <v>28</v>
      </c>
      <c r="I3296">
        <v>12</v>
      </c>
    </row>
    <row r="3297" spans="1:9" ht="21.75" customHeight="1">
      <c r="A3297" t="s">
        <v>3447</v>
      </c>
      <c r="B3297" s="3">
        <v>45655</v>
      </c>
      <c r="C3297" t="s">
        <v>493</v>
      </c>
      <c r="D3297" t="s">
        <v>87</v>
      </c>
      <c r="E3297" t="s">
        <v>17</v>
      </c>
      <c r="F3297" t="str">
        <f t="shared" si="51"/>
        <v>North</v>
      </c>
      <c r="G3297" t="s">
        <v>12</v>
      </c>
      <c r="H3297" t="s">
        <v>32</v>
      </c>
      <c r="I3297">
        <v>15</v>
      </c>
    </row>
    <row r="3298" spans="1:9" ht="21.75" customHeight="1">
      <c r="A3298" t="s">
        <v>3448</v>
      </c>
      <c r="B3298" s="3">
        <v>45585</v>
      </c>
      <c r="C3298" t="s">
        <v>363</v>
      </c>
      <c r="D3298" t="s">
        <v>79</v>
      </c>
      <c r="E3298" t="s">
        <v>17</v>
      </c>
      <c r="F3298" t="str">
        <f t="shared" si="51"/>
        <v>West</v>
      </c>
      <c r="G3298" t="s">
        <v>27</v>
      </c>
      <c r="H3298" t="s">
        <v>13</v>
      </c>
      <c r="I3298">
        <v>7</v>
      </c>
    </row>
    <row r="3299" spans="1:9" ht="21.75" customHeight="1">
      <c r="A3299" t="s">
        <v>3449</v>
      </c>
      <c r="B3299" s="3">
        <v>45304</v>
      </c>
      <c r="C3299" t="s">
        <v>451</v>
      </c>
      <c r="D3299" t="s">
        <v>72</v>
      </c>
      <c r="E3299" t="s">
        <v>11</v>
      </c>
      <c r="F3299" t="str">
        <f t="shared" si="51"/>
        <v>East</v>
      </c>
      <c r="G3299" t="s">
        <v>42</v>
      </c>
      <c r="H3299" t="s">
        <v>23</v>
      </c>
      <c r="I3299">
        <v>1</v>
      </c>
    </row>
    <row r="3300" spans="1:9" ht="21.75" customHeight="1">
      <c r="A3300" t="s">
        <v>3450</v>
      </c>
      <c r="B3300" s="3">
        <v>45421</v>
      </c>
      <c r="C3300" t="s">
        <v>182</v>
      </c>
      <c r="D3300" t="s">
        <v>41</v>
      </c>
      <c r="E3300" t="s">
        <v>17</v>
      </c>
      <c r="F3300" t="str">
        <f t="shared" si="51"/>
        <v>East</v>
      </c>
      <c r="G3300" t="s">
        <v>42</v>
      </c>
      <c r="H3300" t="s">
        <v>28</v>
      </c>
      <c r="I3300">
        <v>9</v>
      </c>
    </row>
    <row r="3301" spans="1:9" ht="21.75" customHeight="1">
      <c r="A3301" t="s">
        <v>3451</v>
      </c>
      <c r="B3301" s="3">
        <v>45316</v>
      </c>
      <c r="C3301" t="s">
        <v>187</v>
      </c>
      <c r="D3301" t="s">
        <v>70</v>
      </c>
      <c r="E3301" t="s">
        <v>22</v>
      </c>
      <c r="F3301" t="str">
        <f t="shared" si="51"/>
        <v>East</v>
      </c>
      <c r="G3301" t="s">
        <v>42</v>
      </c>
      <c r="H3301" t="s">
        <v>28</v>
      </c>
      <c r="I3301">
        <v>7</v>
      </c>
    </row>
    <row r="3302" spans="1:9" ht="21.75" customHeight="1">
      <c r="A3302" t="s">
        <v>3452</v>
      </c>
      <c r="B3302" s="3">
        <v>45572</v>
      </c>
      <c r="C3302" t="s">
        <v>736</v>
      </c>
      <c r="D3302" t="s">
        <v>72</v>
      </c>
      <c r="E3302" t="s">
        <v>22</v>
      </c>
      <c r="F3302" t="str">
        <f t="shared" si="51"/>
        <v>West</v>
      </c>
      <c r="G3302" t="s">
        <v>27</v>
      </c>
      <c r="H3302" t="s">
        <v>32</v>
      </c>
      <c r="I3302">
        <v>6</v>
      </c>
    </row>
  </sheetData>
  <pageMargins left="0.75" right="0.75" top="1" bottom="1" header="0.5" footer="0.5"/>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pane ySplit="1" topLeftCell="A2" activePane="bottomLeft" state="frozen"/>
      <selection pane="bottomLeft" activeCell="D2" sqref="D2"/>
    </sheetView>
  </sheetViews>
  <sheetFormatPr defaultColWidth="9.1796875" defaultRowHeight="15" customHeight="1"/>
  <cols>
    <col min="1" max="1" width="10.453125" bestFit="1" customWidth="1"/>
    <col min="2" max="2" width="14.453125" bestFit="1" customWidth="1"/>
    <col min="3" max="3" width="13.54296875" customWidth="1"/>
  </cols>
  <sheetData>
    <row r="1" spans="1:3" ht="15" customHeight="1">
      <c r="A1" s="1"/>
      <c r="B1" s="1"/>
    </row>
    <row r="2" spans="1:3" ht="15" customHeight="1">
      <c r="A2" s="2" t="s">
        <v>3</v>
      </c>
      <c r="B2" s="2" t="s">
        <v>3453</v>
      </c>
      <c r="C2" s="2" t="s">
        <v>3454</v>
      </c>
    </row>
    <row r="3" spans="1:3" ht="15" customHeight="1">
      <c r="A3" t="s">
        <v>96</v>
      </c>
      <c r="B3" t="s">
        <v>3455</v>
      </c>
      <c r="C3" t="s">
        <v>3628</v>
      </c>
    </row>
    <row r="4" spans="1:3" ht="15" customHeight="1">
      <c r="A4" t="s">
        <v>79</v>
      </c>
      <c r="B4" t="s">
        <v>3456</v>
      </c>
      <c r="C4" t="s">
        <v>3629</v>
      </c>
    </row>
    <row r="5" spans="1:3" ht="15" customHeight="1">
      <c r="A5" t="s">
        <v>10</v>
      </c>
      <c r="B5" t="s">
        <v>3457</v>
      </c>
      <c r="C5" t="s">
        <v>3630</v>
      </c>
    </row>
    <row r="6" spans="1:3" ht="15" customHeight="1">
      <c r="A6" t="s">
        <v>102</v>
      </c>
      <c r="B6" t="s">
        <v>3458</v>
      </c>
      <c r="C6" t="s">
        <v>3631</v>
      </c>
    </row>
    <row r="7" spans="1:3" ht="15" customHeight="1">
      <c r="A7" t="s">
        <v>16</v>
      </c>
      <c r="B7" t="s">
        <v>3459</v>
      </c>
      <c r="C7" t="s">
        <v>3632</v>
      </c>
    </row>
    <row r="8" spans="1:3" ht="15" customHeight="1">
      <c r="A8" t="s">
        <v>45</v>
      </c>
      <c r="B8" t="s">
        <v>3460</v>
      </c>
      <c r="C8" t="s">
        <v>3633</v>
      </c>
    </row>
    <row r="9" spans="1:3" ht="15" customHeight="1">
      <c r="A9" t="s">
        <v>65</v>
      </c>
      <c r="B9" t="s">
        <v>3461</v>
      </c>
      <c r="C9" t="s">
        <v>3634</v>
      </c>
    </row>
    <row r="10" spans="1:3" ht="15" customHeight="1">
      <c r="A10" t="s">
        <v>197</v>
      </c>
      <c r="B10" t="s">
        <v>3462</v>
      </c>
      <c r="C10" t="s">
        <v>3635</v>
      </c>
    </row>
    <row r="11" spans="1:3" ht="15" customHeight="1">
      <c r="A11" t="s">
        <v>26</v>
      </c>
      <c r="B11" t="s">
        <v>3463</v>
      </c>
      <c r="C11" t="s">
        <v>3636</v>
      </c>
    </row>
    <row r="12" spans="1:3" ht="15" customHeight="1">
      <c r="A12" t="s">
        <v>74</v>
      </c>
      <c r="B12" t="s">
        <v>3464</v>
      </c>
      <c r="C12" t="s">
        <v>3637</v>
      </c>
    </row>
    <row r="13" spans="1:3" ht="15" customHeight="1">
      <c r="A13" t="s">
        <v>72</v>
      </c>
      <c r="B13" t="s">
        <v>3465</v>
      </c>
      <c r="C13" t="s">
        <v>3638</v>
      </c>
    </row>
    <row r="14" spans="1:3" ht="15" customHeight="1">
      <c r="A14" t="s">
        <v>48</v>
      </c>
      <c r="B14" t="s">
        <v>3466</v>
      </c>
      <c r="C14" t="s">
        <v>3639</v>
      </c>
    </row>
    <row r="15" spans="1:3" ht="15" customHeight="1">
      <c r="A15" t="s">
        <v>31</v>
      </c>
      <c r="B15" t="s">
        <v>3467</v>
      </c>
      <c r="C15" t="s">
        <v>3640</v>
      </c>
    </row>
    <row r="16" spans="1:3" ht="15" customHeight="1">
      <c r="A16" t="s">
        <v>87</v>
      </c>
      <c r="B16" t="s">
        <v>3468</v>
      </c>
      <c r="C16" t="s">
        <v>3641</v>
      </c>
    </row>
    <row r="17" spans="1:3" ht="15" customHeight="1">
      <c r="A17" t="s">
        <v>70</v>
      </c>
      <c r="B17" t="s">
        <v>3469</v>
      </c>
      <c r="C17" t="s">
        <v>3642</v>
      </c>
    </row>
    <row r="18" spans="1:3" ht="15" customHeight="1">
      <c r="A18" t="s">
        <v>35</v>
      </c>
      <c r="B18" t="s">
        <v>3470</v>
      </c>
      <c r="C18" t="s">
        <v>3643</v>
      </c>
    </row>
    <row r="19" spans="1:3" ht="15" customHeight="1">
      <c r="A19" t="s">
        <v>160</v>
      </c>
      <c r="B19" t="s">
        <v>3471</v>
      </c>
      <c r="C19" t="s">
        <v>3644</v>
      </c>
    </row>
    <row r="20" spans="1:3" ht="15" customHeight="1">
      <c r="A20" t="s">
        <v>174</v>
      </c>
      <c r="B20" t="s">
        <v>3472</v>
      </c>
      <c r="C20" t="s">
        <v>3645</v>
      </c>
    </row>
    <row r="21" spans="1:3" ht="15" customHeight="1">
      <c r="A21" t="s">
        <v>59</v>
      </c>
      <c r="B21" t="s">
        <v>3473</v>
      </c>
      <c r="C21" t="s">
        <v>3646</v>
      </c>
    </row>
    <row r="22" spans="1:3" ht="15" customHeight="1">
      <c r="A22" t="s">
        <v>109</v>
      </c>
      <c r="B22" t="s">
        <v>3474</v>
      </c>
      <c r="C22" t="s">
        <v>3647</v>
      </c>
    </row>
    <row r="23" spans="1:3" ht="15" customHeight="1">
      <c r="A23" t="s">
        <v>21</v>
      </c>
      <c r="B23" t="s">
        <v>3475</v>
      </c>
      <c r="C23" t="s">
        <v>3648</v>
      </c>
    </row>
    <row r="24" spans="1:3" ht="15" customHeight="1">
      <c r="A24" t="s">
        <v>41</v>
      </c>
      <c r="B24" t="s">
        <v>3476</v>
      </c>
      <c r="C24" t="s">
        <v>3649</v>
      </c>
    </row>
    <row r="25" spans="1:3" ht="15" customHeight="1">
      <c r="A25" t="s">
        <v>62</v>
      </c>
      <c r="B25" t="s">
        <v>3477</v>
      </c>
      <c r="C25" t="s">
        <v>3650</v>
      </c>
    </row>
    <row r="26" spans="1:3" ht="15" customHeight="1">
      <c r="A26" t="s">
        <v>84</v>
      </c>
      <c r="B26" t="s">
        <v>3478</v>
      </c>
      <c r="C26" t="s">
        <v>3651</v>
      </c>
    </row>
    <row r="27" spans="1:3" ht="15" customHeight="1">
      <c r="A27" t="s">
        <v>119</v>
      </c>
      <c r="B27" t="s">
        <v>3479</v>
      </c>
      <c r="C27" t="s">
        <v>3652</v>
      </c>
    </row>
  </sheetData>
  <pageMargins left="0.75" right="0.75" top="1" bottom="1" header="0.5" footer="0.5"/>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3"/>
  <sheetViews>
    <sheetView workbookViewId="0">
      <pane ySplit="1" topLeftCell="A2" activePane="bottomLeft" state="frozen"/>
      <selection pane="bottomLeft"/>
    </sheetView>
  </sheetViews>
  <sheetFormatPr defaultColWidth="9.1796875" defaultRowHeight="15" customHeight="1"/>
  <cols>
    <col min="1" max="1" width="12.1796875" bestFit="1" customWidth="1"/>
    <col min="2" max="2" width="17.7265625" bestFit="1" customWidth="1"/>
    <col min="3" max="3" width="31.54296875" bestFit="1" customWidth="1"/>
    <col min="4" max="4" width="18.1796875" bestFit="1" customWidth="1"/>
    <col min="5" max="5" width="16.1796875" bestFit="1" customWidth="1"/>
  </cols>
  <sheetData>
    <row r="1" spans="1:5" ht="15" customHeight="1">
      <c r="A1" s="1"/>
      <c r="B1" s="1"/>
      <c r="C1" s="1"/>
      <c r="D1" s="1"/>
      <c r="E1" s="1"/>
    </row>
    <row r="2" spans="1:5" ht="15" customHeight="1">
      <c r="A2" s="2" t="s">
        <v>3480</v>
      </c>
      <c r="B2" s="2" t="s">
        <v>3481</v>
      </c>
      <c r="C2" s="2" t="s">
        <v>3482</v>
      </c>
      <c r="D2" s="2" t="s">
        <v>3483</v>
      </c>
      <c r="E2" s="2" t="s">
        <v>3484</v>
      </c>
    </row>
    <row r="3" spans="1:5" ht="15" customHeight="1">
      <c r="A3" t="s">
        <v>25</v>
      </c>
      <c r="B3" t="s">
        <v>3485</v>
      </c>
      <c r="C3" t="s">
        <v>3486</v>
      </c>
      <c r="D3" s="3">
        <v>26153</v>
      </c>
      <c r="E3" t="s">
        <v>3487</v>
      </c>
    </row>
    <row r="4" spans="1:5" ht="15" customHeight="1">
      <c r="A4" t="s">
        <v>142</v>
      </c>
      <c r="B4" t="s">
        <v>3488</v>
      </c>
      <c r="C4" t="s">
        <v>3489</v>
      </c>
      <c r="D4" s="3">
        <v>28842</v>
      </c>
      <c r="E4" t="s">
        <v>3490</v>
      </c>
    </row>
    <row r="5" spans="1:5" ht="15" customHeight="1">
      <c r="A5" t="s">
        <v>138</v>
      </c>
      <c r="B5" t="s">
        <v>3491</v>
      </c>
      <c r="C5" t="s">
        <v>3492</v>
      </c>
      <c r="D5" s="3">
        <v>23511</v>
      </c>
      <c r="E5" t="s">
        <v>3493</v>
      </c>
    </row>
    <row r="6" spans="1:5" ht="15" customHeight="1">
      <c r="A6" t="s">
        <v>64</v>
      </c>
      <c r="B6" t="s">
        <v>3494</v>
      </c>
      <c r="C6" t="s">
        <v>3495</v>
      </c>
      <c r="D6" s="3">
        <v>31187</v>
      </c>
      <c r="E6" t="s">
        <v>3496</v>
      </c>
    </row>
    <row r="7" spans="1:5" ht="15" customHeight="1">
      <c r="A7" t="s">
        <v>122</v>
      </c>
      <c r="B7" t="s">
        <v>3497</v>
      </c>
      <c r="C7" t="s">
        <v>3498</v>
      </c>
      <c r="D7" s="3">
        <v>32505</v>
      </c>
      <c r="E7" t="s">
        <v>3499</v>
      </c>
    </row>
    <row r="8" spans="1:5" ht="15" customHeight="1">
      <c r="A8" t="s">
        <v>116</v>
      </c>
      <c r="B8" t="s">
        <v>3500</v>
      </c>
      <c r="C8" t="s">
        <v>3501</v>
      </c>
      <c r="D8" s="3">
        <v>23735</v>
      </c>
      <c r="E8" t="s">
        <v>3502</v>
      </c>
    </row>
    <row r="9" spans="1:5" ht="15" customHeight="1">
      <c r="A9" t="s">
        <v>9</v>
      </c>
      <c r="B9" t="s">
        <v>3503</v>
      </c>
      <c r="C9" t="s">
        <v>3504</v>
      </c>
      <c r="D9" s="3">
        <v>24233</v>
      </c>
      <c r="E9" t="s">
        <v>3505</v>
      </c>
    </row>
    <row r="10" spans="1:5" ht="15" customHeight="1">
      <c r="A10" t="s">
        <v>131</v>
      </c>
      <c r="B10" t="s">
        <v>3506</v>
      </c>
      <c r="C10" t="s">
        <v>3507</v>
      </c>
      <c r="D10" s="3">
        <v>34413</v>
      </c>
      <c r="E10" t="s">
        <v>3508</v>
      </c>
    </row>
    <row r="11" spans="1:5" ht="15" customHeight="1">
      <c r="A11" t="s">
        <v>58</v>
      </c>
      <c r="B11" t="s">
        <v>3509</v>
      </c>
      <c r="C11" t="s">
        <v>3510</v>
      </c>
      <c r="D11" s="3">
        <v>24948</v>
      </c>
      <c r="E11" t="s">
        <v>3511</v>
      </c>
    </row>
    <row r="12" spans="1:5" ht="15" customHeight="1">
      <c r="A12" t="s">
        <v>208</v>
      </c>
      <c r="B12" t="s">
        <v>3512</v>
      </c>
      <c r="C12" t="s">
        <v>3513</v>
      </c>
      <c r="D12" s="3">
        <v>34985</v>
      </c>
      <c r="E12" t="s">
        <v>3514</v>
      </c>
    </row>
    <row r="13" spans="1:5" ht="15" customHeight="1">
      <c r="A13" t="s">
        <v>81</v>
      </c>
      <c r="B13" t="s">
        <v>3515</v>
      </c>
      <c r="C13" t="s">
        <v>3516</v>
      </c>
      <c r="D13" s="3">
        <v>30277</v>
      </c>
      <c r="E13" t="s">
        <v>3517</v>
      </c>
    </row>
    <row r="14" spans="1:5" ht="15" customHeight="1">
      <c r="A14" t="s">
        <v>203</v>
      </c>
      <c r="B14" t="s">
        <v>3518</v>
      </c>
      <c r="C14" t="s">
        <v>3519</v>
      </c>
      <c r="D14" s="3">
        <v>27749</v>
      </c>
      <c r="E14" t="s">
        <v>3520</v>
      </c>
    </row>
    <row r="15" spans="1:5" ht="15" customHeight="1">
      <c r="A15" t="s">
        <v>108</v>
      </c>
      <c r="B15" t="s">
        <v>3521</v>
      </c>
      <c r="C15" t="s">
        <v>3522</v>
      </c>
      <c r="D15" s="3">
        <v>29782</v>
      </c>
      <c r="E15" t="s">
        <v>3523</v>
      </c>
    </row>
    <row r="16" spans="1:5" ht="15" customHeight="1">
      <c r="A16" t="s">
        <v>15</v>
      </c>
      <c r="B16" t="s">
        <v>3524</v>
      </c>
      <c r="C16" t="s">
        <v>3525</v>
      </c>
      <c r="D16" s="3">
        <v>34987</v>
      </c>
      <c r="E16" t="s">
        <v>3526</v>
      </c>
    </row>
    <row r="17" spans="1:5" ht="15" customHeight="1">
      <c r="A17" t="s">
        <v>40</v>
      </c>
      <c r="B17" t="s">
        <v>3527</v>
      </c>
      <c r="C17" t="s">
        <v>3528</v>
      </c>
      <c r="D17" s="3">
        <v>24838</v>
      </c>
      <c r="E17" t="s">
        <v>3529</v>
      </c>
    </row>
    <row r="18" spans="1:5" ht="15" customHeight="1">
      <c r="A18" t="s">
        <v>114</v>
      </c>
      <c r="B18" t="s">
        <v>3530</v>
      </c>
      <c r="C18" t="s">
        <v>3531</v>
      </c>
      <c r="D18" s="3">
        <v>22588</v>
      </c>
      <c r="E18" t="s">
        <v>3532</v>
      </c>
    </row>
    <row r="19" spans="1:5" ht="15" customHeight="1">
      <c r="A19" t="s">
        <v>34</v>
      </c>
      <c r="B19" t="s">
        <v>3533</v>
      </c>
      <c r="C19" t="s">
        <v>3534</v>
      </c>
      <c r="D19" s="3">
        <v>28739</v>
      </c>
      <c r="E19" t="s">
        <v>3535</v>
      </c>
    </row>
    <row r="20" spans="1:5" ht="15" customHeight="1">
      <c r="A20" t="s">
        <v>99</v>
      </c>
      <c r="B20" t="s">
        <v>3536</v>
      </c>
      <c r="C20" t="s">
        <v>3537</v>
      </c>
      <c r="D20" s="3">
        <v>27255</v>
      </c>
      <c r="E20" t="s">
        <v>3538</v>
      </c>
    </row>
    <row r="21" spans="1:5" ht="15" customHeight="1">
      <c r="A21" t="s">
        <v>167</v>
      </c>
      <c r="B21" t="s">
        <v>3539</v>
      </c>
      <c r="C21" t="s">
        <v>3540</v>
      </c>
      <c r="D21" s="3">
        <v>34646</v>
      </c>
      <c r="E21" t="s">
        <v>3541</v>
      </c>
    </row>
    <row r="22" spans="1:5" ht="15" customHeight="1">
      <c r="A22" t="s">
        <v>125</v>
      </c>
      <c r="B22" t="s">
        <v>3542</v>
      </c>
      <c r="C22" t="s">
        <v>3543</v>
      </c>
      <c r="D22" s="3">
        <v>35101</v>
      </c>
      <c r="E22" t="s">
        <v>3544</v>
      </c>
    </row>
    <row r="23" spans="1:5" ht="15" customHeight="1">
      <c r="A23" t="s">
        <v>111</v>
      </c>
      <c r="B23" t="s">
        <v>3485</v>
      </c>
      <c r="C23" t="s">
        <v>3545</v>
      </c>
      <c r="D23" s="3">
        <v>31252</v>
      </c>
      <c r="E23" t="s">
        <v>3487</v>
      </c>
    </row>
    <row r="24" spans="1:5" ht="15" customHeight="1">
      <c r="A24" t="s">
        <v>30</v>
      </c>
      <c r="B24" t="s">
        <v>3488</v>
      </c>
      <c r="C24" t="s">
        <v>3546</v>
      </c>
      <c r="D24" s="3">
        <v>26966</v>
      </c>
      <c r="E24" t="s">
        <v>3490</v>
      </c>
    </row>
    <row r="25" spans="1:5" ht="15" customHeight="1">
      <c r="A25" t="s">
        <v>235</v>
      </c>
      <c r="B25" t="s">
        <v>3491</v>
      </c>
      <c r="C25" t="s">
        <v>3547</v>
      </c>
      <c r="D25" s="3">
        <v>25867</v>
      </c>
      <c r="E25" t="s">
        <v>3493</v>
      </c>
    </row>
    <row r="26" spans="1:5" ht="15" customHeight="1">
      <c r="A26" t="s">
        <v>44</v>
      </c>
      <c r="B26" t="s">
        <v>3494</v>
      </c>
      <c r="C26" t="s">
        <v>3548</v>
      </c>
      <c r="D26" s="3">
        <v>31698</v>
      </c>
      <c r="E26" t="s">
        <v>3496</v>
      </c>
    </row>
    <row r="27" spans="1:5" ht="15" customHeight="1">
      <c r="A27" t="s">
        <v>150</v>
      </c>
      <c r="B27" t="s">
        <v>3497</v>
      </c>
      <c r="C27" t="s">
        <v>3549</v>
      </c>
      <c r="D27" s="3">
        <v>38000</v>
      </c>
      <c r="E27" t="s">
        <v>3499</v>
      </c>
    </row>
    <row r="28" spans="1:5" ht="15" customHeight="1">
      <c r="A28" t="s">
        <v>104</v>
      </c>
      <c r="B28" t="s">
        <v>3500</v>
      </c>
      <c r="C28" t="s">
        <v>3550</v>
      </c>
      <c r="D28" s="3">
        <v>36083</v>
      </c>
      <c r="E28" t="s">
        <v>3502</v>
      </c>
    </row>
    <row r="29" spans="1:5" ht="15" customHeight="1">
      <c r="A29" t="s">
        <v>95</v>
      </c>
      <c r="B29" t="s">
        <v>3503</v>
      </c>
      <c r="C29" t="s">
        <v>3551</v>
      </c>
      <c r="D29" s="3">
        <v>32077</v>
      </c>
      <c r="E29" t="s">
        <v>3505</v>
      </c>
    </row>
    <row r="30" spans="1:5" ht="15" customHeight="1">
      <c r="A30" t="s">
        <v>133</v>
      </c>
      <c r="B30" t="s">
        <v>3506</v>
      </c>
      <c r="C30" t="s">
        <v>3552</v>
      </c>
      <c r="D30" s="3">
        <v>26218</v>
      </c>
      <c r="E30" t="s">
        <v>3508</v>
      </c>
    </row>
    <row r="31" spans="1:5" ht="15" customHeight="1">
      <c r="A31" t="s">
        <v>240</v>
      </c>
      <c r="B31" t="s">
        <v>3509</v>
      </c>
      <c r="C31" t="s">
        <v>3553</v>
      </c>
      <c r="D31" s="3">
        <v>33681</v>
      </c>
      <c r="E31" t="s">
        <v>3511</v>
      </c>
    </row>
    <row r="32" spans="1:5" ht="15" customHeight="1">
      <c r="A32" t="s">
        <v>51</v>
      </c>
      <c r="B32" t="s">
        <v>3512</v>
      </c>
      <c r="C32" t="s">
        <v>3554</v>
      </c>
      <c r="D32" s="3">
        <v>25065</v>
      </c>
      <c r="E32" t="s">
        <v>3514</v>
      </c>
    </row>
    <row r="33" spans="1:5" ht="15" customHeight="1">
      <c r="A33" t="s">
        <v>93</v>
      </c>
      <c r="B33" t="s">
        <v>3515</v>
      </c>
      <c r="C33" t="s">
        <v>3555</v>
      </c>
      <c r="D33" s="3">
        <v>33956</v>
      </c>
      <c r="E33" t="s">
        <v>3517</v>
      </c>
    </row>
    <row r="34" spans="1:5" ht="15" customHeight="1">
      <c r="A34" t="s">
        <v>78</v>
      </c>
      <c r="B34" t="s">
        <v>3518</v>
      </c>
      <c r="C34" t="s">
        <v>3556</v>
      </c>
      <c r="D34" s="3">
        <v>28465</v>
      </c>
      <c r="E34" t="s">
        <v>3520</v>
      </c>
    </row>
    <row r="35" spans="1:5" ht="15" customHeight="1">
      <c r="A35" t="s">
        <v>230</v>
      </c>
      <c r="B35" t="s">
        <v>3521</v>
      </c>
      <c r="C35" t="s">
        <v>3557</v>
      </c>
      <c r="D35" s="3">
        <v>37959</v>
      </c>
      <c r="E35" t="s">
        <v>3523</v>
      </c>
    </row>
    <row r="36" spans="1:5" ht="15" customHeight="1">
      <c r="A36" t="s">
        <v>86</v>
      </c>
      <c r="B36" t="s">
        <v>3524</v>
      </c>
      <c r="C36" t="s">
        <v>3558</v>
      </c>
      <c r="D36" s="3">
        <v>36512</v>
      </c>
      <c r="E36" t="s">
        <v>3526</v>
      </c>
    </row>
    <row r="37" spans="1:5" ht="15" customHeight="1">
      <c r="A37" t="s">
        <v>101</v>
      </c>
      <c r="B37" t="s">
        <v>3527</v>
      </c>
      <c r="C37" t="s">
        <v>3559</v>
      </c>
      <c r="D37" s="3">
        <v>34632</v>
      </c>
      <c r="E37" t="s">
        <v>3529</v>
      </c>
    </row>
    <row r="38" spans="1:5" ht="15" customHeight="1">
      <c r="A38" t="s">
        <v>89</v>
      </c>
      <c r="B38" t="s">
        <v>3530</v>
      </c>
      <c r="C38" t="s">
        <v>3560</v>
      </c>
      <c r="D38" s="3">
        <v>37527</v>
      </c>
      <c r="E38" t="s">
        <v>3532</v>
      </c>
    </row>
    <row r="39" spans="1:5" ht="15" customHeight="1">
      <c r="A39" t="s">
        <v>55</v>
      </c>
      <c r="B39" t="s">
        <v>3533</v>
      </c>
      <c r="C39" t="s">
        <v>3561</v>
      </c>
      <c r="D39" s="3">
        <v>30713</v>
      </c>
      <c r="E39" t="s">
        <v>3535</v>
      </c>
    </row>
    <row r="40" spans="1:5" ht="15" customHeight="1">
      <c r="A40" t="s">
        <v>61</v>
      </c>
      <c r="B40" t="s">
        <v>3536</v>
      </c>
      <c r="C40" t="s">
        <v>3562</v>
      </c>
      <c r="D40" s="3">
        <v>35779</v>
      </c>
      <c r="E40" t="s">
        <v>3538</v>
      </c>
    </row>
    <row r="41" spans="1:5" ht="15" customHeight="1">
      <c r="A41" t="s">
        <v>68</v>
      </c>
      <c r="B41" t="s">
        <v>3539</v>
      </c>
      <c r="C41" t="s">
        <v>3563</v>
      </c>
      <c r="D41" s="3">
        <v>24872</v>
      </c>
      <c r="E41" t="s">
        <v>3541</v>
      </c>
    </row>
    <row r="42" spans="1:5" ht="15" customHeight="1">
      <c r="A42" t="s">
        <v>147</v>
      </c>
      <c r="B42" t="s">
        <v>3542</v>
      </c>
      <c r="C42" t="s">
        <v>3564</v>
      </c>
      <c r="D42" s="3">
        <v>35761</v>
      </c>
      <c r="E42" t="s">
        <v>3544</v>
      </c>
    </row>
    <row r="43" spans="1:5" ht="15" customHeight="1">
      <c r="A43" t="s">
        <v>38</v>
      </c>
      <c r="B43" t="s">
        <v>3485</v>
      </c>
      <c r="C43" t="s">
        <v>3565</v>
      </c>
      <c r="D43" s="3">
        <v>33982</v>
      </c>
      <c r="E43" t="s">
        <v>3487</v>
      </c>
    </row>
    <row r="44" spans="1:5" ht="15" customHeight="1">
      <c r="A44" t="s">
        <v>187</v>
      </c>
      <c r="B44" t="s">
        <v>3488</v>
      </c>
      <c r="C44" t="s">
        <v>3566</v>
      </c>
      <c r="D44" s="3">
        <v>28022</v>
      </c>
      <c r="E44" t="s">
        <v>3490</v>
      </c>
    </row>
    <row r="45" spans="1:5" ht="15" customHeight="1">
      <c r="A45" t="s">
        <v>118</v>
      </c>
      <c r="B45" t="s">
        <v>3491</v>
      </c>
      <c r="C45" t="s">
        <v>3567</v>
      </c>
      <c r="D45" s="3">
        <v>36140</v>
      </c>
      <c r="E45" t="s">
        <v>3493</v>
      </c>
    </row>
    <row r="46" spans="1:5" ht="15" customHeight="1">
      <c r="A46" t="s">
        <v>47</v>
      </c>
      <c r="B46" t="s">
        <v>3494</v>
      </c>
      <c r="C46" t="s">
        <v>3568</v>
      </c>
      <c r="D46" s="3">
        <v>35875</v>
      </c>
      <c r="E46" t="s">
        <v>3496</v>
      </c>
    </row>
    <row r="47" spans="1:5" ht="15" customHeight="1">
      <c r="A47" t="s">
        <v>20</v>
      </c>
      <c r="B47" t="s">
        <v>3497</v>
      </c>
      <c r="C47" t="s">
        <v>3569</v>
      </c>
      <c r="D47" s="3">
        <v>24961</v>
      </c>
      <c r="E47" t="s">
        <v>3499</v>
      </c>
    </row>
    <row r="48" spans="1:5" ht="15" customHeight="1">
      <c r="A48" t="s">
        <v>182</v>
      </c>
      <c r="B48" t="s">
        <v>3500</v>
      </c>
      <c r="C48" t="s">
        <v>3570</v>
      </c>
      <c r="D48" s="3">
        <v>23241</v>
      </c>
      <c r="E48" t="s">
        <v>3502</v>
      </c>
    </row>
    <row r="49" spans="1:5" ht="15" customHeight="1">
      <c r="A49" t="s">
        <v>83</v>
      </c>
      <c r="B49" t="s">
        <v>3503</v>
      </c>
      <c r="C49" t="s">
        <v>3571</v>
      </c>
      <c r="D49" s="3">
        <v>33114</v>
      </c>
      <c r="E49" t="s">
        <v>3505</v>
      </c>
    </row>
    <row r="50" spans="1:5" ht="15" customHeight="1">
      <c r="A50" t="s">
        <v>200</v>
      </c>
      <c r="B50" t="s">
        <v>3506</v>
      </c>
      <c r="C50" t="s">
        <v>3572</v>
      </c>
      <c r="D50" s="3">
        <v>37104</v>
      </c>
      <c r="E50" t="s">
        <v>3508</v>
      </c>
    </row>
    <row r="51" spans="1:5" ht="15" customHeight="1">
      <c r="A51" t="s">
        <v>159</v>
      </c>
      <c r="B51" t="s">
        <v>3509</v>
      </c>
      <c r="C51" t="s">
        <v>3573</v>
      </c>
      <c r="D51" s="3">
        <v>29263</v>
      </c>
      <c r="E51" t="s">
        <v>3511</v>
      </c>
    </row>
    <row r="52" spans="1:5" ht="15" customHeight="1">
      <c r="A52" t="s">
        <v>53</v>
      </c>
      <c r="B52" t="s">
        <v>3512</v>
      </c>
      <c r="C52" t="s">
        <v>3574</v>
      </c>
      <c r="D52" s="3">
        <v>26997</v>
      </c>
      <c r="E52" t="s">
        <v>3514</v>
      </c>
    </row>
    <row r="53" spans="1:5" ht="15" customHeight="1">
      <c r="A53" t="s">
        <v>106</v>
      </c>
      <c r="B53" t="s">
        <v>3515</v>
      </c>
      <c r="C53" t="s">
        <v>3575</v>
      </c>
      <c r="D53" s="3">
        <v>38146</v>
      </c>
      <c r="E53" t="s">
        <v>3517</v>
      </c>
    </row>
    <row r="54" spans="1:5" ht="15" customHeight="1">
      <c r="A54" t="s">
        <v>341</v>
      </c>
      <c r="B54" t="s">
        <v>3518</v>
      </c>
      <c r="C54" t="s">
        <v>3576</v>
      </c>
      <c r="D54" s="3">
        <v>24667</v>
      </c>
      <c r="E54" t="s">
        <v>3520</v>
      </c>
    </row>
    <row r="55" spans="1:5" ht="15" customHeight="1">
      <c r="A55" t="s">
        <v>408</v>
      </c>
      <c r="B55" t="s">
        <v>3521</v>
      </c>
      <c r="C55" t="s">
        <v>3577</v>
      </c>
      <c r="D55" s="3">
        <v>31441</v>
      </c>
      <c r="E55" t="s">
        <v>3523</v>
      </c>
    </row>
    <row r="56" spans="1:5" ht="15" customHeight="1">
      <c r="A56" t="s">
        <v>572</v>
      </c>
      <c r="B56" t="s">
        <v>3524</v>
      </c>
      <c r="C56" t="s">
        <v>3578</v>
      </c>
      <c r="D56" s="3">
        <v>37258</v>
      </c>
      <c r="E56" t="s">
        <v>3526</v>
      </c>
    </row>
    <row r="57" spans="1:5" ht="15" customHeight="1">
      <c r="A57" t="s">
        <v>309</v>
      </c>
      <c r="B57" t="s">
        <v>3527</v>
      </c>
      <c r="C57" t="s">
        <v>3579</v>
      </c>
      <c r="D57" s="3">
        <v>36247</v>
      </c>
      <c r="E57" t="s">
        <v>3529</v>
      </c>
    </row>
    <row r="58" spans="1:5" ht="15" customHeight="1">
      <c r="A58" t="s">
        <v>348</v>
      </c>
      <c r="B58" t="s">
        <v>3530</v>
      </c>
      <c r="C58" t="s">
        <v>3580</v>
      </c>
      <c r="D58" s="3">
        <v>24510</v>
      </c>
      <c r="E58" t="s">
        <v>3532</v>
      </c>
    </row>
    <row r="59" spans="1:5" ht="15" customHeight="1">
      <c r="A59" t="s">
        <v>396</v>
      </c>
      <c r="B59" t="s">
        <v>3533</v>
      </c>
      <c r="C59" t="s">
        <v>3581</v>
      </c>
      <c r="D59" s="3">
        <v>37566</v>
      </c>
      <c r="E59" t="s">
        <v>3535</v>
      </c>
    </row>
    <row r="60" spans="1:5" ht="15" customHeight="1">
      <c r="A60" t="s">
        <v>430</v>
      </c>
      <c r="B60" t="s">
        <v>3536</v>
      </c>
      <c r="C60" t="s">
        <v>3582</v>
      </c>
      <c r="D60" s="3">
        <v>31759</v>
      </c>
      <c r="E60" t="s">
        <v>3538</v>
      </c>
    </row>
    <row r="61" spans="1:5" ht="15" customHeight="1">
      <c r="A61" t="s">
        <v>366</v>
      </c>
      <c r="B61" t="s">
        <v>3539</v>
      </c>
      <c r="C61" t="s">
        <v>3583</v>
      </c>
      <c r="D61" s="3">
        <v>26785</v>
      </c>
      <c r="E61" t="s">
        <v>3541</v>
      </c>
    </row>
    <row r="62" spans="1:5" ht="15" customHeight="1">
      <c r="A62" t="s">
        <v>319</v>
      </c>
      <c r="B62" t="s">
        <v>3542</v>
      </c>
      <c r="C62" t="s">
        <v>3584</v>
      </c>
      <c r="D62" s="3">
        <v>26103</v>
      </c>
      <c r="E62" t="s">
        <v>3544</v>
      </c>
    </row>
    <row r="63" spans="1:5" ht="15" customHeight="1">
      <c r="A63" t="s">
        <v>553</v>
      </c>
      <c r="B63" t="s">
        <v>3485</v>
      </c>
      <c r="C63" t="s">
        <v>3585</v>
      </c>
      <c r="D63" s="3">
        <v>31759</v>
      </c>
      <c r="E63" t="s">
        <v>3487</v>
      </c>
    </row>
    <row r="64" spans="1:5" ht="15" customHeight="1">
      <c r="A64" t="s">
        <v>517</v>
      </c>
      <c r="B64" t="s">
        <v>3488</v>
      </c>
      <c r="C64" t="s">
        <v>3586</v>
      </c>
      <c r="D64" s="3">
        <v>30063</v>
      </c>
      <c r="E64" t="s">
        <v>3490</v>
      </c>
    </row>
    <row r="65" spans="1:5" ht="15" customHeight="1">
      <c r="A65" t="s">
        <v>374</v>
      </c>
      <c r="B65" t="s">
        <v>3491</v>
      </c>
      <c r="C65" t="s">
        <v>3587</v>
      </c>
      <c r="D65" s="3">
        <v>35931</v>
      </c>
      <c r="E65" t="s">
        <v>3493</v>
      </c>
    </row>
    <row r="66" spans="1:5" ht="15" customHeight="1">
      <c r="A66" t="s">
        <v>432</v>
      </c>
      <c r="B66" t="s">
        <v>3494</v>
      </c>
      <c r="C66" t="s">
        <v>3588</v>
      </c>
      <c r="D66" s="3">
        <v>31598</v>
      </c>
      <c r="E66" t="s">
        <v>3496</v>
      </c>
    </row>
    <row r="67" spans="1:5" ht="15" customHeight="1">
      <c r="A67" t="s">
        <v>358</v>
      </c>
      <c r="B67" t="s">
        <v>3497</v>
      </c>
      <c r="C67" t="s">
        <v>3589</v>
      </c>
      <c r="D67" s="3">
        <v>23479</v>
      </c>
      <c r="E67" t="s">
        <v>3499</v>
      </c>
    </row>
    <row r="68" spans="1:5" ht="15" customHeight="1">
      <c r="A68" t="s">
        <v>345</v>
      </c>
      <c r="B68" t="s">
        <v>3500</v>
      </c>
      <c r="C68" t="s">
        <v>3590</v>
      </c>
      <c r="D68" s="3">
        <v>24423</v>
      </c>
      <c r="E68" t="s">
        <v>3502</v>
      </c>
    </row>
    <row r="69" spans="1:5" ht="15" customHeight="1">
      <c r="A69" t="s">
        <v>363</v>
      </c>
      <c r="B69" t="s">
        <v>3503</v>
      </c>
      <c r="C69" t="s">
        <v>3591</v>
      </c>
      <c r="D69" s="3">
        <v>23393</v>
      </c>
      <c r="E69" t="s">
        <v>3505</v>
      </c>
    </row>
    <row r="70" spans="1:5" ht="15" customHeight="1">
      <c r="A70" t="s">
        <v>339</v>
      </c>
      <c r="B70" t="s">
        <v>3506</v>
      </c>
      <c r="C70" t="s">
        <v>3592</v>
      </c>
      <c r="D70" s="3">
        <v>25442</v>
      </c>
      <c r="E70" t="s">
        <v>3508</v>
      </c>
    </row>
    <row r="71" spans="1:5" ht="15" customHeight="1">
      <c r="A71" t="s">
        <v>312</v>
      </c>
      <c r="B71" t="s">
        <v>3509</v>
      </c>
      <c r="C71" t="s">
        <v>3593</v>
      </c>
      <c r="D71" s="3">
        <v>35839</v>
      </c>
      <c r="E71" t="s">
        <v>3511</v>
      </c>
    </row>
    <row r="72" spans="1:5" ht="15" customHeight="1">
      <c r="A72" t="s">
        <v>591</v>
      </c>
      <c r="B72" t="s">
        <v>3512</v>
      </c>
      <c r="C72" t="s">
        <v>3594</v>
      </c>
      <c r="D72" s="3">
        <v>35449</v>
      </c>
      <c r="E72" t="s">
        <v>3514</v>
      </c>
    </row>
    <row r="73" spans="1:5" ht="15" customHeight="1">
      <c r="A73" t="s">
        <v>378</v>
      </c>
      <c r="B73" t="s">
        <v>3515</v>
      </c>
      <c r="C73" t="s">
        <v>3595</v>
      </c>
      <c r="D73" s="3">
        <v>25012</v>
      </c>
      <c r="E73" t="s">
        <v>3517</v>
      </c>
    </row>
    <row r="74" spans="1:5" ht="15" customHeight="1">
      <c r="A74" t="s">
        <v>642</v>
      </c>
      <c r="B74" t="s">
        <v>3518</v>
      </c>
      <c r="C74" t="s">
        <v>3596</v>
      </c>
      <c r="D74" s="3">
        <v>37141</v>
      </c>
      <c r="E74" t="s">
        <v>3520</v>
      </c>
    </row>
    <row r="75" spans="1:5" ht="15" customHeight="1">
      <c r="A75" t="s">
        <v>614</v>
      </c>
      <c r="B75" t="s">
        <v>3521</v>
      </c>
      <c r="C75" t="s">
        <v>3597</v>
      </c>
      <c r="D75" s="3">
        <v>30218</v>
      </c>
      <c r="E75" t="s">
        <v>3523</v>
      </c>
    </row>
    <row r="76" spans="1:5" ht="15" customHeight="1">
      <c r="A76" t="s">
        <v>314</v>
      </c>
      <c r="B76" t="s">
        <v>3524</v>
      </c>
      <c r="C76" t="s">
        <v>3598</v>
      </c>
      <c r="D76" s="3">
        <v>33563</v>
      </c>
      <c r="E76" t="s">
        <v>3526</v>
      </c>
    </row>
    <row r="77" spans="1:5" ht="15" customHeight="1">
      <c r="A77" t="s">
        <v>361</v>
      </c>
      <c r="B77" t="s">
        <v>3527</v>
      </c>
      <c r="C77" t="s">
        <v>3599</v>
      </c>
      <c r="D77" s="3">
        <v>30267</v>
      </c>
      <c r="E77" t="s">
        <v>3529</v>
      </c>
    </row>
    <row r="78" spans="1:5" ht="15" customHeight="1">
      <c r="A78" t="s">
        <v>449</v>
      </c>
      <c r="B78" t="s">
        <v>3530</v>
      </c>
      <c r="C78" t="s">
        <v>3600</v>
      </c>
      <c r="D78" s="3">
        <v>24595</v>
      </c>
      <c r="E78" t="s">
        <v>3532</v>
      </c>
    </row>
    <row r="79" spans="1:5" ht="15" customHeight="1">
      <c r="A79" t="s">
        <v>327</v>
      </c>
      <c r="B79" t="s">
        <v>3533</v>
      </c>
      <c r="C79" t="s">
        <v>3601</v>
      </c>
      <c r="D79" s="3">
        <v>38412</v>
      </c>
      <c r="E79" t="s">
        <v>3535</v>
      </c>
    </row>
    <row r="80" spans="1:5" ht="15" customHeight="1">
      <c r="A80" t="s">
        <v>493</v>
      </c>
      <c r="B80" t="s">
        <v>3536</v>
      </c>
      <c r="C80" t="s">
        <v>3602</v>
      </c>
      <c r="D80" s="3">
        <v>22449</v>
      </c>
      <c r="E80" t="s">
        <v>3538</v>
      </c>
    </row>
    <row r="81" spans="1:5" ht="15" customHeight="1">
      <c r="A81" t="s">
        <v>594</v>
      </c>
      <c r="B81" t="s">
        <v>3539</v>
      </c>
      <c r="C81" t="s">
        <v>3603</v>
      </c>
      <c r="D81" s="3">
        <v>25649</v>
      </c>
      <c r="E81" t="s">
        <v>3541</v>
      </c>
    </row>
    <row r="82" spans="1:5" ht="15" customHeight="1">
      <c r="A82" t="s">
        <v>381</v>
      </c>
      <c r="B82" t="s">
        <v>3542</v>
      </c>
      <c r="C82" t="s">
        <v>3604</v>
      </c>
      <c r="D82" s="3">
        <v>37083</v>
      </c>
      <c r="E82" t="s">
        <v>3544</v>
      </c>
    </row>
    <row r="83" spans="1:5" ht="15" customHeight="1">
      <c r="A83" t="s">
        <v>451</v>
      </c>
      <c r="B83" t="s">
        <v>3485</v>
      </c>
      <c r="C83" t="s">
        <v>3605</v>
      </c>
      <c r="D83" s="3">
        <v>27799</v>
      </c>
      <c r="E83" t="s">
        <v>3487</v>
      </c>
    </row>
    <row r="84" spans="1:5" ht="15" customHeight="1">
      <c r="A84" t="s">
        <v>541</v>
      </c>
      <c r="B84" t="s">
        <v>3488</v>
      </c>
      <c r="C84" t="s">
        <v>3606</v>
      </c>
      <c r="D84" s="3">
        <v>27886</v>
      </c>
      <c r="E84" t="s">
        <v>3490</v>
      </c>
    </row>
    <row r="85" spans="1:5" ht="15" customHeight="1">
      <c r="A85" t="s">
        <v>736</v>
      </c>
      <c r="B85" t="s">
        <v>3491</v>
      </c>
      <c r="C85" t="s">
        <v>3607</v>
      </c>
      <c r="D85" s="3">
        <v>34792</v>
      </c>
      <c r="E85" t="s">
        <v>3493</v>
      </c>
    </row>
    <row r="86" spans="1:5" ht="15" customHeight="1">
      <c r="A86" t="s">
        <v>350</v>
      </c>
      <c r="B86" t="s">
        <v>3494</v>
      </c>
      <c r="C86" t="s">
        <v>3608</v>
      </c>
      <c r="D86" s="3">
        <v>23399</v>
      </c>
      <c r="E86" t="s">
        <v>3496</v>
      </c>
    </row>
    <row r="87" spans="1:5" ht="15" customHeight="1">
      <c r="A87" t="s">
        <v>371</v>
      </c>
      <c r="B87" t="s">
        <v>3497</v>
      </c>
      <c r="C87" t="s">
        <v>3609</v>
      </c>
      <c r="D87" s="3">
        <v>24645</v>
      </c>
      <c r="E87" t="s">
        <v>3499</v>
      </c>
    </row>
    <row r="88" spans="1:5" ht="15" customHeight="1">
      <c r="A88" t="s">
        <v>317</v>
      </c>
      <c r="B88" t="s">
        <v>3500</v>
      </c>
      <c r="C88" t="s">
        <v>3610</v>
      </c>
      <c r="D88" s="3">
        <v>35555</v>
      </c>
      <c r="E88" t="s">
        <v>3502</v>
      </c>
    </row>
    <row r="89" spans="1:5" ht="15" customHeight="1">
      <c r="A89" t="s">
        <v>422</v>
      </c>
      <c r="B89" t="s">
        <v>3503</v>
      </c>
      <c r="C89" t="s">
        <v>3611</v>
      </c>
      <c r="D89" s="3">
        <v>31669</v>
      </c>
      <c r="E89" t="s">
        <v>3505</v>
      </c>
    </row>
    <row r="90" spans="1:5" ht="15" customHeight="1">
      <c r="A90" t="s">
        <v>455</v>
      </c>
      <c r="B90" t="s">
        <v>3506</v>
      </c>
      <c r="C90" t="s">
        <v>3612</v>
      </c>
      <c r="D90" s="3">
        <v>32203</v>
      </c>
      <c r="E90" t="s">
        <v>3508</v>
      </c>
    </row>
    <row r="91" spans="1:5" ht="15" customHeight="1">
      <c r="A91" t="s">
        <v>465</v>
      </c>
      <c r="B91" t="s">
        <v>3509</v>
      </c>
      <c r="C91" t="s">
        <v>3613</v>
      </c>
      <c r="D91" s="3">
        <v>36825</v>
      </c>
      <c r="E91" t="s">
        <v>3511</v>
      </c>
    </row>
    <row r="92" spans="1:5" ht="15" customHeight="1">
      <c r="A92" t="s">
        <v>424</v>
      </c>
      <c r="B92" t="s">
        <v>3512</v>
      </c>
      <c r="C92" t="s">
        <v>3614</v>
      </c>
      <c r="D92" s="3">
        <v>36659</v>
      </c>
      <c r="E92" t="s">
        <v>3514</v>
      </c>
    </row>
    <row r="93" spans="1:5" ht="15" customHeight="1">
      <c r="A93" t="s">
        <v>369</v>
      </c>
      <c r="B93" t="s">
        <v>3515</v>
      </c>
      <c r="C93" t="s">
        <v>3615</v>
      </c>
      <c r="D93" s="3">
        <v>30601</v>
      </c>
      <c r="E93" t="s">
        <v>3517</v>
      </c>
    </row>
    <row r="94" spans="1:5" ht="15" customHeight="1">
      <c r="A94" t="s">
        <v>436</v>
      </c>
      <c r="B94" t="s">
        <v>3518</v>
      </c>
      <c r="C94" t="s">
        <v>3616</v>
      </c>
      <c r="D94" s="3">
        <v>33100</v>
      </c>
      <c r="E94" t="s">
        <v>3520</v>
      </c>
    </row>
    <row r="95" spans="1:5" ht="15" customHeight="1">
      <c r="A95" t="s">
        <v>329</v>
      </c>
      <c r="B95" t="s">
        <v>3521</v>
      </c>
      <c r="C95" t="s">
        <v>3617</v>
      </c>
      <c r="D95" s="3">
        <v>28049</v>
      </c>
      <c r="E95" t="s">
        <v>3523</v>
      </c>
    </row>
    <row r="96" spans="1:5" ht="15" customHeight="1">
      <c r="A96" t="s">
        <v>388</v>
      </c>
      <c r="B96" t="s">
        <v>3524</v>
      </c>
      <c r="C96" t="s">
        <v>3618</v>
      </c>
      <c r="D96" s="3">
        <v>28832</v>
      </c>
      <c r="E96" t="s">
        <v>3526</v>
      </c>
    </row>
    <row r="97" spans="1:5" ht="15" customHeight="1">
      <c r="A97" t="s">
        <v>304</v>
      </c>
      <c r="B97" t="s">
        <v>3527</v>
      </c>
      <c r="C97" t="s">
        <v>3619</v>
      </c>
      <c r="D97" s="3">
        <v>27980</v>
      </c>
      <c r="E97" t="s">
        <v>3529</v>
      </c>
    </row>
    <row r="98" spans="1:5" ht="15" customHeight="1">
      <c r="A98" t="s">
        <v>323</v>
      </c>
      <c r="B98" t="s">
        <v>3530</v>
      </c>
      <c r="C98" t="s">
        <v>3620</v>
      </c>
      <c r="D98" s="3">
        <v>24479</v>
      </c>
      <c r="E98" t="s">
        <v>3532</v>
      </c>
    </row>
    <row r="99" spans="1:5" ht="15" customHeight="1">
      <c r="A99" t="s">
        <v>664</v>
      </c>
      <c r="B99" t="s">
        <v>3533</v>
      </c>
      <c r="C99" t="s">
        <v>3621</v>
      </c>
      <c r="D99" s="3">
        <v>30413</v>
      </c>
      <c r="E99" t="s">
        <v>3535</v>
      </c>
    </row>
    <row r="100" spans="1:5" ht="15" customHeight="1">
      <c r="A100" t="s">
        <v>332</v>
      </c>
      <c r="B100" t="s">
        <v>3536</v>
      </c>
      <c r="C100" t="s">
        <v>3622</v>
      </c>
      <c r="D100" s="3">
        <v>25400</v>
      </c>
      <c r="E100" t="s">
        <v>3538</v>
      </c>
    </row>
    <row r="101" spans="1:5" ht="15" customHeight="1">
      <c r="A101" t="s">
        <v>337</v>
      </c>
      <c r="B101" t="s">
        <v>3539</v>
      </c>
      <c r="C101" t="s">
        <v>3623</v>
      </c>
      <c r="D101" s="3">
        <v>36130</v>
      </c>
      <c r="E101" t="s">
        <v>3541</v>
      </c>
    </row>
    <row r="102" spans="1:5" ht="15" customHeight="1">
      <c r="A102" t="s">
        <v>420</v>
      </c>
      <c r="B102" t="s">
        <v>3542</v>
      </c>
      <c r="C102" t="s">
        <v>3624</v>
      </c>
      <c r="D102" s="3">
        <v>22503</v>
      </c>
      <c r="E102" t="s">
        <v>3544</v>
      </c>
    </row>
    <row r="103" spans="1:5" ht="15" customHeight="1">
      <c r="A103" t="s">
        <v>728</v>
      </c>
      <c r="B103" t="s">
        <v>3485</v>
      </c>
      <c r="C103" t="s">
        <v>3625</v>
      </c>
      <c r="D103" s="3">
        <v>22107</v>
      </c>
      <c r="E103" t="s">
        <v>3487</v>
      </c>
    </row>
  </sheetData>
  <pageMargins left="0.75" right="0.75" top="1" bottom="1" header="0.5" footer="0.5"/>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3"/>
  <sheetViews>
    <sheetView topLeftCell="D1" workbookViewId="0">
      <pane ySplit="1" topLeftCell="A3283" activePane="bottomLeft" state="frozen"/>
      <selection pane="bottomLeft" activeCell="D1" sqref="A1:XFD3301"/>
    </sheetView>
  </sheetViews>
  <sheetFormatPr defaultColWidth="9.1796875" defaultRowHeight="21.75" customHeight="1"/>
  <cols>
    <col min="1" max="1" width="13.453125" customWidth="1"/>
    <col min="2" max="2" width="16.1796875" customWidth="1"/>
    <col min="3" max="3" width="15" customWidth="1"/>
    <col min="4" max="4" width="14.1796875" customWidth="1"/>
    <col min="5" max="6" width="13.81640625" customWidth="1"/>
    <col min="7" max="7" width="15" bestFit="1" customWidth="1"/>
    <col min="8" max="8" width="8.453125" customWidth="1"/>
    <col min="9" max="9" width="12.81640625" bestFit="1" customWidth="1"/>
    <col min="10" max="10" width="12.81640625" customWidth="1"/>
    <col min="11" max="11" width="12.81640625" style="10" customWidth="1"/>
    <col min="12" max="13" width="12.81640625" customWidth="1"/>
    <col min="14" max="14" width="13.54296875" customWidth="1"/>
    <col min="15" max="15" width="13.81640625" customWidth="1"/>
    <col min="16" max="17" width="18.7265625" customWidth="1"/>
    <col min="18" max="18" width="9.1796875" customWidth="1"/>
    <col min="19" max="19" width="13.54296875" customWidth="1"/>
  </cols>
  <sheetData>
    <row r="1" spans="1:19" ht="21.75" customHeight="1">
      <c r="A1" s="2" t="s">
        <v>0</v>
      </c>
      <c r="B1" s="2" t="s">
        <v>1</v>
      </c>
      <c r="C1" s="2" t="s">
        <v>2</v>
      </c>
      <c r="D1" s="2" t="s">
        <v>3</v>
      </c>
      <c r="E1" s="2" t="s">
        <v>4</v>
      </c>
      <c r="F1" s="4" t="s">
        <v>5</v>
      </c>
      <c r="G1" s="2" t="s">
        <v>6</v>
      </c>
      <c r="H1" s="2" t="s">
        <v>7</v>
      </c>
      <c r="I1" s="4" t="s">
        <v>3626</v>
      </c>
      <c r="J1" s="8" t="s">
        <v>3657</v>
      </c>
      <c r="K1" s="9" t="s">
        <v>3655</v>
      </c>
      <c r="L1" s="8" t="s">
        <v>3654</v>
      </c>
      <c r="M1" s="8" t="s">
        <v>3665</v>
      </c>
      <c r="N1" s="8" t="s">
        <v>3666</v>
      </c>
      <c r="O1" s="8" t="s">
        <v>3664</v>
      </c>
      <c r="P1" s="8" t="s">
        <v>3662</v>
      </c>
      <c r="Q1" s="8" t="s">
        <v>3690</v>
      </c>
      <c r="R1" s="5" t="s">
        <v>3627</v>
      </c>
      <c r="S1" s="5" t="s">
        <v>3663</v>
      </c>
    </row>
    <row r="2" spans="1:19" ht="21.75" customHeight="1">
      <c r="A2" t="s">
        <v>8</v>
      </c>
      <c r="B2" s="6">
        <v>45619</v>
      </c>
      <c r="C2" t="s">
        <v>9</v>
      </c>
      <c r="D2" t="s">
        <v>10</v>
      </c>
      <c r="E2" t="s">
        <v>11</v>
      </c>
      <c r="F2" t="s">
        <v>12</v>
      </c>
      <c r="G2" t="s">
        <v>13</v>
      </c>
      <c r="H2">
        <v>4</v>
      </c>
      <c r="I2" t="str">
        <f>VLOOKUP(D2,Product_Lookup!$A$2:$C$27,3,FALSE)</f>
        <v>$146.06</v>
      </c>
      <c r="J2" t="str">
        <f>TEXT(B2, "dddd")</f>
        <v>Saturday</v>
      </c>
      <c r="K2" s="10" t="str">
        <f>TEXT(B2, "mmmm")</f>
        <v>November</v>
      </c>
      <c r="L2">
        <f>YEAR(B2)</f>
        <v>2024</v>
      </c>
      <c r="M2" t="b">
        <f>OR(J2="Saturday", J2="Sunday")</f>
        <v>1</v>
      </c>
      <c r="N2" t="b">
        <f t="shared" ref="N2:N65" si="0">AND(R2&gt;750, H2&gt;5)</f>
        <v>0</v>
      </c>
      <c r="O2" t="str">
        <f>IF(R2&gt;500,"Large Order","Standard order")</f>
        <v>Large Order</v>
      </c>
      <c r="P2" s="7">
        <f t="shared" ref="P2:P65" si="1">I2*$S$2</f>
        <v>7.3030000000000008</v>
      </c>
      <c r="Q2" s="7" t="str">
        <f>VLOOKUP(D3,Product_Lookup!$A$2:$C$27,2,FALSE)</f>
        <v>Headphones</v>
      </c>
      <c r="R2" s="7">
        <f t="shared" ref="R2:R65" si="2">H2*I2</f>
        <v>584.24</v>
      </c>
      <c r="S2" s="12">
        <v>0.05</v>
      </c>
    </row>
    <row r="3" spans="1:19" ht="21.75" customHeight="1">
      <c r="A3" t="s">
        <v>14</v>
      </c>
      <c r="B3" s="6">
        <v>45638</v>
      </c>
      <c r="C3" t="s">
        <v>15</v>
      </c>
      <c r="D3" t="s">
        <v>16</v>
      </c>
      <c r="E3" t="s">
        <v>17</v>
      </c>
      <c r="F3" t="s">
        <v>306</v>
      </c>
      <c r="G3" t="s">
        <v>13</v>
      </c>
      <c r="H3">
        <v>1</v>
      </c>
      <c r="I3" t="str">
        <f>VLOOKUP(D3,Product_Lookup!$A$2:$C$27,3,FALSE)</f>
        <v>$178.83</v>
      </c>
      <c r="J3" t="str">
        <f t="shared" ref="J3:J66" si="3">TEXT(B3, "dddd")</f>
        <v>Thursday</v>
      </c>
      <c r="K3" s="10" t="str">
        <f t="shared" ref="K3:K66" si="4">TEXT(B3, "mmmm")</f>
        <v>December</v>
      </c>
      <c r="L3">
        <f t="shared" ref="L3:L66" si="5">YEAR(B3)</f>
        <v>2024</v>
      </c>
      <c r="M3" t="b">
        <f t="shared" ref="M3:M66" si="6">OR(J3="Saturday", J3="Sunday")</f>
        <v>0</v>
      </c>
      <c r="N3" t="b">
        <f t="shared" si="0"/>
        <v>0</v>
      </c>
      <c r="O3" t="str">
        <f t="shared" ref="O3:O66" si="7">IF(R3&gt;500,"Large Order","Standard order")</f>
        <v>Standard order</v>
      </c>
      <c r="P3" s="7">
        <f t="shared" si="1"/>
        <v>8.9415000000000013</v>
      </c>
      <c r="Q3" s="7" t="str">
        <f>VLOOKUP(D4,Product_Lookup!$A$2:$C$27,2,FALSE)</f>
        <v>Action Figure</v>
      </c>
      <c r="R3" s="7">
        <f t="shared" si="2"/>
        <v>178.83</v>
      </c>
      <c r="S3" s="12">
        <v>0.1</v>
      </c>
    </row>
    <row r="4" spans="1:19" ht="21.75" customHeight="1">
      <c r="A4" t="s">
        <v>19</v>
      </c>
      <c r="B4" s="6">
        <v>45411</v>
      </c>
      <c r="C4" t="s">
        <v>20</v>
      </c>
      <c r="D4" t="s">
        <v>21</v>
      </c>
      <c r="E4" t="s">
        <v>22</v>
      </c>
      <c r="F4" t="s">
        <v>306</v>
      </c>
      <c r="G4" t="s">
        <v>23</v>
      </c>
      <c r="H4">
        <v>4</v>
      </c>
      <c r="I4" t="str">
        <f>VLOOKUP(D4,Product_Lookup!$A$2:$C$27,3,FALSE)</f>
        <v>$88.18</v>
      </c>
      <c r="J4" t="str">
        <f t="shared" si="3"/>
        <v>Monday</v>
      </c>
      <c r="K4" s="10" t="str">
        <f t="shared" si="4"/>
        <v>April</v>
      </c>
      <c r="L4">
        <f t="shared" si="5"/>
        <v>2024</v>
      </c>
      <c r="M4" t="b">
        <f t="shared" si="6"/>
        <v>0</v>
      </c>
      <c r="N4" t="b">
        <f t="shared" si="0"/>
        <v>0</v>
      </c>
      <c r="O4" t="str">
        <f t="shared" si="7"/>
        <v>Standard order</v>
      </c>
      <c r="P4" s="7">
        <f t="shared" si="1"/>
        <v>4.4090000000000007</v>
      </c>
      <c r="Q4" s="7" t="str">
        <f>VLOOKUP(D5,Product_Lookup!$A$2:$C$27,2,FALSE)</f>
        <v>Sweater</v>
      </c>
      <c r="R4" s="7">
        <f t="shared" si="2"/>
        <v>352.72</v>
      </c>
      <c r="S4" s="12">
        <v>0.15</v>
      </c>
    </row>
    <row r="5" spans="1:19" ht="21.75" customHeight="1">
      <c r="A5" t="s">
        <v>24</v>
      </c>
      <c r="B5" s="6">
        <v>45571</v>
      </c>
      <c r="C5" t="s">
        <v>25</v>
      </c>
      <c r="D5" t="s">
        <v>26</v>
      </c>
      <c r="E5" t="s">
        <v>22</v>
      </c>
      <c r="F5" t="s">
        <v>27</v>
      </c>
      <c r="G5" t="s">
        <v>28</v>
      </c>
      <c r="H5">
        <v>5</v>
      </c>
      <c r="I5" t="str">
        <f>VLOOKUP(D5,Product_Lookup!$A$2:$C$27,3,FALSE)</f>
        <v>$84.57</v>
      </c>
      <c r="J5" t="str">
        <f t="shared" si="3"/>
        <v>Sunday</v>
      </c>
      <c r="K5" s="10" t="str">
        <f t="shared" si="4"/>
        <v>October</v>
      </c>
      <c r="L5">
        <f t="shared" si="5"/>
        <v>2024</v>
      </c>
      <c r="M5" t="b">
        <f t="shared" si="6"/>
        <v>1</v>
      </c>
      <c r="N5" t="b">
        <f t="shared" si="0"/>
        <v>0</v>
      </c>
      <c r="O5" t="str">
        <f t="shared" si="7"/>
        <v>Standard order</v>
      </c>
      <c r="P5" s="7">
        <f t="shared" si="1"/>
        <v>4.2284999999999995</v>
      </c>
      <c r="Q5" s="7" t="str">
        <f>VLOOKUP(D6,Product_Lookup!$A$2:$C$27,2,FALSE)</f>
        <v>Coffee Maker</v>
      </c>
      <c r="R5" s="7">
        <f t="shared" si="2"/>
        <v>422.84999999999997</v>
      </c>
    </row>
    <row r="6" spans="1:19" ht="21.75" customHeight="1">
      <c r="A6" t="s">
        <v>29</v>
      </c>
      <c r="B6" s="6">
        <v>45373</v>
      </c>
      <c r="C6" t="s">
        <v>30</v>
      </c>
      <c r="D6" t="s">
        <v>31</v>
      </c>
      <c r="E6" t="s">
        <v>11</v>
      </c>
      <c r="F6" t="s">
        <v>27</v>
      </c>
      <c r="G6" t="s">
        <v>32</v>
      </c>
      <c r="H6">
        <v>4</v>
      </c>
      <c r="I6" t="str">
        <f>VLOOKUP(D6,Product_Lookup!$A$2:$C$27,3,FALSE)</f>
        <v>$230.34</v>
      </c>
      <c r="J6" t="str">
        <f t="shared" si="3"/>
        <v>Friday</v>
      </c>
      <c r="K6" s="10" t="str">
        <f t="shared" si="4"/>
        <v>March</v>
      </c>
      <c r="L6">
        <f t="shared" si="5"/>
        <v>2024</v>
      </c>
      <c r="M6" t="b">
        <f t="shared" si="6"/>
        <v>0</v>
      </c>
      <c r="N6" t="b">
        <f t="shared" si="0"/>
        <v>0</v>
      </c>
      <c r="O6" t="str">
        <f t="shared" si="7"/>
        <v>Large Order</v>
      </c>
      <c r="P6" s="7">
        <f t="shared" si="1"/>
        <v>11.517000000000001</v>
      </c>
      <c r="Q6" s="7" t="str">
        <f>VLOOKUP(D7,Product_Lookup!$A$2:$C$27,2,FALSE)</f>
        <v>Stapler</v>
      </c>
      <c r="R6" s="7">
        <f t="shared" si="2"/>
        <v>921.36</v>
      </c>
    </row>
    <row r="7" spans="1:19" ht="21.75" customHeight="1">
      <c r="A7" t="s">
        <v>33</v>
      </c>
      <c r="B7" s="6">
        <v>45344</v>
      </c>
      <c r="C7" t="s">
        <v>34</v>
      </c>
      <c r="D7" t="s">
        <v>35</v>
      </c>
      <c r="E7" t="s">
        <v>17</v>
      </c>
      <c r="F7" t="s">
        <v>12</v>
      </c>
      <c r="G7" t="s">
        <v>36</v>
      </c>
      <c r="H7">
        <v>14</v>
      </c>
      <c r="I7" t="str">
        <f>VLOOKUP(D7,Product_Lookup!$A$2:$C$27,3,FALSE)</f>
        <v>$64.61</v>
      </c>
      <c r="J7" t="str">
        <f t="shared" si="3"/>
        <v>Thursday</v>
      </c>
      <c r="K7" s="10" t="str">
        <f t="shared" si="4"/>
        <v>February</v>
      </c>
      <c r="L7">
        <f t="shared" si="5"/>
        <v>2024</v>
      </c>
      <c r="M7" t="b">
        <f t="shared" si="6"/>
        <v>0</v>
      </c>
      <c r="N7" t="b">
        <f t="shared" si="0"/>
        <v>1</v>
      </c>
      <c r="O7" t="str">
        <f t="shared" si="7"/>
        <v>Large Order</v>
      </c>
      <c r="P7" s="7">
        <f t="shared" si="1"/>
        <v>3.2305000000000001</v>
      </c>
      <c r="Q7" s="7" t="str">
        <f>VLOOKUP(D8,Product_Lookup!$A$2:$C$27,2,FALSE)</f>
        <v>Action Figure</v>
      </c>
      <c r="R7" s="7">
        <f t="shared" si="2"/>
        <v>904.54</v>
      </c>
    </row>
    <row r="8" spans="1:19" ht="21.75" customHeight="1">
      <c r="A8" t="s">
        <v>37</v>
      </c>
      <c r="B8" s="6">
        <v>45314</v>
      </c>
      <c r="C8" t="s">
        <v>38</v>
      </c>
      <c r="D8" t="s">
        <v>21</v>
      </c>
      <c r="E8" t="s">
        <v>17</v>
      </c>
      <c r="F8" t="s">
        <v>27</v>
      </c>
      <c r="G8" t="s">
        <v>23</v>
      </c>
      <c r="H8">
        <v>2</v>
      </c>
      <c r="I8" t="str">
        <f>VLOOKUP(D8,Product_Lookup!$A$2:$C$27,3,FALSE)</f>
        <v>$88.18</v>
      </c>
      <c r="J8" t="str">
        <f t="shared" si="3"/>
        <v>Tuesday</v>
      </c>
      <c r="K8" s="10" t="str">
        <f t="shared" si="4"/>
        <v>January</v>
      </c>
      <c r="L8">
        <f t="shared" si="5"/>
        <v>2024</v>
      </c>
      <c r="M8" t="b">
        <f t="shared" si="6"/>
        <v>0</v>
      </c>
      <c r="N8" t="b">
        <f t="shared" si="0"/>
        <v>0</v>
      </c>
      <c r="O8" t="str">
        <f t="shared" si="7"/>
        <v>Standard order</v>
      </c>
      <c r="P8" s="7">
        <f t="shared" si="1"/>
        <v>4.4090000000000007</v>
      </c>
      <c r="Q8" s="7" t="str">
        <f>VLOOKUP(D9,Product_Lookup!$A$2:$C$27,2,FALSE)</f>
        <v>Board Game</v>
      </c>
      <c r="R8" s="7">
        <f t="shared" si="2"/>
        <v>176.36</v>
      </c>
    </row>
    <row r="9" spans="1:19" ht="21.75" customHeight="1">
      <c r="A9" t="s">
        <v>39</v>
      </c>
      <c r="B9" s="6">
        <v>45608</v>
      </c>
      <c r="C9" t="s">
        <v>40</v>
      </c>
      <c r="D9" t="s">
        <v>41</v>
      </c>
      <c r="E9" t="s">
        <v>22</v>
      </c>
      <c r="F9" t="s">
        <v>42</v>
      </c>
      <c r="G9" t="s">
        <v>23</v>
      </c>
      <c r="H9">
        <v>2</v>
      </c>
      <c r="I9" t="str">
        <f>VLOOKUP(D9,Product_Lookup!$A$2:$C$27,3,FALSE)</f>
        <v>$86.6</v>
      </c>
      <c r="J9" t="str">
        <f t="shared" si="3"/>
        <v>Tuesday</v>
      </c>
      <c r="K9" s="10" t="str">
        <f t="shared" si="4"/>
        <v>November</v>
      </c>
      <c r="L9">
        <f t="shared" si="5"/>
        <v>2024</v>
      </c>
      <c r="M9" t="b">
        <f t="shared" si="6"/>
        <v>0</v>
      </c>
      <c r="N9" t="b">
        <f t="shared" si="0"/>
        <v>0</v>
      </c>
      <c r="O9" t="str">
        <f t="shared" si="7"/>
        <v>Standard order</v>
      </c>
      <c r="P9" s="7">
        <f t="shared" si="1"/>
        <v>4.33</v>
      </c>
      <c r="Q9" s="7" t="str">
        <f>VLOOKUP(D10,Product_Lookup!$A$2:$C$27,2,FALSE)</f>
        <v>T-Shirt</v>
      </c>
      <c r="R9" s="7">
        <f t="shared" si="2"/>
        <v>173.2</v>
      </c>
    </row>
    <row r="10" spans="1:19" ht="21.75" customHeight="1">
      <c r="A10" t="s">
        <v>43</v>
      </c>
      <c r="B10" s="6">
        <v>45440</v>
      </c>
      <c r="C10" t="s">
        <v>44</v>
      </c>
      <c r="D10" t="s">
        <v>45</v>
      </c>
      <c r="E10" t="s">
        <v>17</v>
      </c>
      <c r="F10" t="s">
        <v>12</v>
      </c>
      <c r="G10" t="s">
        <v>28</v>
      </c>
      <c r="H10">
        <v>5</v>
      </c>
      <c r="I10" t="str">
        <f>VLOOKUP(D10,Product_Lookup!$A$2:$C$27,3,FALSE)</f>
        <v>$107.34</v>
      </c>
      <c r="J10" t="str">
        <f t="shared" si="3"/>
        <v>Tuesday</v>
      </c>
      <c r="K10" s="10" t="str">
        <f t="shared" si="4"/>
        <v>May</v>
      </c>
      <c r="L10">
        <f t="shared" si="5"/>
        <v>2024</v>
      </c>
      <c r="M10" t="b">
        <f t="shared" si="6"/>
        <v>0</v>
      </c>
      <c r="N10" t="b">
        <f t="shared" si="0"/>
        <v>0</v>
      </c>
      <c r="O10" t="str">
        <f t="shared" si="7"/>
        <v>Large Order</v>
      </c>
      <c r="P10" s="7">
        <f t="shared" si="1"/>
        <v>5.3670000000000009</v>
      </c>
      <c r="Q10" s="7" t="str">
        <f>VLOOKUP(D11,Product_Lookup!$A$2:$C$27,2,FALSE)</f>
        <v>Toaster</v>
      </c>
      <c r="R10" s="7">
        <f t="shared" si="2"/>
        <v>536.70000000000005</v>
      </c>
    </row>
    <row r="11" spans="1:19" ht="21.75" customHeight="1">
      <c r="A11" t="s">
        <v>46</v>
      </c>
      <c r="B11" s="6">
        <v>45375</v>
      </c>
      <c r="C11" t="s">
        <v>47</v>
      </c>
      <c r="D11" t="s">
        <v>48</v>
      </c>
      <c r="E11" t="s">
        <v>22</v>
      </c>
      <c r="F11" t="s">
        <v>42</v>
      </c>
      <c r="G11" t="s">
        <v>32</v>
      </c>
      <c r="H11">
        <v>5</v>
      </c>
      <c r="I11" t="str">
        <f>VLOOKUP(D11,Product_Lookup!$A$2:$C$27,3,FALSE)</f>
        <v>$208.85</v>
      </c>
      <c r="J11" t="str">
        <f t="shared" si="3"/>
        <v>Sunday</v>
      </c>
      <c r="K11" s="10" t="str">
        <f t="shared" si="4"/>
        <v>March</v>
      </c>
      <c r="L11">
        <f t="shared" si="5"/>
        <v>2024</v>
      </c>
      <c r="M11" t="b">
        <f t="shared" si="6"/>
        <v>1</v>
      </c>
      <c r="N11" t="b">
        <f t="shared" si="0"/>
        <v>0</v>
      </c>
      <c r="O11" t="str">
        <f t="shared" si="7"/>
        <v>Large Order</v>
      </c>
      <c r="P11" s="7">
        <f t="shared" si="1"/>
        <v>10.442500000000001</v>
      </c>
      <c r="Q11" s="7" t="str">
        <f>VLOOKUP(D12,Product_Lookup!$A$2:$C$27,2,FALSE)</f>
        <v>Board Game</v>
      </c>
      <c r="R11" s="7">
        <f t="shared" si="2"/>
        <v>1044.25</v>
      </c>
    </row>
    <row r="12" spans="1:19" ht="21.75" customHeight="1">
      <c r="A12" t="s">
        <v>50</v>
      </c>
      <c r="B12" s="6">
        <v>45623</v>
      </c>
      <c r="C12" t="s">
        <v>51</v>
      </c>
      <c r="D12" t="s">
        <v>41</v>
      </c>
      <c r="E12" t="s">
        <v>22</v>
      </c>
      <c r="F12" t="s">
        <v>12</v>
      </c>
      <c r="G12" t="s">
        <v>23</v>
      </c>
      <c r="H12">
        <v>12</v>
      </c>
      <c r="I12" t="str">
        <f>VLOOKUP(D12,Product_Lookup!$A$2:$C$27,3,FALSE)</f>
        <v>$86.6</v>
      </c>
      <c r="J12" t="str">
        <f t="shared" si="3"/>
        <v>Wednesday</v>
      </c>
      <c r="K12" s="10" t="str">
        <f t="shared" si="4"/>
        <v>November</v>
      </c>
      <c r="L12">
        <f t="shared" si="5"/>
        <v>2024</v>
      </c>
      <c r="M12" t="b">
        <f t="shared" si="6"/>
        <v>0</v>
      </c>
      <c r="N12" t="b">
        <f t="shared" si="0"/>
        <v>1</v>
      </c>
      <c r="O12" t="str">
        <f t="shared" si="7"/>
        <v>Large Order</v>
      </c>
      <c r="P12" s="7">
        <f t="shared" si="1"/>
        <v>4.33</v>
      </c>
      <c r="Q12" s="7" t="str">
        <f>VLOOKUP(D13,Product_Lookup!$A$2:$C$27,2,FALSE)</f>
        <v>Board Game</v>
      </c>
      <c r="R12" s="7">
        <f t="shared" si="2"/>
        <v>1039.1999999999998</v>
      </c>
    </row>
    <row r="13" spans="1:19" ht="21.75" customHeight="1">
      <c r="A13" t="s">
        <v>52</v>
      </c>
      <c r="B13" s="6">
        <v>45486</v>
      </c>
      <c r="C13" t="s">
        <v>53</v>
      </c>
      <c r="D13" t="s">
        <v>41</v>
      </c>
      <c r="E13" t="s">
        <v>22</v>
      </c>
      <c r="F13" t="s">
        <v>42</v>
      </c>
      <c r="G13" t="s">
        <v>23</v>
      </c>
      <c r="H13">
        <v>6</v>
      </c>
      <c r="I13" t="str">
        <f>VLOOKUP(D13,Product_Lookup!$A$2:$C$27,3,FALSE)</f>
        <v>$86.6</v>
      </c>
      <c r="J13" t="str">
        <f t="shared" si="3"/>
        <v>Saturday</v>
      </c>
      <c r="K13" s="10" t="str">
        <f t="shared" si="4"/>
        <v>July</v>
      </c>
      <c r="L13">
        <f t="shared" si="5"/>
        <v>2024</v>
      </c>
      <c r="M13" t="b">
        <f t="shared" si="6"/>
        <v>1</v>
      </c>
      <c r="N13" t="b">
        <f t="shared" si="0"/>
        <v>0</v>
      </c>
      <c r="O13" t="str">
        <f t="shared" si="7"/>
        <v>Large Order</v>
      </c>
      <c r="P13" s="7">
        <f t="shared" si="1"/>
        <v>4.33</v>
      </c>
      <c r="Q13" s="7" t="str">
        <f>VLOOKUP(D14,Product_Lookup!$A$2:$C$27,2,FALSE)</f>
        <v>Tablet</v>
      </c>
      <c r="R13" s="7">
        <f t="shared" si="2"/>
        <v>519.59999999999991</v>
      </c>
    </row>
    <row r="14" spans="1:19" ht="21.75" customHeight="1">
      <c r="A14" t="s">
        <v>54</v>
      </c>
      <c r="B14" s="6">
        <v>45320</v>
      </c>
      <c r="C14" t="s">
        <v>55</v>
      </c>
      <c r="D14" t="s">
        <v>10</v>
      </c>
      <c r="E14" t="s">
        <v>17</v>
      </c>
      <c r="F14" t="s">
        <v>56</v>
      </c>
      <c r="G14" t="s">
        <v>13</v>
      </c>
      <c r="H14">
        <v>5</v>
      </c>
      <c r="I14" t="str">
        <f>VLOOKUP(D14,Product_Lookup!$A$2:$C$27,3,FALSE)</f>
        <v>$146.06</v>
      </c>
      <c r="J14" t="str">
        <f t="shared" si="3"/>
        <v>Monday</v>
      </c>
      <c r="K14" s="10" t="str">
        <f t="shared" si="4"/>
        <v>January</v>
      </c>
      <c r="L14">
        <f t="shared" si="5"/>
        <v>2024</v>
      </c>
      <c r="M14" t="b">
        <f t="shared" si="6"/>
        <v>0</v>
      </c>
      <c r="N14" t="b">
        <f t="shared" si="0"/>
        <v>0</v>
      </c>
      <c r="O14" t="str">
        <f t="shared" si="7"/>
        <v>Large Order</v>
      </c>
      <c r="P14" s="7">
        <f t="shared" si="1"/>
        <v>7.3030000000000008</v>
      </c>
      <c r="Q14" s="7" t="str">
        <f>VLOOKUP(D15,Product_Lookup!$A$2:$C$27,2,FALSE)</f>
        <v>Desk Lamp</v>
      </c>
      <c r="R14" s="7">
        <f t="shared" si="2"/>
        <v>730.3</v>
      </c>
    </row>
    <row r="15" spans="1:19" ht="21.75" customHeight="1">
      <c r="A15" t="s">
        <v>57</v>
      </c>
      <c r="B15" s="6">
        <v>45453</v>
      </c>
      <c r="C15" t="s">
        <v>58</v>
      </c>
      <c r="D15" t="s">
        <v>59</v>
      </c>
      <c r="E15" t="s">
        <v>22</v>
      </c>
      <c r="F15" t="s">
        <v>56</v>
      </c>
      <c r="G15" t="s">
        <v>36</v>
      </c>
      <c r="H15">
        <v>8</v>
      </c>
      <c r="I15" t="str">
        <f>VLOOKUP(D15,Product_Lookup!$A$2:$C$27,3,FALSE)</f>
        <v>$101.96</v>
      </c>
      <c r="J15" t="str">
        <f t="shared" si="3"/>
        <v>Monday</v>
      </c>
      <c r="K15" s="10" t="str">
        <f t="shared" si="4"/>
        <v>June</v>
      </c>
      <c r="L15">
        <f t="shared" si="5"/>
        <v>2024</v>
      </c>
      <c r="M15" t="b">
        <f t="shared" si="6"/>
        <v>0</v>
      </c>
      <c r="N15" t="b">
        <f t="shared" si="0"/>
        <v>1</v>
      </c>
      <c r="O15" t="str">
        <f t="shared" si="7"/>
        <v>Large Order</v>
      </c>
      <c r="P15" s="7">
        <f t="shared" si="1"/>
        <v>5.0979999999999999</v>
      </c>
      <c r="Q15" s="7" t="str">
        <f>VLOOKUP(D16,Product_Lookup!$A$2:$C$27,2,FALSE)</f>
        <v>Puzzle</v>
      </c>
      <c r="R15" s="7">
        <f t="shared" si="2"/>
        <v>815.68</v>
      </c>
    </row>
    <row r="16" spans="1:19" ht="21.75" customHeight="1">
      <c r="A16" t="s">
        <v>60</v>
      </c>
      <c r="B16" s="6">
        <v>45418</v>
      </c>
      <c r="C16" t="s">
        <v>61</v>
      </c>
      <c r="D16" t="s">
        <v>62</v>
      </c>
      <c r="E16" t="s">
        <v>22</v>
      </c>
      <c r="F16" t="s">
        <v>306</v>
      </c>
      <c r="G16" t="s">
        <v>23</v>
      </c>
      <c r="H16">
        <v>10</v>
      </c>
      <c r="I16" t="str">
        <f>VLOOKUP(D16,Product_Lookup!$A$2:$C$27,3,FALSE)</f>
        <v>$46.19</v>
      </c>
      <c r="J16" t="str">
        <f t="shared" si="3"/>
        <v>Monday</v>
      </c>
      <c r="K16" s="10" t="str">
        <f t="shared" si="4"/>
        <v>May</v>
      </c>
      <c r="L16">
        <f t="shared" si="5"/>
        <v>2024</v>
      </c>
      <c r="M16" t="b">
        <f t="shared" si="6"/>
        <v>0</v>
      </c>
      <c r="N16" t="b">
        <f t="shared" si="0"/>
        <v>0</v>
      </c>
      <c r="O16" t="str">
        <f t="shared" si="7"/>
        <v>Standard order</v>
      </c>
      <c r="P16" s="7">
        <f t="shared" si="1"/>
        <v>2.3094999999999999</v>
      </c>
      <c r="Q16" s="7" t="str">
        <f>VLOOKUP(D17,Product_Lookup!$A$2:$C$27,2,FALSE)</f>
        <v>Jeans</v>
      </c>
      <c r="R16" s="7">
        <f t="shared" si="2"/>
        <v>461.9</v>
      </c>
    </row>
    <row r="17" spans="1:18" ht="21.75" customHeight="1">
      <c r="A17" t="s">
        <v>63</v>
      </c>
      <c r="B17" s="6">
        <v>45496</v>
      </c>
      <c r="C17" t="s">
        <v>64</v>
      </c>
      <c r="D17" t="s">
        <v>65</v>
      </c>
      <c r="E17" t="s">
        <v>22</v>
      </c>
      <c r="F17" t="s">
        <v>42</v>
      </c>
      <c r="G17" t="s">
        <v>28</v>
      </c>
      <c r="H17">
        <v>8</v>
      </c>
      <c r="I17" t="str">
        <f>VLOOKUP(D17,Product_Lookup!$A$2:$C$27,3,FALSE)</f>
        <v>$33.22</v>
      </c>
      <c r="J17" t="str">
        <f t="shared" si="3"/>
        <v>Tuesday</v>
      </c>
      <c r="K17" s="10" t="str">
        <f t="shared" si="4"/>
        <v>July</v>
      </c>
      <c r="L17">
        <f t="shared" si="5"/>
        <v>2024</v>
      </c>
      <c r="M17" t="b">
        <f t="shared" si="6"/>
        <v>0</v>
      </c>
      <c r="N17" t="b">
        <f t="shared" si="0"/>
        <v>0</v>
      </c>
      <c r="O17" t="str">
        <f t="shared" si="7"/>
        <v>Standard order</v>
      </c>
      <c r="P17" s="7">
        <f t="shared" si="1"/>
        <v>1.661</v>
      </c>
      <c r="Q17" s="7" t="str">
        <f>VLOOKUP(D18,Product_Lookup!$A$2:$C$27,2,FALSE)</f>
        <v>Sweater</v>
      </c>
      <c r="R17" s="7">
        <f t="shared" si="2"/>
        <v>265.76</v>
      </c>
    </row>
    <row r="18" spans="1:18" ht="21.75" customHeight="1">
      <c r="A18" t="s">
        <v>67</v>
      </c>
      <c r="B18" s="6">
        <v>45348</v>
      </c>
      <c r="C18" t="s">
        <v>68</v>
      </c>
      <c r="D18" t="s">
        <v>26</v>
      </c>
      <c r="E18" t="s">
        <v>22</v>
      </c>
      <c r="F18" t="s">
        <v>56</v>
      </c>
      <c r="G18" t="s">
        <v>28</v>
      </c>
      <c r="H18">
        <v>2</v>
      </c>
      <c r="I18" t="str">
        <f>VLOOKUP(D18,Product_Lookup!$A$2:$C$27,3,FALSE)</f>
        <v>$84.57</v>
      </c>
      <c r="J18" t="str">
        <f t="shared" si="3"/>
        <v>Monday</v>
      </c>
      <c r="K18" s="10" t="str">
        <f t="shared" si="4"/>
        <v>February</v>
      </c>
      <c r="L18">
        <f t="shared" si="5"/>
        <v>2024</v>
      </c>
      <c r="M18" t="b">
        <f t="shared" si="6"/>
        <v>0</v>
      </c>
      <c r="N18" t="b">
        <f t="shared" si="0"/>
        <v>0</v>
      </c>
      <c r="O18" t="str">
        <f t="shared" si="7"/>
        <v>Standard order</v>
      </c>
      <c r="P18" s="7">
        <f t="shared" si="1"/>
        <v>4.2284999999999995</v>
      </c>
      <c r="Q18" s="7" t="str">
        <f>VLOOKUP(D19,Product_Lookup!$A$2:$C$27,2,FALSE)</f>
        <v>Air Fryer</v>
      </c>
      <c r="R18" s="7">
        <f t="shared" si="2"/>
        <v>169.14</v>
      </c>
    </row>
    <row r="19" spans="1:18" ht="21.75" customHeight="1">
      <c r="A19" t="s">
        <v>69</v>
      </c>
      <c r="B19" s="6">
        <v>45531</v>
      </c>
      <c r="C19" t="s">
        <v>47</v>
      </c>
      <c r="D19" t="s">
        <v>70</v>
      </c>
      <c r="E19" t="s">
        <v>11</v>
      </c>
      <c r="F19" t="s">
        <v>306</v>
      </c>
      <c r="G19" t="s">
        <v>32</v>
      </c>
      <c r="H19">
        <v>11</v>
      </c>
      <c r="I19" t="str">
        <f>VLOOKUP(D19,Product_Lookup!$A$2:$C$27,3,FALSE)</f>
        <v>$211.9</v>
      </c>
      <c r="J19" t="str">
        <f t="shared" si="3"/>
        <v>Tuesday</v>
      </c>
      <c r="K19" s="10" t="str">
        <f t="shared" si="4"/>
        <v>August</v>
      </c>
      <c r="L19">
        <f t="shared" si="5"/>
        <v>2024</v>
      </c>
      <c r="M19" t="b">
        <f t="shared" si="6"/>
        <v>0</v>
      </c>
      <c r="N19" t="b">
        <f t="shared" si="0"/>
        <v>1</v>
      </c>
      <c r="O19" t="str">
        <f t="shared" si="7"/>
        <v>Large Order</v>
      </c>
      <c r="P19" s="7">
        <f t="shared" si="1"/>
        <v>10.595000000000001</v>
      </c>
      <c r="Q19" s="7" t="str">
        <f>VLOOKUP(D20,Product_Lookup!$A$2:$C$27,2,FALSE)</f>
        <v>Blender</v>
      </c>
      <c r="R19" s="7">
        <f t="shared" si="2"/>
        <v>2330.9</v>
      </c>
    </row>
    <row r="20" spans="1:18" ht="21.75" customHeight="1">
      <c r="A20" t="s">
        <v>71</v>
      </c>
      <c r="B20" s="6">
        <v>45566</v>
      </c>
      <c r="C20" t="s">
        <v>25</v>
      </c>
      <c r="D20" t="s">
        <v>72</v>
      </c>
      <c r="E20" t="s">
        <v>17</v>
      </c>
      <c r="F20" t="s">
        <v>42</v>
      </c>
      <c r="G20" t="s">
        <v>32</v>
      </c>
      <c r="H20">
        <v>7</v>
      </c>
      <c r="I20" t="str">
        <f>VLOOKUP(D20,Product_Lookup!$A$2:$C$27,3,FALSE)</f>
        <v>$156.44</v>
      </c>
      <c r="J20" t="str">
        <f t="shared" si="3"/>
        <v>Tuesday</v>
      </c>
      <c r="K20" s="10" t="str">
        <f t="shared" si="4"/>
        <v>October</v>
      </c>
      <c r="L20">
        <f t="shared" si="5"/>
        <v>2024</v>
      </c>
      <c r="M20" t="b">
        <f t="shared" si="6"/>
        <v>0</v>
      </c>
      <c r="N20" t="b">
        <f t="shared" si="0"/>
        <v>1</v>
      </c>
      <c r="O20" t="str">
        <f t="shared" si="7"/>
        <v>Large Order</v>
      </c>
      <c r="P20" s="7">
        <f t="shared" si="1"/>
        <v>7.8220000000000001</v>
      </c>
      <c r="Q20" s="7" t="str">
        <f>VLOOKUP(D21,Product_Lookup!$A$2:$C$27,2,FALSE)</f>
        <v>Socks</v>
      </c>
      <c r="R20" s="7">
        <f t="shared" si="2"/>
        <v>1095.08</v>
      </c>
    </row>
    <row r="21" spans="1:18" ht="21.75" customHeight="1">
      <c r="A21" t="s">
        <v>73</v>
      </c>
      <c r="B21" s="6">
        <v>45426</v>
      </c>
      <c r="C21" t="s">
        <v>38</v>
      </c>
      <c r="D21" t="s">
        <v>74</v>
      </c>
      <c r="E21" t="s">
        <v>11</v>
      </c>
      <c r="F21" t="s">
        <v>306</v>
      </c>
      <c r="G21" t="s">
        <v>28</v>
      </c>
      <c r="H21">
        <v>14</v>
      </c>
      <c r="I21" t="str">
        <f>VLOOKUP(D21,Product_Lookup!$A$2:$C$27,3,FALSE)</f>
        <v>$201.32</v>
      </c>
      <c r="J21" t="str">
        <f t="shared" si="3"/>
        <v>Tuesday</v>
      </c>
      <c r="K21" s="10" t="str">
        <f t="shared" si="4"/>
        <v>May</v>
      </c>
      <c r="L21">
        <f t="shared" si="5"/>
        <v>2024</v>
      </c>
      <c r="M21" t="b">
        <f t="shared" si="6"/>
        <v>0</v>
      </c>
      <c r="N21" t="b">
        <f t="shared" si="0"/>
        <v>1</v>
      </c>
      <c r="O21" t="str">
        <f t="shared" si="7"/>
        <v>Large Order</v>
      </c>
      <c r="P21" s="7">
        <f t="shared" si="1"/>
        <v>10.066000000000001</v>
      </c>
      <c r="Q21" s="7" t="str">
        <f>VLOOKUP(D22,Product_Lookup!$A$2:$C$27,2,FALSE)</f>
        <v>Jeans</v>
      </c>
      <c r="R21" s="7">
        <f t="shared" si="2"/>
        <v>2818.48</v>
      </c>
    </row>
    <row r="22" spans="1:18" ht="21.75" customHeight="1">
      <c r="A22" t="s">
        <v>75</v>
      </c>
      <c r="B22" s="6">
        <v>45551</v>
      </c>
      <c r="C22" t="s">
        <v>53</v>
      </c>
      <c r="D22" t="s">
        <v>65</v>
      </c>
      <c r="E22" t="s">
        <v>17</v>
      </c>
      <c r="F22" t="s">
        <v>306</v>
      </c>
      <c r="G22" t="s">
        <v>28</v>
      </c>
      <c r="H22">
        <v>13</v>
      </c>
      <c r="I22" t="str">
        <f>VLOOKUP(D22,Product_Lookup!$A$2:$C$27,3,FALSE)</f>
        <v>$33.22</v>
      </c>
      <c r="J22" t="str">
        <f t="shared" si="3"/>
        <v>Monday</v>
      </c>
      <c r="K22" s="10" t="str">
        <f t="shared" si="4"/>
        <v>September</v>
      </c>
      <c r="L22">
        <f t="shared" si="5"/>
        <v>2024</v>
      </c>
      <c r="M22" t="b">
        <f t="shared" si="6"/>
        <v>0</v>
      </c>
      <c r="N22" t="b">
        <f t="shared" si="0"/>
        <v>0</v>
      </c>
      <c r="O22" t="str">
        <f t="shared" si="7"/>
        <v>Standard order</v>
      </c>
      <c r="P22" s="7">
        <f t="shared" si="1"/>
        <v>1.661</v>
      </c>
      <c r="Q22" s="7" t="str">
        <f>VLOOKUP(D23,Product_Lookup!$A$2:$C$27,2,FALSE)</f>
        <v>Puzzle</v>
      </c>
      <c r="R22" s="7">
        <f t="shared" si="2"/>
        <v>431.86</v>
      </c>
    </row>
    <row r="23" spans="1:18" ht="21.75" customHeight="1">
      <c r="A23" t="s">
        <v>76</v>
      </c>
      <c r="B23" s="6">
        <v>45563</v>
      </c>
      <c r="C23" t="s">
        <v>44</v>
      </c>
      <c r="D23" t="s">
        <v>62</v>
      </c>
      <c r="E23" t="s">
        <v>17</v>
      </c>
      <c r="F23" t="s">
        <v>12</v>
      </c>
      <c r="G23" t="s">
        <v>23</v>
      </c>
      <c r="H23">
        <v>1</v>
      </c>
      <c r="I23" t="str">
        <f>VLOOKUP(D23,Product_Lookup!$A$2:$C$27,3,FALSE)</f>
        <v>$46.19</v>
      </c>
      <c r="J23" t="str">
        <f t="shared" si="3"/>
        <v>Saturday</v>
      </c>
      <c r="K23" s="10" t="str">
        <f t="shared" si="4"/>
        <v>September</v>
      </c>
      <c r="L23">
        <f t="shared" si="5"/>
        <v>2024</v>
      </c>
      <c r="M23" t="b">
        <f t="shared" si="6"/>
        <v>1</v>
      </c>
      <c r="N23" t="b">
        <f t="shared" si="0"/>
        <v>0</v>
      </c>
      <c r="O23" t="str">
        <f t="shared" si="7"/>
        <v>Standard order</v>
      </c>
      <c r="P23" s="7">
        <f t="shared" si="1"/>
        <v>2.3094999999999999</v>
      </c>
      <c r="Q23" s="7" t="str">
        <f>VLOOKUP(D24,Product_Lookup!$A$2:$C$27,2,FALSE)</f>
        <v>Smartphone</v>
      </c>
      <c r="R23" s="7">
        <f t="shared" si="2"/>
        <v>46.19</v>
      </c>
    </row>
    <row r="24" spans="1:18" ht="21.75" customHeight="1">
      <c r="A24" t="s">
        <v>77</v>
      </c>
      <c r="B24" s="6">
        <v>45449</v>
      </c>
      <c r="C24" t="s">
        <v>78</v>
      </c>
      <c r="D24" t="s">
        <v>79</v>
      </c>
      <c r="E24" t="s">
        <v>22</v>
      </c>
      <c r="F24" t="s">
        <v>56</v>
      </c>
      <c r="G24" t="s">
        <v>13</v>
      </c>
      <c r="H24">
        <v>2</v>
      </c>
      <c r="I24" t="str">
        <f>VLOOKUP(D24,Product_Lookup!$A$2:$C$27,3,FALSE)</f>
        <v>$216.22</v>
      </c>
      <c r="J24" t="str">
        <f t="shared" si="3"/>
        <v>Thursday</v>
      </c>
      <c r="K24" s="10" t="str">
        <f t="shared" si="4"/>
        <v>June</v>
      </c>
      <c r="L24">
        <f t="shared" si="5"/>
        <v>2024</v>
      </c>
      <c r="M24" t="b">
        <f t="shared" si="6"/>
        <v>0</v>
      </c>
      <c r="N24" t="b">
        <f t="shared" si="0"/>
        <v>0</v>
      </c>
      <c r="O24" t="str">
        <f t="shared" si="7"/>
        <v>Standard order</v>
      </c>
      <c r="P24" s="7">
        <f t="shared" si="1"/>
        <v>10.811</v>
      </c>
      <c r="Q24" s="7" t="str">
        <f>VLOOKUP(D25,Product_Lookup!$A$2:$C$27,2,FALSE)</f>
        <v>Jeans</v>
      </c>
      <c r="R24" s="7">
        <f t="shared" si="2"/>
        <v>432.44</v>
      </c>
    </row>
    <row r="25" spans="1:18" ht="21.75" customHeight="1">
      <c r="A25" t="s">
        <v>80</v>
      </c>
      <c r="B25" s="6">
        <v>45327</v>
      </c>
      <c r="C25" t="s">
        <v>81</v>
      </c>
      <c r="D25" t="s">
        <v>65</v>
      </c>
      <c r="E25" t="s">
        <v>22</v>
      </c>
      <c r="F25" t="s">
        <v>306</v>
      </c>
      <c r="G25" t="s">
        <v>28</v>
      </c>
      <c r="H25">
        <v>8</v>
      </c>
      <c r="I25" t="str">
        <f>VLOOKUP(D25,Product_Lookup!$A$2:$C$27,3,FALSE)</f>
        <v>$33.22</v>
      </c>
      <c r="J25" t="str">
        <f t="shared" si="3"/>
        <v>Monday</v>
      </c>
      <c r="K25" s="10" t="str">
        <f t="shared" si="4"/>
        <v>February</v>
      </c>
      <c r="L25">
        <f t="shared" si="5"/>
        <v>2024</v>
      </c>
      <c r="M25" t="b">
        <f t="shared" si="6"/>
        <v>0</v>
      </c>
      <c r="N25" t="b">
        <f t="shared" si="0"/>
        <v>0</v>
      </c>
      <c r="O25" t="str">
        <f t="shared" si="7"/>
        <v>Standard order</v>
      </c>
      <c r="P25" s="7">
        <f t="shared" si="1"/>
        <v>1.661</v>
      </c>
      <c r="Q25" s="7" t="str">
        <f>VLOOKUP(D26,Product_Lookup!$A$2:$C$27,2,FALSE)</f>
        <v>Lego Set</v>
      </c>
      <c r="R25" s="7">
        <f t="shared" si="2"/>
        <v>265.76</v>
      </c>
    </row>
    <row r="26" spans="1:18" ht="21.75" customHeight="1">
      <c r="A26" t="s">
        <v>82</v>
      </c>
      <c r="B26" s="6">
        <v>45427</v>
      </c>
      <c r="C26" t="s">
        <v>83</v>
      </c>
      <c r="D26" t="s">
        <v>84</v>
      </c>
      <c r="E26" t="s">
        <v>11</v>
      </c>
      <c r="F26" t="s">
        <v>306</v>
      </c>
      <c r="G26" t="s">
        <v>23</v>
      </c>
      <c r="H26">
        <v>15</v>
      </c>
      <c r="I26" t="str">
        <f>VLOOKUP(D26,Product_Lookup!$A$2:$C$27,3,FALSE)</f>
        <v>$130.07</v>
      </c>
      <c r="J26" t="str">
        <f t="shared" si="3"/>
        <v>Wednesday</v>
      </c>
      <c r="K26" s="10" t="str">
        <f t="shared" si="4"/>
        <v>May</v>
      </c>
      <c r="L26">
        <f t="shared" si="5"/>
        <v>2024</v>
      </c>
      <c r="M26" t="b">
        <f t="shared" si="6"/>
        <v>0</v>
      </c>
      <c r="N26" t="b">
        <f t="shared" si="0"/>
        <v>1</v>
      </c>
      <c r="O26" t="str">
        <f t="shared" si="7"/>
        <v>Large Order</v>
      </c>
      <c r="P26" s="7">
        <f t="shared" si="1"/>
        <v>6.5034999999999998</v>
      </c>
      <c r="Q26" s="7" t="str">
        <f>VLOOKUP(D27,Product_Lookup!$A$2:$C$27,2,FALSE)</f>
        <v>Vacuum</v>
      </c>
      <c r="R26" s="7">
        <f t="shared" si="2"/>
        <v>1951.05</v>
      </c>
    </row>
    <row r="27" spans="1:18" ht="21.75" customHeight="1">
      <c r="A27" t="s">
        <v>85</v>
      </c>
      <c r="B27" s="6">
        <v>45645</v>
      </c>
      <c r="C27" t="s">
        <v>86</v>
      </c>
      <c r="D27" t="s">
        <v>87</v>
      </c>
      <c r="E27" t="s">
        <v>22</v>
      </c>
      <c r="F27" t="s">
        <v>56</v>
      </c>
      <c r="G27" t="s">
        <v>32</v>
      </c>
      <c r="H27">
        <v>11</v>
      </c>
      <c r="I27" t="str">
        <f>VLOOKUP(D27,Product_Lookup!$A$2:$C$27,3,FALSE)</f>
        <v>$26.59</v>
      </c>
      <c r="J27" t="str">
        <f t="shared" si="3"/>
        <v>Thursday</v>
      </c>
      <c r="K27" s="10" t="str">
        <f t="shared" si="4"/>
        <v>December</v>
      </c>
      <c r="L27">
        <f t="shared" si="5"/>
        <v>2024</v>
      </c>
      <c r="M27" t="b">
        <f t="shared" si="6"/>
        <v>0</v>
      </c>
      <c r="N27" t="b">
        <f t="shared" si="0"/>
        <v>0</v>
      </c>
      <c r="O27" t="str">
        <f t="shared" si="7"/>
        <v>Standard order</v>
      </c>
      <c r="P27" s="7">
        <f t="shared" si="1"/>
        <v>1.3295000000000001</v>
      </c>
      <c r="Q27" s="7" t="str">
        <f>VLOOKUP(D28,Product_Lookup!$A$2:$C$27,2,FALSE)</f>
        <v>Jeans</v>
      </c>
      <c r="R27" s="7">
        <f t="shared" si="2"/>
        <v>292.49</v>
      </c>
    </row>
    <row r="28" spans="1:18" ht="21.75" customHeight="1">
      <c r="A28" t="s">
        <v>88</v>
      </c>
      <c r="B28" s="6">
        <v>45523</v>
      </c>
      <c r="C28" t="s">
        <v>89</v>
      </c>
      <c r="D28" t="s">
        <v>65</v>
      </c>
      <c r="E28" t="s">
        <v>11</v>
      </c>
      <c r="F28" t="s">
        <v>12</v>
      </c>
      <c r="G28" t="s">
        <v>28</v>
      </c>
      <c r="H28">
        <v>6</v>
      </c>
      <c r="I28" t="str">
        <f>VLOOKUP(D28,Product_Lookup!$A$2:$C$27,3,FALSE)</f>
        <v>$33.22</v>
      </c>
      <c r="J28" t="str">
        <f t="shared" si="3"/>
        <v>Monday</v>
      </c>
      <c r="K28" s="10" t="str">
        <f t="shared" si="4"/>
        <v>August</v>
      </c>
      <c r="L28">
        <f t="shared" si="5"/>
        <v>2024</v>
      </c>
      <c r="M28" t="b">
        <f t="shared" si="6"/>
        <v>0</v>
      </c>
      <c r="N28" t="b">
        <f t="shared" si="0"/>
        <v>0</v>
      </c>
      <c r="O28" t="str">
        <f t="shared" si="7"/>
        <v>Standard order</v>
      </c>
      <c r="P28" s="7">
        <f t="shared" si="1"/>
        <v>1.661</v>
      </c>
      <c r="Q28" s="7" t="str">
        <f>VLOOKUP(D29,Product_Lookup!$A$2:$C$27,2,FALSE)</f>
        <v>T-Shirt</v>
      </c>
      <c r="R28" s="7">
        <f t="shared" si="2"/>
        <v>199.32</v>
      </c>
    </row>
    <row r="29" spans="1:18" ht="21.75" customHeight="1">
      <c r="A29" t="s">
        <v>90</v>
      </c>
      <c r="B29" s="6">
        <v>45409</v>
      </c>
      <c r="C29" t="s">
        <v>40</v>
      </c>
      <c r="D29" t="s">
        <v>45</v>
      </c>
      <c r="E29" t="s">
        <v>11</v>
      </c>
      <c r="F29" t="s">
        <v>306</v>
      </c>
      <c r="G29" t="s">
        <v>28</v>
      </c>
      <c r="H29">
        <v>12</v>
      </c>
      <c r="I29" t="str">
        <f>VLOOKUP(D29,Product_Lookup!$A$2:$C$27,3,FALSE)</f>
        <v>$107.34</v>
      </c>
      <c r="J29" t="str">
        <f t="shared" si="3"/>
        <v>Saturday</v>
      </c>
      <c r="K29" s="10" t="str">
        <f t="shared" si="4"/>
        <v>April</v>
      </c>
      <c r="L29">
        <f t="shared" si="5"/>
        <v>2024</v>
      </c>
      <c r="M29" t="b">
        <f t="shared" si="6"/>
        <v>1</v>
      </c>
      <c r="N29" t="b">
        <f t="shared" si="0"/>
        <v>1</v>
      </c>
      <c r="O29" t="str">
        <f t="shared" si="7"/>
        <v>Large Order</v>
      </c>
      <c r="P29" s="7">
        <f t="shared" si="1"/>
        <v>5.3670000000000009</v>
      </c>
      <c r="Q29" s="7" t="str">
        <f>VLOOKUP(D30,Product_Lookup!$A$2:$C$27,2,FALSE)</f>
        <v>Blender</v>
      </c>
      <c r="R29" s="7">
        <f t="shared" si="2"/>
        <v>1288.08</v>
      </c>
    </row>
    <row r="30" spans="1:18" ht="21.75" customHeight="1">
      <c r="A30" t="s">
        <v>91</v>
      </c>
      <c r="B30" s="6">
        <v>45326</v>
      </c>
      <c r="C30" t="s">
        <v>78</v>
      </c>
      <c r="D30" t="s">
        <v>72</v>
      </c>
      <c r="E30" t="s">
        <v>22</v>
      </c>
      <c r="F30" t="s">
        <v>12</v>
      </c>
      <c r="G30" t="s">
        <v>32</v>
      </c>
      <c r="H30">
        <v>4</v>
      </c>
      <c r="I30" t="str">
        <f>VLOOKUP(D30,Product_Lookup!$A$2:$C$27,3,FALSE)</f>
        <v>$156.44</v>
      </c>
      <c r="J30" t="str">
        <f t="shared" si="3"/>
        <v>Sunday</v>
      </c>
      <c r="K30" s="10" t="str">
        <f t="shared" si="4"/>
        <v>February</v>
      </c>
      <c r="L30">
        <f t="shared" si="5"/>
        <v>2024</v>
      </c>
      <c r="M30" t="b">
        <f t="shared" si="6"/>
        <v>1</v>
      </c>
      <c r="N30" t="b">
        <f t="shared" si="0"/>
        <v>0</v>
      </c>
      <c r="O30" t="str">
        <f t="shared" si="7"/>
        <v>Large Order</v>
      </c>
      <c r="P30" s="7">
        <f t="shared" si="1"/>
        <v>7.8220000000000001</v>
      </c>
      <c r="Q30" s="7" t="str">
        <f>VLOOKUP(D31,Product_Lookup!$A$2:$C$27,2,FALSE)</f>
        <v>Socks</v>
      </c>
      <c r="R30" s="7">
        <f t="shared" si="2"/>
        <v>625.76</v>
      </c>
    </row>
    <row r="31" spans="1:18" ht="21.75" customHeight="1">
      <c r="A31" t="s">
        <v>92</v>
      </c>
      <c r="B31" s="6">
        <v>45401</v>
      </c>
      <c r="C31" t="s">
        <v>93</v>
      </c>
      <c r="D31" t="s">
        <v>74</v>
      </c>
      <c r="E31" t="s">
        <v>22</v>
      </c>
      <c r="F31" t="s">
        <v>306</v>
      </c>
      <c r="G31" t="s">
        <v>28</v>
      </c>
      <c r="H31">
        <v>8</v>
      </c>
      <c r="I31" t="str">
        <f>VLOOKUP(D31,Product_Lookup!$A$2:$C$27,3,FALSE)</f>
        <v>$201.32</v>
      </c>
      <c r="J31" t="str">
        <f t="shared" si="3"/>
        <v>Friday</v>
      </c>
      <c r="K31" s="10" t="str">
        <f t="shared" si="4"/>
        <v>April</v>
      </c>
      <c r="L31">
        <f t="shared" si="5"/>
        <v>2024</v>
      </c>
      <c r="M31" t="b">
        <f t="shared" si="6"/>
        <v>0</v>
      </c>
      <c r="N31" t="b">
        <f t="shared" si="0"/>
        <v>1</v>
      </c>
      <c r="O31" t="str">
        <f t="shared" si="7"/>
        <v>Large Order</v>
      </c>
      <c r="P31" s="7">
        <f t="shared" si="1"/>
        <v>10.066000000000001</v>
      </c>
      <c r="Q31" s="7" t="str">
        <f>VLOOKUP(D32,Product_Lookup!$A$2:$C$27,2,FALSE)</f>
        <v>Laptop</v>
      </c>
      <c r="R31" s="7">
        <f t="shared" si="2"/>
        <v>1610.56</v>
      </c>
    </row>
    <row r="32" spans="1:18" ht="21.75" customHeight="1">
      <c r="A32" t="s">
        <v>94</v>
      </c>
      <c r="B32" s="6">
        <v>45500</v>
      </c>
      <c r="C32" t="s">
        <v>95</v>
      </c>
      <c r="D32" t="s">
        <v>96</v>
      </c>
      <c r="E32" t="s">
        <v>22</v>
      </c>
      <c r="F32" t="s">
        <v>56</v>
      </c>
      <c r="G32" t="s">
        <v>13</v>
      </c>
      <c r="H32">
        <v>7</v>
      </c>
      <c r="I32" t="str">
        <f>VLOOKUP(D32,Product_Lookup!$A$2:$C$27,3,FALSE)</f>
        <v>$230.68</v>
      </c>
      <c r="J32" t="str">
        <f t="shared" si="3"/>
        <v>Saturday</v>
      </c>
      <c r="K32" s="10" t="str">
        <f t="shared" si="4"/>
        <v>July</v>
      </c>
      <c r="L32">
        <f t="shared" si="5"/>
        <v>2024</v>
      </c>
      <c r="M32" t="b">
        <f t="shared" si="6"/>
        <v>1</v>
      </c>
      <c r="N32" t="b">
        <f t="shared" si="0"/>
        <v>1</v>
      </c>
      <c r="O32" t="str">
        <f t="shared" si="7"/>
        <v>Large Order</v>
      </c>
      <c r="P32" s="7">
        <f t="shared" si="1"/>
        <v>11.534000000000001</v>
      </c>
      <c r="Q32" s="7" t="str">
        <f>VLOOKUP(D33,Product_Lookup!$A$2:$C$27,2,FALSE)</f>
        <v>Laptop</v>
      </c>
      <c r="R32" s="7">
        <f t="shared" si="2"/>
        <v>1614.76</v>
      </c>
    </row>
    <row r="33" spans="1:18" ht="21.75" customHeight="1">
      <c r="A33" t="s">
        <v>97</v>
      </c>
      <c r="B33" s="6">
        <v>45531</v>
      </c>
      <c r="C33" t="s">
        <v>9</v>
      </c>
      <c r="D33" t="s">
        <v>96</v>
      </c>
      <c r="E33" t="s">
        <v>17</v>
      </c>
      <c r="F33" t="s">
        <v>12</v>
      </c>
      <c r="G33" t="s">
        <v>13</v>
      </c>
      <c r="H33">
        <v>12</v>
      </c>
      <c r="I33" t="str">
        <f>VLOOKUP(D33,Product_Lookup!$A$2:$C$27,3,FALSE)</f>
        <v>$230.68</v>
      </c>
      <c r="J33" t="str">
        <f t="shared" si="3"/>
        <v>Tuesday</v>
      </c>
      <c r="K33" s="10" t="str">
        <f t="shared" si="4"/>
        <v>August</v>
      </c>
      <c r="L33">
        <f t="shared" si="5"/>
        <v>2024</v>
      </c>
      <c r="M33" t="b">
        <f t="shared" si="6"/>
        <v>0</v>
      </c>
      <c r="N33" t="b">
        <f t="shared" si="0"/>
        <v>1</v>
      </c>
      <c r="O33" t="str">
        <f t="shared" si="7"/>
        <v>Large Order</v>
      </c>
      <c r="P33" s="7">
        <f t="shared" si="1"/>
        <v>11.534000000000001</v>
      </c>
      <c r="Q33" s="7" t="str">
        <f>VLOOKUP(D34,Product_Lookup!$A$2:$C$27,2,FALSE)</f>
        <v>Socks</v>
      </c>
      <c r="R33" s="7">
        <f t="shared" si="2"/>
        <v>2768.16</v>
      </c>
    </row>
    <row r="34" spans="1:18" ht="21.75" customHeight="1">
      <c r="A34" t="s">
        <v>98</v>
      </c>
      <c r="B34" s="6">
        <v>45419</v>
      </c>
      <c r="C34" t="s">
        <v>99</v>
      </c>
      <c r="D34" t="s">
        <v>74</v>
      </c>
      <c r="E34" t="s">
        <v>17</v>
      </c>
      <c r="F34" t="s">
        <v>56</v>
      </c>
      <c r="G34" t="s">
        <v>28</v>
      </c>
      <c r="H34">
        <v>3</v>
      </c>
      <c r="I34" t="str">
        <f>VLOOKUP(D34,Product_Lookup!$A$2:$C$27,3,FALSE)</f>
        <v>$201.32</v>
      </c>
      <c r="J34" t="str">
        <f t="shared" si="3"/>
        <v>Tuesday</v>
      </c>
      <c r="K34" s="10" t="str">
        <f t="shared" si="4"/>
        <v>May</v>
      </c>
      <c r="L34">
        <f t="shared" si="5"/>
        <v>2024</v>
      </c>
      <c r="M34" t="b">
        <f t="shared" si="6"/>
        <v>0</v>
      </c>
      <c r="N34" t="b">
        <f t="shared" si="0"/>
        <v>0</v>
      </c>
      <c r="O34" t="str">
        <f t="shared" si="7"/>
        <v>Large Order</v>
      </c>
      <c r="P34" s="7">
        <f t="shared" si="1"/>
        <v>10.066000000000001</v>
      </c>
      <c r="Q34" s="7" t="str">
        <f>VLOOKUP(D35,Product_Lookup!$A$2:$C$27,2,FALSE)</f>
        <v>Monitor</v>
      </c>
      <c r="R34" s="7">
        <f t="shared" si="2"/>
        <v>603.96</v>
      </c>
    </row>
    <row r="35" spans="1:18" ht="21.75" customHeight="1">
      <c r="A35" t="s">
        <v>100</v>
      </c>
      <c r="B35" s="6">
        <v>45528</v>
      </c>
      <c r="C35" t="s">
        <v>101</v>
      </c>
      <c r="D35" t="s">
        <v>102</v>
      </c>
      <c r="E35" t="s">
        <v>22</v>
      </c>
      <c r="F35" t="s">
        <v>56</v>
      </c>
      <c r="G35" t="s">
        <v>13</v>
      </c>
      <c r="H35">
        <v>2</v>
      </c>
      <c r="I35" t="str">
        <f>VLOOKUP(D35,Product_Lookup!$A$2:$C$27,3,FALSE)</f>
        <v>$145.48</v>
      </c>
      <c r="J35" t="str">
        <f t="shared" si="3"/>
        <v>Saturday</v>
      </c>
      <c r="K35" s="10" t="str">
        <f t="shared" si="4"/>
        <v>August</v>
      </c>
      <c r="L35">
        <f t="shared" si="5"/>
        <v>2024</v>
      </c>
      <c r="M35" t="b">
        <f t="shared" si="6"/>
        <v>1</v>
      </c>
      <c r="N35" t="b">
        <f t="shared" si="0"/>
        <v>0</v>
      </c>
      <c r="O35" t="str">
        <f t="shared" si="7"/>
        <v>Standard order</v>
      </c>
      <c r="P35" s="7">
        <f t="shared" si="1"/>
        <v>7.274</v>
      </c>
      <c r="Q35" s="7" t="str">
        <f>VLOOKUP(D36,Product_Lookup!$A$2:$C$27,2,FALSE)</f>
        <v>Jeans</v>
      </c>
      <c r="R35" s="7">
        <f t="shared" si="2"/>
        <v>290.95999999999998</v>
      </c>
    </row>
    <row r="36" spans="1:18" ht="21.75" customHeight="1">
      <c r="A36" t="s">
        <v>103</v>
      </c>
      <c r="B36" s="6">
        <v>45299</v>
      </c>
      <c r="C36" t="s">
        <v>104</v>
      </c>
      <c r="D36" t="s">
        <v>65</v>
      </c>
      <c r="E36" t="s">
        <v>17</v>
      </c>
      <c r="F36" t="s">
        <v>12</v>
      </c>
      <c r="G36" t="s">
        <v>28</v>
      </c>
      <c r="H36">
        <v>8</v>
      </c>
      <c r="I36" t="str">
        <f>VLOOKUP(D36,Product_Lookup!$A$2:$C$27,3,FALSE)</f>
        <v>$33.22</v>
      </c>
      <c r="J36" t="str">
        <f t="shared" si="3"/>
        <v>Monday</v>
      </c>
      <c r="K36" s="10" t="str">
        <f t="shared" si="4"/>
        <v>January</v>
      </c>
      <c r="L36">
        <f t="shared" si="5"/>
        <v>2024</v>
      </c>
      <c r="M36" t="b">
        <f t="shared" si="6"/>
        <v>0</v>
      </c>
      <c r="N36" t="b">
        <f t="shared" si="0"/>
        <v>0</v>
      </c>
      <c r="O36" t="str">
        <f t="shared" si="7"/>
        <v>Standard order</v>
      </c>
      <c r="P36" s="7">
        <f t="shared" si="1"/>
        <v>1.661</v>
      </c>
      <c r="Q36" s="7" t="str">
        <f>VLOOKUP(D37,Product_Lookup!$A$2:$C$27,2,FALSE)</f>
        <v>Stapler</v>
      </c>
      <c r="R36" s="7">
        <f t="shared" si="2"/>
        <v>265.76</v>
      </c>
    </row>
    <row r="37" spans="1:18" ht="21.75" customHeight="1">
      <c r="A37" t="s">
        <v>105</v>
      </c>
      <c r="B37" s="6">
        <v>45322</v>
      </c>
      <c r="C37" t="s">
        <v>106</v>
      </c>
      <c r="D37" t="s">
        <v>35</v>
      </c>
      <c r="E37" t="s">
        <v>17</v>
      </c>
      <c r="F37" t="s">
        <v>56</v>
      </c>
      <c r="G37" t="s">
        <v>36</v>
      </c>
      <c r="H37">
        <v>5</v>
      </c>
      <c r="I37" t="str">
        <f>VLOOKUP(D37,Product_Lookup!$A$2:$C$27,3,FALSE)</f>
        <v>$64.61</v>
      </c>
      <c r="J37" t="str">
        <f t="shared" si="3"/>
        <v>Wednesday</v>
      </c>
      <c r="K37" s="10" t="str">
        <f t="shared" si="4"/>
        <v>January</v>
      </c>
      <c r="L37">
        <f t="shared" si="5"/>
        <v>2024</v>
      </c>
      <c r="M37" t="b">
        <f t="shared" si="6"/>
        <v>0</v>
      </c>
      <c r="N37" t="b">
        <f t="shared" si="0"/>
        <v>0</v>
      </c>
      <c r="O37" t="str">
        <f t="shared" si="7"/>
        <v>Standard order</v>
      </c>
      <c r="P37" s="7">
        <f t="shared" si="1"/>
        <v>3.2305000000000001</v>
      </c>
      <c r="Q37" s="7" t="str">
        <f>VLOOKUP(D38,Product_Lookup!$A$2:$C$27,2,FALSE)</f>
        <v>Paper Shredder</v>
      </c>
      <c r="R37" s="7">
        <f t="shared" si="2"/>
        <v>323.05</v>
      </c>
    </row>
    <row r="38" spans="1:18" ht="21.75" customHeight="1">
      <c r="A38" t="s">
        <v>107</v>
      </c>
      <c r="B38" s="6">
        <v>45524</v>
      </c>
      <c r="C38" t="s">
        <v>108</v>
      </c>
      <c r="D38" t="s">
        <v>109</v>
      </c>
      <c r="E38" t="s">
        <v>22</v>
      </c>
      <c r="F38" t="s">
        <v>42</v>
      </c>
      <c r="G38" t="s">
        <v>36</v>
      </c>
      <c r="H38">
        <v>12</v>
      </c>
      <c r="I38" t="str">
        <f>VLOOKUP(D38,Product_Lookup!$A$2:$C$27,3,FALSE)</f>
        <v>$81.02</v>
      </c>
      <c r="J38" t="str">
        <f t="shared" si="3"/>
        <v>Tuesday</v>
      </c>
      <c r="K38" s="10" t="str">
        <f t="shared" si="4"/>
        <v>August</v>
      </c>
      <c r="L38">
        <f t="shared" si="5"/>
        <v>2024</v>
      </c>
      <c r="M38" t="b">
        <f t="shared" si="6"/>
        <v>0</v>
      </c>
      <c r="N38" t="b">
        <f t="shared" si="0"/>
        <v>1</v>
      </c>
      <c r="O38" t="str">
        <f t="shared" si="7"/>
        <v>Large Order</v>
      </c>
      <c r="P38" s="7">
        <f t="shared" si="1"/>
        <v>4.0510000000000002</v>
      </c>
      <c r="Q38" s="7" t="str">
        <f>VLOOKUP(D39,Product_Lookup!$A$2:$C$27,2,FALSE)</f>
        <v>Headphones</v>
      </c>
      <c r="R38" s="7">
        <f t="shared" si="2"/>
        <v>972.24</v>
      </c>
    </row>
    <row r="39" spans="1:18" ht="21.75" customHeight="1">
      <c r="A39" t="s">
        <v>110</v>
      </c>
      <c r="B39" s="6">
        <v>45443</v>
      </c>
      <c r="C39" t="s">
        <v>111</v>
      </c>
      <c r="D39" t="s">
        <v>16</v>
      </c>
      <c r="E39" t="s">
        <v>22</v>
      </c>
      <c r="F39" t="s">
        <v>56</v>
      </c>
      <c r="G39" t="s">
        <v>13</v>
      </c>
      <c r="H39">
        <v>9</v>
      </c>
      <c r="I39" t="str">
        <f>VLOOKUP(D39,Product_Lookup!$A$2:$C$27,3,FALSE)</f>
        <v>$178.83</v>
      </c>
      <c r="J39" t="str">
        <f t="shared" si="3"/>
        <v>Friday</v>
      </c>
      <c r="K39" s="10" t="str">
        <f t="shared" si="4"/>
        <v>May</v>
      </c>
      <c r="L39">
        <f t="shared" si="5"/>
        <v>2024</v>
      </c>
      <c r="M39" t="b">
        <f t="shared" si="6"/>
        <v>0</v>
      </c>
      <c r="N39" t="b">
        <f t="shared" si="0"/>
        <v>1</v>
      </c>
      <c r="O39" t="str">
        <f t="shared" si="7"/>
        <v>Large Order</v>
      </c>
      <c r="P39" s="7">
        <f t="shared" si="1"/>
        <v>8.9415000000000013</v>
      </c>
      <c r="Q39" s="7" t="str">
        <f>VLOOKUP(D40,Product_Lookup!$A$2:$C$27,2,FALSE)</f>
        <v>Lego Set</v>
      </c>
      <c r="R39" s="7">
        <f t="shared" si="2"/>
        <v>1609.47</v>
      </c>
    </row>
    <row r="40" spans="1:18" ht="21.75" customHeight="1">
      <c r="A40" t="s">
        <v>112</v>
      </c>
      <c r="B40" s="6">
        <v>45321</v>
      </c>
      <c r="C40" t="s">
        <v>81</v>
      </c>
      <c r="D40" t="s">
        <v>84</v>
      </c>
      <c r="E40" t="s">
        <v>22</v>
      </c>
      <c r="F40" t="s">
        <v>12</v>
      </c>
      <c r="G40" t="s">
        <v>23</v>
      </c>
      <c r="H40">
        <v>15</v>
      </c>
      <c r="I40" t="str">
        <f>VLOOKUP(D40,Product_Lookup!$A$2:$C$27,3,FALSE)</f>
        <v>$130.07</v>
      </c>
      <c r="J40" t="str">
        <f t="shared" si="3"/>
        <v>Tuesday</v>
      </c>
      <c r="K40" s="10" t="str">
        <f t="shared" si="4"/>
        <v>January</v>
      </c>
      <c r="L40">
        <f t="shared" si="5"/>
        <v>2024</v>
      </c>
      <c r="M40" t="b">
        <f t="shared" si="6"/>
        <v>0</v>
      </c>
      <c r="N40" t="b">
        <f t="shared" si="0"/>
        <v>1</v>
      </c>
      <c r="O40" t="str">
        <f t="shared" si="7"/>
        <v>Large Order</v>
      </c>
      <c r="P40" s="7">
        <f t="shared" si="1"/>
        <v>6.5034999999999998</v>
      </c>
      <c r="Q40" s="7" t="str">
        <f>VLOOKUP(D41,Product_Lookup!$A$2:$C$27,2,FALSE)</f>
        <v>Smartphone</v>
      </c>
      <c r="R40" s="7">
        <f t="shared" si="2"/>
        <v>1951.05</v>
      </c>
    </row>
    <row r="41" spans="1:18" ht="21.75" customHeight="1">
      <c r="A41" t="s">
        <v>113</v>
      </c>
      <c r="B41" s="6">
        <v>45321</v>
      </c>
      <c r="C41" t="s">
        <v>114</v>
      </c>
      <c r="D41" t="s">
        <v>79</v>
      </c>
      <c r="E41" t="s">
        <v>11</v>
      </c>
      <c r="F41" t="s">
        <v>306</v>
      </c>
      <c r="G41" t="s">
        <v>13</v>
      </c>
      <c r="H41">
        <v>10</v>
      </c>
      <c r="I41" t="str">
        <f>VLOOKUP(D41,Product_Lookup!$A$2:$C$27,3,FALSE)</f>
        <v>$216.22</v>
      </c>
      <c r="J41" t="str">
        <f t="shared" si="3"/>
        <v>Tuesday</v>
      </c>
      <c r="K41" s="10" t="str">
        <f t="shared" si="4"/>
        <v>January</v>
      </c>
      <c r="L41">
        <f t="shared" si="5"/>
        <v>2024</v>
      </c>
      <c r="M41" t="b">
        <f t="shared" si="6"/>
        <v>0</v>
      </c>
      <c r="N41" t="b">
        <f t="shared" si="0"/>
        <v>1</v>
      </c>
      <c r="O41" t="str">
        <f t="shared" si="7"/>
        <v>Large Order</v>
      </c>
      <c r="P41" s="7">
        <f t="shared" si="1"/>
        <v>10.811</v>
      </c>
      <c r="Q41" s="7" t="str">
        <f>VLOOKUP(D42,Product_Lookup!$A$2:$C$27,2,FALSE)</f>
        <v>Board Game</v>
      </c>
      <c r="R41" s="7">
        <f t="shared" si="2"/>
        <v>2162.1999999999998</v>
      </c>
    </row>
    <row r="42" spans="1:18" ht="21.75" customHeight="1">
      <c r="A42" t="s">
        <v>115</v>
      </c>
      <c r="B42" s="6">
        <v>45498</v>
      </c>
      <c r="C42" t="s">
        <v>116</v>
      </c>
      <c r="D42" t="s">
        <v>41</v>
      </c>
      <c r="E42" t="s">
        <v>22</v>
      </c>
      <c r="F42" t="s">
        <v>12</v>
      </c>
      <c r="G42" t="s">
        <v>23</v>
      </c>
      <c r="H42">
        <v>10</v>
      </c>
      <c r="I42" t="str">
        <f>VLOOKUP(D42,Product_Lookup!$A$2:$C$27,3,FALSE)</f>
        <v>$86.6</v>
      </c>
      <c r="J42" t="str">
        <f t="shared" si="3"/>
        <v>Thursday</v>
      </c>
      <c r="K42" s="10" t="str">
        <f t="shared" si="4"/>
        <v>July</v>
      </c>
      <c r="L42">
        <f t="shared" si="5"/>
        <v>2024</v>
      </c>
      <c r="M42" t="b">
        <f t="shared" si="6"/>
        <v>0</v>
      </c>
      <c r="N42" t="b">
        <f t="shared" si="0"/>
        <v>1</v>
      </c>
      <c r="O42" t="str">
        <f t="shared" si="7"/>
        <v>Large Order</v>
      </c>
      <c r="P42" s="7">
        <f t="shared" si="1"/>
        <v>4.33</v>
      </c>
      <c r="Q42" s="7" t="str">
        <f>VLOOKUP(D43,Product_Lookup!$A$2:$C$27,2,FALSE)</f>
        <v>Doll</v>
      </c>
      <c r="R42" s="7">
        <f t="shared" si="2"/>
        <v>866</v>
      </c>
    </row>
    <row r="43" spans="1:18" ht="21.75" customHeight="1">
      <c r="A43" t="s">
        <v>117</v>
      </c>
      <c r="B43" s="6">
        <v>45506</v>
      </c>
      <c r="C43" t="s">
        <v>118</v>
      </c>
      <c r="D43" t="s">
        <v>119</v>
      </c>
      <c r="E43" t="s">
        <v>17</v>
      </c>
      <c r="F43" t="s">
        <v>306</v>
      </c>
      <c r="G43" t="s">
        <v>23</v>
      </c>
      <c r="H43">
        <v>15</v>
      </c>
      <c r="I43" t="str">
        <f>VLOOKUP(D43,Product_Lookup!$A$2:$C$27,3,FALSE)</f>
        <v>$32.94</v>
      </c>
      <c r="J43" t="str">
        <f t="shared" si="3"/>
        <v>Friday</v>
      </c>
      <c r="K43" s="10" t="str">
        <f t="shared" si="4"/>
        <v>August</v>
      </c>
      <c r="L43">
        <f t="shared" si="5"/>
        <v>2024</v>
      </c>
      <c r="M43" t="b">
        <f t="shared" si="6"/>
        <v>0</v>
      </c>
      <c r="N43" t="b">
        <f t="shared" si="0"/>
        <v>0</v>
      </c>
      <c r="O43" t="str">
        <f t="shared" si="7"/>
        <v>Standard order</v>
      </c>
      <c r="P43" s="7">
        <f t="shared" si="1"/>
        <v>1.647</v>
      </c>
      <c r="Q43" s="7" t="str">
        <f>VLOOKUP(D44,Product_Lookup!$A$2:$C$27,2,FALSE)</f>
        <v>Vacuum</v>
      </c>
      <c r="R43" s="7">
        <f t="shared" si="2"/>
        <v>494.09999999999997</v>
      </c>
    </row>
    <row r="44" spans="1:18" ht="21.75" customHeight="1">
      <c r="A44" t="s">
        <v>120</v>
      </c>
      <c r="B44" s="6">
        <v>45452</v>
      </c>
      <c r="C44" t="s">
        <v>51</v>
      </c>
      <c r="D44" t="s">
        <v>87</v>
      </c>
      <c r="E44" t="s">
        <v>11</v>
      </c>
      <c r="F44" t="s">
        <v>56</v>
      </c>
      <c r="G44" t="s">
        <v>32</v>
      </c>
      <c r="H44">
        <v>11</v>
      </c>
      <c r="I44" t="str">
        <f>VLOOKUP(D44,Product_Lookup!$A$2:$C$27,3,FALSE)</f>
        <v>$26.59</v>
      </c>
      <c r="J44" t="str">
        <f t="shared" si="3"/>
        <v>Sunday</v>
      </c>
      <c r="K44" s="10" t="str">
        <f t="shared" si="4"/>
        <v>June</v>
      </c>
      <c r="L44">
        <f t="shared" si="5"/>
        <v>2024</v>
      </c>
      <c r="M44" t="b">
        <f t="shared" si="6"/>
        <v>1</v>
      </c>
      <c r="N44" t="b">
        <f t="shared" si="0"/>
        <v>0</v>
      </c>
      <c r="O44" t="str">
        <f t="shared" si="7"/>
        <v>Standard order</v>
      </c>
      <c r="P44" s="7">
        <f t="shared" si="1"/>
        <v>1.3295000000000001</v>
      </c>
      <c r="Q44" s="7" t="str">
        <f>VLOOKUP(D45,Product_Lookup!$A$2:$C$27,2,FALSE)</f>
        <v>Monitor</v>
      </c>
      <c r="R44" s="7">
        <f t="shared" si="2"/>
        <v>292.49</v>
      </c>
    </row>
    <row r="45" spans="1:18" ht="21.75" customHeight="1">
      <c r="A45" t="s">
        <v>121</v>
      </c>
      <c r="B45" s="6">
        <v>45453</v>
      </c>
      <c r="C45" t="s">
        <v>122</v>
      </c>
      <c r="D45" t="s">
        <v>102</v>
      </c>
      <c r="E45" t="s">
        <v>22</v>
      </c>
      <c r="F45" t="s">
        <v>12</v>
      </c>
      <c r="G45" t="s">
        <v>13</v>
      </c>
      <c r="H45">
        <v>10</v>
      </c>
      <c r="I45" t="str">
        <f>VLOOKUP(D45,Product_Lookup!$A$2:$C$27,3,FALSE)</f>
        <v>$145.48</v>
      </c>
      <c r="J45" t="str">
        <f t="shared" si="3"/>
        <v>Monday</v>
      </c>
      <c r="K45" s="10" t="str">
        <f t="shared" si="4"/>
        <v>June</v>
      </c>
      <c r="L45">
        <f t="shared" si="5"/>
        <v>2024</v>
      </c>
      <c r="M45" t="b">
        <f t="shared" si="6"/>
        <v>0</v>
      </c>
      <c r="N45" t="b">
        <f t="shared" si="0"/>
        <v>1</v>
      </c>
      <c r="O45" t="str">
        <f t="shared" si="7"/>
        <v>Large Order</v>
      </c>
      <c r="P45" s="7">
        <f t="shared" si="1"/>
        <v>7.274</v>
      </c>
      <c r="Q45" s="7" t="str">
        <f>VLOOKUP(D46,Product_Lookup!$A$2:$C$27,2,FALSE)</f>
        <v>Puzzle</v>
      </c>
      <c r="R45" s="7">
        <f t="shared" si="2"/>
        <v>1454.8</v>
      </c>
    </row>
    <row r="46" spans="1:18" ht="21.75" customHeight="1">
      <c r="A46" t="s">
        <v>123</v>
      </c>
      <c r="B46" s="6">
        <v>45567</v>
      </c>
      <c r="C46" t="s">
        <v>122</v>
      </c>
      <c r="D46" t="s">
        <v>62</v>
      </c>
      <c r="E46" t="s">
        <v>11</v>
      </c>
      <c r="F46" t="s">
        <v>56</v>
      </c>
      <c r="G46" t="s">
        <v>23</v>
      </c>
      <c r="H46">
        <v>15</v>
      </c>
      <c r="I46" t="str">
        <f>VLOOKUP(D46,Product_Lookup!$A$2:$C$27,3,FALSE)</f>
        <v>$46.19</v>
      </c>
      <c r="J46" t="str">
        <f t="shared" si="3"/>
        <v>Wednesday</v>
      </c>
      <c r="K46" s="10" t="str">
        <f t="shared" si="4"/>
        <v>October</v>
      </c>
      <c r="L46">
        <f t="shared" si="5"/>
        <v>2024</v>
      </c>
      <c r="M46" t="b">
        <f t="shared" si="6"/>
        <v>0</v>
      </c>
      <c r="N46" t="b">
        <f t="shared" si="0"/>
        <v>0</v>
      </c>
      <c r="O46" t="str">
        <f t="shared" si="7"/>
        <v>Large Order</v>
      </c>
      <c r="P46" s="7">
        <f t="shared" si="1"/>
        <v>2.3094999999999999</v>
      </c>
      <c r="Q46" s="7" t="str">
        <f>VLOOKUP(D47,Product_Lookup!$A$2:$C$27,2,FALSE)</f>
        <v>Toaster</v>
      </c>
      <c r="R46" s="7">
        <f t="shared" si="2"/>
        <v>692.84999999999991</v>
      </c>
    </row>
    <row r="47" spans="1:18" ht="21.75" customHeight="1">
      <c r="A47" t="s">
        <v>124</v>
      </c>
      <c r="B47" s="6">
        <v>45417</v>
      </c>
      <c r="C47" t="s">
        <v>125</v>
      </c>
      <c r="D47" t="s">
        <v>48</v>
      </c>
      <c r="E47" t="s">
        <v>17</v>
      </c>
      <c r="F47" t="s">
        <v>42</v>
      </c>
      <c r="G47" t="s">
        <v>32</v>
      </c>
      <c r="H47">
        <v>14</v>
      </c>
      <c r="I47" t="str">
        <f>VLOOKUP(D47,Product_Lookup!$A$2:$C$27,3,FALSE)</f>
        <v>$208.85</v>
      </c>
      <c r="J47" t="str">
        <f t="shared" si="3"/>
        <v>Sunday</v>
      </c>
      <c r="K47" s="10" t="str">
        <f t="shared" si="4"/>
        <v>May</v>
      </c>
      <c r="L47">
        <f t="shared" si="5"/>
        <v>2024</v>
      </c>
      <c r="M47" t="b">
        <f t="shared" si="6"/>
        <v>1</v>
      </c>
      <c r="N47" t="b">
        <f t="shared" si="0"/>
        <v>1</v>
      </c>
      <c r="O47" t="str">
        <f t="shared" si="7"/>
        <v>Large Order</v>
      </c>
      <c r="P47" s="7">
        <f t="shared" si="1"/>
        <v>10.442500000000001</v>
      </c>
      <c r="Q47" s="7" t="str">
        <f>VLOOKUP(D48,Product_Lookup!$A$2:$C$27,2,FALSE)</f>
        <v>Headphones</v>
      </c>
      <c r="R47" s="7">
        <f t="shared" si="2"/>
        <v>2923.9</v>
      </c>
    </row>
    <row r="48" spans="1:18" ht="21.75" customHeight="1">
      <c r="A48" t="s">
        <v>126</v>
      </c>
      <c r="B48" s="6">
        <v>45605</v>
      </c>
      <c r="C48" t="s">
        <v>58</v>
      </c>
      <c r="D48" t="s">
        <v>16</v>
      </c>
      <c r="E48" t="s">
        <v>17</v>
      </c>
      <c r="F48" t="s">
        <v>306</v>
      </c>
      <c r="G48" t="s">
        <v>13</v>
      </c>
      <c r="H48">
        <v>15</v>
      </c>
      <c r="I48" t="str">
        <f>VLOOKUP(D48,Product_Lookup!$A$2:$C$27,3,FALSE)</f>
        <v>$178.83</v>
      </c>
      <c r="J48" t="str">
        <f t="shared" si="3"/>
        <v>Saturday</v>
      </c>
      <c r="K48" s="10" t="str">
        <f t="shared" si="4"/>
        <v>November</v>
      </c>
      <c r="L48">
        <f t="shared" si="5"/>
        <v>2024</v>
      </c>
      <c r="M48" t="b">
        <f t="shared" si="6"/>
        <v>1</v>
      </c>
      <c r="N48" t="b">
        <f t="shared" si="0"/>
        <v>1</v>
      </c>
      <c r="O48" t="str">
        <f t="shared" si="7"/>
        <v>Large Order</v>
      </c>
      <c r="P48" s="7">
        <f t="shared" si="1"/>
        <v>8.9415000000000013</v>
      </c>
      <c r="Q48" s="7" t="str">
        <f>VLOOKUP(D49,Product_Lookup!$A$2:$C$27,2,FALSE)</f>
        <v>Headphones</v>
      </c>
      <c r="R48" s="7">
        <f t="shared" si="2"/>
        <v>2682.4500000000003</v>
      </c>
    </row>
    <row r="49" spans="1:18" ht="21.75" customHeight="1">
      <c r="A49" t="s">
        <v>127</v>
      </c>
      <c r="B49" s="6">
        <v>45427</v>
      </c>
      <c r="C49" t="s">
        <v>15</v>
      </c>
      <c r="D49" t="s">
        <v>16</v>
      </c>
      <c r="E49" t="s">
        <v>11</v>
      </c>
      <c r="F49" t="s">
        <v>12</v>
      </c>
      <c r="G49" t="s">
        <v>13</v>
      </c>
      <c r="H49">
        <v>5</v>
      </c>
      <c r="I49" t="str">
        <f>VLOOKUP(D49,Product_Lookup!$A$2:$C$27,3,FALSE)</f>
        <v>$178.83</v>
      </c>
      <c r="J49" t="str">
        <f t="shared" si="3"/>
        <v>Wednesday</v>
      </c>
      <c r="K49" s="10" t="str">
        <f t="shared" si="4"/>
        <v>May</v>
      </c>
      <c r="L49">
        <f t="shared" si="5"/>
        <v>2024</v>
      </c>
      <c r="M49" t="b">
        <f t="shared" si="6"/>
        <v>0</v>
      </c>
      <c r="N49" t="b">
        <f t="shared" si="0"/>
        <v>0</v>
      </c>
      <c r="O49" t="str">
        <f t="shared" si="7"/>
        <v>Large Order</v>
      </c>
      <c r="P49" s="7">
        <f t="shared" si="1"/>
        <v>8.9415000000000013</v>
      </c>
      <c r="Q49" s="7" t="str">
        <f>VLOOKUP(D50,Product_Lookup!$A$2:$C$27,2,FALSE)</f>
        <v>Air Fryer</v>
      </c>
      <c r="R49" s="7">
        <f t="shared" si="2"/>
        <v>894.15000000000009</v>
      </c>
    </row>
    <row r="50" spans="1:18" ht="21.75" customHeight="1">
      <c r="A50" t="s">
        <v>128</v>
      </c>
      <c r="B50" s="6">
        <v>45467</v>
      </c>
      <c r="C50" t="s">
        <v>64</v>
      </c>
      <c r="D50" t="s">
        <v>70</v>
      </c>
      <c r="E50" t="s">
        <v>17</v>
      </c>
      <c r="F50" t="s">
        <v>56</v>
      </c>
      <c r="G50" t="s">
        <v>32</v>
      </c>
      <c r="H50">
        <v>5</v>
      </c>
      <c r="I50" t="str">
        <f>VLOOKUP(D50,Product_Lookup!$A$2:$C$27,3,FALSE)</f>
        <v>$211.9</v>
      </c>
      <c r="J50" t="str">
        <f t="shared" si="3"/>
        <v>Monday</v>
      </c>
      <c r="K50" s="10" t="str">
        <f t="shared" si="4"/>
        <v>June</v>
      </c>
      <c r="L50">
        <f t="shared" si="5"/>
        <v>2024</v>
      </c>
      <c r="M50" t="b">
        <f t="shared" si="6"/>
        <v>0</v>
      </c>
      <c r="N50" t="b">
        <f t="shared" si="0"/>
        <v>0</v>
      </c>
      <c r="O50" t="str">
        <f t="shared" si="7"/>
        <v>Large Order</v>
      </c>
      <c r="P50" s="7">
        <f t="shared" si="1"/>
        <v>10.595000000000001</v>
      </c>
      <c r="Q50" s="7" t="str">
        <f>VLOOKUP(D51,Product_Lookup!$A$2:$C$27,2,FALSE)</f>
        <v>Blender</v>
      </c>
      <c r="R50" s="7">
        <f t="shared" si="2"/>
        <v>1059.5</v>
      </c>
    </row>
    <row r="51" spans="1:18" ht="21.75" customHeight="1">
      <c r="A51" t="s">
        <v>129</v>
      </c>
      <c r="B51" s="6">
        <v>45339</v>
      </c>
      <c r="C51" t="s">
        <v>38</v>
      </c>
      <c r="D51" t="s">
        <v>72</v>
      </c>
      <c r="E51" t="s">
        <v>11</v>
      </c>
      <c r="F51" t="s">
        <v>27</v>
      </c>
      <c r="G51" t="s">
        <v>32</v>
      </c>
      <c r="H51">
        <v>6</v>
      </c>
      <c r="I51" t="str">
        <f>VLOOKUP(D51,Product_Lookup!$A$2:$C$27,3,FALSE)</f>
        <v>$156.44</v>
      </c>
      <c r="J51" t="str">
        <f t="shared" si="3"/>
        <v>Saturday</v>
      </c>
      <c r="K51" s="10" t="str">
        <f t="shared" si="4"/>
        <v>February</v>
      </c>
      <c r="L51">
        <f t="shared" si="5"/>
        <v>2024</v>
      </c>
      <c r="M51" t="b">
        <f t="shared" si="6"/>
        <v>1</v>
      </c>
      <c r="N51" t="b">
        <f t="shared" si="0"/>
        <v>1</v>
      </c>
      <c r="O51" t="str">
        <f t="shared" si="7"/>
        <v>Large Order</v>
      </c>
      <c r="P51" s="7">
        <f t="shared" si="1"/>
        <v>7.8220000000000001</v>
      </c>
      <c r="Q51" s="7" t="str">
        <f>VLOOKUP(D52,Product_Lookup!$A$2:$C$27,2,FALSE)</f>
        <v>Paper Shredder</v>
      </c>
      <c r="R51" s="7">
        <f t="shared" si="2"/>
        <v>938.64</v>
      </c>
    </row>
    <row r="52" spans="1:18" ht="21.75" customHeight="1">
      <c r="A52" t="s">
        <v>130</v>
      </c>
      <c r="B52" s="6">
        <v>45426</v>
      </c>
      <c r="C52" t="s">
        <v>131</v>
      </c>
      <c r="D52" t="s">
        <v>109</v>
      </c>
      <c r="E52" t="s">
        <v>22</v>
      </c>
      <c r="F52" t="s">
        <v>56</v>
      </c>
      <c r="G52" t="s">
        <v>36</v>
      </c>
      <c r="H52">
        <v>7</v>
      </c>
      <c r="I52" t="str">
        <f>VLOOKUP(D52,Product_Lookup!$A$2:$C$27,3,FALSE)</f>
        <v>$81.02</v>
      </c>
      <c r="J52" t="str">
        <f t="shared" si="3"/>
        <v>Tuesday</v>
      </c>
      <c r="K52" s="10" t="str">
        <f t="shared" si="4"/>
        <v>May</v>
      </c>
      <c r="L52">
        <f t="shared" si="5"/>
        <v>2024</v>
      </c>
      <c r="M52" t="b">
        <f t="shared" si="6"/>
        <v>0</v>
      </c>
      <c r="N52" t="b">
        <f t="shared" si="0"/>
        <v>0</v>
      </c>
      <c r="O52" t="str">
        <f t="shared" si="7"/>
        <v>Large Order</v>
      </c>
      <c r="P52" s="7">
        <f t="shared" si="1"/>
        <v>4.0510000000000002</v>
      </c>
      <c r="Q52" s="7" t="str">
        <f>VLOOKUP(D53,Product_Lookup!$A$2:$C$27,2,FALSE)</f>
        <v>Action Figure</v>
      </c>
      <c r="R52" s="7">
        <f t="shared" si="2"/>
        <v>567.14</v>
      </c>
    </row>
    <row r="53" spans="1:18" ht="21.75" customHeight="1">
      <c r="A53" t="s">
        <v>132</v>
      </c>
      <c r="B53" s="6">
        <v>45330</v>
      </c>
      <c r="C53" t="s">
        <v>133</v>
      </c>
      <c r="D53" t="s">
        <v>21</v>
      </c>
      <c r="E53" t="s">
        <v>17</v>
      </c>
      <c r="F53" t="s">
        <v>56</v>
      </c>
      <c r="G53" t="s">
        <v>23</v>
      </c>
      <c r="H53">
        <v>10</v>
      </c>
      <c r="I53" t="str">
        <f>VLOOKUP(D53,Product_Lookup!$A$2:$C$27,3,FALSE)</f>
        <v>$88.18</v>
      </c>
      <c r="J53" t="str">
        <f t="shared" si="3"/>
        <v>Thursday</v>
      </c>
      <c r="K53" s="10" t="str">
        <f t="shared" si="4"/>
        <v>February</v>
      </c>
      <c r="L53">
        <f t="shared" si="5"/>
        <v>2024</v>
      </c>
      <c r="M53" t="b">
        <f t="shared" si="6"/>
        <v>0</v>
      </c>
      <c r="N53" t="b">
        <f t="shared" si="0"/>
        <v>1</v>
      </c>
      <c r="O53" t="str">
        <f t="shared" si="7"/>
        <v>Large Order</v>
      </c>
      <c r="P53" s="7">
        <f t="shared" si="1"/>
        <v>4.4090000000000007</v>
      </c>
      <c r="Q53" s="7" t="str">
        <f>VLOOKUP(D54,Product_Lookup!$A$2:$C$27,2,FALSE)</f>
        <v>Coffee Maker</v>
      </c>
      <c r="R53" s="7">
        <f t="shared" si="2"/>
        <v>881.80000000000007</v>
      </c>
    </row>
    <row r="54" spans="1:18" ht="21.75" customHeight="1">
      <c r="A54" t="s">
        <v>134</v>
      </c>
      <c r="B54" s="6">
        <v>45357</v>
      </c>
      <c r="C54" t="s">
        <v>47</v>
      </c>
      <c r="D54" t="s">
        <v>31</v>
      </c>
      <c r="E54" t="s">
        <v>11</v>
      </c>
      <c r="F54" t="s">
        <v>12</v>
      </c>
      <c r="G54" t="s">
        <v>32</v>
      </c>
      <c r="H54">
        <v>15</v>
      </c>
      <c r="I54" t="str">
        <f>VLOOKUP(D54,Product_Lookup!$A$2:$C$27,3,FALSE)</f>
        <v>$230.34</v>
      </c>
      <c r="J54" t="str">
        <f t="shared" si="3"/>
        <v>Wednesday</v>
      </c>
      <c r="K54" s="10" t="str">
        <f t="shared" si="4"/>
        <v>March</v>
      </c>
      <c r="L54">
        <f t="shared" si="5"/>
        <v>2024</v>
      </c>
      <c r="M54" t="b">
        <f t="shared" si="6"/>
        <v>0</v>
      </c>
      <c r="N54" t="b">
        <f t="shared" si="0"/>
        <v>1</v>
      </c>
      <c r="O54" t="str">
        <f t="shared" si="7"/>
        <v>Large Order</v>
      </c>
      <c r="P54" s="7">
        <f t="shared" si="1"/>
        <v>11.517000000000001</v>
      </c>
      <c r="Q54" s="7" t="str">
        <f>VLOOKUP(D55,Product_Lookup!$A$2:$C$27,2,FALSE)</f>
        <v>Air Fryer</v>
      </c>
      <c r="R54" s="7">
        <f t="shared" si="2"/>
        <v>3455.1</v>
      </c>
    </row>
    <row r="55" spans="1:18" ht="21.75" customHeight="1">
      <c r="A55" t="s">
        <v>135</v>
      </c>
      <c r="B55" s="6">
        <v>45419</v>
      </c>
      <c r="C55" t="s">
        <v>114</v>
      </c>
      <c r="D55" t="s">
        <v>70</v>
      </c>
      <c r="E55" t="s">
        <v>17</v>
      </c>
      <c r="F55" t="s">
        <v>12</v>
      </c>
      <c r="G55" t="s">
        <v>32</v>
      </c>
      <c r="H55">
        <v>10</v>
      </c>
      <c r="I55" t="str">
        <f>VLOOKUP(D55,Product_Lookup!$A$2:$C$27,3,FALSE)</f>
        <v>$211.9</v>
      </c>
      <c r="J55" t="str">
        <f t="shared" si="3"/>
        <v>Tuesday</v>
      </c>
      <c r="K55" s="10" t="str">
        <f t="shared" si="4"/>
        <v>May</v>
      </c>
      <c r="L55">
        <f t="shared" si="5"/>
        <v>2024</v>
      </c>
      <c r="M55" t="b">
        <f t="shared" si="6"/>
        <v>0</v>
      </c>
      <c r="N55" t="b">
        <f t="shared" si="0"/>
        <v>1</v>
      </c>
      <c r="O55" t="str">
        <f t="shared" si="7"/>
        <v>Large Order</v>
      </c>
      <c r="P55" s="7">
        <f t="shared" si="1"/>
        <v>10.595000000000001</v>
      </c>
      <c r="Q55" s="7" t="str">
        <f>VLOOKUP(D56,Product_Lookup!$A$2:$C$27,2,FALSE)</f>
        <v>Stapler</v>
      </c>
      <c r="R55" s="7">
        <f t="shared" si="2"/>
        <v>2119</v>
      </c>
    </row>
    <row r="56" spans="1:18" ht="21.75" customHeight="1">
      <c r="A56" t="s">
        <v>136</v>
      </c>
      <c r="B56" s="6">
        <v>45375</v>
      </c>
      <c r="C56" t="s">
        <v>106</v>
      </c>
      <c r="D56" t="s">
        <v>35</v>
      </c>
      <c r="E56" t="s">
        <v>11</v>
      </c>
      <c r="F56" t="s">
        <v>56</v>
      </c>
      <c r="G56" t="s">
        <v>36</v>
      </c>
      <c r="H56">
        <v>12</v>
      </c>
      <c r="I56" t="str">
        <f>VLOOKUP(D56,Product_Lookup!$A$2:$C$27,3,FALSE)</f>
        <v>$64.61</v>
      </c>
      <c r="J56" t="str">
        <f t="shared" si="3"/>
        <v>Sunday</v>
      </c>
      <c r="K56" s="10" t="str">
        <f t="shared" si="4"/>
        <v>March</v>
      </c>
      <c r="L56">
        <f t="shared" si="5"/>
        <v>2024</v>
      </c>
      <c r="M56" t="b">
        <f t="shared" si="6"/>
        <v>1</v>
      </c>
      <c r="N56" t="b">
        <f t="shared" si="0"/>
        <v>1</v>
      </c>
      <c r="O56" t="str">
        <f t="shared" si="7"/>
        <v>Large Order</v>
      </c>
      <c r="P56" s="7">
        <f t="shared" si="1"/>
        <v>3.2305000000000001</v>
      </c>
      <c r="Q56" s="7" t="str">
        <f>VLOOKUP(D57,Product_Lookup!$A$2:$C$27,2,FALSE)</f>
        <v>Toaster</v>
      </c>
      <c r="R56" s="7">
        <f t="shared" si="2"/>
        <v>775.31999999999994</v>
      </c>
    </row>
    <row r="57" spans="1:18" ht="21.75" customHeight="1">
      <c r="A57" t="s">
        <v>137</v>
      </c>
      <c r="B57" s="6">
        <v>45502</v>
      </c>
      <c r="C57" t="s">
        <v>138</v>
      </c>
      <c r="D57" t="s">
        <v>48</v>
      </c>
      <c r="E57" t="s">
        <v>3656</v>
      </c>
      <c r="F57" t="s">
        <v>56</v>
      </c>
      <c r="G57" t="s">
        <v>32</v>
      </c>
      <c r="H57">
        <v>2</v>
      </c>
      <c r="I57" t="str">
        <f>VLOOKUP(D57,Product_Lookup!$A$2:$C$27,3,FALSE)</f>
        <v>$208.85</v>
      </c>
      <c r="J57" t="str">
        <f t="shared" si="3"/>
        <v>Monday</v>
      </c>
      <c r="K57" s="10" t="str">
        <f t="shared" si="4"/>
        <v>July</v>
      </c>
      <c r="L57">
        <f t="shared" si="5"/>
        <v>2024</v>
      </c>
      <c r="M57" t="b">
        <f t="shared" si="6"/>
        <v>0</v>
      </c>
      <c r="N57" t="b">
        <f t="shared" si="0"/>
        <v>0</v>
      </c>
      <c r="O57" t="str">
        <f t="shared" si="7"/>
        <v>Standard order</v>
      </c>
      <c r="P57" s="7">
        <f t="shared" si="1"/>
        <v>10.442500000000001</v>
      </c>
      <c r="Q57" s="7" t="str">
        <f>VLOOKUP(D58,Product_Lookup!$A$2:$C$27,2,FALSE)</f>
        <v>Sweater</v>
      </c>
      <c r="R57" s="7">
        <f t="shared" si="2"/>
        <v>417.7</v>
      </c>
    </row>
    <row r="58" spans="1:18" ht="21.75" customHeight="1">
      <c r="A58" t="s">
        <v>139</v>
      </c>
      <c r="B58" s="6">
        <v>45532</v>
      </c>
      <c r="C58" t="s">
        <v>40</v>
      </c>
      <c r="D58" t="s">
        <v>26</v>
      </c>
      <c r="E58" t="s">
        <v>3656</v>
      </c>
      <c r="F58" t="s">
        <v>56</v>
      </c>
      <c r="G58" t="s">
        <v>28</v>
      </c>
      <c r="H58">
        <v>5</v>
      </c>
      <c r="I58" t="str">
        <f>VLOOKUP(D58,Product_Lookup!$A$2:$C$27,3,FALSE)</f>
        <v>$84.57</v>
      </c>
      <c r="J58" t="str">
        <f t="shared" si="3"/>
        <v>Wednesday</v>
      </c>
      <c r="K58" s="10" t="str">
        <f t="shared" si="4"/>
        <v>August</v>
      </c>
      <c r="L58">
        <f t="shared" si="5"/>
        <v>2024</v>
      </c>
      <c r="M58" t="b">
        <f t="shared" si="6"/>
        <v>0</v>
      </c>
      <c r="N58" t="b">
        <f t="shared" si="0"/>
        <v>0</v>
      </c>
      <c r="O58" t="str">
        <f t="shared" si="7"/>
        <v>Standard order</v>
      </c>
      <c r="P58" s="7">
        <f t="shared" si="1"/>
        <v>4.2284999999999995</v>
      </c>
      <c r="Q58" s="7" t="str">
        <f>VLOOKUP(D59,Product_Lookup!$A$2:$C$27,2,FALSE)</f>
        <v>Sweater</v>
      </c>
      <c r="R58" s="7">
        <f t="shared" si="2"/>
        <v>422.84999999999997</v>
      </c>
    </row>
    <row r="59" spans="1:18" ht="21.75" customHeight="1">
      <c r="A59" t="s">
        <v>140</v>
      </c>
      <c r="B59" s="6">
        <v>45406</v>
      </c>
      <c r="C59" t="s">
        <v>53</v>
      </c>
      <c r="D59" t="s">
        <v>26</v>
      </c>
      <c r="E59" t="s">
        <v>17</v>
      </c>
      <c r="F59" t="s">
        <v>12</v>
      </c>
      <c r="G59" t="s">
        <v>28</v>
      </c>
      <c r="H59">
        <v>5</v>
      </c>
      <c r="I59" t="str">
        <f>VLOOKUP(D59,Product_Lookup!$A$2:$C$27,3,FALSE)</f>
        <v>$84.57</v>
      </c>
      <c r="J59" t="str">
        <f t="shared" si="3"/>
        <v>Wednesday</v>
      </c>
      <c r="K59" s="10" t="str">
        <f t="shared" si="4"/>
        <v>April</v>
      </c>
      <c r="L59">
        <f t="shared" si="5"/>
        <v>2024</v>
      </c>
      <c r="M59" t="b">
        <f t="shared" si="6"/>
        <v>0</v>
      </c>
      <c r="N59" t="b">
        <f t="shared" si="0"/>
        <v>0</v>
      </c>
      <c r="O59" t="str">
        <f t="shared" si="7"/>
        <v>Standard order</v>
      </c>
      <c r="P59" s="7">
        <f t="shared" si="1"/>
        <v>4.2284999999999995</v>
      </c>
      <c r="Q59" s="7" t="str">
        <f>VLOOKUP(D60,Product_Lookup!$A$2:$C$27,2,FALSE)</f>
        <v>Lego Set</v>
      </c>
      <c r="R59" s="7">
        <f t="shared" si="2"/>
        <v>422.84999999999997</v>
      </c>
    </row>
    <row r="60" spans="1:18" ht="21.75" customHeight="1">
      <c r="A60" t="s">
        <v>141</v>
      </c>
      <c r="B60" s="6">
        <v>45434</v>
      </c>
      <c r="C60" t="s">
        <v>142</v>
      </c>
      <c r="D60" t="s">
        <v>84</v>
      </c>
      <c r="E60" t="s">
        <v>22</v>
      </c>
      <c r="F60" t="s">
        <v>42</v>
      </c>
      <c r="G60" t="s">
        <v>23</v>
      </c>
      <c r="H60">
        <v>14</v>
      </c>
      <c r="I60" t="str">
        <f>VLOOKUP(D60,Product_Lookup!$A$2:$C$27,3,FALSE)</f>
        <v>$130.07</v>
      </c>
      <c r="J60" t="str">
        <f t="shared" si="3"/>
        <v>Wednesday</v>
      </c>
      <c r="K60" s="10" t="str">
        <f t="shared" si="4"/>
        <v>May</v>
      </c>
      <c r="L60">
        <f t="shared" si="5"/>
        <v>2024</v>
      </c>
      <c r="M60" t="b">
        <f t="shared" si="6"/>
        <v>0</v>
      </c>
      <c r="N60" t="b">
        <f t="shared" si="0"/>
        <v>1</v>
      </c>
      <c r="O60" t="str">
        <f t="shared" si="7"/>
        <v>Large Order</v>
      </c>
      <c r="P60" s="7">
        <f t="shared" si="1"/>
        <v>6.5034999999999998</v>
      </c>
      <c r="Q60" s="7" t="str">
        <f>VLOOKUP(D61,Product_Lookup!$A$2:$C$27,2,FALSE)</f>
        <v>Socks</v>
      </c>
      <c r="R60" s="7">
        <f t="shared" si="2"/>
        <v>1820.98</v>
      </c>
    </row>
    <row r="61" spans="1:18" ht="21.75" customHeight="1">
      <c r="A61" t="s">
        <v>143</v>
      </c>
      <c r="B61" s="6">
        <v>45351</v>
      </c>
      <c r="C61" t="s">
        <v>133</v>
      </c>
      <c r="D61" t="s">
        <v>74</v>
      </c>
      <c r="E61" t="s">
        <v>17</v>
      </c>
      <c r="F61" t="s">
        <v>42</v>
      </c>
      <c r="G61" t="s">
        <v>28</v>
      </c>
      <c r="H61">
        <v>1</v>
      </c>
      <c r="I61" t="str">
        <f>VLOOKUP(D61,Product_Lookup!$A$2:$C$27,3,FALSE)</f>
        <v>$201.32</v>
      </c>
      <c r="J61" t="str">
        <f t="shared" si="3"/>
        <v>Thursday</v>
      </c>
      <c r="K61" s="10" t="str">
        <f t="shared" si="4"/>
        <v>February</v>
      </c>
      <c r="L61">
        <f t="shared" si="5"/>
        <v>2024</v>
      </c>
      <c r="M61" t="b">
        <f t="shared" si="6"/>
        <v>0</v>
      </c>
      <c r="N61" t="b">
        <f t="shared" si="0"/>
        <v>0</v>
      </c>
      <c r="O61" t="str">
        <f t="shared" si="7"/>
        <v>Standard order</v>
      </c>
      <c r="P61" s="7">
        <f t="shared" si="1"/>
        <v>10.066000000000001</v>
      </c>
      <c r="Q61" s="7" t="str">
        <f>VLOOKUP(D62,Product_Lookup!$A$2:$C$27,2,FALSE)</f>
        <v>Paper Shredder</v>
      </c>
      <c r="R61" s="7">
        <f t="shared" si="2"/>
        <v>201.32</v>
      </c>
    </row>
    <row r="62" spans="1:18" ht="21.75" customHeight="1">
      <c r="A62" t="s">
        <v>144</v>
      </c>
      <c r="B62" s="6">
        <v>45468</v>
      </c>
      <c r="C62" t="s">
        <v>55</v>
      </c>
      <c r="D62" t="s">
        <v>109</v>
      </c>
      <c r="E62" t="s">
        <v>22</v>
      </c>
      <c r="F62" t="s">
        <v>42</v>
      </c>
      <c r="G62" t="s">
        <v>36</v>
      </c>
      <c r="H62">
        <v>2</v>
      </c>
      <c r="I62" t="str">
        <f>VLOOKUP(D62,Product_Lookup!$A$2:$C$27,3,FALSE)</f>
        <v>$81.02</v>
      </c>
      <c r="J62" t="str">
        <f t="shared" si="3"/>
        <v>Tuesday</v>
      </c>
      <c r="K62" s="10" t="str">
        <f t="shared" si="4"/>
        <v>June</v>
      </c>
      <c r="L62">
        <f t="shared" si="5"/>
        <v>2024</v>
      </c>
      <c r="M62" t="b">
        <f t="shared" si="6"/>
        <v>0</v>
      </c>
      <c r="N62" t="b">
        <f t="shared" si="0"/>
        <v>0</v>
      </c>
      <c r="O62" t="str">
        <f t="shared" si="7"/>
        <v>Standard order</v>
      </c>
      <c r="P62" s="7">
        <f t="shared" si="1"/>
        <v>4.0510000000000002</v>
      </c>
      <c r="Q62" s="7" t="str">
        <f>VLOOKUP(D63,Product_Lookup!$A$2:$C$27,2,FALSE)</f>
        <v>Monitor</v>
      </c>
      <c r="R62" s="7">
        <f t="shared" si="2"/>
        <v>162.04</v>
      </c>
    </row>
    <row r="63" spans="1:18" ht="21.75" customHeight="1">
      <c r="A63" t="s">
        <v>145</v>
      </c>
      <c r="B63" s="6">
        <v>45389</v>
      </c>
      <c r="C63" t="s">
        <v>101</v>
      </c>
      <c r="D63" t="s">
        <v>102</v>
      </c>
      <c r="E63" t="s">
        <v>3656</v>
      </c>
      <c r="F63" t="s">
        <v>42</v>
      </c>
      <c r="G63" t="s">
        <v>13</v>
      </c>
      <c r="H63">
        <v>9</v>
      </c>
      <c r="I63" t="str">
        <f>VLOOKUP(D63,Product_Lookup!$A$2:$C$27,3,FALSE)</f>
        <v>$145.48</v>
      </c>
      <c r="J63" t="str">
        <f t="shared" si="3"/>
        <v>Sunday</v>
      </c>
      <c r="K63" s="10" t="str">
        <f t="shared" si="4"/>
        <v>April</v>
      </c>
      <c r="L63">
        <f t="shared" si="5"/>
        <v>2024</v>
      </c>
      <c r="M63" t="b">
        <f t="shared" si="6"/>
        <v>1</v>
      </c>
      <c r="N63" t="b">
        <f t="shared" si="0"/>
        <v>1</v>
      </c>
      <c r="O63" t="str">
        <f t="shared" si="7"/>
        <v>Large Order</v>
      </c>
      <c r="P63" s="7">
        <f t="shared" si="1"/>
        <v>7.274</v>
      </c>
      <c r="Q63" s="7" t="str">
        <f>VLOOKUP(D64,Product_Lookup!$A$2:$C$27,2,FALSE)</f>
        <v>Vacuum</v>
      </c>
      <c r="R63" s="7">
        <f t="shared" si="2"/>
        <v>1309.32</v>
      </c>
    </row>
    <row r="64" spans="1:18" ht="21.75" customHeight="1">
      <c r="A64" t="s">
        <v>146</v>
      </c>
      <c r="B64" s="6">
        <v>45643</v>
      </c>
      <c r="C64" t="s">
        <v>147</v>
      </c>
      <c r="D64" t="s">
        <v>87</v>
      </c>
      <c r="E64" t="s">
        <v>11</v>
      </c>
      <c r="F64" t="s">
        <v>56</v>
      </c>
      <c r="G64" t="s">
        <v>32</v>
      </c>
      <c r="H64">
        <v>11</v>
      </c>
      <c r="I64" t="str">
        <f>VLOOKUP(D64,Product_Lookup!$A$2:$C$27,3,FALSE)</f>
        <v>$26.59</v>
      </c>
      <c r="J64" t="str">
        <f t="shared" si="3"/>
        <v>Tuesday</v>
      </c>
      <c r="K64" s="10" t="str">
        <f t="shared" si="4"/>
        <v>December</v>
      </c>
      <c r="L64">
        <f t="shared" si="5"/>
        <v>2024</v>
      </c>
      <c r="M64" t="b">
        <f t="shared" si="6"/>
        <v>0</v>
      </c>
      <c r="N64" t="b">
        <f t="shared" si="0"/>
        <v>0</v>
      </c>
      <c r="O64" t="str">
        <f t="shared" si="7"/>
        <v>Standard order</v>
      </c>
      <c r="P64" s="7">
        <f t="shared" si="1"/>
        <v>1.3295000000000001</v>
      </c>
      <c r="Q64" s="7" t="str">
        <f>VLOOKUP(D65,Product_Lookup!$A$2:$C$27,2,FALSE)</f>
        <v>Air Fryer</v>
      </c>
      <c r="R64" s="7">
        <f t="shared" si="2"/>
        <v>292.49</v>
      </c>
    </row>
    <row r="65" spans="1:18" ht="21.75" customHeight="1">
      <c r="A65" t="s">
        <v>148</v>
      </c>
      <c r="B65" s="6">
        <v>45452</v>
      </c>
      <c r="C65" t="s">
        <v>104</v>
      </c>
      <c r="D65" t="s">
        <v>70</v>
      </c>
      <c r="E65" t="s">
        <v>17</v>
      </c>
      <c r="F65" t="s">
        <v>12</v>
      </c>
      <c r="G65" t="s">
        <v>32</v>
      </c>
      <c r="H65">
        <v>11</v>
      </c>
      <c r="I65" t="str">
        <f>VLOOKUP(D65,Product_Lookup!$A$2:$C$27,3,FALSE)</f>
        <v>$211.9</v>
      </c>
      <c r="J65" t="str">
        <f t="shared" si="3"/>
        <v>Sunday</v>
      </c>
      <c r="K65" s="10" t="str">
        <f t="shared" si="4"/>
        <v>June</v>
      </c>
      <c r="L65">
        <f t="shared" si="5"/>
        <v>2024</v>
      </c>
      <c r="M65" t="b">
        <f t="shared" si="6"/>
        <v>1</v>
      </c>
      <c r="N65" t="b">
        <f t="shared" si="0"/>
        <v>1</v>
      </c>
      <c r="O65" t="str">
        <f t="shared" si="7"/>
        <v>Large Order</v>
      </c>
      <c r="P65" s="7">
        <f t="shared" si="1"/>
        <v>10.595000000000001</v>
      </c>
      <c r="Q65" s="7" t="str">
        <f>VLOOKUP(D66,Product_Lookup!$A$2:$C$27,2,FALSE)</f>
        <v>Board Game</v>
      </c>
      <c r="R65" s="7">
        <f t="shared" si="2"/>
        <v>2330.9</v>
      </c>
    </row>
    <row r="66" spans="1:18" ht="21.75" customHeight="1">
      <c r="A66" t="s">
        <v>149</v>
      </c>
      <c r="B66" s="6">
        <v>45648</v>
      </c>
      <c r="C66" t="s">
        <v>150</v>
      </c>
      <c r="D66" t="s">
        <v>41</v>
      </c>
      <c r="E66" t="s">
        <v>11</v>
      </c>
      <c r="F66" t="s">
        <v>42</v>
      </c>
      <c r="G66" t="s">
        <v>23</v>
      </c>
      <c r="H66">
        <v>7</v>
      </c>
      <c r="I66" t="str">
        <f>VLOOKUP(D66,Product_Lookup!$A$2:$C$27,3,FALSE)</f>
        <v>$86.6</v>
      </c>
      <c r="J66" t="str">
        <f t="shared" si="3"/>
        <v>Sunday</v>
      </c>
      <c r="K66" s="10" t="str">
        <f t="shared" si="4"/>
        <v>December</v>
      </c>
      <c r="L66">
        <f t="shared" si="5"/>
        <v>2024</v>
      </c>
      <c r="M66" t="b">
        <f t="shared" si="6"/>
        <v>1</v>
      </c>
      <c r="N66" t="b">
        <f t="shared" ref="N66:N129" si="8">AND(R66&gt;750, H66&gt;5)</f>
        <v>0</v>
      </c>
      <c r="O66" t="str">
        <f t="shared" si="7"/>
        <v>Large Order</v>
      </c>
      <c r="P66" s="7">
        <f t="shared" ref="P66:P129" si="9">I66*$S$2</f>
        <v>4.33</v>
      </c>
      <c r="Q66" s="7" t="str">
        <f>VLOOKUP(D67,Product_Lookup!$A$2:$C$27,2,FALSE)</f>
        <v>Doll</v>
      </c>
      <c r="R66" s="7">
        <f t="shared" ref="R66:R129" si="10">H66*I66</f>
        <v>606.19999999999993</v>
      </c>
    </row>
    <row r="67" spans="1:18" ht="21.75" customHeight="1">
      <c r="A67" t="s">
        <v>151</v>
      </c>
      <c r="B67" s="6">
        <v>45638</v>
      </c>
      <c r="C67" t="s">
        <v>25</v>
      </c>
      <c r="D67" t="s">
        <v>119</v>
      </c>
      <c r="E67" t="s">
        <v>17</v>
      </c>
      <c r="F67" t="s">
        <v>56</v>
      </c>
      <c r="G67" t="s">
        <v>23</v>
      </c>
      <c r="H67">
        <v>7</v>
      </c>
      <c r="I67" t="str">
        <f>VLOOKUP(D67,Product_Lookup!$A$2:$C$27,3,FALSE)</f>
        <v>$32.94</v>
      </c>
      <c r="J67" t="str">
        <f t="shared" ref="J67:J130" si="11">TEXT(B67, "dddd")</f>
        <v>Thursday</v>
      </c>
      <c r="K67" s="10" t="str">
        <f t="shared" ref="K67:K130" si="12">TEXT(B67, "mmmm")</f>
        <v>December</v>
      </c>
      <c r="L67">
        <f t="shared" ref="L67:L130" si="13">YEAR(B67)</f>
        <v>2024</v>
      </c>
      <c r="M67" t="b">
        <f t="shared" ref="M67:M130" si="14">OR(J67="Saturday", J67="Sunday")</f>
        <v>0</v>
      </c>
      <c r="N67" t="b">
        <f t="shared" si="8"/>
        <v>0</v>
      </c>
      <c r="O67" t="str">
        <f t="shared" ref="O67:O130" si="15">IF(R67&gt;500,"Large Order","Standard order")</f>
        <v>Standard order</v>
      </c>
      <c r="P67" s="7">
        <f t="shared" si="9"/>
        <v>1.647</v>
      </c>
      <c r="Q67" s="7" t="str">
        <f>VLOOKUP(D68,Product_Lookup!$A$2:$C$27,2,FALSE)</f>
        <v>Sweater</v>
      </c>
      <c r="R67" s="7">
        <f t="shared" si="10"/>
        <v>230.57999999999998</v>
      </c>
    </row>
    <row r="68" spans="1:18" ht="21.75" customHeight="1">
      <c r="A68" t="s">
        <v>153</v>
      </c>
      <c r="B68" s="6">
        <v>45447</v>
      </c>
      <c r="C68" t="s">
        <v>51</v>
      </c>
      <c r="D68" t="s">
        <v>26</v>
      </c>
      <c r="E68" t="s">
        <v>22</v>
      </c>
      <c r="F68" t="s">
        <v>42</v>
      </c>
      <c r="G68" t="s">
        <v>28</v>
      </c>
      <c r="H68">
        <v>10</v>
      </c>
      <c r="I68" t="str">
        <f>VLOOKUP(D68,Product_Lookup!$A$2:$C$27,3,FALSE)</f>
        <v>$84.57</v>
      </c>
      <c r="J68" t="str">
        <f t="shared" si="11"/>
        <v>Tuesday</v>
      </c>
      <c r="K68" s="10" t="str">
        <f t="shared" si="12"/>
        <v>June</v>
      </c>
      <c r="L68">
        <f t="shared" si="13"/>
        <v>2024</v>
      </c>
      <c r="M68" t="b">
        <f t="shared" si="14"/>
        <v>0</v>
      </c>
      <c r="N68" t="b">
        <f t="shared" si="8"/>
        <v>1</v>
      </c>
      <c r="O68" t="str">
        <f t="shared" si="15"/>
        <v>Large Order</v>
      </c>
      <c r="P68" s="7">
        <f t="shared" si="9"/>
        <v>4.2284999999999995</v>
      </c>
      <c r="Q68" s="7" t="str">
        <f>VLOOKUP(D69,Product_Lookup!$A$2:$C$27,2,FALSE)</f>
        <v>Socks</v>
      </c>
      <c r="R68" s="7">
        <f t="shared" si="10"/>
        <v>845.69999999999993</v>
      </c>
    </row>
    <row r="69" spans="1:18" ht="21.75" customHeight="1">
      <c r="A69" t="s">
        <v>154</v>
      </c>
      <c r="B69" s="6">
        <v>45518</v>
      </c>
      <c r="C69" t="s">
        <v>106</v>
      </c>
      <c r="D69" t="s">
        <v>74</v>
      </c>
      <c r="E69" t="s">
        <v>17</v>
      </c>
      <c r="F69" t="s">
        <v>27</v>
      </c>
      <c r="G69" t="s">
        <v>28</v>
      </c>
      <c r="H69">
        <v>13</v>
      </c>
      <c r="I69" t="str">
        <f>VLOOKUP(D69,Product_Lookup!$A$2:$C$27,3,FALSE)</f>
        <v>$201.32</v>
      </c>
      <c r="J69" t="str">
        <f t="shared" si="11"/>
        <v>Wednesday</v>
      </c>
      <c r="K69" s="10" t="str">
        <f t="shared" si="12"/>
        <v>August</v>
      </c>
      <c r="L69">
        <f t="shared" si="13"/>
        <v>2024</v>
      </c>
      <c r="M69" t="b">
        <f t="shared" si="14"/>
        <v>0</v>
      </c>
      <c r="N69" t="b">
        <f t="shared" si="8"/>
        <v>1</v>
      </c>
      <c r="O69" t="str">
        <f t="shared" si="15"/>
        <v>Large Order</v>
      </c>
      <c r="P69" s="7">
        <f t="shared" si="9"/>
        <v>10.066000000000001</v>
      </c>
      <c r="Q69" s="7" t="str">
        <f>VLOOKUP(D70,Product_Lookup!$A$2:$C$27,2,FALSE)</f>
        <v>Air Fryer</v>
      </c>
      <c r="R69" s="7">
        <f t="shared" si="10"/>
        <v>2617.16</v>
      </c>
    </row>
    <row r="70" spans="1:18" ht="21.75" customHeight="1">
      <c r="A70" t="s">
        <v>155</v>
      </c>
      <c r="B70" s="6">
        <v>45378</v>
      </c>
      <c r="C70" t="s">
        <v>116</v>
      </c>
      <c r="D70" t="s">
        <v>70</v>
      </c>
      <c r="E70" t="s">
        <v>22</v>
      </c>
      <c r="F70" t="s">
        <v>12</v>
      </c>
      <c r="G70" t="s">
        <v>32</v>
      </c>
      <c r="H70">
        <v>11</v>
      </c>
      <c r="I70" t="str">
        <f>VLOOKUP(D70,Product_Lookup!$A$2:$C$27,3,FALSE)</f>
        <v>$211.9</v>
      </c>
      <c r="J70" t="str">
        <f t="shared" si="11"/>
        <v>Wednesday</v>
      </c>
      <c r="K70" s="10" t="str">
        <f t="shared" si="12"/>
        <v>March</v>
      </c>
      <c r="L70">
        <f t="shared" si="13"/>
        <v>2024</v>
      </c>
      <c r="M70" t="b">
        <f t="shared" si="14"/>
        <v>0</v>
      </c>
      <c r="N70" t="b">
        <f t="shared" si="8"/>
        <v>1</v>
      </c>
      <c r="O70" t="str">
        <f t="shared" si="15"/>
        <v>Large Order</v>
      </c>
      <c r="P70" s="7">
        <f t="shared" si="9"/>
        <v>10.595000000000001</v>
      </c>
      <c r="Q70" s="7" t="str">
        <f>VLOOKUP(D71,Product_Lookup!$A$2:$C$27,2,FALSE)</f>
        <v>Jeans</v>
      </c>
      <c r="R70" s="7">
        <f t="shared" si="10"/>
        <v>2330.9</v>
      </c>
    </row>
    <row r="71" spans="1:18" ht="21.75" customHeight="1">
      <c r="A71" t="s">
        <v>156</v>
      </c>
      <c r="B71" s="6">
        <v>45412</v>
      </c>
      <c r="C71" t="s">
        <v>93</v>
      </c>
      <c r="D71" t="s">
        <v>65</v>
      </c>
      <c r="E71" t="s">
        <v>11</v>
      </c>
      <c r="F71" t="s">
        <v>42</v>
      </c>
      <c r="G71" t="s">
        <v>28</v>
      </c>
      <c r="H71">
        <v>1</v>
      </c>
      <c r="I71" t="str">
        <f>VLOOKUP(D71,Product_Lookup!$A$2:$C$27,3,FALSE)</f>
        <v>$33.22</v>
      </c>
      <c r="J71" t="str">
        <f t="shared" si="11"/>
        <v>Tuesday</v>
      </c>
      <c r="K71" s="10" t="str">
        <f t="shared" si="12"/>
        <v>April</v>
      </c>
      <c r="L71">
        <f t="shared" si="13"/>
        <v>2024</v>
      </c>
      <c r="M71" t="b">
        <f t="shared" si="14"/>
        <v>0</v>
      </c>
      <c r="N71" t="b">
        <f t="shared" si="8"/>
        <v>0</v>
      </c>
      <c r="O71" t="str">
        <f t="shared" si="15"/>
        <v>Standard order</v>
      </c>
      <c r="P71" s="7">
        <f t="shared" si="9"/>
        <v>1.661</v>
      </c>
      <c r="Q71" s="7" t="str">
        <f>VLOOKUP(D72,Product_Lookup!$A$2:$C$27,2,FALSE)</f>
        <v>Desk Lamp</v>
      </c>
      <c r="R71" s="7">
        <f t="shared" si="10"/>
        <v>33.22</v>
      </c>
    </row>
    <row r="72" spans="1:18" ht="21.75" customHeight="1">
      <c r="A72" t="s">
        <v>157</v>
      </c>
      <c r="B72" s="6">
        <v>45604</v>
      </c>
      <c r="C72" t="s">
        <v>20</v>
      </c>
      <c r="D72" t="s">
        <v>59</v>
      </c>
      <c r="E72" t="s">
        <v>22</v>
      </c>
      <c r="F72" t="s">
        <v>12</v>
      </c>
      <c r="G72" t="s">
        <v>36</v>
      </c>
      <c r="H72">
        <v>10</v>
      </c>
      <c r="I72" t="str">
        <f>VLOOKUP(D72,Product_Lookup!$A$2:$C$27,3,FALSE)</f>
        <v>$101.96</v>
      </c>
      <c r="J72" t="str">
        <f t="shared" si="11"/>
        <v>Friday</v>
      </c>
      <c r="K72" s="10" t="str">
        <f t="shared" si="12"/>
        <v>November</v>
      </c>
      <c r="L72">
        <f t="shared" si="13"/>
        <v>2024</v>
      </c>
      <c r="M72" t="b">
        <f t="shared" si="14"/>
        <v>0</v>
      </c>
      <c r="N72" t="b">
        <f t="shared" si="8"/>
        <v>1</v>
      </c>
      <c r="O72" t="str">
        <f t="shared" si="15"/>
        <v>Large Order</v>
      </c>
      <c r="P72" s="7">
        <f t="shared" si="9"/>
        <v>5.0979999999999999</v>
      </c>
      <c r="Q72" s="7" t="str">
        <f>VLOOKUP(D73,Product_Lookup!$A$2:$C$27,2,FALSE)</f>
        <v>Notebook</v>
      </c>
      <c r="R72" s="7">
        <f t="shared" si="10"/>
        <v>1019.5999999999999</v>
      </c>
    </row>
    <row r="73" spans="1:18" ht="21.75" customHeight="1">
      <c r="A73" t="s">
        <v>158</v>
      </c>
      <c r="B73" s="6">
        <v>45488</v>
      </c>
      <c r="C73" t="s">
        <v>159</v>
      </c>
      <c r="D73" t="s">
        <v>160</v>
      </c>
      <c r="E73" t="s">
        <v>11</v>
      </c>
      <c r="F73" t="s">
        <v>27</v>
      </c>
      <c r="G73" t="s">
        <v>36</v>
      </c>
      <c r="H73">
        <v>11</v>
      </c>
      <c r="I73" t="str">
        <f>VLOOKUP(D73,Product_Lookup!$A$2:$C$27,3,FALSE)</f>
        <v>$149.27</v>
      </c>
      <c r="J73" t="str">
        <f t="shared" si="11"/>
        <v>Monday</v>
      </c>
      <c r="K73" s="10" t="str">
        <f t="shared" si="12"/>
        <v>July</v>
      </c>
      <c r="L73">
        <f t="shared" si="13"/>
        <v>2024</v>
      </c>
      <c r="M73" t="b">
        <f t="shared" si="14"/>
        <v>0</v>
      </c>
      <c r="N73" t="b">
        <f t="shared" si="8"/>
        <v>1</v>
      </c>
      <c r="O73" t="str">
        <f t="shared" si="15"/>
        <v>Large Order</v>
      </c>
      <c r="P73" s="7">
        <f t="shared" si="9"/>
        <v>7.4635000000000007</v>
      </c>
      <c r="Q73" s="7" t="str">
        <f>VLOOKUP(D74,Product_Lookup!$A$2:$C$27,2,FALSE)</f>
        <v>Jeans</v>
      </c>
      <c r="R73" s="7">
        <f t="shared" si="10"/>
        <v>1641.97</v>
      </c>
    </row>
    <row r="74" spans="1:18" ht="21.75" customHeight="1">
      <c r="A74" t="s">
        <v>161</v>
      </c>
      <c r="B74" s="6">
        <v>45346</v>
      </c>
      <c r="C74" t="s">
        <v>89</v>
      </c>
      <c r="D74" t="s">
        <v>65</v>
      </c>
      <c r="E74" t="s">
        <v>22</v>
      </c>
      <c r="F74" t="s">
        <v>27</v>
      </c>
      <c r="G74" t="s">
        <v>28</v>
      </c>
      <c r="H74">
        <v>9</v>
      </c>
      <c r="I74" t="str">
        <f>VLOOKUP(D74,Product_Lookup!$A$2:$C$27,3,FALSE)</f>
        <v>$33.22</v>
      </c>
      <c r="J74" t="str">
        <f t="shared" si="11"/>
        <v>Saturday</v>
      </c>
      <c r="K74" s="10" t="str">
        <f t="shared" si="12"/>
        <v>February</v>
      </c>
      <c r="L74">
        <f t="shared" si="13"/>
        <v>2024</v>
      </c>
      <c r="M74" t="b">
        <f t="shared" si="14"/>
        <v>1</v>
      </c>
      <c r="N74" t="b">
        <f t="shared" si="8"/>
        <v>0</v>
      </c>
      <c r="O74" t="str">
        <f t="shared" si="15"/>
        <v>Standard order</v>
      </c>
      <c r="P74" s="7">
        <f t="shared" si="9"/>
        <v>1.661</v>
      </c>
      <c r="Q74" s="7" t="str">
        <f>VLOOKUP(D75,Product_Lookup!$A$2:$C$27,2,FALSE)</f>
        <v>Notebook</v>
      </c>
      <c r="R74" s="7">
        <f t="shared" si="10"/>
        <v>298.98</v>
      </c>
    </row>
    <row r="75" spans="1:18" ht="21.75" customHeight="1">
      <c r="A75" t="s">
        <v>162</v>
      </c>
      <c r="B75" s="6">
        <v>45419</v>
      </c>
      <c r="C75" t="s">
        <v>89</v>
      </c>
      <c r="D75" t="s">
        <v>160</v>
      </c>
      <c r="E75" t="s">
        <v>17</v>
      </c>
      <c r="F75" t="s">
        <v>12</v>
      </c>
      <c r="G75" t="s">
        <v>36</v>
      </c>
      <c r="H75">
        <v>11</v>
      </c>
      <c r="I75" t="str">
        <f>VLOOKUP(D75,Product_Lookup!$A$2:$C$27,3,FALSE)</f>
        <v>$149.27</v>
      </c>
      <c r="J75" t="str">
        <f t="shared" si="11"/>
        <v>Tuesday</v>
      </c>
      <c r="K75" s="10" t="str">
        <f t="shared" si="12"/>
        <v>May</v>
      </c>
      <c r="L75">
        <f t="shared" si="13"/>
        <v>2024</v>
      </c>
      <c r="M75" t="b">
        <f t="shared" si="14"/>
        <v>0</v>
      </c>
      <c r="N75" t="b">
        <f t="shared" si="8"/>
        <v>1</v>
      </c>
      <c r="O75" t="str">
        <f t="shared" si="15"/>
        <v>Large Order</v>
      </c>
      <c r="P75" s="7">
        <f t="shared" si="9"/>
        <v>7.4635000000000007</v>
      </c>
      <c r="Q75" s="7" t="str">
        <f>VLOOKUP(D76,Product_Lookup!$A$2:$C$27,2,FALSE)</f>
        <v>Paper Shredder</v>
      </c>
      <c r="R75" s="7">
        <f t="shared" si="10"/>
        <v>1641.97</v>
      </c>
    </row>
    <row r="76" spans="1:18" ht="21.75" customHeight="1">
      <c r="A76" t="s">
        <v>164</v>
      </c>
      <c r="B76" s="6">
        <v>45596</v>
      </c>
      <c r="C76" t="s">
        <v>89</v>
      </c>
      <c r="D76" t="s">
        <v>109</v>
      </c>
      <c r="E76" t="s">
        <v>22</v>
      </c>
      <c r="F76" t="s">
        <v>42</v>
      </c>
      <c r="G76" t="s">
        <v>36</v>
      </c>
      <c r="H76">
        <v>15</v>
      </c>
      <c r="I76" t="str">
        <f>VLOOKUP(D76,Product_Lookup!$A$2:$C$27,3,FALSE)</f>
        <v>$81.02</v>
      </c>
      <c r="J76" t="str">
        <f t="shared" si="11"/>
        <v>Thursday</v>
      </c>
      <c r="K76" s="10" t="str">
        <f t="shared" si="12"/>
        <v>October</v>
      </c>
      <c r="L76">
        <f t="shared" si="13"/>
        <v>2024</v>
      </c>
      <c r="M76" t="b">
        <f t="shared" si="14"/>
        <v>0</v>
      </c>
      <c r="N76" t="b">
        <f t="shared" si="8"/>
        <v>1</v>
      </c>
      <c r="O76" t="str">
        <f t="shared" si="15"/>
        <v>Large Order</v>
      </c>
      <c r="P76" s="7">
        <f t="shared" si="9"/>
        <v>4.0510000000000002</v>
      </c>
      <c r="Q76" s="7" t="str">
        <f>VLOOKUP(D77,Product_Lookup!$A$2:$C$27,2,FALSE)</f>
        <v>Desk Lamp</v>
      </c>
      <c r="R76" s="7">
        <f t="shared" si="10"/>
        <v>1215.3</v>
      </c>
    </row>
    <row r="77" spans="1:18" ht="21.75" customHeight="1">
      <c r="A77" t="s">
        <v>165</v>
      </c>
      <c r="B77" s="6">
        <v>45520</v>
      </c>
      <c r="C77" t="s">
        <v>38</v>
      </c>
      <c r="D77" t="s">
        <v>59</v>
      </c>
      <c r="E77" t="s">
        <v>17</v>
      </c>
      <c r="F77" t="s">
        <v>56</v>
      </c>
      <c r="G77" t="s">
        <v>36</v>
      </c>
      <c r="H77">
        <v>13</v>
      </c>
      <c r="I77" t="str">
        <f>VLOOKUP(D77,Product_Lookup!$A$2:$C$27,3,FALSE)</f>
        <v>$101.96</v>
      </c>
      <c r="J77" t="str">
        <f t="shared" si="11"/>
        <v>Friday</v>
      </c>
      <c r="K77" s="10" t="str">
        <f t="shared" si="12"/>
        <v>August</v>
      </c>
      <c r="L77">
        <f t="shared" si="13"/>
        <v>2024</v>
      </c>
      <c r="M77" t="b">
        <f t="shared" si="14"/>
        <v>0</v>
      </c>
      <c r="N77" t="b">
        <f t="shared" si="8"/>
        <v>1</v>
      </c>
      <c r="O77" t="str">
        <f t="shared" si="15"/>
        <v>Large Order</v>
      </c>
      <c r="P77" s="7">
        <f t="shared" si="9"/>
        <v>5.0979999999999999</v>
      </c>
      <c r="Q77" s="7" t="str">
        <f>VLOOKUP(D78,Product_Lookup!$A$2:$C$27,2,FALSE)</f>
        <v>Notebook</v>
      </c>
      <c r="R77" s="7">
        <f t="shared" si="10"/>
        <v>1325.48</v>
      </c>
    </row>
    <row r="78" spans="1:18" ht="21.75" customHeight="1">
      <c r="A78" t="s">
        <v>166</v>
      </c>
      <c r="B78" s="6">
        <v>45433</v>
      </c>
      <c r="C78" t="s">
        <v>167</v>
      </c>
      <c r="D78" t="s">
        <v>160</v>
      </c>
      <c r="E78" t="s">
        <v>17</v>
      </c>
      <c r="F78" t="s">
        <v>306</v>
      </c>
      <c r="G78" t="s">
        <v>36</v>
      </c>
      <c r="H78">
        <v>8</v>
      </c>
      <c r="I78" t="str">
        <f>VLOOKUP(D78,Product_Lookup!$A$2:$C$27,3,FALSE)</f>
        <v>$149.27</v>
      </c>
      <c r="J78" t="str">
        <f t="shared" si="11"/>
        <v>Tuesday</v>
      </c>
      <c r="K78" s="10" t="str">
        <f t="shared" si="12"/>
        <v>May</v>
      </c>
      <c r="L78">
        <f t="shared" si="13"/>
        <v>2024</v>
      </c>
      <c r="M78" t="b">
        <f t="shared" si="14"/>
        <v>0</v>
      </c>
      <c r="N78" t="b">
        <f t="shared" si="8"/>
        <v>1</v>
      </c>
      <c r="O78" t="str">
        <f t="shared" si="15"/>
        <v>Large Order</v>
      </c>
      <c r="P78" s="7">
        <f t="shared" si="9"/>
        <v>7.4635000000000007</v>
      </c>
      <c r="Q78" s="7" t="str">
        <f>VLOOKUP(D79,Product_Lookup!$A$2:$C$27,2,FALSE)</f>
        <v>Coffee Maker</v>
      </c>
      <c r="R78" s="7">
        <f t="shared" si="10"/>
        <v>1194.1600000000001</v>
      </c>
    </row>
    <row r="79" spans="1:18" ht="21.75" customHeight="1">
      <c r="A79" t="s">
        <v>168</v>
      </c>
      <c r="B79" s="6">
        <v>45412</v>
      </c>
      <c r="C79" t="s">
        <v>40</v>
      </c>
      <c r="D79" t="s">
        <v>31</v>
      </c>
      <c r="E79" t="s">
        <v>22</v>
      </c>
      <c r="F79" t="s">
        <v>42</v>
      </c>
      <c r="G79" t="s">
        <v>32</v>
      </c>
      <c r="H79">
        <v>2</v>
      </c>
      <c r="I79" t="str">
        <f>VLOOKUP(D79,Product_Lookup!$A$2:$C$27,3,FALSE)</f>
        <v>$230.34</v>
      </c>
      <c r="J79" t="str">
        <f t="shared" si="11"/>
        <v>Tuesday</v>
      </c>
      <c r="K79" s="10" t="str">
        <f t="shared" si="12"/>
        <v>April</v>
      </c>
      <c r="L79">
        <f t="shared" si="13"/>
        <v>2024</v>
      </c>
      <c r="M79" t="b">
        <f t="shared" si="14"/>
        <v>0</v>
      </c>
      <c r="N79" t="b">
        <f t="shared" si="8"/>
        <v>0</v>
      </c>
      <c r="O79" t="str">
        <f t="shared" si="15"/>
        <v>Standard order</v>
      </c>
      <c r="P79" s="7">
        <f t="shared" si="9"/>
        <v>11.517000000000001</v>
      </c>
      <c r="Q79" s="7" t="str">
        <f>VLOOKUP(D80,Product_Lookup!$A$2:$C$27,2,FALSE)</f>
        <v>T-Shirt</v>
      </c>
      <c r="R79" s="7">
        <f t="shared" si="10"/>
        <v>460.68</v>
      </c>
    </row>
    <row r="80" spans="1:18" ht="21.75" customHeight="1">
      <c r="A80" t="s">
        <v>169</v>
      </c>
      <c r="B80" s="6">
        <v>45488</v>
      </c>
      <c r="C80" t="s">
        <v>51</v>
      </c>
      <c r="D80" t="s">
        <v>45</v>
      </c>
      <c r="E80" t="s">
        <v>17</v>
      </c>
      <c r="F80" t="s">
        <v>56</v>
      </c>
      <c r="G80" t="s">
        <v>28</v>
      </c>
      <c r="H80">
        <v>7</v>
      </c>
      <c r="I80" t="str">
        <f>VLOOKUP(D80,Product_Lookup!$A$2:$C$27,3,FALSE)</f>
        <v>$107.34</v>
      </c>
      <c r="J80" t="str">
        <f t="shared" si="11"/>
        <v>Monday</v>
      </c>
      <c r="K80" s="10" t="str">
        <f t="shared" si="12"/>
        <v>July</v>
      </c>
      <c r="L80">
        <f t="shared" si="13"/>
        <v>2024</v>
      </c>
      <c r="M80" t="b">
        <f t="shared" si="14"/>
        <v>0</v>
      </c>
      <c r="N80" t="b">
        <f t="shared" si="8"/>
        <v>1</v>
      </c>
      <c r="O80" t="str">
        <f t="shared" si="15"/>
        <v>Large Order</v>
      </c>
      <c r="P80" s="7">
        <f t="shared" si="9"/>
        <v>5.3670000000000009</v>
      </c>
      <c r="Q80" s="7" t="str">
        <f>VLOOKUP(D81,Product_Lookup!$A$2:$C$27,2,FALSE)</f>
        <v>Sweater</v>
      </c>
      <c r="R80" s="7">
        <f t="shared" si="10"/>
        <v>751.38</v>
      </c>
    </row>
    <row r="81" spans="1:18" ht="21.75" customHeight="1">
      <c r="A81" t="s">
        <v>170</v>
      </c>
      <c r="B81" s="6">
        <v>45504</v>
      </c>
      <c r="C81" t="s">
        <v>20</v>
      </c>
      <c r="D81" t="s">
        <v>26</v>
      </c>
      <c r="E81" t="s">
        <v>17</v>
      </c>
      <c r="F81" t="s">
        <v>12</v>
      </c>
      <c r="G81" t="s">
        <v>28</v>
      </c>
      <c r="H81">
        <v>15</v>
      </c>
      <c r="I81" t="str">
        <f>VLOOKUP(D81,Product_Lookup!$A$2:$C$27,3,FALSE)</f>
        <v>$84.57</v>
      </c>
      <c r="J81" t="str">
        <f t="shared" si="11"/>
        <v>Wednesday</v>
      </c>
      <c r="K81" s="10" t="str">
        <f t="shared" si="12"/>
        <v>July</v>
      </c>
      <c r="L81">
        <f t="shared" si="13"/>
        <v>2024</v>
      </c>
      <c r="M81" t="b">
        <f t="shared" si="14"/>
        <v>0</v>
      </c>
      <c r="N81" t="b">
        <f t="shared" si="8"/>
        <v>1</v>
      </c>
      <c r="O81" t="str">
        <f t="shared" si="15"/>
        <v>Large Order</v>
      </c>
      <c r="P81" s="7">
        <f t="shared" si="9"/>
        <v>4.2284999999999995</v>
      </c>
      <c r="Q81" s="7" t="str">
        <f>VLOOKUP(D82,Product_Lookup!$A$2:$C$27,2,FALSE)</f>
        <v>Desk Lamp</v>
      </c>
      <c r="R81" s="7">
        <f t="shared" si="10"/>
        <v>1268.55</v>
      </c>
    </row>
    <row r="82" spans="1:18" ht="21.75" customHeight="1">
      <c r="A82" t="s">
        <v>171</v>
      </c>
      <c r="B82" s="6">
        <v>45302</v>
      </c>
      <c r="C82" t="s">
        <v>150</v>
      </c>
      <c r="D82" t="s">
        <v>59</v>
      </c>
      <c r="E82" t="s">
        <v>11</v>
      </c>
      <c r="F82" t="s">
        <v>306</v>
      </c>
      <c r="G82" t="s">
        <v>36</v>
      </c>
      <c r="H82">
        <v>6</v>
      </c>
      <c r="I82" t="str">
        <f>VLOOKUP(D82,Product_Lookup!$A$2:$C$27,3,FALSE)</f>
        <v>$101.96</v>
      </c>
      <c r="J82" t="str">
        <f t="shared" si="11"/>
        <v>Thursday</v>
      </c>
      <c r="K82" s="10" t="str">
        <f t="shared" si="12"/>
        <v>January</v>
      </c>
      <c r="L82">
        <f t="shared" si="13"/>
        <v>2024</v>
      </c>
      <c r="M82" t="b">
        <f t="shared" si="14"/>
        <v>0</v>
      </c>
      <c r="N82" t="b">
        <f t="shared" si="8"/>
        <v>0</v>
      </c>
      <c r="O82" t="str">
        <f t="shared" si="15"/>
        <v>Large Order</v>
      </c>
      <c r="P82" s="7">
        <f t="shared" si="9"/>
        <v>5.0979999999999999</v>
      </c>
      <c r="Q82" s="7" t="str">
        <f>VLOOKUP(D83,Product_Lookup!$A$2:$C$27,2,FALSE)</f>
        <v>Doll</v>
      </c>
      <c r="R82" s="7">
        <f t="shared" si="10"/>
        <v>611.76</v>
      </c>
    </row>
    <row r="83" spans="1:18" ht="21.75" customHeight="1">
      <c r="A83" t="s">
        <v>172</v>
      </c>
      <c r="B83" s="6">
        <v>45506</v>
      </c>
      <c r="C83" t="s">
        <v>133</v>
      </c>
      <c r="D83" t="s">
        <v>119</v>
      </c>
      <c r="E83" t="s">
        <v>11</v>
      </c>
      <c r="F83" t="s">
        <v>306</v>
      </c>
      <c r="G83" t="s">
        <v>23</v>
      </c>
      <c r="H83">
        <v>8</v>
      </c>
      <c r="I83" t="str">
        <f>VLOOKUP(D83,Product_Lookup!$A$2:$C$27,3,FALSE)</f>
        <v>$32.94</v>
      </c>
      <c r="J83" t="str">
        <f t="shared" si="11"/>
        <v>Friday</v>
      </c>
      <c r="K83" s="10" t="str">
        <f t="shared" si="12"/>
        <v>August</v>
      </c>
      <c r="L83">
        <f t="shared" si="13"/>
        <v>2024</v>
      </c>
      <c r="M83" t="b">
        <f t="shared" si="14"/>
        <v>0</v>
      </c>
      <c r="N83" t="b">
        <f t="shared" si="8"/>
        <v>0</v>
      </c>
      <c r="O83" t="str">
        <f t="shared" si="15"/>
        <v>Standard order</v>
      </c>
      <c r="P83" s="7">
        <f t="shared" si="9"/>
        <v>1.647</v>
      </c>
      <c r="Q83" s="7" t="str">
        <f>VLOOKUP(D84,Product_Lookup!$A$2:$C$27,2,FALSE)</f>
        <v>Pen Set</v>
      </c>
      <c r="R83" s="7">
        <f t="shared" si="10"/>
        <v>263.52</v>
      </c>
    </row>
    <row r="84" spans="1:18" ht="21.75" customHeight="1">
      <c r="A84" t="s">
        <v>173</v>
      </c>
      <c r="B84" s="6">
        <v>45540</v>
      </c>
      <c r="C84" t="s">
        <v>83</v>
      </c>
      <c r="D84" t="s">
        <v>174</v>
      </c>
      <c r="E84" t="s">
        <v>22</v>
      </c>
      <c r="F84" t="s">
        <v>12</v>
      </c>
      <c r="G84" t="s">
        <v>36</v>
      </c>
      <c r="H84">
        <v>11</v>
      </c>
      <c r="I84" t="str">
        <f>VLOOKUP(D84,Product_Lookup!$A$2:$C$27,3,FALSE)</f>
        <v>$133.37</v>
      </c>
      <c r="J84" t="str">
        <f t="shared" si="11"/>
        <v>Thursday</v>
      </c>
      <c r="K84" s="10" t="str">
        <f t="shared" si="12"/>
        <v>September</v>
      </c>
      <c r="L84">
        <f t="shared" si="13"/>
        <v>2024</v>
      </c>
      <c r="M84" t="b">
        <f t="shared" si="14"/>
        <v>0</v>
      </c>
      <c r="N84" t="b">
        <f t="shared" si="8"/>
        <v>1</v>
      </c>
      <c r="O84" t="str">
        <f t="shared" si="15"/>
        <v>Large Order</v>
      </c>
      <c r="P84" s="7">
        <f t="shared" si="9"/>
        <v>6.6685000000000008</v>
      </c>
      <c r="Q84" s="7" t="str">
        <f>VLOOKUP(D85,Product_Lookup!$A$2:$C$27,2,FALSE)</f>
        <v>Socks</v>
      </c>
      <c r="R84" s="7">
        <f t="shared" si="10"/>
        <v>1467.0700000000002</v>
      </c>
    </row>
    <row r="85" spans="1:18" ht="21.75" customHeight="1">
      <c r="A85" t="s">
        <v>175</v>
      </c>
      <c r="B85" s="6">
        <v>45376</v>
      </c>
      <c r="C85" t="s">
        <v>61</v>
      </c>
      <c r="D85" t="s">
        <v>74</v>
      </c>
      <c r="E85" t="s">
        <v>22</v>
      </c>
      <c r="F85" t="s">
        <v>27</v>
      </c>
      <c r="G85" t="s">
        <v>28</v>
      </c>
      <c r="H85">
        <v>1</v>
      </c>
      <c r="I85" t="str">
        <f>VLOOKUP(D85,Product_Lookup!$A$2:$C$27,3,FALSE)</f>
        <v>$201.32</v>
      </c>
      <c r="J85" t="str">
        <f t="shared" si="11"/>
        <v>Monday</v>
      </c>
      <c r="K85" s="10" t="str">
        <f t="shared" si="12"/>
        <v>March</v>
      </c>
      <c r="L85">
        <f t="shared" si="13"/>
        <v>2024</v>
      </c>
      <c r="M85" t="b">
        <f t="shared" si="14"/>
        <v>0</v>
      </c>
      <c r="N85" t="b">
        <f t="shared" si="8"/>
        <v>0</v>
      </c>
      <c r="O85" t="str">
        <f t="shared" si="15"/>
        <v>Standard order</v>
      </c>
      <c r="P85" s="7">
        <f t="shared" si="9"/>
        <v>10.066000000000001</v>
      </c>
      <c r="Q85" s="7" t="str">
        <f>VLOOKUP(D86,Product_Lookup!$A$2:$C$27,2,FALSE)</f>
        <v>Monitor</v>
      </c>
      <c r="R85" s="7">
        <f t="shared" si="10"/>
        <v>201.32</v>
      </c>
    </row>
    <row r="86" spans="1:18" ht="21.75" customHeight="1">
      <c r="A86" t="s">
        <v>176</v>
      </c>
      <c r="B86" s="6">
        <v>45580</v>
      </c>
      <c r="C86" t="s">
        <v>64</v>
      </c>
      <c r="D86" t="s">
        <v>102</v>
      </c>
      <c r="E86" t="s">
        <v>11</v>
      </c>
      <c r="F86" t="s">
        <v>12</v>
      </c>
      <c r="G86" t="s">
        <v>13</v>
      </c>
      <c r="H86">
        <v>14</v>
      </c>
      <c r="I86" t="str">
        <f>VLOOKUP(D86,Product_Lookup!$A$2:$C$27,3,FALSE)</f>
        <v>$145.48</v>
      </c>
      <c r="J86" t="str">
        <f t="shared" si="11"/>
        <v>Tuesday</v>
      </c>
      <c r="K86" s="10" t="str">
        <f t="shared" si="12"/>
        <v>October</v>
      </c>
      <c r="L86">
        <f t="shared" si="13"/>
        <v>2024</v>
      </c>
      <c r="M86" t="b">
        <f t="shared" si="14"/>
        <v>0</v>
      </c>
      <c r="N86" t="b">
        <f t="shared" si="8"/>
        <v>1</v>
      </c>
      <c r="O86" t="str">
        <f t="shared" si="15"/>
        <v>Large Order</v>
      </c>
      <c r="P86" s="7">
        <f t="shared" si="9"/>
        <v>7.274</v>
      </c>
      <c r="Q86" s="7" t="str">
        <f>VLOOKUP(D87,Product_Lookup!$A$2:$C$27,2,FALSE)</f>
        <v>Toaster</v>
      </c>
      <c r="R86" s="7">
        <f t="shared" si="10"/>
        <v>2036.7199999999998</v>
      </c>
    </row>
    <row r="87" spans="1:18" ht="21.75" customHeight="1">
      <c r="A87" t="s">
        <v>177</v>
      </c>
      <c r="B87" s="6">
        <v>45425</v>
      </c>
      <c r="C87" t="s">
        <v>150</v>
      </c>
      <c r="D87" t="s">
        <v>48</v>
      </c>
      <c r="E87" t="s">
        <v>17</v>
      </c>
      <c r="F87" t="s">
        <v>27</v>
      </c>
      <c r="G87" t="s">
        <v>32</v>
      </c>
      <c r="H87">
        <v>6</v>
      </c>
      <c r="I87" t="str">
        <f>VLOOKUP(D87,Product_Lookup!$A$2:$C$27,3,FALSE)</f>
        <v>$208.85</v>
      </c>
      <c r="J87" t="str">
        <f t="shared" si="11"/>
        <v>Monday</v>
      </c>
      <c r="K87" s="10" t="str">
        <f t="shared" si="12"/>
        <v>May</v>
      </c>
      <c r="L87">
        <f t="shared" si="13"/>
        <v>2024</v>
      </c>
      <c r="M87" t="b">
        <f t="shared" si="14"/>
        <v>0</v>
      </c>
      <c r="N87" t="b">
        <f t="shared" si="8"/>
        <v>1</v>
      </c>
      <c r="O87" t="str">
        <f t="shared" si="15"/>
        <v>Large Order</v>
      </c>
      <c r="P87" s="7">
        <f t="shared" si="9"/>
        <v>10.442500000000001</v>
      </c>
      <c r="Q87" s="7" t="str">
        <f>VLOOKUP(D88,Product_Lookup!$A$2:$C$27,2,FALSE)</f>
        <v>Blender</v>
      </c>
      <c r="R87" s="7">
        <f t="shared" si="10"/>
        <v>1253.0999999999999</v>
      </c>
    </row>
    <row r="88" spans="1:18" ht="21.75" customHeight="1">
      <c r="A88" t="s">
        <v>178</v>
      </c>
      <c r="B88" s="6">
        <v>45434</v>
      </c>
      <c r="C88" t="s">
        <v>64</v>
      </c>
      <c r="D88" t="s">
        <v>72</v>
      </c>
      <c r="E88" t="s">
        <v>17</v>
      </c>
      <c r="F88" t="s">
        <v>27</v>
      </c>
      <c r="G88" t="s">
        <v>32</v>
      </c>
      <c r="H88">
        <v>1</v>
      </c>
      <c r="I88" t="str">
        <f>VLOOKUP(D88,Product_Lookup!$A$2:$C$27,3,FALSE)</f>
        <v>$156.44</v>
      </c>
      <c r="J88" t="str">
        <f t="shared" si="11"/>
        <v>Wednesday</v>
      </c>
      <c r="K88" s="10" t="str">
        <f t="shared" si="12"/>
        <v>May</v>
      </c>
      <c r="L88">
        <f t="shared" si="13"/>
        <v>2024</v>
      </c>
      <c r="M88" t="b">
        <f t="shared" si="14"/>
        <v>0</v>
      </c>
      <c r="N88" t="b">
        <f t="shared" si="8"/>
        <v>0</v>
      </c>
      <c r="O88" t="str">
        <f t="shared" si="15"/>
        <v>Standard order</v>
      </c>
      <c r="P88" s="7">
        <f t="shared" si="9"/>
        <v>7.8220000000000001</v>
      </c>
      <c r="Q88" s="7" t="str">
        <f>VLOOKUP(D89,Product_Lookup!$A$2:$C$27,2,FALSE)</f>
        <v>Laptop</v>
      </c>
      <c r="R88" s="7">
        <f t="shared" si="10"/>
        <v>156.44</v>
      </c>
    </row>
    <row r="89" spans="1:18" ht="21.75" customHeight="1">
      <c r="A89" t="s">
        <v>179</v>
      </c>
      <c r="B89" s="6">
        <v>45471</v>
      </c>
      <c r="C89" t="s">
        <v>142</v>
      </c>
      <c r="D89" t="s">
        <v>96</v>
      </c>
      <c r="E89" t="s">
        <v>11</v>
      </c>
      <c r="F89" t="s">
        <v>56</v>
      </c>
      <c r="G89" t="s">
        <v>13</v>
      </c>
      <c r="H89">
        <v>4</v>
      </c>
      <c r="I89" t="str">
        <f>VLOOKUP(D89,Product_Lookup!$A$2:$C$27,3,FALSE)</f>
        <v>$230.68</v>
      </c>
      <c r="J89" t="str">
        <f t="shared" si="11"/>
        <v>Friday</v>
      </c>
      <c r="K89" s="10" t="str">
        <f t="shared" si="12"/>
        <v>June</v>
      </c>
      <c r="L89">
        <f t="shared" si="13"/>
        <v>2024</v>
      </c>
      <c r="M89" t="b">
        <f t="shared" si="14"/>
        <v>0</v>
      </c>
      <c r="N89" t="b">
        <f t="shared" si="8"/>
        <v>0</v>
      </c>
      <c r="O89" t="str">
        <f t="shared" si="15"/>
        <v>Large Order</v>
      </c>
      <c r="P89" s="7">
        <f t="shared" si="9"/>
        <v>11.534000000000001</v>
      </c>
      <c r="Q89" s="7" t="str">
        <f>VLOOKUP(D90,Product_Lookup!$A$2:$C$27,2,FALSE)</f>
        <v>Jeans</v>
      </c>
      <c r="R89" s="7">
        <f t="shared" si="10"/>
        <v>922.72</v>
      </c>
    </row>
    <row r="90" spans="1:18" ht="21.75" customHeight="1">
      <c r="A90" t="s">
        <v>180</v>
      </c>
      <c r="B90" s="6">
        <v>45610</v>
      </c>
      <c r="C90" t="s">
        <v>15</v>
      </c>
      <c r="D90" t="s">
        <v>65</v>
      </c>
      <c r="E90" t="s">
        <v>17</v>
      </c>
      <c r="F90" t="s">
        <v>56</v>
      </c>
      <c r="G90" t="s">
        <v>28</v>
      </c>
      <c r="H90">
        <v>11</v>
      </c>
      <c r="I90" t="str">
        <f>VLOOKUP(D90,Product_Lookup!$A$2:$C$27,3,FALSE)</f>
        <v>$33.22</v>
      </c>
      <c r="J90" t="str">
        <f t="shared" si="11"/>
        <v>Thursday</v>
      </c>
      <c r="K90" s="10" t="str">
        <f t="shared" si="12"/>
        <v>November</v>
      </c>
      <c r="L90">
        <f t="shared" si="13"/>
        <v>2024</v>
      </c>
      <c r="M90" t="b">
        <f t="shared" si="14"/>
        <v>0</v>
      </c>
      <c r="N90" t="b">
        <f t="shared" si="8"/>
        <v>0</v>
      </c>
      <c r="O90" t="str">
        <f t="shared" si="15"/>
        <v>Standard order</v>
      </c>
      <c r="P90" s="7">
        <f t="shared" si="9"/>
        <v>1.661</v>
      </c>
      <c r="Q90" s="7" t="str">
        <f>VLOOKUP(D91,Product_Lookup!$A$2:$C$27,2,FALSE)</f>
        <v>Toaster</v>
      </c>
      <c r="R90" s="7">
        <f t="shared" si="10"/>
        <v>365.41999999999996</v>
      </c>
    </row>
    <row r="91" spans="1:18" ht="21.75" customHeight="1">
      <c r="A91" t="s">
        <v>181</v>
      </c>
      <c r="B91" s="6">
        <v>45530</v>
      </c>
      <c r="C91" t="s">
        <v>182</v>
      </c>
      <c r="D91" t="s">
        <v>48</v>
      </c>
      <c r="E91" t="s">
        <v>22</v>
      </c>
      <c r="F91" t="s">
        <v>42</v>
      </c>
      <c r="G91" t="s">
        <v>32</v>
      </c>
      <c r="H91">
        <v>10</v>
      </c>
      <c r="I91" t="str">
        <f>VLOOKUP(D91,Product_Lookup!$A$2:$C$27,3,FALSE)</f>
        <v>$208.85</v>
      </c>
      <c r="J91" t="str">
        <f t="shared" si="11"/>
        <v>Monday</v>
      </c>
      <c r="K91" s="10" t="str">
        <f t="shared" si="12"/>
        <v>August</v>
      </c>
      <c r="L91">
        <f t="shared" si="13"/>
        <v>2024</v>
      </c>
      <c r="M91" t="b">
        <f t="shared" si="14"/>
        <v>0</v>
      </c>
      <c r="N91" t="b">
        <f t="shared" si="8"/>
        <v>1</v>
      </c>
      <c r="O91" t="str">
        <f t="shared" si="15"/>
        <v>Large Order</v>
      </c>
      <c r="P91" s="7">
        <f t="shared" si="9"/>
        <v>10.442500000000001</v>
      </c>
      <c r="Q91" s="7" t="str">
        <f>VLOOKUP(D92,Product_Lookup!$A$2:$C$27,2,FALSE)</f>
        <v>Blender</v>
      </c>
      <c r="R91" s="7">
        <f t="shared" si="10"/>
        <v>2088.5</v>
      </c>
    </row>
    <row r="92" spans="1:18" ht="21.75" customHeight="1">
      <c r="A92" t="s">
        <v>183</v>
      </c>
      <c r="B92" s="6">
        <v>45350</v>
      </c>
      <c r="C92" t="s">
        <v>55</v>
      </c>
      <c r="D92" t="s">
        <v>72</v>
      </c>
      <c r="E92" t="s">
        <v>22</v>
      </c>
      <c r="F92" t="s">
        <v>56</v>
      </c>
      <c r="G92" t="s">
        <v>32</v>
      </c>
      <c r="H92">
        <v>1</v>
      </c>
      <c r="I92" t="str">
        <f>VLOOKUP(D92,Product_Lookup!$A$2:$C$27,3,FALSE)</f>
        <v>$156.44</v>
      </c>
      <c r="J92" t="str">
        <f t="shared" si="11"/>
        <v>Wednesday</v>
      </c>
      <c r="K92" s="10" t="str">
        <f t="shared" si="12"/>
        <v>February</v>
      </c>
      <c r="L92">
        <f t="shared" si="13"/>
        <v>2024</v>
      </c>
      <c r="M92" t="b">
        <f t="shared" si="14"/>
        <v>0</v>
      </c>
      <c r="N92" t="b">
        <f t="shared" si="8"/>
        <v>0</v>
      </c>
      <c r="O92" t="str">
        <f t="shared" si="15"/>
        <v>Standard order</v>
      </c>
      <c r="P92" s="7">
        <f t="shared" si="9"/>
        <v>7.8220000000000001</v>
      </c>
      <c r="Q92" s="7" t="str">
        <f>VLOOKUP(D93,Product_Lookup!$A$2:$C$27,2,FALSE)</f>
        <v>Notebook</v>
      </c>
      <c r="R92" s="7">
        <f t="shared" si="10"/>
        <v>156.44</v>
      </c>
    </row>
    <row r="93" spans="1:18" ht="21.75" customHeight="1">
      <c r="A93" t="s">
        <v>184</v>
      </c>
      <c r="B93" s="6">
        <v>45638</v>
      </c>
      <c r="C93" t="s">
        <v>38</v>
      </c>
      <c r="D93" t="s">
        <v>160</v>
      </c>
      <c r="E93" t="s">
        <v>11</v>
      </c>
      <c r="F93" t="s">
        <v>27</v>
      </c>
      <c r="G93" t="s">
        <v>36</v>
      </c>
      <c r="H93">
        <v>10</v>
      </c>
      <c r="I93" t="str">
        <f>VLOOKUP(D93,Product_Lookup!$A$2:$C$27,3,FALSE)</f>
        <v>$149.27</v>
      </c>
      <c r="J93" t="str">
        <f t="shared" si="11"/>
        <v>Thursday</v>
      </c>
      <c r="K93" s="10" t="str">
        <f t="shared" si="12"/>
        <v>December</v>
      </c>
      <c r="L93">
        <f t="shared" si="13"/>
        <v>2024</v>
      </c>
      <c r="M93" t="b">
        <f t="shared" si="14"/>
        <v>0</v>
      </c>
      <c r="N93" t="b">
        <f t="shared" si="8"/>
        <v>1</v>
      </c>
      <c r="O93" t="str">
        <f t="shared" si="15"/>
        <v>Large Order</v>
      </c>
      <c r="P93" s="7">
        <f t="shared" si="9"/>
        <v>7.4635000000000007</v>
      </c>
      <c r="Q93" s="7" t="str">
        <f>VLOOKUP(D94,Product_Lookup!$A$2:$C$27,2,FALSE)</f>
        <v>Air Fryer</v>
      </c>
      <c r="R93" s="7">
        <f t="shared" si="10"/>
        <v>1492.7</v>
      </c>
    </row>
    <row r="94" spans="1:18" ht="21.75" customHeight="1">
      <c r="A94" t="s">
        <v>185</v>
      </c>
      <c r="B94" s="6">
        <v>45416</v>
      </c>
      <c r="C94" t="s">
        <v>106</v>
      </c>
      <c r="D94" t="s">
        <v>70</v>
      </c>
      <c r="E94" t="s">
        <v>11</v>
      </c>
      <c r="F94" t="s">
        <v>12</v>
      </c>
      <c r="G94" t="s">
        <v>32</v>
      </c>
      <c r="H94">
        <v>13</v>
      </c>
      <c r="I94" t="str">
        <f>VLOOKUP(D94,Product_Lookup!$A$2:$C$27,3,FALSE)</f>
        <v>$211.9</v>
      </c>
      <c r="J94" t="str">
        <f t="shared" si="11"/>
        <v>Saturday</v>
      </c>
      <c r="K94" s="10" t="str">
        <f t="shared" si="12"/>
        <v>May</v>
      </c>
      <c r="L94">
        <f t="shared" si="13"/>
        <v>2024</v>
      </c>
      <c r="M94" t="b">
        <f t="shared" si="14"/>
        <v>1</v>
      </c>
      <c r="N94" t="b">
        <f t="shared" si="8"/>
        <v>1</v>
      </c>
      <c r="O94" t="str">
        <f t="shared" si="15"/>
        <v>Large Order</v>
      </c>
      <c r="P94" s="7">
        <f t="shared" si="9"/>
        <v>10.595000000000001</v>
      </c>
      <c r="Q94" s="7" t="str">
        <f>VLOOKUP(D95,Product_Lookup!$A$2:$C$27,2,FALSE)</f>
        <v>Lego Set</v>
      </c>
      <c r="R94" s="7">
        <f t="shared" si="10"/>
        <v>2754.7000000000003</v>
      </c>
    </row>
    <row r="95" spans="1:18" ht="21.75" customHeight="1">
      <c r="A95" t="s">
        <v>186</v>
      </c>
      <c r="B95" s="6">
        <v>45313</v>
      </c>
      <c r="C95" t="s">
        <v>187</v>
      </c>
      <c r="D95" t="s">
        <v>84</v>
      </c>
      <c r="E95" t="s">
        <v>22</v>
      </c>
      <c r="F95" t="s">
        <v>42</v>
      </c>
      <c r="G95" t="s">
        <v>23</v>
      </c>
      <c r="H95">
        <v>6</v>
      </c>
      <c r="I95" t="str">
        <f>VLOOKUP(D95,Product_Lookup!$A$2:$C$27,3,FALSE)</f>
        <v>$130.07</v>
      </c>
      <c r="J95" t="str">
        <f t="shared" si="11"/>
        <v>Monday</v>
      </c>
      <c r="K95" s="10" t="str">
        <f t="shared" si="12"/>
        <v>January</v>
      </c>
      <c r="L95">
        <f t="shared" si="13"/>
        <v>2024</v>
      </c>
      <c r="M95" t="b">
        <f t="shared" si="14"/>
        <v>0</v>
      </c>
      <c r="N95" t="b">
        <f t="shared" si="8"/>
        <v>1</v>
      </c>
      <c r="O95" t="str">
        <f t="shared" si="15"/>
        <v>Large Order</v>
      </c>
      <c r="P95" s="7">
        <f t="shared" si="9"/>
        <v>6.5034999999999998</v>
      </c>
      <c r="Q95" s="7" t="str">
        <f>VLOOKUP(D96,Product_Lookup!$A$2:$C$27,2,FALSE)</f>
        <v>Desk Lamp</v>
      </c>
      <c r="R95" s="7">
        <f t="shared" si="10"/>
        <v>780.42</v>
      </c>
    </row>
    <row r="96" spans="1:18" ht="21.75" customHeight="1">
      <c r="A96" t="s">
        <v>188</v>
      </c>
      <c r="B96" s="6">
        <v>45466</v>
      </c>
      <c r="C96" t="s">
        <v>38</v>
      </c>
      <c r="D96" t="s">
        <v>59</v>
      </c>
      <c r="E96" t="s">
        <v>11</v>
      </c>
      <c r="F96" t="s">
        <v>12</v>
      </c>
      <c r="G96" t="s">
        <v>36</v>
      </c>
      <c r="H96">
        <v>7</v>
      </c>
      <c r="I96" t="str">
        <f>VLOOKUP(D96,Product_Lookup!$A$2:$C$27,3,FALSE)</f>
        <v>$101.96</v>
      </c>
      <c r="J96" t="str">
        <f t="shared" si="11"/>
        <v>Sunday</v>
      </c>
      <c r="K96" s="10" t="str">
        <f t="shared" si="12"/>
        <v>June</v>
      </c>
      <c r="L96">
        <f t="shared" si="13"/>
        <v>2024</v>
      </c>
      <c r="M96" t="b">
        <f t="shared" si="14"/>
        <v>1</v>
      </c>
      <c r="N96" t="b">
        <f t="shared" si="8"/>
        <v>0</v>
      </c>
      <c r="O96" t="str">
        <f t="shared" si="15"/>
        <v>Large Order</v>
      </c>
      <c r="P96" s="7">
        <f t="shared" si="9"/>
        <v>5.0979999999999999</v>
      </c>
      <c r="Q96" s="7" t="str">
        <f>VLOOKUP(D97,Product_Lookup!$A$2:$C$27,2,FALSE)</f>
        <v>Notebook</v>
      </c>
      <c r="R96" s="7">
        <f t="shared" si="10"/>
        <v>713.71999999999991</v>
      </c>
    </row>
    <row r="97" spans="1:18" ht="21.75" customHeight="1">
      <c r="A97" t="s">
        <v>189</v>
      </c>
      <c r="B97" s="6">
        <v>45527</v>
      </c>
      <c r="C97" t="s">
        <v>99</v>
      </c>
      <c r="D97" t="s">
        <v>160</v>
      </c>
      <c r="E97" t="s">
        <v>22</v>
      </c>
      <c r="F97" t="s">
        <v>56</v>
      </c>
      <c r="G97" t="s">
        <v>36</v>
      </c>
      <c r="H97">
        <v>9</v>
      </c>
      <c r="I97" t="str">
        <f>VLOOKUP(D97,Product_Lookup!$A$2:$C$27,3,FALSE)</f>
        <v>$149.27</v>
      </c>
      <c r="J97" t="str">
        <f t="shared" si="11"/>
        <v>Friday</v>
      </c>
      <c r="K97" s="10" t="str">
        <f t="shared" si="12"/>
        <v>August</v>
      </c>
      <c r="L97">
        <f t="shared" si="13"/>
        <v>2024</v>
      </c>
      <c r="M97" t="b">
        <f t="shared" si="14"/>
        <v>0</v>
      </c>
      <c r="N97" t="b">
        <f t="shared" si="8"/>
        <v>1</v>
      </c>
      <c r="O97" t="str">
        <f t="shared" si="15"/>
        <v>Large Order</v>
      </c>
      <c r="P97" s="7">
        <f t="shared" si="9"/>
        <v>7.4635000000000007</v>
      </c>
      <c r="Q97" s="7" t="str">
        <f>VLOOKUP(D98,Product_Lookup!$A$2:$C$27,2,FALSE)</f>
        <v>Desk Lamp</v>
      </c>
      <c r="R97" s="7">
        <f t="shared" si="10"/>
        <v>1343.43</v>
      </c>
    </row>
    <row r="98" spans="1:18" ht="21.75" customHeight="1">
      <c r="A98" t="s">
        <v>190</v>
      </c>
      <c r="B98" s="6">
        <v>45607</v>
      </c>
      <c r="C98" t="s">
        <v>99</v>
      </c>
      <c r="D98" t="s">
        <v>59</v>
      </c>
      <c r="E98" t="s">
        <v>17</v>
      </c>
      <c r="F98" t="s">
        <v>306</v>
      </c>
      <c r="G98" t="s">
        <v>36</v>
      </c>
      <c r="H98">
        <v>14</v>
      </c>
      <c r="I98" t="str">
        <f>VLOOKUP(D98,Product_Lookup!$A$2:$C$27,3,FALSE)</f>
        <v>$101.96</v>
      </c>
      <c r="J98" t="str">
        <f t="shared" si="11"/>
        <v>Monday</v>
      </c>
      <c r="K98" s="10" t="str">
        <f t="shared" si="12"/>
        <v>November</v>
      </c>
      <c r="L98">
        <f t="shared" si="13"/>
        <v>2024</v>
      </c>
      <c r="M98" t="b">
        <f t="shared" si="14"/>
        <v>0</v>
      </c>
      <c r="N98" t="b">
        <f t="shared" si="8"/>
        <v>1</v>
      </c>
      <c r="O98" t="str">
        <f t="shared" si="15"/>
        <v>Large Order</v>
      </c>
      <c r="P98" s="7">
        <f t="shared" si="9"/>
        <v>5.0979999999999999</v>
      </c>
      <c r="Q98" s="7" t="str">
        <f>VLOOKUP(D99,Product_Lookup!$A$2:$C$27,2,FALSE)</f>
        <v>Tablet</v>
      </c>
      <c r="R98" s="7">
        <f t="shared" si="10"/>
        <v>1427.4399999999998</v>
      </c>
    </row>
    <row r="99" spans="1:18" ht="21.75" customHeight="1">
      <c r="A99" t="s">
        <v>191</v>
      </c>
      <c r="B99" s="6">
        <v>45457</v>
      </c>
      <c r="C99" t="s">
        <v>55</v>
      </c>
      <c r="D99" t="s">
        <v>10</v>
      </c>
      <c r="E99" t="s">
        <v>17</v>
      </c>
      <c r="F99" t="s">
        <v>56</v>
      </c>
      <c r="G99" t="s">
        <v>13</v>
      </c>
      <c r="H99">
        <v>4</v>
      </c>
      <c r="I99" t="str">
        <f>VLOOKUP(D99,Product_Lookup!$A$2:$C$27,3,FALSE)</f>
        <v>$146.06</v>
      </c>
      <c r="J99" t="str">
        <f t="shared" si="11"/>
        <v>Friday</v>
      </c>
      <c r="K99" s="10" t="str">
        <f t="shared" si="12"/>
        <v>June</v>
      </c>
      <c r="L99">
        <f t="shared" si="13"/>
        <v>2024</v>
      </c>
      <c r="M99" t="b">
        <f t="shared" si="14"/>
        <v>0</v>
      </c>
      <c r="N99" t="b">
        <f t="shared" si="8"/>
        <v>0</v>
      </c>
      <c r="O99" t="str">
        <f t="shared" si="15"/>
        <v>Large Order</v>
      </c>
      <c r="P99" s="7">
        <f t="shared" si="9"/>
        <v>7.3030000000000008</v>
      </c>
      <c r="Q99" s="7" t="str">
        <f>VLOOKUP(D100,Product_Lookup!$A$2:$C$27,2,FALSE)</f>
        <v>Blender</v>
      </c>
      <c r="R99" s="7">
        <f t="shared" si="10"/>
        <v>584.24</v>
      </c>
    </row>
    <row r="100" spans="1:18" ht="21.75" customHeight="1">
      <c r="A100" t="s">
        <v>192</v>
      </c>
      <c r="B100" s="6">
        <v>45604</v>
      </c>
      <c r="C100" t="s">
        <v>78</v>
      </c>
      <c r="D100" t="s">
        <v>72</v>
      </c>
      <c r="E100" t="s">
        <v>17</v>
      </c>
      <c r="F100" t="s">
        <v>27</v>
      </c>
      <c r="G100" t="s">
        <v>32</v>
      </c>
      <c r="H100">
        <v>14</v>
      </c>
      <c r="I100" t="str">
        <f>VLOOKUP(D100,Product_Lookup!$A$2:$C$27,3,FALSE)</f>
        <v>$156.44</v>
      </c>
      <c r="J100" t="str">
        <f t="shared" si="11"/>
        <v>Friday</v>
      </c>
      <c r="K100" s="10" t="str">
        <f t="shared" si="12"/>
        <v>November</v>
      </c>
      <c r="L100">
        <f t="shared" si="13"/>
        <v>2024</v>
      </c>
      <c r="M100" t="b">
        <f t="shared" si="14"/>
        <v>0</v>
      </c>
      <c r="N100" t="b">
        <f t="shared" si="8"/>
        <v>1</v>
      </c>
      <c r="O100" t="str">
        <f t="shared" si="15"/>
        <v>Large Order</v>
      </c>
      <c r="P100" s="7">
        <f t="shared" si="9"/>
        <v>7.8220000000000001</v>
      </c>
      <c r="Q100" s="7" t="str">
        <f>VLOOKUP(D101,Product_Lookup!$A$2:$C$27,2,FALSE)</f>
        <v>Coffee Maker</v>
      </c>
      <c r="R100" s="7">
        <f t="shared" si="10"/>
        <v>2190.16</v>
      </c>
    </row>
    <row r="101" spans="1:18" ht="21.75" customHeight="1">
      <c r="A101" t="s">
        <v>193</v>
      </c>
      <c r="B101" s="6">
        <v>45400</v>
      </c>
      <c r="C101" t="s">
        <v>99</v>
      </c>
      <c r="D101" t="s">
        <v>31</v>
      </c>
      <c r="E101" t="s">
        <v>17</v>
      </c>
      <c r="F101" t="s">
        <v>42</v>
      </c>
      <c r="G101" t="s">
        <v>32</v>
      </c>
      <c r="H101">
        <v>15</v>
      </c>
      <c r="I101" t="str">
        <f>VLOOKUP(D101,Product_Lookup!$A$2:$C$27,3,FALSE)</f>
        <v>$230.34</v>
      </c>
      <c r="J101" t="str">
        <f t="shared" si="11"/>
        <v>Thursday</v>
      </c>
      <c r="K101" s="10" t="str">
        <f t="shared" si="12"/>
        <v>April</v>
      </c>
      <c r="L101">
        <f t="shared" si="13"/>
        <v>2024</v>
      </c>
      <c r="M101" t="b">
        <f t="shared" si="14"/>
        <v>0</v>
      </c>
      <c r="N101" t="b">
        <f t="shared" si="8"/>
        <v>1</v>
      </c>
      <c r="O101" t="str">
        <f t="shared" si="15"/>
        <v>Large Order</v>
      </c>
      <c r="P101" s="7">
        <f t="shared" si="9"/>
        <v>11.517000000000001</v>
      </c>
      <c r="Q101" s="7" t="str">
        <f>VLOOKUP(D102,Product_Lookup!$A$2:$C$27,2,FALSE)</f>
        <v>Board Game</v>
      </c>
      <c r="R101" s="7">
        <f t="shared" si="10"/>
        <v>3455.1</v>
      </c>
    </row>
    <row r="102" spans="1:18" ht="21.75" customHeight="1">
      <c r="A102" t="s">
        <v>194</v>
      </c>
      <c r="B102" s="6">
        <v>45576</v>
      </c>
      <c r="C102" t="s">
        <v>78</v>
      </c>
      <c r="D102" t="s">
        <v>41</v>
      </c>
      <c r="E102" t="s">
        <v>11</v>
      </c>
      <c r="F102" t="s">
        <v>12</v>
      </c>
      <c r="G102" t="s">
        <v>23</v>
      </c>
      <c r="H102">
        <v>4</v>
      </c>
      <c r="I102" t="str">
        <f>VLOOKUP(D102,Product_Lookup!$A$2:$C$27,3,FALSE)</f>
        <v>$86.6</v>
      </c>
      <c r="J102" t="str">
        <f t="shared" si="11"/>
        <v>Friday</v>
      </c>
      <c r="K102" s="10" t="str">
        <f t="shared" si="12"/>
        <v>October</v>
      </c>
      <c r="L102">
        <f t="shared" si="13"/>
        <v>2024</v>
      </c>
      <c r="M102" t="b">
        <f t="shared" si="14"/>
        <v>0</v>
      </c>
      <c r="N102" t="b">
        <f t="shared" si="8"/>
        <v>0</v>
      </c>
      <c r="O102" t="str">
        <f t="shared" si="15"/>
        <v>Standard order</v>
      </c>
      <c r="P102" s="7">
        <f t="shared" si="9"/>
        <v>4.33</v>
      </c>
      <c r="Q102" s="7" t="str">
        <f>VLOOKUP(D103,Product_Lookup!$A$2:$C$27,2,FALSE)</f>
        <v>Desk Lamp</v>
      </c>
      <c r="R102" s="7">
        <f t="shared" si="10"/>
        <v>346.4</v>
      </c>
    </row>
    <row r="103" spans="1:18" ht="21.75" customHeight="1">
      <c r="A103" t="s">
        <v>195</v>
      </c>
      <c r="B103" s="6">
        <v>45576</v>
      </c>
      <c r="C103" t="s">
        <v>167</v>
      </c>
      <c r="D103" t="s">
        <v>59</v>
      </c>
      <c r="E103" t="s">
        <v>17</v>
      </c>
      <c r="F103" t="s">
        <v>56</v>
      </c>
      <c r="G103" t="s">
        <v>36</v>
      </c>
      <c r="H103">
        <v>13</v>
      </c>
      <c r="I103" t="str">
        <f>VLOOKUP(D103,Product_Lookup!$A$2:$C$27,3,FALSE)</f>
        <v>$101.96</v>
      </c>
      <c r="J103" t="str">
        <f t="shared" si="11"/>
        <v>Friday</v>
      </c>
      <c r="K103" s="10" t="str">
        <f t="shared" si="12"/>
        <v>October</v>
      </c>
      <c r="L103">
        <f t="shared" si="13"/>
        <v>2024</v>
      </c>
      <c r="M103" t="b">
        <f t="shared" si="14"/>
        <v>0</v>
      </c>
      <c r="N103" t="b">
        <f t="shared" si="8"/>
        <v>1</v>
      </c>
      <c r="O103" t="str">
        <f t="shared" si="15"/>
        <v>Large Order</v>
      </c>
      <c r="P103" s="7">
        <f t="shared" si="9"/>
        <v>5.0979999999999999</v>
      </c>
      <c r="Q103" s="7" t="str">
        <f>VLOOKUP(D104,Product_Lookup!$A$2:$C$27,2,FALSE)</f>
        <v>Jacket</v>
      </c>
      <c r="R103" s="7">
        <f t="shared" si="10"/>
        <v>1325.48</v>
      </c>
    </row>
    <row r="104" spans="1:18" ht="21.75" customHeight="1">
      <c r="A104" t="s">
        <v>196</v>
      </c>
      <c r="B104" s="6">
        <v>45405</v>
      </c>
      <c r="C104" t="s">
        <v>89</v>
      </c>
      <c r="D104" t="s">
        <v>197</v>
      </c>
      <c r="E104" t="s">
        <v>22</v>
      </c>
      <c r="F104" t="s">
        <v>27</v>
      </c>
      <c r="G104" t="s">
        <v>28</v>
      </c>
      <c r="H104">
        <v>10</v>
      </c>
      <c r="I104" t="str">
        <f>VLOOKUP(D104,Product_Lookup!$A$2:$C$27,3,FALSE)</f>
        <v>$10.11</v>
      </c>
      <c r="J104" t="str">
        <f t="shared" si="11"/>
        <v>Tuesday</v>
      </c>
      <c r="K104" s="10" t="str">
        <f t="shared" si="12"/>
        <v>April</v>
      </c>
      <c r="L104">
        <f t="shared" si="13"/>
        <v>2024</v>
      </c>
      <c r="M104" t="b">
        <f t="shared" si="14"/>
        <v>0</v>
      </c>
      <c r="N104" t="b">
        <f t="shared" si="8"/>
        <v>0</v>
      </c>
      <c r="O104" t="str">
        <f t="shared" si="15"/>
        <v>Standard order</v>
      </c>
      <c r="P104" s="7">
        <f t="shared" si="9"/>
        <v>0.50549999999999995</v>
      </c>
      <c r="Q104" s="7" t="str">
        <f>VLOOKUP(D105,Product_Lookup!$A$2:$C$27,2,FALSE)</f>
        <v>Paper Shredder</v>
      </c>
      <c r="R104" s="7">
        <f t="shared" si="10"/>
        <v>101.1</v>
      </c>
    </row>
    <row r="105" spans="1:18" ht="21.75" customHeight="1">
      <c r="A105" t="s">
        <v>198</v>
      </c>
      <c r="B105" s="6">
        <v>45563</v>
      </c>
      <c r="C105" t="s">
        <v>99</v>
      </c>
      <c r="D105" t="s">
        <v>109</v>
      </c>
      <c r="E105" t="s">
        <v>17</v>
      </c>
      <c r="F105" t="s">
        <v>42</v>
      </c>
      <c r="G105" t="s">
        <v>36</v>
      </c>
      <c r="H105">
        <v>6</v>
      </c>
      <c r="I105" t="str">
        <f>VLOOKUP(D105,Product_Lookup!$A$2:$C$27,3,FALSE)</f>
        <v>$81.02</v>
      </c>
      <c r="J105" t="str">
        <f t="shared" si="11"/>
        <v>Saturday</v>
      </c>
      <c r="K105" s="10" t="str">
        <f t="shared" si="12"/>
        <v>September</v>
      </c>
      <c r="L105">
        <f t="shared" si="13"/>
        <v>2024</v>
      </c>
      <c r="M105" t="b">
        <f t="shared" si="14"/>
        <v>1</v>
      </c>
      <c r="N105" t="b">
        <f t="shared" si="8"/>
        <v>0</v>
      </c>
      <c r="O105" t="str">
        <f t="shared" si="15"/>
        <v>Standard order</v>
      </c>
      <c r="P105" s="7">
        <f t="shared" si="9"/>
        <v>4.0510000000000002</v>
      </c>
      <c r="Q105" s="7" t="str">
        <f>VLOOKUP(D106,Product_Lookup!$A$2:$C$27,2,FALSE)</f>
        <v>T-Shirt</v>
      </c>
      <c r="R105" s="7">
        <f t="shared" si="10"/>
        <v>486.12</v>
      </c>
    </row>
    <row r="106" spans="1:18" ht="21.75" customHeight="1">
      <c r="A106" t="s">
        <v>199</v>
      </c>
      <c r="B106" s="6">
        <v>45448</v>
      </c>
      <c r="C106" t="s">
        <v>200</v>
      </c>
      <c r="D106" t="s">
        <v>45</v>
      </c>
      <c r="E106" t="s">
        <v>22</v>
      </c>
      <c r="F106" t="s">
        <v>42</v>
      </c>
      <c r="G106" t="s">
        <v>28</v>
      </c>
      <c r="H106">
        <v>4</v>
      </c>
      <c r="I106" t="str">
        <f>VLOOKUP(D106,Product_Lookup!$A$2:$C$27,3,FALSE)</f>
        <v>$107.34</v>
      </c>
      <c r="J106" t="str">
        <f t="shared" si="11"/>
        <v>Wednesday</v>
      </c>
      <c r="K106" s="10" t="str">
        <f t="shared" si="12"/>
        <v>June</v>
      </c>
      <c r="L106">
        <f t="shared" si="13"/>
        <v>2024</v>
      </c>
      <c r="M106" t="b">
        <f t="shared" si="14"/>
        <v>0</v>
      </c>
      <c r="N106" t="b">
        <f t="shared" si="8"/>
        <v>0</v>
      </c>
      <c r="O106" t="str">
        <f t="shared" si="15"/>
        <v>Standard order</v>
      </c>
      <c r="P106" s="7">
        <f t="shared" si="9"/>
        <v>5.3670000000000009</v>
      </c>
      <c r="Q106" s="7" t="str">
        <f>VLOOKUP(D107,Product_Lookup!$A$2:$C$27,2,FALSE)</f>
        <v>Jeans</v>
      </c>
      <c r="R106" s="7">
        <f t="shared" si="10"/>
        <v>429.36</v>
      </c>
    </row>
    <row r="107" spans="1:18" ht="21.75" customHeight="1">
      <c r="A107" t="s">
        <v>201</v>
      </c>
      <c r="B107" s="6">
        <v>45566</v>
      </c>
      <c r="C107" t="s">
        <v>61</v>
      </c>
      <c r="D107" t="s">
        <v>65</v>
      </c>
      <c r="E107" t="s">
        <v>3656</v>
      </c>
      <c r="F107" t="s">
        <v>56</v>
      </c>
      <c r="G107" t="s">
        <v>28</v>
      </c>
      <c r="H107">
        <v>8</v>
      </c>
      <c r="I107" t="str">
        <f>VLOOKUP(D107,Product_Lookup!$A$2:$C$27,3,FALSE)</f>
        <v>$33.22</v>
      </c>
      <c r="J107" t="str">
        <f t="shared" si="11"/>
        <v>Tuesday</v>
      </c>
      <c r="K107" s="10" t="str">
        <f t="shared" si="12"/>
        <v>October</v>
      </c>
      <c r="L107">
        <f t="shared" si="13"/>
        <v>2024</v>
      </c>
      <c r="M107" t="b">
        <f t="shared" si="14"/>
        <v>0</v>
      </c>
      <c r="N107" t="b">
        <f t="shared" si="8"/>
        <v>0</v>
      </c>
      <c r="O107" t="str">
        <f t="shared" si="15"/>
        <v>Standard order</v>
      </c>
      <c r="P107" s="7">
        <f t="shared" si="9"/>
        <v>1.661</v>
      </c>
      <c r="Q107" s="7" t="str">
        <f>VLOOKUP(D108,Product_Lookup!$A$2:$C$27,2,FALSE)</f>
        <v>Blender</v>
      </c>
      <c r="R107" s="7">
        <f t="shared" si="10"/>
        <v>265.76</v>
      </c>
    </row>
    <row r="108" spans="1:18" ht="21.75" customHeight="1">
      <c r="A108" t="s">
        <v>202</v>
      </c>
      <c r="B108" s="6">
        <v>45560</v>
      </c>
      <c r="C108" t="s">
        <v>203</v>
      </c>
      <c r="D108" t="s">
        <v>72</v>
      </c>
      <c r="E108" t="s">
        <v>11</v>
      </c>
      <c r="F108" t="s">
        <v>306</v>
      </c>
      <c r="G108" t="s">
        <v>32</v>
      </c>
      <c r="H108">
        <v>5</v>
      </c>
      <c r="I108" t="str">
        <f>VLOOKUP(D108,Product_Lookup!$A$2:$C$27,3,FALSE)</f>
        <v>$156.44</v>
      </c>
      <c r="J108" t="str">
        <f t="shared" si="11"/>
        <v>Wednesday</v>
      </c>
      <c r="K108" s="10" t="str">
        <f t="shared" si="12"/>
        <v>September</v>
      </c>
      <c r="L108">
        <f t="shared" si="13"/>
        <v>2024</v>
      </c>
      <c r="M108" t="b">
        <f t="shared" si="14"/>
        <v>0</v>
      </c>
      <c r="N108" t="b">
        <f t="shared" si="8"/>
        <v>0</v>
      </c>
      <c r="O108" t="str">
        <f t="shared" si="15"/>
        <v>Large Order</v>
      </c>
      <c r="P108" s="7">
        <f t="shared" si="9"/>
        <v>7.8220000000000001</v>
      </c>
      <c r="Q108" s="7" t="str">
        <f>VLOOKUP(D109,Product_Lookup!$A$2:$C$27,2,FALSE)</f>
        <v>Board Game</v>
      </c>
      <c r="R108" s="7">
        <f t="shared" si="10"/>
        <v>782.2</v>
      </c>
    </row>
    <row r="109" spans="1:18" ht="21.75" customHeight="1">
      <c r="A109" t="s">
        <v>204</v>
      </c>
      <c r="B109" s="6">
        <v>45446</v>
      </c>
      <c r="C109" t="s">
        <v>89</v>
      </c>
      <c r="D109" t="s">
        <v>41</v>
      </c>
      <c r="E109" t="s">
        <v>17</v>
      </c>
      <c r="F109" t="s">
        <v>12</v>
      </c>
      <c r="G109" t="s">
        <v>23</v>
      </c>
      <c r="H109">
        <v>1</v>
      </c>
      <c r="I109" t="str">
        <f>VLOOKUP(D109,Product_Lookup!$A$2:$C$27,3,FALSE)</f>
        <v>$86.6</v>
      </c>
      <c r="J109" t="str">
        <f t="shared" si="11"/>
        <v>Monday</v>
      </c>
      <c r="K109" s="10" t="str">
        <f t="shared" si="12"/>
        <v>June</v>
      </c>
      <c r="L109">
        <f t="shared" si="13"/>
        <v>2024</v>
      </c>
      <c r="M109" t="b">
        <f t="shared" si="14"/>
        <v>0</v>
      </c>
      <c r="N109" t="b">
        <f t="shared" si="8"/>
        <v>0</v>
      </c>
      <c r="O109" t="str">
        <f t="shared" si="15"/>
        <v>Standard order</v>
      </c>
      <c r="P109" s="7">
        <f t="shared" si="9"/>
        <v>4.33</v>
      </c>
      <c r="Q109" s="7" t="str">
        <f>VLOOKUP(D110,Product_Lookup!$A$2:$C$27,2,FALSE)</f>
        <v>Stapler</v>
      </c>
      <c r="R109" s="7">
        <f t="shared" si="10"/>
        <v>86.6</v>
      </c>
    </row>
    <row r="110" spans="1:18" ht="21.75" customHeight="1">
      <c r="A110" t="s">
        <v>205</v>
      </c>
      <c r="B110" s="6">
        <v>45441</v>
      </c>
      <c r="C110" t="s">
        <v>93</v>
      </c>
      <c r="D110" t="s">
        <v>35</v>
      </c>
      <c r="E110" t="s">
        <v>11</v>
      </c>
      <c r="F110" t="s">
        <v>56</v>
      </c>
      <c r="G110" t="s">
        <v>36</v>
      </c>
      <c r="H110">
        <v>10</v>
      </c>
      <c r="I110" t="str">
        <f>VLOOKUP(D110,Product_Lookup!$A$2:$C$27,3,FALSE)</f>
        <v>$64.61</v>
      </c>
      <c r="J110" t="str">
        <f t="shared" si="11"/>
        <v>Wednesday</v>
      </c>
      <c r="K110" s="10" t="str">
        <f t="shared" si="12"/>
        <v>May</v>
      </c>
      <c r="L110">
        <f t="shared" si="13"/>
        <v>2024</v>
      </c>
      <c r="M110" t="b">
        <f t="shared" si="14"/>
        <v>0</v>
      </c>
      <c r="N110" t="b">
        <f t="shared" si="8"/>
        <v>0</v>
      </c>
      <c r="O110" t="str">
        <f t="shared" si="15"/>
        <v>Large Order</v>
      </c>
      <c r="P110" s="7">
        <f t="shared" si="9"/>
        <v>3.2305000000000001</v>
      </c>
      <c r="Q110" s="7" t="str">
        <f>VLOOKUP(D111,Product_Lookup!$A$2:$C$27,2,FALSE)</f>
        <v>T-Shirt</v>
      </c>
      <c r="R110" s="7">
        <f t="shared" si="10"/>
        <v>646.1</v>
      </c>
    </row>
    <row r="111" spans="1:18" ht="21.75" customHeight="1">
      <c r="A111" t="s">
        <v>206</v>
      </c>
      <c r="B111" s="6">
        <v>45517</v>
      </c>
      <c r="C111" t="s">
        <v>122</v>
      </c>
      <c r="D111" t="s">
        <v>45</v>
      </c>
      <c r="E111" t="s">
        <v>17</v>
      </c>
      <c r="F111" t="s">
        <v>42</v>
      </c>
      <c r="G111" t="s">
        <v>28</v>
      </c>
      <c r="H111">
        <v>14</v>
      </c>
      <c r="I111" t="str">
        <f>VLOOKUP(D111,Product_Lookup!$A$2:$C$27,3,FALSE)</f>
        <v>$107.34</v>
      </c>
      <c r="J111" t="str">
        <f t="shared" si="11"/>
        <v>Tuesday</v>
      </c>
      <c r="K111" s="10" t="str">
        <f t="shared" si="12"/>
        <v>August</v>
      </c>
      <c r="L111">
        <f t="shared" si="13"/>
        <v>2024</v>
      </c>
      <c r="M111" t="b">
        <f t="shared" si="14"/>
        <v>0</v>
      </c>
      <c r="N111" t="b">
        <f t="shared" si="8"/>
        <v>1</v>
      </c>
      <c r="O111" t="str">
        <f t="shared" si="15"/>
        <v>Large Order</v>
      </c>
      <c r="P111" s="7">
        <f t="shared" si="9"/>
        <v>5.3670000000000009</v>
      </c>
      <c r="Q111" s="7" t="str">
        <f>VLOOKUP(D112,Product_Lookup!$A$2:$C$27,2,FALSE)</f>
        <v>Headphones</v>
      </c>
      <c r="R111" s="7">
        <f t="shared" si="10"/>
        <v>1502.76</v>
      </c>
    </row>
    <row r="112" spans="1:18" ht="21.75" customHeight="1">
      <c r="A112" t="s">
        <v>207</v>
      </c>
      <c r="B112" s="6">
        <v>45497</v>
      </c>
      <c r="C112" t="s">
        <v>208</v>
      </c>
      <c r="D112" t="s">
        <v>16</v>
      </c>
      <c r="E112" t="s">
        <v>22</v>
      </c>
      <c r="F112" t="s">
        <v>27</v>
      </c>
      <c r="G112" t="s">
        <v>13</v>
      </c>
      <c r="H112">
        <v>11</v>
      </c>
      <c r="I112" t="str">
        <f>VLOOKUP(D112,Product_Lookup!$A$2:$C$27,3,FALSE)</f>
        <v>$178.83</v>
      </c>
      <c r="J112" t="str">
        <f t="shared" si="11"/>
        <v>Wednesday</v>
      </c>
      <c r="K112" s="10" t="str">
        <f t="shared" si="12"/>
        <v>July</v>
      </c>
      <c r="L112">
        <f t="shared" si="13"/>
        <v>2024</v>
      </c>
      <c r="M112" t="b">
        <f t="shared" si="14"/>
        <v>0</v>
      </c>
      <c r="N112" t="b">
        <f t="shared" si="8"/>
        <v>1</v>
      </c>
      <c r="O112" t="str">
        <f t="shared" si="15"/>
        <v>Large Order</v>
      </c>
      <c r="P112" s="7">
        <f t="shared" si="9"/>
        <v>8.9415000000000013</v>
      </c>
      <c r="Q112" s="7" t="str">
        <f>VLOOKUP(D113,Product_Lookup!$A$2:$C$27,2,FALSE)</f>
        <v>Smartphone</v>
      </c>
      <c r="R112" s="7">
        <f t="shared" si="10"/>
        <v>1967.13</v>
      </c>
    </row>
    <row r="113" spans="1:18" ht="21.75" customHeight="1">
      <c r="A113" t="s">
        <v>209</v>
      </c>
      <c r="B113" s="6">
        <v>45580</v>
      </c>
      <c r="C113" t="s">
        <v>68</v>
      </c>
      <c r="D113" t="s">
        <v>79</v>
      </c>
      <c r="E113" t="s">
        <v>11</v>
      </c>
      <c r="F113" t="s">
        <v>42</v>
      </c>
      <c r="G113" t="s">
        <v>13</v>
      </c>
      <c r="H113">
        <v>9</v>
      </c>
      <c r="I113" t="str">
        <f>VLOOKUP(D113,Product_Lookup!$A$2:$C$27,3,FALSE)</f>
        <v>$216.22</v>
      </c>
      <c r="J113" t="str">
        <f t="shared" si="11"/>
        <v>Tuesday</v>
      </c>
      <c r="K113" s="10" t="str">
        <f t="shared" si="12"/>
        <v>October</v>
      </c>
      <c r="L113">
        <f t="shared" si="13"/>
        <v>2024</v>
      </c>
      <c r="M113" t="b">
        <f t="shared" si="14"/>
        <v>0</v>
      </c>
      <c r="N113" t="b">
        <f t="shared" si="8"/>
        <v>1</v>
      </c>
      <c r="O113" t="str">
        <f t="shared" si="15"/>
        <v>Large Order</v>
      </c>
      <c r="P113" s="7">
        <f t="shared" si="9"/>
        <v>10.811</v>
      </c>
      <c r="Q113" s="7" t="str">
        <f>VLOOKUP(D114,Product_Lookup!$A$2:$C$27,2,FALSE)</f>
        <v>Socks</v>
      </c>
      <c r="R113" s="7">
        <f t="shared" si="10"/>
        <v>1945.98</v>
      </c>
    </row>
    <row r="114" spans="1:18" ht="21.75" customHeight="1">
      <c r="A114" t="s">
        <v>210</v>
      </c>
      <c r="B114" s="6">
        <v>45597</v>
      </c>
      <c r="C114" t="s">
        <v>125</v>
      </c>
      <c r="D114" t="s">
        <v>74</v>
      </c>
      <c r="E114" t="s">
        <v>17</v>
      </c>
      <c r="F114" t="s">
        <v>306</v>
      </c>
      <c r="G114" t="s">
        <v>28</v>
      </c>
      <c r="H114">
        <v>8</v>
      </c>
      <c r="I114" t="str">
        <f>VLOOKUP(D114,Product_Lookup!$A$2:$C$27,3,FALSE)</f>
        <v>$201.32</v>
      </c>
      <c r="J114" t="str">
        <f t="shared" si="11"/>
        <v>Friday</v>
      </c>
      <c r="K114" s="10" t="str">
        <f t="shared" si="12"/>
        <v>November</v>
      </c>
      <c r="L114">
        <f t="shared" si="13"/>
        <v>2024</v>
      </c>
      <c r="M114" t="b">
        <f t="shared" si="14"/>
        <v>0</v>
      </c>
      <c r="N114" t="b">
        <f t="shared" si="8"/>
        <v>1</v>
      </c>
      <c r="O114" t="str">
        <f t="shared" si="15"/>
        <v>Large Order</v>
      </c>
      <c r="P114" s="7">
        <f t="shared" si="9"/>
        <v>10.066000000000001</v>
      </c>
      <c r="Q114" s="7" t="str">
        <f>VLOOKUP(D115,Product_Lookup!$A$2:$C$27,2,FALSE)</f>
        <v>Air Fryer</v>
      </c>
      <c r="R114" s="7">
        <f t="shared" si="10"/>
        <v>1610.56</v>
      </c>
    </row>
    <row r="115" spans="1:18" ht="21.75" customHeight="1">
      <c r="A115" t="s">
        <v>211</v>
      </c>
      <c r="B115" s="6">
        <v>45593</v>
      </c>
      <c r="C115" t="s">
        <v>200</v>
      </c>
      <c r="D115" t="s">
        <v>70</v>
      </c>
      <c r="E115" t="s">
        <v>22</v>
      </c>
      <c r="F115" t="s">
        <v>27</v>
      </c>
      <c r="G115" t="s">
        <v>32</v>
      </c>
      <c r="H115">
        <v>1</v>
      </c>
      <c r="I115" t="str">
        <f>VLOOKUP(D115,Product_Lookup!$A$2:$C$27,3,FALSE)</f>
        <v>$211.9</v>
      </c>
      <c r="J115" t="str">
        <f t="shared" si="11"/>
        <v>Monday</v>
      </c>
      <c r="K115" s="10" t="str">
        <f t="shared" si="12"/>
        <v>October</v>
      </c>
      <c r="L115">
        <f t="shared" si="13"/>
        <v>2024</v>
      </c>
      <c r="M115" t="b">
        <f t="shared" si="14"/>
        <v>0</v>
      </c>
      <c r="N115" t="b">
        <f t="shared" si="8"/>
        <v>0</v>
      </c>
      <c r="O115" t="str">
        <f t="shared" si="15"/>
        <v>Standard order</v>
      </c>
      <c r="P115" s="7">
        <f t="shared" si="9"/>
        <v>10.595000000000001</v>
      </c>
      <c r="Q115" s="7" t="str">
        <f>VLOOKUP(D116,Product_Lookup!$A$2:$C$27,2,FALSE)</f>
        <v>Jacket</v>
      </c>
      <c r="R115" s="7">
        <f t="shared" si="10"/>
        <v>211.9</v>
      </c>
    </row>
    <row r="116" spans="1:18" ht="21.75" customHeight="1">
      <c r="A116" t="s">
        <v>212</v>
      </c>
      <c r="B116" s="6">
        <v>45342</v>
      </c>
      <c r="C116" t="s">
        <v>203</v>
      </c>
      <c r="D116" t="s">
        <v>197</v>
      </c>
      <c r="E116" t="s">
        <v>22</v>
      </c>
      <c r="F116" t="s">
        <v>56</v>
      </c>
      <c r="G116" t="s">
        <v>28</v>
      </c>
      <c r="H116">
        <v>2</v>
      </c>
      <c r="I116" t="str">
        <f>VLOOKUP(D116,Product_Lookup!$A$2:$C$27,3,FALSE)</f>
        <v>$10.11</v>
      </c>
      <c r="J116" t="str">
        <f t="shared" si="11"/>
        <v>Tuesday</v>
      </c>
      <c r="K116" s="10" t="str">
        <f t="shared" si="12"/>
        <v>February</v>
      </c>
      <c r="L116">
        <f t="shared" si="13"/>
        <v>2024</v>
      </c>
      <c r="M116" t="b">
        <f t="shared" si="14"/>
        <v>0</v>
      </c>
      <c r="N116" t="b">
        <f t="shared" si="8"/>
        <v>0</v>
      </c>
      <c r="O116" t="str">
        <f t="shared" si="15"/>
        <v>Standard order</v>
      </c>
      <c r="P116" s="7">
        <f t="shared" si="9"/>
        <v>0.50549999999999995</v>
      </c>
      <c r="Q116" s="7" t="str">
        <f>VLOOKUP(D117,Product_Lookup!$A$2:$C$27,2,FALSE)</f>
        <v>T-Shirt</v>
      </c>
      <c r="R116" s="7">
        <f t="shared" si="10"/>
        <v>20.22</v>
      </c>
    </row>
    <row r="117" spans="1:18" ht="21.75" customHeight="1">
      <c r="A117" t="s">
        <v>213</v>
      </c>
      <c r="B117" s="6">
        <v>45574</v>
      </c>
      <c r="C117" t="s">
        <v>93</v>
      </c>
      <c r="D117" t="s">
        <v>45</v>
      </c>
      <c r="E117" t="s">
        <v>17</v>
      </c>
      <c r="F117" t="s">
        <v>12</v>
      </c>
      <c r="G117" t="s">
        <v>28</v>
      </c>
      <c r="H117">
        <v>8</v>
      </c>
      <c r="I117" t="str">
        <f>VLOOKUP(D117,Product_Lookup!$A$2:$C$27,3,FALSE)</f>
        <v>$107.34</v>
      </c>
      <c r="J117" t="str">
        <f t="shared" si="11"/>
        <v>Wednesday</v>
      </c>
      <c r="K117" s="10" t="str">
        <f t="shared" si="12"/>
        <v>October</v>
      </c>
      <c r="L117">
        <f t="shared" si="13"/>
        <v>2024</v>
      </c>
      <c r="M117" t="b">
        <f t="shared" si="14"/>
        <v>0</v>
      </c>
      <c r="N117" t="b">
        <f t="shared" si="8"/>
        <v>1</v>
      </c>
      <c r="O117" t="str">
        <f t="shared" si="15"/>
        <v>Large Order</v>
      </c>
      <c r="P117" s="7">
        <f t="shared" si="9"/>
        <v>5.3670000000000009</v>
      </c>
      <c r="Q117" s="7" t="str">
        <f>VLOOKUP(D118,Product_Lookup!$A$2:$C$27,2,FALSE)</f>
        <v>Jacket</v>
      </c>
      <c r="R117" s="7">
        <f t="shared" si="10"/>
        <v>858.72</v>
      </c>
    </row>
    <row r="118" spans="1:18" ht="21.75" customHeight="1">
      <c r="A118" t="s">
        <v>214</v>
      </c>
      <c r="B118" s="6">
        <v>45441</v>
      </c>
      <c r="C118" t="s">
        <v>51</v>
      </c>
      <c r="D118" t="s">
        <v>197</v>
      </c>
      <c r="E118" t="s">
        <v>22</v>
      </c>
      <c r="F118" t="s">
        <v>12</v>
      </c>
      <c r="G118" t="s">
        <v>28</v>
      </c>
      <c r="H118">
        <v>5</v>
      </c>
      <c r="I118" t="str">
        <f>VLOOKUP(D118,Product_Lookup!$A$2:$C$27,3,FALSE)</f>
        <v>$10.11</v>
      </c>
      <c r="J118" t="str">
        <f t="shared" si="11"/>
        <v>Wednesday</v>
      </c>
      <c r="K118" s="10" t="str">
        <f t="shared" si="12"/>
        <v>May</v>
      </c>
      <c r="L118">
        <f t="shared" si="13"/>
        <v>2024</v>
      </c>
      <c r="M118" t="b">
        <f t="shared" si="14"/>
        <v>0</v>
      </c>
      <c r="N118" t="b">
        <f t="shared" si="8"/>
        <v>0</v>
      </c>
      <c r="O118" t="str">
        <f t="shared" si="15"/>
        <v>Standard order</v>
      </c>
      <c r="P118" s="7">
        <f t="shared" si="9"/>
        <v>0.50549999999999995</v>
      </c>
      <c r="Q118" s="7" t="str">
        <f>VLOOKUP(D119,Product_Lookup!$A$2:$C$27,2,FALSE)</f>
        <v>Air Fryer</v>
      </c>
      <c r="R118" s="7">
        <f t="shared" si="10"/>
        <v>50.55</v>
      </c>
    </row>
    <row r="119" spans="1:18" ht="21.75" customHeight="1">
      <c r="A119" t="s">
        <v>215</v>
      </c>
      <c r="B119" s="6">
        <v>45328</v>
      </c>
      <c r="C119" t="s">
        <v>133</v>
      </c>
      <c r="D119" t="s">
        <v>70</v>
      </c>
      <c r="E119" t="s">
        <v>22</v>
      </c>
      <c r="F119" t="s">
        <v>56</v>
      </c>
      <c r="G119" t="s">
        <v>32</v>
      </c>
      <c r="H119">
        <v>13</v>
      </c>
      <c r="I119" t="str">
        <f>VLOOKUP(D119,Product_Lookup!$A$2:$C$27,3,FALSE)</f>
        <v>$211.9</v>
      </c>
      <c r="J119" t="str">
        <f t="shared" si="11"/>
        <v>Tuesday</v>
      </c>
      <c r="K119" s="10" t="str">
        <f t="shared" si="12"/>
        <v>February</v>
      </c>
      <c r="L119">
        <f t="shared" si="13"/>
        <v>2024</v>
      </c>
      <c r="M119" t="b">
        <f t="shared" si="14"/>
        <v>0</v>
      </c>
      <c r="N119" t="b">
        <f t="shared" si="8"/>
        <v>1</v>
      </c>
      <c r="O119" t="str">
        <f t="shared" si="15"/>
        <v>Large Order</v>
      </c>
      <c r="P119" s="7">
        <f t="shared" si="9"/>
        <v>10.595000000000001</v>
      </c>
      <c r="Q119" s="7" t="str">
        <f>VLOOKUP(D120,Product_Lookup!$A$2:$C$27,2,FALSE)</f>
        <v>Jeans</v>
      </c>
      <c r="R119" s="7">
        <f t="shared" si="10"/>
        <v>2754.7000000000003</v>
      </c>
    </row>
    <row r="120" spans="1:18" ht="21.75" customHeight="1">
      <c r="A120" t="s">
        <v>216</v>
      </c>
      <c r="B120" s="6">
        <v>45350</v>
      </c>
      <c r="C120" t="s">
        <v>64</v>
      </c>
      <c r="D120" t="s">
        <v>65</v>
      </c>
      <c r="E120" t="s">
        <v>17</v>
      </c>
      <c r="F120" t="s">
        <v>306</v>
      </c>
      <c r="G120" t="s">
        <v>28</v>
      </c>
      <c r="H120">
        <v>14</v>
      </c>
      <c r="I120" t="str">
        <f>VLOOKUP(D120,Product_Lookup!$A$2:$C$27,3,FALSE)</f>
        <v>$33.22</v>
      </c>
      <c r="J120" t="str">
        <f t="shared" si="11"/>
        <v>Wednesday</v>
      </c>
      <c r="K120" s="10" t="str">
        <f t="shared" si="12"/>
        <v>February</v>
      </c>
      <c r="L120">
        <f t="shared" si="13"/>
        <v>2024</v>
      </c>
      <c r="M120" t="b">
        <f t="shared" si="14"/>
        <v>0</v>
      </c>
      <c r="N120" t="b">
        <f t="shared" si="8"/>
        <v>0</v>
      </c>
      <c r="O120" t="str">
        <f t="shared" si="15"/>
        <v>Standard order</v>
      </c>
      <c r="P120" s="7">
        <f t="shared" si="9"/>
        <v>1.661</v>
      </c>
      <c r="Q120" s="7" t="str">
        <f>VLOOKUP(D121,Product_Lookup!$A$2:$C$27,2,FALSE)</f>
        <v>Doll</v>
      </c>
      <c r="R120" s="7">
        <f t="shared" si="10"/>
        <v>465.08</v>
      </c>
    </row>
    <row r="121" spans="1:18" ht="21.75" customHeight="1">
      <c r="A121" t="s">
        <v>217</v>
      </c>
      <c r="B121" s="6">
        <v>45376</v>
      </c>
      <c r="C121" t="s">
        <v>20</v>
      </c>
      <c r="D121" t="s">
        <v>119</v>
      </c>
      <c r="E121" t="s">
        <v>17</v>
      </c>
      <c r="F121" t="s">
        <v>42</v>
      </c>
      <c r="G121" t="s">
        <v>23</v>
      </c>
      <c r="H121">
        <v>8</v>
      </c>
      <c r="I121" t="str">
        <f>VLOOKUP(D121,Product_Lookup!$A$2:$C$27,3,FALSE)</f>
        <v>$32.94</v>
      </c>
      <c r="J121" t="str">
        <f t="shared" si="11"/>
        <v>Monday</v>
      </c>
      <c r="K121" s="10" t="str">
        <f t="shared" si="12"/>
        <v>March</v>
      </c>
      <c r="L121">
        <f t="shared" si="13"/>
        <v>2024</v>
      </c>
      <c r="M121" t="b">
        <f t="shared" si="14"/>
        <v>0</v>
      </c>
      <c r="N121" t="b">
        <f t="shared" si="8"/>
        <v>0</v>
      </c>
      <c r="O121" t="str">
        <f t="shared" si="15"/>
        <v>Standard order</v>
      </c>
      <c r="P121" s="7">
        <f t="shared" si="9"/>
        <v>1.647</v>
      </c>
      <c r="Q121" s="7" t="str">
        <f>VLOOKUP(D122,Product_Lookup!$A$2:$C$27,2,FALSE)</f>
        <v>Air Fryer</v>
      </c>
      <c r="R121" s="7">
        <f t="shared" si="10"/>
        <v>263.52</v>
      </c>
    </row>
    <row r="122" spans="1:18" ht="21.75" customHeight="1">
      <c r="A122" t="s">
        <v>218</v>
      </c>
      <c r="B122" s="6">
        <v>45447</v>
      </c>
      <c r="C122" t="s">
        <v>68</v>
      </c>
      <c r="D122" t="s">
        <v>70</v>
      </c>
      <c r="E122" t="s">
        <v>3656</v>
      </c>
      <c r="F122" t="s">
        <v>27</v>
      </c>
      <c r="G122" t="s">
        <v>32</v>
      </c>
      <c r="H122">
        <v>8</v>
      </c>
      <c r="I122" t="str">
        <f>VLOOKUP(D122,Product_Lookup!$A$2:$C$27,3,FALSE)</f>
        <v>$211.9</v>
      </c>
      <c r="J122" t="str">
        <f t="shared" si="11"/>
        <v>Tuesday</v>
      </c>
      <c r="K122" s="10" t="str">
        <f t="shared" si="12"/>
        <v>June</v>
      </c>
      <c r="L122">
        <f t="shared" si="13"/>
        <v>2024</v>
      </c>
      <c r="M122" t="b">
        <f t="shared" si="14"/>
        <v>0</v>
      </c>
      <c r="N122" t="b">
        <f t="shared" si="8"/>
        <v>1</v>
      </c>
      <c r="O122" t="str">
        <f t="shared" si="15"/>
        <v>Large Order</v>
      </c>
      <c r="P122" s="7">
        <f t="shared" si="9"/>
        <v>10.595000000000001</v>
      </c>
      <c r="Q122" s="7" t="str">
        <f>VLOOKUP(D123,Product_Lookup!$A$2:$C$27,2,FALSE)</f>
        <v>Air Fryer</v>
      </c>
      <c r="R122" s="7">
        <f t="shared" si="10"/>
        <v>1695.2</v>
      </c>
    </row>
    <row r="123" spans="1:18" ht="21.75" customHeight="1">
      <c r="A123" t="s">
        <v>219</v>
      </c>
      <c r="B123" s="6">
        <v>45312</v>
      </c>
      <c r="C123" t="s">
        <v>47</v>
      </c>
      <c r="D123" t="s">
        <v>70</v>
      </c>
      <c r="E123" t="s">
        <v>17</v>
      </c>
      <c r="F123" t="s">
        <v>27</v>
      </c>
      <c r="G123" t="s">
        <v>32</v>
      </c>
      <c r="H123">
        <v>1</v>
      </c>
      <c r="I123" t="str">
        <f>VLOOKUP(D123,Product_Lookup!$A$2:$C$27,3,FALSE)</f>
        <v>$211.9</v>
      </c>
      <c r="J123" t="str">
        <f t="shared" si="11"/>
        <v>Sunday</v>
      </c>
      <c r="K123" s="10" t="str">
        <f t="shared" si="12"/>
        <v>January</v>
      </c>
      <c r="L123">
        <f t="shared" si="13"/>
        <v>2024</v>
      </c>
      <c r="M123" t="b">
        <f t="shared" si="14"/>
        <v>1</v>
      </c>
      <c r="N123" t="b">
        <f t="shared" si="8"/>
        <v>0</v>
      </c>
      <c r="O123" t="str">
        <f t="shared" si="15"/>
        <v>Standard order</v>
      </c>
      <c r="P123" s="7">
        <f t="shared" si="9"/>
        <v>10.595000000000001</v>
      </c>
      <c r="Q123" s="7" t="str">
        <f>VLOOKUP(D124,Product_Lookup!$A$2:$C$27,2,FALSE)</f>
        <v>Tablet</v>
      </c>
      <c r="R123" s="7">
        <f t="shared" si="10"/>
        <v>211.9</v>
      </c>
    </row>
    <row r="124" spans="1:18" ht="21.75" customHeight="1">
      <c r="A124" t="s">
        <v>220</v>
      </c>
      <c r="B124" s="6">
        <v>45586</v>
      </c>
      <c r="C124" t="s">
        <v>203</v>
      </c>
      <c r="D124" t="s">
        <v>10</v>
      </c>
      <c r="E124" t="s">
        <v>22</v>
      </c>
      <c r="F124" t="s">
        <v>306</v>
      </c>
      <c r="G124" t="s">
        <v>13</v>
      </c>
      <c r="H124">
        <v>1</v>
      </c>
      <c r="I124" t="str">
        <f>VLOOKUP(D124,Product_Lookup!$A$2:$C$27,3,FALSE)</f>
        <v>$146.06</v>
      </c>
      <c r="J124" t="str">
        <f t="shared" si="11"/>
        <v>Monday</v>
      </c>
      <c r="K124" s="10" t="str">
        <f t="shared" si="12"/>
        <v>October</v>
      </c>
      <c r="L124">
        <f t="shared" si="13"/>
        <v>2024</v>
      </c>
      <c r="M124" t="b">
        <f t="shared" si="14"/>
        <v>0</v>
      </c>
      <c r="N124" t="b">
        <f t="shared" si="8"/>
        <v>0</v>
      </c>
      <c r="O124" t="str">
        <f t="shared" si="15"/>
        <v>Standard order</v>
      </c>
      <c r="P124" s="7">
        <f t="shared" si="9"/>
        <v>7.3030000000000008</v>
      </c>
      <c r="Q124" s="7" t="str">
        <f>VLOOKUP(D125,Product_Lookup!$A$2:$C$27,2,FALSE)</f>
        <v>Pen Set</v>
      </c>
      <c r="R124" s="7">
        <f t="shared" si="10"/>
        <v>146.06</v>
      </c>
    </row>
    <row r="125" spans="1:18" ht="21.75" customHeight="1">
      <c r="A125" t="s">
        <v>221</v>
      </c>
      <c r="B125" s="6">
        <v>45532</v>
      </c>
      <c r="C125" t="s">
        <v>78</v>
      </c>
      <c r="D125" t="s">
        <v>174</v>
      </c>
      <c r="E125" t="s">
        <v>11</v>
      </c>
      <c r="F125" t="s">
        <v>306</v>
      </c>
      <c r="G125" t="s">
        <v>36</v>
      </c>
      <c r="H125">
        <v>10</v>
      </c>
      <c r="I125" t="str">
        <f>VLOOKUP(D125,Product_Lookup!$A$2:$C$27,3,FALSE)</f>
        <v>$133.37</v>
      </c>
      <c r="J125" t="str">
        <f t="shared" si="11"/>
        <v>Wednesday</v>
      </c>
      <c r="K125" s="10" t="str">
        <f t="shared" si="12"/>
        <v>August</v>
      </c>
      <c r="L125">
        <f t="shared" si="13"/>
        <v>2024</v>
      </c>
      <c r="M125" t="b">
        <f t="shared" si="14"/>
        <v>0</v>
      </c>
      <c r="N125" t="b">
        <f t="shared" si="8"/>
        <v>1</v>
      </c>
      <c r="O125" t="str">
        <f t="shared" si="15"/>
        <v>Large Order</v>
      </c>
      <c r="P125" s="7">
        <f t="shared" si="9"/>
        <v>6.6685000000000008</v>
      </c>
      <c r="Q125" s="7" t="str">
        <f>VLOOKUP(D126,Product_Lookup!$A$2:$C$27,2,FALSE)</f>
        <v>Vacuum</v>
      </c>
      <c r="R125" s="7">
        <f t="shared" si="10"/>
        <v>1333.7</v>
      </c>
    </row>
    <row r="126" spans="1:18" ht="21.75" customHeight="1">
      <c r="A126" t="s">
        <v>222</v>
      </c>
      <c r="B126" s="6">
        <v>45338</v>
      </c>
      <c r="C126" t="s">
        <v>81</v>
      </c>
      <c r="D126" t="s">
        <v>87</v>
      </c>
      <c r="E126" t="s">
        <v>17</v>
      </c>
      <c r="F126" t="s">
        <v>27</v>
      </c>
      <c r="G126" t="s">
        <v>32</v>
      </c>
      <c r="H126">
        <v>6</v>
      </c>
      <c r="I126" t="str">
        <f>VLOOKUP(D126,Product_Lookup!$A$2:$C$27,3,FALSE)</f>
        <v>$26.59</v>
      </c>
      <c r="J126" t="str">
        <f t="shared" si="11"/>
        <v>Friday</v>
      </c>
      <c r="K126" s="10" t="str">
        <f t="shared" si="12"/>
        <v>February</v>
      </c>
      <c r="L126">
        <f t="shared" si="13"/>
        <v>2024</v>
      </c>
      <c r="M126" t="b">
        <f t="shared" si="14"/>
        <v>0</v>
      </c>
      <c r="N126" t="b">
        <f t="shared" si="8"/>
        <v>0</v>
      </c>
      <c r="O126" t="str">
        <f t="shared" si="15"/>
        <v>Standard order</v>
      </c>
      <c r="P126" s="7">
        <f t="shared" si="9"/>
        <v>1.3295000000000001</v>
      </c>
      <c r="Q126" s="7" t="str">
        <f>VLOOKUP(D127,Product_Lookup!$A$2:$C$27,2,FALSE)</f>
        <v>Pen Set</v>
      </c>
      <c r="R126" s="7">
        <f t="shared" si="10"/>
        <v>159.54</v>
      </c>
    </row>
    <row r="127" spans="1:18" ht="21.75" customHeight="1">
      <c r="A127" t="s">
        <v>223</v>
      </c>
      <c r="B127" s="6">
        <v>45460</v>
      </c>
      <c r="C127" t="s">
        <v>89</v>
      </c>
      <c r="D127" t="s">
        <v>174</v>
      </c>
      <c r="E127" t="s">
        <v>22</v>
      </c>
      <c r="F127" t="s">
        <v>27</v>
      </c>
      <c r="G127" t="s">
        <v>36</v>
      </c>
      <c r="H127">
        <v>7</v>
      </c>
      <c r="I127" t="str">
        <f>VLOOKUP(D127,Product_Lookup!$A$2:$C$27,3,FALSE)</f>
        <v>$133.37</v>
      </c>
      <c r="J127" t="str">
        <f t="shared" si="11"/>
        <v>Monday</v>
      </c>
      <c r="K127" s="10" t="str">
        <f t="shared" si="12"/>
        <v>June</v>
      </c>
      <c r="L127">
        <f t="shared" si="13"/>
        <v>2024</v>
      </c>
      <c r="M127" t="b">
        <f t="shared" si="14"/>
        <v>0</v>
      </c>
      <c r="N127" t="b">
        <f t="shared" si="8"/>
        <v>1</v>
      </c>
      <c r="O127" t="str">
        <f t="shared" si="15"/>
        <v>Large Order</v>
      </c>
      <c r="P127" s="7">
        <f t="shared" si="9"/>
        <v>6.6685000000000008</v>
      </c>
      <c r="Q127" s="7" t="str">
        <f>VLOOKUP(D128,Product_Lookup!$A$2:$C$27,2,FALSE)</f>
        <v>Tablet</v>
      </c>
      <c r="R127" s="7">
        <f t="shared" si="10"/>
        <v>933.59</v>
      </c>
    </row>
    <row r="128" spans="1:18" ht="21.75" customHeight="1">
      <c r="A128" t="s">
        <v>224</v>
      </c>
      <c r="B128" s="6">
        <v>45310</v>
      </c>
      <c r="C128" t="s">
        <v>53</v>
      </c>
      <c r="D128" t="s">
        <v>10</v>
      </c>
      <c r="E128" t="s">
        <v>17</v>
      </c>
      <c r="F128" t="s">
        <v>27</v>
      </c>
      <c r="G128" t="s">
        <v>13</v>
      </c>
      <c r="H128">
        <v>6</v>
      </c>
      <c r="I128" t="str">
        <f>VLOOKUP(D128,Product_Lookup!$A$2:$C$27,3,FALSE)</f>
        <v>$146.06</v>
      </c>
      <c r="J128" t="str">
        <f t="shared" si="11"/>
        <v>Friday</v>
      </c>
      <c r="K128" s="10" t="str">
        <f t="shared" si="12"/>
        <v>January</v>
      </c>
      <c r="L128">
        <f t="shared" si="13"/>
        <v>2024</v>
      </c>
      <c r="M128" t="b">
        <f t="shared" si="14"/>
        <v>0</v>
      </c>
      <c r="N128" t="b">
        <f t="shared" si="8"/>
        <v>1</v>
      </c>
      <c r="O128" t="str">
        <f t="shared" si="15"/>
        <v>Large Order</v>
      </c>
      <c r="P128" s="7">
        <f t="shared" si="9"/>
        <v>7.3030000000000008</v>
      </c>
      <c r="Q128" s="7" t="str">
        <f>VLOOKUP(D129,Product_Lookup!$A$2:$C$27,2,FALSE)</f>
        <v>Headphones</v>
      </c>
      <c r="R128" s="7">
        <f t="shared" si="10"/>
        <v>876.36</v>
      </c>
    </row>
    <row r="129" spans="1:18" ht="21.75" customHeight="1">
      <c r="A129" t="s">
        <v>225</v>
      </c>
      <c r="B129" s="6">
        <v>45498</v>
      </c>
      <c r="C129" t="s">
        <v>86</v>
      </c>
      <c r="D129" t="s">
        <v>16</v>
      </c>
      <c r="E129" t="s">
        <v>17</v>
      </c>
      <c r="F129" t="s">
        <v>306</v>
      </c>
      <c r="G129" t="s">
        <v>13</v>
      </c>
      <c r="H129">
        <v>7</v>
      </c>
      <c r="I129" t="str">
        <f>VLOOKUP(D129,Product_Lookup!$A$2:$C$27,3,FALSE)</f>
        <v>$178.83</v>
      </c>
      <c r="J129" t="str">
        <f t="shared" si="11"/>
        <v>Thursday</v>
      </c>
      <c r="K129" s="10" t="str">
        <f t="shared" si="12"/>
        <v>July</v>
      </c>
      <c r="L129">
        <f t="shared" si="13"/>
        <v>2024</v>
      </c>
      <c r="M129" t="b">
        <f t="shared" si="14"/>
        <v>0</v>
      </c>
      <c r="N129" t="b">
        <f t="shared" si="8"/>
        <v>1</v>
      </c>
      <c r="O129" t="str">
        <f t="shared" si="15"/>
        <v>Large Order</v>
      </c>
      <c r="P129" s="7">
        <f t="shared" si="9"/>
        <v>8.9415000000000013</v>
      </c>
      <c r="Q129" s="7" t="str">
        <f>VLOOKUP(D130,Product_Lookup!$A$2:$C$27,2,FALSE)</f>
        <v>Desk Lamp</v>
      </c>
      <c r="R129" s="7">
        <f t="shared" si="10"/>
        <v>1251.8100000000002</v>
      </c>
    </row>
    <row r="130" spans="1:18" ht="21.75" customHeight="1">
      <c r="A130" t="s">
        <v>226</v>
      </c>
      <c r="B130" s="6">
        <v>45477</v>
      </c>
      <c r="C130" t="s">
        <v>58</v>
      </c>
      <c r="D130" t="s">
        <v>59</v>
      </c>
      <c r="E130" t="s">
        <v>11</v>
      </c>
      <c r="F130" t="s">
        <v>306</v>
      </c>
      <c r="G130" t="s">
        <v>36</v>
      </c>
      <c r="H130">
        <v>4</v>
      </c>
      <c r="I130" t="str">
        <f>VLOOKUP(D130,Product_Lookup!$A$2:$C$27,3,FALSE)</f>
        <v>$101.96</v>
      </c>
      <c r="J130" t="str">
        <f t="shared" si="11"/>
        <v>Thursday</v>
      </c>
      <c r="K130" s="10" t="str">
        <f t="shared" si="12"/>
        <v>July</v>
      </c>
      <c r="L130">
        <f t="shared" si="13"/>
        <v>2024</v>
      </c>
      <c r="M130" t="b">
        <f t="shared" si="14"/>
        <v>0</v>
      </c>
      <c r="N130" t="b">
        <f t="shared" ref="N130:N193" si="16">AND(R130&gt;750, H130&gt;5)</f>
        <v>0</v>
      </c>
      <c r="O130" t="str">
        <f t="shared" si="15"/>
        <v>Standard order</v>
      </c>
      <c r="P130" s="7">
        <f t="shared" ref="P130:P193" si="17">I130*$S$2</f>
        <v>5.0979999999999999</v>
      </c>
      <c r="Q130" s="7" t="str">
        <f>VLOOKUP(D131,Product_Lookup!$A$2:$C$27,2,FALSE)</f>
        <v>Stapler</v>
      </c>
      <c r="R130" s="7">
        <f t="shared" ref="R130:R193" si="18">H130*I130</f>
        <v>407.84</v>
      </c>
    </row>
    <row r="131" spans="1:18" ht="21.75" customHeight="1">
      <c r="A131" t="s">
        <v>227</v>
      </c>
      <c r="B131" s="6">
        <v>45439</v>
      </c>
      <c r="C131" t="s">
        <v>114</v>
      </c>
      <c r="D131" t="s">
        <v>35</v>
      </c>
      <c r="E131" t="s">
        <v>11</v>
      </c>
      <c r="F131" t="s">
        <v>27</v>
      </c>
      <c r="G131" t="s">
        <v>36</v>
      </c>
      <c r="H131">
        <v>11</v>
      </c>
      <c r="I131" t="str">
        <f>VLOOKUP(D131,Product_Lookup!$A$2:$C$27,3,FALSE)</f>
        <v>$64.61</v>
      </c>
      <c r="J131" t="str">
        <f t="shared" ref="J131:J194" si="19">TEXT(B131, "dddd")</f>
        <v>Monday</v>
      </c>
      <c r="K131" s="10" t="str">
        <f t="shared" ref="K131:K194" si="20">TEXT(B131, "mmmm")</f>
        <v>May</v>
      </c>
      <c r="L131">
        <f t="shared" ref="L131:L194" si="21">YEAR(B131)</f>
        <v>2024</v>
      </c>
      <c r="M131" t="b">
        <f t="shared" ref="M131:M194" si="22">OR(J131="Saturday", J131="Sunday")</f>
        <v>0</v>
      </c>
      <c r="N131" t="b">
        <f t="shared" si="16"/>
        <v>0</v>
      </c>
      <c r="O131" t="str">
        <f t="shared" ref="O131:O194" si="23">IF(R131&gt;500,"Large Order","Standard order")</f>
        <v>Large Order</v>
      </c>
      <c r="P131" s="7">
        <f t="shared" si="17"/>
        <v>3.2305000000000001</v>
      </c>
      <c r="Q131" s="7" t="str">
        <f>VLOOKUP(D132,Product_Lookup!$A$2:$C$27,2,FALSE)</f>
        <v>Air Fryer</v>
      </c>
      <c r="R131" s="7">
        <f t="shared" si="18"/>
        <v>710.71</v>
      </c>
    </row>
    <row r="132" spans="1:18" ht="21.75" customHeight="1">
      <c r="A132" t="s">
        <v>228</v>
      </c>
      <c r="B132" s="6">
        <v>45655</v>
      </c>
      <c r="C132" t="s">
        <v>40</v>
      </c>
      <c r="D132" t="s">
        <v>70</v>
      </c>
      <c r="E132" t="s">
        <v>11</v>
      </c>
      <c r="F132" t="s">
        <v>56</v>
      </c>
      <c r="G132" t="s">
        <v>32</v>
      </c>
      <c r="H132">
        <v>9</v>
      </c>
      <c r="I132" t="str">
        <f>VLOOKUP(D132,Product_Lookup!$A$2:$C$27,3,FALSE)</f>
        <v>$211.9</v>
      </c>
      <c r="J132" t="str">
        <f t="shared" si="19"/>
        <v>Sunday</v>
      </c>
      <c r="K132" s="10" t="str">
        <f t="shared" si="20"/>
        <v>December</v>
      </c>
      <c r="L132">
        <f t="shared" si="21"/>
        <v>2024</v>
      </c>
      <c r="M132" t="b">
        <f t="shared" si="22"/>
        <v>1</v>
      </c>
      <c r="N132" t="b">
        <f t="shared" si="16"/>
        <v>1</v>
      </c>
      <c r="O132" t="str">
        <f t="shared" si="23"/>
        <v>Large Order</v>
      </c>
      <c r="P132" s="7">
        <f t="shared" si="17"/>
        <v>10.595000000000001</v>
      </c>
      <c r="Q132" s="7" t="str">
        <f>VLOOKUP(D133,Product_Lookup!$A$2:$C$27,2,FALSE)</f>
        <v>Smartphone</v>
      </c>
      <c r="R132" s="7">
        <f t="shared" si="18"/>
        <v>1907.1000000000001</v>
      </c>
    </row>
    <row r="133" spans="1:18" ht="21.75" customHeight="1">
      <c r="A133" t="s">
        <v>229</v>
      </c>
      <c r="B133" s="6">
        <v>45350</v>
      </c>
      <c r="C133" t="s">
        <v>230</v>
      </c>
      <c r="D133" t="s">
        <v>79</v>
      </c>
      <c r="E133" t="s">
        <v>17</v>
      </c>
      <c r="F133" t="s">
        <v>27</v>
      </c>
      <c r="G133" t="s">
        <v>13</v>
      </c>
      <c r="H133">
        <v>15</v>
      </c>
      <c r="I133" t="str">
        <f>VLOOKUP(D133,Product_Lookup!$A$2:$C$27,3,FALSE)</f>
        <v>$216.22</v>
      </c>
      <c r="J133" t="str">
        <f t="shared" si="19"/>
        <v>Wednesday</v>
      </c>
      <c r="K133" s="10" t="str">
        <f t="shared" si="20"/>
        <v>February</v>
      </c>
      <c r="L133">
        <f t="shared" si="21"/>
        <v>2024</v>
      </c>
      <c r="M133" t="b">
        <f t="shared" si="22"/>
        <v>0</v>
      </c>
      <c r="N133" t="b">
        <f t="shared" si="16"/>
        <v>1</v>
      </c>
      <c r="O133" t="str">
        <f t="shared" si="23"/>
        <v>Large Order</v>
      </c>
      <c r="P133" s="7">
        <f t="shared" si="17"/>
        <v>10.811</v>
      </c>
      <c r="Q133" s="7" t="str">
        <f>VLOOKUP(D134,Product_Lookup!$A$2:$C$27,2,FALSE)</f>
        <v>Desk Lamp</v>
      </c>
      <c r="R133" s="7">
        <f t="shared" si="18"/>
        <v>3243.3</v>
      </c>
    </row>
    <row r="134" spans="1:18" ht="21.75" customHeight="1">
      <c r="A134" t="s">
        <v>231</v>
      </c>
      <c r="B134" s="6">
        <v>45653</v>
      </c>
      <c r="C134" t="s">
        <v>208</v>
      </c>
      <c r="D134" t="s">
        <v>59</v>
      </c>
      <c r="E134" t="s">
        <v>17</v>
      </c>
      <c r="F134" t="s">
        <v>42</v>
      </c>
      <c r="G134" t="s">
        <v>36</v>
      </c>
      <c r="H134">
        <v>4</v>
      </c>
      <c r="I134" t="str">
        <f>VLOOKUP(D134,Product_Lookup!$A$2:$C$27,3,FALSE)</f>
        <v>$101.96</v>
      </c>
      <c r="J134" t="str">
        <f t="shared" si="19"/>
        <v>Friday</v>
      </c>
      <c r="K134" s="10" t="str">
        <f t="shared" si="20"/>
        <v>December</v>
      </c>
      <c r="L134">
        <f t="shared" si="21"/>
        <v>2024</v>
      </c>
      <c r="M134" t="b">
        <f t="shared" si="22"/>
        <v>0</v>
      </c>
      <c r="N134" t="b">
        <f t="shared" si="16"/>
        <v>0</v>
      </c>
      <c r="O134" t="str">
        <f t="shared" si="23"/>
        <v>Standard order</v>
      </c>
      <c r="P134" s="7">
        <f t="shared" si="17"/>
        <v>5.0979999999999999</v>
      </c>
      <c r="Q134" s="7" t="str">
        <f>VLOOKUP(D135,Product_Lookup!$A$2:$C$27,2,FALSE)</f>
        <v>Doll</v>
      </c>
      <c r="R134" s="7">
        <f t="shared" si="18"/>
        <v>407.84</v>
      </c>
    </row>
    <row r="135" spans="1:18" ht="21.75" customHeight="1">
      <c r="A135" t="s">
        <v>232</v>
      </c>
      <c r="B135" s="6">
        <v>45488</v>
      </c>
      <c r="C135" t="s">
        <v>122</v>
      </c>
      <c r="D135" t="s">
        <v>119</v>
      </c>
      <c r="E135" t="s">
        <v>22</v>
      </c>
      <c r="F135" t="s">
        <v>56</v>
      </c>
      <c r="G135" t="s">
        <v>23</v>
      </c>
      <c r="H135">
        <v>15</v>
      </c>
      <c r="I135" t="str">
        <f>VLOOKUP(D135,Product_Lookup!$A$2:$C$27,3,FALSE)</f>
        <v>$32.94</v>
      </c>
      <c r="J135" t="str">
        <f t="shared" si="19"/>
        <v>Monday</v>
      </c>
      <c r="K135" s="10" t="str">
        <f t="shared" si="20"/>
        <v>July</v>
      </c>
      <c r="L135">
        <f t="shared" si="21"/>
        <v>2024</v>
      </c>
      <c r="M135" t="b">
        <f t="shared" si="22"/>
        <v>0</v>
      </c>
      <c r="N135" t="b">
        <f t="shared" si="16"/>
        <v>0</v>
      </c>
      <c r="O135" t="str">
        <f t="shared" si="23"/>
        <v>Standard order</v>
      </c>
      <c r="P135" s="7">
        <f t="shared" si="17"/>
        <v>1.647</v>
      </c>
      <c r="Q135" s="7" t="str">
        <f>VLOOKUP(D136,Product_Lookup!$A$2:$C$27,2,FALSE)</f>
        <v>Air Fryer</v>
      </c>
      <c r="R135" s="7">
        <f t="shared" si="18"/>
        <v>494.09999999999997</v>
      </c>
    </row>
    <row r="136" spans="1:18" ht="21.75" customHeight="1">
      <c r="A136" t="s">
        <v>233</v>
      </c>
      <c r="B136" s="6">
        <v>45433</v>
      </c>
      <c r="C136" t="s">
        <v>83</v>
      </c>
      <c r="D136" t="s">
        <v>70</v>
      </c>
      <c r="E136" t="s">
        <v>17</v>
      </c>
      <c r="F136" t="s">
        <v>27</v>
      </c>
      <c r="G136" t="s">
        <v>32</v>
      </c>
      <c r="H136">
        <v>14</v>
      </c>
      <c r="I136" t="str">
        <f>VLOOKUP(D136,Product_Lookup!$A$2:$C$27,3,FALSE)</f>
        <v>$211.9</v>
      </c>
      <c r="J136" t="str">
        <f t="shared" si="19"/>
        <v>Tuesday</v>
      </c>
      <c r="K136" s="10" t="str">
        <f t="shared" si="20"/>
        <v>May</v>
      </c>
      <c r="L136">
        <f t="shared" si="21"/>
        <v>2024</v>
      </c>
      <c r="M136" t="b">
        <f t="shared" si="22"/>
        <v>0</v>
      </c>
      <c r="N136" t="b">
        <f t="shared" si="16"/>
        <v>1</v>
      </c>
      <c r="O136" t="str">
        <f t="shared" si="23"/>
        <v>Large Order</v>
      </c>
      <c r="P136" s="7">
        <f t="shared" si="17"/>
        <v>10.595000000000001</v>
      </c>
      <c r="Q136" s="7" t="str">
        <f>VLOOKUP(D137,Product_Lookup!$A$2:$C$27,2,FALSE)</f>
        <v>Lego Set</v>
      </c>
      <c r="R136" s="7">
        <f t="shared" si="18"/>
        <v>2966.6</v>
      </c>
    </row>
    <row r="137" spans="1:18" ht="21.75" customHeight="1">
      <c r="A137" t="s">
        <v>234</v>
      </c>
      <c r="B137" s="6">
        <v>45444</v>
      </c>
      <c r="C137" t="s">
        <v>235</v>
      </c>
      <c r="D137" t="s">
        <v>84</v>
      </c>
      <c r="E137" t="s">
        <v>11</v>
      </c>
      <c r="F137" t="s">
        <v>306</v>
      </c>
      <c r="G137" t="s">
        <v>23</v>
      </c>
      <c r="H137">
        <v>8</v>
      </c>
      <c r="I137" t="str">
        <f>VLOOKUP(D137,Product_Lookup!$A$2:$C$27,3,FALSE)</f>
        <v>$130.07</v>
      </c>
      <c r="J137" t="str">
        <f t="shared" si="19"/>
        <v>Saturday</v>
      </c>
      <c r="K137" s="10" t="str">
        <f t="shared" si="20"/>
        <v>June</v>
      </c>
      <c r="L137">
        <f t="shared" si="21"/>
        <v>2024</v>
      </c>
      <c r="M137" t="b">
        <f t="shared" si="22"/>
        <v>1</v>
      </c>
      <c r="N137" t="b">
        <f t="shared" si="16"/>
        <v>1</v>
      </c>
      <c r="O137" t="str">
        <f t="shared" si="23"/>
        <v>Large Order</v>
      </c>
      <c r="P137" s="7">
        <f t="shared" si="17"/>
        <v>6.5034999999999998</v>
      </c>
      <c r="Q137" s="7" t="str">
        <f>VLOOKUP(D138,Product_Lookup!$A$2:$C$27,2,FALSE)</f>
        <v>Lego Set</v>
      </c>
      <c r="R137" s="7">
        <f t="shared" si="18"/>
        <v>1040.56</v>
      </c>
    </row>
    <row r="138" spans="1:18" ht="21.75" customHeight="1">
      <c r="A138" t="s">
        <v>236</v>
      </c>
      <c r="B138" s="6">
        <v>45462</v>
      </c>
      <c r="C138" t="s">
        <v>108</v>
      </c>
      <c r="D138" t="s">
        <v>84</v>
      </c>
      <c r="E138" t="s">
        <v>17</v>
      </c>
      <c r="F138" t="s">
        <v>306</v>
      </c>
      <c r="G138" t="s">
        <v>23</v>
      </c>
      <c r="H138">
        <v>15</v>
      </c>
      <c r="I138" t="str">
        <f>VLOOKUP(D138,Product_Lookup!$A$2:$C$27,3,FALSE)</f>
        <v>$130.07</v>
      </c>
      <c r="J138" t="str">
        <f t="shared" si="19"/>
        <v>Wednesday</v>
      </c>
      <c r="K138" s="10" t="str">
        <f t="shared" si="20"/>
        <v>June</v>
      </c>
      <c r="L138">
        <f t="shared" si="21"/>
        <v>2024</v>
      </c>
      <c r="M138" t="b">
        <f t="shared" si="22"/>
        <v>0</v>
      </c>
      <c r="N138" t="b">
        <f t="shared" si="16"/>
        <v>1</v>
      </c>
      <c r="O138" t="str">
        <f t="shared" si="23"/>
        <v>Large Order</v>
      </c>
      <c r="P138" s="7">
        <f t="shared" si="17"/>
        <v>6.5034999999999998</v>
      </c>
      <c r="Q138" s="7" t="str">
        <f>VLOOKUP(D139,Product_Lookup!$A$2:$C$27,2,FALSE)</f>
        <v>Lego Set</v>
      </c>
      <c r="R138" s="7">
        <f t="shared" si="18"/>
        <v>1951.05</v>
      </c>
    </row>
    <row r="139" spans="1:18" ht="21.75" customHeight="1">
      <c r="A139" t="s">
        <v>237</v>
      </c>
      <c r="B139" s="6">
        <v>45649</v>
      </c>
      <c r="C139" t="s">
        <v>138</v>
      </c>
      <c r="D139" t="s">
        <v>84</v>
      </c>
      <c r="E139" t="s">
        <v>11</v>
      </c>
      <c r="F139" t="s">
        <v>56</v>
      </c>
      <c r="G139" t="s">
        <v>23</v>
      </c>
      <c r="H139">
        <v>14</v>
      </c>
      <c r="I139" t="str">
        <f>VLOOKUP(D139,Product_Lookup!$A$2:$C$27,3,FALSE)</f>
        <v>$130.07</v>
      </c>
      <c r="J139" t="str">
        <f t="shared" si="19"/>
        <v>Monday</v>
      </c>
      <c r="K139" s="10" t="str">
        <f t="shared" si="20"/>
        <v>December</v>
      </c>
      <c r="L139">
        <f t="shared" si="21"/>
        <v>2024</v>
      </c>
      <c r="M139" t="b">
        <f t="shared" si="22"/>
        <v>0</v>
      </c>
      <c r="N139" t="b">
        <f t="shared" si="16"/>
        <v>1</v>
      </c>
      <c r="O139" t="str">
        <f t="shared" si="23"/>
        <v>Large Order</v>
      </c>
      <c r="P139" s="7">
        <f t="shared" si="17"/>
        <v>6.5034999999999998</v>
      </c>
      <c r="Q139" s="7" t="str">
        <f>VLOOKUP(D140,Product_Lookup!$A$2:$C$27,2,FALSE)</f>
        <v>Desk Lamp</v>
      </c>
      <c r="R139" s="7">
        <f t="shared" si="18"/>
        <v>1820.98</v>
      </c>
    </row>
    <row r="140" spans="1:18" ht="21.75" customHeight="1">
      <c r="A140" t="s">
        <v>238</v>
      </c>
      <c r="B140" s="6">
        <v>45454</v>
      </c>
      <c r="C140" t="s">
        <v>208</v>
      </c>
      <c r="D140" t="s">
        <v>59</v>
      </c>
      <c r="E140" t="s">
        <v>22</v>
      </c>
      <c r="F140" t="s">
        <v>27</v>
      </c>
      <c r="G140" t="s">
        <v>36</v>
      </c>
      <c r="H140">
        <v>13</v>
      </c>
      <c r="I140" t="str">
        <f>VLOOKUP(D140,Product_Lookup!$A$2:$C$27,3,FALSE)</f>
        <v>$101.96</v>
      </c>
      <c r="J140" t="str">
        <f t="shared" si="19"/>
        <v>Tuesday</v>
      </c>
      <c r="K140" s="10" t="str">
        <f t="shared" si="20"/>
        <v>June</v>
      </c>
      <c r="L140">
        <f t="shared" si="21"/>
        <v>2024</v>
      </c>
      <c r="M140" t="b">
        <f t="shared" si="22"/>
        <v>0</v>
      </c>
      <c r="N140" t="b">
        <f t="shared" si="16"/>
        <v>1</v>
      </c>
      <c r="O140" t="str">
        <f t="shared" si="23"/>
        <v>Large Order</v>
      </c>
      <c r="P140" s="7">
        <f t="shared" si="17"/>
        <v>5.0979999999999999</v>
      </c>
      <c r="Q140" s="7" t="str">
        <f>VLOOKUP(D141,Product_Lookup!$A$2:$C$27,2,FALSE)</f>
        <v>Socks</v>
      </c>
      <c r="R140" s="7">
        <f t="shared" si="18"/>
        <v>1325.48</v>
      </c>
    </row>
    <row r="141" spans="1:18" ht="21.75" customHeight="1">
      <c r="A141" t="s">
        <v>239</v>
      </c>
      <c r="B141" s="6">
        <v>45545</v>
      </c>
      <c r="C141" t="s">
        <v>240</v>
      </c>
      <c r="D141" t="s">
        <v>74</v>
      </c>
      <c r="E141" t="s">
        <v>22</v>
      </c>
      <c r="F141" t="s">
        <v>12</v>
      </c>
      <c r="G141" t="s">
        <v>28</v>
      </c>
      <c r="H141">
        <v>6</v>
      </c>
      <c r="I141" t="str">
        <f>VLOOKUP(D141,Product_Lookup!$A$2:$C$27,3,FALSE)</f>
        <v>$201.32</v>
      </c>
      <c r="J141" t="str">
        <f t="shared" si="19"/>
        <v>Tuesday</v>
      </c>
      <c r="K141" s="10" t="str">
        <f t="shared" si="20"/>
        <v>September</v>
      </c>
      <c r="L141">
        <f t="shared" si="21"/>
        <v>2024</v>
      </c>
      <c r="M141" t="b">
        <f t="shared" si="22"/>
        <v>0</v>
      </c>
      <c r="N141" t="b">
        <f t="shared" si="16"/>
        <v>1</v>
      </c>
      <c r="O141" t="str">
        <f t="shared" si="23"/>
        <v>Large Order</v>
      </c>
      <c r="P141" s="7">
        <f t="shared" si="17"/>
        <v>10.066000000000001</v>
      </c>
      <c r="Q141" s="7" t="str">
        <f>VLOOKUP(D142,Product_Lookup!$A$2:$C$27,2,FALSE)</f>
        <v>Stapler</v>
      </c>
      <c r="R141" s="7">
        <f t="shared" si="18"/>
        <v>1207.92</v>
      </c>
    </row>
    <row r="142" spans="1:18" ht="21.75" customHeight="1">
      <c r="A142" t="s">
        <v>241</v>
      </c>
      <c r="B142" s="6">
        <v>45343</v>
      </c>
      <c r="C142" t="s">
        <v>187</v>
      </c>
      <c r="D142" t="s">
        <v>35</v>
      </c>
      <c r="E142" t="s">
        <v>3656</v>
      </c>
      <c r="F142" t="s">
        <v>306</v>
      </c>
      <c r="G142" t="s">
        <v>36</v>
      </c>
      <c r="H142">
        <v>3</v>
      </c>
      <c r="I142" t="str">
        <f>VLOOKUP(D142,Product_Lookup!$A$2:$C$27,3,FALSE)</f>
        <v>$64.61</v>
      </c>
      <c r="J142" t="str">
        <f t="shared" si="19"/>
        <v>Wednesday</v>
      </c>
      <c r="K142" s="10" t="str">
        <f t="shared" si="20"/>
        <v>February</v>
      </c>
      <c r="L142">
        <f t="shared" si="21"/>
        <v>2024</v>
      </c>
      <c r="M142" t="b">
        <f t="shared" si="22"/>
        <v>0</v>
      </c>
      <c r="N142" t="b">
        <f t="shared" si="16"/>
        <v>0</v>
      </c>
      <c r="O142" t="str">
        <f t="shared" si="23"/>
        <v>Standard order</v>
      </c>
      <c r="P142" s="7">
        <f t="shared" si="17"/>
        <v>3.2305000000000001</v>
      </c>
      <c r="Q142" s="7" t="str">
        <f>VLOOKUP(D143,Product_Lookup!$A$2:$C$27,2,FALSE)</f>
        <v>Pen Set</v>
      </c>
      <c r="R142" s="7">
        <f t="shared" si="18"/>
        <v>193.82999999999998</v>
      </c>
    </row>
    <row r="143" spans="1:18" ht="21.75" customHeight="1">
      <c r="A143" t="s">
        <v>242</v>
      </c>
      <c r="B143" s="6">
        <v>45371</v>
      </c>
      <c r="C143" t="s">
        <v>187</v>
      </c>
      <c r="D143" t="s">
        <v>174</v>
      </c>
      <c r="E143" t="s">
        <v>17</v>
      </c>
      <c r="F143" t="s">
        <v>12</v>
      </c>
      <c r="G143" t="s">
        <v>36</v>
      </c>
      <c r="H143">
        <v>10</v>
      </c>
      <c r="I143" t="str">
        <f>VLOOKUP(D143,Product_Lookup!$A$2:$C$27,3,FALSE)</f>
        <v>$133.37</v>
      </c>
      <c r="J143" t="str">
        <f t="shared" si="19"/>
        <v>Wednesday</v>
      </c>
      <c r="K143" s="10" t="str">
        <f t="shared" si="20"/>
        <v>March</v>
      </c>
      <c r="L143">
        <f t="shared" si="21"/>
        <v>2024</v>
      </c>
      <c r="M143" t="b">
        <f t="shared" si="22"/>
        <v>0</v>
      </c>
      <c r="N143" t="b">
        <f t="shared" si="16"/>
        <v>1</v>
      </c>
      <c r="O143" t="str">
        <f t="shared" si="23"/>
        <v>Large Order</v>
      </c>
      <c r="P143" s="7">
        <f t="shared" si="17"/>
        <v>6.6685000000000008</v>
      </c>
      <c r="Q143" s="7" t="str">
        <f>VLOOKUP(D144,Product_Lookup!$A$2:$C$27,2,FALSE)</f>
        <v>Lego Set</v>
      </c>
      <c r="R143" s="7">
        <f t="shared" si="18"/>
        <v>1333.7</v>
      </c>
    </row>
    <row r="144" spans="1:18" ht="21.75" customHeight="1">
      <c r="A144" t="s">
        <v>243</v>
      </c>
      <c r="B144" s="6">
        <v>45333</v>
      </c>
      <c r="C144" t="s">
        <v>159</v>
      </c>
      <c r="D144" t="s">
        <v>84</v>
      </c>
      <c r="E144" t="s">
        <v>17</v>
      </c>
      <c r="F144" t="s">
        <v>42</v>
      </c>
      <c r="G144" t="s">
        <v>23</v>
      </c>
      <c r="H144">
        <v>11</v>
      </c>
      <c r="I144" t="str">
        <f>VLOOKUP(D144,Product_Lookup!$A$2:$C$27,3,FALSE)</f>
        <v>$130.07</v>
      </c>
      <c r="J144" t="str">
        <f t="shared" si="19"/>
        <v>Sunday</v>
      </c>
      <c r="K144" s="10" t="str">
        <f t="shared" si="20"/>
        <v>February</v>
      </c>
      <c r="L144">
        <f t="shared" si="21"/>
        <v>2024</v>
      </c>
      <c r="M144" t="b">
        <f t="shared" si="22"/>
        <v>1</v>
      </c>
      <c r="N144" t="b">
        <f t="shared" si="16"/>
        <v>1</v>
      </c>
      <c r="O144" t="str">
        <f t="shared" si="23"/>
        <v>Large Order</v>
      </c>
      <c r="P144" s="7">
        <f t="shared" si="17"/>
        <v>6.5034999999999998</v>
      </c>
      <c r="Q144" s="7" t="str">
        <f>VLOOKUP(D145,Product_Lookup!$A$2:$C$27,2,FALSE)</f>
        <v>Headphones</v>
      </c>
      <c r="R144" s="7">
        <f t="shared" si="18"/>
        <v>1430.77</v>
      </c>
    </row>
    <row r="145" spans="1:18" ht="21.75" customHeight="1">
      <c r="A145" t="s">
        <v>244</v>
      </c>
      <c r="B145" s="6">
        <v>45541</v>
      </c>
      <c r="C145" t="s">
        <v>167</v>
      </c>
      <c r="D145" t="s">
        <v>16</v>
      </c>
      <c r="E145" t="s">
        <v>11</v>
      </c>
      <c r="F145" t="s">
        <v>306</v>
      </c>
      <c r="G145" t="s">
        <v>13</v>
      </c>
      <c r="H145">
        <v>4</v>
      </c>
      <c r="I145" t="str">
        <f>VLOOKUP(D145,Product_Lookup!$A$2:$C$27,3,FALSE)</f>
        <v>$178.83</v>
      </c>
      <c r="J145" t="str">
        <f t="shared" si="19"/>
        <v>Friday</v>
      </c>
      <c r="K145" s="10" t="str">
        <f t="shared" si="20"/>
        <v>September</v>
      </c>
      <c r="L145">
        <f t="shared" si="21"/>
        <v>2024</v>
      </c>
      <c r="M145" t="b">
        <f t="shared" si="22"/>
        <v>0</v>
      </c>
      <c r="N145" t="b">
        <f t="shared" si="16"/>
        <v>0</v>
      </c>
      <c r="O145" t="str">
        <f t="shared" si="23"/>
        <v>Large Order</v>
      </c>
      <c r="P145" s="7">
        <f t="shared" si="17"/>
        <v>8.9415000000000013</v>
      </c>
      <c r="Q145" s="7" t="str">
        <f>VLOOKUP(D146,Product_Lookup!$A$2:$C$27,2,FALSE)</f>
        <v>Stapler</v>
      </c>
      <c r="R145" s="7">
        <f t="shared" si="18"/>
        <v>715.32</v>
      </c>
    </row>
    <row r="146" spans="1:18" ht="21.75" customHeight="1">
      <c r="A146" t="s">
        <v>246</v>
      </c>
      <c r="B146" s="6">
        <v>45408</v>
      </c>
      <c r="C146" t="s">
        <v>240</v>
      </c>
      <c r="D146" t="s">
        <v>35</v>
      </c>
      <c r="E146" t="s">
        <v>22</v>
      </c>
      <c r="F146" t="s">
        <v>12</v>
      </c>
      <c r="G146" t="s">
        <v>36</v>
      </c>
      <c r="H146">
        <v>12</v>
      </c>
      <c r="I146" t="str">
        <f>VLOOKUP(D146,Product_Lookup!$A$2:$C$27,3,FALSE)</f>
        <v>$64.61</v>
      </c>
      <c r="J146" t="str">
        <f t="shared" si="19"/>
        <v>Friday</v>
      </c>
      <c r="K146" s="10" t="str">
        <f t="shared" si="20"/>
        <v>April</v>
      </c>
      <c r="L146">
        <f t="shared" si="21"/>
        <v>2024</v>
      </c>
      <c r="M146" t="b">
        <f t="shared" si="22"/>
        <v>0</v>
      </c>
      <c r="N146" t="b">
        <f t="shared" si="16"/>
        <v>1</v>
      </c>
      <c r="O146" t="str">
        <f t="shared" si="23"/>
        <v>Large Order</v>
      </c>
      <c r="P146" s="7">
        <f t="shared" si="17"/>
        <v>3.2305000000000001</v>
      </c>
      <c r="Q146" s="7" t="str">
        <f>VLOOKUP(D147,Product_Lookup!$A$2:$C$27,2,FALSE)</f>
        <v>Laptop</v>
      </c>
      <c r="R146" s="7">
        <f t="shared" si="18"/>
        <v>775.31999999999994</v>
      </c>
    </row>
    <row r="147" spans="1:18" ht="21.75" customHeight="1">
      <c r="A147" t="s">
        <v>247</v>
      </c>
      <c r="B147" s="6">
        <v>45377</v>
      </c>
      <c r="C147" t="s">
        <v>235</v>
      </c>
      <c r="D147" t="s">
        <v>96</v>
      </c>
      <c r="E147" t="s">
        <v>17</v>
      </c>
      <c r="F147" t="s">
        <v>42</v>
      </c>
      <c r="G147" t="s">
        <v>13</v>
      </c>
      <c r="H147">
        <v>13</v>
      </c>
      <c r="I147" t="str">
        <f>VLOOKUP(D147,Product_Lookup!$A$2:$C$27,3,FALSE)</f>
        <v>$230.68</v>
      </c>
      <c r="J147" t="str">
        <f t="shared" si="19"/>
        <v>Tuesday</v>
      </c>
      <c r="K147" s="10" t="str">
        <f t="shared" si="20"/>
        <v>March</v>
      </c>
      <c r="L147">
        <f t="shared" si="21"/>
        <v>2024</v>
      </c>
      <c r="M147" t="b">
        <f t="shared" si="22"/>
        <v>0</v>
      </c>
      <c r="N147" t="b">
        <f t="shared" si="16"/>
        <v>1</v>
      </c>
      <c r="O147" t="str">
        <f t="shared" si="23"/>
        <v>Large Order</v>
      </c>
      <c r="P147" s="7">
        <f t="shared" si="17"/>
        <v>11.534000000000001</v>
      </c>
      <c r="Q147" s="7" t="str">
        <f>VLOOKUP(D148,Product_Lookup!$A$2:$C$27,2,FALSE)</f>
        <v>Jeans</v>
      </c>
      <c r="R147" s="7">
        <f t="shared" si="18"/>
        <v>2998.84</v>
      </c>
    </row>
    <row r="148" spans="1:18" ht="21.75" customHeight="1">
      <c r="A148" t="s">
        <v>248</v>
      </c>
      <c r="B148" s="6">
        <v>45483</v>
      </c>
      <c r="C148" t="s">
        <v>106</v>
      </c>
      <c r="D148" t="s">
        <v>65</v>
      </c>
      <c r="E148" t="s">
        <v>22</v>
      </c>
      <c r="F148" t="s">
        <v>27</v>
      </c>
      <c r="G148" t="s">
        <v>28</v>
      </c>
      <c r="H148">
        <v>7</v>
      </c>
      <c r="I148" t="str">
        <f>VLOOKUP(D148,Product_Lookup!$A$2:$C$27,3,FALSE)</f>
        <v>$33.22</v>
      </c>
      <c r="J148" t="str">
        <f t="shared" si="19"/>
        <v>Wednesday</v>
      </c>
      <c r="K148" s="10" t="str">
        <f t="shared" si="20"/>
        <v>July</v>
      </c>
      <c r="L148">
        <f t="shared" si="21"/>
        <v>2024</v>
      </c>
      <c r="M148" t="b">
        <f t="shared" si="22"/>
        <v>0</v>
      </c>
      <c r="N148" t="b">
        <f t="shared" si="16"/>
        <v>0</v>
      </c>
      <c r="O148" t="str">
        <f t="shared" si="23"/>
        <v>Standard order</v>
      </c>
      <c r="P148" s="7">
        <f t="shared" si="17"/>
        <v>1.661</v>
      </c>
      <c r="Q148" s="7" t="str">
        <f>VLOOKUP(D149,Product_Lookup!$A$2:$C$27,2,FALSE)</f>
        <v>T-Shirt</v>
      </c>
      <c r="R148" s="7">
        <f t="shared" si="18"/>
        <v>232.54</v>
      </c>
    </row>
    <row r="149" spans="1:18" ht="21.75" customHeight="1">
      <c r="A149" t="s">
        <v>249</v>
      </c>
      <c r="B149" s="6">
        <v>45384</v>
      </c>
      <c r="C149" t="s">
        <v>47</v>
      </c>
      <c r="D149" t="s">
        <v>45</v>
      </c>
      <c r="E149" t="s">
        <v>22</v>
      </c>
      <c r="F149" t="s">
        <v>56</v>
      </c>
      <c r="G149" t="s">
        <v>28</v>
      </c>
      <c r="H149">
        <v>14</v>
      </c>
      <c r="I149" t="str">
        <f>VLOOKUP(D149,Product_Lookup!$A$2:$C$27,3,FALSE)</f>
        <v>$107.34</v>
      </c>
      <c r="J149" t="str">
        <f t="shared" si="19"/>
        <v>Tuesday</v>
      </c>
      <c r="K149" s="10" t="str">
        <f t="shared" si="20"/>
        <v>April</v>
      </c>
      <c r="L149">
        <f t="shared" si="21"/>
        <v>2024</v>
      </c>
      <c r="M149" t="b">
        <f t="shared" si="22"/>
        <v>0</v>
      </c>
      <c r="N149" t="b">
        <f t="shared" si="16"/>
        <v>1</v>
      </c>
      <c r="O149" t="str">
        <f t="shared" si="23"/>
        <v>Large Order</v>
      </c>
      <c r="P149" s="7">
        <f t="shared" si="17"/>
        <v>5.3670000000000009</v>
      </c>
      <c r="Q149" s="7" t="str">
        <f>VLOOKUP(D150,Product_Lookup!$A$2:$C$27,2,FALSE)</f>
        <v>Board Game</v>
      </c>
      <c r="R149" s="7">
        <f t="shared" si="18"/>
        <v>1502.76</v>
      </c>
    </row>
    <row r="150" spans="1:18" ht="21.75" customHeight="1">
      <c r="A150" t="s">
        <v>250</v>
      </c>
      <c r="B150" s="6">
        <v>45415</v>
      </c>
      <c r="C150" t="s">
        <v>51</v>
      </c>
      <c r="D150" t="s">
        <v>41</v>
      </c>
      <c r="E150" t="s">
        <v>11</v>
      </c>
      <c r="F150" t="s">
        <v>27</v>
      </c>
      <c r="G150" t="s">
        <v>23</v>
      </c>
      <c r="H150">
        <v>8</v>
      </c>
      <c r="I150" t="str">
        <f>VLOOKUP(D150,Product_Lookup!$A$2:$C$27,3,FALSE)</f>
        <v>$86.6</v>
      </c>
      <c r="J150" t="str">
        <f t="shared" si="19"/>
        <v>Friday</v>
      </c>
      <c r="K150" s="10" t="str">
        <f t="shared" si="20"/>
        <v>May</v>
      </c>
      <c r="L150">
        <f t="shared" si="21"/>
        <v>2024</v>
      </c>
      <c r="M150" t="b">
        <f t="shared" si="22"/>
        <v>0</v>
      </c>
      <c r="N150" t="b">
        <f t="shared" si="16"/>
        <v>0</v>
      </c>
      <c r="O150" t="str">
        <f t="shared" si="23"/>
        <v>Large Order</v>
      </c>
      <c r="P150" s="7">
        <f t="shared" si="17"/>
        <v>4.33</v>
      </c>
      <c r="Q150" s="7" t="str">
        <f>VLOOKUP(D151,Product_Lookup!$A$2:$C$27,2,FALSE)</f>
        <v>Pen Set</v>
      </c>
      <c r="R150" s="7">
        <f t="shared" si="18"/>
        <v>692.8</v>
      </c>
    </row>
    <row r="151" spans="1:18" ht="21.75" customHeight="1">
      <c r="A151" t="s">
        <v>251</v>
      </c>
      <c r="B151" s="6">
        <v>45422</v>
      </c>
      <c r="C151" t="s">
        <v>240</v>
      </c>
      <c r="D151" t="s">
        <v>174</v>
      </c>
      <c r="E151" t="s">
        <v>22</v>
      </c>
      <c r="F151" t="s">
        <v>12</v>
      </c>
      <c r="G151" t="s">
        <v>36</v>
      </c>
      <c r="H151">
        <v>9</v>
      </c>
      <c r="I151" t="str">
        <f>VLOOKUP(D151,Product_Lookup!$A$2:$C$27,3,FALSE)</f>
        <v>$133.37</v>
      </c>
      <c r="J151" t="str">
        <f t="shared" si="19"/>
        <v>Friday</v>
      </c>
      <c r="K151" s="10" t="str">
        <f t="shared" si="20"/>
        <v>May</v>
      </c>
      <c r="L151">
        <f t="shared" si="21"/>
        <v>2024</v>
      </c>
      <c r="M151" t="b">
        <f t="shared" si="22"/>
        <v>0</v>
      </c>
      <c r="N151" t="b">
        <f t="shared" si="16"/>
        <v>1</v>
      </c>
      <c r="O151" t="str">
        <f t="shared" si="23"/>
        <v>Large Order</v>
      </c>
      <c r="P151" s="7">
        <f t="shared" si="17"/>
        <v>6.6685000000000008</v>
      </c>
      <c r="Q151" s="7" t="str">
        <f>VLOOKUP(D152,Product_Lookup!$A$2:$C$27,2,FALSE)</f>
        <v>Vacuum</v>
      </c>
      <c r="R151" s="7">
        <f t="shared" si="18"/>
        <v>1200.33</v>
      </c>
    </row>
    <row r="152" spans="1:18" ht="21.75" customHeight="1">
      <c r="A152" t="s">
        <v>252</v>
      </c>
      <c r="B152" s="6">
        <v>45468</v>
      </c>
      <c r="C152" t="s">
        <v>125</v>
      </c>
      <c r="D152" t="s">
        <v>87</v>
      </c>
      <c r="E152" t="s">
        <v>22</v>
      </c>
      <c r="F152" t="s">
        <v>306</v>
      </c>
      <c r="G152" t="s">
        <v>32</v>
      </c>
      <c r="H152">
        <v>5</v>
      </c>
      <c r="I152" t="str">
        <f>VLOOKUP(D152,Product_Lookup!$A$2:$C$27,3,FALSE)</f>
        <v>$26.59</v>
      </c>
      <c r="J152" t="str">
        <f t="shared" si="19"/>
        <v>Tuesday</v>
      </c>
      <c r="K152" s="10" t="str">
        <f t="shared" si="20"/>
        <v>June</v>
      </c>
      <c r="L152">
        <f t="shared" si="21"/>
        <v>2024</v>
      </c>
      <c r="M152" t="b">
        <f t="shared" si="22"/>
        <v>0</v>
      </c>
      <c r="N152" t="b">
        <f t="shared" si="16"/>
        <v>0</v>
      </c>
      <c r="O152" t="str">
        <f t="shared" si="23"/>
        <v>Standard order</v>
      </c>
      <c r="P152" s="7">
        <f t="shared" si="17"/>
        <v>1.3295000000000001</v>
      </c>
      <c r="Q152" s="7" t="str">
        <f>VLOOKUP(D153,Product_Lookup!$A$2:$C$27,2,FALSE)</f>
        <v>Stapler</v>
      </c>
      <c r="R152" s="7">
        <f t="shared" si="18"/>
        <v>132.94999999999999</v>
      </c>
    </row>
    <row r="153" spans="1:18" ht="21.75" customHeight="1">
      <c r="A153" t="s">
        <v>253</v>
      </c>
      <c r="B153" s="6">
        <v>45393</v>
      </c>
      <c r="C153" t="s">
        <v>55</v>
      </c>
      <c r="D153" t="s">
        <v>35</v>
      </c>
      <c r="E153" t="s">
        <v>11</v>
      </c>
      <c r="F153" t="s">
        <v>27</v>
      </c>
      <c r="G153" t="s">
        <v>36</v>
      </c>
      <c r="H153">
        <v>7</v>
      </c>
      <c r="I153" t="str">
        <f>VLOOKUP(D153,Product_Lookup!$A$2:$C$27,3,FALSE)</f>
        <v>$64.61</v>
      </c>
      <c r="J153" t="str">
        <f t="shared" si="19"/>
        <v>Thursday</v>
      </c>
      <c r="K153" s="10" t="str">
        <f t="shared" si="20"/>
        <v>April</v>
      </c>
      <c r="L153">
        <f t="shared" si="21"/>
        <v>2024</v>
      </c>
      <c r="M153" t="b">
        <f t="shared" si="22"/>
        <v>0</v>
      </c>
      <c r="N153" t="b">
        <f t="shared" si="16"/>
        <v>0</v>
      </c>
      <c r="O153" t="str">
        <f t="shared" si="23"/>
        <v>Standard order</v>
      </c>
      <c r="P153" s="7">
        <f t="shared" si="17"/>
        <v>3.2305000000000001</v>
      </c>
      <c r="Q153" s="7" t="str">
        <f>VLOOKUP(D154,Product_Lookup!$A$2:$C$27,2,FALSE)</f>
        <v>Monitor</v>
      </c>
      <c r="R153" s="7">
        <f t="shared" si="18"/>
        <v>452.27</v>
      </c>
    </row>
    <row r="154" spans="1:18" ht="21.75" customHeight="1">
      <c r="A154" t="s">
        <v>254</v>
      </c>
      <c r="B154" s="6">
        <v>45443</v>
      </c>
      <c r="C154" t="s">
        <v>47</v>
      </c>
      <c r="D154" t="s">
        <v>102</v>
      </c>
      <c r="E154" t="s">
        <v>17</v>
      </c>
      <c r="F154" t="s">
        <v>42</v>
      </c>
      <c r="G154" t="s">
        <v>13</v>
      </c>
      <c r="H154">
        <v>1</v>
      </c>
      <c r="I154" t="str">
        <f>VLOOKUP(D154,Product_Lookup!$A$2:$C$27,3,FALSE)</f>
        <v>$145.48</v>
      </c>
      <c r="J154" t="str">
        <f t="shared" si="19"/>
        <v>Friday</v>
      </c>
      <c r="K154" s="10" t="str">
        <f t="shared" si="20"/>
        <v>May</v>
      </c>
      <c r="L154">
        <f t="shared" si="21"/>
        <v>2024</v>
      </c>
      <c r="M154" t="b">
        <f t="shared" si="22"/>
        <v>0</v>
      </c>
      <c r="N154" t="b">
        <f t="shared" si="16"/>
        <v>0</v>
      </c>
      <c r="O154" t="str">
        <f t="shared" si="23"/>
        <v>Standard order</v>
      </c>
      <c r="P154" s="7">
        <f t="shared" si="17"/>
        <v>7.274</v>
      </c>
      <c r="Q154" s="7" t="str">
        <f>VLOOKUP(D155,Product_Lookup!$A$2:$C$27,2,FALSE)</f>
        <v>Pen Set</v>
      </c>
      <c r="R154" s="7">
        <f t="shared" si="18"/>
        <v>145.47999999999999</v>
      </c>
    </row>
    <row r="155" spans="1:18" ht="21.75" customHeight="1">
      <c r="A155" t="s">
        <v>255</v>
      </c>
      <c r="B155" s="6">
        <v>45317</v>
      </c>
      <c r="C155" t="s">
        <v>40</v>
      </c>
      <c r="D155" t="s">
        <v>174</v>
      </c>
      <c r="E155" t="s">
        <v>11</v>
      </c>
      <c r="F155" t="s">
        <v>306</v>
      </c>
      <c r="G155" t="s">
        <v>36</v>
      </c>
      <c r="H155">
        <v>10</v>
      </c>
      <c r="I155" t="str">
        <f>VLOOKUP(D155,Product_Lookup!$A$2:$C$27,3,FALSE)</f>
        <v>$133.37</v>
      </c>
      <c r="J155" t="str">
        <f t="shared" si="19"/>
        <v>Friday</v>
      </c>
      <c r="K155" s="10" t="str">
        <f t="shared" si="20"/>
        <v>January</v>
      </c>
      <c r="L155">
        <f t="shared" si="21"/>
        <v>2024</v>
      </c>
      <c r="M155" t="b">
        <f t="shared" si="22"/>
        <v>0</v>
      </c>
      <c r="N155" t="b">
        <f t="shared" si="16"/>
        <v>1</v>
      </c>
      <c r="O155" t="str">
        <f t="shared" si="23"/>
        <v>Large Order</v>
      </c>
      <c r="P155" s="7">
        <f t="shared" si="17"/>
        <v>6.6685000000000008</v>
      </c>
      <c r="Q155" s="7" t="str">
        <f>VLOOKUP(D156,Product_Lookup!$A$2:$C$27,2,FALSE)</f>
        <v>Puzzle</v>
      </c>
      <c r="R155" s="7">
        <f t="shared" si="18"/>
        <v>1333.7</v>
      </c>
    </row>
    <row r="156" spans="1:18" ht="21.75" customHeight="1">
      <c r="A156" t="s">
        <v>256</v>
      </c>
      <c r="B156" s="6">
        <v>45617</v>
      </c>
      <c r="C156" t="s">
        <v>118</v>
      </c>
      <c r="D156" t="s">
        <v>62</v>
      </c>
      <c r="E156" t="s">
        <v>22</v>
      </c>
      <c r="F156" t="s">
        <v>56</v>
      </c>
      <c r="G156" t="s">
        <v>23</v>
      </c>
      <c r="H156">
        <v>13</v>
      </c>
      <c r="I156" t="str">
        <f>VLOOKUP(D156,Product_Lookup!$A$2:$C$27,3,FALSE)</f>
        <v>$46.19</v>
      </c>
      <c r="J156" t="str">
        <f t="shared" si="19"/>
        <v>Thursday</v>
      </c>
      <c r="K156" s="10" t="str">
        <f t="shared" si="20"/>
        <v>November</v>
      </c>
      <c r="L156">
        <f t="shared" si="21"/>
        <v>2024</v>
      </c>
      <c r="M156" t="b">
        <f t="shared" si="22"/>
        <v>0</v>
      </c>
      <c r="N156" t="b">
        <f t="shared" si="16"/>
        <v>0</v>
      </c>
      <c r="O156" t="str">
        <f t="shared" si="23"/>
        <v>Large Order</v>
      </c>
      <c r="P156" s="7">
        <f t="shared" si="17"/>
        <v>2.3094999999999999</v>
      </c>
      <c r="Q156" s="7" t="str">
        <f>VLOOKUP(D157,Product_Lookup!$A$2:$C$27,2,FALSE)</f>
        <v>Laptop</v>
      </c>
      <c r="R156" s="7">
        <f t="shared" si="18"/>
        <v>600.47</v>
      </c>
    </row>
    <row r="157" spans="1:18" ht="21.75" customHeight="1">
      <c r="A157" t="s">
        <v>257</v>
      </c>
      <c r="B157" s="6">
        <v>45640</v>
      </c>
      <c r="C157" t="s">
        <v>61</v>
      </c>
      <c r="D157" t="s">
        <v>96</v>
      </c>
      <c r="E157" t="s">
        <v>17</v>
      </c>
      <c r="F157" t="s">
        <v>56</v>
      </c>
      <c r="G157" t="s">
        <v>13</v>
      </c>
      <c r="H157">
        <v>13</v>
      </c>
      <c r="I157" t="str">
        <f>VLOOKUP(D157,Product_Lookup!$A$2:$C$27,3,FALSE)</f>
        <v>$230.68</v>
      </c>
      <c r="J157" t="str">
        <f t="shared" si="19"/>
        <v>Saturday</v>
      </c>
      <c r="K157" s="10" t="str">
        <f t="shared" si="20"/>
        <v>December</v>
      </c>
      <c r="L157">
        <f t="shared" si="21"/>
        <v>2024</v>
      </c>
      <c r="M157" t="b">
        <f t="shared" si="22"/>
        <v>1</v>
      </c>
      <c r="N157" t="b">
        <f t="shared" si="16"/>
        <v>1</v>
      </c>
      <c r="O157" t="str">
        <f t="shared" si="23"/>
        <v>Large Order</v>
      </c>
      <c r="P157" s="7">
        <f t="shared" si="17"/>
        <v>11.534000000000001</v>
      </c>
      <c r="Q157" s="7" t="str">
        <f>VLOOKUP(D158,Product_Lookup!$A$2:$C$27,2,FALSE)</f>
        <v>Tablet</v>
      </c>
      <c r="R157" s="7">
        <f t="shared" si="18"/>
        <v>2998.84</v>
      </c>
    </row>
    <row r="158" spans="1:18" ht="21.75" customHeight="1">
      <c r="A158" t="s">
        <v>258</v>
      </c>
      <c r="B158" s="6">
        <v>45478</v>
      </c>
      <c r="C158" t="s">
        <v>108</v>
      </c>
      <c r="D158" t="s">
        <v>10</v>
      </c>
      <c r="E158" t="s">
        <v>17</v>
      </c>
      <c r="F158" t="s">
        <v>56</v>
      </c>
      <c r="G158" t="s">
        <v>13</v>
      </c>
      <c r="H158">
        <v>12</v>
      </c>
      <c r="I158" t="str">
        <f>VLOOKUP(D158,Product_Lookup!$A$2:$C$27,3,FALSE)</f>
        <v>$146.06</v>
      </c>
      <c r="J158" t="str">
        <f t="shared" si="19"/>
        <v>Friday</v>
      </c>
      <c r="K158" s="10" t="str">
        <f t="shared" si="20"/>
        <v>July</v>
      </c>
      <c r="L158">
        <f t="shared" si="21"/>
        <v>2024</v>
      </c>
      <c r="M158" t="b">
        <f t="shared" si="22"/>
        <v>0</v>
      </c>
      <c r="N158" t="b">
        <f t="shared" si="16"/>
        <v>1</v>
      </c>
      <c r="O158" t="str">
        <f t="shared" si="23"/>
        <v>Large Order</v>
      </c>
      <c r="P158" s="7">
        <f t="shared" si="17"/>
        <v>7.3030000000000008</v>
      </c>
      <c r="Q158" s="7" t="str">
        <f>VLOOKUP(D159,Product_Lookup!$A$2:$C$27,2,FALSE)</f>
        <v>Air Fryer</v>
      </c>
      <c r="R158" s="7">
        <f t="shared" si="18"/>
        <v>1752.72</v>
      </c>
    </row>
    <row r="159" spans="1:18" ht="21.75" customHeight="1">
      <c r="A159" t="s">
        <v>259</v>
      </c>
      <c r="B159" s="6">
        <v>45359</v>
      </c>
      <c r="C159" t="s">
        <v>81</v>
      </c>
      <c r="D159" t="s">
        <v>70</v>
      </c>
      <c r="E159" t="s">
        <v>22</v>
      </c>
      <c r="F159" t="s">
        <v>306</v>
      </c>
      <c r="G159" t="s">
        <v>32</v>
      </c>
      <c r="H159">
        <v>15</v>
      </c>
      <c r="I159" t="str">
        <f>VLOOKUP(D159,Product_Lookup!$A$2:$C$27,3,FALSE)</f>
        <v>$211.9</v>
      </c>
      <c r="J159" t="str">
        <f t="shared" si="19"/>
        <v>Friday</v>
      </c>
      <c r="K159" s="10" t="str">
        <f t="shared" si="20"/>
        <v>March</v>
      </c>
      <c r="L159">
        <f t="shared" si="21"/>
        <v>2024</v>
      </c>
      <c r="M159" t="b">
        <f t="shared" si="22"/>
        <v>0</v>
      </c>
      <c r="N159" t="b">
        <f t="shared" si="16"/>
        <v>1</v>
      </c>
      <c r="O159" t="str">
        <f t="shared" si="23"/>
        <v>Large Order</v>
      </c>
      <c r="P159" s="7">
        <f t="shared" si="17"/>
        <v>10.595000000000001</v>
      </c>
      <c r="Q159" s="7" t="str">
        <f>VLOOKUP(D160,Product_Lookup!$A$2:$C$27,2,FALSE)</f>
        <v>Coffee Maker</v>
      </c>
      <c r="R159" s="7">
        <f t="shared" si="18"/>
        <v>3178.5</v>
      </c>
    </row>
    <row r="160" spans="1:18" ht="21.75" customHeight="1">
      <c r="A160" t="s">
        <v>260</v>
      </c>
      <c r="B160" s="6">
        <v>45423</v>
      </c>
      <c r="C160" t="s">
        <v>208</v>
      </c>
      <c r="D160" t="s">
        <v>31</v>
      </c>
      <c r="E160" t="s">
        <v>11</v>
      </c>
      <c r="F160" t="s">
        <v>27</v>
      </c>
      <c r="G160" t="s">
        <v>32</v>
      </c>
      <c r="H160">
        <v>8</v>
      </c>
      <c r="I160" t="str">
        <f>VLOOKUP(D160,Product_Lookup!$A$2:$C$27,3,FALSE)</f>
        <v>$230.34</v>
      </c>
      <c r="J160" t="str">
        <f t="shared" si="19"/>
        <v>Saturday</v>
      </c>
      <c r="K160" s="10" t="str">
        <f t="shared" si="20"/>
        <v>May</v>
      </c>
      <c r="L160">
        <f t="shared" si="21"/>
        <v>2024</v>
      </c>
      <c r="M160" t="b">
        <f t="shared" si="22"/>
        <v>1</v>
      </c>
      <c r="N160" t="b">
        <f t="shared" si="16"/>
        <v>1</v>
      </c>
      <c r="O160" t="str">
        <f t="shared" si="23"/>
        <v>Large Order</v>
      </c>
      <c r="P160" s="7">
        <f t="shared" si="17"/>
        <v>11.517000000000001</v>
      </c>
      <c r="Q160" s="7" t="str">
        <f>VLOOKUP(D161,Product_Lookup!$A$2:$C$27,2,FALSE)</f>
        <v>Puzzle</v>
      </c>
      <c r="R160" s="7">
        <f t="shared" si="18"/>
        <v>1842.72</v>
      </c>
    </row>
    <row r="161" spans="1:18" ht="21.75" customHeight="1">
      <c r="A161" t="s">
        <v>261</v>
      </c>
      <c r="B161" s="6">
        <v>45407</v>
      </c>
      <c r="C161" t="s">
        <v>34</v>
      </c>
      <c r="D161" t="s">
        <v>62</v>
      </c>
      <c r="E161" t="s">
        <v>11</v>
      </c>
      <c r="F161" t="s">
        <v>27</v>
      </c>
      <c r="G161" t="s">
        <v>23</v>
      </c>
      <c r="H161">
        <v>13</v>
      </c>
      <c r="I161" t="str">
        <f>VLOOKUP(D161,Product_Lookup!$A$2:$C$27,3,FALSE)</f>
        <v>$46.19</v>
      </c>
      <c r="J161" t="str">
        <f t="shared" si="19"/>
        <v>Thursday</v>
      </c>
      <c r="K161" s="10" t="str">
        <f t="shared" si="20"/>
        <v>April</v>
      </c>
      <c r="L161">
        <f t="shared" si="21"/>
        <v>2024</v>
      </c>
      <c r="M161" t="b">
        <f t="shared" si="22"/>
        <v>0</v>
      </c>
      <c r="N161" t="b">
        <f t="shared" si="16"/>
        <v>0</v>
      </c>
      <c r="O161" t="str">
        <f t="shared" si="23"/>
        <v>Large Order</v>
      </c>
      <c r="P161" s="7">
        <f t="shared" si="17"/>
        <v>2.3094999999999999</v>
      </c>
      <c r="Q161" s="7" t="str">
        <f>VLOOKUP(D162,Product_Lookup!$A$2:$C$27,2,FALSE)</f>
        <v>Pen Set</v>
      </c>
      <c r="R161" s="7">
        <f t="shared" si="18"/>
        <v>600.47</v>
      </c>
    </row>
    <row r="162" spans="1:18" ht="21.75" customHeight="1">
      <c r="A162" t="s">
        <v>262</v>
      </c>
      <c r="B162" s="6">
        <v>45566</v>
      </c>
      <c r="C162" t="s">
        <v>61</v>
      </c>
      <c r="D162" t="s">
        <v>174</v>
      </c>
      <c r="E162" t="s">
        <v>22</v>
      </c>
      <c r="F162" t="s">
        <v>12</v>
      </c>
      <c r="G162" t="s">
        <v>36</v>
      </c>
      <c r="H162">
        <v>12</v>
      </c>
      <c r="I162" t="str">
        <f>VLOOKUP(D162,Product_Lookup!$A$2:$C$27,3,FALSE)</f>
        <v>$133.37</v>
      </c>
      <c r="J162" t="str">
        <f t="shared" si="19"/>
        <v>Tuesday</v>
      </c>
      <c r="K162" s="10" t="str">
        <f t="shared" si="20"/>
        <v>October</v>
      </c>
      <c r="L162">
        <f t="shared" si="21"/>
        <v>2024</v>
      </c>
      <c r="M162" t="b">
        <f t="shared" si="22"/>
        <v>0</v>
      </c>
      <c r="N162" t="b">
        <f t="shared" si="16"/>
        <v>1</v>
      </c>
      <c r="O162" t="str">
        <f t="shared" si="23"/>
        <v>Large Order</v>
      </c>
      <c r="P162" s="7">
        <f t="shared" si="17"/>
        <v>6.6685000000000008</v>
      </c>
      <c r="Q162" s="7" t="str">
        <f>VLOOKUP(D163,Product_Lookup!$A$2:$C$27,2,FALSE)</f>
        <v>Smartphone</v>
      </c>
      <c r="R162" s="7">
        <f t="shared" si="18"/>
        <v>1600.44</v>
      </c>
    </row>
    <row r="163" spans="1:18" ht="21.75" customHeight="1">
      <c r="A163" t="s">
        <v>263</v>
      </c>
      <c r="B163" s="6">
        <v>45487</v>
      </c>
      <c r="C163" t="s">
        <v>89</v>
      </c>
      <c r="D163" t="s">
        <v>79</v>
      </c>
      <c r="E163" t="s">
        <v>17</v>
      </c>
      <c r="F163" t="s">
        <v>42</v>
      </c>
      <c r="G163" t="s">
        <v>13</v>
      </c>
      <c r="H163">
        <v>1</v>
      </c>
      <c r="I163" t="str">
        <f>VLOOKUP(D163,Product_Lookup!$A$2:$C$27,3,FALSE)</f>
        <v>$216.22</v>
      </c>
      <c r="J163" t="str">
        <f t="shared" si="19"/>
        <v>Sunday</v>
      </c>
      <c r="K163" s="10" t="str">
        <f t="shared" si="20"/>
        <v>July</v>
      </c>
      <c r="L163">
        <f t="shared" si="21"/>
        <v>2024</v>
      </c>
      <c r="M163" t="b">
        <f t="shared" si="22"/>
        <v>1</v>
      </c>
      <c r="N163" t="b">
        <f t="shared" si="16"/>
        <v>0</v>
      </c>
      <c r="O163" t="str">
        <f t="shared" si="23"/>
        <v>Standard order</v>
      </c>
      <c r="P163" s="7">
        <f t="shared" si="17"/>
        <v>10.811</v>
      </c>
      <c r="Q163" s="7" t="str">
        <f>VLOOKUP(D164,Product_Lookup!$A$2:$C$27,2,FALSE)</f>
        <v>T-Shirt</v>
      </c>
      <c r="R163" s="7">
        <f t="shared" si="18"/>
        <v>216.22</v>
      </c>
    </row>
    <row r="164" spans="1:18" ht="21.75" customHeight="1">
      <c r="A164" t="s">
        <v>264</v>
      </c>
      <c r="B164" s="6">
        <v>45459</v>
      </c>
      <c r="C164" t="s">
        <v>20</v>
      </c>
      <c r="D164" t="s">
        <v>45</v>
      </c>
      <c r="E164" t="s">
        <v>22</v>
      </c>
      <c r="F164" t="s">
        <v>306</v>
      </c>
      <c r="G164" t="s">
        <v>28</v>
      </c>
      <c r="H164">
        <v>14</v>
      </c>
      <c r="I164" t="str">
        <f>VLOOKUP(D164,Product_Lookup!$A$2:$C$27,3,FALSE)</f>
        <v>$107.34</v>
      </c>
      <c r="J164" t="str">
        <f t="shared" si="19"/>
        <v>Sunday</v>
      </c>
      <c r="K164" s="10" t="str">
        <f t="shared" si="20"/>
        <v>June</v>
      </c>
      <c r="L164">
        <f t="shared" si="21"/>
        <v>2024</v>
      </c>
      <c r="M164" t="b">
        <f t="shared" si="22"/>
        <v>1</v>
      </c>
      <c r="N164" t="b">
        <f t="shared" si="16"/>
        <v>1</v>
      </c>
      <c r="O164" t="str">
        <f t="shared" si="23"/>
        <v>Large Order</v>
      </c>
      <c r="P164" s="7">
        <f t="shared" si="17"/>
        <v>5.3670000000000009</v>
      </c>
      <c r="Q164" s="7" t="str">
        <f>VLOOKUP(D165,Product_Lookup!$A$2:$C$27,2,FALSE)</f>
        <v>Smartphone</v>
      </c>
      <c r="R164" s="7">
        <f t="shared" si="18"/>
        <v>1502.76</v>
      </c>
    </row>
    <row r="165" spans="1:18" ht="21.75" customHeight="1">
      <c r="A165" t="s">
        <v>265</v>
      </c>
      <c r="B165" s="6">
        <v>45446</v>
      </c>
      <c r="C165" t="s">
        <v>78</v>
      </c>
      <c r="D165" t="s">
        <v>79</v>
      </c>
      <c r="E165" t="s">
        <v>11</v>
      </c>
      <c r="F165" t="s">
        <v>27</v>
      </c>
      <c r="G165" t="s">
        <v>13</v>
      </c>
      <c r="H165">
        <v>1</v>
      </c>
      <c r="I165" t="str">
        <f>VLOOKUP(D165,Product_Lookup!$A$2:$C$27,3,FALSE)</f>
        <v>$216.22</v>
      </c>
      <c r="J165" t="str">
        <f t="shared" si="19"/>
        <v>Monday</v>
      </c>
      <c r="K165" s="10" t="str">
        <f t="shared" si="20"/>
        <v>June</v>
      </c>
      <c r="L165">
        <f t="shared" si="21"/>
        <v>2024</v>
      </c>
      <c r="M165" t="b">
        <f t="shared" si="22"/>
        <v>0</v>
      </c>
      <c r="N165" t="b">
        <f t="shared" si="16"/>
        <v>0</v>
      </c>
      <c r="O165" t="str">
        <f t="shared" si="23"/>
        <v>Standard order</v>
      </c>
      <c r="P165" s="7">
        <f t="shared" si="17"/>
        <v>10.811</v>
      </c>
      <c r="Q165" s="7" t="str">
        <f>VLOOKUP(D166,Product_Lookup!$A$2:$C$27,2,FALSE)</f>
        <v>Socks</v>
      </c>
      <c r="R165" s="7">
        <f t="shared" si="18"/>
        <v>216.22</v>
      </c>
    </row>
    <row r="166" spans="1:18" ht="21.75" customHeight="1">
      <c r="A166" t="s">
        <v>266</v>
      </c>
      <c r="B166" s="6">
        <v>45351</v>
      </c>
      <c r="C166" t="s">
        <v>118</v>
      </c>
      <c r="D166" t="s">
        <v>74</v>
      </c>
      <c r="E166" t="s">
        <v>11</v>
      </c>
      <c r="F166" t="s">
        <v>12</v>
      </c>
      <c r="G166" t="s">
        <v>28</v>
      </c>
      <c r="H166">
        <v>7</v>
      </c>
      <c r="I166" t="str">
        <f>VLOOKUP(D166,Product_Lookup!$A$2:$C$27,3,FALSE)</f>
        <v>$201.32</v>
      </c>
      <c r="J166" t="str">
        <f t="shared" si="19"/>
        <v>Thursday</v>
      </c>
      <c r="K166" s="10" t="str">
        <f t="shared" si="20"/>
        <v>February</v>
      </c>
      <c r="L166">
        <f t="shared" si="21"/>
        <v>2024</v>
      </c>
      <c r="M166" t="b">
        <f t="shared" si="22"/>
        <v>0</v>
      </c>
      <c r="N166" t="b">
        <f t="shared" si="16"/>
        <v>1</v>
      </c>
      <c r="O166" t="str">
        <f t="shared" si="23"/>
        <v>Large Order</v>
      </c>
      <c r="P166" s="7">
        <f t="shared" si="17"/>
        <v>10.066000000000001</v>
      </c>
      <c r="Q166" s="7" t="str">
        <f>VLOOKUP(D167,Product_Lookup!$A$2:$C$27,2,FALSE)</f>
        <v>Paper Shredder</v>
      </c>
      <c r="R166" s="7">
        <f t="shared" si="18"/>
        <v>1409.24</v>
      </c>
    </row>
    <row r="167" spans="1:18" ht="21.75" customHeight="1">
      <c r="A167" t="s">
        <v>267</v>
      </c>
      <c r="B167" s="6">
        <v>45648</v>
      </c>
      <c r="C167" t="s">
        <v>95</v>
      </c>
      <c r="D167" t="s">
        <v>109</v>
      </c>
      <c r="E167" t="s">
        <v>22</v>
      </c>
      <c r="F167" t="s">
        <v>306</v>
      </c>
      <c r="G167" t="s">
        <v>36</v>
      </c>
      <c r="H167">
        <v>12</v>
      </c>
      <c r="I167" t="str">
        <f>VLOOKUP(D167,Product_Lookup!$A$2:$C$27,3,FALSE)</f>
        <v>$81.02</v>
      </c>
      <c r="J167" t="str">
        <f t="shared" si="19"/>
        <v>Sunday</v>
      </c>
      <c r="K167" s="10" t="str">
        <f t="shared" si="20"/>
        <v>December</v>
      </c>
      <c r="L167">
        <f t="shared" si="21"/>
        <v>2024</v>
      </c>
      <c r="M167" t="b">
        <f t="shared" si="22"/>
        <v>1</v>
      </c>
      <c r="N167" t="b">
        <f t="shared" si="16"/>
        <v>1</v>
      </c>
      <c r="O167" t="str">
        <f t="shared" si="23"/>
        <v>Large Order</v>
      </c>
      <c r="P167" s="7">
        <f t="shared" si="17"/>
        <v>4.0510000000000002</v>
      </c>
      <c r="Q167" s="7" t="str">
        <f>VLOOKUP(D168,Product_Lookup!$A$2:$C$27,2,FALSE)</f>
        <v>Paper Shredder</v>
      </c>
      <c r="R167" s="7">
        <f t="shared" si="18"/>
        <v>972.24</v>
      </c>
    </row>
    <row r="168" spans="1:18" ht="21.75" customHeight="1">
      <c r="A168" t="s">
        <v>268</v>
      </c>
      <c r="B168" s="6">
        <v>45627</v>
      </c>
      <c r="C168" t="s">
        <v>44</v>
      </c>
      <c r="D168" t="s">
        <v>109</v>
      </c>
      <c r="E168" t="s">
        <v>17</v>
      </c>
      <c r="F168" t="s">
        <v>12</v>
      </c>
      <c r="G168" t="s">
        <v>36</v>
      </c>
      <c r="H168">
        <v>5</v>
      </c>
      <c r="I168" t="str">
        <f>VLOOKUP(D168,Product_Lookup!$A$2:$C$27,3,FALSE)</f>
        <v>$81.02</v>
      </c>
      <c r="J168" t="str">
        <f t="shared" si="19"/>
        <v>Sunday</v>
      </c>
      <c r="K168" s="10" t="str">
        <f t="shared" si="20"/>
        <v>December</v>
      </c>
      <c r="L168">
        <f t="shared" si="21"/>
        <v>2024</v>
      </c>
      <c r="M168" t="b">
        <f t="shared" si="22"/>
        <v>1</v>
      </c>
      <c r="N168" t="b">
        <f t="shared" si="16"/>
        <v>0</v>
      </c>
      <c r="O168" t="str">
        <f t="shared" si="23"/>
        <v>Standard order</v>
      </c>
      <c r="P168" s="7">
        <f t="shared" si="17"/>
        <v>4.0510000000000002</v>
      </c>
      <c r="Q168" s="7" t="str">
        <f>VLOOKUP(D169,Product_Lookup!$A$2:$C$27,2,FALSE)</f>
        <v>Notebook</v>
      </c>
      <c r="R168" s="7">
        <f t="shared" si="18"/>
        <v>405.09999999999997</v>
      </c>
    </row>
    <row r="169" spans="1:18" ht="21.75" customHeight="1">
      <c r="A169" t="s">
        <v>269</v>
      </c>
      <c r="B169" s="6">
        <v>45403</v>
      </c>
      <c r="C169" t="s">
        <v>44</v>
      </c>
      <c r="D169" t="s">
        <v>160</v>
      </c>
      <c r="E169" t="s">
        <v>17</v>
      </c>
      <c r="F169" t="s">
        <v>27</v>
      </c>
      <c r="G169" t="s">
        <v>36</v>
      </c>
      <c r="H169">
        <v>2</v>
      </c>
      <c r="I169" t="str">
        <f>VLOOKUP(D169,Product_Lookup!$A$2:$C$27,3,FALSE)</f>
        <v>$149.27</v>
      </c>
      <c r="J169" t="str">
        <f t="shared" si="19"/>
        <v>Sunday</v>
      </c>
      <c r="K169" s="10" t="str">
        <f t="shared" si="20"/>
        <v>April</v>
      </c>
      <c r="L169">
        <f t="shared" si="21"/>
        <v>2024</v>
      </c>
      <c r="M169" t="b">
        <f t="shared" si="22"/>
        <v>1</v>
      </c>
      <c r="N169" t="b">
        <f t="shared" si="16"/>
        <v>0</v>
      </c>
      <c r="O169" t="str">
        <f t="shared" si="23"/>
        <v>Standard order</v>
      </c>
      <c r="P169" s="7">
        <f t="shared" si="17"/>
        <v>7.4635000000000007</v>
      </c>
      <c r="Q169" s="7" t="str">
        <f>VLOOKUP(D170,Product_Lookup!$A$2:$C$27,2,FALSE)</f>
        <v>Monitor</v>
      </c>
      <c r="R169" s="7">
        <f t="shared" si="18"/>
        <v>298.54000000000002</v>
      </c>
    </row>
    <row r="170" spans="1:18" ht="21.75" customHeight="1">
      <c r="A170" t="s">
        <v>270</v>
      </c>
      <c r="B170" s="6">
        <v>45570</v>
      </c>
      <c r="C170" t="s">
        <v>51</v>
      </c>
      <c r="D170" t="s">
        <v>102</v>
      </c>
      <c r="E170" t="s">
        <v>17</v>
      </c>
      <c r="F170" t="s">
        <v>42</v>
      </c>
      <c r="G170" t="s">
        <v>13</v>
      </c>
      <c r="H170">
        <v>4</v>
      </c>
      <c r="I170" t="str">
        <f>VLOOKUP(D170,Product_Lookup!$A$2:$C$27,3,FALSE)</f>
        <v>$145.48</v>
      </c>
      <c r="J170" t="str">
        <f t="shared" si="19"/>
        <v>Saturday</v>
      </c>
      <c r="K170" s="10" t="str">
        <f t="shared" si="20"/>
        <v>October</v>
      </c>
      <c r="L170">
        <f t="shared" si="21"/>
        <v>2024</v>
      </c>
      <c r="M170" t="b">
        <f t="shared" si="22"/>
        <v>1</v>
      </c>
      <c r="N170" t="b">
        <f t="shared" si="16"/>
        <v>0</v>
      </c>
      <c r="O170" t="str">
        <f t="shared" si="23"/>
        <v>Large Order</v>
      </c>
      <c r="P170" s="7">
        <f t="shared" si="17"/>
        <v>7.274</v>
      </c>
      <c r="Q170" s="7" t="str">
        <f>VLOOKUP(D171,Product_Lookup!$A$2:$C$27,2,FALSE)</f>
        <v>Action Figure</v>
      </c>
      <c r="R170" s="7">
        <f t="shared" si="18"/>
        <v>581.91999999999996</v>
      </c>
    </row>
    <row r="171" spans="1:18" ht="21.75" customHeight="1">
      <c r="A171" t="s">
        <v>271</v>
      </c>
      <c r="B171" s="6">
        <v>45338</v>
      </c>
      <c r="C171" t="s">
        <v>58</v>
      </c>
      <c r="D171" t="s">
        <v>21</v>
      </c>
      <c r="E171" t="s">
        <v>11</v>
      </c>
      <c r="F171" t="s">
        <v>56</v>
      </c>
      <c r="G171" t="s">
        <v>23</v>
      </c>
      <c r="H171">
        <v>13</v>
      </c>
      <c r="I171" t="str">
        <f>VLOOKUP(D171,Product_Lookup!$A$2:$C$27,3,FALSE)</f>
        <v>$88.18</v>
      </c>
      <c r="J171" t="str">
        <f t="shared" si="19"/>
        <v>Friday</v>
      </c>
      <c r="K171" s="10" t="str">
        <f t="shared" si="20"/>
        <v>February</v>
      </c>
      <c r="L171">
        <f t="shared" si="21"/>
        <v>2024</v>
      </c>
      <c r="M171" t="b">
        <f t="shared" si="22"/>
        <v>0</v>
      </c>
      <c r="N171" t="b">
        <f t="shared" si="16"/>
        <v>1</v>
      </c>
      <c r="O171" t="str">
        <f t="shared" si="23"/>
        <v>Large Order</v>
      </c>
      <c r="P171" s="7">
        <f t="shared" si="17"/>
        <v>4.4090000000000007</v>
      </c>
      <c r="Q171" s="7" t="str">
        <f>VLOOKUP(D172,Product_Lookup!$A$2:$C$27,2,FALSE)</f>
        <v>Headphones</v>
      </c>
      <c r="R171" s="7">
        <f t="shared" si="18"/>
        <v>1146.3400000000001</v>
      </c>
    </row>
    <row r="172" spans="1:18" ht="21.75" customHeight="1">
      <c r="A172" t="s">
        <v>272</v>
      </c>
      <c r="B172" s="6">
        <v>45581</v>
      </c>
      <c r="C172" t="s">
        <v>40</v>
      </c>
      <c r="D172" t="s">
        <v>16</v>
      </c>
      <c r="E172" t="s">
        <v>11</v>
      </c>
      <c r="F172" t="s">
        <v>56</v>
      </c>
      <c r="G172" t="s">
        <v>13</v>
      </c>
      <c r="H172">
        <v>10</v>
      </c>
      <c r="I172" t="str">
        <f>VLOOKUP(D172,Product_Lookup!$A$2:$C$27,3,FALSE)</f>
        <v>$178.83</v>
      </c>
      <c r="J172" t="str">
        <f t="shared" si="19"/>
        <v>Wednesday</v>
      </c>
      <c r="K172" s="10" t="str">
        <f t="shared" si="20"/>
        <v>October</v>
      </c>
      <c r="L172">
        <f t="shared" si="21"/>
        <v>2024</v>
      </c>
      <c r="M172" t="b">
        <f t="shared" si="22"/>
        <v>0</v>
      </c>
      <c r="N172" t="b">
        <f t="shared" si="16"/>
        <v>1</v>
      </c>
      <c r="O172" t="str">
        <f t="shared" si="23"/>
        <v>Large Order</v>
      </c>
      <c r="P172" s="7">
        <f t="shared" si="17"/>
        <v>8.9415000000000013</v>
      </c>
      <c r="Q172" s="7" t="str">
        <f>VLOOKUP(D173,Product_Lookup!$A$2:$C$27,2,FALSE)</f>
        <v>Action Figure</v>
      </c>
      <c r="R172" s="7">
        <f t="shared" si="18"/>
        <v>1788.3000000000002</v>
      </c>
    </row>
    <row r="173" spans="1:18" ht="21.75" customHeight="1">
      <c r="A173" t="s">
        <v>273</v>
      </c>
      <c r="B173" s="6">
        <v>45460</v>
      </c>
      <c r="C173" t="s">
        <v>58</v>
      </c>
      <c r="D173" t="s">
        <v>21</v>
      </c>
      <c r="E173" t="s">
        <v>17</v>
      </c>
      <c r="F173" t="s">
        <v>56</v>
      </c>
      <c r="G173" t="s">
        <v>23</v>
      </c>
      <c r="H173">
        <v>14</v>
      </c>
      <c r="I173" t="str">
        <f>VLOOKUP(D173,Product_Lookup!$A$2:$C$27,3,FALSE)</f>
        <v>$88.18</v>
      </c>
      <c r="J173" t="str">
        <f t="shared" si="19"/>
        <v>Monday</v>
      </c>
      <c r="K173" s="10" t="str">
        <f t="shared" si="20"/>
        <v>June</v>
      </c>
      <c r="L173">
        <f t="shared" si="21"/>
        <v>2024</v>
      </c>
      <c r="M173" t="b">
        <f t="shared" si="22"/>
        <v>0</v>
      </c>
      <c r="N173" t="b">
        <f t="shared" si="16"/>
        <v>1</v>
      </c>
      <c r="O173" t="str">
        <f t="shared" si="23"/>
        <v>Large Order</v>
      </c>
      <c r="P173" s="7">
        <f t="shared" si="17"/>
        <v>4.4090000000000007</v>
      </c>
      <c r="Q173" s="7" t="str">
        <f>VLOOKUP(D174,Product_Lookup!$A$2:$C$27,2,FALSE)</f>
        <v>T-Shirt</v>
      </c>
      <c r="R173" s="7">
        <f t="shared" si="18"/>
        <v>1234.52</v>
      </c>
    </row>
    <row r="174" spans="1:18" ht="21.75" customHeight="1">
      <c r="A174" t="s">
        <v>274</v>
      </c>
      <c r="B174" s="6">
        <v>45568</v>
      </c>
      <c r="C174" t="s">
        <v>25</v>
      </c>
      <c r="D174" t="s">
        <v>45</v>
      </c>
      <c r="E174" t="s">
        <v>22</v>
      </c>
      <c r="F174" t="s">
        <v>42</v>
      </c>
      <c r="G174" t="s">
        <v>28</v>
      </c>
      <c r="H174">
        <v>14</v>
      </c>
      <c r="I174" t="str">
        <f>VLOOKUP(D174,Product_Lookup!$A$2:$C$27,3,FALSE)</f>
        <v>$107.34</v>
      </c>
      <c r="J174" t="str">
        <f t="shared" si="19"/>
        <v>Thursday</v>
      </c>
      <c r="K174" s="10" t="str">
        <f t="shared" si="20"/>
        <v>October</v>
      </c>
      <c r="L174">
        <f t="shared" si="21"/>
        <v>2024</v>
      </c>
      <c r="M174" t="b">
        <f t="shared" si="22"/>
        <v>0</v>
      </c>
      <c r="N174" t="b">
        <f t="shared" si="16"/>
        <v>1</v>
      </c>
      <c r="O174" t="str">
        <f t="shared" si="23"/>
        <v>Large Order</v>
      </c>
      <c r="P174" s="7">
        <f t="shared" si="17"/>
        <v>5.3670000000000009</v>
      </c>
      <c r="Q174" s="7" t="str">
        <f>VLOOKUP(D175,Product_Lookup!$A$2:$C$27,2,FALSE)</f>
        <v>Puzzle</v>
      </c>
      <c r="R174" s="7">
        <f t="shared" si="18"/>
        <v>1502.76</v>
      </c>
    </row>
    <row r="175" spans="1:18" ht="21.75" customHeight="1">
      <c r="A175" t="s">
        <v>275</v>
      </c>
      <c r="B175" s="6">
        <v>45475</v>
      </c>
      <c r="C175" t="s">
        <v>58</v>
      </c>
      <c r="D175" t="s">
        <v>62</v>
      </c>
      <c r="E175" t="s">
        <v>11</v>
      </c>
      <c r="F175" t="s">
        <v>56</v>
      </c>
      <c r="G175" t="s">
        <v>23</v>
      </c>
      <c r="H175">
        <v>3</v>
      </c>
      <c r="I175" t="str">
        <f>VLOOKUP(D175,Product_Lookup!$A$2:$C$27,3,FALSE)</f>
        <v>$46.19</v>
      </c>
      <c r="J175" t="str">
        <f t="shared" si="19"/>
        <v>Tuesday</v>
      </c>
      <c r="K175" s="10" t="str">
        <f t="shared" si="20"/>
        <v>July</v>
      </c>
      <c r="L175">
        <f t="shared" si="21"/>
        <v>2024</v>
      </c>
      <c r="M175" t="b">
        <f t="shared" si="22"/>
        <v>0</v>
      </c>
      <c r="N175" t="b">
        <f t="shared" si="16"/>
        <v>0</v>
      </c>
      <c r="O175" t="str">
        <f t="shared" si="23"/>
        <v>Standard order</v>
      </c>
      <c r="P175" s="7">
        <f t="shared" si="17"/>
        <v>2.3094999999999999</v>
      </c>
      <c r="Q175" s="7" t="str">
        <f>VLOOKUP(D176,Product_Lookup!$A$2:$C$27,2,FALSE)</f>
        <v>Laptop</v>
      </c>
      <c r="R175" s="7">
        <f t="shared" si="18"/>
        <v>138.57</v>
      </c>
    </row>
    <row r="176" spans="1:18" ht="21.75" customHeight="1">
      <c r="A176" t="s">
        <v>276</v>
      </c>
      <c r="B176" s="6">
        <v>45507</v>
      </c>
      <c r="C176" t="s">
        <v>230</v>
      </c>
      <c r="D176" t="s">
        <v>96</v>
      </c>
      <c r="E176" t="s">
        <v>3656</v>
      </c>
      <c r="F176" t="s">
        <v>306</v>
      </c>
      <c r="G176" t="s">
        <v>13</v>
      </c>
      <c r="H176">
        <v>8</v>
      </c>
      <c r="I176" t="str">
        <f>VLOOKUP(D176,Product_Lookup!$A$2:$C$27,3,FALSE)</f>
        <v>$230.68</v>
      </c>
      <c r="J176" t="str">
        <f t="shared" si="19"/>
        <v>Saturday</v>
      </c>
      <c r="K176" s="10" t="str">
        <f t="shared" si="20"/>
        <v>August</v>
      </c>
      <c r="L176">
        <f t="shared" si="21"/>
        <v>2024</v>
      </c>
      <c r="M176" t="b">
        <f t="shared" si="22"/>
        <v>1</v>
      </c>
      <c r="N176" t="b">
        <f t="shared" si="16"/>
        <v>1</v>
      </c>
      <c r="O176" t="str">
        <f t="shared" si="23"/>
        <v>Large Order</v>
      </c>
      <c r="P176" s="7">
        <f t="shared" si="17"/>
        <v>11.534000000000001</v>
      </c>
      <c r="Q176" s="7" t="str">
        <f>VLOOKUP(D177,Product_Lookup!$A$2:$C$27,2,FALSE)</f>
        <v>Paper Shredder</v>
      </c>
      <c r="R176" s="7">
        <f t="shared" si="18"/>
        <v>1845.44</v>
      </c>
    </row>
    <row r="177" spans="1:18" ht="21.75" customHeight="1">
      <c r="A177" t="s">
        <v>277</v>
      </c>
      <c r="B177" s="6">
        <v>45595</v>
      </c>
      <c r="C177" t="s">
        <v>106</v>
      </c>
      <c r="D177" t="s">
        <v>109</v>
      </c>
      <c r="E177" t="s">
        <v>3656</v>
      </c>
      <c r="F177" t="s">
        <v>12</v>
      </c>
      <c r="G177" t="s">
        <v>36</v>
      </c>
      <c r="H177">
        <v>10</v>
      </c>
      <c r="I177" t="str">
        <f>VLOOKUP(D177,Product_Lookup!$A$2:$C$27,3,FALSE)</f>
        <v>$81.02</v>
      </c>
      <c r="J177" t="str">
        <f t="shared" si="19"/>
        <v>Wednesday</v>
      </c>
      <c r="K177" s="10" t="str">
        <f t="shared" si="20"/>
        <v>October</v>
      </c>
      <c r="L177">
        <f t="shared" si="21"/>
        <v>2024</v>
      </c>
      <c r="M177" t="b">
        <f t="shared" si="22"/>
        <v>0</v>
      </c>
      <c r="N177" t="b">
        <f t="shared" si="16"/>
        <v>1</v>
      </c>
      <c r="O177" t="str">
        <f t="shared" si="23"/>
        <v>Large Order</v>
      </c>
      <c r="P177" s="7">
        <f t="shared" si="17"/>
        <v>4.0510000000000002</v>
      </c>
      <c r="Q177" s="7" t="str">
        <f>VLOOKUP(D178,Product_Lookup!$A$2:$C$27,2,FALSE)</f>
        <v>Vacuum</v>
      </c>
      <c r="R177" s="7">
        <f t="shared" si="18"/>
        <v>810.19999999999993</v>
      </c>
    </row>
    <row r="178" spans="1:18" ht="21.75" customHeight="1">
      <c r="A178" t="s">
        <v>278</v>
      </c>
      <c r="B178" s="6">
        <v>45629</v>
      </c>
      <c r="C178" t="s">
        <v>93</v>
      </c>
      <c r="D178" t="s">
        <v>87</v>
      </c>
      <c r="E178" t="s">
        <v>3656</v>
      </c>
      <c r="F178" t="s">
        <v>306</v>
      </c>
      <c r="G178" t="s">
        <v>32</v>
      </c>
      <c r="H178">
        <v>1</v>
      </c>
      <c r="I178" t="str">
        <f>VLOOKUP(D178,Product_Lookup!$A$2:$C$27,3,FALSE)</f>
        <v>$26.59</v>
      </c>
      <c r="J178" t="str">
        <f t="shared" si="19"/>
        <v>Tuesday</v>
      </c>
      <c r="K178" s="10" t="str">
        <f t="shared" si="20"/>
        <v>December</v>
      </c>
      <c r="L178">
        <f t="shared" si="21"/>
        <v>2024</v>
      </c>
      <c r="M178" t="b">
        <f t="shared" si="22"/>
        <v>0</v>
      </c>
      <c r="N178" t="b">
        <f t="shared" si="16"/>
        <v>0</v>
      </c>
      <c r="O178" t="str">
        <f t="shared" si="23"/>
        <v>Standard order</v>
      </c>
      <c r="P178" s="7">
        <f t="shared" si="17"/>
        <v>1.3295000000000001</v>
      </c>
      <c r="Q178" s="7" t="str">
        <f>VLOOKUP(D179,Product_Lookup!$A$2:$C$27,2,FALSE)</f>
        <v>Monitor</v>
      </c>
      <c r="R178" s="7">
        <f t="shared" si="18"/>
        <v>26.59</v>
      </c>
    </row>
    <row r="179" spans="1:18" ht="21.75" customHeight="1">
      <c r="A179" t="s">
        <v>279</v>
      </c>
      <c r="B179" s="6">
        <v>45497</v>
      </c>
      <c r="C179" t="s">
        <v>116</v>
      </c>
      <c r="D179" t="s">
        <v>102</v>
      </c>
      <c r="E179" t="s">
        <v>22</v>
      </c>
      <c r="F179" t="s">
        <v>27</v>
      </c>
      <c r="G179" t="s">
        <v>13</v>
      </c>
      <c r="H179">
        <v>15</v>
      </c>
      <c r="I179" t="str">
        <f>VLOOKUP(D179,Product_Lookup!$A$2:$C$27,3,FALSE)</f>
        <v>$145.48</v>
      </c>
      <c r="J179" t="str">
        <f t="shared" si="19"/>
        <v>Wednesday</v>
      </c>
      <c r="K179" s="10" t="str">
        <f t="shared" si="20"/>
        <v>July</v>
      </c>
      <c r="L179">
        <f t="shared" si="21"/>
        <v>2024</v>
      </c>
      <c r="M179" t="b">
        <f t="shared" si="22"/>
        <v>0</v>
      </c>
      <c r="N179" t="b">
        <f t="shared" si="16"/>
        <v>1</v>
      </c>
      <c r="O179" t="str">
        <f t="shared" si="23"/>
        <v>Large Order</v>
      </c>
      <c r="P179" s="7">
        <f t="shared" si="17"/>
        <v>7.274</v>
      </c>
      <c r="Q179" s="7" t="str">
        <f>VLOOKUP(D180,Product_Lookup!$A$2:$C$27,2,FALSE)</f>
        <v>T-Shirt</v>
      </c>
      <c r="R179" s="7">
        <f t="shared" si="18"/>
        <v>2182.1999999999998</v>
      </c>
    </row>
    <row r="180" spans="1:18" ht="21.75" customHeight="1">
      <c r="A180" t="s">
        <v>280</v>
      </c>
      <c r="B180" s="6">
        <v>45456</v>
      </c>
      <c r="C180" t="s">
        <v>61</v>
      </c>
      <c r="D180" t="s">
        <v>45</v>
      </c>
      <c r="E180" t="s">
        <v>11</v>
      </c>
      <c r="F180" t="s">
        <v>306</v>
      </c>
      <c r="G180" t="s">
        <v>28</v>
      </c>
      <c r="H180">
        <v>5</v>
      </c>
      <c r="I180" t="str">
        <f>VLOOKUP(D180,Product_Lookup!$A$2:$C$27,3,FALSE)</f>
        <v>$107.34</v>
      </c>
      <c r="J180" t="str">
        <f t="shared" si="19"/>
        <v>Thursday</v>
      </c>
      <c r="K180" s="10" t="str">
        <f t="shared" si="20"/>
        <v>June</v>
      </c>
      <c r="L180">
        <f t="shared" si="21"/>
        <v>2024</v>
      </c>
      <c r="M180" t="b">
        <f t="shared" si="22"/>
        <v>0</v>
      </c>
      <c r="N180" t="b">
        <f t="shared" si="16"/>
        <v>0</v>
      </c>
      <c r="O180" t="str">
        <f t="shared" si="23"/>
        <v>Large Order</v>
      </c>
      <c r="P180" s="7">
        <f t="shared" si="17"/>
        <v>5.3670000000000009</v>
      </c>
      <c r="Q180" s="7" t="str">
        <f>VLOOKUP(D181,Product_Lookup!$A$2:$C$27,2,FALSE)</f>
        <v>Paper Shredder</v>
      </c>
      <c r="R180" s="7">
        <f t="shared" si="18"/>
        <v>536.70000000000005</v>
      </c>
    </row>
    <row r="181" spans="1:18" ht="21.75" customHeight="1">
      <c r="A181" t="s">
        <v>281</v>
      </c>
      <c r="B181" s="6">
        <v>45572</v>
      </c>
      <c r="C181" t="s">
        <v>68</v>
      </c>
      <c r="D181" t="s">
        <v>109</v>
      </c>
      <c r="E181" t="s">
        <v>22</v>
      </c>
      <c r="F181" t="s">
        <v>42</v>
      </c>
      <c r="G181" t="s">
        <v>36</v>
      </c>
      <c r="H181">
        <v>5</v>
      </c>
      <c r="I181" t="str">
        <f>VLOOKUP(D181,Product_Lookup!$A$2:$C$27,3,FALSE)</f>
        <v>$81.02</v>
      </c>
      <c r="J181" t="str">
        <f t="shared" si="19"/>
        <v>Monday</v>
      </c>
      <c r="K181" s="10" t="str">
        <f t="shared" si="20"/>
        <v>October</v>
      </c>
      <c r="L181">
        <f t="shared" si="21"/>
        <v>2024</v>
      </c>
      <c r="M181" t="b">
        <f t="shared" si="22"/>
        <v>0</v>
      </c>
      <c r="N181" t="b">
        <f t="shared" si="16"/>
        <v>0</v>
      </c>
      <c r="O181" t="str">
        <f t="shared" si="23"/>
        <v>Standard order</v>
      </c>
      <c r="P181" s="7">
        <f t="shared" si="17"/>
        <v>4.0510000000000002</v>
      </c>
      <c r="Q181" s="7" t="str">
        <f>VLOOKUP(D182,Product_Lookup!$A$2:$C$27,2,FALSE)</f>
        <v>Headphones</v>
      </c>
      <c r="R181" s="7">
        <f t="shared" si="18"/>
        <v>405.09999999999997</v>
      </c>
    </row>
    <row r="182" spans="1:18" ht="21.75" customHeight="1">
      <c r="A182" t="s">
        <v>282</v>
      </c>
      <c r="B182" s="6">
        <v>45512</v>
      </c>
      <c r="C182" t="s">
        <v>240</v>
      </c>
      <c r="D182" t="s">
        <v>16</v>
      </c>
      <c r="E182" t="s">
        <v>22</v>
      </c>
      <c r="F182" t="s">
        <v>12</v>
      </c>
      <c r="G182" t="s">
        <v>13</v>
      </c>
      <c r="H182">
        <v>14</v>
      </c>
      <c r="I182" t="str">
        <f>VLOOKUP(D182,Product_Lookup!$A$2:$C$27,3,FALSE)</f>
        <v>$178.83</v>
      </c>
      <c r="J182" t="str">
        <f t="shared" si="19"/>
        <v>Thursday</v>
      </c>
      <c r="K182" s="10" t="str">
        <f t="shared" si="20"/>
        <v>August</v>
      </c>
      <c r="L182">
        <f t="shared" si="21"/>
        <v>2024</v>
      </c>
      <c r="M182" t="b">
        <f t="shared" si="22"/>
        <v>0</v>
      </c>
      <c r="N182" t="b">
        <f t="shared" si="16"/>
        <v>1</v>
      </c>
      <c r="O182" t="str">
        <f t="shared" si="23"/>
        <v>Large Order</v>
      </c>
      <c r="P182" s="7">
        <f t="shared" si="17"/>
        <v>8.9415000000000013</v>
      </c>
      <c r="Q182" s="7" t="str">
        <f>VLOOKUP(D183,Product_Lookup!$A$2:$C$27,2,FALSE)</f>
        <v>Vacuum</v>
      </c>
      <c r="R182" s="7">
        <f t="shared" si="18"/>
        <v>2503.6200000000003</v>
      </c>
    </row>
    <row r="183" spans="1:18" ht="21.75" customHeight="1">
      <c r="A183" t="s">
        <v>283</v>
      </c>
      <c r="B183" s="6">
        <v>45408</v>
      </c>
      <c r="C183" t="s">
        <v>111</v>
      </c>
      <c r="D183" t="s">
        <v>87</v>
      </c>
      <c r="E183" t="s">
        <v>17</v>
      </c>
      <c r="F183" t="s">
        <v>27</v>
      </c>
      <c r="G183" t="s">
        <v>32</v>
      </c>
      <c r="H183">
        <v>7</v>
      </c>
      <c r="I183" t="str">
        <f>VLOOKUP(D183,Product_Lookup!$A$2:$C$27,3,FALSE)</f>
        <v>$26.59</v>
      </c>
      <c r="J183" t="str">
        <f t="shared" si="19"/>
        <v>Friday</v>
      </c>
      <c r="K183" s="10" t="str">
        <f t="shared" si="20"/>
        <v>April</v>
      </c>
      <c r="L183">
        <f t="shared" si="21"/>
        <v>2024</v>
      </c>
      <c r="M183" t="b">
        <f t="shared" si="22"/>
        <v>0</v>
      </c>
      <c r="N183" t="b">
        <f t="shared" si="16"/>
        <v>0</v>
      </c>
      <c r="O183" t="str">
        <f t="shared" si="23"/>
        <v>Standard order</v>
      </c>
      <c r="P183" s="7">
        <f t="shared" si="17"/>
        <v>1.3295000000000001</v>
      </c>
      <c r="Q183" s="7" t="str">
        <f>VLOOKUP(D184,Product_Lookup!$A$2:$C$27,2,FALSE)</f>
        <v>Coffee Maker</v>
      </c>
      <c r="R183" s="7">
        <f t="shared" si="18"/>
        <v>186.13</v>
      </c>
    </row>
    <row r="184" spans="1:18" ht="21.75" customHeight="1">
      <c r="A184" t="s">
        <v>284</v>
      </c>
      <c r="B184" s="6">
        <v>45510</v>
      </c>
      <c r="C184" t="s">
        <v>122</v>
      </c>
      <c r="D184" t="s">
        <v>31</v>
      </c>
      <c r="E184" t="s">
        <v>11</v>
      </c>
      <c r="F184" t="s">
        <v>42</v>
      </c>
      <c r="G184" t="s">
        <v>32</v>
      </c>
      <c r="H184">
        <v>11</v>
      </c>
      <c r="I184" t="str">
        <f>VLOOKUP(D184,Product_Lookup!$A$2:$C$27,3,FALSE)</f>
        <v>$230.34</v>
      </c>
      <c r="J184" t="str">
        <f t="shared" si="19"/>
        <v>Tuesday</v>
      </c>
      <c r="K184" s="10" t="str">
        <f t="shared" si="20"/>
        <v>August</v>
      </c>
      <c r="L184">
        <f t="shared" si="21"/>
        <v>2024</v>
      </c>
      <c r="M184" t="b">
        <f t="shared" si="22"/>
        <v>0</v>
      </c>
      <c r="N184" t="b">
        <f t="shared" si="16"/>
        <v>1</v>
      </c>
      <c r="O184" t="str">
        <f t="shared" si="23"/>
        <v>Large Order</v>
      </c>
      <c r="P184" s="7">
        <f t="shared" si="17"/>
        <v>11.517000000000001</v>
      </c>
      <c r="Q184" s="7" t="str">
        <f>VLOOKUP(D185,Product_Lookup!$A$2:$C$27,2,FALSE)</f>
        <v>Monitor</v>
      </c>
      <c r="R184" s="7">
        <f t="shared" si="18"/>
        <v>2533.7400000000002</v>
      </c>
    </row>
    <row r="185" spans="1:18" ht="21.75" customHeight="1">
      <c r="A185" t="s">
        <v>285</v>
      </c>
      <c r="B185" s="6">
        <v>45338</v>
      </c>
      <c r="C185" t="s">
        <v>58</v>
      </c>
      <c r="D185" t="s">
        <v>102</v>
      </c>
      <c r="E185" t="s">
        <v>11</v>
      </c>
      <c r="F185" t="s">
        <v>12</v>
      </c>
      <c r="G185" t="s">
        <v>13</v>
      </c>
      <c r="H185">
        <v>12</v>
      </c>
      <c r="I185" t="str">
        <f>VLOOKUP(D185,Product_Lookup!$A$2:$C$27,3,FALSE)</f>
        <v>$145.48</v>
      </c>
      <c r="J185" t="str">
        <f t="shared" si="19"/>
        <v>Friday</v>
      </c>
      <c r="K185" s="10" t="str">
        <f t="shared" si="20"/>
        <v>February</v>
      </c>
      <c r="L185">
        <f t="shared" si="21"/>
        <v>2024</v>
      </c>
      <c r="M185" t="b">
        <f t="shared" si="22"/>
        <v>0</v>
      </c>
      <c r="N185" t="b">
        <f t="shared" si="16"/>
        <v>1</v>
      </c>
      <c r="O185" t="str">
        <f t="shared" si="23"/>
        <v>Large Order</v>
      </c>
      <c r="P185" s="7">
        <f t="shared" si="17"/>
        <v>7.274</v>
      </c>
      <c r="Q185" s="7" t="str">
        <f>VLOOKUP(D186,Product_Lookup!$A$2:$C$27,2,FALSE)</f>
        <v>Doll</v>
      </c>
      <c r="R185" s="7">
        <f t="shared" si="18"/>
        <v>1745.7599999999998</v>
      </c>
    </row>
    <row r="186" spans="1:18" ht="21.75" customHeight="1">
      <c r="A186" t="s">
        <v>286</v>
      </c>
      <c r="B186" s="6">
        <v>45576</v>
      </c>
      <c r="C186" t="s">
        <v>95</v>
      </c>
      <c r="D186" t="s">
        <v>119</v>
      </c>
      <c r="E186" t="s">
        <v>22</v>
      </c>
      <c r="F186" t="s">
        <v>12</v>
      </c>
      <c r="G186" t="s">
        <v>23</v>
      </c>
      <c r="H186">
        <v>6</v>
      </c>
      <c r="I186" t="str">
        <f>VLOOKUP(D186,Product_Lookup!$A$2:$C$27,3,FALSE)</f>
        <v>$32.94</v>
      </c>
      <c r="J186" t="str">
        <f t="shared" si="19"/>
        <v>Friday</v>
      </c>
      <c r="K186" s="10" t="str">
        <f t="shared" si="20"/>
        <v>October</v>
      </c>
      <c r="L186">
        <f t="shared" si="21"/>
        <v>2024</v>
      </c>
      <c r="M186" t="b">
        <f t="shared" si="22"/>
        <v>0</v>
      </c>
      <c r="N186" t="b">
        <f t="shared" si="16"/>
        <v>0</v>
      </c>
      <c r="O186" t="str">
        <f t="shared" si="23"/>
        <v>Standard order</v>
      </c>
      <c r="P186" s="7">
        <f t="shared" si="17"/>
        <v>1.647</v>
      </c>
      <c r="Q186" s="7" t="str">
        <f>VLOOKUP(D187,Product_Lookup!$A$2:$C$27,2,FALSE)</f>
        <v>Tablet</v>
      </c>
      <c r="R186" s="7">
        <f t="shared" si="18"/>
        <v>197.64</v>
      </c>
    </row>
    <row r="187" spans="1:18" ht="21.75" customHeight="1">
      <c r="A187" t="s">
        <v>287</v>
      </c>
      <c r="B187" s="6">
        <v>45473</v>
      </c>
      <c r="C187" t="s">
        <v>55</v>
      </c>
      <c r="D187" t="s">
        <v>10</v>
      </c>
      <c r="E187" t="s">
        <v>22</v>
      </c>
      <c r="F187" t="s">
        <v>27</v>
      </c>
      <c r="G187" t="s">
        <v>13</v>
      </c>
      <c r="H187">
        <v>5</v>
      </c>
      <c r="I187" t="str">
        <f>VLOOKUP(D187,Product_Lookup!$A$2:$C$27,3,FALSE)</f>
        <v>$146.06</v>
      </c>
      <c r="J187" t="str">
        <f t="shared" si="19"/>
        <v>Sunday</v>
      </c>
      <c r="K187" s="10" t="str">
        <f t="shared" si="20"/>
        <v>June</v>
      </c>
      <c r="L187">
        <f t="shared" si="21"/>
        <v>2024</v>
      </c>
      <c r="M187" t="b">
        <f t="shared" si="22"/>
        <v>1</v>
      </c>
      <c r="N187" t="b">
        <f t="shared" si="16"/>
        <v>0</v>
      </c>
      <c r="O187" t="str">
        <f t="shared" si="23"/>
        <v>Large Order</v>
      </c>
      <c r="P187" s="7">
        <f t="shared" si="17"/>
        <v>7.3030000000000008</v>
      </c>
      <c r="Q187" s="7" t="str">
        <f>VLOOKUP(D188,Product_Lookup!$A$2:$C$27,2,FALSE)</f>
        <v>Sweater</v>
      </c>
      <c r="R187" s="7">
        <f t="shared" si="18"/>
        <v>730.3</v>
      </c>
    </row>
    <row r="188" spans="1:18" ht="21.75" customHeight="1">
      <c r="A188" t="s">
        <v>288</v>
      </c>
      <c r="B188" s="6">
        <v>45551</v>
      </c>
      <c r="C188" t="s">
        <v>89</v>
      </c>
      <c r="D188" t="s">
        <v>26</v>
      </c>
      <c r="E188" t="s">
        <v>11</v>
      </c>
      <c r="F188" t="s">
        <v>56</v>
      </c>
      <c r="G188" t="s">
        <v>28</v>
      </c>
      <c r="H188">
        <v>14</v>
      </c>
      <c r="I188" t="str">
        <f>VLOOKUP(D188,Product_Lookup!$A$2:$C$27,3,FALSE)</f>
        <v>$84.57</v>
      </c>
      <c r="J188" t="str">
        <f t="shared" si="19"/>
        <v>Monday</v>
      </c>
      <c r="K188" s="10" t="str">
        <f t="shared" si="20"/>
        <v>September</v>
      </c>
      <c r="L188">
        <f t="shared" si="21"/>
        <v>2024</v>
      </c>
      <c r="M188" t="b">
        <f t="shared" si="22"/>
        <v>0</v>
      </c>
      <c r="N188" t="b">
        <f t="shared" si="16"/>
        <v>1</v>
      </c>
      <c r="O188" t="str">
        <f t="shared" si="23"/>
        <v>Large Order</v>
      </c>
      <c r="P188" s="7">
        <f t="shared" si="17"/>
        <v>4.2284999999999995</v>
      </c>
      <c r="Q188" s="7" t="str">
        <f>VLOOKUP(D189,Product_Lookup!$A$2:$C$27,2,FALSE)</f>
        <v>Air Fryer</v>
      </c>
      <c r="R188" s="7">
        <f t="shared" si="18"/>
        <v>1183.98</v>
      </c>
    </row>
    <row r="189" spans="1:18" ht="21.75" customHeight="1">
      <c r="A189" t="s">
        <v>289</v>
      </c>
      <c r="B189" s="6">
        <v>45480</v>
      </c>
      <c r="C189" t="s">
        <v>89</v>
      </c>
      <c r="D189" t="s">
        <v>70</v>
      </c>
      <c r="E189" t="s">
        <v>11</v>
      </c>
      <c r="F189" t="s">
        <v>12</v>
      </c>
      <c r="G189" t="s">
        <v>32</v>
      </c>
      <c r="H189">
        <v>13</v>
      </c>
      <c r="I189" t="str">
        <f>VLOOKUP(D189,Product_Lookup!$A$2:$C$27,3,FALSE)</f>
        <v>$211.9</v>
      </c>
      <c r="J189" t="str">
        <f t="shared" si="19"/>
        <v>Sunday</v>
      </c>
      <c r="K189" s="10" t="str">
        <f t="shared" si="20"/>
        <v>July</v>
      </c>
      <c r="L189">
        <f t="shared" si="21"/>
        <v>2024</v>
      </c>
      <c r="M189" t="b">
        <f t="shared" si="22"/>
        <v>1</v>
      </c>
      <c r="N189" t="b">
        <f t="shared" si="16"/>
        <v>1</v>
      </c>
      <c r="O189" t="str">
        <f t="shared" si="23"/>
        <v>Large Order</v>
      </c>
      <c r="P189" s="7">
        <f t="shared" si="17"/>
        <v>10.595000000000001</v>
      </c>
      <c r="Q189" s="7" t="str">
        <f>VLOOKUP(D190,Product_Lookup!$A$2:$C$27,2,FALSE)</f>
        <v>Action Figure</v>
      </c>
      <c r="R189" s="7">
        <f t="shared" si="18"/>
        <v>2754.7000000000003</v>
      </c>
    </row>
    <row r="190" spans="1:18" ht="21.75" customHeight="1">
      <c r="A190" t="s">
        <v>290</v>
      </c>
      <c r="B190" s="6">
        <v>45610</v>
      </c>
      <c r="C190" t="s">
        <v>20</v>
      </c>
      <c r="D190" t="s">
        <v>21</v>
      </c>
      <c r="E190" t="s">
        <v>22</v>
      </c>
      <c r="F190" t="s">
        <v>306</v>
      </c>
      <c r="G190" t="s">
        <v>23</v>
      </c>
      <c r="H190">
        <v>15</v>
      </c>
      <c r="I190" t="str">
        <f>VLOOKUP(D190,Product_Lookup!$A$2:$C$27,3,FALSE)</f>
        <v>$88.18</v>
      </c>
      <c r="J190" t="str">
        <f t="shared" si="19"/>
        <v>Thursday</v>
      </c>
      <c r="K190" s="10" t="str">
        <f t="shared" si="20"/>
        <v>November</v>
      </c>
      <c r="L190">
        <f t="shared" si="21"/>
        <v>2024</v>
      </c>
      <c r="M190" t="b">
        <f t="shared" si="22"/>
        <v>0</v>
      </c>
      <c r="N190" t="b">
        <f t="shared" si="16"/>
        <v>1</v>
      </c>
      <c r="O190" t="str">
        <f t="shared" si="23"/>
        <v>Large Order</v>
      </c>
      <c r="P190" s="7">
        <f t="shared" si="17"/>
        <v>4.4090000000000007</v>
      </c>
      <c r="Q190" s="7" t="str">
        <f>VLOOKUP(D191,Product_Lookup!$A$2:$C$27,2,FALSE)</f>
        <v>Jacket</v>
      </c>
      <c r="R190" s="7">
        <f t="shared" si="18"/>
        <v>1322.7</v>
      </c>
    </row>
    <row r="191" spans="1:18" ht="21.75" customHeight="1">
      <c r="A191" t="s">
        <v>291</v>
      </c>
      <c r="B191" s="6">
        <v>45428</v>
      </c>
      <c r="C191" t="s">
        <v>30</v>
      </c>
      <c r="D191" t="s">
        <v>197</v>
      </c>
      <c r="E191" t="s">
        <v>22</v>
      </c>
      <c r="F191" t="s">
        <v>12</v>
      </c>
      <c r="G191" t="s">
        <v>28</v>
      </c>
      <c r="H191">
        <v>13</v>
      </c>
      <c r="I191" t="str">
        <f>VLOOKUP(D191,Product_Lookup!$A$2:$C$27,3,FALSE)</f>
        <v>$10.11</v>
      </c>
      <c r="J191" t="str">
        <f t="shared" si="19"/>
        <v>Thursday</v>
      </c>
      <c r="K191" s="10" t="str">
        <f t="shared" si="20"/>
        <v>May</v>
      </c>
      <c r="L191">
        <f t="shared" si="21"/>
        <v>2024</v>
      </c>
      <c r="M191" t="b">
        <f t="shared" si="22"/>
        <v>0</v>
      </c>
      <c r="N191" t="b">
        <f t="shared" si="16"/>
        <v>0</v>
      </c>
      <c r="O191" t="str">
        <f t="shared" si="23"/>
        <v>Standard order</v>
      </c>
      <c r="P191" s="7">
        <f t="shared" si="17"/>
        <v>0.50549999999999995</v>
      </c>
      <c r="Q191" s="7" t="str">
        <f>VLOOKUP(D192,Product_Lookup!$A$2:$C$27,2,FALSE)</f>
        <v>Jeans</v>
      </c>
      <c r="R191" s="7">
        <f t="shared" si="18"/>
        <v>131.43</v>
      </c>
    </row>
    <row r="192" spans="1:18" ht="21.75" customHeight="1">
      <c r="A192" t="s">
        <v>292</v>
      </c>
      <c r="B192" s="6">
        <v>45471</v>
      </c>
      <c r="C192" t="s">
        <v>208</v>
      </c>
      <c r="D192" t="s">
        <v>65</v>
      </c>
      <c r="E192" t="s">
        <v>22</v>
      </c>
      <c r="F192" t="s">
        <v>12</v>
      </c>
      <c r="G192" t="s">
        <v>28</v>
      </c>
      <c r="H192">
        <v>11</v>
      </c>
      <c r="I192" t="str">
        <f>VLOOKUP(D192,Product_Lookup!$A$2:$C$27,3,FALSE)</f>
        <v>$33.22</v>
      </c>
      <c r="J192" t="str">
        <f t="shared" si="19"/>
        <v>Friday</v>
      </c>
      <c r="K192" s="10" t="str">
        <f t="shared" si="20"/>
        <v>June</v>
      </c>
      <c r="L192">
        <f t="shared" si="21"/>
        <v>2024</v>
      </c>
      <c r="M192" t="b">
        <f t="shared" si="22"/>
        <v>0</v>
      </c>
      <c r="N192" t="b">
        <f t="shared" si="16"/>
        <v>0</v>
      </c>
      <c r="O192" t="str">
        <f t="shared" si="23"/>
        <v>Standard order</v>
      </c>
      <c r="P192" s="7">
        <f t="shared" si="17"/>
        <v>1.661</v>
      </c>
      <c r="Q192" s="7" t="str">
        <f>VLOOKUP(D193,Product_Lookup!$A$2:$C$27,2,FALSE)</f>
        <v>Headphones</v>
      </c>
      <c r="R192" s="7">
        <f t="shared" si="18"/>
        <v>365.41999999999996</v>
      </c>
    </row>
    <row r="193" spans="1:18" ht="21.75" customHeight="1">
      <c r="A193" t="s">
        <v>293</v>
      </c>
      <c r="B193" s="6">
        <v>45616</v>
      </c>
      <c r="C193" t="s">
        <v>30</v>
      </c>
      <c r="D193" t="s">
        <v>16</v>
      </c>
      <c r="E193" t="s">
        <v>11</v>
      </c>
      <c r="F193" t="s">
        <v>12</v>
      </c>
      <c r="G193" t="s">
        <v>13</v>
      </c>
      <c r="H193">
        <v>7</v>
      </c>
      <c r="I193" t="str">
        <f>VLOOKUP(D193,Product_Lookup!$A$2:$C$27,3,FALSE)</f>
        <v>$178.83</v>
      </c>
      <c r="J193" t="str">
        <f t="shared" si="19"/>
        <v>Wednesday</v>
      </c>
      <c r="K193" s="10" t="str">
        <f t="shared" si="20"/>
        <v>November</v>
      </c>
      <c r="L193">
        <f t="shared" si="21"/>
        <v>2024</v>
      </c>
      <c r="M193" t="b">
        <f t="shared" si="22"/>
        <v>0</v>
      </c>
      <c r="N193" t="b">
        <f t="shared" si="16"/>
        <v>1</v>
      </c>
      <c r="O193" t="str">
        <f t="shared" si="23"/>
        <v>Large Order</v>
      </c>
      <c r="P193" s="7">
        <f t="shared" si="17"/>
        <v>8.9415000000000013</v>
      </c>
      <c r="Q193" s="7" t="str">
        <f>VLOOKUP(D194,Product_Lookup!$A$2:$C$27,2,FALSE)</f>
        <v>Coffee Maker</v>
      </c>
      <c r="R193" s="7">
        <f t="shared" si="18"/>
        <v>1251.8100000000002</v>
      </c>
    </row>
    <row r="194" spans="1:18" ht="21.75" customHeight="1">
      <c r="A194" t="s">
        <v>294</v>
      </c>
      <c r="B194" s="6">
        <v>45372</v>
      </c>
      <c r="C194" t="s">
        <v>64</v>
      </c>
      <c r="D194" t="s">
        <v>31</v>
      </c>
      <c r="E194" t="s">
        <v>22</v>
      </c>
      <c r="F194" t="s">
        <v>42</v>
      </c>
      <c r="G194" t="s">
        <v>32</v>
      </c>
      <c r="H194">
        <v>10</v>
      </c>
      <c r="I194" t="str">
        <f>VLOOKUP(D194,Product_Lookup!$A$2:$C$27,3,FALSE)</f>
        <v>$230.34</v>
      </c>
      <c r="J194" t="str">
        <f t="shared" si="19"/>
        <v>Thursday</v>
      </c>
      <c r="K194" s="10" t="str">
        <f t="shared" si="20"/>
        <v>March</v>
      </c>
      <c r="L194">
        <f t="shared" si="21"/>
        <v>2024</v>
      </c>
      <c r="M194" t="b">
        <f t="shared" si="22"/>
        <v>0</v>
      </c>
      <c r="N194" t="b">
        <f t="shared" ref="N194:N257" si="24">AND(R194&gt;750, H194&gt;5)</f>
        <v>1</v>
      </c>
      <c r="O194" t="str">
        <f t="shared" si="23"/>
        <v>Large Order</v>
      </c>
      <c r="P194" s="7">
        <f t="shared" ref="P194:P257" si="25">I194*$S$2</f>
        <v>11.517000000000001</v>
      </c>
      <c r="Q194" s="7" t="str">
        <f>VLOOKUP(D195,Product_Lookup!$A$2:$C$27,2,FALSE)</f>
        <v>Action Figure</v>
      </c>
      <c r="R194" s="7">
        <f t="shared" ref="R194:R257" si="26">H194*I194</f>
        <v>2303.4</v>
      </c>
    </row>
    <row r="195" spans="1:18" ht="21.75" customHeight="1">
      <c r="A195" t="s">
        <v>295</v>
      </c>
      <c r="B195" s="6">
        <v>45371</v>
      </c>
      <c r="C195" t="s">
        <v>118</v>
      </c>
      <c r="D195" t="s">
        <v>21</v>
      </c>
      <c r="E195" t="s">
        <v>22</v>
      </c>
      <c r="F195" t="s">
        <v>56</v>
      </c>
      <c r="G195" t="s">
        <v>23</v>
      </c>
      <c r="H195">
        <v>2</v>
      </c>
      <c r="I195" t="str">
        <f>VLOOKUP(D195,Product_Lookup!$A$2:$C$27,3,FALSE)</f>
        <v>$88.18</v>
      </c>
      <c r="J195" t="str">
        <f t="shared" ref="J195:J258" si="27">TEXT(B195, "dddd")</f>
        <v>Wednesday</v>
      </c>
      <c r="K195" s="10" t="str">
        <f t="shared" ref="K195:K258" si="28">TEXT(B195, "mmmm")</f>
        <v>March</v>
      </c>
      <c r="L195">
        <f t="shared" ref="L195:L258" si="29">YEAR(B195)</f>
        <v>2024</v>
      </c>
      <c r="M195" t="b">
        <f t="shared" ref="M195:M258" si="30">OR(J195="Saturday", J195="Sunday")</f>
        <v>0</v>
      </c>
      <c r="N195" t="b">
        <f t="shared" si="24"/>
        <v>0</v>
      </c>
      <c r="O195" t="str">
        <f t="shared" ref="O195:O258" si="31">IF(R195&gt;500,"Large Order","Standard order")</f>
        <v>Standard order</v>
      </c>
      <c r="P195" s="7">
        <f t="shared" si="25"/>
        <v>4.4090000000000007</v>
      </c>
      <c r="Q195" s="7" t="str">
        <f>VLOOKUP(D196,Product_Lookup!$A$2:$C$27,2,FALSE)</f>
        <v>Lego Set</v>
      </c>
      <c r="R195" s="7">
        <f t="shared" si="26"/>
        <v>176.36</v>
      </c>
    </row>
    <row r="196" spans="1:18" ht="21.75" customHeight="1">
      <c r="A196" t="s">
        <v>296</v>
      </c>
      <c r="B196" s="6">
        <v>45509</v>
      </c>
      <c r="C196" t="s">
        <v>230</v>
      </c>
      <c r="D196" t="s">
        <v>84</v>
      </c>
      <c r="E196" t="s">
        <v>17</v>
      </c>
      <c r="F196" t="s">
        <v>27</v>
      </c>
      <c r="G196" t="s">
        <v>23</v>
      </c>
      <c r="H196">
        <v>5</v>
      </c>
      <c r="I196" t="str">
        <f>VLOOKUP(D196,Product_Lookup!$A$2:$C$27,3,FALSE)</f>
        <v>$130.07</v>
      </c>
      <c r="J196" t="str">
        <f t="shared" si="27"/>
        <v>Monday</v>
      </c>
      <c r="K196" s="10" t="str">
        <f t="shared" si="28"/>
        <v>August</v>
      </c>
      <c r="L196">
        <f t="shared" si="29"/>
        <v>2024</v>
      </c>
      <c r="M196" t="b">
        <f t="shared" si="30"/>
        <v>0</v>
      </c>
      <c r="N196" t="b">
        <f t="shared" si="24"/>
        <v>0</v>
      </c>
      <c r="O196" t="str">
        <f t="shared" si="31"/>
        <v>Large Order</v>
      </c>
      <c r="P196" s="7">
        <f t="shared" si="25"/>
        <v>6.5034999999999998</v>
      </c>
      <c r="Q196" s="7" t="str">
        <f>VLOOKUP(D197,Product_Lookup!$A$2:$C$27,2,FALSE)</f>
        <v>Stapler</v>
      </c>
      <c r="R196" s="7">
        <f t="shared" si="26"/>
        <v>650.34999999999991</v>
      </c>
    </row>
    <row r="197" spans="1:18" ht="21.75" customHeight="1">
      <c r="A197" t="s">
        <v>297</v>
      </c>
      <c r="B197" s="6">
        <v>45350</v>
      </c>
      <c r="C197" t="s">
        <v>78</v>
      </c>
      <c r="D197" t="s">
        <v>35</v>
      </c>
      <c r="E197" t="s">
        <v>17</v>
      </c>
      <c r="F197" t="s">
        <v>42</v>
      </c>
      <c r="G197" t="s">
        <v>36</v>
      </c>
      <c r="H197">
        <v>11</v>
      </c>
      <c r="I197" t="str">
        <f>VLOOKUP(D197,Product_Lookup!$A$2:$C$27,3,FALSE)</f>
        <v>$64.61</v>
      </c>
      <c r="J197" t="str">
        <f t="shared" si="27"/>
        <v>Wednesday</v>
      </c>
      <c r="K197" s="10" t="str">
        <f t="shared" si="28"/>
        <v>February</v>
      </c>
      <c r="L197">
        <f t="shared" si="29"/>
        <v>2024</v>
      </c>
      <c r="M197" t="b">
        <f t="shared" si="30"/>
        <v>0</v>
      </c>
      <c r="N197" t="b">
        <f t="shared" si="24"/>
        <v>0</v>
      </c>
      <c r="O197" t="str">
        <f t="shared" si="31"/>
        <v>Large Order</v>
      </c>
      <c r="P197" s="7">
        <f t="shared" si="25"/>
        <v>3.2305000000000001</v>
      </c>
      <c r="Q197" s="7" t="str">
        <f>VLOOKUP(D198,Product_Lookup!$A$2:$C$27,2,FALSE)</f>
        <v>Smartphone</v>
      </c>
      <c r="R197" s="7">
        <f t="shared" si="26"/>
        <v>710.71</v>
      </c>
    </row>
    <row r="198" spans="1:18" ht="21.75" customHeight="1">
      <c r="A198" t="s">
        <v>298</v>
      </c>
      <c r="B198" s="6">
        <v>45561</v>
      </c>
      <c r="C198" t="s">
        <v>15</v>
      </c>
      <c r="D198" t="s">
        <v>79</v>
      </c>
      <c r="E198" t="s">
        <v>17</v>
      </c>
      <c r="F198" t="s">
        <v>42</v>
      </c>
      <c r="G198" t="s">
        <v>13</v>
      </c>
      <c r="H198">
        <v>10</v>
      </c>
      <c r="I198" t="str">
        <f>VLOOKUP(D198,Product_Lookup!$A$2:$C$27,3,FALSE)</f>
        <v>$216.22</v>
      </c>
      <c r="J198" t="str">
        <f t="shared" si="27"/>
        <v>Thursday</v>
      </c>
      <c r="K198" s="10" t="str">
        <f t="shared" si="28"/>
        <v>September</v>
      </c>
      <c r="L198">
        <f t="shared" si="29"/>
        <v>2024</v>
      </c>
      <c r="M198" t="b">
        <f t="shared" si="30"/>
        <v>0</v>
      </c>
      <c r="N198" t="b">
        <f t="shared" si="24"/>
        <v>1</v>
      </c>
      <c r="O198" t="str">
        <f t="shared" si="31"/>
        <v>Large Order</v>
      </c>
      <c r="P198" s="7">
        <f t="shared" si="25"/>
        <v>10.811</v>
      </c>
      <c r="Q198" s="7" t="str">
        <f>VLOOKUP(D199,Product_Lookup!$A$2:$C$27,2,FALSE)</f>
        <v>Jacket</v>
      </c>
      <c r="R198" s="7">
        <f t="shared" si="26"/>
        <v>2162.1999999999998</v>
      </c>
    </row>
    <row r="199" spans="1:18" ht="21.75" customHeight="1">
      <c r="A199" t="s">
        <v>299</v>
      </c>
      <c r="B199" s="6">
        <v>45446</v>
      </c>
      <c r="C199" t="s">
        <v>78</v>
      </c>
      <c r="D199" t="s">
        <v>197</v>
      </c>
      <c r="E199" t="s">
        <v>17</v>
      </c>
      <c r="F199" t="s">
        <v>56</v>
      </c>
      <c r="G199" t="s">
        <v>28</v>
      </c>
      <c r="H199">
        <v>6</v>
      </c>
      <c r="I199" t="str">
        <f>VLOOKUP(D199,Product_Lookup!$A$2:$C$27,3,FALSE)</f>
        <v>$10.11</v>
      </c>
      <c r="J199" t="str">
        <f t="shared" si="27"/>
        <v>Monday</v>
      </c>
      <c r="K199" s="10" t="str">
        <f t="shared" si="28"/>
        <v>June</v>
      </c>
      <c r="L199">
        <f t="shared" si="29"/>
        <v>2024</v>
      </c>
      <c r="M199" t="b">
        <f t="shared" si="30"/>
        <v>0</v>
      </c>
      <c r="N199" t="b">
        <f t="shared" si="24"/>
        <v>0</v>
      </c>
      <c r="O199" t="str">
        <f t="shared" si="31"/>
        <v>Standard order</v>
      </c>
      <c r="P199" s="7">
        <f t="shared" si="25"/>
        <v>0.50549999999999995</v>
      </c>
      <c r="Q199" s="7" t="str">
        <f>VLOOKUP(D200,Product_Lookup!$A$2:$C$27,2,FALSE)</f>
        <v>Sweater</v>
      </c>
      <c r="R199" s="7">
        <f t="shared" si="26"/>
        <v>60.66</v>
      </c>
    </row>
    <row r="200" spans="1:18" ht="21.75" customHeight="1">
      <c r="A200" t="s">
        <v>300</v>
      </c>
      <c r="B200" s="6">
        <v>45512</v>
      </c>
      <c r="C200" t="s">
        <v>89</v>
      </c>
      <c r="D200" t="s">
        <v>26</v>
      </c>
      <c r="E200" t="s">
        <v>3656</v>
      </c>
      <c r="F200" t="s">
        <v>56</v>
      </c>
      <c r="G200" t="s">
        <v>28</v>
      </c>
      <c r="H200">
        <v>12</v>
      </c>
      <c r="I200" t="str">
        <f>VLOOKUP(D200,Product_Lookup!$A$2:$C$27,3,FALSE)</f>
        <v>$84.57</v>
      </c>
      <c r="J200" t="str">
        <f t="shared" si="27"/>
        <v>Thursday</v>
      </c>
      <c r="K200" s="10" t="str">
        <f t="shared" si="28"/>
        <v>August</v>
      </c>
      <c r="L200">
        <f t="shared" si="29"/>
        <v>2024</v>
      </c>
      <c r="M200" t="b">
        <f t="shared" si="30"/>
        <v>0</v>
      </c>
      <c r="N200" t="b">
        <f t="shared" si="24"/>
        <v>1</v>
      </c>
      <c r="O200" t="str">
        <f t="shared" si="31"/>
        <v>Large Order</v>
      </c>
      <c r="P200" s="7">
        <f t="shared" si="25"/>
        <v>4.2284999999999995</v>
      </c>
      <c r="Q200" s="7" t="str">
        <f>VLOOKUP(D201,Product_Lookup!$A$2:$C$27,2,FALSE)</f>
        <v>Monitor</v>
      </c>
      <c r="R200" s="7">
        <f t="shared" si="26"/>
        <v>1014.8399999999999</v>
      </c>
    </row>
    <row r="201" spans="1:18" ht="21.75" customHeight="1">
      <c r="A201" t="s">
        <v>301</v>
      </c>
      <c r="B201" s="6">
        <v>45634</v>
      </c>
      <c r="C201" t="s">
        <v>51</v>
      </c>
      <c r="D201" t="s">
        <v>102</v>
      </c>
      <c r="E201" t="s">
        <v>22</v>
      </c>
      <c r="F201" t="s">
        <v>42</v>
      </c>
      <c r="G201" t="s">
        <v>13</v>
      </c>
      <c r="H201">
        <v>1</v>
      </c>
      <c r="I201" t="str">
        <f>VLOOKUP(D201,Product_Lookup!$A$2:$C$27,3,FALSE)</f>
        <v>$145.48</v>
      </c>
      <c r="J201" t="str">
        <f t="shared" si="27"/>
        <v>Sunday</v>
      </c>
      <c r="K201" s="10" t="str">
        <f t="shared" si="28"/>
        <v>December</v>
      </c>
      <c r="L201">
        <f t="shared" si="29"/>
        <v>2024</v>
      </c>
      <c r="M201" t="b">
        <f t="shared" si="30"/>
        <v>1</v>
      </c>
      <c r="N201" t="b">
        <f t="shared" si="24"/>
        <v>0</v>
      </c>
      <c r="O201" t="str">
        <f t="shared" si="31"/>
        <v>Standard order</v>
      </c>
      <c r="P201" s="7">
        <f t="shared" si="25"/>
        <v>7.274</v>
      </c>
      <c r="Q201" s="7" t="str">
        <f>VLOOKUP(D202,Product_Lookup!$A$2:$C$27,2,FALSE)</f>
        <v>Jacket</v>
      </c>
      <c r="R201" s="7">
        <f t="shared" si="26"/>
        <v>145.47999999999999</v>
      </c>
    </row>
    <row r="202" spans="1:18" ht="21.75" customHeight="1">
      <c r="A202" t="s">
        <v>302</v>
      </c>
      <c r="B202" s="6">
        <v>45619</v>
      </c>
      <c r="C202" t="s">
        <v>40</v>
      </c>
      <c r="D202" t="s">
        <v>197</v>
      </c>
      <c r="E202" t="s">
        <v>11</v>
      </c>
      <c r="F202" t="s">
        <v>42</v>
      </c>
      <c r="G202" t="s">
        <v>13</v>
      </c>
      <c r="H202">
        <v>8</v>
      </c>
      <c r="I202" t="str">
        <f>VLOOKUP(D202,Product_Lookup!$A$2:$C$27,3,FALSE)</f>
        <v>$10.11</v>
      </c>
      <c r="J202" t="str">
        <f t="shared" si="27"/>
        <v>Saturday</v>
      </c>
      <c r="K202" s="10" t="str">
        <f t="shared" si="28"/>
        <v>November</v>
      </c>
      <c r="L202">
        <f t="shared" si="29"/>
        <v>2024</v>
      </c>
      <c r="M202" t="b">
        <f t="shared" si="30"/>
        <v>1</v>
      </c>
      <c r="N202" t="b">
        <f t="shared" si="24"/>
        <v>0</v>
      </c>
      <c r="O202" t="str">
        <f t="shared" si="31"/>
        <v>Standard order</v>
      </c>
      <c r="P202" s="7">
        <f t="shared" si="25"/>
        <v>0.50549999999999995</v>
      </c>
      <c r="Q202" s="7" t="str">
        <f>VLOOKUP(D203,Product_Lookup!$A$2:$C$27,2,FALSE)</f>
        <v>Desk Lamp</v>
      </c>
      <c r="R202" s="7">
        <f t="shared" si="26"/>
        <v>80.88</v>
      </c>
    </row>
    <row r="203" spans="1:18" ht="21.75" customHeight="1">
      <c r="A203" t="s">
        <v>303</v>
      </c>
      <c r="B203" s="6">
        <v>45638</v>
      </c>
      <c r="C203" t="s">
        <v>304</v>
      </c>
      <c r="D203" t="s">
        <v>59</v>
      </c>
      <c r="E203" t="s">
        <v>22</v>
      </c>
      <c r="F203" t="s">
        <v>12</v>
      </c>
      <c r="G203" t="s">
        <v>13</v>
      </c>
      <c r="H203">
        <v>14</v>
      </c>
      <c r="I203" t="str">
        <f>VLOOKUP(D203,Product_Lookup!$A$2:$C$27,3,FALSE)</f>
        <v>$101.96</v>
      </c>
      <c r="J203" t="str">
        <f t="shared" si="27"/>
        <v>Thursday</v>
      </c>
      <c r="K203" s="10" t="str">
        <f t="shared" si="28"/>
        <v>December</v>
      </c>
      <c r="L203">
        <f t="shared" si="29"/>
        <v>2024</v>
      </c>
      <c r="M203" t="b">
        <f t="shared" si="30"/>
        <v>0</v>
      </c>
      <c r="N203" t="b">
        <f t="shared" si="24"/>
        <v>1</v>
      </c>
      <c r="O203" t="str">
        <f t="shared" si="31"/>
        <v>Large Order</v>
      </c>
      <c r="P203" s="7">
        <f t="shared" si="25"/>
        <v>5.0979999999999999</v>
      </c>
      <c r="Q203" s="7" t="str">
        <f>VLOOKUP(D204,Product_Lookup!$A$2:$C$27,2,FALSE)</f>
        <v>Laptop</v>
      </c>
      <c r="R203" s="7">
        <f t="shared" si="26"/>
        <v>1427.4399999999998</v>
      </c>
    </row>
    <row r="204" spans="1:18" ht="21.75" customHeight="1">
      <c r="A204" t="s">
        <v>305</v>
      </c>
      <c r="B204" s="6">
        <v>45403</v>
      </c>
      <c r="C204" t="s">
        <v>51</v>
      </c>
      <c r="D204" t="s">
        <v>96</v>
      </c>
      <c r="E204" t="s">
        <v>22</v>
      </c>
      <c r="F204" t="s">
        <v>306</v>
      </c>
      <c r="G204" t="s">
        <v>36</v>
      </c>
      <c r="H204">
        <v>18</v>
      </c>
      <c r="I204" t="str">
        <f>VLOOKUP(D204,Product_Lookup!$A$2:$C$27,3,FALSE)</f>
        <v>$230.68</v>
      </c>
      <c r="J204" t="str">
        <f t="shared" si="27"/>
        <v>Sunday</v>
      </c>
      <c r="K204" s="10" t="str">
        <f t="shared" si="28"/>
        <v>April</v>
      </c>
      <c r="L204">
        <f t="shared" si="29"/>
        <v>2024</v>
      </c>
      <c r="M204" t="b">
        <f t="shared" si="30"/>
        <v>1</v>
      </c>
      <c r="N204" t="b">
        <f t="shared" si="24"/>
        <v>1</v>
      </c>
      <c r="O204" t="str">
        <f t="shared" si="31"/>
        <v>Large Order</v>
      </c>
      <c r="P204" s="7">
        <f t="shared" si="25"/>
        <v>11.534000000000001</v>
      </c>
      <c r="Q204" s="7" t="str">
        <f>VLOOKUP(D205,Product_Lookup!$A$2:$C$27,2,FALSE)</f>
        <v>Sweater</v>
      </c>
      <c r="R204" s="7">
        <f t="shared" si="26"/>
        <v>4152.24</v>
      </c>
    </row>
    <row r="205" spans="1:18" ht="21.75" customHeight="1">
      <c r="A205" t="s">
        <v>307</v>
      </c>
      <c r="B205" s="6">
        <v>45506</v>
      </c>
      <c r="C205" t="s">
        <v>240</v>
      </c>
      <c r="D205" t="s">
        <v>26</v>
      </c>
      <c r="E205" t="s">
        <v>17</v>
      </c>
      <c r="F205" t="s">
        <v>306</v>
      </c>
      <c r="G205" t="s">
        <v>28</v>
      </c>
      <c r="H205">
        <v>1</v>
      </c>
      <c r="I205" t="str">
        <f>VLOOKUP(D205,Product_Lookup!$A$2:$C$27,3,FALSE)</f>
        <v>$84.57</v>
      </c>
      <c r="J205" t="str">
        <f t="shared" si="27"/>
        <v>Friday</v>
      </c>
      <c r="K205" s="10" t="str">
        <f t="shared" si="28"/>
        <v>August</v>
      </c>
      <c r="L205">
        <f t="shared" si="29"/>
        <v>2024</v>
      </c>
      <c r="M205" t="b">
        <f t="shared" si="30"/>
        <v>0</v>
      </c>
      <c r="N205" t="b">
        <f t="shared" si="24"/>
        <v>0</v>
      </c>
      <c r="O205" t="str">
        <f t="shared" si="31"/>
        <v>Standard order</v>
      </c>
      <c r="P205" s="7">
        <f t="shared" si="25"/>
        <v>4.2284999999999995</v>
      </c>
      <c r="Q205" s="7" t="str">
        <f>VLOOKUP(D206,Product_Lookup!$A$2:$C$27,2,FALSE)</f>
        <v>Headphones</v>
      </c>
      <c r="R205" s="7">
        <f t="shared" si="26"/>
        <v>84.57</v>
      </c>
    </row>
    <row r="206" spans="1:18" ht="21.75" customHeight="1">
      <c r="A206" t="s">
        <v>308</v>
      </c>
      <c r="B206" s="6">
        <v>45649</v>
      </c>
      <c r="C206" t="s">
        <v>309</v>
      </c>
      <c r="D206" t="s">
        <v>16</v>
      </c>
      <c r="E206" t="s">
        <v>17</v>
      </c>
      <c r="F206" t="s">
        <v>42</v>
      </c>
      <c r="G206" t="s">
        <v>32</v>
      </c>
      <c r="H206">
        <v>7</v>
      </c>
      <c r="I206" t="str">
        <f>VLOOKUP(D206,Product_Lookup!$A$2:$C$27,3,FALSE)</f>
        <v>$178.83</v>
      </c>
      <c r="J206" t="str">
        <f t="shared" si="27"/>
        <v>Monday</v>
      </c>
      <c r="K206" s="10" t="str">
        <f t="shared" si="28"/>
        <v>December</v>
      </c>
      <c r="L206">
        <f t="shared" si="29"/>
        <v>2024</v>
      </c>
      <c r="M206" t="b">
        <f t="shared" si="30"/>
        <v>0</v>
      </c>
      <c r="N206" t="b">
        <f t="shared" si="24"/>
        <v>1</v>
      </c>
      <c r="O206" t="str">
        <f t="shared" si="31"/>
        <v>Large Order</v>
      </c>
      <c r="P206" s="7">
        <f t="shared" si="25"/>
        <v>8.9415000000000013</v>
      </c>
      <c r="Q206" s="7" t="str">
        <f>VLOOKUP(D207,Product_Lookup!$A$2:$C$27,2,FALSE)</f>
        <v>Toaster</v>
      </c>
      <c r="R206" s="7">
        <f t="shared" si="26"/>
        <v>1251.8100000000002</v>
      </c>
    </row>
    <row r="207" spans="1:18" ht="21.75" customHeight="1">
      <c r="A207" t="s">
        <v>310</v>
      </c>
      <c r="B207" s="6">
        <v>45344</v>
      </c>
      <c r="C207" t="s">
        <v>203</v>
      </c>
      <c r="D207" t="s">
        <v>48</v>
      </c>
      <c r="E207" t="s">
        <v>17</v>
      </c>
      <c r="F207" t="s">
        <v>12</v>
      </c>
      <c r="G207" t="s">
        <v>13</v>
      </c>
      <c r="H207">
        <v>12</v>
      </c>
      <c r="I207" t="str">
        <f>VLOOKUP(D207,Product_Lookup!$A$2:$C$27,3,FALSE)</f>
        <v>$208.85</v>
      </c>
      <c r="J207" t="str">
        <f t="shared" si="27"/>
        <v>Thursday</v>
      </c>
      <c r="K207" s="10" t="str">
        <f t="shared" si="28"/>
        <v>February</v>
      </c>
      <c r="L207">
        <f t="shared" si="29"/>
        <v>2024</v>
      </c>
      <c r="M207" t="b">
        <f t="shared" si="30"/>
        <v>0</v>
      </c>
      <c r="N207" t="b">
        <f t="shared" si="24"/>
        <v>1</v>
      </c>
      <c r="O207" t="str">
        <f t="shared" si="31"/>
        <v>Large Order</v>
      </c>
      <c r="P207" s="7">
        <f t="shared" si="25"/>
        <v>10.442500000000001</v>
      </c>
      <c r="Q207" s="7" t="str">
        <f>VLOOKUP(D208,Product_Lookup!$A$2:$C$27,2,FALSE)</f>
        <v>Tablet</v>
      </c>
      <c r="R207" s="7">
        <f t="shared" si="26"/>
        <v>2506.1999999999998</v>
      </c>
    </row>
    <row r="208" spans="1:18" ht="21.75" customHeight="1">
      <c r="A208" t="s">
        <v>311</v>
      </c>
      <c r="B208" s="6">
        <v>45527</v>
      </c>
      <c r="C208" t="s">
        <v>312</v>
      </c>
      <c r="D208" t="s">
        <v>10</v>
      </c>
      <c r="E208" t="s">
        <v>11</v>
      </c>
      <c r="F208" t="s">
        <v>27</v>
      </c>
      <c r="G208" t="s">
        <v>36</v>
      </c>
      <c r="H208">
        <v>18</v>
      </c>
      <c r="I208" t="str">
        <f>VLOOKUP(D208,Product_Lookup!$A$2:$C$27,3,FALSE)</f>
        <v>$146.06</v>
      </c>
      <c r="J208" t="str">
        <f t="shared" si="27"/>
        <v>Friday</v>
      </c>
      <c r="K208" s="10" t="str">
        <f t="shared" si="28"/>
        <v>August</v>
      </c>
      <c r="L208">
        <f t="shared" si="29"/>
        <v>2024</v>
      </c>
      <c r="M208" t="b">
        <f t="shared" si="30"/>
        <v>0</v>
      </c>
      <c r="N208" t="b">
        <f t="shared" si="24"/>
        <v>1</v>
      </c>
      <c r="O208" t="str">
        <f t="shared" si="31"/>
        <v>Large Order</v>
      </c>
      <c r="P208" s="7">
        <f t="shared" si="25"/>
        <v>7.3030000000000008</v>
      </c>
      <c r="Q208" s="7" t="str">
        <f>VLOOKUP(D209,Product_Lookup!$A$2:$C$27,2,FALSE)</f>
        <v>Smartphone</v>
      </c>
      <c r="R208" s="7">
        <f t="shared" si="26"/>
        <v>2629.08</v>
      </c>
    </row>
    <row r="209" spans="1:18" ht="21.75" customHeight="1">
      <c r="A209" t="s">
        <v>313</v>
      </c>
      <c r="B209" s="6">
        <v>45477</v>
      </c>
      <c r="C209" t="s">
        <v>314</v>
      </c>
      <c r="D209" t="s">
        <v>79</v>
      </c>
      <c r="E209" t="s">
        <v>11</v>
      </c>
      <c r="F209" t="s">
        <v>12</v>
      </c>
      <c r="G209" t="s">
        <v>13</v>
      </c>
      <c r="H209">
        <v>8</v>
      </c>
      <c r="I209" t="str">
        <f>VLOOKUP(D209,Product_Lookup!$A$2:$C$27,3,FALSE)</f>
        <v>$216.22</v>
      </c>
      <c r="J209" t="str">
        <f t="shared" si="27"/>
        <v>Thursday</v>
      </c>
      <c r="K209" s="10" t="str">
        <f t="shared" si="28"/>
        <v>July</v>
      </c>
      <c r="L209">
        <f t="shared" si="29"/>
        <v>2024</v>
      </c>
      <c r="M209" t="b">
        <f t="shared" si="30"/>
        <v>0</v>
      </c>
      <c r="N209" t="b">
        <f t="shared" si="24"/>
        <v>1</v>
      </c>
      <c r="O209" t="str">
        <f t="shared" si="31"/>
        <v>Large Order</v>
      </c>
      <c r="P209" s="7">
        <f t="shared" si="25"/>
        <v>10.811</v>
      </c>
      <c r="Q209" s="7" t="str">
        <f>VLOOKUP(D210,Product_Lookup!$A$2:$C$27,2,FALSE)</f>
        <v>Air Fryer</v>
      </c>
      <c r="R209" s="7">
        <f t="shared" si="26"/>
        <v>1729.76</v>
      </c>
    </row>
    <row r="210" spans="1:18" ht="21.75" customHeight="1">
      <c r="A210" t="s">
        <v>315</v>
      </c>
      <c r="B210" s="6">
        <v>45411</v>
      </c>
      <c r="C210" t="s">
        <v>108</v>
      </c>
      <c r="D210" t="s">
        <v>70</v>
      </c>
      <c r="E210" t="s">
        <v>17</v>
      </c>
      <c r="F210" t="s">
        <v>42</v>
      </c>
      <c r="G210" t="s">
        <v>32</v>
      </c>
      <c r="H210">
        <v>12</v>
      </c>
      <c r="I210" t="str">
        <f>VLOOKUP(D210,Product_Lookup!$A$2:$C$27,3,FALSE)</f>
        <v>$211.9</v>
      </c>
      <c r="J210" t="str">
        <f t="shared" si="27"/>
        <v>Monday</v>
      </c>
      <c r="K210" s="10" t="str">
        <f t="shared" si="28"/>
        <v>April</v>
      </c>
      <c r="L210">
        <f t="shared" si="29"/>
        <v>2024</v>
      </c>
      <c r="M210" t="b">
        <f t="shared" si="30"/>
        <v>0</v>
      </c>
      <c r="N210" t="b">
        <f t="shared" si="24"/>
        <v>1</v>
      </c>
      <c r="O210" t="str">
        <f t="shared" si="31"/>
        <v>Large Order</v>
      </c>
      <c r="P210" s="7">
        <f t="shared" si="25"/>
        <v>10.595000000000001</v>
      </c>
      <c r="Q210" s="7" t="str">
        <f>VLOOKUP(D211,Product_Lookup!$A$2:$C$27,2,FALSE)</f>
        <v>Paper Shredder</v>
      </c>
      <c r="R210" s="7">
        <f t="shared" si="26"/>
        <v>2542.8000000000002</v>
      </c>
    </row>
    <row r="211" spans="1:18" ht="21.75" customHeight="1">
      <c r="A211" t="s">
        <v>316</v>
      </c>
      <c r="B211" s="6">
        <v>45399</v>
      </c>
      <c r="C211" t="s">
        <v>317</v>
      </c>
      <c r="D211" t="s">
        <v>109</v>
      </c>
      <c r="E211" t="s">
        <v>17</v>
      </c>
      <c r="F211" t="s">
        <v>12</v>
      </c>
      <c r="G211" t="s">
        <v>28</v>
      </c>
      <c r="H211">
        <v>6</v>
      </c>
      <c r="I211" t="str">
        <f>VLOOKUP(D211,Product_Lookup!$A$2:$C$27,3,FALSE)</f>
        <v>$81.02</v>
      </c>
      <c r="J211" t="str">
        <f t="shared" si="27"/>
        <v>Wednesday</v>
      </c>
      <c r="K211" s="10" t="str">
        <f t="shared" si="28"/>
        <v>April</v>
      </c>
      <c r="L211">
        <f t="shared" si="29"/>
        <v>2024</v>
      </c>
      <c r="M211" t="b">
        <f t="shared" si="30"/>
        <v>0</v>
      </c>
      <c r="N211" t="b">
        <f t="shared" si="24"/>
        <v>0</v>
      </c>
      <c r="O211" t="str">
        <f t="shared" si="31"/>
        <v>Standard order</v>
      </c>
      <c r="P211" s="7">
        <f t="shared" si="25"/>
        <v>4.0510000000000002</v>
      </c>
      <c r="Q211" s="7" t="str">
        <f>VLOOKUP(D212,Product_Lookup!$A$2:$C$27,2,FALSE)</f>
        <v>Action Figure</v>
      </c>
      <c r="R211" s="7">
        <f t="shared" si="26"/>
        <v>486.12</v>
      </c>
    </row>
    <row r="212" spans="1:18" ht="21.75" customHeight="1">
      <c r="A212" t="s">
        <v>318</v>
      </c>
      <c r="B212" s="6">
        <v>45375</v>
      </c>
      <c r="C212" t="s">
        <v>319</v>
      </c>
      <c r="D212" t="s">
        <v>21</v>
      </c>
      <c r="E212" t="s">
        <v>17</v>
      </c>
      <c r="F212" t="s">
        <v>42</v>
      </c>
      <c r="G212" t="s">
        <v>32</v>
      </c>
      <c r="H212">
        <v>18</v>
      </c>
      <c r="I212" t="str">
        <f>VLOOKUP(D212,Product_Lookup!$A$2:$C$27,3,FALSE)</f>
        <v>$88.18</v>
      </c>
      <c r="J212" t="str">
        <f t="shared" si="27"/>
        <v>Sunday</v>
      </c>
      <c r="K212" s="10" t="str">
        <f t="shared" si="28"/>
        <v>March</v>
      </c>
      <c r="L212">
        <f t="shared" si="29"/>
        <v>2024</v>
      </c>
      <c r="M212" t="b">
        <f t="shared" si="30"/>
        <v>1</v>
      </c>
      <c r="N212" t="b">
        <f t="shared" si="24"/>
        <v>1</v>
      </c>
      <c r="O212" t="str">
        <f t="shared" si="31"/>
        <v>Large Order</v>
      </c>
      <c r="P212" s="7">
        <f t="shared" si="25"/>
        <v>4.4090000000000007</v>
      </c>
      <c r="Q212" s="7" t="str">
        <f>VLOOKUP(D213,Product_Lookup!$A$2:$C$27,2,FALSE)</f>
        <v>Coffee Maker</v>
      </c>
      <c r="R212" s="7">
        <f t="shared" si="26"/>
        <v>1587.2400000000002</v>
      </c>
    </row>
    <row r="213" spans="1:18" ht="21.75" customHeight="1">
      <c r="A213" t="s">
        <v>320</v>
      </c>
      <c r="B213" s="6">
        <v>45320</v>
      </c>
      <c r="C213" t="s">
        <v>51</v>
      </c>
      <c r="D213" t="s">
        <v>31</v>
      </c>
      <c r="E213" t="s">
        <v>11</v>
      </c>
      <c r="F213" t="s">
        <v>42</v>
      </c>
      <c r="G213" t="s">
        <v>36</v>
      </c>
      <c r="H213">
        <v>9</v>
      </c>
      <c r="I213" t="str">
        <f>VLOOKUP(D213,Product_Lookup!$A$2:$C$27,3,FALSE)</f>
        <v>$230.34</v>
      </c>
      <c r="J213" t="str">
        <f t="shared" si="27"/>
        <v>Monday</v>
      </c>
      <c r="K213" s="10" t="str">
        <f t="shared" si="28"/>
        <v>January</v>
      </c>
      <c r="L213">
        <f t="shared" si="29"/>
        <v>2024</v>
      </c>
      <c r="M213" t="b">
        <f t="shared" si="30"/>
        <v>0</v>
      </c>
      <c r="N213" t="b">
        <f t="shared" si="24"/>
        <v>1</v>
      </c>
      <c r="O213" t="str">
        <f t="shared" si="31"/>
        <v>Large Order</v>
      </c>
      <c r="P213" s="7">
        <f t="shared" si="25"/>
        <v>11.517000000000001</v>
      </c>
      <c r="Q213" s="7" t="str">
        <f>VLOOKUP(D214,Product_Lookup!$A$2:$C$27,2,FALSE)</f>
        <v>Coffee Maker</v>
      </c>
      <c r="R213" s="7">
        <f t="shared" si="26"/>
        <v>2073.06</v>
      </c>
    </row>
    <row r="214" spans="1:18" ht="21.75" customHeight="1">
      <c r="A214" t="s">
        <v>321</v>
      </c>
      <c r="B214" s="6">
        <v>45453</v>
      </c>
      <c r="C214" t="s">
        <v>133</v>
      </c>
      <c r="D214" t="s">
        <v>31</v>
      </c>
      <c r="E214" t="s">
        <v>22</v>
      </c>
      <c r="F214" t="s">
        <v>27</v>
      </c>
      <c r="G214" t="s">
        <v>28</v>
      </c>
      <c r="H214">
        <v>15</v>
      </c>
      <c r="I214" t="str">
        <f>VLOOKUP(D214,Product_Lookup!$A$2:$C$27,3,FALSE)</f>
        <v>$230.34</v>
      </c>
      <c r="J214" t="str">
        <f t="shared" si="27"/>
        <v>Monday</v>
      </c>
      <c r="K214" s="10" t="str">
        <f t="shared" si="28"/>
        <v>June</v>
      </c>
      <c r="L214">
        <f t="shared" si="29"/>
        <v>2024</v>
      </c>
      <c r="M214" t="b">
        <f t="shared" si="30"/>
        <v>0</v>
      </c>
      <c r="N214" t="b">
        <f t="shared" si="24"/>
        <v>1</v>
      </c>
      <c r="O214" t="str">
        <f t="shared" si="31"/>
        <v>Large Order</v>
      </c>
      <c r="P214" s="7">
        <f t="shared" si="25"/>
        <v>11.517000000000001</v>
      </c>
      <c r="Q214" s="7" t="str">
        <f>VLOOKUP(D215,Product_Lookup!$A$2:$C$27,2,FALSE)</f>
        <v>Sweater</v>
      </c>
      <c r="R214" s="7">
        <f t="shared" si="26"/>
        <v>3455.1</v>
      </c>
    </row>
    <row r="215" spans="1:18" ht="21.75" customHeight="1">
      <c r="A215" t="s">
        <v>322</v>
      </c>
      <c r="B215" s="6">
        <v>45418</v>
      </c>
      <c r="C215" t="s">
        <v>323</v>
      </c>
      <c r="D215" t="s">
        <v>26</v>
      </c>
      <c r="E215" t="s">
        <v>22</v>
      </c>
      <c r="F215" t="s">
        <v>306</v>
      </c>
      <c r="G215" t="s">
        <v>36</v>
      </c>
      <c r="H215">
        <v>19</v>
      </c>
      <c r="I215" t="str">
        <f>VLOOKUP(D215,Product_Lookup!$A$2:$C$27,3,FALSE)</f>
        <v>$84.57</v>
      </c>
      <c r="J215" t="str">
        <f t="shared" si="27"/>
        <v>Monday</v>
      </c>
      <c r="K215" s="10" t="str">
        <f t="shared" si="28"/>
        <v>May</v>
      </c>
      <c r="L215">
        <f t="shared" si="29"/>
        <v>2024</v>
      </c>
      <c r="M215" t="b">
        <f t="shared" si="30"/>
        <v>0</v>
      </c>
      <c r="N215" t="b">
        <f t="shared" si="24"/>
        <v>1</v>
      </c>
      <c r="O215" t="str">
        <f t="shared" si="31"/>
        <v>Large Order</v>
      </c>
      <c r="P215" s="7">
        <f t="shared" si="25"/>
        <v>4.2284999999999995</v>
      </c>
      <c r="Q215" s="7" t="str">
        <f>VLOOKUP(D216,Product_Lookup!$A$2:$C$27,2,FALSE)</f>
        <v>Notebook</v>
      </c>
      <c r="R215" s="7">
        <f t="shared" si="26"/>
        <v>1606.83</v>
      </c>
    </row>
    <row r="216" spans="1:18" ht="21.75" customHeight="1">
      <c r="A216" t="s">
        <v>324</v>
      </c>
      <c r="B216" s="6">
        <v>45496</v>
      </c>
      <c r="C216" t="s">
        <v>83</v>
      </c>
      <c r="D216" t="s">
        <v>160</v>
      </c>
      <c r="E216" t="s">
        <v>11</v>
      </c>
      <c r="F216" t="s">
        <v>56</v>
      </c>
      <c r="G216" t="s">
        <v>13</v>
      </c>
      <c r="H216">
        <v>16</v>
      </c>
      <c r="I216" t="str">
        <f>VLOOKUP(D216,Product_Lookup!$A$2:$C$27,3,FALSE)</f>
        <v>$149.27</v>
      </c>
      <c r="J216" t="str">
        <f t="shared" si="27"/>
        <v>Tuesday</v>
      </c>
      <c r="K216" s="10" t="str">
        <f t="shared" si="28"/>
        <v>July</v>
      </c>
      <c r="L216">
        <f t="shared" si="29"/>
        <v>2024</v>
      </c>
      <c r="M216" t="b">
        <f t="shared" si="30"/>
        <v>0</v>
      </c>
      <c r="N216" t="b">
        <f t="shared" si="24"/>
        <v>1</v>
      </c>
      <c r="O216" t="str">
        <f t="shared" si="31"/>
        <v>Large Order</v>
      </c>
      <c r="P216" s="7">
        <f t="shared" si="25"/>
        <v>7.4635000000000007</v>
      </c>
      <c r="Q216" s="7" t="str">
        <f>VLOOKUP(D217,Product_Lookup!$A$2:$C$27,2,FALSE)</f>
        <v>Board Game</v>
      </c>
      <c r="R216" s="7">
        <f t="shared" si="26"/>
        <v>2388.3200000000002</v>
      </c>
    </row>
    <row r="217" spans="1:18" ht="21.75" customHeight="1">
      <c r="A217" t="s">
        <v>325</v>
      </c>
      <c r="B217" s="6">
        <v>45348</v>
      </c>
      <c r="C217" t="s">
        <v>125</v>
      </c>
      <c r="D217" t="s">
        <v>41</v>
      </c>
      <c r="E217" t="s">
        <v>22</v>
      </c>
      <c r="F217" t="s">
        <v>56</v>
      </c>
      <c r="G217" t="s">
        <v>23</v>
      </c>
      <c r="H217">
        <v>14</v>
      </c>
      <c r="I217" t="str">
        <f>VLOOKUP(D217,Product_Lookup!$A$2:$C$27,3,FALSE)</f>
        <v>$86.6</v>
      </c>
      <c r="J217" t="str">
        <f t="shared" si="27"/>
        <v>Monday</v>
      </c>
      <c r="K217" s="10" t="str">
        <f t="shared" si="28"/>
        <v>February</v>
      </c>
      <c r="L217">
        <f t="shared" si="29"/>
        <v>2024</v>
      </c>
      <c r="M217" t="b">
        <f t="shared" si="30"/>
        <v>0</v>
      </c>
      <c r="N217" t="b">
        <f t="shared" si="24"/>
        <v>1</v>
      </c>
      <c r="O217" t="str">
        <f t="shared" si="31"/>
        <v>Large Order</v>
      </c>
      <c r="P217" s="7">
        <f t="shared" si="25"/>
        <v>4.33</v>
      </c>
      <c r="Q217" s="7" t="str">
        <f>VLOOKUP(D218,Product_Lookup!$A$2:$C$27,2,FALSE)</f>
        <v>Sweater</v>
      </c>
      <c r="R217" s="7">
        <f t="shared" si="26"/>
        <v>1212.3999999999999</v>
      </c>
    </row>
    <row r="218" spans="1:18" ht="21.75" customHeight="1">
      <c r="A218" t="s">
        <v>326</v>
      </c>
      <c r="B218" s="6">
        <v>45487</v>
      </c>
      <c r="C218" t="s">
        <v>327</v>
      </c>
      <c r="D218" t="s">
        <v>26</v>
      </c>
      <c r="E218" t="s">
        <v>17</v>
      </c>
      <c r="F218" t="s">
        <v>306</v>
      </c>
      <c r="G218" t="s">
        <v>13</v>
      </c>
      <c r="H218">
        <v>18</v>
      </c>
      <c r="I218" t="str">
        <f>VLOOKUP(D218,Product_Lookup!$A$2:$C$27,3,FALSE)</f>
        <v>$84.57</v>
      </c>
      <c r="J218" t="str">
        <f t="shared" si="27"/>
        <v>Sunday</v>
      </c>
      <c r="K218" s="10" t="str">
        <f t="shared" si="28"/>
        <v>July</v>
      </c>
      <c r="L218">
        <f t="shared" si="29"/>
        <v>2024</v>
      </c>
      <c r="M218" t="b">
        <f t="shared" si="30"/>
        <v>1</v>
      </c>
      <c r="N218" t="b">
        <f t="shared" si="24"/>
        <v>1</v>
      </c>
      <c r="O218" t="str">
        <f t="shared" si="31"/>
        <v>Large Order</v>
      </c>
      <c r="P218" s="7">
        <f t="shared" si="25"/>
        <v>4.2284999999999995</v>
      </c>
      <c r="Q218" s="7" t="str">
        <f>VLOOKUP(D219,Product_Lookup!$A$2:$C$27,2,FALSE)</f>
        <v>Doll</v>
      </c>
      <c r="R218" s="7">
        <f t="shared" si="26"/>
        <v>1522.2599999999998</v>
      </c>
    </row>
    <row r="219" spans="1:18" ht="21.75" customHeight="1">
      <c r="A219" t="s">
        <v>328</v>
      </c>
      <c r="B219" s="6">
        <v>45640</v>
      </c>
      <c r="C219" t="s">
        <v>329</v>
      </c>
      <c r="D219" t="s">
        <v>119</v>
      </c>
      <c r="E219" t="s">
        <v>11</v>
      </c>
      <c r="F219" t="s">
        <v>306</v>
      </c>
      <c r="G219" t="s">
        <v>32</v>
      </c>
      <c r="H219">
        <v>9</v>
      </c>
      <c r="I219" t="str">
        <f>VLOOKUP(D219,Product_Lookup!$A$2:$C$27,3,FALSE)</f>
        <v>$32.94</v>
      </c>
      <c r="J219" t="str">
        <f t="shared" si="27"/>
        <v>Saturday</v>
      </c>
      <c r="K219" s="10" t="str">
        <f t="shared" si="28"/>
        <v>December</v>
      </c>
      <c r="L219">
        <f t="shared" si="29"/>
        <v>2024</v>
      </c>
      <c r="M219" t="b">
        <f t="shared" si="30"/>
        <v>1</v>
      </c>
      <c r="N219" t="b">
        <f t="shared" si="24"/>
        <v>0</v>
      </c>
      <c r="O219" t="str">
        <f t="shared" si="31"/>
        <v>Standard order</v>
      </c>
      <c r="P219" s="7">
        <f t="shared" si="25"/>
        <v>1.647</v>
      </c>
      <c r="Q219" s="7" t="str">
        <f>VLOOKUP(D220,Product_Lookup!$A$2:$C$27,2,FALSE)</f>
        <v>Air Fryer</v>
      </c>
      <c r="R219" s="7">
        <f t="shared" si="26"/>
        <v>296.45999999999998</v>
      </c>
    </row>
    <row r="220" spans="1:18" ht="21.75" customHeight="1">
      <c r="A220" t="s">
        <v>330</v>
      </c>
      <c r="B220" s="6">
        <v>45349</v>
      </c>
      <c r="C220" t="s">
        <v>61</v>
      </c>
      <c r="D220" t="s">
        <v>70</v>
      </c>
      <c r="E220" t="s">
        <v>17</v>
      </c>
      <c r="F220" t="s">
        <v>56</v>
      </c>
      <c r="G220" t="s">
        <v>32</v>
      </c>
      <c r="H220">
        <v>1</v>
      </c>
      <c r="I220" t="str">
        <f>VLOOKUP(D220,Product_Lookup!$A$2:$C$27,3,FALSE)</f>
        <v>$211.9</v>
      </c>
      <c r="J220" t="str">
        <f t="shared" si="27"/>
        <v>Tuesday</v>
      </c>
      <c r="K220" s="10" t="str">
        <f t="shared" si="28"/>
        <v>February</v>
      </c>
      <c r="L220">
        <f t="shared" si="29"/>
        <v>2024</v>
      </c>
      <c r="M220" t="b">
        <f t="shared" si="30"/>
        <v>0</v>
      </c>
      <c r="N220" t="b">
        <f t="shared" si="24"/>
        <v>0</v>
      </c>
      <c r="O220" t="str">
        <f t="shared" si="31"/>
        <v>Standard order</v>
      </c>
      <c r="P220" s="7">
        <f t="shared" si="25"/>
        <v>10.595000000000001</v>
      </c>
      <c r="Q220" s="7" t="str">
        <f>VLOOKUP(D221,Product_Lookup!$A$2:$C$27,2,FALSE)</f>
        <v>Monitor</v>
      </c>
      <c r="R220" s="7">
        <f t="shared" si="26"/>
        <v>211.9</v>
      </c>
    </row>
    <row r="221" spans="1:18" ht="21.75" customHeight="1">
      <c r="A221" t="s">
        <v>331</v>
      </c>
      <c r="B221" s="6">
        <v>45548</v>
      </c>
      <c r="C221" t="s">
        <v>332</v>
      </c>
      <c r="D221" t="s">
        <v>102</v>
      </c>
      <c r="E221" t="s">
        <v>11</v>
      </c>
      <c r="F221" t="s">
        <v>306</v>
      </c>
      <c r="G221" t="s">
        <v>36</v>
      </c>
      <c r="H221">
        <v>10</v>
      </c>
      <c r="I221" t="str">
        <f>VLOOKUP(D221,Product_Lookup!$A$2:$C$27,3,FALSE)</f>
        <v>$145.48</v>
      </c>
      <c r="J221" t="str">
        <f t="shared" si="27"/>
        <v>Friday</v>
      </c>
      <c r="K221" s="10" t="str">
        <f t="shared" si="28"/>
        <v>September</v>
      </c>
      <c r="L221">
        <f t="shared" si="29"/>
        <v>2024</v>
      </c>
      <c r="M221" t="b">
        <f t="shared" si="30"/>
        <v>0</v>
      </c>
      <c r="N221" t="b">
        <f t="shared" si="24"/>
        <v>1</v>
      </c>
      <c r="O221" t="str">
        <f t="shared" si="31"/>
        <v>Large Order</v>
      </c>
      <c r="P221" s="7">
        <f t="shared" si="25"/>
        <v>7.274</v>
      </c>
      <c r="Q221" s="7" t="str">
        <f>VLOOKUP(D222,Product_Lookup!$A$2:$C$27,2,FALSE)</f>
        <v>Doll</v>
      </c>
      <c r="R221" s="7">
        <f t="shared" si="26"/>
        <v>1454.8</v>
      </c>
    </row>
    <row r="222" spans="1:18" ht="21.75" customHeight="1">
      <c r="A222" t="s">
        <v>333</v>
      </c>
      <c r="B222" s="6">
        <v>45603</v>
      </c>
      <c r="C222" t="s">
        <v>104</v>
      </c>
      <c r="D222" t="s">
        <v>119</v>
      </c>
      <c r="E222" t="s">
        <v>11</v>
      </c>
      <c r="F222" t="s">
        <v>42</v>
      </c>
      <c r="G222" t="s">
        <v>36</v>
      </c>
      <c r="H222">
        <v>6</v>
      </c>
      <c r="I222" t="str">
        <f>VLOOKUP(D222,Product_Lookup!$A$2:$C$27,3,FALSE)</f>
        <v>$32.94</v>
      </c>
      <c r="J222" t="str">
        <f t="shared" si="27"/>
        <v>Thursday</v>
      </c>
      <c r="K222" s="10" t="str">
        <f t="shared" si="28"/>
        <v>November</v>
      </c>
      <c r="L222">
        <f t="shared" si="29"/>
        <v>2024</v>
      </c>
      <c r="M222" t="b">
        <f t="shared" si="30"/>
        <v>0</v>
      </c>
      <c r="N222" t="b">
        <f t="shared" si="24"/>
        <v>0</v>
      </c>
      <c r="O222" t="str">
        <f t="shared" si="31"/>
        <v>Standard order</v>
      </c>
      <c r="P222" s="7">
        <f t="shared" si="25"/>
        <v>1.647</v>
      </c>
      <c r="Q222" s="7" t="str">
        <f>VLOOKUP(D223,Product_Lookup!$A$2:$C$27,2,FALSE)</f>
        <v>Laptop</v>
      </c>
      <c r="R222" s="7">
        <f t="shared" si="26"/>
        <v>197.64</v>
      </c>
    </row>
    <row r="223" spans="1:18" ht="21.75" customHeight="1">
      <c r="A223" t="s">
        <v>334</v>
      </c>
      <c r="B223" s="6">
        <v>45292</v>
      </c>
      <c r="C223" t="s">
        <v>327</v>
      </c>
      <c r="D223" t="s">
        <v>96</v>
      </c>
      <c r="E223" t="s">
        <v>17</v>
      </c>
      <c r="F223" t="s">
        <v>27</v>
      </c>
      <c r="G223" t="s">
        <v>32</v>
      </c>
      <c r="H223">
        <v>4</v>
      </c>
      <c r="I223" t="str">
        <f>VLOOKUP(D223,Product_Lookup!$A$2:$C$27,3,FALSE)</f>
        <v>$230.68</v>
      </c>
      <c r="J223" t="str">
        <f t="shared" si="27"/>
        <v>Monday</v>
      </c>
      <c r="K223" s="10" t="str">
        <f t="shared" si="28"/>
        <v>January</v>
      </c>
      <c r="L223">
        <f t="shared" si="29"/>
        <v>2024</v>
      </c>
      <c r="M223" t="b">
        <f t="shared" si="30"/>
        <v>0</v>
      </c>
      <c r="N223" t="b">
        <f t="shared" si="24"/>
        <v>0</v>
      </c>
      <c r="O223" t="str">
        <f t="shared" si="31"/>
        <v>Large Order</v>
      </c>
      <c r="P223" s="7">
        <f t="shared" si="25"/>
        <v>11.534000000000001</v>
      </c>
      <c r="Q223" s="7" t="str">
        <f>VLOOKUP(D224,Product_Lookup!$A$2:$C$27,2,FALSE)</f>
        <v>Tablet</v>
      </c>
      <c r="R223" s="7">
        <f t="shared" si="26"/>
        <v>922.72</v>
      </c>
    </row>
    <row r="224" spans="1:18" ht="21.75" customHeight="1">
      <c r="A224" t="s">
        <v>335</v>
      </c>
      <c r="B224" s="6">
        <v>45414</v>
      </c>
      <c r="C224" t="s">
        <v>131</v>
      </c>
      <c r="D224" t="s">
        <v>10</v>
      </c>
      <c r="E224" t="s">
        <v>11</v>
      </c>
      <c r="F224" t="s">
        <v>306</v>
      </c>
      <c r="G224" t="s">
        <v>13</v>
      </c>
      <c r="H224">
        <v>3</v>
      </c>
      <c r="I224" t="str">
        <f>VLOOKUP(D224,Product_Lookup!$A$2:$C$27,3,FALSE)</f>
        <v>$146.06</v>
      </c>
      <c r="J224" t="str">
        <f t="shared" si="27"/>
        <v>Thursday</v>
      </c>
      <c r="K224" s="10" t="str">
        <f t="shared" si="28"/>
        <v>May</v>
      </c>
      <c r="L224">
        <f t="shared" si="29"/>
        <v>2024</v>
      </c>
      <c r="M224" t="b">
        <f t="shared" si="30"/>
        <v>0</v>
      </c>
      <c r="N224" t="b">
        <f t="shared" si="24"/>
        <v>0</v>
      </c>
      <c r="O224" t="str">
        <f t="shared" si="31"/>
        <v>Standard order</v>
      </c>
      <c r="P224" s="7">
        <f t="shared" si="25"/>
        <v>7.3030000000000008</v>
      </c>
      <c r="Q224" s="7" t="str">
        <f>VLOOKUP(D225,Product_Lookup!$A$2:$C$27,2,FALSE)</f>
        <v>Board Game</v>
      </c>
      <c r="R224" s="7">
        <f t="shared" si="26"/>
        <v>438.18</v>
      </c>
    </row>
    <row r="225" spans="1:18" ht="21.75" customHeight="1">
      <c r="A225" t="s">
        <v>336</v>
      </c>
      <c r="B225" s="6">
        <v>45564</v>
      </c>
      <c r="C225" t="s">
        <v>337</v>
      </c>
      <c r="D225" t="s">
        <v>41</v>
      </c>
      <c r="E225" t="s">
        <v>11</v>
      </c>
      <c r="F225" t="s">
        <v>56</v>
      </c>
      <c r="G225" t="s">
        <v>28</v>
      </c>
      <c r="H225">
        <v>16</v>
      </c>
      <c r="I225" t="str">
        <f>VLOOKUP(D225,Product_Lookup!$A$2:$C$27,3,FALSE)</f>
        <v>$86.6</v>
      </c>
      <c r="J225" t="str">
        <f t="shared" si="27"/>
        <v>Sunday</v>
      </c>
      <c r="K225" s="10" t="str">
        <f t="shared" si="28"/>
        <v>September</v>
      </c>
      <c r="L225">
        <f t="shared" si="29"/>
        <v>2024</v>
      </c>
      <c r="M225" t="b">
        <f t="shared" si="30"/>
        <v>1</v>
      </c>
      <c r="N225" t="b">
        <f t="shared" si="24"/>
        <v>1</v>
      </c>
      <c r="O225" t="str">
        <f t="shared" si="31"/>
        <v>Large Order</v>
      </c>
      <c r="P225" s="7">
        <f t="shared" si="25"/>
        <v>4.33</v>
      </c>
      <c r="Q225" s="7" t="str">
        <f>VLOOKUP(D226,Product_Lookup!$A$2:$C$27,2,FALSE)</f>
        <v>Jeans</v>
      </c>
      <c r="R225" s="7">
        <f t="shared" si="26"/>
        <v>1385.6</v>
      </c>
    </row>
    <row r="226" spans="1:18" ht="21.75" customHeight="1">
      <c r="A226" t="s">
        <v>338</v>
      </c>
      <c r="B226" s="6">
        <v>45427</v>
      </c>
      <c r="C226" t="s">
        <v>339</v>
      </c>
      <c r="D226" t="s">
        <v>65</v>
      </c>
      <c r="E226" t="s">
        <v>22</v>
      </c>
      <c r="F226" t="s">
        <v>27</v>
      </c>
      <c r="G226" t="s">
        <v>28</v>
      </c>
      <c r="H226">
        <v>18</v>
      </c>
      <c r="I226" t="str">
        <f>VLOOKUP(D226,Product_Lookup!$A$2:$C$27,3,FALSE)</f>
        <v>$33.22</v>
      </c>
      <c r="J226" t="str">
        <f t="shared" si="27"/>
        <v>Wednesday</v>
      </c>
      <c r="K226" s="10" t="str">
        <f t="shared" si="28"/>
        <v>May</v>
      </c>
      <c r="L226">
        <f t="shared" si="29"/>
        <v>2024</v>
      </c>
      <c r="M226" t="b">
        <f t="shared" si="30"/>
        <v>0</v>
      </c>
      <c r="N226" t="b">
        <f t="shared" si="24"/>
        <v>0</v>
      </c>
      <c r="O226" t="str">
        <f t="shared" si="31"/>
        <v>Large Order</v>
      </c>
      <c r="P226" s="7">
        <f t="shared" si="25"/>
        <v>1.661</v>
      </c>
      <c r="Q226" s="7" t="str">
        <f>VLOOKUP(D227,Product_Lookup!$A$2:$C$27,2,FALSE)</f>
        <v>Air Fryer</v>
      </c>
      <c r="R226" s="7">
        <f t="shared" si="26"/>
        <v>597.96</v>
      </c>
    </row>
    <row r="227" spans="1:18" ht="21.75" customHeight="1">
      <c r="A227" t="s">
        <v>340</v>
      </c>
      <c r="B227" s="6">
        <v>45451</v>
      </c>
      <c r="C227" t="s">
        <v>341</v>
      </c>
      <c r="D227" t="s">
        <v>70</v>
      </c>
      <c r="E227" t="s">
        <v>22</v>
      </c>
      <c r="F227" t="s">
        <v>42</v>
      </c>
      <c r="G227" t="s">
        <v>28</v>
      </c>
      <c r="H227">
        <v>17</v>
      </c>
      <c r="I227" t="str">
        <f>VLOOKUP(D227,Product_Lookup!$A$2:$C$27,3,FALSE)</f>
        <v>$211.9</v>
      </c>
      <c r="J227" t="str">
        <f t="shared" si="27"/>
        <v>Saturday</v>
      </c>
      <c r="K227" s="10" t="str">
        <f t="shared" si="28"/>
        <v>June</v>
      </c>
      <c r="L227">
        <f t="shared" si="29"/>
        <v>2024</v>
      </c>
      <c r="M227" t="b">
        <f t="shared" si="30"/>
        <v>1</v>
      </c>
      <c r="N227" t="b">
        <f t="shared" si="24"/>
        <v>1</v>
      </c>
      <c r="O227" t="str">
        <f t="shared" si="31"/>
        <v>Large Order</v>
      </c>
      <c r="P227" s="7">
        <f t="shared" si="25"/>
        <v>10.595000000000001</v>
      </c>
      <c r="Q227" s="7" t="str">
        <f>VLOOKUP(D228,Product_Lookup!$A$2:$C$27,2,FALSE)</f>
        <v>Desk Lamp</v>
      </c>
      <c r="R227" s="7">
        <f t="shared" si="26"/>
        <v>3602.3</v>
      </c>
    </row>
    <row r="228" spans="1:18" ht="21.75" customHeight="1">
      <c r="A228" t="s">
        <v>342</v>
      </c>
      <c r="B228" s="6">
        <v>45407</v>
      </c>
      <c r="C228" t="s">
        <v>58</v>
      </c>
      <c r="D228" t="s">
        <v>59</v>
      </c>
      <c r="E228" t="s">
        <v>17</v>
      </c>
      <c r="F228" t="s">
        <v>12</v>
      </c>
      <c r="G228" t="s">
        <v>28</v>
      </c>
      <c r="H228">
        <v>18</v>
      </c>
      <c r="I228" t="str">
        <f>VLOOKUP(D228,Product_Lookup!$A$2:$C$27,3,FALSE)</f>
        <v>$101.96</v>
      </c>
      <c r="J228" t="str">
        <f t="shared" si="27"/>
        <v>Thursday</v>
      </c>
      <c r="K228" s="10" t="str">
        <f t="shared" si="28"/>
        <v>April</v>
      </c>
      <c r="L228">
        <f t="shared" si="29"/>
        <v>2024</v>
      </c>
      <c r="M228" t="b">
        <f t="shared" si="30"/>
        <v>0</v>
      </c>
      <c r="N228" t="b">
        <f t="shared" si="24"/>
        <v>1</v>
      </c>
      <c r="O228" t="str">
        <f t="shared" si="31"/>
        <v>Large Order</v>
      </c>
      <c r="P228" s="7">
        <f t="shared" si="25"/>
        <v>5.0979999999999999</v>
      </c>
      <c r="Q228" s="7" t="str">
        <f>VLOOKUP(D229,Product_Lookup!$A$2:$C$27,2,FALSE)</f>
        <v>Jacket</v>
      </c>
      <c r="R228" s="7">
        <f t="shared" si="26"/>
        <v>1835.28</v>
      </c>
    </row>
    <row r="229" spans="1:18" ht="21.75" customHeight="1">
      <c r="A229" t="s">
        <v>343</v>
      </c>
      <c r="B229" s="6">
        <v>45295</v>
      </c>
      <c r="C229" t="s">
        <v>208</v>
      </c>
      <c r="D229" t="s">
        <v>197</v>
      </c>
      <c r="E229" t="s">
        <v>22</v>
      </c>
      <c r="F229" t="s">
        <v>12</v>
      </c>
      <c r="G229" t="s">
        <v>32</v>
      </c>
      <c r="H229">
        <v>3</v>
      </c>
      <c r="I229" t="str">
        <f>VLOOKUP(D229,Product_Lookup!$A$2:$C$27,3,FALSE)</f>
        <v>$10.11</v>
      </c>
      <c r="J229" t="str">
        <f t="shared" si="27"/>
        <v>Thursday</v>
      </c>
      <c r="K229" s="10" t="str">
        <f t="shared" si="28"/>
        <v>January</v>
      </c>
      <c r="L229">
        <f t="shared" si="29"/>
        <v>2024</v>
      </c>
      <c r="M229" t="b">
        <f t="shared" si="30"/>
        <v>0</v>
      </c>
      <c r="N229" t="b">
        <f t="shared" si="24"/>
        <v>0</v>
      </c>
      <c r="O229" t="str">
        <f t="shared" si="31"/>
        <v>Standard order</v>
      </c>
      <c r="P229" s="7">
        <f t="shared" si="25"/>
        <v>0.50549999999999995</v>
      </c>
      <c r="Q229" s="7" t="str">
        <f>VLOOKUP(D230,Product_Lookup!$A$2:$C$27,2,FALSE)</f>
        <v>Board Game</v>
      </c>
      <c r="R229" s="7">
        <f t="shared" si="26"/>
        <v>30.33</v>
      </c>
    </row>
    <row r="230" spans="1:18" ht="21.75" customHeight="1">
      <c r="A230" t="s">
        <v>344</v>
      </c>
      <c r="B230" s="6">
        <v>45328</v>
      </c>
      <c r="C230" t="s">
        <v>345</v>
      </c>
      <c r="D230" t="s">
        <v>41</v>
      </c>
      <c r="E230" t="s">
        <v>11</v>
      </c>
      <c r="F230" t="s">
        <v>42</v>
      </c>
      <c r="G230" t="s">
        <v>28</v>
      </c>
      <c r="H230">
        <v>16</v>
      </c>
      <c r="I230" t="str">
        <f>VLOOKUP(D230,Product_Lookup!$A$2:$C$27,3,FALSE)</f>
        <v>$86.6</v>
      </c>
      <c r="J230" t="str">
        <f t="shared" si="27"/>
        <v>Tuesday</v>
      </c>
      <c r="K230" s="10" t="str">
        <f t="shared" si="28"/>
        <v>February</v>
      </c>
      <c r="L230">
        <f t="shared" si="29"/>
        <v>2024</v>
      </c>
      <c r="M230" t="b">
        <f t="shared" si="30"/>
        <v>0</v>
      </c>
      <c r="N230" t="b">
        <f t="shared" si="24"/>
        <v>1</v>
      </c>
      <c r="O230" t="str">
        <f t="shared" si="31"/>
        <v>Large Order</v>
      </c>
      <c r="P230" s="7">
        <f t="shared" si="25"/>
        <v>4.33</v>
      </c>
      <c r="Q230" s="7" t="str">
        <f>VLOOKUP(D231,Product_Lookup!$A$2:$C$27,2,FALSE)</f>
        <v>Stapler</v>
      </c>
      <c r="R230" s="7">
        <f t="shared" si="26"/>
        <v>1385.6</v>
      </c>
    </row>
    <row r="231" spans="1:18" ht="21.75" customHeight="1">
      <c r="A231" t="s">
        <v>346</v>
      </c>
      <c r="B231" s="6">
        <v>45584</v>
      </c>
      <c r="C231" t="s">
        <v>314</v>
      </c>
      <c r="D231" t="s">
        <v>35</v>
      </c>
      <c r="E231" t="s">
        <v>17</v>
      </c>
      <c r="F231" t="s">
        <v>56</v>
      </c>
      <c r="G231" t="s">
        <v>13</v>
      </c>
      <c r="H231">
        <v>14</v>
      </c>
      <c r="I231" t="str">
        <f>VLOOKUP(D231,Product_Lookup!$A$2:$C$27,3,FALSE)</f>
        <v>$64.61</v>
      </c>
      <c r="J231" t="str">
        <f t="shared" si="27"/>
        <v>Saturday</v>
      </c>
      <c r="K231" s="10" t="str">
        <f t="shared" si="28"/>
        <v>October</v>
      </c>
      <c r="L231">
        <f t="shared" si="29"/>
        <v>2024</v>
      </c>
      <c r="M231" t="b">
        <f t="shared" si="30"/>
        <v>1</v>
      </c>
      <c r="N231" t="b">
        <f t="shared" si="24"/>
        <v>1</v>
      </c>
      <c r="O231" t="str">
        <f t="shared" si="31"/>
        <v>Large Order</v>
      </c>
      <c r="P231" s="7">
        <f t="shared" si="25"/>
        <v>3.2305000000000001</v>
      </c>
      <c r="Q231" s="7" t="str">
        <f>VLOOKUP(D232,Product_Lookup!$A$2:$C$27,2,FALSE)</f>
        <v>Vacuum</v>
      </c>
      <c r="R231" s="7">
        <f t="shared" si="26"/>
        <v>904.54</v>
      </c>
    </row>
    <row r="232" spans="1:18" ht="21.75" customHeight="1">
      <c r="A232" t="s">
        <v>347</v>
      </c>
      <c r="B232" s="6">
        <v>45629</v>
      </c>
      <c r="C232" t="s">
        <v>348</v>
      </c>
      <c r="D232" t="s">
        <v>87</v>
      </c>
      <c r="E232" t="s">
        <v>17</v>
      </c>
      <c r="F232" t="s">
        <v>27</v>
      </c>
      <c r="G232" t="s">
        <v>13</v>
      </c>
      <c r="H232">
        <v>15</v>
      </c>
      <c r="I232" t="str">
        <f>VLOOKUP(D232,Product_Lookup!$A$2:$C$27,3,FALSE)</f>
        <v>$26.59</v>
      </c>
      <c r="J232" t="str">
        <f t="shared" si="27"/>
        <v>Tuesday</v>
      </c>
      <c r="K232" s="10" t="str">
        <f t="shared" si="28"/>
        <v>December</v>
      </c>
      <c r="L232">
        <f t="shared" si="29"/>
        <v>2024</v>
      </c>
      <c r="M232" t="b">
        <f t="shared" si="30"/>
        <v>0</v>
      </c>
      <c r="N232" t="b">
        <f t="shared" si="24"/>
        <v>0</v>
      </c>
      <c r="O232" t="str">
        <f t="shared" si="31"/>
        <v>Standard order</v>
      </c>
      <c r="P232" s="7">
        <f t="shared" si="25"/>
        <v>1.3295000000000001</v>
      </c>
      <c r="Q232" s="7" t="str">
        <f>VLOOKUP(D233,Product_Lookup!$A$2:$C$27,2,FALSE)</f>
        <v>Smartphone</v>
      </c>
      <c r="R232" s="7">
        <f t="shared" si="26"/>
        <v>398.85</v>
      </c>
    </row>
    <row r="233" spans="1:18" ht="21.75" customHeight="1">
      <c r="A233" t="s">
        <v>349</v>
      </c>
      <c r="B233" s="6">
        <v>45636</v>
      </c>
      <c r="C233" t="s">
        <v>350</v>
      </c>
      <c r="D233" t="s">
        <v>79</v>
      </c>
      <c r="E233" t="s">
        <v>22</v>
      </c>
      <c r="F233" t="s">
        <v>12</v>
      </c>
      <c r="G233" t="s">
        <v>13</v>
      </c>
      <c r="H233">
        <v>13</v>
      </c>
      <c r="I233" t="str">
        <f>VLOOKUP(D233,Product_Lookup!$A$2:$C$27,3,FALSE)</f>
        <v>$216.22</v>
      </c>
      <c r="J233" t="str">
        <f t="shared" si="27"/>
        <v>Tuesday</v>
      </c>
      <c r="K233" s="10" t="str">
        <f t="shared" si="28"/>
        <v>December</v>
      </c>
      <c r="L233">
        <f t="shared" si="29"/>
        <v>2024</v>
      </c>
      <c r="M233" t="b">
        <f t="shared" si="30"/>
        <v>0</v>
      </c>
      <c r="N233" t="b">
        <f t="shared" si="24"/>
        <v>1</v>
      </c>
      <c r="O233" t="str">
        <f t="shared" si="31"/>
        <v>Large Order</v>
      </c>
      <c r="P233" s="7">
        <f t="shared" si="25"/>
        <v>10.811</v>
      </c>
      <c r="Q233" s="7" t="str">
        <f>VLOOKUP(D234,Product_Lookup!$A$2:$C$27,2,FALSE)</f>
        <v>Air Fryer</v>
      </c>
      <c r="R233" s="7">
        <f t="shared" si="26"/>
        <v>2810.86</v>
      </c>
    </row>
    <row r="234" spans="1:18" ht="21.75" customHeight="1">
      <c r="A234" t="s">
        <v>351</v>
      </c>
      <c r="B234" s="6">
        <v>45419</v>
      </c>
      <c r="C234" t="s">
        <v>150</v>
      </c>
      <c r="D234" t="s">
        <v>70</v>
      </c>
      <c r="E234" t="s">
        <v>11</v>
      </c>
      <c r="F234" t="s">
        <v>306</v>
      </c>
      <c r="G234" t="s">
        <v>32</v>
      </c>
      <c r="H234">
        <v>5</v>
      </c>
      <c r="I234" t="str">
        <f>VLOOKUP(D234,Product_Lookup!$A$2:$C$27,3,FALSE)</f>
        <v>$211.9</v>
      </c>
      <c r="J234" t="str">
        <f t="shared" si="27"/>
        <v>Tuesday</v>
      </c>
      <c r="K234" s="10" t="str">
        <f t="shared" si="28"/>
        <v>May</v>
      </c>
      <c r="L234">
        <f t="shared" si="29"/>
        <v>2024</v>
      </c>
      <c r="M234" t="b">
        <f t="shared" si="30"/>
        <v>0</v>
      </c>
      <c r="N234" t="b">
        <f t="shared" si="24"/>
        <v>0</v>
      </c>
      <c r="O234" t="str">
        <f t="shared" si="31"/>
        <v>Large Order</v>
      </c>
      <c r="P234" s="7">
        <f t="shared" si="25"/>
        <v>10.595000000000001</v>
      </c>
      <c r="Q234" s="7" t="str">
        <f>VLOOKUP(D235,Product_Lookup!$A$2:$C$27,2,FALSE)</f>
        <v>Pen Set</v>
      </c>
      <c r="R234" s="7">
        <f t="shared" si="26"/>
        <v>1059.5</v>
      </c>
    </row>
    <row r="235" spans="1:18" ht="21.75" customHeight="1">
      <c r="A235" t="s">
        <v>352</v>
      </c>
      <c r="B235" s="6">
        <v>45528</v>
      </c>
      <c r="C235" t="s">
        <v>78</v>
      </c>
      <c r="D235" t="s">
        <v>174</v>
      </c>
      <c r="E235" t="s">
        <v>11</v>
      </c>
      <c r="F235" t="s">
        <v>27</v>
      </c>
      <c r="G235" t="s">
        <v>36</v>
      </c>
      <c r="H235">
        <v>4</v>
      </c>
      <c r="I235" t="str">
        <f>VLOOKUP(D235,Product_Lookup!$A$2:$C$27,3,FALSE)</f>
        <v>$133.37</v>
      </c>
      <c r="J235" t="str">
        <f t="shared" si="27"/>
        <v>Saturday</v>
      </c>
      <c r="K235" s="10" t="str">
        <f t="shared" si="28"/>
        <v>August</v>
      </c>
      <c r="L235">
        <f t="shared" si="29"/>
        <v>2024</v>
      </c>
      <c r="M235" t="b">
        <f t="shared" si="30"/>
        <v>1</v>
      </c>
      <c r="N235" t="b">
        <f t="shared" si="24"/>
        <v>0</v>
      </c>
      <c r="O235" t="str">
        <f t="shared" si="31"/>
        <v>Large Order</v>
      </c>
      <c r="P235" s="7">
        <f t="shared" si="25"/>
        <v>6.6685000000000008</v>
      </c>
      <c r="Q235" s="7" t="str">
        <f>VLOOKUP(D236,Product_Lookup!$A$2:$C$27,2,FALSE)</f>
        <v>Vacuum</v>
      </c>
      <c r="R235" s="7">
        <f t="shared" si="26"/>
        <v>533.48</v>
      </c>
    </row>
    <row r="236" spans="1:18" ht="21.75" customHeight="1">
      <c r="A236" t="s">
        <v>353</v>
      </c>
      <c r="B236" s="6">
        <v>45299</v>
      </c>
      <c r="C236" t="s">
        <v>203</v>
      </c>
      <c r="D236" t="s">
        <v>87</v>
      </c>
      <c r="E236" t="s">
        <v>11</v>
      </c>
      <c r="F236" t="s">
        <v>56</v>
      </c>
      <c r="G236" t="s">
        <v>23</v>
      </c>
      <c r="H236">
        <v>16</v>
      </c>
      <c r="I236" t="str">
        <f>VLOOKUP(D236,Product_Lookup!$A$2:$C$27,3,FALSE)</f>
        <v>$26.59</v>
      </c>
      <c r="J236" t="str">
        <f t="shared" si="27"/>
        <v>Monday</v>
      </c>
      <c r="K236" s="10" t="str">
        <f t="shared" si="28"/>
        <v>January</v>
      </c>
      <c r="L236">
        <f t="shared" si="29"/>
        <v>2024</v>
      </c>
      <c r="M236" t="b">
        <f t="shared" si="30"/>
        <v>0</v>
      </c>
      <c r="N236" t="b">
        <f t="shared" si="24"/>
        <v>0</v>
      </c>
      <c r="O236" t="str">
        <f t="shared" si="31"/>
        <v>Standard order</v>
      </c>
      <c r="P236" s="7">
        <f t="shared" si="25"/>
        <v>1.3295000000000001</v>
      </c>
      <c r="Q236" s="7" t="str">
        <f>VLOOKUP(D237,Product_Lookup!$A$2:$C$27,2,FALSE)</f>
        <v>Coffee Maker</v>
      </c>
      <c r="R236" s="7">
        <f t="shared" si="26"/>
        <v>425.44</v>
      </c>
    </row>
    <row r="237" spans="1:18" ht="21.75" customHeight="1">
      <c r="A237" t="s">
        <v>354</v>
      </c>
      <c r="B237" s="6">
        <v>45322</v>
      </c>
      <c r="C237" t="s">
        <v>30</v>
      </c>
      <c r="D237" t="s">
        <v>31</v>
      </c>
      <c r="E237" t="s">
        <v>17</v>
      </c>
      <c r="F237" t="s">
        <v>12</v>
      </c>
      <c r="G237" t="s">
        <v>23</v>
      </c>
      <c r="H237">
        <v>9</v>
      </c>
      <c r="I237" t="str">
        <f>VLOOKUP(D237,Product_Lookup!$A$2:$C$27,3,FALSE)</f>
        <v>$230.34</v>
      </c>
      <c r="J237" t="str">
        <f t="shared" si="27"/>
        <v>Wednesday</v>
      </c>
      <c r="K237" s="10" t="str">
        <f t="shared" si="28"/>
        <v>January</v>
      </c>
      <c r="L237">
        <f t="shared" si="29"/>
        <v>2024</v>
      </c>
      <c r="M237" t="b">
        <f t="shared" si="30"/>
        <v>0</v>
      </c>
      <c r="N237" t="b">
        <f t="shared" si="24"/>
        <v>1</v>
      </c>
      <c r="O237" t="str">
        <f t="shared" si="31"/>
        <v>Large Order</v>
      </c>
      <c r="P237" s="7">
        <f t="shared" si="25"/>
        <v>11.517000000000001</v>
      </c>
      <c r="Q237" s="7" t="str">
        <f>VLOOKUP(D238,Product_Lookup!$A$2:$C$27,2,FALSE)</f>
        <v>Board Game</v>
      </c>
      <c r="R237" s="7">
        <f t="shared" si="26"/>
        <v>2073.06</v>
      </c>
    </row>
    <row r="238" spans="1:18" ht="21.75" customHeight="1">
      <c r="A238" t="s">
        <v>355</v>
      </c>
      <c r="B238" s="6">
        <v>45438</v>
      </c>
      <c r="C238" t="s">
        <v>309</v>
      </c>
      <c r="D238" t="s">
        <v>41</v>
      </c>
      <c r="E238" t="s">
        <v>22</v>
      </c>
      <c r="F238" t="s">
        <v>306</v>
      </c>
      <c r="G238" t="s">
        <v>32</v>
      </c>
      <c r="H238">
        <v>16</v>
      </c>
      <c r="I238" t="str">
        <f>VLOOKUP(D238,Product_Lookup!$A$2:$C$27,3,FALSE)</f>
        <v>$86.6</v>
      </c>
      <c r="J238" t="str">
        <f t="shared" si="27"/>
        <v>Sunday</v>
      </c>
      <c r="K238" s="10" t="str">
        <f t="shared" si="28"/>
        <v>May</v>
      </c>
      <c r="L238">
        <f t="shared" si="29"/>
        <v>2024</v>
      </c>
      <c r="M238" t="b">
        <f t="shared" si="30"/>
        <v>1</v>
      </c>
      <c r="N238" t="b">
        <f t="shared" si="24"/>
        <v>1</v>
      </c>
      <c r="O238" t="str">
        <f t="shared" si="31"/>
        <v>Large Order</v>
      </c>
      <c r="P238" s="7">
        <f t="shared" si="25"/>
        <v>4.33</v>
      </c>
      <c r="Q238" s="7" t="str">
        <f>VLOOKUP(D239,Product_Lookup!$A$2:$C$27,2,FALSE)</f>
        <v>Smartphone</v>
      </c>
      <c r="R238" s="7">
        <f t="shared" si="26"/>
        <v>1385.6</v>
      </c>
    </row>
    <row r="239" spans="1:18" ht="21.75" customHeight="1">
      <c r="A239" t="s">
        <v>356</v>
      </c>
      <c r="B239" s="6">
        <v>45403</v>
      </c>
      <c r="C239" t="s">
        <v>131</v>
      </c>
      <c r="D239" t="s">
        <v>79</v>
      </c>
      <c r="E239" t="s">
        <v>22</v>
      </c>
      <c r="F239" t="s">
        <v>306</v>
      </c>
      <c r="G239" t="s">
        <v>36</v>
      </c>
      <c r="H239">
        <v>11</v>
      </c>
      <c r="I239" t="str">
        <f>VLOOKUP(D239,Product_Lookup!$A$2:$C$27,3,FALSE)</f>
        <v>$216.22</v>
      </c>
      <c r="J239" t="str">
        <f t="shared" si="27"/>
        <v>Sunday</v>
      </c>
      <c r="K239" s="10" t="str">
        <f t="shared" si="28"/>
        <v>April</v>
      </c>
      <c r="L239">
        <f t="shared" si="29"/>
        <v>2024</v>
      </c>
      <c r="M239" t="b">
        <f t="shared" si="30"/>
        <v>1</v>
      </c>
      <c r="N239" t="b">
        <f t="shared" si="24"/>
        <v>1</v>
      </c>
      <c r="O239" t="str">
        <f t="shared" si="31"/>
        <v>Large Order</v>
      </c>
      <c r="P239" s="7">
        <f t="shared" si="25"/>
        <v>10.811</v>
      </c>
      <c r="Q239" s="7" t="str">
        <f>VLOOKUP(D240,Product_Lookup!$A$2:$C$27,2,FALSE)</f>
        <v>Smartphone</v>
      </c>
      <c r="R239" s="7">
        <f t="shared" si="26"/>
        <v>2378.42</v>
      </c>
    </row>
    <row r="240" spans="1:18" ht="21.75" customHeight="1">
      <c r="A240" t="s">
        <v>357</v>
      </c>
      <c r="B240" s="6">
        <v>45536</v>
      </c>
      <c r="C240" t="s">
        <v>358</v>
      </c>
      <c r="D240" t="s">
        <v>79</v>
      </c>
      <c r="E240" t="s">
        <v>22</v>
      </c>
      <c r="F240" t="s">
        <v>56</v>
      </c>
      <c r="G240" t="s">
        <v>28</v>
      </c>
      <c r="H240">
        <v>17</v>
      </c>
      <c r="I240" t="str">
        <f>VLOOKUP(D240,Product_Lookup!$A$2:$C$27,3,FALSE)</f>
        <v>$216.22</v>
      </c>
      <c r="J240" t="str">
        <f t="shared" si="27"/>
        <v>Sunday</v>
      </c>
      <c r="K240" s="10" t="str">
        <f t="shared" si="28"/>
        <v>September</v>
      </c>
      <c r="L240">
        <f t="shared" si="29"/>
        <v>2024</v>
      </c>
      <c r="M240" t="b">
        <f t="shared" si="30"/>
        <v>1</v>
      </c>
      <c r="N240" t="b">
        <f t="shared" si="24"/>
        <v>1</v>
      </c>
      <c r="O240" t="str">
        <f t="shared" si="31"/>
        <v>Large Order</v>
      </c>
      <c r="P240" s="7">
        <f t="shared" si="25"/>
        <v>10.811</v>
      </c>
      <c r="Q240" s="7" t="str">
        <f>VLOOKUP(D241,Product_Lookup!$A$2:$C$27,2,FALSE)</f>
        <v>Coffee Maker</v>
      </c>
      <c r="R240" s="7">
        <f t="shared" si="26"/>
        <v>3675.74</v>
      </c>
    </row>
    <row r="241" spans="1:18" ht="21.75" customHeight="1">
      <c r="A241" t="s">
        <v>359</v>
      </c>
      <c r="B241" s="6">
        <v>45327</v>
      </c>
      <c r="C241" t="s">
        <v>327</v>
      </c>
      <c r="D241" t="s">
        <v>31</v>
      </c>
      <c r="E241" t="s">
        <v>11</v>
      </c>
      <c r="F241" t="s">
        <v>56</v>
      </c>
      <c r="G241" t="s">
        <v>36</v>
      </c>
      <c r="H241">
        <v>4</v>
      </c>
      <c r="I241" t="str">
        <f>VLOOKUP(D241,Product_Lookup!$A$2:$C$27,3,FALSE)</f>
        <v>$230.34</v>
      </c>
      <c r="J241" t="str">
        <f t="shared" si="27"/>
        <v>Monday</v>
      </c>
      <c r="K241" s="10" t="str">
        <f t="shared" si="28"/>
        <v>February</v>
      </c>
      <c r="L241">
        <f t="shared" si="29"/>
        <v>2024</v>
      </c>
      <c r="M241" t="b">
        <f t="shared" si="30"/>
        <v>0</v>
      </c>
      <c r="N241" t="b">
        <f t="shared" si="24"/>
        <v>0</v>
      </c>
      <c r="O241" t="str">
        <f t="shared" si="31"/>
        <v>Large Order</v>
      </c>
      <c r="P241" s="7">
        <f t="shared" si="25"/>
        <v>11.517000000000001</v>
      </c>
      <c r="Q241" s="7" t="str">
        <f>VLOOKUP(D242,Product_Lookup!$A$2:$C$27,2,FALSE)</f>
        <v>Paper Shredder</v>
      </c>
      <c r="R241" s="7">
        <f t="shared" si="26"/>
        <v>921.36</v>
      </c>
    </row>
    <row r="242" spans="1:18" ht="21.75" customHeight="1">
      <c r="A242" t="s">
        <v>360</v>
      </c>
      <c r="B242" s="6">
        <v>45418</v>
      </c>
      <c r="C242" t="s">
        <v>361</v>
      </c>
      <c r="D242" t="s">
        <v>109</v>
      </c>
      <c r="E242" t="s">
        <v>22</v>
      </c>
      <c r="F242" t="s">
        <v>12</v>
      </c>
      <c r="G242" t="s">
        <v>36</v>
      </c>
      <c r="H242">
        <v>3</v>
      </c>
      <c r="I242" t="str">
        <f>VLOOKUP(D242,Product_Lookup!$A$2:$C$27,3,FALSE)</f>
        <v>$81.02</v>
      </c>
      <c r="J242" t="str">
        <f t="shared" si="27"/>
        <v>Monday</v>
      </c>
      <c r="K242" s="10" t="str">
        <f t="shared" si="28"/>
        <v>May</v>
      </c>
      <c r="L242">
        <f t="shared" si="29"/>
        <v>2024</v>
      </c>
      <c r="M242" t="b">
        <f t="shared" si="30"/>
        <v>0</v>
      </c>
      <c r="N242" t="b">
        <f t="shared" si="24"/>
        <v>0</v>
      </c>
      <c r="O242" t="str">
        <f t="shared" si="31"/>
        <v>Standard order</v>
      </c>
      <c r="P242" s="7">
        <f t="shared" si="25"/>
        <v>4.0510000000000002</v>
      </c>
      <c r="Q242" s="7" t="str">
        <f>VLOOKUP(D243,Product_Lookup!$A$2:$C$27,2,FALSE)</f>
        <v>Jeans</v>
      </c>
      <c r="R242" s="7">
        <f t="shared" si="26"/>
        <v>243.06</v>
      </c>
    </row>
    <row r="243" spans="1:18" ht="21.75" customHeight="1">
      <c r="A243" t="s">
        <v>362</v>
      </c>
      <c r="B243" s="6">
        <v>45581</v>
      </c>
      <c r="C243" t="s">
        <v>363</v>
      </c>
      <c r="D243" t="s">
        <v>65</v>
      </c>
      <c r="E243" t="s">
        <v>17</v>
      </c>
      <c r="F243" t="s">
        <v>42</v>
      </c>
      <c r="G243" t="s">
        <v>23</v>
      </c>
      <c r="H243">
        <v>11</v>
      </c>
      <c r="I243" t="str">
        <f>VLOOKUP(D243,Product_Lookup!$A$2:$C$27,3,FALSE)</f>
        <v>$33.22</v>
      </c>
      <c r="J243" t="str">
        <f t="shared" si="27"/>
        <v>Wednesday</v>
      </c>
      <c r="K243" s="10" t="str">
        <f t="shared" si="28"/>
        <v>October</v>
      </c>
      <c r="L243">
        <f t="shared" si="29"/>
        <v>2024</v>
      </c>
      <c r="M243" t="b">
        <f t="shared" si="30"/>
        <v>0</v>
      </c>
      <c r="N243" t="b">
        <f t="shared" si="24"/>
        <v>0</v>
      </c>
      <c r="O243" t="str">
        <f t="shared" si="31"/>
        <v>Standard order</v>
      </c>
      <c r="P243" s="7">
        <f t="shared" si="25"/>
        <v>1.661</v>
      </c>
      <c r="Q243" s="7" t="str">
        <f>VLOOKUP(D244,Product_Lookup!$A$2:$C$27,2,FALSE)</f>
        <v>Air Fryer</v>
      </c>
      <c r="R243" s="7">
        <f t="shared" si="26"/>
        <v>365.41999999999996</v>
      </c>
    </row>
    <row r="244" spans="1:18" ht="21.75" customHeight="1">
      <c r="A244" t="s">
        <v>364</v>
      </c>
      <c r="B244" s="6">
        <v>45359</v>
      </c>
      <c r="C244" t="s">
        <v>317</v>
      </c>
      <c r="D244" t="s">
        <v>70</v>
      </c>
      <c r="E244" t="s">
        <v>22</v>
      </c>
      <c r="F244" t="s">
        <v>42</v>
      </c>
      <c r="G244" t="s">
        <v>13</v>
      </c>
      <c r="H244">
        <v>11</v>
      </c>
      <c r="I244" t="str">
        <f>VLOOKUP(D244,Product_Lookup!$A$2:$C$27,3,FALSE)</f>
        <v>$211.9</v>
      </c>
      <c r="J244" t="str">
        <f t="shared" si="27"/>
        <v>Friday</v>
      </c>
      <c r="K244" s="10" t="str">
        <f t="shared" si="28"/>
        <v>March</v>
      </c>
      <c r="L244">
        <f t="shared" si="29"/>
        <v>2024</v>
      </c>
      <c r="M244" t="b">
        <f t="shared" si="30"/>
        <v>0</v>
      </c>
      <c r="N244" t="b">
        <f t="shared" si="24"/>
        <v>1</v>
      </c>
      <c r="O244" t="str">
        <f t="shared" si="31"/>
        <v>Large Order</v>
      </c>
      <c r="P244" s="7">
        <f t="shared" si="25"/>
        <v>10.595000000000001</v>
      </c>
      <c r="Q244" s="7" t="str">
        <f>VLOOKUP(D245,Product_Lookup!$A$2:$C$27,2,FALSE)</f>
        <v>Monitor</v>
      </c>
      <c r="R244" s="7">
        <f t="shared" si="26"/>
        <v>2330.9</v>
      </c>
    </row>
    <row r="245" spans="1:18" ht="21.75" customHeight="1">
      <c r="A245" t="s">
        <v>365</v>
      </c>
      <c r="B245" s="6">
        <v>45296</v>
      </c>
      <c r="C245" t="s">
        <v>366</v>
      </c>
      <c r="D245" t="s">
        <v>102</v>
      </c>
      <c r="E245" t="s">
        <v>22</v>
      </c>
      <c r="F245" t="s">
        <v>306</v>
      </c>
      <c r="G245" t="s">
        <v>36</v>
      </c>
      <c r="H245">
        <v>3</v>
      </c>
      <c r="I245" t="str">
        <f>VLOOKUP(D245,Product_Lookup!$A$2:$C$27,3,FALSE)</f>
        <v>$145.48</v>
      </c>
      <c r="J245" t="str">
        <f t="shared" si="27"/>
        <v>Friday</v>
      </c>
      <c r="K245" s="10" t="str">
        <f t="shared" si="28"/>
        <v>January</v>
      </c>
      <c r="L245">
        <f t="shared" si="29"/>
        <v>2024</v>
      </c>
      <c r="M245" t="b">
        <f t="shared" si="30"/>
        <v>0</v>
      </c>
      <c r="N245" t="b">
        <f t="shared" si="24"/>
        <v>0</v>
      </c>
      <c r="O245" t="str">
        <f t="shared" si="31"/>
        <v>Standard order</v>
      </c>
      <c r="P245" s="7">
        <f t="shared" si="25"/>
        <v>7.274</v>
      </c>
      <c r="Q245" s="7" t="str">
        <f>VLOOKUP(D246,Product_Lookup!$A$2:$C$27,2,FALSE)</f>
        <v>Jacket</v>
      </c>
      <c r="R245" s="7">
        <f t="shared" si="26"/>
        <v>436.43999999999994</v>
      </c>
    </row>
    <row r="246" spans="1:18" ht="21.75" customHeight="1">
      <c r="A246" t="s">
        <v>367</v>
      </c>
      <c r="B246" s="6">
        <v>45427</v>
      </c>
      <c r="C246" t="s">
        <v>34</v>
      </c>
      <c r="D246" t="s">
        <v>197</v>
      </c>
      <c r="E246" t="s">
        <v>17</v>
      </c>
      <c r="F246" t="s">
        <v>12</v>
      </c>
      <c r="G246" t="s">
        <v>23</v>
      </c>
      <c r="H246">
        <v>12</v>
      </c>
      <c r="I246" t="str">
        <f>VLOOKUP(D246,Product_Lookup!$A$2:$C$27,3,FALSE)</f>
        <v>$10.11</v>
      </c>
      <c r="J246" t="str">
        <f t="shared" si="27"/>
        <v>Wednesday</v>
      </c>
      <c r="K246" s="10" t="str">
        <f t="shared" si="28"/>
        <v>May</v>
      </c>
      <c r="L246">
        <f t="shared" si="29"/>
        <v>2024</v>
      </c>
      <c r="M246" t="b">
        <f t="shared" si="30"/>
        <v>0</v>
      </c>
      <c r="N246" t="b">
        <f t="shared" si="24"/>
        <v>0</v>
      </c>
      <c r="O246" t="str">
        <f t="shared" si="31"/>
        <v>Standard order</v>
      </c>
      <c r="P246" s="7">
        <f t="shared" si="25"/>
        <v>0.50549999999999995</v>
      </c>
      <c r="Q246" s="7" t="str">
        <f>VLOOKUP(D247,Product_Lookup!$A$2:$C$27,2,FALSE)</f>
        <v>Action Figure</v>
      </c>
      <c r="R246" s="7">
        <f t="shared" si="26"/>
        <v>121.32</v>
      </c>
    </row>
    <row r="247" spans="1:18" ht="21.75" customHeight="1">
      <c r="A247" t="s">
        <v>368</v>
      </c>
      <c r="B247" s="6">
        <v>45570</v>
      </c>
      <c r="C247" t="s">
        <v>369</v>
      </c>
      <c r="D247" t="s">
        <v>21</v>
      </c>
      <c r="E247" t="s">
        <v>17</v>
      </c>
      <c r="F247" t="s">
        <v>306</v>
      </c>
      <c r="G247" t="s">
        <v>36</v>
      </c>
      <c r="H247">
        <v>17</v>
      </c>
      <c r="I247" t="str">
        <f>VLOOKUP(D247,Product_Lookup!$A$2:$C$27,3,FALSE)</f>
        <v>$88.18</v>
      </c>
      <c r="J247" t="str">
        <f t="shared" si="27"/>
        <v>Saturday</v>
      </c>
      <c r="K247" s="10" t="str">
        <f t="shared" si="28"/>
        <v>October</v>
      </c>
      <c r="L247">
        <f t="shared" si="29"/>
        <v>2024</v>
      </c>
      <c r="M247" t="b">
        <f t="shared" si="30"/>
        <v>1</v>
      </c>
      <c r="N247" t="b">
        <f t="shared" si="24"/>
        <v>1</v>
      </c>
      <c r="O247" t="str">
        <f t="shared" si="31"/>
        <v>Large Order</v>
      </c>
      <c r="P247" s="7">
        <f t="shared" si="25"/>
        <v>4.4090000000000007</v>
      </c>
      <c r="Q247" s="7" t="str">
        <f>VLOOKUP(D248,Product_Lookup!$A$2:$C$27,2,FALSE)</f>
        <v>Sweater</v>
      </c>
      <c r="R247" s="7">
        <f t="shared" si="26"/>
        <v>1499.0600000000002</v>
      </c>
    </row>
    <row r="248" spans="1:18" ht="21.75" customHeight="1">
      <c r="A248" t="s">
        <v>370</v>
      </c>
      <c r="B248" s="6">
        <v>45445</v>
      </c>
      <c r="C248" t="s">
        <v>371</v>
      </c>
      <c r="D248" t="s">
        <v>26</v>
      </c>
      <c r="E248" t="s">
        <v>11</v>
      </c>
      <c r="F248" t="s">
        <v>56</v>
      </c>
      <c r="G248" t="s">
        <v>36</v>
      </c>
      <c r="H248">
        <v>4</v>
      </c>
      <c r="I248" t="str">
        <f>VLOOKUP(D248,Product_Lookup!$A$2:$C$27,3,FALSE)</f>
        <v>$84.57</v>
      </c>
      <c r="J248" t="str">
        <f t="shared" si="27"/>
        <v>Sunday</v>
      </c>
      <c r="K248" s="10" t="str">
        <f t="shared" si="28"/>
        <v>June</v>
      </c>
      <c r="L248">
        <f t="shared" si="29"/>
        <v>2024</v>
      </c>
      <c r="M248" t="b">
        <f t="shared" si="30"/>
        <v>1</v>
      </c>
      <c r="N248" t="b">
        <f t="shared" si="24"/>
        <v>0</v>
      </c>
      <c r="O248" t="str">
        <f t="shared" si="31"/>
        <v>Standard order</v>
      </c>
      <c r="P248" s="7">
        <f t="shared" si="25"/>
        <v>4.2284999999999995</v>
      </c>
      <c r="Q248" s="7" t="str">
        <f>VLOOKUP(D249,Product_Lookup!$A$2:$C$27,2,FALSE)</f>
        <v>Jeans</v>
      </c>
      <c r="R248" s="7">
        <f t="shared" si="26"/>
        <v>338.28</v>
      </c>
    </row>
    <row r="249" spans="1:18" ht="21.75" customHeight="1">
      <c r="A249" t="s">
        <v>372</v>
      </c>
      <c r="B249" s="6">
        <v>45371</v>
      </c>
      <c r="C249" t="s">
        <v>101</v>
      </c>
      <c r="D249" t="s">
        <v>65</v>
      </c>
      <c r="E249" t="s">
        <v>17</v>
      </c>
      <c r="F249" t="s">
        <v>306</v>
      </c>
      <c r="G249" t="s">
        <v>32</v>
      </c>
      <c r="H249">
        <v>11</v>
      </c>
      <c r="I249" t="str">
        <f>VLOOKUP(D249,Product_Lookup!$A$2:$C$27,3,FALSE)</f>
        <v>$33.22</v>
      </c>
      <c r="J249" t="str">
        <f t="shared" si="27"/>
        <v>Wednesday</v>
      </c>
      <c r="K249" s="10" t="str">
        <f t="shared" si="28"/>
        <v>March</v>
      </c>
      <c r="L249">
        <f t="shared" si="29"/>
        <v>2024</v>
      </c>
      <c r="M249" t="b">
        <f t="shared" si="30"/>
        <v>0</v>
      </c>
      <c r="N249" t="b">
        <f t="shared" si="24"/>
        <v>0</v>
      </c>
      <c r="O249" t="str">
        <f t="shared" si="31"/>
        <v>Standard order</v>
      </c>
      <c r="P249" s="7">
        <f t="shared" si="25"/>
        <v>1.661</v>
      </c>
      <c r="Q249" s="7" t="str">
        <f>VLOOKUP(D250,Product_Lookup!$A$2:$C$27,2,FALSE)</f>
        <v>Tablet</v>
      </c>
      <c r="R249" s="7">
        <f t="shared" si="26"/>
        <v>365.41999999999996</v>
      </c>
    </row>
    <row r="250" spans="1:18" ht="21.75" customHeight="1">
      <c r="A250" t="s">
        <v>373</v>
      </c>
      <c r="B250" s="6">
        <v>45550</v>
      </c>
      <c r="C250" t="s">
        <v>374</v>
      </c>
      <c r="D250" t="s">
        <v>10</v>
      </c>
      <c r="E250" t="s">
        <v>17</v>
      </c>
      <c r="F250" t="s">
        <v>12</v>
      </c>
      <c r="G250" t="s">
        <v>13</v>
      </c>
      <c r="H250">
        <v>14</v>
      </c>
      <c r="I250" t="str">
        <f>VLOOKUP(D250,Product_Lookup!$A$2:$C$27,3,FALSE)</f>
        <v>$146.06</v>
      </c>
      <c r="J250" t="str">
        <f t="shared" si="27"/>
        <v>Sunday</v>
      </c>
      <c r="K250" s="10" t="str">
        <f t="shared" si="28"/>
        <v>September</v>
      </c>
      <c r="L250">
        <f t="shared" si="29"/>
        <v>2024</v>
      </c>
      <c r="M250" t="b">
        <f t="shared" si="30"/>
        <v>1</v>
      </c>
      <c r="N250" t="b">
        <f t="shared" si="24"/>
        <v>1</v>
      </c>
      <c r="O250" t="str">
        <f t="shared" si="31"/>
        <v>Large Order</v>
      </c>
      <c r="P250" s="7">
        <f t="shared" si="25"/>
        <v>7.3030000000000008</v>
      </c>
      <c r="Q250" s="7" t="str">
        <f>VLOOKUP(D251,Product_Lookup!$A$2:$C$27,2,FALSE)</f>
        <v>T-Shirt</v>
      </c>
      <c r="R250" s="7">
        <f t="shared" si="26"/>
        <v>2044.8400000000001</v>
      </c>
    </row>
    <row r="251" spans="1:18" ht="21.75" customHeight="1">
      <c r="A251" t="s">
        <v>375</v>
      </c>
      <c r="B251" s="6">
        <v>45293</v>
      </c>
      <c r="C251" t="s">
        <v>118</v>
      </c>
      <c r="D251" t="s">
        <v>45</v>
      </c>
      <c r="E251" t="s">
        <v>11</v>
      </c>
      <c r="F251" t="s">
        <v>42</v>
      </c>
      <c r="G251" t="s">
        <v>23</v>
      </c>
      <c r="H251">
        <v>15</v>
      </c>
      <c r="I251" t="str">
        <f>VLOOKUP(D251,Product_Lookup!$A$2:$C$27,3,FALSE)</f>
        <v>$107.34</v>
      </c>
      <c r="J251" t="str">
        <f t="shared" si="27"/>
        <v>Tuesday</v>
      </c>
      <c r="K251" s="10" t="str">
        <f t="shared" si="28"/>
        <v>January</v>
      </c>
      <c r="L251">
        <f t="shared" si="29"/>
        <v>2024</v>
      </c>
      <c r="M251" t="b">
        <f t="shared" si="30"/>
        <v>0</v>
      </c>
      <c r="N251" t="b">
        <f t="shared" si="24"/>
        <v>1</v>
      </c>
      <c r="O251" t="str">
        <f t="shared" si="31"/>
        <v>Large Order</v>
      </c>
      <c r="P251" s="7">
        <f t="shared" si="25"/>
        <v>5.3670000000000009</v>
      </c>
      <c r="Q251" s="7" t="str">
        <f>VLOOKUP(D252,Product_Lookup!$A$2:$C$27,2,FALSE)</f>
        <v>Puzzle</v>
      </c>
      <c r="R251" s="7">
        <f t="shared" si="26"/>
        <v>1610.1000000000001</v>
      </c>
    </row>
    <row r="252" spans="1:18" ht="21.75" customHeight="1">
      <c r="A252" t="s">
        <v>376</v>
      </c>
      <c r="B252" s="6">
        <v>45579</v>
      </c>
      <c r="C252" t="s">
        <v>142</v>
      </c>
      <c r="D252" t="s">
        <v>62</v>
      </c>
      <c r="E252" t="s">
        <v>11</v>
      </c>
      <c r="F252" t="s">
        <v>12</v>
      </c>
      <c r="G252" t="s">
        <v>32</v>
      </c>
      <c r="H252">
        <v>5</v>
      </c>
      <c r="I252" t="str">
        <f>VLOOKUP(D252,Product_Lookup!$A$2:$C$27,3,FALSE)</f>
        <v>$46.19</v>
      </c>
      <c r="J252" t="str">
        <f t="shared" si="27"/>
        <v>Monday</v>
      </c>
      <c r="K252" s="10" t="str">
        <f t="shared" si="28"/>
        <v>October</v>
      </c>
      <c r="L252">
        <f t="shared" si="29"/>
        <v>2024</v>
      </c>
      <c r="M252" t="b">
        <f t="shared" si="30"/>
        <v>0</v>
      </c>
      <c r="N252" t="b">
        <f t="shared" si="24"/>
        <v>0</v>
      </c>
      <c r="O252" t="str">
        <f t="shared" si="31"/>
        <v>Standard order</v>
      </c>
      <c r="P252" s="7">
        <f t="shared" si="25"/>
        <v>2.3094999999999999</v>
      </c>
      <c r="Q252" s="7" t="str">
        <f>VLOOKUP(D253,Product_Lookup!$A$2:$C$27,2,FALSE)</f>
        <v>Headphones</v>
      </c>
      <c r="R252" s="7">
        <f t="shared" si="26"/>
        <v>230.95</v>
      </c>
    </row>
    <row r="253" spans="1:18" ht="21.75" customHeight="1">
      <c r="A253" t="s">
        <v>377</v>
      </c>
      <c r="B253" s="6">
        <v>45590</v>
      </c>
      <c r="C253" t="s">
        <v>378</v>
      </c>
      <c r="D253" t="s">
        <v>16</v>
      </c>
      <c r="E253" t="s">
        <v>11</v>
      </c>
      <c r="F253" t="s">
        <v>27</v>
      </c>
      <c r="G253" t="s">
        <v>13</v>
      </c>
      <c r="H253">
        <v>2</v>
      </c>
      <c r="I253" t="str">
        <f>VLOOKUP(D253,Product_Lookup!$A$2:$C$27,3,FALSE)</f>
        <v>$178.83</v>
      </c>
      <c r="J253" t="str">
        <f t="shared" si="27"/>
        <v>Friday</v>
      </c>
      <c r="K253" s="10" t="str">
        <f t="shared" si="28"/>
        <v>October</v>
      </c>
      <c r="L253">
        <f t="shared" si="29"/>
        <v>2024</v>
      </c>
      <c r="M253" t="b">
        <f t="shared" si="30"/>
        <v>0</v>
      </c>
      <c r="N253" t="b">
        <f t="shared" si="24"/>
        <v>0</v>
      </c>
      <c r="O253" t="str">
        <f t="shared" si="31"/>
        <v>Standard order</v>
      </c>
      <c r="P253" s="7">
        <f t="shared" si="25"/>
        <v>8.9415000000000013</v>
      </c>
      <c r="Q253" s="7" t="str">
        <f>VLOOKUP(D254,Product_Lookup!$A$2:$C$27,2,FALSE)</f>
        <v>Board Game</v>
      </c>
      <c r="R253" s="7">
        <f t="shared" si="26"/>
        <v>357.66</v>
      </c>
    </row>
    <row r="254" spans="1:18" ht="21.75" customHeight="1">
      <c r="A254" t="s">
        <v>379</v>
      </c>
      <c r="B254" s="6">
        <v>45475</v>
      </c>
      <c r="C254" t="s">
        <v>95</v>
      </c>
      <c r="D254" t="s">
        <v>41</v>
      </c>
      <c r="E254" t="s">
        <v>22</v>
      </c>
      <c r="F254" t="s">
        <v>56</v>
      </c>
      <c r="G254" t="s">
        <v>36</v>
      </c>
      <c r="H254">
        <v>4</v>
      </c>
      <c r="I254" t="str">
        <f>VLOOKUP(D254,Product_Lookup!$A$2:$C$27,3,FALSE)</f>
        <v>$86.6</v>
      </c>
      <c r="J254" t="str">
        <f t="shared" si="27"/>
        <v>Tuesday</v>
      </c>
      <c r="K254" s="10" t="str">
        <f t="shared" si="28"/>
        <v>July</v>
      </c>
      <c r="L254">
        <f t="shared" si="29"/>
        <v>2024</v>
      </c>
      <c r="M254" t="b">
        <f t="shared" si="30"/>
        <v>0</v>
      </c>
      <c r="N254" t="b">
        <f t="shared" si="24"/>
        <v>0</v>
      </c>
      <c r="O254" t="str">
        <f t="shared" si="31"/>
        <v>Standard order</v>
      </c>
      <c r="P254" s="7">
        <f t="shared" si="25"/>
        <v>4.33</v>
      </c>
      <c r="Q254" s="7" t="str">
        <f>VLOOKUP(D255,Product_Lookup!$A$2:$C$27,2,FALSE)</f>
        <v>Jacket</v>
      </c>
      <c r="R254" s="7">
        <f t="shared" si="26"/>
        <v>346.4</v>
      </c>
    </row>
    <row r="255" spans="1:18" ht="21.75" customHeight="1">
      <c r="A255" t="s">
        <v>380</v>
      </c>
      <c r="B255" s="6">
        <v>45500</v>
      </c>
      <c r="C255" t="s">
        <v>381</v>
      </c>
      <c r="D255" t="s">
        <v>197</v>
      </c>
      <c r="E255" t="s">
        <v>22</v>
      </c>
      <c r="F255" t="s">
        <v>56</v>
      </c>
      <c r="G255" t="s">
        <v>28</v>
      </c>
      <c r="H255">
        <v>6</v>
      </c>
      <c r="I255" t="str">
        <f>VLOOKUP(D255,Product_Lookup!$A$2:$C$27,3,FALSE)</f>
        <v>$10.11</v>
      </c>
      <c r="J255" t="str">
        <f t="shared" si="27"/>
        <v>Saturday</v>
      </c>
      <c r="K255" s="10" t="str">
        <f t="shared" si="28"/>
        <v>July</v>
      </c>
      <c r="L255">
        <f t="shared" si="29"/>
        <v>2024</v>
      </c>
      <c r="M255" t="b">
        <f t="shared" si="30"/>
        <v>1</v>
      </c>
      <c r="N255" t="b">
        <f t="shared" si="24"/>
        <v>0</v>
      </c>
      <c r="O255" t="str">
        <f t="shared" si="31"/>
        <v>Standard order</v>
      </c>
      <c r="P255" s="7">
        <f t="shared" si="25"/>
        <v>0.50549999999999995</v>
      </c>
      <c r="Q255" s="7" t="str">
        <f>VLOOKUP(D256,Product_Lookup!$A$2:$C$27,2,FALSE)</f>
        <v>Vacuum</v>
      </c>
      <c r="R255" s="7">
        <f t="shared" si="26"/>
        <v>60.66</v>
      </c>
    </row>
    <row r="256" spans="1:18" ht="21.75" customHeight="1">
      <c r="A256" t="s">
        <v>382</v>
      </c>
      <c r="B256" s="6">
        <v>45503</v>
      </c>
      <c r="C256" t="s">
        <v>64</v>
      </c>
      <c r="D256" t="s">
        <v>87</v>
      </c>
      <c r="E256" t="s">
        <v>11</v>
      </c>
      <c r="F256" t="s">
        <v>42</v>
      </c>
      <c r="G256" t="s">
        <v>13</v>
      </c>
      <c r="H256">
        <v>8</v>
      </c>
      <c r="I256" t="str">
        <f>VLOOKUP(D256,Product_Lookup!$A$2:$C$27,3,FALSE)</f>
        <v>$26.59</v>
      </c>
      <c r="J256" t="str">
        <f t="shared" si="27"/>
        <v>Tuesday</v>
      </c>
      <c r="K256" s="10" t="str">
        <f t="shared" si="28"/>
        <v>July</v>
      </c>
      <c r="L256">
        <f t="shared" si="29"/>
        <v>2024</v>
      </c>
      <c r="M256" t="b">
        <f t="shared" si="30"/>
        <v>0</v>
      </c>
      <c r="N256" t="b">
        <f t="shared" si="24"/>
        <v>0</v>
      </c>
      <c r="O256" t="str">
        <f t="shared" si="31"/>
        <v>Standard order</v>
      </c>
      <c r="P256" s="7">
        <f t="shared" si="25"/>
        <v>1.3295000000000001</v>
      </c>
      <c r="Q256" s="7" t="str">
        <f>VLOOKUP(D257,Product_Lookup!$A$2:$C$27,2,FALSE)</f>
        <v>Jeans</v>
      </c>
      <c r="R256" s="7">
        <f t="shared" si="26"/>
        <v>212.72</v>
      </c>
    </row>
    <row r="257" spans="1:18" ht="21.75" customHeight="1">
      <c r="A257" t="s">
        <v>383</v>
      </c>
      <c r="B257" s="6">
        <v>45487</v>
      </c>
      <c r="C257" t="s">
        <v>122</v>
      </c>
      <c r="D257" t="s">
        <v>65</v>
      </c>
      <c r="E257" t="s">
        <v>17</v>
      </c>
      <c r="F257" t="s">
        <v>56</v>
      </c>
      <c r="G257" t="s">
        <v>28</v>
      </c>
      <c r="H257">
        <v>15</v>
      </c>
      <c r="I257" t="str">
        <f>VLOOKUP(D257,Product_Lookup!$A$2:$C$27,3,FALSE)</f>
        <v>$33.22</v>
      </c>
      <c r="J257" t="str">
        <f t="shared" si="27"/>
        <v>Sunday</v>
      </c>
      <c r="K257" s="10" t="str">
        <f t="shared" si="28"/>
        <v>July</v>
      </c>
      <c r="L257">
        <f t="shared" si="29"/>
        <v>2024</v>
      </c>
      <c r="M257" t="b">
        <f t="shared" si="30"/>
        <v>1</v>
      </c>
      <c r="N257" t="b">
        <f t="shared" si="24"/>
        <v>0</v>
      </c>
      <c r="O257" t="str">
        <f t="shared" si="31"/>
        <v>Standard order</v>
      </c>
      <c r="P257" s="7">
        <f t="shared" si="25"/>
        <v>1.661</v>
      </c>
      <c r="Q257" s="7" t="str">
        <f>VLOOKUP(D258,Product_Lookup!$A$2:$C$27,2,FALSE)</f>
        <v>Coffee Maker</v>
      </c>
      <c r="R257" s="7">
        <f t="shared" si="26"/>
        <v>498.29999999999995</v>
      </c>
    </row>
    <row r="258" spans="1:18" ht="21.75" customHeight="1">
      <c r="A258" t="s">
        <v>384</v>
      </c>
      <c r="B258" s="6">
        <v>45406</v>
      </c>
      <c r="C258" t="s">
        <v>64</v>
      </c>
      <c r="D258" t="s">
        <v>31</v>
      </c>
      <c r="E258" t="s">
        <v>22</v>
      </c>
      <c r="F258" t="s">
        <v>56</v>
      </c>
      <c r="G258" t="s">
        <v>13</v>
      </c>
      <c r="H258">
        <v>11</v>
      </c>
      <c r="I258" t="str">
        <f>VLOOKUP(D258,Product_Lookup!$A$2:$C$27,3,FALSE)</f>
        <v>$230.34</v>
      </c>
      <c r="J258" t="str">
        <f t="shared" si="27"/>
        <v>Wednesday</v>
      </c>
      <c r="K258" s="10" t="str">
        <f t="shared" si="28"/>
        <v>April</v>
      </c>
      <c r="L258">
        <f t="shared" si="29"/>
        <v>2024</v>
      </c>
      <c r="M258" t="b">
        <f t="shared" si="30"/>
        <v>0</v>
      </c>
      <c r="N258" t="b">
        <f t="shared" ref="N258:N321" si="32">AND(R258&gt;750, H258&gt;5)</f>
        <v>1</v>
      </c>
      <c r="O258" t="str">
        <f t="shared" si="31"/>
        <v>Large Order</v>
      </c>
      <c r="P258" s="7">
        <f t="shared" ref="P258:P321" si="33">I258*$S$2</f>
        <v>11.517000000000001</v>
      </c>
      <c r="Q258" s="7" t="str">
        <f>VLOOKUP(D259,Product_Lookup!$A$2:$C$27,2,FALSE)</f>
        <v>Coffee Maker</v>
      </c>
      <c r="R258" s="7">
        <f t="shared" ref="R258:R321" si="34">H258*I258</f>
        <v>2533.7400000000002</v>
      </c>
    </row>
    <row r="259" spans="1:18" ht="21.75" customHeight="1">
      <c r="A259" t="s">
        <v>385</v>
      </c>
      <c r="B259" s="6">
        <v>45434</v>
      </c>
      <c r="C259" t="s">
        <v>20</v>
      </c>
      <c r="D259" t="s">
        <v>31</v>
      </c>
      <c r="E259" t="s">
        <v>22</v>
      </c>
      <c r="F259" t="s">
        <v>306</v>
      </c>
      <c r="G259" t="s">
        <v>13</v>
      </c>
      <c r="H259">
        <v>18</v>
      </c>
      <c r="I259" t="str">
        <f>VLOOKUP(D259,Product_Lookup!$A$2:$C$27,3,FALSE)</f>
        <v>$230.34</v>
      </c>
      <c r="J259" t="str">
        <f t="shared" ref="J259:J322" si="35">TEXT(B259, "dddd")</f>
        <v>Wednesday</v>
      </c>
      <c r="K259" s="10" t="str">
        <f t="shared" ref="K259:K322" si="36">TEXT(B259, "mmmm")</f>
        <v>May</v>
      </c>
      <c r="L259">
        <f t="shared" ref="L259:L322" si="37">YEAR(B259)</f>
        <v>2024</v>
      </c>
      <c r="M259" t="b">
        <f t="shared" ref="M259:M322" si="38">OR(J259="Saturday", J259="Sunday")</f>
        <v>0</v>
      </c>
      <c r="N259" t="b">
        <f t="shared" si="32"/>
        <v>1</v>
      </c>
      <c r="O259" t="str">
        <f t="shared" ref="O259:O322" si="39">IF(R259&gt;500,"Large Order","Standard order")</f>
        <v>Large Order</v>
      </c>
      <c r="P259" s="7">
        <f t="shared" si="33"/>
        <v>11.517000000000001</v>
      </c>
      <c r="Q259" s="7" t="str">
        <f>VLOOKUP(D260,Product_Lookup!$A$2:$C$27,2,FALSE)</f>
        <v>Sweater</v>
      </c>
      <c r="R259" s="7">
        <f t="shared" si="34"/>
        <v>4146.12</v>
      </c>
    </row>
    <row r="260" spans="1:18" ht="21.75" customHeight="1">
      <c r="A260" t="s">
        <v>386</v>
      </c>
      <c r="B260" s="6">
        <v>45351</v>
      </c>
      <c r="C260" t="s">
        <v>86</v>
      </c>
      <c r="D260" t="s">
        <v>26</v>
      </c>
      <c r="E260" t="s">
        <v>11</v>
      </c>
      <c r="F260" t="s">
        <v>306</v>
      </c>
      <c r="G260" t="s">
        <v>23</v>
      </c>
      <c r="H260">
        <v>2</v>
      </c>
      <c r="I260" t="str">
        <f>VLOOKUP(D260,Product_Lookup!$A$2:$C$27,3,FALSE)</f>
        <v>$84.57</v>
      </c>
      <c r="J260" t="str">
        <f t="shared" si="35"/>
        <v>Thursday</v>
      </c>
      <c r="K260" s="10" t="str">
        <f t="shared" si="36"/>
        <v>February</v>
      </c>
      <c r="L260">
        <f t="shared" si="37"/>
        <v>2024</v>
      </c>
      <c r="M260" t="b">
        <f t="shared" si="38"/>
        <v>0</v>
      </c>
      <c r="N260" t="b">
        <f t="shared" si="32"/>
        <v>0</v>
      </c>
      <c r="O260" t="str">
        <f t="shared" si="39"/>
        <v>Standard order</v>
      </c>
      <c r="P260" s="7">
        <f t="shared" si="33"/>
        <v>4.2284999999999995</v>
      </c>
      <c r="Q260" s="7" t="str">
        <f>VLOOKUP(D261,Product_Lookup!$A$2:$C$27,2,FALSE)</f>
        <v>Paper Shredder</v>
      </c>
      <c r="R260" s="7">
        <f t="shared" si="34"/>
        <v>169.14</v>
      </c>
    </row>
    <row r="261" spans="1:18" ht="21.75" customHeight="1">
      <c r="A261" t="s">
        <v>387</v>
      </c>
      <c r="B261" s="6">
        <v>45468</v>
      </c>
      <c r="C261" t="s">
        <v>388</v>
      </c>
      <c r="D261" t="s">
        <v>109</v>
      </c>
      <c r="E261" t="s">
        <v>17</v>
      </c>
      <c r="F261" t="s">
        <v>27</v>
      </c>
      <c r="G261" t="s">
        <v>36</v>
      </c>
      <c r="H261">
        <v>17</v>
      </c>
      <c r="I261" t="str">
        <f>VLOOKUP(D261,Product_Lookup!$A$2:$C$27,3,FALSE)</f>
        <v>$81.02</v>
      </c>
      <c r="J261" t="str">
        <f t="shared" si="35"/>
        <v>Tuesday</v>
      </c>
      <c r="K261" s="10" t="str">
        <f t="shared" si="36"/>
        <v>June</v>
      </c>
      <c r="L261">
        <f t="shared" si="37"/>
        <v>2024</v>
      </c>
      <c r="M261" t="b">
        <f t="shared" si="38"/>
        <v>0</v>
      </c>
      <c r="N261" t="b">
        <f t="shared" si="32"/>
        <v>1</v>
      </c>
      <c r="O261" t="str">
        <f t="shared" si="39"/>
        <v>Large Order</v>
      </c>
      <c r="P261" s="7">
        <f t="shared" si="33"/>
        <v>4.0510000000000002</v>
      </c>
      <c r="Q261" s="7" t="str">
        <f>VLOOKUP(D262,Product_Lookup!$A$2:$C$27,2,FALSE)</f>
        <v>Laptop</v>
      </c>
      <c r="R261" s="7">
        <f t="shared" si="34"/>
        <v>1377.34</v>
      </c>
    </row>
    <row r="262" spans="1:18" ht="21.75" customHeight="1">
      <c r="A262" t="s">
        <v>389</v>
      </c>
      <c r="B262" s="6">
        <v>45389</v>
      </c>
      <c r="C262" t="s">
        <v>230</v>
      </c>
      <c r="D262" t="s">
        <v>96</v>
      </c>
      <c r="E262" t="s">
        <v>11</v>
      </c>
      <c r="F262" t="s">
        <v>27</v>
      </c>
      <c r="G262" t="s">
        <v>36</v>
      </c>
      <c r="H262">
        <v>17</v>
      </c>
      <c r="I262" t="str">
        <f>VLOOKUP(D262,Product_Lookup!$A$2:$C$27,3,FALSE)</f>
        <v>$230.68</v>
      </c>
      <c r="J262" t="str">
        <f t="shared" si="35"/>
        <v>Sunday</v>
      </c>
      <c r="K262" s="10" t="str">
        <f t="shared" si="36"/>
        <v>April</v>
      </c>
      <c r="L262">
        <f t="shared" si="37"/>
        <v>2024</v>
      </c>
      <c r="M262" t="b">
        <f t="shared" si="38"/>
        <v>1</v>
      </c>
      <c r="N262" t="b">
        <f t="shared" si="32"/>
        <v>1</v>
      </c>
      <c r="O262" t="str">
        <f t="shared" si="39"/>
        <v>Large Order</v>
      </c>
      <c r="P262" s="7">
        <f t="shared" si="33"/>
        <v>11.534000000000001</v>
      </c>
      <c r="Q262" s="7" t="str">
        <f>VLOOKUP(D263,Product_Lookup!$A$2:$C$27,2,FALSE)</f>
        <v>Toaster</v>
      </c>
      <c r="R262" s="7">
        <f t="shared" si="34"/>
        <v>3921.56</v>
      </c>
    </row>
    <row r="263" spans="1:18" ht="21.75" customHeight="1">
      <c r="A263" t="s">
        <v>390</v>
      </c>
      <c r="B263" s="6">
        <v>45643</v>
      </c>
      <c r="C263" t="s">
        <v>329</v>
      </c>
      <c r="D263" t="s">
        <v>48</v>
      </c>
      <c r="E263" t="s">
        <v>22</v>
      </c>
      <c r="F263" t="s">
        <v>56</v>
      </c>
      <c r="G263" t="s">
        <v>32</v>
      </c>
      <c r="H263">
        <v>14</v>
      </c>
      <c r="I263" t="str">
        <f>VLOOKUP(D263,Product_Lookup!$A$2:$C$27,3,FALSE)</f>
        <v>$208.85</v>
      </c>
      <c r="J263" t="str">
        <f t="shared" si="35"/>
        <v>Tuesday</v>
      </c>
      <c r="K263" s="10" t="str">
        <f t="shared" si="36"/>
        <v>December</v>
      </c>
      <c r="L263">
        <f t="shared" si="37"/>
        <v>2024</v>
      </c>
      <c r="M263" t="b">
        <f t="shared" si="38"/>
        <v>0</v>
      </c>
      <c r="N263" t="b">
        <f t="shared" si="32"/>
        <v>1</v>
      </c>
      <c r="O263" t="str">
        <f t="shared" si="39"/>
        <v>Large Order</v>
      </c>
      <c r="P263" s="7">
        <f t="shared" si="33"/>
        <v>10.442500000000001</v>
      </c>
      <c r="Q263" s="7" t="str">
        <f>VLOOKUP(D264,Product_Lookup!$A$2:$C$27,2,FALSE)</f>
        <v>Lego Set</v>
      </c>
      <c r="R263" s="7">
        <f t="shared" si="34"/>
        <v>2923.9</v>
      </c>
    </row>
    <row r="264" spans="1:18" ht="21.75" customHeight="1">
      <c r="A264" t="s">
        <v>391</v>
      </c>
      <c r="B264" s="6">
        <v>45611</v>
      </c>
      <c r="C264" t="s">
        <v>38</v>
      </c>
      <c r="D264" t="s">
        <v>84</v>
      </c>
      <c r="E264" t="s">
        <v>22</v>
      </c>
      <c r="F264" t="s">
        <v>12</v>
      </c>
      <c r="G264" t="s">
        <v>23</v>
      </c>
      <c r="H264">
        <v>10</v>
      </c>
      <c r="I264" t="str">
        <f>VLOOKUP(D264,Product_Lookup!$A$2:$C$27,3,FALSE)</f>
        <v>$130.07</v>
      </c>
      <c r="J264" t="str">
        <f t="shared" si="35"/>
        <v>Friday</v>
      </c>
      <c r="K264" s="10" t="str">
        <f t="shared" si="36"/>
        <v>November</v>
      </c>
      <c r="L264">
        <f t="shared" si="37"/>
        <v>2024</v>
      </c>
      <c r="M264" t="b">
        <f t="shared" si="38"/>
        <v>0</v>
      </c>
      <c r="N264" t="b">
        <f t="shared" si="32"/>
        <v>1</v>
      </c>
      <c r="O264" t="str">
        <f t="shared" si="39"/>
        <v>Large Order</v>
      </c>
      <c r="P264" s="7">
        <f t="shared" si="33"/>
        <v>6.5034999999999998</v>
      </c>
      <c r="Q264" s="7" t="str">
        <f>VLOOKUP(D265,Product_Lookup!$A$2:$C$27,2,FALSE)</f>
        <v>Pen Set</v>
      </c>
      <c r="R264" s="7">
        <f t="shared" si="34"/>
        <v>1300.6999999999998</v>
      </c>
    </row>
    <row r="265" spans="1:18" ht="21.75" customHeight="1">
      <c r="A265" t="s">
        <v>392</v>
      </c>
      <c r="B265" s="6">
        <v>45459</v>
      </c>
      <c r="C265" t="s">
        <v>341</v>
      </c>
      <c r="D265" t="s">
        <v>174</v>
      </c>
      <c r="E265" t="s">
        <v>22</v>
      </c>
      <c r="F265" t="s">
        <v>42</v>
      </c>
      <c r="G265" t="s">
        <v>23</v>
      </c>
      <c r="H265">
        <v>5</v>
      </c>
      <c r="I265" t="str">
        <f>VLOOKUP(D265,Product_Lookup!$A$2:$C$27,3,FALSE)</f>
        <v>$133.37</v>
      </c>
      <c r="J265" t="str">
        <f t="shared" si="35"/>
        <v>Sunday</v>
      </c>
      <c r="K265" s="10" t="str">
        <f t="shared" si="36"/>
        <v>June</v>
      </c>
      <c r="L265">
        <f t="shared" si="37"/>
        <v>2024</v>
      </c>
      <c r="M265" t="b">
        <f t="shared" si="38"/>
        <v>1</v>
      </c>
      <c r="N265" t="b">
        <f t="shared" si="32"/>
        <v>0</v>
      </c>
      <c r="O265" t="str">
        <f t="shared" si="39"/>
        <v>Large Order</v>
      </c>
      <c r="P265" s="7">
        <f t="shared" si="33"/>
        <v>6.6685000000000008</v>
      </c>
      <c r="Q265" s="7" t="str">
        <f>VLOOKUP(D266,Product_Lookup!$A$2:$C$27,2,FALSE)</f>
        <v>Desk Lamp</v>
      </c>
      <c r="R265" s="7">
        <f t="shared" si="34"/>
        <v>666.85</v>
      </c>
    </row>
    <row r="266" spans="1:18" ht="21.75" customHeight="1">
      <c r="A266" t="s">
        <v>393</v>
      </c>
      <c r="B266" s="6">
        <v>45638</v>
      </c>
      <c r="C266" t="s">
        <v>323</v>
      </c>
      <c r="D266" t="s">
        <v>59</v>
      </c>
      <c r="E266" t="s">
        <v>11</v>
      </c>
      <c r="F266" t="s">
        <v>306</v>
      </c>
      <c r="G266" t="s">
        <v>13</v>
      </c>
      <c r="H266">
        <v>10</v>
      </c>
      <c r="I266" t="str">
        <f>VLOOKUP(D266,Product_Lookup!$A$2:$C$27,3,FALSE)</f>
        <v>$101.96</v>
      </c>
      <c r="J266" t="str">
        <f t="shared" si="35"/>
        <v>Thursday</v>
      </c>
      <c r="K266" s="10" t="str">
        <f t="shared" si="36"/>
        <v>December</v>
      </c>
      <c r="L266">
        <f t="shared" si="37"/>
        <v>2024</v>
      </c>
      <c r="M266" t="b">
        <f t="shared" si="38"/>
        <v>0</v>
      </c>
      <c r="N266" t="b">
        <f t="shared" si="32"/>
        <v>1</v>
      </c>
      <c r="O266" t="str">
        <f t="shared" si="39"/>
        <v>Large Order</v>
      </c>
      <c r="P266" s="7">
        <f t="shared" si="33"/>
        <v>5.0979999999999999</v>
      </c>
      <c r="Q266" s="7" t="str">
        <f>VLOOKUP(D267,Product_Lookup!$A$2:$C$27,2,FALSE)</f>
        <v>Desk Lamp</v>
      </c>
      <c r="R266" s="7">
        <f t="shared" si="34"/>
        <v>1019.5999999999999</v>
      </c>
    </row>
    <row r="267" spans="1:18" ht="21.75" customHeight="1">
      <c r="A267" t="s">
        <v>394</v>
      </c>
      <c r="B267" s="6">
        <v>45447</v>
      </c>
      <c r="C267" t="s">
        <v>55</v>
      </c>
      <c r="D267" t="s">
        <v>59</v>
      </c>
      <c r="E267" t="s">
        <v>11</v>
      </c>
      <c r="F267" t="s">
        <v>27</v>
      </c>
      <c r="G267" t="s">
        <v>23</v>
      </c>
      <c r="H267">
        <v>20</v>
      </c>
      <c r="I267" t="str">
        <f>VLOOKUP(D267,Product_Lookup!$A$2:$C$27,3,FALSE)</f>
        <v>$101.96</v>
      </c>
      <c r="J267" t="str">
        <f t="shared" si="35"/>
        <v>Tuesday</v>
      </c>
      <c r="K267" s="10" t="str">
        <f t="shared" si="36"/>
        <v>June</v>
      </c>
      <c r="L267">
        <f t="shared" si="37"/>
        <v>2024</v>
      </c>
      <c r="M267" t="b">
        <f t="shared" si="38"/>
        <v>0</v>
      </c>
      <c r="N267" t="b">
        <f t="shared" si="32"/>
        <v>1</v>
      </c>
      <c r="O267" t="str">
        <f t="shared" si="39"/>
        <v>Large Order</v>
      </c>
      <c r="P267" s="7">
        <f t="shared" si="33"/>
        <v>5.0979999999999999</v>
      </c>
      <c r="Q267" s="7" t="str">
        <f>VLOOKUP(D268,Product_Lookup!$A$2:$C$27,2,FALSE)</f>
        <v>Notebook</v>
      </c>
      <c r="R267" s="7">
        <f t="shared" si="34"/>
        <v>2039.1999999999998</v>
      </c>
    </row>
    <row r="268" spans="1:18" ht="21.75" customHeight="1">
      <c r="A268" t="s">
        <v>395</v>
      </c>
      <c r="B268" s="6">
        <v>45518</v>
      </c>
      <c r="C268" t="s">
        <v>396</v>
      </c>
      <c r="D268" t="s">
        <v>160</v>
      </c>
      <c r="E268" t="s">
        <v>22</v>
      </c>
      <c r="F268" t="s">
        <v>56</v>
      </c>
      <c r="G268" t="s">
        <v>28</v>
      </c>
      <c r="H268">
        <v>16</v>
      </c>
      <c r="I268" t="str">
        <f>VLOOKUP(D268,Product_Lookup!$A$2:$C$27,3,FALSE)</f>
        <v>$149.27</v>
      </c>
      <c r="J268" t="str">
        <f t="shared" si="35"/>
        <v>Wednesday</v>
      </c>
      <c r="K268" s="10" t="str">
        <f t="shared" si="36"/>
        <v>August</v>
      </c>
      <c r="L268">
        <f t="shared" si="37"/>
        <v>2024</v>
      </c>
      <c r="M268" t="b">
        <f t="shared" si="38"/>
        <v>0</v>
      </c>
      <c r="N268" t="b">
        <f t="shared" si="32"/>
        <v>1</v>
      </c>
      <c r="O268" t="str">
        <f t="shared" si="39"/>
        <v>Large Order</v>
      </c>
      <c r="P268" s="7">
        <f t="shared" si="33"/>
        <v>7.4635000000000007</v>
      </c>
      <c r="Q268" s="7" t="str">
        <f>VLOOKUP(D269,Product_Lookup!$A$2:$C$27,2,FALSE)</f>
        <v>Board Game</v>
      </c>
      <c r="R268" s="7">
        <f t="shared" si="34"/>
        <v>2388.3200000000002</v>
      </c>
    </row>
    <row r="269" spans="1:18" ht="21.75" customHeight="1">
      <c r="A269" t="s">
        <v>397</v>
      </c>
      <c r="B269" s="6">
        <v>45629</v>
      </c>
      <c r="C269" t="s">
        <v>81</v>
      </c>
      <c r="D269" t="s">
        <v>41</v>
      </c>
      <c r="E269" t="s">
        <v>17</v>
      </c>
      <c r="F269" t="s">
        <v>306</v>
      </c>
      <c r="G269" t="s">
        <v>28</v>
      </c>
      <c r="H269">
        <v>20</v>
      </c>
      <c r="I269" t="str">
        <f>VLOOKUP(D269,Product_Lookup!$A$2:$C$27,3,FALSE)</f>
        <v>$86.6</v>
      </c>
      <c r="J269" t="str">
        <f t="shared" si="35"/>
        <v>Tuesday</v>
      </c>
      <c r="K269" s="10" t="str">
        <f t="shared" si="36"/>
        <v>December</v>
      </c>
      <c r="L269">
        <f t="shared" si="37"/>
        <v>2024</v>
      </c>
      <c r="M269" t="b">
        <f t="shared" si="38"/>
        <v>0</v>
      </c>
      <c r="N269" t="b">
        <f t="shared" si="32"/>
        <v>1</v>
      </c>
      <c r="O269" t="str">
        <f t="shared" si="39"/>
        <v>Large Order</v>
      </c>
      <c r="P269" s="7">
        <f t="shared" si="33"/>
        <v>4.33</v>
      </c>
      <c r="Q269" s="7" t="str">
        <f>VLOOKUP(D270,Product_Lookup!$A$2:$C$27,2,FALSE)</f>
        <v>Headphones</v>
      </c>
      <c r="R269" s="7">
        <f t="shared" si="34"/>
        <v>1732</v>
      </c>
    </row>
    <row r="270" spans="1:18" ht="21.75" customHeight="1">
      <c r="A270" t="s">
        <v>398</v>
      </c>
      <c r="B270" s="6">
        <v>45636</v>
      </c>
      <c r="C270" t="s">
        <v>147</v>
      </c>
      <c r="D270" t="s">
        <v>16</v>
      </c>
      <c r="E270" t="s">
        <v>11</v>
      </c>
      <c r="F270" t="s">
        <v>56</v>
      </c>
      <c r="G270" t="s">
        <v>23</v>
      </c>
      <c r="H270">
        <v>1</v>
      </c>
      <c r="I270" t="str">
        <f>VLOOKUP(D270,Product_Lookup!$A$2:$C$27,3,FALSE)</f>
        <v>$178.83</v>
      </c>
      <c r="J270" t="str">
        <f t="shared" si="35"/>
        <v>Tuesday</v>
      </c>
      <c r="K270" s="10" t="str">
        <f t="shared" si="36"/>
        <v>December</v>
      </c>
      <c r="L270">
        <f t="shared" si="37"/>
        <v>2024</v>
      </c>
      <c r="M270" t="b">
        <f t="shared" si="38"/>
        <v>0</v>
      </c>
      <c r="N270" t="b">
        <f t="shared" si="32"/>
        <v>0</v>
      </c>
      <c r="O270" t="str">
        <f t="shared" si="39"/>
        <v>Standard order</v>
      </c>
      <c r="P270" s="7">
        <f t="shared" si="33"/>
        <v>8.9415000000000013</v>
      </c>
      <c r="Q270" s="7" t="str">
        <f>VLOOKUP(D271,Product_Lookup!$A$2:$C$27,2,FALSE)</f>
        <v>Vacuum</v>
      </c>
      <c r="R270" s="7">
        <f t="shared" si="34"/>
        <v>178.83</v>
      </c>
    </row>
    <row r="271" spans="1:18" ht="21.75" customHeight="1">
      <c r="A271" t="s">
        <v>399</v>
      </c>
      <c r="B271" s="6">
        <v>45604</v>
      </c>
      <c r="C271" t="s">
        <v>337</v>
      </c>
      <c r="D271" t="s">
        <v>87</v>
      </c>
      <c r="E271" t="s">
        <v>11</v>
      </c>
      <c r="F271" t="s">
        <v>27</v>
      </c>
      <c r="G271" t="s">
        <v>23</v>
      </c>
      <c r="H271">
        <v>19</v>
      </c>
      <c r="I271" t="str">
        <f>VLOOKUP(D271,Product_Lookup!$A$2:$C$27,3,FALSE)</f>
        <v>$26.59</v>
      </c>
      <c r="J271" t="str">
        <f t="shared" si="35"/>
        <v>Friday</v>
      </c>
      <c r="K271" s="10" t="str">
        <f t="shared" si="36"/>
        <v>November</v>
      </c>
      <c r="L271">
        <f t="shared" si="37"/>
        <v>2024</v>
      </c>
      <c r="M271" t="b">
        <f t="shared" si="38"/>
        <v>0</v>
      </c>
      <c r="N271" t="b">
        <f t="shared" si="32"/>
        <v>0</v>
      </c>
      <c r="O271" t="str">
        <f t="shared" si="39"/>
        <v>Large Order</v>
      </c>
      <c r="P271" s="7">
        <f t="shared" si="33"/>
        <v>1.3295000000000001</v>
      </c>
      <c r="Q271" s="7" t="str">
        <f>VLOOKUP(D272,Product_Lookup!$A$2:$C$27,2,FALSE)</f>
        <v>Action Figure</v>
      </c>
      <c r="R271" s="7">
        <f t="shared" si="34"/>
        <v>505.21</v>
      </c>
    </row>
    <row r="272" spans="1:18" ht="21.75" customHeight="1">
      <c r="A272" t="s">
        <v>400</v>
      </c>
      <c r="B272" s="6">
        <v>45545</v>
      </c>
      <c r="C272" t="s">
        <v>341</v>
      </c>
      <c r="D272" t="s">
        <v>21</v>
      </c>
      <c r="E272" t="s">
        <v>11</v>
      </c>
      <c r="F272" t="s">
        <v>56</v>
      </c>
      <c r="G272" t="s">
        <v>13</v>
      </c>
      <c r="H272">
        <v>1</v>
      </c>
      <c r="I272" t="str">
        <f>VLOOKUP(D272,Product_Lookup!$A$2:$C$27,3,FALSE)</f>
        <v>$88.18</v>
      </c>
      <c r="J272" t="str">
        <f t="shared" si="35"/>
        <v>Tuesday</v>
      </c>
      <c r="K272" s="10" t="str">
        <f t="shared" si="36"/>
        <v>September</v>
      </c>
      <c r="L272">
        <f t="shared" si="37"/>
        <v>2024</v>
      </c>
      <c r="M272" t="b">
        <f t="shared" si="38"/>
        <v>0</v>
      </c>
      <c r="N272" t="b">
        <f t="shared" si="32"/>
        <v>0</v>
      </c>
      <c r="O272" t="str">
        <f t="shared" si="39"/>
        <v>Standard order</v>
      </c>
      <c r="P272" s="7">
        <f t="shared" si="33"/>
        <v>4.4090000000000007</v>
      </c>
      <c r="Q272" s="7" t="str">
        <f>VLOOKUP(D273,Product_Lookup!$A$2:$C$27,2,FALSE)</f>
        <v>Air Fryer</v>
      </c>
      <c r="R272" s="7">
        <f t="shared" si="34"/>
        <v>88.18</v>
      </c>
    </row>
    <row r="273" spans="1:18" ht="21.75" customHeight="1">
      <c r="A273" t="s">
        <v>401</v>
      </c>
      <c r="B273" s="6">
        <v>45509</v>
      </c>
      <c r="C273" t="s">
        <v>240</v>
      </c>
      <c r="D273" t="s">
        <v>70</v>
      </c>
      <c r="E273" t="s">
        <v>11</v>
      </c>
      <c r="F273" t="s">
        <v>306</v>
      </c>
      <c r="G273" t="s">
        <v>13</v>
      </c>
      <c r="H273">
        <v>2</v>
      </c>
      <c r="I273" t="str">
        <f>VLOOKUP(D273,Product_Lookup!$A$2:$C$27,3,FALSE)</f>
        <v>$211.9</v>
      </c>
      <c r="J273" t="str">
        <f t="shared" si="35"/>
        <v>Monday</v>
      </c>
      <c r="K273" s="10" t="str">
        <f t="shared" si="36"/>
        <v>August</v>
      </c>
      <c r="L273">
        <f t="shared" si="37"/>
        <v>2024</v>
      </c>
      <c r="M273" t="b">
        <f t="shared" si="38"/>
        <v>0</v>
      </c>
      <c r="N273" t="b">
        <f t="shared" si="32"/>
        <v>0</v>
      </c>
      <c r="O273" t="str">
        <f t="shared" si="39"/>
        <v>Standard order</v>
      </c>
      <c r="P273" s="7">
        <f t="shared" si="33"/>
        <v>10.595000000000001</v>
      </c>
      <c r="Q273" s="7" t="str">
        <f>VLOOKUP(D274,Product_Lookup!$A$2:$C$27,2,FALSE)</f>
        <v>Pen Set</v>
      </c>
      <c r="R273" s="7">
        <f t="shared" si="34"/>
        <v>423.8</v>
      </c>
    </row>
    <row r="274" spans="1:18" ht="21.75" customHeight="1">
      <c r="A274" t="s">
        <v>402</v>
      </c>
      <c r="B274" s="6">
        <v>45525</v>
      </c>
      <c r="C274" t="s">
        <v>99</v>
      </c>
      <c r="D274" t="s">
        <v>174</v>
      </c>
      <c r="E274" t="s">
        <v>17</v>
      </c>
      <c r="F274" t="s">
        <v>306</v>
      </c>
      <c r="G274" t="s">
        <v>23</v>
      </c>
      <c r="H274">
        <v>20</v>
      </c>
      <c r="I274" t="str">
        <f>VLOOKUP(D274,Product_Lookup!$A$2:$C$27,3,FALSE)</f>
        <v>$133.37</v>
      </c>
      <c r="J274" t="str">
        <f t="shared" si="35"/>
        <v>Wednesday</v>
      </c>
      <c r="K274" s="10" t="str">
        <f t="shared" si="36"/>
        <v>August</v>
      </c>
      <c r="L274">
        <f t="shared" si="37"/>
        <v>2024</v>
      </c>
      <c r="M274" t="b">
        <f t="shared" si="38"/>
        <v>0</v>
      </c>
      <c r="N274" t="b">
        <f t="shared" si="32"/>
        <v>1</v>
      </c>
      <c r="O274" t="str">
        <f t="shared" si="39"/>
        <v>Large Order</v>
      </c>
      <c r="P274" s="7">
        <f t="shared" si="33"/>
        <v>6.6685000000000008</v>
      </c>
      <c r="Q274" s="7" t="str">
        <f>VLOOKUP(D275,Product_Lookup!$A$2:$C$27,2,FALSE)</f>
        <v>Pen Set</v>
      </c>
      <c r="R274" s="7">
        <f t="shared" si="34"/>
        <v>2667.4</v>
      </c>
    </row>
    <row r="275" spans="1:18" ht="21.75" customHeight="1">
      <c r="A275" t="s">
        <v>403</v>
      </c>
      <c r="B275" s="6">
        <v>45605</v>
      </c>
      <c r="C275" t="s">
        <v>329</v>
      </c>
      <c r="D275" t="s">
        <v>174</v>
      </c>
      <c r="E275" t="s">
        <v>22</v>
      </c>
      <c r="F275" t="s">
        <v>27</v>
      </c>
      <c r="G275" t="s">
        <v>23</v>
      </c>
      <c r="H275">
        <v>15</v>
      </c>
      <c r="I275" t="str">
        <f>VLOOKUP(D275,Product_Lookup!$A$2:$C$27,3,FALSE)</f>
        <v>$133.37</v>
      </c>
      <c r="J275" t="str">
        <f t="shared" si="35"/>
        <v>Saturday</v>
      </c>
      <c r="K275" s="10" t="str">
        <f t="shared" si="36"/>
        <v>November</v>
      </c>
      <c r="L275">
        <f t="shared" si="37"/>
        <v>2024</v>
      </c>
      <c r="M275" t="b">
        <f t="shared" si="38"/>
        <v>1</v>
      </c>
      <c r="N275" t="b">
        <f t="shared" si="32"/>
        <v>1</v>
      </c>
      <c r="O275" t="str">
        <f t="shared" si="39"/>
        <v>Large Order</v>
      </c>
      <c r="P275" s="7">
        <f t="shared" si="33"/>
        <v>6.6685000000000008</v>
      </c>
      <c r="Q275" s="7" t="str">
        <f>VLOOKUP(D276,Product_Lookup!$A$2:$C$27,2,FALSE)</f>
        <v>Doll</v>
      </c>
      <c r="R275" s="7">
        <f t="shared" si="34"/>
        <v>2000.5500000000002</v>
      </c>
    </row>
    <row r="276" spans="1:18" ht="21.75" customHeight="1">
      <c r="A276" t="s">
        <v>404</v>
      </c>
      <c r="B276" s="6">
        <v>45522</v>
      </c>
      <c r="C276" t="s">
        <v>86</v>
      </c>
      <c r="D276" t="s">
        <v>119</v>
      </c>
      <c r="E276" t="s">
        <v>11</v>
      </c>
      <c r="F276" t="s">
        <v>42</v>
      </c>
      <c r="G276" t="s">
        <v>28</v>
      </c>
      <c r="H276">
        <v>17</v>
      </c>
      <c r="I276" t="str">
        <f>VLOOKUP(D276,Product_Lookup!$A$2:$C$27,3,FALSE)</f>
        <v>$32.94</v>
      </c>
      <c r="J276" t="str">
        <f t="shared" si="35"/>
        <v>Sunday</v>
      </c>
      <c r="K276" s="10" t="str">
        <f t="shared" si="36"/>
        <v>August</v>
      </c>
      <c r="L276">
        <f t="shared" si="37"/>
        <v>2024</v>
      </c>
      <c r="M276" t="b">
        <f t="shared" si="38"/>
        <v>1</v>
      </c>
      <c r="N276" t="b">
        <f t="shared" si="32"/>
        <v>0</v>
      </c>
      <c r="O276" t="str">
        <f t="shared" si="39"/>
        <v>Large Order</v>
      </c>
      <c r="P276" s="7">
        <f t="shared" si="33"/>
        <v>1.647</v>
      </c>
      <c r="Q276" s="7" t="str">
        <f>VLOOKUP(D277,Product_Lookup!$A$2:$C$27,2,FALSE)</f>
        <v>Jacket</v>
      </c>
      <c r="R276" s="7">
        <f t="shared" si="34"/>
        <v>559.98</v>
      </c>
    </row>
    <row r="277" spans="1:18" ht="21.75" customHeight="1">
      <c r="A277" t="s">
        <v>405</v>
      </c>
      <c r="B277" s="6">
        <v>45432</v>
      </c>
      <c r="C277" t="s">
        <v>396</v>
      </c>
      <c r="D277" t="s">
        <v>197</v>
      </c>
      <c r="E277" t="s">
        <v>11</v>
      </c>
      <c r="F277" t="s">
        <v>42</v>
      </c>
      <c r="G277" t="s">
        <v>36</v>
      </c>
      <c r="H277">
        <v>9</v>
      </c>
      <c r="I277" t="str">
        <f>VLOOKUP(D277,Product_Lookup!$A$2:$C$27,3,FALSE)</f>
        <v>$10.11</v>
      </c>
      <c r="J277" t="str">
        <f t="shared" si="35"/>
        <v>Monday</v>
      </c>
      <c r="K277" s="10" t="str">
        <f t="shared" si="36"/>
        <v>May</v>
      </c>
      <c r="L277">
        <f t="shared" si="37"/>
        <v>2024</v>
      </c>
      <c r="M277" t="b">
        <f t="shared" si="38"/>
        <v>0</v>
      </c>
      <c r="N277" t="b">
        <f t="shared" si="32"/>
        <v>0</v>
      </c>
      <c r="O277" t="str">
        <f t="shared" si="39"/>
        <v>Standard order</v>
      </c>
      <c r="P277" s="7">
        <f t="shared" si="33"/>
        <v>0.50549999999999995</v>
      </c>
      <c r="Q277" s="7" t="str">
        <f>VLOOKUP(D278,Product_Lookup!$A$2:$C$27,2,FALSE)</f>
        <v>Coffee Maker</v>
      </c>
      <c r="R277" s="7">
        <f t="shared" si="34"/>
        <v>90.99</v>
      </c>
    </row>
    <row r="278" spans="1:18" ht="21.75" customHeight="1">
      <c r="A278" t="s">
        <v>406</v>
      </c>
      <c r="B278" s="6">
        <v>45333</v>
      </c>
      <c r="C278" t="s">
        <v>99</v>
      </c>
      <c r="D278" t="s">
        <v>31</v>
      </c>
      <c r="E278" t="s">
        <v>11</v>
      </c>
      <c r="F278" t="s">
        <v>56</v>
      </c>
      <c r="G278" t="s">
        <v>13</v>
      </c>
      <c r="H278">
        <v>5</v>
      </c>
      <c r="I278" t="str">
        <f>VLOOKUP(D278,Product_Lookup!$A$2:$C$27,3,FALSE)</f>
        <v>$230.34</v>
      </c>
      <c r="J278" t="str">
        <f t="shared" si="35"/>
        <v>Sunday</v>
      </c>
      <c r="K278" s="10" t="str">
        <f t="shared" si="36"/>
        <v>February</v>
      </c>
      <c r="L278">
        <f t="shared" si="37"/>
        <v>2024</v>
      </c>
      <c r="M278" t="b">
        <f t="shared" si="38"/>
        <v>1</v>
      </c>
      <c r="N278" t="b">
        <f t="shared" si="32"/>
        <v>0</v>
      </c>
      <c r="O278" t="str">
        <f t="shared" si="39"/>
        <v>Large Order</v>
      </c>
      <c r="P278" s="7">
        <f t="shared" si="33"/>
        <v>11.517000000000001</v>
      </c>
      <c r="Q278" s="7" t="str">
        <f>VLOOKUP(D279,Product_Lookup!$A$2:$C$27,2,FALSE)</f>
        <v>Air Fryer</v>
      </c>
      <c r="R278" s="7">
        <f t="shared" si="34"/>
        <v>1151.7</v>
      </c>
    </row>
    <row r="279" spans="1:18" ht="21.75" customHeight="1">
      <c r="A279" t="s">
        <v>407</v>
      </c>
      <c r="B279" s="6">
        <v>45504</v>
      </c>
      <c r="C279" t="s">
        <v>408</v>
      </c>
      <c r="D279" t="s">
        <v>70</v>
      </c>
      <c r="E279" t="s">
        <v>17</v>
      </c>
      <c r="F279" t="s">
        <v>306</v>
      </c>
      <c r="G279" t="s">
        <v>23</v>
      </c>
      <c r="H279">
        <v>14</v>
      </c>
      <c r="I279" t="str">
        <f>VLOOKUP(D279,Product_Lookup!$A$2:$C$27,3,FALSE)</f>
        <v>$211.9</v>
      </c>
      <c r="J279" t="str">
        <f t="shared" si="35"/>
        <v>Wednesday</v>
      </c>
      <c r="K279" s="10" t="str">
        <f t="shared" si="36"/>
        <v>July</v>
      </c>
      <c r="L279">
        <f t="shared" si="37"/>
        <v>2024</v>
      </c>
      <c r="M279" t="b">
        <f t="shared" si="38"/>
        <v>0</v>
      </c>
      <c r="N279" t="b">
        <f t="shared" si="32"/>
        <v>1</v>
      </c>
      <c r="O279" t="str">
        <f t="shared" si="39"/>
        <v>Large Order</v>
      </c>
      <c r="P279" s="7">
        <f t="shared" si="33"/>
        <v>10.595000000000001</v>
      </c>
      <c r="Q279" s="7" t="str">
        <f>VLOOKUP(D280,Product_Lookup!$A$2:$C$27,2,FALSE)</f>
        <v>Doll</v>
      </c>
      <c r="R279" s="7">
        <f t="shared" si="34"/>
        <v>2966.6</v>
      </c>
    </row>
    <row r="280" spans="1:18" ht="21.75" customHeight="1">
      <c r="A280" t="s">
        <v>409</v>
      </c>
      <c r="B280" s="6">
        <v>45491</v>
      </c>
      <c r="C280" t="s">
        <v>337</v>
      </c>
      <c r="D280" t="s">
        <v>119</v>
      </c>
      <c r="E280" t="s">
        <v>22</v>
      </c>
      <c r="F280" t="s">
        <v>12</v>
      </c>
      <c r="G280" t="s">
        <v>13</v>
      </c>
      <c r="H280">
        <v>19</v>
      </c>
      <c r="I280" t="str">
        <f>VLOOKUP(D280,Product_Lookup!$A$2:$C$27,3,FALSE)</f>
        <v>$32.94</v>
      </c>
      <c r="J280" t="str">
        <f t="shared" si="35"/>
        <v>Thursday</v>
      </c>
      <c r="K280" s="10" t="str">
        <f t="shared" si="36"/>
        <v>July</v>
      </c>
      <c r="L280">
        <f t="shared" si="37"/>
        <v>2024</v>
      </c>
      <c r="M280" t="b">
        <f t="shared" si="38"/>
        <v>0</v>
      </c>
      <c r="N280" t="b">
        <f t="shared" si="32"/>
        <v>0</v>
      </c>
      <c r="O280" t="str">
        <f t="shared" si="39"/>
        <v>Large Order</v>
      </c>
      <c r="P280" s="7">
        <f t="shared" si="33"/>
        <v>1.647</v>
      </c>
      <c r="Q280" s="7" t="str">
        <f>VLOOKUP(D281,Product_Lookup!$A$2:$C$27,2,FALSE)</f>
        <v>Pen Set</v>
      </c>
      <c r="R280" s="7">
        <f t="shared" si="34"/>
        <v>625.8599999999999</v>
      </c>
    </row>
    <row r="281" spans="1:18" ht="21.75" customHeight="1">
      <c r="A281" t="s">
        <v>410</v>
      </c>
      <c r="B281" s="6">
        <v>45472</v>
      </c>
      <c r="C281" t="s">
        <v>68</v>
      </c>
      <c r="D281" t="s">
        <v>174</v>
      </c>
      <c r="E281" t="s">
        <v>17</v>
      </c>
      <c r="F281" t="s">
        <v>27</v>
      </c>
      <c r="G281" t="s">
        <v>28</v>
      </c>
      <c r="H281">
        <v>18</v>
      </c>
      <c r="I281" t="str">
        <f>VLOOKUP(D281,Product_Lookup!$A$2:$C$27,3,FALSE)</f>
        <v>$133.37</v>
      </c>
      <c r="J281" t="str">
        <f t="shared" si="35"/>
        <v>Saturday</v>
      </c>
      <c r="K281" s="10" t="str">
        <f t="shared" si="36"/>
        <v>June</v>
      </c>
      <c r="L281">
        <f t="shared" si="37"/>
        <v>2024</v>
      </c>
      <c r="M281" t="b">
        <f t="shared" si="38"/>
        <v>1</v>
      </c>
      <c r="N281" t="b">
        <f t="shared" si="32"/>
        <v>1</v>
      </c>
      <c r="O281" t="str">
        <f t="shared" si="39"/>
        <v>Large Order</v>
      </c>
      <c r="P281" s="7">
        <f t="shared" si="33"/>
        <v>6.6685000000000008</v>
      </c>
      <c r="Q281" s="7" t="str">
        <f>VLOOKUP(D282,Product_Lookup!$A$2:$C$27,2,FALSE)</f>
        <v>Stapler</v>
      </c>
      <c r="R281" s="7">
        <f t="shared" si="34"/>
        <v>2400.66</v>
      </c>
    </row>
    <row r="282" spans="1:18" ht="21.75" customHeight="1">
      <c r="A282" t="s">
        <v>411</v>
      </c>
      <c r="B282" s="6">
        <v>45541</v>
      </c>
      <c r="C282" t="s">
        <v>240</v>
      </c>
      <c r="D282" t="s">
        <v>35</v>
      </c>
      <c r="E282" t="s">
        <v>17</v>
      </c>
      <c r="F282" t="s">
        <v>27</v>
      </c>
      <c r="G282" t="s">
        <v>23</v>
      </c>
      <c r="H282">
        <v>1</v>
      </c>
      <c r="I282" t="str">
        <f>VLOOKUP(D282,Product_Lookup!$A$2:$C$27,3,FALSE)</f>
        <v>$64.61</v>
      </c>
      <c r="J282" t="str">
        <f t="shared" si="35"/>
        <v>Friday</v>
      </c>
      <c r="K282" s="10" t="str">
        <f t="shared" si="36"/>
        <v>September</v>
      </c>
      <c r="L282">
        <f t="shared" si="37"/>
        <v>2024</v>
      </c>
      <c r="M282" t="b">
        <f t="shared" si="38"/>
        <v>0</v>
      </c>
      <c r="N282" t="b">
        <f t="shared" si="32"/>
        <v>0</v>
      </c>
      <c r="O282" t="str">
        <f t="shared" si="39"/>
        <v>Standard order</v>
      </c>
      <c r="P282" s="7">
        <f t="shared" si="33"/>
        <v>3.2305000000000001</v>
      </c>
      <c r="Q282" s="7" t="str">
        <f>VLOOKUP(D283,Product_Lookup!$A$2:$C$27,2,FALSE)</f>
        <v>Pen Set</v>
      </c>
      <c r="R282" s="7">
        <f t="shared" si="34"/>
        <v>64.61</v>
      </c>
    </row>
    <row r="283" spans="1:18" ht="21.75" customHeight="1">
      <c r="A283" t="s">
        <v>412</v>
      </c>
      <c r="B283" s="6">
        <v>45376</v>
      </c>
      <c r="C283" t="s">
        <v>319</v>
      </c>
      <c r="D283" t="s">
        <v>174</v>
      </c>
      <c r="E283" t="s">
        <v>11</v>
      </c>
      <c r="F283" t="s">
        <v>306</v>
      </c>
      <c r="G283" t="s">
        <v>36</v>
      </c>
      <c r="H283">
        <v>1</v>
      </c>
      <c r="I283" t="str">
        <f>VLOOKUP(D283,Product_Lookup!$A$2:$C$27,3,FALSE)</f>
        <v>$133.37</v>
      </c>
      <c r="J283" t="str">
        <f t="shared" si="35"/>
        <v>Monday</v>
      </c>
      <c r="K283" s="10" t="str">
        <f t="shared" si="36"/>
        <v>March</v>
      </c>
      <c r="L283">
        <f t="shared" si="37"/>
        <v>2024</v>
      </c>
      <c r="M283" t="b">
        <f t="shared" si="38"/>
        <v>0</v>
      </c>
      <c r="N283" t="b">
        <f t="shared" si="32"/>
        <v>0</v>
      </c>
      <c r="O283" t="str">
        <f t="shared" si="39"/>
        <v>Standard order</v>
      </c>
      <c r="P283" s="7">
        <f t="shared" si="33"/>
        <v>6.6685000000000008</v>
      </c>
      <c r="Q283" s="7" t="str">
        <f>VLOOKUP(D284,Product_Lookup!$A$2:$C$27,2,FALSE)</f>
        <v>Action Figure</v>
      </c>
      <c r="R283" s="7">
        <f t="shared" si="34"/>
        <v>133.37</v>
      </c>
    </row>
    <row r="284" spans="1:18" ht="21.75" customHeight="1">
      <c r="A284" t="s">
        <v>413</v>
      </c>
      <c r="B284" s="6">
        <v>45580</v>
      </c>
      <c r="C284" t="s">
        <v>371</v>
      </c>
      <c r="D284" t="s">
        <v>21</v>
      </c>
      <c r="E284" t="s">
        <v>11</v>
      </c>
      <c r="F284" t="s">
        <v>12</v>
      </c>
      <c r="G284" t="s">
        <v>23</v>
      </c>
      <c r="H284">
        <v>14</v>
      </c>
      <c r="I284" t="str">
        <f>VLOOKUP(D284,Product_Lookup!$A$2:$C$27,3,FALSE)</f>
        <v>$88.18</v>
      </c>
      <c r="J284" t="str">
        <f t="shared" si="35"/>
        <v>Tuesday</v>
      </c>
      <c r="K284" s="10" t="str">
        <f t="shared" si="36"/>
        <v>October</v>
      </c>
      <c r="L284">
        <f t="shared" si="37"/>
        <v>2024</v>
      </c>
      <c r="M284" t="b">
        <f t="shared" si="38"/>
        <v>0</v>
      </c>
      <c r="N284" t="b">
        <f t="shared" si="32"/>
        <v>1</v>
      </c>
      <c r="O284" t="str">
        <f t="shared" si="39"/>
        <v>Large Order</v>
      </c>
      <c r="P284" s="7">
        <f t="shared" si="33"/>
        <v>4.4090000000000007</v>
      </c>
      <c r="Q284" s="7" t="str">
        <f>VLOOKUP(D285,Product_Lookup!$A$2:$C$27,2,FALSE)</f>
        <v>Blender</v>
      </c>
      <c r="R284" s="7">
        <f t="shared" si="34"/>
        <v>1234.52</v>
      </c>
    </row>
    <row r="285" spans="1:18" ht="21.75" customHeight="1">
      <c r="A285" t="s">
        <v>414</v>
      </c>
      <c r="B285" s="6">
        <v>45385</v>
      </c>
      <c r="C285" t="s">
        <v>9</v>
      </c>
      <c r="D285" t="s">
        <v>72</v>
      </c>
      <c r="E285" t="s">
        <v>17</v>
      </c>
      <c r="F285" t="s">
        <v>27</v>
      </c>
      <c r="G285" t="s">
        <v>32</v>
      </c>
      <c r="H285">
        <v>7</v>
      </c>
      <c r="I285" t="str">
        <f>VLOOKUP(D285,Product_Lookup!$A$2:$C$27,3,FALSE)</f>
        <v>$156.44</v>
      </c>
      <c r="J285" t="str">
        <f t="shared" si="35"/>
        <v>Wednesday</v>
      </c>
      <c r="K285" s="10" t="str">
        <f t="shared" si="36"/>
        <v>April</v>
      </c>
      <c r="L285">
        <f t="shared" si="37"/>
        <v>2024</v>
      </c>
      <c r="M285" t="b">
        <f t="shared" si="38"/>
        <v>0</v>
      </c>
      <c r="N285" t="b">
        <f t="shared" si="32"/>
        <v>1</v>
      </c>
      <c r="O285" t="str">
        <f t="shared" si="39"/>
        <v>Large Order</v>
      </c>
      <c r="P285" s="7">
        <f t="shared" si="33"/>
        <v>7.8220000000000001</v>
      </c>
      <c r="Q285" s="7" t="str">
        <f>VLOOKUP(D286,Product_Lookup!$A$2:$C$27,2,FALSE)</f>
        <v>Tablet</v>
      </c>
      <c r="R285" s="7">
        <f t="shared" si="34"/>
        <v>1095.08</v>
      </c>
    </row>
    <row r="286" spans="1:18" ht="21.75" customHeight="1">
      <c r="A286" t="s">
        <v>415</v>
      </c>
      <c r="B286" s="6">
        <v>45486</v>
      </c>
      <c r="C286" t="s">
        <v>89</v>
      </c>
      <c r="D286" t="s">
        <v>10</v>
      </c>
      <c r="E286" t="s">
        <v>17</v>
      </c>
      <c r="F286" t="s">
        <v>42</v>
      </c>
      <c r="G286" t="s">
        <v>36</v>
      </c>
      <c r="H286">
        <v>16</v>
      </c>
      <c r="I286" t="str">
        <f>VLOOKUP(D286,Product_Lookup!$A$2:$C$27,3,FALSE)</f>
        <v>$146.06</v>
      </c>
      <c r="J286" t="str">
        <f t="shared" si="35"/>
        <v>Saturday</v>
      </c>
      <c r="K286" s="10" t="str">
        <f t="shared" si="36"/>
        <v>July</v>
      </c>
      <c r="L286">
        <f t="shared" si="37"/>
        <v>2024</v>
      </c>
      <c r="M286" t="b">
        <f t="shared" si="38"/>
        <v>1</v>
      </c>
      <c r="N286" t="b">
        <f t="shared" si="32"/>
        <v>1</v>
      </c>
      <c r="O286" t="str">
        <f t="shared" si="39"/>
        <v>Large Order</v>
      </c>
      <c r="P286" s="7">
        <f t="shared" si="33"/>
        <v>7.3030000000000008</v>
      </c>
      <c r="Q286" s="7" t="str">
        <f>VLOOKUP(D287,Product_Lookup!$A$2:$C$27,2,FALSE)</f>
        <v>Doll</v>
      </c>
      <c r="R286" s="7">
        <f t="shared" si="34"/>
        <v>2336.96</v>
      </c>
    </row>
    <row r="287" spans="1:18" ht="21.75" customHeight="1">
      <c r="A287" t="s">
        <v>416</v>
      </c>
      <c r="B287" s="6">
        <v>45318</v>
      </c>
      <c r="C287" t="s">
        <v>20</v>
      </c>
      <c r="D287" t="s">
        <v>119</v>
      </c>
      <c r="E287" t="s">
        <v>11</v>
      </c>
      <c r="F287" t="s">
        <v>12</v>
      </c>
      <c r="G287" t="s">
        <v>28</v>
      </c>
      <c r="H287">
        <v>2</v>
      </c>
      <c r="I287" t="str">
        <f>VLOOKUP(D287,Product_Lookup!$A$2:$C$27,3,FALSE)</f>
        <v>$32.94</v>
      </c>
      <c r="J287" t="str">
        <f t="shared" si="35"/>
        <v>Saturday</v>
      </c>
      <c r="K287" s="10" t="str">
        <f t="shared" si="36"/>
        <v>January</v>
      </c>
      <c r="L287">
        <f t="shared" si="37"/>
        <v>2024</v>
      </c>
      <c r="M287" t="b">
        <f t="shared" si="38"/>
        <v>1</v>
      </c>
      <c r="N287" t="b">
        <f t="shared" si="32"/>
        <v>0</v>
      </c>
      <c r="O287" t="str">
        <f t="shared" si="39"/>
        <v>Standard order</v>
      </c>
      <c r="P287" s="7">
        <f t="shared" si="33"/>
        <v>1.647</v>
      </c>
      <c r="Q287" s="7" t="str">
        <f>VLOOKUP(D288,Product_Lookup!$A$2:$C$27,2,FALSE)</f>
        <v>Jacket</v>
      </c>
      <c r="R287" s="7">
        <f t="shared" si="34"/>
        <v>65.88</v>
      </c>
    </row>
    <row r="288" spans="1:18" ht="21.75" customHeight="1">
      <c r="A288" t="s">
        <v>417</v>
      </c>
      <c r="B288" s="6">
        <v>45394</v>
      </c>
      <c r="C288" t="s">
        <v>138</v>
      </c>
      <c r="D288" t="s">
        <v>197</v>
      </c>
      <c r="E288" t="s">
        <v>22</v>
      </c>
      <c r="F288" t="s">
        <v>56</v>
      </c>
      <c r="G288" t="s">
        <v>13</v>
      </c>
      <c r="H288">
        <v>5</v>
      </c>
      <c r="I288" t="str">
        <f>VLOOKUP(D288,Product_Lookup!$A$2:$C$27,3,FALSE)</f>
        <v>$10.11</v>
      </c>
      <c r="J288" t="str">
        <f t="shared" si="35"/>
        <v>Friday</v>
      </c>
      <c r="K288" s="10" t="str">
        <f t="shared" si="36"/>
        <v>April</v>
      </c>
      <c r="L288">
        <f t="shared" si="37"/>
        <v>2024</v>
      </c>
      <c r="M288" t="b">
        <f t="shared" si="38"/>
        <v>0</v>
      </c>
      <c r="N288" t="b">
        <f t="shared" si="32"/>
        <v>0</v>
      </c>
      <c r="O288" t="str">
        <f t="shared" si="39"/>
        <v>Standard order</v>
      </c>
      <c r="P288" s="7">
        <f t="shared" si="33"/>
        <v>0.50549999999999995</v>
      </c>
      <c r="Q288" s="7" t="str">
        <f>VLOOKUP(D289,Product_Lookup!$A$2:$C$27,2,FALSE)</f>
        <v>Doll</v>
      </c>
      <c r="R288" s="7">
        <f t="shared" si="34"/>
        <v>50.55</v>
      </c>
    </row>
    <row r="289" spans="1:18" ht="21.75" customHeight="1">
      <c r="A289" t="s">
        <v>418</v>
      </c>
      <c r="B289" s="6">
        <v>45580</v>
      </c>
      <c r="C289" t="s">
        <v>133</v>
      </c>
      <c r="D289" t="s">
        <v>119</v>
      </c>
      <c r="E289" t="s">
        <v>17</v>
      </c>
      <c r="F289" t="s">
        <v>42</v>
      </c>
      <c r="G289" t="s">
        <v>36</v>
      </c>
      <c r="H289">
        <v>12</v>
      </c>
      <c r="I289" t="str">
        <f>VLOOKUP(D289,Product_Lookup!$A$2:$C$27,3,FALSE)</f>
        <v>$32.94</v>
      </c>
      <c r="J289" t="str">
        <f t="shared" si="35"/>
        <v>Tuesday</v>
      </c>
      <c r="K289" s="10" t="str">
        <f t="shared" si="36"/>
        <v>October</v>
      </c>
      <c r="L289">
        <f t="shared" si="37"/>
        <v>2024</v>
      </c>
      <c r="M289" t="b">
        <f t="shared" si="38"/>
        <v>0</v>
      </c>
      <c r="N289" t="b">
        <f t="shared" si="32"/>
        <v>0</v>
      </c>
      <c r="O289" t="str">
        <f t="shared" si="39"/>
        <v>Standard order</v>
      </c>
      <c r="P289" s="7">
        <f t="shared" si="33"/>
        <v>1.647</v>
      </c>
      <c r="Q289" s="7" t="str">
        <f>VLOOKUP(D290,Product_Lookup!$A$2:$C$27,2,FALSE)</f>
        <v>Monitor</v>
      </c>
      <c r="R289" s="7">
        <f t="shared" si="34"/>
        <v>395.28</v>
      </c>
    </row>
    <row r="290" spans="1:18" ht="21.75" customHeight="1">
      <c r="A290" t="s">
        <v>419</v>
      </c>
      <c r="B290" s="6">
        <v>45350</v>
      </c>
      <c r="C290" t="s">
        <v>420</v>
      </c>
      <c r="D290" t="s">
        <v>102</v>
      </c>
      <c r="E290" t="s">
        <v>11</v>
      </c>
      <c r="F290" t="s">
        <v>42</v>
      </c>
      <c r="G290" t="s">
        <v>32</v>
      </c>
      <c r="H290">
        <v>19</v>
      </c>
      <c r="I290" t="str">
        <f>VLOOKUP(D290,Product_Lookup!$A$2:$C$27,3,FALSE)</f>
        <v>$145.48</v>
      </c>
      <c r="J290" t="str">
        <f t="shared" si="35"/>
        <v>Wednesday</v>
      </c>
      <c r="K290" s="10" t="str">
        <f t="shared" si="36"/>
        <v>February</v>
      </c>
      <c r="L290">
        <f t="shared" si="37"/>
        <v>2024</v>
      </c>
      <c r="M290" t="b">
        <f t="shared" si="38"/>
        <v>0</v>
      </c>
      <c r="N290" t="b">
        <f t="shared" si="32"/>
        <v>1</v>
      </c>
      <c r="O290" t="str">
        <f t="shared" si="39"/>
        <v>Large Order</v>
      </c>
      <c r="P290" s="7">
        <f t="shared" si="33"/>
        <v>7.274</v>
      </c>
      <c r="Q290" s="7" t="str">
        <f>VLOOKUP(D291,Product_Lookup!$A$2:$C$27,2,FALSE)</f>
        <v>Puzzle</v>
      </c>
      <c r="R290" s="7">
        <f t="shared" si="34"/>
        <v>2764.12</v>
      </c>
    </row>
    <row r="291" spans="1:18" ht="21.75" customHeight="1">
      <c r="A291" t="s">
        <v>421</v>
      </c>
      <c r="B291" s="6">
        <v>45586</v>
      </c>
      <c r="C291" t="s">
        <v>422</v>
      </c>
      <c r="D291" t="s">
        <v>62</v>
      </c>
      <c r="E291" t="s">
        <v>17</v>
      </c>
      <c r="F291" t="s">
        <v>27</v>
      </c>
      <c r="G291" t="s">
        <v>28</v>
      </c>
      <c r="H291">
        <v>7</v>
      </c>
      <c r="I291" t="str">
        <f>VLOOKUP(D291,Product_Lookup!$A$2:$C$27,3,FALSE)</f>
        <v>$46.19</v>
      </c>
      <c r="J291" t="str">
        <f t="shared" si="35"/>
        <v>Monday</v>
      </c>
      <c r="K291" s="10" t="str">
        <f t="shared" si="36"/>
        <v>October</v>
      </c>
      <c r="L291">
        <f t="shared" si="37"/>
        <v>2024</v>
      </c>
      <c r="M291" t="b">
        <f t="shared" si="38"/>
        <v>0</v>
      </c>
      <c r="N291" t="b">
        <f t="shared" si="32"/>
        <v>0</v>
      </c>
      <c r="O291" t="str">
        <f t="shared" si="39"/>
        <v>Standard order</v>
      </c>
      <c r="P291" s="7">
        <f t="shared" si="33"/>
        <v>2.3094999999999999</v>
      </c>
      <c r="Q291" s="7" t="str">
        <f>VLOOKUP(D292,Product_Lookup!$A$2:$C$27,2,FALSE)</f>
        <v>Monitor</v>
      </c>
      <c r="R291" s="7">
        <f t="shared" si="34"/>
        <v>323.33</v>
      </c>
    </row>
    <row r="292" spans="1:18" ht="21.75" customHeight="1">
      <c r="A292" t="s">
        <v>423</v>
      </c>
      <c r="B292" s="6">
        <v>45344</v>
      </c>
      <c r="C292" t="s">
        <v>424</v>
      </c>
      <c r="D292" t="s">
        <v>102</v>
      </c>
      <c r="E292" t="s">
        <v>17</v>
      </c>
      <c r="F292" t="s">
        <v>306</v>
      </c>
      <c r="G292" t="s">
        <v>32</v>
      </c>
      <c r="H292">
        <v>19</v>
      </c>
      <c r="I292" t="str">
        <f>VLOOKUP(D292,Product_Lookup!$A$2:$C$27,3,FALSE)</f>
        <v>$145.48</v>
      </c>
      <c r="J292" t="str">
        <f t="shared" si="35"/>
        <v>Thursday</v>
      </c>
      <c r="K292" s="10" t="str">
        <f t="shared" si="36"/>
        <v>February</v>
      </c>
      <c r="L292">
        <f t="shared" si="37"/>
        <v>2024</v>
      </c>
      <c r="M292" t="b">
        <f t="shared" si="38"/>
        <v>0</v>
      </c>
      <c r="N292" t="b">
        <f t="shared" si="32"/>
        <v>1</v>
      </c>
      <c r="O292" t="str">
        <f t="shared" si="39"/>
        <v>Large Order</v>
      </c>
      <c r="P292" s="7">
        <f t="shared" si="33"/>
        <v>7.274</v>
      </c>
      <c r="Q292" s="7" t="str">
        <f>VLOOKUP(D293,Product_Lookup!$A$2:$C$27,2,FALSE)</f>
        <v>Tablet</v>
      </c>
      <c r="R292" s="7">
        <f t="shared" si="34"/>
        <v>2764.12</v>
      </c>
    </row>
    <row r="293" spans="1:18" ht="21.75" customHeight="1">
      <c r="A293" t="s">
        <v>425</v>
      </c>
      <c r="B293" s="6">
        <v>45564</v>
      </c>
      <c r="C293" t="s">
        <v>309</v>
      </c>
      <c r="D293" t="s">
        <v>10</v>
      </c>
      <c r="E293" t="s">
        <v>22</v>
      </c>
      <c r="F293" t="s">
        <v>42</v>
      </c>
      <c r="G293" t="s">
        <v>13</v>
      </c>
      <c r="H293">
        <v>17</v>
      </c>
      <c r="I293" t="str">
        <f>VLOOKUP(D293,Product_Lookup!$A$2:$C$27,3,FALSE)</f>
        <v>$146.06</v>
      </c>
      <c r="J293" t="str">
        <f t="shared" si="35"/>
        <v>Sunday</v>
      </c>
      <c r="K293" s="10" t="str">
        <f t="shared" si="36"/>
        <v>September</v>
      </c>
      <c r="L293">
        <f t="shared" si="37"/>
        <v>2024</v>
      </c>
      <c r="M293" t="b">
        <f t="shared" si="38"/>
        <v>1</v>
      </c>
      <c r="N293" t="b">
        <f t="shared" si="32"/>
        <v>1</v>
      </c>
      <c r="O293" t="str">
        <f t="shared" si="39"/>
        <v>Large Order</v>
      </c>
      <c r="P293" s="7">
        <f t="shared" si="33"/>
        <v>7.3030000000000008</v>
      </c>
      <c r="Q293" s="7" t="str">
        <f>VLOOKUP(D294,Product_Lookup!$A$2:$C$27,2,FALSE)</f>
        <v>Toaster</v>
      </c>
      <c r="R293" s="7">
        <f t="shared" si="34"/>
        <v>2483.02</v>
      </c>
    </row>
    <row r="294" spans="1:18" ht="21.75" customHeight="1">
      <c r="A294" t="s">
        <v>426</v>
      </c>
      <c r="B294" s="6">
        <v>45507</v>
      </c>
      <c r="C294" t="s">
        <v>374</v>
      </c>
      <c r="D294" t="s">
        <v>48</v>
      </c>
      <c r="E294" t="s">
        <v>11</v>
      </c>
      <c r="F294" t="s">
        <v>27</v>
      </c>
      <c r="G294" t="s">
        <v>23</v>
      </c>
      <c r="H294">
        <v>15</v>
      </c>
      <c r="I294" t="str">
        <f>VLOOKUP(D294,Product_Lookup!$A$2:$C$27,3,FALSE)</f>
        <v>$208.85</v>
      </c>
      <c r="J294" t="str">
        <f t="shared" si="35"/>
        <v>Saturday</v>
      </c>
      <c r="K294" s="10" t="str">
        <f t="shared" si="36"/>
        <v>August</v>
      </c>
      <c r="L294">
        <f t="shared" si="37"/>
        <v>2024</v>
      </c>
      <c r="M294" t="b">
        <f t="shared" si="38"/>
        <v>1</v>
      </c>
      <c r="N294" t="b">
        <f t="shared" si="32"/>
        <v>1</v>
      </c>
      <c r="O294" t="str">
        <f t="shared" si="39"/>
        <v>Large Order</v>
      </c>
      <c r="P294" s="7">
        <f t="shared" si="33"/>
        <v>10.442500000000001</v>
      </c>
      <c r="Q294" s="7" t="str">
        <f>VLOOKUP(D295,Product_Lookup!$A$2:$C$27,2,FALSE)</f>
        <v>Paper Shredder</v>
      </c>
      <c r="R294" s="7">
        <f t="shared" si="34"/>
        <v>3132.75</v>
      </c>
    </row>
    <row r="295" spans="1:18" ht="21.75" customHeight="1">
      <c r="A295" t="s">
        <v>427</v>
      </c>
      <c r="B295" s="6">
        <v>45382</v>
      </c>
      <c r="C295" t="s">
        <v>388</v>
      </c>
      <c r="D295" t="s">
        <v>109</v>
      </c>
      <c r="E295" t="s">
        <v>22</v>
      </c>
      <c r="F295" t="s">
        <v>42</v>
      </c>
      <c r="G295" t="s">
        <v>23</v>
      </c>
      <c r="H295">
        <v>18</v>
      </c>
      <c r="I295" t="str">
        <f>VLOOKUP(D295,Product_Lookup!$A$2:$C$27,3,FALSE)</f>
        <v>$81.02</v>
      </c>
      <c r="J295" t="str">
        <f t="shared" si="35"/>
        <v>Sunday</v>
      </c>
      <c r="K295" s="10" t="str">
        <f t="shared" si="36"/>
        <v>March</v>
      </c>
      <c r="L295">
        <f t="shared" si="37"/>
        <v>2024</v>
      </c>
      <c r="M295" t="b">
        <f t="shared" si="38"/>
        <v>1</v>
      </c>
      <c r="N295" t="b">
        <f t="shared" si="32"/>
        <v>1</v>
      </c>
      <c r="O295" t="str">
        <f t="shared" si="39"/>
        <v>Large Order</v>
      </c>
      <c r="P295" s="7">
        <f t="shared" si="33"/>
        <v>4.0510000000000002</v>
      </c>
      <c r="Q295" s="7" t="str">
        <f>VLOOKUP(D296,Product_Lookup!$A$2:$C$27,2,FALSE)</f>
        <v>Blender</v>
      </c>
      <c r="R295" s="7">
        <f t="shared" si="34"/>
        <v>1458.36</v>
      </c>
    </row>
    <row r="296" spans="1:18" ht="21.75" customHeight="1">
      <c r="A296" t="s">
        <v>428</v>
      </c>
      <c r="B296" s="6">
        <v>45515</v>
      </c>
      <c r="C296" t="s">
        <v>388</v>
      </c>
      <c r="D296" t="s">
        <v>72</v>
      </c>
      <c r="E296" t="s">
        <v>22</v>
      </c>
      <c r="F296" t="s">
        <v>42</v>
      </c>
      <c r="G296" t="s">
        <v>13</v>
      </c>
      <c r="H296">
        <v>8</v>
      </c>
      <c r="I296" t="str">
        <f>VLOOKUP(D296,Product_Lookup!$A$2:$C$27,3,FALSE)</f>
        <v>$156.44</v>
      </c>
      <c r="J296" t="str">
        <f t="shared" si="35"/>
        <v>Sunday</v>
      </c>
      <c r="K296" s="10" t="str">
        <f t="shared" si="36"/>
        <v>August</v>
      </c>
      <c r="L296">
        <f t="shared" si="37"/>
        <v>2024</v>
      </c>
      <c r="M296" t="b">
        <f t="shared" si="38"/>
        <v>1</v>
      </c>
      <c r="N296" t="b">
        <f t="shared" si="32"/>
        <v>1</v>
      </c>
      <c r="O296" t="str">
        <f t="shared" si="39"/>
        <v>Large Order</v>
      </c>
      <c r="P296" s="7">
        <f t="shared" si="33"/>
        <v>7.8220000000000001</v>
      </c>
      <c r="Q296" s="7" t="str">
        <f>VLOOKUP(D297,Product_Lookup!$A$2:$C$27,2,FALSE)</f>
        <v>Desk Lamp</v>
      </c>
      <c r="R296" s="7">
        <f t="shared" si="34"/>
        <v>1251.52</v>
      </c>
    </row>
    <row r="297" spans="1:18" ht="21.75" customHeight="1">
      <c r="A297" t="s">
        <v>429</v>
      </c>
      <c r="B297" s="6">
        <v>45434</v>
      </c>
      <c r="C297" t="s">
        <v>430</v>
      </c>
      <c r="D297" t="s">
        <v>59</v>
      </c>
      <c r="E297" t="s">
        <v>11</v>
      </c>
      <c r="F297" t="s">
        <v>27</v>
      </c>
      <c r="G297" t="s">
        <v>32</v>
      </c>
      <c r="H297">
        <v>20</v>
      </c>
      <c r="I297" t="str">
        <f>VLOOKUP(D297,Product_Lookup!$A$2:$C$27,3,FALSE)</f>
        <v>$101.96</v>
      </c>
      <c r="J297" t="str">
        <f t="shared" si="35"/>
        <v>Wednesday</v>
      </c>
      <c r="K297" s="10" t="str">
        <f t="shared" si="36"/>
        <v>May</v>
      </c>
      <c r="L297">
        <f t="shared" si="37"/>
        <v>2024</v>
      </c>
      <c r="M297" t="b">
        <f t="shared" si="38"/>
        <v>0</v>
      </c>
      <c r="N297" t="b">
        <f t="shared" si="32"/>
        <v>1</v>
      </c>
      <c r="O297" t="str">
        <f t="shared" si="39"/>
        <v>Large Order</v>
      </c>
      <c r="P297" s="7">
        <f t="shared" si="33"/>
        <v>5.0979999999999999</v>
      </c>
      <c r="Q297" s="7" t="str">
        <f>VLOOKUP(D298,Product_Lookup!$A$2:$C$27,2,FALSE)</f>
        <v>Stapler</v>
      </c>
      <c r="R297" s="7">
        <f t="shared" si="34"/>
        <v>2039.1999999999998</v>
      </c>
    </row>
    <row r="298" spans="1:18" ht="21.75" customHeight="1">
      <c r="A298" t="s">
        <v>431</v>
      </c>
      <c r="B298" s="6">
        <v>45306</v>
      </c>
      <c r="C298" t="s">
        <v>432</v>
      </c>
      <c r="D298" t="s">
        <v>35</v>
      </c>
      <c r="E298" t="s">
        <v>17</v>
      </c>
      <c r="F298" t="s">
        <v>56</v>
      </c>
      <c r="G298" t="s">
        <v>32</v>
      </c>
      <c r="H298">
        <v>7</v>
      </c>
      <c r="I298" t="str">
        <f>VLOOKUP(D298,Product_Lookup!$A$2:$C$27,3,FALSE)</f>
        <v>$64.61</v>
      </c>
      <c r="J298" t="str">
        <f t="shared" si="35"/>
        <v>Monday</v>
      </c>
      <c r="K298" s="10" t="str">
        <f t="shared" si="36"/>
        <v>January</v>
      </c>
      <c r="L298">
        <f t="shared" si="37"/>
        <v>2024</v>
      </c>
      <c r="M298" t="b">
        <f t="shared" si="38"/>
        <v>0</v>
      </c>
      <c r="N298" t="b">
        <f t="shared" si="32"/>
        <v>0</v>
      </c>
      <c r="O298" t="str">
        <f t="shared" si="39"/>
        <v>Standard order</v>
      </c>
      <c r="P298" s="7">
        <f t="shared" si="33"/>
        <v>3.2305000000000001</v>
      </c>
      <c r="Q298" s="7" t="str">
        <f>VLOOKUP(D299,Product_Lookup!$A$2:$C$27,2,FALSE)</f>
        <v>Pen Set</v>
      </c>
      <c r="R298" s="7">
        <f t="shared" si="34"/>
        <v>452.27</v>
      </c>
    </row>
    <row r="299" spans="1:18" ht="21.75" customHeight="1">
      <c r="A299" t="s">
        <v>433</v>
      </c>
      <c r="B299" s="6">
        <v>45466</v>
      </c>
      <c r="C299" t="s">
        <v>89</v>
      </c>
      <c r="D299" t="s">
        <v>174</v>
      </c>
      <c r="E299" t="s">
        <v>22</v>
      </c>
      <c r="F299" t="s">
        <v>42</v>
      </c>
      <c r="G299" t="s">
        <v>28</v>
      </c>
      <c r="H299">
        <v>1</v>
      </c>
      <c r="I299" t="str">
        <f>VLOOKUP(D299,Product_Lookup!$A$2:$C$27,3,FALSE)</f>
        <v>$133.37</v>
      </c>
      <c r="J299" t="str">
        <f t="shared" si="35"/>
        <v>Sunday</v>
      </c>
      <c r="K299" s="10" t="str">
        <f t="shared" si="36"/>
        <v>June</v>
      </c>
      <c r="L299">
        <f t="shared" si="37"/>
        <v>2024</v>
      </c>
      <c r="M299" t="b">
        <f t="shared" si="38"/>
        <v>1</v>
      </c>
      <c r="N299" t="b">
        <f t="shared" si="32"/>
        <v>0</v>
      </c>
      <c r="O299" t="str">
        <f t="shared" si="39"/>
        <v>Standard order</v>
      </c>
      <c r="P299" s="7">
        <f t="shared" si="33"/>
        <v>6.6685000000000008</v>
      </c>
      <c r="Q299" s="7" t="str">
        <f>VLOOKUP(D300,Product_Lookup!$A$2:$C$27,2,FALSE)</f>
        <v>Stapler</v>
      </c>
      <c r="R299" s="7">
        <f t="shared" si="34"/>
        <v>133.37</v>
      </c>
    </row>
    <row r="300" spans="1:18" ht="21.75" customHeight="1">
      <c r="A300" t="s">
        <v>434</v>
      </c>
      <c r="B300" s="6">
        <v>45335</v>
      </c>
      <c r="C300" t="s">
        <v>93</v>
      </c>
      <c r="D300" t="s">
        <v>35</v>
      </c>
      <c r="E300" t="s">
        <v>22</v>
      </c>
      <c r="F300" t="s">
        <v>27</v>
      </c>
      <c r="G300" t="s">
        <v>23</v>
      </c>
      <c r="H300">
        <v>18</v>
      </c>
      <c r="I300" t="str">
        <f>VLOOKUP(D300,Product_Lookup!$A$2:$C$27,3,FALSE)</f>
        <v>$64.61</v>
      </c>
      <c r="J300" t="str">
        <f t="shared" si="35"/>
        <v>Tuesday</v>
      </c>
      <c r="K300" s="10" t="str">
        <f t="shared" si="36"/>
        <v>February</v>
      </c>
      <c r="L300">
        <f t="shared" si="37"/>
        <v>2024</v>
      </c>
      <c r="M300" t="b">
        <f t="shared" si="38"/>
        <v>0</v>
      </c>
      <c r="N300" t="b">
        <f t="shared" si="32"/>
        <v>1</v>
      </c>
      <c r="O300" t="str">
        <f t="shared" si="39"/>
        <v>Large Order</v>
      </c>
      <c r="P300" s="7">
        <f t="shared" si="33"/>
        <v>3.2305000000000001</v>
      </c>
      <c r="Q300" s="7" t="str">
        <f>VLOOKUP(D301,Product_Lookup!$A$2:$C$27,2,FALSE)</f>
        <v>Laptop</v>
      </c>
      <c r="R300" s="7">
        <f t="shared" si="34"/>
        <v>1162.98</v>
      </c>
    </row>
    <row r="301" spans="1:18" ht="21.75" customHeight="1">
      <c r="A301" t="s">
        <v>435</v>
      </c>
      <c r="B301" s="6">
        <v>45622</v>
      </c>
      <c r="C301" t="s">
        <v>436</v>
      </c>
      <c r="D301" t="s">
        <v>96</v>
      </c>
      <c r="E301" t="s">
        <v>17</v>
      </c>
      <c r="F301" t="s">
        <v>27</v>
      </c>
      <c r="G301" t="s">
        <v>23</v>
      </c>
      <c r="H301">
        <v>3</v>
      </c>
      <c r="I301" t="str">
        <f>VLOOKUP(D301,Product_Lookup!$A$2:$C$27,3,FALSE)</f>
        <v>$230.68</v>
      </c>
      <c r="J301" t="str">
        <f t="shared" si="35"/>
        <v>Tuesday</v>
      </c>
      <c r="K301" s="10" t="str">
        <f t="shared" si="36"/>
        <v>November</v>
      </c>
      <c r="L301">
        <f t="shared" si="37"/>
        <v>2024</v>
      </c>
      <c r="M301" t="b">
        <f t="shared" si="38"/>
        <v>0</v>
      </c>
      <c r="N301" t="b">
        <f t="shared" si="32"/>
        <v>0</v>
      </c>
      <c r="O301" t="str">
        <f t="shared" si="39"/>
        <v>Large Order</v>
      </c>
      <c r="P301" s="7">
        <f t="shared" si="33"/>
        <v>11.534000000000001</v>
      </c>
      <c r="Q301" s="7" t="str">
        <f>VLOOKUP(D302,Product_Lookup!$A$2:$C$27,2,FALSE)</f>
        <v>Toaster</v>
      </c>
      <c r="R301" s="7">
        <f t="shared" si="34"/>
        <v>692.04</v>
      </c>
    </row>
    <row r="302" spans="1:18" ht="21.75" customHeight="1">
      <c r="A302" t="s">
        <v>437</v>
      </c>
      <c r="B302" s="6">
        <v>45646</v>
      </c>
      <c r="C302" t="s">
        <v>78</v>
      </c>
      <c r="D302" t="s">
        <v>48</v>
      </c>
      <c r="E302" t="s">
        <v>17</v>
      </c>
      <c r="F302" t="s">
        <v>306</v>
      </c>
      <c r="G302" t="s">
        <v>32</v>
      </c>
      <c r="H302">
        <v>16</v>
      </c>
      <c r="I302" t="str">
        <f>VLOOKUP(D302,Product_Lookup!$A$2:$C$27,3,FALSE)</f>
        <v>$208.85</v>
      </c>
      <c r="J302" t="str">
        <f t="shared" si="35"/>
        <v>Friday</v>
      </c>
      <c r="K302" s="10" t="str">
        <f t="shared" si="36"/>
        <v>December</v>
      </c>
      <c r="L302">
        <f t="shared" si="37"/>
        <v>2024</v>
      </c>
      <c r="M302" t="b">
        <f t="shared" si="38"/>
        <v>0</v>
      </c>
      <c r="N302" t="b">
        <f t="shared" si="32"/>
        <v>1</v>
      </c>
      <c r="O302" t="str">
        <f t="shared" si="39"/>
        <v>Large Order</v>
      </c>
      <c r="P302" s="7">
        <f t="shared" si="33"/>
        <v>10.442500000000001</v>
      </c>
      <c r="Q302" s="7" t="str">
        <f>VLOOKUP(D303,Product_Lookup!$A$2:$C$27,2,FALSE)</f>
        <v>Toaster</v>
      </c>
      <c r="R302" s="7">
        <f t="shared" si="34"/>
        <v>3341.6</v>
      </c>
    </row>
    <row r="303" spans="1:18" ht="21.75" customHeight="1">
      <c r="A303" t="s">
        <v>438</v>
      </c>
      <c r="B303" s="6">
        <v>45509</v>
      </c>
      <c r="C303" t="s">
        <v>323</v>
      </c>
      <c r="D303" t="s">
        <v>48</v>
      </c>
      <c r="E303" t="s">
        <v>22</v>
      </c>
      <c r="F303" t="s">
        <v>42</v>
      </c>
      <c r="G303" t="s">
        <v>32</v>
      </c>
      <c r="H303">
        <v>15</v>
      </c>
      <c r="I303" t="str">
        <f>VLOOKUP(D303,Product_Lookup!$A$2:$C$27,3,FALSE)</f>
        <v>$208.85</v>
      </c>
      <c r="J303" t="str">
        <f t="shared" si="35"/>
        <v>Monday</v>
      </c>
      <c r="K303" s="10" t="str">
        <f t="shared" si="36"/>
        <v>August</v>
      </c>
      <c r="L303">
        <f t="shared" si="37"/>
        <v>2024</v>
      </c>
      <c r="M303" t="b">
        <f t="shared" si="38"/>
        <v>0</v>
      </c>
      <c r="N303" t="b">
        <f t="shared" si="32"/>
        <v>1</v>
      </c>
      <c r="O303" t="str">
        <f t="shared" si="39"/>
        <v>Large Order</v>
      </c>
      <c r="P303" s="7">
        <f t="shared" si="33"/>
        <v>10.442500000000001</v>
      </c>
      <c r="Q303" s="7" t="str">
        <f>VLOOKUP(D304,Product_Lookup!$A$2:$C$27,2,FALSE)</f>
        <v>Blender</v>
      </c>
      <c r="R303" s="7">
        <f t="shared" si="34"/>
        <v>3132.75</v>
      </c>
    </row>
    <row r="304" spans="1:18" ht="21.75" customHeight="1">
      <c r="A304" t="s">
        <v>439</v>
      </c>
      <c r="B304" s="6">
        <v>45410</v>
      </c>
      <c r="C304" t="s">
        <v>114</v>
      </c>
      <c r="D304" t="s">
        <v>72</v>
      </c>
      <c r="E304" t="s">
        <v>22</v>
      </c>
      <c r="F304" t="s">
        <v>56</v>
      </c>
      <c r="G304" t="s">
        <v>28</v>
      </c>
      <c r="H304">
        <v>4</v>
      </c>
      <c r="I304" t="str">
        <f>VLOOKUP(D304,Product_Lookup!$A$2:$C$27,3,FALSE)</f>
        <v>$156.44</v>
      </c>
      <c r="J304" t="str">
        <f t="shared" si="35"/>
        <v>Sunday</v>
      </c>
      <c r="K304" s="10" t="str">
        <f t="shared" si="36"/>
        <v>April</v>
      </c>
      <c r="L304">
        <f t="shared" si="37"/>
        <v>2024</v>
      </c>
      <c r="M304" t="b">
        <f t="shared" si="38"/>
        <v>1</v>
      </c>
      <c r="N304" t="b">
        <f t="shared" si="32"/>
        <v>0</v>
      </c>
      <c r="O304" t="str">
        <f t="shared" si="39"/>
        <v>Large Order</v>
      </c>
      <c r="P304" s="7">
        <f t="shared" si="33"/>
        <v>7.8220000000000001</v>
      </c>
      <c r="Q304" s="7" t="str">
        <f>VLOOKUP(D305,Product_Lookup!$A$2:$C$27,2,FALSE)</f>
        <v>Sweater</v>
      </c>
      <c r="R304" s="7">
        <f t="shared" si="34"/>
        <v>625.76</v>
      </c>
    </row>
    <row r="305" spans="1:18" ht="21.75" customHeight="1">
      <c r="A305" t="s">
        <v>440</v>
      </c>
      <c r="B305" s="6">
        <v>45390</v>
      </c>
      <c r="C305" t="s">
        <v>133</v>
      </c>
      <c r="D305" t="s">
        <v>26</v>
      </c>
      <c r="E305" t="s">
        <v>22</v>
      </c>
      <c r="F305" t="s">
        <v>27</v>
      </c>
      <c r="G305" t="s">
        <v>36</v>
      </c>
      <c r="H305">
        <v>19</v>
      </c>
      <c r="I305" t="str">
        <f>VLOOKUP(D305,Product_Lookup!$A$2:$C$27,3,FALSE)</f>
        <v>$84.57</v>
      </c>
      <c r="J305" t="str">
        <f t="shared" si="35"/>
        <v>Monday</v>
      </c>
      <c r="K305" s="10" t="str">
        <f t="shared" si="36"/>
        <v>April</v>
      </c>
      <c r="L305">
        <f t="shared" si="37"/>
        <v>2024</v>
      </c>
      <c r="M305" t="b">
        <f t="shared" si="38"/>
        <v>0</v>
      </c>
      <c r="N305" t="b">
        <f t="shared" si="32"/>
        <v>1</v>
      </c>
      <c r="O305" t="str">
        <f t="shared" si="39"/>
        <v>Large Order</v>
      </c>
      <c r="P305" s="7">
        <f t="shared" si="33"/>
        <v>4.2284999999999995</v>
      </c>
      <c r="Q305" s="7" t="str">
        <f>VLOOKUP(D306,Product_Lookup!$A$2:$C$27,2,FALSE)</f>
        <v>Socks</v>
      </c>
      <c r="R305" s="7">
        <f t="shared" si="34"/>
        <v>1606.83</v>
      </c>
    </row>
    <row r="306" spans="1:18" ht="21.75" customHeight="1">
      <c r="A306" t="s">
        <v>441</v>
      </c>
      <c r="B306" s="6">
        <v>45597</v>
      </c>
      <c r="C306" t="s">
        <v>55</v>
      </c>
      <c r="D306" t="s">
        <v>74</v>
      </c>
      <c r="E306" t="s">
        <v>11</v>
      </c>
      <c r="F306" t="s">
        <v>56</v>
      </c>
      <c r="G306" t="s">
        <v>32</v>
      </c>
      <c r="H306">
        <v>8</v>
      </c>
      <c r="I306" t="str">
        <f>VLOOKUP(D306,Product_Lookup!$A$2:$C$27,3,FALSE)</f>
        <v>$201.32</v>
      </c>
      <c r="J306" t="str">
        <f t="shared" si="35"/>
        <v>Friday</v>
      </c>
      <c r="K306" s="10" t="str">
        <f t="shared" si="36"/>
        <v>November</v>
      </c>
      <c r="L306">
        <f t="shared" si="37"/>
        <v>2024</v>
      </c>
      <c r="M306" t="b">
        <f t="shared" si="38"/>
        <v>0</v>
      </c>
      <c r="N306" t="b">
        <f t="shared" si="32"/>
        <v>1</v>
      </c>
      <c r="O306" t="str">
        <f t="shared" si="39"/>
        <v>Large Order</v>
      </c>
      <c r="P306" s="7">
        <f t="shared" si="33"/>
        <v>10.066000000000001</v>
      </c>
      <c r="Q306" s="7" t="str">
        <f>VLOOKUP(D307,Product_Lookup!$A$2:$C$27,2,FALSE)</f>
        <v>Sweater</v>
      </c>
      <c r="R306" s="7">
        <f t="shared" si="34"/>
        <v>1610.56</v>
      </c>
    </row>
    <row r="307" spans="1:18" ht="21.75" customHeight="1">
      <c r="A307" t="s">
        <v>442</v>
      </c>
      <c r="B307" s="6">
        <v>45299</v>
      </c>
      <c r="C307" t="s">
        <v>369</v>
      </c>
      <c r="D307" t="s">
        <v>26</v>
      </c>
      <c r="E307" t="s">
        <v>22</v>
      </c>
      <c r="F307" t="s">
        <v>56</v>
      </c>
      <c r="G307" t="s">
        <v>36</v>
      </c>
      <c r="H307">
        <v>2</v>
      </c>
      <c r="I307" t="str">
        <f>VLOOKUP(D307,Product_Lookup!$A$2:$C$27,3,FALSE)</f>
        <v>$84.57</v>
      </c>
      <c r="J307" t="str">
        <f t="shared" si="35"/>
        <v>Monday</v>
      </c>
      <c r="K307" s="10" t="str">
        <f t="shared" si="36"/>
        <v>January</v>
      </c>
      <c r="L307">
        <f t="shared" si="37"/>
        <v>2024</v>
      </c>
      <c r="M307" t="b">
        <f t="shared" si="38"/>
        <v>0</v>
      </c>
      <c r="N307" t="b">
        <f t="shared" si="32"/>
        <v>0</v>
      </c>
      <c r="O307" t="str">
        <f t="shared" si="39"/>
        <v>Standard order</v>
      </c>
      <c r="P307" s="7">
        <f t="shared" si="33"/>
        <v>4.2284999999999995</v>
      </c>
      <c r="Q307" s="7" t="str">
        <f>VLOOKUP(D308,Product_Lookup!$A$2:$C$27,2,FALSE)</f>
        <v>Monitor</v>
      </c>
      <c r="R307" s="7">
        <f t="shared" si="34"/>
        <v>169.14</v>
      </c>
    </row>
    <row r="308" spans="1:18" ht="21.75" customHeight="1">
      <c r="A308" t="s">
        <v>443</v>
      </c>
      <c r="B308" s="6">
        <v>45441</v>
      </c>
      <c r="C308" t="s">
        <v>424</v>
      </c>
      <c r="D308" t="s">
        <v>102</v>
      </c>
      <c r="E308" t="s">
        <v>11</v>
      </c>
      <c r="F308" t="s">
        <v>27</v>
      </c>
      <c r="G308" t="s">
        <v>23</v>
      </c>
      <c r="H308">
        <v>1</v>
      </c>
      <c r="I308" t="str">
        <f>VLOOKUP(D308,Product_Lookup!$A$2:$C$27,3,FALSE)</f>
        <v>$145.48</v>
      </c>
      <c r="J308" t="str">
        <f t="shared" si="35"/>
        <v>Wednesday</v>
      </c>
      <c r="K308" s="10" t="str">
        <f t="shared" si="36"/>
        <v>May</v>
      </c>
      <c r="L308">
        <f t="shared" si="37"/>
        <v>2024</v>
      </c>
      <c r="M308" t="b">
        <f t="shared" si="38"/>
        <v>0</v>
      </c>
      <c r="N308" t="b">
        <f t="shared" si="32"/>
        <v>0</v>
      </c>
      <c r="O308" t="str">
        <f t="shared" si="39"/>
        <v>Standard order</v>
      </c>
      <c r="P308" s="7">
        <f t="shared" si="33"/>
        <v>7.274</v>
      </c>
      <c r="Q308" s="7" t="str">
        <f>VLOOKUP(D309,Product_Lookup!$A$2:$C$27,2,FALSE)</f>
        <v>Smartphone</v>
      </c>
      <c r="R308" s="7">
        <f t="shared" si="34"/>
        <v>145.47999999999999</v>
      </c>
    </row>
    <row r="309" spans="1:18" ht="21.75" customHeight="1">
      <c r="A309" t="s">
        <v>444</v>
      </c>
      <c r="B309" s="6">
        <v>45537</v>
      </c>
      <c r="C309" t="s">
        <v>396</v>
      </c>
      <c r="D309" t="s">
        <v>79</v>
      </c>
      <c r="E309" t="s">
        <v>17</v>
      </c>
      <c r="F309" t="s">
        <v>56</v>
      </c>
      <c r="G309" t="s">
        <v>23</v>
      </c>
      <c r="H309">
        <v>9</v>
      </c>
      <c r="I309" t="str">
        <f>VLOOKUP(D309,Product_Lookup!$A$2:$C$27,3,FALSE)</f>
        <v>$216.22</v>
      </c>
      <c r="J309" t="str">
        <f t="shared" si="35"/>
        <v>Monday</v>
      </c>
      <c r="K309" s="10" t="str">
        <f t="shared" si="36"/>
        <v>September</v>
      </c>
      <c r="L309">
        <f t="shared" si="37"/>
        <v>2024</v>
      </c>
      <c r="M309" t="b">
        <f t="shared" si="38"/>
        <v>0</v>
      </c>
      <c r="N309" t="b">
        <f t="shared" si="32"/>
        <v>1</v>
      </c>
      <c r="O309" t="str">
        <f t="shared" si="39"/>
        <v>Large Order</v>
      </c>
      <c r="P309" s="7">
        <f t="shared" si="33"/>
        <v>10.811</v>
      </c>
      <c r="Q309" s="7" t="str">
        <f>VLOOKUP(D310,Product_Lookup!$A$2:$C$27,2,FALSE)</f>
        <v>Tablet</v>
      </c>
      <c r="R309" s="7">
        <f t="shared" si="34"/>
        <v>1945.98</v>
      </c>
    </row>
    <row r="310" spans="1:18" ht="21.75" customHeight="1">
      <c r="A310" t="s">
        <v>445</v>
      </c>
      <c r="B310" s="6">
        <v>45350</v>
      </c>
      <c r="C310" t="s">
        <v>58</v>
      </c>
      <c r="D310" t="s">
        <v>10</v>
      </c>
      <c r="E310" t="s">
        <v>17</v>
      </c>
      <c r="F310" t="s">
        <v>27</v>
      </c>
      <c r="G310" t="s">
        <v>13</v>
      </c>
      <c r="H310">
        <v>19</v>
      </c>
      <c r="I310" t="str">
        <f>VLOOKUP(D310,Product_Lookup!$A$2:$C$27,3,FALSE)</f>
        <v>$146.06</v>
      </c>
      <c r="J310" t="str">
        <f t="shared" si="35"/>
        <v>Wednesday</v>
      </c>
      <c r="K310" s="10" t="str">
        <f t="shared" si="36"/>
        <v>February</v>
      </c>
      <c r="L310">
        <f t="shared" si="37"/>
        <v>2024</v>
      </c>
      <c r="M310" t="b">
        <f t="shared" si="38"/>
        <v>0</v>
      </c>
      <c r="N310" t="b">
        <f t="shared" si="32"/>
        <v>1</v>
      </c>
      <c r="O310" t="str">
        <f t="shared" si="39"/>
        <v>Large Order</v>
      </c>
      <c r="P310" s="7">
        <f t="shared" si="33"/>
        <v>7.3030000000000008</v>
      </c>
      <c r="Q310" s="7" t="str">
        <f>VLOOKUP(D311,Product_Lookup!$A$2:$C$27,2,FALSE)</f>
        <v>Tablet</v>
      </c>
      <c r="R310" s="7">
        <f t="shared" si="34"/>
        <v>2775.14</v>
      </c>
    </row>
    <row r="311" spans="1:18" ht="21.75" customHeight="1">
      <c r="A311" t="s">
        <v>446</v>
      </c>
      <c r="B311" s="6">
        <v>45369</v>
      </c>
      <c r="C311" t="s">
        <v>125</v>
      </c>
      <c r="D311" t="s">
        <v>10</v>
      </c>
      <c r="E311" t="s">
        <v>22</v>
      </c>
      <c r="F311" t="s">
        <v>42</v>
      </c>
      <c r="G311" t="s">
        <v>23</v>
      </c>
      <c r="H311">
        <v>8</v>
      </c>
      <c r="I311" t="str">
        <f>VLOOKUP(D311,Product_Lookup!$A$2:$C$27,3,FALSE)</f>
        <v>$146.06</v>
      </c>
      <c r="J311" t="str">
        <f t="shared" si="35"/>
        <v>Monday</v>
      </c>
      <c r="K311" s="10" t="str">
        <f t="shared" si="36"/>
        <v>March</v>
      </c>
      <c r="L311">
        <f t="shared" si="37"/>
        <v>2024</v>
      </c>
      <c r="M311" t="b">
        <f t="shared" si="38"/>
        <v>0</v>
      </c>
      <c r="N311" t="b">
        <f t="shared" si="32"/>
        <v>1</v>
      </c>
      <c r="O311" t="str">
        <f t="shared" si="39"/>
        <v>Large Order</v>
      </c>
      <c r="P311" s="7">
        <f t="shared" si="33"/>
        <v>7.3030000000000008</v>
      </c>
      <c r="Q311" s="7" t="str">
        <f>VLOOKUP(D312,Product_Lookup!$A$2:$C$27,2,FALSE)</f>
        <v>Doll</v>
      </c>
      <c r="R311" s="7">
        <f t="shared" si="34"/>
        <v>1168.48</v>
      </c>
    </row>
    <row r="312" spans="1:18" ht="21.75" customHeight="1">
      <c r="A312" t="s">
        <v>447</v>
      </c>
      <c r="B312" s="6">
        <v>45602</v>
      </c>
      <c r="C312" t="s">
        <v>327</v>
      </c>
      <c r="D312" t="s">
        <v>119</v>
      </c>
      <c r="E312" t="s">
        <v>22</v>
      </c>
      <c r="F312" t="s">
        <v>56</v>
      </c>
      <c r="G312" t="s">
        <v>23</v>
      </c>
      <c r="H312">
        <v>17</v>
      </c>
      <c r="I312" t="str">
        <f>VLOOKUP(D312,Product_Lookup!$A$2:$C$27,3,FALSE)</f>
        <v>$32.94</v>
      </c>
      <c r="J312" t="str">
        <f t="shared" si="35"/>
        <v>Wednesday</v>
      </c>
      <c r="K312" s="10" t="str">
        <f t="shared" si="36"/>
        <v>November</v>
      </c>
      <c r="L312">
        <f t="shared" si="37"/>
        <v>2024</v>
      </c>
      <c r="M312" t="b">
        <f t="shared" si="38"/>
        <v>0</v>
      </c>
      <c r="N312" t="b">
        <f t="shared" si="32"/>
        <v>0</v>
      </c>
      <c r="O312" t="str">
        <f t="shared" si="39"/>
        <v>Large Order</v>
      </c>
      <c r="P312" s="7">
        <f t="shared" si="33"/>
        <v>1.647</v>
      </c>
      <c r="Q312" s="7" t="str">
        <f>VLOOKUP(D313,Product_Lookup!$A$2:$C$27,2,FALSE)</f>
        <v>Desk Lamp</v>
      </c>
      <c r="R312" s="7">
        <f t="shared" si="34"/>
        <v>559.98</v>
      </c>
    </row>
    <row r="313" spans="1:18" ht="21.75" customHeight="1">
      <c r="A313" t="s">
        <v>448</v>
      </c>
      <c r="B313" s="6">
        <v>45444</v>
      </c>
      <c r="C313" t="s">
        <v>449</v>
      </c>
      <c r="D313" t="s">
        <v>59</v>
      </c>
      <c r="E313" t="s">
        <v>17</v>
      </c>
      <c r="F313" t="s">
        <v>42</v>
      </c>
      <c r="G313" t="s">
        <v>13</v>
      </c>
      <c r="H313">
        <v>20</v>
      </c>
      <c r="I313" t="str">
        <f>VLOOKUP(D313,Product_Lookup!$A$2:$C$27,3,FALSE)</f>
        <v>$101.96</v>
      </c>
      <c r="J313" t="str">
        <f t="shared" si="35"/>
        <v>Saturday</v>
      </c>
      <c r="K313" s="10" t="str">
        <f t="shared" si="36"/>
        <v>June</v>
      </c>
      <c r="L313">
        <f t="shared" si="37"/>
        <v>2024</v>
      </c>
      <c r="M313" t="b">
        <f t="shared" si="38"/>
        <v>1</v>
      </c>
      <c r="N313" t="b">
        <f t="shared" si="32"/>
        <v>1</v>
      </c>
      <c r="O313" t="str">
        <f t="shared" si="39"/>
        <v>Large Order</v>
      </c>
      <c r="P313" s="7">
        <f t="shared" si="33"/>
        <v>5.0979999999999999</v>
      </c>
      <c r="Q313" s="7" t="str">
        <f>VLOOKUP(D314,Product_Lookup!$A$2:$C$27,2,FALSE)</f>
        <v>Board Game</v>
      </c>
      <c r="R313" s="7">
        <f t="shared" si="34"/>
        <v>2039.1999999999998</v>
      </c>
    </row>
    <row r="314" spans="1:18" ht="21.75" customHeight="1">
      <c r="A314" t="s">
        <v>450</v>
      </c>
      <c r="B314" s="6">
        <v>45398</v>
      </c>
      <c r="C314" t="s">
        <v>451</v>
      </c>
      <c r="D314" t="s">
        <v>41</v>
      </c>
      <c r="E314" t="s">
        <v>11</v>
      </c>
      <c r="F314" t="s">
        <v>42</v>
      </c>
      <c r="G314" t="s">
        <v>28</v>
      </c>
      <c r="H314">
        <v>3</v>
      </c>
      <c r="I314" t="str">
        <f>VLOOKUP(D314,Product_Lookup!$A$2:$C$27,3,FALSE)</f>
        <v>$86.6</v>
      </c>
      <c r="J314" t="str">
        <f t="shared" si="35"/>
        <v>Tuesday</v>
      </c>
      <c r="K314" s="10" t="str">
        <f t="shared" si="36"/>
        <v>April</v>
      </c>
      <c r="L314">
        <f t="shared" si="37"/>
        <v>2024</v>
      </c>
      <c r="M314" t="b">
        <f t="shared" si="38"/>
        <v>0</v>
      </c>
      <c r="N314" t="b">
        <f t="shared" si="32"/>
        <v>0</v>
      </c>
      <c r="O314" t="str">
        <f t="shared" si="39"/>
        <v>Standard order</v>
      </c>
      <c r="P314" s="7">
        <f t="shared" si="33"/>
        <v>4.33</v>
      </c>
      <c r="Q314" s="7" t="str">
        <f>VLOOKUP(D315,Product_Lookup!$A$2:$C$27,2,FALSE)</f>
        <v>Vacuum</v>
      </c>
      <c r="R314" s="7">
        <f t="shared" si="34"/>
        <v>259.79999999999995</v>
      </c>
    </row>
    <row r="315" spans="1:18" ht="21.75" customHeight="1">
      <c r="A315" t="s">
        <v>452</v>
      </c>
      <c r="B315" s="6">
        <v>45574</v>
      </c>
      <c r="C315" t="s">
        <v>208</v>
      </c>
      <c r="D315" t="s">
        <v>87</v>
      </c>
      <c r="E315" t="s">
        <v>11</v>
      </c>
      <c r="F315" t="s">
        <v>12</v>
      </c>
      <c r="G315" t="s">
        <v>23</v>
      </c>
      <c r="H315">
        <v>15</v>
      </c>
      <c r="I315" t="str">
        <f>VLOOKUP(D315,Product_Lookup!$A$2:$C$27,3,FALSE)</f>
        <v>$26.59</v>
      </c>
      <c r="J315" t="str">
        <f t="shared" si="35"/>
        <v>Wednesday</v>
      </c>
      <c r="K315" s="10" t="str">
        <f t="shared" si="36"/>
        <v>October</v>
      </c>
      <c r="L315">
        <f t="shared" si="37"/>
        <v>2024</v>
      </c>
      <c r="M315" t="b">
        <f t="shared" si="38"/>
        <v>0</v>
      </c>
      <c r="N315" t="b">
        <f t="shared" si="32"/>
        <v>0</v>
      </c>
      <c r="O315" t="str">
        <f t="shared" si="39"/>
        <v>Standard order</v>
      </c>
      <c r="P315" s="7">
        <f t="shared" si="33"/>
        <v>1.3295000000000001</v>
      </c>
      <c r="Q315" s="7" t="str">
        <f>VLOOKUP(D316,Product_Lookup!$A$2:$C$27,2,FALSE)</f>
        <v>Puzzle</v>
      </c>
      <c r="R315" s="7">
        <f t="shared" si="34"/>
        <v>398.85</v>
      </c>
    </row>
    <row r="316" spans="1:18" ht="21.75" customHeight="1">
      <c r="A316" t="s">
        <v>453</v>
      </c>
      <c r="B316" s="6">
        <v>45441</v>
      </c>
      <c r="C316" t="s">
        <v>122</v>
      </c>
      <c r="D316" t="s">
        <v>62</v>
      </c>
      <c r="E316" t="s">
        <v>11</v>
      </c>
      <c r="F316" t="s">
        <v>42</v>
      </c>
      <c r="G316" t="s">
        <v>23</v>
      </c>
      <c r="H316">
        <v>10</v>
      </c>
      <c r="I316" t="str">
        <f>VLOOKUP(D316,Product_Lookup!$A$2:$C$27,3,FALSE)</f>
        <v>$46.19</v>
      </c>
      <c r="J316" t="str">
        <f t="shared" si="35"/>
        <v>Wednesday</v>
      </c>
      <c r="K316" s="10" t="str">
        <f t="shared" si="36"/>
        <v>May</v>
      </c>
      <c r="L316">
        <f t="shared" si="37"/>
        <v>2024</v>
      </c>
      <c r="M316" t="b">
        <f t="shared" si="38"/>
        <v>0</v>
      </c>
      <c r="N316" t="b">
        <f t="shared" si="32"/>
        <v>0</v>
      </c>
      <c r="O316" t="str">
        <f t="shared" si="39"/>
        <v>Standard order</v>
      </c>
      <c r="P316" s="7">
        <f t="shared" si="33"/>
        <v>2.3094999999999999</v>
      </c>
      <c r="Q316" s="7" t="str">
        <f>VLOOKUP(D317,Product_Lookup!$A$2:$C$27,2,FALSE)</f>
        <v>Action Figure</v>
      </c>
      <c r="R316" s="7">
        <f t="shared" si="34"/>
        <v>461.9</v>
      </c>
    </row>
    <row r="317" spans="1:18" ht="21.75" customHeight="1">
      <c r="A317" t="s">
        <v>454</v>
      </c>
      <c r="B317" s="6">
        <v>45328</v>
      </c>
      <c r="C317" t="s">
        <v>455</v>
      </c>
      <c r="D317" t="s">
        <v>21</v>
      </c>
      <c r="E317" t="s">
        <v>11</v>
      </c>
      <c r="F317" t="s">
        <v>42</v>
      </c>
      <c r="G317" t="s">
        <v>28</v>
      </c>
      <c r="H317">
        <v>19</v>
      </c>
      <c r="I317" t="str">
        <f>VLOOKUP(D317,Product_Lookup!$A$2:$C$27,3,FALSE)</f>
        <v>$88.18</v>
      </c>
      <c r="J317" t="str">
        <f t="shared" si="35"/>
        <v>Tuesday</v>
      </c>
      <c r="K317" s="10" t="str">
        <f t="shared" si="36"/>
        <v>February</v>
      </c>
      <c r="L317">
        <f t="shared" si="37"/>
        <v>2024</v>
      </c>
      <c r="M317" t="b">
        <f t="shared" si="38"/>
        <v>0</v>
      </c>
      <c r="N317" t="b">
        <f t="shared" si="32"/>
        <v>1</v>
      </c>
      <c r="O317" t="str">
        <f t="shared" si="39"/>
        <v>Large Order</v>
      </c>
      <c r="P317" s="7">
        <f t="shared" si="33"/>
        <v>4.4090000000000007</v>
      </c>
      <c r="Q317" s="7" t="str">
        <f>VLOOKUP(D318,Product_Lookup!$A$2:$C$27,2,FALSE)</f>
        <v>Action Figure</v>
      </c>
      <c r="R317" s="7">
        <f t="shared" si="34"/>
        <v>1675.42</v>
      </c>
    </row>
    <row r="318" spans="1:18" ht="21.75" customHeight="1">
      <c r="A318" t="s">
        <v>456</v>
      </c>
      <c r="B318" s="6">
        <v>45509</v>
      </c>
      <c r="C318" t="s">
        <v>40</v>
      </c>
      <c r="D318" t="s">
        <v>21</v>
      </c>
      <c r="E318" t="s">
        <v>22</v>
      </c>
      <c r="F318" t="s">
        <v>56</v>
      </c>
      <c r="G318" t="s">
        <v>28</v>
      </c>
      <c r="H318">
        <v>5</v>
      </c>
      <c r="I318" t="str">
        <f>VLOOKUP(D318,Product_Lookup!$A$2:$C$27,3,FALSE)</f>
        <v>$88.18</v>
      </c>
      <c r="J318" t="str">
        <f t="shared" si="35"/>
        <v>Monday</v>
      </c>
      <c r="K318" s="10" t="str">
        <f t="shared" si="36"/>
        <v>August</v>
      </c>
      <c r="L318">
        <f t="shared" si="37"/>
        <v>2024</v>
      </c>
      <c r="M318" t="b">
        <f t="shared" si="38"/>
        <v>0</v>
      </c>
      <c r="N318" t="b">
        <f t="shared" si="32"/>
        <v>0</v>
      </c>
      <c r="O318" t="str">
        <f t="shared" si="39"/>
        <v>Standard order</v>
      </c>
      <c r="P318" s="7">
        <f t="shared" si="33"/>
        <v>4.4090000000000007</v>
      </c>
      <c r="Q318" s="7" t="str">
        <f>VLOOKUP(D319,Product_Lookup!$A$2:$C$27,2,FALSE)</f>
        <v>Paper Shredder</v>
      </c>
      <c r="R318" s="7">
        <f t="shared" si="34"/>
        <v>440.90000000000003</v>
      </c>
    </row>
    <row r="319" spans="1:18" ht="21.75" customHeight="1">
      <c r="A319" t="s">
        <v>457</v>
      </c>
      <c r="B319" s="6">
        <v>45328</v>
      </c>
      <c r="C319" t="s">
        <v>131</v>
      </c>
      <c r="D319" t="s">
        <v>109</v>
      </c>
      <c r="E319" t="s">
        <v>11</v>
      </c>
      <c r="F319" t="s">
        <v>42</v>
      </c>
      <c r="G319" t="s">
        <v>23</v>
      </c>
      <c r="H319">
        <v>19</v>
      </c>
      <c r="I319" t="str">
        <f>VLOOKUP(D319,Product_Lookup!$A$2:$C$27,3,FALSE)</f>
        <v>$81.02</v>
      </c>
      <c r="J319" t="str">
        <f t="shared" si="35"/>
        <v>Tuesday</v>
      </c>
      <c r="K319" s="10" t="str">
        <f t="shared" si="36"/>
        <v>February</v>
      </c>
      <c r="L319">
        <f t="shared" si="37"/>
        <v>2024</v>
      </c>
      <c r="M319" t="b">
        <f t="shared" si="38"/>
        <v>0</v>
      </c>
      <c r="N319" t="b">
        <f t="shared" si="32"/>
        <v>1</v>
      </c>
      <c r="O319" t="str">
        <f t="shared" si="39"/>
        <v>Large Order</v>
      </c>
      <c r="P319" s="7">
        <f t="shared" si="33"/>
        <v>4.0510000000000002</v>
      </c>
      <c r="Q319" s="7" t="str">
        <f>VLOOKUP(D320,Product_Lookup!$A$2:$C$27,2,FALSE)</f>
        <v>Puzzle</v>
      </c>
      <c r="R319" s="7">
        <f t="shared" si="34"/>
        <v>1539.3799999999999</v>
      </c>
    </row>
    <row r="320" spans="1:18" ht="21.75" customHeight="1">
      <c r="A320" t="s">
        <v>458</v>
      </c>
      <c r="B320" s="6">
        <v>45355</v>
      </c>
      <c r="C320" t="s">
        <v>319</v>
      </c>
      <c r="D320" t="s">
        <v>62</v>
      </c>
      <c r="E320" t="s">
        <v>22</v>
      </c>
      <c r="F320" t="s">
        <v>42</v>
      </c>
      <c r="G320" t="s">
        <v>36</v>
      </c>
      <c r="H320">
        <v>13</v>
      </c>
      <c r="I320" t="str">
        <f>VLOOKUP(D320,Product_Lookup!$A$2:$C$27,3,FALSE)</f>
        <v>$46.19</v>
      </c>
      <c r="J320" t="str">
        <f t="shared" si="35"/>
        <v>Monday</v>
      </c>
      <c r="K320" s="10" t="str">
        <f t="shared" si="36"/>
        <v>March</v>
      </c>
      <c r="L320">
        <f t="shared" si="37"/>
        <v>2024</v>
      </c>
      <c r="M320" t="b">
        <f t="shared" si="38"/>
        <v>0</v>
      </c>
      <c r="N320" t="b">
        <f t="shared" si="32"/>
        <v>0</v>
      </c>
      <c r="O320" t="str">
        <f t="shared" si="39"/>
        <v>Large Order</v>
      </c>
      <c r="P320" s="7">
        <f t="shared" si="33"/>
        <v>2.3094999999999999</v>
      </c>
      <c r="Q320" s="7" t="str">
        <f>VLOOKUP(D321,Product_Lookup!$A$2:$C$27,2,FALSE)</f>
        <v>Paper Shredder</v>
      </c>
      <c r="R320" s="7">
        <f t="shared" si="34"/>
        <v>600.47</v>
      </c>
    </row>
    <row r="321" spans="1:18" ht="21.75" customHeight="1">
      <c r="A321" t="s">
        <v>459</v>
      </c>
      <c r="B321" s="6">
        <v>45568</v>
      </c>
      <c r="C321" t="s">
        <v>432</v>
      </c>
      <c r="D321" t="s">
        <v>109</v>
      </c>
      <c r="E321" t="s">
        <v>17</v>
      </c>
      <c r="F321" t="s">
        <v>12</v>
      </c>
      <c r="G321" t="s">
        <v>32</v>
      </c>
      <c r="H321">
        <v>2</v>
      </c>
      <c r="I321" t="str">
        <f>VLOOKUP(D321,Product_Lookup!$A$2:$C$27,3,FALSE)</f>
        <v>$81.02</v>
      </c>
      <c r="J321" t="str">
        <f t="shared" si="35"/>
        <v>Thursday</v>
      </c>
      <c r="K321" s="10" t="str">
        <f t="shared" si="36"/>
        <v>October</v>
      </c>
      <c r="L321">
        <f t="shared" si="37"/>
        <v>2024</v>
      </c>
      <c r="M321" t="b">
        <f t="shared" si="38"/>
        <v>0</v>
      </c>
      <c r="N321" t="b">
        <f t="shared" si="32"/>
        <v>0</v>
      </c>
      <c r="O321" t="str">
        <f t="shared" si="39"/>
        <v>Standard order</v>
      </c>
      <c r="P321" s="7">
        <f t="shared" si="33"/>
        <v>4.0510000000000002</v>
      </c>
      <c r="Q321" s="7" t="str">
        <f>VLOOKUP(D322,Product_Lookup!$A$2:$C$27,2,FALSE)</f>
        <v>Jacket</v>
      </c>
      <c r="R321" s="7">
        <f t="shared" si="34"/>
        <v>162.04</v>
      </c>
    </row>
    <row r="322" spans="1:18" ht="21.75" customHeight="1">
      <c r="A322" t="s">
        <v>460</v>
      </c>
      <c r="B322" s="6">
        <v>45601</v>
      </c>
      <c r="C322" t="s">
        <v>230</v>
      </c>
      <c r="D322" t="s">
        <v>197</v>
      </c>
      <c r="E322" t="s">
        <v>11</v>
      </c>
      <c r="F322" t="s">
        <v>12</v>
      </c>
      <c r="G322" t="s">
        <v>13</v>
      </c>
      <c r="H322">
        <v>19</v>
      </c>
      <c r="I322" t="str">
        <f>VLOOKUP(D322,Product_Lookup!$A$2:$C$27,3,FALSE)</f>
        <v>$10.11</v>
      </c>
      <c r="J322" t="str">
        <f t="shared" si="35"/>
        <v>Tuesday</v>
      </c>
      <c r="K322" s="10" t="str">
        <f t="shared" si="36"/>
        <v>November</v>
      </c>
      <c r="L322">
        <f t="shared" si="37"/>
        <v>2024</v>
      </c>
      <c r="M322" t="b">
        <f t="shared" si="38"/>
        <v>0</v>
      </c>
      <c r="N322" t="b">
        <f t="shared" ref="N322:N385" si="40">AND(R322&gt;750, H322&gt;5)</f>
        <v>0</v>
      </c>
      <c r="O322" t="str">
        <f t="shared" si="39"/>
        <v>Standard order</v>
      </c>
      <c r="P322" s="7">
        <f t="shared" ref="P322:P385" si="41">I322*$S$2</f>
        <v>0.50549999999999995</v>
      </c>
      <c r="Q322" s="7" t="str">
        <f>VLOOKUP(D323,Product_Lookup!$A$2:$C$27,2,FALSE)</f>
        <v>Doll</v>
      </c>
      <c r="R322" s="7">
        <f t="shared" ref="R322:R385" si="42">H322*I322</f>
        <v>192.08999999999997</v>
      </c>
    </row>
    <row r="323" spans="1:18" ht="21.75" customHeight="1">
      <c r="A323" t="s">
        <v>461</v>
      </c>
      <c r="B323" s="6">
        <v>45636</v>
      </c>
      <c r="C323" t="s">
        <v>101</v>
      </c>
      <c r="D323" t="s">
        <v>119</v>
      </c>
      <c r="E323" t="s">
        <v>22</v>
      </c>
      <c r="F323" t="s">
        <v>12</v>
      </c>
      <c r="G323" t="s">
        <v>23</v>
      </c>
      <c r="H323">
        <v>6</v>
      </c>
      <c r="I323" t="str">
        <f>VLOOKUP(D323,Product_Lookup!$A$2:$C$27,3,FALSE)</f>
        <v>$32.94</v>
      </c>
      <c r="J323" t="str">
        <f t="shared" ref="J323:J386" si="43">TEXT(B323, "dddd")</f>
        <v>Tuesday</v>
      </c>
      <c r="K323" s="10" t="str">
        <f t="shared" ref="K323:K386" si="44">TEXT(B323, "mmmm")</f>
        <v>December</v>
      </c>
      <c r="L323">
        <f t="shared" ref="L323:L386" si="45">YEAR(B323)</f>
        <v>2024</v>
      </c>
      <c r="M323" t="b">
        <f t="shared" ref="M323:M386" si="46">OR(J323="Saturday", J323="Sunday")</f>
        <v>0</v>
      </c>
      <c r="N323" t="b">
        <f t="shared" si="40"/>
        <v>0</v>
      </c>
      <c r="O323" t="str">
        <f t="shared" ref="O323:O386" si="47">IF(R323&gt;500,"Large Order","Standard order")</f>
        <v>Standard order</v>
      </c>
      <c r="P323" s="7">
        <f t="shared" si="41"/>
        <v>1.647</v>
      </c>
      <c r="Q323" s="7" t="str">
        <f>VLOOKUP(D324,Product_Lookup!$A$2:$C$27,2,FALSE)</f>
        <v>Action Figure</v>
      </c>
      <c r="R323" s="7">
        <f t="shared" si="42"/>
        <v>197.64</v>
      </c>
    </row>
    <row r="324" spans="1:18" ht="21.75" customHeight="1">
      <c r="A324" t="s">
        <v>462</v>
      </c>
      <c r="B324" s="6">
        <v>45434</v>
      </c>
      <c r="C324" t="s">
        <v>44</v>
      </c>
      <c r="D324" t="s">
        <v>21</v>
      </c>
      <c r="E324" t="s">
        <v>22</v>
      </c>
      <c r="F324" t="s">
        <v>27</v>
      </c>
      <c r="G324" t="s">
        <v>23</v>
      </c>
      <c r="H324">
        <v>16</v>
      </c>
      <c r="I324" t="str">
        <f>VLOOKUP(D324,Product_Lookup!$A$2:$C$27,3,FALSE)</f>
        <v>$88.18</v>
      </c>
      <c r="J324" t="str">
        <f t="shared" si="43"/>
        <v>Wednesday</v>
      </c>
      <c r="K324" s="10" t="str">
        <f t="shared" si="44"/>
        <v>May</v>
      </c>
      <c r="L324">
        <f t="shared" si="45"/>
        <v>2024</v>
      </c>
      <c r="M324" t="b">
        <f t="shared" si="46"/>
        <v>0</v>
      </c>
      <c r="N324" t="b">
        <f t="shared" si="40"/>
        <v>1</v>
      </c>
      <c r="O324" t="str">
        <f t="shared" si="47"/>
        <v>Large Order</v>
      </c>
      <c r="P324" s="7">
        <f t="shared" si="41"/>
        <v>4.4090000000000007</v>
      </c>
      <c r="Q324" s="7" t="str">
        <f>VLOOKUP(D325,Product_Lookup!$A$2:$C$27,2,FALSE)</f>
        <v>Board Game</v>
      </c>
      <c r="R324" s="7">
        <f t="shared" si="42"/>
        <v>1410.88</v>
      </c>
    </row>
    <row r="325" spans="1:18" ht="21.75" customHeight="1">
      <c r="A325" t="s">
        <v>463</v>
      </c>
      <c r="B325" s="6">
        <v>45470</v>
      </c>
      <c r="C325" t="s">
        <v>408</v>
      </c>
      <c r="D325" t="s">
        <v>41</v>
      </c>
      <c r="E325" t="s">
        <v>17</v>
      </c>
      <c r="F325" t="s">
        <v>42</v>
      </c>
      <c r="G325" t="s">
        <v>32</v>
      </c>
      <c r="H325">
        <v>4</v>
      </c>
      <c r="I325" t="str">
        <f>VLOOKUP(D325,Product_Lookup!$A$2:$C$27,3,FALSE)</f>
        <v>$86.6</v>
      </c>
      <c r="J325" t="str">
        <f t="shared" si="43"/>
        <v>Thursday</v>
      </c>
      <c r="K325" s="10" t="str">
        <f t="shared" si="44"/>
        <v>June</v>
      </c>
      <c r="L325">
        <f t="shared" si="45"/>
        <v>2024</v>
      </c>
      <c r="M325" t="b">
        <f t="shared" si="46"/>
        <v>0</v>
      </c>
      <c r="N325" t="b">
        <f t="shared" si="40"/>
        <v>0</v>
      </c>
      <c r="O325" t="str">
        <f t="shared" si="47"/>
        <v>Standard order</v>
      </c>
      <c r="P325" s="7">
        <f t="shared" si="41"/>
        <v>4.33</v>
      </c>
      <c r="Q325" s="7" t="str">
        <f>VLOOKUP(D326,Product_Lookup!$A$2:$C$27,2,FALSE)</f>
        <v>Board Game</v>
      </c>
      <c r="R325" s="7">
        <f t="shared" si="42"/>
        <v>346.4</v>
      </c>
    </row>
    <row r="326" spans="1:18" ht="21.75" customHeight="1">
      <c r="A326" t="s">
        <v>464</v>
      </c>
      <c r="B326" s="6">
        <v>45502</v>
      </c>
      <c r="C326" t="s">
        <v>465</v>
      </c>
      <c r="D326" t="s">
        <v>41</v>
      </c>
      <c r="E326" t="s">
        <v>17</v>
      </c>
      <c r="F326" t="s">
        <v>42</v>
      </c>
      <c r="G326" t="s">
        <v>36</v>
      </c>
      <c r="H326">
        <v>13</v>
      </c>
      <c r="I326" t="str">
        <f>VLOOKUP(D326,Product_Lookup!$A$2:$C$27,3,FALSE)</f>
        <v>$86.6</v>
      </c>
      <c r="J326" t="str">
        <f t="shared" si="43"/>
        <v>Monday</v>
      </c>
      <c r="K326" s="10" t="str">
        <f t="shared" si="44"/>
        <v>July</v>
      </c>
      <c r="L326">
        <f t="shared" si="45"/>
        <v>2024</v>
      </c>
      <c r="M326" t="b">
        <f t="shared" si="46"/>
        <v>0</v>
      </c>
      <c r="N326" t="b">
        <f t="shared" si="40"/>
        <v>1</v>
      </c>
      <c r="O326" t="str">
        <f t="shared" si="47"/>
        <v>Large Order</v>
      </c>
      <c r="P326" s="7">
        <f t="shared" si="41"/>
        <v>4.33</v>
      </c>
      <c r="Q326" s="7" t="str">
        <f>VLOOKUP(D327,Product_Lookup!$A$2:$C$27,2,FALSE)</f>
        <v>Sweater</v>
      </c>
      <c r="R326" s="7">
        <f t="shared" si="42"/>
        <v>1125.8</v>
      </c>
    </row>
    <row r="327" spans="1:18" ht="21.75" customHeight="1">
      <c r="A327" t="s">
        <v>466</v>
      </c>
      <c r="B327" s="6">
        <v>45310</v>
      </c>
      <c r="C327" t="s">
        <v>366</v>
      </c>
      <c r="D327" t="s">
        <v>26</v>
      </c>
      <c r="E327" t="s">
        <v>11</v>
      </c>
      <c r="F327" t="s">
        <v>42</v>
      </c>
      <c r="G327" t="s">
        <v>23</v>
      </c>
      <c r="H327">
        <v>11</v>
      </c>
      <c r="I327" t="str">
        <f>VLOOKUP(D327,Product_Lookup!$A$2:$C$27,3,FALSE)</f>
        <v>$84.57</v>
      </c>
      <c r="J327" t="str">
        <f t="shared" si="43"/>
        <v>Friday</v>
      </c>
      <c r="K327" s="10" t="str">
        <f t="shared" si="44"/>
        <v>January</v>
      </c>
      <c r="L327">
        <f t="shared" si="45"/>
        <v>2024</v>
      </c>
      <c r="M327" t="b">
        <f t="shared" si="46"/>
        <v>0</v>
      </c>
      <c r="N327" t="b">
        <f t="shared" si="40"/>
        <v>1</v>
      </c>
      <c r="O327" t="str">
        <f t="shared" si="47"/>
        <v>Large Order</v>
      </c>
      <c r="P327" s="7">
        <f t="shared" si="41"/>
        <v>4.2284999999999995</v>
      </c>
      <c r="Q327" s="7" t="str">
        <f>VLOOKUP(D328,Product_Lookup!$A$2:$C$27,2,FALSE)</f>
        <v>Air Fryer</v>
      </c>
      <c r="R327" s="7">
        <f t="shared" si="42"/>
        <v>930.27</v>
      </c>
    </row>
    <row r="328" spans="1:18" ht="21.75" customHeight="1">
      <c r="A328" t="s">
        <v>467</v>
      </c>
      <c r="B328" s="6">
        <v>45555</v>
      </c>
      <c r="C328" t="s">
        <v>25</v>
      </c>
      <c r="D328" t="s">
        <v>70</v>
      </c>
      <c r="E328" t="s">
        <v>22</v>
      </c>
      <c r="F328" t="s">
        <v>306</v>
      </c>
      <c r="G328" t="s">
        <v>36</v>
      </c>
      <c r="H328">
        <v>14</v>
      </c>
      <c r="I328" t="str">
        <f>VLOOKUP(D328,Product_Lookup!$A$2:$C$27,3,FALSE)</f>
        <v>$211.9</v>
      </c>
      <c r="J328" t="str">
        <f t="shared" si="43"/>
        <v>Friday</v>
      </c>
      <c r="K328" s="10" t="str">
        <f t="shared" si="44"/>
        <v>September</v>
      </c>
      <c r="L328">
        <f t="shared" si="45"/>
        <v>2024</v>
      </c>
      <c r="M328" t="b">
        <f t="shared" si="46"/>
        <v>0</v>
      </c>
      <c r="N328" t="b">
        <f t="shared" si="40"/>
        <v>1</v>
      </c>
      <c r="O328" t="str">
        <f t="shared" si="47"/>
        <v>Large Order</v>
      </c>
      <c r="P328" s="7">
        <f t="shared" si="41"/>
        <v>10.595000000000001</v>
      </c>
      <c r="Q328" s="7" t="str">
        <f>VLOOKUP(D329,Product_Lookup!$A$2:$C$27,2,FALSE)</f>
        <v>Doll</v>
      </c>
      <c r="R328" s="7">
        <f t="shared" si="42"/>
        <v>2966.6</v>
      </c>
    </row>
    <row r="329" spans="1:18" ht="21.75" customHeight="1">
      <c r="A329" t="s">
        <v>468</v>
      </c>
      <c r="B329" s="6">
        <v>45477</v>
      </c>
      <c r="C329" t="s">
        <v>381</v>
      </c>
      <c r="D329" t="s">
        <v>119</v>
      </c>
      <c r="E329" t="s">
        <v>17</v>
      </c>
      <c r="F329" t="s">
        <v>27</v>
      </c>
      <c r="G329" t="s">
        <v>36</v>
      </c>
      <c r="H329">
        <v>2</v>
      </c>
      <c r="I329" t="str">
        <f>VLOOKUP(D329,Product_Lookup!$A$2:$C$27,3,FALSE)</f>
        <v>$32.94</v>
      </c>
      <c r="J329" t="str">
        <f t="shared" si="43"/>
        <v>Thursday</v>
      </c>
      <c r="K329" s="10" t="str">
        <f t="shared" si="44"/>
        <v>July</v>
      </c>
      <c r="L329">
        <f t="shared" si="45"/>
        <v>2024</v>
      </c>
      <c r="M329" t="b">
        <f t="shared" si="46"/>
        <v>0</v>
      </c>
      <c r="N329" t="b">
        <f t="shared" si="40"/>
        <v>0</v>
      </c>
      <c r="O329" t="str">
        <f t="shared" si="47"/>
        <v>Standard order</v>
      </c>
      <c r="P329" s="7">
        <f t="shared" si="41"/>
        <v>1.647</v>
      </c>
      <c r="Q329" s="7" t="str">
        <f>VLOOKUP(D330,Product_Lookup!$A$2:$C$27,2,FALSE)</f>
        <v>Monitor</v>
      </c>
      <c r="R329" s="7">
        <f t="shared" si="42"/>
        <v>65.88</v>
      </c>
    </row>
    <row r="330" spans="1:18" ht="21.75" customHeight="1">
      <c r="A330" t="s">
        <v>469</v>
      </c>
      <c r="B330" s="6">
        <v>45359</v>
      </c>
      <c r="C330" t="s">
        <v>55</v>
      </c>
      <c r="D330" t="s">
        <v>102</v>
      </c>
      <c r="E330" t="s">
        <v>17</v>
      </c>
      <c r="F330" t="s">
        <v>27</v>
      </c>
      <c r="G330" t="s">
        <v>36</v>
      </c>
      <c r="H330">
        <v>1</v>
      </c>
      <c r="I330" t="str">
        <f>VLOOKUP(D330,Product_Lookup!$A$2:$C$27,3,FALSE)</f>
        <v>$145.48</v>
      </c>
      <c r="J330" t="str">
        <f t="shared" si="43"/>
        <v>Friday</v>
      </c>
      <c r="K330" s="10" t="str">
        <f t="shared" si="44"/>
        <v>March</v>
      </c>
      <c r="L330">
        <f t="shared" si="45"/>
        <v>2024</v>
      </c>
      <c r="M330" t="b">
        <f t="shared" si="46"/>
        <v>0</v>
      </c>
      <c r="N330" t="b">
        <f t="shared" si="40"/>
        <v>0</v>
      </c>
      <c r="O330" t="str">
        <f t="shared" si="47"/>
        <v>Standard order</v>
      </c>
      <c r="P330" s="7">
        <f t="shared" si="41"/>
        <v>7.274</v>
      </c>
      <c r="Q330" s="7" t="str">
        <f>VLOOKUP(D331,Product_Lookup!$A$2:$C$27,2,FALSE)</f>
        <v>Pen Set</v>
      </c>
      <c r="R330" s="7">
        <f t="shared" si="42"/>
        <v>145.47999999999999</v>
      </c>
    </row>
    <row r="331" spans="1:18" ht="21.75" customHeight="1">
      <c r="A331" t="s">
        <v>470</v>
      </c>
      <c r="B331" s="6">
        <v>45414</v>
      </c>
      <c r="C331" t="s">
        <v>369</v>
      </c>
      <c r="D331" t="s">
        <v>174</v>
      </c>
      <c r="E331" t="s">
        <v>11</v>
      </c>
      <c r="F331" t="s">
        <v>42</v>
      </c>
      <c r="G331" t="s">
        <v>13</v>
      </c>
      <c r="H331">
        <v>1</v>
      </c>
      <c r="I331" t="str">
        <f>VLOOKUP(D331,Product_Lookup!$A$2:$C$27,3,FALSE)</f>
        <v>$133.37</v>
      </c>
      <c r="J331" t="str">
        <f t="shared" si="43"/>
        <v>Thursday</v>
      </c>
      <c r="K331" s="10" t="str">
        <f t="shared" si="44"/>
        <v>May</v>
      </c>
      <c r="L331">
        <f t="shared" si="45"/>
        <v>2024</v>
      </c>
      <c r="M331" t="b">
        <f t="shared" si="46"/>
        <v>0</v>
      </c>
      <c r="N331" t="b">
        <f t="shared" si="40"/>
        <v>0</v>
      </c>
      <c r="O331" t="str">
        <f t="shared" si="47"/>
        <v>Standard order</v>
      </c>
      <c r="P331" s="7">
        <f t="shared" si="41"/>
        <v>6.6685000000000008</v>
      </c>
      <c r="Q331" s="7" t="str">
        <f>VLOOKUP(D332,Product_Lookup!$A$2:$C$27,2,FALSE)</f>
        <v>Action Figure</v>
      </c>
      <c r="R331" s="7">
        <f t="shared" si="42"/>
        <v>133.37</v>
      </c>
    </row>
    <row r="332" spans="1:18" ht="21.75" customHeight="1">
      <c r="A332" t="s">
        <v>471</v>
      </c>
      <c r="B332" s="6">
        <v>45407</v>
      </c>
      <c r="C332" t="s">
        <v>40</v>
      </c>
      <c r="D332" t="s">
        <v>21</v>
      </c>
      <c r="E332" t="s">
        <v>17</v>
      </c>
      <c r="F332" t="s">
        <v>12</v>
      </c>
      <c r="G332" t="s">
        <v>32</v>
      </c>
      <c r="H332">
        <v>5</v>
      </c>
      <c r="I332" t="str">
        <f>VLOOKUP(D332,Product_Lookup!$A$2:$C$27,3,FALSE)</f>
        <v>$88.18</v>
      </c>
      <c r="J332" t="str">
        <f t="shared" si="43"/>
        <v>Thursday</v>
      </c>
      <c r="K332" s="10" t="str">
        <f t="shared" si="44"/>
        <v>April</v>
      </c>
      <c r="L332">
        <f t="shared" si="45"/>
        <v>2024</v>
      </c>
      <c r="M332" t="b">
        <f t="shared" si="46"/>
        <v>0</v>
      </c>
      <c r="N332" t="b">
        <f t="shared" si="40"/>
        <v>0</v>
      </c>
      <c r="O332" t="str">
        <f t="shared" si="47"/>
        <v>Standard order</v>
      </c>
      <c r="P332" s="7">
        <f t="shared" si="41"/>
        <v>4.4090000000000007</v>
      </c>
      <c r="Q332" s="7" t="str">
        <f>VLOOKUP(D333,Product_Lookup!$A$2:$C$27,2,FALSE)</f>
        <v>Stapler</v>
      </c>
      <c r="R332" s="7">
        <f t="shared" si="42"/>
        <v>440.90000000000003</v>
      </c>
    </row>
    <row r="333" spans="1:18" ht="21.75" customHeight="1">
      <c r="A333" t="s">
        <v>472</v>
      </c>
      <c r="B333" s="6">
        <v>45552</v>
      </c>
      <c r="C333" t="s">
        <v>369</v>
      </c>
      <c r="D333" t="s">
        <v>35</v>
      </c>
      <c r="E333" t="s">
        <v>17</v>
      </c>
      <c r="F333" t="s">
        <v>27</v>
      </c>
      <c r="G333" t="s">
        <v>36</v>
      </c>
      <c r="H333">
        <v>16</v>
      </c>
      <c r="I333" t="str">
        <f>VLOOKUP(D333,Product_Lookup!$A$2:$C$27,3,FALSE)</f>
        <v>$64.61</v>
      </c>
      <c r="J333" t="str">
        <f t="shared" si="43"/>
        <v>Tuesday</v>
      </c>
      <c r="K333" s="10" t="str">
        <f t="shared" si="44"/>
        <v>September</v>
      </c>
      <c r="L333">
        <f t="shared" si="45"/>
        <v>2024</v>
      </c>
      <c r="M333" t="b">
        <f t="shared" si="46"/>
        <v>0</v>
      </c>
      <c r="N333" t="b">
        <f t="shared" si="40"/>
        <v>1</v>
      </c>
      <c r="O333" t="str">
        <f t="shared" si="47"/>
        <v>Large Order</v>
      </c>
      <c r="P333" s="7">
        <f t="shared" si="41"/>
        <v>3.2305000000000001</v>
      </c>
      <c r="Q333" s="7" t="str">
        <f>VLOOKUP(D334,Product_Lookup!$A$2:$C$27,2,FALSE)</f>
        <v>Notebook</v>
      </c>
      <c r="R333" s="7">
        <f t="shared" si="42"/>
        <v>1033.76</v>
      </c>
    </row>
    <row r="334" spans="1:18" ht="21.75" customHeight="1">
      <c r="A334" t="s">
        <v>473</v>
      </c>
      <c r="B334" s="6">
        <v>45366</v>
      </c>
      <c r="C334" t="s">
        <v>53</v>
      </c>
      <c r="D334" t="s">
        <v>160</v>
      </c>
      <c r="E334" t="s">
        <v>11</v>
      </c>
      <c r="F334" t="s">
        <v>306</v>
      </c>
      <c r="G334" t="s">
        <v>32</v>
      </c>
      <c r="H334">
        <v>5</v>
      </c>
      <c r="I334" t="str">
        <f>VLOOKUP(D334,Product_Lookup!$A$2:$C$27,3,FALSE)</f>
        <v>$149.27</v>
      </c>
      <c r="J334" t="str">
        <f t="shared" si="43"/>
        <v>Friday</v>
      </c>
      <c r="K334" s="10" t="str">
        <f t="shared" si="44"/>
        <v>March</v>
      </c>
      <c r="L334">
        <f t="shared" si="45"/>
        <v>2024</v>
      </c>
      <c r="M334" t="b">
        <f t="shared" si="46"/>
        <v>0</v>
      </c>
      <c r="N334" t="b">
        <f t="shared" si="40"/>
        <v>0</v>
      </c>
      <c r="O334" t="str">
        <f t="shared" si="47"/>
        <v>Large Order</v>
      </c>
      <c r="P334" s="7">
        <f t="shared" si="41"/>
        <v>7.4635000000000007</v>
      </c>
      <c r="Q334" s="7" t="str">
        <f>VLOOKUP(D335,Product_Lookup!$A$2:$C$27,2,FALSE)</f>
        <v>Laptop</v>
      </c>
      <c r="R334" s="7">
        <f t="shared" si="42"/>
        <v>746.35</v>
      </c>
    </row>
    <row r="335" spans="1:18" ht="21.75" customHeight="1">
      <c r="A335" t="s">
        <v>474</v>
      </c>
      <c r="B335" s="6">
        <v>45504</v>
      </c>
      <c r="C335" t="s">
        <v>47</v>
      </c>
      <c r="D335" t="s">
        <v>96</v>
      </c>
      <c r="E335" t="s">
        <v>22</v>
      </c>
      <c r="F335" t="s">
        <v>42</v>
      </c>
      <c r="G335" t="s">
        <v>36</v>
      </c>
      <c r="H335">
        <v>10</v>
      </c>
      <c r="I335" t="str">
        <f>VLOOKUP(D335,Product_Lookup!$A$2:$C$27,3,FALSE)</f>
        <v>$230.68</v>
      </c>
      <c r="J335" t="str">
        <f t="shared" si="43"/>
        <v>Wednesday</v>
      </c>
      <c r="K335" s="10" t="str">
        <f t="shared" si="44"/>
        <v>July</v>
      </c>
      <c r="L335">
        <f t="shared" si="45"/>
        <v>2024</v>
      </c>
      <c r="M335" t="b">
        <f t="shared" si="46"/>
        <v>0</v>
      </c>
      <c r="N335" t="b">
        <f t="shared" si="40"/>
        <v>1</v>
      </c>
      <c r="O335" t="str">
        <f t="shared" si="47"/>
        <v>Large Order</v>
      </c>
      <c r="P335" s="7">
        <f t="shared" si="41"/>
        <v>11.534000000000001</v>
      </c>
      <c r="Q335" s="7" t="str">
        <f>VLOOKUP(D336,Product_Lookup!$A$2:$C$27,2,FALSE)</f>
        <v>Air Fryer</v>
      </c>
      <c r="R335" s="7">
        <f t="shared" si="42"/>
        <v>2306.8000000000002</v>
      </c>
    </row>
    <row r="336" spans="1:18" ht="21.75" customHeight="1">
      <c r="A336" t="s">
        <v>475</v>
      </c>
      <c r="B336" s="6">
        <v>45588</v>
      </c>
      <c r="C336" t="s">
        <v>371</v>
      </c>
      <c r="D336" t="s">
        <v>70</v>
      </c>
      <c r="E336" t="s">
        <v>17</v>
      </c>
      <c r="F336" t="s">
        <v>56</v>
      </c>
      <c r="G336" t="s">
        <v>32</v>
      </c>
      <c r="H336">
        <v>18</v>
      </c>
      <c r="I336" t="str">
        <f>VLOOKUP(D336,Product_Lookup!$A$2:$C$27,3,FALSE)</f>
        <v>$211.9</v>
      </c>
      <c r="J336" t="str">
        <f t="shared" si="43"/>
        <v>Wednesday</v>
      </c>
      <c r="K336" s="10" t="str">
        <f t="shared" si="44"/>
        <v>October</v>
      </c>
      <c r="L336">
        <f t="shared" si="45"/>
        <v>2024</v>
      </c>
      <c r="M336" t="b">
        <f t="shared" si="46"/>
        <v>0</v>
      </c>
      <c r="N336" t="b">
        <f t="shared" si="40"/>
        <v>1</v>
      </c>
      <c r="O336" t="str">
        <f t="shared" si="47"/>
        <v>Large Order</v>
      </c>
      <c r="P336" s="7">
        <f t="shared" si="41"/>
        <v>10.595000000000001</v>
      </c>
      <c r="Q336" s="7" t="str">
        <f>VLOOKUP(D337,Product_Lookup!$A$2:$C$27,2,FALSE)</f>
        <v>Air Fryer</v>
      </c>
      <c r="R336" s="7">
        <f t="shared" si="42"/>
        <v>3814.2000000000003</v>
      </c>
    </row>
    <row r="337" spans="1:18" ht="21.75" customHeight="1">
      <c r="A337" t="s">
        <v>476</v>
      </c>
      <c r="B337" s="6">
        <v>45574</v>
      </c>
      <c r="C337" t="s">
        <v>332</v>
      </c>
      <c r="D337" t="s">
        <v>70</v>
      </c>
      <c r="E337" t="s">
        <v>22</v>
      </c>
      <c r="F337" t="s">
        <v>27</v>
      </c>
      <c r="G337" t="s">
        <v>28</v>
      </c>
      <c r="H337">
        <v>11</v>
      </c>
      <c r="I337" t="str">
        <f>VLOOKUP(D337,Product_Lookup!$A$2:$C$27,3,FALSE)</f>
        <v>$211.9</v>
      </c>
      <c r="J337" t="str">
        <f t="shared" si="43"/>
        <v>Wednesday</v>
      </c>
      <c r="K337" s="10" t="str">
        <f t="shared" si="44"/>
        <v>October</v>
      </c>
      <c r="L337">
        <f t="shared" si="45"/>
        <v>2024</v>
      </c>
      <c r="M337" t="b">
        <f t="shared" si="46"/>
        <v>0</v>
      </c>
      <c r="N337" t="b">
        <f t="shared" si="40"/>
        <v>1</v>
      </c>
      <c r="O337" t="str">
        <f t="shared" si="47"/>
        <v>Large Order</v>
      </c>
      <c r="P337" s="7">
        <f t="shared" si="41"/>
        <v>10.595000000000001</v>
      </c>
      <c r="Q337" s="7" t="str">
        <f>VLOOKUP(D338,Product_Lookup!$A$2:$C$27,2,FALSE)</f>
        <v>Smartphone</v>
      </c>
      <c r="R337" s="7">
        <f t="shared" si="42"/>
        <v>2330.9</v>
      </c>
    </row>
    <row r="338" spans="1:18" ht="21.75" customHeight="1">
      <c r="A338" t="s">
        <v>477</v>
      </c>
      <c r="B338" s="6">
        <v>45584</v>
      </c>
      <c r="C338" t="s">
        <v>53</v>
      </c>
      <c r="D338" t="s">
        <v>79</v>
      </c>
      <c r="E338" t="s">
        <v>11</v>
      </c>
      <c r="F338" t="s">
        <v>27</v>
      </c>
      <c r="G338" t="s">
        <v>23</v>
      </c>
      <c r="H338">
        <v>11</v>
      </c>
      <c r="I338" t="str">
        <f>VLOOKUP(D338,Product_Lookup!$A$2:$C$27,3,FALSE)</f>
        <v>$216.22</v>
      </c>
      <c r="J338" t="str">
        <f t="shared" si="43"/>
        <v>Saturday</v>
      </c>
      <c r="K338" s="10" t="str">
        <f t="shared" si="44"/>
        <v>October</v>
      </c>
      <c r="L338">
        <f t="shared" si="45"/>
        <v>2024</v>
      </c>
      <c r="M338" t="b">
        <f t="shared" si="46"/>
        <v>1</v>
      </c>
      <c r="N338" t="b">
        <f t="shared" si="40"/>
        <v>1</v>
      </c>
      <c r="O338" t="str">
        <f t="shared" si="47"/>
        <v>Large Order</v>
      </c>
      <c r="P338" s="7">
        <f t="shared" si="41"/>
        <v>10.811</v>
      </c>
      <c r="Q338" s="7" t="str">
        <f>VLOOKUP(D339,Product_Lookup!$A$2:$C$27,2,FALSE)</f>
        <v>Stapler</v>
      </c>
      <c r="R338" s="7">
        <f t="shared" si="42"/>
        <v>2378.42</v>
      </c>
    </row>
    <row r="339" spans="1:18" ht="21.75" customHeight="1">
      <c r="A339" t="s">
        <v>478</v>
      </c>
      <c r="B339" s="6">
        <v>45489</v>
      </c>
      <c r="C339" t="s">
        <v>371</v>
      </c>
      <c r="D339" t="s">
        <v>35</v>
      </c>
      <c r="E339" t="s">
        <v>22</v>
      </c>
      <c r="F339" t="s">
        <v>56</v>
      </c>
      <c r="G339" t="s">
        <v>36</v>
      </c>
      <c r="H339">
        <v>2</v>
      </c>
      <c r="I339" t="str">
        <f>VLOOKUP(D339,Product_Lookup!$A$2:$C$27,3,FALSE)</f>
        <v>$64.61</v>
      </c>
      <c r="J339" t="str">
        <f t="shared" si="43"/>
        <v>Tuesday</v>
      </c>
      <c r="K339" s="10" t="str">
        <f t="shared" si="44"/>
        <v>July</v>
      </c>
      <c r="L339">
        <f t="shared" si="45"/>
        <v>2024</v>
      </c>
      <c r="M339" t="b">
        <f t="shared" si="46"/>
        <v>0</v>
      </c>
      <c r="N339" t="b">
        <f t="shared" si="40"/>
        <v>0</v>
      </c>
      <c r="O339" t="str">
        <f t="shared" si="47"/>
        <v>Standard order</v>
      </c>
      <c r="P339" s="7">
        <f t="shared" si="41"/>
        <v>3.2305000000000001</v>
      </c>
      <c r="Q339" s="7" t="str">
        <f>VLOOKUP(D340,Product_Lookup!$A$2:$C$27,2,FALSE)</f>
        <v>Notebook</v>
      </c>
      <c r="R339" s="7">
        <f t="shared" si="42"/>
        <v>129.22</v>
      </c>
    </row>
    <row r="340" spans="1:18" ht="21.75" customHeight="1">
      <c r="A340" t="s">
        <v>479</v>
      </c>
      <c r="B340" s="6">
        <v>45461</v>
      </c>
      <c r="C340" t="s">
        <v>108</v>
      </c>
      <c r="D340" t="s">
        <v>160</v>
      </c>
      <c r="E340" t="s">
        <v>17</v>
      </c>
      <c r="F340" t="s">
        <v>12</v>
      </c>
      <c r="G340" t="s">
        <v>28</v>
      </c>
      <c r="H340">
        <v>15</v>
      </c>
      <c r="I340" t="str">
        <f>VLOOKUP(D340,Product_Lookup!$A$2:$C$27,3,FALSE)</f>
        <v>$149.27</v>
      </c>
      <c r="J340" t="str">
        <f t="shared" si="43"/>
        <v>Tuesday</v>
      </c>
      <c r="K340" s="10" t="str">
        <f t="shared" si="44"/>
        <v>June</v>
      </c>
      <c r="L340">
        <f t="shared" si="45"/>
        <v>2024</v>
      </c>
      <c r="M340" t="b">
        <f t="shared" si="46"/>
        <v>0</v>
      </c>
      <c r="N340" t="b">
        <f t="shared" si="40"/>
        <v>1</v>
      </c>
      <c r="O340" t="str">
        <f t="shared" si="47"/>
        <v>Large Order</v>
      </c>
      <c r="P340" s="7">
        <f t="shared" si="41"/>
        <v>7.4635000000000007</v>
      </c>
      <c r="Q340" s="7" t="str">
        <f>VLOOKUP(D341,Product_Lookup!$A$2:$C$27,2,FALSE)</f>
        <v>Stapler</v>
      </c>
      <c r="R340" s="7">
        <f t="shared" si="42"/>
        <v>2239.0500000000002</v>
      </c>
    </row>
    <row r="341" spans="1:18" ht="21.75" customHeight="1">
      <c r="A341" t="s">
        <v>480</v>
      </c>
      <c r="B341" s="6">
        <v>45501</v>
      </c>
      <c r="C341" t="s">
        <v>350</v>
      </c>
      <c r="D341" t="s">
        <v>35</v>
      </c>
      <c r="E341" t="s">
        <v>11</v>
      </c>
      <c r="F341" t="s">
        <v>12</v>
      </c>
      <c r="G341" t="s">
        <v>23</v>
      </c>
      <c r="H341">
        <v>9</v>
      </c>
      <c r="I341" t="str">
        <f>VLOOKUP(D341,Product_Lookup!$A$2:$C$27,3,FALSE)</f>
        <v>$64.61</v>
      </c>
      <c r="J341" t="str">
        <f t="shared" si="43"/>
        <v>Sunday</v>
      </c>
      <c r="K341" s="10" t="str">
        <f t="shared" si="44"/>
        <v>July</v>
      </c>
      <c r="L341">
        <f t="shared" si="45"/>
        <v>2024</v>
      </c>
      <c r="M341" t="b">
        <f t="shared" si="46"/>
        <v>1</v>
      </c>
      <c r="N341" t="b">
        <f t="shared" si="40"/>
        <v>0</v>
      </c>
      <c r="O341" t="str">
        <f t="shared" si="47"/>
        <v>Large Order</v>
      </c>
      <c r="P341" s="7">
        <f t="shared" si="41"/>
        <v>3.2305000000000001</v>
      </c>
      <c r="Q341" s="7" t="str">
        <f>VLOOKUP(D342,Product_Lookup!$A$2:$C$27,2,FALSE)</f>
        <v>Coffee Maker</v>
      </c>
      <c r="R341" s="7">
        <f t="shared" si="42"/>
        <v>581.49</v>
      </c>
    </row>
    <row r="342" spans="1:18" ht="21.75" customHeight="1">
      <c r="A342" t="s">
        <v>481</v>
      </c>
      <c r="B342" s="6">
        <v>45624</v>
      </c>
      <c r="C342" t="s">
        <v>81</v>
      </c>
      <c r="D342" t="s">
        <v>31</v>
      </c>
      <c r="E342" t="s">
        <v>17</v>
      </c>
      <c r="F342" t="s">
        <v>306</v>
      </c>
      <c r="G342" t="s">
        <v>23</v>
      </c>
      <c r="H342">
        <v>11</v>
      </c>
      <c r="I342" t="str">
        <f>VLOOKUP(D342,Product_Lookup!$A$2:$C$27,3,FALSE)</f>
        <v>$230.34</v>
      </c>
      <c r="J342" t="str">
        <f t="shared" si="43"/>
        <v>Thursday</v>
      </c>
      <c r="K342" s="10" t="str">
        <f t="shared" si="44"/>
        <v>November</v>
      </c>
      <c r="L342">
        <f t="shared" si="45"/>
        <v>2024</v>
      </c>
      <c r="M342" t="b">
        <f t="shared" si="46"/>
        <v>0</v>
      </c>
      <c r="N342" t="b">
        <f t="shared" si="40"/>
        <v>1</v>
      </c>
      <c r="O342" t="str">
        <f t="shared" si="47"/>
        <v>Large Order</v>
      </c>
      <c r="P342" s="7">
        <f t="shared" si="41"/>
        <v>11.517000000000001</v>
      </c>
      <c r="Q342" s="7" t="str">
        <f>VLOOKUP(D343,Product_Lookup!$A$2:$C$27,2,FALSE)</f>
        <v>Jacket</v>
      </c>
      <c r="R342" s="7">
        <f t="shared" si="42"/>
        <v>2533.7400000000002</v>
      </c>
    </row>
    <row r="343" spans="1:18" ht="21.75" customHeight="1">
      <c r="A343" t="s">
        <v>482</v>
      </c>
      <c r="B343" s="6">
        <v>45569</v>
      </c>
      <c r="C343" t="s">
        <v>122</v>
      </c>
      <c r="D343" t="s">
        <v>197</v>
      </c>
      <c r="E343" t="s">
        <v>22</v>
      </c>
      <c r="F343" t="s">
        <v>12</v>
      </c>
      <c r="G343" t="s">
        <v>13</v>
      </c>
      <c r="H343">
        <v>10</v>
      </c>
      <c r="I343" t="str">
        <f>VLOOKUP(D343,Product_Lookup!$A$2:$C$27,3,FALSE)</f>
        <v>$10.11</v>
      </c>
      <c r="J343" t="str">
        <f t="shared" si="43"/>
        <v>Friday</v>
      </c>
      <c r="K343" s="10" t="str">
        <f t="shared" si="44"/>
        <v>October</v>
      </c>
      <c r="L343">
        <f t="shared" si="45"/>
        <v>2024</v>
      </c>
      <c r="M343" t="b">
        <f t="shared" si="46"/>
        <v>0</v>
      </c>
      <c r="N343" t="b">
        <f t="shared" si="40"/>
        <v>0</v>
      </c>
      <c r="O343" t="str">
        <f t="shared" si="47"/>
        <v>Standard order</v>
      </c>
      <c r="P343" s="7">
        <f t="shared" si="41"/>
        <v>0.50549999999999995</v>
      </c>
      <c r="Q343" s="7" t="str">
        <f>VLOOKUP(D344,Product_Lookup!$A$2:$C$27,2,FALSE)</f>
        <v>Air Fryer</v>
      </c>
      <c r="R343" s="7">
        <f t="shared" si="42"/>
        <v>101.1</v>
      </c>
    </row>
    <row r="344" spans="1:18" ht="21.75" customHeight="1">
      <c r="A344" t="s">
        <v>483</v>
      </c>
      <c r="B344" s="6">
        <v>45514</v>
      </c>
      <c r="C344" t="s">
        <v>108</v>
      </c>
      <c r="D344" t="s">
        <v>70</v>
      </c>
      <c r="E344" t="s">
        <v>22</v>
      </c>
      <c r="F344" t="s">
        <v>12</v>
      </c>
      <c r="G344" t="s">
        <v>13</v>
      </c>
      <c r="H344">
        <v>6</v>
      </c>
      <c r="I344" t="str">
        <f>VLOOKUP(D344,Product_Lookup!$A$2:$C$27,3,FALSE)</f>
        <v>$211.9</v>
      </c>
      <c r="J344" t="str">
        <f t="shared" si="43"/>
        <v>Saturday</v>
      </c>
      <c r="K344" s="10" t="str">
        <f t="shared" si="44"/>
        <v>August</v>
      </c>
      <c r="L344">
        <f t="shared" si="45"/>
        <v>2024</v>
      </c>
      <c r="M344" t="b">
        <f t="shared" si="46"/>
        <v>1</v>
      </c>
      <c r="N344" t="b">
        <f t="shared" si="40"/>
        <v>1</v>
      </c>
      <c r="O344" t="str">
        <f t="shared" si="47"/>
        <v>Large Order</v>
      </c>
      <c r="P344" s="7">
        <f t="shared" si="41"/>
        <v>10.595000000000001</v>
      </c>
      <c r="Q344" s="7" t="str">
        <f>VLOOKUP(D345,Product_Lookup!$A$2:$C$27,2,FALSE)</f>
        <v>Toaster</v>
      </c>
      <c r="R344" s="7">
        <f t="shared" si="42"/>
        <v>1271.4000000000001</v>
      </c>
    </row>
    <row r="345" spans="1:18" ht="21.75" customHeight="1">
      <c r="A345" t="s">
        <v>484</v>
      </c>
      <c r="B345" s="6">
        <v>45315</v>
      </c>
      <c r="C345" t="s">
        <v>187</v>
      </c>
      <c r="D345" t="s">
        <v>48</v>
      </c>
      <c r="E345" t="s">
        <v>11</v>
      </c>
      <c r="F345" t="s">
        <v>42</v>
      </c>
      <c r="G345" t="s">
        <v>28</v>
      </c>
      <c r="H345">
        <v>12</v>
      </c>
      <c r="I345" t="str">
        <f>VLOOKUP(D345,Product_Lookup!$A$2:$C$27,3,FALSE)</f>
        <v>$208.85</v>
      </c>
      <c r="J345" t="str">
        <f t="shared" si="43"/>
        <v>Wednesday</v>
      </c>
      <c r="K345" s="10" t="str">
        <f t="shared" si="44"/>
        <v>January</v>
      </c>
      <c r="L345">
        <f t="shared" si="45"/>
        <v>2024</v>
      </c>
      <c r="M345" t="b">
        <f t="shared" si="46"/>
        <v>0</v>
      </c>
      <c r="N345" t="b">
        <f t="shared" si="40"/>
        <v>1</v>
      </c>
      <c r="O345" t="str">
        <f t="shared" si="47"/>
        <v>Large Order</v>
      </c>
      <c r="P345" s="7">
        <f t="shared" si="41"/>
        <v>10.442500000000001</v>
      </c>
      <c r="Q345" s="7" t="str">
        <f>VLOOKUP(D346,Product_Lookup!$A$2:$C$27,2,FALSE)</f>
        <v>T-Shirt</v>
      </c>
      <c r="R345" s="7">
        <f t="shared" si="42"/>
        <v>2506.1999999999998</v>
      </c>
    </row>
    <row r="346" spans="1:18" ht="21.75" customHeight="1">
      <c r="A346" t="s">
        <v>485</v>
      </c>
      <c r="B346" s="6">
        <v>45563</v>
      </c>
      <c r="C346" t="s">
        <v>408</v>
      </c>
      <c r="D346" t="s">
        <v>45</v>
      </c>
      <c r="E346" t="s">
        <v>22</v>
      </c>
      <c r="F346" t="s">
        <v>56</v>
      </c>
      <c r="G346" t="s">
        <v>23</v>
      </c>
      <c r="H346">
        <v>6</v>
      </c>
      <c r="I346" t="str">
        <f>VLOOKUP(D346,Product_Lookup!$A$2:$C$27,3,FALSE)</f>
        <v>$107.34</v>
      </c>
      <c r="J346" t="str">
        <f t="shared" si="43"/>
        <v>Saturday</v>
      </c>
      <c r="K346" s="10" t="str">
        <f t="shared" si="44"/>
        <v>September</v>
      </c>
      <c r="L346">
        <f t="shared" si="45"/>
        <v>2024</v>
      </c>
      <c r="M346" t="b">
        <f t="shared" si="46"/>
        <v>1</v>
      </c>
      <c r="N346" t="b">
        <f t="shared" si="40"/>
        <v>0</v>
      </c>
      <c r="O346" t="str">
        <f t="shared" si="47"/>
        <v>Large Order</v>
      </c>
      <c r="P346" s="7">
        <f t="shared" si="41"/>
        <v>5.3670000000000009</v>
      </c>
      <c r="Q346" s="7" t="str">
        <f>VLOOKUP(D347,Product_Lookup!$A$2:$C$27,2,FALSE)</f>
        <v>Desk Lamp</v>
      </c>
      <c r="R346" s="7">
        <f t="shared" si="42"/>
        <v>644.04</v>
      </c>
    </row>
    <row r="347" spans="1:18" ht="21.75" customHeight="1">
      <c r="A347" t="s">
        <v>486</v>
      </c>
      <c r="B347" s="6">
        <v>45609</v>
      </c>
      <c r="C347" t="s">
        <v>455</v>
      </c>
      <c r="D347" t="s">
        <v>59</v>
      </c>
      <c r="E347" t="s">
        <v>11</v>
      </c>
      <c r="F347" t="s">
        <v>27</v>
      </c>
      <c r="G347" t="s">
        <v>32</v>
      </c>
      <c r="H347">
        <v>5</v>
      </c>
      <c r="I347" t="str">
        <f>VLOOKUP(D347,Product_Lookup!$A$2:$C$27,3,FALSE)</f>
        <v>$101.96</v>
      </c>
      <c r="J347" t="str">
        <f t="shared" si="43"/>
        <v>Wednesday</v>
      </c>
      <c r="K347" s="10" t="str">
        <f t="shared" si="44"/>
        <v>November</v>
      </c>
      <c r="L347">
        <f t="shared" si="45"/>
        <v>2024</v>
      </c>
      <c r="M347" t="b">
        <f t="shared" si="46"/>
        <v>0</v>
      </c>
      <c r="N347" t="b">
        <f t="shared" si="40"/>
        <v>0</v>
      </c>
      <c r="O347" t="str">
        <f t="shared" si="47"/>
        <v>Large Order</v>
      </c>
      <c r="P347" s="7">
        <f t="shared" si="41"/>
        <v>5.0979999999999999</v>
      </c>
      <c r="Q347" s="7" t="str">
        <f>VLOOKUP(D348,Product_Lookup!$A$2:$C$27,2,FALSE)</f>
        <v>Air Fryer</v>
      </c>
      <c r="R347" s="7">
        <f t="shared" si="42"/>
        <v>509.79999999999995</v>
      </c>
    </row>
    <row r="348" spans="1:18" ht="21.75" customHeight="1">
      <c r="A348" t="s">
        <v>487</v>
      </c>
      <c r="B348" s="6">
        <v>45527</v>
      </c>
      <c r="C348" t="s">
        <v>230</v>
      </c>
      <c r="D348" t="s">
        <v>70</v>
      </c>
      <c r="E348" t="s">
        <v>22</v>
      </c>
      <c r="F348" t="s">
        <v>12</v>
      </c>
      <c r="G348" t="s">
        <v>28</v>
      </c>
      <c r="H348">
        <v>10</v>
      </c>
      <c r="I348" t="str">
        <f>VLOOKUP(D348,Product_Lookup!$A$2:$C$27,3,FALSE)</f>
        <v>$211.9</v>
      </c>
      <c r="J348" t="str">
        <f t="shared" si="43"/>
        <v>Friday</v>
      </c>
      <c r="K348" s="10" t="str">
        <f t="shared" si="44"/>
        <v>August</v>
      </c>
      <c r="L348">
        <f t="shared" si="45"/>
        <v>2024</v>
      </c>
      <c r="M348" t="b">
        <f t="shared" si="46"/>
        <v>0</v>
      </c>
      <c r="N348" t="b">
        <f t="shared" si="40"/>
        <v>1</v>
      </c>
      <c r="O348" t="str">
        <f t="shared" si="47"/>
        <v>Large Order</v>
      </c>
      <c r="P348" s="7">
        <f t="shared" si="41"/>
        <v>10.595000000000001</v>
      </c>
      <c r="Q348" s="7" t="str">
        <f>VLOOKUP(D349,Product_Lookup!$A$2:$C$27,2,FALSE)</f>
        <v>Socks</v>
      </c>
      <c r="R348" s="7">
        <f t="shared" si="42"/>
        <v>2119</v>
      </c>
    </row>
    <row r="349" spans="1:18" ht="21.75" customHeight="1">
      <c r="A349" t="s">
        <v>488</v>
      </c>
      <c r="B349" s="6">
        <v>45329</v>
      </c>
      <c r="C349" t="s">
        <v>396</v>
      </c>
      <c r="D349" t="s">
        <v>74</v>
      </c>
      <c r="E349" t="s">
        <v>17</v>
      </c>
      <c r="F349" t="s">
        <v>306</v>
      </c>
      <c r="G349" t="s">
        <v>23</v>
      </c>
      <c r="H349">
        <v>14</v>
      </c>
      <c r="I349" t="str">
        <f>VLOOKUP(D349,Product_Lookup!$A$2:$C$27,3,FALSE)</f>
        <v>$201.32</v>
      </c>
      <c r="J349" t="str">
        <f t="shared" si="43"/>
        <v>Wednesday</v>
      </c>
      <c r="K349" s="10" t="str">
        <f t="shared" si="44"/>
        <v>February</v>
      </c>
      <c r="L349">
        <f t="shared" si="45"/>
        <v>2024</v>
      </c>
      <c r="M349" t="b">
        <f t="shared" si="46"/>
        <v>0</v>
      </c>
      <c r="N349" t="b">
        <f t="shared" si="40"/>
        <v>1</v>
      </c>
      <c r="O349" t="str">
        <f t="shared" si="47"/>
        <v>Large Order</v>
      </c>
      <c r="P349" s="7">
        <f t="shared" si="41"/>
        <v>10.066000000000001</v>
      </c>
      <c r="Q349" s="7" t="str">
        <f>VLOOKUP(D350,Product_Lookup!$A$2:$C$27,2,FALSE)</f>
        <v>Monitor</v>
      </c>
      <c r="R349" s="7">
        <f t="shared" si="42"/>
        <v>2818.48</v>
      </c>
    </row>
    <row r="350" spans="1:18" ht="21.75" customHeight="1">
      <c r="A350" t="s">
        <v>489</v>
      </c>
      <c r="B350" s="6">
        <v>45446</v>
      </c>
      <c r="C350" t="s">
        <v>104</v>
      </c>
      <c r="D350" t="s">
        <v>102</v>
      </c>
      <c r="E350" t="s">
        <v>17</v>
      </c>
      <c r="F350" t="s">
        <v>27</v>
      </c>
      <c r="G350" t="s">
        <v>32</v>
      </c>
      <c r="H350">
        <v>8</v>
      </c>
      <c r="I350" t="str">
        <f>VLOOKUP(D350,Product_Lookup!$A$2:$C$27,3,FALSE)</f>
        <v>$145.48</v>
      </c>
      <c r="J350" t="str">
        <f t="shared" si="43"/>
        <v>Monday</v>
      </c>
      <c r="K350" s="10" t="str">
        <f t="shared" si="44"/>
        <v>June</v>
      </c>
      <c r="L350">
        <f t="shared" si="45"/>
        <v>2024</v>
      </c>
      <c r="M350" t="b">
        <f t="shared" si="46"/>
        <v>0</v>
      </c>
      <c r="N350" t="b">
        <f t="shared" si="40"/>
        <v>1</v>
      </c>
      <c r="O350" t="str">
        <f t="shared" si="47"/>
        <v>Large Order</v>
      </c>
      <c r="P350" s="7">
        <f t="shared" si="41"/>
        <v>7.274</v>
      </c>
      <c r="Q350" s="7" t="str">
        <f>VLOOKUP(D351,Product_Lookup!$A$2:$C$27,2,FALSE)</f>
        <v>Laptop</v>
      </c>
      <c r="R350" s="7">
        <f t="shared" si="42"/>
        <v>1163.8399999999999</v>
      </c>
    </row>
    <row r="351" spans="1:18" ht="21.75" customHeight="1">
      <c r="A351" t="s">
        <v>490</v>
      </c>
      <c r="B351" s="6">
        <v>45586</v>
      </c>
      <c r="C351" t="s">
        <v>61</v>
      </c>
      <c r="D351" t="s">
        <v>96</v>
      </c>
      <c r="E351" t="s">
        <v>22</v>
      </c>
      <c r="F351" t="s">
        <v>42</v>
      </c>
      <c r="G351" t="s">
        <v>36</v>
      </c>
      <c r="H351">
        <v>13</v>
      </c>
      <c r="I351" t="str">
        <f>VLOOKUP(D351,Product_Lookup!$A$2:$C$27,3,FALSE)</f>
        <v>$230.68</v>
      </c>
      <c r="J351" t="str">
        <f t="shared" si="43"/>
        <v>Monday</v>
      </c>
      <c r="K351" s="10" t="str">
        <f t="shared" si="44"/>
        <v>October</v>
      </c>
      <c r="L351">
        <f t="shared" si="45"/>
        <v>2024</v>
      </c>
      <c r="M351" t="b">
        <f t="shared" si="46"/>
        <v>0</v>
      </c>
      <c r="N351" t="b">
        <f t="shared" si="40"/>
        <v>1</v>
      </c>
      <c r="O351" t="str">
        <f t="shared" si="47"/>
        <v>Large Order</v>
      </c>
      <c r="P351" s="7">
        <f t="shared" si="41"/>
        <v>11.534000000000001</v>
      </c>
      <c r="Q351" s="7" t="str">
        <f>VLOOKUP(D352,Product_Lookup!$A$2:$C$27,2,FALSE)</f>
        <v>Paper Shredder</v>
      </c>
      <c r="R351" s="7">
        <f t="shared" si="42"/>
        <v>2998.84</v>
      </c>
    </row>
    <row r="352" spans="1:18" ht="21.75" customHeight="1">
      <c r="A352" t="s">
        <v>491</v>
      </c>
      <c r="B352" s="6">
        <v>45643</v>
      </c>
      <c r="C352" t="s">
        <v>420</v>
      </c>
      <c r="D352" t="s">
        <v>109</v>
      </c>
      <c r="E352" t="s">
        <v>22</v>
      </c>
      <c r="F352" t="s">
        <v>12</v>
      </c>
      <c r="G352" t="s">
        <v>32</v>
      </c>
      <c r="H352">
        <v>16</v>
      </c>
      <c r="I352" t="str">
        <f>VLOOKUP(D352,Product_Lookup!$A$2:$C$27,3,FALSE)</f>
        <v>$81.02</v>
      </c>
      <c r="J352" t="str">
        <f t="shared" si="43"/>
        <v>Tuesday</v>
      </c>
      <c r="K352" s="10" t="str">
        <f t="shared" si="44"/>
        <v>December</v>
      </c>
      <c r="L352">
        <f t="shared" si="45"/>
        <v>2024</v>
      </c>
      <c r="M352" t="b">
        <f t="shared" si="46"/>
        <v>0</v>
      </c>
      <c r="N352" t="b">
        <f t="shared" si="40"/>
        <v>1</v>
      </c>
      <c r="O352" t="str">
        <f t="shared" si="47"/>
        <v>Large Order</v>
      </c>
      <c r="P352" s="7">
        <f t="shared" si="41"/>
        <v>4.0510000000000002</v>
      </c>
      <c r="Q352" s="7" t="str">
        <f>VLOOKUP(D353,Product_Lookup!$A$2:$C$27,2,FALSE)</f>
        <v>Action Figure</v>
      </c>
      <c r="R352" s="7">
        <f t="shared" si="42"/>
        <v>1296.32</v>
      </c>
    </row>
    <row r="353" spans="1:18" ht="21.75" customHeight="1">
      <c r="A353" t="s">
        <v>492</v>
      </c>
      <c r="B353" s="6">
        <v>45409</v>
      </c>
      <c r="C353" t="s">
        <v>493</v>
      </c>
      <c r="D353" t="s">
        <v>21</v>
      </c>
      <c r="E353" t="s">
        <v>17</v>
      </c>
      <c r="F353" t="s">
        <v>56</v>
      </c>
      <c r="G353" t="s">
        <v>28</v>
      </c>
      <c r="H353">
        <v>7</v>
      </c>
      <c r="I353" t="str">
        <f>VLOOKUP(D353,Product_Lookup!$A$2:$C$27,3,FALSE)</f>
        <v>$88.18</v>
      </c>
      <c r="J353" t="str">
        <f t="shared" si="43"/>
        <v>Saturday</v>
      </c>
      <c r="K353" s="10" t="str">
        <f t="shared" si="44"/>
        <v>April</v>
      </c>
      <c r="L353">
        <f t="shared" si="45"/>
        <v>2024</v>
      </c>
      <c r="M353" t="b">
        <f t="shared" si="46"/>
        <v>1</v>
      </c>
      <c r="N353" t="b">
        <f t="shared" si="40"/>
        <v>0</v>
      </c>
      <c r="O353" t="str">
        <f t="shared" si="47"/>
        <v>Large Order</v>
      </c>
      <c r="P353" s="7">
        <f t="shared" si="41"/>
        <v>4.4090000000000007</v>
      </c>
      <c r="Q353" s="7" t="str">
        <f>VLOOKUP(D354,Product_Lookup!$A$2:$C$27,2,FALSE)</f>
        <v>Socks</v>
      </c>
      <c r="R353" s="7">
        <f t="shared" si="42"/>
        <v>617.26</v>
      </c>
    </row>
    <row r="354" spans="1:18" ht="21.75" customHeight="1">
      <c r="A354" t="s">
        <v>494</v>
      </c>
      <c r="B354" s="6">
        <v>45613</v>
      </c>
      <c r="C354" t="s">
        <v>108</v>
      </c>
      <c r="D354" t="s">
        <v>74</v>
      </c>
      <c r="E354" t="s">
        <v>22</v>
      </c>
      <c r="F354" t="s">
        <v>12</v>
      </c>
      <c r="G354" t="s">
        <v>32</v>
      </c>
      <c r="H354">
        <v>15</v>
      </c>
      <c r="I354" t="str">
        <f>VLOOKUP(D354,Product_Lookup!$A$2:$C$27,3,FALSE)</f>
        <v>$201.32</v>
      </c>
      <c r="J354" t="str">
        <f t="shared" si="43"/>
        <v>Sunday</v>
      </c>
      <c r="K354" s="10" t="str">
        <f t="shared" si="44"/>
        <v>November</v>
      </c>
      <c r="L354">
        <f t="shared" si="45"/>
        <v>2024</v>
      </c>
      <c r="M354" t="b">
        <f t="shared" si="46"/>
        <v>1</v>
      </c>
      <c r="N354" t="b">
        <f t="shared" si="40"/>
        <v>1</v>
      </c>
      <c r="O354" t="str">
        <f t="shared" si="47"/>
        <v>Large Order</v>
      </c>
      <c r="P354" s="7">
        <f t="shared" si="41"/>
        <v>10.066000000000001</v>
      </c>
      <c r="Q354" s="7" t="str">
        <f>VLOOKUP(D355,Product_Lookup!$A$2:$C$27,2,FALSE)</f>
        <v>Lego Set</v>
      </c>
      <c r="R354" s="7">
        <f t="shared" si="42"/>
        <v>3019.7999999999997</v>
      </c>
    </row>
    <row r="355" spans="1:18" ht="21.75" customHeight="1">
      <c r="A355" t="s">
        <v>495</v>
      </c>
      <c r="B355" s="6">
        <v>45359</v>
      </c>
      <c r="C355" t="s">
        <v>203</v>
      </c>
      <c r="D355" t="s">
        <v>84</v>
      </c>
      <c r="E355" t="s">
        <v>17</v>
      </c>
      <c r="F355" t="s">
        <v>42</v>
      </c>
      <c r="G355" t="s">
        <v>28</v>
      </c>
      <c r="H355">
        <v>14</v>
      </c>
      <c r="I355" t="str">
        <f>VLOOKUP(D355,Product_Lookup!$A$2:$C$27,3,FALSE)</f>
        <v>$130.07</v>
      </c>
      <c r="J355" t="str">
        <f t="shared" si="43"/>
        <v>Friday</v>
      </c>
      <c r="K355" s="10" t="str">
        <f t="shared" si="44"/>
        <v>March</v>
      </c>
      <c r="L355">
        <f t="shared" si="45"/>
        <v>2024</v>
      </c>
      <c r="M355" t="b">
        <f t="shared" si="46"/>
        <v>0</v>
      </c>
      <c r="N355" t="b">
        <f t="shared" si="40"/>
        <v>1</v>
      </c>
      <c r="O355" t="str">
        <f t="shared" si="47"/>
        <v>Large Order</v>
      </c>
      <c r="P355" s="7">
        <f t="shared" si="41"/>
        <v>6.5034999999999998</v>
      </c>
      <c r="Q355" s="7" t="str">
        <f>VLOOKUP(D356,Product_Lookup!$A$2:$C$27,2,FALSE)</f>
        <v>Sweater</v>
      </c>
      <c r="R355" s="7">
        <f t="shared" si="42"/>
        <v>1820.98</v>
      </c>
    </row>
    <row r="356" spans="1:18" ht="21.75" customHeight="1">
      <c r="A356" t="s">
        <v>496</v>
      </c>
      <c r="B356" s="6">
        <v>45568</v>
      </c>
      <c r="C356" t="s">
        <v>83</v>
      </c>
      <c r="D356" t="s">
        <v>26</v>
      </c>
      <c r="E356" t="s">
        <v>22</v>
      </c>
      <c r="F356" t="s">
        <v>306</v>
      </c>
      <c r="G356" t="s">
        <v>23</v>
      </c>
      <c r="H356">
        <v>6</v>
      </c>
      <c r="I356" t="str">
        <f>VLOOKUP(D356,Product_Lookup!$A$2:$C$27,3,FALSE)</f>
        <v>$84.57</v>
      </c>
      <c r="J356" t="str">
        <f t="shared" si="43"/>
        <v>Thursday</v>
      </c>
      <c r="K356" s="10" t="str">
        <f t="shared" si="44"/>
        <v>October</v>
      </c>
      <c r="L356">
        <f t="shared" si="45"/>
        <v>2024</v>
      </c>
      <c r="M356" t="b">
        <f t="shared" si="46"/>
        <v>0</v>
      </c>
      <c r="N356" t="b">
        <f t="shared" si="40"/>
        <v>0</v>
      </c>
      <c r="O356" t="str">
        <f t="shared" si="47"/>
        <v>Large Order</v>
      </c>
      <c r="P356" s="7">
        <f t="shared" si="41"/>
        <v>4.2284999999999995</v>
      </c>
      <c r="Q356" s="7" t="str">
        <f>VLOOKUP(D357,Product_Lookup!$A$2:$C$27,2,FALSE)</f>
        <v>Air Fryer</v>
      </c>
      <c r="R356" s="7">
        <f t="shared" si="42"/>
        <v>507.41999999999996</v>
      </c>
    </row>
    <row r="357" spans="1:18" ht="21.75" customHeight="1">
      <c r="A357" t="s">
        <v>497</v>
      </c>
      <c r="B357" s="6">
        <v>45443</v>
      </c>
      <c r="C357" t="s">
        <v>323</v>
      </c>
      <c r="D357" t="s">
        <v>70</v>
      </c>
      <c r="E357" t="s">
        <v>17</v>
      </c>
      <c r="F357" t="s">
        <v>12</v>
      </c>
      <c r="G357" t="s">
        <v>28</v>
      </c>
      <c r="H357">
        <v>3</v>
      </c>
      <c r="I357" t="str">
        <f>VLOOKUP(D357,Product_Lookup!$A$2:$C$27,3,FALSE)</f>
        <v>$211.9</v>
      </c>
      <c r="J357" t="str">
        <f t="shared" si="43"/>
        <v>Friday</v>
      </c>
      <c r="K357" s="10" t="str">
        <f t="shared" si="44"/>
        <v>May</v>
      </c>
      <c r="L357">
        <f t="shared" si="45"/>
        <v>2024</v>
      </c>
      <c r="M357" t="b">
        <f t="shared" si="46"/>
        <v>0</v>
      </c>
      <c r="N357" t="b">
        <f t="shared" si="40"/>
        <v>0</v>
      </c>
      <c r="O357" t="str">
        <f t="shared" si="47"/>
        <v>Large Order</v>
      </c>
      <c r="P357" s="7">
        <f t="shared" si="41"/>
        <v>10.595000000000001</v>
      </c>
      <c r="Q357" s="7" t="str">
        <f>VLOOKUP(D358,Product_Lookup!$A$2:$C$27,2,FALSE)</f>
        <v>Pen Set</v>
      </c>
      <c r="R357" s="7">
        <f t="shared" si="42"/>
        <v>635.70000000000005</v>
      </c>
    </row>
    <row r="358" spans="1:18" ht="21.75" customHeight="1">
      <c r="A358" t="s">
        <v>498</v>
      </c>
      <c r="B358" s="6">
        <v>45638</v>
      </c>
      <c r="C358" t="s">
        <v>329</v>
      </c>
      <c r="D358" t="s">
        <v>174</v>
      </c>
      <c r="E358" t="s">
        <v>22</v>
      </c>
      <c r="F358" t="s">
        <v>27</v>
      </c>
      <c r="G358" t="s">
        <v>23</v>
      </c>
      <c r="H358">
        <v>12</v>
      </c>
      <c r="I358" t="str">
        <f>VLOOKUP(D358,Product_Lookup!$A$2:$C$27,3,FALSE)</f>
        <v>$133.37</v>
      </c>
      <c r="J358" t="str">
        <f t="shared" si="43"/>
        <v>Thursday</v>
      </c>
      <c r="K358" s="10" t="str">
        <f t="shared" si="44"/>
        <v>December</v>
      </c>
      <c r="L358">
        <f t="shared" si="45"/>
        <v>2024</v>
      </c>
      <c r="M358" t="b">
        <f t="shared" si="46"/>
        <v>0</v>
      </c>
      <c r="N358" t="b">
        <f t="shared" si="40"/>
        <v>1</v>
      </c>
      <c r="O358" t="str">
        <f t="shared" si="47"/>
        <v>Large Order</v>
      </c>
      <c r="P358" s="7">
        <f t="shared" si="41"/>
        <v>6.6685000000000008</v>
      </c>
      <c r="Q358" s="7" t="str">
        <f>VLOOKUP(D359,Product_Lookup!$A$2:$C$27,2,FALSE)</f>
        <v>Air Fryer</v>
      </c>
      <c r="R358" s="7">
        <f t="shared" si="42"/>
        <v>1600.44</v>
      </c>
    </row>
    <row r="359" spans="1:18" ht="21.75" customHeight="1">
      <c r="A359" t="s">
        <v>499</v>
      </c>
      <c r="B359" s="6">
        <v>45299</v>
      </c>
      <c r="C359" t="s">
        <v>86</v>
      </c>
      <c r="D359" t="s">
        <v>70</v>
      </c>
      <c r="E359" t="s">
        <v>22</v>
      </c>
      <c r="F359" t="s">
        <v>12</v>
      </c>
      <c r="G359" t="s">
        <v>32</v>
      </c>
      <c r="H359">
        <v>12</v>
      </c>
      <c r="I359" t="str">
        <f>VLOOKUP(D359,Product_Lookup!$A$2:$C$27,3,FALSE)</f>
        <v>$211.9</v>
      </c>
      <c r="J359" t="str">
        <f t="shared" si="43"/>
        <v>Monday</v>
      </c>
      <c r="K359" s="10" t="str">
        <f t="shared" si="44"/>
        <v>January</v>
      </c>
      <c r="L359">
        <f t="shared" si="45"/>
        <v>2024</v>
      </c>
      <c r="M359" t="b">
        <f t="shared" si="46"/>
        <v>0</v>
      </c>
      <c r="N359" t="b">
        <f t="shared" si="40"/>
        <v>1</v>
      </c>
      <c r="O359" t="str">
        <f t="shared" si="47"/>
        <v>Large Order</v>
      </c>
      <c r="P359" s="7">
        <f t="shared" si="41"/>
        <v>10.595000000000001</v>
      </c>
      <c r="Q359" s="7" t="str">
        <f>VLOOKUP(D360,Product_Lookup!$A$2:$C$27,2,FALSE)</f>
        <v>Monitor</v>
      </c>
      <c r="R359" s="7">
        <f t="shared" si="42"/>
        <v>2542.8000000000002</v>
      </c>
    </row>
    <row r="360" spans="1:18" ht="21.75" customHeight="1">
      <c r="A360" t="s">
        <v>500</v>
      </c>
      <c r="B360" s="6">
        <v>45591</v>
      </c>
      <c r="C360" t="s">
        <v>159</v>
      </c>
      <c r="D360" t="s">
        <v>102</v>
      </c>
      <c r="E360" t="s">
        <v>22</v>
      </c>
      <c r="F360" t="s">
        <v>42</v>
      </c>
      <c r="G360" t="s">
        <v>36</v>
      </c>
      <c r="H360">
        <v>8</v>
      </c>
      <c r="I360" t="str">
        <f>VLOOKUP(D360,Product_Lookup!$A$2:$C$27,3,FALSE)</f>
        <v>$145.48</v>
      </c>
      <c r="J360" t="str">
        <f t="shared" si="43"/>
        <v>Saturday</v>
      </c>
      <c r="K360" s="10" t="str">
        <f t="shared" si="44"/>
        <v>October</v>
      </c>
      <c r="L360">
        <f t="shared" si="45"/>
        <v>2024</v>
      </c>
      <c r="M360" t="b">
        <f t="shared" si="46"/>
        <v>1</v>
      </c>
      <c r="N360" t="b">
        <f t="shared" si="40"/>
        <v>1</v>
      </c>
      <c r="O360" t="str">
        <f t="shared" si="47"/>
        <v>Large Order</v>
      </c>
      <c r="P360" s="7">
        <f t="shared" si="41"/>
        <v>7.274</v>
      </c>
      <c r="Q360" s="7" t="str">
        <f>VLOOKUP(D361,Product_Lookup!$A$2:$C$27,2,FALSE)</f>
        <v>Action Figure</v>
      </c>
      <c r="R360" s="7">
        <f t="shared" si="42"/>
        <v>1163.8399999999999</v>
      </c>
    </row>
    <row r="361" spans="1:18" ht="21.75" customHeight="1">
      <c r="A361" t="s">
        <v>501</v>
      </c>
      <c r="B361" s="6">
        <v>45579</v>
      </c>
      <c r="C361" t="s">
        <v>187</v>
      </c>
      <c r="D361" t="s">
        <v>21</v>
      </c>
      <c r="E361" t="s">
        <v>22</v>
      </c>
      <c r="F361" t="s">
        <v>56</v>
      </c>
      <c r="G361" t="s">
        <v>23</v>
      </c>
      <c r="H361">
        <v>3</v>
      </c>
      <c r="I361" t="str">
        <f>VLOOKUP(D361,Product_Lookup!$A$2:$C$27,3,FALSE)</f>
        <v>$88.18</v>
      </c>
      <c r="J361" t="str">
        <f t="shared" si="43"/>
        <v>Monday</v>
      </c>
      <c r="K361" s="10" t="str">
        <f t="shared" si="44"/>
        <v>October</v>
      </c>
      <c r="L361">
        <f t="shared" si="45"/>
        <v>2024</v>
      </c>
      <c r="M361" t="b">
        <f t="shared" si="46"/>
        <v>0</v>
      </c>
      <c r="N361" t="b">
        <f t="shared" si="40"/>
        <v>0</v>
      </c>
      <c r="O361" t="str">
        <f t="shared" si="47"/>
        <v>Standard order</v>
      </c>
      <c r="P361" s="7">
        <f t="shared" si="41"/>
        <v>4.4090000000000007</v>
      </c>
      <c r="Q361" s="7" t="str">
        <f>VLOOKUP(D362,Product_Lookup!$A$2:$C$27,2,FALSE)</f>
        <v>Monitor</v>
      </c>
      <c r="R361" s="7">
        <f t="shared" si="42"/>
        <v>264.54000000000002</v>
      </c>
    </row>
    <row r="362" spans="1:18" ht="21.75" customHeight="1">
      <c r="A362" t="s">
        <v>502</v>
      </c>
      <c r="B362" s="6">
        <v>45650</v>
      </c>
      <c r="C362" t="s">
        <v>68</v>
      </c>
      <c r="D362" t="s">
        <v>102</v>
      </c>
      <c r="E362" t="s">
        <v>22</v>
      </c>
      <c r="F362" t="s">
        <v>27</v>
      </c>
      <c r="G362" t="s">
        <v>13</v>
      </c>
      <c r="H362">
        <v>5</v>
      </c>
      <c r="I362" t="str">
        <f>VLOOKUP(D362,Product_Lookup!$A$2:$C$27,3,FALSE)</f>
        <v>$145.48</v>
      </c>
      <c r="J362" t="str">
        <f t="shared" si="43"/>
        <v>Tuesday</v>
      </c>
      <c r="K362" s="10" t="str">
        <f t="shared" si="44"/>
        <v>December</v>
      </c>
      <c r="L362">
        <f t="shared" si="45"/>
        <v>2024</v>
      </c>
      <c r="M362" t="b">
        <f t="shared" si="46"/>
        <v>0</v>
      </c>
      <c r="N362" t="b">
        <f t="shared" si="40"/>
        <v>0</v>
      </c>
      <c r="O362" t="str">
        <f t="shared" si="47"/>
        <v>Large Order</v>
      </c>
      <c r="P362" s="7">
        <f t="shared" si="41"/>
        <v>7.274</v>
      </c>
      <c r="Q362" s="7" t="str">
        <f>VLOOKUP(D363,Product_Lookup!$A$2:$C$27,2,FALSE)</f>
        <v>Jacket</v>
      </c>
      <c r="R362" s="7">
        <f t="shared" si="42"/>
        <v>727.4</v>
      </c>
    </row>
    <row r="363" spans="1:18" ht="21.75" customHeight="1">
      <c r="A363" t="s">
        <v>503</v>
      </c>
      <c r="B363" s="6">
        <v>45447</v>
      </c>
      <c r="C363" t="s">
        <v>432</v>
      </c>
      <c r="D363" t="s">
        <v>197</v>
      </c>
      <c r="E363" t="s">
        <v>11</v>
      </c>
      <c r="F363" t="s">
        <v>12</v>
      </c>
      <c r="G363" t="s">
        <v>23</v>
      </c>
      <c r="H363">
        <v>18</v>
      </c>
      <c r="I363" t="str">
        <f>VLOOKUP(D363,Product_Lookup!$A$2:$C$27,3,FALSE)</f>
        <v>$10.11</v>
      </c>
      <c r="J363" t="str">
        <f t="shared" si="43"/>
        <v>Tuesday</v>
      </c>
      <c r="K363" s="10" t="str">
        <f t="shared" si="44"/>
        <v>June</v>
      </c>
      <c r="L363">
        <f t="shared" si="45"/>
        <v>2024</v>
      </c>
      <c r="M363" t="b">
        <f t="shared" si="46"/>
        <v>0</v>
      </c>
      <c r="N363" t="b">
        <f t="shared" si="40"/>
        <v>0</v>
      </c>
      <c r="O363" t="str">
        <f t="shared" si="47"/>
        <v>Standard order</v>
      </c>
      <c r="P363" s="7">
        <f t="shared" si="41"/>
        <v>0.50549999999999995</v>
      </c>
      <c r="Q363" s="7" t="str">
        <f>VLOOKUP(D364,Product_Lookup!$A$2:$C$27,2,FALSE)</f>
        <v>Vacuum</v>
      </c>
      <c r="R363" s="7">
        <f t="shared" si="42"/>
        <v>181.98</v>
      </c>
    </row>
    <row r="364" spans="1:18" ht="21.75" customHeight="1">
      <c r="A364" t="s">
        <v>504</v>
      </c>
      <c r="B364" s="6">
        <v>45481</v>
      </c>
      <c r="C364" t="s">
        <v>317</v>
      </c>
      <c r="D364" t="s">
        <v>87</v>
      </c>
      <c r="E364" t="s">
        <v>22</v>
      </c>
      <c r="F364" t="s">
        <v>306</v>
      </c>
      <c r="G364" t="s">
        <v>28</v>
      </c>
      <c r="H364">
        <v>19</v>
      </c>
      <c r="I364" t="str">
        <f>VLOOKUP(D364,Product_Lookup!$A$2:$C$27,3,FALSE)</f>
        <v>$26.59</v>
      </c>
      <c r="J364" t="str">
        <f t="shared" si="43"/>
        <v>Monday</v>
      </c>
      <c r="K364" s="10" t="str">
        <f t="shared" si="44"/>
        <v>July</v>
      </c>
      <c r="L364">
        <f t="shared" si="45"/>
        <v>2024</v>
      </c>
      <c r="M364" t="b">
        <f t="shared" si="46"/>
        <v>0</v>
      </c>
      <c r="N364" t="b">
        <f t="shared" si="40"/>
        <v>0</v>
      </c>
      <c r="O364" t="str">
        <f t="shared" si="47"/>
        <v>Large Order</v>
      </c>
      <c r="P364" s="7">
        <f t="shared" si="41"/>
        <v>1.3295000000000001</v>
      </c>
      <c r="Q364" s="7" t="str">
        <f>VLOOKUP(D365,Product_Lookup!$A$2:$C$27,2,FALSE)</f>
        <v>Paper Shredder</v>
      </c>
      <c r="R364" s="7">
        <f t="shared" si="42"/>
        <v>505.21</v>
      </c>
    </row>
    <row r="365" spans="1:18" ht="21.75" customHeight="1">
      <c r="A365" t="s">
        <v>505</v>
      </c>
      <c r="B365" s="6">
        <v>45504</v>
      </c>
      <c r="C365" t="s">
        <v>350</v>
      </c>
      <c r="D365" t="s">
        <v>109</v>
      </c>
      <c r="E365" t="s">
        <v>11</v>
      </c>
      <c r="F365" t="s">
        <v>27</v>
      </c>
      <c r="G365" t="s">
        <v>32</v>
      </c>
      <c r="H365">
        <v>14</v>
      </c>
      <c r="I365" t="str">
        <f>VLOOKUP(D365,Product_Lookup!$A$2:$C$27,3,FALSE)</f>
        <v>$81.02</v>
      </c>
      <c r="J365" t="str">
        <f t="shared" si="43"/>
        <v>Wednesday</v>
      </c>
      <c r="K365" s="10" t="str">
        <f t="shared" si="44"/>
        <v>July</v>
      </c>
      <c r="L365">
        <f t="shared" si="45"/>
        <v>2024</v>
      </c>
      <c r="M365" t="b">
        <f t="shared" si="46"/>
        <v>0</v>
      </c>
      <c r="N365" t="b">
        <f t="shared" si="40"/>
        <v>1</v>
      </c>
      <c r="O365" t="str">
        <f t="shared" si="47"/>
        <v>Large Order</v>
      </c>
      <c r="P365" s="7">
        <f t="shared" si="41"/>
        <v>4.0510000000000002</v>
      </c>
      <c r="Q365" s="7" t="str">
        <f>VLOOKUP(D366,Product_Lookup!$A$2:$C$27,2,FALSE)</f>
        <v>Air Fryer</v>
      </c>
      <c r="R365" s="7">
        <f t="shared" si="42"/>
        <v>1134.28</v>
      </c>
    </row>
    <row r="366" spans="1:18" ht="21.75" customHeight="1">
      <c r="A366" t="s">
        <v>506</v>
      </c>
      <c r="B366" s="6">
        <v>45308</v>
      </c>
      <c r="C366" t="s">
        <v>465</v>
      </c>
      <c r="D366" t="s">
        <v>70</v>
      </c>
      <c r="E366" t="s">
        <v>17</v>
      </c>
      <c r="F366" t="s">
        <v>56</v>
      </c>
      <c r="G366" t="s">
        <v>32</v>
      </c>
      <c r="H366">
        <v>15</v>
      </c>
      <c r="I366" t="str">
        <f>VLOOKUP(D366,Product_Lookup!$A$2:$C$27,3,FALSE)</f>
        <v>$211.9</v>
      </c>
      <c r="J366" t="str">
        <f t="shared" si="43"/>
        <v>Wednesday</v>
      </c>
      <c r="K366" s="10" t="str">
        <f t="shared" si="44"/>
        <v>January</v>
      </c>
      <c r="L366">
        <f t="shared" si="45"/>
        <v>2024</v>
      </c>
      <c r="M366" t="b">
        <f t="shared" si="46"/>
        <v>0</v>
      </c>
      <c r="N366" t="b">
        <f t="shared" si="40"/>
        <v>1</v>
      </c>
      <c r="O366" t="str">
        <f t="shared" si="47"/>
        <v>Large Order</v>
      </c>
      <c r="P366" s="7">
        <f t="shared" si="41"/>
        <v>10.595000000000001</v>
      </c>
      <c r="Q366" s="7" t="str">
        <f>VLOOKUP(D367,Product_Lookup!$A$2:$C$27,2,FALSE)</f>
        <v>Action Figure</v>
      </c>
      <c r="R366" s="7">
        <f t="shared" si="42"/>
        <v>3178.5</v>
      </c>
    </row>
    <row r="367" spans="1:18" ht="21.75" customHeight="1">
      <c r="A367" t="s">
        <v>507</v>
      </c>
      <c r="B367" s="6">
        <v>45342</v>
      </c>
      <c r="C367" t="s">
        <v>455</v>
      </c>
      <c r="D367" t="s">
        <v>21</v>
      </c>
      <c r="E367" t="s">
        <v>17</v>
      </c>
      <c r="F367" t="s">
        <v>306</v>
      </c>
      <c r="G367" t="s">
        <v>32</v>
      </c>
      <c r="H367">
        <v>12</v>
      </c>
      <c r="I367" t="str">
        <f>VLOOKUP(D367,Product_Lookup!$A$2:$C$27,3,FALSE)</f>
        <v>$88.18</v>
      </c>
      <c r="J367" t="str">
        <f t="shared" si="43"/>
        <v>Tuesday</v>
      </c>
      <c r="K367" s="10" t="str">
        <f t="shared" si="44"/>
        <v>February</v>
      </c>
      <c r="L367">
        <f t="shared" si="45"/>
        <v>2024</v>
      </c>
      <c r="M367" t="b">
        <f t="shared" si="46"/>
        <v>0</v>
      </c>
      <c r="N367" t="b">
        <f t="shared" si="40"/>
        <v>1</v>
      </c>
      <c r="O367" t="str">
        <f t="shared" si="47"/>
        <v>Large Order</v>
      </c>
      <c r="P367" s="7">
        <f t="shared" si="41"/>
        <v>4.4090000000000007</v>
      </c>
      <c r="Q367" s="7" t="str">
        <f>VLOOKUP(D368,Product_Lookup!$A$2:$C$27,2,FALSE)</f>
        <v>Board Game</v>
      </c>
      <c r="R367" s="7">
        <f t="shared" si="42"/>
        <v>1058.1600000000001</v>
      </c>
    </row>
    <row r="368" spans="1:18" ht="21.75" customHeight="1">
      <c r="A368" t="s">
        <v>508</v>
      </c>
      <c r="B368" s="6">
        <v>45389</v>
      </c>
      <c r="C368" t="s">
        <v>114</v>
      </c>
      <c r="D368" t="s">
        <v>41</v>
      </c>
      <c r="E368" t="s">
        <v>17</v>
      </c>
      <c r="F368" t="s">
        <v>12</v>
      </c>
      <c r="G368" t="s">
        <v>36</v>
      </c>
      <c r="H368">
        <v>7</v>
      </c>
      <c r="I368" t="str">
        <f>VLOOKUP(D368,Product_Lookup!$A$2:$C$27,3,FALSE)</f>
        <v>$86.6</v>
      </c>
      <c r="J368" t="str">
        <f t="shared" si="43"/>
        <v>Sunday</v>
      </c>
      <c r="K368" s="10" t="str">
        <f t="shared" si="44"/>
        <v>April</v>
      </c>
      <c r="L368">
        <f t="shared" si="45"/>
        <v>2024</v>
      </c>
      <c r="M368" t="b">
        <f t="shared" si="46"/>
        <v>1</v>
      </c>
      <c r="N368" t="b">
        <f t="shared" si="40"/>
        <v>0</v>
      </c>
      <c r="O368" t="str">
        <f t="shared" si="47"/>
        <v>Large Order</v>
      </c>
      <c r="P368" s="7">
        <f t="shared" si="41"/>
        <v>4.33</v>
      </c>
      <c r="Q368" s="7" t="str">
        <f>VLOOKUP(D369,Product_Lookup!$A$2:$C$27,2,FALSE)</f>
        <v>Headphones</v>
      </c>
      <c r="R368" s="7">
        <f t="shared" si="42"/>
        <v>606.19999999999993</v>
      </c>
    </row>
    <row r="369" spans="1:18" ht="21.75" customHeight="1">
      <c r="A369" t="s">
        <v>509</v>
      </c>
      <c r="B369" s="6">
        <v>45302</v>
      </c>
      <c r="C369" t="s">
        <v>9</v>
      </c>
      <c r="D369" t="s">
        <v>16</v>
      </c>
      <c r="E369" t="s">
        <v>17</v>
      </c>
      <c r="F369" t="s">
        <v>56</v>
      </c>
      <c r="G369" t="s">
        <v>36</v>
      </c>
      <c r="H369">
        <v>19</v>
      </c>
      <c r="I369" t="str">
        <f>VLOOKUP(D369,Product_Lookup!$A$2:$C$27,3,FALSE)</f>
        <v>$178.83</v>
      </c>
      <c r="J369" t="str">
        <f t="shared" si="43"/>
        <v>Thursday</v>
      </c>
      <c r="K369" s="10" t="str">
        <f t="shared" si="44"/>
        <v>January</v>
      </c>
      <c r="L369">
        <f t="shared" si="45"/>
        <v>2024</v>
      </c>
      <c r="M369" t="b">
        <f t="shared" si="46"/>
        <v>0</v>
      </c>
      <c r="N369" t="b">
        <f t="shared" si="40"/>
        <v>1</v>
      </c>
      <c r="O369" t="str">
        <f t="shared" si="47"/>
        <v>Large Order</v>
      </c>
      <c r="P369" s="7">
        <f t="shared" si="41"/>
        <v>8.9415000000000013</v>
      </c>
      <c r="Q369" s="7" t="str">
        <f>VLOOKUP(D370,Product_Lookup!$A$2:$C$27,2,FALSE)</f>
        <v>Blender</v>
      </c>
      <c r="R369" s="7">
        <f t="shared" si="42"/>
        <v>3397.7700000000004</v>
      </c>
    </row>
    <row r="370" spans="1:18" ht="21.75" customHeight="1">
      <c r="A370" t="s">
        <v>510</v>
      </c>
      <c r="B370" s="6">
        <v>45398</v>
      </c>
      <c r="C370" t="s">
        <v>449</v>
      </c>
      <c r="D370" t="s">
        <v>72</v>
      </c>
      <c r="E370" t="s">
        <v>11</v>
      </c>
      <c r="F370" t="s">
        <v>56</v>
      </c>
      <c r="G370" t="s">
        <v>36</v>
      </c>
      <c r="H370">
        <v>5</v>
      </c>
      <c r="I370" t="str">
        <f>VLOOKUP(D370,Product_Lookup!$A$2:$C$27,3,FALSE)</f>
        <v>$156.44</v>
      </c>
      <c r="J370" t="str">
        <f t="shared" si="43"/>
        <v>Tuesday</v>
      </c>
      <c r="K370" s="10" t="str">
        <f t="shared" si="44"/>
        <v>April</v>
      </c>
      <c r="L370">
        <f t="shared" si="45"/>
        <v>2024</v>
      </c>
      <c r="M370" t="b">
        <f t="shared" si="46"/>
        <v>0</v>
      </c>
      <c r="N370" t="b">
        <f t="shared" si="40"/>
        <v>0</v>
      </c>
      <c r="O370" t="str">
        <f t="shared" si="47"/>
        <v>Large Order</v>
      </c>
      <c r="P370" s="7">
        <f t="shared" si="41"/>
        <v>7.8220000000000001</v>
      </c>
      <c r="Q370" s="7" t="str">
        <f>VLOOKUP(D371,Product_Lookup!$A$2:$C$27,2,FALSE)</f>
        <v>Pen Set</v>
      </c>
      <c r="R370" s="7">
        <f t="shared" si="42"/>
        <v>782.2</v>
      </c>
    </row>
    <row r="371" spans="1:18" ht="21.75" customHeight="1">
      <c r="A371" t="s">
        <v>511</v>
      </c>
      <c r="B371" s="6">
        <v>45293</v>
      </c>
      <c r="C371" t="s">
        <v>89</v>
      </c>
      <c r="D371" t="s">
        <v>174</v>
      </c>
      <c r="E371" t="s">
        <v>11</v>
      </c>
      <c r="F371" t="s">
        <v>56</v>
      </c>
      <c r="G371" t="s">
        <v>13</v>
      </c>
      <c r="H371">
        <v>9</v>
      </c>
      <c r="I371" t="str">
        <f>VLOOKUP(D371,Product_Lookup!$A$2:$C$27,3,FALSE)</f>
        <v>$133.37</v>
      </c>
      <c r="J371" t="str">
        <f t="shared" si="43"/>
        <v>Tuesday</v>
      </c>
      <c r="K371" s="10" t="str">
        <f t="shared" si="44"/>
        <v>January</v>
      </c>
      <c r="L371">
        <f t="shared" si="45"/>
        <v>2024</v>
      </c>
      <c r="M371" t="b">
        <f t="shared" si="46"/>
        <v>0</v>
      </c>
      <c r="N371" t="b">
        <f t="shared" si="40"/>
        <v>1</v>
      </c>
      <c r="O371" t="str">
        <f t="shared" si="47"/>
        <v>Large Order</v>
      </c>
      <c r="P371" s="7">
        <f t="shared" si="41"/>
        <v>6.6685000000000008</v>
      </c>
      <c r="Q371" s="7" t="str">
        <f>VLOOKUP(D372,Product_Lookup!$A$2:$C$27,2,FALSE)</f>
        <v>Toaster</v>
      </c>
      <c r="R371" s="7">
        <f t="shared" si="42"/>
        <v>1200.33</v>
      </c>
    </row>
    <row r="372" spans="1:18" ht="21.75" customHeight="1">
      <c r="A372" t="s">
        <v>512</v>
      </c>
      <c r="B372" s="6">
        <v>45630</v>
      </c>
      <c r="C372" t="s">
        <v>64</v>
      </c>
      <c r="D372" t="s">
        <v>48</v>
      </c>
      <c r="E372" t="s">
        <v>11</v>
      </c>
      <c r="F372" t="s">
        <v>12</v>
      </c>
      <c r="G372" t="s">
        <v>13</v>
      </c>
      <c r="H372">
        <v>8</v>
      </c>
      <c r="I372" t="str">
        <f>VLOOKUP(D372,Product_Lookup!$A$2:$C$27,3,FALSE)</f>
        <v>$208.85</v>
      </c>
      <c r="J372" t="str">
        <f t="shared" si="43"/>
        <v>Wednesday</v>
      </c>
      <c r="K372" s="10" t="str">
        <f t="shared" si="44"/>
        <v>December</v>
      </c>
      <c r="L372">
        <f t="shared" si="45"/>
        <v>2024</v>
      </c>
      <c r="M372" t="b">
        <f t="shared" si="46"/>
        <v>0</v>
      </c>
      <c r="N372" t="b">
        <f t="shared" si="40"/>
        <v>1</v>
      </c>
      <c r="O372" t="str">
        <f t="shared" si="47"/>
        <v>Large Order</v>
      </c>
      <c r="P372" s="7">
        <f t="shared" si="41"/>
        <v>10.442500000000001</v>
      </c>
      <c r="Q372" s="7" t="str">
        <f>VLOOKUP(D373,Product_Lookup!$A$2:$C$27,2,FALSE)</f>
        <v>Lego Set</v>
      </c>
      <c r="R372" s="7">
        <f t="shared" si="42"/>
        <v>1670.8</v>
      </c>
    </row>
    <row r="373" spans="1:18" ht="21.75" customHeight="1">
      <c r="A373" t="s">
        <v>513</v>
      </c>
      <c r="B373" s="6">
        <v>45381</v>
      </c>
      <c r="C373" t="s">
        <v>86</v>
      </c>
      <c r="D373" t="s">
        <v>84</v>
      </c>
      <c r="E373" t="s">
        <v>11</v>
      </c>
      <c r="F373" t="s">
        <v>56</v>
      </c>
      <c r="G373" t="s">
        <v>13</v>
      </c>
      <c r="H373">
        <v>14</v>
      </c>
      <c r="I373" t="str">
        <f>VLOOKUP(D373,Product_Lookup!$A$2:$C$27,3,FALSE)</f>
        <v>$130.07</v>
      </c>
      <c r="J373" t="str">
        <f t="shared" si="43"/>
        <v>Saturday</v>
      </c>
      <c r="K373" s="10" t="str">
        <f t="shared" si="44"/>
        <v>March</v>
      </c>
      <c r="L373">
        <f t="shared" si="45"/>
        <v>2024</v>
      </c>
      <c r="M373" t="b">
        <f t="shared" si="46"/>
        <v>1</v>
      </c>
      <c r="N373" t="b">
        <f t="shared" si="40"/>
        <v>1</v>
      </c>
      <c r="O373" t="str">
        <f t="shared" si="47"/>
        <v>Large Order</v>
      </c>
      <c r="P373" s="7">
        <f t="shared" si="41"/>
        <v>6.5034999999999998</v>
      </c>
      <c r="Q373" s="7" t="str">
        <f>VLOOKUP(D374,Product_Lookup!$A$2:$C$27,2,FALSE)</f>
        <v>Desk Lamp</v>
      </c>
      <c r="R373" s="7">
        <f t="shared" si="42"/>
        <v>1820.98</v>
      </c>
    </row>
    <row r="374" spans="1:18" ht="21.75" customHeight="1">
      <c r="A374" t="s">
        <v>514</v>
      </c>
      <c r="B374" s="6">
        <v>45535</v>
      </c>
      <c r="C374" t="s">
        <v>430</v>
      </c>
      <c r="D374" t="s">
        <v>59</v>
      </c>
      <c r="E374" t="s">
        <v>17</v>
      </c>
      <c r="F374" t="s">
        <v>306</v>
      </c>
      <c r="G374" t="s">
        <v>28</v>
      </c>
      <c r="H374">
        <v>4</v>
      </c>
      <c r="I374" t="str">
        <f>VLOOKUP(D374,Product_Lookup!$A$2:$C$27,3,FALSE)</f>
        <v>$101.96</v>
      </c>
      <c r="J374" t="str">
        <f t="shared" si="43"/>
        <v>Saturday</v>
      </c>
      <c r="K374" s="10" t="str">
        <f t="shared" si="44"/>
        <v>August</v>
      </c>
      <c r="L374">
        <f t="shared" si="45"/>
        <v>2024</v>
      </c>
      <c r="M374" t="b">
        <f t="shared" si="46"/>
        <v>1</v>
      </c>
      <c r="N374" t="b">
        <f t="shared" si="40"/>
        <v>0</v>
      </c>
      <c r="O374" t="str">
        <f t="shared" si="47"/>
        <v>Standard order</v>
      </c>
      <c r="P374" s="7">
        <f t="shared" si="41"/>
        <v>5.0979999999999999</v>
      </c>
      <c r="Q374" s="7" t="str">
        <f>VLOOKUP(D375,Product_Lookup!$A$2:$C$27,2,FALSE)</f>
        <v>Socks</v>
      </c>
      <c r="R374" s="7">
        <f t="shared" si="42"/>
        <v>407.84</v>
      </c>
    </row>
    <row r="375" spans="1:18" ht="21.75" customHeight="1">
      <c r="A375" t="s">
        <v>515</v>
      </c>
      <c r="B375" s="6">
        <v>45606</v>
      </c>
      <c r="C375" t="s">
        <v>116</v>
      </c>
      <c r="D375" t="s">
        <v>74</v>
      </c>
      <c r="E375" t="s">
        <v>22</v>
      </c>
      <c r="F375" t="s">
        <v>306</v>
      </c>
      <c r="G375" t="s">
        <v>13</v>
      </c>
      <c r="H375">
        <v>15</v>
      </c>
      <c r="I375" t="str">
        <f>VLOOKUP(D375,Product_Lookup!$A$2:$C$27,3,FALSE)</f>
        <v>$201.32</v>
      </c>
      <c r="J375" t="str">
        <f t="shared" si="43"/>
        <v>Sunday</v>
      </c>
      <c r="K375" s="10" t="str">
        <f t="shared" si="44"/>
        <v>November</v>
      </c>
      <c r="L375">
        <f t="shared" si="45"/>
        <v>2024</v>
      </c>
      <c r="M375" t="b">
        <f t="shared" si="46"/>
        <v>1</v>
      </c>
      <c r="N375" t="b">
        <f t="shared" si="40"/>
        <v>1</v>
      </c>
      <c r="O375" t="str">
        <f t="shared" si="47"/>
        <v>Large Order</v>
      </c>
      <c r="P375" s="7">
        <f t="shared" si="41"/>
        <v>10.066000000000001</v>
      </c>
      <c r="Q375" s="7" t="str">
        <f>VLOOKUP(D376,Product_Lookup!$A$2:$C$27,2,FALSE)</f>
        <v>Board Game</v>
      </c>
      <c r="R375" s="7">
        <f t="shared" si="42"/>
        <v>3019.7999999999997</v>
      </c>
    </row>
    <row r="376" spans="1:18" ht="21.75" customHeight="1">
      <c r="A376" t="s">
        <v>516</v>
      </c>
      <c r="B376" s="6">
        <v>45323</v>
      </c>
      <c r="C376" t="s">
        <v>517</v>
      </c>
      <c r="D376" t="s">
        <v>41</v>
      </c>
      <c r="E376" t="s">
        <v>17</v>
      </c>
      <c r="F376" t="s">
        <v>27</v>
      </c>
      <c r="G376" t="s">
        <v>23</v>
      </c>
      <c r="H376">
        <v>4</v>
      </c>
      <c r="I376" t="str">
        <f>VLOOKUP(D376,Product_Lookup!$A$2:$C$27,3,FALSE)</f>
        <v>$86.6</v>
      </c>
      <c r="J376" t="str">
        <f t="shared" si="43"/>
        <v>Thursday</v>
      </c>
      <c r="K376" s="10" t="str">
        <f t="shared" si="44"/>
        <v>February</v>
      </c>
      <c r="L376">
        <f t="shared" si="45"/>
        <v>2024</v>
      </c>
      <c r="M376" t="b">
        <f t="shared" si="46"/>
        <v>0</v>
      </c>
      <c r="N376" t="b">
        <f t="shared" si="40"/>
        <v>0</v>
      </c>
      <c r="O376" t="str">
        <f t="shared" si="47"/>
        <v>Standard order</v>
      </c>
      <c r="P376" s="7">
        <f t="shared" si="41"/>
        <v>4.33</v>
      </c>
      <c r="Q376" s="7" t="str">
        <f>VLOOKUP(D377,Product_Lookup!$A$2:$C$27,2,FALSE)</f>
        <v>Headphones</v>
      </c>
      <c r="R376" s="7">
        <f t="shared" si="42"/>
        <v>346.4</v>
      </c>
    </row>
    <row r="377" spans="1:18" ht="21.75" customHeight="1">
      <c r="A377" t="s">
        <v>518</v>
      </c>
      <c r="B377" s="6">
        <v>45329</v>
      </c>
      <c r="C377" t="s">
        <v>81</v>
      </c>
      <c r="D377" t="s">
        <v>16</v>
      </c>
      <c r="E377" t="s">
        <v>17</v>
      </c>
      <c r="F377" t="s">
        <v>306</v>
      </c>
      <c r="G377" t="s">
        <v>36</v>
      </c>
      <c r="H377">
        <v>3</v>
      </c>
      <c r="I377" t="str">
        <f>VLOOKUP(D377,Product_Lookup!$A$2:$C$27,3,FALSE)</f>
        <v>$178.83</v>
      </c>
      <c r="J377" t="str">
        <f t="shared" si="43"/>
        <v>Wednesday</v>
      </c>
      <c r="K377" s="10" t="str">
        <f t="shared" si="44"/>
        <v>February</v>
      </c>
      <c r="L377">
        <f t="shared" si="45"/>
        <v>2024</v>
      </c>
      <c r="M377" t="b">
        <f t="shared" si="46"/>
        <v>0</v>
      </c>
      <c r="N377" t="b">
        <f t="shared" si="40"/>
        <v>0</v>
      </c>
      <c r="O377" t="str">
        <f t="shared" si="47"/>
        <v>Large Order</v>
      </c>
      <c r="P377" s="7">
        <f t="shared" si="41"/>
        <v>8.9415000000000013</v>
      </c>
      <c r="Q377" s="7" t="str">
        <f>VLOOKUP(D378,Product_Lookup!$A$2:$C$27,2,FALSE)</f>
        <v>Coffee Maker</v>
      </c>
      <c r="R377" s="7">
        <f t="shared" si="42"/>
        <v>536.49</v>
      </c>
    </row>
    <row r="378" spans="1:18" ht="21.75" customHeight="1">
      <c r="A378" t="s">
        <v>519</v>
      </c>
      <c r="B378" s="6">
        <v>45616</v>
      </c>
      <c r="C378" t="s">
        <v>361</v>
      </c>
      <c r="D378" t="s">
        <v>31</v>
      </c>
      <c r="E378" t="s">
        <v>22</v>
      </c>
      <c r="F378" t="s">
        <v>42</v>
      </c>
      <c r="G378" t="s">
        <v>23</v>
      </c>
      <c r="H378">
        <v>20</v>
      </c>
      <c r="I378" t="str">
        <f>VLOOKUP(D378,Product_Lookup!$A$2:$C$27,3,FALSE)</f>
        <v>$230.34</v>
      </c>
      <c r="J378" t="str">
        <f t="shared" si="43"/>
        <v>Wednesday</v>
      </c>
      <c r="K378" s="10" t="str">
        <f t="shared" si="44"/>
        <v>November</v>
      </c>
      <c r="L378">
        <f t="shared" si="45"/>
        <v>2024</v>
      </c>
      <c r="M378" t="b">
        <f t="shared" si="46"/>
        <v>0</v>
      </c>
      <c r="N378" t="b">
        <f t="shared" si="40"/>
        <v>1</v>
      </c>
      <c r="O378" t="str">
        <f t="shared" si="47"/>
        <v>Large Order</v>
      </c>
      <c r="P378" s="7">
        <f t="shared" si="41"/>
        <v>11.517000000000001</v>
      </c>
      <c r="Q378" s="7" t="str">
        <f>VLOOKUP(D379,Product_Lookup!$A$2:$C$27,2,FALSE)</f>
        <v>Puzzle</v>
      </c>
      <c r="R378" s="7">
        <f t="shared" si="42"/>
        <v>4606.8</v>
      </c>
    </row>
    <row r="379" spans="1:18" ht="21.75" customHeight="1">
      <c r="A379" t="s">
        <v>520</v>
      </c>
      <c r="B379" s="6">
        <v>45550</v>
      </c>
      <c r="C379" t="s">
        <v>493</v>
      </c>
      <c r="D379" t="s">
        <v>62</v>
      </c>
      <c r="E379" t="s">
        <v>17</v>
      </c>
      <c r="F379" t="s">
        <v>12</v>
      </c>
      <c r="G379" t="s">
        <v>36</v>
      </c>
      <c r="H379">
        <v>4</v>
      </c>
      <c r="I379" t="str">
        <f>VLOOKUP(D379,Product_Lookup!$A$2:$C$27,3,FALSE)</f>
        <v>$46.19</v>
      </c>
      <c r="J379" t="str">
        <f t="shared" si="43"/>
        <v>Sunday</v>
      </c>
      <c r="K379" s="10" t="str">
        <f t="shared" si="44"/>
        <v>September</v>
      </c>
      <c r="L379">
        <f t="shared" si="45"/>
        <v>2024</v>
      </c>
      <c r="M379" t="b">
        <f t="shared" si="46"/>
        <v>1</v>
      </c>
      <c r="N379" t="b">
        <f t="shared" si="40"/>
        <v>0</v>
      </c>
      <c r="O379" t="str">
        <f t="shared" si="47"/>
        <v>Standard order</v>
      </c>
      <c r="P379" s="7">
        <f t="shared" si="41"/>
        <v>2.3094999999999999</v>
      </c>
      <c r="Q379" s="7" t="str">
        <f>VLOOKUP(D380,Product_Lookup!$A$2:$C$27,2,FALSE)</f>
        <v>Vacuum</v>
      </c>
      <c r="R379" s="7">
        <f t="shared" si="42"/>
        <v>184.76</v>
      </c>
    </row>
    <row r="380" spans="1:18" ht="21.75" customHeight="1">
      <c r="A380" t="s">
        <v>521</v>
      </c>
      <c r="B380" s="6">
        <v>45402</v>
      </c>
      <c r="C380" t="s">
        <v>348</v>
      </c>
      <c r="D380" t="s">
        <v>87</v>
      </c>
      <c r="E380" t="s">
        <v>17</v>
      </c>
      <c r="F380" t="s">
        <v>56</v>
      </c>
      <c r="G380" t="s">
        <v>23</v>
      </c>
      <c r="H380">
        <v>11</v>
      </c>
      <c r="I380" t="str">
        <f>VLOOKUP(D380,Product_Lookup!$A$2:$C$27,3,FALSE)</f>
        <v>$26.59</v>
      </c>
      <c r="J380" t="str">
        <f t="shared" si="43"/>
        <v>Saturday</v>
      </c>
      <c r="K380" s="10" t="str">
        <f t="shared" si="44"/>
        <v>April</v>
      </c>
      <c r="L380">
        <f t="shared" si="45"/>
        <v>2024</v>
      </c>
      <c r="M380" t="b">
        <f t="shared" si="46"/>
        <v>1</v>
      </c>
      <c r="N380" t="b">
        <f t="shared" si="40"/>
        <v>0</v>
      </c>
      <c r="O380" t="str">
        <f t="shared" si="47"/>
        <v>Standard order</v>
      </c>
      <c r="P380" s="7">
        <f t="shared" si="41"/>
        <v>1.3295000000000001</v>
      </c>
      <c r="Q380" s="7" t="str">
        <f>VLOOKUP(D381,Product_Lookup!$A$2:$C$27,2,FALSE)</f>
        <v>Vacuum</v>
      </c>
      <c r="R380" s="7">
        <f t="shared" si="42"/>
        <v>292.49</v>
      </c>
    </row>
    <row r="381" spans="1:18" ht="21.75" customHeight="1">
      <c r="A381" t="s">
        <v>522</v>
      </c>
      <c r="B381" s="6">
        <v>45504</v>
      </c>
      <c r="C381" t="s">
        <v>388</v>
      </c>
      <c r="D381" t="s">
        <v>87</v>
      </c>
      <c r="E381" t="s">
        <v>11</v>
      </c>
      <c r="F381" t="s">
        <v>42</v>
      </c>
      <c r="G381" t="s">
        <v>32</v>
      </c>
      <c r="H381">
        <v>11</v>
      </c>
      <c r="I381" t="str">
        <f>VLOOKUP(D381,Product_Lookup!$A$2:$C$27,3,FALSE)</f>
        <v>$26.59</v>
      </c>
      <c r="J381" t="str">
        <f t="shared" si="43"/>
        <v>Wednesday</v>
      </c>
      <c r="K381" s="10" t="str">
        <f t="shared" si="44"/>
        <v>July</v>
      </c>
      <c r="L381">
        <f t="shared" si="45"/>
        <v>2024</v>
      </c>
      <c r="M381" t="b">
        <f t="shared" si="46"/>
        <v>0</v>
      </c>
      <c r="N381" t="b">
        <f t="shared" si="40"/>
        <v>0</v>
      </c>
      <c r="O381" t="str">
        <f t="shared" si="47"/>
        <v>Standard order</v>
      </c>
      <c r="P381" s="7">
        <f t="shared" si="41"/>
        <v>1.3295000000000001</v>
      </c>
      <c r="Q381" s="7" t="str">
        <f>VLOOKUP(D382,Product_Lookup!$A$2:$C$27,2,FALSE)</f>
        <v>Tablet</v>
      </c>
      <c r="R381" s="7">
        <f t="shared" si="42"/>
        <v>292.49</v>
      </c>
    </row>
    <row r="382" spans="1:18" ht="21.75" customHeight="1">
      <c r="A382" t="s">
        <v>523</v>
      </c>
      <c r="B382" s="6">
        <v>45370</v>
      </c>
      <c r="C382" t="s">
        <v>455</v>
      </c>
      <c r="D382" t="s">
        <v>10</v>
      </c>
      <c r="E382" t="s">
        <v>17</v>
      </c>
      <c r="F382" t="s">
        <v>12</v>
      </c>
      <c r="G382" t="s">
        <v>13</v>
      </c>
      <c r="H382">
        <v>3</v>
      </c>
      <c r="I382" t="str">
        <f>VLOOKUP(D382,Product_Lookup!$A$2:$C$27,3,FALSE)</f>
        <v>$146.06</v>
      </c>
      <c r="J382" t="str">
        <f t="shared" si="43"/>
        <v>Tuesday</v>
      </c>
      <c r="K382" s="10" t="str">
        <f t="shared" si="44"/>
        <v>March</v>
      </c>
      <c r="L382">
        <f t="shared" si="45"/>
        <v>2024</v>
      </c>
      <c r="M382" t="b">
        <f t="shared" si="46"/>
        <v>0</v>
      </c>
      <c r="N382" t="b">
        <f t="shared" si="40"/>
        <v>0</v>
      </c>
      <c r="O382" t="str">
        <f t="shared" si="47"/>
        <v>Standard order</v>
      </c>
      <c r="P382" s="7">
        <f t="shared" si="41"/>
        <v>7.3030000000000008</v>
      </c>
      <c r="Q382" s="7" t="str">
        <f>VLOOKUP(D383,Product_Lookup!$A$2:$C$27,2,FALSE)</f>
        <v>Desk Lamp</v>
      </c>
      <c r="R382" s="7">
        <f t="shared" si="42"/>
        <v>438.18</v>
      </c>
    </row>
    <row r="383" spans="1:18" ht="21.75" customHeight="1">
      <c r="A383" t="s">
        <v>524</v>
      </c>
      <c r="B383" s="6">
        <v>45482</v>
      </c>
      <c r="C383" t="s">
        <v>34</v>
      </c>
      <c r="D383" t="s">
        <v>59</v>
      </c>
      <c r="E383" t="s">
        <v>22</v>
      </c>
      <c r="F383" t="s">
        <v>12</v>
      </c>
      <c r="G383" t="s">
        <v>13</v>
      </c>
      <c r="H383">
        <v>18</v>
      </c>
      <c r="I383" t="str">
        <f>VLOOKUP(D383,Product_Lookup!$A$2:$C$27,3,FALSE)</f>
        <v>$101.96</v>
      </c>
      <c r="J383" t="str">
        <f t="shared" si="43"/>
        <v>Tuesday</v>
      </c>
      <c r="K383" s="10" t="str">
        <f t="shared" si="44"/>
        <v>July</v>
      </c>
      <c r="L383">
        <f t="shared" si="45"/>
        <v>2024</v>
      </c>
      <c r="M383" t="b">
        <f t="shared" si="46"/>
        <v>0</v>
      </c>
      <c r="N383" t="b">
        <f t="shared" si="40"/>
        <v>1</v>
      </c>
      <c r="O383" t="str">
        <f t="shared" si="47"/>
        <v>Large Order</v>
      </c>
      <c r="P383" s="7">
        <f t="shared" si="41"/>
        <v>5.0979999999999999</v>
      </c>
      <c r="Q383" s="7" t="str">
        <f>VLOOKUP(D384,Product_Lookup!$A$2:$C$27,2,FALSE)</f>
        <v>Lego Set</v>
      </c>
      <c r="R383" s="7">
        <f t="shared" si="42"/>
        <v>1835.28</v>
      </c>
    </row>
    <row r="384" spans="1:18" ht="21.75" customHeight="1">
      <c r="A384" t="s">
        <v>525</v>
      </c>
      <c r="B384" s="6">
        <v>45502</v>
      </c>
      <c r="C384" t="s">
        <v>182</v>
      </c>
      <c r="D384" t="s">
        <v>84</v>
      </c>
      <c r="E384" t="s">
        <v>22</v>
      </c>
      <c r="F384" t="s">
        <v>27</v>
      </c>
      <c r="G384" t="s">
        <v>36</v>
      </c>
      <c r="H384">
        <v>2</v>
      </c>
      <c r="I384" t="str">
        <f>VLOOKUP(D384,Product_Lookup!$A$2:$C$27,3,FALSE)</f>
        <v>$130.07</v>
      </c>
      <c r="J384" t="str">
        <f t="shared" si="43"/>
        <v>Monday</v>
      </c>
      <c r="K384" s="10" t="str">
        <f t="shared" si="44"/>
        <v>July</v>
      </c>
      <c r="L384">
        <f t="shared" si="45"/>
        <v>2024</v>
      </c>
      <c r="M384" t="b">
        <f t="shared" si="46"/>
        <v>0</v>
      </c>
      <c r="N384" t="b">
        <f t="shared" si="40"/>
        <v>0</v>
      </c>
      <c r="O384" t="str">
        <f t="shared" si="47"/>
        <v>Standard order</v>
      </c>
      <c r="P384" s="7">
        <f t="shared" si="41"/>
        <v>6.5034999999999998</v>
      </c>
      <c r="Q384" s="7" t="str">
        <f>VLOOKUP(D385,Product_Lookup!$A$2:$C$27,2,FALSE)</f>
        <v>Notebook</v>
      </c>
      <c r="R384" s="7">
        <f t="shared" si="42"/>
        <v>260.14</v>
      </c>
    </row>
    <row r="385" spans="1:18" ht="21.75" customHeight="1">
      <c r="A385" t="s">
        <v>526</v>
      </c>
      <c r="B385" s="6">
        <v>45451</v>
      </c>
      <c r="C385" t="s">
        <v>182</v>
      </c>
      <c r="D385" t="s">
        <v>160</v>
      </c>
      <c r="E385" t="s">
        <v>11</v>
      </c>
      <c r="F385" t="s">
        <v>306</v>
      </c>
      <c r="G385" t="s">
        <v>23</v>
      </c>
      <c r="H385">
        <v>7</v>
      </c>
      <c r="I385" t="str">
        <f>VLOOKUP(D385,Product_Lookup!$A$2:$C$27,3,FALSE)</f>
        <v>$149.27</v>
      </c>
      <c r="J385" t="str">
        <f t="shared" si="43"/>
        <v>Saturday</v>
      </c>
      <c r="K385" s="10" t="str">
        <f t="shared" si="44"/>
        <v>June</v>
      </c>
      <c r="L385">
        <f t="shared" si="45"/>
        <v>2024</v>
      </c>
      <c r="M385" t="b">
        <f t="shared" si="46"/>
        <v>1</v>
      </c>
      <c r="N385" t="b">
        <f t="shared" si="40"/>
        <v>1</v>
      </c>
      <c r="O385" t="str">
        <f t="shared" si="47"/>
        <v>Large Order</v>
      </c>
      <c r="P385" s="7">
        <f t="shared" si="41"/>
        <v>7.4635000000000007</v>
      </c>
      <c r="Q385" s="7" t="str">
        <f>VLOOKUP(D386,Product_Lookup!$A$2:$C$27,2,FALSE)</f>
        <v>Toaster</v>
      </c>
      <c r="R385" s="7">
        <f t="shared" si="42"/>
        <v>1044.8900000000001</v>
      </c>
    </row>
    <row r="386" spans="1:18" ht="21.75" customHeight="1">
      <c r="A386" t="s">
        <v>527</v>
      </c>
      <c r="B386" s="6">
        <v>45406</v>
      </c>
      <c r="C386" t="s">
        <v>15</v>
      </c>
      <c r="D386" t="s">
        <v>48</v>
      </c>
      <c r="E386" t="s">
        <v>17</v>
      </c>
      <c r="F386" t="s">
        <v>306</v>
      </c>
      <c r="G386" t="s">
        <v>36</v>
      </c>
      <c r="H386">
        <v>4</v>
      </c>
      <c r="I386" t="str">
        <f>VLOOKUP(D386,Product_Lookup!$A$2:$C$27,3,FALSE)</f>
        <v>$208.85</v>
      </c>
      <c r="J386" t="str">
        <f t="shared" si="43"/>
        <v>Wednesday</v>
      </c>
      <c r="K386" s="10" t="str">
        <f t="shared" si="44"/>
        <v>April</v>
      </c>
      <c r="L386">
        <f t="shared" si="45"/>
        <v>2024</v>
      </c>
      <c r="M386" t="b">
        <f t="shared" si="46"/>
        <v>0</v>
      </c>
      <c r="N386" t="b">
        <f t="shared" ref="N386:N449" si="48">AND(R386&gt;750, H386&gt;5)</f>
        <v>0</v>
      </c>
      <c r="O386" t="str">
        <f t="shared" si="47"/>
        <v>Large Order</v>
      </c>
      <c r="P386" s="7">
        <f t="shared" ref="P386:P449" si="49">I386*$S$2</f>
        <v>10.442500000000001</v>
      </c>
      <c r="Q386" s="7" t="str">
        <f>VLOOKUP(D387,Product_Lookup!$A$2:$C$27,2,FALSE)</f>
        <v>Paper Shredder</v>
      </c>
      <c r="R386" s="7">
        <f t="shared" ref="R386:R449" si="50">H386*I386</f>
        <v>835.4</v>
      </c>
    </row>
    <row r="387" spans="1:18" ht="21.75" customHeight="1">
      <c r="A387" t="s">
        <v>528</v>
      </c>
      <c r="B387" s="6">
        <v>45407</v>
      </c>
      <c r="C387" t="s">
        <v>309</v>
      </c>
      <c r="D387" t="s">
        <v>109</v>
      </c>
      <c r="E387" t="s">
        <v>22</v>
      </c>
      <c r="F387" t="s">
        <v>306</v>
      </c>
      <c r="G387" t="s">
        <v>32</v>
      </c>
      <c r="H387">
        <v>18</v>
      </c>
      <c r="I387" t="str">
        <f>VLOOKUP(D387,Product_Lookup!$A$2:$C$27,3,FALSE)</f>
        <v>$81.02</v>
      </c>
      <c r="J387" t="str">
        <f t="shared" ref="J387:J450" si="51">TEXT(B387, "dddd")</f>
        <v>Thursday</v>
      </c>
      <c r="K387" s="10" t="str">
        <f t="shared" ref="K387:K450" si="52">TEXT(B387, "mmmm")</f>
        <v>April</v>
      </c>
      <c r="L387">
        <f t="shared" ref="L387:L450" si="53">YEAR(B387)</f>
        <v>2024</v>
      </c>
      <c r="M387" t="b">
        <f t="shared" ref="M387:M450" si="54">OR(J387="Saturday", J387="Sunday")</f>
        <v>0</v>
      </c>
      <c r="N387" t="b">
        <f t="shared" si="48"/>
        <v>1</v>
      </c>
      <c r="O387" t="str">
        <f t="shared" ref="O387:O450" si="55">IF(R387&gt;500,"Large Order","Standard order")</f>
        <v>Large Order</v>
      </c>
      <c r="P387" s="7">
        <f t="shared" si="49"/>
        <v>4.0510000000000002</v>
      </c>
      <c r="Q387" s="7" t="str">
        <f>VLOOKUP(D388,Product_Lookup!$A$2:$C$27,2,FALSE)</f>
        <v>Blender</v>
      </c>
      <c r="R387" s="7">
        <f t="shared" si="50"/>
        <v>1458.36</v>
      </c>
    </row>
    <row r="388" spans="1:18" ht="21.75" customHeight="1">
      <c r="A388" t="s">
        <v>529</v>
      </c>
      <c r="B388" s="6">
        <v>45306</v>
      </c>
      <c r="C388" t="s">
        <v>44</v>
      </c>
      <c r="D388" t="s">
        <v>72</v>
      </c>
      <c r="E388" t="s">
        <v>17</v>
      </c>
      <c r="F388" t="s">
        <v>42</v>
      </c>
      <c r="G388" t="s">
        <v>28</v>
      </c>
      <c r="H388">
        <v>12</v>
      </c>
      <c r="I388" t="str">
        <f>VLOOKUP(D388,Product_Lookup!$A$2:$C$27,3,FALSE)</f>
        <v>$156.44</v>
      </c>
      <c r="J388" t="str">
        <f t="shared" si="51"/>
        <v>Monday</v>
      </c>
      <c r="K388" s="10" t="str">
        <f t="shared" si="52"/>
        <v>January</v>
      </c>
      <c r="L388">
        <f t="shared" si="53"/>
        <v>2024</v>
      </c>
      <c r="M388" t="b">
        <f t="shared" si="54"/>
        <v>0</v>
      </c>
      <c r="N388" t="b">
        <f t="shared" si="48"/>
        <v>1</v>
      </c>
      <c r="O388" t="str">
        <f t="shared" si="55"/>
        <v>Large Order</v>
      </c>
      <c r="P388" s="7">
        <f t="shared" si="49"/>
        <v>7.8220000000000001</v>
      </c>
      <c r="Q388" s="7" t="str">
        <f>VLOOKUP(D389,Product_Lookup!$A$2:$C$27,2,FALSE)</f>
        <v>Headphones</v>
      </c>
      <c r="R388" s="7">
        <f t="shared" si="50"/>
        <v>1877.28</v>
      </c>
    </row>
    <row r="389" spans="1:18" ht="21.75" customHeight="1">
      <c r="A389" t="s">
        <v>530</v>
      </c>
      <c r="B389" s="6">
        <v>45581</v>
      </c>
      <c r="C389" t="s">
        <v>371</v>
      </c>
      <c r="D389" t="s">
        <v>16</v>
      </c>
      <c r="E389" t="s">
        <v>17</v>
      </c>
      <c r="F389" t="s">
        <v>12</v>
      </c>
      <c r="G389" t="s">
        <v>36</v>
      </c>
      <c r="H389">
        <v>1</v>
      </c>
      <c r="I389" t="str">
        <f>VLOOKUP(D389,Product_Lookup!$A$2:$C$27,3,FALSE)</f>
        <v>$178.83</v>
      </c>
      <c r="J389" t="str">
        <f t="shared" si="51"/>
        <v>Wednesday</v>
      </c>
      <c r="K389" s="10" t="str">
        <f t="shared" si="52"/>
        <v>October</v>
      </c>
      <c r="L389">
        <f t="shared" si="53"/>
        <v>2024</v>
      </c>
      <c r="M389" t="b">
        <f t="shared" si="54"/>
        <v>0</v>
      </c>
      <c r="N389" t="b">
        <f t="shared" si="48"/>
        <v>0</v>
      </c>
      <c r="O389" t="str">
        <f t="shared" si="55"/>
        <v>Standard order</v>
      </c>
      <c r="P389" s="7">
        <f t="shared" si="49"/>
        <v>8.9415000000000013</v>
      </c>
      <c r="Q389" s="7" t="str">
        <f>VLOOKUP(D390,Product_Lookup!$A$2:$C$27,2,FALSE)</f>
        <v>Blender</v>
      </c>
      <c r="R389" s="7">
        <f t="shared" si="50"/>
        <v>178.83</v>
      </c>
    </row>
    <row r="390" spans="1:18" ht="21.75" customHeight="1">
      <c r="A390" t="s">
        <v>531</v>
      </c>
      <c r="B390" s="6">
        <v>45402</v>
      </c>
      <c r="C390" t="s">
        <v>159</v>
      </c>
      <c r="D390" t="s">
        <v>72</v>
      </c>
      <c r="E390" t="s">
        <v>17</v>
      </c>
      <c r="F390" t="s">
        <v>27</v>
      </c>
      <c r="G390" t="s">
        <v>32</v>
      </c>
      <c r="H390">
        <v>6</v>
      </c>
      <c r="I390" t="str">
        <f>VLOOKUP(D390,Product_Lookup!$A$2:$C$27,3,FALSE)</f>
        <v>$156.44</v>
      </c>
      <c r="J390" t="str">
        <f t="shared" si="51"/>
        <v>Saturday</v>
      </c>
      <c r="K390" s="10" t="str">
        <f t="shared" si="52"/>
        <v>April</v>
      </c>
      <c r="L390">
        <f t="shared" si="53"/>
        <v>2024</v>
      </c>
      <c r="M390" t="b">
        <f t="shared" si="54"/>
        <v>1</v>
      </c>
      <c r="N390" t="b">
        <f t="shared" si="48"/>
        <v>1</v>
      </c>
      <c r="O390" t="str">
        <f t="shared" si="55"/>
        <v>Large Order</v>
      </c>
      <c r="P390" s="7">
        <f t="shared" si="49"/>
        <v>7.8220000000000001</v>
      </c>
      <c r="Q390" s="7" t="str">
        <f>VLOOKUP(D391,Product_Lookup!$A$2:$C$27,2,FALSE)</f>
        <v>Headphones</v>
      </c>
      <c r="R390" s="7">
        <f t="shared" si="50"/>
        <v>938.64</v>
      </c>
    </row>
    <row r="391" spans="1:18" ht="21.75" customHeight="1">
      <c r="A391" t="s">
        <v>532</v>
      </c>
      <c r="B391" s="6">
        <v>45582</v>
      </c>
      <c r="C391" t="s">
        <v>327</v>
      </c>
      <c r="D391" t="s">
        <v>16</v>
      </c>
      <c r="E391" t="s">
        <v>11</v>
      </c>
      <c r="F391" t="s">
        <v>12</v>
      </c>
      <c r="G391" t="s">
        <v>13</v>
      </c>
      <c r="H391">
        <v>6</v>
      </c>
      <c r="I391" t="str">
        <f>VLOOKUP(D391,Product_Lookup!$A$2:$C$27,3,FALSE)</f>
        <v>$178.83</v>
      </c>
      <c r="J391" t="str">
        <f t="shared" si="51"/>
        <v>Thursday</v>
      </c>
      <c r="K391" s="10" t="str">
        <f t="shared" si="52"/>
        <v>October</v>
      </c>
      <c r="L391">
        <f t="shared" si="53"/>
        <v>2024</v>
      </c>
      <c r="M391" t="b">
        <f t="shared" si="54"/>
        <v>0</v>
      </c>
      <c r="N391" t="b">
        <f t="shared" si="48"/>
        <v>1</v>
      </c>
      <c r="O391" t="str">
        <f t="shared" si="55"/>
        <v>Large Order</v>
      </c>
      <c r="P391" s="7">
        <f t="shared" si="49"/>
        <v>8.9415000000000013</v>
      </c>
      <c r="Q391" s="7" t="str">
        <f>VLOOKUP(D392,Product_Lookup!$A$2:$C$27,2,FALSE)</f>
        <v>Board Game</v>
      </c>
      <c r="R391" s="7">
        <f t="shared" si="50"/>
        <v>1072.98</v>
      </c>
    </row>
    <row r="392" spans="1:18" ht="21.75" customHeight="1">
      <c r="A392" t="s">
        <v>533</v>
      </c>
      <c r="B392" s="6">
        <v>45637</v>
      </c>
      <c r="C392" t="s">
        <v>81</v>
      </c>
      <c r="D392" t="s">
        <v>41</v>
      </c>
      <c r="E392" t="s">
        <v>17</v>
      </c>
      <c r="F392" t="s">
        <v>27</v>
      </c>
      <c r="G392" t="s">
        <v>23</v>
      </c>
      <c r="H392">
        <v>14</v>
      </c>
      <c r="I392" t="str">
        <f>VLOOKUP(D392,Product_Lookup!$A$2:$C$27,3,FALSE)</f>
        <v>$86.6</v>
      </c>
      <c r="J392" t="str">
        <f t="shared" si="51"/>
        <v>Wednesday</v>
      </c>
      <c r="K392" s="10" t="str">
        <f t="shared" si="52"/>
        <v>December</v>
      </c>
      <c r="L392">
        <f t="shared" si="53"/>
        <v>2024</v>
      </c>
      <c r="M392" t="b">
        <f t="shared" si="54"/>
        <v>0</v>
      </c>
      <c r="N392" t="b">
        <f t="shared" si="48"/>
        <v>1</v>
      </c>
      <c r="O392" t="str">
        <f t="shared" si="55"/>
        <v>Large Order</v>
      </c>
      <c r="P392" s="7">
        <f t="shared" si="49"/>
        <v>4.33</v>
      </c>
      <c r="Q392" s="7" t="str">
        <f>VLOOKUP(D393,Product_Lookup!$A$2:$C$27,2,FALSE)</f>
        <v>Monitor</v>
      </c>
      <c r="R392" s="7">
        <f t="shared" si="50"/>
        <v>1212.3999999999999</v>
      </c>
    </row>
    <row r="393" spans="1:18" ht="21.75" customHeight="1">
      <c r="A393" t="s">
        <v>534</v>
      </c>
      <c r="B393" s="6">
        <v>45504</v>
      </c>
      <c r="C393" t="s">
        <v>101</v>
      </c>
      <c r="D393" t="s">
        <v>102</v>
      </c>
      <c r="E393" t="s">
        <v>11</v>
      </c>
      <c r="F393" t="s">
        <v>306</v>
      </c>
      <c r="G393" t="s">
        <v>32</v>
      </c>
      <c r="H393">
        <v>12</v>
      </c>
      <c r="I393" t="str">
        <f>VLOOKUP(D393,Product_Lookup!$A$2:$C$27,3,FALSE)</f>
        <v>$145.48</v>
      </c>
      <c r="J393" t="str">
        <f t="shared" si="51"/>
        <v>Wednesday</v>
      </c>
      <c r="K393" s="10" t="str">
        <f t="shared" si="52"/>
        <v>July</v>
      </c>
      <c r="L393">
        <f t="shared" si="53"/>
        <v>2024</v>
      </c>
      <c r="M393" t="b">
        <f t="shared" si="54"/>
        <v>0</v>
      </c>
      <c r="N393" t="b">
        <f t="shared" si="48"/>
        <v>1</v>
      </c>
      <c r="O393" t="str">
        <f t="shared" si="55"/>
        <v>Large Order</v>
      </c>
      <c r="P393" s="7">
        <f t="shared" si="49"/>
        <v>7.274</v>
      </c>
      <c r="Q393" s="7" t="str">
        <f>VLOOKUP(D394,Product_Lookup!$A$2:$C$27,2,FALSE)</f>
        <v>Notebook</v>
      </c>
      <c r="R393" s="7">
        <f t="shared" si="50"/>
        <v>1745.7599999999998</v>
      </c>
    </row>
    <row r="394" spans="1:18" ht="21.75" customHeight="1">
      <c r="A394" t="s">
        <v>535</v>
      </c>
      <c r="B394" s="6">
        <v>45639</v>
      </c>
      <c r="C394" t="s">
        <v>422</v>
      </c>
      <c r="D394" t="s">
        <v>160</v>
      </c>
      <c r="E394" t="s">
        <v>22</v>
      </c>
      <c r="F394" t="s">
        <v>27</v>
      </c>
      <c r="G394" t="s">
        <v>23</v>
      </c>
      <c r="H394">
        <v>10</v>
      </c>
      <c r="I394" t="str">
        <f>VLOOKUP(D394,Product_Lookup!$A$2:$C$27,3,FALSE)</f>
        <v>$149.27</v>
      </c>
      <c r="J394" t="str">
        <f t="shared" si="51"/>
        <v>Friday</v>
      </c>
      <c r="K394" s="10" t="str">
        <f t="shared" si="52"/>
        <v>December</v>
      </c>
      <c r="L394">
        <f t="shared" si="53"/>
        <v>2024</v>
      </c>
      <c r="M394" t="b">
        <f t="shared" si="54"/>
        <v>0</v>
      </c>
      <c r="N394" t="b">
        <f t="shared" si="48"/>
        <v>1</v>
      </c>
      <c r="O394" t="str">
        <f t="shared" si="55"/>
        <v>Large Order</v>
      </c>
      <c r="P394" s="7">
        <f t="shared" si="49"/>
        <v>7.4635000000000007</v>
      </c>
      <c r="Q394" s="7" t="str">
        <f>VLOOKUP(D395,Product_Lookup!$A$2:$C$27,2,FALSE)</f>
        <v>Socks</v>
      </c>
      <c r="R394" s="7">
        <f t="shared" si="50"/>
        <v>1492.7</v>
      </c>
    </row>
    <row r="395" spans="1:18" ht="21.75" customHeight="1">
      <c r="A395" t="s">
        <v>536</v>
      </c>
      <c r="B395" s="6">
        <v>45598</v>
      </c>
      <c r="C395" t="s">
        <v>131</v>
      </c>
      <c r="D395" t="s">
        <v>74</v>
      </c>
      <c r="E395" t="s">
        <v>11</v>
      </c>
      <c r="F395" t="s">
        <v>56</v>
      </c>
      <c r="G395" t="s">
        <v>32</v>
      </c>
      <c r="H395">
        <v>7</v>
      </c>
      <c r="I395" t="str">
        <f>VLOOKUP(D395,Product_Lookup!$A$2:$C$27,3,FALSE)</f>
        <v>$201.32</v>
      </c>
      <c r="J395" t="str">
        <f t="shared" si="51"/>
        <v>Saturday</v>
      </c>
      <c r="K395" s="10" t="str">
        <f t="shared" si="52"/>
        <v>November</v>
      </c>
      <c r="L395">
        <f t="shared" si="53"/>
        <v>2024</v>
      </c>
      <c r="M395" t="b">
        <f t="shared" si="54"/>
        <v>1</v>
      </c>
      <c r="N395" t="b">
        <f t="shared" si="48"/>
        <v>1</v>
      </c>
      <c r="O395" t="str">
        <f t="shared" si="55"/>
        <v>Large Order</v>
      </c>
      <c r="P395" s="7">
        <f t="shared" si="49"/>
        <v>10.066000000000001</v>
      </c>
      <c r="Q395" s="7" t="str">
        <f>VLOOKUP(D396,Product_Lookup!$A$2:$C$27,2,FALSE)</f>
        <v>Stapler</v>
      </c>
      <c r="R395" s="7">
        <f t="shared" si="50"/>
        <v>1409.24</v>
      </c>
    </row>
    <row r="396" spans="1:18" ht="21.75" customHeight="1">
      <c r="A396" t="s">
        <v>537</v>
      </c>
      <c r="B396" s="6">
        <v>45440</v>
      </c>
      <c r="C396" t="s">
        <v>187</v>
      </c>
      <c r="D396" t="s">
        <v>35</v>
      </c>
      <c r="E396" t="s">
        <v>11</v>
      </c>
      <c r="F396" t="s">
        <v>12</v>
      </c>
      <c r="G396" t="s">
        <v>23</v>
      </c>
      <c r="H396">
        <v>14</v>
      </c>
      <c r="I396" t="str">
        <f>VLOOKUP(D396,Product_Lookup!$A$2:$C$27,3,FALSE)</f>
        <v>$64.61</v>
      </c>
      <c r="J396" t="str">
        <f t="shared" si="51"/>
        <v>Tuesday</v>
      </c>
      <c r="K396" s="10" t="str">
        <f t="shared" si="52"/>
        <v>May</v>
      </c>
      <c r="L396">
        <f t="shared" si="53"/>
        <v>2024</v>
      </c>
      <c r="M396" t="b">
        <f t="shared" si="54"/>
        <v>0</v>
      </c>
      <c r="N396" t="b">
        <f t="shared" si="48"/>
        <v>1</v>
      </c>
      <c r="O396" t="str">
        <f t="shared" si="55"/>
        <v>Large Order</v>
      </c>
      <c r="P396" s="7">
        <f t="shared" si="49"/>
        <v>3.2305000000000001</v>
      </c>
      <c r="Q396" s="7" t="str">
        <f>VLOOKUP(D397,Product_Lookup!$A$2:$C$27,2,FALSE)</f>
        <v>Pen Set</v>
      </c>
      <c r="R396" s="7">
        <f t="shared" si="50"/>
        <v>904.54</v>
      </c>
    </row>
    <row r="397" spans="1:18" ht="21.75" customHeight="1">
      <c r="A397" t="s">
        <v>538</v>
      </c>
      <c r="B397" s="6">
        <v>45564</v>
      </c>
      <c r="C397" t="s">
        <v>369</v>
      </c>
      <c r="D397" t="s">
        <v>174</v>
      </c>
      <c r="E397" t="s">
        <v>11</v>
      </c>
      <c r="F397" t="s">
        <v>306</v>
      </c>
      <c r="G397" t="s">
        <v>13</v>
      </c>
      <c r="H397">
        <v>12</v>
      </c>
      <c r="I397" t="str">
        <f>VLOOKUP(D397,Product_Lookup!$A$2:$C$27,3,FALSE)</f>
        <v>$133.37</v>
      </c>
      <c r="J397" t="str">
        <f t="shared" si="51"/>
        <v>Sunday</v>
      </c>
      <c r="K397" s="10" t="str">
        <f t="shared" si="52"/>
        <v>September</v>
      </c>
      <c r="L397">
        <f t="shared" si="53"/>
        <v>2024</v>
      </c>
      <c r="M397" t="b">
        <f t="shared" si="54"/>
        <v>1</v>
      </c>
      <c r="N397" t="b">
        <f t="shared" si="48"/>
        <v>1</v>
      </c>
      <c r="O397" t="str">
        <f t="shared" si="55"/>
        <v>Large Order</v>
      </c>
      <c r="P397" s="7">
        <f t="shared" si="49"/>
        <v>6.6685000000000008</v>
      </c>
      <c r="Q397" s="7" t="str">
        <f>VLOOKUP(D398,Product_Lookup!$A$2:$C$27,2,FALSE)</f>
        <v>Blender</v>
      </c>
      <c r="R397" s="7">
        <f t="shared" si="50"/>
        <v>1600.44</v>
      </c>
    </row>
    <row r="398" spans="1:18" ht="21.75" customHeight="1">
      <c r="A398" t="s">
        <v>539</v>
      </c>
      <c r="B398" s="6">
        <v>45515</v>
      </c>
      <c r="C398" t="s">
        <v>138</v>
      </c>
      <c r="D398" t="s">
        <v>72</v>
      </c>
      <c r="E398" t="s">
        <v>17</v>
      </c>
      <c r="F398" t="s">
        <v>12</v>
      </c>
      <c r="G398" t="s">
        <v>23</v>
      </c>
      <c r="H398">
        <v>19</v>
      </c>
      <c r="I398" t="str">
        <f>VLOOKUP(D398,Product_Lookup!$A$2:$C$27,3,FALSE)</f>
        <v>$156.44</v>
      </c>
      <c r="J398" t="str">
        <f t="shared" si="51"/>
        <v>Sunday</v>
      </c>
      <c r="K398" s="10" t="str">
        <f t="shared" si="52"/>
        <v>August</v>
      </c>
      <c r="L398">
        <f t="shared" si="53"/>
        <v>2024</v>
      </c>
      <c r="M398" t="b">
        <f t="shared" si="54"/>
        <v>1</v>
      </c>
      <c r="N398" t="b">
        <f t="shared" si="48"/>
        <v>1</v>
      </c>
      <c r="O398" t="str">
        <f t="shared" si="55"/>
        <v>Large Order</v>
      </c>
      <c r="P398" s="7">
        <f t="shared" si="49"/>
        <v>7.8220000000000001</v>
      </c>
      <c r="Q398" s="7" t="str">
        <f>VLOOKUP(D399,Product_Lookup!$A$2:$C$27,2,FALSE)</f>
        <v>Monitor</v>
      </c>
      <c r="R398" s="7">
        <f t="shared" si="50"/>
        <v>2972.36</v>
      </c>
    </row>
    <row r="399" spans="1:18" ht="21.75" customHeight="1">
      <c r="A399" t="s">
        <v>540</v>
      </c>
      <c r="B399" s="6">
        <v>45655</v>
      </c>
      <c r="C399" t="s">
        <v>541</v>
      </c>
      <c r="D399" t="s">
        <v>102</v>
      </c>
      <c r="E399" t="s">
        <v>17</v>
      </c>
      <c r="F399" t="s">
        <v>42</v>
      </c>
      <c r="G399" t="s">
        <v>32</v>
      </c>
      <c r="H399">
        <v>13</v>
      </c>
      <c r="I399" t="str">
        <f>VLOOKUP(D399,Product_Lookup!$A$2:$C$27,3,FALSE)</f>
        <v>$145.48</v>
      </c>
      <c r="J399" t="str">
        <f t="shared" si="51"/>
        <v>Sunday</v>
      </c>
      <c r="K399" s="10" t="str">
        <f t="shared" si="52"/>
        <v>December</v>
      </c>
      <c r="L399">
        <f t="shared" si="53"/>
        <v>2024</v>
      </c>
      <c r="M399" t="b">
        <f t="shared" si="54"/>
        <v>1</v>
      </c>
      <c r="N399" t="b">
        <f t="shared" si="48"/>
        <v>1</v>
      </c>
      <c r="O399" t="str">
        <f t="shared" si="55"/>
        <v>Large Order</v>
      </c>
      <c r="P399" s="7">
        <f t="shared" si="49"/>
        <v>7.274</v>
      </c>
      <c r="Q399" s="7" t="str">
        <f>VLOOKUP(D400,Product_Lookup!$A$2:$C$27,2,FALSE)</f>
        <v>Tablet</v>
      </c>
      <c r="R399" s="7">
        <f t="shared" si="50"/>
        <v>1891.2399999999998</v>
      </c>
    </row>
    <row r="400" spans="1:18" ht="21.75" customHeight="1">
      <c r="A400" t="s">
        <v>542</v>
      </c>
      <c r="B400" s="6">
        <v>45379</v>
      </c>
      <c r="C400" t="s">
        <v>381</v>
      </c>
      <c r="D400" t="s">
        <v>10</v>
      </c>
      <c r="E400" t="s">
        <v>17</v>
      </c>
      <c r="F400" t="s">
        <v>42</v>
      </c>
      <c r="G400" t="s">
        <v>28</v>
      </c>
      <c r="H400">
        <v>14</v>
      </c>
      <c r="I400" t="str">
        <f>VLOOKUP(D400,Product_Lookup!$A$2:$C$27,3,FALSE)</f>
        <v>$146.06</v>
      </c>
      <c r="J400" t="str">
        <f t="shared" si="51"/>
        <v>Thursday</v>
      </c>
      <c r="K400" s="10" t="str">
        <f t="shared" si="52"/>
        <v>March</v>
      </c>
      <c r="L400">
        <f t="shared" si="53"/>
        <v>2024</v>
      </c>
      <c r="M400" t="b">
        <f t="shared" si="54"/>
        <v>0</v>
      </c>
      <c r="N400" t="b">
        <f t="shared" si="48"/>
        <v>1</v>
      </c>
      <c r="O400" t="str">
        <f t="shared" si="55"/>
        <v>Large Order</v>
      </c>
      <c r="P400" s="7">
        <f t="shared" si="49"/>
        <v>7.3030000000000008</v>
      </c>
      <c r="Q400" s="7" t="str">
        <f>VLOOKUP(D401,Product_Lookup!$A$2:$C$27,2,FALSE)</f>
        <v>Tablet</v>
      </c>
      <c r="R400" s="7">
        <f t="shared" si="50"/>
        <v>2044.8400000000001</v>
      </c>
    </row>
    <row r="401" spans="1:18" ht="21.75" customHeight="1">
      <c r="A401" t="s">
        <v>543</v>
      </c>
      <c r="B401" s="6">
        <v>45515</v>
      </c>
      <c r="C401" t="s">
        <v>449</v>
      </c>
      <c r="D401" t="s">
        <v>10</v>
      </c>
      <c r="E401" t="s">
        <v>17</v>
      </c>
      <c r="F401" t="s">
        <v>306</v>
      </c>
      <c r="G401" t="s">
        <v>32</v>
      </c>
      <c r="H401">
        <v>13</v>
      </c>
      <c r="I401" t="str">
        <f>VLOOKUP(D401,Product_Lookup!$A$2:$C$27,3,FALSE)</f>
        <v>$146.06</v>
      </c>
      <c r="J401" t="str">
        <f t="shared" si="51"/>
        <v>Sunday</v>
      </c>
      <c r="K401" s="10" t="str">
        <f t="shared" si="52"/>
        <v>August</v>
      </c>
      <c r="L401">
        <f t="shared" si="53"/>
        <v>2024</v>
      </c>
      <c r="M401" t="b">
        <f t="shared" si="54"/>
        <v>1</v>
      </c>
      <c r="N401" t="b">
        <f t="shared" si="48"/>
        <v>1</v>
      </c>
      <c r="O401" t="str">
        <f t="shared" si="55"/>
        <v>Large Order</v>
      </c>
      <c r="P401" s="7">
        <f t="shared" si="49"/>
        <v>7.3030000000000008</v>
      </c>
      <c r="Q401" s="7" t="str">
        <f>VLOOKUP(D402,Product_Lookup!$A$2:$C$27,2,FALSE)</f>
        <v>Notebook</v>
      </c>
      <c r="R401" s="7">
        <f t="shared" si="50"/>
        <v>1898.78</v>
      </c>
    </row>
    <row r="402" spans="1:18" ht="21.75" customHeight="1">
      <c r="A402" t="s">
        <v>544</v>
      </c>
      <c r="B402" s="6">
        <v>45405</v>
      </c>
      <c r="C402" t="s">
        <v>118</v>
      </c>
      <c r="D402" t="s">
        <v>160</v>
      </c>
      <c r="E402" t="s">
        <v>11</v>
      </c>
      <c r="F402" t="s">
        <v>12</v>
      </c>
      <c r="G402" t="s">
        <v>28</v>
      </c>
      <c r="H402">
        <v>4</v>
      </c>
      <c r="I402" t="str">
        <f>VLOOKUP(D402,Product_Lookup!$A$2:$C$27,3,FALSE)</f>
        <v>$149.27</v>
      </c>
      <c r="J402" t="str">
        <f t="shared" si="51"/>
        <v>Tuesday</v>
      </c>
      <c r="K402" s="10" t="str">
        <f t="shared" si="52"/>
        <v>April</v>
      </c>
      <c r="L402">
        <f t="shared" si="53"/>
        <v>2024</v>
      </c>
      <c r="M402" t="b">
        <f t="shared" si="54"/>
        <v>0</v>
      </c>
      <c r="N402" t="b">
        <f t="shared" si="48"/>
        <v>0</v>
      </c>
      <c r="O402" t="str">
        <f t="shared" si="55"/>
        <v>Large Order</v>
      </c>
      <c r="P402" s="7">
        <f t="shared" si="49"/>
        <v>7.4635000000000007</v>
      </c>
      <c r="Q402" s="7" t="str">
        <f>VLOOKUP(D403,Product_Lookup!$A$2:$C$27,2,FALSE)</f>
        <v>Jacket</v>
      </c>
      <c r="R402" s="7">
        <f t="shared" si="50"/>
        <v>597.08000000000004</v>
      </c>
    </row>
    <row r="403" spans="1:18" ht="21.75" customHeight="1">
      <c r="A403" t="s">
        <v>545</v>
      </c>
      <c r="B403" s="6">
        <v>45470</v>
      </c>
      <c r="C403" t="s">
        <v>20</v>
      </c>
      <c r="D403" t="s">
        <v>197</v>
      </c>
      <c r="E403" t="s">
        <v>22</v>
      </c>
      <c r="F403" t="s">
        <v>56</v>
      </c>
      <c r="G403" t="s">
        <v>28</v>
      </c>
      <c r="H403">
        <v>4</v>
      </c>
      <c r="I403" t="str">
        <f>VLOOKUP(D403,Product_Lookup!$A$2:$C$27,3,FALSE)</f>
        <v>$10.11</v>
      </c>
      <c r="J403" t="str">
        <f t="shared" si="51"/>
        <v>Thursday</v>
      </c>
      <c r="K403" s="10" t="str">
        <f t="shared" si="52"/>
        <v>June</v>
      </c>
      <c r="L403">
        <f t="shared" si="53"/>
        <v>2024</v>
      </c>
      <c r="M403" t="b">
        <f t="shared" si="54"/>
        <v>0</v>
      </c>
      <c r="N403" t="b">
        <f t="shared" si="48"/>
        <v>0</v>
      </c>
      <c r="O403" t="str">
        <f t="shared" si="55"/>
        <v>Standard order</v>
      </c>
      <c r="P403" s="7">
        <f t="shared" si="49"/>
        <v>0.50549999999999995</v>
      </c>
      <c r="Q403" s="7" t="str">
        <f>VLOOKUP(D404,Product_Lookup!$A$2:$C$27,2,FALSE)</f>
        <v>T-Shirt</v>
      </c>
      <c r="R403" s="7">
        <f t="shared" si="50"/>
        <v>40.44</v>
      </c>
    </row>
    <row r="404" spans="1:18" ht="21.75" customHeight="1">
      <c r="A404" t="s">
        <v>546</v>
      </c>
      <c r="B404" s="6">
        <v>45380</v>
      </c>
      <c r="C404" t="s">
        <v>493</v>
      </c>
      <c r="D404" t="s">
        <v>45</v>
      </c>
      <c r="E404" t="s">
        <v>11</v>
      </c>
      <c r="F404" t="s">
        <v>12</v>
      </c>
      <c r="G404" t="s">
        <v>36</v>
      </c>
      <c r="H404">
        <v>16</v>
      </c>
      <c r="I404" t="str">
        <f>VLOOKUP(D404,Product_Lookup!$A$2:$C$27,3,FALSE)</f>
        <v>$107.34</v>
      </c>
      <c r="J404" t="str">
        <f t="shared" si="51"/>
        <v>Friday</v>
      </c>
      <c r="K404" s="10" t="str">
        <f t="shared" si="52"/>
        <v>March</v>
      </c>
      <c r="L404">
        <f t="shared" si="53"/>
        <v>2024</v>
      </c>
      <c r="M404" t="b">
        <f t="shared" si="54"/>
        <v>0</v>
      </c>
      <c r="N404" t="b">
        <f t="shared" si="48"/>
        <v>1</v>
      </c>
      <c r="O404" t="str">
        <f t="shared" si="55"/>
        <v>Large Order</v>
      </c>
      <c r="P404" s="7">
        <f t="shared" si="49"/>
        <v>5.3670000000000009</v>
      </c>
      <c r="Q404" s="7" t="str">
        <f>VLOOKUP(D405,Product_Lookup!$A$2:$C$27,2,FALSE)</f>
        <v>Action Figure</v>
      </c>
      <c r="R404" s="7">
        <f t="shared" si="50"/>
        <v>1717.44</v>
      </c>
    </row>
    <row r="405" spans="1:18" ht="21.75" customHeight="1">
      <c r="A405" t="s">
        <v>547</v>
      </c>
      <c r="B405" s="6">
        <v>45588</v>
      </c>
      <c r="C405" t="s">
        <v>430</v>
      </c>
      <c r="D405" t="s">
        <v>21</v>
      </c>
      <c r="E405" t="s">
        <v>22</v>
      </c>
      <c r="F405" t="s">
        <v>306</v>
      </c>
      <c r="G405" t="s">
        <v>32</v>
      </c>
      <c r="H405">
        <v>20</v>
      </c>
      <c r="I405" t="str">
        <f>VLOOKUP(D405,Product_Lookup!$A$2:$C$27,3,FALSE)</f>
        <v>$88.18</v>
      </c>
      <c r="J405" t="str">
        <f t="shared" si="51"/>
        <v>Wednesday</v>
      </c>
      <c r="K405" s="10" t="str">
        <f t="shared" si="52"/>
        <v>October</v>
      </c>
      <c r="L405">
        <f t="shared" si="53"/>
        <v>2024</v>
      </c>
      <c r="M405" t="b">
        <f t="shared" si="54"/>
        <v>0</v>
      </c>
      <c r="N405" t="b">
        <f t="shared" si="48"/>
        <v>1</v>
      </c>
      <c r="O405" t="str">
        <f t="shared" si="55"/>
        <v>Large Order</v>
      </c>
      <c r="P405" s="7">
        <f t="shared" si="49"/>
        <v>4.4090000000000007</v>
      </c>
      <c r="Q405" s="7" t="str">
        <f>VLOOKUP(D406,Product_Lookup!$A$2:$C$27,2,FALSE)</f>
        <v>Air Fryer</v>
      </c>
      <c r="R405" s="7">
        <f t="shared" si="50"/>
        <v>1763.6000000000001</v>
      </c>
    </row>
    <row r="406" spans="1:18" ht="21.75" customHeight="1">
      <c r="A406" t="s">
        <v>548</v>
      </c>
      <c r="B406" s="6">
        <v>45369</v>
      </c>
      <c r="C406" t="s">
        <v>396</v>
      </c>
      <c r="D406" t="s">
        <v>70</v>
      </c>
      <c r="E406" t="s">
        <v>11</v>
      </c>
      <c r="F406" t="s">
        <v>27</v>
      </c>
      <c r="G406" t="s">
        <v>36</v>
      </c>
      <c r="H406">
        <v>10</v>
      </c>
      <c r="I406" t="str">
        <f>VLOOKUP(D406,Product_Lookup!$A$2:$C$27,3,FALSE)</f>
        <v>$211.9</v>
      </c>
      <c r="J406" t="str">
        <f t="shared" si="51"/>
        <v>Monday</v>
      </c>
      <c r="K406" s="10" t="str">
        <f t="shared" si="52"/>
        <v>March</v>
      </c>
      <c r="L406">
        <f t="shared" si="53"/>
        <v>2024</v>
      </c>
      <c r="M406" t="b">
        <f t="shared" si="54"/>
        <v>0</v>
      </c>
      <c r="N406" t="b">
        <f t="shared" si="48"/>
        <v>1</v>
      </c>
      <c r="O406" t="str">
        <f t="shared" si="55"/>
        <v>Large Order</v>
      </c>
      <c r="P406" s="7">
        <f t="shared" si="49"/>
        <v>10.595000000000001</v>
      </c>
      <c r="Q406" s="7" t="str">
        <f>VLOOKUP(D407,Product_Lookup!$A$2:$C$27,2,FALSE)</f>
        <v>Socks</v>
      </c>
      <c r="R406" s="7">
        <f t="shared" si="50"/>
        <v>2119</v>
      </c>
    </row>
    <row r="407" spans="1:18" ht="21.75" customHeight="1">
      <c r="A407" t="s">
        <v>549</v>
      </c>
      <c r="B407" s="6">
        <v>45320</v>
      </c>
      <c r="C407" t="s">
        <v>182</v>
      </c>
      <c r="D407" t="s">
        <v>74</v>
      </c>
      <c r="E407" t="s">
        <v>22</v>
      </c>
      <c r="F407" t="s">
        <v>12</v>
      </c>
      <c r="G407" t="s">
        <v>13</v>
      </c>
      <c r="H407">
        <v>15</v>
      </c>
      <c r="I407" t="str">
        <f>VLOOKUP(D407,Product_Lookup!$A$2:$C$27,3,FALSE)</f>
        <v>$201.32</v>
      </c>
      <c r="J407" t="str">
        <f t="shared" si="51"/>
        <v>Monday</v>
      </c>
      <c r="K407" s="10" t="str">
        <f t="shared" si="52"/>
        <v>January</v>
      </c>
      <c r="L407">
        <f t="shared" si="53"/>
        <v>2024</v>
      </c>
      <c r="M407" t="b">
        <f t="shared" si="54"/>
        <v>0</v>
      </c>
      <c r="N407" t="b">
        <f t="shared" si="48"/>
        <v>1</v>
      </c>
      <c r="O407" t="str">
        <f t="shared" si="55"/>
        <v>Large Order</v>
      </c>
      <c r="P407" s="7">
        <f t="shared" si="49"/>
        <v>10.066000000000001</v>
      </c>
      <c r="Q407" s="7" t="str">
        <f>VLOOKUP(D408,Product_Lookup!$A$2:$C$27,2,FALSE)</f>
        <v>Paper Shredder</v>
      </c>
      <c r="R407" s="7">
        <f t="shared" si="50"/>
        <v>3019.7999999999997</v>
      </c>
    </row>
    <row r="408" spans="1:18" ht="21.75" customHeight="1">
      <c r="A408" t="s">
        <v>550</v>
      </c>
      <c r="B408" s="6">
        <v>45480</v>
      </c>
      <c r="C408" t="s">
        <v>55</v>
      </c>
      <c r="D408" t="s">
        <v>109</v>
      </c>
      <c r="E408" t="s">
        <v>11</v>
      </c>
      <c r="F408" t="s">
        <v>12</v>
      </c>
      <c r="G408" t="s">
        <v>23</v>
      </c>
      <c r="H408">
        <v>20</v>
      </c>
      <c r="I408" t="str">
        <f>VLOOKUP(D408,Product_Lookup!$A$2:$C$27,3,FALSE)</f>
        <v>$81.02</v>
      </c>
      <c r="J408" t="str">
        <f t="shared" si="51"/>
        <v>Sunday</v>
      </c>
      <c r="K408" s="10" t="str">
        <f t="shared" si="52"/>
        <v>July</v>
      </c>
      <c r="L408">
        <f t="shared" si="53"/>
        <v>2024</v>
      </c>
      <c r="M408" t="b">
        <f t="shared" si="54"/>
        <v>1</v>
      </c>
      <c r="N408" t="b">
        <f t="shared" si="48"/>
        <v>1</v>
      </c>
      <c r="O408" t="str">
        <f t="shared" si="55"/>
        <v>Large Order</v>
      </c>
      <c r="P408" s="7">
        <f t="shared" si="49"/>
        <v>4.0510000000000002</v>
      </c>
      <c r="Q408" s="7" t="str">
        <f>VLOOKUP(D409,Product_Lookup!$A$2:$C$27,2,FALSE)</f>
        <v>Air Fryer</v>
      </c>
      <c r="R408" s="7">
        <f t="shared" si="50"/>
        <v>1620.3999999999999</v>
      </c>
    </row>
    <row r="409" spans="1:18" ht="21.75" customHeight="1">
      <c r="A409" t="s">
        <v>551</v>
      </c>
      <c r="B409" s="6">
        <v>45589</v>
      </c>
      <c r="C409" t="s">
        <v>378</v>
      </c>
      <c r="D409" t="s">
        <v>70</v>
      </c>
      <c r="E409" t="s">
        <v>22</v>
      </c>
      <c r="F409" t="s">
        <v>12</v>
      </c>
      <c r="G409" t="s">
        <v>32</v>
      </c>
      <c r="H409">
        <v>19</v>
      </c>
      <c r="I409" t="str">
        <f>VLOOKUP(D409,Product_Lookup!$A$2:$C$27,3,FALSE)</f>
        <v>$211.9</v>
      </c>
      <c r="J409" t="str">
        <f t="shared" si="51"/>
        <v>Thursday</v>
      </c>
      <c r="K409" s="10" t="str">
        <f t="shared" si="52"/>
        <v>October</v>
      </c>
      <c r="L409">
        <f t="shared" si="53"/>
        <v>2024</v>
      </c>
      <c r="M409" t="b">
        <f t="shared" si="54"/>
        <v>0</v>
      </c>
      <c r="N409" t="b">
        <f t="shared" si="48"/>
        <v>1</v>
      </c>
      <c r="O409" t="str">
        <f t="shared" si="55"/>
        <v>Large Order</v>
      </c>
      <c r="P409" s="7">
        <f t="shared" si="49"/>
        <v>10.595000000000001</v>
      </c>
      <c r="Q409" s="7" t="str">
        <f>VLOOKUP(D410,Product_Lookup!$A$2:$C$27,2,FALSE)</f>
        <v>Smartphone</v>
      </c>
      <c r="R409" s="7">
        <f t="shared" si="50"/>
        <v>4026.1</v>
      </c>
    </row>
    <row r="410" spans="1:18" ht="21.75" customHeight="1">
      <c r="A410" t="s">
        <v>552</v>
      </c>
      <c r="B410" s="6">
        <v>45601</v>
      </c>
      <c r="C410" t="s">
        <v>553</v>
      </c>
      <c r="D410" t="s">
        <v>79</v>
      </c>
      <c r="E410" t="s">
        <v>22</v>
      </c>
      <c r="F410" t="s">
        <v>56</v>
      </c>
      <c r="G410" t="s">
        <v>32</v>
      </c>
      <c r="H410">
        <v>15</v>
      </c>
      <c r="I410" t="str">
        <f>VLOOKUP(D410,Product_Lookup!$A$2:$C$27,3,FALSE)</f>
        <v>$216.22</v>
      </c>
      <c r="J410" t="str">
        <f t="shared" si="51"/>
        <v>Tuesday</v>
      </c>
      <c r="K410" s="10" t="str">
        <f t="shared" si="52"/>
        <v>November</v>
      </c>
      <c r="L410">
        <f t="shared" si="53"/>
        <v>2024</v>
      </c>
      <c r="M410" t="b">
        <f t="shared" si="54"/>
        <v>0</v>
      </c>
      <c r="N410" t="b">
        <f t="shared" si="48"/>
        <v>1</v>
      </c>
      <c r="O410" t="str">
        <f t="shared" si="55"/>
        <v>Large Order</v>
      </c>
      <c r="P410" s="7">
        <f t="shared" si="49"/>
        <v>10.811</v>
      </c>
      <c r="Q410" s="7" t="str">
        <f>VLOOKUP(D411,Product_Lookup!$A$2:$C$27,2,FALSE)</f>
        <v>Smartphone</v>
      </c>
      <c r="R410" s="7">
        <f t="shared" si="50"/>
        <v>3243.3</v>
      </c>
    </row>
    <row r="411" spans="1:18" ht="21.75" customHeight="1">
      <c r="A411" t="s">
        <v>554</v>
      </c>
      <c r="B411" s="6">
        <v>45335</v>
      </c>
      <c r="C411" t="s">
        <v>358</v>
      </c>
      <c r="D411" t="s">
        <v>79</v>
      </c>
      <c r="E411" t="s">
        <v>22</v>
      </c>
      <c r="F411" t="s">
        <v>56</v>
      </c>
      <c r="G411" t="s">
        <v>23</v>
      </c>
      <c r="H411">
        <v>8</v>
      </c>
      <c r="I411" t="str">
        <f>VLOOKUP(D411,Product_Lookup!$A$2:$C$27,3,FALSE)</f>
        <v>$216.22</v>
      </c>
      <c r="J411" t="str">
        <f t="shared" si="51"/>
        <v>Tuesday</v>
      </c>
      <c r="K411" s="10" t="str">
        <f t="shared" si="52"/>
        <v>February</v>
      </c>
      <c r="L411">
        <f t="shared" si="53"/>
        <v>2024</v>
      </c>
      <c r="M411" t="b">
        <f t="shared" si="54"/>
        <v>0</v>
      </c>
      <c r="N411" t="b">
        <f t="shared" si="48"/>
        <v>1</v>
      </c>
      <c r="O411" t="str">
        <f t="shared" si="55"/>
        <v>Large Order</v>
      </c>
      <c r="P411" s="7">
        <f t="shared" si="49"/>
        <v>10.811</v>
      </c>
      <c r="Q411" s="7" t="str">
        <f>VLOOKUP(D412,Product_Lookup!$A$2:$C$27,2,FALSE)</f>
        <v>Toaster</v>
      </c>
      <c r="R411" s="7">
        <f t="shared" si="50"/>
        <v>1729.76</v>
      </c>
    </row>
    <row r="412" spans="1:18" ht="21.75" customHeight="1">
      <c r="A412" t="s">
        <v>555</v>
      </c>
      <c r="B412" s="6">
        <v>45560</v>
      </c>
      <c r="C412" t="s">
        <v>363</v>
      </c>
      <c r="D412" t="s">
        <v>48</v>
      </c>
      <c r="E412" t="s">
        <v>22</v>
      </c>
      <c r="F412" t="s">
        <v>56</v>
      </c>
      <c r="G412" t="s">
        <v>23</v>
      </c>
      <c r="H412">
        <v>12</v>
      </c>
      <c r="I412" t="str">
        <f>VLOOKUP(D412,Product_Lookup!$A$2:$C$27,3,FALSE)</f>
        <v>$208.85</v>
      </c>
      <c r="J412" t="str">
        <f t="shared" si="51"/>
        <v>Wednesday</v>
      </c>
      <c r="K412" s="10" t="str">
        <f t="shared" si="52"/>
        <v>September</v>
      </c>
      <c r="L412">
        <f t="shared" si="53"/>
        <v>2024</v>
      </c>
      <c r="M412" t="b">
        <f t="shared" si="54"/>
        <v>0</v>
      </c>
      <c r="N412" t="b">
        <f t="shared" si="48"/>
        <v>1</v>
      </c>
      <c r="O412" t="str">
        <f t="shared" si="55"/>
        <v>Large Order</v>
      </c>
      <c r="P412" s="7">
        <f t="shared" si="49"/>
        <v>10.442500000000001</v>
      </c>
      <c r="Q412" s="7" t="str">
        <f>VLOOKUP(D413,Product_Lookup!$A$2:$C$27,2,FALSE)</f>
        <v>Smartphone</v>
      </c>
      <c r="R412" s="7">
        <f t="shared" si="50"/>
        <v>2506.1999999999998</v>
      </c>
    </row>
    <row r="413" spans="1:18" ht="21.75" customHeight="1">
      <c r="A413" t="s">
        <v>556</v>
      </c>
      <c r="B413" s="6">
        <v>45501</v>
      </c>
      <c r="C413" t="s">
        <v>420</v>
      </c>
      <c r="D413" t="s">
        <v>79</v>
      </c>
      <c r="E413" t="s">
        <v>17</v>
      </c>
      <c r="F413" t="s">
        <v>306</v>
      </c>
      <c r="G413" t="s">
        <v>13</v>
      </c>
      <c r="H413">
        <v>11</v>
      </c>
      <c r="I413" t="str">
        <f>VLOOKUP(D413,Product_Lookup!$A$2:$C$27,3,FALSE)</f>
        <v>$216.22</v>
      </c>
      <c r="J413" t="str">
        <f t="shared" si="51"/>
        <v>Sunday</v>
      </c>
      <c r="K413" s="10" t="str">
        <f t="shared" si="52"/>
        <v>July</v>
      </c>
      <c r="L413">
        <f t="shared" si="53"/>
        <v>2024</v>
      </c>
      <c r="M413" t="b">
        <f t="shared" si="54"/>
        <v>1</v>
      </c>
      <c r="N413" t="b">
        <f t="shared" si="48"/>
        <v>1</v>
      </c>
      <c r="O413" t="str">
        <f t="shared" si="55"/>
        <v>Large Order</v>
      </c>
      <c r="P413" s="7">
        <f t="shared" si="49"/>
        <v>10.811</v>
      </c>
      <c r="Q413" s="7" t="str">
        <f>VLOOKUP(D414,Product_Lookup!$A$2:$C$27,2,FALSE)</f>
        <v>Sweater</v>
      </c>
      <c r="R413" s="7">
        <f t="shared" si="50"/>
        <v>2378.42</v>
      </c>
    </row>
    <row r="414" spans="1:18" ht="21.75" customHeight="1">
      <c r="A414" t="s">
        <v>557</v>
      </c>
      <c r="B414" s="6">
        <v>45577</v>
      </c>
      <c r="C414" t="s">
        <v>422</v>
      </c>
      <c r="D414" t="s">
        <v>26</v>
      </c>
      <c r="E414" t="s">
        <v>17</v>
      </c>
      <c r="F414" t="s">
        <v>42</v>
      </c>
      <c r="G414" t="s">
        <v>32</v>
      </c>
      <c r="H414">
        <v>20</v>
      </c>
      <c r="I414" t="str">
        <f>VLOOKUP(D414,Product_Lookup!$A$2:$C$27,3,FALSE)</f>
        <v>$84.57</v>
      </c>
      <c r="J414" t="str">
        <f t="shared" si="51"/>
        <v>Saturday</v>
      </c>
      <c r="K414" s="10" t="str">
        <f t="shared" si="52"/>
        <v>October</v>
      </c>
      <c r="L414">
        <f t="shared" si="53"/>
        <v>2024</v>
      </c>
      <c r="M414" t="b">
        <f t="shared" si="54"/>
        <v>1</v>
      </c>
      <c r="N414" t="b">
        <f t="shared" si="48"/>
        <v>1</v>
      </c>
      <c r="O414" t="str">
        <f t="shared" si="55"/>
        <v>Large Order</v>
      </c>
      <c r="P414" s="7">
        <f t="shared" si="49"/>
        <v>4.2284999999999995</v>
      </c>
      <c r="Q414" s="7" t="str">
        <f>VLOOKUP(D415,Product_Lookup!$A$2:$C$27,2,FALSE)</f>
        <v>Toaster</v>
      </c>
      <c r="R414" s="7">
        <f t="shared" si="50"/>
        <v>1691.3999999999999</v>
      </c>
    </row>
    <row r="415" spans="1:18" ht="21.75" customHeight="1">
      <c r="A415" t="s">
        <v>558</v>
      </c>
      <c r="B415" s="6">
        <v>45333</v>
      </c>
      <c r="C415" t="s">
        <v>361</v>
      </c>
      <c r="D415" t="s">
        <v>48</v>
      </c>
      <c r="E415" t="s">
        <v>22</v>
      </c>
      <c r="F415" t="s">
        <v>56</v>
      </c>
      <c r="G415" t="s">
        <v>23</v>
      </c>
      <c r="H415">
        <v>10</v>
      </c>
      <c r="I415" t="str">
        <f>VLOOKUP(D415,Product_Lookup!$A$2:$C$27,3,FALSE)</f>
        <v>$208.85</v>
      </c>
      <c r="J415" t="str">
        <f t="shared" si="51"/>
        <v>Sunday</v>
      </c>
      <c r="K415" s="10" t="str">
        <f t="shared" si="52"/>
        <v>February</v>
      </c>
      <c r="L415">
        <f t="shared" si="53"/>
        <v>2024</v>
      </c>
      <c r="M415" t="b">
        <f t="shared" si="54"/>
        <v>1</v>
      </c>
      <c r="N415" t="b">
        <f t="shared" si="48"/>
        <v>1</v>
      </c>
      <c r="O415" t="str">
        <f t="shared" si="55"/>
        <v>Large Order</v>
      </c>
      <c r="P415" s="7">
        <f t="shared" si="49"/>
        <v>10.442500000000001</v>
      </c>
      <c r="Q415" s="7" t="str">
        <f>VLOOKUP(D416,Product_Lookup!$A$2:$C$27,2,FALSE)</f>
        <v>Socks</v>
      </c>
      <c r="R415" s="7">
        <f t="shared" si="50"/>
        <v>2088.5</v>
      </c>
    </row>
    <row r="416" spans="1:18" ht="21.75" customHeight="1">
      <c r="A416" t="s">
        <v>559</v>
      </c>
      <c r="B416" s="6">
        <v>45358</v>
      </c>
      <c r="C416" t="s">
        <v>327</v>
      </c>
      <c r="D416" t="s">
        <v>74</v>
      </c>
      <c r="E416" t="s">
        <v>22</v>
      </c>
      <c r="F416" t="s">
        <v>12</v>
      </c>
      <c r="G416" t="s">
        <v>32</v>
      </c>
      <c r="H416">
        <v>18</v>
      </c>
      <c r="I416" t="str">
        <f>VLOOKUP(D416,Product_Lookup!$A$2:$C$27,3,FALSE)</f>
        <v>$201.32</v>
      </c>
      <c r="J416" t="str">
        <f t="shared" si="51"/>
        <v>Thursday</v>
      </c>
      <c r="K416" s="10" t="str">
        <f t="shared" si="52"/>
        <v>March</v>
      </c>
      <c r="L416">
        <f t="shared" si="53"/>
        <v>2024</v>
      </c>
      <c r="M416" t="b">
        <f t="shared" si="54"/>
        <v>0</v>
      </c>
      <c r="N416" t="b">
        <f t="shared" si="48"/>
        <v>1</v>
      </c>
      <c r="O416" t="str">
        <f t="shared" si="55"/>
        <v>Large Order</v>
      </c>
      <c r="P416" s="7">
        <f t="shared" si="49"/>
        <v>10.066000000000001</v>
      </c>
      <c r="Q416" s="7" t="str">
        <f>VLOOKUP(D417,Product_Lookup!$A$2:$C$27,2,FALSE)</f>
        <v>Tablet</v>
      </c>
      <c r="R416" s="7">
        <f t="shared" si="50"/>
        <v>3623.7599999999998</v>
      </c>
    </row>
    <row r="417" spans="1:18" ht="21.75" customHeight="1">
      <c r="A417" t="s">
        <v>560</v>
      </c>
      <c r="B417" s="6">
        <v>45357</v>
      </c>
      <c r="C417" t="s">
        <v>317</v>
      </c>
      <c r="D417" t="s">
        <v>10</v>
      </c>
      <c r="E417" t="s">
        <v>22</v>
      </c>
      <c r="F417" t="s">
        <v>306</v>
      </c>
      <c r="G417" t="s">
        <v>13</v>
      </c>
      <c r="H417">
        <v>14</v>
      </c>
      <c r="I417" t="str">
        <f>VLOOKUP(D417,Product_Lookup!$A$2:$C$27,3,FALSE)</f>
        <v>$146.06</v>
      </c>
      <c r="J417" t="str">
        <f t="shared" si="51"/>
        <v>Wednesday</v>
      </c>
      <c r="K417" s="10" t="str">
        <f t="shared" si="52"/>
        <v>March</v>
      </c>
      <c r="L417">
        <f t="shared" si="53"/>
        <v>2024</v>
      </c>
      <c r="M417" t="b">
        <f t="shared" si="54"/>
        <v>0</v>
      </c>
      <c r="N417" t="b">
        <f t="shared" si="48"/>
        <v>1</v>
      </c>
      <c r="O417" t="str">
        <f t="shared" si="55"/>
        <v>Large Order</v>
      </c>
      <c r="P417" s="7">
        <f t="shared" si="49"/>
        <v>7.3030000000000008</v>
      </c>
      <c r="Q417" s="7" t="str">
        <f>VLOOKUP(D418,Product_Lookup!$A$2:$C$27,2,FALSE)</f>
        <v>Blender</v>
      </c>
      <c r="R417" s="7">
        <f t="shared" si="50"/>
        <v>2044.8400000000001</v>
      </c>
    </row>
    <row r="418" spans="1:18" ht="21.75" customHeight="1">
      <c r="A418" t="s">
        <v>561</v>
      </c>
      <c r="B418" s="6">
        <v>45477</v>
      </c>
      <c r="C418" t="s">
        <v>147</v>
      </c>
      <c r="D418" t="s">
        <v>72</v>
      </c>
      <c r="E418" t="s">
        <v>11</v>
      </c>
      <c r="F418" t="s">
        <v>56</v>
      </c>
      <c r="G418" t="s">
        <v>28</v>
      </c>
      <c r="H418">
        <v>16</v>
      </c>
      <c r="I418" t="str">
        <f>VLOOKUP(D418,Product_Lookup!$A$2:$C$27,3,FALSE)</f>
        <v>$156.44</v>
      </c>
      <c r="J418" t="str">
        <f t="shared" si="51"/>
        <v>Thursday</v>
      </c>
      <c r="K418" s="10" t="str">
        <f t="shared" si="52"/>
        <v>July</v>
      </c>
      <c r="L418">
        <f t="shared" si="53"/>
        <v>2024</v>
      </c>
      <c r="M418" t="b">
        <f t="shared" si="54"/>
        <v>0</v>
      </c>
      <c r="N418" t="b">
        <f t="shared" si="48"/>
        <v>1</v>
      </c>
      <c r="O418" t="str">
        <f t="shared" si="55"/>
        <v>Large Order</v>
      </c>
      <c r="P418" s="7">
        <f t="shared" si="49"/>
        <v>7.8220000000000001</v>
      </c>
      <c r="Q418" s="7" t="str">
        <f>VLOOKUP(D419,Product_Lookup!$A$2:$C$27,2,FALSE)</f>
        <v>Notebook</v>
      </c>
      <c r="R418" s="7">
        <f t="shared" si="50"/>
        <v>2503.04</v>
      </c>
    </row>
    <row r="419" spans="1:18" ht="21.75" customHeight="1">
      <c r="A419" t="s">
        <v>562</v>
      </c>
      <c r="B419" s="6">
        <v>45371</v>
      </c>
      <c r="C419" t="s">
        <v>208</v>
      </c>
      <c r="D419" t="s">
        <v>160</v>
      </c>
      <c r="E419" t="s">
        <v>17</v>
      </c>
      <c r="F419" t="s">
        <v>12</v>
      </c>
      <c r="G419" t="s">
        <v>36</v>
      </c>
      <c r="H419">
        <v>18</v>
      </c>
      <c r="I419" t="str">
        <f>VLOOKUP(D419,Product_Lookup!$A$2:$C$27,3,FALSE)</f>
        <v>$149.27</v>
      </c>
      <c r="J419" t="str">
        <f t="shared" si="51"/>
        <v>Wednesday</v>
      </c>
      <c r="K419" s="10" t="str">
        <f t="shared" si="52"/>
        <v>March</v>
      </c>
      <c r="L419">
        <f t="shared" si="53"/>
        <v>2024</v>
      </c>
      <c r="M419" t="b">
        <f t="shared" si="54"/>
        <v>0</v>
      </c>
      <c r="N419" t="b">
        <f t="shared" si="48"/>
        <v>1</v>
      </c>
      <c r="O419" t="str">
        <f t="shared" si="55"/>
        <v>Large Order</v>
      </c>
      <c r="P419" s="7">
        <f t="shared" si="49"/>
        <v>7.4635000000000007</v>
      </c>
      <c r="Q419" s="7" t="str">
        <f>VLOOKUP(D420,Product_Lookup!$A$2:$C$27,2,FALSE)</f>
        <v>Headphones</v>
      </c>
      <c r="R419" s="7">
        <f t="shared" si="50"/>
        <v>2686.86</v>
      </c>
    </row>
    <row r="420" spans="1:18" ht="21.75" customHeight="1">
      <c r="A420" t="s">
        <v>563</v>
      </c>
      <c r="B420" s="6">
        <v>45311</v>
      </c>
      <c r="C420" t="s">
        <v>371</v>
      </c>
      <c r="D420" t="s">
        <v>16</v>
      </c>
      <c r="E420" t="s">
        <v>17</v>
      </c>
      <c r="F420" t="s">
        <v>306</v>
      </c>
      <c r="G420" t="s">
        <v>28</v>
      </c>
      <c r="H420">
        <v>20</v>
      </c>
      <c r="I420" t="str">
        <f>VLOOKUP(D420,Product_Lookup!$A$2:$C$27,3,FALSE)</f>
        <v>$178.83</v>
      </c>
      <c r="J420" t="str">
        <f t="shared" si="51"/>
        <v>Saturday</v>
      </c>
      <c r="K420" s="10" t="str">
        <f t="shared" si="52"/>
        <v>January</v>
      </c>
      <c r="L420">
        <f t="shared" si="53"/>
        <v>2024</v>
      </c>
      <c r="M420" t="b">
        <f t="shared" si="54"/>
        <v>1</v>
      </c>
      <c r="N420" t="b">
        <f t="shared" si="48"/>
        <v>1</v>
      </c>
      <c r="O420" t="str">
        <f t="shared" si="55"/>
        <v>Large Order</v>
      </c>
      <c r="P420" s="7">
        <f t="shared" si="49"/>
        <v>8.9415000000000013</v>
      </c>
      <c r="Q420" s="7" t="str">
        <f>VLOOKUP(D421,Product_Lookup!$A$2:$C$27,2,FALSE)</f>
        <v>Lego Set</v>
      </c>
      <c r="R420" s="7">
        <f t="shared" si="50"/>
        <v>3576.6000000000004</v>
      </c>
    </row>
    <row r="421" spans="1:18" ht="21.75" customHeight="1">
      <c r="A421" t="s">
        <v>564</v>
      </c>
      <c r="B421" s="6">
        <v>45384</v>
      </c>
      <c r="C421" t="s">
        <v>465</v>
      </c>
      <c r="D421" t="s">
        <v>84</v>
      </c>
      <c r="E421" t="s">
        <v>22</v>
      </c>
      <c r="F421" t="s">
        <v>56</v>
      </c>
      <c r="G421" t="s">
        <v>32</v>
      </c>
      <c r="H421">
        <v>15</v>
      </c>
      <c r="I421" t="str">
        <f>VLOOKUP(D421,Product_Lookup!$A$2:$C$27,3,FALSE)</f>
        <v>$130.07</v>
      </c>
      <c r="J421" t="str">
        <f t="shared" si="51"/>
        <v>Tuesday</v>
      </c>
      <c r="K421" s="10" t="str">
        <f t="shared" si="52"/>
        <v>April</v>
      </c>
      <c r="L421">
        <f t="shared" si="53"/>
        <v>2024</v>
      </c>
      <c r="M421" t="b">
        <f t="shared" si="54"/>
        <v>0</v>
      </c>
      <c r="N421" t="b">
        <f t="shared" si="48"/>
        <v>1</v>
      </c>
      <c r="O421" t="str">
        <f t="shared" si="55"/>
        <v>Large Order</v>
      </c>
      <c r="P421" s="7">
        <f t="shared" si="49"/>
        <v>6.5034999999999998</v>
      </c>
      <c r="Q421" s="7" t="str">
        <f>VLOOKUP(D422,Product_Lookup!$A$2:$C$27,2,FALSE)</f>
        <v>Paper Shredder</v>
      </c>
      <c r="R421" s="7">
        <f t="shared" si="50"/>
        <v>1951.05</v>
      </c>
    </row>
    <row r="422" spans="1:18" ht="21.75" customHeight="1">
      <c r="A422" t="s">
        <v>565</v>
      </c>
      <c r="B422" s="6">
        <v>45638</v>
      </c>
      <c r="C422" t="s">
        <v>329</v>
      </c>
      <c r="D422" t="s">
        <v>109</v>
      </c>
      <c r="E422" t="s">
        <v>11</v>
      </c>
      <c r="F422" t="s">
        <v>27</v>
      </c>
      <c r="G422" t="s">
        <v>23</v>
      </c>
      <c r="H422">
        <v>10</v>
      </c>
      <c r="I422" t="str">
        <f>VLOOKUP(D422,Product_Lookup!$A$2:$C$27,3,FALSE)</f>
        <v>$81.02</v>
      </c>
      <c r="J422" t="str">
        <f t="shared" si="51"/>
        <v>Thursday</v>
      </c>
      <c r="K422" s="10" t="str">
        <f t="shared" si="52"/>
        <v>December</v>
      </c>
      <c r="L422">
        <f t="shared" si="53"/>
        <v>2024</v>
      </c>
      <c r="M422" t="b">
        <f t="shared" si="54"/>
        <v>0</v>
      </c>
      <c r="N422" t="b">
        <f t="shared" si="48"/>
        <v>1</v>
      </c>
      <c r="O422" t="str">
        <f t="shared" si="55"/>
        <v>Large Order</v>
      </c>
      <c r="P422" s="7">
        <f t="shared" si="49"/>
        <v>4.0510000000000002</v>
      </c>
      <c r="Q422" s="7" t="str">
        <f>VLOOKUP(D423,Product_Lookup!$A$2:$C$27,2,FALSE)</f>
        <v>Stapler</v>
      </c>
      <c r="R422" s="7">
        <f t="shared" si="50"/>
        <v>810.19999999999993</v>
      </c>
    </row>
    <row r="423" spans="1:18" ht="21.75" customHeight="1">
      <c r="A423" t="s">
        <v>566</v>
      </c>
      <c r="B423" s="6">
        <v>45411</v>
      </c>
      <c r="C423" t="s">
        <v>312</v>
      </c>
      <c r="D423" t="s">
        <v>35</v>
      </c>
      <c r="E423" t="s">
        <v>11</v>
      </c>
      <c r="F423" t="s">
        <v>42</v>
      </c>
      <c r="G423" t="s">
        <v>36</v>
      </c>
      <c r="H423">
        <v>7</v>
      </c>
      <c r="I423" t="str">
        <f>VLOOKUP(D423,Product_Lookup!$A$2:$C$27,3,FALSE)</f>
        <v>$64.61</v>
      </c>
      <c r="J423" t="str">
        <f t="shared" si="51"/>
        <v>Monday</v>
      </c>
      <c r="K423" s="10" t="str">
        <f t="shared" si="52"/>
        <v>April</v>
      </c>
      <c r="L423">
        <f t="shared" si="53"/>
        <v>2024</v>
      </c>
      <c r="M423" t="b">
        <f t="shared" si="54"/>
        <v>0</v>
      </c>
      <c r="N423" t="b">
        <f t="shared" si="48"/>
        <v>0</v>
      </c>
      <c r="O423" t="str">
        <f t="shared" si="55"/>
        <v>Standard order</v>
      </c>
      <c r="P423" s="7">
        <f t="shared" si="49"/>
        <v>3.2305000000000001</v>
      </c>
      <c r="Q423" s="7" t="str">
        <f>VLOOKUP(D424,Product_Lookup!$A$2:$C$27,2,FALSE)</f>
        <v>Notebook</v>
      </c>
      <c r="R423" s="7">
        <f t="shared" si="50"/>
        <v>452.27</v>
      </c>
    </row>
    <row r="424" spans="1:18" ht="21.75" customHeight="1">
      <c r="A424" t="s">
        <v>567</v>
      </c>
      <c r="B424" s="6">
        <v>45517</v>
      </c>
      <c r="C424" t="s">
        <v>319</v>
      </c>
      <c r="D424" t="s">
        <v>160</v>
      </c>
      <c r="E424" t="s">
        <v>17</v>
      </c>
      <c r="F424" t="s">
        <v>27</v>
      </c>
      <c r="G424" t="s">
        <v>28</v>
      </c>
      <c r="H424">
        <v>17</v>
      </c>
      <c r="I424" t="str">
        <f>VLOOKUP(D424,Product_Lookup!$A$2:$C$27,3,FALSE)</f>
        <v>$149.27</v>
      </c>
      <c r="J424" t="str">
        <f t="shared" si="51"/>
        <v>Tuesday</v>
      </c>
      <c r="K424" s="10" t="str">
        <f t="shared" si="52"/>
        <v>August</v>
      </c>
      <c r="L424">
        <f t="shared" si="53"/>
        <v>2024</v>
      </c>
      <c r="M424" t="b">
        <f t="shared" si="54"/>
        <v>0</v>
      </c>
      <c r="N424" t="b">
        <f t="shared" si="48"/>
        <v>1</v>
      </c>
      <c r="O424" t="str">
        <f t="shared" si="55"/>
        <v>Large Order</v>
      </c>
      <c r="P424" s="7">
        <f t="shared" si="49"/>
        <v>7.4635000000000007</v>
      </c>
      <c r="Q424" s="7" t="str">
        <f>VLOOKUP(D425,Product_Lookup!$A$2:$C$27,2,FALSE)</f>
        <v>Smartphone</v>
      </c>
      <c r="R424" s="7">
        <f t="shared" si="50"/>
        <v>2537.59</v>
      </c>
    </row>
    <row r="425" spans="1:18" ht="21.75" customHeight="1">
      <c r="A425" t="s">
        <v>568</v>
      </c>
      <c r="B425" s="6">
        <v>45394</v>
      </c>
      <c r="C425" t="s">
        <v>493</v>
      </c>
      <c r="D425" t="s">
        <v>79</v>
      </c>
      <c r="E425" t="s">
        <v>11</v>
      </c>
      <c r="F425" t="s">
        <v>42</v>
      </c>
      <c r="G425" t="s">
        <v>36</v>
      </c>
      <c r="H425">
        <v>16</v>
      </c>
      <c r="I425" t="str">
        <f>VLOOKUP(D425,Product_Lookup!$A$2:$C$27,3,FALSE)</f>
        <v>$216.22</v>
      </c>
      <c r="J425" t="str">
        <f t="shared" si="51"/>
        <v>Friday</v>
      </c>
      <c r="K425" s="10" t="str">
        <f t="shared" si="52"/>
        <v>April</v>
      </c>
      <c r="L425">
        <f t="shared" si="53"/>
        <v>2024</v>
      </c>
      <c r="M425" t="b">
        <f t="shared" si="54"/>
        <v>0</v>
      </c>
      <c r="N425" t="b">
        <f t="shared" si="48"/>
        <v>1</v>
      </c>
      <c r="O425" t="str">
        <f t="shared" si="55"/>
        <v>Large Order</v>
      </c>
      <c r="P425" s="7">
        <f t="shared" si="49"/>
        <v>10.811</v>
      </c>
      <c r="Q425" s="7" t="str">
        <f>VLOOKUP(D426,Product_Lookup!$A$2:$C$27,2,FALSE)</f>
        <v>Socks</v>
      </c>
      <c r="R425" s="7">
        <f t="shared" si="50"/>
        <v>3459.52</v>
      </c>
    </row>
    <row r="426" spans="1:18" ht="21.75" customHeight="1">
      <c r="A426" t="s">
        <v>569</v>
      </c>
      <c r="B426" s="6">
        <v>45344</v>
      </c>
      <c r="C426" t="s">
        <v>436</v>
      </c>
      <c r="D426" t="s">
        <v>74</v>
      </c>
      <c r="E426" t="s">
        <v>22</v>
      </c>
      <c r="F426" t="s">
        <v>12</v>
      </c>
      <c r="G426" t="s">
        <v>32</v>
      </c>
      <c r="H426">
        <v>3</v>
      </c>
      <c r="I426" t="str">
        <f>VLOOKUP(D426,Product_Lookup!$A$2:$C$27,3,FALSE)</f>
        <v>$201.32</v>
      </c>
      <c r="J426" t="str">
        <f t="shared" si="51"/>
        <v>Thursday</v>
      </c>
      <c r="K426" s="10" t="str">
        <f t="shared" si="52"/>
        <v>February</v>
      </c>
      <c r="L426">
        <f t="shared" si="53"/>
        <v>2024</v>
      </c>
      <c r="M426" t="b">
        <f t="shared" si="54"/>
        <v>0</v>
      </c>
      <c r="N426" t="b">
        <f t="shared" si="48"/>
        <v>0</v>
      </c>
      <c r="O426" t="str">
        <f t="shared" si="55"/>
        <v>Large Order</v>
      </c>
      <c r="P426" s="7">
        <f t="shared" si="49"/>
        <v>10.066000000000001</v>
      </c>
      <c r="Q426" s="7" t="str">
        <f>VLOOKUP(D427,Product_Lookup!$A$2:$C$27,2,FALSE)</f>
        <v>Tablet</v>
      </c>
      <c r="R426" s="7">
        <f t="shared" si="50"/>
        <v>603.96</v>
      </c>
    </row>
    <row r="427" spans="1:18" ht="21.75" customHeight="1">
      <c r="A427" t="s">
        <v>570</v>
      </c>
      <c r="B427" s="6">
        <v>45522</v>
      </c>
      <c r="C427" t="s">
        <v>345</v>
      </c>
      <c r="D427" t="s">
        <v>10</v>
      </c>
      <c r="E427" t="s">
        <v>11</v>
      </c>
      <c r="F427" t="s">
        <v>27</v>
      </c>
      <c r="G427" t="s">
        <v>32</v>
      </c>
      <c r="H427">
        <v>8</v>
      </c>
      <c r="I427" t="str">
        <f>VLOOKUP(D427,Product_Lookup!$A$2:$C$27,3,FALSE)</f>
        <v>$146.06</v>
      </c>
      <c r="J427" t="str">
        <f t="shared" si="51"/>
        <v>Sunday</v>
      </c>
      <c r="K427" s="10" t="str">
        <f t="shared" si="52"/>
        <v>August</v>
      </c>
      <c r="L427">
        <f t="shared" si="53"/>
        <v>2024</v>
      </c>
      <c r="M427" t="b">
        <f t="shared" si="54"/>
        <v>1</v>
      </c>
      <c r="N427" t="b">
        <f t="shared" si="48"/>
        <v>1</v>
      </c>
      <c r="O427" t="str">
        <f t="shared" si="55"/>
        <v>Large Order</v>
      </c>
      <c r="P427" s="7">
        <f t="shared" si="49"/>
        <v>7.3030000000000008</v>
      </c>
      <c r="Q427" s="7" t="str">
        <f>VLOOKUP(D428,Product_Lookup!$A$2:$C$27,2,FALSE)</f>
        <v>Notebook</v>
      </c>
      <c r="R427" s="7">
        <f t="shared" si="50"/>
        <v>1168.48</v>
      </c>
    </row>
    <row r="428" spans="1:18" ht="21.75" customHeight="1">
      <c r="A428" t="s">
        <v>571</v>
      </c>
      <c r="B428" s="6">
        <v>45305</v>
      </c>
      <c r="C428" t="s">
        <v>572</v>
      </c>
      <c r="D428" t="s">
        <v>160</v>
      </c>
      <c r="E428" t="s">
        <v>11</v>
      </c>
      <c r="F428" t="s">
        <v>27</v>
      </c>
      <c r="G428" t="s">
        <v>13</v>
      </c>
      <c r="H428">
        <v>12</v>
      </c>
      <c r="I428" t="str">
        <f>VLOOKUP(D428,Product_Lookup!$A$2:$C$27,3,FALSE)</f>
        <v>$149.27</v>
      </c>
      <c r="J428" t="str">
        <f t="shared" si="51"/>
        <v>Sunday</v>
      </c>
      <c r="K428" s="10" t="str">
        <f t="shared" si="52"/>
        <v>January</v>
      </c>
      <c r="L428">
        <f t="shared" si="53"/>
        <v>2024</v>
      </c>
      <c r="M428" t="b">
        <f t="shared" si="54"/>
        <v>1</v>
      </c>
      <c r="N428" t="b">
        <f t="shared" si="48"/>
        <v>1</v>
      </c>
      <c r="O428" t="str">
        <f t="shared" si="55"/>
        <v>Large Order</v>
      </c>
      <c r="P428" s="7">
        <f t="shared" si="49"/>
        <v>7.4635000000000007</v>
      </c>
      <c r="Q428" s="7" t="str">
        <f>VLOOKUP(D429,Product_Lookup!$A$2:$C$27,2,FALSE)</f>
        <v>Monitor</v>
      </c>
      <c r="R428" s="7">
        <f t="shared" si="50"/>
        <v>1791.2400000000002</v>
      </c>
    </row>
    <row r="429" spans="1:18" ht="21.75" customHeight="1">
      <c r="A429" t="s">
        <v>573</v>
      </c>
      <c r="B429" s="6">
        <v>45483</v>
      </c>
      <c r="C429" t="s">
        <v>240</v>
      </c>
      <c r="D429" t="s">
        <v>102</v>
      </c>
      <c r="E429" t="s">
        <v>11</v>
      </c>
      <c r="F429" t="s">
        <v>42</v>
      </c>
      <c r="G429" t="s">
        <v>28</v>
      </c>
      <c r="H429">
        <v>11</v>
      </c>
      <c r="I429" t="str">
        <f>VLOOKUP(D429,Product_Lookup!$A$2:$C$27,3,FALSE)</f>
        <v>$145.48</v>
      </c>
      <c r="J429" t="str">
        <f t="shared" si="51"/>
        <v>Wednesday</v>
      </c>
      <c r="K429" s="10" t="str">
        <f t="shared" si="52"/>
        <v>July</v>
      </c>
      <c r="L429">
        <f t="shared" si="53"/>
        <v>2024</v>
      </c>
      <c r="M429" t="b">
        <f t="shared" si="54"/>
        <v>0</v>
      </c>
      <c r="N429" t="b">
        <f t="shared" si="48"/>
        <v>1</v>
      </c>
      <c r="O429" t="str">
        <f t="shared" si="55"/>
        <v>Large Order</v>
      </c>
      <c r="P429" s="7">
        <f t="shared" si="49"/>
        <v>7.274</v>
      </c>
      <c r="Q429" s="7" t="str">
        <f>VLOOKUP(D430,Product_Lookup!$A$2:$C$27,2,FALSE)</f>
        <v>Doll</v>
      </c>
      <c r="R429" s="7">
        <f t="shared" si="50"/>
        <v>1600.28</v>
      </c>
    </row>
    <row r="430" spans="1:18" ht="21.75" customHeight="1">
      <c r="A430" t="s">
        <v>574</v>
      </c>
      <c r="B430" s="6">
        <v>45311</v>
      </c>
      <c r="C430" t="s">
        <v>55</v>
      </c>
      <c r="D430" t="s">
        <v>119</v>
      </c>
      <c r="E430" t="s">
        <v>17</v>
      </c>
      <c r="F430" t="s">
        <v>56</v>
      </c>
      <c r="G430" t="s">
        <v>13</v>
      </c>
      <c r="H430">
        <v>16</v>
      </c>
      <c r="I430" t="str">
        <f>VLOOKUP(D430,Product_Lookup!$A$2:$C$27,3,FALSE)</f>
        <v>$32.94</v>
      </c>
      <c r="J430" t="str">
        <f t="shared" si="51"/>
        <v>Saturday</v>
      </c>
      <c r="K430" s="10" t="str">
        <f t="shared" si="52"/>
        <v>January</v>
      </c>
      <c r="L430">
        <f t="shared" si="53"/>
        <v>2024</v>
      </c>
      <c r="M430" t="b">
        <f t="shared" si="54"/>
        <v>1</v>
      </c>
      <c r="N430" t="b">
        <f t="shared" si="48"/>
        <v>0</v>
      </c>
      <c r="O430" t="str">
        <f t="shared" si="55"/>
        <v>Large Order</v>
      </c>
      <c r="P430" s="7">
        <f t="shared" si="49"/>
        <v>1.647</v>
      </c>
      <c r="Q430" s="7" t="str">
        <f>VLOOKUP(D431,Product_Lookup!$A$2:$C$27,2,FALSE)</f>
        <v>Headphones</v>
      </c>
      <c r="R430" s="7">
        <f t="shared" si="50"/>
        <v>527.04</v>
      </c>
    </row>
    <row r="431" spans="1:18" ht="21.75" customHeight="1">
      <c r="A431" t="s">
        <v>575</v>
      </c>
      <c r="B431" s="6">
        <v>45332</v>
      </c>
      <c r="C431" t="s">
        <v>138</v>
      </c>
      <c r="D431" t="s">
        <v>16</v>
      </c>
      <c r="E431" t="s">
        <v>17</v>
      </c>
      <c r="F431" t="s">
        <v>56</v>
      </c>
      <c r="G431" t="s">
        <v>36</v>
      </c>
      <c r="H431">
        <v>18</v>
      </c>
      <c r="I431" t="str">
        <f>VLOOKUP(D431,Product_Lookup!$A$2:$C$27,3,FALSE)</f>
        <v>$178.83</v>
      </c>
      <c r="J431" t="str">
        <f t="shared" si="51"/>
        <v>Saturday</v>
      </c>
      <c r="K431" s="10" t="str">
        <f t="shared" si="52"/>
        <v>February</v>
      </c>
      <c r="L431">
        <f t="shared" si="53"/>
        <v>2024</v>
      </c>
      <c r="M431" t="b">
        <f t="shared" si="54"/>
        <v>1</v>
      </c>
      <c r="N431" t="b">
        <f t="shared" si="48"/>
        <v>1</v>
      </c>
      <c r="O431" t="str">
        <f t="shared" si="55"/>
        <v>Large Order</v>
      </c>
      <c r="P431" s="7">
        <f t="shared" si="49"/>
        <v>8.9415000000000013</v>
      </c>
      <c r="Q431" s="7" t="str">
        <f>VLOOKUP(D432,Product_Lookup!$A$2:$C$27,2,FALSE)</f>
        <v>Jacket</v>
      </c>
      <c r="R431" s="7">
        <f t="shared" si="50"/>
        <v>3218.94</v>
      </c>
    </row>
    <row r="432" spans="1:18" ht="21.75" customHeight="1">
      <c r="A432" t="s">
        <v>576</v>
      </c>
      <c r="B432" s="6">
        <v>45562</v>
      </c>
      <c r="C432" t="s">
        <v>309</v>
      </c>
      <c r="D432" t="s">
        <v>197</v>
      </c>
      <c r="E432" t="s">
        <v>11</v>
      </c>
      <c r="F432" t="s">
        <v>42</v>
      </c>
      <c r="G432" t="s">
        <v>28</v>
      </c>
      <c r="H432">
        <v>10</v>
      </c>
      <c r="I432" t="str">
        <f>VLOOKUP(D432,Product_Lookup!$A$2:$C$27,3,FALSE)</f>
        <v>$10.11</v>
      </c>
      <c r="J432" t="str">
        <f t="shared" si="51"/>
        <v>Friday</v>
      </c>
      <c r="K432" s="10" t="str">
        <f t="shared" si="52"/>
        <v>September</v>
      </c>
      <c r="L432">
        <f t="shared" si="53"/>
        <v>2024</v>
      </c>
      <c r="M432" t="b">
        <f t="shared" si="54"/>
        <v>0</v>
      </c>
      <c r="N432" t="b">
        <f t="shared" si="48"/>
        <v>0</v>
      </c>
      <c r="O432" t="str">
        <f t="shared" si="55"/>
        <v>Standard order</v>
      </c>
      <c r="P432" s="7">
        <f t="shared" si="49"/>
        <v>0.50549999999999995</v>
      </c>
      <c r="Q432" s="7" t="str">
        <f>VLOOKUP(D433,Product_Lookup!$A$2:$C$27,2,FALSE)</f>
        <v>Tablet</v>
      </c>
      <c r="R432" s="7">
        <f t="shared" si="50"/>
        <v>101.1</v>
      </c>
    </row>
    <row r="433" spans="1:18" ht="21.75" customHeight="1">
      <c r="A433" t="s">
        <v>577</v>
      </c>
      <c r="B433" s="6">
        <v>45506</v>
      </c>
      <c r="C433" t="s">
        <v>541</v>
      </c>
      <c r="D433" t="s">
        <v>10</v>
      </c>
      <c r="E433" t="s">
        <v>22</v>
      </c>
      <c r="F433" t="s">
        <v>27</v>
      </c>
      <c r="G433" t="s">
        <v>23</v>
      </c>
      <c r="H433">
        <v>4</v>
      </c>
      <c r="I433" t="str">
        <f>VLOOKUP(D433,Product_Lookup!$A$2:$C$27,3,FALSE)</f>
        <v>$146.06</v>
      </c>
      <c r="J433" t="str">
        <f t="shared" si="51"/>
        <v>Friday</v>
      </c>
      <c r="K433" s="10" t="str">
        <f t="shared" si="52"/>
        <v>August</v>
      </c>
      <c r="L433">
        <f t="shared" si="53"/>
        <v>2024</v>
      </c>
      <c r="M433" t="b">
        <f t="shared" si="54"/>
        <v>0</v>
      </c>
      <c r="N433" t="b">
        <f t="shared" si="48"/>
        <v>0</v>
      </c>
      <c r="O433" t="str">
        <f t="shared" si="55"/>
        <v>Large Order</v>
      </c>
      <c r="P433" s="7">
        <f t="shared" si="49"/>
        <v>7.3030000000000008</v>
      </c>
      <c r="Q433" s="7" t="str">
        <f>VLOOKUP(D434,Product_Lookup!$A$2:$C$27,2,FALSE)</f>
        <v>Desk Lamp</v>
      </c>
      <c r="R433" s="7">
        <f t="shared" si="50"/>
        <v>584.24</v>
      </c>
    </row>
    <row r="434" spans="1:18" ht="21.75" customHeight="1">
      <c r="A434" t="s">
        <v>578</v>
      </c>
      <c r="B434" s="6">
        <v>45597</v>
      </c>
      <c r="C434" t="s">
        <v>312</v>
      </c>
      <c r="D434" t="s">
        <v>59</v>
      </c>
      <c r="E434" t="s">
        <v>11</v>
      </c>
      <c r="F434" t="s">
        <v>306</v>
      </c>
      <c r="G434" t="s">
        <v>32</v>
      </c>
      <c r="H434">
        <v>8</v>
      </c>
      <c r="I434" t="str">
        <f>VLOOKUP(D434,Product_Lookup!$A$2:$C$27,3,FALSE)</f>
        <v>$101.96</v>
      </c>
      <c r="J434" t="str">
        <f t="shared" si="51"/>
        <v>Friday</v>
      </c>
      <c r="K434" s="10" t="str">
        <f t="shared" si="52"/>
        <v>November</v>
      </c>
      <c r="L434">
        <f t="shared" si="53"/>
        <v>2024</v>
      </c>
      <c r="M434" t="b">
        <f t="shared" si="54"/>
        <v>0</v>
      </c>
      <c r="N434" t="b">
        <f t="shared" si="48"/>
        <v>1</v>
      </c>
      <c r="O434" t="str">
        <f t="shared" si="55"/>
        <v>Large Order</v>
      </c>
      <c r="P434" s="7">
        <f t="shared" si="49"/>
        <v>5.0979999999999999</v>
      </c>
      <c r="Q434" s="7" t="str">
        <f>VLOOKUP(D435,Product_Lookup!$A$2:$C$27,2,FALSE)</f>
        <v>Jacket</v>
      </c>
      <c r="R434" s="7">
        <f t="shared" si="50"/>
        <v>815.68</v>
      </c>
    </row>
    <row r="435" spans="1:18" ht="21.75" customHeight="1">
      <c r="A435" t="s">
        <v>579</v>
      </c>
      <c r="B435" s="6">
        <v>45511</v>
      </c>
      <c r="C435" t="s">
        <v>25</v>
      </c>
      <c r="D435" t="s">
        <v>197</v>
      </c>
      <c r="E435" t="s">
        <v>22</v>
      </c>
      <c r="F435" t="s">
        <v>42</v>
      </c>
      <c r="G435" t="s">
        <v>13</v>
      </c>
      <c r="H435">
        <v>19</v>
      </c>
      <c r="I435" t="str">
        <f>VLOOKUP(D435,Product_Lookup!$A$2:$C$27,3,FALSE)</f>
        <v>$10.11</v>
      </c>
      <c r="J435" t="str">
        <f t="shared" si="51"/>
        <v>Wednesday</v>
      </c>
      <c r="K435" s="10" t="str">
        <f t="shared" si="52"/>
        <v>August</v>
      </c>
      <c r="L435">
        <f t="shared" si="53"/>
        <v>2024</v>
      </c>
      <c r="M435" t="b">
        <f t="shared" si="54"/>
        <v>0</v>
      </c>
      <c r="N435" t="b">
        <f t="shared" si="48"/>
        <v>0</v>
      </c>
      <c r="O435" t="str">
        <f t="shared" si="55"/>
        <v>Standard order</v>
      </c>
      <c r="P435" s="7">
        <f t="shared" si="49"/>
        <v>0.50549999999999995</v>
      </c>
      <c r="Q435" s="7" t="str">
        <f>VLOOKUP(D436,Product_Lookup!$A$2:$C$27,2,FALSE)</f>
        <v>Pen Set</v>
      </c>
      <c r="R435" s="7">
        <f t="shared" si="50"/>
        <v>192.08999999999997</v>
      </c>
    </row>
    <row r="436" spans="1:18" ht="21.75" customHeight="1">
      <c r="A436" t="s">
        <v>580</v>
      </c>
      <c r="B436" s="6">
        <v>45560</v>
      </c>
      <c r="C436" t="s">
        <v>83</v>
      </c>
      <c r="D436" t="s">
        <v>174</v>
      </c>
      <c r="E436" t="s">
        <v>11</v>
      </c>
      <c r="F436" t="s">
        <v>306</v>
      </c>
      <c r="G436" t="s">
        <v>36</v>
      </c>
      <c r="H436">
        <v>17</v>
      </c>
      <c r="I436" t="str">
        <f>VLOOKUP(D436,Product_Lookup!$A$2:$C$27,3,FALSE)</f>
        <v>$133.37</v>
      </c>
      <c r="J436" t="str">
        <f t="shared" si="51"/>
        <v>Wednesday</v>
      </c>
      <c r="K436" s="10" t="str">
        <f t="shared" si="52"/>
        <v>September</v>
      </c>
      <c r="L436">
        <f t="shared" si="53"/>
        <v>2024</v>
      </c>
      <c r="M436" t="b">
        <f t="shared" si="54"/>
        <v>0</v>
      </c>
      <c r="N436" t="b">
        <f t="shared" si="48"/>
        <v>1</v>
      </c>
      <c r="O436" t="str">
        <f t="shared" si="55"/>
        <v>Large Order</v>
      </c>
      <c r="P436" s="7">
        <f t="shared" si="49"/>
        <v>6.6685000000000008</v>
      </c>
      <c r="Q436" s="7" t="str">
        <f>VLOOKUP(D437,Product_Lookup!$A$2:$C$27,2,FALSE)</f>
        <v>Smartphone</v>
      </c>
      <c r="R436" s="7">
        <f t="shared" si="50"/>
        <v>2267.29</v>
      </c>
    </row>
    <row r="437" spans="1:18" ht="21.75" customHeight="1">
      <c r="A437" t="s">
        <v>581</v>
      </c>
      <c r="B437" s="6">
        <v>45575</v>
      </c>
      <c r="C437" t="s">
        <v>138</v>
      </c>
      <c r="D437" t="s">
        <v>79</v>
      </c>
      <c r="E437" t="s">
        <v>17</v>
      </c>
      <c r="F437" t="s">
        <v>27</v>
      </c>
      <c r="G437" t="s">
        <v>32</v>
      </c>
      <c r="H437">
        <v>13</v>
      </c>
      <c r="I437" t="str">
        <f>VLOOKUP(D437,Product_Lookup!$A$2:$C$27,3,FALSE)</f>
        <v>$216.22</v>
      </c>
      <c r="J437" t="str">
        <f t="shared" si="51"/>
        <v>Thursday</v>
      </c>
      <c r="K437" s="10" t="str">
        <f t="shared" si="52"/>
        <v>October</v>
      </c>
      <c r="L437">
        <f t="shared" si="53"/>
        <v>2024</v>
      </c>
      <c r="M437" t="b">
        <f t="shared" si="54"/>
        <v>0</v>
      </c>
      <c r="N437" t="b">
        <f t="shared" si="48"/>
        <v>1</v>
      </c>
      <c r="O437" t="str">
        <f t="shared" si="55"/>
        <v>Large Order</v>
      </c>
      <c r="P437" s="7">
        <f t="shared" si="49"/>
        <v>10.811</v>
      </c>
      <c r="Q437" s="7" t="str">
        <f>VLOOKUP(D438,Product_Lookup!$A$2:$C$27,2,FALSE)</f>
        <v>Jacket</v>
      </c>
      <c r="R437" s="7">
        <f t="shared" si="50"/>
        <v>2810.86</v>
      </c>
    </row>
    <row r="438" spans="1:18" ht="21.75" customHeight="1">
      <c r="A438" t="s">
        <v>582</v>
      </c>
      <c r="B438" s="6">
        <v>45300</v>
      </c>
      <c r="C438" t="s">
        <v>182</v>
      </c>
      <c r="D438" t="s">
        <v>197</v>
      </c>
      <c r="E438" t="s">
        <v>11</v>
      </c>
      <c r="F438" t="s">
        <v>42</v>
      </c>
      <c r="G438" t="s">
        <v>32</v>
      </c>
      <c r="H438">
        <v>4</v>
      </c>
      <c r="I438" t="str">
        <f>VLOOKUP(D438,Product_Lookup!$A$2:$C$27,3,FALSE)</f>
        <v>$10.11</v>
      </c>
      <c r="J438" t="str">
        <f t="shared" si="51"/>
        <v>Tuesday</v>
      </c>
      <c r="K438" s="10" t="str">
        <f t="shared" si="52"/>
        <v>January</v>
      </c>
      <c r="L438">
        <f t="shared" si="53"/>
        <v>2024</v>
      </c>
      <c r="M438" t="b">
        <f t="shared" si="54"/>
        <v>0</v>
      </c>
      <c r="N438" t="b">
        <f t="shared" si="48"/>
        <v>0</v>
      </c>
      <c r="O438" t="str">
        <f t="shared" si="55"/>
        <v>Standard order</v>
      </c>
      <c r="P438" s="7">
        <f t="shared" si="49"/>
        <v>0.50549999999999995</v>
      </c>
      <c r="Q438" s="7" t="str">
        <f>VLOOKUP(D439,Product_Lookup!$A$2:$C$27,2,FALSE)</f>
        <v>Blender</v>
      </c>
      <c r="R438" s="7">
        <f t="shared" si="50"/>
        <v>40.44</v>
      </c>
    </row>
    <row r="439" spans="1:18" ht="21.75" customHeight="1">
      <c r="A439" t="s">
        <v>583</v>
      </c>
      <c r="B439" s="6">
        <v>45360</v>
      </c>
      <c r="C439" t="s">
        <v>116</v>
      </c>
      <c r="D439" t="s">
        <v>72</v>
      </c>
      <c r="E439" t="s">
        <v>17</v>
      </c>
      <c r="F439" t="s">
        <v>306</v>
      </c>
      <c r="G439" t="s">
        <v>23</v>
      </c>
      <c r="H439">
        <v>6</v>
      </c>
      <c r="I439" t="str">
        <f>VLOOKUP(D439,Product_Lookup!$A$2:$C$27,3,FALSE)</f>
        <v>$156.44</v>
      </c>
      <c r="J439" t="str">
        <f t="shared" si="51"/>
        <v>Saturday</v>
      </c>
      <c r="K439" s="10" t="str">
        <f t="shared" si="52"/>
        <v>March</v>
      </c>
      <c r="L439">
        <f t="shared" si="53"/>
        <v>2024</v>
      </c>
      <c r="M439" t="b">
        <f t="shared" si="54"/>
        <v>1</v>
      </c>
      <c r="N439" t="b">
        <f t="shared" si="48"/>
        <v>1</v>
      </c>
      <c r="O439" t="str">
        <f t="shared" si="55"/>
        <v>Large Order</v>
      </c>
      <c r="P439" s="7">
        <f t="shared" si="49"/>
        <v>7.8220000000000001</v>
      </c>
      <c r="Q439" s="7" t="str">
        <f>VLOOKUP(D440,Product_Lookup!$A$2:$C$27,2,FALSE)</f>
        <v>Headphones</v>
      </c>
      <c r="R439" s="7">
        <f t="shared" si="50"/>
        <v>938.64</v>
      </c>
    </row>
    <row r="440" spans="1:18" ht="21.75" customHeight="1">
      <c r="A440" t="s">
        <v>584</v>
      </c>
      <c r="B440" s="6">
        <v>45648</v>
      </c>
      <c r="C440" t="s">
        <v>517</v>
      </c>
      <c r="D440" t="s">
        <v>16</v>
      </c>
      <c r="E440" t="s">
        <v>22</v>
      </c>
      <c r="F440" t="s">
        <v>56</v>
      </c>
      <c r="G440" t="s">
        <v>23</v>
      </c>
      <c r="H440">
        <v>3</v>
      </c>
      <c r="I440" t="str">
        <f>VLOOKUP(D440,Product_Lookup!$A$2:$C$27,3,FALSE)</f>
        <v>$178.83</v>
      </c>
      <c r="J440" t="str">
        <f t="shared" si="51"/>
        <v>Sunday</v>
      </c>
      <c r="K440" s="10" t="str">
        <f t="shared" si="52"/>
        <v>December</v>
      </c>
      <c r="L440">
        <f t="shared" si="53"/>
        <v>2024</v>
      </c>
      <c r="M440" t="b">
        <f t="shared" si="54"/>
        <v>1</v>
      </c>
      <c r="N440" t="b">
        <f t="shared" si="48"/>
        <v>0</v>
      </c>
      <c r="O440" t="str">
        <f t="shared" si="55"/>
        <v>Large Order</v>
      </c>
      <c r="P440" s="7">
        <f t="shared" si="49"/>
        <v>8.9415000000000013</v>
      </c>
      <c r="Q440" s="7" t="str">
        <f>VLOOKUP(D441,Product_Lookup!$A$2:$C$27,2,FALSE)</f>
        <v>Jeans</v>
      </c>
      <c r="R440" s="7">
        <f t="shared" si="50"/>
        <v>536.49</v>
      </c>
    </row>
    <row r="441" spans="1:18" ht="21.75" customHeight="1">
      <c r="A441" t="s">
        <v>585</v>
      </c>
      <c r="B441" s="6">
        <v>45310</v>
      </c>
      <c r="C441" t="s">
        <v>61</v>
      </c>
      <c r="D441" t="s">
        <v>65</v>
      </c>
      <c r="E441" t="s">
        <v>11</v>
      </c>
      <c r="F441" t="s">
        <v>12</v>
      </c>
      <c r="G441" t="s">
        <v>32</v>
      </c>
      <c r="H441">
        <v>2</v>
      </c>
      <c r="I441" t="str">
        <f>VLOOKUP(D441,Product_Lookup!$A$2:$C$27,3,FALSE)</f>
        <v>$33.22</v>
      </c>
      <c r="J441" t="str">
        <f t="shared" si="51"/>
        <v>Friday</v>
      </c>
      <c r="K441" s="10" t="str">
        <f t="shared" si="52"/>
        <v>January</v>
      </c>
      <c r="L441">
        <f t="shared" si="53"/>
        <v>2024</v>
      </c>
      <c r="M441" t="b">
        <f t="shared" si="54"/>
        <v>0</v>
      </c>
      <c r="N441" t="b">
        <f t="shared" si="48"/>
        <v>0</v>
      </c>
      <c r="O441" t="str">
        <f t="shared" si="55"/>
        <v>Standard order</v>
      </c>
      <c r="P441" s="7">
        <f t="shared" si="49"/>
        <v>1.661</v>
      </c>
      <c r="Q441" s="7" t="str">
        <f>VLOOKUP(D442,Product_Lookup!$A$2:$C$27,2,FALSE)</f>
        <v>Sweater</v>
      </c>
      <c r="R441" s="7">
        <f t="shared" si="50"/>
        <v>66.44</v>
      </c>
    </row>
    <row r="442" spans="1:18" ht="21.75" customHeight="1">
      <c r="A442" t="s">
        <v>586</v>
      </c>
      <c r="B442" s="6">
        <v>45555</v>
      </c>
      <c r="C442" t="s">
        <v>106</v>
      </c>
      <c r="D442" t="s">
        <v>26</v>
      </c>
      <c r="E442" t="s">
        <v>22</v>
      </c>
      <c r="F442" t="s">
        <v>27</v>
      </c>
      <c r="G442" t="s">
        <v>28</v>
      </c>
      <c r="H442">
        <v>2</v>
      </c>
      <c r="I442" t="str">
        <f>VLOOKUP(D442,Product_Lookup!$A$2:$C$27,3,FALSE)</f>
        <v>$84.57</v>
      </c>
      <c r="J442" t="str">
        <f t="shared" si="51"/>
        <v>Friday</v>
      </c>
      <c r="K442" s="10" t="str">
        <f t="shared" si="52"/>
        <v>September</v>
      </c>
      <c r="L442">
        <f t="shared" si="53"/>
        <v>2024</v>
      </c>
      <c r="M442" t="b">
        <f t="shared" si="54"/>
        <v>0</v>
      </c>
      <c r="N442" t="b">
        <f t="shared" si="48"/>
        <v>0</v>
      </c>
      <c r="O442" t="str">
        <f t="shared" si="55"/>
        <v>Standard order</v>
      </c>
      <c r="P442" s="7">
        <f t="shared" si="49"/>
        <v>4.2284999999999995</v>
      </c>
      <c r="Q442" s="7" t="str">
        <f>VLOOKUP(D443,Product_Lookup!$A$2:$C$27,2,FALSE)</f>
        <v>Sweater</v>
      </c>
      <c r="R442" s="7">
        <f t="shared" si="50"/>
        <v>169.14</v>
      </c>
    </row>
    <row r="443" spans="1:18" ht="21.75" customHeight="1">
      <c r="A443" t="s">
        <v>587</v>
      </c>
      <c r="B443" s="6">
        <v>45438</v>
      </c>
      <c r="C443" t="s">
        <v>182</v>
      </c>
      <c r="D443" t="s">
        <v>26</v>
      </c>
      <c r="E443" t="s">
        <v>11</v>
      </c>
      <c r="F443" t="s">
        <v>42</v>
      </c>
      <c r="G443" t="s">
        <v>23</v>
      </c>
      <c r="H443">
        <v>4</v>
      </c>
      <c r="I443" t="str">
        <f>VLOOKUP(D443,Product_Lookup!$A$2:$C$27,3,FALSE)</f>
        <v>$84.57</v>
      </c>
      <c r="J443" t="str">
        <f t="shared" si="51"/>
        <v>Sunday</v>
      </c>
      <c r="K443" s="10" t="str">
        <f t="shared" si="52"/>
        <v>May</v>
      </c>
      <c r="L443">
        <f t="shared" si="53"/>
        <v>2024</v>
      </c>
      <c r="M443" t="b">
        <f t="shared" si="54"/>
        <v>1</v>
      </c>
      <c r="N443" t="b">
        <f t="shared" si="48"/>
        <v>0</v>
      </c>
      <c r="O443" t="str">
        <f t="shared" si="55"/>
        <v>Standard order</v>
      </c>
      <c r="P443" s="7">
        <f t="shared" si="49"/>
        <v>4.2284999999999995</v>
      </c>
      <c r="Q443" s="7" t="str">
        <f>VLOOKUP(D444,Product_Lookup!$A$2:$C$27,2,FALSE)</f>
        <v>Blender</v>
      </c>
      <c r="R443" s="7">
        <f t="shared" si="50"/>
        <v>338.28</v>
      </c>
    </row>
    <row r="444" spans="1:18" ht="21.75" customHeight="1">
      <c r="A444" t="s">
        <v>588</v>
      </c>
      <c r="B444" s="6">
        <v>45496</v>
      </c>
      <c r="C444" t="s">
        <v>323</v>
      </c>
      <c r="D444" t="s">
        <v>72</v>
      </c>
      <c r="E444" t="s">
        <v>17</v>
      </c>
      <c r="F444" t="s">
        <v>27</v>
      </c>
      <c r="G444" t="s">
        <v>23</v>
      </c>
      <c r="H444">
        <v>6</v>
      </c>
      <c r="I444" t="str">
        <f>VLOOKUP(D444,Product_Lookup!$A$2:$C$27,3,FALSE)</f>
        <v>$156.44</v>
      </c>
      <c r="J444" t="str">
        <f t="shared" si="51"/>
        <v>Tuesday</v>
      </c>
      <c r="K444" s="10" t="str">
        <f t="shared" si="52"/>
        <v>July</v>
      </c>
      <c r="L444">
        <f t="shared" si="53"/>
        <v>2024</v>
      </c>
      <c r="M444" t="b">
        <f t="shared" si="54"/>
        <v>0</v>
      </c>
      <c r="N444" t="b">
        <f t="shared" si="48"/>
        <v>1</v>
      </c>
      <c r="O444" t="str">
        <f t="shared" si="55"/>
        <v>Large Order</v>
      </c>
      <c r="P444" s="7">
        <f t="shared" si="49"/>
        <v>7.8220000000000001</v>
      </c>
      <c r="Q444" s="7" t="str">
        <f>VLOOKUP(D445,Product_Lookup!$A$2:$C$27,2,FALSE)</f>
        <v>Lego Set</v>
      </c>
      <c r="R444" s="7">
        <f t="shared" si="50"/>
        <v>938.64</v>
      </c>
    </row>
    <row r="445" spans="1:18" ht="21.75" customHeight="1">
      <c r="A445" t="s">
        <v>589</v>
      </c>
      <c r="B445" s="6">
        <v>45480</v>
      </c>
      <c r="C445" t="s">
        <v>363</v>
      </c>
      <c r="D445" t="s">
        <v>84</v>
      </c>
      <c r="E445" t="s">
        <v>17</v>
      </c>
      <c r="F445" t="s">
        <v>12</v>
      </c>
      <c r="G445" t="s">
        <v>36</v>
      </c>
      <c r="H445">
        <v>14</v>
      </c>
      <c r="I445" t="str">
        <f>VLOOKUP(D445,Product_Lookup!$A$2:$C$27,3,FALSE)</f>
        <v>$130.07</v>
      </c>
      <c r="J445" t="str">
        <f t="shared" si="51"/>
        <v>Sunday</v>
      </c>
      <c r="K445" s="10" t="str">
        <f t="shared" si="52"/>
        <v>July</v>
      </c>
      <c r="L445">
        <f t="shared" si="53"/>
        <v>2024</v>
      </c>
      <c r="M445" t="b">
        <f t="shared" si="54"/>
        <v>1</v>
      </c>
      <c r="N445" t="b">
        <f t="shared" si="48"/>
        <v>1</v>
      </c>
      <c r="O445" t="str">
        <f t="shared" si="55"/>
        <v>Large Order</v>
      </c>
      <c r="P445" s="7">
        <f t="shared" si="49"/>
        <v>6.5034999999999998</v>
      </c>
      <c r="Q445" s="7" t="str">
        <f>VLOOKUP(D446,Product_Lookup!$A$2:$C$27,2,FALSE)</f>
        <v>Monitor</v>
      </c>
      <c r="R445" s="7">
        <f t="shared" si="50"/>
        <v>1820.98</v>
      </c>
    </row>
    <row r="446" spans="1:18" ht="21.75" customHeight="1">
      <c r="A446" t="s">
        <v>590</v>
      </c>
      <c r="B446" s="6">
        <v>45384</v>
      </c>
      <c r="C446" t="s">
        <v>591</v>
      </c>
      <c r="D446" t="s">
        <v>102</v>
      </c>
      <c r="E446" t="s">
        <v>17</v>
      </c>
      <c r="F446" t="s">
        <v>42</v>
      </c>
      <c r="G446" t="s">
        <v>32</v>
      </c>
      <c r="H446">
        <v>3</v>
      </c>
      <c r="I446" t="str">
        <f>VLOOKUP(D446,Product_Lookup!$A$2:$C$27,3,FALSE)</f>
        <v>$145.48</v>
      </c>
      <c r="J446" t="str">
        <f t="shared" si="51"/>
        <v>Tuesday</v>
      </c>
      <c r="K446" s="10" t="str">
        <f t="shared" si="52"/>
        <v>April</v>
      </c>
      <c r="L446">
        <f t="shared" si="53"/>
        <v>2024</v>
      </c>
      <c r="M446" t="b">
        <f t="shared" si="54"/>
        <v>0</v>
      </c>
      <c r="N446" t="b">
        <f t="shared" si="48"/>
        <v>0</v>
      </c>
      <c r="O446" t="str">
        <f t="shared" si="55"/>
        <v>Standard order</v>
      </c>
      <c r="P446" s="7">
        <f t="shared" si="49"/>
        <v>7.274</v>
      </c>
      <c r="Q446" s="7" t="str">
        <f>VLOOKUP(D447,Product_Lookup!$A$2:$C$27,2,FALSE)</f>
        <v>T-Shirt</v>
      </c>
      <c r="R446" s="7">
        <f t="shared" si="50"/>
        <v>436.43999999999994</v>
      </c>
    </row>
    <row r="447" spans="1:18" ht="21.75" customHeight="1">
      <c r="A447" t="s">
        <v>592</v>
      </c>
      <c r="B447" s="6">
        <v>45448</v>
      </c>
      <c r="C447" t="s">
        <v>430</v>
      </c>
      <c r="D447" t="s">
        <v>45</v>
      </c>
      <c r="E447" t="s">
        <v>22</v>
      </c>
      <c r="F447" t="s">
        <v>27</v>
      </c>
      <c r="G447" t="s">
        <v>13</v>
      </c>
      <c r="H447">
        <v>15</v>
      </c>
      <c r="I447" t="str">
        <f>VLOOKUP(D447,Product_Lookup!$A$2:$C$27,3,FALSE)</f>
        <v>$107.34</v>
      </c>
      <c r="J447" t="str">
        <f t="shared" si="51"/>
        <v>Wednesday</v>
      </c>
      <c r="K447" s="10" t="str">
        <f t="shared" si="52"/>
        <v>June</v>
      </c>
      <c r="L447">
        <f t="shared" si="53"/>
        <v>2024</v>
      </c>
      <c r="M447" t="b">
        <f t="shared" si="54"/>
        <v>0</v>
      </c>
      <c r="N447" t="b">
        <f t="shared" si="48"/>
        <v>1</v>
      </c>
      <c r="O447" t="str">
        <f t="shared" si="55"/>
        <v>Large Order</v>
      </c>
      <c r="P447" s="7">
        <f t="shared" si="49"/>
        <v>5.3670000000000009</v>
      </c>
      <c r="Q447" s="7" t="str">
        <f>VLOOKUP(D448,Product_Lookup!$A$2:$C$27,2,FALSE)</f>
        <v>Action Figure</v>
      </c>
      <c r="R447" s="7">
        <f t="shared" si="50"/>
        <v>1610.1000000000001</v>
      </c>
    </row>
    <row r="448" spans="1:18" ht="21.75" customHeight="1">
      <c r="A448" t="s">
        <v>593</v>
      </c>
      <c r="B448" s="6">
        <v>45472</v>
      </c>
      <c r="C448" t="s">
        <v>594</v>
      </c>
      <c r="D448" t="s">
        <v>21</v>
      </c>
      <c r="E448" t="s">
        <v>17</v>
      </c>
      <c r="F448" t="s">
        <v>42</v>
      </c>
      <c r="G448" t="s">
        <v>23</v>
      </c>
      <c r="H448">
        <v>2</v>
      </c>
      <c r="I448" t="str">
        <f>VLOOKUP(D448,Product_Lookup!$A$2:$C$27,3,FALSE)</f>
        <v>$88.18</v>
      </c>
      <c r="J448" t="str">
        <f t="shared" si="51"/>
        <v>Saturday</v>
      </c>
      <c r="K448" s="10" t="str">
        <f t="shared" si="52"/>
        <v>June</v>
      </c>
      <c r="L448">
        <f t="shared" si="53"/>
        <v>2024</v>
      </c>
      <c r="M448" t="b">
        <f t="shared" si="54"/>
        <v>1</v>
      </c>
      <c r="N448" t="b">
        <f t="shared" si="48"/>
        <v>0</v>
      </c>
      <c r="O448" t="str">
        <f t="shared" si="55"/>
        <v>Standard order</v>
      </c>
      <c r="P448" s="7">
        <f t="shared" si="49"/>
        <v>4.4090000000000007</v>
      </c>
      <c r="Q448" s="7" t="str">
        <f>VLOOKUP(D449,Product_Lookup!$A$2:$C$27,2,FALSE)</f>
        <v>Laptop</v>
      </c>
      <c r="R448" s="7">
        <f t="shared" si="50"/>
        <v>176.36</v>
      </c>
    </row>
    <row r="449" spans="1:18" ht="21.75" customHeight="1">
      <c r="A449" t="s">
        <v>595</v>
      </c>
      <c r="B449" s="6">
        <v>45478</v>
      </c>
      <c r="C449" t="s">
        <v>345</v>
      </c>
      <c r="D449" t="s">
        <v>96</v>
      </c>
      <c r="E449" t="s">
        <v>22</v>
      </c>
      <c r="F449" t="s">
        <v>56</v>
      </c>
      <c r="G449" t="s">
        <v>23</v>
      </c>
      <c r="H449">
        <v>5</v>
      </c>
      <c r="I449" t="str">
        <f>VLOOKUP(D449,Product_Lookup!$A$2:$C$27,3,FALSE)</f>
        <v>$230.68</v>
      </c>
      <c r="J449" t="str">
        <f t="shared" si="51"/>
        <v>Friday</v>
      </c>
      <c r="K449" s="10" t="str">
        <f t="shared" si="52"/>
        <v>July</v>
      </c>
      <c r="L449">
        <f t="shared" si="53"/>
        <v>2024</v>
      </c>
      <c r="M449" t="b">
        <f t="shared" si="54"/>
        <v>0</v>
      </c>
      <c r="N449" t="b">
        <f t="shared" si="48"/>
        <v>0</v>
      </c>
      <c r="O449" t="str">
        <f t="shared" si="55"/>
        <v>Large Order</v>
      </c>
      <c r="P449" s="7">
        <f t="shared" si="49"/>
        <v>11.534000000000001</v>
      </c>
      <c r="Q449" s="7" t="str">
        <f>VLOOKUP(D450,Product_Lookup!$A$2:$C$27,2,FALSE)</f>
        <v>Doll</v>
      </c>
      <c r="R449" s="7">
        <f t="shared" si="50"/>
        <v>1153.4000000000001</v>
      </c>
    </row>
    <row r="450" spans="1:18" ht="21.75" customHeight="1">
      <c r="A450" t="s">
        <v>596</v>
      </c>
      <c r="B450" s="6">
        <v>45309</v>
      </c>
      <c r="C450" t="s">
        <v>34</v>
      </c>
      <c r="D450" t="s">
        <v>119</v>
      </c>
      <c r="E450" t="s">
        <v>11</v>
      </c>
      <c r="F450" t="s">
        <v>56</v>
      </c>
      <c r="G450" t="s">
        <v>36</v>
      </c>
      <c r="H450">
        <v>12</v>
      </c>
      <c r="I450" t="str">
        <f>VLOOKUP(D450,Product_Lookup!$A$2:$C$27,3,FALSE)</f>
        <v>$32.94</v>
      </c>
      <c r="J450" t="str">
        <f t="shared" si="51"/>
        <v>Thursday</v>
      </c>
      <c r="K450" s="10" t="str">
        <f t="shared" si="52"/>
        <v>January</v>
      </c>
      <c r="L450">
        <f t="shared" si="53"/>
        <v>2024</v>
      </c>
      <c r="M450" t="b">
        <f t="shared" si="54"/>
        <v>0</v>
      </c>
      <c r="N450" t="b">
        <f t="shared" ref="N450:N513" si="56">AND(R450&gt;750, H450&gt;5)</f>
        <v>0</v>
      </c>
      <c r="O450" t="str">
        <f t="shared" si="55"/>
        <v>Standard order</v>
      </c>
      <c r="P450" s="7">
        <f t="shared" ref="P450:P513" si="57">I450*$S$2</f>
        <v>1.647</v>
      </c>
      <c r="Q450" s="7" t="str">
        <f>VLOOKUP(D451,Product_Lookup!$A$2:$C$27,2,FALSE)</f>
        <v>Toaster</v>
      </c>
      <c r="R450" s="7">
        <f t="shared" ref="R450:R513" si="58">H450*I450</f>
        <v>395.28</v>
      </c>
    </row>
    <row r="451" spans="1:18" ht="21.75" customHeight="1">
      <c r="A451" t="s">
        <v>597</v>
      </c>
      <c r="B451" s="6">
        <v>45308</v>
      </c>
      <c r="C451" t="s">
        <v>493</v>
      </c>
      <c r="D451" t="s">
        <v>48</v>
      </c>
      <c r="E451" t="s">
        <v>11</v>
      </c>
      <c r="F451" t="s">
        <v>27</v>
      </c>
      <c r="G451" t="s">
        <v>13</v>
      </c>
      <c r="H451">
        <v>12</v>
      </c>
      <c r="I451" t="str">
        <f>VLOOKUP(D451,Product_Lookup!$A$2:$C$27,3,FALSE)</f>
        <v>$208.85</v>
      </c>
      <c r="J451" t="str">
        <f t="shared" ref="J451:J514" si="59">TEXT(B451, "dddd")</f>
        <v>Wednesday</v>
      </c>
      <c r="K451" s="10" t="str">
        <f t="shared" ref="K451:K514" si="60">TEXT(B451, "mmmm")</f>
        <v>January</v>
      </c>
      <c r="L451">
        <f t="shared" ref="L451:L514" si="61">YEAR(B451)</f>
        <v>2024</v>
      </c>
      <c r="M451" t="b">
        <f t="shared" ref="M451:M514" si="62">OR(J451="Saturday", J451="Sunday")</f>
        <v>0</v>
      </c>
      <c r="N451" t="b">
        <f t="shared" si="56"/>
        <v>1</v>
      </c>
      <c r="O451" t="str">
        <f t="shared" ref="O451:O514" si="63">IF(R451&gt;500,"Large Order","Standard order")</f>
        <v>Large Order</v>
      </c>
      <c r="P451" s="7">
        <f t="shared" si="57"/>
        <v>10.442500000000001</v>
      </c>
      <c r="Q451" s="7" t="str">
        <f>VLOOKUP(D452,Product_Lookup!$A$2:$C$27,2,FALSE)</f>
        <v>Coffee Maker</v>
      </c>
      <c r="R451" s="7">
        <f t="shared" si="58"/>
        <v>2506.1999999999998</v>
      </c>
    </row>
    <row r="452" spans="1:18" ht="21.75" customHeight="1">
      <c r="A452" t="s">
        <v>598</v>
      </c>
      <c r="B452" s="6">
        <v>45585</v>
      </c>
      <c r="C452" t="s">
        <v>99</v>
      </c>
      <c r="D452" t="s">
        <v>31</v>
      </c>
      <c r="E452" t="s">
        <v>22</v>
      </c>
      <c r="F452" t="s">
        <v>42</v>
      </c>
      <c r="G452" t="s">
        <v>28</v>
      </c>
      <c r="H452">
        <v>11</v>
      </c>
      <c r="I452" t="str">
        <f>VLOOKUP(D452,Product_Lookup!$A$2:$C$27,3,FALSE)</f>
        <v>$230.34</v>
      </c>
      <c r="J452" t="str">
        <f t="shared" si="59"/>
        <v>Sunday</v>
      </c>
      <c r="K452" s="10" t="str">
        <f t="shared" si="60"/>
        <v>October</v>
      </c>
      <c r="L452">
        <f t="shared" si="61"/>
        <v>2024</v>
      </c>
      <c r="M452" t="b">
        <f t="shared" si="62"/>
        <v>1</v>
      </c>
      <c r="N452" t="b">
        <f t="shared" si="56"/>
        <v>1</v>
      </c>
      <c r="O452" t="str">
        <f t="shared" si="63"/>
        <v>Large Order</v>
      </c>
      <c r="P452" s="7">
        <f t="shared" si="57"/>
        <v>11.517000000000001</v>
      </c>
      <c r="Q452" s="7" t="str">
        <f>VLOOKUP(D453,Product_Lookup!$A$2:$C$27,2,FALSE)</f>
        <v>Stapler</v>
      </c>
      <c r="R452" s="7">
        <f t="shared" si="58"/>
        <v>2533.7400000000002</v>
      </c>
    </row>
    <row r="453" spans="1:18" ht="21.75" customHeight="1">
      <c r="A453" t="s">
        <v>599</v>
      </c>
      <c r="B453" s="6">
        <v>45350</v>
      </c>
      <c r="C453" t="s">
        <v>64</v>
      </c>
      <c r="D453" t="s">
        <v>35</v>
      </c>
      <c r="E453" t="s">
        <v>22</v>
      </c>
      <c r="F453" t="s">
        <v>56</v>
      </c>
      <c r="G453" t="s">
        <v>36</v>
      </c>
      <c r="H453">
        <v>17</v>
      </c>
      <c r="I453" t="str">
        <f>VLOOKUP(D453,Product_Lookup!$A$2:$C$27,3,FALSE)</f>
        <v>$64.61</v>
      </c>
      <c r="J453" t="str">
        <f t="shared" si="59"/>
        <v>Wednesday</v>
      </c>
      <c r="K453" s="10" t="str">
        <f t="shared" si="60"/>
        <v>February</v>
      </c>
      <c r="L453">
        <f t="shared" si="61"/>
        <v>2024</v>
      </c>
      <c r="M453" t="b">
        <f t="shared" si="62"/>
        <v>0</v>
      </c>
      <c r="N453" t="b">
        <f t="shared" si="56"/>
        <v>1</v>
      </c>
      <c r="O453" t="str">
        <f t="shared" si="63"/>
        <v>Large Order</v>
      </c>
      <c r="P453" s="7">
        <f t="shared" si="57"/>
        <v>3.2305000000000001</v>
      </c>
      <c r="Q453" s="7" t="str">
        <f>VLOOKUP(D454,Product_Lookup!$A$2:$C$27,2,FALSE)</f>
        <v>Jeans</v>
      </c>
      <c r="R453" s="7">
        <f t="shared" si="58"/>
        <v>1098.3699999999999</v>
      </c>
    </row>
    <row r="454" spans="1:18" ht="21.75" customHeight="1">
      <c r="A454" t="s">
        <v>600</v>
      </c>
      <c r="B454" s="6">
        <v>45352</v>
      </c>
      <c r="C454" t="s">
        <v>86</v>
      </c>
      <c r="D454" t="s">
        <v>65</v>
      </c>
      <c r="E454" t="s">
        <v>17</v>
      </c>
      <c r="F454" t="s">
        <v>27</v>
      </c>
      <c r="G454" t="s">
        <v>23</v>
      </c>
      <c r="H454">
        <v>20</v>
      </c>
      <c r="I454" t="str">
        <f>VLOOKUP(D454,Product_Lookup!$A$2:$C$27,3,FALSE)</f>
        <v>$33.22</v>
      </c>
      <c r="J454" t="str">
        <f t="shared" si="59"/>
        <v>Friday</v>
      </c>
      <c r="K454" s="10" t="str">
        <f t="shared" si="60"/>
        <v>March</v>
      </c>
      <c r="L454">
        <f t="shared" si="61"/>
        <v>2024</v>
      </c>
      <c r="M454" t="b">
        <f t="shared" si="62"/>
        <v>0</v>
      </c>
      <c r="N454" t="b">
        <f t="shared" si="56"/>
        <v>0</v>
      </c>
      <c r="O454" t="str">
        <f t="shared" si="63"/>
        <v>Large Order</v>
      </c>
      <c r="P454" s="7">
        <f t="shared" si="57"/>
        <v>1.661</v>
      </c>
      <c r="Q454" s="7" t="str">
        <f>VLOOKUP(D455,Product_Lookup!$A$2:$C$27,2,FALSE)</f>
        <v>Air Fryer</v>
      </c>
      <c r="R454" s="7">
        <f t="shared" si="58"/>
        <v>664.4</v>
      </c>
    </row>
    <row r="455" spans="1:18" ht="21.75" customHeight="1">
      <c r="A455" t="s">
        <v>601</v>
      </c>
      <c r="B455" s="6">
        <v>45394</v>
      </c>
      <c r="C455" t="s">
        <v>114</v>
      </c>
      <c r="D455" t="s">
        <v>70</v>
      </c>
      <c r="E455" t="s">
        <v>11</v>
      </c>
      <c r="F455" t="s">
        <v>12</v>
      </c>
      <c r="G455" t="s">
        <v>23</v>
      </c>
      <c r="H455">
        <v>6</v>
      </c>
      <c r="I455" t="str">
        <f>VLOOKUP(D455,Product_Lookup!$A$2:$C$27,3,FALSE)</f>
        <v>$211.9</v>
      </c>
      <c r="J455" t="str">
        <f t="shared" si="59"/>
        <v>Friday</v>
      </c>
      <c r="K455" s="10" t="str">
        <f t="shared" si="60"/>
        <v>April</v>
      </c>
      <c r="L455">
        <f t="shared" si="61"/>
        <v>2024</v>
      </c>
      <c r="M455" t="b">
        <f t="shared" si="62"/>
        <v>0</v>
      </c>
      <c r="N455" t="b">
        <f t="shared" si="56"/>
        <v>1</v>
      </c>
      <c r="O455" t="str">
        <f t="shared" si="63"/>
        <v>Large Order</v>
      </c>
      <c r="P455" s="7">
        <f t="shared" si="57"/>
        <v>10.595000000000001</v>
      </c>
      <c r="Q455" s="7" t="str">
        <f>VLOOKUP(D456,Product_Lookup!$A$2:$C$27,2,FALSE)</f>
        <v>Puzzle</v>
      </c>
      <c r="R455" s="7">
        <f t="shared" si="58"/>
        <v>1271.4000000000001</v>
      </c>
    </row>
    <row r="456" spans="1:18" ht="21.75" customHeight="1">
      <c r="A456" t="s">
        <v>602</v>
      </c>
      <c r="B456" s="6">
        <v>45336</v>
      </c>
      <c r="C456" t="s">
        <v>455</v>
      </c>
      <c r="D456" t="s">
        <v>62</v>
      </c>
      <c r="E456" t="s">
        <v>17</v>
      </c>
      <c r="F456" t="s">
        <v>42</v>
      </c>
      <c r="G456" t="s">
        <v>32</v>
      </c>
      <c r="H456">
        <v>3</v>
      </c>
      <c r="I456" t="str">
        <f>VLOOKUP(D456,Product_Lookup!$A$2:$C$27,3,FALSE)</f>
        <v>$46.19</v>
      </c>
      <c r="J456" t="str">
        <f t="shared" si="59"/>
        <v>Wednesday</v>
      </c>
      <c r="K456" s="10" t="str">
        <f t="shared" si="60"/>
        <v>February</v>
      </c>
      <c r="L456">
        <f t="shared" si="61"/>
        <v>2024</v>
      </c>
      <c r="M456" t="b">
        <f t="shared" si="62"/>
        <v>0</v>
      </c>
      <c r="N456" t="b">
        <f t="shared" si="56"/>
        <v>0</v>
      </c>
      <c r="O456" t="str">
        <f t="shared" si="63"/>
        <v>Standard order</v>
      </c>
      <c r="P456" s="7">
        <f t="shared" si="57"/>
        <v>2.3094999999999999</v>
      </c>
      <c r="Q456" s="7" t="str">
        <f>VLOOKUP(D457,Product_Lookup!$A$2:$C$27,2,FALSE)</f>
        <v>Toaster</v>
      </c>
      <c r="R456" s="7">
        <f t="shared" si="58"/>
        <v>138.57</v>
      </c>
    </row>
    <row r="457" spans="1:18" ht="21.75" customHeight="1">
      <c r="A457" t="s">
        <v>603</v>
      </c>
      <c r="B457" s="6">
        <v>45445</v>
      </c>
      <c r="C457" t="s">
        <v>111</v>
      </c>
      <c r="D457" t="s">
        <v>48</v>
      </c>
      <c r="E457" t="s">
        <v>22</v>
      </c>
      <c r="F457" t="s">
        <v>56</v>
      </c>
      <c r="G457" t="s">
        <v>28</v>
      </c>
      <c r="H457">
        <v>17</v>
      </c>
      <c r="I457" t="str">
        <f>VLOOKUP(D457,Product_Lookup!$A$2:$C$27,3,FALSE)</f>
        <v>$208.85</v>
      </c>
      <c r="J457" t="str">
        <f t="shared" si="59"/>
        <v>Sunday</v>
      </c>
      <c r="K457" s="10" t="str">
        <f t="shared" si="60"/>
        <v>June</v>
      </c>
      <c r="L457">
        <f t="shared" si="61"/>
        <v>2024</v>
      </c>
      <c r="M457" t="b">
        <f t="shared" si="62"/>
        <v>1</v>
      </c>
      <c r="N457" t="b">
        <f t="shared" si="56"/>
        <v>1</v>
      </c>
      <c r="O457" t="str">
        <f t="shared" si="63"/>
        <v>Large Order</v>
      </c>
      <c r="P457" s="7">
        <f t="shared" si="57"/>
        <v>10.442500000000001</v>
      </c>
      <c r="Q457" s="7" t="str">
        <f>VLOOKUP(D458,Product_Lookup!$A$2:$C$27,2,FALSE)</f>
        <v>Toaster</v>
      </c>
      <c r="R457" s="7">
        <f t="shared" si="58"/>
        <v>3550.45</v>
      </c>
    </row>
    <row r="458" spans="1:18" ht="21.75" customHeight="1">
      <c r="A458" t="s">
        <v>604</v>
      </c>
      <c r="B458" s="6">
        <v>45363</v>
      </c>
      <c r="C458" t="s">
        <v>93</v>
      </c>
      <c r="D458" t="s">
        <v>48</v>
      </c>
      <c r="E458" t="s">
        <v>17</v>
      </c>
      <c r="F458" t="s">
        <v>12</v>
      </c>
      <c r="G458" t="s">
        <v>23</v>
      </c>
      <c r="H458">
        <v>18</v>
      </c>
      <c r="I458" t="str">
        <f>VLOOKUP(D458,Product_Lookup!$A$2:$C$27,3,FALSE)</f>
        <v>$208.85</v>
      </c>
      <c r="J458" t="str">
        <f t="shared" si="59"/>
        <v>Tuesday</v>
      </c>
      <c r="K458" s="10" t="str">
        <f t="shared" si="60"/>
        <v>March</v>
      </c>
      <c r="L458">
        <f t="shared" si="61"/>
        <v>2024</v>
      </c>
      <c r="M458" t="b">
        <f t="shared" si="62"/>
        <v>0</v>
      </c>
      <c r="N458" t="b">
        <f t="shared" si="56"/>
        <v>1</v>
      </c>
      <c r="O458" t="str">
        <f t="shared" si="63"/>
        <v>Large Order</v>
      </c>
      <c r="P458" s="7">
        <f t="shared" si="57"/>
        <v>10.442500000000001</v>
      </c>
      <c r="Q458" s="7" t="str">
        <f>VLOOKUP(D459,Product_Lookup!$A$2:$C$27,2,FALSE)</f>
        <v>Tablet</v>
      </c>
      <c r="R458" s="7">
        <f t="shared" si="58"/>
        <v>3759.2999999999997</v>
      </c>
    </row>
    <row r="459" spans="1:18" ht="21.75" customHeight="1">
      <c r="A459" t="s">
        <v>605</v>
      </c>
      <c r="B459" s="6">
        <v>45574</v>
      </c>
      <c r="C459" t="s">
        <v>34</v>
      </c>
      <c r="D459" t="s">
        <v>10</v>
      </c>
      <c r="E459" t="s">
        <v>22</v>
      </c>
      <c r="F459" t="s">
        <v>12</v>
      </c>
      <c r="G459" t="s">
        <v>23</v>
      </c>
      <c r="H459">
        <v>10</v>
      </c>
      <c r="I459" t="str">
        <f>VLOOKUP(D459,Product_Lookup!$A$2:$C$27,3,FALSE)</f>
        <v>$146.06</v>
      </c>
      <c r="J459" t="str">
        <f t="shared" si="59"/>
        <v>Wednesday</v>
      </c>
      <c r="K459" s="10" t="str">
        <f t="shared" si="60"/>
        <v>October</v>
      </c>
      <c r="L459">
        <f t="shared" si="61"/>
        <v>2024</v>
      </c>
      <c r="M459" t="b">
        <f t="shared" si="62"/>
        <v>0</v>
      </c>
      <c r="N459" t="b">
        <f t="shared" si="56"/>
        <v>1</v>
      </c>
      <c r="O459" t="str">
        <f t="shared" si="63"/>
        <v>Large Order</v>
      </c>
      <c r="P459" s="7">
        <f t="shared" si="57"/>
        <v>7.3030000000000008</v>
      </c>
      <c r="Q459" s="7" t="str">
        <f>VLOOKUP(D460,Product_Lookup!$A$2:$C$27,2,FALSE)</f>
        <v>Tablet</v>
      </c>
      <c r="R459" s="7">
        <f t="shared" si="58"/>
        <v>1460.6</v>
      </c>
    </row>
    <row r="460" spans="1:18" ht="21.75" customHeight="1">
      <c r="A460" t="s">
        <v>606</v>
      </c>
      <c r="B460" s="6">
        <v>45561</v>
      </c>
      <c r="C460" t="s">
        <v>408</v>
      </c>
      <c r="D460" t="s">
        <v>10</v>
      </c>
      <c r="E460" t="s">
        <v>17</v>
      </c>
      <c r="F460" t="s">
        <v>306</v>
      </c>
      <c r="G460" t="s">
        <v>13</v>
      </c>
      <c r="H460">
        <v>5</v>
      </c>
      <c r="I460" t="str">
        <f>VLOOKUP(D460,Product_Lookup!$A$2:$C$27,3,FALSE)</f>
        <v>$146.06</v>
      </c>
      <c r="J460" t="str">
        <f t="shared" si="59"/>
        <v>Thursday</v>
      </c>
      <c r="K460" s="10" t="str">
        <f t="shared" si="60"/>
        <v>September</v>
      </c>
      <c r="L460">
        <f t="shared" si="61"/>
        <v>2024</v>
      </c>
      <c r="M460" t="b">
        <f t="shared" si="62"/>
        <v>0</v>
      </c>
      <c r="N460" t="b">
        <f t="shared" si="56"/>
        <v>0</v>
      </c>
      <c r="O460" t="str">
        <f t="shared" si="63"/>
        <v>Large Order</v>
      </c>
      <c r="P460" s="7">
        <f t="shared" si="57"/>
        <v>7.3030000000000008</v>
      </c>
      <c r="Q460" s="7" t="str">
        <f>VLOOKUP(D461,Product_Lookup!$A$2:$C$27,2,FALSE)</f>
        <v>Toaster</v>
      </c>
      <c r="R460" s="7">
        <f t="shared" si="58"/>
        <v>730.3</v>
      </c>
    </row>
    <row r="461" spans="1:18" ht="21.75" customHeight="1">
      <c r="A461" t="s">
        <v>607</v>
      </c>
      <c r="B461" s="6">
        <v>45522</v>
      </c>
      <c r="C461" t="s">
        <v>319</v>
      </c>
      <c r="D461" t="s">
        <v>48</v>
      </c>
      <c r="E461" t="s">
        <v>22</v>
      </c>
      <c r="F461" t="s">
        <v>306</v>
      </c>
      <c r="G461" t="s">
        <v>36</v>
      </c>
      <c r="H461">
        <v>5</v>
      </c>
      <c r="I461" t="str">
        <f>VLOOKUP(D461,Product_Lookup!$A$2:$C$27,3,FALSE)</f>
        <v>$208.85</v>
      </c>
      <c r="J461" t="str">
        <f t="shared" si="59"/>
        <v>Sunday</v>
      </c>
      <c r="K461" s="10" t="str">
        <f t="shared" si="60"/>
        <v>August</v>
      </c>
      <c r="L461">
        <f t="shared" si="61"/>
        <v>2024</v>
      </c>
      <c r="M461" t="b">
        <f t="shared" si="62"/>
        <v>1</v>
      </c>
      <c r="N461" t="b">
        <f t="shared" si="56"/>
        <v>0</v>
      </c>
      <c r="O461" t="str">
        <f t="shared" si="63"/>
        <v>Large Order</v>
      </c>
      <c r="P461" s="7">
        <f t="shared" si="57"/>
        <v>10.442500000000001</v>
      </c>
      <c r="Q461" s="7" t="str">
        <f>VLOOKUP(D462,Product_Lookup!$A$2:$C$27,2,FALSE)</f>
        <v>Vacuum</v>
      </c>
      <c r="R461" s="7">
        <f t="shared" si="58"/>
        <v>1044.25</v>
      </c>
    </row>
    <row r="462" spans="1:18" ht="21.75" customHeight="1">
      <c r="A462" t="s">
        <v>608</v>
      </c>
      <c r="B462" s="6">
        <v>45619</v>
      </c>
      <c r="C462" t="s">
        <v>449</v>
      </c>
      <c r="D462" t="s">
        <v>87</v>
      </c>
      <c r="E462" t="s">
        <v>11</v>
      </c>
      <c r="F462" t="s">
        <v>56</v>
      </c>
      <c r="G462" t="s">
        <v>13</v>
      </c>
      <c r="H462">
        <v>17</v>
      </c>
      <c r="I462" t="str">
        <f>VLOOKUP(D462,Product_Lookup!$A$2:$C$27,3,FALSE)</f>
        <v>$26.59</v>
      </c>
      <c r="J462" t="str">
        <f t="shared" si="59"/>
        <v>Saturday</v>
      </c>
      <c r="K462" s="10" t="str">
        <f t="shared" si="60"/>
        <v>November</v>
      </c>
      <c r="L462">
        <f t="shared" si="61"/>
        <v>2024</v>
      </c>
      <c r="M462" t="b">
        <f t="shared" si="62"/>
        <v>1</v>
      </c>
      <c r="N462" t="b">
        <f t="shared" si="56"/>
        <v>0</v>
      </c>
      <c r="O462" t="str">
        <f t="shared" si="63"/>
        <v>Standard order</v>
      </c>
      <c r="P462" s="7">
        <f t="shared" si="57"/>
        <v>1.3295000000000001</v>
      </c>
      <c r="Q462" s="7" t="str">
        <f>VLOOKUP(D463,Product_Lookup!$A$2:$C$27,2,FALSE)</f>
        <v>T-Shirt</v>
      </c>
      <c r="R462" s="7">
        <f t="shared" si="58"/>
        <v>452.03</v>
      </c>
    </row>
    <row r="463" spans="1:18" ht="21.75" customHeight="1">
      <c r="A463" t="s">
        <v>609</v>
      </c>
      <c r="B463" s="6">
        <v>45355</v>
      </c>
      <c r="C463" t="s">
        <v>363</v>
      </c>
      <c r="D463" t="s">
        <v>45</v>
      </c>
      <c r="E463" t="s">
        <v>11</v>
      </c>
      <c r="F463" t="s">
        <v>42</v>
      </c>
      <c r="G463" t="s">
        <v>28</v>
      </c>
      <c r="H463">
        <v>6</v>
      </c>
      <c r="I463" t="str">
        <f>VLOOKUP(D463,Product_Lookup!$A$2:$C$27,3,FALSE)</f>
        <v>$107.34</v>
      </c>
      <c r="J463" t="str">
        <f t="shared" si="59"/>
        <v>Monday</v>
      </c>
      <c r="K463" s="10" t="str">
        <f t="shared" si="60"/>
        <v>March</v>
      </c>
      <c r="L463">
        <f t="shared" si="61"/>
        <v>2024</v>
      </c>
      <c r="M463" t="b">
        <f t="shared" si="62"/>
        <v>0</v>
      </c>
      <c r="N463" t="b">
        <f t="shared" si="56"/>
        <v>0</v>
      </c>
      <c r="O463" t="str">
        <f t="shared" si="63"/>
        <v>Large Order</v>
      </c>
      <c r="P463" s="7">
        <f t="shared" si="57"/>
        <v>5.3670000000000009</v>
      </c>
      <c r="Q463" s="7" t="str">
        <f>VLOOKUP(D464,Product_Lookup!$A$2:$C$27,2,FALSE)</f>
        <v>Sweater</v>
      </c>
      <c r="R463" s="7">
        <f t="shared" si="58"/>
        <v>644.04</v>
      </c>
    </row>
    <row r="464" spans="1:18" ht="21.75" customHeight="1">
      <c r="A464" t="s">
        <v>610</v>
      </c>
      <c r="B464" s="6">
        <v>45469</v>
      </c>
      <c r="C464" t="s">
        <v>363</v>
      </c>
      <c r="D464" t="s">
        <v>26</v>
      </c>
      <c r="E464" t="s">
        <v>17</v>
      </c>
      <c r="F464" t="s">
        <v>12</v>
      </c>
      <c r="G464" t="s">
        <v>36</v>
      </c>
      <c r="H464">
        <v>7</v>
      </c>
      <c r="I464" t="str">
        <f>VLOOKUP(D464,Product_Lookup!$A$2:$C$27,3,FALSE)</f>
        <v>$84.57</v>
      </c>
      <c r="J464" t="str">
        <f t="shared" si="59"/>
        <v>Wednesday</v>
      </c>
      <c r="K464" s="10" t="str">
        <f t="shared" si="60"/>
        <v>June</v>
      </c>
      <c r="L464">
        <f t="shared" si="61"/>
        <v>2024</v>
      </c>
      <c r="M464" t="b">
        <f t="shared" si="62"/>
        <v>0</v>
      </c>
      <c r="N464" t="b">
        <f t="shared" si="56"/>
        <v>0</v>
      </c>
      <c r="O464" t="str">
        <f t="shared" si="63"/>
        <v>Large Order</v>
      </c>
      <c r="P464" s="7">
        <f t="shared" si="57"/>
        <v>4.2284999999999995</v>
      </c>
      <c r="Q464" s="7" t="str">
        <f>VLOOKUP(D465,Product_Lookup!$A$2:$C$27,2,FALSE)</f>
        <v>Paper Shredder</v>
      </c>
      <c r="R464" s="7">
        <f t="shared" si="58"/>
        <v>591.99</v>
      </c>
    </row>
    <row r="465" spans="1:18" ht="21.75" customHeight="1">
      <c r="A465" t="s">
        <v>611</v>
      </c>
      <c r="B465" s="6">
        <v>45432</v>
      </c>
      <c r="C465" t="s">
        <v>34</v>
      </c>
      <c r="D465" t="s">
        <v>109</v>
      </c>
      <c r="E465" t="s">
        <v>22</v>
      </c>
      <c r="F465" t="s">
        <v>42</v>
      </c>
      <c r="G465" t="s">
        <v>28</v>
      </c>
      <c r="H465">
        <v>18</v>
      </c>
      <c r="I465" t="str">
        <f>VLOOKUP(D465,Product_Lookup!$A$2:$C$27,3,FALSE)</f>
        <v>$81.02</v>
      </c>
      <c r="J465" t="str">
        <f t="shared" si="59"/>
        <v>Monday</v>
      </c>
      <c r="K465" s="10" t="str">
        <f t="shared" si="60"/>
        <v>May</v>
      </c>
      <c r="L465">
        <f t="shared" si="61"/>
        <v>2024</v>
      </c>
      <c r="M465" t="b">
        <f t="shared" si="62"/>
        <v>0</v>
      </c>
      <c r="N465" t="b">
        <f t="shared" si="56"/>
        <v>1</v>
      </c>
      <c r="O465" t="str">
        <f t="shared" si="63"/>
        <v>Large Order</v>
      </c>
      <c r="P465" s="7">
        <f t="shared" si="57"/>
        <v>4.0510000000000002</v>
      </c>
      <c r="Q465" s="7" t="str">
        <f>VLOOKUP(D466,Product_Lookup!$A$2:$C$27,2,FALSE)</f>
        <v>Board Game</v>
      </c>
      <c r="R465" s="7">
        <f t="shared" si="58"/>
        <v>1458.36</v>
      </c>
    </row>
    <row r="466" spans="1:18" ht="21.75" customHeight="1">
      <c r="A466" t="s">
        <v>612</v>
      </c>
      <c r="B466" s="6">
        <v>45595</v>
      </c>
      <c r="C466" t="s">
        <v>361</v>
      </c>
      <c r="D466" t="s">
        <v>41</v>
      </c>
      <c r="E466" t="s">
        <v>11</v>
      </c>
      <c r="F466" t="s">
        <v>56</v>
      </c>
      <c r="G466" t="s">
        <v>36</v>
      </c>
      <c r="H466">
        <v>20</v>
      </c>
      <c r="I466" t="str">
        <f>VLOOKUP(D466,Product_Lookup!$A$2:$C$27,3,FALSE)</f>
        <v>$86.6</v>
      </c>
      <c r="J466" t="str">
        <f t="shared" si="59"/>
        <v>Wednesday</v>
      </c>
      <c r="K466" s="10" t="str">
        <f t="shared" si="60"/>
        <v>October</v>
      </c>
      <c r="L466">
        <f t="shared" si="61"/>
        <v>2024</v>
      </c>
      <c r="M466" t="b">
        <f t="shared" si="62"/>
        <v>0</v>
      </c>
      <c r="N466" t="b">
        <f t="shared" si="56"/>
        <v>1</v>
      </c>
      <c r="O466" t="str">
        <f t="shared" si="63"/>
        <v>Large Order</v>
      </c>
      <c r="P466" s="7">
        <f t="shared" si="57"/>
        <v>4.33</v>
      </c>
      <c r="Q466" s="7" t="str">
        <f>VLOOKUP(D467,Product_Lookup!$A$2:$C$27,2,FALSE)</f>
        <v>Tablet</v>
      </c>
      <c r="R466" s="7">
        <f t="shared" si="58"/>
        <v>1732</v>
      </c>
    </row>
    <row r="467" spans="1:18" ht="21.75" customHeight="1">
      <c r="A467" t="s">
        <v>613</v>
      </c>
      <c r="B467" s="6">
        <v>45464</v>
      </c>
      <c r="C467" t="s">
        <v>614</v>
      </c>
      <c r="D467" t="s">
        <v>10</v>
      </c>
      <c r="E467" t="s">
        <v>11</v>
      </c>
      <c r="F467" t="s">
        <v>12</v>
      </c>
      <c r="G467" t="s">
        <v>36</v>
      </c>
      <c r="H467">
        <v>2</v>
      </c>
      <c r="I467" t="str">
        <f>VLOOKUP(D467,Product_Lookup!$A$2:$C$27,3,FALSE)</f>
        <v>$146.06</v>
      </c>
      <c r="J467" t="str">
        <f t="shared" si="59"/>
        <v>Friday</v>
      </c>
      <c r="K467" s="10" t="str">
        <f t="shared" si="60"/>
        <v>June</v>
      </c>
      <c r="L467">
        <f t="shared" si="61"/>
        <v>2024</v>
      </c>
      <c r="M467" t="b">
        <f t="shared" si="62"/>
        <v>0</v>
      </c>
      <c r="N467" t="b">
        <f t="shared" si="56"/>
        <v>0</v>
      </c>
      <c r="O467" t="str">
        <f t="shared" si="63"/>
        <v>Standard order</v>
      </c>
      <c r="P467" s="7">
        <f t="shared" si="57"/>
        <v>7.3030000000000008</v>
      </c>
      <c r="Q467" s="7" t="str">
        <f>VLOOKUP(D468,Product_Lookup!$A$2:$C$27,2,FALSE)</f>
        <v>Vacuum</v>
      </c>
      <c r="R467" s="7">
        <f t="shared" si="58"/>
        <v>292.12</v>
      </c>
    </row>
    <row r="468" spans="1:18" ht="21.75" customHeight="1">
      <c r="A468" t="s">
        <v>615</v>
      </c>
      <c r="B468" s="6">
        <v>45427</v>
      </c>
      <c r="C468" t="s">
        <v>350</v>
      </c>
      <c r="D468" t="s">
        <v>87</v>
      </c>
      <c r="E468" t="s">
        <v>11</v>
      </c>
      <c r="F468" t="s">
        <v>306</v>
      </c>
      <c r="G468" t="s">
        <v>23</v>
      </c>
      <c r="H468">
        <v>20</v>
      </c>
      <c r="I468" t="str">
        <f>VLOOKUP(D468,Product_Lookup!$A$2:$C$27,3,FALSE)</f>
        <v>$26.59</v>
      </c>
      <c r="J468" t="str">
        <f t="shared" si="59"/>
        <v>Wednesday</v>
      </c>
      <c r="K468" s="10" t="str">
        <f t="shared" si="60"/>
        <v>May</v>
      </c>
      <c r="L468">
        <f t="shared" si="61"/>
        <v>2024</v>
      </c>
      <c r="M468" t="b">
        <f t="shared" si="62"/>
        <v>0</v>
      </c>
      <c r="N468" t="b">
        <f t="shared" si="56"/>
        <v>0</v>
      </c>
      <c r="O468" t="str">
        <f t="shared" si="63"/>
        <v>Large Order</v>
      </c>
      <c r="P468" s="7">
        <f t="shared" si="57"/>
        <v>1.3295000000000001</v>
      </c>
      <c r="Q468" s="7" t="str">
        <f>VLOOKUP(D469,Product_Lookup!$A$2:$C$27,2,FALSE)</f>
        <v>Stapler</v>
      </c>
      <c r="R468" s="7">
        <f t="shared" si="58"/>
        <v>531.79999999999995</v>
      </c>
    </row>
    <row r="469" spans="1:18" ht="21.75" customHeight="1">
      <c r="A469" t="s">
        <v>616</v>
      </c>
      <c r="B469" s="6">
        <v>45613</v>
      </c>
      <c r="C469" t="s">
        <v>591</v>
      </c>
      <c r="D469" t="s">
        <v>35</v>
      </c>
      <c r="E469" t="s">
        <v>17</v>
      </c>
      <c r="F469" t="s">
        <v>42</v>
      </c>
      <c r="G469" t="s">
        <v>23</v>
      </c>
      <c r="H469">
        <v>8</v>
      </c>
      <c r="I469" t="str">
        <f>VLOOKUP(D469,Product_Lookup!$A$2:$C$27,3,FALSE)</f>
        <v>$64.61</v>
      </c>
      <c r="J469" t="str">
        <f t="shared" si="59"/>
        <v>Sunday</v>
      </c>
      <c r="K469" s="10" t="str">
        <f t="shared" si="60"/>
        <v>November</v>
      </c>
      <c r="L469">
        <f t="shared" si="61"/>
        <v>2024</v>
      </c>
      <c r="M469" t="b">
        <f t="shared" si="62"/>
        <v>1</v>
      </c>
      <c r="N469" t="b">
        <f t="shared" si="56"/>
        <v>0</v>
      </c>
      <c r="O469" t="str">
        <f t="shared" si="63"/>
        <v>Large Order</v>
      </c>
      <c r="P469" s="7">
        <f t="shared" si="57"/>
        <v>3.2305000000000001</v>
      </c>
      <c r="Q469" s="7" t="str">
        <f>VLOOKUP(D470,Product_Lookup!$A$2:$C$27,2,FALSE)</f>
        <v>T-Shirt</v>
      </c>
      <c r="R469" s="7">
        <f t="shared" si="58"/>
        <v>516.88</v>
      </c>
    </row>
    <row r="470" spans="1:18" ht="21.75" customHeight="1">
      <c r="A470" t="s">
        <v>617</v>
      </c>
      <c r="B470" s="6">
        <v>45444</v>
      </c>
      <c r="C470" t="s">
        <v>366</v>
      </c>
      <c r="D470" t="s">
        <v>45</v>
      </c>
      <c r="E470" t="s">
        <v>11</v>
      </c>
      <c r="F470" t="s">
        <v>12</v>
      </c>
      <c r="G470" t="s">
        <v>23</v>
      </c>
      <c r="H470">
        <v>15</v>
      </c>
      <c r="I470" t="str">
        <f>VLOOKUP(D470,Product_Lookup!$A$2:$C$27,3,FALSE)</f>
        <v>$107.34</v>
      </c>
      <c r="J470" t="str">
        <f t="shared" si="59"/>
        <v>Saturday</v>
      </c>
      <c r="K470" s="10" t="str">
        <f t="shared" si="60"/>
        <v>June</v>
      </c>
      <c r="L470">
        <f t="shared" si="61"/>
        <v>2024</v>
      </c>
      <c r="M470" t="b">
        <f t="shared" si="62"/>
        <v>1</v>
      </c>
      <c r="N470" t="b">
        <f t="shared" si="56"/>
        <v>1</v>
      </c>
      <c r="O470" t="str">
        <f t="shared" si="63"/>
        <v>Large Order</v>
      </c>
      <c r="P470" s="7">
        <f t="shared" si="57"/>
        <v>5.3670000000000009</v>
      </c>
      <c r="Q470" s="7" t="str">
        <f>VLOOKUP(D471,Product_Lookup!$A$2:$C$27,2,FALSE)</f>
        <v>Blender</v>
      </c>
      <c r="R470" s="7">
        <f t="shared" si="58"/>
        <v>1610.1000000000001</v>
      </c>
    </row>
    <row r="471" spans="1:18" ht="21.75" customHeight="1">
      <c r="A471" t="s">
        <v>618</v>
      </c>
      <c r="B471" s="6">
        <v>45396</v>
      </c>
      <c r="C471" t="s">
        <v>47</v>
      </c>
      <c r="D471" t="s">
        <v>72</v>
      </c>
      <c r="E471" t="s">
        <v>22</v>
      </c>
      <c r="F471" t="s">
        <v>56</v>
      </c>
      <c r="G471" t="s">
        <v>32</v>
      </c>
      <c r="H471">
        <v>11</v>
      </c>
      <c r="I471" t="str">
        <f>VLOOKUP(D471,Product_Lookup!$A$2:$C$27,3,FALSE)</f>
        <v>$156.44</v>
      </c>
      <c r="J471" t="str">
        <f t="shared" si="59"/>
        <v>Sunday</v>
      </c>
      <c r="K471" s="10" t="str">
        <f t="shared" si="60"/>
        <v>April</v>
      </c>
      <c r="L471">
        <f t="shared" si="61"/>
        <v>2024</v>
      </c>
      <c r="M471" t="b">
        <f t="shared" si="62"/>
        <v>1</v>
      </c>
      <c r="N471" t="b">
        <f t="shared" si="56"/>
        <v>1</v>
      </c>
      <c r="O471" t="str">
        <f t="shared" si="63"/>
        <v>Large Order</v>
      </c>
      <c r="P471" s="7">
        <f t="shared" si="57"/>
        <v>7.8220000000000001</v>
      </c>
      <c r="Q471" s="7" t="str">
        <f>VLOOKUP(D472,Product_Lookup!$A$2:$C$27,2,FALSE)</f>
        <v>Pen Set</v>
      </c>
      <c r="R471" s="7">
        <f t="shared" si="58"/>
        <v>1720.84</v>
      </c>
    </row>
    <row r="472" spans="1:18" ht="21.75" customHeight="1">
      <c r="A472" t="s">
        <v>619</v>
      </c>
      <c r="B472" s="6">
        <v>45496</v>
      </c>
      <c r="C472" t="s">
        <v>34</v>
      </c>
      <c r="D472" t="s">
        <v>174</v>
      </c>
      <c r="E472" t="s">
        <v>17</v>
      </c>
      <c r="F472" t="s">
        <v>306</v>
      </c>
      <c r="G472" t="s">
        <v>23</v>
      </c>
      <c r="H472">
        <v>4</v>
      </c>
      <c r="I472" t="str">
        <f>VLOOKUP(D472,Product_Lookup!$A$2:$C$27,3,FALSE)</f>
        <v>$133.37</v>
      </c>
      <c r="J472" t="str">
        <f t="shared" si="59"/>
        <v>Tuesday</v>
      </c>
      <c r="K472" s="10" t="str">
        <f t="shared" si="60"/>
        <v>July</v>
      </c>
      <c r="L472">
        <f t="shared" si="61"/>
        <v>2024</v>
      </c>
      <c r="M472" t="b">
        <f t="shared" si="62"/>
        <v>0</v>
      </c>
      <c r="N472" t="b">
        <f t="shared" si="56"/>
        <v>0</v>
      </c>
      <c r="O472" t="str">
        <f t="shared" si="63"/>
        <v>Large Order</v>
      </c>
      <c r="P472" s="7">
        <f t="shared" si="57"/>
        <v>6.6685000000000008</v>
      </c>
      <c r="Q472" s="7" t="str">
        <f>VLOOKUP(D473,Product_Lookup!$A$2:$C$27,2,FALSE)</f>
        <v>Headphones</v>
      </c>
      <c r="R472" s="7">
        <f t="shared" si="58"/>
        <v>533.48</v>
      </c>
    </row>
    <row r="473" spans="1:18" ht="21.75" customHeight="1">
      <c r="A473" t="s">
        <v>620</v>
      </c>
      <c r="B473" s="6">
        <v>45354</v>
      </c>
      <c r="C473" t="s">
        <v>101</v>
      </c>
      <c r="D473" t="s">
        <v>16</v>
      </c>
      <c r="E473" t="s">
        <v>17</v>
      </c>
      <c r="F473" t="s">
        <v>56</v>
      </c>
      <c r="G473" t="s">
        <v>23</v>
      </c>
      <c r="H473">
        <v>4</v>
      </c>
      <c r="I473" t="str">
        <f>VLOOKUP(D473,Product_Lookup!$A$2:$C$27,3,FALSE)</f>
        <v>$178.83</v>
      </c>
      <c r="J473" t="str">
        <f t="shared" si="59"/>
        <v>Sunday</v>
      </c>
      <c r="K473" s="10" t="str">
        <f t="shared" si="60"/>
        <v>March</v>
      </c>
      <c r="L473">
        <f t="shared" si="61"/>
        <v>2024</v>
      </c>
      <c r="M473" t="b">
        <f t="shared" si="62"/>
        <v>1</v>
      </c>
      <c r="N473" t="b">
        <f t="shared" si="56"/>
        <v>0</v>
      </c>
      <c r="O473" t="str">
        <f t="shared" si="63"/>
        <v>Large Order</v>
      </c>
      <c r="P473" s="7">
        <f t="shared" si="57"/>
        <v>8.9415000000000013</v>
      </c>
      <c r="Q473" s="7" t="str">
        <f>VLOOKUP(D474,Product_Lookup!$A$2:$C$27,2,FALSE)</f>
        <v>Blender</v>
      </c>
      <c r="R473" s="7">
        <f t="shared" si="58"/>
        <v>715.32</v>
      </c>
    </row>
    <row r="474" spans="1:18" ht="21.75" customHeight="1">
      <c r="A474" t="s">
        <v>621</v>
      </c>
      <c r="B474" s="6">
        <v>45607</v>
      </c>
      <c r="C474" t="s">
        <v>572</v>
      </c>
      <c r="D474" t="s">
        <v>72</v>
      </c>
      <c r="E474" t="s">
        <v>11</v>
      </c>
      <c r="F474" t="s">
        <v>56</v>
      </c>
      <c r="G474" t="s">
        <v>28</v>
      </c>
      <c r="H474">
        <v>19</v>
      </c>
      <c r="I474" t="str">
        <f>VLOOKUP(D474,Product_Lookup!$A$2:$C$27,3,FALSE)</f>
        <v>$156.44</v>
      </c>
      <c r="J474" t="str">
        <f t="shared" si="59"/>
        <v>Monday</v>
      </c>
      <c r="K474" s="10" t="str">
        <f t="shared" si="60"/>
        <v>November</v>
      </c>
      <c r="L474">
        <f t="shared" si="61"/>
        <v>2024</v>
      </c>
      <c r="M474" t="b">
        <f t="shared" si="62"/>
        <v>0</v>
      </c>
      <c r="N474" t="b">
        <f t="shared" si="56"/>
        <v>1</v>
      </c>
      <c r="O474" t="str">
        <f t="shared" si="63"/>
        <v>Large Order</v>
      </c>
      <c r="P474" s="7">
        <f t="shared" si="57"/>
        <v>7.8220000000000001</v>
      </c>
      <c r="Q474" s="7" t="str">
        <f>VLOOKUP(D475,Product_Lookup!$A$2:$C$27,2,FALSE)</f>
        <v>Stapler</v>
      </c>
      <c r="R474" s="7">
        <f t="shared" si="58"/>
        <v>2972.36</v>
      </c>
    </row>
    <row r="475" spans="1:18" ht="21.75" customHeight="1">
      <c r="A475" t="s">
        <v>622</v>
      </c>
      <c r="B475" s="6">
        <v>45373</v>
      </c>
      <c r="C475" t="s">
        <v>432</v>
      </c>
      <c r="D475" t="s">
        <v>35</v>
      </c>
      <c r="E475" t="s">
        <v>22</v>
      </c>
      <c r="F475" t="s">
        <v>27</v>
      </c>
      <c r="G475" t="s">
        <v>13</v>
      </c>
      <c r="H475">
        <v>10</v>
      </c>
      <c r="I475" t="str">
        <f>VLOOKUP(D475,Product_Lookup!$A$2:$C$27,3,FALSE)</f>
        <v>$64.61</v>
      </c>
      <c r="J475" t="str">
        <f t="shared" si="59"/>
        <v>Friday</v>
      </c>
      <c r="K475" s="10" t="str">
        <f t="shared" si="60"/>
        <v>March</v>
      </c>
      <c r="L475">
        <f t="shared" si="61"/>
        <v>2024</v>
      </c>
      <c r="M475" t="b">
        <f t="shared" si="62"/>
        <v>0</v>
      </c>
      <c r="N475" t="b">
        <f t="shared" si="56"/>
        <v>0</v>
      </c>
      <c r="O475" t="str">
        <f t="shared" si="63"/>
        <v>Large Order</v>
      </c>
      <c r="P475" s="7">
        <f t="shared" si="57"/>
        <v>3.2305000000000001</v>
      </c>
      <c r="Q475" s="7" t="str">
        <f>VLOOKUP(D476,Product_Lookup!$A$2:$C$27,2,FALSE)</f>
        <v>Jeans</v>
      </c>
      <c r="R475" s="7">
        <f t="shared" si="58"/>
        <v>646.1</v>
      </c>
    </row>
    <row r="476" spans="1:18" ht="21.75" customHeight="1">
      <c r="A476" t="s">
        <v>623</v>
      </c>
      <c r="B476" s="6">
        <v>45493</v>
      </c>
      <c r="C476" t="s">
        <v>358</v>
      </c>
      <c r="D476" t="s">
        <v>65</v>
      </c>
      <c r="E476" t="s">
        <v>17</v>
      </c>
      <c r="F476" t="s">
        <v>56</v>
      </c>
      <c r="G476" t="s">
        <v>13</v>
      </c>
      <c r="H476">
        <v>19</v>
      </c>
      <c r="I476" t="str">
        <f>VLOOKUP(D476,Product_Lookup!$A$2:$C$27,3,FALSE)</f>
        <v>$33.22</v>
      </c>
      <c r="J476" t="str">
        <f t="shared" si="59"/>
        <v>Saturday</v>
      </c>
      <c r="K476" s="10" t="str">
        <f t="shared" si="60"/>
        <v>July</v>
      </c>
      <c r="L476">
        <f t="shared" si="61"/>
        <v>2024</v>
      </c>
      <c r="M476" t="b">
        <f t="shared" si="62"/>
        <v>1</v>
      </c>
      <c r="N476" t="b">
        <f t="shared" si="56"/>
        <v>0</v>
      </c>
      <c r="O476" t="str">
        <f t="shared" si="63"/>
        <v>Large Order</v>
      </c>
      <c r="P476" s="7">
        <f t="shared" si="57"/>
        <v>1.661</v>
      </c>
      <c r="Q476" s="7" t="str">
        <f>VLOOKUP(D477,Product_Lookup!$A$2:$C$27,2,FALSE)</f>
        <v>Socks</v>
      </c>
      <c r="R476" s="7">
        <f t="shared" si="58"/>
        <v>631.17999999999995</v>
      </c>
    </row>
    <row r="477" spans="1:18" ht="21.75" customHeight="1">
      <c r="A477" t="s">
        <v>624</v>
      </c>
      <c r="B477" s="6">
        <v>45436</v>
      </c>
      <c r="C477" t="s">
        <v>432</v>
      </c>
      <c r="D477" t="s">
        <v>74</v>
      </c>
      <c r="E477" t="s">
        <v>22</v>
      </c>
      <c r="F477" t="s">
        <v>27</v>
      </c>
      <c r="G477" t="s">
        <v>13</v>
      </c>
      <c r="H477">
        <v>18</v>
      </c>
      <c r="I477" t="str">
        <f>VLOOKUP(D477,Product_Lookup!$A$2:$C$27,3,FALSE)</f>
        <v>$201.32</v>
      </c>
      <c r="J477" t="str">
        <f t="shared" si="59"/>
        <v>Friday</v>
      </c>
      <c r="K477" s="10" t="str">
        <f t="shared" si="60"/>
        <v>May</v>
      </c>
      <c r="L477">
        <f t="shared" si="61"/>
        <v>2024</v>
      </c>
      <c r="M477" t="b">
        <f t="shared" si="62"/>
        <v>0</v>
      </c>
      <c r="N477" t="b">
        <f t="shared" si="56"/>
        <v>1</v>
      </c>
      <c r="O477" t="str">
        <f t="shared" si="63"/>
        <v>Large Order</v>
      </c>
      <c r="P477" s="7">
        <f t="shared" si="57"/>
        <v>10.066000000000001</v>
      </c>
      <c r="Q477" s="7" t="str">
        <f>VLOOKUP(D478,Product_Lookup!$A$2:$C$27,2,FALSE)</f>
        <v>Doll</v>
      </c>
      <c r="R477" s="7">
        <f t="shared" si="58"/>
        <v>3623.7599999999998</v>
      </c>
    </row>
    <row r="478" spans="1:18" ht="21.75" customHeight="1">
      <c r="A478" t="s">
        <v>625</v>
      </c>
      <c r="B478" s="6">
        <v>45512</v>
      </c>
      <c r="C478" t="s">
        <v>99</v>
      </c>
      <c r="D478" t="s">
        <v>119</v>
      </c>
      <c r="E478" t="s">
        <v>17</v>
      </c>
      <c r="F478" t="s">
        <v>42</v>
      </c>
      <c r="G478" t="s">
        <v>23</v>
      </c>
      <c r="H478">
        <v>13</v>
      </c>
      <c r="I478" t="str">
        <f>VLOOKUP(D478,Product_Lookup!$A$2:$C$27,3,FALSE)</f>
        <v>$32.94</v>
      </c>
      <c r="J478" t="str">
        <f t="shared" si="59"/>
        <v>Thursday</v>
      </c>
      <c r="K478" s="10" t="str">
        <f t="shared" si="60"/>
        <v>August</v>
      </c>
      <c r="L478">
        <f t="shared" si="61"/>
        <v>2024</v>
      </c>
      <c r="M478" t="b">
        <f t="shared" si="62"/>
        <v>0</v>
      </c>
      <c r="N478" t="b">
        <f t="shared" si="56"/>
        <v>0</v>
      </c>
      <c r="O478" t="str">
        <f t="shared" si="63"/>
        <v>Standard order</v>
      </c>
      <c r="P478" s="7">
        <f t="shared" si="57"/>
        <v>1.647</v>
      </c>
      <c r="Q478" s="7" t="str">
        <f>VLOOKUP(D479,Product_Lookup!$A$2:$C$27,2,FALSE)</f>
        <v>Toaster</v>
      </c>
      <c r="R478" s="7">
        <f t="shared" si="58"/>
        <v>428.21999999999997</v>
      </c>
    </row>
    <row r="479" spans="1:18" ht="21.75" customHeight="1">
      <c r="A479" t="s">
        <v>626</v>
      </c>
      <c r="B479" s="6">
        <v>45318</v>
      </c>
      <c r="C479" t="s">
        <v>614</v>
      </c>
      <c r="D479" t="s">
        <v>48</v>
      </c>
      <c r="E479" t="s">
        <v>22</v>
      </c>
      <c r="F479" t="s">
        <v>56</v>
      </c>
      <c r="G479" t="s">
        <v>23</v>
      </c>
      <c r="H479">
        <v>18</v>
      </c>
      <c r="I479" t="str">
        <f>VLOOKUP(D479,Product_Lookup!$A$2:$C$27,3,FALSE)</f>
        <v>$208.85</v>
      </c>
      <c r="J479" t="str">
        <f t="shared" si="59"/>
        <v>Saturday</v>
      </c>
      <c r="K479" s="10" t="str">
        <f t="shared" si="60"/>
        <v>January</v>
      </c>
      <c r="L479">
        <f t="shared" si="61"/>
        <v>2024</v>
      </c>
      <c r="M479" t="b">
        <f t="shared" si="62"/>
        <v>1</v>
      </c>
      <c r="N479" t="b">
        <f t="shared" si="56"/>
        <v>1</v>
      </c>
      <c r="O479" t="str">
        <f t="shared" si="63"/>
        <v>Large Order</v>
      </c>
      <c r="P479" s="7">
        <f t="shared" si="57"/>
        <v>10.442500000000001</v>
      </c>
      <c r="Q479" s="7" t="str">
        <f>VLOOKUP(D480,Product_Lookup!$A$2:$C$27,2,FALSE)</f>
        <v>Paper Shredder</v>
      </c>
      <c r="R479" s="7">
        <f t="shared" si="58"/>
        <v>3759.2999999999997</v>
      </c>
    </row>
    <row r="480" spans="1:18" ht="21.75" customHeight="1">
      <c r="A480" t="s">
        <v>627</v>
      </c>
      <c r="B480" s="6">
        <v>45550</v>
      </c>
      <c r="C480" t="s">
        <v>430</v>
      </c>
      <c r="D480" t="s">
        <v>109</v>
      </c>
      <c r="E480" t="s">
        <v>22</v>
      </c>
      <c r="F480" t="s">
        <v>42</v>
      </c>
      <c r="G480" t="s">
        <v>13</v>
      </c>
      <c r="H480">
        <v>20</v>
      </c>
      <c r="I480" t="str">
        <f>VLOOKUP(D480,Product_Lookup!$A$2:$C$27,3,FALSE)</f>
        <v>$81.02</v>
      </c>
      <c r="J480" t="str">
        <f t="shared" si="59"/>
        <v>Sunday</v>
      </c>
      <c r="K480" s="10" t="str">
        <f t="shared" si="60"/>
        <v>September</v>
      </c>
      <c r="L480">
        <f t="shared" si="61"/>
        <v>2024</v>
      </c>
      <c r="M480" t="b">
        <f t="shared" si="62"/>
        <v>1</v>
      </c>
      <c r="N480" t="b">
        <f t="shared" si="56"/>
        <v>1</v>
      </c>
      <c r="O480" t="str">
        <f t="shared" si="63"/>
        <v>Large Order</v>
      </c>
      <c r="P480" s="7">
        <f t="shared" si="57"/>
        <v>4.0510000000000002</v>
      </c>
      <c r="Q480" s="7" t="str">
        <f>VLOOKUP(D481,Product_Lookup!$A$2:$C$27,2,FALSE)</f>
        <v>Toaster</v>
      </c>
      <c r="R480" s="7">
        <f t="shared" si="58"/>
        <v>1620.3999999999999</v>
      </c>
    </row>
    <row r="481" spans="1:18" ht="21.75" customHeight="1">
      <c r="A481" t="s">
        <v>628</v>
      </c>
      <c r="B481" s="6">
        <v>45493</v>
      </c>
      <c r="C481" t="s">
        <v>200</v>
      </c>
      <c r="D481" t="s">
        <v>48</v>
      </c>
      <c r="E481" t="s">
        <v>17</v>
      </c>
      <c r="F481" t="s">
        <v>306</v>
      </c>
      <c r="G481" t="s">
        <v>36</v>
      </c>
      <c r="H481">
        <v>5</v>
      </c>
      <c r="I481" t="str">
        <f>VLOOKUP(D481,Product_Lookup!$A$2:$C$27,3,FALSE)</f>
        <v>$208.85</v>
      </c>
      <c r="J481" t="str">
        <f t="shared" si="59"/>
        <v>Saturday</v>
      </c>
      <c r="K481" s="10" t="str">
        <f t="shared" si="60"/>
        <v>July</v>
      </c>
      <c r="L481">
        <f t="shared" si="61"/>
        <v>2024</v>
      </c>
      <c r="M481" t="b">
        <f t="shared" si="62"/>
        <v>1</v>
      </c>
      <c r="N481" t="b">
        <f t="shared" si="56"/>
        <v>0</v>
      </c>
      <c r="O481" t="str">
        <f t="shared" si="63"/>
        <v>Large Order</v>
      </c>
      <c r="P481" s="7">
        <f t="shared" si="57"/>
        <v>10.442500000000001</v>
      </c>
      <c r="Q481" s="7" t="str">
        <f>VLOOKUP(D482,Product_Lookup!$A$2:$C$27,2,FALSE)</f>
        <v>Smartphone</v>
      </c>
      <c r="R481" s="7">
        <f t="shared" si="58"/>
        <v>1044.25</v>
      </c>
    </row>
    <row r="482" spans="1:18" ht="21.75" customHeight="1">
      <c r="A482" t="s">
        <v>629</v>
      </c>
      <c r="B482" s="6">
        <v>45497</v>
      </c>
      <c r="C482" t="s">
        <v>358</v>
      </c>
      <c r="D482" t="s">
        <v>79</v>
      </c>
      <c r="E482" t="s">
        <v>11</v>
      </c>
      <c r="F482" t="s">
        <v>12</v>
      </c>
      <c r="G482" t="s">
        <v>23</v>
      </c>
      <c r="H482">
        <v>5</v>
      </c>
      <c r="I482" t="str">
        <f>VLOOKUP(D482,Product_Lookup!$A$2:$C$27,3,FALSE)</f>
        <v>$216.22</v>
      </c>
      <c r="J482" t="str">
        <f t="shared" si="59"/>
        <v>Wednesday</v>
      </c>
      <c r="K482" s="10" t="str">
        <f t="shared" si="60"/>
        <v>July</v>
      </c>
      <c r="L482">
        <f t="shared" si="61"/>
        <v>2024</v>
      </c>
      <c r="M482" t="b">
        <f t="shared" si="62"/>
        <v>0</v>
      </c>
      <c r="N482" t="b">
        <f t="shared" si="56"/>
        <v>0</v>
      </c>
      <c r="O482" t="str">
        <f t="shared" si="63"/>
        <v>Large Order</v>
      </c>
      <c r="P482" s="7">
        <f t="shared" si="57"/>
        <v>10.811</v>
      </c>
      <c r="Q482" s="7" t="str">
        <f>VLOOKUP(D483,Product_Lookup!$A$2:$C$27,2,FALSE)</f>
        <v>Notebook</v>
      </c>
      <c r="R482" s="7">
        <f t="shared" si="58"/>
        <v>1081.0999999999999</v>
      </c>
    </row>
    <row r="483" spans="1:18" ht="21.75" customHeight="1">
      <c r="A483" t="s">
        <v>630</v>
      </c>
      <c r="B483" s="6">
        <v>45557</v>
      </c>
      <c r="C483" t="s">
        <v>366</v>
      </c>
      <c r="D483" t="s">
        <v>160</v>
      </c>
      <c r="E483" t="s">
        <v>11</v>
      </c>
      <c r="F483" t="s">
        <v>306</v>
      </c>
      <c r="G483" t="s">
        <v>36</v>
      </c>
      <c r="H483">
        <v>5</v>
      </c>
      <c r="I483" t="str">
        <f>VLOOKUP(D483,Product_Lookup!$A$2:$C$27,3,FALSE)</f>
        <v>$149.27</v>
      </c>
      <c r="J483" t="str">
        <f t="shared" si="59"/>
        <v>Sunday</v>
      </c>
      <c r="K483" s="10" t="str">
        <f t="shared" si="60"/>
        <v>September</v>
      </c>
      <c r="L483">
        <f t="shared" si="61"/>
        <v>2024</v>
      </c>
      <c r="M483" t="b">
        <f t="shared" si="62"/>
        <v>1</v>
      </c>
      <c r="N483" t="b">
        <f t="shared" si="56"/>
        <v>0</v>
      </c>
      <c r="O483" t="str">
        <f t="shared" si="63"/>
        <v>Large Order</v>
      </c>
      <c r="P483" s="7">
        <f t="shared" si="57"/>
        <v>7.4635000000000007</v>
      </c>
      <c r="Q483" s="7" t="str">
        <f>VLOOKUP(D484,Product_Lookup!$A$2:$C$27,2,FALSE)</f>
        <v>Lego Set</v>
      </c>
      <c r="R483" s="7">
        <f t="shared" si="58"/>
        <v>746.35</v>
      </c>
    </row>
    <row r="484" spans="1:18" ht="21.75" customHeight="1">
      <c r="A484" t="s">
        <v>631</v>
      </c>
      <c r="B484" s="6">
        <v>45455</v>
      </c>
      <c r="C484" t="s">
        <v>111</v>
      </c>
      <c r="D484" t="s">
        <v>84</v>
      </c>
      <c r="E484" t="s">
        <v>17</v>
      </c>
      <c r="F484" t="s">
        <v>306</v>
      </c>
      <c r="G484" t="s">
        <v>36</v>
      </c>
      <c r="H484">
        <v>10</v>
      </c>
      <c r="I484" t="str">
        <f>VLOOKUP(D484,Product_Lookup!$A$2:$C$27,3,FALSE)</f>
        <v>$130.07</v>
      </c>
      <c r="J484" t="str">
        <f t="shared" si="59"/>
        <v>Wednesday</v>
      </c>
      <c r="K484" s="10" t="str">
        <f t="shared" si="60"/>
        <v>June</v>
      </c>
      <c r="L484">
        <f t="shared" si="61"/>
        <v>2024</v>
      </c>
      <c r="M484" t="b">
        <f t="shared" si="62"/>
        <v>0</v>
      </c>
      <c r="N484" t="b">
        <f t="shared" si="56"/>
        <v>1</v>
      </c>
      <c r="O484" t="str">
        <f t="shared" si="63"/>
        <v>Large Order</v>
      </c>
      <c r="P484" s="7">
        <f t="shared" si="57"/>
        <v>6.5034999999999998</v>
      </c>
      <c r="Q484" s="7" t="str">
        <f>VLOOKUP(D485,Product_Lookup!$A$2:$C$27,2,FALSE)</f>
        <v>Socks</v>
      </c>
      <c r="R484" s="7">
        <f t="shared" si="58"/>
        <v>1300.6999999999998</v>
      </c>
    </row>
    <row r="485" spans="1:18" ht="21.75" customHeight="1">
      <c r="A485" t="s">
        <v>632</v>
      </c>
      <c r="B485" s="6">
        <v>45552</v>
      </c>
      <c r="C485" t="s">
        <v>312</v>
      </c>
      <c r="D485" t="s">
        <v>74</v>
      </c>
      <c r="E485" t="s">
        <v>17</v>
      </c>
      <c r="F485" t="s">
        <v>306</v>
      </c>
      <c r="G485" t="s">
        <v>32</v>
      </c>
      <c r="H485">
        <v>16</v>
      </c>
      <c r="I485" t="str">
        <f>VLOOKUP(D485,Product_Lookup!$A$2:$C$27,3,FALSE)</f>
        <v>$201.32</v>
      </c>
      <c r="J485" t="str">
        <f t="shared" si="59"/>
        <v>Tuesday</v>
      </c>
      <c r="K485" s="10" t="str">
        <f t="shared" si="60"/>
        <v>September</v>
      </c>
      <c r="L485">
        <f t="shared" si="61"/>
        <v>2024</v>
      </c>
      <c r="M485" t="b">
        <f t="shared" si="62"/>
        <v>0</v>
      </c>
      <c r="N485" t="b">
        <f t="shared" si="56"/>
        <v>1</v>
      </c>
      <c r="O485" t="str">
        <f t="shared" si="63"/>
        <v>Large Order</v>
      </c>
      <c r="P485" s="7">
        <f t="shared" si="57"/>
        <v>10.066000000000001</v>
      </c>
      <c r="Q485" s="7" t="str">
        <f>VLOOKUP(D486,Product_Lookup!$A$2:$C$27,2,FALSE)</f>
        <v>Desk Lamp</v>
      </c>
      <c r="R485" s="7">
        <f t="shared" si="58"/>
        <v>3221.12</v>
      </c>
    </row>
    <row r="486" spans="1:18" ht="21.75" customHeight="1">
      <c r="A486" t="s">
        <v>633</v>
      </c>
      <c r="B486" s="6">
        <v>45461</v>
      </c>
      <c r="C486" t="s">
        <v>422</v>
      </c>
      <c r="D486" t="s">
        <v>59</v>
      </c>
      <c r="E486" t="s">
        <v>11</v>
      </c>
      <c r="F486" t="s">
        <v>27</v>
      </c>
      <c r="G486" t="s">
        <v>13</v>
      </c>
      <c r="H486">
        <v>10</v>
      </c>
      <c r="I486" t="str">
        <f>VLOOKUP(D486,Product_Lookup!$A$2:$C$27,3,FALSE)</f>
        <v>$101.96</v>
      </c>
      <c r="J486" t="str">
        <f t="shared" si="59"/>
        <v>Tuesday</v>
      </c>
      <c r="K486" s="10" t="str">
        <f t="shared" si="60"/>
        <v>June</v>
      </c>
      <c r="L486">
        <f t="shared" si="61"/>
        <v>2024</v>
      </c>
      <c r="M486" t="b">
        <f t="shared" si="62"/>
        <v>0</v>
      </c>
      <c r="N486" t="b">
        <f t="shared" si="56"/>
        <v>1</v>
      </c>
      <c r="O486" t="str">
        <f t="shared" si="63"/>
        <v>Large Order</v>
      </c>
      <c r="P486" s="7">
        <f t="shared" si="57"/>
        <v>5.0979999999999999</v>
      </c>
      <c r="Q486" s="7" t="str">
        <f>VLOOKUP(D487,Product_Lookup!$A$2:$C$27,2,FALSE)</f>
        <v>Desk Lamp</v>
      </c>
      <c r="R486" s="7">
        <f t="shared" si="58"/>
        <v>1019.5999999999999</v>
      </c>
    </row>
    <row r="487" spans="1:18" ht="21.75" customHeight="1">
      <c r="A487" t="s">
        <v>634</v>
      </c>
      <c r="B487" s="6">
        <v>45597</v>
      </c>
      <c r="C487" t="s">
        <v>553</v>
      </c>
      <c r="D487" t="s">
        <v>59</v>
      </c>
      <c r="E487" t="s">
        <v>17</v>
      </c>
      <c r="F487" t="s">
        <v>306</v>
      </c>
      <c r="G487" t="s">
        <v>36</v>
      </c>
      <c r="H487">
        <v>8</v>
      </c>
      <c r="I487" t="str">
        <f>VLOOKUP(D487,Product_Lookup!$A$2:$C$27,3,FALSE)</f>
        <v>$101.96</v>
      </c>
      <c r="J487" t="str">
        <f t="shared" si="59"/>
        <v>Friday</v>
      </c>
      <c r="K487" s="10" t="str">
        <f t="shared" si="60"/>
        <v>November</v>
      </c>
      <c r="L487">
        <f t="shared" si="61"/>
        <v>2024</v>
      </c>
      <c r="M487" t="b">
        <f t="shared" si="62"/>
        <v>0</v>
      </c>
      <c r="N487" t="b">
        <f t="shared" si="56"/>
        <v>1</v>
      </c>
      <c r="O487" t="str">
        <f t="shared" si="63"/>
        <v>Large Order</v>
      </c>
      <c r="P487" s="7">
        <f t="shared" si="57"/>
        <v>5.0979999999999999</v>
      </c>
      <c r="Q487" s="7" t="str">
        <f>VLOOKUP(D488,Product_Lookup!$A$2:$C$27,2,FALSE)</f>
        <v>Doll</v>
      </c>
      <c r="R487" s="7">
        <f t="shared" si="58"/>
        <v>815.68</v>
      </c>
    </row>
    <row r="488" spans="1:18" ht="21.75" customHeight="1">
      <c r="A488" t="s">
        <v>635</v>
      </c>
      <c r="B488" s="6">
        <v>45537</v>
      </c>
      <c r="C488" t="s">
        <v>30</v>
      </c>
      <c r="D488" t="s">
        <v>119</v>
      </c>
      <c r="E488" t="s">
        <v>22</v>
      </c>
      <c r="F488" t="s">
        <v>306</v>
      </c>
      <c r="G488" t="s">
        <v>28</v>
      </c>
      <c r="H488">
        <v>13</v>
      </c>
      <c r="I488" t="str">
        <f>VLOOKUP(D488,Product_Lookup!$A$2:$C$27,3,FALSE)</f>
        <v>$32.94</v>
      </c>
      <c r="J488" t="str">
        <f t="shared" si="59"/>
        <v>Monday</v>
      </c>
      <c r="K488" s="10" t="str">
        <f t="shared" si="60"/>
        <v>September</v>
      </c>
      <c r="L488">
        <f t="shared" si="61"/>
        <v>2024</v>
      </c>
      <c r="M488" t="b">
        <f t="shared" si="62"/>
        <v>0</v>
      </c>
      <c r="N488" t="b">
        <f t="shared" si="56"/>
        <v>0</v>
      </c>
      <c r="O488" t="str">
        <f t="shared" si="63"/>
        <v>Standard order</v>
      </c>
      <c r="P488" s="7">
        <f t="shared" si="57"/>
        <v>1.647</v>
      </c>
      <c r="Q488" s="7" t="str">
        <f>VLOOKUP(D489,Product_Lookup!$A$2:$C$27,2,FALSE)</f>
        <v>Jeans</v>
      </c>
      <c r="R488" s="7">
        <f t="shared" si="58"/>
        <v>428.21999999999997</v>
      </c>
    </row>
    <row r="489" spans="1:18" ht="21.75" customHeight="1">
      <c r="A489" t="s">
        <v>636</v>
      </c>
      <c r="B489" s="6">
        <v>45308</v>
      </c>
      <c r="C489" t="s">
        <v>314</v>
      </c>
      <c r="D489" t="s">
        <v>65</v>
      </c>
      <c r="E489" t="s">
        <v>22</v>
      </c>
      <c r="F489" t="s">
        <v>12</v>
      </c>
      <c r="G489" t="s">
        <v>23</v>
      </c>
      <c r="H489">
        <v>1</v>
      </c>
      <c r="I489" t="str">
        <f>VLOOKUP(D489,Product_Lookup!$A$2:$C$27,3,FALSE)</f>
        <v>$33.22</v>
      </c>
      <c r="J489" t="str">
        <f t="shared" si="59"/>
        <v>Wednesday</v>
      </c>
      <c r="K489" s="10" t="str">
        <f t="shared" si="60"/>
        <v>January</v>
      </c>
      <c r="L489">
        <f t="shared" si="61"/>
        <v>2024</v>
      </c>
      <c r="M489" t="b">
        <f t="shared" si="62"/>
        <v>0</v>
      </c>
      <c r="N489" t="b">
        <f t="shared" si="56"/>
        <v>0</v>
      </c>
      <c r="O489" t="str">
        <f t="shared" si="63"/>
        <v>Standard order</v>
      </c>
      <c r="P489" s="7">
        <f t="shared" si="57"/>
        <v>1.661</v>
      </c>
      <c r="Q489" s="7" t="str">
        <f>VLOOKUP(D490,Product_Lookup!$A$2:$C$27,2,FALSE)</f>
        <v>Vacuum</v>
      </c>
      <c r="R489" s="7">
        <f t="shared" si="58"/>
        <v>33.22</v>
      </c>
    </row>
    <row r="490" spans="1:18" ht="21.75" customHeight="1">
      <c r="A490" t="s">
        <v>637</v>
      </c>
      <c r="B490" s="6">
        <v>45369</v>
      </c>
      <c r="C490" t="s">
        <v>408</v>
      </c>
      <c r="D490" t="s">
        <v>87</v>
      </c>
      <c r="E490" t="s">
        <v>22</v>
      </c>
      <c r="F490" t="s">
        <v>56</v>
      </c>
      <c r="G490" t="s">
        <v>23</v>
      </c>
      <c r="H490">
        <v>17</v>
      </c>
      <c r="I490" t="str">
        <f>VLOOKUP(D490,Product_Lookup!$A$2:$C$27,3,FALSE)</f>
        <v>$26.59</v>
      </c>
      <c r="J490" t="str">
        <f t="shared" si="59"/>
        <v>Monday</v>
      </c>
      <c r="K490" s="10" t="str">
        <f t="shared" si="60"/>
        <v>March</v>
      </c>
      <c r="L490">
        <f t="shared" si="61"/>
        <v>2024</v>
      </c>
      <c r="M490" t="b">
        <f t="shared" si="62"/>
        <v>0</v>
      </c>
      <c r="N490" t="b">
        <f t="shared" si="56"/>
        <v>0</v>
      </c>
      <c r="O490" t="str">
        <f t="shared" si="63"/>
        <v>Standard order</v>
      </c>
      <c r="P490" s="7">
        <f t="shared" si="57"/>
        <v>1.3295000000000001</v>
      </c>
      <c r="Q490" s="7" t="str">
        <f>VLOOKUP(D491,Product_Lookup!$A$2:$C$27,2,FALSE)</f>
        <v>Jeans</v>
      </c>
      <c r="R490" s="7">
        <f t="shared" si="58"/>
        <v>452.03</v>
      </c>
    </row>
    <row r="491" spans="1:18" ht="21.75" customHeight="1">
      <c r="A491" t="s">
        <v>638</v>
      </c>
      <c r="B491" s="6">
        <v>45323</v>
      </c>
      <c r="C491" t="s">
        <v>369</v>
      </c>
      <c r="D491" t="s">
        <v>65</v>
      </c>
      <c r="E491" t="s">
        <v>11</v>
      </c>
      <c r="F491" t="s">
        <v>306</v>
      </c>
      <c r="G491" t="s">
        <v>23</v>
      </c>
      <c r="H491">
        <v>18</v>
      </c>
      <c r="I491" t="str">
        <f>VLOOKUP(D491,Product_Lookup!$A$2:$C$27,3,FALSE)</f>
        <v>$33.22</v>
      </c>
      <c r="J491" t="str">
        <f t="shared" si="59"/>
        <v>Thursday</v>
      </c>
      <c r="K491" s="10" t="str">
        <f t="shared" si="60"/>
        <v>February</v>
      </c>
      <c r="L491">
        <f t="shared" si="61"/>
        <v>2024</v>
      </c>
      <c r="M491" t="b">
        <f t="shared" si="62"/>
        <v>0</v>
      </c>
      <c r="N491" t="b">
        <f t="shared" si="56"/>
        <v>0</v>
      </c>
      <c r="O491" t="str">
        <f t="shared" si="63"/>
        <v>Large Order</v>
      </c>
      <c r="P491" s="7">
        <f t="shared" si="57"/>
        <v>1.661</v>
      </c>
      <c r="Q491" s="7" t="str">
        <f>VLOOKUP(D492,Product_Lookup!$A$2:$C$27,2,FALSE)</f>
        <v>Air Fryer</v>
      </c>
      <c r="R491" s="7">
        <f t="shared" si="58"/>
        <v>597.96</v>
      </c>
    </row>
    <row r="492" spans="1:18" ht="21.75" customHeight="1">
      <c r="A492" t="s">
        <v>639</v>
      </c>
      <c r="B492" s="6">
        <v>45561</v>
      </c>
      <c r="C492" t="s">
        <v>159</v>
      </c>
      <c r="D492" t="s">
        <v>70</v>
      </c>
      <c r="E492" t="s">
        <v>17</v>
      </c>
      <c r="F492" t="s">
        <v>56</v>
      </c>
      <c r="G492" t="s">
        <v>32</v>
      </c>
      <c r="H492">
        <v>18</v>
      </c>
      <c r="I492" t="str">
        <f>VLOOKUP(D492,Product_Lookup!$A$2:$C$27,3,FALSE)</f>
        <v>$211.9</v>
      </c>
      <c r="J492" t="str">
        <f t="shared" si="59"/>
        <v>Thursday</v>
      </c>
      <c r="K492" s="10" t="str">
        <f t="shared" si="60"/>
        <v>September</v>
      </c>
      <c r="L492">
        <f t="shared" si="61"/>
        <v>2024</v>
      </c>
      <c r="M492" t="b">
        <f t="shared" si="62"/>
        <v>0</v>
      </c>
      <c r="N492" t="b">
        <f t="shared" si="56"/>
        <v>1</v>
      </c>
      <c r="O492" t="str">
        <f t="shared" si="63"/>
        <v>Large Order</v>
      </c>
      <c r="P492" s="7">
        <f t="shared" si="57"/>
        <v>10.595000000000001</v>
      </c>
      <c r="Q492" s="7" t="str">
        <f>VLOOKUP(D493,Product_Lookup!$A$2:$C$27,2,FALSE)</f>
        <v>Paper Shredder</v>
      </c>
      <c r="R492" s="7">
        <f t="shared" si="58"/>
        <v>3814.2000000000003</v>
      </c>
    </row>
    <row r="493" spans="1:18" ht="21.75" customHeight="1">
      <c r="A493" t="s">
        <v>640</v>
      </c>
      <c r="B493" s="6">
        <v>45638</v>
      </c>
      <c r="C493" t="s">
        <v>337</v>
      </c>
      <c r="D493" t="s">
        <v>109</v>
      </c>
      <c r="E493" t="s">
        <v>22</v>
      </c>
      <c r="F493" t="s">
        <v>42</v>
      </c>
      <c r="G493" t="s">
        <v>28</v>
      </c>
      <c r="H493">
        <v>16</v>
      </c>
      <c r="I493" t="str">
        <f>VLOOKUP(D493,Product_Lookup!$A$2:$C$27,3,FALSE)</f>
        <v>$81.02</v>
      </c>
      <c r="J493" t="str">
        <f t="shared" si="59"/>
        <v>Thursday</v>
      </c>
      <c r="K493" s="10" t="str">
        <f t="shared" si="60"/>
        <v>December</v>
      </c>
      <c r="L493">
        <f t="shared" si="61"/>
        <v>2024</v>
      </c>
      <c r="M493" t="b">
        <f t="shared" si="62"/>
        <v>0</v>
      </c>
      <c r="N493" t="b">
        <f t="shared" si="56"/>
        <v>1</v>
      </c>
      <c r="O493" t="str">
        <f t="shared" si="63"/>
        <v>Large Order</v>
      </c>
      <c r="P493" s="7">
        <f t="shared" si="57"/>
        <v>4.0510000000000002</v>
      </c>
      <c r="Q493" s="7" t="str">
        <f>VLOOKUP(D494,Product_Lookup!$A$2:$C$27,2,FALSE)</f>
        <v>Socks</v>
      </c>
      <c r="R493" s="7">
        <f t="shared" si="58"/>
        <v>1296.32</v>
      </c>
    </row>
    <row r="494" spans="1:18" ht="21.75" customHeight="1">
      <c r="A494" t="s">
        <v>641</v>
      </c>
      <c r="B494" s="6">
        <v>45434</v>
      </c>
      <c r="C494" t="s">
        <v>642</v>
      </c>
      <c r="D494" t="s">
        <v>74</v>
      </c>
      <c r="E494" t="s">
        <v>17</v>
      </c>
      <c r="F494" t="s">
        <v>56</v>
      </c>
      <c r="G494" t="s">
        <v>23</v>
      </c>
      <c r="H494">
        <v>10</v>
      </c>
      <c r="I494" t="str">
        <f>VLOOKUP(D494,Product_Lookup!$A$2:$C$27,3,FALSE)</f>
        <v>$201.32</v>
      </c>
      <c r="J494" t="str">
        <f t="shared" si="59"/>
        <v>Wednesday</v>
      </c>
      <c r="K494" s="10" t="str">
        <f t="shared" si="60"/>
        <v>May</v>
      </c>
      <c r="L494">
        <f t="shared" si="61"/>
        <v>2024</v>
      </c>
      <c r="M494" t="b">
        <f t="shared" si="62"/>
        <v>0</v>
      </c>
      <c r="N494" t="b">
        <f t="shared" si="56"/>
        <v>1</v>
      </c>
      <c r="O494" t="str">
        <f t="shared" si="63"/>
        <v>Large Order</v>
      </c>
      <c r="P494" s="7">
        <f t="shared" si="57"/>
        <v>10.066000000000001</v>
      </c>
      <c r="Q494" s="7" t="str">
        <f>VLOOKUP(D495,Product_Lookup!$A$2:$C$27,2,FALSE)</f>
        <v>Lego Set</v>
      </c>
      <c r="R494" s="7">
        <f t="shared" si="58"/>
        <v>2013.1999999999998</v>
      </c>
    </row>
    <row r="495" spans="1:18" ht="21.75" customHeight="1">
      <c r="A495" t="s">
        <v>643</v>
      </c>
      <c r="B495" s="6">
        <v>45454</v>
      </c>
      <c r="C495" t="s">
        <v>517</v>
      </c>
      <c r="D495" t="s">
        <v>84</v>
      </c>
      <c r="E495" t="s">
        <v>17</v>
      </c>
      <c r="F495" t="s">
        <v>306</v>
      </c>
      <c r="G495" t="s">
        <v>36</v>
      </c>
      <c r="H495">
        <v>9</v>
      </c>
      <c r="I495" t="str">
        <f>VLOOKUP(D495,Product_Lookup!$A$2:$C$27,3,FALSE)</f>
        <v>$130.07</v>
      </c>
      <c r="J495" t="str">
        <f t="shared" si="59"/>
        <v>Tuesday</v>
      </c>
      <c r="K495" s="10" t="str">
        <f t="shared" si="60"/>
        <v>June</v>
      </c>
      <c r="L495">
        <f t="shared" si="61"/>
        <v>2024</v>
      </c>
      <c r="M495" t="b">
        <f t="shared" si="62"/>
        <v>0</v>
      </c>
      <c r="N495" t="b">
        <f t="shared" si="56"/>
        <v>1</v>
      </c>
      <c r="O495" t="str">
        <f t="shared" si="63"/>
        <v>Large Order</v>
      </c>
      <c r="P495" s="7">
        <f t="shared" si="57"/>
        <v>6.5034999999999998</v>
      </c>
      <c r="Q495" s="7" t="str">
        <f>VLOOKUP(D496,Product_Lookup!$A$2:$C$27,2,FALSE)</f>
        <v>Toaster</v>
      </c>
      <c r="R495" s="7">
        <f t="shared" si="58"/>
        <v>1170.6299999999999</v>
      </c>
    </row>
    <row r="496" spans="1:18" ht="21.75" customHeight="1">
      <c r="A496" t="s">
        <v>644</v>
      </c>
      <c r="B496" s="6">
        <v>45638</v>
      </c>
      <c r="C496" t="s">
        <v>591</v>
      </c>
      <c r="D496" t="s">
        <v>48</v>
      </c>
      <c r="E496" t="s">
        <v>17</v>
      </c>
      <c r="F496" t="s">
        <v>27</v>
      </c>
      <c r="G496" t="s">
        <v>32</v>
      </c>
      <c r="H496">
        <v>5</v>
      </c>
      <c r="I496" t="str">
        <f>VLOOKUP(D496,Product_Lookup!$A$2:$C$27,3,FALSE)</f>
        <v>$208.85</v>
      </c>
      <c r="J496" t="str">
        <f t="shared" si="59"/>
        <v>Thursday</v>
      </c>
      <c r="K496" s="10" t="str">
        <f t="shared" si="60"/>
        <v>December</v>
      </c>
      <c r="L496">
        <f t="shared" si="61"/>
        <v>2024</v>
      </c>
      <c r="M496" t="b">
        <f t="shared" si="62"/>
        <v>0</v>
      </c>
      <c r="N496" t="b">
        <f t="shared" si="56"/>
        <v>0</v>
      </c>
      <c r="O496" t="str">
        <f t="shared" si="63"/>
        <v>Large Order</v>
      </c>
      <c r="P496" s="7">
        <f t="shared" si="57"/>
        <v>10.442500000000001</v>
      </c>
      <c r="Q496" s="7" t="str">
        <f>VLOOKUP(D497,Product_Lookup!$A$2:$C$27,2,FALSE)</f>
        <v>Lego Set</v>
      </c>
      <c r="R496" s="7">
        <f t="shared" si="58"/>
        <v>1044.25</v>
      </c>
    </row>
    <row r="497" spans="1:18" ht="21.75" customHeight="1">
      <c r="A497" t="s">
        <v>645</v>
      </c>
      <c r="B497" s="6">
        <v>45332</v>
      </c>
      <c r="C497" t="s">
        <v>20</v>
      </c>
      <c r="D497" t="s">
        <v>84</v>
      </c>
      <c r="E497" t="s">
        <v>17</v>
      </c>
      <c r="F497" t="s">
        <v>42</v>
      </c>
      <c r="G497" t="s">
        <v>36</v>
      </c>
      <c r="H497">
        <v>16</v>
      </c>
      <c r="I497" t="str">
        <f>VLOOKUP(D497,Product_Lookup!$A$2:$C$27,3,FALSE)</f>
        <v>$130.07</v>
      </c>
      <c r="J497" t="str">
        <f t="shared" si="59"/>
        <v>Saturday</v>
      </c>
      <c r="K497" s="10" t="str">
        <f t="shared" si="60"/>
        <v>February</v>
      </c>
      <c r="L497">
        <f t="shared" si="61"/>
        <v>2024</v>
      </c>
      <c r="M497" t="b">
        <f t="shared" si="62"/>
        <v>1</v>
      </c>
      <c r="N497" t="b">
        <f t="shared" si="56"/>
        <v>1</v>
      </c>
      <c r="O497" t="str">
        <f t="shared" si="63"/>
        <v>Large Order</v>
      </c>
      <c r="P497" s="7">
        <f t="shared" si="57"/>
        <v>6.5034999999999998</v>
      </c>
      <c r="Q497" s="7" t="str">
        <f>VLOOKUP(D498,Product_Lookup!$A$2:$C$27,2,FALSE)</f>
        <v>Headphones</v>
      </c>
      <c r="R497" s="7">
        <f t="shared" si="58"/>
        <v>2081.12</v>
      </c>
    </row>
    <row r="498" spans="1:18" ht="21.75" customHeight="1">
      <c r="A498" t="s">
        <v>646</v>
      </c>
      <c r="B498" s="6">
        <v>45430</v>
      </c>
      <c r="C498" t="s">
        <v>642</v>
      </c>
      <c r="D498" t="s">
        <v>16</v>
      </c>
      <c r="E498" t="s">
        <v>22</v>
      </c>
      <c r="F498" t="s">
        <v>42</v>
      </c>
      <c r="G498" t="s">
        <v>36</v>
      </c>
      <c r="H498">
        <v>4</v>
      </c>
      <c r="I498" t="str">
        <f>VLOOKUP(D498,Product_Lookup!$A$2:$C$27,3,FALSE)</f>
        <v>$178.83</v>
      </c>
      <c r="J498" t="str">
        <f t="shared" si="59"/>
        <v>Saturday</v>
      </c>
      <c r="K498" s="10" t="str">
        <f t="shared" si="60"/>
        <v>May</v>
      </c>
      <c r="L498">
        <f t="shared" si="61"/>
        <v>2024</v>
      </c>
      <c r="M498" t="b">
        <f t="shared" si="62"/>
        <v>1</v>
      </c>
      <c r="N498" t="b">
        <f t="shared" si="56"/>
        <v>0</v>
      </c>
      <c r="O498" t="str">
        <f t="shared" si="63"/>
        <v>Large Order</v>
      </c>
      <c r="P498" s="7">
        <f t="shared" si="57"/>
        <v>8.9415000000000013</v>
      </c>
      <c r="Q498" s="7" t="str">
        <f>VLOOKUP(D499,Product_Lookup!$A$2:$C$27,2,FALSE)</f>
        <v>Jacket</v>
      </c>
      <c r="R498" s="7">
        <f t="shared" si="58"/>
        <v>715.32</v>
      </c>
    </row>
    <row r="499" spans="1:18" ht="21.75" customHeight="1">
      <c r="A499" t="s">
        <v>647</v>
      </c>
      <c r="B499" s="6">
        <v>45414</v>
      </c>
      <c r="C499" t="s">
        <v>78</v>
      </c>
      <c r="D499" t="s">
        <v>197</v>
      </c>
      <c r="E499" t="s">
        <v>11</v>
      </c>
      <c r="F499" t="s">
        <v>306</v>
      </c>
      <c r="G499" t="s">
        <v>23</v>
      </c>
      <c r="H499">
        <v>8</v>
      </c>
      <c r="I499" t="str">
        <f>VLOOKUP(D499,Product_Lookup!$A$2:$C$27,3,FALSE)</f>
        <v>$10.11</v>
      </c>
      <c r="J499" t="str">
        <f t="shared" si="59"/>
        <v>Thursday</v>
      </c>
      <c r="K499" s="10" t="str">
        <f t="shared" si="60"/>
        <v>May</v>
      </c>
      <c r="L499">
        <f t="shared" si="61"/>
        <v>2024</v>
      </c>
      <c r="M499" t="b">
        <f t="shared" si="62"/>
        <v>0</v>
      </c>
      <c r="N499" t="b">
        <f t="shared" si="56"/>
        <v>0</v>
      </c>
      <c r="O499" t="str">
        <f t="shared" si="63"/>
        <v>Standard order</v>
      </c>
      <c r="P499" s="7">
        <f t="shared" si="57"/>
        <v>0.50549999999999995</v>
      </c>
      <c r="Q499" s="7" t="str">
        <f>VLOOKUP(D500,Product_Lookup!$A$2:$C$27,2,FALSE)</f>
        <v>Board Game</v>
      </c>
      <c r="R499" s="7">
        <f t="shared" si="58"/>
        <v>80.88</v>
      </c>
    </row>
    <row r="500" spans="1:18" ht="21.75" customHeight="1">
      <c r="A500" t="s">
        <v>648</v>
      </c>
      <c r="B500" s="6">
        <v>45461</v>
      </c>
      <c r="C500" t="s">
        <v>436</v>
      </c>
      <c r="D500" t="s">
        <v>41</v>
      </c>
      <c r="E500" t="s">
        <v>17</v>
      </c>
      <c r="F500" t="s">
        <v>12</v>
      </c>
      <c r="G500" t="s">
        <v>36</v>
      </c>
      <c r="H500">
        <v>5</v>
      </c>
      <c r="I500" t="str">
        <f>VLOOKUP(D500,Product_Lookup!$A$2:$C$27,3,FALSE)</f>
        <v>$86.6</v>
      </c>
      <c r="J500" t="str">
        <f t="shared" si="59"/>
        <v>Tuesday</v>
      </c>
      <c r="K500" s="10" t="str">
        <f t="shared" si="60"/>
        <v>June</v>
      </c>
      <c r="L500">
        <f t="shared" si="61"/>
        <v>2024</v>
      </c>
      <c r="M500" t="b">
        <f t="shared" si="62"/>
        <v>0</v>
      </c>
      <c r="N500" t="b">
        <f t="shared" si="56"/>
        <v>0</v>
      </c>
      <c r="O500" t="str">
        <f t="shared" si="63"/>
        <v>Standard order</v>
      </c>
      <c r="P500" s="7">
        <f t="shared" si="57"/>
        <v>4.33</v>
      </c>
      <c r="Q500" s="7" t="str">
        <f>VLOOKUP(D501,Product_Lookup!$A$2:$C$27,2,FALSE)</f>
        <v>Stapler</v>
      </c>
      <c r="R500" s="7">
        <f t="shared" si="58"/>
        <v>433</v>
      </c>
    </row>
    <row r="501" spans="1:18" ht="21.75" customHeight="1">
      <c r="A501" t="s">
        <v>649</v>
      </c>
      <c r="B501" s="6">
        <v>45372</v>
      </c>
      <c r="C501" t="s">
        <v>408</v>
      </c>
      <c r="D501" t="s">
        <v>35</v>
      </c>
      <c r="E501" t="s">
        <v>22</v>
      </c>
      <c r="F501" t="s">
        <v>27</v>
      </c>
      <c r="G501" t="s">
        <v>32</v>
      </c>
      <c r="H501">
        <v>7</v>
      </c>
      <c r="I501" t="str">
        <f>VLOOKUP(D501,Product_Lookup!$A$2:$C$27,3,FALSE)</f>
        <v>$64.61</v>
      </c>
      <c r="J501" t="str">
        <f t="shared" si="59"/>
        <v>Thursday</v>
      </c>
      <c r="K501" s="10" t="str">
        <f t="shared" si="60"/>
        <v>March</v>
      </c>
      <c r="L501">
        <f t="shared" si="61"/>
        <v>2024</v>
      </c>
      <c r="M501" t="b">
        <f t="shared" si="62"/>
        <v>0</v>
      </c>
      <c r="N501" t="b">
        <f t="shared" si="56"/>
        <v>0</v>
      </c>
      <c r="O501" t="str">
        <f t="shared" si="63"/>
        <v>Standard order</v>
      </c>
      <c r="P501" s="7">
        <f t="shared" si="57"/>
        <v>3.2305000000000001</v>
      </c>
      <c r="Q501" s="7" t="str">
        <f>VLOOKUP(D502,Product_Lookup!$A$2:$C$27,2,FALSE)</f>
        <v>Doll</v>
      </c>
      <c r="R501" s="7">
        <f t="shared" si="58"/>
        <v>452.27</v>
      </c>
    </row>
    <row r="502" spans="1:18" ht="21.75" customHeight="1">
      <c r="A502" t="s">
        <v>650</v>
      </c>
      <c r="B502" s="6">
        <v>45456</v>
      </c>
      <c r="C502" t="s">
        <v>55</v>
      </c>
      <c r="D502" t="s">
        <v>119</v>
      </c>
      <c r="E502" t="s">
        <v>22</v>
      </c>
      <c r="F502" t="s">
        <v>12</v>
      </c>
      <c r="G502" t="s">
        <v>28</v>
      </c>
      <c r="H502">
        <v>3</v>
      </c>
      <c r="I502" t="str">
        <f>VLOOKUP(D502,Product_Lookup!$A$2:$C$27,3,FALSE)</f>
        <v>$32.94</v>
      </c>
      <c r="J502" t="str">
        <f t="shared" si="59"/>
        <v>Thursday</v>
      </c>
      <c r="K502" s="10" t="str">
        <f t="shared" si="60"/>
        <v>June</v>
      </c>
      <c r="L502">
        <f t="shared" si="61"/>
        <v>2024</v>
      </c>
      <c r="M502" t="b">
        <f t="shared" si="62"/>
        <v>0</v>
      </c>
      <c r="N502" t="b">
        <f t="shared" si="56"/>
        <v>0</v>
      </c>
      <c r="O502" t="str">
        <f t="shared" si="63"/>
        <v>Standard order</v>
      </c>
      <c r="P502" s="7">
        <f t="shared" si="57"/>
        <v>1.647</v>
      </c>
      <c r="Q502" s="7" t="str">
        <f>VLOOKUP(D503,Product_Lookup!$A$2:$C$27,2,FALSE)</f>
        <v>T-Shirt</v>
      </c>
      <c r="R502" s="7">
        <f t="shared" si="58"/>
        <v>98.82</v>
      </c>
    </row>
    <row r="503" spans="1:18" ht="21.75" customHeight="1">
      <c r="A503" t="s">
        <v>651</v>
      </c>
      <c r="B503" s="6">
        <v>45565</v>
      </c>
      <c r="C503" t="s">
        <v>304</v>
      </c>
      <c r="D503" t="s">
        <v>45</v>
      </c>
      <c r="E503" t="s">
        <v>22</v>
      </c>
      <c r="F503" t="s">
        <v>12</v>
      </c>
      <c r="G503" t="s">
        <v>28</v>
      </c>
      <c r="H503">
        <v>14</v>
      </c>
      <c r="I503" t="str">
        <f>VLOOKUP(D503,Product_Lookup!$A$2:$C$27,3,FALSE)</f>
        <v>$107.34</v>
      </c>
      <c r="J503" t="str">
        <f t="shared" si="59"/>
        <v>Monday</v>
      </c>
      <c r="K503" s="10" t="str">
        <f t="shared" si="60"/>
        <v>September</v>
      </c>
      <c r="L503">
        <f t="shared" si="61"/>
        <v>2024</v>
      </c>
      <c r="M503" t="b">
        <f t="shared" si="62"/>
        <v>0</v>
      </c>
      <c r="N503" t="b">
        <f t="shared" si="56"/>
        <v>1</v>
      </c>
      <c r="O503" t="str">
        <f t="shared" si="63"/>
        <v>Large Order</v>
      </c>
      <c r="P503" s="7">
        <f t="shared" si="57"/>
        <v>5.3670000000000009</v>
      </c>
      <c r="Q503" s="7" t="str">
        <f>VLOOKUP(D504,Product_Lookup!$A$2:$C$27,2,FALSE)</f>
        <v>Lego Set</v>
      </c>
      <c r="R503" s="7">
        <f t="shared" si="58"/>
        <v>1502.76</v>
      </c>
    </row>
    <row r="504" spans="1:18" ht="21.75" customHeight="1">
      <c r="A504" t="s">
        <v>652</v>
      </c>
      <c r="B504" s="6">
        <v>45310</v>
      </c>
      <c r="C504" t="s">
        <v>106</v>
      </c>
      <c r="D504" t="s">
        <v>84</v>
      </c>
      <c r="E504" t="s">
        <v>17</v>
      </c>
      <c r="F504" t="s">
        <v>56</v>
      </c>
      <c r="G504" t="s">
        <v>13</v>
      </c>
      <c r="H504">
        <v>10</v>
      </c>
      <c r="I504" t="str">
        <f>VLOOKUP(D504,Product_Lookup!$A$2:$C$27,3,FALSE)</f>
        <v>$130.07</v>
      </c>
      <c r="J504" t="str">
        <f t="shared" si="59"/>
        <v>Friday</v>
      </c>
      <c r="K504" s="10" t="str">
        <f t="shared" si="60"/>
        <v>January</v>
      </c>
      <c r="L504">
        <f t="shared" si="61"/>
        <v>2024</v>
      </c>
      <c r="M504" t="b">
        <f t="shared" si="62"/>
        <v>0</v>
      </c>
      <c r="N504" t="b">
        <f t="shared" si="56"/>
        <v>1</v>
      </c>
      <c r="O504" t="str">
        <f t="shared" si="63"/>
        <v>Large Order</v>
      </c>
      <c r="P504" s="7">
        <f t="shared" si="57"/>
        <v>6.5034999999999998</v>
      </c>
      <c r="Q504" s="7" t="str">
        <f>VLOOKUP(D505,Product_Lookup!$A$2:$C$27,2,FALSE)</f>
        <v>Blender</v>
      </c>
      <c r="R504" s="7">
        <f t="shared" si="58"/>
        <v>1300.6999999999998</v>
      </c>
    </row>
    <row r="505" spans="1:18" ht="21.75" customHeight="1">
      <c r="A505" t="s">
        <v>653</v>
      </c>
      <c r="B505" s="6">
        <v>45444</v>
      </c>
      <c r="C505" t="s">
        <v>614</v>
      </c>
      <c r="D505" t="s">
        <v>72</v>
      </c>
      <c r="E505" t="s">
        <v>22</v>
      </c>
      <c r="F505" t="s">
        <v>12</v>
      </c>
      <c r="G505" t="s">
        <v>36</v>
      </c>
      <c r="H505">
        <v>10</v>
      </c>
      <c r="I505" t="str">
        <f>VLOOKUP(D505,Product_Lookup!$A$2:$C$27,3,FALSE)</f>
        <v>$156.44</v>
      </c>
      <c r="J505" t="str">
        <f t="shared" si="59"/>
        <v>Saturday</v>
      </c>
      <c r="K505" s="10" t="str">
        <f t="shared" si="60"/>
        <v>June</v>
      </c>
      <c r="L505">
        <f t="shared" si="61"/>
        <v>2024</v>
      </c>
      <c r="M505" t="b">
        <f t="shared" si="62"/>
        <v>1</v>
      </c>
      <c r="N505" t="b">
        <f t="shared" si="56"/>
        <v>1</v>
      </c>
      <c r="O505" t="str">
        <f t="shared" si="63"/>
        <v>Large Order</v>
      </c>
      <c r="P505" s="7">
        <f t="shared" si="57"/>
        <v>7.8220000000000001</v>
      </c>
      <c r="Q505" s="7" t="str">
        <f>VLOOKUP(D506,Product_Lookup!$A$2:$C$27,2,FALSE)</f>
        <v>Air Fryer</v>
      </c>
      <c r="R505" s="7">
        <f t="shared" si="58"/>
        <v>1564.4</v>
      </c>
    </row>
    <row r="506" spans="1:18" ht="21.75" customHeight="1">
      <c r="A506" t="s">
        <v>654</v>
      </c>
      <c r="B506" s="6">
        <v>45560</v>
      </c>
      <c r="C506" t="s">
        <v>432</v>
      </c>
      <c r="D506" t="s">
        <v>70</v>
      </c>
      <c r="E506" t="s">
        <v>11</v>
      </c>
      <c r="F506" t="s">
        <v>306</v>
      </c>
      <c r="G506" t="s">
        <v>13</v>
      </c>
      <c r="H506">
        <v>9</v>
      </c>
      <c r="I506" t="str">
        <f>VLOOKUP(D506,Product_Lookup!$A$2:$C$27,3,FALSE)</f>
        <v>$211.9</v>
      </c>
      <c r="J506" t="str">
        <f t="shared" si="59"/>
        <v>Wednesday</v>
      </c>
      <c r="K506" s="10" t="str">
        <f t="shared" si="60"/>
        <v>September</v>
      </c>
      <c r="L506">
        <f t="shared" si="61"/>
        <v>2024</v>
      </c>
      <c r="M506" t="b">
        <f t="shared" si="62"/>
        <v>0</v>
      </c>
      <c r="N506" t="b">
        <f t="shared" si="56"/>
        <v>1</v>
      </c>
      <c r="O506" t="str">
        <f t="shared" si="63"/>
        <v>Large Order</v>
      </c>
      <c r="P506" s="7">
        <f t="shared" si="57"/>
        <v>10.595000000000001</v>
      </c>
      <c r="Q506" s="7" t="str">
        <f>VLOOKUP(D507,Product_Lookup!$A$2:$C$27,2,FALSE)</f>
        <v>Action Figure</v>
      </c>
      <c r="R506" s="7">
        <f t="shared" si="58"/>
        <v>1907.1000000000001</v>
      </c>
    </row>
    <row r="507" spans="1:18" ht="21.75" customHeight="1">
      <c r="A507" t="s">
        <v>655</v>
      </c>
      <c r="B507" s="6">
        <v>45461</v>
      </c>
      <c r="C507" t="s">
        <v>111</v>
      </c>
      <c r="D507" t="s">
        <v>21</v>
      </c>
      <c r="E507" t="s">
        <v>22</v>
      </c>
      <c r="F507" t="s">
        <v>27</v>
      </c>
      <c r="G507" t="s">
        <v>13</v>
      </c>
      <c r="H507">
        <v>9</v>
      </c>
      <c r="I507" t="str">
        <f>VLOOKUP(D507,Product_Lookup!$A$2:$C$27,3,FALSE)</f>
        <v>$88.18</v>
      </c>
      <c r="J507" t="str">
        <f t="shared" si="59"/>
        <v>Tuesday</v>
      </c>
      <c r="K507" s="10" t="str">
        <f t="shared" si="60"/>
        <v>June</v>
      </c>
      <c r="L507">
        <f t="shared" si="61"/>
        <v>2024</v>
      </c>
      <c r="M507" t="b">
        <f t="shared" si="62"/>
        <v>0</v>
      </c>
      <c r="N507" t="b">
        <f t="shared" si="56"/>
        <v>1</v>
      </c>
      <c r="O507" t="str">
        <f t="shared" si="63"/>
        <v>Large Order</v>
      </c>
      <c r="P507" s="7">
        <f t="shared" si="57"/>
        <v>4.4090000000000007</v>
      </c>
      <c r="Q507" s="7" t="str">
        <f>VLOOKUP(D508,Product_Lookup!$A$2:$C$27,2,FALSE)</f>
        <v>T-Shirt</v>
      </c>
      <c r="R507" s="7">
        <f t="shared" si="58"/>
        <v>793.62000000000012</v>
      </c>
    </row>
    <row r="508" spans="1:18" ht="21.75" customHeight="1">
      <c r="A508" t="s">
        <v>656</v>
      </c>
      <c r="B508" s="6">
        <v>45464</v>
      </c>
      <c r="C508" t="s">
        <v>61</v>
      </c>
      <c r="D508" t="s">
        <v>45</v>
      </c>
      <c r="E508" t="s">
        <v>22</v>
      </c>
      <c r="F508" t="s">
        <v>56</v>
      </c>
      <c r="G508" t="s">
        <v>23</v>
      </c>
      <c r="H508">
        <v>20</v>
      </c>
      <c r="I508" t="str">
        <f>VLOOKUP(D508,Product_Lookup!$A$2:$C$27,3,FALSE)</f>
        <v>$107.34</v>
      </c>
      <c r="J508" t="str">
        <f t="shared" si="59"/>
        <v>Friday</v>
      </c>
      <c r="K508" s="10" t="str">
        <f t="shared" si="60"/>
        <v>June</v>
      </c>
      <c r="L508">
        <f t="shared" si="61"/>
        <v>2024</v>
      </c>
      <c r="M508" t="b">
        <f t="shared" si="62"/>
        <v>0</v>
      </c>
      <c r="N508" t="b">
        <f t="shared" si="56"/>
        <v>1</v>
      </c>
      <c r="O508" t="str">
        <f t="shared" si="63"/>
        <v>Large Order</v>
      </c>
      <c r="P508" s="7">
        <f t="shared" si="57"/>
        <v>5.3670000000000009</v>
      </c>
      <c r="Q508" s="7" t="str">
        <f>VLOOKUP(D509,Product_Lookup!$A$2:$C$27,2,FALSE)</f>
        <v>Coffee Maker</v>
      </c>
      <c r="R508" s="7">
        <f t="shared" si="58"/>
        <v>2146.8000000000002</v>
      </c>
    </row>
    <row r="509" spans="1:18" ht="21.75" customHeight="1">
      <c r="A509" t="s">
        <v>657</v>
      </c>
      <c r="B509" s="6">
        <v>45510</v>
      </c>
      <c r="C509" t="s">
        <v>345</v>
      </c>
      <c r="D509" t="s">
        <v>31</v>
      </c>
      <c r="E509" t="s">
        <v>17</v>
      </c>
      <c r="F509" t="s">
        <v>12</v>
      </c>
      <c r="G509" t="s">
        <v>28</v>
      </c>
      <c r="H509">
        <v>4</v>
      </c>
      <c r="I509" t="str">
        <f>VLOOKUP(D509,Product_Lookup!$A$2:$C$27,3,FALSE)</f>
        <v>$230.34</v>
      </c>
      <c r="J509" t="str">
        <f t="shared" si="59"/>
        <v>Tuesday</v>
      </c>
      <c r="K509" s="10" t="str">
        <f t="shared" si="60"/>
        <v>August</v>
      </c>
      <c r="L509">
        <f t="shared" si="61"/>
        <v>2024</v>
      </c>
      <c r="M509" t="b">
        <f t="shared" si="62"/>
        <v>0</v>
      </c>
      <c r="N509" t="b">
        <f t="shared" si="56"/>
        <v>0</v>
      </c>
      <c r="O509" t="str">
        <f t="shared" si="63"/>
        <v>Large Order</v>
      </c>
      <c r="P509" s="7">
        <f t="shared" si="57"/>
        <v>11.517000000000001</v>
      </c>
      <c r="Q509" s="7" t="str">
        <f>VLOOKUP(D510,Product_Lookup!$A$2:$C$27,2,FALSE)</f>
        <v>Sweater</v>
      </c>
      <c r="R509" s="7">
        <f t="shared" si="58"/>
        <v>921.36</v>
      </c>
    </row>
    <row r="510" spans="1:18" ht="21.75" customHeight="1">
      <c r="A510" t="s">
        <v>658</v>
      </c>
      <c r="B510" s="6">
        <v>45536</v>
      </c>
      <c r="C510" t="s">
        <v>187</v>
      </c>
      <c r="D510" t="s">
        <v>26</v>
      </c>
      <c r="E510" t="s">
        <v>11</v>
      </c>
      <c r="F510" t="s">
        <v>12</v>
      </c>
      <c r="G510" t="s">
        <v>32</v>
      </c>
      <c r="H510">
        <v>13</v>
      </c>
      <c r="I510" t="str">
        <f>VLOOKUP(D510,Product_Lookup!$A$2:$C$27,3,FALSE)</f>
        <v>$84.57</v>
      </c>
      <c r="J510" t="str">
        <f t="shared" si="59"/>
        <v>Sunday</v>
      </c>
      <c r="K510" s="10" t="str">
        <f t="shared" si="60"/>
        <v>September</v>
      </c>
      <c r="L510">
        <f t="shared" si="61"/>
        <v>2024</v>
      </c>
      <c r="M510" t="b">
        <f t="shared" si="62"/>
        <v>1</v>
      </c>
      <c r="N510" t="b">
        <f t="shared" si="56"/>
        <v>1</v>
      </c>
      <c r="O510" t="str">
        <f t="shared" si="63"/>
        <v>Large Order</v>
      </c>
      <c r="P510" s="7">
        <f t="shared" si="57"/>
        <v>4.2284999999999995</v>
      </c>
      <c r="Q510" s="7" t="str">
        <f>VLOOKUP(D511,Product_Lookup!$A$2:$C$27,2,FALSE)</f>
        <v>Laptop</v>
      </c>
      <c r="R510" s="7">
        <f t="shared" si="58"/>
        <v>1099.4099999999999</v>
      </c>
    </row>
    <row r="511" spans="1:18" ht="21.75" customHeight="1">
      <c r="A511" t="s">
        <v>659</v>
      </c>
      <c r="B511" s="6">
        <v>45460</v>
      </c>
      <c r="C511" t="s">
        <v>68</v>
      </c>
      <c r="D511" t="s">
        <v>96</v>
      </c>
      <c r="E511" t="s">
        <v>22</v>
      </c>
      <c r="F511" t="s">
        <v>306</v>
      </c>
      <c r="G511" t="s">
        <v>28</v>
      </c>
      <c r="H511">
        <v>9</v>
      </c>
      <c r="I511" t="str">
        <f>VLOOKUP(D511,Product_Lookup!$A$2:$C$27,3,FALSE)</f>
        <v>$230.68</v>
      </c>
      <c r="J511" t="str">
        <f t="shared" si="59"/>
        <v>Monday</v>
      </c>
      <c r="K511" s="10" t="str">
        <f t="shared" si="60"/>
        <v>June</v>
      </c>
      <c r="L511">
        <f t="shared" si="61"/>
        <v>2024</v>
      </c>
      <c r="M511" t="b">
        <f t="shared" si="62"/>
        <v>0</v>
      </c>
      <c r="N511" t="b">
        <f t="shared" si="56"/>
        <v>1</v>
      </c>
      <c r="O511" t="str">
        <f t="shared" si="63"/>
        <v>Large Order</v>
      </c>
      <c r="P511" s="7">
        <f t="shared" si="57"/>
        <v>11.534000000000001</v>
      </c>
      <c r="Q511" s="7" t="str">
        <f>VLOOKUP(D512,Product_Lookup!$A$2:$C$27,2,FALSE)</f>
        <v>Socks</v>
      </c>
      <c r="R511" s="7">
        <f t="shared" si="58"/>
        <v>2076.12</v>
      </c>
    </row>
    <row r="512" spans="1:18" ht="21.75" customHeight="1">
      <c r="A512" t="s">
        <v>660</v>
      </c>
      <c r="B512" s="6">
        <v>45323</v>
      </c>
      <c r="C512" t="s">
        <v>317</v>
      </c>
      <c r="D512" t="s">
        <v>74</v>
      </c>
      <c r="E512" t="s">
        <v>11</v>
      </c>
      <c r="F512" t="s">
        <v>27</v>
      </c>
      <c r="G512" t="s">
        <v>36</v>
      </c>
      <c r="H512">
        <v>6</v>
      </c>
      <c r="I512" t="str">
        <f>VLOOKUP(D512,Product_Lookup!$A$2:$C$27,3,FALSE)</f>
        <v>$201.32</v>
      </c>
      <c r="J512" t="str">
        <f t="shared" si="59"/>
        <v>Thursday</v>
      </c>
      <c r="K512" s="10" t="str">
        <f t="shared" si="60"/>
        <v>February</v>
      </c>
      <c r="L512">
        <f t="shared" si="61"/>
        <v>2024</v>
      </c>
      <c r="M512" t="b">
        <f t="shared" si="62"/>
        <v>0</v>
      </c>
      <c r="N512" t="b">
        <f t="shared" si="56"/>
        <v>1</v>
      </c>
      <c r="O512" t="str">
        <f t="shared" si="63"/>
        <v>Large Order</v>
      </c>
      <c r="P512" s="7">
        <f t="shared" si="57"/>
        <v>10.066000000000001</v>
      </c>
      <c r="Q512" s="7" t="str">
        <f>VLOOKUP(D513,Product_Lookup!$A$2:$C$27,2,FALSE)</f>
        <v>Action Figure</v>
      </c>
      <c r="R512" s="7">
        <f t="shared" si="58"/>
        <v>1207.92</v>
      </c>
    </row>
    <row r="513" spans="1:18" ht="21.75" customHeight="1">
      <c r="A513" t="s">
        <v>661</v>
      </c>
      <c r="B513" s="6">
        <v>45652</v>
      </c>
      <c r="C513" t="s">
        <v>337</v>
      </c>
      <c r="D513" t="s">
        <v>21</v>
      </c>
      <c r="E513" t="s">
        <v>17</v>
      </c>
      <c r="F513" t="s">
        <v>12</v>
      </c>
      <c r="G513" t="s">
        <v>28</v>
      </c>
      <c r="H513">
        <v>10</v>
      </c>
      <c r="I513" t="str">
        <f>VLOOKUP(D513,Product_Lookup!$A$2:$C$27,3,FALSE)</f>
        <v>$88.18</v>
      </c>
      <c r="J513" t="str">
        <f t="shared" si="59"/>
        <v>Thursday</v>
      </c>
      <c r="K513" s="10" t="str">
        <f t="shared" si="60"/>
        <v>December</v>
      </c>
      <c r="L513">
        <f t="shared" si="61"/>
        <v>2024</v>
      </c>
      <c r="M513" t="b">
        <f t="shared" si="62"/>
        <v>0</v>
      </c>
      <c r="N513" t="b">
        <f t="shared" si="56"/>
        <v>1</v>
      </c>
      <c r="O513" t="str">
        <f t="shared" si="63"/>
        <v>Large Order</v>
      </c>
      <c r="P513" s="7">
        <f t="shared" si="57"/>
        <v>4.4090000000000007</v>
      </c>
      <c r="Q513" s="7" t="str">
        <f>VLOOKUP(D514,Product_Lookup!$A$2:$C$27,2,FALSE)</f>
        <v>Air Fryer</v>
      </c>
      <c r="R513" s="7">
        <f t="shared" si="58"/>
        <v>881.80000000000007</v>
      </c>
    </row>
    <row r="514" spans="1:18" ht="21.75" customHeight="1">
      <c r="A514" t="s">
        <v>662</v>
      </c>
      <c r="B514" s="6">
        <v>45404</v>
      </c>
      <c r="C514" t="s">
        <v>99</v>
      </c>
      <c r="D514" t="s">
        <v>70</v>
      </c>
      <c r="E514" t="s">
        <v>17</v>
      </c>
      <c r="F514" t="s">
        <v>56</v>
      </c>
      <c r="G514" t="s">
        <v>36</v>
      </c>
      <c r="H514">
        <v>20</v>
      </c>
      <c r="I514" t="str">
        <f>VLOOKUP(D514,Product_Lookup!$A$2:$C$27,3,FALSE)</f>
        <v>$211.9</v>
      </c>
      <c r="J514" t="str">
        <f t="shared" si="59"/>
        <v>Monday</v>
      </c>
      <c r="K514" s="10" t="str">
        <f t="shared" si="60"/>
        <v>April</v>
      </c>
      <c r="L514">
        <f t="shared" si="61"/>
        <v>2024</v>
      </c>
      <c r="M514" t="b">
        <f t="shared" si="62"/>
        <v>0</v>
      </c>
      <c r="N514" t="b">
        <f t="shared" ref="N514:N577" si="64">AND(R514&gt;750, H514&gt;5)</f>
        <v>1</v>
      </c>
      <c r="O514" t="str">
        <f t="shared" si="63"/>
        <v>Large Order</v>
      </c>
      <c r="P514" s="7">
        <f t="shared" ref="P514:P577" si="65">I514*$S$2</f>
        <v>10.595000000000001</v>
      </c>
      <c r="Q514" s="7" t="str">
        <f>VLOOKUP(D515,Product_Lookup!$A$2:$C$27,2,FALSE)</f>
        <v>Doll</v>
      </c>
      <c r="R514" s="7">
        <f t="shared" ref="R514:R577" si="66">H514*I514</f>
        <v>4238</v>
      </c>
    </row>
    <row r="515" spans="1:18" ht="21.75" customHeight="1">
      <c r="A515" t="s">
        <v>663</v>
      </c>
      <c r="B515" s="6">
        <v>45533</v>
      </c>
      <c r="C515" t="s">
        <v>664</v>
      </c>
      <c r="D515" t="s">
        <v>119</v>
      </c>
      <c r="E515" t="s">
        <v>22</v>
      </c>
      <c r="F515" t="s">
        <v>56</v>
      </c>
      <c r="G515" t="s">
        <v>36</v>
      </c>
      <c r="H515">
        <v>8</v>
      </c>
      <c r="I515" t="str">
        <f>VLOOKUP(D515,Product_Lookup!$A$2:$C$27,3,FALSE)</f>
        <v>$32.94</v>
      </c>
      <c r="J515" t="str">
        <f t="shared" ref="J515:J578" si="67">TEXT(B515, "dddd")</f>
        <v>Thursday</v>
      </c>
      <c r="K515" s="10" t="str">
        <f t="shared" ref="K515:K578" si="68">TEXT(B515, "mmmm")</f>
        <v>August</v>
      </c>
      <c r="L515">
        <f t="shared" ref="L515:L578" si="69">YEAR(B515)</f>
        <v>2024</v>
      </c>
      <c r="M515" t="b">
        <f t="shared" ref="M515:M578" si="70">OR(J515="Saturday", J515="Sunday")</f>
        <v>0</v>
      </c>
      <c r="N515" t="b">
        <f t="shared" si="64"/>
        <v>0</v>
      </c>
      <c r="O515" t="str">
        <f t="shared" ref="O515:O578" si="71">IF(R515&gt;500,"Large Order","Standard order")</f>
        <v>Standard order</v>
      </c>
      <c r="P515" s="7">
        <f t="shared" si="65"/>
        <v>1.647</v>
      </c>
      <c r="Q515" s="7" t="str">
        <f>VLOOKUP(D516,Product_Lookup!$A$2:$C$27,2,FALSE)</f>
        <v>Puzzle</v>
      </c>
      <c r="R515" s="7">
        <f t="shared" si="66"/>
        <v>263.52</v>
      </c>
    </row>
    <row r="516" spans="1:18" ht="21.75" customHeight="1">
      <c r="A516" t="s">
        <v>665</v>
      </c>
      <c r="B516" s="6">
        <v>45333</v>
      </c>
      <c r="C516" t="s">
        <v>339</v>
      </c>
      <c r="D516" t="s">
        <v>62</v>
      </c>
      <c r="E516" t="s">
        <v>17</v>
      </c>
      <c r="F516" t="s">
        <v>306</v>
      </c>
      <c r="G516" t="s">
        <v>36</v>
      </c>
      <c r="H516">
        <v>12</v>
      </c>
      <c r="I516" t="str">
        <f>VLOOKUP(D516,Product_Lookup!$A$2:$C$27,3,FALSE)</f>
        <v>$46.19</v>
      </c>
      <c r="J516" t="str">
        <f t="shared" si="67"/>
        <v>Sunday</v>
      </c>
      <c r="K516" s="10" t="str">
        <f t="shared" si="68"/>
        <v>February</v>
      </c>
      <c r="L516">
        <f t="shared" si="69"/>
        <v>2024</v>
      </c>
      <c r="M516" t="b">
        <f t="shared" si="70"/>
        <v>1</v>
      </c>
      <c r="N516" t="b">
        <f t="shared" si="64"/>
        <v>0</v>
      </c>
      <c r="O516" t="str">
        <f t="shared" si="71"/>
        <v>Large Order</v>
      </c>
      <c r="P516" s="7">
        <f t="shared" si="65"/>
        <v>2.3094999999999999</v>
      </c>
      <c r="Q516" s="7" t="str">
        <f>VLOOKUP(D517,Product_Lookup!$A$2:$C$27,2,FALSE)</f>
        <v>Jeans</v>
      </c>
      <c r="R516" s="7">
        <f t="shared" si="66"/>
        <v>554.28</v>
      </c>
    </row>
    <row r="517" spans="1:18" ht="21.75" customHeight="1">
      <c r="A517" t="s">
        <v>666</v>
      </c>
      <c r="B517" s="6">
        <v>45349</v>
      </c>
      <c r="C517" t="s">
        <v>131</v>
      </c>
      <c r="D517" t="s">
        <v>65</v>
      </c>
      <c r="E517" t="s">
        <v>22</v>
      </c>
      <c r="F517" t="s">
        <v>306</v>
      </c>
      <c r="G517" t="s">
        <v>28</v>
      </c>
      <c r="H517">
        <v>19</v>
      </c>
      <c r="I517" t="str">
        <f>VLOOKUP(D517,Product_Lookup!$A$2:$C$27,3,FALSE)</f>
        <v>$33.22</v>
      </c>
      <c r="J517" t="str">
        <f t="shared" si="67"/>
        <v>Tuesday</v>
      </c>
      <c r="K517" s="10" t="str">
        <f t="shared" si="68"/>
        <v>February</v>
      </c>
      <c r="L517">
        <f t="shared" si="69"/>
        <v>2024</v>
      </c>
      <c r="M517" t="b">
        <f t="shared" si="70"/>
        <v>0</v>
      </c>
      <c r="N517" t="b">
        <f t="shared" si="64"/>
        <v>0</v>
      </c>
      <c r="O517" t="str">
        <f t="shared" si="71"/>
        <v>Large Order</v>
      </c>
      <c r="P517" s="7">
        <f t="shared" si="65"/>
        <v>1.661</v>
      </c>
      <c r="Q517" s="7" t="str">
        <f>VLOOKUP(D518,Product_Lookup!$A$2:$C$27,2,FALSE)</f>
        <v>Board Game</v>
      </c>
      <c r="R517" s="7">
        <f t="shared" si="66"/>
        <v>631.17999999999995</v>
      </c>
    </row>
    <row r="518" spans="1:18" ht="21.75" customHeight="1">
      <c r="A518" t="s">
        <v>667</v>
      </c>
      <c r="B518" s="6">
        <v>45459</v>
      </c>
      <c r="C518" t="s">
        <v>363</v>
      </c>
      <c r="D518" t="s">
        <v>41</v>
      </c>
      <c r="E518" t="s">
        <v>17</v>
      </c>
      <c r="F518" t="s">
        <v>12</v>
      </c>
      <c r="G518" t="s">
        <v>23</v>
      </c>
      <c r="H518">
        <v>7</v>
      </c>
      <c r="I518" t="str">
        <f>VLOOKUP(D518,Product_Lookup!$A$2:$C$27,3,FALSE)</f>
        <v>$86.6</v>
      </c>
      <c r="J518" t="str">
        <f t="shared" si="67"/>
        <v>Sunday</v>
      </c>
      <c r="K518" s="10" t="str">
        <f t="shared" si="68"/>
        <v>June</v>
      </c>
      <c r="L518">
        <f t="shared" si="69"/>
        <v>2024</v>
      </c>
      <c r="M518" t="b">
        <f t="shared" si="70"/>
        <v>1</v>
      </c>
      <c r="N518" t="b">
        <f t="shared" si="64"/>
        <v>0</v>
      </c>
      <c r="O518" t="str">
        <f t="shared" si="71"/>
        <v>Large Order</v>
      </c>
      <c r="P518" s="7">
        <f t="shared" si="65"/>
        <v>4.33</v>
      </c>
      <c r="Q518" s="7" t="str">
        <f>VLOOKUP(D519,Product_Lookup!$A$2:$C$27,2,FALSE)</f>
        <v>Air Fryer</v>
      </c>
      <c r="R518" s="7">
        <f t="shared" si="66"/>
        <v>606.19999999999993</v>
      </c>
    </row>
    <row r="519" spans="1:18" ht="21.75" customHeight="1">
      <c r="A519" t="s">
        <v>668</v>
      </c>
      <c r="B519" s="6">
        <v>45338</v>
      </c>
      <c r="C519" t="s">
        <v>345</v>
      </c>
      <c r="D519" t="s">
        <v>70</v>
      </c>
      <c r="E519" t="s">
        <v>17</v>
      </c>
      <c r="F519" t="s">
        <v>12</v>
      </c>
      <c r="G519" t="s">
        <v>23</v>
      </c>
      <c r="H519">
        <v>5</v>
      </c>
      <c r="I519" t="str">
        <f>VLOOKUP(D519,Product_Lookup!$A$2:$C$27,3,FALSE)</f>
        <v>$211.9</v>
      </c>
      <c r="J519" t="str">
        <f t="shared" si="67"/>
        <v>Friday</v>
      </c>
      <c r="K519" s="10" t="str">
        <f t="shared" si="68"/>
        <v>February</v>
      </c>
      <c r="L519">
        <f t="shared" si="69"/>
        <v>2024</v>
      </c>
      <c r="M519" t="b">
        <f t="shared" si="70"/>
        <v>0</v>
      </c>
      <c r="N519" t="b">
        <f t="shared" si="64"/>
        <v>0</v>
      </c>
      <c r="O519" t="str">
        <f t="shared" si="71"/>
        <v>Large Order</v>
      </c>
      <c r="P519" s="7">
        <f t="shared" si="65"/>
        <v>10.595000000000001</v>
      </c>
      <c r="Q519" s="7" t="str">
        <f>VLOOKUP(D520,Product_Lookup!$A$2:$C$27,2,FALSE)</f>
        <v>Board Game</v>
      </c>
      <c r="R519" s="7">
        <f t="shared" si="66"/>
        <v>1059.5</v>
      </c>
    </row>
    <row r="520" spans="1:18" ht="21.75" customHeight="1">
      <c r="A520" t="s">
        <v>669</v>
      </c>
      <c r="B520" s="6">
        <v>45580</v>
      </c>
      <c r="C520" t="s">
        <v>131</v>
      </c>
      <c r="D520" t="s">
        <v>41</v>
      </c>
      <c r="E520" t="s">
        <v>22</v>
      </c>
      <c r="F520" t="s">
        <v>27</v>
      </c>
      <c r="G520" t="s">
        <v>23</v>
      </c>
      <c r="H520">
        <v>10</v>
      </c>
      <c r="I520" t="str">
        <f>VLOOKUP(D520,Product_Lookup!$A$2:$C$27,3,FALSE)</f>
        <v>$86.6</v>
      </c>
      <c r="J520" t="str">
        <f t="shared" si="67"/>
        <v>Tuesday</v>
      </c>
      <c r="K520" s="10" t="str">
        <f t="shared" si="68"/>
        <v>October</v>
      </c>
      <c r="L520">
        <f t="shared" si="69"/>
        <v>2024</v>
      </c>
      <c r="M520" t="b">
        <f t="shared" si="70"/>
        <v>0</v>
      </c>
      <c r="N520" t="b">
        <f t="shared" si="64"/>
        <v>1</v>
      </c>
      <c r="O520" t="str">
        <f t="shared" si="71"/>
        <v>Large Order</v>
      </c>
      <c r="P520" s="7">
        <f t="shared" si="65"/>
        <v>4.33</v>
      </c>
      <c r="Q520" s="7" t="str">
        <f>VLOOKUP(D521,Product_Lookup!$A$2:$C$27,2,FALSE)</f>
        <v>Desk Lamp</v>
      </c>
      <c r="R520" s="7">
        <f t="shared" si="66"/>
        <v>866</v>
      </c>
    </row>
    <row r="521" spans="1:18" ht="21.75" customHeight="1">
      <c r="A521" t="s">
        <v>670</v>
      </c>
      <c r="B521" s="6">
        <v>45422</v>
      </c>
      <c r="C521" t="s">
        <v>25</v>
      </c>
      <c r="D521" t="s">
        <v>59</v>
      </c>
      <c r="E521" t="s">
        <v>22</v>
      </c>
      <c r="F521" t="s">
        <v>56</v>
      </c>
      <c r="G521" t="s">
        <v>32</v>
      </c>
      <c r="H521">
        <v>3</v>
      </c>
      <c r="I521" t="str">
        <f>VLOOKUP(D521,Product_Lookup!$A$2:$C$27,3,FALSE)</f>
        <v>$101.96</v>
      </c>
      <c r="J521" t="str">
        <f t="shared" si="67"/>
        <v>Friday</v>
      </c>
      <c r="K521" s="10" t="str">
        <f t="shared" si="68"/>
        <v>May</v>
      </c>
      <c r="L521">
        <f t="shared" si="69"/>
        <v>2024</v>
      </c>
      <c r="M521" t="b">
        <f t="shared" si="70"/>
        <v>0</v>
      </c>
      <c r="N521" t="b">
        <f t="shared" si="64"/>
        <v>0</v>
      </c>
      <c r="O521" t="str">
        <f t="shared" si="71"/>
        <v>Standard order</v>
      </c>
      <c r="P521" s="7">
        <f t="shared" si="65"/>
        <v>5.0979999999999999</v>
      </c>
      <c r="Q521" s="7" t="str">
        <f>VLOOKUP(D522,Product_Lookup!$A$2:$C$27,2,FALSE)</f>
        <v>Tablet</v>
      </c>
      <c r="R521" s="7">
        <f t="shared" si="66"/>
        <v>305.88</v>
      </c>
    </row>
    <row r="522" spans="1:18" ht="21.75" customHeight="1">
      <c r="A522" t="s">
        <v>671</v>
      </c>
      <c r="B522" s="6">
        <v>45650</v>
      </c>
      <c r="C522" t="s">
        <v>58</v>
      </c>
      <c r="D522" t="s">
        <v>10</v>
      </c>
      <c r="E522" t="s">
        <v>22</v>
      </c>
      <c r="F522" t="s">
        <v>12</v>
      </c>
      <c r="G522" t="s">
        <v>23</v>
      </c>
      <c r="H522">
        <v>16</v>
      </c>
      <c r="I522" t="str">
        <f>VLOOKUP(D522,Product_Lookup!$A$2:$C$27,3,FALSE)</f>
        <v>$146.06</v>
      </c>
      <c r="J522" t="str">
        <f t="shared" si="67"/>
        <v>Tuesday</v>
      </c>
      <c r="K522" s="10" t="str">
        <f t="shared" si="68"/>
        <v>December</v>
      </c>
      <c r="L522">
        <f t="shared" si="69"/>
        <v>2024</v>
      </c>
      <c r="M522" t="b">
        <f t="shared" si="70"/>
        <v>0</v>
      </c>
      <c r="N522" t="b">
        <f t="shared" si="64"/>
        <v>1</v>
      </c>
      <c r="O522" t="str">
        <f t="shared" si="71"/>
        <v>Large Order</v>
      </c>
      <c r="P522" s="7">
        <f t="shared" si="65"/>
        <v>7.3030000000000008</v>
      </c>
      <c r="Q522" s="7" t="str">
        <f>VLOOKUP(D523,Product_Lookup!$A$2:$C$27,2,FALSE)</f>
        <v>Toaster</v>
      </c>
      <c r="R522" s="7">
        <f t="shared" si="66"/>
        <v>2336.96</v>
      </c>
    </row>
    <row r="523" spans="1:18" ht="21.75" customHeight="1">
      <c r="A523" t="s">
        <v>672</v>
      </c>
      <c r="B523" s="6">
        <v>45384</v>
      </c>
      <c r="C523" t="s">
        <v>337</v>
      </c>
      <c r="D523" t="s">
        <v>48</v>
      </c>
      <c r="E523" t="s">
        <v>11</v>
      </c>
      <c r="F523" t="s">
        <v>27</v>
      </c>
      <c r="G523" t="s">
        <v>23</v>
      </c>
      <c r="H523">
        <v>13</v>
      </c>
      <c r="I523" t="str">
        <f>VLOOKUP(D523,Product_Lookup!$A$2:$C$27,3,FALSE)</f>
        <v>$208.85</v>
      </c>
      <c r="J523" t="str">
        <f t="shared" si="67"/>
        <v>Tuesday</v>
      </c>
      <c r="K523" s="10" t="str">
        <f t="shared" si="68"/>
        <v>April</v>
      </c>
      <c r="L523">
        <f t="shared" si="69"/>
        <v>2024</v>
      </c>
      <c r="M523" t="b">
        <f t="shared" si="70"/>
        <v>0</v>
      </c>
      <c r="N523" t="b">
        <f t="shared" si="64"/>
        <v>1</v>
      </c>
      <c r="O523" t="str">
        <f t="shared" si="71"/>
        <v>Large Order</v>
      </c>
      <c r="P523" s="7">
        <f t="shared" si="65"/>
        <v>10.442500000000001</v>
      </c>
      <c r="Q523" s="7" t="str">
        <f>VLOOKUP(D524,Product_Lookup!$A$2:$C$27,2,FALSE)</f>
        <v>Headphones</v>
      </c>
      <c r="R523" s="7">
        <f t="shared" si="66"/>
        <v>2715.0499999999997</v>
      </c>
    </row>
    <row r="524" spans="1:18" ht="21.75" customHeight="1">
      <c r="A524" t="s">
        <v>673</v>
      </c>
      <c r="B524" s="6">
        <v>45484</v>
      </c>
      <c r="C524" t="s">
        <v>81</v>
      </c>
      <c r="D524" t="s">
        <v>16</v>
      </c>
      <c r="E524" t="s">
        <v>22</v>
      </c>
      <c r="F524" t="s">
        <v>306</v>
      </c>
      <c r="G524" t="s">
        <v>36</v>
      </c>
      <c r="H524">
        <v>12</v>
      </c>
      <c r="I524" t="str">
        <f>VLOOKUP(D524,Product_Lookup!$A$2:$C$27,3,FALSE)</f>
        <v>$178.83</v>
      </c>
      <c r="J524" t="str">
        <f t="shared" si="67"/>
        <v>Thursday</v>
      </c>
      <c r="K524" s="10" t="str">
        <f t="shared" si="68"/>
        <v>July</v>
      </c>
      <c r="L524">
        <f t="shared" si="69"/>
        <v>2024</v>
      </c>
      <c r="M524" t="b">
        <f t="shared" si="70"/>
        <v>0</v>
      </c>
      <c r="N524" t="b">
        <f t="shared" si="64"/>
        <v>1</v>
      </c>
      <c r="O524" t="str">
        <f t="shared" si="71"/>
        <v>Large Order</v>
      </c>
      <c r="P524" s="7">
        <f t="shared" si="65"/>
        <v>8.9415000000000013</v>
      </c>
      <c r="Q524" s="7" t="str">
        <f>VLOOKUP(D525,Product_Lookup!$A$2:$C$27,2,FALSE)</f>
        <v>Laptop</v>
      </c>
      <c r="R524" s="7">
        <f t="shared" si="66"/>
        <v>2145.96</v>
      </c>
    </row>
    <row r="525" spans="1:18" ht="21.75" customHeight="1">
      <c r="A525" t="s">
        <v>674</v>
      </c>
      <c r="B525" s="6">
        <v>45493</v>
      </c>
      <c r="C525" t="s">
        <v>339</v>
      </c>
      <c r="D525" t="s">
        <v>96</v>
      </c>
      <c r="E525" t="s">
        <v>11</v>
      </c>
      <c r="F525" t="s">
        <v>56</v>
      </c>
      <c r="G525" t="s">
        <v>23</v>
      </c>
      <c r="H525">
        <v>1</v>
      </c>
      <c r="I525" t="str">
        <f>VLOOKUP(D525,Product_Lookup!$A$2:$C$27,3,FALSE)</f>
        <v>$230.68</v>
      </c>
      <c r="J525" t="str">
        <f t="shared" si="67"/>
        <v>Saturday</v>
      </c>
      <c r="K525" s="10" t="str">
        <f t="shared" si="68"/>
        <v>July</v>
      </c>
      <c r="L525">
        <f t="shared" si="69"/>
        <v>2024</v>
      </c>
      <c r="M525" t="b">
        <f t="shared" si="70"/>
        <v>1</v>
      </c>
      <c r="N525" t="b">
        <f t="shared" si="64"/>
        <v>0</v>
      </c>
      <c r="O525" t="str">
        <f t="shared" si="71"/>
        <v>Standard order</v>
      </c>
      <c r="P525" s="7">
        <f t="shared" si="65"/>
        <v>11.534000000000001</v>
      </c>
      <c r="Q525" s="7" t="str">
        <f>VLOOKUP(D526,Product_Lookup!$A$2:$C$27,2,FALSE)</f>
        <v>Pen Set</v>
      </c>
      <c r="R525" s="7">
        <f t="shared" si="66"/>
        <v>230.68</v>
      </c>
    </row>
    <row r="526" spans="1:18" ht="21.75" customHeight="1">
      <c r="A526" t="s">
        <v>675</v>
      </c>
      <c r="B526" s="6">
        <v>45636</v>
      </c>
      <c r="C526" t="s">
        <v>329</v>
      </c>
      <c r="D526" t="s">
        <v>174</v>
      </c>
      <c r="E526" t="s">
        <v>22</v>
      </c>
      <c r="F526" t="s">
        <v>27</v>
      </c>
      <c r="G526" t="s">
        <v>28</v>
      </c>
      <c r="H526">
        <v>13</v>
      </c>
      <c r="I526" t="str">
        <f>VLOOKUP(D526,Product_Lookup!$A$2:$C$27,3,FALSE)</f>
        <v>$133.37</v>
      </c>
      <c r="J526" t="str">
        <f t="shared" si="67"/>
        <v>Tuesday</v>
      </c>
      <c r="K526" s="10" t="str">
        <f t="shared" si="68"/>
        <v>December</v>
      </c>
      <c r="L526">
        <f t="shared" si="69"/>
        <v>2024</v>
      </c>
      <c r="M526" t="b">
        <f t="shared" si="70"/>
        <v>0</v>
      </c>
      <c r="N526" t="b">
        <f t="shared" si="64"/>
        <v>1</v>
      </c>
      <c r="O526" t="str">
        <f t="shared" si="71"/>
        <v>Large Order</v>
      </c>
      <c r="P526" s="7">
        <f t="shared" si="65"/>
        <v>6.6685000000000008</v>
      </c>
      <c r="Q526" s="7" t="str">
        <f>VLOOKUP(D527,Product_Lookup!$A$2:$C$27,2,FALSE)</f>
        <v>Jeans</v>
      </c>
      <c r="R526" s="7">
        <f t="shared" si="66"/>
        <v>1733.81</v>
      </c>
    </row>
    <row r="527" spans="1:18" ht="21.75" customHeight="1">
      <c r="A527" t="s">
        <v>676</v>
      </c>
      <c r="B527" s="6">
        <v>45527</v>
      </c>
      <c r="C527" t="s">
        <v>20</v>
      </c>
      <c r="D527" t="s">
        <v>65</v>
      </c>
      <c r="E527" t="s">
        <v>11</v>
      </c>
      <c r="F527" t="s">
        <v>42</v>
      </c>
      <c r="G527" t="s">
        <v>23</v>
      </c>
      <c r="H527">
        <v>4</v>
      </c>
      <c r="I527" t="str">
        <f>VLOOKUP(D527,Product_Lookup!$A$2:$C$27,3,FALSE)</f>
        <v>$33.22</v>
      </c>
      <c r="J527" t="str">
        <f t="shared" si="67"/>
        <v>Friday</v>
      </c>
      <c r="K527" s="10" t="str">
        <f t="shared" si="68"/>
        <v>August</v>
      </c>
      <c r="L527">
        <f t="shared" si="69"/>
        <v>2024</v>
      </c>
      <c r="M527" t="b">
        <f t="shared" si="70"/>
        <v>0</v>
      </c>
      <c r="N527" t="b">
        <f t="shared" si="64"/>
        <v>0</v>
      </c>
      <c r="O527" t="str">
        <f t="shared" si="71"/>
        <v>Standard order</v>
      </c>
      <c r="P527" s="7">
        <f t="shared" si="65"/>
        <v>1.661</v>
      </c>
      <c r="Q527" s="7" t="str">
        <f>VLOOKUP(D528,Product_Lookup!$A$2:$C$27,2,FALSE)</f>
        <v>Jeans</v>
      </c>
      <c r="R527" s="7">
        <f t="shared" si="66"/>
        <v>132.88</v>
      </c>
    </row>
    <row r="528" spans="1:18" ht="21.75" customHeight="1">
      <c r="A528" t="s">
        <v>677</v>
      </c>
      <c r="B528" s="6">
        <v>45606</v>
      </c>
      <c r="C528" t="s">
        <v>337</v>
      </c>
      <c r="D528" t="s">
        <v>65</v>
      </c>
      <c r="E528" t="s">
        <v>11</v>
      </c>
      <c r="F528" t="s">
        <v>56</v>
      </c>
      <c r="G528" t="s">
        <v>13</v>
      </c>
      <c r="H528">
        <v>3</v>
      </c>
      <c r="I528" t="str">
        <f>VLOOKUP(D528,Product_Lookup!$A$2:$C$27,3,FALSE)</f>
        <v>$33.22</v>
      </c>
      <c r="J528" t="str">
        <f t="shared" si="67"/>
        <v>Sunday</v>
      </c>
      <c r="K528" s="10" t="str">
        <f t="shared" si="68"/>
        <v>November</v>
      </c>
      <c r="L528">
        <f t="shared" si="69"/>
        <v>2024</v>
      </c>
      <c r="M528" t="b">
        <f t="shared" si="70"/>
        <v>1</v>
      </c>
      <c r="N528" t="b">
        <f t="shared" si="64"/>
        <v>0</v>
      </c>
      <c r="O528" t="str">
        <f t="shared" si="71"/>
        <v>Standard order</v>
      </c>
      <c r="P528" s="7">
        <f t="shared" si="65"/>
        <v>1.661</v>
      </c>
      <c r="Q528" s="7" t="str">
        <f>VLOOKUP(D529,Product_Lookup!$A$2:$C$27,2,FALSE)</f>
        <v>Jacket</v>
      </c>
      <c r="R528" s="7">
        <f t="shared" si="66"/>
        <v>99.66</v>
      </c>
    </row>
    <row r="529" spans="1:18" ht="21.75" customHeight="1">
      <c r="A529" t="s">
        <v>678</v>
      </c>
      <c r="B529" s="6">
        <v>45520</v>
      </c>
      <c r="C529" t="s">
        <v>327</v>
      </c>
      <c r="D529" t="s">
        <v>197</v>
      </c>
      <c r="E529" t="s">
        <v>22</v>
      </c>
      <c r="F529" t="s">
        <v>12</v>
      </c>
      <c r="G529" t="s">
        <v>28</v>
      </c>
      <c r="H529">
        <v>2</v>
      </c>
      <c r="I529" t="str">
        <f>VLOOKUP(D529,Product_Lookup!$A$2:$C$27,3,FALSE)</f>
        <v>$10.11</v>
      </c>
      <c r="J529" t="str">
        <f t="shared" si="67"/>
        <v>Friday</v>
      </c>
      <c r="K529" s="10" t="str">
        <f t="shared" si="68"/>
        <v>August</v>
      </c>
      <c r="L529">
        <f t="shared" si="69"/>
        <v>2024</v>
      </c>
      <c r="M529" t="b">
        <f t="shared" si="70"/>
        <v>0</v>
      </c>
      <c r="N529" t="b">
        <f t="shared" si="64"/>
        <v>0</v>
      </c>
      <c r="O529" t="str">
        <f t="shared" si="71"/>
        <v>Standard order</v>
      </c>
      <c r="P529" s="7">
        <f t="shared" si="65"/>
        <v>0.50549999999999995</v>
      </c>
      <c r="Q529" s="7" t="str">
        <f>VLOOKUP(D530,Product_Lookup!$A$2:$C$27,2,FALSE)</f>
        <v>Notebook</v>
      </c>
      <c r="R529" s="7">
        <f t="shared" si="66"/>
        <v>20.22</v>
      </c>
    </row>
    <row r="530" spans="1:18" ht="21.75" customHeight="1">
      <c r="A530" t="s">
        <v>679</v>
      </c>
      <c r="B530" s="6">
        <v>45568</v>
      </c>
      <c r="C530" t="s">
        <v>133</v>
      </c>
      <c r="D530" t="s">
        <v>160</v>
      </c>
      <c r="E530" t="s">
        <v>11</v>
      </c>
      <c r="F530" t="s">
        <v>56</v>
      </c>
      <c r="G530" t="s">
        <v>36</v>
      </c>
      <c r="H530">
        <v>10</v>
      </c>
      <c r="I530" t="str">
        <f>VLOOKUP(D530,Product_Lookup!$A$2:$C$27,3,FALSE)</f>
        <v>$149.27</v>
      </c>
      <c r="J530" t="str">
        <f t="shared" si="67"/>
        <v>Thursday</v>
      </c>
      <c r="K530" s="10" t="str">
        <f t="shared" si="68"/>
        <v>October</v>
      </c>
      <c r="L530">
        <f t="shared" si="69"/>
        <v>2024</v>
      </c>
      <c r="M530" t="b">
        <f t="shared" si="70"/>
        <v>0</v>
      </c>
      <c r="N530" t="b">
        <f t="shared" si="64"/>
        <v>1</v>
      </c>
      <c r="O530" t="str">
        <f t="shared" si="71"/>
        <v>Large Order</v>
      </c>
      <c r="P530" s="7">
        <f t="shared" si="65"/>
        <v>7.4635000000000007</v>
      </c>
      <c r="Q530" s="7" t="str">
        <f>VLOOKUP(D531,Product_Lookup!$A$2:$C$27,2,FALSE)</f>
        <v>Jacket</v>
      </c>
      <c r="R530" s="7">
        <f t="shared" si="66"/>
        <v>1492.7</v>
      </c>
    </row>
    <row r="531" spans="1:18" ht="21.75" customHeight="1">
      <c r="A531" t="s">
        <v>680</v>
      </c>
      <c r="B531" s="6">
        <v>45455</v>
      </c>
      <c r="C531" t="s">
        <v>314</v>
      </c>
      <c r="D531" t="s">
        <v>197</v>
      </c>
      <c r="E531" t="s">
        <v>22</v>
      </c>
      <c r="F531" t="s">
        <v>42</v>
      </c>
      <c r="G531" t="s">
        <v>36</v>
      </c>
      <c r="H531">
        <v>10</v>
      </c>
      <c r="I531" t="str">
        <f>VLOOKUP(D531,Product_Lookup!$A$2:$C$27,3,FALSE)</f>
        <v>$10.11</v>
      </c>
      <c r="J531" t="str">
        <f t="shared" si="67"/>
        <v>Wednesday</v>
      </c>
      <c r="K531" s="10" t="str">
        <f t="shared" si="68"/>
        <v>June</v>
      </c>
      <c r="L531">
        <f t="shared" si="69"/>
        <v>2024</v>
      </c>
      <c r="M531" t="b">
        <f t="shared" si="70"/>
        <v>0</v>
      </c>
      <c r="N531" t="b">
        <f t="shared" si="64"/>
        <v>0</v>
      </c>
      <c r="O531" t="str">
        <f t="shared" si="71"/>
        <v>Standard order</v>
      </c>
      <c r="P531" s="7">
        <f t="shared" si="65"/>
        <v>0.50549999999999995</v>
      </c>
      <c r="Q531" s="7" t="str">
        <f>VLOOKUP(D532,Product_Lookup!$A$2:$C$27,2,FALSE)</f>
        <v>Smartphone</v>
      </c>
      <c r="R531" s="7">
        <f t="shared" si="66"/>
        <v>101.1</v>
      </c>
    </row>
    <row r="532" spans="1:18" ht="21.75" customHeight="1">
      <c r="A532" t="s">
        <v>681</v>
      </c>
      <c r="B532" s="6">
        <v>45405</v>
      </c>
      <c r="C532" t="s">
        <v>408</v>
      </c>
      <c r="D532" t="s">
        <v>79</v>
      </c>
      <c r="E532" t="s">
        <v>17</v>
      </c>
      <c r="F532" t="s">
        <v>42</v>
      </c>
      <c r="G532" t="s">
        <v>28</v>
      </c>
      <c r="H532">
        <v>18</v>
      </c>
      <c r="I532" t="str">
        <f>VLOOKUP(D532,Product_Lookup!$A$2:$C$27,3,FALSE)</f>
        <v>$216.22</v>
      </c>
      <c r="J532" t="str">
        <f t="shared" si="67"/>
        <v>Tuesday</v>
      </c>
      <c r="K532" s="10" t="str">
        <f t="shared" si="68"/>
        <v>April</v>
      </c>
      <c r="L532">
        <f t="shared" si="69"/>
        <v>2024</v>
      </c>
      <c r="M532" t="b">
        <f t="shared" si="70"/>
        <v>0</v>
      </c>
      <c r="N532" t="b">
        <f t="shared" si="64"/>
        <v>1</v>
      </c>
      <c r="O532" t="str">
        <f t="shared" si="71"/>
        <v>Large Order</v>
      </c>
      <c r="P532" s="7">
        <f t="shared" si="65"/>
        <v>10.811</v>
      </c>
      <c r="Q532" s="7" t="str">
        <f>VLOOKUP(D533,Product_Lookup!$A$2:$C$27,2,FALSE)</f>
        <v>Stapler</v>
      </c>
      <c r="R532" s="7">
        <f t="shared" si="66"/>
        <v>3891.96</v>
      </c>
    </row>
    <row r="533" spans="1:18" ht="21.75" customHeight="1">
      <c r="A533" t="s">
        <v>682</v>
      </c>
      <c r="B533" s="6">
        <v>45612</v>
      </c>
      <c r="C533" t="s">
        <v>422</v>
      </c>
      <c r="D533" t="s">
        <v>35</v>
      </c>
      <c r="E533" t="s">
        <v>17</v>
      </c>
      <c r="F533" t="s">
        <v>306</v>
      </c>
      <c r="G533" t="s">
        <v>23</v>
      </c>
      <c r="H533">
        <v>2</v>
      </c>
      <c r="I533" t="str">
        <f>VLOOKUP(D533,Product_Lookup!$A$2:$C$27,3,FALSE)</f>
        <v>$64.61</v>
      </c>
      <c r="J533" t="str">
        <f t="shared" si="67"/>
        <v>Saturday</v>
      </c>
      <c r="K533" s="10" t="str">
        <f t="shared" si="68"/>
        <v>November</v>
      </c>
      <c r="L533">
        <f t="shared" si="69"/>
        <v>2024</v>
      </c>
      <c r="M533" t="b">
        <f t="shared" si="70"/>
        <v>1</v>
      </c>
      <c r="N533" t="b">
        <f t="shared" si="64"/>
        <v>0</v>
      </c>
      <c r="O533" t="str">
        <f t="shared" si="71"/>
        <v>Standard order</v>
      </c>
      <c r="P533" s="7">
        <f t="shared" si="65"/>
        <v>3.2305000000000001</v>
      </c>
      <c r="Q533" s="7" t="str">
        <f>VLOOKUP(D534,Product_Lookup!$A$2:$C$27,2,FALSE)</f>
        <v>Vacuum</v>
      </c>
      <c r="R533" s="7">
        <f t="shared" si="66"/>
        <v>129.22</v>
      </c>
    </row>
    <row r="534" spans="1:18" ht="21.75" customHeight="1">
      <c r="A534" t="s">
        <v>683</v>
      </c>
      <c r="B534" s="6">
        <v>45560</v>
      </c>
      <c r="C534" t="s">
        <v>38</v>
      </c>
      <c r="D534" t="s">
        <v>87</v>
      </c>
      <c r="E534" t="s">
        <v>22</v>
      </c>
      <c r="F534" t="s">
        <v>27</v>
      </c>
      <c r="G534" t="s">
        <v>28</v>
      </c>
      <c r="H534">
        <v>5</v>
      </c>
      <c r="I534" t="str">
        <f>VLOOKUP(D534,Product_Lookup!$A$2:$C$27,3,FALSE)</f>
        <v>$26.59</v>
      </c>
      <c r="J534" t="str">
        <f t="shared" si="67"/>
        <v>Wednesday</v>
      </c>
      <c r="K534" s="10" t="str">
        <f t="shared" si="68"/>
        <v>September</v>
      </c>
      <c r="L534">
        <f t="shared" si="69"/>
        <v>2024</v>
      </c>
      <c r="M534" t="b">
        <f t="shared" si="70"/>
        <v>0</v>
      </c>
      <c r="N534" t="b">
        <f t="shared" si="64"/>
        <v>0</v>
      </c>
      <c r="O534" t="str">
        <f t="shared" si="71"/>
        <v>Standard order</v>
      </c>
      <c r="P534" s="7">
        <f t="shared" si="65"/>
        <v>1.3295000000000001</v>
      </c>
      <c r="Q534" s="7" t="str">
        <f>VLOOKUP(D535,Product_Lookup!$A$2:$C$27,2,FALSE)</f>
        <v>Socks</v>
      </c>
      <c r="R534" s="7">
        <f t="shared" si="66"/>
        <v>132.94999999999999</v>
      </c>
    </row>
    <row r="535" spans="1:18" ht="21.75" customHeight="1">
      <c r="A535" t="s">
        <v>684</v>
      </c>
      <c r="B535" s="6">
        <v>45567</v>
      </c>
      <c r="C535" t="s">
        <v>553</v>
      </c>
      <c r="D535" t="s">
        <v>74</v>
      </c>
      <c r="E535" t="s">
        <v>11</v>
      </c>
      <c r="F535" t="s">
        <v>56</v>
      </c>
      <c r="G535" t="s">
        <v>13</v>
      </c>
      <c r="H535">
        <v>5</v>
      </c>
      <c r="I535" t="str">
        <f>VLOOKUP(D535,Product_Lookup!$A$2:$C$27,3,FALSE)</f>
        <v>$201.32</v>
      </c>
      <c r="J535" t="str">
        <f t="shared" si="67"/>
        <v>Wednesday</v>
      </c>
      <c r="K535" s="10" t="str">
        <f t="shared" si="68"/>
        <v>October</v>
      </c>
      <c r="L535">
        <f t="shared" si="69"/>
        <v>2024</v>
      </c>
      <c r="M535" t="b">
        <f t="shared" si="70"/>
        <v>0</v>
      </c>
      <c r="N535" t="b">
        <f t="shared" si="64"/>
        <v>0</v>
      </c>
      <c r="O535" t="str">
        <f t="shared" si="71"/>
        <v>Large Order</v>
      </c>
      <c r="P535" s="7">
        <f t="shared" si="65"/>
        <v>10.066000000000001</v>
      </c>
      <c r="Q535" s="7" t="str">
        <f>VLOOKUP(D536,Product_Lookup!$A$2:$C$27,2,FALSE)</f>
        <v>Notebook</v>
      </c>
      <c r="R535" s="7">
        <f t="shared" si="66"/>
        <v>1006.5999999999999</v>
      </c>
    </row>
    <row r="536" spans="1:18" ht="21.75" customHeight="1">
      <c r="A536" t="s">
        <v>685</v>
      </c>
      <c r="B536" s="6">
        <v>45579</v>
      </c>
      <c r="C536" t="s">
        <v>408</v>
      </c>
      <c r="D536" t="s">
        <v>160</v>
      </c>
      <c r="E536" t="s">
        <v>17</v>
      </c>
      <c r="F536" t="s">
        <v>306</v>
      </c>
      <c r="G536" t="s">
        <v>32</v>
      </c>
      <c r="H536">
        <v>5</v>
      </c>
      <c r="I536" t="str">
        <f>VLOOKUP(D536,Product_Lookup!$A$2:$C$27,3,FALSE)</f>
        <v>$149.27</v>
      </c>
      <c r="J536" t="str">
        <f t="shared" si="67"/>
        <v>Monday</v>
      </c>
      <c r="K536" s="10" t="str">
        <f t="shared" si="68"/>
        <v>October</v>
      </c>
      <c r="L536">
        <f t="shared" si="69"/>
        <v>2024</v>
      </c>
      <c r="M536" t="b">
        <f t="shared" si="70"/>
        <v>0</v>
      </c>
      <c r="N536" t="b">
        <f t="shared" si="64"/>
        <v>0</v>
      </c>
      <c r="O536" t="str">
        <f t="shared" si="71"/>
        <v>Large Order</v>
      </c>
      <c r="P536" s="7">
        <f t="shared" si="65"/>
        <v>7.4635000000000007</v>
      </c>
      <c r="Q536" s="7" t="str">
        <f>VLOOKUP(D537,Product_Lookup!$A$2:$C$27,2,FALSE)</f>
        <v>Air Fryer</v>
      </c>
      <c r="R536" s="7">
        <f t="shared" si="66"/>
        <v>746.35</v>
      </c>
    </row>
    <row r="537" spans="1:18" ht="21.75" customHeight="1">
      <c r="A537" t="s">
        <v>686</v>
      </c>
      <c r="B537" s="6">
        <v>45396</v>
      </c>
      <c r="C537" t="s">
        <v>118</v>
      </c>
      <c r="D537" t="s">
        <v>70</v>
      </c>
      <c r="E537" t="s">
        <v>22</v>
      </c>
      <c r="F537" t="s">
        <v>12</v>
      </c>
      <c r="G537" t="s">
        <v>28</v>
      </c>
      <c r="H537">
        <v>12</v>
      </c>
      <c r="I537" t="str">
        <f>VLOOKUP(D537,Product_Lookup!$A$2:$C$27,3,FALSE)</f>
        <v>$211.9</v>
      </c>
      <c r="J537" t="str">
        <f t="shared" si="67"/>
        <v>Sunday</v>
      </c>
      <c r="K537" s="10" t="str">
        <f t="shared" si="68"/>
        <v>April</v>
      </c>
      <c r="L537">
        <f t="shared" si="69"/>
        <v>2024</v>
      </c>
      <c r="M537" t="b">
        <f t="shared" si="70"/>
        <v>1</v>
      </c>
      <c r="N537" t="b">
        <f t="shared" si="64"/>
        <v>1</v>
      </c>
      <c r="O537" t="str">
        <f t="shared" si="71"/>
        <v>Large Order</v>
      </c>
      <c r="P537" s="7">
        <f t="shared" si="65"/>
        <v>10.595000000000001</v>
      </c>
      <c r="Q537" s="7" t="str">
        <f>VLOOKUP(D538,Product_Lookup!$A$2:$C$27,2,FALSE)</f>
        <v>Paper Shredder</v>
      </c>
      <c r="R537" s="7">
        <f t="shared" si="66"/>
        <v>2542.8000000000002</v>
      </c>
    </row>
    <row r="538" spans="1:18" ht="21.75" customHeight="1">
      <c r="A538" t="s">
        <v>687</v>
      </c>
      <c r="B538" s="6">
        <v>45318</v>
      </c>
      <c r="C538" t="s">
        <v>101</v>
      </c>
      <c r="D538" t="s">
        <v>109</v>
      </c>
      <c r="E538" t="s">
        <v>17</v>
      </c>
      <c r="F538" t="s">
        <v>306</v>
      </c>
      <c r="G538" t="s">
        <v>28</v>
      </c>
      <c r="H538">
        <v>2</v>
      </c>
      <c r="I538" t="str">
        <f>VLOOKUP(D538,Product_Lookup!$A$2:$C$27,3,FALSE)</f>
        <v>$81.02</v>
      </c>
      <c r="J538" t="str">
        <f t="shared" si="67"/>
        <v>Saturday</v>
      </c>
      <c r="K538" s="10" t="str">
        <f t="shared" si="68"/>
        <v>January</v>
      </c>
      <c r="L538">
        <f t="shared" si="69"/>
        <v>2024</v>
      </c>
      <c r="M538" t="b">
        <f t="shared" si="70"/>
        <v>1</v>
      </c>
      <c r="N538" t="b">
        <f t="shared" si="64"/>
        <v>0</v>
      </c>
      <c r="O538" t="str">
        <f t="shared" si="71"/>
        <v>Standard order</v>
      </c>
      <c r="P538" s="7">
        <f t="shared" si="65"/>
        <v>4.0510000000000002</v>
      </c>
      <c r="Q538" s="7" t="str">
        <f>VLOOKUP(D539,Product_Lookup!$A$2:$C$27,2,FALSE)</f>
        <v>Jeans</v>
      </c>
      <c r="R538" s="7">
        <f t="shared" si="66"/>
        <v>162.04</v>
      </c>
    </row>
    <row r="539" spans="1:18" ht="21.75" customHeight="1">
      <c r="A539" t="s">
        <v>688</v>
      </c>
      <c r="B539" s="6">
        <v>45592</v>
      </c>
      <c r="C539" t="s">
        <v>329</v>
      </c>
      <c r="D539" t="s">
        <v>65</v>
      </c>
      <c r="E539" t="s">
        <v>22</v>
      </c>
      <c r="F539" t="s">
        <v>306</v>
      </c>
      <c r="G539" t="s">
        <v>32</v>
      </c>
      <c r="H539">
        <v>16</v>
      </c>
      <c r="I539" t="str">
        <f>VLOOKUP(D539,Product_Lookup!$A$2:$C$27,3,FALSE)</f>
        <v>$33.22</v>
      </c>
      <c r="J539" t="str">
        <f t="shared" si="67"/>
        <v>Sunday</v>
      </c>
      <c r="K539" s="10" t="str">
        <f t="shared" si="68"/>
        <v>October</v>
      </c>
      <c r="L539">
        <f t="shared" si="69"/>
        <v>2024</v>
      </c>
      <c r="M539" t="b">
        <f t="shared" si="70"/>
        <v>1</v>
      </c>
      <c r="N539" t="b">
        <f t="shared" si="64"/>
        <v>0</v>
      </c>
      <c r="O539" t="str">
        <f t="shared" si="71"/>
        <v>Large Order</v>
      </c>
      <c r="P539" s="7">
        <f t="shared" si="65"/>
        <v>1.661</v>
      </c>
      <c r="Q539" s="7" t="str">
        <f>VLOOKUP(D540,Product_Lookup!$A$2:$C$27,2,FALSE)</f>
        <v>Lego Set</v>
      </c>
      <c r="R539" s="7">
        <f t="shared" si="66"/>
        <v>531.52</v>
      </c>
    </row>
    <row r="540" spans="1:18" ht="21.75" customHeight="1">
      <c r="A540" t="s">
        <v>689</v>
      </c>
      <c r="B540" s="6">
        <v>45447</v>
      </c>
      <c r="C540" t="s">
        <v>142</v>
      </c>
      <c r="D540" t="s">
        <v>84</v>
      </c>
      <c r="E540" t="s">
        <v>11</v>
      </c>
      <c r="F540" t="s">
        <v>56</v>
      </c>
      <c r="G540" t="s">
        <v>23</v>
      </c>
      <c r="H540">
        <v>4</v>
      </c>
      <c r="I540" t="str">
        <f>VLOOKUP(D540,Product_Lookup!$A$2:$C$27,3,FALSE)</f>
        <v>$130.07</v>
      </c>
      <c r="J540" t="str">
        <f t="shared" si="67"/>
        <v>Tuesday</v>
      </c>
      <c r="K540" s="10" t="str">
        <f t="shared" si="68"/>
        <v>June</v>
      </c>
      <c r="L540">
        <f t="shared" si="69"/>
        <v>2024</v>
      </c>
      <c r="M540" t="b">
        <f t="shared" si="70"/>
        <v>0</v>
      </c>
      <c r="N540" t="b">
        <f t="shared" si="64"/>
        <v>0</v>
      </c>
      <c r="O540" t="str">
        <f t="shared" si="71"/>
        <v>Large Order</v>
      </c>
      <c r="P540" s="7">
        <f t="shared" si="65"/>
        <v>6.5034999999999998</v>
      </c>
      <c r="Q540" s="7" t="str">
        <f>VLOOKUP(D541,Product_Lookup!$A$2:$C$27,2,FALSE)</f>
        <v>Coffee Maker</v>
      </c>
      <c r="R540" s="7">
        <f t="shared" si="66"/>
        <v>520.28</v>
      </c>
    </row>
    <row r="541" spans="1:18" ht="21.75" customHeight="1">
      <c r="A541" t="s">
        <v>690</v>
      </c>
      <c r="B541" s="6">
        <v>45416</v>
      </c>
      <c r="C541" t="s">
        <v>424</v>
      </c>
      <c r="D541" t="s">
        <v>31</v>
      </c>
      <c r="E541" t="s">
        <v>22</v>
      </c>
      <c r="F541" t="s">
        <v>56</v>
      </c>
      <c r="G541" t="s">
        <v>32</v>
      </c>
      <c r="H541">
        <v>8</v>
      </c>
      <c r="I541" t="str">
        <f>VLOOKUP(D541,Product_Lookup!$A$2:$C$27,3,FALSE)</f>
        <v>$230.34</v>
      </c>
      <c r="J541" t="str">
        <f t="shared" si="67"/>
        <v>Saturday</v>
      </c>
      <c r="K541" s="10" t="str">
        <f t="shared" si="68"/>
        <v>May</v>
      </c>
      <c r="L541">
        <f t="shared" si="69"/>
        <v>2024</v>
      </c>
      <c r="M541" t="b">
        <f t="shared" si="70"/>
        <v>1</v>
      </c>
      <c r="N541" t="b">
        <f t="shared" si="64"/>
        <v>1</v>
      </c>
      <c r="O541" t="str">
        <f t="shared" si="71"/>
        <v>Large Order</v>
      </c>
      <c r="P541" s="7">
        <f t="shared" si="65"/>
        <v>11.517000000000001</v>
      </c>
      <c r="Q541" s="7" t="str">
        <f>VLOOKUP(D542,Product_Lookup!$A$2:$C$27,2,FALSE)</f>
        <v>Socks</v>
      </c>
      <c r="R541" s="7">
        <f t="shared" si="66"/>
        <v>1842.72</v>
      </c>
    </row>
    <row r="542" spans="1:18" ht="21.75" customHeight="1">
      <c r="A542" t="s">
        <v>691</v>
      </c>
      <c r="B542" s="6">
        <v>45486</v>
      </c>
      <c r="C542" t="s">
        <v>319</v>
      </c>
      <c r="D542" t="s">
        <v>74</v>
      </c>
      <c r="E542" t="s">
        <v>22</v>
      </c>
      <c r="F542" t="s">
        <v>42</v>
      </c>
      <c r="G542" t="s">
        <v>23</v>
      </c>
      <c r="H542">
        <v>9</v>
      </c>
      <c r="I542" t="str">
        <f>VLOOKUP(D542,Product_Lookup!$A$2:$C$27,3,FALSE)</f>
        <v>$201.32</v>
      </c>
      <c r="J542" t="str">
        <f t="shared" si="67"/>
        <v>Saturday</v>
      </c>
      <c r="K542" s="10" t="str">
        <f t="shared" si="68"/>
        <v>July</v>
      </c>
      <c r="L542">
        <f t="shared" si="69"/>
        <v>2024</v>
      </c>
      <c r="M542" t="b">
        <f t="shared" si="70"/>
        <v>1</v>
      </c>
      <c r="N542" t="b">
        <f t="shared" si="64"/>
        <v>1</v>
      </c>
      <c r="O542" t="str">
        <f t="shared" si="71"/>
        <v>Large Order</v>
      </c>
      <c r="P542" s="7">
        <f t="shared" si="65"/>
        <v>10.066000000000001</v>
      </c>
      <c r="Q542" s="7" t="str">
        <f>VLOOKUP(D543,Product_Lookup!$A$2:$C$27,2,FALSE)</f>
        <v>Doll</v>
      </c>
      <c r="R542" s="7">
        <f t="shared" si="66"/>
        <v>1811.8799999999999</v>
      </c>
    </row>
    <row r="543" spans="1:18" ht="21.75" customHeight="1">
      <c r="A543" t="s">
        <v>692</v>
      </c>
      <c r="B543" s="6">
        <v>45530</v>
      </c>
      <c r="C543" t="s">
        <v>108</v>
      </c>
      <c r="D543" t="s">
        <v>119</v>
      </c>
      <c r="E543" t="s">
        <v>22</v>
      </c>
      <c r="F543" t="s">
        <v>27</v>
      </c>
      <c r="G543" t="s">
        <v>32</v>
      </c>
      <c r="H543">
        <v>11</v>
      </c>
      <c r="I543" t="str">
        <f>VLOOKUP(D543,Product_Lookup!$A$2:$C$27,3,FALSE)</f>
        <v>$32.94</v>
      </c>
      <c r="J543" t="str">
        <f t="shared" si="67"/>
        <v>Monday</v>
      </c>
      <c r="K543" s="10" t="str">
        <f t="shared" si="68"/>
        <v>August</v>
      </c>
      <c r="L543">
        <f t="shared" si="69"/>
        <v>2024</v>
      </c>
      <c r="M543" t="b">
        <f t="shared" si="70"/>
        <v>0</v>
      </c>
      <c r="N543" t="b">
        <f t="shared" si="64"/>
        <v>0</v>
      </c>
      <c r="O543" t="str">
        <f t="shared" si="71"/>
        <v>Standard order</v>
      </c>
      <c r="P543" s="7">
        <f t="shared" si="65"/>
        <v>1.647</v>
      </c>
      <c r="Q543" s="7" t="str">
        <f>VLOOKUP(D544,Product_Lookup!$A$2:$C$27,2,FALSE)</f>
        <v>Jacket</v>
      </c>
      <c r="R543" s="7">
        <f t="shared" si="66"/>
        <v>362.34</v>
      </c>
    </row>
    <row r="544" spans="1:18" ht="21.75" customHeight="1">
      <c r="A544" t="s">
        <v>693</v>
      </c>
      <c r="B544" s="6">
        <v>45452</v>
      </c>
      <c r="C544" t="s">
        <v>408</v>
      </c>
      <c r="D544" t="s">
        <v>197</v>
      </c>
      <c r="E544" t="s">
        <v>11</v>
      </c>
      <c r="F544" t="s">
        <v>306</v>
      </c>
      <c r="G544" t="s">
        <v>36</v>
      </c>
      <c r="H544">
        <v>5</v>
      </c>
      <c r="I544" t="str">
        <f>VLOOKUP(D544,Product_Lookup!$A$2:$C$27,3,FALSE)</f>
        <v>$10.11</v>
      </c>
      <c r="J544" t="str">
        <f t="shared" si="67"/>
        <v>Sunday</v>
      </c>
      <c r="K544" s="10" t="str">
        <f t="shared" si="68"/>
        <v>June</v>
      </c>
      <c r="L544">
        <f t="shared" si="69"/>
        <v>2024</v>
      </c>
      <c r="M544" t="b">
        <f t="shared" si="70"/>
        <v>1</v>
      </c>
      <c r="N544" t="b">
        <f t="shared" si="64"/>
        <v>0</v>
      </c>
      <c r="O544" t="str">
        <f t="shared" si="71"/>
        <v>Standard order</v>
      </c>
      <c r="P544" s="7">
        <f t="shared" si="65"/>
        <v>0.50549999999999995</v>
      </c>
      <c r="Q544" s="7" t="str">
        <f>VLOOKUP(D545,Product_Lookup!$A$2:$C$27,2,FALSE)</f>
        <v>Socks</v>
      </c>
      <c r="R544" s="7">
        <f t="shared" si="66"/>
        <v>50.55</v>
      </c>
    </row>
    <row r="545" spans="1:18" ht="21.75" customHeight="1">
      <c r="A545" t="s">
        <v>694</v>
      </c>
      <c r="B545" s="6">
        <v>45591</v>
      </c>
      <c r="C545" t="s">
        <v>361</v>
      </c>
      <c r="D545" t="s">
        <v>74</v>
      </c>
      <c r="E545" t="s">
        <v>22</v>
      </c>
      <c r="F545" t="s">
        <v>27</v>
      </c>
      <c r="G545" t="s">
        <v>28</v>
      </c>
      <c r="H545">
        <v>5</v>
      </c>
      <c r="I545" t="str">
        <f>VLOOKUP(D545,Product_Lookup!$A$2:$C$27,3,FALSE)</f>
        <v>$201.32</v>
      </c>
      <c r="J545" t="str">
        <f t="shared" si="67"/>
        <v>Saturday</v>
      </c>
      <c r="K545" s="10" t="str">
        <f t="shared" si="68"/>
        <v>October</v>
      </c>
      <c r="L545">
        <f t="shared" si="69"/>
        <v>2024</v>
      </c>
      <c r="M545" t="b">
        <f t="shared" si="70"/>
        <v>1</v>
      </c>
      <c r="N545" t="b">
        <f t="shared" si="64"/>
        <v>0</v>
      </c>
      <c r="O545" t="str">
        <f t="shared" si="71"/>
        <v>Large Order</v>
      </c>
      <c r="P545" s="7">
        <f t="shared" si="65"/>
        <v>10.066000000000001</v>
      </c>
      <c r="Q545" s="7" t="str">
        <f>VLOOKUP(D546,Product_Lookup!$A$2:$C$27,2,FALSE)</f>
        <v>Pen Set</v>
      </c>
      <c r="R545" s="7">
        <f t="shared" si="66"/>
        <v>1006.5999999999999</v>
      </c>
    </row>
    <row r="546" spans="1:18" ht="21.75" customHeight="1">
      <c r="A546" t="s">
        <v>695</v>
      </c>
      <c r="B546" s="6">
        <v>45486</v>
      </c>
      <c r="C546" t="s">
        <v>614</v>
      </c>
      <c r="D546" t="s">
        <v>174</v>
      </c>
      <c r="E546" t="s">
        <v>11</v>
      </c>
      <c r="F546" t="s">
        <v>27</v>
      </c>
      <c r="G546" t="s">
        <v>23</v>
      </c>
      <c r="H546">
        <v>11</v>
      </c>
      <c r="I546" t="str">
        <f>VLOOKUP(D546,Product_Lookup!$A$2:$C$27,3,FALSE)</f>
        <v>$133.37</v>
      </c>
      <c r="J546" t="str">
        <f t="shared" si="67"/>
        <v>Saturday</v>
      </c>
      <c r="K546" s="10" t="str">
        <f t="shared" si="68"/>
        <v>July</v>
      </c>
      <c r="L546">
        <f t="shared" si="69"/>
        <v>2024</v>
      </c>
      <c r="M546" t="b">
        <f t="shared" si="70"/>
        <v>1</v>
      </c>
      <c r="N546" t="b">
        <f t="shared" si="64"/>
        <v>1</v>
      </c>
      <c r="O546" t="str">
        <f t="shared" si="71"/>
        <v>Large Order</v>
      </c>
      <c r="P546" s="7">
        <f t="shared" si="65"/>
        <v>6.6685000000000008</v>
      </c>
      <c r="Q546" s="7" t="str">
        <f>VLOOKUP(D547,Product_Lookup!$A$2:$C$27,2,FALSE)</f>
        <v>T-Shirt</v>
      </c>
      <c r="R546" s="7">
        <f t="shared" si="66"/>
        <v>1467.0700000000002</v>
      </c>
    </row>
    <row r="547" spans="1:18" ht="21.75" customHeight="1">
      <c r="A547" t="s">
        <v>696</v>
      </c>
      <c r="B547" s="6">
        <v>45620</v>
      </c>
      <c r="C547" t="s">
        <v>304</v>
      </c>
      <c r="D547" t="s">
        <v>45</v>
      </c>
      <c r="E547" t="s">
        <v>17</v>
      </c>
      <c r="F547" t="s">
        <v>27</v>
      </c>
      <c r="G547" t="s">
        <v>36</v>
      </c>
      <c r="H547">
        <v>12</v>
      </c>
      <c r="I547" t="str">
        <f>VLOOKUP(D547,Product_Lookup!$A$2:$C$27,3,FALSE)</f>
        <v>$107.34</v>
      </c>
      <c r="J547" t="str">
        <f t="shared" si="67"/>
        <v>Sunday</v>
      </c>
      <c r="K547" s="10" t="str">
        <f t="shared" si="68"/>
        <v>November</v>
      </c>
      <c r="L547">
        <f t="shared" si="69"/>
        <v>2024</v>
      </c>
      <c r="M547" t="b">
        <f t="shared" si="70"/>
        <v>1</v>
      </c>
      <c r="N547" t="b">
        <f t="shared" si="64"/>
        <v>1</v>
      </c>
      <c r="O547" t="str">
        <f t="shared" si="71"/>
        <v>Large Order</v>
      </c>
      <c r="P547" s="7">
        <f t="shared" si="65"/>
        <v>5.3670000000000009</v>
      </c>
      <c r="Q547" s="7" t="str">
        <f>VLOOKUP(D548,Product_Lookup!$A$2:$C$27,2,FALSE)</f>
        <v>Notebook</v>
      </c>
      <c r="R547" s="7">
        <f t="shared" si="66"/>
        <v>1288.08</v>
      </c>
    </row>
    <row r="548" spans="1:18" ht="21.75" customHeight="1">
      <c r="A548" t="s">
        <v>697</v>
      </c>
      <c r="B548" s="6">
        <v>45542</v>
      </c>
      <c r="C548" t="s">
        <v>44</v>
      </c>
      <c r="D548" t="s">
        <v>160</v>
      </c>
      <c r="E548" t="s">
        <v>22</v>
      </c>
      <c r="F548" t="s">
        <v>12</v>
      </c>
      <c r="G548" t="s">
        <v>13</v>
      </c>
      <c r="H548">
        <v>2</v>
      </c>
      <c r="I548" t="str">
        <f>VLOOKUP(D548,Product_Lookup!$A$2:$C$27,3,FALSE)</f>
        <v>$149.27</v>
      </c>
      <c r="J548" t="str">
        <f t="shared" si="67"/>
        <v>Saturday</v>
      </c>
      <c r="K548" s="10" t="str">
        <f t="shared" si="68"/>
        <v>September</v>
      </c>
      <c r="L548">
        <f t="shared" si="69"/>
        <v>2024</v>
      </c>
      <c r="M548" t="b">
        <f t="shared" si="70"/>
        <v>1</v>
      </c>
      <c r="N548" t="b">
        <f t="shared" si="64"/>
        <v>0</v>
      </c>
      <c r="O548" t="str">
        <f t="shared" si="71"/>
        <v>Standard order</v>
      </c>
      <c r="P548" s="7">
        <f t="shared" si="65"/>
        <v>7.4635000000000007</v>
      </c>
      <c r="Q548" s="7" t="str">
        <f>VLOOKUP(D549,Product_Lookup!$A$2:$C$27,2,FALSE)</f>
        <v>Headphones</v>
      </c>
      <c r="R548" s="7">
        <f t="shared" si="66"/>
        <v>298.54000000000002</v>
      </c>
    </row>
    <row r="549" spans="1:18" ht="21.75" customHeight="1">
      <c r="A549" t="s">
        <v>698</v>
      </c>
      <c r="B549" s="6">
        <v>45634</v>
      </c>
      <c r="C549" t="s">
        <v>9</v>
      </c>
      <c r="D549" t="s">
        <v>16</v>
      </c>
      <c r="E549" t="s">
        <v>11</v>
      </c>
      <c r="F549" t="s">
        <v>27</v>
      </c>
      <c r="G549" t="s">
        <v>28</v>
      </c>
      <c r="H549">
        <v>8</v>
      </c>
      <c r="I549" t="str">
        <f>VLOOKUP(D549,Product_Lookup!$A$2:$C$27,3,FALSE)</f>
        <v>$178.83</v>
      </c>
      <c r="J549" t="str">
        <f t="shared" si="67"/>
        <v>Sunday</v>
      </c>
      <c r="K549" s="10" t="str">
        <f t="shared" si="68"/>
        <v>December</v>
      </c>
      <c r="L549">
        <f t="shared" si="69"/>
        <v>2024</v>
      </c>
      <c r="M549" t="b">
        <f t="shared" si="70"/>
        <v>1</v>
      </c>
      <c r="N549" t="b">
        <f t="shared" si="64"/>
        <v>1</v>
      </c>
      <c r="O549" t="str">
        <f t="shared" si="71"/>
        <v>Large Order</v>
      </c>
      <c r="P549" s="7">
        <f t="shared" si="65"/>
        <v>8.9415000000000013</v>
      </c>
      <c r="Q549" s="7" t="str">
        <f>VLOOKUP(D550,Product_Lookup!$A$2:$C$27,2,FALSE)</f>
        <v>Toaster</v>
      </c>
      <c r="R549" s="7">
        <f t="shared" si="66"/>
        <v>1430.64</v>
      </c>
    </row>
    <row r="550" spans="1:18" ht="21.75" customHeight="1">
      <c r="A550" t="s">
        <v>699</v>
      </c>
      <c r="B550" s="6">
        <v>45296</v>
      </c>
      <c r="C550" t="s">
        <v>133</v>
      </c>
      <c r="D550" t="s">
        <v>48</v>
      </c>
      <c r="E550" t="s">
        <v>22</v>
      </c>
      <c r="F550" t="s">
        <v>27</v>
      </c>
      <c r="G550" t="s">
        <v>36</v>
      </c>
      <c r="H550">
        <v>2</v>
      </c>
      <c r="I550" t="str">
        <f>VLOOKUP(D550,Product_Lookup!$A$2:$C$27,3,FALSE)</f>
        <v>$208.85</v>
      </c>
      <c r="J550" t="str">
        <f t="shared" si="67"/>
        <v>Friday</v>
      </c>
      <c r="K550" s="10" t="str">
        <f t="shared" si="68"/>
        <v>January</v>
      </c>
      <c r="L550">
        <f t="shared" si="69"/>
        <v>2024</v>
      </c>
      <c r="M550" t="b">
        <f t="shared" si="70"/>
        <v>0</v>
      </c>
      <c r="N550" t="b">
        <f t="shared" si="64"/>
        <v>0</v>
      </c>
      <c r="O550" t="str">
        <f t="shared" si="71"/>
        <v>Standard order</v>
      </c>
      <c r="P550" s="7">
        <f t="shared" si="65"/>
        <v>10.442500000000001</v>
      </c>
      <c r="Q550" s="7" t="str">
        <f>VLOOKUP(D551,Product_Lookup!$A$2:$C$27,2,FALSE)</f>
        <v>Laptop</v>
      </c>
      <c r="R550" s="7">
        <f t="shared" si="66"/>
        <v>417.7</v>
      </c>
    </row>
    <row r="551" spans="1:18" ht="21.75" customHeight="1">
      <c r="A551" t="s">
        <v>700</v>
      </c>
      <c r="B551" s="6">
        <v>45539</v>
      </c>
      <c r="C551" t="s">
        <v>371</v>
      </c>
      <c r="D551" t="s">
        <v>96</v>
      </c>
      <c r="E551" t="s">
        <v>17</v>
      </c>
      <c r="F551" t="s">
        <v>12</v>
      </c>
      <c r="G551" t="s">
        <v>13</v>
      </c>
      <c r="H551">
        <v>18</v>
      </c>
      <c r="I551" t="str">
        <f>VLOOKUP(D551,Product_Lookup!$A$2:$C$27,3,FALSE)</f>
        <v>$230.68</v>
      </c>
      <c r="J551" t="str">
        <f t="shared" si="67"/>
        <v>Wednesday</v>
      </c>
      <c r="K551" s="10" t="str">
        <f t="shared" si="68"/>
        <v>September</v>
      </c>
      <c r="L551">
        <f t="shared" si="69"/>
        <v>2024</v>
      </c>
      <c r="M551" t="b">
        <f t="shared" si="70"/>
        <v>0</v>
      </c>
      <c r="N551" t="b">
        <f t="shared" si="64"/>
        <v>1</v>
      </c>
      <c r="O551" t="str">
        <f t="shared" si="71"/>
        <v>Large Order</v>
      </c>
      <c r="P551" s="7">
        <f t="shared" si="65"/>
        <v>11.534000000000001</v>
      </c>
      <c r="Q551" s="7" t="str">
        <f>VLOOKUP(D552,Product_Lookup!$A$2:$C$27,2,FALSE)</f>
        <v>Pen Set</v>
      </c>
      <c r="R551" s="7">
        <f t="shared" si="66"/>
        <v>4152.24</v>
      </c>
    </row>
    <row r="552" spans="1:18" ht="21.75" customHeight="1">
      <c r="A552" t="s">
        <v>701</v>
      </c>
      <c r="B552" s="6">
        <v>45300</v>
      </c>
      <c r="C552" t="s">
        <v>339</v>
      </c>
      <c r="D552" t="s">
        <v>174</v>
      </c>
      <c r="E552" t="s">
        <v>22</v>
      </c>
      <c r="F552" t="s">
        <v>42</v>
      </c>
      <c r="G552" t="s">
        <v>23</v>
      </c>
      <c r="H552">
        <v>10</v>
      </c>
      <c r="I552" t="str">
        <f>VLOOKUP(D552,Product_Lookup!$A$2:$C$27,3,FALSE)</f>
        <v>$133.37</v>
      </c>
      <c r="J552" t="str">
        <f t="shared" si="67"/>
        <v>Tuesday</v>
      </c>
      <c r="K552" s="10" t="str">
        <f t="shared" si="68"/>
        <v>January</v>
      </c>
      <c r="L552">
        <f t="shared" si="69"/>
        <v>2024</v>
      </c>
      <c r="M552" t="b">
        <f t="shared" si="70"/>
        <v>0</v>
      </c>
      <c r="N552" t="b">
        <f t="shared" si="64"/>
        <v>1</v>
      </c>
      <c r="O552" t="str">
        <f t="shared" si="71"/>
        <v>Large Order</v>
      </c>
      <c r="P552" s="7">
        <f t="shared" si="65"/>
        <v>6.6685000000000008</v>
      </c>
      <c r="Q552" s="7" t="str">
        <f>VLOOKUP(D553,Product_Lookup!$A$2:$C$27,2,FALSE)</f>
        <v>Headphones</v>
      </c>
      <c r="R552" s="7">
        <f t="shared" si="66"/>
        <v>1333.7</v>
      </c>
    </row>
    <row r="553" spans="1:18" ht="21.75" customHeight="1">
      <c r="A553" t="s">
        <v>702</v>
      </c>
      <c r="B553" s="6">
        <v>45383</v>
      </c>
      <c r="C553" t="s">
        <v>15</v>
      </c>
      <c r="D553" t="s">
        <v>16</v>
      </c>
      <c r="E553" t="s">
        <v>11</v>
      </c>
      <c r="F553" t="s">
        <v>306</v>
      </c>
      <c r="G553" t="s">
        <v>36</v>
      </c>
      <c r="H553">
        <v>8</v>
      </c>
      <c r="I553" t="str">
        <f>VLOOKUP(D553,Product_Lookup!$A$2:$C$27,3,FALSE)</f>
        <v>$178.83</v>
      </c>
      <c r="J553" t="str">
        <f t="shared" si="67"/>
        <v>Monday</v>
      </c>
      <c r="K553" s="10" t="str">
        <f t="shared" si="68"/>
        <v>April</v>
      </c>
      <c r="L553">
        <f t="shared" si="69"/>
        <v>2024</v>
      </c>
      <c r="M553" t="b">
        <f t="shared" si="70"/>
        <v>0</v>
      </c>
      <c r="N553" t="b">
        <f t="shared" si="64"/>
        <v>1</v>
      </c>
      <c r="O553" t="str">
        <f t="shared" si="71"/>
        <v>Large Order</v>
      </c>
      <c r="P553" s="7">
        <f t="shared" si="65"/>
        <v>8.9415000000000013</v>
      </c>
      <c r="Q553" s="7" t="str">
        <f>VLOOKUP(D554,Product_Lookup!$A$2:$C$27,2,FALSE)</f>
        <v>Tablet</v>
      </c>
      <c r="R553" s="7">
        <f t="shared" si="66"/>
        <v>1430.64</v>
      </c>
    </row>
    <row r="554" spans="1:18" ht="21.75" customHeight="1">
      <c r="A554" t="s">
        <v>703</v>
      </c>
      <c r="B554" s="6">
        <v>45421</v>
      </c>
      <c r="C554" t="s">
        <v>182</v>
      </c>
      <c r="D554" t="s">
        <v>10</v>
      </c>
      <c r="E554" t="s">
        <v>17</v>
      </c>
      <c r="F554" t="s">
        <v>27</v>
      </c>
      <c r="G554" t="s">
        <v>23</v>
      </c>
      <c r="H554">
        <v>12</v>
      </c>
      <c r="I554" t="str">
        <f>VLOOKUP(D554,Product_Lookup!$A$2:$C$27,3,FALSE)</f>
        <v>$146.06</v>
      </c>
      <c r="J554" t="str">
        <f t="shared" si="67"/>
        <v>Thursday</v>
      </c>
      <c r="K554" s="10" t="str">
        <f t="shared" si="68"/>
        <v>May</v>
      </c>
      <c r="L554">
        <f t="shared" si="69"/>
        <v>2024</v>
      </c>
      <c r="M554" t="b">
        <f t="shared" si="70"/>
        <v>0</v>
      </c>
      <c r="N554" t="b">
        <f t="shared" si="64"/>
        <v>1</v>
      </c>
      <c r="O554" t="str">
        <f t="shared" si="71"/>
        <v>Large Order</v>
      </c>
      <c r="P554" s="7">
        <f t="shared" si="65"/>
        <v>7.3030000000000008</v>
      </c>
      <c r="Q554" s="7" t="str">
        <f>VLOOKUP(D555,Product_Lookup!$A$2:$C$27,2,FALSE)</f>
        <v>Socks</v>
      </c>
      <c r="R554" s="7">
        <f t="shared" si="66"/>
        <v>1752.72</v>
      </c>
    </row>
    <row r="555" spans="1:18" ht="21.75" customHeight="1">
      <c r="A555" t="s">
        <v>704</v>
      </c>
      <c r="B555" s="6">
        <v>45581</v>
      </c>
      <c r="C555" t="s">
        <v>78</v>
      </c>
      <c r="D555" t="s">
        <v>74</v>
      </c>
      <c r="E555" t="s">
        <v>22</v>
      </c>
      <c r="F555" t="s">
        <v>56</v>
      </c>
      <c r="G555" t="s">
        <v>13</v>
      </c>
      <c r="H555">
        <v>3</v>
      </c>
      <c r="I555" t="str">
        <f>VLOOKUP(D555,Product_Lookup!$A$2:$C$27,3,FALSE)</f>
        <v>$201.32</v>
      </c>
      <c r="J555" t="str">
        <f t="shared" si="67"/>
        <v>Wednesday</v>
      </c>
      <c r="K555" s="10" t="str">
        <f t="shared" si="68"/>
        <v>October</v>
      </c>
      <c r="L555">
        <f t="shared" si="69"/>
        <v>2024</v>
      </c>
      <c r="M555" t="b">
        <f t="shared" si="70"/>
        <v>0</v>
      </c>
      <c r="N555" t="b">
        <f t="shared" si="64"/>
        <v>0</v>
      </c>
      <c r="O555" t="str">
        <f t="shared" si="71"/>
        <v>Large Order</v>
      </c>
      <c r="P555" s="7">
        <f t="shared" si="65"/>
        <v>10.066000000000001</v>
      </c>
      <c r="Q555" s="7" t="str">
        <f>VLOOKUP(D556,Product_Lookup!$A$2:$C$27,2,FALSE)</f>
        <v>Pen Set</v>
      </c>
      <c r="R555" s="7">
        <f t="shared" si="66"/>
        <v>603.96</v>
      </c>
    </row>
    <row r="556" spans="1:18" ht="21.75" customHeight="1">
      <c r="A556" t="s">
        <v>705</v>
      </c>
      <c r="B556" s="6">
        <v>45339</v>
      </c>
      <c r="C556" t="s">
        <v>341</v>
      </c>
      <c r="D556" t="s">
        <v>174</v>
      </c>
      <c r="E556" t="s">
        <v>17</v>
      </c>
      <c r="F556" t="s">
        <v>27</v>
      </c>
      <c r="G556" t="s">
        <v>13</v>
      </c>
      <c r="H556">
        <v>16</v>
      </c>
      <c r="I556" t="str">
        <f>VLOOKUP(D556,Product_Lookup!$A$2:$C$27,3,FALSE)</f>
        <v>$133.37</v>
      </c>
      <c r="J556" t="str">
        <f t="shared" si="67"/>
        <v>Saturday</v>
      </c>
      <c r="K556" s="10" t="str">
        <f t="shared" si="68"/>
        <v>February</v>
      </c>
      <c r="L556">
        <f t="shared" si="69"/>
        <v>2024</v>
      </c>
      <c r="M556" t="b">
        <f t="shared" si="70"/>
        <v>1</v>
      </c>
      <c r="N556" t="b">
        <f t="shared" si="64"/>
        <v>1</v>
      </c>
      <c r="O556" t="str">
        <f t="shared" si="71"/>
        <v>Large Order</v>
      </c>
      <c r="P556" s="7">
        <f t="shared" si="65"/>
        <v>6.6685000000000008</v>
      </c>
      <c r="Q556" s="7" t="str">
        <f>VLOOKUP(D557,Product_Lookup!$A$2:$C$27,2,FALSE)</f>
        <v>Vacuum</v>
      </c>
      <c r="R556" s="7">
        <f t="shared" si="66"/>
        <v>2133.92</v>
      </c>
    </row>
    <row r="557" spans="1:18" ht="21.75" customHeight="1">
      <c r="A557" t="s">
        <v>706</v>
      </c>
      <c r="B557" s="6">
        <v>45651</v>
      </c>
      <c r="C557" t="s">
        <v>30</v>
      </c>
      <c r="D557" t="s">
        <v>87</v>
      </c>
      <c r="E557" t="s">
        <v>11</v>
      </c>
      <c r="F557" t="s">
        <v>27</v>
      </c>
      <c r="G557" t="s">
        <v>13</v>
      </c>
      <c r="H557">
        <v>11</v>
      </c>
      <c r="I557" t="str">
        <f>VLOOKUP(D557,Product_Lookup!$A$2:$C$27,3,FALSE)</f>
        <v>$26.59</v>
      </c>
      <c r="J557" t="str">
        <f t="shared" si="67"/>
        <v>Wednesday</v>
      </c>
      <c r="K557" s="10" t="str">
        <f t="shared" si="68"/>
        <v>December</v>
      </c>
      <c r="L557">
        <f t="shared" si="69"/>
        <v>2024</v>
      </c>
      <c r="M557" t="b">
        <f t="shared" si="70"/>
        <v>0</v>
      </c>
      <c r="N557" t="b">
        <f t="shared" si="64"/>
        <v>0</v>
      </c>
      <c r="O557" t="str">
        <f t="shared" si="71"/>
        <v>Standard order</v>
      </c>
      <c r="P557" s="7">
        <f t="shared" si="65"/>
        <v>1.3295000000000001</v>
      </c>
      <c r="Q557" s="7" t="str">
        <f>VLOOKUP(D558,Product_Lookup!$A$2:$C$27,2,FALSE)</f>
        <v>Puzzle</v>
      </c>
      <c r="R557" s="7">
        <f t="shared" si="66"/>
        <v>292.49</v>
      </c>
    </row>
    <row r="558" spans="1:18" ht="21.75" customHeight="1">
      <c r="A558" t="s">
        <v>707</v>
      </c>
      <c r="B558" s="6">
        <v>45562</v>
      </c>
      <c r="C558" t="s">
        <v>116</v>
      </c>
      <c r="D558" t="s">
        <v>62</v>
      </c>
      <c r="E558" t="s">
        <v>11</v>
      </c>
      <c r="F558" t="s">
        <v>56</v>
      </c>
      <c r="G558" t="s">
        <v>13</v>
      </c>
      <c r="H558">
        <v>19</v>
      </c>
      <c r="I558" t="str">
        <f>VLOOKUP(D558,Product_Lookup!$A$2:$C$27,3,FALSE)</f>
        <v>$46.19</v>
      </c>
      <c r="J558" t="str">
        <f t="shared" si="67"/>
        <v>Friday</v>
      </c>
      <c r="K558" s="10" t="str">
        <f t="shared" si="68"/>
        <v>September</v>
      </c>
      <c r="L558">
        <f t="shared" si="69"/>
        <v>2024</v>
      </c>
      <c r="M558" t="b">
        <f t="shared" si="70"/>
        <v>0</v>
      </c>
      <c r="N558" t="b">
        <f t="shared" si="64"/>
        <v>1</v>
      </c>
      <c r="O558" t="str">
        <f t="shared" si="71"/>
        <v>Large Order</v>
      </c>
      <c r="P558" s="7">
        <f t="shared" si="65"/>
        <v>2.3094999999999999</v>
      </c>
      <c r="Q558" s="7" t="str">
        <f>VLOOKUP(D559,Product_Lookup!$A$2:$C$27,2,FALSE)</f>
        <v>Desk Lamp</v>
      </c>
      <c r="R558" s="7">
        <f t="shared" si="66"/>
        <v>877.6099999999999</v>
      </c>
    </row>
    <row r="559" spans="1:18" ht="21.75" customHeight="1">
      <c r="A559" t="s">
        <v>708</v>
      </c>
      <c r="B559" s="6">
        <v>45330</v>
      </c>
      <c r="C559" t="s">
        <v>455</v>
      </c>
      <c r="D559" t="s">
        <v>59</v>
      </c>
      <c r="E559" t="s">
        <v>17</v>
      </c>
      <c r="F559" t="s">
        <v>306</v>
      </c>
      <c r="G559" t="s">
        <v>32</v>
      </c>
      <c r="H559">
        <v>2</v>
      </c>
      <c r="I559" t="str">
        <f>VLOOKUP(D559,Product_Lookup!$A$2:$C$27,3,FALSE)</f>
        <v>$101.96</v>
      </c>
      <c r="J559" t="str">
        <f t="shared" si="67"/>
        <v>Thursday</v>
      </c>
      <c r="K559" s="10" t="str">
        <f t="shared" si="68"/>
        <v>February</v>
      </c>
      <c r="L559">
        <f t="shared" si="69"/>
        <v>2024</v>
      </c>
      <c r="M559" t="b">
        <f t="shared" si="70"/>
        <v>0</v>
      </c>
      <c r="N559" t="b">
        <f t="shared" si="64"/>
        <v>0</v>
      </c>
      <c r="O559" t="str">
        <f t="shared" si="71"/>
        <v>Standard order</v>
      </c>
      <c r="P559" s="7">
        <f t="shared" si="65"/>
        <v>5.0979999999999999</v>
      </c>
      <c r="Q559" s="7" t="str">
        <f>VLOOKUP(D560,Product_Lookup!$A$2:$C$27,2,FALSE)</f>
        <v>Doll</v>
      </c>
      <c r="R559" s="7">
        <f t="shared" si="66"/>
        <v>203.92</v>
      </c>
    </row>
    <row r="560" spans="1:18" ht="21.75" customHeight="1">
      <c r="A560" t="s">
        <v>709</v>
      </c>
      <c r="B560" s="6">
        <v>45300</v>
      </c>
      <c r="C560" t="s">
        <v>95</v>
      </c>
      <c r="D560" t="s">
        <v>119</v>
      </c>
      <c r="E560" t="s">
        <v>22</v>
      </c>
      <c r="F560" t="s">
        <v>56</v>
      </c>
      <c r="G560" t="s">
        <v>32</v>
      </c>
      <c r="H560">
        <v>13</v>
      </c>
      <c r="I560" t="str">
        <f>VLOOKUP(D560,Product_Lookup!$A$2:$C$27,3,FALSE)</f>
        <v>$32.94</v>
      </c>
      <c r="J560" t="str">
        <f t="shared" si="67"/>
        <v>Tuesday</v>
      </c>
      <c r="K560" s="10" t="str">
        <f t="shared" si="68"/>
        <v>January</v>
      </c>
      <c r="L560">
        <f t="shared" si="69"/>
        <v>2024</v>
      </c>
      <c r="M560" t="b">
        <f t="shared" si="70"/>
        <v>0</v>
      </c>
      <c r="N560" t="b">
        <f t="shared" si="64"/>
        <v>0</v>
      </c>
      <c r="O560" t="str">
        <f t="shared" si="71"/>
        <v>Standard order</v>
      </c>
      <c r="P560" s="7">
        <f t="shared" si="65"/>
        <v>1.647</v>
      </c>
      <c r="Q560" s="7" t="str">
        <f>VLOOKUP(D561,Product_Lookup!$A$2:$C$27,2,FALSE)</f>
        <v>Coffee Maker</v>
      </c>
      <c r="R560" s="7">
        <f t="shared" si="66"/>
        <v>428.21999999999997</v>
      </c>
    </row>
    <row r="561" spans="1:18" ht="21.75" customHeight="1">
      <c r="A561" t="s">
        <v>710</v>
      </c>
      <c r="B561" s="6">
        <v>45375</v>
      </c>
      <c r="C561" t="s">
        <v>614</v>
      </c>
      <c r="D561" t="s">
        <v>31</v>
      </c>
      <c r="E561" t="s">
        <v>11</v>
      </c>
      <c r="F561" t="s">
        <v>306</v>
      </c>
      <c r="G561" t="s">
        <v>28</v>
      </c>
      <c r="H561">
        <v>18</v>
      </c>
      <c r="I561" t="str">
        <f>VLOOKUP(D561,Product_Lookup!$A$2:$C$27,3,FALSE)</f>
        <v>$230.34</v>
      </c>
      <c r="J561" t="str">
        <f t="shared" si="67"/>
        <v>Sunday</v>
      </c>
      <c r="K561" s="10" t="str">
        <f t="shared" si="68"/>
        <v>March</v>
      </c>
      <c r="L561">
        <f t="shared" si="69"/>
        <v>2024</v>
      </c>
      <c r="M561" t="b">
        <f t="shared" si="70"/>
        <v>1</v>
      </c>
      <c r="N561" t="b">
        <f t="shared" si="64"/>
        <v>1</v>
      </c>
      <c r="O561" t="str">
        <f t="shared" si="71"/>
        <v>Large Order</v>
      </c>
      <c r="P561" s="7">
        <f t="shared" si="65"/>
        <v>11.517000000000001</v>
      </c>
      <c r="Q561" s="7" t="str">
        <f>VLOOKUP(D562,Product_Lookup!$A$2:$C$27,2,FALSE)</f>
        <v>Lego Set</v>
      </c>
      <c r="R561" s="7">
        <f t="shared" si="66"/>
        <v>4146.12</v>
      </c>
    </row>
    <row r="562" spans="1:18" ht="21.75" customHeight="1">
      <c r="A562" t="s">
        <v>711</v>
      </c>
      <c r="B562" s="6">
        <v>45644</v>
      </c>
      <c r="C562" t="s">
        <v>329</v>
      </c>
      <c r="D562" t="s">
        <v>84</v>
      </c>
      <c r="E562" t="s">
        <v>11</v>
      </c>
      <c r="F562" t="s">
        <v>306</v>
      </c>
      <c r="G562" t="s">
        <v>23</v>
      </c>
      <c r="H562">
        <v>12</v>
      </c>
      <c r="I562" t="str">
        <f>VLOOKUP(D562,Product_Lookup!$A$2:$C$27,3,FALSE)</f>
        <v>$130.07</v>
      </c>
      <c r="J562" t="str">
        <f t="shared" si="67"/>
        <v>Wednesday</v>
      </c>
      <c r="K562" s="10" t="str">
        <f t="shared" si="68"/>
        <v>December</v>
      </c>
      <c r="L562">
        <f t="shared" si="69"/>
        <v>2024</v>
      </c>
      <c r="M562" t="b">
        <f t="shared" si="70"/>
        <v>0</v>
      </c>
      <c r="N562" t="b">
        <f t="shared" si="64"/>
        <v>1</v>
      </c>
      <c r="O562" t="str">
        <f t="shared" si="71"/>
        <v>Large Order</v>
      </c>
      <c r="P562" s="7">
        <f t="shared" si="65"/>
        <v>6.5034999999999998</v>
      </c>
      <c r="Q562" s="7" t="str">
        <f>VLOOKUP(D563,Product_Lookup!$A$2:$C$27,2,FALSE)</f>
        <v>Doll</v>
      </c>
      <c r="R562" s="7">
        <f t="shared" si="66"/>
        <v>1560.84</v>
      </c>
    </row>
    <row r="563" spans="1:18" ht="21.75" customHeight="1">
      <c r="A563" t="s">
        <v>712</v>
      </c>
      <c r="B563" s="6">
        <v>45410</v>
      </c>
      <c r="C563" t="s">
        <v>208</v>
      </c>
      <c r="D563" t="s">
        <v>119</v>
      </c>
      <c r="E563" t="s">
        <v>17</v>
      </c>
      <c r="F563" t="s">
        <v>306</v>
      </c>
      <c r="G563" t="s">
        <v>23</v>
      </c>
      <c r="H563">
        <v>20</v>
      </c>
      <c r="I563" t="str">
        <f>VLOOKUP(D563,Product_Lookup!$A$2:$C$27,3,FALSE)</f>
        <v>$32.94</v>
      </c>
      <c r="J563" t="str">
        <f t="shared" si="67"/>
        <v>Sunday</v>
      </c>
      <c r="K563" s="10" t="str">
        <f t="shared" si="68"/>
        <v>April</v>
      </c>
      <c r="L563">
        <f t="shared" si="69"/>
        <v>2024</v>
      </c>
      <c r="M563" t="b">
        <f t="shared" si="70"/>
        <v>1</v>
      </c>
      <c r="N563" t="b">
        <f t="shared" si="64"/>
        <v>0</v>
      </c>
      <c r="O563" t="str">
        <f t="shared" si="71"/>
        <v>Large Order</v>
      </c>
      <c r="P563" s="7">
        <f t="shared" si="65"/>
        <v>1.647</v>
      </c>
      <c r="Q563" s="7" t="str">
        <f>VLOOKUP(D564,Product_Lookup!$A$2:$C$27,2,FALSE)</f>
        <v>Air Fryer</v>
      </c>
      <c r="R563" s="7">
        <f t="shared" si="66"/>
        <v>658.8</v>
      </c>
    </row>
    <row r="564" spans="1:18" ht="21.75" customHeight="1">
      <c r="A564" t="s">
        <v>713</v>
      </c>
      <c r="B564" s="6">
        <v>45459</v>
      </c>
      <c r="C564" t="s">
        <v>64</v>
      </c>
      <c r="D564" t="s">
        <v>70</v>
      </c>
      <c r="E564" t="s">
        <v>22</v>
      </c>
      <c r="F564" t="s">
        <v>42</v>
      </c>
      <c r="G564" t="s">
        <v>36</v>
      </c>
      <c r="H564">
        <v>16</v>
      </c>
      <c r="I564" t="str">
        <f>VLOOKUP(D564,Product_Lookup!$A$2:$C$27,3,FALSE)</f>
        <v>$211.9</v>
      </c>
      <c r="J564" t="str">
        <f t="shared" si="67"/>
        <v>Sunday</v>
      </c>
      <c r="K564" s="10" t="str">
        <f t="shared" si="68"/>
        <v>June</v>
      </c>
      <c r="L564">
        <f t="shared" si="69"/>
        <v>2024</v>
      </c>
      <c r="M564" t="b">
        <f t="shared" si="70"/>
        <v>1</v>
      </c>
      <c r="N564" t="b">
        <f t="shared" si="64"/>
        <v>1</v>
      </c>
      <c r="O564" t="str">
        <f t="shared" si="71"/>
        <v>Large Order</v>
      </c>
      <c r="P564" s="7">
        <f t="shared" si="65"/>
        <v>10.595000000000001</v>
      </c>
      <c r="Q564" s="7" t="str">
        <f>VLOOKUP(D565,Product_Lookup!$A$2:$C$27,2,FALSE)</f>
        <v>Board Game</v>
      </c>
      <c r="R564" s="7">
        <f t="shared" si="66"/>
        <v>3390.4</v>
      </c>
    </row>
    <row r="565" spans="1:18" ht="21.75" customHeight="1">
      <c r="A565" t="s">
        <v>714</v>
      </c>
      <c r="B565" s="6">
        <v>45484</v>
      </c>
      <c r="C565" t="s">
        <v>348</v>
      </c>
      <c r="D565" t="s">
        <v>41</v>
      </c>
      <c r="E565" t="s">
        <v>11</v>
      </c>
      <c r="F565" t="s">
        <v>306</v>
      </c>
      <c r="G565" t="s">
        <v>36</v>
      </c>
      <c r="H565">
        <v>13</v>
      </c>
      <c r="I565" t="str">
        <f>VLOOKUP(D565,Product_Lookup!$A$2:$C$27,3,FALSE)</f>
        <v>$86.6</v>
      </c>
      <c r="J565" t="str">
        <f t="shared" si="67"/>
        <v>Thursday</v>
      </c>
      <c r="K565" s="10" t="str">
        <f t="shared" si="68"/>
        <v>July</v>
      </c>
      <c r="L565">
        <f t="shared" si="69"/>
        <v>2024</v>
      </c>
      <c r="M565" t="b">
        <f t="shared" si="70"/>
        <v>0</v>
      </c>
      <c r="N565" t="b">
        <f t="shared" si="64"/>
        <v>1</v>
      </c>
      <c r="O565" t="str">
        <f t="shared" si="71"/>
        <v>Large Order</v>
      </c>
      <c r="P565" s="7">
        <f t="shared" si="65"/>
        <v>4.33</v>
      </c>
      <c r="Q565" s="7" t="str">
        <f>VLOOKUP(D566,Product_Lookup!$A$2:$C$27,2,FALSE)</f>
        <v>Tablet</v>
      </c>
      <c r="R565" s="7">
        <f t="shared" si="66"/>
        <v>1125.8</v>
      </c>
    </row>
    <row r="566" spans="1:18" ht="21.75" customHeight="1">
      <c r="A566" t="s">
        <v>715</v>
      </c>
      <c r="B566" s="6">
        <v>45443</v>
      </c>
      <c r="C566" t="s">
        <v>78</v>
      </c>
      <c r="D566" t="s">
        <v>10</v>
      </c>
      <c r="E566" t="s">
        <v>22</v>
      </c>
      <c r="F566" t="s">
        <v>12</v>
      </c>
      <c r="G566" t="s">
        <v>28</v>
      </c>
      <c r="H566">
        <v>9</v>
      </c>
      <c r="I566" t="str">
        <f>VLOOKUP(D566,Product_Lookup!$A$2:$C$27,3,FALSE)</f>
        <v>$146.06</v>
      </c>
      <c r="J566" t="str">
        <f t="shared" si="67"/>
        <v>Friday</v>
      </c>
      <c r="K566" s="10" t="str">
        <f t="shared" si="68"/>
        <v>May</v>
      </c>
      <c r="L566">
        <f t="shared" si="69"/>
        <v>2024</v>
      </c>
      <c r="M566" t="b">
        <f t="shared" si="70"/>
        <v>0</v>
      </c>
      <c r="N566" t="b">
        <f t="shared" si="64"/>
        <v>1</v>
      </c>
      <c r="O566" t="str">
        <f t="shared" si="71"/>
        <v>Large Order</v>
      </c>
      <c r="P566" s="7">
        <f t="shared" si="65"/>
        <v>7.3030000000000008</v>
      </c>
      <c r="Q566" s="7" t="str">
        <f>VLOOKUP(D567,Product_Lookup!$A$2:$C$27,2,FALSE)</f>
        <v>Tablet</v>
      </c>
      <c r="R566" s="7">
        <f t="shared" si="66"/>
        <v>1314.54</v>
      </c>
    </row>
    <row r="567" spans="1:18" ht="21.75" customHeight="1">
      <c r="A567" t="s">
        <v>716</v>
      </c>
      <c r="B567" s="6">
        <v>45491</v>
      </c>
      <c r="C567" t="s">
        <v>38</v>
      </c>
      <c r="D567" t="s">
        <v>10</v>
      </c>
      <c r="E567" t="s">
        <v>17</v>
      </c>
      <c r="F567" t="s">
        <v>12</v>
      </c>
      <c r="G567" t="s">
        <v>23</v>
      </c>
      <c r="H567">
        <v>1</v>
      </c>
      <c r="I567" t="str">
        <f>VLOOKUP(D567,Product_Lookup!$A$2:$C$27,3,FALSE)</f>
        <v>$146.06</v>
      </c>
      <c r="J567" t="str">
        <f t="shared" si="67"/>
        <v>Thursday</v>
      </c>
      <c r="K567" s="10" t="str">
        <f t="shared" si="68"/>
        <v>July</v>
      </c>
      <c r="L567">
        <f t="shared" si="69"/>
        <v>2024</v>
      </c>
      <c r="M567" t="b">
        <f t="shared" si="70"/>
        <v>0</v>
      </c>
      <c r="N567" t="b">
        <f t="shared" si="64"/>
        <v>0</v>
      </c>
      <c r="O567" t="str">
        <f t="shared" si="71"/>
        <v>Standard order</v>
      </c>
      <c r="P567" s="7">
        <f t="shared" si="65"/>
        <v>7.3030000000000008</v>
      </c>
      <c r="Q567" s="7" t="str">
        <f>VLOOKUP(D568,Product_Lookup!$A$2:$C$27,2,FALSE)</f>
        <v>Headphones</v>
      </c>
      <c r="R567" s="7">
        <f t="shared" si="66"/>
        <v>146.06</v>
      </c>
    </row>
    <row r="568" spans="1:18" ht="21.75" customHeight="1">
      <c r="A568" t="s">
        <v>717</v>
      </c>
      <c r="B568" s="6">
        <v>45476</v>
      </c>
      <c r="C568" t="s">
        <v>332</v>
      </c>
      <c r="D568" t="s">
        <v>16</v>
      </c>
      <c r="E568" t="s">
        <v>17</v>
      </c>
      <c r="F568" t="s">
        <v>12</v>
      </c>
      <c r="G568" t="s">
        <v>23</v>
      </c>
      <c r="H568">
        <v>3</v>
      </c>
      <c r="I568" t="str">
        <f>VLOOKUP(D568,Product_Lookup!$A$2:$C$27,3,FALSE)</f>
        <v>$178.83</v>
      </c>
      <c r="J568" t="str">
        <f t="shared" si="67"/>
        <v>Wednesday</v>
      </c>
      <c r="K568" s="10" t="str">
        <f t="shared" si="68"/>
        <v>July</v>
      </c>
      <c r="L568">
        <f t="shared" si="69"/>
        <v>2024</v>
      </c>
      <c r="M568" t="b">
        <f t="shared" si="70"/>
        <v>0</v>
      </c>
      <c r="N568" t="b">
        <f t="shared" si="64"/>
        <v>0</v>
      </c>
      <c r="O568" t="str">
        <f t="shared" si="71"/>
        <v>Large Order</v>
      </c>
      <c r="P568" s="7">
        <f t="shared" si="65"/>
        <v>8.9415000000000013</v>
      </c>
      <c r="Q568" s="7" t="str">
        <f>VLOOKUP(D569,Product_Lookup!$A$2:$C$27,2,FALSE)</f>
        <v>Monitor</v>
      </c>
      <c r="R568" s="7">
        <f t="shared" si="66"/>
        <v>536.49</v>
      </c>
    </row>
    <row r="569" spans="1:18" ht="21.75" customHeight="1">
      <c r="A569" t="s">
        <v>718</v>
      </c>
      <c r="B569" s="6">
        <v>45577</v>
      </c>
      <c r="C569" t="s">
        <v>642</v>
      </c>
      <c r="D569" t="s">
        <v>102</v>
      </c>
      <c r="E569" t="s">
        <v>22</v>
      </c>
      <c r="F569" t="s">
        <v>27</v>
      </c>
      <c r="G569" t="s">
        <v>36</v>
      </c>
      <c r="H569">
        <v>1</v>
      </c>
      <c r="I569" t="str">
        <f>VLOOKUP(D569,Product_Lookup!$A$2:$C$27,3,FALSE)</f>
        <v>$145.48</v>
      </c>
      <c r="J569" t="str">
        <f t="shared" si="67"/>
        <v>Saturday</v>
      </c>
      <c r="K569" s="10" t="str">
        <f t="shared" si="68"/>
        <v>October</v>
      </c>
      <c r="L569">
        <f t="shared" si="69"/>
        <v>2024</v>
      </c>
      <c r="M569" t="b">
        <f t="shared" si="70"/>
        <v>1</v>
      </c>
      <c r="N569" t="b">
        <f t="shared" si="64"/>
        <v>0</v>
      </c>
      <c r="O569" t="str">
        <f t="shared" si="71"/>
        <v>Standard order</v>
      </c>
      <c r="P569" s="7">
        <f t="shared" si="65"/>
        <v>7.274</v>
      </c>
      <c r="Q569" s="7" t="str">
        <f>VLOOKUP(D570,Product_Lookup!$A$2:$C$27,2,FALSE)</f>
        <v>Coffee Maker</v>
      </c>
      <c r="R569" s="7">
        <f t="shared" si="66"/>
        <v>145.47999999999999</v>
      </c>
    </row>
    <row r="570" spans="1:18" ht="21.75" customHeight="1">
      <c r="A570" t="s">
        <v>719</v>
      </c>
      <c r="B570" s="6">
        <v>45339</v>
      </c>
      <c r="C570" t="s">
        <v>327</v>
      </c>
      <c r="D570" t="s">
        <v>31</v>
      </c>
      <c r="E570" t="s">
        <v>22</v>
      </c>
      <c r="F570" t="s">
        <v>42</v>
      </c>
      <c r="G570" t="s">
        <v>23</v>
      </c>
      <c r="H570">
        <v>1</v>
      </c>
      <c r="I570" t="str">
        <f>VLOOKUP(D570,Product_Lookup!$A$2:$C$27,3,FALSE)</f>
        <v>$230.34</v>
      </c>
      <c r="J570" t="str">
        <f t="shared" si="67"/>
        <v>Saturday</v>
      </c>
      <c r="K570" s="10" t="str">
        <f t="shared" si="68"/>
        <v>February</v>
      </c>
      <c r="L570">
        <f t="shared" si="69"/>
        <v>2024</v>
      </c>
      <c r="M570" t="b">
        <f t="shared" si="70"/>
        <v>1</v>
      </c>
      <c r="N570" t="b">
        <f t="shared" si="64"/>
        <v>0</v>
      </c>
      <c r="O570" t="str">
        <f t="shared" si="71"/>
        <v>Standard order</v>
      </c>
      <c r="P570" s="7">
        <f t="shared" si="65"/>
        <v>11.517000000000001</v>
      </c>
      <c r="Q570" s="7" t="str">
        <f>VLOOKUP(D571,Product_Lookup!$A$2:$C$27,2,FALSE)</f>
        <v>Desk Lamp</v>
      </c>
      <c r="R570" s="7">
        <f t="shared" si="66"/>
        <v>230.34</v>
      </c>
    </row>
    <row r="571" spans="1:18" ht="21.75" customHeight="1">
      <c r="A571" t="s">
        <v>720</v>
      </c>
      <c r="B571" s="6">
        <v>45335</v>
      </c>
      <c r="C571" t="s">
        <v>329</v>
      </c>
      <c r="D571" t="s">
        <v>59</v>
      </c>
      <c r="E571" t="s">
        <v>22</v>
      </c>
      <c r="F571" t="s">
        <v>56</v>
      </c>
      <c r="G571" t="s">
        <v>23</v>
      </c>
      <c r="H571">
        <v>17</v>
      </c>
      <c r="I571" t="str">
        <f>VLOOKUP(D571,Product_Lookup!$A$2:$C$27,3,FALSE)</f>
        <v>$101.96</v>
      </c>
      <c r="J571" t="str">
        <f t="shared" si="67"/>
        <v>Tuesday</v>
      </c>
      <c r="K571" s="10" t="str">
        <f t="shared" si="68"/>
        <v>February</v>
      </c>
      <c r="L571">
        <f t="shared" si="69"/>
        <v>2024</v>
      </c>
      <c r="M571" t="b">
        <f t="shared" si="70"/>
        <v>0</v>
      </c>
      <c r="N571" t="b">
        <f t="shared" si="64"/>
        <v>1</v>
      </c>
      <c r="O571" t="str">
        <f t="shared" si="71"/>
        <v>Large Order</v>
      </c>
      <c r="P571" s="7">
        <f t="shared" si="65"/>
        <v>5.0979999999999999</v>
      </c>
      <c r="Q571" s="7" t="str">
        <f>VLOOKUP(D572,Product_Lookup!$A$2:$C$27,2,FALSE)</f>
        <v>Sweater</v>
      </c>
      <c r="R571" s="7">
        <f t="shared" si="66"/>
        <v>1733.32</v>
      </c>
    </row>
    <row r="572" spans="1:18" ht="21.75" customHeight="1">
      <c r="A572" t="s">
        <v>721</v>
      </c>
      <c r="B572" s="6">
        <v>45378</v>
      </c>
      <c r="C572" t="s">
        <v>99</v>
      </c>
      <c r="D572" t="s">
        <v>26</v>
      </c>
      <c r="E572" t="s">
        <v>17</v>
      </c>
      <c r="F572" t="s">
        <v>42</v>
      </c>
      <c r="G572" t="s">
        <v>28</v>
      </c>
      <c r="H572">
        <v>16</v>
      </c>
      <c r="I572" t="str">
        <f>VLOOKUP(D572,Product_Lookup!$A$2:$C$27,3,FALSE)</f>
        <v>$84.57</v>
      </c>
      <c r="J572" t="str">
        <f t="shared" si="67"/>
        <v>Wednesday</v>
      </c>
      <c r="K572" s="10" t="str">
        <f t="shared" si="68"/>
        <v>March</v>
      </c>
      <c r="L572">
        <f t="shared" si="69"/>
        <v>2024</v>
      </c>
      <c r="M572" t="b">
        <f t="shared" si="70"/>
        <v>0</v>
      </c>
      <c r="N572" t="b">
        <f t="shared" si="64"/>
        <v>1</v>
      </c>
      <c r="O572" t="str">
        <f t="shared" si="71"/>
        <v>Large Order</v>
      </c>
      <c r="P572" s="7">
        <f t="shared" si="65"/>
        <v>4.2284999999999995</v>
      </c>
      <c r="Q572" s="7" t="str">
        <f>VLOOKUP(D573,Product_Lookup!$A$2:$C$27,2,FALSE)</f>
        <v>Stapler</v>
      </c>
      <c r="R572" s="7">
        <f t="shared" si="66"/>
        <v>1353.12</v>
      </c>
    </row>
    <row r="573" spans="1:18" ht="21.75" customHeight="1">
      <c r="A573" t="s">
        <v>722</v>
      </c>
      <c r="B573" s="6">
        <v>45514</v>
      </c>
      <c r="C573" t="s">
        <v>89</v>
      </c>
      <c r="D573" t="s">
        <v>35</v>
      </c>
      <c r="E573" t="s">
        <v>17</v>
      </c>
      <c r="F573" t="s">
        <v>42</v>
      </c>
      <c r="G573" t="s">
        <v>28</v>
      </c>
      <c r="H573">
        <v>3</v>
      </c>
      <c r="I573" t="str">
        <f>VLOOKUP(D573,Product_Lookup!$A$2:$C$27,3,FALSE)</f>
        <v>$64.61</v>
      </c>
      <c r="J573" t="str">
        <f t="shared" si="67"/>
        <v>Saturday</v>
      </c>
      <c r="K573" s="10" t="str">
        <f t="shared" si="68"/>
        <v>August</v>
      </c>
      <c r="L573">
        <f t="shared" si="69"/>
        <v>2024</v>
      </c>
      <c r="M573" t="b">
        <f t="shared" si="70"/>
        <v>1</v>
      </c>
      <c r="N573" t="b">
        <f t="shared" si="64"/>
        <v>0</v>
      </c>
      <c r="O573" t="str">
        <f t="shared" si="71"/>
        <v>Standard order</v>
      </c>
      <c r="P573" s="7">
        <f t="shared" si="65"/>
        <v>3.2305000000000001</v>
      </c>
      <c r="Q573" s="7" t="str">
        <f>VLOOKUP(D574,Product_Lookup!$A$2:$C$27,2,FALSE)</f>
        <v>Jeans</v>
      </c>
      <c r="R573" s="7">
        <f t="shared" si="66"/>
        <v>193.82999999999998</v>
      </c>
    </row>
    <row r="574" spans="1:18" ht="21.75" customHeight="1">
      <c r="A574" t="s">
        <v>723</v>
      </c>
      <c r="B574" s="6">
        <v>45612</v>
      </c>
      <c r="C574" t="s">
        <v>432</v>
      </c>
      <c r="D574" t="s">
        <v>65</v>
      </c>
      <c r="E574" t="s">
        <v>22</v>
      </c>
      <c r="F574" t="s">
        <v>306</v>
      </c>
      <c r="G574" t="s">
        <v>32</v>
      </c>
      <c r="H574">
        <v>15</v>
      </c>
      <c r="I574" t="str">
        <f>VLOOKUP(D574,Product_Lookup!$A$2:$C$27,3,FALSE)</f>
        <v>$33.22</v>
      </c>
      <c r="J574" t="str">
        <f t="shared" si="67"/>
        <v>Saturday</v>
      </c>
      <c r="K574" s="10" t="str">
        <f t="shared" si="68"/>
        <v>November</v>
      </c>
      <c r="L574">
        <f t="shared" si="69"/>
        <v>2024</v>
      </c>
      <c r="M574" t="b">
        <f t="shared" si="70"/>
        <v>1</v>
      </c>
      <c r="N574" t="b">
        <f t="shared" si="64"/>
        <v>0</v>
      </c>
      <c r="O574" t="str">
        <f t="shared" si="71"/>
        <v>Standard order</v>
      </c>
      <c r="P574" s="7">
        <f t="shared" si="65"/>
        <v>1.661</v>
      </c>
      <c r="Q574" s="7" t="str">
        <f>VLOOKUP(D575,Product_Lookup!$A$2:$C$27,2,FALSE)</f>
        <v>Coffee Maker</v>
      </c>
      <c r="R574" s="7">
        <f t="shared" si="66"/>
        <v>498.29999999999995</v>
      </c>
    </row>
    <row r="575" spans="1:18" ht="21.75" customHeight="1">
      <c r="A575" t="s">
        <v>724</v>
      </c>
      <c r="B575" s="6">
        <v>45295</v>
      </c>
      <c r="C575" t="s">
        <v>106</v>
      </c>
      <c r="D575" t="s">
        <v>31</v>
      </c>
      <c r="E575" t="s">
        <v>17</v>
      </c>
      <c r="F575" t="s">
        <v>306</v>
      </c>
      <c r="G575" t="s">
        <v>23</v>
      </c>
      <c r="H575">
        <v>11</v>
      </c>
      <c r="I575" t="str">
        <f>VLOOKUP(D575,Product_Lookup!$A$2:$C$27,3,FALSE)</f>
        <v>$230.34</v>
      </c>
      <c r="J575" t="str">
        <f t="shared" si="67"/>
        <v>Thursday</v>
      </c>
      <c r="K575" s="10" t="str">
        <f t="shared" si="68"/>
        <v>January</v>
      </c>
      <c r="L575">
        <f t="shared" si="69"/>
        <v>2024</v>
      </c>
      <c r="M575" t="b">
        <f t="shared" si="70"/>
        <v>0</v>
      </c>
      <c r="N575" t="b">
        <f t="shared" si="64"/>
        <v>1</v>
      </c>
      <c r="O575" t="str">
        <f t="shared" si="71"/>
        <v>Large Order</v>
      </c>
      <c r="P575" s="7">
        <f t="shared" si="65"/>
        <v>11.517000000000001</v>
      </c>
      <c r="Q575" s="7" t="str">
        <f>VLOOKUP(D576,Product_Lookup!$A$2:$C$27,2,FALSE)</f>
        <v>Blender</v>
      </c>
      <c r="R575" s="7">
        <f t="shared" si="66"/>
        <v>2533.7400000000002</v>
      </c>
    </row>
    <row r="576" spans="1:18" ht="21.75" customHeight="1">
      <c r="A576" t="s">
        <v>725</v>
      </c>
      <c r="B576" s="6">
        <v>45625</v>
      </c>
      <c r="C576" t="s">
        <v>327</v>
      </c>
      <c r="D576" t="s">
        <v>72</v>
      </c>
      <c r="E576" t="s">
        <v>11</v>
      </c>
      <c r="F576" t="s">
        <v>42</v>
      </c>
      <c r="G576" t="s">
        <v>28</v>
      </c>
      <c r="H576">
        <v>20</v>
      </c>
      <c r="I576" t="str">
        <f>VLOOKUP(D576,Product_Lookup!$A$2:$C$27,3,FALSE)</f>
        <v>$156.44</v>
      </c>
      <c r="J576" t="str">
        <f t="shared" si="67"/>
        <v>Friday</v>
      </c>
      <c r="K576" s="10" t="str">
        <f t="shared" si="68"/>
        <v>November</v>
      </c>
      <c r="L576">
        <f t="shared" si="69"/>
        <v>2024</v>
      </c>
      <c r="M576" t="b">
        <f t="shared" si="70"/>
        <v>0</v>
      </c>
      <c r="N576" t="b">
        <f t="shared" si="64"/>
        <v>1</v>
      </c>
      <c r="O576" t="str">
        <f t="shared" si="71"/>
        <v>Large Order</v>
      </c>
      <c r="P576" s="7">
        <f t="shared" si="65"/>
        <v>7.8220000000000001</v>
      </c>
      <c r="Q576" s="7" t="str">
        <f>VLOOKUP(D577,Product_Lookup!$A$2:$C$27,2,FALSE)</f>
        <v>Blender</v>
      </c>
      <c r="R576" s="7">
        <f t="shared" si="66"/>
        <v>3128.8</v>
      </c>
    </row>
    <row r="577" spans="1:18" ht="21.75" customHeight="1">
      <c r="A577" t="s">
        <v>726</v>
      </c>
      <c r="B577" s="6">
        <v>45537</v>
      </c>
      <c r="C577" t="s">
        <v>38</v>
      </c>
      <c r="D577" t="s">
        <v>72</v>
      </c>
      <c r="E577" t="s">
        <v>11</v>
      </c>
      <c r="F577" t="s">
        <v>27</v>
      </c>
      <c r="G577" t="s">
        <v>23</v>
      </c>
      <c r="H577">
        <v>10</v>
      </c>
      <c r="I577" t="str">
        <f>VLOOKUP(D577,Product_Lookup!$A$2:$C$27,3,FALSE)</f>
        <v>$156.44</v>
      </c>
      <c r="J577" t="str">
        <f t="shared" si="67"/>
        <v>Monday</v>
      </c>
      <c r="K577" s="10" t="str">
        <f t="shared" si="68"/>
        <v>September</v>
      </c>
      <c r="L577">
        <f t="shared" si="69"/>
        <v>2024</v>
      </c>
      <c r="M577" t="b">
        <f t="shared" si="70"/>
        <v>0</v>
      </c>
      <c r="N577" t="b">
        <f t="shared" si="64"/>
        <v>1</v>
      </c>
      <c r="O577" t="str">
        <f t="shared" si="71"/>
        <v>Large Order</v>
      </c>
      <c r="P577" s="7">
        <f t="shared" si="65"/>
        <v>7.8220000000000001</v>
      </c>
      <c r="Q577" s="7" t="str">
        <f>VLOOKUP(D578,Product_Lookup!$A$2:$C$27,2,FALSE)</f>
        <v>Coffee Maker</v>
      </c>
      <c r="R577" s="7">
        <f t="shared" si="66"/>
        <v>1564.4</v>
      </c>
    </row>
    <row r="578" spans="1:18" ht="21.75" customHeight="1">
      <c r="A578" t="s">
        <v>727</v>
      </c>
      <c r="B578" s="6">
        <v>45586</v>
      </c>
      <c r="C578" t="s">
        <v>728</v>
      </c>
      <c r="D578" t="s">
        <v>31</v>
      </c>
      <c r="E578" t="s">
        <v>11</v>
      </c>
      <c r="F578" t="s">
        <v>42</v>
      </c>
      <c r="G578" t="s">
        <v>23</v>
      </c>
      <c r="H578">
        <v>9</v>
      </c>
      <c r="I578" t="str">
        <f>VLOOKUP(D578,Product_Lookup!$A$2:$C$27,3,FALSE)</f>
        <v>$230.34</v>
      </c>
      <c r="J578" t="str">
        <f t="shared" si="67"/>
        <v>Monday</v>
      </c>
      <c r="K578" s="10" t="str">
        <f t="shared" si="68"/>
        <v>October</v>
      </c>
      <c r="L578">
        <f t="shared" si="69"/>
        <v>2024</v>
      </c>
      <c r="M578" t="b">
        <f t="shared" si="70"/>
        <v>0</v>
      </c>
      <c r="N578" t="b">
        <f t="shared" ref="N578:N641" si="72">AND(R578&gt;750, H578&gt;5)</f>
        <v>1</v>
      </c>
      <c r="O578" t="str">
        <f t="shared" si="71"/>
        <v>Large Order</v>
      </c>
      <c r="P578" s="7">
        <f t="shared" ref="P578:P641" si="73">I578*$S$2</f>
        <v>11.517000000000001</v>
      </c>
      <c r="Q578" s="7" t="str">
        <f>VLOOKUP(D579,Product_Lookup!$A$2:$C$27,2,FALSE)</f>
        <v>Desk Lamp</v>
      </c>
      <c r="R578" s="7">
        <f t="shared" ref="R578:R641" si="74">H578*I578</f>
        <v>2073.06</v>
      </c>
    </row>
    <row r="579" spans="1:18" ht="21.75" customHeight="1">
      <c r="A579" t="s">
        <v>729</v>
      </c>
      <c r="B579" s="6">
        <v>45478</v>
      </c>
      <c r="C579" t="s">
        <v>40</v>
      </c>
      <c r="D579" t="s">
        <v>59</v>
      </c>
      <c r="E579" t="s">
        <v>22</v>
      </c>
      <c r="F579" t="s">
        <v>56</v>
      </c>
      <c r="G579" t="s">
        <v>36</v>
      </c>
      <c r="H579">
        <v>18</v>
      </c>
      <c r="I579" t="str">
        <f>VLOOKUP(D579,Product_Lookup!$A$2:$C$27,3,FALSE)</f>
        <v>$101.96</v>
      </c>
      <c r="J579" t="str">
        <f t="shared" ref="J579:J642" si="75">TEXT(B579, "dddd")</f>
        <v>Friday</v>
      </c>
      <c r="K579" s="10" t="str">
        <f t="shared" ref="K579:K642" si="76">TEXT(B579, "mmmm")</f>
        <v>July</v>
      </c>
      <c r="L579">
        <f t="shared" ref="L579:L642" si="77">YEAR(B579)</f>
        <v>2024</v>
      </c>
      <c r="M579" t="b">
        <f t="shared" ref="M579:M642" si="78">OR(J579="Saturday", J579="Sunday")</f>
        <v>0</v>
      </c>
      <c r="N579" t="b">
        <f t="shared" si="72"/>
        <v>1</v>
      </c>
      <c r="O579" t="str">
        <f t="shared" ref="O579:O642" si="79">IF(R579&gt;500,"Large Order","Standard order")</f>
        <v>Large Order</v>
      </c>
      <c r="P579" s="7">
        <f t="shared" si="73"/>
        <v>5.0979999999999999</v>
      </c>
      <c r="Q579" s="7" t="str">
        <f>VLOOKUP(D580,Product_Lookup!$A$2:$C$27,2,FALSE)</f>
        <v>Air Fryer</v>
      </c>
      <c r="R579" s="7">
        <f t="shared" si="74"/>
        <v>1835.28</v>
      </c>
    </row>
    <row r="580" spans="1:18" ht="21.75" customHeight="1">
      <c r="A580" t="s">
        <v>730</v>
      </c>
      <c r="B580" s="6">
        <v>45305</v>
      </c>
      <c r="C580" t="s">
        <v>388</v>
      </c>
      <c r="D580" t="s">
        <v>70</v>
      </c>
      <c r="E580" t="s">
        <v>17</v>
      </c>
      <c r="F580" t="s">
        <v>56</v>
      </c>
      <c r="G580" t="s">
        <v>13</v>
      </c>
      <c r="H580">
        <v>10</v>
      </c>
      <c r="I580" t="str">
        <f>VLOOKUP(D580,Product_Lookup!$A$2:$C$27,3,FALSE)</f>
        <v>$211.9</v>
      </c>
      <c r="J580" t="str">
        <f t="shared" si="75"/>
        <v>Sunday</v>
      </c>
      <c r="K580" s="10" t="str">
        <f t="shared" si="76"/>
        <v>January</v>
      </c>
      <c r="L580">
        <f t="shared" si="77"/>
        <v>2024</v>
      </c>
      <c r="M580" t="b">
        <f t="shared" si="78"/>
        <v>1</v>
      </c>
      <c r="N580" t="b">
        <f t="shared" si="72"/>
        <v>1</v>
      </c>
      <c r="O580" t="str">
        <f t="shared" si="79"/>
        <v>Large Order</v>
      </c>
      <c r="P580" s="7">
        <f t="shared" si="73"/>
        <v>10.595000000000001</v>
      </c>
      <c r="Q580" s="7" t="str">
        <f>VLOOKUP(D581,Product_Lookup!$A$2:$C$27,2,FALSE)</f>
        <v>Action Figure</v>
      </c>
      <c r="R580" s="7">
        <f t="shared" si="74"/>
        <v>2119</v>
      </c>
    </row>
    <row r="581" spans="1:18" ht="21.75" customHeight="1">
      <c r="A581" t="s">
        <v>731</v>
      </c>
      <c r="B581" s="6">
        <v>45501</v>
      </c>
      <c r="C581" t="s">
        <v>422</v>
      </c>
      <c r="D581" t="s">
        <v>21</v>
      </c>
      <c r="E581" t="s">
        <v>17</v>
      </c>
      <c r="F581" t="s">
        <v>56</v>
      </c>
      <c r="G581" t="s">
        <v>28</v>
      </c>
      <c r="H581">
        <v>10</v>
      </c>
      <c r="I581" t="str">
        <f>VLOOKUP(D581,Product_Lookup!$A$2:$C$27,3,FALSE)</f>
        <v>$88.18</v>
      </c>
      <c r="J581" t="str">
        <f t="shared" si="75"/>
        <v>Sunday</v>
      </c>
      <c r="K581" s="10" t="str">
        <f t="shared" si="76"/>
        <v>July</v>
      </c>
      <c r="L581">
        <f t="shared" si="77"/>
        <v>2024</v>
      </c>
      <c r="M581" t="b">
        <f t="shared" si="78"/>
        <v>1</v>
      </c>
      <c r="N581" t="b">
        <f t="shared" si="72"/>
        <v>1</v>
      </c>
      <c r="O581" t="str">
        <f t="shared" si="79"/>
        <v>Large Order</v>
      </c>
      <c r="P581" s="7">
        <f t="shared" si="73"/>
        <v>4.4090000000000007</v>
      </c>
      <c r="Q581" s="7" t="str">
        <f>VLOOKUP(D582,Product_Lookup!$A$2:$C$27,2,FALSE)</f>
        <v>Paper Shredder</v>
      </c>
      <c r="R581" s="7">
        <f t="shared" si="74"/>
        <v>881.80000000000007</v>
      </c>
    </row>
    <row r="582" spans="1:18" ht="21.75" customHeight="1">
      <c r="A582" t="s">
        <v>732</v>
      </c>
      <c r="B582" s="6">
        <v>45508</v>
      </c>
      <c r="C582" t="s">
        <v>159</v>
      </c>
      <c r="D582" t="s">
        <v>109</v>
      </c>
      <c r="E582" t="s">
        <v>11</v>
      </c>
      <c r="F582" t="s">
        <v>27</v>
      </c>
      <c r="G582" t="s">
        <v>36</v>
      </c>
      <c r="H582">
        <v>16</v>
      </c>
      <c r="I582" t="str">
        <f>VLOOKUP(D582,Product_Lookup!$A$2:$C$27,3,FALSE)</f>
        <v>$81.02</v>
      </c>
      <c r="J582" t="str">
        <f t="shared" si="75"/>
        <v>Sunday</v>
      </c>
      <c r="K582" s="10" t="str">
        <f t="shared" si="76"/>
        <v>August</v>
      </c>
      <c r="L582">
        <f t="shared" si="77"/>
        <v>2024</v>
      </c>
      <c r="M582" t="b">
        <f t="shared" si="78"/>
        <v>1</v>
      </c>
      <c r="N582" t="b">
        <f t="shared" si="72"/>
        <v>1</v>
      </c>
      <c r="O582" t="str">
        <f t="shared" si="79"/>
        <v>Large Order</v>
      </c>
      <c r="P582" s="7">
        <f t="shared" si="73"/>
        <v>4.0510000000000002</v>
      </c>
      <c r="Q582" s="7" t="str">
        <f>VLOOKUP(D583,Product_Lookup!$A$2:$C$27,2,FALSE)</f>
        <v>Smartphone</v>
      </c>
      <c r="R582" s="7">
        <f t="shared" si="74"/>
        <v>1296.32</v>
      </c>
    </row>
    <row r="583" spans="1:18" ht="21.75" customHeight="1">
      <c r="A583" t="s">
        <v>733</v>
      </c>
      <c r="B583" s="6">
        <v>45551</v>
      </c>
      <c r="C583" t="s">
        <v>465</v>
      </c>
      <c r="D583" t="s">
        <v>79</v>
      </c>
      <c r="E583" t="s">
        <v>17</v>
      </c>
      <c r="F583" t="s">
        <v>306</v>
      </c>
      <c r="G583" t="s">
        <v>36</v>
      </c>
      <c r="H583">
        <v>12</v>
      </c>
      <c r="I583" t="str">
        <f>VLOOKUP(D583,Product_Lookup!$A$2:$C$27,3,FALSE)</f>
        <v>$216.22</v>
      </c>
      <c r="J583" t="str">
        <f t="shared" si="75"/>
        <v>Monday</v>
      </c>
      <c r="K583" s="10" t="str">
        <f t="shared" si="76"/>
        <v>September</v>
      </c>
      <c r="L583">
        <f t="shared" si="77"/>
        <v>2024</v>
      </c>
      <c r="M583" t="b">
        <f t="shared" si="78"/>
        <v>0</v>
      </c>
      <c r="N583" t="b">
        <f t="shared" si="72"/>
        <v>1</v>
      </c>
      <c r="O583" t="str">
        <f t="shared" si="79"/>
        <v>Large Order</v>
      </c>
      <c r="P583" s="7">
        <f t="shared" si="73"/>
        <v>10.811</v>
      </c>
      <c r="Q583" s="7" t="str">
        <f>VLOOKUP(D584,Product_Lookup!$A$2:$C$27,2,FALSE)</f>
        <v>Doll</v>
      </c>
      <c r="R583" s="7">
        <f t="shared" si="74"/>
        <v>2594.64</v>
      </c>
    </row>
    <row r="584" spans="1:18" ht="21.75" customHeight="1">
      <c r="A584" t="s">
        <v>734</v>
      </c>
      <c r="B584" s="6">
        <v>45596</v>
      </c>
      <c r="C584" t="s">
        <v>541</v>
      </c>
      <c r="D584" t="s">
        <v>119</v>
      </c>
      <c r="E584" t="s">
        <v>11</v>
      </c>
      <c r="F584" t="s">
        <v>12</v>
      </c>
      <c r="G584" t="s">
        <v>32</v>
      </c>
      <c r="H584">
        <v>8</v>
      </c>
      <c r="I584" t="str">
        <f>VLOOKUP(D584,Product_Lookup!$A$2:$C$27,3,FALSE)</f>
        <v>$32.94</v>
      </c>
      <c r="J584" t="str">
        <f t="shared" si="75"/>
        <v>Thursday</v>
      </c>
      <c r="K584" s="10" t="str">
        <f t="shared" si="76"/>
        <v>October</v>
      </c>
      <c r="L584">
        <f t="shared" si="77"/>
        <v>2024</v>
      </c>
      <c r="M584" t="b">
        <f t="shared" si="78"/>
        <v>0</v>
      </c>
      <c r="N584" t="b">
        <f t="shared" si="72"/>
        <v>0</v>
      </c>
      <c r="O584" t="str">
        <f t="shared" si="79"/>
        <v>Standard order</v>
      </c>
      <c r="P584" s="7">
        <f t="shared" si="73"/>
        <v>1.647</v>
      </c>
      <c r="Q584" s="7" t="str">
        <f>VLOOKUP(D585,Product_Lookup!$A$2:$C$27,2,FALSE)</f>
        <v>Desk Lamp</v>
      </c>
      <c r="R584" s="7">
        <f t="shared" si="74"/>
        <v>263.52</v>
      </c>
    </row>
    <row r="585" spans="1:18" ht="21.75" customHeight="1">
      <c r="A585" t="s">
        <v>735</v>
      </c>
      <c r="B585" s="6">
        <v>45377</v>
      </c>
      <c r="C585" t="s">
        <v>736</v>
      </c>
      <c r="D585" t="s">
        <v>59</v>
      </c>
      <c r="E585" t="s">
        <v>22</v>
      </c>
      <c r="F585" t="s">
        <v>12</v>
      </c>
      <c r="G585" t="s">
        <v>32</v>
      </c>
      <c r="H585">
        <v>13</v>
      </c>
      <c r="I585" t="str">
        <f>VLOOKUP(D585,Product_Lookup!$A$2:$C$27,3,FALSE)</f>
        <v>$101.96</v>
      </c>
      <c r="J585" t="str">
        <f t="shared" si="75"/>
        <v>Tuesday</v>
      </c>
      <c r="K585" s="10" t="str">
        <f t="shared" si="76"/>
        <v>March</v>
      </c>
      <c r="L585">
        <f t="shared" si="77"/>
        <v>2024</v>
      </c>
      <c r="M585" t="b">
        <f t="shared" si="78"/>
        <v>0</v>
      </c>
      <c r="N585" t="b">
        <f t="shared" si="72"/>
        <v>1</v>
      </c>
      <c r="O585" t="str">
        <f t="shared" si="79"/>
        <v>Large Order</v>
      </c>
      <c r="P585" s="7">
        <f t="shared" si="73"/>
        <v>5.0979999999999999</v>
      </c>
      <c r="Q585" s="7" t="str">
        <f>VLOOKUP(D586,Product_Lookup!$A$2:$C$27,2,FALSE)</f>
        <v>Sweater</v>
      </c>
      <c r="R585" s="7">
        <f t="shared" si="74"/>
        <v>1325.48</v>
      </c>
    </row>
    <row r="586" spans="1:18" ht="21.75" customHeight="1">
      <c r="A586" t="s">
        <v>737</v>
      </c>
      <c r="B586" s="6">
        <v>45512</v>
      </c>
      <c r="C586" t="s">
        <v>15</v>
      </c>
      <c r="D586" t="s">
        <v>26</v>
      </c>
      <c r="E586" t="s">
        <v>11</v>
      </c>
      <c r="F586" t="s">
        <v>12</v>
      </c>
      <c r="G586" t="s">
        <v>36</v>
      </c>
      <c r="H586">
        <v>8</v>
      </c>
      <c r="I586" t="str">
        <f>VLOOKUP(D586,Product_Lookup!$A$2:$C$27,3,FALSE)</f>
        <v>$84.57</v>
      </c>
      <c r="J586" t="str">
        <f t="shared" si="75"/>
        <v>Thursday</v>
      </c>
      <c r="K586" s="10" t="str">
        <f t="shared" si="76"/>
        <v>August</v>
      </c>
      <c r="L586">
        <f t="shared" si="77"/>
        <v>2024</v>
      </c>
      <c r="M586" t="b">
        <f t="shared" si="78"/>
        <v>0</v>
      </c>
      <c r="N586" t="b">
        <f t="shared" si="72"/>
        <v>0</v>
      </c>
      <c r="O586" t="str">
        <f t="shared" si="79"/>
        <v>Large Order</v>
      </c>
      <c r="P586" s="7">
        <f t="shared" si="73"/>
        <v>4.2284999999999995</v>
      </c>
      <c r="Q586" s="7" t="str">
        <f>VLOOKUP(D587,Product_Lookup!$A$2:$C$27,2,FALSE)</f>
        <v>Jacket</v>
      </c>
      <c r="R586" s="7">
        <f t="shared" si="74"/>
        <v>676.56</v>
      </c>
    </row>
    <row r="587" spans="1:18" ht="21.75" customHeight="1">
      <c r="A587" t="s">
        <v>738</v>
      </c>
      <c r="B587" s="6">
        <v>45577</v>
      </c>
      <c r="C587" t="s">
        <v>361</v>
      </c>
      <c r="D587" t="s">
        <v>197</v>
      </c>
      <c r="E587" t="s">
        <v>22</v>
      </c>
      <c r="F587" t="s">
        <v>306</v>
      </c>
      <c r="G587" t="s">
        <v>23</v>
      </c>
      <c r="H587">
        <v>15</v>
      </c>
      <c r="I587" t="str">
        <f>VLOOKUP(D587,Product_Lookup!$A$2:$C$27,3,FALSE)</f>
        <v>$10.11</v>
      </c>
      <c r="J587" t="str">
        <f t="shared" si="75"/>
        <v>Saturday</v>
      </c>
      <c r="K587" s="10" t="str">
        <f t="shared" si="76"/>
        <v>October</v>
      </c>
      <c r="L587">
        <f t="shared" si="77"/>
        <v>2024</v>
      </c>
      <c r="M587" t="b">
        <f t="shared" si="78"/>
        <v>1</v>
      </c>
      <c r="N587" t="b">
        <f t="shared" si="72"/>
        <v>0</v>
      </c>
      <c r="O587" t="str">
        <f t="shared" si="79"/>
        <v>Standard order</v>
      </c>
      <c r="P587" s="7">
        <f t="shared" si="73"/>
        <v>0.50549999999999995</v>
      </c>
      <c r="Q587" s="7" t="str">
        <f>VLOOKUP(D588,Product_Lookup!$A$2:$C$27,2,FALSE)</f>
        <v>Headphones</v>
      </c>
      <c r="R587" s="7">
        <f t="shared" si="74"/>
        <v>151.64999999999998</v>
      </c>
    </row>
    <row r="588" spans="1:18" ht="21.75" customHeight="1">
      <c r="A588" t="s">
        <v>739</v>
      </c>
      <c r="B588" s="6">
        <v>45639</v>
      </c>
      <c r="C588" t="s">
        <v>449</v>
      </c>
      <c r="D588" t="s">
        <v>16</v>
      </c>
      <c r="E588" t="s">
        <v>22</v>
      </c>
      <c r="F588" t="s">
        <v>306</v>
      </c>
      <c r="G588" t="s">
        <v>23</v>
      </c>
      <c r="H588">
        <v>12</v>
      </c>
      <c r="I588" t="str">
        <f>VLOOKUP(D588,Product_Lookup!$A$2:$C$27,3,FALSE)</f>
        <v>$178.83</v>
      </c>
      <c r="J588" t="str">
        <f t="shared" si="75"/>
        <v>Friday</v>
      </c>
      <c r="K588" s="10" t="str">
        <f t="shared" si="76"/>
        <v>December</v>
      </c>
      <c r="L588">
        <f t="shared" si="77"/>
        <v>2024</v>
      </c>
      <c r="M588" t="b">
        <f t="shared" si="78"/>
        <v>0</v>
      </c>
      <c r="N588" t="b">
        <f t="shared" si="72"/>
        <v>1</v>
      </c>
      <c r="O588" t="str">
        <f t="shared" si="79"/>
        <v>Large Order</v>
      </c>
      <c r="P588" s="7">
        <f t="shared" si="73"/>
        <v>8.9415000000000013</v>
      </c>
      <c r="Q588" s="7" t="str">
        <f>VLOOKUP(D589,Product_Lookup!$A$2:$C$27,2,FALSE)</f>
        <v>Monitor</v>
      </c>
      <c r="R588" s="7">
        <f t="shared" si="74"/>
        <v>2145.96</v>
      </c>
    </row>
    <row r="589" spans="1:18" ht="21.75" customHeight="1">
      <c r="A589" t="s">
        <v>740</v>
      </c>
      <c r="B589" s="6">
        <v>45345</v>
      </c>
      <c r="C589" t="s">
        <v>61</v>
      </c>
      <c r="D589" t="s">
        <v>102</v>
      </c>
      <c r="E589" t="s">
        <v>17</v>
      </c>
      <c r="F589" t="s">
        <v>12</v>
      </c>
      <c r="G589" t="s">
        <v>32</v>
      </c>
      <c r="H589">
        <v>5</v>
      </c>
      <c r="I589" t="str">
        <f>VLOOKUP(D589,Product_Lookup!$A$2:$C$27,3,FALSE)</f>
        <v>$145.48</v>
      </c>
      <c r="J589" t="str">
        <f t="shared" si="75"/>
        <v>Friday</v>
      </c>
      <c r="K589" s="10" t="str">
        <f t="shared" si="76"/>
        <v>February</v>
      </c>
      <c r="L589">
        <f t="shared" si="77"/>
        <v>2024</v>
      </c>
      <c r="M589" t="b">
        <f t="shared" si="78"/>
        <v>0</v>
      </c>
      <c r="N589" t="b">
        <f t="shared" si="72"/>
        <v>0</v>
      </c>
      <c r="O589" t="str">
        <f t="shared" si="79"/>
        <v>Large Order</v>
      </c>
      <c r="P589" s="7">
        <f t="shared" si="73"/>
        <v>7.274</v>
      </c>
      <c r="Q589" s="7" t="str">
        <f>VLOOKUP(D590,Product_Lookup!$A$2:$C$27,2,FALSE)</f>
        <v>Stapler</v>
      </c>
      <c r="R589" s="7">
        <f t="shared" si="74"/>
        <v>727.4</v>
      </c>
    </row>
    <row r="590" spans="1:18" ht="21.75" customHeight="1">
      <c r="A590" t="s">
        <v>741</v>
      </c>
      <c r="B590" s="6">
        <v>45525</v>
      </c>
      <c r="C590" t="s">
        <v>728</v>
      </c>
      <c r="D590" t="s">
        <v>35</v>
      </c>
      <c r="E590" t="s">
        <v>11</v>
      </c>
      <c r="F590" t="s">
        <v>306</v>
      </c>
      <c r="G590" t="s">
        <v>23</v>
      </c>
      <c r="H590">
        <v>12</v>
      </c>
      <c r="I590" t="str">
        <f>VLOOKUP(D590,Product_Lookup!$A$2:$C$27,3,FALSE)</f>
        <v>$64.61</v>
      </c>
      <c r="J590" t="str">
        <f t="shared" si="75"/>
        <v>Wednesday</v>
      </c>
      <c r="K590" s="10" t="str">
        <f t="shared" si="76"/>
        <v>August</v>
      </c>
      <c r="L590">
        <f t="shared" si="77"/>
        <v>2024</v>
      </c>
      <c r="M590" t="b">
        <f t="shared" si="78"/>
        <v>0</v>
      </c>
      <c r="N590" t="b">
        <f t="shared" si="72"/>
        <v>1</v>
      </c>
      <c r="O590" t="str">
        <f t="shared" si="79"/>
        <v>Large Order</v>
      </c>
      <c r="P590" s="7">
        <f t="shared" si="73"/>
        <v>3.2305000000000001</v>
      </c>
      <c r="Q590" s="7" t="str">
        <f>VLOOKUP(D591,Product_Lookup!$A$2:$C$27,2,FALSE)</f>
        <v>Socks</v>
      </c>
      <c r="R590" s="7">
        <f t="shared" si="74"/>
        <v>775.31999999999994</v>
      </c>
    </row>
    <row r="591" spans="1:18" ht="21.75" customHeight="1">
      <c r="A591" t="s">
        <v>742</v>
      </c>
      <c r="B591" s="6">
        <v>45648</v>
      </c>
      <c r="C591" t="s">
        <v>430</v>
      </c>
      <c r="D591" t="s">
        <v>74</v>
      </c>
      <c r="E591" t="s">
        <v>17</v>
      </c>
      <c r="F591" t="s">
        <v>12</v>
      </c>
      <c r="G591" t="s">
        <v>13</v>
      </c>
      <c r="H591">
        <v>2</v>
      </c>
      <c r="I591" t="str">
        <f>VLOOKUP(D591,Product_Lookup!$A$2:$C$27,3,FALSE)</f>
        <v>$201.32</v>
      </c>
      <c r="J591" t="str">
        <f t="shared" si="75"/>
        <v>Sunday</v>
      </c>
      <c r="K591" s="10" t="str">
        <f t="shared" si="76"/>
        <v>December</v>
      </c>
      <c r="L591">
        <f t="shared" si="77"/>
        <v>2024</v>
      </c>
      <c r="M591" t="b">
        <f t="shared" si="78"/>
        <v>1</v>
      </c>
      <c r="N591" t="b">
        <f t="shared" si="72"/>
        <v>0</v>
      </c>
      <c r="O591" t="str">
        <f t="shared" si="79"/>
        <v>Standard order</v>
      </c>
      <c r="P591" s="7">
        <f t="shared" si="73"/>
        <v>10.066000000000001</v>
      </c>
      <c r="Q591" s="7" t="str">
        <f>VLOOKUP(D592,Product_Lookup!$A$2:$C$27,2,FALSE)</f>
        <v>Board Game</v>
      </c>
      <c r="R591" s="7">
        <f t="shared" si="74"/>
        <v>402.64</v>
      </c>
    </row>
    <row r="592" spans="1:18" ht="21.75" customHeight="1">
      <c r="A592" t="s">
        <v>743</v>
      </c>
      <c r="B592" s="6">
        <v>45303</v>
      </c>
      <c r="C592" t="s">
        <v>47</v>
      </c>
      <c r="D592" t="s">
        <v>41</v>
      </c>
      <c r="E592" t="s">
        <v>22</v>
      </c>
      <c r="F592" t="s">
        <v>12</v>
      </c>
      <c r="G592" t="s">
        <v>28</v>
      </c>
      <c r="H592">
        <v>6</v>
      </c>
      <c r="I592" t="str">
        <f>VLOOKUP(D592,Product_Lookup!$A$2:$C$27,3,FALSE)</f>
        <v>$86.6</v>
      </c>
      <c r="J592" t="str">
        <f t="shared" si="75"/>
        <v>Friday</v>
      </c>
      <c r="K592" s="10" t="str">
        <f t="shared" si="76"/>
        <v>January</v>
      </c>
      <c r="L592">
        <f t="shared" si="77"/>
        <v>2024</v>
      </c>
      <c r="M592" t="b">
        <f t="shared" si="78"/>
        <v>0</v>
      </c>
      <c r="N592" t="b">
        <f t="shared" si="72"/>
        <v>0</v>
      </c>
      <c r="O592" t="str">
        <f t="shared" si="79"/>
        <v>Large Order</v>
      </c>
      <c r="P592" s="7">
        <f t="shared" si="73"/>
        <v>4.33</v>
      </c>
      <c r="Q592" s="7" t="str">
        <f>VLOOKUP(D593,Product_Lookup!$A$2:$C$27,2,FALSE)</f>
        <v>Blender</v>
      </c>
      <c r="R592" s="7">
        <f t="shared" si="74"/>
        <v>519.59999999999991</v>
      </c>
    </row>
    <row r="593" spans="1:18" ht="21.75" customHeight="1">
      <c r="A593" t="s">
        <v>744</v>
      </c>
      <c r="B593" s="6">
        <v>45556</v>
      </c>
      <c r="C593" t="s">
        <v>235</v>
      </c>
      <c r="D593" t="s">
        <v>72</v>
      </c>
      <c r="E593" t="s">
        <v>22</v>
      </c>
      <c r="F593" t="s">
        <v>56</v>
      </c>
      <c r="G593" t="s">
        <v>23</v>
      </c>
      <c r="H593">
        <v>18</v>
      </c>
      <c r="I593" t="str">
        <f>VLOOKUP(D593,Product_Lookup!$A$2:$C$27,3,FALSE)</f>
        <v>$156.44</v>
      </c>
      <c r="J593" t="str">
        <f t="shared" si="75"/>
        <v>Saturday</v>
      </c>
      <c r="K593" s="10" t="str">
        <f t="shared" si="76"/>
        <v>September</v>
      </c>
      <c r="L593">
        <f t="shared" si="77"/>
        <v>2024</v>
      </c>
      <c r="M593" t="b">
        <f t="shared" si="78"/>
        <v>1</v>
      </c>
      <c r="N593" t="b">
        <f t="shared" si="72"/>
        <v>1</v>
      </c>
      <c r="O593" t="str">
        <f t="shared" si="79"/>
        <v>Large Order</v>
      </c>
      <c r="P593" s="7">
        <f t="shared" si="73"/>
        <v>7.8220000000000001</v>
      </c>
      <c r="Q593" s="7" t="str">
        <f>VLOOKUP(D594,Product_Lookup!$A$2:$C$27,2,FALSE)</f>
        <v>T-Shirt</v>
      </c>
      <c r="R593" s="7">
        <f t="shared" si="74"/>
        <v>2815.92</v>
      </c>
    </row>
    <row r="594" spans="1:18" ht="21.75" customHeight="1">
      <c r="A594" t="s">
        <v>745</v>
      </c>
      <c r="B594" s="6">
        <v>45410</v>
      </c>
      <c r="C594" t="s">
        <v>341</v>
      </c>
      <c r="D594" t="s">
        <v>45</v>
      </c>
      <c r="E594" t="s">
        <v>22</v>
      </c>
      <c r="F594" t="s">
        <v>56</v>
      </c>
      <c r="G594" t="s">
        <v>36</v>
      </c>
      <c r="H594">
        <v>14</v>
      </c>
      <c r="I594" t="str">
        <f>VLOOKUP(D594,Product_Lookup!$A$2:$C$27,3,FALSE)</f>
        <v>$107.34</v>
      </c>
      <c r="J594" t="str">
        <f t="shared" si="75"/>
        <v>Sunday</v>
      </c>
      <c r="K594" s="10" t="str">
        <f t="shared" si="76"/>
        <v>April</v>
      </c>
      <c r="L594">
        <f t="shared" si="77"/>
        <v>2024</v>
      </c>
      <c r="M594" t="b">
        <f t="shared" si="78"/>
        <v>1</v>
      </c>
      <c r="N594" t="b">
        <f t="shared" si="72"/>
        <v>1</v>
      </c>
      <c r="O594" t="str">
        <f t="shared" si="79"/>
        <v>Large Order</v>
      </c>
      <c r="P594" s="7">
        <f t="shared" si="73"/>
        <v>5.3670000000000009</v>
      </c>
      <c r="Q594" s="7" t="str">
        <f>VLOOKUP(D595,Product_Lookup!$A$2:$C$27,2,FALSE)</f>
        <v>Coffee Maker</v>
      </c>
      <c r="R594" s="7">
        <f t="shared" si="74"/>
        <v>1502.76</v>
      </c>
    </row>
    <row r="595" spans="1:18" ht="21.75" customHeight="1">
      <c r="A595" t="s">
        <v>746</v>
      </c>
      <c r="B595" s="6">
        <v>45393</v>
      </c>
      <c r="C595" t="s">
        <v>430</v>
      </c>
      <c r="D595" t="s">
        <v>31</v>
      </c>
      <c r="E595" t="s">
        <v>22</v>
      </c>
      <c r="F595" t="s">
        <v>27</v>
      </c>
      <c r="G595" t="s">
        <v>28</v>
      </c>
      <c r="H595">
        <v>1</v>
      </c>
      <c r="I595" t="str">
        <f>VLOOKUP(D595,Product_Lookup!$A$2:$C$27,3,FALSE)</f>
        <v>$230.34</v>
      </c>
      <c r="J595" t="str">
        <f t="shared" si="75"/>
        <v>Thursday</v>
      </c>
      <c r="K595" s="10" t="str">
        <f t="shared" si="76"/>
        <v>April</v>
      </c>
      <c r="L595">
        <f t="shared" si="77"/>
        <v>2024</v>
      </c>
      <c r="M595" t="b">
        <f t="shared" si="78"/>
        <v>0</v>
      </c>
      <c r="N595" t="b">
        <f t="shared" si="72"/>
        <v>0</v>
      </c>
      <c r="O595" t="str">
        <f t="shared" si="79"/>
        <v>Standard order</v>
      </c>
      <c r="P595" s="7">
        <f t="shared" si="73"/>
        <v>11.517000000000001</v>
      </c>
      <c r="Q595" s="7" t="str">
        <f>VLOOKUP(D596,Product_Lookup!$A$2:$C$27,2,FALSE)</f>
        <v>Desk Lamp</v>
      </c>
      <c r="R595" s="7">
        <f t="shared" si="74"/>
        <v>230.34</v>
      </c>
    </row>
    <row r="596" spans="1:18" ht="21.75" customHeight="1">
      <c r="A596" t="s">
        <v>747</v>
      </c>
      <c r="B596" s="6">
        <v>45434</v>
      </c>
      <c r="C596" t="s">
        <v>664</v>
      </c>
      <c r="D596" t="s">
        <v>59</v>
      </c>
      <c r="E596" t="s">
        <v>22</v>
      </c>
      <c r="F596" t="s">
        <v>12</v>
      </c>
      <c r="G596" t="s">
        <v>36</v>
      </c>
      <c r="H596">
        <v>4</v>
      </c>
      <c r="I596" t="str">
        <f>VLOOKUP(D596,Product_Lookup!$A$2:$C$27,3,FALSE)</f>
        <v>$101.96</v>
      </c>
      <c r="J596" t="str">
        <f t="shared" si="75"/>
        <v>Wednesday</v>
      </c>
      <c r="K596" s="10" t="str">
        <f t="shared" si="76"/>
        <v>May</v>
      </c>
      <c r="L596">
        <f t="shared" si="77"/>
        <v>2024</v>
      </c>
      <c r="M596" t="b">
        <f t="shared" si="78"/>
        <v>0</v>
      </c>
      <c r="N596" t="b">
        <f t="shared" si="72"/>
        <v>0</v>
      </c>
      <c r="O596" t="str">
        <f t="shared" si="79"/>
        <v>Standard order</v>
      </c>
      <c r="P596" s="7">
        <f t="shared" si="73"/>
        <v>5.0979999999999999</v>
      </c>
      <c r="Q596" s="7" t="str">
        <f>VLOOKUP(D597,Product_Lookup!$A$2:$C$27,2,FALSE)</f>
        <v>Air Fryer</v>
      </c>
      <c r="R596" s="7">
        <f t="shared" si="74"/>
        <v>407.84</v>
      </c>
    </row>
    <row r="597" spans="1:18" ht="21.75" customHeight="1">
      <c r="A597" t="s">
        <v>748</v>
      </c>
      <c r="B597" s="6">
        <v>45387</v>
      </c>
      <c r="C597" t="s">
        <v>83</v>
      </c>
      <c r="D597" t="s">
        <v>70</v>
      </c>
      <c r="E597" t="s">
        <v>17</v>
      </c>
      <c r="F597" t="s">
        <v>56</v>
      </c>
      <c r="G597" t="s">
        <v>23</v>
      </c>
      <c r="H597">
        <v>4</v>
      </c>
      <c r="I597" t="str">
        <f>VLOOKUP(D597,Product_Lookup!$A$2:$C$27,3,FALSE)</f>
        <v>$211.9</v>
      </c>
      <c r="J597" t="str">
        <f t="shared" si="75"/>
        <v>Friday</v>
      </c>
      <c r="K597" s="10" t="str">
        <f t="shared" si="76"/>
        <v>April</v>
      </c>
      <c r="L597">
        <f t="shared" si="77"/>
        <v>2024</v>
      </c>
      <c r="M597" t="b">
        <f t="shared" si="78"/>
        <v>0</v>
      </c>
      <c r="N597" t="b">
        <f t="shared" si="72"/>
        <v>0</v>
      </c>
      <c r="O597" t="str">
        <f t="shared" si="79"/>
        <v>Large Order</v>
      </c>
      <c r="P597" s="7">
        <f t="shared" si="73"/>
        <v>10.595000000000001</v>
      </c>
      <c r="Q597" s="7" t="str">
        <f>VLOOKUP(D598,Product_Lookup!$A$2:$C$27,2,FALSE)</f>
        <v>Coffee Maker</v>
      </c>
      <c r="R597" s="7">
        <f t="shared" si="74"/>
        <v>847.6</v>
      </c>
    </row>
    <row r="598" spans="1:18" ht="21.75" customHeight="1">
      <c r="A598" t="s">
        <v>749</v>
      </c>
      <c r="B598" s="6">
        <v>45562</v>
      </c>
      <c r="C598" t="s">
        <v>541</v>
      </c>
      <c r="D598" t="s">
        <v>31</v>
      </c>
      <c r="E598" t="s">
        <v>17</v>
      </c>
      <c r="F598" t="s">
        <v>306</v>
      </c>
      <c r="G598" t="s">
        <v>13</v>
      </c>
      <c r="H598">
        <v>20</v>
      </c>
      <c r="I598" t="str">
        <f>VLOOKUP(D598,Product_Lookup!$A$2:$C$27,3,FALSE)</f>
        <v>$230.34</v>
      </c>
      <c r="J598" t="str">
        <f t="shared" si="75"/>
        <v>Friday</v>
      </c>
      <c r="K598" s="10" t="str">
        <f t="shared" si="76"/>
        <v>September</v>
      </c>
      <c r="L598">
        <f t="shared" si="77"/>
        <v>2024</v>
      </c>
      <c r="M598" t="b">
        <f t="shared" si="78"/>
        <v>0</v>
      </c>
      <c r="N598" t="b">
        <f t="shared" si="72"/>
        <v>1</v>
      </c>
      <c r="O598" t="str">
        <f t="shared" si="79"/>
        <v>Large Order</v>
      </c>
      <c r="P598" s="7">
        <f t="shared" si="73"/>
        <v>11.517000000000001</v>
      </c>
      <c r="Q598" s="7" t="str">
        <f>VLOOKUP(D599,Product_Lookup!$A$2:$C$27,2,FALSE)</f>
        <v>T-Shirt</v>
      </c>
      <c r="R598" s="7">
        <f t="shared" si="74"/>
        <v>4606.8</v>
      </c>
    </row>
    <row r="599" spans="1:18" ht="21.75" customHeight="1">
      <c r="A599" t="s">
        <v>750</v>
      </c>
      <c r="B599" s="6">
        <v>45470</v>
      </c>
      <c r="C599" t="s">
        <v>182</v>
      </c>
      <c r="D599" t="s">
        <v>45</v>
      </c>
      <c r="E599" t="s">
        <v>17</v>
      </c>
      <c r="F599" t="s">
        <v>306</v>
      </c>
      <c r="G599" t="s">
        <v>36</v>
      </c>
      <c r="H599">
        <v>10</v>
      </c>
      <c r="I599" t="str">
        <f>VLOOKUP(D599,Product_Lookup!$A$2:$C$27,3,FALSE)</f>
        <v>$107.34</v>
      </c>
      <c r="J599" t="str">
        <f t="shared" si="75"/>
        <v>Thursday</v>
      </c>
      <c r="K599" s="10" t="str">
        <f t="shared" si="76"/>
        <v>June</v>
      </c>
      <c r="L599">
        <f t="shared" si="77"/>
        <v>2024</v>
      </c>
      <c r="M599" t="b">
        <f t="shared" si="78"/>
        <v>0</v>
      </c>
      <c r="N599" t="b">
        <f t="shared" si="72"/>
        <v>1</v>
      </c>
      <c r="O599" t="str">
        <f t="shared" si="79"/>
        <v>Large Order</v>
      </c>
      <c r="P599" s="7">
        <f t="shared" si="73"/>
        <v>5.3670000000000009</v>
      </c>
      <c r="Q599" s="7" t="str">
        <f>VLOOKUP(D600,Product_Lookup!$A$2:$C$27,2,FALSE)</f>
        <v>Monitor</v>
      </c>
      <c r="R599" s="7">
        <f t="shared" si="74"/>
        <v>1073.4000000000001</v>
      </c>
    </row>
    <row r="600" spans="1:18" ht="21.75" customHeight="1">
      <c r="A600" t="s">
        <v>751</v>
      </c>
      <c r="B600" s="6">
        <v>45335</v>
      </c>
      <c r="C600" t="s">
        <v>422</v>
      </c>
      <c r="D600" t="s">
        <v>102</v>
      </c>
      <c r="E600" t="s">
        <v>11</v>
      </c>
      <c r="F600" t="s">
        <v>42</v>
      </c>
      <c r="G600" t="s">
        <v>28</v>
      </c>
      <c r="H600">
        <v>8</v>
      </c>
      <c r="I600" t="str">
        <f>VLOOKUP(D600,Product_Lookup!$A$2:$C$27,3,FALSE)</f>
        <v>$145.48</v>
      </c>
      <c r="J600" t="str">
        <f t="shared" si="75"/>
        <v>Tuesday</v>
      </c>
      <c r="K600" s="10" t="str">
        <f t="shared" si="76"/>
        <v>February</v>
      </c>
      <c r="L600">
        <f t="shared" si="77"/>
        <v>2024</v>
      </c>
      <c r="M600" t="b">
        <f t="shared" si="78"/>
        <v>0</v>
      </c>
      <c r="N600" t="b">
        <f t="shared" si="72"/>
        <v>1</v>
      </c>
      <c r="O600" t="str">
        <f t="shared" si="79"/>
        <v>Large Order</v>
      </c>
      <c r="P600" s="7">
        <f t="shared" si="73"/>
        <v>7.274</v>
      </c>
      <c r="Q600" s="7" t="str">
        <f>VLOOKUP(D601,Product_Lookup!$A$2:$C$27,2,FALSE)</f>
        <v>Coffee Maker</v>
      </c>
      <c r="R600" s="7">
        <f t="shared" si="74"/>
        <v>1163.8399999999999</v>
      </c>
    </row>
    <row r="601" spans="1:18" ht="21.75" customHeight="1">
      <c r="A601" t="s">
        <v>752</v>
      </c>
      <c r="B601" s="6">
        <v>45483</v>
      </c>
      <c r="C601" t="s">
        <v>465</v>
      </c>
      <c r="D601" t="s">
        <v>31</v>
      </c>
      <c r="E601" t="s">
        <v>11</v>
      </c>
      <c r="F601" t="s">
        <v>306</v>
      </c>
      <c r="G601" t="s">
        <v>36</v>
      </c>
      <c r="H601">
        <v>14</v>
      </c>
      <c r="I601" t="str">
        <f>VLOOKUP(D601,Product_Lookup!$A$2:$C$27,3,FALSE)</f>
        <v>$230.34</v>
      </c>
      <c r="J601" t="str">
        <f t="shared" si="75"/>
        <v>Wednesday</v>
      </c>
      <c r="K601" s="10" t="str">
        <f t="shared" si="76"/>
        <v>July</v>
      </c>
      <c r="L601">
        <f t="shared" si="77"/>
        <v>2024</v>
      </c>
      <c r="M601" t="b">
        <f t="shared" si="78"/>
        <v>0</v>
      </c>
      <c r="N601" t="b">
        <f t="shared" si="72"/>
        <v>1</v>
      </c>
      <c r="O601" t="str">
        <f t="shared" si="79"/>
        <v>Large Order</v>
      </c>
      <c r="P601" s="7">
        <f t="shared" si="73"/>
        <v>11.517000000000001</v>
      </c>
      <c r="Q601" s="7" t="str">
        <f>VLOOKUP(D602,Product_Lookup!$A$2:$C$27,2,FALSE)</f>
        <v>Action Figure</v>
      </c>
      <c r="R601" s="7">
        <f t="shared" si="74"/>
        <v>3224.76</v>
      </c>
    </row>
    <row r="602" spans="1:18" ht="21.75" customHeight="1">
      <c r="A602" t="s">
        <v>753</v>
      </c>
      <c r="B602" s="6">
        <v>45488</v>
      </c>
      <c r="C602" t="s">
        <v>309</v>
      </c>
      <c r="D602" t="s">
        <v>21</v>
      </c>
      <c r="E602" t="s">
        <v>11</v>
      </c>
      <c r="F602" t="s">
        <v>27</v>
      </c>
      <c r="G602" t="s">
        <v>28</v>
      </c>
      <c r="H602">
        <v>18</v>
      </c>
      <c r="I602" t="str">
        <f>VLOOKUP(D602,Product_Lookup!$A$2:$C$27,3,FALSE)</f>
        <v>$88.18</v>
      </c>
      <c r="J602" t="str">
        <f t="shared" si="75"/>
        <v>Monday</v>
      </c>
      <c r="K602" s="10" t="str">
        <f t="shared" si="76"/>
        <v>July</v>
      </c>
      <c r="L602">
        <f t="shared" si="77"/>
        <v>2024</v>
      </c>
      <c r="M602" t="b">
        <f t="shared" si="78"/>
        <v>0</v>
      </c>
      <c r="N602" t="b">
        <f t="shared" si="72"/>
        <v>1</v>
      </c>
      <c r="O602" t="str">
        <f t="shared" si="79"/>
        <v>Large Order</v>
      </c>
      <c r="P602" s="7">
        <f t="shared" si="73"/>
        <v>4.4090000000000007</v>
      </c>
      <c r="Q602" s="7" t="str">
        <f>VLOOKUP(D603,Product_Lookup!$A$2:$C$27,2,FALSE)</f>
        <v>Headphones</v>
      </c>
      <c r="R602" s="7">
        <f t="shared" si="74"/>
        <v>1587.2400000000002</v>
      </c>
    </row>
    <row r="603" spans="1:18" ht="21.75" customHeight="1">
      <c r="A603" t="s">
        <v>754</v>
      </c>
      <c r="B603" s="6">
        <v>45576</v>
      </c>
      <c r="C603" t="s">
        <v>30</v>
      </c>
      <c r="D603" t="s">
        <v>16</v>
      </c>
      <c r="E603" t="s">
        <v>17</v>
      </c>
      <c r="F603" t="s">
        <v>42</v>
      </c>
      <c r="G603" t="s">
        <v>23</v>
      </c>
      <c r="H603">
        <v>6</v>
      </c>
      <c r="I603" t="str">
        <f>VLOOKUP(D603,Product_Lookup!$A$2:$C$27,3,FALSE)</f>
        <v>$178.83</v>
      </c>
      <c r="J603" t="str">
        <f t="shared" si="75"/>
        <v>Friday</v>
      </c>
      <c r="K603" s="10" t="str">
        <f t="shared" si="76"/>
        <v>October</v>
      </c>
      <c r="L603">
        <f t="shared" si="77"/>
        <v>2024</v>
      </c>
      <c r="M603" t="b">
        <f t="shared" si="78"/>
        <v>0</v>
      </c>
      <c r="N603" t="b">
        <f t="shared" si="72"/>
        <v>1</v>
      </c>
      <c r="O603" t="str">
        <f t="shared" si="79"/>
        <v>Large Order</v>
      </c>
      <c r="P603" s="7">
        <f t="shared" si="73"/>
        <v>8.9415000000000013</v>
      </c>
      <c r="Q603" s="7" t="str">
        <f>VLOOKUP(D604,Product_Lookup!$A$2:$C$27,2,FALSE)</f>
        <v>Stapler</v>
      </c>
      <c r="R603" s="7">
        <f t="shared" si="74"/>
        <v>1072.98</v>
      </c>
    </row>
    <row r="604" spans="1:18" ht="21.75" customHeight="1">
      <c r="A604" t="s">
        <v>755</v>
      </c>
      <c r="B604" s="6">
        <v>45609</v>
      </c>
      <c r="C604" t="s">
        <v>9</v>
      </c>
      <c r="D604" t="s">
        <v>35</v>
      </c>
      <c r="E604" t="s">
        <v>17</v>
      </c>
      <c r="F604" t="s">
        <v>12</v>
      </c>
      <c r="G604" t="s">
        <v>23</v>
      </c>
      <c r="H604">
        <v>5</v>
      </c>
      <c r="I604" t="str">
        <f>VLOOKUP(D604,Product_Lookup!$A$2:$C$27,3,FALSE)</f>
        <v>$64.61</v>
      </c>
      <c r="J604" t="str">
        <f t="shared" si="75"/>
        <v>Wednesday</v>
      </c>
      <c r="K604" s="10" t="str">
        <f t="shared" si="76"/>
        <v>November</v>
      </c>
      <c r="L604">
        <f t="shared" si="77"/>
        <v>2024</v>
      </c>
      <c r="M604" t="b">
        <f t="shared" si="78"/>
        <v>0</v>
      </c>
      <c r="N604" t="b">
        <f t="shared" si="72"/>
        <v>0</v>
      </c>
      <c r="O604" t="str">
        <f t="shared" si="79"/>
        <v>Standard order</v>
      </c>
      <c r="P604" s="7">
        <f t="shared" si="73"/>
        <v>3.2305000000000001</v>
      </c>
      <c r="Q604" s="7" t="str">
        <f>VLOOKUP(D605,Product_Lookup!$A$2:$C$27,2,FALSE)</f>
        <v>Vacuum</v>
      </c>
      <c r="R604" s="7">
        <f t="shared" si="74"/>
        <v>323.05</v>
      </c>
    </row>
    <row r="605" spans="1:18" ht="21.75" customHeight="1">
      <c r="A605" t="s">
        <v>756</v>
      </c>
      <c r="B605" s="6">
        <v>45579</v>
      </c>
      <c r="C605" t="s">
        <v>358</v>
      </c>
      <c r="D605" t="s">
        <v>87</v>
      </c>
      <c r="E605" t="s">
        <v>22</v>
      </c>
      <c r="F605" t="s">
        <v>27</v>
      </c>
      <c r="G605" t="s">
        <v>23</v>
      </c>
      <c r="H605">
        <v>16</v>
      </c>
      <c r="I605" t="str">
        <f>VLOOKUP(D605,Product_Lookup!$A$2:$C$27,3,FALSE)</f>
        <v>$26.59</v>
      </c>
      <c r="J605" t="str">
        <f t="shared" si="75"/>
        <v>Monday</v>
      </c>
      <c r="K605" s="10" t="str">
        <f t="shared" si="76"/>
        <v>October</v>
      </c>
      <c r="L605">
        <f t="shared" si="77"/>
        <v>2024</v>
      </c>
      <c r="M605" t="b">
        <f t="shared" si="78"/>
        <v>0</v>
      </c>
      <c r="N605" t="b">
        <f t="shared" si="72"/>
        <v>0</v>
      </c>
      <c r="O605" t="str">
        <f t="shared" si="79"/>
        <v>Standard order</v>
      </c>
      <c r="P605" s="7">
        <f t="shared" si="73"/>
        <v>1.3295000000000001</v>
      </c>
      <c r="Q605" s="7" t="str">
        <f>VLOOKUP(D606,Product_Lookup!$A$2:$C$27,2,FALSE)</f>
        <v>Laptop</v>
      </c>
      <c r="R605" s="7">
        <f t="shared" si="74"/>
        <v>425.44</v>
      </c>
    </row>
    <row r="606" spans="1:18" ht="21.75" customHeight="1">
      <c r="A606" t="s">
        <v>757</v>
      </c>
      <c r="B606" s="6">
        <v>45542</v>
      </c>
      <c r="C606" t="s">
        <v>30</v>
      </c>
      <c r="D606" t="s">
        <v>96</v>
      </c>
      <c r="E606" t="s">
        <v>11</v>
      </c>
      <c r="F606" t="s">
        <v>306</v>
      </c>
      <c r="G606" t="s">
        <v>32</v>
      </c>
      <c r="H606">
        <v>8</v>
      </c>
      <c r="I606" t="str">
        <f>VLOOKUP(D606,Product_Lookup!$A$2:$C$27,3,FALSE)</f>
        <v>$230.68</v>
      </c>
      <c r="J606" t="str">
        <f t="shared" si="75"/>
        <v>Saturday</v>
      </c>
      <c r="K606" s="10" t="str">
        <f t="shared" si="76"/>
        <v>September</v>
      </c>
      <c r="L606">
        <f t="shared" si="77"/>
        <v>2024</v>
      </c>
      <c r="M606" t="b">
        <f t="shared" si="78"/>
        <v>1</v>
      </c>
      <c r="N606" t="b">
        <f t="shared" si="72"/>
        <v>1</v>
      </c>
      <c r="O606" t="str">
        <f t="shared" si="79"/>
        <v>Large Order</v>
      </c>
      <c r="P606" s="7">
        <f t="shared" si="73"/>
        <v>11.534000000000001</v>
      </c>
      <c r="Q606" s="7" t="str">
        <f>VLOOKUP(D607,Product_Lookup!$A$2:$C$27,2,FALSE)</f>
        <v>Doll</v>
      </c>
      <c r="R606" s="7">
        <f t="shared" si="74"/>
        <v>1845.44</v>
      </c>
    </row>
    <row r="607" spans="1:18" ht="21.75" customHeight="1">
      <c r="A607" t="s">
        <v>758</v>
      </c>
      <c r="B607" s="6">
        <v>45407</v>
      </c>
      <c r="C607" t="s">
        <v>312</v>
      </c>
      <c r="D607" t="s">
        <v>119</v>
      </c>
      <c r="E607" t="s">
        <v>17</v>
      </c>
      <c r="F607" t="s">
        <v>56</v>
      </c>
      <c r="G607" t="s">
        <v>23</v>
      </c>
      <c r="H607">
        <v>15</v>
      </c>
      <c r="I607" t="str">
        <f>VLOOKUP(D607,Product_Lookup!$A$2:$C$27,3,FALSE)</f>
        <v>$32.94</v>
      </c>
      <c r="J607" t="str">
        <f t="shared" si="75"/>
        <v>Thursday</v>
      </c>
      <c r="K607" s="10" t="str">
        <f t="shared" si="76"/>
        <v>April</v>
      </c>
      <c r="L607">
        <f t="shared" si="77"/>
        <v>2024</v>
      </c>
      <c r="M607" t="b">
        <f t="shared" si="78"/>
        <v>0</v>
      </c>
      <c r="N607" t="b">
        <f t="shared" si="72"/>
        <v>0</v>
      </c>
      <c r="O607" t="str">
        <f t="shared" si="79"/>
        <v>Standard order</v>
      </c>
      <c r="P607" s="7">
        <f t="shared" si="73"/>
        <v>1.647</v>
      </c>
      <c r="Q607" s="7" t="str">
        <f>VLOOKUP(D608,Product_Lookup!$A$2:$C$27,2,FALSE)</f>
        <v>Monitor</v>
      </c>
      <c r="R607" s="7">
        <f t="shared" si="74"/>
        <v>494.09999999999997</v>
      </c>
    </row>
    <row r="608" spans="1:18" ht="21.75" customHeight="1">
      <c r="A608" t="s">
        <v>759</v>
      </c>
      <c r="B608" s="6">
        <v>45573</v>
      </c>
      <c r="C608" t="s">
        <v>345</v>
      </c>
      <c r="D608" t="s">
        <v>102</v>
      </c>
      <c r="E608" t="s">
        <v>11</v>
      </c>
      <c r="F608" t="s">
        <v>306</v>
      </c>
      <c r="G608" t="s">
        <v>32</v>
      </c>
      <c r="H608">
        <v>9</v>
      </c>
      <c r="I608" t="str">
        <f>VLOOKUP(D608,Product_Lookup!$A$2:$C$27,3,FALSE)</f>
        <v>$145.48</v>
      </c>
      <c r="J608" t="str">
        <f t="shared" si="75"/>
        <v>Tuesday</v>
      </c>
      <c r="K608" s="10" t="str">
        <f t="shared" si="76"/>
        <v>October</v>
      </c>
      <c r="L608">
        <f t="shared" si="77"/>
        <v>2024</v>
      </c>
      <c r="M608" t="b">
        <f t="shared" si="78"/>
        <v>0</v>
      </c>
      <c r="N608" t="b">
        <f t="shared" si="72"/>
        <v>1</v>
      </c>
      <c r="O608" t="str">
        <f t="shared" si="79"/>
        <v>Large Order</v>
      </c>
      <c r="P608" s="7">
        <f t="shared" si="73"/>
        <v>7.274</v>
      </c>
      <c r="Q608" s="7" t="str">
        <f>VLOOKUP(D609,Product_Lookup!$A$2:$C$27,2,FALSE)</f>
        <v>Pen Set</v>
      </c>
      <c r="R608" s="7">
        <f t="shared" si="74"/>
        <v>1309.32</v>
      </c>
    </row>
    <row r="609" spans="1:18" ht="21.75" customHeight="1">
      <c r="A609" t="s">
        <v>760</v>
      </c>
      <c r="B609" s="6">
        <v>45569</v>
      </c>
      <c r="C609" t="s">
        <v>664</v>
      </c>
      <c r="D609" t="s">
        <v>174</v>
      </c>
      <c r="E609" t="s">
        <v>11</v>
      </c>
      <c r="F609" t="s">
        <v>27</v>
      </c>
      <c r="G609" t="s">
        <v>13</v>
      </c>
      <c r="H609">
        <v>7</v>
      </c>
      <c r="I609" t="str">
        <f>VLOOKUP(D609,Product_Lookup!$A$2:$C$27,3,FALSE)</f>
        <v>$133.37</v>
      </c>
      <c r="J609" t="str">
        <f t="shared" si="75"/>
        <v>Friday</v>
      </c>
      <c r="K609" s="10" t="str">
        <f t="shared" si="76"/>
        <v>October</v>
      </c>
      <c r="L609">
        <f t="shared" si="77"/>
        <v>2024</v>
      </c>
      <c r="M609" t="b">
        <f t="shared" si="78"/>
        <v>0</v>
      </c>
      <c r="N609" t="b">
        <f t="shared" si="72"/>
        <v>1</v>
      </c>
      <c r="O609" t="str">
        <f t="shared" si="79"/>
        <v>Large Order</v>
      </c>
      <c r="P609" s="7">
        <f t="shared" si="73"/>
        <v>6.6685000000000008</v>
      </c>
      <c r="Q609" s="7" t="str">
        <f>VLOOKUP(D610,Product_Lookup!$A$2:$C$27,2,FALSE)</f>
        <v>Smartphone</v>
      </c>
      <c r="R609" s="7">
        <f t="shared" si="74"/>
        <v>933.59</v>
      </c>
    </row>
    <row r="610" spans="1:18" ht="21.75" customHeight="1">
      <c r="A610" t="s">
        <v>761</v>
      </c>
      <c r="B610" s="6">
        <v>45626</v>
      </c>
      <c r="C610" t="s">
        <v>664</v>
      </c>
      <c r="D610" t="s">
        <v>79</v>
      </c>
      <c r="E610" t="s">
        <v>11</v>
      </c>
      <c r="F610" t="s">
        <v>42</v>
      </c>
      <c r="G610" t="s">
        <v>13</v>
      </c>
      <c r="H610">
        <v>15</v>
      </c>
      <c r="I610" t="str">
        <f>VLOOKUP(D610,Product_Lookup!$A$2:$C$27,3,FALSE)</f>
        <v>$216.22</v>
      </c>
      <c r="J610" t="str">
        <f t="shared" si="75"/>
        <v>Saturday</v>
      </c>
      <c r="K610" s="10" t="str">
        <f t="shared" si="76"/>
        <v>November</v>
      </c>
      <c r="L610">
        <f t="shared" si="77"/>
        <v>2024</v>
      </c>
      <c r="M610" t="b">
        <f t="shared" si="78"/>
        <v>1</v>
      </c>
      <c r="N610" t="b">
        <f t="shared" si="72"/>
        <v>1</v>
      </c>
      <c r="O610" t="str">
        <f t="shared" si="79"/>
        <v>Large Order</v>
      </c>
      <c r="P610" s="7">
        <f t="shared" si="73"/>
        <v>10.811</v>
      </c>
      <c r="Q610" s="7" t="str">
        <f>VLOOKUP(D611,Product_Lookup!$A$2:$C$27,2,FALSE)</f>
        <v>Lego Set</v>
      </c>
      <c r="R610" s="7">
        <f t="shared" si="74"/>
        <v>3243.3</v>
      </c>
    </row>
    <row r="611" spans="1:18" ht="21.75" customHeight="1">
      <c r="A611" t="s">
        <v>762</v>
      </c>
      <c r="B611" s="6">
        <v>45516</v>
      </c>
      <c r="C611" t="s">
        <v>114</v>
      </c>
      <c r="D611" t="s">
        <v>84</v>
      </c>
      <c r="E611" t="s">
        <v>11</v>
      </c>
      <c r="F611" t="s">
        <v>56</v>
      </c>
      <c r="G611" t="s">
        <v>36</v>
      </c>
      <c r="H611">
        <v>19</v>
      </c>
      <c r="I611" t="str">
        <f>VLOOKUP(D611,Product_Lookup!$A$2:$C$27,3,FALSE)</f>
        <v>$130.07</v>
      </c>
      <c r="J611" t="str">
        <f t="shared" si="75"/>
        <v>Monday</v>
      </c>
      <c r="K611" s="10" t="str">
        <f t="shared" si="76"/>
        <v>August</v>
      </c>
      <c r="L611">
        <f t="shared" si="77"/>
        <v>2024</v>
      </c>
      <c r="M611" t="b">
        <f t="shared" si="78"/>
        <v>0</v>
      </c>
      <c r="N611" t="b">
        <f t="shared" si="72"/>
        <v>1</v>
      </c>
      <c r="O611" t="str">
        <f t="shared" si="79"/>
        <v>Large Order</v>
      </c>
      <c r="P611" s="7">
        <f t="shared" si="73"/>
        <v>6.5034999999999998</v>
      </c>
      <c r="Q611" s="7" t="str">
        <f>VLOOKUP(D612,Product_Lookup!$A$2:$C$27,2,FALSE)</f>
        <v>Headphones</v>
      </c>
      <c r="R611" s="7">
        <f t="shared" si="74"/>
        <v>2471.33</v>
      </c>
    </row>
    <row r="612" spans="1:18" ht="21.75" customHeight="1">
      <c r="A612" t="s">
        <v>763</v>
      </c>
      <c r="B612" s="6">
        <v>45615</v>
      </c>
      <c r="C612" t="s">
        <v>309</v>
      </c>
      <c r="D612" t="s">
        <v>16</v>
      </c>
      <c r="E612" t="s">
        <v>11</v>
      </c>
      <c r="F612" t="s">
        <v>306</v>
      </c>
      <c r="G612" t="s">
        <v>13</v>
      </c>
      <c r="H612">
        <v>7</v>
      </c>
      <c r="I612" t="str">
        <f>VLOOKUP(D612,Product_Lookup!$A$2:$C$27,3,FALSE)</f>
        <v>$178.83</v>
      </c>
      <c r="J612" t="str">
        <f t="shared" si="75"/>
        <v>Tuesday</v>
      </c>
      <c r="K612" s="10" t="str">
        <f t="shared" si="76"/>
        <v>November</v>
      </c>
      <c r="L612">
        <f t="shared" si="77"/>
        <v>2024</v>
      </c>
      <c r="M612" t="b">
        <f t="shared" si="78"/>
        <v>0</v>
      </c>
      <c r="N612" t="b">
        <f t="shared" si="72"/>
        <v>1</v>
      </c>
      <c r="O612" t="str">
        <f t="shared" si="79"/>
        <v>Large Order</v>
      </c>
      <c r="P612" s="7">
        <f t="shared" si="73"/>
        <v>8.9415000000000013</v>
      </c>
      <c r="Q612" s="7" t="str">
        <f>VLOOKUP(D613,Product_Lookup!$A$2:$C$27,2,FALSE)</f>
        <v>Paper Shredder</v>
      </c>
      <c r="R612" s="7">
        <f t="shared" si="74"/>
        <v>1251.8100000000002</v>
      </c>
    </row>
    <row r="613" spans="1:18" ht="21.75" customHeight="1">
      <c r="A613" t="s">
        <v>764</v>
      </c>
      <c r="B613" s="6">
        <v>45583</v>
      </c>
      <c r="C613" t="s">
        <v>20</v>
      </c>
      <c r="D613" t="s">
        <v>109</v>
      </c>
      <c r="E613" t="s">
        <v>22</v>
      </c>
      <c r="F613" t="s">
        <v>42</v>
      </c>
      <c r="G613" t="s">
        <v>32</v>
      </c>
      <c r="H613">
        <v>18</v>
      </c>
      <c r="I613" t="str">
        <f>VLOOKUP(D613,Product_Lookup!$A$2:$C$27,3,FALSE)</f>
        <v>$81.02</v>
      </c>
      <c r="J613" t="str">
        <f t="shared" si="75"/>
        <v>Friday</v>
      </c>
      <c r="K613" s="10" t="str">
        <f t="shared" si="76"/>
        <v>October</v>
      </c>
      <c r="L613">
        <f t="shared" si="77"/>
        <v>2024</v>
      </c>
      <c r="M613" t="b">
        <f t="shared" si="78"/>
        <v>0</v>
      </c>
      <c r="N613" t="b">
        <f t="shared" si="72"/>
        <v>1</v>
      </c>
      <c r="O613" t="str">
        <f t="shared" si="79"/>
        <v>Large Order</v>
      </c>
      <c r="P613" s="7">
        <f t="shared" si="73"/>
        <v>4.0510000000000002</v>
      </c>
      <c r="Q613" s="7" t="str">
        <f>VLOOKUP(D614,Product_Lookup!$A$2:$C$27,2,FALSE)</f>
        <v>Board Game</v>
      </c>
      <c r="R613" s="7">
        <f t="shared" si="74"/>
        <v>1458.36</v>
      </c>
    </row>
    <row r="614" spans="1:18" ht="21.75" customHeight="1">
      <c r="A614" t="s">
        <v>765</v>
      </c>
      <c r="B614" s="6">
        <v>45440</v>
      </c>
      <c r="C614" t="s">
        <v>314</v>
      </c>
      <c r="D614" t="s">
        <v>41</v>
      </c>
      <c r="E614" t="s">
        <v>17</v>
      </c>
      <c r="F614" t="s">
        <v>306</v>
      </c>
      <c r="G614" t="s">
        <v>23</v>
      </c>
      <c r="H614">
        <v>4</v>
      </c>
      <c r="I614" t="str">
        <f>VLOOKUP(D614,Product_Lookup!$A$2:$C$27,3,FALSE)</f>
        <v>$86.6</v>
      </c>
      <c r="J614" t="str">
        <f t="shared" si="75"/>
        <v>Tuesday</v>
      </c>
      <c r="K614" s="10" t="str">
        <f t="shared" si="76"/>
        <v>May</v>
      </c>
      <c r="L614">
        <f t="shared" si="77"/>
        <v>2024</v>
      </c>
      <c r="M614" t="b">
        <f t="shared" si="78"/>
        <v>0</v>
      </c>
      <c r="N614" t="b">
        <f t="shared" si="72"/>
        <v>0</v>
      </c>
      <c r="O614" t="str">
        <f t="shared" si="79"/>
        <v>Standard order</v>
      </c>
      <c r="P614" s="7">
        <f t="shared" si="73"/>
        <v>4.33</v>
      </c>
      <c r="Q614" s="7" t="str">
        <f>VLOOKUP(D615,Product_Lookup!$A$2:$C$27,2,FALSE)</f>
        <v>Puzzle</v>
      </c>
      <c r="R614" s="7">
        <f t="shared" si="74"/>
        <v>346.4</v>
      </c>
    </row>
    <row r="615" spans="1:18" ht="21.75" customHeight="1">
      <c r="A615" t="s">
        <v>766</v>
      </c>
      <c r="B615" s="6">
        <v>45322</v>
      </c>
      <c r="C615" t="s">
        <v>89</v>
      </c>
      <c r="D615" t="s">
        <v>62</v>
      </c>
      <c r="E615" t="s">
        <v>22</v>
      </c>
      <c r="F615" t="s">
        <v>56</v>
      </c>
      <c r="G615" t="s">
        <v>32</v>
      </c>
      <c r="H615">
        <v>5</v>
      </c>
      <c r="I615" t="str">
        <f>VLOOKUP(D615,Product_Lookup!$A$2:$C$27,3,FALSE)</f>
        <v>$46.19</v>
      </c>
      <c r="J615" t="str">
        <f t="shared" si="75"/>
        <v>Wednesday</v>
      </c>
      <c r="K615" s="10" t="str">
        <f t="shared" si="76"/>
        <v>January</v>
      </c>
      <c r="L615">
        <f t="shared" si="77"/>
        <v>2024</v>
      </c>
      <c r="M615" t="b">
        <f t="shared" si="78"/>
        <v>0</v>
      </c>
      <c r="N615" t="b">
        <f t="shared" si="72"/>
        <v>0</v>
      </c>
      <c r="O615" t="str">
        <f t="shared" si="79"/>
        <v>Standard order</v>
      </c>
      <c r="P615" s="7">
        <f t="shared" si="73"/>
        <v>2.3094999999999999</v>
      </c>
      <c r="Q615" s="7" t="str">
        <f>VLOOKUP(D616,Product_Lookup!$A$2:$C$27,2,FALSE)</f>
        <v>Stapler</v>
      </c>
      <c r="R615" s="7">
        <f t="shared" si="74"/>
        <v>230.95</v>
      </c>
    </row>
    <row r="616" spans="1:18" ht="21.75" customHeight="1">
      <c r="A616" t="s">
        <v>767</v>
      </c>
      <c r="B616" s="6">
        <v>45418</v>
      </c>
      <c r="C616" t="s">
        <v>332</v>
      </c>
      <c r="D616" t="s">
        <v>35</v>
      </c>
      <c r="E616" t="s">
        <v>22</v>
      </c>
      <c r="F616" t="s">
        <v>27</v>
      </c>
      <c r="G616" t="s">
        <v>32</v>
      </c>
      <c r="H616">
        <v>5</v>
      </c>
      <c r="I616" t="str">
        <f>VLOOKUP(D616,Product_Lookup!$A$2:$C$27,3,FALSE)</f>
        <v>$64.61</v>
      </c>
      <c r="J616" t="str">
        <f t="shared" si="75"/>
        <v>Monday</v>
      </c>
      <c r="K616" s="10" t="str">
        <f t="shared" si="76"/>
        <v>May</v>
      </c>
      <c r="L616">
        <f t="shared" si="77"/>
        <v>2024</v>
      </c>
      <c r="M616" t="b">
        <f t="shared" si="78"/>
        <v>0</v>
      </c>
      <c r="N616" t="b">
        <f t="shared" si="72"/>
        <v>0</v>
      </c>
      <c r="O616" t="str">
        <f t="shared" si="79"/>
        <v>Standard order</v>
      </c>
      <c r="P616" s="7">
        <f t="shared" si="73"/>
        <v>3.2305000000000001</v>
      </c>
      <c r="Q616" s="7" t="str">
        <f>VLOOKUP(D617,Product_Lookup!$A$2:$C$27,2,FALSE)</f>
        <v>Tablet</v>
      </c>
      <c r="R616" s="7">
        <f t="shared" si="74"/>
        <v>323.05</v>
      </c>
    </row>
    <row r="617" spans="1:18" ht="21.75" customHeight="1">
      <c r="A617" t="s">
        <v>768</v>
      </c>
      <c r="B617" s="6">
        <v>45613</v>
      </c>
      <c r="C617" t="s">
        <v>572</v>
      </c>
      <c r="D617" t="s">
        <v>10</v>
      </c>
      <c r="E617" t="s">
        <v>17</v>
      </c>
      <c r="F617" t="s">
        <v>27</v>
      </c>
      <c r="G617" t="s">
        <v>32</v>
      </c>
      <c r="H617">
        <v>3</v>
      </c>
      <c r="I617" t="str">
        <f>VLOOKUP(D617,Product_Lookup!$A$2:$C$27,3,FALSE)</f>
        <v>$146.06</v>
      </c>
      <c r="J617" t="str">
        <f t="shared" si="75"/>
        <v>Sunday</v>
      </c>
      <c r="K617" s="10" t="str">
        <f t="shared" si="76"/>
        <v>November</v>
      </c>
      <c r="L617">
        <f t="shared" si="77"/>
        <v>2024</v>
      </c>
      <c r="M617" t="b">
        <f t="shared" si="78"/>
        <v>1</v>
      </c>
      <c r="N617" t="b">
        <f t="shared" si="72"/>
        <v>0</v>
      </c>
      <c r="O617" t="str">
        <f t="shared" si="79"/>
        <v>Standard order</v>
      </c>
      <c r="P617" s="7">
        <f t="shared" si="73"/>
        <v>7.3030000000000008</v>
      </c>
      <c r="Q617" s="7" t="str">
        <f>VLOOKUP(D618,Product_Lookup!$A$2:$C$27,2,FALSE)</f>
        <v>Blender</v>
      </c>
      <c r="R617" s="7">
        <f t="shared" si="74"/>
        <v>438.18</v>
      </c>
    </row>
    <row r="618" spans="1:18" ht="21.75" customHeight="1">
      <c r="A618" t="s">
        <v>769</v>
      </c>
      <c r="B618" s="6">
        <v>45647</v>
      </c>
      <c r="C618" t="s">
        <v>200</v>
      </c>
      <c r="D618" t="s">
        <v>72</v>
      </c>
      <c r="E618" t="s">
        <v>17</v>
      </c>
      <c r="F618" t="s">
        <v>27</v>
      </c>
      <c r="G618" t="s">
        <v>13</v>
      </c>
      <c r="H618">
        <v>19</v>
      </c>
      <c r="I618" t="str">
        <f>VLOOKUP(D618,Product_Lookup!$A$2:$C$27,3,FALSE)</f>
        <v>$156.44</v>
      </c>
      <c r="J618" t="str">
        <f t="shared" si="75"/>
        <v>Saturday</v>
      </c>
      <c r="K618" s="10" t="str">
        <f t="shared" si="76"/>
        <v>December</v>
      </c>
      <c r="L618">
        <f t="shared" si="77"/>
        <v>2024</v>
      </c>
      <c r="M618" t="b">
        <f t="shared" si="78"/>
        <v>1</v>
      </c>
      <c r="N618" t="b">
        <f t="shared" si="72"/>
        <v>1</v>
      </c>
      <c r="O618" t="str">
        <f t="shared" si="79"/>
        <v>Large Order</v>
      </c>
      <c r="P618" s="7">
        <f t="shared" si="73"/>
        <v>7.8220000000000001</v>
      </c>
      <c r="Q618" s="7" t="str">
        <f>VLOOKUP(D619,Product_Lookup!$A$2:$C$27,2,FALSE)</f>
        <v>Tablet</v>
      </c>
      <c r="R618" s="7">
        <f t="shared" si="74"/>
        <v>2972.36</v>
      </c>
    </row>
    <row r="619" spans="1:18" ht="21.75" customHeight="1">
      <c r="A619" t="s">
        <v>770</v>
      </c>
      <c r="B619" s="6">
        <v>45526</v>
      </c>
      <c r="C619" t="s">
        <v>541</v>
      </c>
      <c r="D619" t="s">
        <v>10</v>
      </c>
      <c r="E619" t="s">
        <v>22</v>
      </c>
      <c r="F619" t="s">
        <v>42</v>
      </c>
      <c r="G619" t="s">
        <v>23</v>
      </c>
      <c r="H619">
        <v>18</v>
      </c>
      <c r="I619" t="str">
        <f>VLOOKUP(D619,Product_Lookup!$A$2:$C$27,3,FALSE)</f>
        <v>$146.06</v>
      </c>
      <c r="J619" t="str">
        <f t="shared" si="75"/>
        <v>Thursday</v>
      </c>
      <c r="K619" s="10" t="str">
        <f t="shared" si="76"/>
        <v>August</v>
      </c>
      <c r="L619">
        <f t="shared" si="77"/>
        <v>2024</v>
      </c>
      <c r="M619" t="b">
        <f t="shared" si="78"/>
        <v>0</v>
      </c>
      <c r="N619" t="b">
        <f t="shared" si="72"/>
        <v>1</v>
      </c>
      <c r="O619" t="str">
        <f t="shared" si="79"/>
        <v>Large Order</v>
      </c>
      <c r="P619" s="7">
        <f t="shared" si="73"/>
        <v>7.3030000000000008</v>
      </c>
      <c r="Q619" s="7" t="str">
        <f>VLOOKUP(D620,Product_Lookup!$A$2:$C$27,2,FALSE)</f>
        <v>Socks</v>
      </c>
      <c r="R619" s="7">
        <f t="shared" si="74"/>
        <v>2629.08</v>
      </c>
    </row>
    <row r="620" spans="1:18" ht="21.75" customHeight="1">
      <c r="A620" t="s">
        <v>771</v>
      </c>
      <c r="B620" s="6">
        <v>45400</v>
      </c>
      <c r="C620" t="s">
        <v>432</v>
      </c>
      <c r="D620" t="s">
        <v>74</v>
      </c>
      <c r="E620" t="s">
        <v>17</v>
      </c>
      <c r="F620" t="s">
        <v>42</v>
      </c>
      <c r="G620" t="s">
        <v>28</v>
      </c>
      <c r="H620">
        <v>11</v>
      </c>
      <c r="I620" t="str">
        <f>VLOOKUP(D620,Product_Lookup!$A$2:$C$27,3,FALSE)</f>
        <v>$201.32</v>
      </c>
      <c r="J620" t="str">
        <f t="shared" si="75"/>
        <v>Thursday</v>
      </c>
      <c r="K620" s="10" t="str">
        <f t="shared" si="76"/>
        <v>April</v>
      </c>
      <c r="L620">
        <f t="shared" si="77"/>
        <v>2024</v>
      </c>
      <c r="M620" t="b">
        <f t="shared" si="78"/>
        <v>0</v>
      </c>
      <c r="N620" t="b">
        <f t="shared" si="72"/>
        <v>1</v>
      </c>
      <c r="O620" t="str">
        <f t="shared" si="79"/>
        <v>Large Order</v>
      </c>
      <c r="P620" s="7">
        <f t="shared" si="73"/>
        <v>10.066000000000001</v>
      </c>
      <c r="Q620" s="7" t="str">
        <f>VLOOKUP(D621,Product_Lookup!$A$2:$C$27,2,FALSE)</f>
        <v>Smartphone</v>
      </c>
      <c r="R620" s="7">
        <f t="shared" si="74"/>
        <v>2214.52</v>
      </c>
    </row>
    <row r="621" spans="1:18" ht="21.75" customHeight="1">
      <c r="A621" t="s">
        <v>772</v>
      </c>
      <c r="B621" s="6">
        <v>45581</v>
      </c>
      <c r="C621" t="s">
        <v>374</v>
      </c>
      <c r="D621" t="s">
        <v>79</v>
      </c>
      <c r="E621" t="s">
        <v>17</v>
      </c>
      <c r="F621" t="s">
        <v>12</v>
      </c>
      <c r="G621" t="s">
        <v>23</v>
      </c>
      <c r="H621">
        <v>4</v>
      </c>
      <c r="I621" t="str">
        <f>VLOOKUP(D621,Product_Lookup!$A$2:$C$27,3,FALSE)</f>
        <v>$216.22</v>
      </c>
      <c r="J621" t="str">
        <f t="shared" si="75"/>
        <v>Wednesday</v>
      </c>
      <c r="K621" s="10" t="str">
        <f t="shared" si="76"/>
        <v>October</v>
      </c>
      <c r="L621">
        <f t="shared" si="77"/>
        <v>2024</v>
      </c>
      <c r="M621" t="b">
        <f t="shared" si="78"/>
        <v>0</v>
      </c>
      <c r="N621" t="b">
        <f t="shared" si="72"/>
        <v>0</v>
      </c>
      <c r="O621" t="str">
        <f t="shared" si="79"/>
        <v>Large Order</v>
      </c>
      <c r="P621" s="7">
        <f t="shared" si="73"/>
        <v>10.811</v>
      </c>
      <c r="Q621" s="7" t="str">
        <f>VLOOKUP(D622,Product_Lookup!$A$2:$C$27,2,FALSE)</f>
        <v>Air Fryer</v>
      </c>
      <c r="R621" s="7">
        <f t="shared" si="74"/>
        <v>864.88</v>
      </c>
    </row>
    <row r="622" spans="1:18" ht="21.75" customHeight="1">
      <c r="A622" t="s">
        <v>773</v>
      </c>
      <c r="B622" s="6">
        <v>45300</v>
      </c>
      <c r="C622" t="s">
        <v>114</v>
      </c>
      <c r="D622" t="s">
        <v>70</v>
      </c>
      <c r="E622" t="s">
        <v>11</v>
      </c>
      <c r="F622" t="s">
        <v>27</v>
      </c>
      <c r="G622" t="s">
        <v>23</v>
      </c>
      <c r="H622">
        <v>1</v>
      </c>
      <c r="I622" t="str">
        <f>VLOOKUP(D622,Product_Lookup!$A$2:$C$27,3,FALSE)</f>
        <v>$211.9</v>
      </c>
      <c r="J622" t="str">
        <f t="shared" si="75"/>
        <v>Tuesday</v>
      </c>
      <c r="K622" s="10" t="str">
        <f t="shared" si="76"/>
        <v>January</v>
      </c>
      <c r="L622">
        <f t="shared" si="77"/>
        <v>2024</v>
      </c>
      <c r="M622" t="b">
        <f t="shared" si="78"/>
        <v>0</v>
      </c>
      <c r="N622" t="b">
        <f t="shared" si="72"/>
        <v>0</v>
      </c>
      <c r="O622" t="str">
        <f t="shared" si="79"/>
        <v>Standard order</v>
      </c>
      <c r="P622" s="7">
        <f t="shared" si="73"/>
        <v>10.595000000000001</v>
      </c>
      <c r="Q622" s="7" t="str">
        <f>VLOOKUP(D623,Product_Lookup!$A$2:$C$27,2,FALSE)</f>
        <v>T-Shirt</v>
      </c>
      <c r="R622" s="7">
        <f t="shared" si="74"/>
        <v>211.9</v>
      </c>
    </row>
    <row r="623" spans="1:18" ht="21.75" customHeight="1">
      <c r="A623" t="s">
        <v>774</v>
      </c>
      <c r="B623" s="6">
        <v>45395</v>
      </c>
      <c r="C623" t="s">
        <v>465</v>
      </c>
      <c r="D623" t="s">
        <v>45</v>
      </c>
      <c r="E623" t="s">
        <v>11</v>
      </c>
      <c r="F623" t="s">
        <v>42</v>
      </c>
      <c r="G623" t="s">
        <v>32</v>
      </c>
      <c r="H623">
        <v>9</v>
      </c>
      <c r="I623" t="str">
        <f>VLOOKUP(D623,Product_Lookup!$A$2:$C$27,3,FALSE)</f>
        <v>$107.34</v>
      </c>
      <c r="J623" t="str">
        <f t="shared" si="75"/>
        <v>Saturday</v>
      </c>
      <c r="K623" s="10" t="str">
        <f t="shared" si="76"/>
        <v>April</v>
      </c>
      <c r="L623">
        <f t="shared" si="77"/>
        <v>2024</v>
      </c>
      <c r="M623" t="b">
        <f t="shared" si="78"/>
        <v>1</v>
      </c>
      <c r="N623" t="b">
        <f t="shared" si="72"/>
        <v>1</v>
      </c>
      <c r="O623" t="str">
        <f t="shared" si="79"/>
        <v>Large Order</v>
      </c>
      <c r="P623" s="7">
        <f t="shared" si="73"/>
        <v>5.3670000000000009</v>
      </c>
      <c r="Q623" s="7" t="str">
        <f>VLOOKUP(D624,Product_Lookup!$A$2:$C$27,2,FALSE)</f>
        <v>Smartphone</v>
      </c>
      <c r="R623" s="7">
        <f t="shared" si="74"/>
        <v>966.06000000000006</v>
      </c>
    </row>
    <row r="624" spans="1:18" ht="21.75" customHeight="1">
      <c r="A624" t="s">
        <v>775</v>
      </c>
      <c r="B624" s="6">
        <v>45420</v>
      </c>
      <c r="C624" t="s">
        <v>81</v>
      </c>
      <c r="D624" t="s">
        <v>79</v>
      </c>
      <c r="E624" t="s">
        <v>17</v>
      </c>
      <c r="F624" t="s">
        <v>56</v>
      </c>
      <c r="G624" t="s">
        <v>28</v>
      </c>
      <c r="H624">
        <v>13</v>
      </c>
      <c r="I624" t="str">
        <f>VLOOKUP(D624,Product_Lookup!$A$2:$C$27,3,FALSE)</f>
        <v>$216.22</v>
      </c>
      <c r="J624" t="str">
        <f t="shared" si="75"/>
        <v>Wednesday</v>
      </c>
      <c r="K624" s="10" t="str">
        <f t="shared" si="76"/>
        <v>May</v>
      </c>
      <c r="L624">
        <f t="shared" si="77"/>
        <v>2024</v>
      </c>
      <c r="M624" t="b">
        <f t="shared" si="78"/>
        <v>0</v>
      </c>
      <c r="N624" t="b">
        <f t="shared" si="72"/>
        <v>1</v>
      </c>
      <c r="O624" t="str">
        <f t="shared" si="79"/>
        <v>Large Order</v>
      </c>
      <c r="P624" s="7">
        <f t="shared" si="73"/>
        <v>10.811</v>
      </c>
      <c r="Q624" s="7" t="str">
        <f>VLOOKUP(D625,Product_Lookup!$A$2:$C$27,2,FALSE)</f>
        <v>Laptop</v>
      </c>
      <c r="R624" s="7">
        <f t="shared" si="74"/>
        <v>2810.86</v>
      </c>
    </row>
    <row r="625" spans="1:18" ht="21.75" customHeight="1">
      <c r="A625" t="s">
        <v>776</v>
      </c>
      <c r="B625" s="6">
        <v>45511</v>
      </c>
      <c r="C625" t="s">
        <v>350</v>
      </c>
      <c r="D625" t="s">
        <v>96</v>
      </c>
      <c r="E625" t="s">
        <v>11</v>
      </c>
      <c r="F625" t="s">
        <v>12</v>
      </c>
      <c r="G625" t="s">
        <v>28</v>
      </c>
      <c r="H625">
        <v>7</v>
      </c>
      <c r="I625" t="str">
        <f>VLOOKUP(D625,Product_Lookup!$A$2:$C$27,3,FALSE)</f>
        <v>$230.68</v>
      </c>
      <c r="J625" t="str">
        <f t="shared" si="75"/>
        <v>Wednesday</v>
      </c>
      <c r="K625" s="10" t="str">
        <f t="shared" si="76"/>
        <v>August</v>
      </c>
      <c r="L625">
        <f t="shared" si="77"/>
        <v>2024</v>
      </c>
      <c r="M625" t="b">
        <f t="shared" si="78"/>
        <v>0</v>
      </c>
      <c r="N625" t="b">
        <f t="shared" si="72"/>
        <v>1</v>
      </c>
      <c r="O625" t="str">
        <f t="shared" si="79"/>
        <v>Large Order</v>
      </c>
      <c r="P625" s="7">
        <f t="shared" si="73"/>
        <v>11.534000000000001</v>
      </c>
      <c r="Q625" s="7" t="str">
        <f>VLOOKUP(D626,Product_Lookup!$A$2:$C$27,2,FALSE)</f>
        <v>Laptop</v>
      </c>
      <c r="R625" s="7">
        <f t="shared" si="74"/>
        <v>1614.76</v>
      </c>
    </row>
    <row r="626" spans="1:18" ht="21.75" customHeight="1">
      <c r="A626" t="s">
        <v>777</v>
      </c>
      <c r="B626" s="6">
        <v>45595</v>
      </c>
      <c r="C626" t="s">
        <v>240</v>
      </c>
      <c r="D626" t="s">
        <v>96</v>
      </c>
      <c r="E626" t="s">
        <v>22</v>
      </c>
      <c r="F626" t="s">
        <v>27</v>
      </c>
      <c r="G626" t="s">
        <v>13</v>
      </c>
      <c r="H626">
        <v>1</v>
      </c>
      <c r="I626" t="str">
        <f>VLOOKUP(D626,Product_Lookup!$A$2:$C$27,3,FALSE)</f>
        <v>$230.68</v>
      </c>
      <c r="J626" t="str">
        <f t="shared" si="75"/>
        <v>Wednesday</v>
      </c>
      <c r="K626" s="10" t="str">
        <f t="shared" si="76"/>
        <v>October</v>
      </c>
      <c r="L626">
        <f t="shared" si="77"/>
        <v>2024</v>
      </c>
      <c r="M626" t="b">
        <f t="shared" si="78"/>
        <v>0</v>
      </c>
      <c r="N626" t="b">
        <f t="shared" si="72"/>
        <v>0</v>
      </c>
      <c r="O626" t="str">
        <f t="shared" si="79"/>
        <v>Standard order</v>
      </c>
      <c r="P626" s="7">
        <f t="shared" si="73"/>
        <v>11.534000000000001</v>
      </c>
      <c r="Q626" s="7" t="str">
        <f>VLOOKUP(D627,Product_Lookup!$A$2:$C$27,2,FALSE)</f>
        <v>Tablet</v>
      </c>
      <c r="R626" s="7">
        <f t="shared" si="74"/>
        <v>230.68</v>
      </c>
    </row>
    <row r="627" spans="1:18" ht="21.75" customHeight="1">
      <c r="A627" t="s">
        <v>778</v>
      </c>
      <c r="B627" s="6">
        <v>45508</v>
      </c>
      <c r="C627" t="s">
        <v>465</v>
      </c>
      <c r="D627" t="s">
        <v>10</v>
      </c>
      <c r="E627" t="s">
        <v>11</v>
      </c>
      <c r="F627" t="s">
        <v>27</v>
      </c>
      <c r="G627" t="s">
        <v>13</v>
      </c>
      <c r="H627">
        <v>8</v>
      </c>
      <c r="I627" t="str">
        <f>VLOOKUP(D627,Product_Lookup!$A$2:$C$27,3,FALSE)</f>
        <v>$146.06</v>
      </c>
      <c r="J627" t="str">
        <f t="shared" si="75"/>
        <v>Sunday</v>
      </c>
      <c r="K627" s="10" t="str">
        <f t="shared" si="76"/>
        <v>August</v>
      </c>
      <c r="L627">
        <f t="shared" si="77"/>
        <v>2024</v>
      </c>
      <c r="M627" t="b">
        <f t="shared" si="78"/>
        <v>1</v>
      </c>
      <c r="N627" t="b">
        <f t="shared" si="72"/>
        <v>1</v>
      </c>
      <c r="O627" t="str">
        <f t="shared" si="79"/>
        <v>Large Order</v>
      </c>
      <c r="P627" s="7">
        <f t="shared" si="73"/>
        <v>7.3030000000000008</v>
      </c>
      <c r="Q627" s="7" t="str">
        <f>VLOOKUP(D628,Product_Lookup!$A$2:$C$27,2,FALSE)</f>
        <v>Headphones</v>
      </c>
      <c r="R627" s="7">
        <f t="shared" si="74"/>
        <v>1168.48</v>
      </c>
    </row>
    <row r="628" spans="1:18" ht="21.75" customHeight="1">
      <c r="A628" t="s">
        <v>779</v>
      </c>
      <c r="B628" s="6">
        <v>45344</v>
      </c>
      <c r="C628" t="s">
        <v>38</v>
      </c>
      <c r="D628" t="s">
        <v>16</v>
      </c>
      <c r="E628" t="s">
        <v>17</v>
      </c>
      <c r="F628" t="s">
        <v>42</v>
      </c>
      <c r="G628" t="s">
        <v>28</v>
      </c>
      <c r="H628">
        <v>13</v>
      </c>
      <c r="I628" t="str">
        <f>VLOOKUP(D628,Product_Lookup!$A$2:$C$27,3,FALSE)</f>
        <v>$178.83</v>
      </c>
      <c r="J628" t="str">
        <f t="shared" si="75"/>
        <v>Thursday</v>
      </c>
      <c r="K628" s="10" t="str">
        <f t="shared" si="76"/>
        <v>February</v>
      </c>
      <c r="L628">
        <f t="shared" si="77"/>
        <v>2024</v>
      </c>
      <c r="M628" t="b">
        <f t="shared" si="78"/>
        <v>0</v>
      </c>
      <c r="N628" t="b">
        <f t="shared" si="72"/>
        <v>1</v>
      </c>
      <c r="O628" t="str">
        <f t="shared" si="79"/>
        <v>Large Order</v>
      </c>
      <c r="P628" s="7">
        <f t="shared" si="73"/>
        <v>8.9415000000000013</v>
      </c>
      <c r="Q628" s="7" t="str">
        <f>VLOOKUP(D629,Product_Lookup!$A$2:$C$27,2,FALSE)</f>
        <v>Notebook</v>
      </c>
      <c r="R628" s="7">
        <f t="shared" si="74"/>
        <v>2324.79</v>
      </c>
    </row>
    <row r="629" spans="1:18" ht="21.75" customHeight="1">
      <c r="A629" t="s">
        <v>780</v>
      </c>
      <c r="B629" s="6">
        <v>45620</v>
      </c>
      <c r="C629" t="s">
        <v>422</v>
      </c>
      <c r="D629" t="s">
        <v>160</v>
      </c>
      <c r="E629" t="s">
        <v>11</v>
      </c>
      <c r="F629" t="s">
        <v>12</v>
      </c>
      <c r="G629" t="s">
        <v>28</v>
      </c>
      <c r="H629">
        <v>19</v>
      </c>
      <c r="I629" t="str">
        <f>VLOOKUP(D629,Product_Lookup!$A$2:$C$27,3,FALSE)</f>
        <v>$149.27</v>
      </c>
      <c r="J629" t="str">
        <f t="shared" si="75"/>
        <v>Sunday</v>
      </c>
      <c r="K629" s="10" t="str">
        <f t="shared" si="76"/>
        <v>November</v>
      </c>
      <c r="L629">
        <f t="shared" si="77"/>
        <v>2024</v>
      </c>
      <c r="M629" t="b">
        <f t="shared" si="78"/>
        <v>1</v>
      </c>
      <c r="N629" t="b">
        <f t="shared" si="72"/>
        <v>1</v>
      </c>
      <c r="O629" t="str">
        <f t="shared" si="79"/>
        <v>Large Order</v>
      </c>
      <c r="P629" s="7">
        <f t="shared" si="73"/>
        <v>7.4635000000000007</v>
      </c>
      <c r="Q629" s="7" t="str">
        <f>VLOOKUP(D630,Product_Lookup!$A$2:$C$27,2,FALSE)</f>
        <v>Action Figure</v>
      </c>
      <c r="R629" s="7">
        <f t="shared" si="74"/>
        <v>2836.13</v>
      </c>
    </row>
    <row r="630" spans="1:18" ht="21.75" customHeight="1">
      <c r="A630" t="s">
        <v>781</v>
      </c>
      <c r="B630" s="6">
        <v>45517</v>
      </c>
      <c r="C630" t="s">
        <v>20</v>
      </c>
      <c r="D630" t="s">
        <v>21</v>
      </c>
      <c r="E630" t="s">
        <v>22</v>
      </c>
      <c r="F630" t="s">
        <v>56</v>
      </c>
      <c r="G630" t="s">
        <v>36</v>
      </c>
      <c r="H630">
        <v>5</v>
      </c>
      <c r="I630" t="str">
        <f>VLOOKUP(D630,Product_Lookup!$A$2:$C$27,3,FALSE)</f>
        <v>$88.18</v>
      </c>
      <c r="J630" t="str">
        <f t="shared" si="75"/>
        <v>Tuesday</v>
      </c>
      <c r="K630" s="10" t="str">
        <f t="shared" si="76"/>
        <v>August</v>
      </c>
      <c r="L630">
        <f t="shared" si="77"/>
        <v>2024</v>
      </c>
      <c r="M630" t="b">
        <f t="shared" si="78"/>
        <v>0</v>
      </c>
      <c r="N630" t="b">
        <f t="shared" si="72"/>
        <v>0</v>
      </c>
      <c r="O630" t="str">
        <f t="shared" si="79"/>
        <v>Standard order</v>
      </c>
      <c r="P630" s="7">
        <f t="shared" si="73"/>
        <v>4.4090000000000007</v>
      </c>
      <c r="Q630" s="7" t="str">
        <f>VLOOKUP(D631,Product_Lookup!$A$2:$C$27,2,FALSE)</f>
        <v>Monitor</v>
      </c>
      <c r="R630" s="7">
        <f t="shared" si="74"/>
        <v>440.90000000000003</v>
      </c>
    </row>
    <row r="631" spans="1:18" ht="21.75" customHeight="1">
      <c r="A631" t="s">
        <v>782</v>
      </c>
      <c r="B631" s="6">
        <v>45643</v>
      </c>
      <c r="C631" t="s">
        <v>396</v>
      </c>
      <c r="D631" t="s">
        <v>102</v>
      </c>
      <c r="E631" t="s">
        <v>11</v>
      </c>
      <c r="F631" t="s">
        <v>12</v>
      </c>
      <c r="G631" t="s">
        <v>36</v>
      </c>
      <c r="H631">
        <v>5</v>
      </c>
      <c r="I631" t="str">
        <f>VLOOKUP(D631,Product_Lookup!$A$2:$C$27,3,FALSE)</f>
        <v>$145.48</v>
      </c>
      <c r="J631" t="str">
        <f t="shared" si="75"/>
        <v>Tuesday</v>
      </c>
      <c r="K631" s="10" t="str">
        <f t="shared" si="76"/>
        <v>December</v>
      </c>
      <c r="L631">
        <f t="shared" si="77"/>
        <v>2024</v>
      </c>
      <c r="M631" t="b">
        <f t="shared" si="78"/>
        <v>0</v>
      </c>
      <c r="N631" t="b">
        <f t="shared" si="72"/>
        <v>0</v>
      </c>
      <c r="O631" t="str">
        <f t="shared" si="79"/>
        <v>Large Order</v>
      </c>
      <c r="P631" s="7">
        <f t="shared" si="73"/>
        <v>7.274</v>
      </c>
      <c r="Q631" s="7" t="str">
        <f>VLOOKUP(D632,Product_Lookup!$A$2:$C$27,2,FALSE)</f>
        <v>Headphones</v>
      </c>
      <c r="R631" s="7">
        <f t="shared" si="74"/>
        <v>727.4</v>
      </c>
    </row>
    <row r="632" spans="1:18" ht="21.75" customHeight="1">
      <c r="A632" t="s">
        <v>783</v>
      </c>
      <c r="B632" s="6">
        <v>45488</v>
      </c>
      <c r="C632" t="s">
        <v>20</v>
      </c>
      <c r="D632" t="s">
        <v>16</v>
      </c>
      <c r="E632" t="s">
        <v>17</v>
      </c>
      <c r="F632" t="s">
        <v>42</v>
      </c>
      <c r="G632" t="s">
        <v>13</v>
      </c>
      <c r="H632">
        <v>8</v>
      </c>
      <c r="I632" t="str">
        <f>VLOOKUP(D632,Product_Lookup!$A$2:$C$27,3,FALSE)</f>
        <v>$178.83</v>
      </c>
      <c r="J632" t="str">
        <f t="shared" si="75"/>
        <v>Monday</v>
      </c>
      <c r="K632" s="10" t="str">
        <f t="shared" si="76"/>
        <v>July</v>
      </c>
      <c r="L632">
        <f t="shared" si="77"/>
        <v>2024</v>
      </c>
      <c r="M632" t="b">
        <f t="shared" si="78"/>
        <v>0</v>
      </c>
      <c r="N632" t="b">
        <f t="shared" si="72"/>
        <v>1</v>
      </c>
      <c r="O632" t="str">
        <f t="shared" si="79"/>
        <v>Large Order</v>
      </c>
      <c r="P632" s="7">
        <f t="shared" si="73"/>
        <v>8.9415000000000013</v>
      </c>
      <c r="Q632" s="7" t="str">
        <f>VLOOKUP(D633,Product_Lookup!$A$2:$C$27,2,FALSE)</f>
        <v>Lego Set</v>
      </c>
      <c r="R632" s="7">
        <f t="shared" si="74"/>
        <v>1430.64</v>
      </c>
    </row>
    <row r="633" spans="1:18" ht="21.75" customHeight="1">
      <c r="A633" t="s">
        <v>784</v>
      </c>
      <c r="B633" s="6">
        <v>45419</v>
      </c>
      <c r="C633" t="s">
        <v>378</v>
      </c>
      <c r="D633" t="s">
        <v>84</v>
      </c>
      <c r="E633" t="s">
        <v>22</v>
      </c>
      <c r="F633" t="s">
        <v>306</v>
      </c>
      <c r="G633" t="s">
        <v>13</v>
      </c>
      <c r="H633">
        <v>20</v>
      </c>
      <c r="I633" t="str">
        <f>VLOOKUP(D633,Product_Lookup!$A$2:$C$27,3,FALSE)</f>
        <v>$130.07</v>
      </c>
      <c r="J633" t="str">
        <f t="shared" si="75"/>
        <v>Tuesday</v>
      </c>
      <c r="K633" s="10" t="str">
        <f t="shared" si="76"/>
        <v>May</v>
      </c>
      <c r="L633">
        <f t="shared" si="77"/>
        <v>2024</v>
      </c>
      <c r="M633" t="b">
        <f t="shared" si="78"/>
        <v>0</v>
      </c>
      <c r="N633" t="b">
        <f t="shared" si="72"/>
        <v>1</v>
      </c>
      <c r="O633" t="str">
        <f t="shared" si="79"/>
        <v>Large Order</v>
      </c>
      <c r="P633" s="7">
        <f t="shared" si="73"/>
        <v>6.5034999999999998</v>
      </c>
      <c r="Q633" s="7" t="str">
        <f>VLOOKUP(D634,Product_Lookup!$A$2:$C$27,2,FALSE)</f>
        <v>Paper Shredder</v>
      </c>
      <c r="R633" s="7">
        <f t="shared" si="74"/>
        <v>2601.3999999999996</v>
      </c>
    </row>
    <row r="634" spans="1:18" ht="21.75" customHeight="1">
      <c r="A634" t="s">
        <v>785</v>
      </c>
      <c r="B634" s="6">
        <v>45629</v>
      </c>
      <c r="C634" t="s">
        <v>68</v>
      </c>
      <c r="D634" t="s">
        <v>109</v>
      </c>
      <c r="E634" t="s">
        <v>11</v>
      </c>
      <c r="F634" t="s">
        <v>306</v>
      </c>
      <c r="G634" t="s">
        <v>23</v>
      </c>
      <c r="H634">
        <v>17</v>
      </c>
      <c r="I634" t="str">
        <f>VLOOKUP(D634,Product_Lookup!$A$2:$C$27,3,FALSE)</f>
        <v>$81.02</v>
      </c>
      <c r="J634" t="str">
        <f t="shared" si="75"/>
        <v>Tuesday</v>
      </c>
      <c r="K634" s="10" t="str">
        <f t="shared" si="76"/>
        <v>December</v>
      </c>
      <c r="L634">
        <f t="shared" si="77"/>
        <v>2024</v>
      </c>
      <c r="M634" t="b">
        <f t="shared" si="78"/>
        <v>0</v>
      </c>
      <c r="N634" t="b">
        <f t="shared" si="72"/>
        <v>1</v>
      </c>
      <c r="O634" t="str">
        <f t="shared" si="79"/>
        <v>Large Order</v>
      </c>
      <c r="P634" s="7">
        <f t="shared" si="73"/>
        <v>4.0510000000000002</v>
      </c>
      <c r="Q634" s="7" t="str">
        <f>VLOOKUP(D635,Product_Lookup!$A$2:$C$27,2,FALSE)</f>
        <v>Stapler</v>
      </c>
      <c r="R634" s="7">
        <f t="shared" si="74"/>
        <v>1377.34</v>
      </c>
    </row>
    <row r="635" spans="1:18" ht="21.75" customHeight="1">
      <c r="A635" t="s">
        <v>786</v>
      </c>
      <c r="B635" s="6">
        <v>45443</v>
      </c>
      <c r="C635" t="s">
        <v>736</v>
      </c>
      <c r="D635" t="s">
        <v>35</v>
      </c>
      <c r="E635" t="s">
        <v>11</v>
      </c>
      <c r="F635" t="s">
        <v>56</v>
      </c>
      <c r="G635" t="s">
        <v>23</v>
      </c>
      <c r="H635">
        <v>13</v>
      </c>
      <c r="I635" t="str">
        <f>VLOOKUP(D635,Product_Lookup!$A$2:$C$27,3,FALSE)</f>
        <v>$64.61</v>
      </c>
      <c r="J635" t="str">
        <f t="shared" si="75"/>
        <v>Friday</v>
      </c>
      <c r="K635" s="10" t="str">
        <f t="shared" si="76"/>
        <v>May</v>
      </c>
      <c r="L635">
        <f t="shared" si="77"/>
        <v>2024</v>
      </c>
      <c r="M635" t="b">
        <f t="shared" si="78"/>
        <v>0</v>
      </c>
      <c r="N635" t="b">
        <f t="shared" si="72"/>
        <v>1</v>
      </c>
      <c r="O635" t="str">
        <f t="shared" si="79"/>
        <v>Large Order</v>
      </c>
      <c r="P635" s="7">
        <f t="shared" si="73"/>
        <v>3.2305000000000001</v>
      </c>
      <c r="Q635" s="7" t="str">
        <f>VLOOKUP(D636,Product_Lookup!$A$2:$C$27,2,FALSE)</f>
        <v>Laptop</v>
      </c>
      <c r="R635" s="7">
        <f t="shared" si="74"/>
        <v>839.93</v>
      </c>
    </row>
    <row r="636" spans="1:18" ht="21.75" customHeight="1">
      <c r="A636" t="s">
        <v>787</v>
      </c>
      <c r="B636" s="6">
        <v>45618</v>
      </c>
      <c r="C636" t="s">
        <v>327</v>
      </c>
      <c r="D636" t="s">
        <v>96</v>
      </c>
      <c r="E636" t="s">
        <v>11</v>
      </c>
      <c r="F636" t="s">
        <v>306</v>
      </c>
      <c r="G636" t="s">
        <v>28</v>
      </c>
      <c r="H636">
        <v>12</v>
      </c>
      <c r="I636" t="str">
        <f>VLOOKUP(D636,Product_Lookup!$A$2:$C$27,3,FALSE)</f>
        <v>$230.68</v>
      </c>
      <c r="J636" t="str">
        <f t="shared" si="75"/>
        <v>Friday</v>
      </c>
      <c r="K636" s="10" t="str">
        <f t="shared" si="76"/>
        <v>November</v>
      </c>
      <c r="L636">
        <f t="shared" si="77"/>
        <v>2024</v>
      </c>
      <c r="M636" t="b">
        <f t="shared" si="78"/>
        <v>0</v>
      </c>
      <c r="N636" t="b">
        <f t="shared" si="72"/>
        <v>1</v>
      </c>
      <c r="O636" t="str">
        <f t="shared" si="79"/>
        <v>Large Order</v>
      </c>
      <c r="P636" s="7">
        <f t="shared" si="73"/>
        <v>11.534000000000001</v>
      </c>
      <c r="Q636" s="7" t="str">
        <f>VLOOKUP(D637,Product_Lookup!$A$2:$C$27,2,FALSE)</f>
        <v>Pen Set</v>
      </c>
      <c r="R636" s="7">
        <f t="shared" si="74"/>
        <v>2768.16</v>
      </c>
    </row>
    <row r="637" spans="1:18" ht="21.75" customHeight="1">
      <c r="A637" t="s">
        <v>788</v>
      </c>
      <c r="B637" s="6">
        <v>45490</v>
      </c>
      <c r="C637" t="s">
        <v>614</v>
      </c>
      <c r="D637" t="s">
        <v>174</v>
      </c>
      <c r="E637" t="s">
        <v>17</v>
      </c>
      <c r="F637" t="s">
        <v>42</v>
      </c>
      <c r="G637" t="s">
        <v>13</v>
      </c>
      <c r="H637">
        <v>6</v>
      </c>
      <c r="I637" t="str">
        <f>VLOOKUP(D637,Product_Lookup!$A$2:$C$27,3,FALSE)</f>
        <v>$133.37</v>
      </c>
      <c r="J637" t="str">
        <f t="shared" si="75"/>
        <v>Wednesday</v>
      </c>
      <c r="K637" s="10" t="str">
        <f t="shared" si="76"/>
        <v>July</v>
      </c>
      <c r="L637">
        <f t="shared" si="77"/>
        <v>2024</v>
      </c>
      <c r="M637" t="b">
        <f t="shared" si="78"/>
        <v>0</v>
      </c>
      <c r="N637" t="b">
        <f t="shared" si="72"/>
        <v>1</v>
      </c>
      <c r="O637" t="str">
        <f t="shared" si="79"/>
        <v>Large Order</v>
      </c>
      <c r="P637" s="7">
        <f t="shared" si="73"/>
        <v>6.6685000000000008</v>
      </c>
      <c r="Q637" s="7" t="str">
        <f>VLOOKUP(D638,Product_Lookup!$A$2:$C$27,2,FALSE)</f>
        <v>Sweater</v>
      </c>
      <c r="R637" s="7">
        <f t="shared" si="74"/>
        <v>800.22</v>
      </c>
    </row>
    <row r="638" spans="1:18" ht="21.75" customHeight="1">
      <c r="A638" t="s">
        <v>789</v>
      </c>
      <c r="B638" s="6">
        <v>45300</v>
      </c>
      <c r="C638" t="s">
        <v>449</v>
      </c>
      <c r="D638" t="s">
        <v>26</v>
      </c>
      <c r="E638" t="s">
        <v>11</v>
      </c>
      <c r="F638" t="s">
        <v>12</v>
      </c>
      <c r="G638" t="s">
        <v>13</v>
      </c>
      <c r="H638">
        <v>7</v>
      </c>
      <c r="I638" t="str">
        <f>VLOOKUP(D638,Product_Lookup!$A$2:$C$27,3,FALSE)</f>
        <v>$84.57</v>
      </c>
      <c r="J638" t="str">
        <f t="shared" si="75"/>
        <v>Tuesday</v>
      </c>
      <c r="K638" s="10" t="str">
        <f t="shared" si="76"/>
        <v>January</v>
      </c>
      <c r="L638">
        <f t="shared" si="77"/>
        <v>2024</v>
      </c>
      <c r="M638" t="b">
        <f t="shared" si="78"/>
        <v>0</v>
      </c>
      <c r="N638" t="b">
        <f t="shared" si="72"/>
        <v>0</v>
      </c>
      <c r="O638" t="str">
        <f t="shared" si="79"/>
        <v>Large Order</v>
      </c>
      <c r="P638" s="7">
        <f t="shared" si="73"/>
        <v>4.2284999999999995</v>
      </c>
      <c r="Q638" s="7" t="str">
        <f>VLOOKUP(D639,Product_Lookup!$A$2:$C$27,2,FALSE)</f>
        <v>Doll</v>
      </c>
      <c r="R638" s="7">
        <f t="shared" si="74"/>
        <v>591.99</v>
      </c>
    </row>
    <row r="639" spans="1:18" ht="21.75" customHeight="1">
      <c r="A639" t="s">
        <v>790</v>
      </c>
      <c r="B639" s="6">
        <v>45495</v>
      </c>
      <c r="C639" t="s">
        <v>358</v>
      </c>
      <c r="D639" t="s">
        <v>119</v>
      </c>
      <c r="E639" t="s">
        <v>17</v>
      </c>
      <c r="F639" t="s">
        <v>306</v>
      </c>
      <c r="G639" t="s">
        <v>23</v>
      </c>
      <c r="H639">
        <v>14</v>
      </c>
      <c r="I639" t="str">
        <f>VLOOKUP(D639,Product_Lookup!$A$2:$C$27,3,FALSE)</f>
        <v>$32.94</v>
      </c>
      <c r="J639" t="str">
        <f t="shared" si="75"/>
        <v>Monday</v>
      </c>
      <c r="K639" s="10" t="str">
        <f t="shared" si="76"/>
        <v>July</v>
      </c>
      <c r="L639">
        <f t="shared" si="77"/>
        <v>2024</v>
      </c>
      <c r="M639" t="b">
        <f t="shared" si="78"/>
        <v>0</v>
      </c>
      <c r="N639" t="b">
        <f t="shared" si="72"/>
        <v>0</v>
      </c>
      <c r="O639" t="str">
        <f t="shared" si="79"/>
        <v>Standard order</v>
      </c>
      <c r="P639" s="7">
        <f t="shared" si="73"/>
        <v>1.647</v>
      </c>
      <c r="Q639" s="7" t="str">
        <f>VLOOKUP(D640,Product_Lookup!$A$2:$C$27,2,FALSE)</f>
        <v>Paper Shredder</v>
      </c>
      <c r="R639" s="7">
        <f t="shared" si="74"/>
        <v>461.15999999999997</v>
      </c>
    </row>
    <row r="640" spans="1:18" ht="21.75" customHeight="1">
      <c r="A640" t="s">
        <v>791</v>
      </c>
      <c r="B640" s="6">
        <v>45334</v>
      </c>
      <c r="C640" t="s">
        <v>541</v>
      </c>
      <c r="D640" t="s">
        <v>109</v>
      </c>
      <c r="E640" t="s">
        <v>22</v>
      </c>
      <c r="F640" t="s">
        <v>306</v>
      </c>
      <c r="G640" t="s">
        <v>32</v>
      </c>
      <c r="H640">
        <v>5</v>
      </c>
      <c r="I640" t="str">
        <f>VLOOKUP(D640,Product_Lookup!$A$2:$C$27,3,FALSE)</f>
        <v>$81.02</v>
      </c>
      <c r="J640" t="str">
        <f t="shared" si="75"/>
        <v>Monday</v>
      </c>
      <c r="K640" s="10" t="str">
        <f t="shared" si="76"/>
        <v>February</v>
      </c>
      <c r="L640">
        <f t="shared" si="77"/>
        <v>2024</v>
      </c>
      <c r="M640" t="b">
        <f t="shared" si="78"/>
        <v>0</v>
      </c>
      <c r="N640" t="b">
        <f t="shared" si="72"/>
        <v>0</v>
      </c>
      <c r="O640" t="str">
        <f t="shared" si="79"/>
        <v>Standard order</v>
      </c>
      <c r="P640" s="7">
        <f t="shared" si="73"/>
        <v>4.0510000000000002</v>
      </c>
      <c r="Q640" s="7" t="str">
        <f>VLOOKUP(D641,Product_Lookup!$A$2:$C$27,2,FALSE)</f>
        <v>Pen Set</v>
      </c>
      <c r="R640" s="7">
        <f t="shared" si="74"/>
        <v>405.09999999999997</v>
      </c>
    </row>
    <row r="641" spans="1:18" ht="21.75" customHeight="1">
      <c r="A641" t="s">
        <v>792</v>
      </c>
      <c r="B641" s="6">
        <v>45332</v>
      </c>
      <c r="C641" t="s">
        <v>345</v>
      </c>
      <c r="D641" t="s">
        <v>174</v>
      </c>
      <c r="E641" t="s">
        <v>11</v>
      </c>
      <c r="F641" t="s">
        <v>56</v>
      </c>
      <c r="G641" t="s">
        <v>13</v>
      </c>
      <c r="H641">
        <v>11</v>
      </c>
      <c r="I641" t="str">
        <f>VLOOKUP(D641,Product_Lookup!$A$2:$C$27,3,FALSE)</f>
        <v>$133.37</v>
      </c>
      <c r="J641" t="str">
        <f t="shared" si="75"/>
        <v>Saturday</v>
      </c>
      <c r="K641" s="10" t="str">
        <f t="shared" si="76"/>
        <v>February</v>
      </c>
      <c r="L641">
        <f t="shared" si="77"/>
        <v>2024</v>
      </c>
      <c r="M641" t="b">
        <f t="shared" si="78"/>
        <v>1</v>
      </c>
      <c r="N641" t="b">
        <f t="shared" si="72"/>
        <v>1</v>
      </c>
      <c r="O641" t="str">
        <f t="shared" si="79"/>
        <v>Large Order</v>
      </c>
      <c r="P641" s="7">
        <f t="shared" si="73"/>
        <v>6.6685000000000008</v>
      </c>
      <c r="Q641" s="7" t="str">
        <f>VLOOKUP(D642,Product_Lookup!$A$2:$C$27,2,FALSE)</f>
        <v>Smartphone</v>
      </c>
      <c r="R641" s="7">
        <f t="shared" si="74"/>
        <v>1467.0700000000002</v>
      </c>
    </row>
    <row r="642" spans="1:18" ht="21.75" customHeight="1">
      <c r="A642" t="s">
        <v>793</v>
      </c>
      <c r="B642" s="6">
        <v>45450</v>
      </c>
      <c r="C642" t="s">
        <v>424</v>
      </c>
      <c r="D642" t="s">
        <v>79</v>
      </c>
      <c r="E642" t="s">
        <v>17</v>
      </c>
      <c r="F642" t="s">
        <v>56</v>
      </c>
      <c r="G642" t="s">
        <v>23</v>
      </c>
      <c r="H642">
        <v>8</v>
      </c>
      <c r="I642" t="str">
        <f>VLOOKUP(D642,Product_Lookup!$A$2:$C$27,3,FALSE)</f>
        <v>$216.22</v>
      </c>
      <c r="J642" t="str">
        <f t="shared" si="75"/>
        <v>Friday</v>
      </c>
      <c r="K642" s="10" t="str">
        <f t="shared" si="76"/>
        <v>June</v>
      </c>
      <c r="L642">
        <f t="shared" si="77"/>
        <v>2024</v>
      </c>
      <c r="M642" t="b">
        <f t="shared" si="78"/>
        <v>0</v>
      </c>
      <c r="N642" t="b">
        <f t="shared" ref="N642:N705" si="80">AND(R642&gt;750, H642&gt;5)</f>
        <v>1</v>
      </c>
      <c r="O642" t="str">
        <f t="shared" si="79"/>
        <v>Large Order</v>
      </c>
      <c r="P642" s="7">
        <f t="shared" ref="P642:P705" si="81">I642*$S$2</f>
        <v>10.811</v>
      </c>
      <c r="Q642" s="7" t="str">
        <f>VLOOKUP(D643,Product_Lookup!$A$2:$C$27,2,FALSE)</f>
        <v>Smartphone</v>
      </c>
      <c r="R642" s="7">
        <f t="shared" ref="R642:R705" si="82">H642*I642</f>
        <v>1729.76</v>
      </c>
    </row>
    <row r="643" spans="1:18" ht="21.75" customHeight="1">
      <c r="A643" t="s">
        <v>794</v>
      </c>
      <c r="B643" s="6">
        <v>45351</v>
      </c>
      <c r="C643" t="s">
        <v>366</v>
      </c>
      <c r="D643" t="s">
        <v>79</v>
      </c>
      <c r="E643" t="s">
        <v>22</v>
      </c>
      <c r="F643" t="s">
        <v>306</v>
      </c>
      <c r="G643" t="s">
        <v>28</v>
      </c>
      <c r="H643">
        <v>10</v>
      </c>
      <c r="I643" t="str">
        <f>VLOOKUP(D643,Product_Lookup!$A$2:$C$27,3,FALSE)</f>
        <v>$216.22</v>
      </c>
      <c r="J643" t="str">
        <f t="shared" ref="J643:J706" si="83">TEXT(B643, "dddd")</f>
        <v>Thursday</v>
      </c>
      <c r="K643" s="10" t="str">
        <f t="shared" ref="K643:K706" si="84">TEXT(B643, "mmmm")</f>
        <v>February</v>
      </c>
      <c r="L643">
        <f t="shared" ref="L643:L706" si="85">YEAR(B643)</f>
        <v>2024</v>
      </c>
      <c r="M643" t="b">
        <f t="shared" ref="M643:M706" si="86">OR(J643="Saturday", J643="Sunday")</f>
        <v>0</v>
      </c>
      <c r="N643" t="b">
        <f t="shared" si="80"/>
        <v>1</v>
      </c>
      <c r="O643" t="str">
        <f t="shared" ref="O643:O706" si="87">IF(R643&gt;500,"Large Order","Standard order")</f>
        <v>Large Order</v>
      </c>
      <c r="P643" s="7">
        <f t="shared" si="81"/>
        <v>10.811</v>
      </c>
      <c r="Q643" s="7" t="str">
        <f>VLOOKUP(D644,Product_Lookup!$A$2:$C$27,2,FALSE)</f>
        <v>Puzzle</v>
      </c>
      <c r="R643" s="7">
        <f t="shared" si="82"/>
        <v>2162.1999999999998</v>
      </c>
    </row>
    <row r="644" spans="1:18" ht="21.75" customHeight="1">
      <c r="A644" t="s">
        <v>795</v>
      </c>
      <c r="B644" s="6">
        <v>45353</v>
      </c>
      <c r="C644" t="s">
        <v>142</v>
      </c>
      <c r="D644" t="s">
        <v>62</v>
      </c>
      <c r="E644" t="s">
        <v>22</v>
      </c>
      <c r="F644" t="s">
        <v>56</v>
      </c>
      <c r="G644" t="s">
        <v>32</v>
      </c>
      <c r="H644">
        <v>1</v>
      </c>
      <c r="I644" t="str">
        <f>VLOOKUP(D644,Product_Lookup!$A$2:$C$27,3,FALSE)</f>
        <v>$46.19</v>
      </c>
      <c r="J644" t="str">
        <f t="shared" si="83"/>
        <v>Saturday</v>
      </c>
      <c r="K644" s="10" t="str">
        <f t="shared" si="84"/>
        <v>March</v>
      </c>
      <c r="L644">
        <f t="shared" si="85"/>
        <v>2024</v>
      </c>
      <c r="M644" t="b">
        <f t="shared" si="86"/>
        <v>1</v>
      </c>
      <c r="N644" t="b">
        <f t="shared" si="80"/>
        <v>0</v>
      </c>
      <c r="O644" t="str">
        <f t="shared" si="87"/>
        <v>Standard order</v>
      </c>
      <c r="P644" s="7">
        <f t="shared" si="81"/>
        <v>2.3094999999999999</v>
      </c>
      <c r="Q644" s="7" t="str">
        <f>VLOOKUP(D645,Product_Lookup!$A$2:$C$27,2,FALSE)</f>
        <v>T-Shirt</v>
      </c>
      <c r="R644" s="7">
        <f t="shared" si="82"/>
        <v>46.19</v>
      </c>
    </row>
    <row r="645" spans="1:18" ht="21.75" customHeight="1">
      <c r="A645" t="s">
        <v>796</v>
      </c>
      <c r="B645" s="6">
        <v>45559</v>
      </c>
      <c r="C645" t="s">
        <v>363</v>
      </c>
      <c r="D645" t="s">
        <v>45</v>
      </c>
      <c r="E645" t="s">
        <v>22</v>
      </c>
      <c r="F645" t="s">
        <v>42</v>
      </c>
      <c r="G645" t="s">
        <v>32</v>
      </c>
      <c r="H645">
        <v>12</v>
      </c>
      <c r="I645" t="str">
        <f>VLOOKUP(D645,Product_Lookup!$A$2:$C$27,3,FALSE)</f>
        <v>$107.34</v>
      </c>
      <c r="J645" t="str">
        <f t="shared" si="83"/>
        <v>Tuesday</v>
      </c>
      <c r="K645" s="10" t="str">
        <f t="shared" si="84"/>
        <v>September</v>
      </c>
      <c r="L645">
        <f t="shared" si="85"/>
        <v>2024</v>
      </c>
      <c r="M645" t="b">
        <f t="shared" si="86"/>
        <v>0</v>
      </c>
      <c r="N645" t="b">
        <f t="shared" si="80"/>
        <v>1</v>
      </c>
      <c r="O645" t="str">
        <f t="shared" si="87"/>
        <v>Large Order</v>
      </c>
      <c r="P645" s="7">
        <f t="shared" si="81"/>
        <v>5.3670000000000009</v>
      </c>
      <c r="Q645" s="7" t="str">
        <f>VLOOKUP(D646,Product_Lookup!$A$2:$C$27,2,FALSE)</f>
        <v>Vacuum</v>
      </c>
      <c r="R645" s="7">
        <f t="shared" si="82"/>
        <v>1288.08</v>
      </c>
    </row>
    <row r="646" spans="1:18" ht="21.75" customHeight="1">
      <c r="A646" t="s">
        <v>797</v>
      </c>
      <c r="B646" s="6">
        <v>45352</v>
      </c>
      <c r="C646" t="s">
        <v>337</v>
      </c>
      <c r="D646" t="s">
        <v>87</v>
      </c>
      <c r="E646" t="s">
        <v>11</v>
      </c>
      <c r="F646" t="s">
        <v>42</v>
      </c>
      <c r="G646" t="s">
        <v>32</v>
      </c>
      <c r="H646">
        <v>9</v>
      </c>
      <c r="I646" t="str">
        <f>VLOOKUP(D646,Product_Lookup!$A$2:$C$27,3,FALSE)</f>
        <v>$26.59</v>
      </c>
      <c r="J646" t="str">
        <f t="shared" si="83"/>
        <v>Friday</v>
      </c>
      <c r="K646" s="10" t="str">
        <f t="shared" si="84"/>
        <v>March</v>
      </c>
      <c r="L646">
        <f t="shared" si="85"/>
        <v>2024</v>
      </c>
      <c r="M646" t="b">
        <f t="shared" si="86"/>
        <v>0</v>
      </c>
      <c r="N646" t="b">
        <f t="shared" si="80"/>
        <v>0</v>
      </c>
      <c r="O646" t="str">
        <f t="shared" si="87"/>
        <v>Standard order</v>
      </c>
      <c r="P646" s="7">
        <f t="shared" si="81"/>
        <v>1.3295000000000001</v>
      </c>
      <c r="Q646" s="7" t="str">
        <f>VLOOKUP(D647,Product_Lookup!$A$2:$C$27,2,FALSE)</f>
        <v>Stapler</v>
      </c>
      <c r="R646" s="7">
        <f t="shared" si="82"/>
        <v>239.31</v>
      </c>
    </row>
    <row r="647" spans="1:18" ht="21.75" customHeight="1">
      <c r="A647" t="s">
        <v>798</v>
      </c>
      <c r="B647" s="6">
        <v>45656</v>
      </c>
      <c r="C647" t="s">
        <v>314</v>
      </c>
      <c r="D647" t="s">
        <v>35</v>
      </c>
      <c r="E647" t="s">
        <v>22</v>
      </c>
      <c r="F647" t="s">
        <v>12</v>
      </c>
      <c r="G647" t="s">
        <v>13</v>
      </c>
      <c r="H647">
        <v>15</v>
      </c>
      <c r="I647" t="str">
        <f>VLOOKUP(D647,Product_Lookup!$A$2:$C$27,3,FALSE)</f>
        <v>$64.61</v>
      </c>
      <c r="J647" t="str">
        <f t="shared" si="83"/>
        <v>Monday</v>
      </c>
      <c r="K647" s="10" t="str">
        <f t="shared" si="84"/>
        <v>December</v>
      </c>
      <c r="L647">
        <f t="shared" si="85"/>
        <v>2024</v>
      </c>
      <c r="M647" t="b">
        <f t="shared" si="86"/>
        <v>0</v>
      </c>
      <c r="N647" t="b">
        <f t="shared" si="80"/>
        <v>1</v>
      </c>
      <c r="O647" t="str">
        <f t="shared" si="87"/>
        <v>Large Order</v>
      </c>
      <c r="P647" s="7">
        <f t="shared" si="81"/>
        <v>3.2305000000000001</v>
      </c>
      <c r="Q647" s="7" t="str">
        <f>VLOOKUP(D648,Product_Lookup!$A$2:$C$27,2,FALSE)</f>
        <v>T-Shirt</v>
      </c>
      <c r="R647" s="7">
        <f t="shared" si="82"/>
        <v>969.15</v>
      </c>
    </row>
    <row r="648" spans="1:18" ht="21.75" customHeight="1">
      <c r="A648" t="s">
        <v>799</v>
      </c>
      <c r="B648" s="6">
        <v>45547</v>
      </c>
      <c r="C648" t="s">
        <v>614</v>
      </c>
      <c r="D648" t="s">
        <v>45</v>
      </c>
      <c r="E648" t="s">
        <v>11</v>
      </c>
      <c r="F648" t="s">
        <v>42</v>
      </c>
      <c r="G648" t="s">
        <v>36</v>
      </c>
      <c r="H648">
        <v>9</v>
      </c>
      <c r="I648" t="str">
        <f>VLOOKUP(D648,Product_Lookup!$A$2:$C$27,3,FALSE)</f>
        <v>$107.34</v>
      </c>
      <c r="J648" t="str">
        <f t="shared" si="83"/>
        <v>Thursday</v>
      </c>
      <c r="K648" s="10" t="str">
        <f t="shared" si="84"/>
        <v>September</v>
      </c>
      <c r="L648">
        <f t="shared" si="85"/>
        <v>2024</v>
      </c>
      <c r="M648" t="b">
        <f t="shared" si="86"/>
        <v>0</v>
      </c>
      <c r="N648" t="b">
        <f t="shared" si="80"/>
        <v>1</v>
      </c>
      <c r="O648" t="str">
        <f t="shared" si="87"/>
        <v>Large Order</v>
      </c>
      <c r="P648" s="7">
        <f t="shared" si="81"/>
        <v>5.3670000000000009</v>
      </c>
      <c r="Q648" s="7" t="str">
        <f>VLOOKUP(D649,Product_Lookup!$A$2:$C$27,2,FALSE)</f>
        <v>Lego Set</v>
      </c>
      <c r="R648" s="7">
        <f t="shared" si="82"/>
        <v>966.06000000000006</v>
      </c>
    </row>
    <row r="649" spans="1:18" ht="21.75" customHeight="1">
      <c r="A649" t="s">
        <v>800</v>
      </c>
      <c r="B649" s="6">
        <v>45637</v>
      </c>
      <c r="C649" t="s">
        <v>329</v>
      </c>
      <c r="D649" t="s">
        <v>84</v>
      </c>
      <c r="E649" t="s">
        <v>11</v>
      </c>
      <c r="F649" t="s">
        <v>56</v>
      </c>
      <c r="G649" t="s">
        <v>13</v>
      </c>
      <c r="H649">
        <v>17</v>
      </c>
      <c r="I649" t="str">
        <f>VLOOKUP(D649,Product_Lookup!$A$2:$C$27,3,FALSE)</f>
        <v>$130.07</v>
      </c>
      <c r="J649" t="str">
        <f t="shared" si="83"/>
        <v>Wednesday</v>
      </c>
      <c r="K649" s="10" t="str">
        <f t="shared" si="84"/>
        <v>December</v>
      </c>
      <c r="L649">
        <f t="shared" si="85"/>
        <v>2024</v>
      </c>
      <c r="M649" t="b">
        <f t="shared" si="86"/>
        <v>0</v>
      </c>
      <c r="N649" t="b">
        <f t="shared" si="80"/>
        <v>1</v>
      </c>
      <c r="O649" t="str">
        <f t="shared" si="87"/>
        <v>Large Order</v>
      </c>
      <c r="P649" s="7">
        <f t="shared" si="81"/>
        <v>6.5034999999999998</v>
      </c>
      <c r="Q649" s="7" t="str">
        <f>VLOOKUP(D650,Product_Lookup!$A$2:$C$27,2,FALSE)</f>
        <v>Coffee Maker</v>
      </c>
      <c r="R649" s="7">
        <f t="shared" si="82"/>
        <v>2211.19</v>
      </c>
    </row>
    <row r="650" spans="1:18" ht="21.75" customHeight="1">
      <c r="A650" t="s">
        <v>801</v>
      </c>
      <c r="B650" s="6">
        <v>45417</v>
      </c>
      <c r="C650" t="s">
        <v>116</v>
      </c>
      <c r="D650" t="s">
        <v>31</v>
      </c>
      <c r="E650" t="s">
        <v>17</v>
      </c>
      <c r="F650" t="s">
        <v>42</v>
      </c>
      <c r="G650" t="s">
        <v>13</v>
      </c>
      <c r="H650">
        <v>5</v>
      </c>
      <c r="I650" t="str">
        <f>VLOOKUP(D650,Product_Lookup!$A$2:$C$27,3,FALSE)</f>
        <v>$230.34</v>
      </c>
      <c r="J650" t="str">
        <f t="shared" si="83"/>
        <v>Sunday</v>
      </c>
      <c r="K650" s="10" t="str">
        <f t="shared" si="84"/>
        <v>May</v>
      </c>
      <c r="L650">
        <f t="shared" si="85"/>
        <v>2024</v>
      </c>
      <c r="M650" t="b">
        <f t="shared" si="86"/>
        <v>1</v>
      </c>
      <c r="N650" t="b">
        <f t="shared" si="80"/>
        <v>0</v>
      </c>
      <c r="O650" t="str">
        <f t="shared" si="87"/>
        <v>Large Order</v>
      </c>
      <c r="P650" s="7">
        <f t="shared" si="81"/>
        <v>11.517000000000001</v>
      </c>
      <c r="Q650" s="7" t="str">
        <f>VLOOKUP(D651,Product_Lookup!$A$2:$C$27,2,FALSE)</f>
        <v>Jacket</v>
      </c>
      <c r="R650" s="7">
        <f t="shared" si="82"/>
        <v>1151.7</v>
      </c>
    </row>
    <row r="651" spans="1:18" ht="21.75" customHeight="1">
      <c r="A651" t="s">
        <v>802</v>
      </c>
      <c r="B651" s="6">
        <v>45575</v>
      </c>
      <c r="C651" t="s">
        <v>436</v>
      </c>
      <c r="D651" t="s">
        <v>197</v>
      </c>
      <c r="E651" t="s">
        <v>22</v>
      </c>
      <c r="F651" t="s">
        <v>27</v>
      </c>
      <c r="G651" t="s">
        <v>32</v>
      </c>
      <c r="H651">
        <v>11</v>
      </c>
      <c r="I651" t="str">
        <f>VLOOKUP(D651,Product_Lookup!$A$2:$C$27,3,FALSE)</f>
        <v>$10.11</v>
      </c>
      <c r="J651" t="str">
        <f t="shared" si="83"/>
        <v>Thursday</v>
      </c>
      <c r="K651" s="10" t="str">
        <f t="shared" si="84"/>
        <v>October</v>
      </c>
      <c r="L651">
        <f t="shared" si="85"/>
        <v>2024</v>
      </c>
      <c r="M651" t="b">
        <f t="shared" si="86"/>
        <v>0</v>
      </c>
      <c r="N651" t="b">
        <f t="shared" si="80"/>
        <v>0</v>
      </c>
      <c r="O651" t="str">
        <f t="shared" si="87"/>
        <v>Standard order</v>
      </c>
      <c r="P651" s="7">
        <f t="shared" si="81"/>
        <v>0.50549999999999995</v>
      </c>
      <c r="Q651" s="7" t="str">
        <f>VLOOKUP(D652,Product_Lookup!$A$2:$C$27,2,FALSE)</f>
        <v>Monitor</v>
      </c>
      <c r="R651" s="7">
        <f t="shared" si="82"/>
        <v>111.21</v>
      </c>
    </row>
    <row r="652" spans="1:18" ht="21.75" customHeight="1">
      <c r="A652" t="s">
        <v>803</v>
      </c>
      <c r="B652" s="6">
        <v>45430</v>
      </c>
      <c r="C652" t="s">
        <v>208</v>
      </c>
      <c r="D652" t="s">
        <v>102</v>
      </c>
      <c r="E652" t="s">
        <v>22</v>
      </c>
      <c r="F652" t="s">
        <v>42</v>
      </c>
      <c r="G652" t="s">
        <v>13</v>
      </c>
      <c r="H652">
        <v>17</v>
      </c>
      <c r="I652" t="str">
        <f>VLOOKUP(D652,Product_Lookup!$A$2:$C$27,3,FALSE)</f>
        <v>$145.48</v>
      </c>
      <c r="J652" t="str">
        <f t="shared" si="83"/>
        <v>Saturday</v>
      </c>
      <c r="K652" s="10" t="str">
        <f t="shared" si="84"/>
        <v>May</v>
      </c>
      <c r="L652">
        <f t="shared" si="85"/>
        <v>2024</v>
      </c>
      <c r="M652" t="b">
        <f t="shared" si="86"/>
        <v>1</v>
      </c>
      <c r="N652" t="b">
        <f t="shared" si="80"/>
        <v>1</v>
      </c>
      <c r="O652" t="str">
        <f t="shared" si="87"/>
        <v>Large Order</v>
      </c>
      <c r="P652" s="7">
        <f t="shared" si="81"/>
        <v>7.274</v>
      </c>
      <c r="Q652" s="7" t="str">
        <f>VLOOKUP(D653,Product_Lookup!$A$2:$C$27,2,FALSE)</f>
        <v>Coffee Maker</v>
      </c>
      <c r="R652" s="7">
        <f t="shared" si="82"/>
        <v>2473.16</v>
      </c>
    </row>
    <row r="653" spans="1:18" ht="21.75" customHeight="1">
      <c r="A653" t="s">
        <v>804</v>
      </c>
      <c r="B653" s="6">
        <v>45383</v>
      </c>
      <c r="C653" t="s">
        <v>240</v>
      </c>
      <c r="D653" t="s">
        <v>31</v>
      </c>
      <c r="E653" t="s">
        <v>22</v>
      </c>
      <c r="F653" t="s">
        <v>12</v>
      </c>
      <c r="G653" t="s">
        <v>32</v>
      </c>
      <c r="H653">
        <v>3</v>
      </c>
      <c r="I653" t="str">
        <f>VLOOKUP(D653,Product_Lookup!$A$2:$C$27,3,FALSE)</f>
        <v>$230.34</v>
      </c>
      <c r="J653" t="str">
        <f t="shared" si="83"/>
        <v>Monday</v>
      </c>
      <c r="K653" s="10" t="str">
        <f t="shared" si="84"/>
        <v>April</v>
      </c>
      <c r="L653">
        <f t="shared" si="85"/>
        <v>2024</v>
      </c>
      <c r="M653" t="b">
        <f t="shared" si="86"/>
        <v>0</v>
      </c>
      <c r="N653" t="b">
        <f t="shared" si="80"/>
        <v>0</v>
      </c>
      <c r="O653" t="str">
        <f t="shared" si="87"/>
        <v>Large Order</v>
      </c>
      <c r="P653" s="7">
        <f t="shared" si="81"/>
        <v>11.517000000000001</v>
      </c>
      <c r="Q653" s="7" t="str">
        <f>VLOOKUP(D654,Product_Lookup!$A$2:$C$27,2,FALSE)</f>
        <v>Air Fryer</v>
      </c>
      <c r="R653" s="7">
        <f t="shared" si="82"/>
        <v>691.02</v>
      </c>
    </row>
    <row r="654" spans="1:18" ht="21.75" customHeight="1">
      <c r="A654" t="s">
        <v>805</v>
      </c>
      <c r="B654" s="6">
        <v>45451</v>
      </c>
      <c r="C654" t="s">
        <v>187</v>
      </c>
      <c r="D654" t="s">
        <v>70</v>
      </c>
      <c r="E654" t="s">
        <v>11</v>
      </c>
      <c r="F654" t="s">
        <v>306</v>
      </c>
      <c r="G654" t="s">
        <v>32</v>
      </c>
      <c r="H654">
        <v>1</v>
      </c>
      <c r="I654" t="str">
        <f>VLOOKUP(D654,Product_Lookup!$A$2:$C$27,3,FALSE)</f>
        <v>$211.9</v>
      </c>
      <c r="J654" t="str">
        <f t="shared" si="83"/>
        <v>Saturday</v>
      </c>
      <c r="K654" s="10" t="str">
        <f t="shared" si="84"/>
        <v>June</v>
      </c>
      <c r="L654">
        <f t="shared" si="85"/>
        <v>2024</v>
      </c>
      <c r="M654" t="b">
        <f t="shared" si="86"/>
        <v>1</v>
      </c>
      <c r="N654" t="b">
        <f t="shared" si="80"/>
        <v>0</v>
      </c>
      <c r="O654" t="str">
        <f t="shared" si="87"/>
        <v>Standard order</v>
      </c>
      <c r="P654" s="7">
        <f t="shared" si="81"/>
        <v>10.595000000000001</v>
      </c>
      <c r="Q654" s="7" t="str">
        <f>VLOOKUP(D655,Product_Lookup!$A$2:$C$27,2,FALSE)</f>
        <v>Jacket</v>
      </c>
      <c r="R654" s="7">
        <f t="shared" si="82"/>
        <v>211.9</v>
      </c>
    </row>
    <row r="655" spans="1:18" ht="21.75" customHeight="1">
      <c r="A655" t="s">
        <v>806</v>
      </c>
      <c r="B655" s="6">
        <v>45580</v>
      </c>
      <c r="C655" t="s">
        <v>728</v>
      </c>
      <c r="D655" t="s">
        <v>197</v>
      </c>
      <c r="E655" t="s">
        <v>17</v>
      </c>
      <c r="F655" t="s">
        <v>306</v>
      </c>
      <c r="G655" t="s">
        <v>23</v>
      </c>
      <c r="H655">
        <v>15</v>
      </c>
      <c r="I655" t="str">
        <f>VLOOKUP(D655,Product_Lookup!$A$2:$C$27,3,FALSE)</f>
        <v>$10.11</v>
      </c>
      <c r="J655" t="str">
        <f t="shared" si="83"/>
        <v>Tuesday</v>
      </c>
      <c r="K655" s="10" t="str">
        <f t="shared" si="84"/>
        <v>October</v>
      </c>
      <c r="L655">
        <f t="shared" si="85"/>
        <v>2024</v>
      </c>
      <c r="M655" t="b">
        <f t="shared" si="86"/>
        <v>0</v>
      </c>
      <c r="N655" t="b">
        <f t="shared" si="80"/>
        <v>0</v>
      </c>
      <c r="O655" t="str">
        <f t="shared" si="87"/>
        <v>Standard order</v>
      </c>
      <c r="P655" s="7">
        <f t="shared" si="81"/>
        <v>0.50549999999999995</v>
      </c>
      <c r="Q655" s="7" t="str">
        <f>VLOOKUP(D656,Product_Lookup!$A$2:$C$27,2,FALSE)</f>
        <v>Headphones</v>
      </c>
      <c r="R655" s="7">
        <f t="shared" si="82"/>
        <v>151.64999999999998</v>
      </c>
    </row>
    <row r="656" spans="1:18" ht="21.75" customHeight="1">
      <c r="A656" t="s">
        <v>807</v>
      </c>
      <c r="B656" s="6">
        <v>45392</v>
      </c>
      <c r="C656" t="s">
        <v>388</v>
      </c>
      <c r="D656" t="s">
        <v>16</v>
      </c>
      <c r="E656" t="s">
        <v>22</v>
      </c>
      <c r="F656" t="s">
        <v>56</v>
      </c>
      <c r="G656" t="s">
        <v>13</v>
      </c>
      <c r="H656">
        <v>1</v>
      </c>
      <c r="I656" t="str">
        <f>VLOOKUP(D656,Product_Lookup!$A$2:$C$27,3,FALSE)</f>
        <v>$178.83</v>
      </c>
      <c r="J656" t="str">
        <f t="shared" si="83"/>
        <v>Wednesday</v>
      </c>
      <c r="K656" s="10" t="str">
        <f t="shared" si="84"/>
        <v>April</v>
      </c>
      <c r="L656">
        <f t="shared" si="85"/>
        <v>2024</v>
      </c>
      <c r="M656" t="b">
        <f t="shared" si="86"/>
        <v>0</v>
      </c>
      <c r="N656" t="b">
        <f t="shared" si="80"/>
        <v>0</v>
      </c>
      <c r="O656" t="str">
        <f t="shared" si="87"/>
        <v>Standard order</v>
      </c>
      <c r="P656" s="7">
        <f t="shared" si="81"/>
        <v>8.9415000000000013</v>
      </c>
      <c r="Q656" s="7" t="str">
        <f>VLOOKUP(D657,Product_Lookup!$A$2:$C$27,2,FALSE)</f>
        <v>Blender</v>
      </c>
      <c r="R656" s="7">
        <f t="shared" si="82"/>
        <v>178.83</v>
      </c>
    </row>
    <row r="657" spans="1:18" ht="21.75" customHeight="1">
      <c r="A657" t="s">
        <v>808</v>
      </c>
      <c r="B657" s="6">
        <v>45411</v>
      </c>
      <c r="C657" t="s">
        <v>591</v>
      </c>
      <c r="D657" t="s">
        <v>72</v>
      </c>
      <c r="E657" t="s">
        <v>17</v>
      </c>
      <c r="F657" t="s">
        <v>12</v>
      </c>
      <c r="G657" t="s">
        <v>23</v>
      </c>
      <c r="H657">
        <v>1</v>
      </c>
      <c r="I657" t="str">
        <f>VLOOKUP(D657,Product_Lookup!$A$2:$C$27,3,FALSE)</f>
        <v>$156.44</v>
      </c>
      <c r="J657" t="str">
        <f t="shared" si="83"/>
        <v>Monday</v>
      </c>
      <c r="K657" s="10" t="str">
        <f t="shared" si="84"/>
        <v>April</v>
      </c>
      <c r="L657">
        <f t="shared" si="85"/>
        <v>2024</v>
      </c>
      <c r="M657" t="b">
        <f t="shared" si="86"/>
        <v>0</v>
      </c>
      <c r="N657" t="b">
        <f t="shared" si="80"/>
        <v>0</v>
      </c>
      <c r="O657" t="str">
        <f t="shared" si="87"/>
        <v>Standard order</v>
      </c>
      <c r="P657" s="7">
        <f t="shared" si="81"/>
        <v>7.8220000000000001</v>
      </c>
      <c r="Q657" s="7" t="str">
        <f>VLOOKUP(D658,Product_Lookup!$A$2:$C$27,2,FALSE)</f>
        <v>Jacket</v>
      </c>
      <c r="R657" s="7">
        <f t="shared" si="82"/>
        <v>156.44</v>
      </c>
    </row>
    <row r="658" spans="1:18" ht="21.75" customHeight="1">
      <c r="A658" t="s">
        <v>809</v>
      </c>
      <c r="B658" s="6">
        <v>45449</v>
      </c>
      <c r="C658" t="s">
        <v>15</v>
      </c>
      <c r="D658" t="s">
        <v>197</v>
      </c>
      <c r="E658" t="s">
        <v>11</v>
      </c>
      <c r="F658" t="s">
        <v>306</v>
      </c>
      <c r="G658" t="s">
        <v>13</v>
      </c>
      <c r="H658">
        <v>14</v>
      </c>
      <c r="I658" t="str">
        <f>VLOOKUP(D658,Product_Lookup!$A$2:$C$27,3,FALSE)</f>
        <v>$10.11</v>
      </c>
      <c r="J658" t="str">
        <f t="shared" si="83"/>
        <v>Thursday</v>
      </c>
      <c r="K658" s="10" t="str">
        <f t="shared" si="84"/>
        <v>June</v>
      </c>
      <c r="L658">
        <f t="shared" si="85"/>
        <v>2024</v>
      </c>
      <c r="M658" t="b">
        <f t="shared" si="86"/>
        <v>0</v>
      </c>
      <c r="N658" t="b">
        <f t="shared" si="80"/>
        <v>0</v>
      </c>
      <c r="O658" t="str">
        <f t="shared" si="87"/>
        <v>Standard order</v>
      </c>
      <c r="P658" s="7">
        <f t="shared" si="81"/>
        <v>0.50549999999999995</v>
      </c>
      <c r="Q658" s="7" t="str">
        <f>VLOOKUP(D659,Product_Lookup!$A$2:$C$27,2,FALSE)</f>
        <v>Smartphone</v>
      </c>
      <c r="R658" s="7">
        <f t="shared" si="82"/>
        <v>141.54</v>
      </c>
    </row>
    <row r="659" spans="1:18" ht="21.75" customHeight="1">
      <c r="A659" t="s">
        <v>810</v>
      </c>
      <c r="B659" s="6">
        <v>45364</v>
      </c>
      <c r="C659" t="s">
        <v>436</v>
      </c>
      <c r="D659" t="s">
        <v>79</v>
      </c>
      <c r="E659" t="s">
        <v>17</v>
      </c>
      <c r="F659" t="s">
        <v>12</v>
      </c>
      <c r="G659" t="s">
        <v>36</v>
      </c>
      <c r="H659">
        <v>8</v>
      </c>
      <c r="I659" t="str">
        <f>VLOOKUP(D659,Product_Lookup!$A$2:$C$27,3,FALSE)</f>
        <v>$216.22</v>
      </c>
      <c r="J659" t="str">
        <f t="shared" si="83"/>
        <v>Wednesday</v>
      </c>
      <c r="K659" s="10" t="str">
        <f t="shared" si="84"/>
        <v>March</v>
      </c>
      <c r="L659">
        <f t="shared" si="85"/>
        <v>2024</v>
      </c>
      <c r="M659" t="b">
        <f t="shared" si="86"/>
        <v>0</v>
      </c>
      <c r="N659" t="b">
        <f t="shared" si="80"/>
        <v>1</v>
      </c>
      <c r="O659" t="str">
        <f t="shared" si="87"/>
        <v>Large Order</v>
      </c>
      <c r="P659" s="7">
        <f t="shared" si="81"/>
        <v>10.811</v>
      </c>
      <c r="Q659" s="7" t="str">
        <f>VLOOKUP(D660,Product_Lookup!$A$2:$C$27,2,FALSE)</f>
        <v>Lego Set</v>
      </c>
      <c r="R659" s="7">
        <f t="shared" si="82"/>
        <v>1729.76</v>
      </c>
    </row>
    <row r="660" spans="1:18" ht="21.75" customHeight="1">
      <c r="A660" t="s">
        <v>811</v>
      </c>
      <c r="B660" s="6">
        <v>45503</v>
      </c>
      <c r="C660" t="s">
        <v>424</v>
      </c>
      <c r="D660" t="s">
        <v>84</v>
      </c>
      <c r="E660" t="s">
        <v>17</v>
      </c>
      <c r="F660" t="s">
        <v>27</v>
      </c>
      <c r="G660" t="s">
        <v>36</v>
      </c>
      <c r="H660">
        <v>3</v>
      </c>
      <c r="I660" t="str">
        <f>VLOOKUP(D660,Product_Lookup!$A$2:$C$27,3,FALSE)</f>
        <v>$130.07</v>
      </c>
      <c r="J660" t="str">
        <f t="shared" si="83"/>
        <v>Tuesday</v>
      </c>
      <c r="K660" s="10" t="str">
        <f t="shared" si="84"/>
        <v>July</v>
      </c>
      <c r="L660">
        <f t="shared" si="85"/>
        <v>2024</v>
      </c>
      <c r="M660" t="b">
        <f t="shared" si="86"/>
        <v>0</v>
      </c>
      <c r="N660" t="b">
        <f t="shared" si="80"/>
        <v>0</v>
      </c>
      <c r="O660" t="str">
        <f t="shared" si="87"/>
        <v>Standard order</v>
      </c>
      <c r="P660" s="7">
        <f t="shared" si="81"/>
        <v>6.5034999999999998</v>
      </c>
      <c r="Q660" s="7" t="str">
        <f>VLOOKUP(D661,Product_Lookup!$A$2:$C$27,2,FALSE)</f>
        <v>Desk Lamp</v>
      </c>
      <c r="R660" s="7">
        <f t="shared" si="82"/>
        <v>390.21</v>
      </c>
    </row>
    <row r="661" spans="1:18" ht="21.75" customHeight="1">
      <c r="A661" t="s">
        <v>812</v>
      </c>
      <c r="B661" s="6">
        <v>45360</v>
      </c>
      <c r="C661" t="s">
        <v>541</v>
      </c>
      <c r="D661" t="s">
        <v>59</v>
      </c>
      <c r="E661" t="s">
        <v>17</v>
      </c>
      <c r="F661" t="s">
        <v>12</v>
      </c>
      <c r="G661" t="s">
        <v>28</v>
      </c>
      <c r="H661">
        <v>19</v>
      </c>
      <c r="I661" t="str">
        <f>VLOOKUP(D661,Product_Lookup!$A$2:$C$27,3,FALSE)</f>
        <v>$101.96</v>
      </c>
      <c r="J661" t="str">
        <f t="shared" si="83"/>
        <v>Saturday</v>
      </c>
      <c r="K661" s="10" t="str">
        <f t="shared" si="84"/>
        <v>March</v>
      </c>
      <c r="L661">
        <f t="shared" si="85"/>
        <v>2024</v>
      </c>
      <c r="M661" t="b">
        <f t="shared" si="86"/>
        <v>1</v>
      </c>
      <c r="N661" t="b">
        <f t="shared" si="80"/>
        <v>1</v>
      </c>
      <c r="O661" t="str">
        <f t="shared" si="87"/>
        <v>Large Order</v>
      </c>
      <c r="P661" s="7">
        <f t="shared" si="81"/>
        <v>5.0979999999999999</v>
      </c>
      <c r="Q661" s="7" t="str">
        <f>VLOOKUP(D662,Product_Lookup!$A$2:$C$27,2,FALSE)</f>
        <v>Coffee Maker</v>
      </c>
      <c r="R661" s="7">
        <f t="shared" si="82"/>
        <v>1937.2399999999998</v>
      </c>
    </row>
    <row r="662" spans="1:18" ht="21.75" customHeight="1">
      <c r="A662" t="s">
        <v>813</v>
      </c>
      <c r="B662" s="6">
        <v>45413</v>
      </c>
      <c r="C662" t="s">
        <v>61</v>
      </c>
      <c r="D662" t="s">
        <v>31</v>
      </c>
      <c r="E662" t="s">
        <v>17</v>
      </c>
      <c r="F662" t="s">
        <v>42</v>
      </c>
      <c r="G662" t="s">
        <v>32</v>
      </c>
      <c r="H662">
        <v>11</v>
      </c>
      <c r="I662" t="str">
        <f>VLOOKUP(D662,Product_Lookup!$A$2:$C$27,3,FALSE)</f>
        <v>$230.34</v>
      </c>
      <c r="J662" t="str">
        <f t="shared" si="83"/>
        <v>Wednesday</v>
      </c>
      <c r="K662" s="10" t="str">
        <f t="shared" si="84"/>
        <v>May</v>
      </c>
      <c r="L662">
        <f t="shared" si="85"/>
        <v>2024</v>
      </c>
      <c r="M662" t="b">
        <f t="shared" si="86"/>
        <v>0</v>
      </c>
      <c r="N662" t="b">
        <f t="shared" si="80"/>
        <v>1</v>
      </c>
      <c r="O662" t="str">
        <f t="shared" si="87"/>
        <v>Large Order</v>
      </c>
      <c r="P662" s="7">
        <f t="shared" si="81"/>
        <v>11.517000000000001</v>
      </c>
      <c r="Q662" s="7" t="str">
        <f>VLOOKUP(D663,Product_Lookup!$A$2:$C$27,2,FALSE)</f>
        <v>Doll</v>
      </c>
      <c r="R662" s="7">
        <f t="shared" si="82"/>
        <v>2533.7400000000002</v>
      </c>
    </row>
    <row r="663" spans="1:18" ht="21.75" customHeight="1">
      <c r="A663" t="s">
        <v>814</v>
      </c>
      <c r="B663" s="6">
        <v>45411</v>
      </c>
      <c r="C663" t="s">
        <v>208</v>
      </c>
      <c r="D663" t="s">
        <v>119</v>
      </c>
      <c r="E663" t="s">
        <v>11</v>
      </c>
      <c r="F663" t="s">
        <v>56</v>
      </c>
      <c r="G663" t="s">
        <v>13</v>
      </c>
      <c r="H663">
        <v>19</v>
      </c>
      <c r="I663" t="str">
        <f>VLOOKUP(D663,Product_Lookup!$A$2:$C$27,3,FALSE)</f>
        <v>$32.94</v>
      </c>
      <c r="J663" t="str">
        <f t="shared" si="83"/>
        <v>Monday</v>
      </c>
      <c r="K663" s="10" t="str">
        <f t="shared" si="84"/>
        <v>April</v>
      </c>
      <c r="L663">
        <f t="shared" si="85"/>
        <v>2024</v>
      </c>
      <c r="M663" t="b">
        <f t="shared" si="86"/>
        <v>0</v>
      </c>
      <c r="N663" t="b">
        <f t="shared" si="80"/>
        <v>0</v>
      </c>
      <c r="O663" t="str">
        <f t="shared" si="87"/>
        <v>Large Order</v>
      </c>
      <c r="P663" s="7">
        <f t="shared" si="81"/>
        <v>1.647</v>
      </c>
      <c r="Q663" s="7" t="str">
        <f>VLOOKUP(D664,Product_Lookup!$A$2:$C$27,2,FALSE)</f>
        <v>Vacuum</v>
      </c>
      <c r="R663" s="7">
        <f t="shared" si="82"/>
        <v>625.8599999999999</v>
      </c>
    </row>
    <row r="664" spans="1:18" ht="21.75" customHeight="1">
      <c r="A664" t="s">
        <v>815</v>
      </c>
      <c r="B664" s="6">
        <v>45376</v>
      </c>
      <c r="C664" t="s">
        <v>430</v>
      </c>
      <c r="D664" t="s">
        <v>87</v>
      </c>
      <c r="E664" t="s">
        <v>17</v>
      </c>
      <c r="F664" t="s">
        <v>42</v>
      </c>
      <c r="G664" t="s">
        <v>28</v>
      </c>
      <c r="H664">
        <v>4</v>
      </c>
      <c r="I664" t="str">
        <f>VLOOKUP(D664,Product_Lookup!$A$2:$C$27,3,FALSE)</f>
        <v>$26.59</v>
      </c>
      <c r="J664" t="str">
        <f t="shared" si="83"/>
        <v>Monday</v>
      </c>
      <c r="K664" s="10" t="str">
        <f t="shared" si="84"/>
        <v>March</v>
      </c>
      <c r="L664">
        <f t="shared" si="85"/>
        <v>2024</v>
      </c>
      <c r="M664" t="b">
        <f t="shared" si="86"/>
        <v>0</v>
      </c>
      <c r="N664" t="b">
        <f t="shared" si="80"/>
        <v>0</v>
      </c>
      <c r="O664" t="str">
        <f t="shared" si="87"/>
        <v>Standard order</v>
      </c>
      <c r="P664" s="7">
        <f t="shared" si="81"/>
        <v>1.3295000000000001</v>
      </c>
      <c r="Q664" s="7" t="str">
        <f>VLOOKUP(D665,Product_Lookup!$A$2:$C$27,2,FALSE)</f>
        <v>Monitor</v>
      </c>
      <c r="R664" s="7">
        <f t="shared" si="82"/>
        <v>106.36</v>
      </c>
    </row>
    <row r="665" spans="1:18" ht="21.75" customHeight="1">
      <c r="A665" t="s">
        <v>816</v>
      </c>
      <c r="B665" s="6">
        <v>45523</v>
      </c>
      <c r="C665" t="s">
        <v>147</v>
      </c>
      <c r="D665" t="s">
        <v>102</v>
      </c>
      <c r="E665" t="s">
        <v>17</v>
      </c>
      <c r="F665" t="s">
        <v>42</v>
      </c>
      <c r="G665" t="s">
        <v>32</v>
      </c>
      <c r="H665">
        <v>3</v>
      </c>
      <c r="I665" t="str">
        <f>VLOOKUP(D665,Product_Lookup!$A$2:$C$27,3,FALSE)</f>
        <v>$145.48</v>
      </c>
      <c r="J665" t="str">
        <f t="shared" si="83"/>
        <v>Monday</v>
      </c>
      <c r="K665" s="10" t="str">
        <f t="shared" si="84"/>
        <v>August</v>
      </c>
      <c r="L665">
        <f t="shared" si="85"/>
        <v>2024</v>
      </c>
      <c r="M665" t="b">
        <f t="shared" si="86"/>
        <v>0</v>
      </c>
      <c r="N665" t="b">
        <f t="shared" si="80"/>
        <v>0</v>
      </c>
      <c r="O665" t="str">
        <f t="shared" si="87"/>
        <v>Standard order</v>
      </c>
      <c r="P665" s="7">
        <f t="shared" si="81"/>
        <v>7.274</v>
      </c>
      <c r="Q665" s="7" t="str">
        <f>VLOOKUP(D666,Product_Lookup!$A$2:$C$27,2,FALSE)</f>
        <v>Jeans</v>
      </c>
      <c r="R665" s="7">
        <f t="shared" si="82"/>
        <v>436.43999999999994</v>
      </c>
    </row>
    <row r="666" spans="1:18" ht="21.75" customHeight="1">
      <c r="A666" t="s">
        <v>817</v>
      </c>
      <c r="B666" s="6">
        <v>45652</v>
      </c>
      <c r="C666" t="s">
        <v>424</v>
      </c>
      <c r="D666" t="s">
        <v>65</v>
      </c>
      <c r="E666" t="s">
        <v>22</v>
      </c>
      <c r="F666" t="s">
        <v>12</v>
      </c>
      <c r="G666" t="s">
        <v>28</v>
      </c>
      <c r="H666">
        <v>11</v>
      </c>
      <c r="I666" t="str">
        <f>VLOOKUP(D666,Product_Lookup!$A$2:$C$27,3,FALSE)</f>
        <v>$33.22</v>
      </c>
      <c r="J666" t="str">
        <f t="shared" si="83"/>
        <v>Thursday</v>
      </c>
      <c r="K666" s="10" t="str">
        <f t="shared" si="84"/>
        <v>December</v>
      </c>
      <c r="L666">
        <f t="shared" si="85"/>
        <v>2024</v>
      </c>
      <c r="M666" t="b">
        <f t="shared" si="86"/>
        <v>0</v>
      </c>
      <c r="N666" t="b">
        <f t="shared" si="80"/>
        <v>0</v>
      </c>
      <c r="O666" t="str">
        <f t="shared" si="87"/>
        <v>Standard order</v>
      </c>
      <c r="P666" s="7">
        <f t="shared" si="81"/>
        <v>1.661</v>
      </c>
      <c r="Q666" s="7" t="str">
        <f>VLOOKUP(D667,Product_Lookup!$A$2:$C$27,2,FALSE)</f>
        <v>Board Game</v>
      </c>
      <c r="R666" s="7">
        <f t="shared" si="82"/>
        <v>365.41999999999996</v>
      </c>
    </row>
    <row r="667" spans="1:18" ht="21.75" customHeight="1">
      <c r="A667" t="s">
        <v>818</v>
      </c>
      <c r="B667" s="6">
        <v>45474</v>
      </c>
      <c r="C667" t="s">
        <v>106</v>
      </c>
      <c r="D667" t="s">
        <v>41</v>
      </c>
      <c r="E667" t="s">
        <v>22</v>
      </c>
      <c r="F667" t="s">
        <v>12</v>
      </c>
      <c r="G667" t="s">
        <v>28</v>
      </c>
      <c r="H667">
        <v>10</v>
      </c>
      <c r="I667" t="str">
        <f>VLOOKUP(D667,Product_Lookup!$A$2:$C$27,3,FALSE)</f>
        <v>$86.6</v>
      </c>
      <c r="J667" t="str">
        <f t="shared" si="83"/>
        <v>Monday</v>
      </c>
      <c r="K667" s="10" t="str">
        <f t="shared" si="84"/>
        <v>July</v>
      </c>
      <c r="L667">
        <f t="shared" si="85"/>
        <v>2024</v>
      </c>
      <c r="M667" t="b">
        <f t="shared" si="86"/>
        <v>0</v>
      </c>
      <c r="N667" t="b">
        <f t="shared" si="80"/>
        <v>1</v>
      </c>
      <c r="O667" t="str">
        <f t="shared" si="87"/>
        <v>Large Order</v>
      </c>
      <c r="P667" s="7">
        <f t="shared" si="81"/>
        <v>4.33</v>
      </c>
      <c r="Q667" s="7" t="str">
        <f>VLOOKUP(D668,Product_Lookup!$A$2:$C$27,2,FALSE)</f>
        <v>Lego Set</v>
      </c>
      <c r="R667" s="7">
        <f t="shared" si="82"/>
        <v>866</v>
      </c>
    </row>
    <row r="668" spans="1:18" ht="21.75" customHeight="1">
      <c r="A668" t="s">
        <v>819</v>
      </c>
      <c r="B668" s="6">
        <v>45307</v>
      </c>
      <c r="C668" t="s">
        <v>341</v>
      </c>
      <c r="D668" t="s">
        <v>84</v>
      </c>
      <c r="E668" t="s">
        <v>17</v>
      </c>
      <c r="F668" t="s">
        <v>306</v>
      </c>
      <c r="G668" t="s">
        <v>23</v>
      </c>
      <c r="H668">
        <v>18</v>
      </c>
      <c r="I668" t="str">
        <f>VLOOKUP(D668,Product_Lookup!$A$2:$C$27,3,FALSE)</f>
        <v>$130.07</v>
      </c>
      <c r="J668" t="str">
        <f t="shared" si="83"/>
        <v>Tuesday</v>
      </c>
      <c r="K668" s="10" t="str">
        <f t="shared" si="84"/>
        <v>January</v>
      </c>
      <c r="L668">
        <f t="shared" si="85"/>
        <v>2024</v>
      </c>
      <c r="M668" t="b">
        <f t="shared" si="86"/>
        <v>0</v>
      </c>
      <c r="N668" t="b">
        <f t="shared" si="80"/>
        <v>1</v>
      </c>
      <c r="O668" t="str">
        <f t="shared" si="87"/>
        <v>Large Order</v>
      </c>
      <c r="P668" s="7">
        <f t="shared" si="81"/>
        <v>6.5034999999999998</v>
      </c>
      <c r="Q668" s="7" t="str">
        <f>VLOOKUP(D669,Product_Lookup!$A$2:$C$27,2,FALSE)</f>
        <v>Smartphone</v>
      </c>
      <c r="R668" s="7">
        <f t="shared" si="82"/>
        <v>2341.2599999999998</v>
      </c>
    </row>
    <row r="669" spans="1:18" ht="21.75" customHeight="1">
      <c r="A669" t="s">
        <v>820</v>
      </c>
      <c r="B669" s="6">
        <v>45344</v>
      </c>
      <c r="C669" t="s">
        <v>99</v>
      </c>
      <c r="D669" t="s">
        <v>79</v>
      </c>
      <c r="E669" t="s">
        <v>11</v>
      </c>
      <c r="F669" t="s">
        <v>12</v>
      </c>
      <c r="G669" t="s">
        <v>23</v>
      </c>
      <c r="H669">
        <v>8</v>
      </c>
      <c r="I669" t="str">
        <f>VLOOKUP(D669,Product_Lookup!$A$2:$C$27,3,FALSE)</f>
        <v>$216.22</v>
      </c>
      <c r="J669" t="str">
        <f t="shared" si="83"/>
        <v>Thursday</v>
      </c>
      <c r="K669" s="10" t="str">
        <f t="shared" si="84"/>
        <v>February</v>
      </c>
      <c r="L669">
        <f t="shared" si="85"/>
        <v>2024</v>
      </c>
      <c r="M669" t="b">
        <f t="shared" si="86"/>
        <v>0</v>
      </c>
      <c r="N669" t="b">
        <f t="shared" si="80"/>
        <v>1</v>
      </c>
      <c r="O669" t="str">
        <f t="shared" si="87"/>
        <v>Large Order</v>
      </c>
      <c r="P669" s="7">
        <f t="shared" si="81"/>
        <v>10.811</v>
      </c>
      <c r="Q669" s="7" t="str">
        <f>VLOOKUP(D670,Product_Lookup!$A$2:$C$27,2,FALSE)</f>
        <v>Desk Lamp</v>
      </c>
      <c r="R669" s="7">
        <f t="shared" si="82"/>
        <v>1729.76</v>
      </c>
    </row>
    <row r="670" spans="1:18" ht="21.75" customHeight="1">
      <c r="A670" t="s">
        <v>821</v>
      </c>
      <c r="B670" s="6">
        <v>45482</v>
      </c>
      <c r="C670" t="s">
        <v>455</v>
      </c>
      <c r="D670" t="s">
        <v>59</v>
      </c>
      <c r="E670" t="s">
        <v>22</v>
      </c>
      <c r="F670" t="s">
        <v>12</v>
      </c>
      <c r="G670" t="s">
        <v>13</v>
      </c>
      <c r="H670">
        <v>19</v>
      </c>
      <c r="I670" t="str">
        <f>VLOOKUP(D670,Product_Lookup!$A$2:$C$27,3,FALSE)</f>
        <v>$101.96</v>
      </c>
      <c r="J670" t="str">
        <f t="shared" si="83"/>
        <v>Tuesday</v>
      </c>
      <c r="K670" s="10" t="str">
        <f t="shared" si="84"/>
        <v>July</v>
      </c>
      <c r="L670">
        <f t="shared" si="85"/>
        <v>2024</v>
      </c>
      <c r="M670" t="b">
        <f t="shared" si="86"/>
        <v>0</v>
      </c>
      <c r="N670" t="b">
        <f t="shared" si="80"/>
        <v>1</v>
      </c>
      <c r="O670" t="str">
        <f t="shared" si="87"/>
        <v>Large Order</v>
      </c>
      <c r="P670" s="7">
        <f t="shared" si="81"/>
        <v>5.0979999999999999</v>
      </c>
      <c r="Q670" s="7" t="str">
        <f>VLOOKUP(D671,Product_Lookup!$A$2:$C$27,2,FALSE)</f>
        <v>Headphones</v>
      </c>
      <c r="R670" s="7">
        <f t="shared" si="82"/>
        <v>1937.2399999999998</v>
      </c>
    </row>
    <row r="671" spans="1:18" ht="21.75" customHeight="1">
      <c r="A671" t="s">
        <v>822</v>
      </c>
      <c r="B671" s="6">
        <v>45303</v>
      </c>
      <c r="C671" t="s">
        <v>58</v>
      </c>
      <c r="D671" t="s">
        <v>16</v>
      </c>
      <c r="E671" t="s">
        <v>11</v>
      </c>
      <c r="F671" t="s">
        <v>27</v>
      </c>
      <c r="G671" t="s">
        <v>32</v>
      </c>
      <c r="H671">
        <v>3</v>
      </c>
      <c r="I671" t="str">
        <f>VLOOKUP(D671,Product_Lookup!$A$2:$C$27,3,FALSE)</f>
        <v>$178.83</v>
      </c>
      <c r="J671" t="str">
        <f t="shared" si="83"/>
        <v>Friday</v>
      </c>
      <c r="K671" s="10" t="str">
        <f t="shared" si="84"/>
        <v>January</v>
      </c>
      <c r="L671">
        <f t="shared" si="85"/>
        <v>2024</v>
      </c>
      <c r="M671" t="b">
        <f t="shared" si="86"/>
        <v>0</v>
      </c>
      <c r="N671" t="b">
        <f t="shared" si="80"/>
        <v>0</v>
      </c>
      <c r="O671" t="str">
        <f t="shared" si="87"/>
        <v>Large Order</v>
      </c>
      <c r="P671" s="7">
        <f t="shared" si="81"/>
        <v>8.9415000000000013</v>
      </c>
      <c r="Q671" s="7" t="str">
        <f>VLOOKUP(D672,Product_Lookup!$A$2:$C$27,2,FALSE)</f>
        <v>T-Shirt</v>
      </c>
      <c r="R671" s="7">
        <f t="shared" si="82"/>
        <v>536.49</v>
      </c>
    </row>
    <row r="672" spans="1:18" ht="21.75" customHeight="1">
      <c r="A672" t="s">
        <v>823</v>
      </c>
      <c r="B672" s="6">
        <v>45354</v>
      </c>
      <c r="C672" t="s">
        <v>116</v>
      </c>
      <c r="D672" t="s">
        <v>45</v>
      </c>
      <c r="E672" t="s">
        <v>17</v>
      </c>
      <c r="F672" t="s">
        <v>12</v>
      </c>
      <c r="G672" t="s">
        <v>23</v>
      </c>
      <c r="H672">
        <v>19</v>
      </c>
      <c r="I672" t="str">
        <f>VLOOKUP(D672,Product_Lookup!$A$2:$C$27,3,FALSE)</f>
        <v>$107.34</v>
      </c>
      <c r="J672" t="str">
        <f t="shared" si="83"/>
        <v>Sunday</v>
      </c>
      <c r="K672" s="10" t="str">
        <f t="shared" si="84"/>
        <v>March</v>
      </c>
      <c r="L672">
        <f t="shared" si="85"/>
        <v>2024</v>
      </c>
      <c r="M672" t="b">
        <f t="shared" si="86"/>
        <v>1</v>
      </c>
      <c r="N672" t="b">
        <f t="shared" si="80"/>
        <v>1</v>
      </c>
      <c r="O672" t="str">
        <f t="shared" si="87"/>
        <v>Large Order</v>
      </c>
      <c r="P672" s="7">
        <f t="shared" si="81"/>
        <v>5.3670000000000009</v>
      </c>
      <c r="Q672" s="7" t="str">
        <f>VLOOKUP(D673,Product_Lookup!$A$2:$C$27,2,FALSE)</f>
        <v>T-Shirt</v>
      </c>
      <c r="R672" s="7">
        <f t="shared" si="82"/>
        <v>2039.46</v>
      </c>
    </row>
    <row r="673" spans="1:18" ht="21.75" customHeight="1">
      <c r="A673" t="s">
        <v>824</v>
      </c>
      <c r="B673" s="6">
        <v>45546</v>
      </c>
      <c r="C673" t="s">
        <v>64</v>
      </c>
      <c r="D673" t="s">
        <v>45</v>
      </c>
      <c r="E673" t="s">
        <v>17</v>
      </c>
      <c r="F673" t="s">
        <v>27</v>
      </c>
      <c r="G673" t="s">
        <v>28</v>
      </c>
      <c r="H673">
        <v>12</v>
      </c>
      <c r="I673" t="str">
        <f>VLOOKUP(D673,Product_Lookup!$A$2:$C$27,3,FALSE)</f>
        <v>$107.34</v>
      </c>
      <c r="J673" t="str">
        <f t="shared" si="83"/>
        <v>Wednesday</v>
      </c>
      <c r="K673" s="10" t="str">
        <f t="shared" si="84"/>
        <v>September</v>
      </c>
      <c r="L673">
        <f t="shared" si="85"/>
        <v>2024</v>
      </c>
      <c r="M673" t="b">
        <f t="shared" si="86"/>
        <v>0</v>
      </c>
      <c r="N673" t="b">
        <f t="shared" si="80"/>
        <v>1</v>
      </c>
      <c r="O673" t="str">
        <f t="shared" si="87"/>
        <v>Large Order</v>
      </c>
      <c r="P673" s="7">
        <f t="shared" si="81"/>
        <v>5.3670000000000009</v>
      </c>
      <c r="Q673" s="7" t="str">
        <f>VLOOKUP(D674,Product_Lookup!$A$2:$C$27,2,FALSE)</f>
        <v>Smartphone</v>
      </c>
      <c r="R673" s="7">
        <f t="shared" si="82"/>
        <v>1288.08</v>
      </c>
    </row>
    <row r="674" spans="1:18" ht="21.75" customHeight="1">
      <c r="A674" t="s">
        <v>825</v>
      </c>
      <c r="B674" s="6">
        <v>45432</v>
      </c>
      <c r="C674" t="s">
        <v>89</v>
      </c>
      <c r="D674" t="s">
        <v>79</v>
      </c>
      <c r="E674" t="s">
        <v>17</v>
      </c>
      <c r="F674" t="s">
        <v>56</v>
      </c>
      <c r="G674" t="s">
        <v>28</v>
      </c>
      <c r="H674">
        <v>20</v>
      </c>
      <c r="I674" t="str">
        <f>VLOOKUP(D674,Product_Lookup!$A$2:$C$27,3,FALSE)</f>
        <v>$216.22</v>
      </c>
      <c r="J674" t="str">
        <f t="shared" si="83"/>
        <v>Monday</v>
      </c>
      <c r="K674" s="10" t="str">
        <f t="shared" si="84"/>
        <v>May</v>
      </c>
      <c r="L674">
        <f t="shared" si="85"/>
        <v>2024</v>
      </c>
      <c r="M674" t="b">
        <f t="shared" si="86"/>
        <v>0</v>
      </c>
      <c r="N674" t="b">
        <f t="shared" si="80"/>
        <v>1</v>
      </c>
      <c r="O674" t="str">
        <f t="shared" si="87"/>
        <v>Large Order</v>
      </c>
      <c r="P674" s="7">
        <f t="shared" si="81"/>
        <v>10.811</v>
      </c>
      <c r="Q674" s="7" t="str">
        <f>VLOOKUP(D675,Product_Lookup!$A$2:$C$27,2,FALSE)</f>
        <v>Pen Set</v>
      </c>
      <c r="R674" s="7">
        <f t="shared" si="82"/>
        <v>4324.3999999999996</v>
      </c>
    </row>
    <row r="675" spans="1:18" ht="21.75" customHeight="1">
      <c r="A675" t="s">
        <v>826</v>
      </c>
      <c r="B675" s="6">
        <v>45623</v>
      </c>
      <c r="C675" t="s">
        <v>61</v>
      </c>
      <c r="D675" t="s">
        <v>174</v>
      </c>
      <c r="E675" t="s">
        <v>17</v>
      </c>
      <c r="F675" t="s">
        <v>27</v>
      </c>
      <c r="G675" t="s">
        <v>32</v>
      </c>
      <c r="H675">
        <v>16</v>
      </c>
      <c r="I675" t="str">
        <f>VLOOKUP(D675,Product_Lookup!$A$2:$C$27,3,FALSE)</f>
        <v>$133.37</v>
      </c>
      <c r="J675" t="str">
        <f t="shared" si="83"/>
        <v>Wednesday</v>
      </c>
      <c r="K675" s="10" t="str">
        <f t="shared" si="84"/>
        <v>November</v>
      </c>
      <c r="L675">
        <f t="shared" si="85"/>
        <v>2024</v>
      </c>
      <c r="M675" t="b">
        <f t="shared" si="86"/>
        <v>0</v>
      </c>
      <c r="N675" t="b">
        <f t="shared" si="80"/>
        <v>1</v>
      </c>
      <c r="O675" t="str">
        <f t="shared" si="87"/>
        <v>Large Order</v>
      </c>
      <c r="P675" s="7">
        <f t="shared" si="81"/>
        <v>6.6685000000000008</v>
      </c>
      <c r="Q675" s="7" t="str">
        <f>VLOOKUP(D676,Product_Lookup!$A$2:$C$27,2,FALSE)</f>
        <v>Action Figure</v>
      </c>
      <c r="R675" s="7">
        <f t="shared" si="82"/>
        <v>2133.92</v>
      </c>
    </row>
    <row r="676" spans="1:18" ht="21.75" customHeight="1">
      <c r="A676" t="s">
        <v>827</v>
      </c>
      <c r="B676" s="6">
        <v>45488</v>
      </c>
      <c r="C676" t="s">
        <v>99</v>
      </c>
      <c r="D676" t="s">
        <v>21</v>
      </c>
      <c r="E676" t="s">
        <v>17</v>
      </c>
      <c r="F676" t="s">
        <v>56</v>
      </c>
      <c r="G676" t="s">
        <v>36</v>
      </c>
      <c r="H676">
        <v>17</v>
      </c>
      <c r="I676" t="str">
        <f>VLOOKUP(D676,Product_Lookup!$A$2:$C$27,3,FALSE)</f>
        <v>$88.18</v>
      </c>
      <c r="J676" t="str">
        <f t="shared" si="83"/>
        <v>Monday</v>
      </c>
      <c r="K676" s="10" t="str">
        <f t="shared" si="84"/>
        <v>July</v>
      </c>
      <c r="L676">
        <f t="shared" si="85"/>
        <v>2024</v>
      </c>
      <c r="M676" t="b">
        <f t="shared" si="86"/>
        <v>0</v>
      </c>
      <c r="N676" t="b">
        <f t="shared" si="80"/>
        <v>1</v>
      </c>
      <c r="O676" t="str">
        <f t="shared" si="87"/>
        <v>Large Order</v>
      </c>
      <c r="P676" s="7">
        <f t="shared" si="81"/>
        <v>4.4090000000000007</v>
      </c>
      <c r="Q676" s="7" t="str">
        <f>VLOOKUP(D677,Product_Lookup!$A$2:$C$27,2,FALSE)</f>
        <v>Stapler</v>
      </c>
      <c r="R676" s="7">
        <f t="shared" si="82"/>
        <v>1499.0600000000002</v>
      </c>
    </row>
    <row r="677" spans="1:18" ht="21.75" customHeight="1">
      <c r="A677" t="s">
        <v>828</v>
      </c>
      <c r="B677" s="6">
        <v>45301</v>
      </c>
      <c r="C677" t="s">
        <v>159</v>
      </c>
      <c r="D677" t="s">
        <v>35</v>
      </c>
      <c r="E677" t="s">
        <v>22</v>
      </c>
      <c r="F677" t="s">
        <v>42</v>
      </c>
      <c r="G677" t="s">
        <v>32</v>
      </c>
      <c r="H677">
        <v>18</v>
      </c>
      <c r="I677" t="str">
        <f>VLOOKUP(D677,Product_Lookup!$A$2:$C$27,3,FALSE)</f>
        <v>$64.61</v>
      </c>
      <c r="J677" t="str">
        <f t="shared" si="83"/>
        <v>Wednesday</v>
      </c>
      <c r="K677" s="10" t="str">
        <f t="shared" si="84"/>
        <v>January</v>
      </c>
      <c r="L677">
        <f t="shared" si="85"/>
        <v>2024</v>
      </c>
      <c r="M677" t="b">
        <f t="shared" si="86"/>
        <v>0</v>
      </c>
      <c r="N677" t="b">
        <f t="shared" si="80"/>
        <v>1</v>
      </c>
      <c r="O677" t="str">
        <f t="shared" si="87"/>
        <v>Large Order</v>
      </c>
      <c r="P677" s="7">
        <f t="shared" si="81"/>
        <v>3.2305000000000001</v>
      </c>
      <c r="Q677" s="7" t="str">
        <f>VLOOKUP(D678,Product_Lookup!$A$2:$C$27,2,FALSE)</f>
        <v>Sweater</v>
      </c>
      <c r="R677" s="7">
        <f t="shared" si="82"/>
        <v>1162.98</v>
      </c>
    </row>
    <row r="678" spans="1:18" ht="21.75" customHeight="1">
      <c r="A678" t="s">
        <v>829</v>
      </c>
      <c r="B678" s="6">
        <v>45581</v>
      </c>
      <c r="C678" t="s">
        <v>358</v>
      </c>
      <c r="D678" t="s">
        <v>26</v>
      </c>
      <c r="E678" t="s">
        <v>17</v>
      </c>
      <c r="F678" t="s">
        <v>27</v>
      </c>
      <c r="G678" t="s">
        <v>36</v>
      </c>
      <c r="H678">
        <v>6</v>
      </c>
      <c r="I678" t="str">
        <f>VLOOKUP(D678,Product_Lookup!$A$2:$C$27,3,FALSE)</f>
        <v>$84.57</v>
      </c>
      <c r="J678" t="str">
        <f t="shared" si="83"/>
        <v>Wednesday</v>
      </c>
      <c r="K678" s="10" t="str">
        <f t="shared" si="84"/>
        <v>October</v>
      </c>
      <c r="L678">
        <f t="shared" si="85"/>
        <v>2024</v>
      </c>
      <c r="M678" t="b">
        <f t="shared" si="86"/>
        <v>0</v>
      </c>
      <c r="N678" t="b">
        <f t="shared" si="80"/>
        <v>0</v>
      </c>
      <c r="O678" t="str">
        <f t="shared" si="87"/>
        <v>Large Order</v>
      </c>
      <c r="P678" s="7">
        <f t="shared" si="81"/>
        <v>4.2284999999999995</v>
      </c>
      <c r="Q678" s="7" t="str">
        <f>VLOOKUP(D679,Product_Lookup!$A$2:$C$27,2,FALSE)</f>
        <v>Stapler</v>
      </c>
      <c r="R678" s="7">
        <f t="shared" si="82"/>
        <v>507.41999999999996</v>
      </c>
    </row>
    <row r="679" spans="1:18" ht="21.75" customHeight="1">
      <c r="A679" t="s">
        <v>830</v>
      </c>
      <c r="B679" s="6">
        <v>45404</v>
      </c>
      <c r="C679" t="s">
        <v>64</v>
      </c>
      <c r="D679" t="s">
        <v>35</v>
      </c>
      <c r="E679" t="s">
        <v>17</v>
      </c>
      <c r="F679" t="s">
        <v>12</v>
      </c>
      <c r="G679" t="s">
        <v>36</v>
      </c>
      <c r="H679">
        <v>17</v>
      </c>
      <c r="I679" t="str">
        <f>VLOOKUP(D679,Product_Lookup!$A$2:$C$27,3,FALSE)</f>
        <v>$64.61</v>
      </c>
      <c r="J679" t="str">
        <f t="shared" si="83"/>
        <v>Monday</v>
      </c>
      <c r="K679" s="10" t="str">
        <f t="shared" si="84"/>
        <v>April</v>
      </c>
      <c r="L679">
        <f t="shared" si="85"/>
        <v>2024</v>
      </c>
      <c r="M679" t="b">
        <f t="shared" si="86"/>
        <v>0</v>
      </c>
      <c r="N679" t="b">
        <f t="shared" si="80"/>
        <v>1</v>
      </c>
      <c r="O679" t="str">
        <f t="shared" si="87"/>
        <v>Large Order</v>
      </c>
      <c r="P679" s="7">
        <f t="shared" si="81"/>
        <v>3.2305000000000001</v>
      </c>
      <c r="Q679" s="7" t="str">
        <f>VLOOKUP(D680,Product_Lookup!$A$2:$C$27,2,FALSE)</f>
        <v>Board Game</v>
      </c>
      <c r="R679" s="7">
        <f t="shared" si="82"/>
        <v>1098.3699999999999</v>
      </c>
    </row>
    <row r="680" spans="1:18" ht="21.75" customHeight="1">
      <c r="A680" t="s">
        <v>831</v>
      </c>
      <c r="B680" s="6">
        <v>45411</v>
      </c>
      <c r="C680" t="s">
        <v>111</v>
      </c>
      <c r="D680" t="s">
        <v>41</v>
      </c>
      <c r="E680" t="s">
        <v>11</v>
      </c>
      <c r="F680" t="s">
        <v>56</v>
      </c>
      <c r="G680" t="s">
        <v>13</v>
      </c>
      <c r="H680">
        <v>8</v>
      </c>
      <c r="I680" t="str">
        <f>VLOOKUP(D680,Product_Lookup!$A$2:$C$27,3,FALSE)</f>
        <v>$86.6</v>
      </c>
      <c r="J680" t="str">
        <f t="shared" si="83"/>
        <v>Monday</v>
      </c>
      <c r="K680" s="10" t="str">
        <f t="shared" si="84"/>
        <v>April</v>
      </c>
      <c r="L680">
        <f t="shared" si="85"/>
        <v>2024</v>
      </c>
      <c r="M680" t="b">
        <f t="shared" si="86"/>
        <v>0</v>
      </c>
      <c r="N680" t="b">
        <f t="shared" si="80"/>
        <v>0</v>
      </c>
      <c r="O680" t="str">
        <f t="shared" si="87"/>
        <v>Large Order</v>
      </c>
      <c r="P680" s="7">
        <f t="shared" si="81"/>
        <v>4.33</v>
      </c>
      <c r="Q680" s="7" t="str">
        <f>VLOOKUP(D681,Product_Lookup!$A$2:$C$27,2,FALSE)</f>
        <v>T-Shirt</v>
      </c>
      <c r="R680" s="7">
        <f t="shared" si="82"/>
        <v>692.8</v>
      </c>
    </row>
    <row r="681" spans="1:18" ht="21.75" customHeight="1">
      <c r="A681" t="s">
        <v>832</v>
      </c>
      <c r="B681" s="6">
        <v>45404</v>
      </c>
      <c r="C681" t="s">
        <v>314</v>
      </c>
      <c r="D681" t="s">
        <v>45</v>
      </c>
      <c r="E681" t="s">
        <v>17</v>
      </c>
      <c r="F681" t="s">
        <v>42</v>
      </c>
      <c r="G681" t="s">
        <v>32</v>
      </c>
      <c r="H681">
        <v>6</v>
      </c>
      <c r="I681" t="str">
        <f>VLOOKUP(D681,Product_Lookup!$A$2:$C$27,3,FALSE)</f>
        <v>$107.34</v>
      </c>
      <c r="J681" t="str">
        <f t="shared" si="83"/>
        <v>Monday</v>
      </c>
      <c r="K681" s="10" t="str">
        <f t="shared" si="84"/>
        <v>April</v>
      </c>
      <c r="L681">
        <f t="shared" si="85"/>
        <v>2024</v>
      </c>
      <c r="M681" t="b">
        <f t="shared" si="86"/>
        <v>0</v>
      </c>
      <c r="N681" t="b">
        <f t="shared" si="80"/>
        <v>0</v>
      </c>
      <c r="O681" t="str">
        <f t="shared" si="87"/>
        <v>Large Order</v>
      </c>
      <c r="P681" s="7">
        <f t="shared" si="81"/>
        <v>5.3670000000000009</v>
      </c>
      <c r="Q681" s="7" t="str">
        <f>VLOOKUP(D682,Product_Lookup!$A$2:$C$27,2,FALSE)</f>
        <v>Puzzle</v>
      </c>
      <c r="R681" s="7">
        <f t="shared" si="82"/>
        <v>644.04</v>
      </c>
    </row>
    <row r="682" spans="1:18" ht="21.75" customHeight="1">
      <c r="A682" t="s">
        <v>833</v>
      </c>
      <c r="B682" s="6">
        <v>45649</v>
      </c>
      <c r="C682" t="s">
        <v>182</v>
      </c>
      <c r="D682" t="s">
        <v>62</v>
      </c>
      <c r="E682" t="s">
        <v>22</v>
      </c>
      <c r="F682" t="s">
        <v>12</v>
      </c>
      <c r="G682" t="s">
        <v>36</v>
      </c>
      <c r="H682">
        <v>12</v>
      </c>
      <c r="I682" t="str">
        <f>VLOOKUP(D682,Product_Lookup!$A$2:$C$27,3,FALSE)</f>
        <v>$46.19</v>
      </c>
      <c r="J682" t="str">
        <f t="shared" si="83"/>
        <v>Monday</v>
      </c>
      <c r="K682" s="10" t="str">
        <f t="shared" si="84"/>
        <v>December</v>
      </c>
      <c r="L682">
        <f t="shared" si="85"/>
        <v>2024</v>
      </c>
      <c r="M682" t="b">
        <f t="shared" si="86"/>
        <v>0</v>
      </c>
      <c r="N682" t="b">
        <f t="shared" si="80"/>
        <v>0</v>
      </c>
      <c r="O682" t="str">
        <f t="shared" si="87"/>
        <v>Large Order</v>
      </c>
      <c r="P682" s="7">
        <f t="shared" si="81"/>
        <v>2.3094999999999999</v>
      </c>
      <c r="Q682" s="7" t="str">
        <f>VLOOKUP(D683,Product_Lookup!$A$2:$C$27,2,FALSE)</f>
        <v>Pen Set</v>
      </c>
      <c r="R682" s="7">
        <f t="shared" si="82"/>
        <v>554.28</v>
      </c>
    </row>
    <row r="683" spans="1:18" ht="21.75" customHeight="1">
      <c r="A683" t="s">
        <v>834</v>
      </c>
      <c r="B683" s="6">
        <v>45364</v>
      </c>
      <c r="C683" t="s">
        <v>614</v>
      </c>
      <c r="D683" t="s">
        <v>174</v>
      </c>
      <c r="E683" t="s">
        <v>11</v>
      </c>
      <c r="F683" t="s">
        <v>27</v>
      </c>
      <c r="G683" t="s">
        <v>13</v>
      </c>
      <c r="H683">
        <v>10</v>
      </c>
      <c r="I683" t="str">
        <f>VLOOKUP(D683,Product_Lookup!$A$2:$C$27,3,FALSE)</f>
        <v>$133.37</v>
      </c>
      <c r="J683" t="str">
        <f t="shared" si="83"/>
        <v>Wednesday</v>
      </c>
      <c r="K683" s="10" t="str">
        <f t="shared" si="84"/>
        <v>March</v>
      </c>
      <c r="L683">
        <f t="shared" si="85"/>
        <v>2024</v>
      </c>
      <c r="M683" t="b">
        <f t="shared" si="86"/>
        <v>0</v>
      </c>
      <c r="N683" t="b">
        <f t="shared" si="80"/>
        <v>1</v>
      </c>
      <c r="O683" t="str">
        <f t="shared" si="87"/>
        <v>Large Order</v>
      </c>
      <c r="P683" s="7">
        <f t="shared" si="81"/>
        <v>6.6685000000000008</v>
      </c>
      <c r="Q683" s="7" t="str">
        <f>VLOOKUP(D684,Product_Lookup!$A$2:$C$27,2,FALSE)</f>
        <v>Jacket</v>
      </c>
      <c r="R683" s="7">
        <f t="shared" si="82"/>
        <v>1333.7</v>
      </c>
    </row>
    <row r="684" spans="1:18" ht="21.75" customHeight="1">
      <c r="A684" t="s">
        <v>835</v>
      </c>
      <c r="B684" s="6">
        <v>45338</v>
      </c>
      <c r="C684" t="s">
        <v>131</v>
      </c>
      <c r="D684" t="s">
        <v>197</v>
      </c>
      <c r="E684" t="s">
        <v>11</v>
      </c>
      <c r="F684" t="s">
        <v>306</v>
      </c>
      <c r="G684" t="s">
        <v>13</v>
      </c>
      <c r="H684">
        <v>1</v>
      </c>
      <c r="I684" t="str">
        <f>VLOOKUP(D684,Product_Lookup!$A$2:$C$27,3,FALSE)</f>
        <v>$10.11</v>
      </c>
      <c r="J684" t="str">
        <f t="shared" si="83"/>
        <v>Friday</v>
      </c>
      <c r="K684" s="10" t="str">
        <f t="shared" si="84"/>
        <v>February</v>
      </c>
      <c r="L684">
        <f t="shared" si="85"/>
        <v>2024</v>
      </c>
      <c r="M684" t="b">
        <f t="shared" si="86"/>
        <v>0</v>
      </c>
      <c r="N684" t="b">
        <f t="shared" si="80"/>
        <v>0</v>
      </c>
      <c r="O684" t="str">
        <f t="shared" si="87"/>
        <v>Standard order</v>
      </c>
      <c r="P684" s="7">
        <f t="shared" si="81"/>
        <v>0.50549999999999995</v>
      </c>
      <c r="Q684" s="7" t="str">
        <f>VLOOKUP(D685,Product_Lookup!$A$2:$C$27,2,FALSE)</f>
        <v>Blender</v>
      </c>
      <c r="R684" s="7">
        <f t="shared" si="82"/>
        <v>10.11</v>
      </c>
    </row>
    <row r="685" spans="1:18" ht="21.75" customHeight="1">
      <c r="A685" t="s">
        <v>836</v>
      </c>
      <c r="B685" s="6">
        <v>45461</v>
      </c>
      <c r="C685" t="s">
        <v>594</v>
      </c>
      <c r="D685" t="s">
        <v>72</v>
      </c>
      <c r="E685" t="s">
        <v>11</v>
      </c>
      <c r="F685" t="s">
        <v>56</v>
      </c>
      <c r="G685" t="s">
        <v>32</v>
      </c>
      <c r="H685">
        <v>6</v>
      </c>
      <c r="I685" t="str">
        <f>VLOOKUP(D685,Product_Lookup!$A$2:$C$27,3,FALSE)</f>
        <v>$156.44</v>
      </c>
      <c r="J685" t="str">
        <f t="shared" si="83"/>
        <v>Tuesday</v>
      </c>
      <c r="K685" s="10" t="str">
        <f t="shared" si="84"/>
        <v>June</v>
      </c>
      <c r="L685">
        <f t="shared" si="85"/>
        <v>2024</v>
      </c>
      <c r="M685" t="b">
        <f t="shared" si="86"/>
        <v>0</v>
      </c>
      <c r="N685" t="b">
        <f t="shared" si="80"/>
        <v>1</v>
      </c>
      <c r="O685" t="str">
        <f t="shared" si="87"/>
        <v>Large Order</v>
      </c>
      <c r="P685" s="7">
        <f t="shared" si="81"/>
        <v>7.8220000000000001</v>
      </c>
      <c r="Q685" s="7" t="str">
        <f>VLOOKUP(D686,Product_Lookup!$A$2:$C$27,2,FALSE)</f>
        <v>Puzzle</v>
      </c>
      <c r="R685" s="7">
        <f t="shared" si="82"/>
        <v>938.64</v>
      </c>
    </row>
    <row r="686" spans="1:18" ht="21.75" customHeight="1">
      <c r="A686" t="s">
        <v>837</v>
      </c>
      <c r="B686" s="6">
        <v>45322</v>
      </c>
      <c r="C686" t="s">
        <v>138</v>
      </c>
      <c r="D686" t="s">
        <v>62</v>
      </c>
      <c r="E686" t="s">
        <v>11</v>
      </c>
      <c r="F686" t="s">
        <v>306</v>
      </c>
      <c r="G686" t="s">
        <v>36</v>
      </c>
      <c r="H686">
        <v>5</v>
      </c>
      <c r="I686" t="str">
        <f>VLOOKUP(D686,Product_Lookup!$A$2:$C$27,3,FALSE)</f>
        <v>$46.19</v>
      </c>
      <c r="J686" t="str">
        <f t="shared" si="83"/>
        <v>Wednesday</v>
      </c>
      <c r="K686" s="10" t="str">
        <f t="shared" si="84"/>
        <v>January</v>
      </c>
      <c r="L686">
        <f t="shared" si="85"/>
        <v>2024</v>
      </c>
      <c r="M686" t="b">
        <f t="shared" si="86"/>
        <v>0</v>
      </c>
      <c r="N686" t="b">
        <f t="shared" si="80"/>
        <v>0</v>
      </c>
      <c r="O686" t="str">
        <f t="shared" si="87"/>
        <v>Standard order</v>
      </c>
      <c r="P686" s="7">
        <f t="shared" si="81"/>
        <v>2.3094999999999999</v>
      </c>
      <c r="Q686" s="7" t="str">
        <f>VLOOKUP(D687,Product_Lookup!$A$2:$C$27,2,FALSE)</f>
        <v>Desk Lamp</v>
      </c>
      <c r="R686" s="7">
        <f t="shared" si="82"/>
        <v>230.95</v>
      </c>
    </row>
    <row r="687" spans="1:18" ht="21.75" customHeight="1">
      <c r="A687" t="s">
        <v>838</v>
      </c>
      <c r="B687" s="6">
        <v>45478</v>
      </c>
      <c r="C687" t="s">
        <v>208</v>
      </c>
      <c r="D687" t="s">
        <v>59</v>
      </c>
      <c r="E687" t="s">
        <v>17</v>
      </c>
      <c r="F687" t="s">
        <v>27</v>
      </c>
      <c r="G687" t="s">
        <v>32</v>
      </c>
      <c r="H687">
        <v>4</v>
      </c>
      <c r="I687" t="str">
        <f>VLOOKUP(D687,Product_Lookup!$A$2:$C$27,3,FALSE)</f>
        <v>$101.96</v>
      </c>
      <c r="J687" t="str">
        <f t="shared" si="83"/>
        <v>Friday</v>
      </c>
      <c r="K687" s="10" t="str">
        <f t="shared" si="84"/>
        <v>July</v>
      </c>
      <c r="L687">
        <f t="shared" si="85"/>
        <v>2024</v>
      </c>
      <c r="M687" t="b">
        <f t="shared" si="86"/>
        <v>0</v>
      </c>
      <c r="N687" t="b">
        <f t="shared" si="80"/>
        <v>0</v>
      </c>
      <c r="O687" t="str">
        <f t="shared" si="87"/>
        <v>Standard order</v>
      </c>
      <c r="P687" s="7">
        <f t="shared" si="81"/>
        <v>5.0979999999999999</v>
      </c>
      <c r="Q687" s="7" t="str">
        <f>VLOOKUP(D688,Product_Lookup!$A$2:$C$27,2,FALSE)</f>
        <v>Action Figure</v>
      </c>
      <c r="R687" s="7">
        <f t="shared" si="82"/>
        <v>407.84</v>
      </c>
    </row>
    <row r="688" spans="1:18" ht="21.75" customHeight="1">
      <c r="A688" t="s">
        <v>839</v>
      </c>
      <c r="B688" s="6">
        <v>45361</v>
      </c>
      <c r="C688" t="s">
        <v>111</v>
      </c>
      <c r="D688" t="s">
        <v>21</v>
      </c>
      <c r="E688" t="s">
        <v>22</v>
      </c>
      <c r="F688" t="s">
        <v>27</v>
      </c>
      <c r="G688" t="s">
        <v>28</v>
      </c>
      <c r="H688">
        <v>16</v>
      </c>
      <c r="I688" t="str">
        <f>VLOOKUP(D688,Product_Lookup!$A$2:$C$27,3,FALSE)</f>
        <v>$88.18</v>
      </c>
      <c r="J688" t="str">
        <f t="shared" si="83"/>
        <v>Sunday</v>
      </c>
      <c r="K688" s="10" t="str">
        <f t="shared" si="84"/>
        <v>March</v>
      </c>
      <c r="L688">
        <f t="shared" si="85"/>
        <v>2024</v>
      </c>
      <c r="M688" t="b">
        <f t="shared" si="86"/>
        <v>1</v>
      </c>
      <c r="N688" t="b">
        <f t="shared" si="80"/>
        <v>1</v>
      </c>
      <c r="O688" t="str">
        <f t="shared" si="87"/>
        <v>Large Order</v>
      </c>
      <c r="P688" s="7">
        <f t="shared" si="81"/>
        <v>4.4090000000000007</v>
      </c>
      <c r="Q688" s="7" t="str">
        <f>VLOOKUP(D689,Product_Lookup!$A$2:$C$27,2,FALSE)</f>
        <v>Toaster</v>
      </c>
      <c r="R688" s="7">
        <f t="shared" si="82"/>
        <v>1410.88</v>
      </c>
    </row>
    <row r="689" spans="1:18" ht="21.75" customHeight="1">
      <c r="A689" t="s">
        <v>840</v>
      </c>
      <c r="B689" s="6">
        <v>45654</v>
      </c>
      <c r="C689" t="s">
        <v>642</v>
      </c>
      <c r="D689" t="s">
        <v>48</v>
      </c>
      <c r="E689" t="s">
        <v>22</v>
      </c>
      <c r="F689" t="s">
        <v>306</v>
      </c>
      <c r="G689" t="s">
        <v>28</v>
      </c>
      <c r="H689">
        <v>8</v>
      </c>
      <c r="I689" t="str">
        <f>VLOOKUP(D689,Product_Lookup!$A$2:$C$27,3,FALSE)</f>
        <v>$208.85</v>
      </c>
      <c r="J689" t="str">
        <f t="shared" si="83"/>
        <v>Saturday</v>
      </c>
      <c r="K689" s="10" t="str">
        <f t="shared" si="84"/>
        <v>December</v>
      </c>
      <c r="L689">
        <f t="shared" si="85"/>
        <v>2024</v>
      </c>
      <c r="M689" t="b">
        <f t="shared" si="86"/>
        <v>1</v>
      </c>
      <c r="N689" t="b">
        <f t="shared" si="80"/>
        <v>1</v>
      </c>
      <c r="O689" t="str">
        <f t="shared" si="87"/>
        <v>Large Order</v>
      </c>
      <c r="P689" s="7">
        <f t="shared" si="81"/>
        <v>10.442500000000001</v>
      </c>
      <c r="Q689" s="7" t="str">
        <f>VLOOKUP(D690,Product_Lookup!$A$2:$C$27,2,FALSE)</f>
        <v>Headphones</v>
      </c>
      <c r="R689" s="7">
        <f t="shared" si="82"/>
        <v>1670.8</v>
      </c>
    </row>
    <row r="690" spans="1:18" ht="21.75" customHeight="1">
      <c r="A690" t="s">
        <v>841</v>
      </c>
      <c r="B690" s="6">
        <v>45485</v>
      </c>
      <c r="C690" t="s">
        <v>147</v>
      </c>
      <c r="D690" t="s">
        <v>16</v>
      </c>
      <c r="E690" t="s">
        <v>22</v>
      </c>
      <c r="F690" t="s">
        <v>42</v>
      </c>
      <c r="G690" t="s">
        <v>36</v>
      </c>
      <c r="H690">
        <v>6</v>
      </c>
      <c r="I690" t="str">
        <f>VLOOKUP(D690,Product_Lookup!$A$2:$C$27,3,FALSE)</f>
        <v>$178.83</v>
      </c>
      <c r="J690" t="str">
        <f t="shared" si="83"/>
        <v>Friday</v>
      </c>
      <c r="K690" s="10" t="str">
        <f t="shared" si="84"/>
        <v>July</v>
      </c>
      <c r="L690">
        <f t="shared" si="85"/>
        <v>2024</v>
      </c>
      <c r="M690" t="b">
        <f t="shared" si="86"/>
        <v>0</v>
      </c>
      <c r="N690" t="b">
        <f t="shared" si="80"/>
        <v>1</v>
      </c>
      <c r="O690" t="str">
        <f t="shared" si="87"/>
        <v>Large Order</v>
      </c>
      <c r="P690" s="7">
        <f t="shared" si="81"/>
        <v>8.9415000000000013</v>
      </c>
      <c r="Q690" s="7" t="str">
        <f>VLOOKUP(D691,Product_Lookup!$A$2:$C$27,2,FALSE)</f>
        <v>T-Shirt</v>
      </c>
      <c r="R690" s="7">
        <f t="shared" si="82"/>
        <v>1072.98</v>
      </c>
    </row>
    <row r="691" spans="1:18" ht="21.75" customHeight="1">
      <c r="A691" t="s">
        <v>842</v>
      </c>
      <c r="B691" s="6">
        <v>45492</v>
      </c>
      <c r="C691" t="s">
        <v>337</v>
      </c>
      <c r="D691" t="s">
        <v>45</v>
      </c>
      <c r="E691" t="s">
        <v>22</v>
      </c>
      <c r="F691" t="s">
        <v>12</v>
      </c>
      <c r="G691" t="s">
        <v>36</v>
      </c>
      <c r="H691">
        <v>20</v>
      </c>
      <c r="I691" t="str">
        <f>VLOOKUP(D691,Product_Lookup!$A$2:$C$27,3,FALSE)</f>
        <v>$107.34</v>
      </c>
      <c r="J691" t="str">
        <f t="shared" si="83"/>
        <v>Friday</v>
      </c>
      <c r="K691" s="10" t="str">
        <f t="shared" si="84"/>
        <v>July</v>
      </c>
      <c r="L691">
        <f t="shared" si="85"/>
        <v>2024</v>
      </c>
      <c r="M691" t="b">
        <f t="shared" si="86"/>
        <v>0</v>
      </c>
      <c r="N691" t="b">
        <f t="shared" si="80"/>
        <v>1</v>
      </c>
      <c r="O691" t="str">
        <f t="shared" si="87"/>
        <v>Large Order</v>
      </c>
      <c r="P691" s="7">
        <f t="shared" si="81"/>
        <v>5.3670000000000009</v>
      </c>
      <c r="Q691" s="7" t="str">
        <f>VLOOKUP(D692,Product_Lookup!$A$2:$C$27,2,FALSE)</f>
        <v>Stapler</v>
      </c>
      <c r="R691" s="7">
        <f t="shared" si="82"/>
        <v>2146.8000000000002</v>
      </c>
    </row>
    <row r="692" spans="1:18" ht="21.75" customHeight="1">
      <c r="A692" t="s">
        <v>843</v>
      </c>
      <c r="B692" s="6">
        <v>45405</v>
      </c>
      <c r="C692" t="s">
        <v>541</v>
      </c>
      <c r="D692" t="s">
        <v>35</v>
      </c>
      <c r="E692" t="s">
        <v>22</v>
      </c>
      <c r="F692" t="s">
        <v>12</v>
      </c>
      <c r="G692" t="s">
        <v>13</v>
      </c>
      <c r="H692">
        <v>5</v>
      </c>
      <c r="I692" t="str">
        <f>VLOOKUP(D692,Product_Lookup!$A$2:$C$27,3,FALSE)</f>
        <v>$64.61</v>
      </c>
      <c r="J692" t="str">
        <f t="shared" si="83"/>
        <v>Tuesday</v>
      </c>
      <c r="K692" s="10" t="str">
        <f t="shared" si="84"/>
        <v>April</v>
      </c>
      <c r="L692">
        <f t="shared" si="85"/>
        <v>2024</v>
      </c>
      <c r="M692" t="b">
        <f t="shared" si="86"/>
        <v>0</v>
      </c>
      <c r="N692" t="b">
        <f t="shared" si="80"/>
        <v>0</v>
      </c>
      <c r="O692" t="str">
        <f t="shared" si="87"/>
        <v>Standard order</v>
      </c>
      <c r="P692" s="7">
        <f t="shared" si="81"/>
        <v>3.2305000000000001</v>
      </c>
      <c r="Q692" s="7" t="str">
        <f>VLOOKUP(D693,Product_Lookup!$A$2:$C$27,2,FALSE)</f>
        <v>Action Figure</v>
      </c>
      <c r="R692" s="7">
        <f t="shared" si="82"/>
        <v>323.05</v>
      </c>
    </row>
    <row r="693" spans="1:18" ht="21.75" customHeight="1">
      <c r="A693" t="s">
        <v>844</v>
      </c>
      <c r="B693" s="6">
        <v>45413</v>
      </c>
      <c r="C693" t="s">
        <v>20</v>
      </c>
      <c r="D693" t="s">
        <v>21</v>
      </c>
      <c r="E693" t="s">
        <v>17</v>
      </c>
      <c r="F693" t="s">
        <v>56</v>
      </c>
      <c r="G693" t="s">
        <v>32</v>
      </c>
      <c r="H693">
        <v>3</v>
      </c>
      <c r="I693" t="str">
        <f>VLOOKUP(D693,Product_Lookup!$A$2:$C$27,3,FALSE)</f>
        <v>$88.18</v>
      </c>
      <c r="J693" t="str">
        <f t="shared" si="83"/>
        <v>Wednesday</v>
      </c>
      <c r="K693" s="10" t="str">
        <f t="shared" si="84"/>
        <v>May</v>
      </c>
      <c r="L693">
        <f t="shared" si="85"/>
        <v>2024</v>
      </c>
      <c r="M693" t="b">
        <f t="shared" si="86"/>
        <v>0</v>
      </c>
      <c r="N693" t="b">
        <f t="shared" si="80"/>
        <v>0</v>
      </c>
      <c r="O693" t="str">
        <f t="shared" si="87"/>
        <v>Standard order</v>
      </c>
      <c r="P693" s="7">
        <f t="shared" si="81"/>
        <v>4.4090000000000007</v>
      </c>
      <c r="Q693" s="7" t="str">
        <f>VLOOKUP(D694,Product_Lookup!$A$2:$C$27,2,FALSE)</f>
        <v>Jacket</v>
      </c>
      <c r="R693" s="7">
        <f t="shared" si="82"/>
        <v>264.54000000000002</v>
      </c>
    </row>
    <row r="694" spans="1:18" ht="21.75" customHeight="1">
      <c r="A694" t="s">
        <v>845</v>
      </c>
      <c r="B694" s="6">
        <v>45520</v>
      </c>
      <c r="C694" t="s">
        <v>142</v>
      </c>
      <c r="D694" t="s">
        <v>197</v>
      </c>
      <c r="E694" t="s">
        <v>17</v>
      </c>
      <c r="F694" t="s">
        <v>56</v>
      </c>
      <c r="G694" t="s">
        <v>13</v>
      </c>
      <c r="H694">
        <v>3</v>
      </c>
      <c r="I694" t="str">
        <f>VLOOKUP(D694,Product_Lookup!$A$2:$C$27,3,FALSE)</f>
        <v>$10.11</v>
      </c>
      <c r="J694" t="str">
        <f t="shared" si="83"/>
        <v>Friday</v>
      </c>
      <c r="K694" s="10" t="str">
        <f t="shared" si="84"/>
        <v>August</v>
      </c>
      <c r="L694">
        <f t="shared" si="85"/>
        <v>2024</v>
      </c>
      <c r="M694" t="b">
        <f t="shared" si="86"/>
        <v>0</v>
      </c>
      <c r="N694" t="b">
        <f t="shared" si="80"/>
        <v>0</v>
      </c>
      <c r="O694" t="str">
        <f t="shared" si="87"/>
        <v>Standard order</v>
      </c>
      <c r="P694" s="7">
        <f t="shared" si="81"/>
        <v>0.50549999999999995</v>
      </c>
      <c r="Q694" s="7" t="str">
        <f>VLOOKUP(D695,Product_Lookup!$A$2:$C$27,2,FALSE)</f>
        <v>Lego Set</v>
      </c>
      <c r="R694" s="7">
        <f t="shared" si="82"/>
        <v>30.33</v>
      </c>
    </row>
    <row r="695" spans="1:18" ht="21.75" customHeight="1">
      <c r="A695" t="s">
        <v>846</v>
      </c>
      <c r="B695" s="6">
        <v>45292</v>
      </c>
      <c r="C695" t="s">
        <v>9</v>
      </c>
      <c r="D695" t="s">
        <v>84</v>
      </c>
      <c r="E695" t="s">
        <v>17</v>
      </c>
      <c r="F695" t="s">
        <v>27</v>
      </c>
      <c r="G695" t="s">
        <v>23</v>
      </c>
      <c r="H695">
        <v>14</v>
      </c>
      <c r="I695" t="str">
        <f>VLOOKUP(D695,Product_Lookup!$A$2:$C$27,3,FALSE)</f>
        <v>$130.07</v>
      </c>
      <c r="J695" t="str">
        <f t="shared" si="83"/>
        <v>Monday</v>
      </c>
      <c r="K695" s="10" t="str">
        <f t="shared" si="84"/>
        <v>January</v>
      </c>
      <c r="L695">
        <f t="shared" si="85"/>
        <v>2024</v>
      </c>
      <c r="M695" t="b">
        <f t="shared" si="86"/>
        <v>0</v>
      </c>
      <c r="N695" t="b">
        <f t="shared" si="80"/>
        <v>1</v>
      </c>
      <c r="O695" t="str">
        <f t="shared" si="87"/>
        <v>Large Order</v>
      </c>
      <c r="P695" s="7">
        <f t="shared" si="81"/>
        <v>6.5034999999999998</v>
      </c>
      <c r="Q695" s="7" t="str">
        <f>VLOOKUP(D696,Product_Lookup!$A$2:$C$27,2,FALSE)</f>
        <v>Coffee Maker</v>
      </c>
      <c r="R695" s="7">
        <f t="shared" si="82"/>
        <v>1820.98</v>
      </c>
    </row>
    <row r="696" spans="1:18" ht="21.75" customHeight="1">
      <c r="A696" t="s">
        <v>847</v>
      </c>
      <c r="B696" s="6">
        <v>45544</v>
      </c>
      <c r="C696" t="s">
        <v>159</v>
      </c>
      <c r="D696" t="s">
        <v>31</v>
      </c>
      <c r="E696" t="s">
        <v>17</v>
      </c>
      <c r="F696" t="s">
        <v>306</v>
      </c>
      <c r="G696" t="s">
        <v>36</v>
      </c>
      <c r="H696">
        <v>4</v>
      </c>
      <c r="I696" t="str">
        <f>VLOOKUP(D696,Product_Lookup!$A$2:$C$27,3,FALSE)</f>
        <v>$230.34</v>
      </c>
      <c r="J696" t="str">
        <f t="shared" si="83"/>
        <v>Monday</v>
      </c>
      <c r="K696" s="10" t="str">
        <f t="shared" si="84"/>
        <v>September</v>
      </c>
      <c r="L696">
        <f t="shared" si="85"/>
        <v>2024</v>
      </c>
      <c r="M696" t="b">
        <f t="shared" si="86"/>
        <v>0</v>
      </c>
      <c r="N696" t="b">
        <f t="shared" si="80"/>
        <v>0</v>
      </c>
      <c r="O696" t="str">
        <f t="shared" si="87"/>
        <v>Large Order</v>
      </c>
      <c r="P696" s="7">
        <f t="shared" si="81"/>
        <v>11.517000000000001</v>
      </c>
      <c r="Q696" s="7" t="str">
        <f>VLOOKUP(D697,Product_Lookup!$A$2:$C$27,2,FALSE)</f>
        <v>T-Shirt</v>
      </c>
      <c r="R696" s="7">
        <f t="shared" si="82"/>
        <v>921.36</v>
      </c>
    </row>
    <row r="697" spans="1:18" ht="21.75" customHeight="1">
      <c r="A697" t="s">
        <v>848</v>
      </c>
      <c r="B697" s="6">
        <v>45625</v>
      </c>
      <c r="C697" t="s">
        <v>332</v>
      </c>
      <c r="D697" t="s">
        <v>45</v>
      </c>
      <c r="E697" t="s">
        <v>22</v>
      </c>
      <c r="F697" t="s">
        <v>56</v>
      </c>
      <c r="G697" t="s">
        <v>13</v>
      </c>
      <c r="H697">
        <v>15</v>
      </c>
      <c r="I697" t="str">
        <f>VLOOKUP(D697,Product_Lookup!$A$2:$C$27,3,FALSE)</f>
        <v>$107.34</v>
      </c>
      <c r="J697" t="str">
        <f t="shared" si="83"/>
        <v>Friday</v>
      </c>
      <c r="K697" s="10" t="str">
        <f t="shared" si="84"/>
        <v>November</v>
      </c>
      <c r="L697">
        <f t="shared" si="85"/>
        <v>2024</v>
      </c>
      <c r="M697" t="b">
        <f t="shared" si="86"/>
        <v>0</v>
      </c>
      <c r="N697" t="b">
        <f t="shared" si="80"/>
        <v>1</v>
      </c>
      <c r="O697" t="str">
        <f t="shared" si="87"/>
        <v>Large Order</v>
      </c>
      <c r="P697" s="7">
        <f t="shared" si="81"/>
        <v>5.3670000000000009</v>
      </c>
      <c r="Q697" s="7" t="str">
        <f>VLOOKUP(D698,Product_Lookup!$A$2:$C$27,2,FALSE)</f>
        <v>Monitor</v>
      </c>
      <c r="R697" s="7">
        <f t="shared" si="82"/>
        <v>1610.1000000000001</v>
      </c>
    </row>
    <row r="698" spans="1:18" ht="21.75" customHeight="1">
      <c r="A698" t="s">
        <v>849</v>
      </c>
      <c r="B698" s="6">
        <v>45442</v>
      </c>
      <c r="C698" t="s">
        <v>138</v>
      </c>
      <c r="D698" t="s">
        <v>102</v>
      </c>
      <c r="E698" t="s">
        <v>17</v>
      </c>
      <c r="F698" t="s">
        <v>42</v>
      </c>
      <c r="G698" t="s">
        <v>23</v>
      </c>
      <c r="H698">
        <v>3</v>
      </c>
      <c r="I698" t="str">
        <f>VLOOKUP(D698,Product_Lookup!$A$2:$C$27,3,FALSE)</f>
        <v>$145.48</v>
      </c>
      <c r="J698" t="str">
        <f t="shared" si="83"/>
        <v>Thursday</v>
      </c>
      <c r="K698" s="10" t="str">
        <f t="shared" si="84"/>
        <v>May</v>
      </c>
      <c r="L698">
        <f t="shared" si="85"/>
        <v>2024</v>
      </c>
      <c r="M698" t="b">
        <f t="shared" si="86"/>
        <v>0</v>
      </c>
      <c r="N698" t="b">
        <f t="shared" si="80"/>
        <v>0</v>
      </c>
      <c r="O698" t="str">
        <f t="shared" si="87"/>
        <v>Standard order</v>
      </c>
      <c r="P698" s="7">
        <f t="shared" si="81"/>
        <v>7.274</v>
      </c>
      <c r="Q698" s="7" t="str">
        <f>VLOOKUP(D699,Product_Lookup!$A$2:$C$27,2,FALSE)</f>
        <v>Tablet</v>
      </c>
      <c r="R698" s="7">
        <f t="shared" si="82"/>
        <v>436.43999999999994</v>
      </c>
    </row>
    <row r="699" spans="1:18" ht="21.75" customHeight="1">
      <c r="A699" t="s">
        <v>850</v>
      </c>
      <c r="B699" s="6">
        <v>45374</v>
      </c>
      <c r="C699" t="s">
        <v>388</v>
      </c>
      <c r="D699" t="s">
        <v>10</v>
      </c>
      <c r="E699" t="s">
        <v>11</v>
      </c>
      <c r="F699" t="s">
        <v>306</v>
      </c>
      <c r="G699" t="s">
        <v>36</v>
      </c>
      <c r="H699">
        <v>11</v>
      </c>
      <c r="I699" t="str">
        <f>VLOOKUP(D699,Product_Lookup!$A$2:$C$27,3,FALSE)</f>
        <v>$146.06</v>
      </c>
      <c r="J699" t="str">
        <f t="shared" si="83"/>
        <v>Saturday</v>
      </c>
      <c r="K699" s="10" t="str">
        <f t="shared" si="84"/>
        <v>March</v>
      </c>
      <c r="L699">
        <f t="shared" si="85"/>
        <v>2024</v>
      </c>
      <c r="M699" t="b">
        <f t="shared" si="86"/>
        <v>1</v>
      </c>
      <c r="N699" t="b">
        <f t="shared" si="80"/>
        <v>1</v>
      </c>
      <c r="O699" t="str">
        <f t="shared" si="87"/>
        <v>Large Order</v>
      </c>
      <c r="P699" s="7">
        <f t="shared" si="81"/>
        <v>7.3030000000000008</v>
      </c>
      <c r="Q699" s="7" t="str">
        <f>VLOOKUP(D700,Product_Lookup!$A$2:$C$27,2,FALSE)</f>
        <v>Action Figure</v>
      </c>
      <c r="R699" s="7">
        <f t="shared" si="82"/>
        <v>1606.66</v>
      </c>
    </row>
    <row r="700" spans="1:18" ht="21.75" customHeight="1">
      <c r="A700" t="s">
        <v>851</v>
      </c>
      <c r="B700" s="6">
        <v>45539</v>
      </c>
      <c r="C700" t="s">
        <v>369</v>
      </c>
      <c r="D700" t="s">
        <v>21</v>
      </c>
      <c r="E700" t="s">
        <v>11</v>
      </c>
      <c r="F700" t="s">
        <v>27</v>
      </c>
      <c r="G700" t="s">
        <v>23</v>
      </c>
      <c r="H700">
        <v>6</v>
      </c>
      <c r="I700" t="str">
        <f>VLOOKUP(D700,Product_Lookup!$A$2:$C$27,3,FALSE)</f>
        <v>$88.18</v>
      </c>
      <c r="J700" t="str">
        <f t="shared" si="83"/>
        <v>Wednesday</v>
      </c>
      <c r="K700" s="10" t="str">
        <f t="shared" si="84"/>
        <v>September</v>
      </c>
      <c r="L700">
        <f t="shared" si="85"/>
        <v>2024</v>
      </c>
      <c r="M700" t="b">
        <f t="shared" si="86"/>
        <v>0</v>
      </c>
      <c r="N700" t="b">
        <f t="shared" si="80"/>
        <v>0</v>
      </c>
      <c r="O700" t="str">
        <f t="shared" si="87"/>
        <v>Large Order</v>
      </c>
      <c r="P700" s="7">
        <f t="shared" si="81"/>
        <v>4.4090000000000007</v>
      </c>
      <c r="Q700" s="7" t="str">
        <f>VLOOKUP(D701,Product_Lookup!$A$2:$C$27,2,FALSE)</f>
        <v>Jeans</v>
      </c>
      <c r="R700" s="7">
        <f t="shared" si="82"/>
        <v>529.08000000000004</v>
      </c>
    </row>
    <row r="701" spans="1:18" ht="21.75" customHeight="1">
      <c r="A701" t="s">
        <v>852</v>
      </c>
      <c r="B701" s="6">
        <v>45372</v>
      </c>
      <c r="C701" t="s">
        <v>9</v>
      </c>
      <c r="D701" t="s">
        <v>65</v>
      </c>
      <c r="E701" t="s">
        <v>11</v>
      </c>
      <c r="F701" t="s">
        <v>42</v>
      </c>
      <c r="G701" t="s">
        <v>36</v>
      </c>
      <c r="H701">
        <v>7</v>
      </c>
      <c r="I701" t="str">
        <f>VLOOKUP(D701,Product_Lookup!$A$2:$C$27,3,FALSE)</f>
        <v>$33.22</v>
      </c>
      <c r="J701" t="str">
        <f t="shared" si="83"/>
        <v>Thursday</v>
      </c>
      <c r="K701" s="10" t="str">
        <f t="shared" si="84"/>
        <v>March</v>
      </c>
      <c r="L701">
        <f t="shared" si="85"/>
        <v>2024</v>
      </c>
      <c r="M701" t="b">
        <f t="shared" si="86"/>
        <v>0</v>
      </c>
      <c r="N701" t="b">
        <f t="shared" si="80"/>
        <v>0</v>
      </c>
      <c r="O701" t="str">
        <f t="shared" si="87"/>
        <v>Standard order</v>
      </c>
      <c r="P701" s="7">
        <f t="shared" si="81"/>
        <v>1.661</v>
      </c>
      <c r="Q701" s="7" t="str">
        <f>VLOOKUP(D702,Product_Lookup!$A$2:$C$27,2,FALSE)</f>
        <v>Socks</v>
      </c>
      <c r="R701" s="7">
        <f t="shared" si="82"/>
        <v>232.54</v>
      </c>
    </row>
    <row r="702" spans="1:18" ht="21.75" customHeight="1">
      <c r="A702" t="s">
        <v>853</v>
      </c>
      <c r="B702" s="6">
        <v>45568</v>
      </c>
      <c r="C702" t="s">
        <v>86</v>
      </c>
      <c r="D702" t="s">
        <v>74</v>
      </c>
      <c r="E702" t="s">
        <v>22</v>
      </c>
      <c r="F702" t="s">
        <v>42</v>
      </c>
      <c r="G702" t="s">
        <v>23</v>
      </c>
      <c r="H702">
        <v>8</v>
      </c>
      <c r="I702" t="str">
        <f>VLOOKUP(D702,Product_Lookup!$A$2:$C$27,3,FALSE)</f>
        <v>$201.32</v>
      </c>
      <c r="J702" t="str">
        <f t="shared" si="83"/>
        <v>Thursday</v>
      </c>
      <c r="K702" s="10" t="str">
        <f t="shared" si="84"/>
        <v>October</v>
      </c>
      <c r="L702">
        <f t="shared" si="85"/>
        <v>2024</v>
      </c>
      <c r="M702" t="b">
        <f t="shared" si="86"/>
        <v>0</v>
      </c>
      <c r="N702" t="b">
        <f t="shared" si="80"/>
        <v>1</v>
      </c>
      <c r="O702" t="str">
        <f t="shared" si="87"/>
        <v>Large Order</v>
      </c>
      <c r="P702" s="7">
        <f t="shared" si="81"/>
        <v>10.066000000000001</v>
      </c>
      <c r="Q702" s="7" t="str">
        <f>VLOOKUP(D703,Product_Lookup!$A$2:$C$27,2,FALSE)</f>
        <v>Smartphone</v>
      </c>
      <c r="R702" s="7">
        <f t="shared" si="82"/>
        <v>1610.56</v>
      </c>
    </row>
    <row r="703" spans="1:18" ht="21.75" customHeight="1">
      <c r="A703" t="s">
        <v>854</v>
      </c>
      <c r="B703" s="6">
        <v>45584</v>
      </c>
      <c r="C703" t="s">
        <v>378</v>
      </c>
      <c r="D703" t="s">
        <v>79</v>
      </c>
      <c r="E703" t="s">
        <v>17</v>
      </c>
      <c r="F703" t="s">
        <v>56</v>
      </c>
      <c r="G703" t="s">
        <v>13</v>
      </c>
      <c r="H703">
        <v>12</v>
      </c>
      <c r="I703" t="str">
        <f>VLOOKUP(D703,Product_Lookup!$A$2:$C$27,3,FALSE)</f>
        <v>$216.22</v>
      </c>
      <c r="J703" t="str">
        <f t="shared" si="83"/>
        <v>Saturday</v>
      </c>
      <c r="K703" s="10" t="str">
        <f t="shared" si="84"/>
        <v>October</v>
      </c>
      <c r="L703">
        <f t="shared" si="85"/>
        <v>2024</v>
      </c>
      <c r="M703" t="b">
        <f t="shared" si="86"/>
        <v>1</v>
      </c>
      <c r="N703" t="b">
        <f t="shared" si="80"/>
        <v>1</v>
      </c>
      <c r="O703" t="str">
        <f t="shared" si="87"/>
        <v>Large Order</v>
      </c>
      <c r="P703" s="7">
        <f t="shared" si="81"/>
        <v>10.811</v>
      </c>
      <c r="Q703" s="7" t="str">
        <f>VLOOKUP(D704,Product_Lookup!$A$2:$C$27,2,FALSE)</f>
        <v>Stapler</v>
      </c>
      <c r="R703" s="7">
        <f t="shared" si="82"/>
        <v>2594.64</v>
      </c>
    </row>
    <row r="704" spans="1:18" ht="21.75" customHeight="1">
      <c r="A704" t="s">
        <v>855</v>
      </c>
      <c r="B704" s="6">
        <v>45442</v>
      </c>
      <c r="C704" t="s">
        <v>371</v>
      </c>
      <c r="D704" t="s">
        <v>35</v>
      </c>
      <c r="E704" t="s">
        <v>22</v>
      </c>
      <c r="F704" t="s">
        <v>306</v>
      </c>
      <c r="G704" t="s">
        <v>28</v>
      </c>
      <c r="H704">
        <v>7</v>
      </c>
      <c r="I704" t="str">
        <f>VLOOKUP(D704,Product_Lookup!$A$2:$C$27,3,FALSE)</f>
        <v>$64.61</v>
      </c>
      <c r="J704" t="str">
        <f t="shared" si="83"/>
        <v>Thursday</v>
      </c>
      <c r="K704" s="10" t="str">
        <f t="shared" si="84"/>
        <v>May</v>
      </c>
      <c r="L704">
        <f t="shared" si="85"/>
        <v>2024</v>
      </c>
      <c r="M704" t="b">
        <f t="shared" si="86"/>
        <v>0</v>
      </c>
      <c r="N704" t="b">
        <f t="shared" si="80"/>
        <v>0</v>
      </c>
      <c r="O704" t="str">
        <f t="shared" si="87"/>
        <v>Standard order</v>
      </c>
      <c r="P704" s="7">
        <f t="shared" si="81"/>
        <v>3.2305000000000001</v>
      </c>
      <c r="Q704" s="7" t="str">
        <f>VLOOKUP(D705,Product_Lookup!$A$2:$C$27,2,FALSE)</f>
        <v>Stapler</v>
      </c>
      <c r="R704" s="7">
        <f t="shared" si="82"/>
        <v>452.27</v>
      </c>
    </row>
    <row r="705" spans="1:18" ht="21.75" customHeight="1">
      <c r="A705" t="s">
        <v>856</v>
      </c>
      <c r="B705" s="6">
        <v>45379</v>
      </c>
      <c r="C705" t="s">
        <v>541</v>
      </c>
      <c r="D705" t="s">
        <v>35</v>
      </c>
      <c r="E705" t="s">
        <v>17</v>
      </c>
      <c r="F705" t="s">
        <v>12</v>
      </c>
      <c r="G705" t="s">
        <v>23</v>
      </c>
      <c r="H705">
        <v>4</v>
      </c>
      <c r="I705" t="str">
        <f>VLOOKUP(D705,Product_Lookup!$A$2:$C$27,3,FALSE)</f>
        <v>$64.61</v>
      </c>
      <c r="J705" t="str">
        <f t="shared" si="83"/>
        <v>Thursday</v>
      </c>
      <c r="K705" s="10" t="str">
        <f t="shared" si="84"/>
        <v>March</v>
      </c>
      <c r="L705">
        <f t="shared" si="85"/>
        <v>2024</v>
      </c>
      <c r="M705" t="b">
        <f t="shared" si="86"/>
        <v>0</v>
      </c>
      <c r="N705" t="b">
        <f t="shared" si="80"/>
        <v>0</v>
      </c>
      <c r="O705" t="str">
        <f t="shared" si="87"/>
        <v>Standard order</v>
      </c>
      <c r="P705" s="7">
        <f t="shared" si="81"/>
        <v>3.2305000000000001</v>
      </c>
      <c r="Q705" s="7" t="str">
        <f>VLOOKUP(D706,Product_Lookup!$A$2:$C$27,2,FALSE)</f>
        <v>Tablet</v>
      </c>
      <c r="R705" s="7">
        <f t="shared" si="82"/>
        <v>258.44</v>
      </c>
    </row>
    <row r="706" spans="1:18" ht="21.75" customHeight="1">
      <c r="A706" t="s">
        <v>857</v>
      </c>
      <c r="B706" s="6">
        <v>45533</v>
      </c>
      <c r="C706" t="s">
        <v>374</v>
      </c>
      <c r="D706" t="s">
        <v>10</v>
      </c>
      <c r="E706" t="s">
        <v>22</v>
      </c>
      <c r="F706" t="s">
        <v>42</v>
      </c>
      <c r="G706" t="s">
        <v>32</v>
      </c>
      <c r="H706">
        <v>18</v>
      </c>
      <c r="I706" t="str">
        <f>VLOOKUP(D706,Product_Lookup!$A$2:$C$27,3,FALSE)</f>
        <v>$146.06</v>
      </c>
      <c r="J706" t="str">
        <f t="shared" si="83"/>
        <v>Thursday</v>
      </c>
      <c r="K706" s="10" t="str">
        <f t="shared" si="84"/>
        <v>August</v>
      </c>
      <c r="L706">
        <f t="shared" si="85"/>
        <v>2024</v>
      </c>
      <c r="M706" t="b">
        <f t="shared" si="86"/>
        <v>0</v>
      </c>
      <c r="N706" t="b">
        <f t="shared" ref="N706:N769" si="88">AND(R706&gt;750, H706&gt;5)</f>
        <v>1</v>
      </c>
      <c r="O706" t="str">
        <f t="shared" si="87"/>
        <v>Large Order</v>
      </c>
      <c r="P706" s="7">
        <f t="shared" ref="P706:P769" si="89">I706*$S$2</f>
        <v>7.3030000000000008</v>
      </c>
      <c r="Q706" s="7" t="str">
        <f>VLOOKUP(D707,Product_Lookup!$A$2:$C$27,2,FALSE)</f>
        <v>Smartphone</v>
      </c>
      <c r="R706" s="7">
        <f t="shared" ref="R706:R769" si="90">H706*I706</f>
        <v>2629.08</v>
      </c>
    </row>
    <row r="707" spans="1:18" ht="21.75" customHeight="1">
      <c r="A707" t="s">
        <v>858</v>
      </c>
      <c r="B707" s="6">
        <v>45487</v>
      </c>
      <c r="C707" t="s">
        <v>200</v>
      </c>
      <c r="D707" t="s">
        <v>79</v>
      </c>
      <c r="E707" t="s">
        <v>11</v>
      </c>
      <c r="F707" t="s">
        <v>27</v>
      </c>
      <c r="G707" t="s">
        <v>32</v>
      </c>
      <c r="H707">
        <v>9</v>
      </c>
      <c r="I707" t="str">
        <f>VLOOKUP(D707,Product_Lookup!$A$2:$C$27,3,FALSE)</f>
        <v>$216.22</v>
      </c>
      <c r="J707" t="str">
        <f t="shared" ref="J707:J770" si="91">TEXT(B707, "dddd")</f>
        <v>Sunday</v>
      </c>
      <c r="K707" s="10" t="str">
        <f t="shared" ref="K707:K770" si="92">TEXT(B707, "mmmm")</f>
        <v>July</v>
      </c>
      <c r="L707">
        <f t="shared" ref="L707:L770" si="93">YEAR(B707)</f>
        <v>2024</v>
      </c>
      <c r="M707" t="b">
        <f t="shared" ref="M707:M770" si="94">OR(J707="Saturday", J707="Sunday")</f>
        <v>1</v>
      </c>
      <c r="N707" t="b">
        <f t="shared" si="88"/>
        <v>1</v>
      </c>
      <c r="O707" t="str">
        <f t="shared" ref="O707:O770" si="95">IF(R707&gt;500,"Large Order","Standard order")</f>
        <v>Large Order</v>
      </c>
      <c r="P707" s="7">
        <f t="shared" si="89"/>
        <v>10.811</v>
      </c>
      <c r="Q707" s="7" t="str">
        <f>VLOOKUP(D708,Product_Lookup!$A$2:$C$27,2,FALSE)</f>
        <v>Headphones</v>
      </c>
      <c r="R707" s="7">
        <f t="shared" si="90"/>
        <v>1945.98</v>
      </c>
    </row>
    <row r="708" spans="1:18" ht="21.75" customHeight="1">
      <c r="A708" t="s">
        <v>859</v>
      </c>
      <c r="B708" s="6">
        <v>45407</v>
      </c>
      <c r="C708" t="s">
        <v>101</v>
      </c>
      <c r="D708" t="s">
        <v>16</v>
      </c>
      <c r="E708" t="s">
        <v>22</v>
      </c>
      <c r="F708" t="s">
        <v>12</v>
      </c>
      <c r="G708" t="s">
        <v>32</v>
      </c>
      <c r="H708">
        <v>4</v>
      </c>
      <c r="I708" t="str">
        <f>VLOOKUP(D708,Product_Lookup!$A$2:$C$27,3,FALSE)</f>
        <v>$178.83</v>
      </c>
      <c r="J708" t="str">
        <f t="shared" si="91"/>
        <v>Thursday</v>
      </c>
      <c r="K708" s="10" t="str">
        <f t="shared" si="92"/>
        <v>April</v>
      </c>
      <c r="L708">
        <f t="shared" si="93"/>
        <v>2024</v>
      </c>
      <c r="M708" t="b">
        <f t="shared" si="94"/>
        <v>0</v>
      </c>
      <c r="N708" t="b">
        <f t="shared" si="88"/>
        <v>0</v>
      </c>
      <c r="O708" t="str">
        <f t="shared" si="95"/>
        <v>Large Order</v>
      </c>
      <c r="P708" s="7">
        <f t="shared" si="89"/>
        <v>8.9415000000000013</v>
      </c>
      <c r="Q708" s="7" t="str">
        <f>VLOOKUP(D709,Product_Lookup!$A$2:$C$27,2,FALSE)</f>
        <v>Pen Set</v>
      </c>
      <c r="R708" s="7">
        <f t="shared" si="90"/>
        <v>715.32</v>
      </c>
    </row>
    <row r="709" spans="1:18" ht="21.75" customHeight="1">
      <c r="A709" t="s">
        <v>860</v>
      </c>
      <c r="B709" s="6">
        <v>45569</v>
      </c>
      <c r="C709" t="s">
        <v>408</v>
      </c>
      <c r="D709" t="s">
        <v>174</v>
      </c>
      <c r="E709" t="s">
        <v>22</v>
      </c>
      <c r="F709" t="s">
        <v>56</v>
      </c>
      <c r="G709" t="s">
        <v>36</v>
      </c>
      <c r="H709">
        <v>2</v>
      </c>
      <c r="I709" t="str">
        <f>VLOOKUP(D709,Product_Lookup!$A$2:$C$27,3,FALSE)</f>
        <v>$133.37</v>
      </c>
      <c r="J709" t="str">
        <f t="shared" si="91"/>
        <v>Friday</v>
      </c>
      <c r="K709" s="10" t="str">
        <f t="shared" si="92"/>
        <v>October</v>
      </c>
      <c r="L709">
        <f t="shared" si="93"/>
        <v>2024</v>
      </c>
      <c r="M709" t="b">
        <f t="shared" si="94"/>
        <v>0</v>
      </c>
      <c r="N709" t="b">
        <f t="shared" si="88"/>
        <v>0</v>
      </c>
      <c r="O709" t="str">
        <f t="shared" si="95"/>
        <v>Standard order</v>
      </c>
      <c r="P709" s="7">
        <f t="shared" si="89"/>
        <v>6.6685000000000008</v>
      </c>
      <c r="Q709" s="7" t="str">
        <f>VLOOKUP(D710,Product_Lookup!$A$2:$C$27,2,FALSE)</f>
        <v>Desk Lamp</v>
      </c>
      <c r="R709" s="7">
        <f t="shared" si="90"/>
        <v>266.74</v>
      </c>
    </row>
    <row r="710" spans="1:18" ht="21.75" customHeight="1">
      <c r="A710" t="s">
        <v>861</v>
      </c>
      <c r="B710" s="6">
        <v>45506</v>
      </c>
      <c r="C710" t="s">
        <v>312</v>
      </c>
      <c r="D710" t="s">
        <v>59</v>
      </c>
      <c r="E710" t="s">
        <v>22</v>
      </c>
      <c r="F710" t="s">
        <v>27</v>
      </c>
      <c r="G710" t="s">
        <v>13</v>
      </c>
      <c r="H710">
        <v>8</v>
      </c>
      <c r="I710" t="str">
        <f>VLOOKUP(D710,Product_Lookup!$A$2:$C$27,3,FALSE)</f>
        <v>$101.96</v>
      </c>
      <c r="J710" t="str">
        <f t="shared" si="91"/>
        <v>Friday</v>
      </c>
      <c r="K710" s="10" t="str">
        <f t="shared" si="92"/>
        <v>August</v>
      </c>
      <c r="L710">
        <f t="shared" si="93"/>
        <v>2024</v>
      </c>
      <c r="M710" t="b">
        <f t="shared" si="94"/>
        <v>0</v>
      </c>
      <c r="N710" t="b">
        <f t="shared" si="88"/>
        <v>1</v>
      </c>
      <c r="O710" t="str">
        <f t="shared" si="95"/>
        <v>Large Order</v>
      </c>
      <c r="P710" s="7">
        <f t="shared" si="89"/>
        <v>5.0979999999999999</v>
      </c>
      <c r="Q710" s="7" t="str">
        <f>VLOOKUP(D711,Product_Lookup!$A$2:$C$27,2,FALSE)</f>
        <v>Desk Lamp</v>
      </c>
      <c r="R710" s="7">
        <f t="shared" si="90"/>
        <v>815.68</v>
      </c>
    </row>
    <row r="711" spans="1:18" ht="21.75" customHeight="1">
      <c r="A711" t="s">
        <v>862</v>
      </c>
      <c r="B711" s="6">
        <v>45494</v>
      </c>
      <c r="C711" t="s">
        <v>436</v>
      </c>
      <c r="D711" t="s">
        <v>59</v>
      </c>
      <c r="E711" t="s">
        <v>11</v>
      </c>
      <c r="F711" t="s">
        <v>306</v>
      </c>
      <c r="G711" t="s">
        <v>36</v>
      </c>
      <c r="H711">
        <v>17</v>
      </c>
      <c r="I711" t="str">
        <f>VLOOKUP(D711,Product_Lookup!$A$2:$C$27,3,FALSE)</f>
        <v>$101.96</v>
      </c>
      <c r="J711" t="str">
        <f t="shared" si="91"/>
        <v>Sunday</v>
      </c>
      <c r="K711" s="10" t="str">
        <f t="shared" si="92"/>
        <v>July</v>
      </c>
      <c r="L711">
        <f t="shared" si="93"/>
        <v>2024</v>
      </c>
      <c r="M711" t="b">
        <f t="shared" si="94"/>
        <v>1</v>
      </c>
      <c r="N711" t="b">
        <f t="shared" si="88"/>
        <v>1</v>
      </c>
      <c r="O711" t="str">
        <f t="shared" si="95"/>
        <v>Large Order</v>
      </c>
      <c r="P711" s="7">
        <f t="shared" si="89"/>
        <v>5.0979999999999999</v>
      </c>
      <c r="Q711" s="7" t="str">
        <f>VLOOKUP(D712,Product_Lookup!$A$2:$C$27,2,FALSE)</f>
        <v>T-Shirt</v>
      </c>
      <c r="R711" s="7">
        <f t="shared" si="90"/>
        <v>1733.32</v>
      </c>
    </row>
    <row r="712" spans="1:18" ht="21.75" customHeight="1">
      <c r="A712" t="s">
        <v>863</v>
      </c>
      <c r="B712" s="6">
        <v>45367</v>
      </c>
      <c r="C712" t="s">
        <v>114</v>
      </c>
      <c r="D712" t="s">
        <v>45</v>
      </c>
      <c r="E712" t="s">
        <v>17</v>
      </c>
      <c r="F712" t="s">
        <v>56</v>
      </c>
      <c r="G712" t="s">
        <v>28</v>
      </c>
      <c r="H712">
        <v>7</v>
      </c>
      <c r="I712" t="str">
        <f>VLOOKUP(D712,Product_Lookup!$A$2:$C$27,3,FALSE)</f>
        <v>$107.34</v>
      </c>
      <c r="J712" t="str">
        <f t="shared" si="91"/>
        <v>Saturday</v>
      </c>
      <c r="K712" s="10" t="str">
        <f t="shared" si="92"/>
        <v>March</v>
      </c>
      <c r="L712">
        <f t="shared" si="93"/>
        <v>2024</v>
      </c>
      <c r="M712" t="b">
        <f t="shared" si="94"/>
        <v>1</v>
      </c>
      <c r="N712" t="b">
        <f t="shared" si="88"/>
        <v>1</v>
      </c>
      <c r="O712" t="str">
        <f t="shared" si="95"/>
        <v>Large Order</v>
      </c>
      <c r="P712" s="7">
        <f t="shared" si="89"/>
        <v>5.3670000000000009</v>
      </c>
      <c r="Q712" s="7" t="str">
        <f>VLOOKUP(D713,Product_Lookup!$A$2:$C$27,2,FALSE)</f>
        <v>Jeans</v>
      </c>
      <c r="R712" s="7">
        <f t="shared" si="90"/>
        <v>751.38</v>
      </c>
    </row>
    <row r="713" spans="1:18" ht="21.75" customHeight="1">
      <c r="A713" t="s">
        <v>864</v>
      </c>
      <c r="B713" s="6">
        <v>45313</v>
      </c>
      <c r="C713" t="s">
        <v>309</v>
      </c>
      <c r="D713" t="s">
        <v>65</v>
      </c>
      <c r="E713" t="s">
        <v>11</v>
      </c>
      <c r="F713" t="s">
        <v>27</v>
      </c>
      <c r="G713" t="s">
        <v>32</v>
      </c>
      <c r="H713">
        <v>5</v>
      </c>
      <c r="I713" t="str">
        <f>VLOOKUP(D713,Product_Lookup!$A$2:$C$27,3,FALSE)</f>
        <v>$33.22</v>
      </c>
      <c r="J713" t="str">
        <f t="shared" si="91"/>
        <v>Monday</v>
      </c>
      <c r="K713" s="10" t="str">
        <f t="shared" si="92"/>
        <v>January</v>
      </c>
      <c r="L713">
        <f t="shared" si="93"/>
        <v>2024</v>
      </c>
      <c r="M713" t="b">
        <f t="shared" si="94"/>
        <v>0</v>
      </c>
      <c r="N713" t="b">
        <f t="shared" si="88"/>
        <v>0</v>
      </c>
      <c r="O713" t="str">
        <f t="shared" si="95"/>
        <v>Standard order</v>
      </c>
      <c r="P713" s="7">
        <f t="shared" si="89"/>
        <v>1.661</v>
      </c>
      <c r="Q713" s="7" t="str">
        <f>VLOOKUP(D714,Product_Lookup!$A$2:$C$27,2,FALSE)</f>
        <v>Coffee Maker</v>
      </c>
      <c r="R713" s="7">
        <f t="shared" si="90"/>
        <v>166.1</v>
      </c>
    </row>
    <row r="714" spans="1:18" ht="21.75" customHeight="1">
      <c r="A714" t="s">
        <v>865</v>
      </c>
      <c r="B714" s="6">
        <v>45455</v>
      </c>
      <c r="C714" t="s">
        <v>388</v>
      </c>
      <c r="D714" t="s">
        <v>31</v>
      </c>
      <c r="E714" t="s">
        <v>11</v>
      </c>
      <c r="F714" t="s">
        <v>12</v>
      </c>
      <c r="G714" t="s">
        <v>32</v>
      </c>
      <c r="H714">
        <v>18</v>
      </c>
      <c r="I714" t="str">
        <f>VLOOKUP(D714,Product_Lookup!$A$2:$C$27,3,FALSE)</f>
        <v>$230.34</v>
      </c>
      <c r="J714" t="str">
        <f t="shared" si="91"/>
        <v>Wednesday</v>
      </c>
      <c r="K714" s="10" t="str">
        <f t="shared" si="92"/>
        <v>June</v>
      </c>
      <c r="L714">
        <f t="shared" si="93"/>
        <v>2024</v>
      </c>
      <c r="M714" t="b">
        <f t="shared" si="94"/>
        <v>0</v>
      </c>
      <c r="N714" t="b">
        <f t="shared" si="88"/>
        <v>1</v>
      </c>
      <c r="O714" t="str">
        <f t="shared" si="95"/>
        <v>Large Order</v>
      </c>
      <c r="P714" s="7">
        <f t="shared" si="89"/>
        <v>11.517000000000001</v>
      </c>
      <c r="Q714" s="7" t="str">
        <f>VLOOKUP(D715,Product_Lookup!$A$2:$C$27,2,FALSE)</f>
        <v>Puzzle</v>
      </c>
      <c r="R714" s="7">
        <f t="shared" si="90"/>
        <v>4146.12</v>
      </c>
    </row>
    <row r="715" spans="1:18" ht="21.75" customHeight="1">
      <c r="A715" t="s">
        <v>866</v>
      </c>
      <c r="B715" s="6">
        <v>45433</v>
      </c>
      <c r="C715" t="s">
        <v>363</v>
      </c>
      <c r="D715" t="s">
        <v>62</v>
      </c>
      <c r="E715" t="s">
        <v>17</v>
      </c>
      <c r="F715" t="s">
        <v>12</v>
      </c>
      <c r="G715" t="s">
        <v>23</v>
      </c>
      <c r="H715">
        <v>20</v>
      </c>
      <c r="I715" t="str">
        <f>VLOOKUP(D715,Product_Lookup!$A$2:$C$27,3,FALSE)</f>
        <v>$46.19</v>
      </c>
      <c r="J715" t="str">
        <f t="shared" si="91"/>
        <v>Tuesday</v>
      </c>
      <c r="K715" s="10" t="str">
        <f t="shared" si="92"/>
        <v>May</v>
      </c>
      <c r="L715">
        <f t="shared" si="93"/>
        <v>2024</v>
      </c>
      <c r="M715" t="b">
        <f t="shared" si="94"/>
        <v>0</v>
      </c>
      <c r="N715" t="b">
        <f t="shared" si="88"/>
        <v>1</v>
      </c>
      <c r="O715" t="str">
        <f t="shared" si="95"/>
        <v>Large Order</v>
      </c>
      <c r="P715" s="7">
        <f t="shared" si="89"/>
        <v>2.3094999999999999</v>
      </c>
      <c r="Q715" s="7" t="str">
        <f>VLOOKUP(D716,Product_Lookup!$A$2:$C$27,2,FALSE)</f>
        <v>Desk Lamp</v>
      </c>
      <c r="R715" s="7">
        <f t="shared" si="90"/>
        <v>923.8</v>
      </c>
    </row>
    <row r="716" spans="1:18" ht="21.75" customHeight="1">
      <c r="A716" t="s">
        <v>867</v>
      </c>
      <c r="B716" s="6">
        <v>45349</v>
      </c>
      <c r="C716" t="s">
        <v>572</v>
      </c>
      <c r="D716" t="s">
        <v>59</v>
      </c>
      <c r="E716" t="s">
        <v>11</v>
      </c>
      <c r="F716" t="s">
        <v>56</v>
      </c>
      <c r="G716" t="s">
        <v>13</v>
      </c>
      <c r="H716">
        <v>19</v>
      </c>
      <c r="I716" t="str">
        <f>VLOOKUP(D716,Product_Lookup!$A$2:$C$27,3,FALSE)</f>
        <v>$101.96</v>
      </c>
      <c r="J716" t="str">
        <f t="shared" si="91"/>
        <v>Tuesday</v>
      </c>
      <c r="K716" s="10" t="str">
        <f t="shared" si="92"/>
        <v>February</v>
      </c>
      <c r="L716">
        <f t="shared" si="93"/>
        <v>2024</v>
      </c>
      <c r="M716" t="b">
        <f t="shared" si="94"/>
        <v>0</v>
      </c>
      <c r="N716" t="b">
        <f t="shared" si="88"/>
        <v>1</v>
      </c>
      <c r="O716" t="str">
        <f t="shared" si="95"/>
        <v>Large Order</v>
      </c>
      <c r="P716" s="7">
        <f t="shared" si="89"/>
        <v>5.0979999999999999</v>
      </c>
      <c r="Q716" s="7" t="str">
        <f>VLOOKUP(D717,Product_Lookup!$A$2:$C$27,2,FALSE)</f>
        <v>Pen Set</v>
      </c>
      <c r="R716" s="7">
        <f t="shared" si="90"/>
        <v>1937.2399999999998</v>
      </c>
    </row>
    <row r="717" spans="1:18" ht="21.75" customHeight="1">
      <c r="A717" t="s">
        <v>868</v>
      </c>
      <c r="B717" s="6">
        <v>45346</v>
      </c>
      <c r="C717" t="s">
        <v>614</v>
      </c>
      <c r="D717" t="s">
        <v>174</v>
      </c>
      <c r="E717" t="s">
        <v>11</v>
      </c>
      <c r="F717" t="s">
        <v>42</v>
      </c>
      <c r="G717" t="s">
        <v>32</v>
      </c>
      <c r="H717">
        <v>12</v>
      </c>
      <c r="I717" t="str">
        <f>VLOOKUP(D717,Product_Lookup!$A$2:$C$27,3,FALSE)</f>
        <v>$133.37</v>
      </c>
      <c r="J717" t="str">
        <f t="shared" si="91"/>
        <v>Saturday</v>
      </c>
      <c r="K717" s="10" t="str">
        <f t="shared" si="92"/>
        <v>February</v>
      </c>
      <c r="L717">
        <f t="shared" si="93"/>
        <v>2024</v>
      </c>
      <c r="M717" t="b">
        <f t="shared" si="94"/>
        <v>1</v>
      </c>
      <c r="N717" t="b">
        <f t="shared" si="88"/>
        <v>1</v>
      </c>
      <c r="O717" t="str">
        <f t="shared" si="95"/>
        <v>Large Order</v>
      </c>
      <c r="P717" s="7">
        <f t="shared" si="89"/>
        <v>6.6685000000000008</v>
      </c>
      <c r="Q717" s="7" t="str">
        <f>VLOOKUP(D718,Product_Lookup!$A$2:$C$27,2,FALSE)</f>
        <v>Paper Shredder</v>
      </c>
      <c r="R717" s="7">
        <f t="shared" si="90"/>
        <v>1600.44</v>
      </c>
    </row>
    <row r="718" spans="1:18" ht="21.75" customHeight="1">
      <c r="A718" t="s">
        <v>869</v>
      </c>
      <c r="B718" s="6">
        <v>45488</v>
      </c>
      <c r="C718" t="s">
        <v>350</v>
      </c>
      <c r="D718" t="s">
        <v>109</v>
      </c>
      <c r="E718" t="s">
        <v>17</v>
      </c>
      <c r="F718" t="s">
        <v>306</v>
      </c>
      <c r="G718" t="s">
        <v>32</v>
      </c>
      <c r="H718">
        <v>16</v>
      </c>
      <c r="I718" t="str">
        <f>VLOOKUP(D718,Product_Lookup!$A$2:$C$27,3,FALSE)</f>
        <v>$81.02</v>
      </c>
      <c r="J718" t="str">
        <f t="shared" si="91"/>
        <v>Monday</v>
      </c>
      <c r="K718" s="10" t="str">
        <f t="shared" si="92"/>
        <v>July</v>
      </c>
      <c r="L718">
        <f t="shared" si="93"/>
        <v>2024</v>
      </c>
      <c r="M718" t="b">
        <f t="shared" si="94"/>
        <v>0</v>
      </c>
      <c r="N718" t="b">
        <f t="shared" si="88"/>
        <v>1</v>
      </c>
      <c r="O718" t="str">
        <f t="shared" si="95"/>
        <v>Large Order</v>
      </c>
      <c r="P718" s="7">
        <f t="shared" si="89"/>
        <v>4.0510000000000002</v>
      </c>
      <c r="Q718" s="7" t="str">
        <f>VLOOKUP(D719,Product_Lookup!$A$2:$C$27,2,FALSE)</f>
        <v>Board Game</v>
      </c>
      <c r="R718" s="7">
        <f t="shared" si="90"/>
        <v>1296.32</v>
      </c>
    </row>
    <row r="719" spans="1:18" ht="21.75" customHeight="1">
      <c r="A719" t="s">
        <v>870</v>
      </c>
      <c r="B719" s="6">
        <v>45498</v>
      </c>
      <c r="C719" t="s">
        <v>167</v>
      </c>
      <c r="D719" t="s">
        <v>41</v>
      </c>
      <c r="E719" t="s">
        <v>22</v>
      </c>
      <c r="F719" t="s">
        <v>306</v>
      </c>
      <c r="G719" t="s">
        <v>32</v>
      </c>
      <c r="H719">
        <v>13</v>
      </c>
      <c r="I719" t="str">
        <f>VLOOKUP(D719,Product_Lookup!$A$2:$C$27,3,FALSE)</f>
        <v>$86.6</v>
      </c>
      <c r="J719" t="str">
        <f t="shared" si="91"/>
        <v>Thursday</v>
      </c>
      <c r="K719" s="10" t="str">
        <f t="shared" si="92"/>
        <v>July</v>
      </c>
      <c r="L719">
        <f t="shared" si="93"/>
        <v>2024</v>
      </c>
      <c r="M719" t="b">
        <f t="shared" si="94"/>
        <v>0</v>
      </c>
      <c r="N719" t="b">
        <f t="shared" si="88"/>
        <v>1</v>
      </c>
      <c r="O719" t="str">
        <f t="shared" si="95"/>
        <v>Large Order</v>
      </c>
      <c r="P719" s="7">
        <f t="shared" si="89"/>
        <v>4.33</v>
      </c>
      <c r="Q719" s="7" t="str">
        <f>VLOOKUP(D720,Product_Lookup!$A$2:$C$27,2,FALSE)</f>
        <v>Sweater</v>
      </c>
      <c r="R719" s="7">
        <f t="shared" si="90"/>
        <v>1125.8</v>
      </c>
    </row>
    <row r="720" spans="1:18" ht="21.75" customHeight="1">
      <c r="A720" t="s">
        <v>871</v>
      </c>
      <c r="B720" s="6">
        <v>45645</v>
      </c>
      <c r="C720" t="s">
        <v>93</v>
      </c>
      <c r="D720" t="s">
        <v>26</v>
      </c>
      <c r="E720" t="s">
        <v>11</v>
      </c>
      <c r="F720" t="s">
        <v>27</v>
      </c>
      <c r="G720" t="s">
        <v>32</v>
      </c>
      <c r="H720">
        <v>12</v>
      </c>
      <c r="I720" t="str">
        <f>VLOOKUP(D720,Product_Lookup!$A$2:$C$27,3,FALSE)</f>
        <v>$84.57</v>
      </c>
      <c r="J720" t="str">
        <f t="shared" si="91"/>
        <v>Thursday</v>
      </c>
      <c r="K720" s="10" t="str">
        <f t="shared" si="92"/>
        <v>December</v>
      </c>
      <c r="L720">
        <f t="shared" si="93"/>
        <v>2024</v>
      </c>
      <c r="M720" t="b">
        <f t="shared" si="94"/>
        <v>0</v>
      </c>
      <c r="N720" t="b">
        <f t="shared" si="88"/>
        <v>1</v>
      </c>
      <c r="O720" t="str">
        <f t="shared" si="95"/>
        <v>Large Order</v>
      </c>
      <c r="P720" s="7">
        <f t="shared" si="89"/>
        <v>4.2284999999999995</v>
      </c>
      <c r="Q720" s="7" t="str">
        <f>VLOOKUP(D721,Product_Lookup!$A$2:$C$27,2,FALSE)</f>
        <v>Jacket</v>
      </c>
      <c r="R720" s="7">
        <f t="shared" si="90"/>
        <v>1014.8399999999999</v>
      </c>
    </row>
    <row r="721" spans="1:18" ht="21.75" customHeight="1">
      <c r="A721" t="s">
        <v>872</v>
      </c>
      <c r="B721" s="6">
        <v>45451</v>
      </c>
      <c r="C721" t="s">
        <v>89</v>
      </c>
      <c r="D721" t="s">
        <v>197</v>
      </c>
      <c r="E721" t="s">
        <v>17</v>
      </c>
      <c r="F721" t="s">
        <v>12</v>
      </c>
      <c r="G721" t="s">
        <v>23</v>
      </c>
      <c r="H721">
        <v>5</v>
      </c>
      <c r="I721" t="str">
        <f>VLOOKUP(D721,Product_Lookup!$A$2:$C$27,3,FALSE)</f>
        <v>$10.11</v>
      </c>
      <c r="J721" t="str">
        <f t="shared" si="91"/>
        <v>Saturday</v>
      </c>
      <c r="K721" s="10" t="str">
        <f t="shared" si="92"/>
        <v>June</v>
      </c>
      <c r="L721">
        <f t="shared" si="93"/>
        <v>2024</v>
      </c>
      <c r="M721" t="b">
        <f t="shared" si="94"/>
        <v>1</v>
      </c>
      <c r="N721" t="b">
        <f t="shared" si="88"/>
        <v>0</v>
      </c>
      <c r="O721" t="str">
        <f t="shared" si="95"/>
        <v>Standard order</v>
      </c>
      <c r="P721" s="7">
        <f t="shared" si="89"/>
        <v>0.50549999999999995</v>
      </c>
      <c r="Q721" s="7" t="str">
        <f>VLOOKUP(D722,Product_Lookup!$A$2:$C$27,2,FALSE)</f>
        <v>Paper Shredder</v>
      </c>
      <c r="R721" s="7">
        <f t="shared" si="90"/>
        <v>50.55</v>
      </c>
    </row>
    <row r="722" spans="1:18" ht="21.75" customHeight="1">
      <c r="A722" t="s">
        <v>873</v>
      </c>
      <c r="B722" s="6">
        <v>45456</v>
      </c>
      <c r="C722" t="s">
        <v>101</v>
      </c>
      <c r="D722" t="s">
        <v>109</v>
      </c>
      <c r="E722" t="s">
        <v>22</v>
      </c>
      <c r="F722" t="s">
        <v>27</v>
      </c>
      <c r="G722" t="s">
        <v>28</v>
      </c>
      <c r="H722">
        <v>3</v>
      </c>
      <c r="I722" t="str">
        <f>VLOOKUP(D722,Product_Lookup!$A$2:$C$27,3,FALSE)</f>
        <v>$81.02</v>
      </c>
      <c r="J722" t="str">
        <f t="shared" si="91"/>
        <v>Thursday</v>
      </c>
      <c r="K722" s="10" t="str">
        <f t="shared" si="92"/>
        <v>June</v>
      </c>
      <c r="L722">
        <f t="shared" si="93"/>
        <v>2024</v>
      </c>
      <c r="M722" t="b">
        <f t="shared" si="94"/>
        <v>0</v>
      </c>
      <c r="N722" t="b">
        <f t="shared" si="88"/>
        <v>0</v>
      </c>
      <c r="O722" t="str">
        <f t="shared" si="95"/>
        <v>Standard order</v>
      </c>
      <c r="P722" s="7">
        <f t="shared" si="89"/>
        <v>4.0510000000000002</v>
      </c>
      <c r="Q722" s="7" t="str">
        <f>VLOOKUP(D723,Product_Lookup!$A$2:$C$27,2,FALSE)</f>
        <v>Toaster</v>
      </c>
      <c r="R722" s="7">
        <f t="shared" si="90"/>
        <v>243.06</v>
      </c>
    </row>
    <row r="723" spans="1:18" ht="21.75" customHeight="1">
      <c r="A723" t="s">
        <v>874</v>
      </c>
      <c r="B723" s="6">
        <v>45500</v>
      </c>
      <c r="C723" t="s">
        <v>304</v>
      </c>
      <c r="D723" t="s">
        <v>48</v>
      </c>
      <c r="E723" t="s">
        <v>17</v>
      </c>
      <c r="F723" t="s">
        <v>306</v>
      </c>
      <c r="G723" t="s">
        <v>28</v>
      </c>
      <c r="H723">
        <v>2</v>
      </c>
      <c r="I723" t="str">
        <f>VLOOKUP(D723,Product_Lookup!$A$2:$C$27,3,FALSE)</f>
        <v>$208.85</v>
      </c>
      <c r="J723" t="str">
        <f t="shared" si="91"/>
        <v>Saturday</v>
      </c>
      <c r="K723" s="10" t="str">
        <f t="shared" si="92"/>
        <v>July</v>
      </c>
      <c r="L723">
        <f t="shared" si="93"/>
        <v>2024</v>
      </c>
      <c r="M723" t="b">
        <f t="shared" si="94"/>
        <v>1</v>
      </c>
      <c r="N723" t="b">
        <f t="shared" si="88"/>
        <v>0</v>
      </c>
      <c r="O723" t="str">
        <f t="shared" si="95"/>
        <v>Standard order</v>
      </c>
      <c r="P723" s="7">
        <f t="shared" si="89"/>
        <v>10.442500000000001</v>
      </c>
      <c r="Q723" s="7" t="str">
        <f>VLOOKUP(D724,Product_Lookup!$A$2:$C$27,2,FALSE)</f>
        <v>Coffee Maker</v>
      </c>
      <c r="R723" s="7">
        <f t="shared" si="90"/>
        <v>417.7</v>
      </c>
    </row>
    <row r="724" spans="1:18" ht="21.75" customHeight="1">
      <c r="A724" t="s">
        <v>875</v>
      </c>
      <c r="B724" s="6">
        <v>45325</v>
      </c>
      <c r="C724" t="s">
        <v>147</v>
      </c>
      <c r="D724" t="s">
        <v>31</v>
      </c>
      <c r="E724" t="s">
        <v>22</v>
      </c>
      <c r="F724" t="s">
        <v>306</v>
      </c>
      <c r="G724" t="s">
        <v>36</v>
      </c>
      <c r="H724">
        <v>5</v>
      </c>
      <c r="I724" t="str">
        <f>VLOOKUP(D724,Product_Lookup!$A$2:$C$27,3,FALSE)</f>
        <v>$230.34</v>
      </c>
      <c r="J724" t="str">
        <f t="shared" si="91"/>
        <v>Saturday</v>
      </c>
      <c r="K724" s="10" t="str">
        <f t="shared" si="92"/>
        <v>February</v>
      </c>
      <c r="L724">
        <f t="shared" si="93"/>
        <v>2024</v>
      </c>
      <c r="M724" t="b">
        <f t="shared" si="94"/>
        <v>1</v>
      </c>
      <c r="N724" t="b">
        <f t="shared" si="88"/>
        <v>0</v>
      </c>
      <c r="O724" t="str">
        <f t="shared" si="95"/>
        <v>Large Order</v>
      </c>
      <c r="P724" s="7">
        <f t="shared" si="89"/>
        <v>11.517000000000001</v>
      </c>
      <c r="Q724" s="7" t="str">
        <f>VLOOKUP(D725,Product_Lookup!$A$2:$C$27,2,FALSE)</f>
        <v>Jeans</v>
      </c>
      <c r="R724" s="7">
        <f t="shared" si="90"/>
        <v>1151.7</v>
      </c>
    </row>
    <row r="725" spans="1:18" ht="21.75" customHeight="1">
      <c r="A725" t="s">
        <v>876</v>
      </c>
      <c r="B725" s="6">
        <v>45583</v>
      </c>
      <c r="C725" t="s">
        <v>64</v>
      </c>
      <c r="D725" t="s">
        <v>65</v>
      </c>
      <c r="E725" t="s">
        <v>11</v>
      </c>
      <c r="F725" t="s">
        <v>56</v>
      </c>
      <c r="G725" t="s">
        <v>23</v>
      </c>
      <c r="H725">
        <v>2</v>
      </c>
      <c r="I725" t="str">
        <f>VLOOKUP(D725,Product_Lookup!$A$2:$C$27,3,FALSE)</f>
        <v>$33.22</v>
      </c>
      <c r="J725" t="str">
        <f t="shared" si="91"/>
        <v>Friday</v>
      </c>
      <c r="K725" s="10" t="str">
        <f t="shared" si="92"/>
        <v>October</v>
      </c>
      <c r="L725">
        <f t="shared" si="93"/>
        <v>2024</v>
      </c>
      <c r="M725" t="b">
        <f t="shared" si="94"/>
        <v>0</v>
      </c>
      <c r="N725" t="b">
        <f t="shared" si="88"/>
        <v>0</v>
      </c>
      <c r="O725" t="str">
        <f t="shared" si="95"/>
        <v>Standard order</v>
      </c>
      <c r="P725" s="7">
        <f t="shared" si="89"/>
        <v>1.661</v>
      </c>
      <c r="Q725" s="7" t="str">
        <f>VLOOKUP(D726,Product_Lookup!$A$2:$C$27,2,FALSE)</f>
        <v>Sweater</v>
      </c>
      <c r="R725" s="7">
        <f t="shared" si="90"/>
        <v>66.44</v>
      </c>
    </row>
    <row r="726" spans="1:18" ht="21.75" customHeight="1">
      <c r="A726" t="s">
        <v>877</v>
      </c>
      <c r="B726" s="6">
        <v>45317</v>
      </c>
      <c r="C726" t="s">
        <v>83</v>
      </c>
      <c r="D726" t="s">
        <v>26</v>
      </c>
      <c r="E726" t="s">
        <v>22</v>
      </c>
      <c r="F726" t="s">
        <v>56</v>
      </c>
      <c r="G726" t="s">
        <v>36</v>
      </c>
      <c r="H726">
        <v>12</v>
      </c>
      <c r="I726" t="str">
        <f>VLOOKUP(D726,Product_Lookup!$A$2:$C$27,3,FALSE)</f>
        <v>$84.57</v>
      </c>
      <c r="J726" t="str">
        <f t="shared" si="91"/>
        <v>Friday</v>
      </c>
      <c r="K726" s="10" t="str">
        <f t="shared" si="92"/>
        <v>January</v>
      </c>
      <c r="L726">
        <f t="shared" si="93"/>
        <v>2024</v>
      </c>
      <c r="M726" t="b">
        <f t="shared" si="94"/>
        <v>0</v>
      </c>
      <c r="N726" t="b">
        <f t="shared" si="88"/>
        <v>1</v>
      </c>
      <c r="O726" t="str">
        <f t="shared" si="95"/>
        <v>Large Order</v>
      </c>
      <c r="P726" s="7">
        <f t="shared" si="89"/>
        <v>4.2284999999999995</v>
      </c>
      <c r="Q726" s="7" t="str">
        <f>VLOOKUP(D727,Product_Lookup!$A$2:$C$27,2,FALSE)</f>
        <v>Jacket</v>
      </c>
      <c r="R726" s="7">
        <f t="shared" si="90"/>
        <v>1014.8399999999999</v>
      </c>
    </row>
    <row r="727" spans="1:18" ht="21.75" customHeight="1">
      <c r="A727" t="s">
        <v>878</v>
      </c>
      <c r="B727" s="6">
        <v>45495</v>
      </c>
      <c r="C727" t="s">
        <v>541</v>
      </c>
      <c r="D727" t="s">
        <v>197</v>
      </c>
      <c r="E727" t="s">
        <v>11</v>
      </c>
      <c r="F727" t="s">
        <v>12</v>
      </c>
      <c r="G727" t="s">
        <v>23</v>
      </c>
      <c r="H727">
        <v>12</v>
      </c>
      <c r="I727" t="str">
        <f>VLOOKUP(D727,Product_Lookup!$A$2:$C$27,3,FALSE)</f>
        <v>$10.11</v>
      </c>
      <c r="J727" t="str">
        <f t="shared" si="91"/>
        <v>Monday</v>
      </c>
      <c r="K727" s="10" t="str">
        <f t="shared" si="92"/>
        <v>July</v>
      </c>
      <c r="L727">
        <f t="shared" si="93"/>
        <v>2024</v>
      </c>
      <c r="M727" t="b">
        <f t="shared" si="94"/>
        <v>0</v>
      </c>
      <c r="N727" t="b">
        <f t="shared" si="88"/>
        <v>0</v>
      </c>
      <c r="O727" t="str">
        <f t="shared" si="95"/>
        <v>Standard order</v>
      </c>
      <c r="P727" s="7">
        <f t="shared" si="89"/>
        <v>0.50549999999999995</v>
      </c>
      <c r="Q727" s="7" t="str">
        <f>VLOOKUP(D728,Product_Lookup!$A$2:$C$27,2,FALSE)</f>
        <v>Toaster</v>
      </c>
      <c r="R727" s="7">
        <f t="shared" si="90"/>
        <v>121.32</v>
      </c>
    </row>
    <row r="728" spans="1:18" ht="21.75" customHeight="1">
      <c r="A728" t="s">
        <v>879</v>
      </c>
      <c r="B728" s="6">
        <v>45382</v>
      </c>
      <c r="C728" t="s">
        <v>553</v>
      </c>
      <c r="D728" t="s">
        <v>48</v>
      </c>
      <c r="E728" t="s">
        <v>22</v>
      </c>
      <c r="F728" t="s">
        <v>306</v>
      </c>
      <c r="G728" t="s">
        <v>32</v>
      </c>
      <c r="H728">
        <v>12</v>
      </c>
      <c r="I728" t="str">
        <f>VLOOKUP(D728,Product_Lookup!$A$2:$C$27,3,FALSE)</f>
        <v>$208.85</v>
      </c>
      <c r="J728" t="str">
        <f t="shared" si="91"/>
        <v>Sunday</v>
      </c>
      <c r="K728" s="10" t="str">
        <f t="shared" si="92"/>
        <v>March</v>
      </c>
      <c r="L728">
        <f t="shared" si="93"/>
        <v>2024</v>
      </c>
      <c r="M728" t="b">
        <f t="shared" si="94"/>
        <v>1</v>
      </c>
      <c r="N728" t="b">
        <f t="shared" si="88"/>
        <v>1</v>
      </c>
      <c r="O728" t="str">
        <f t="shared" si="95"/>
        <v>Large Order</v>
      </c>
      <c r="P728" s="7">
        <f t="shared" si="89"/>
        <v>10.442500000000001</v>
      </c>
      <c r="Q728" s="7" t="str">
        <f>VLOOKUP(D729,Product_Lookup!$A$2:$C$27,2,FALSE)</f>
        <v>Coffee Maker</v>
      </c>
      <c r="R728" s="7">
        <f t="shared" si="90"/>
        <v>2506.1999999999998</v>
      </c>
    </row>
    <row r="729" spans="1:18" ht="21.75" customHeight="1">
      <c r="A729" t="s">
        <v>880</v>
      </c>
      <c r="B729" s="6">
        <v>45644</v>
      </c>
      <c r="C729" t="s">
        <v>203</v>
      </c>
      <c r="D729" t="s">
        <v>31</v>
      </c>
      <c r="E729" t="s">
        <v>17</v>
      </c>
      <c r="F729" t="s">
        <v>12</v>
      </c>
      <c r="G729" t="s">
        <v>36</v>
      </c>
      <c r="H729">
        <v>2</v>
      </c>
      <c r="I729" t="str">
        <f>VLOOKUP(D729,Product_Lookup!$A$2:$C$27,3,FALSE)</f>
        <v>$230.34</v>
      </c>
      <c r="J729" t="str">
        <f t="shared" si="91"/>
        <v>Wednesday</v>
      </c>
      <c r="K729" s="10" t="str">
        <f t="shared" si="92"/>
        <v>December</v>
      </c>
      <c r="L729">
        <f t="shared" si="93"/>
        <v>2024</v>
      </c>
      <c r="M729" t="b">
        <f t="shared" si="94"/>
        <v>0</v>
      </c>
      <c r="N729" t="b">
        <f t="shared" si="88"/>
        <v>0</v>
      </c>
      <c r="O729" t="str">
        <f t="shared" si="95"/>
        <v>Standard order</v>
      </c>
      <c r="P729" s="7">
        <f t="shared" si="89"/>
        <v>11.517000000000001</v>
      </c>
      <c r="Q729" s="7" t="str">
        <f>VLOOKUP(D730,Product_Lookup!$A$2:$C$27,2,FALSE)</f>
        <v>Board Game</v>
      </c>
      <c r="R729" s="7">
        <f t="shared" si="90"/>
        <v>460.68</v>
      </c>
    </row>
    <row r="730" spans="1:18" ht="21.75" customHeight="1">
      <c r="A730" t="s">
        <v>881</v>
      </c>
      <c r="B730" s="6">
        <v>45401</v>
      </c>
      <c r="C730" t="s">
        <v>240</v>
      </c>
      <c r="D730" t="s">
        <v>41</v>
      </c>
      <c r="E730" t="s">
        <v>22</v>
      </c>
      <c r="F730" t="s">
        <v>56</v>
      </c>
      <c r="G730" t="s">
        <v>23</v>
      </c>
      <c r="H730">
        <v>7</v>
      </c>
      <c r="I730" t="str">
        <f>VLOOKUP(D730,Product_Lookup!$A$2:$C$27,3,FALSE)</f>
        <v>$86.6</v>
      </c>
      <c r="J730" t="str">
        <f t="shared" si="91"/>
        <v>Friday</v>
      </c>
      <c r="K730" s="10" t="str">
        <f t="shared" si="92"/>
        <v>April</v>
      </c>
      <c r="L730">
        <f t="shared" si="93"/>
        <v>2024</v>
      </c>
      <c r="M730" t="b">
        <f t="shared" si="94"/>
        <v>0</v>
      </c>
      <c r="N730" t="b">
        <f t="shared" si="88"/>
        <v>0</v>
      </c>
      <c r="O730" t="str">
        <f t="shared" si="95"/>
        <v>Large Order</v>
      </c>
      <c r="P730" s="7">
        <f t="shared" si="89"/>
        <v>4.33</v>
      </c>
      <c r="Q730" s="7" t="str">
        <f>VLOOKUP(D731,Product_Lookup!$A$2:$C$27,2,FALSE)</f>
        <v>Stapler</v>
      </c>
      <c r="R730" s="7">
        <f t="shared" si="90"/>
        <v>606.19999999999993</v>
      </c>
    </row>
    <row r="731" spans="1:18" ht="21.75" customHeight="1">
      <c r="A731" t="s">
        <v>882</v>
      </c>
      <c r="B731" s="6">
        <v>45554</v>
      </c>
      <c r="C731" t="s">
        <v>138</v>
      </c>
      <c r="D731" t="s">
        <v>35</v>
      </c>
      <c r="E731" t="s">
        <v>22</v>
      </c>
      <c r="F731" t="s">
        <v>12</v>
      </c>
      <c r="G731" t="s">
        <v>36</v>
      </c>
      <c r="H731">
        <v>5</v>
      </c>
      <c r="I731" t="str">
        <f>VLOOKUP(D731,Product_Lookup!$A$2:$C$27,3,FALSE)</f>
        <v>$64.61</v>
      </c>
      <c r="J731" t="str">
        <f t="shared" si="91"/>
        <v>Thursday</v>
      </c>
      <c r="K731" s="10" t="str">
        <f t="shared" si="92"/>
        <v>September</v>
      </c>
      <c r="L731">
        <f t="shared" si="93"/>
        <v>2024</v>
      </c>
      <c r="M731" t="b">
        <f t="shared" si="94"/>
        <v>0</v>
      </c>
      <c r="N731" t="b">
        <f t="shared" si="88"/>
        <v>0</v>
      </c>
      <c r="O731" t="str">
        <f t="shared" si="95"/>
        <v>Standard order</v>
      </c>
      <c r="P731" s="7">
        <f t="shared" si="89"/>
        <v>3.2305000000000001</v>
      </c>
      <c r="Q731" s="7" t="str">
        <f>VLOOKUP(D732,Product_Lookup!$A$2:$C$27,2,FALSE)</f>
        <v>Socks</v>
      </c>
      <c r="R731" s="7">
        <f t="shared" si="90"/>
        <v>323.05</v>
      </c>
    </row>
    <row r="732" spans="1:18" ht="21.75" customHeight="1">
      <c r="A732" t="s">
        <v>883</v>
      </c>
      <c r="B732" s="6">
        <v>45296</v>
      </c>
      <c r="C732" t="s">
        <v>240</v>
      </c>
      <c r="D732" t="s">
        <v>74</v>
      </c>
      <c r="E732" t="s">
        <v>17</v>
      </c>
      <c r="F732" t="s">
        <v>306</v>
      </c>
      <c r="G732" t="s">
        <v>23</v>
      </c>
      <c r="H732">
        <v>9</v>
      </c>
      <c r="I732" t="str">
        <f>VLOOKUP(D732,Product_Lookup!$A$2:$C$27,3,FALSE)</f>
        <v>$201.32</v>
      </c>
      <c r="J732" t="str">
        <f t="shared" si="91"/>
        <v>Friday</v>
      </c>
      <c r="K732" s="10" t="str">
        <f t="shared" si="92"/>
        <v>January</v>
      </c>
      <c r="L732">
        <f t="shared" si="93"/>
        <v>2024</v>
      </c>
      <c r="M732" t="b">
        <f t="shared" si="94"/>
        <v>0</v>
      </c>
      <c r="N732" t="b">
        <f t="shared" si="88"/>
        <v>1</v>
      </c>
      <c r="O732" t="str">
        <f t="shared" si="95"/>
        <v>Large Order</v>
      </c>
      <c r="P732" s="7">
        <f t="shared" si="89"/>
        <v>10.066000000000001</v>
      </c>
      <c r="Q732" s="7" t="str">
        <f>VLOOKUP(D733,Product_Lookup!$A$2:$C$27,2,FALSE)</f>
        <v>Air Fryer</v>
      </c>
      <c r="R732" s="7">
        <f t="shared" si="90"/>
        <v>1811.8799999999999</v>
      </c>
    </row>
    <row r="733" spans="1:18" ht="21.75" customHeight="1">
      <c r="A733" t="s">
        <v>884</v>
      </c>
      <c r="B733" s="6">
        <v>45470</v>
      </c>
      <c r="C733" t="s">
        <v>366</v>
      </c>
      <c r="D733" t="s">
        <v>70</v>
      </c>
      <c r="E733" t="s">
        <v>17</v>
      </c>
      <c r="F733" t="s">
        <v>56</v>
      </c>
      <c r="G733" t="s">
        <v>36</v>
      </c>
      <c r="H733">
        <v>10</v>
      </c>
      <c r="I733" t="str">
        <f>VLOOKUP(D733,Product_Lookup!$A$2:$C$27,3,FALSE)</f>
        <v>$211.9</v>
      </c>
      <c r="J733" t="str">
        <f t="shared" si="91"/>
        <v>Thursday</v>
      </c>
      <c r="K733" s="10" t="str">
        <f t="shared" si="92"/>
        <v>June</v>
      </c>
      <c r="L733">
        <f t="shared" si="93"/>
        <v>2024</v>
      </c>
      <c r="M733" t="b">
        <f t="shared" si="94"/>
        <v>0</v>
      </c>
      <c r="N733" t="b">
        <f t="shared" si="88"/>
        <v>1</v>
      </c>
      <c r="O733" t="str">
        <f t="shared" si="95"/>
        <v>Large Order</v>
      </c>
      <c r="P733" s="7">
        <f t="shared" si="89"/>
        <v>10.595000000000001</v>
      </c>
      <c r="Q733" s="7" t="str">
        <f>VLOOKUP(D734,Product_Lookup!$A$2:$C$27,2,FALSE)</f>
        <v>Notebook</v>
      </c>
      <c r="R733" s="7">
        <f t="shared" si="90"/>
        <v>2119</v>
      </c>
    </row>
    <row r="734" spans="1:18" ht="21.75" customHeight="1">
      <c r="A734" t="s">
        <v>885</v>
      </c>
      <c r="B734" s="6">
        <v>45495</v>
      </c>
      <c r="C734" t="s">
        <v>361</v>
      </c>
      <c r="D734" t="s">
        <v>160</v>
      </c>
      <c r="E734" t="s">
        <v>11</v>
      </c>
      <c r="F734" t="s">
        <v>12</v>
      </c>
      <c r="G734" t="s">
        <v>36</v>
      </c>
      <c r="H734">
        <v>12</v>
      </c>
      <c r="I734" t="str">
        <f>VLOOKUP(D734,Product_Lookup!$A$2:$C$27,3,FALSE)</f>
        <v>$149.27</v>
      </c>
      <c r="J734" t="str">
        <f t="shared" si="91"/>
        <v>Monday</v>
      </c>
      <c r="K734" s="10" t="str">
        <f t="shared" si="92"/>
        <v>July</v>
      </c>
      <c r="L734">
        <f t="shared" si="93"/>
        <v>2024</v>
      </c>
      <c r="M734" t="b">
        <f t="shared" si="94"/>
        <v>0</v>
      </c>
      <c r="N734" t="b">
        <f t="shared" si="88"/>
        <v>1</v>
      </c>
      <c r="O734" t="str">
        <f t="shared" si="95"/>
        <v>Large Order</v>
      </c>
      <c r="P734" s="7">
        <f t="shared" si="89"/>
        <v>7.4635000000000007</v>
      </c>
      <c r="Q734" s="7" t="str">
        <f>VLOOKUP(D735,Product_Lookup!$A$2:$C$27,2,FALSE)</f>
        <v>Stapler</v>
      </c>
      <c r="R734" s="7">
        <f t="shared" si="90"/>
        <v>1791.2400000000002</v>
      </c>
    </row>
    <row r="735" spans="1:18" ht="21.75" customHeight="1">
      <c r="A735" t="s">
        <v>886</v>
      </c>
      <c r="B735" s="6">
        <v>45603</v>
      </c>
      <c r="C735" t="s">
        <v>55</v>
      </c>
      <c r="D735" t="s">
        <v>35</v>
      </c>
      <c r="E735" t="s">
        <v>17</v>
      </c>
      <c r="F735" t="s">
        <v>12</v>
      </c>
      <c r="G735" t="s">
        <v>32</v>
      </c>
      <c r="H735">
        <v>3</v>
      </c>
      <c r="I735" t="str">
        <f>VLOOKUP(D735,Product_Lookup!$A$2:$C$27,3,FALSE)</f>
        <v>$64.61</v>
      </c>
      <c r="J735" t="str">
        <f t="shared" si="91"/>
        <v>Thursday</v>
      </c>
      <c r="K735" s="10" t="str">
        <f t="shared" si="92"/>
        <v>November</v>
      </c>
      <c r="L735">
        <f t="shared" si="93"/>
        <v>2024</v>
      </c>
      <c r="M735" t="b">
        <f t="shared" si="94"/>
        <v>0</v>
      </c>
      <c r="N735" t="b">
        <f t="shared" si="88"/>
        <v>0</v>
      </c>
      <c r="O735" t="str">
        <f t="shared" si="95"/>
        <v>Standard order</v>
      </c>
      <c r="P735" s="7">
        <f t="shared" si="89"/>
        <v>3.2305000000000001</v>
      </c>
      <c r="Q735" s="7" t="str">
        <f>VLOOKUP(D736,Product_Lookup!$A$2:$C$27,2,FALSE)</f>
        <v>Action Figure</v>
      </c>
      <c r="R735" s="7">
        <f t="shared" si="90"/>
        <v>193.82999999999998</v>
      </c>
    </row>
    <row r="736" spans="1:18" ht="21.75" customHeight="1">
      <c r="A736" t="s">
        <v>887</v>
      </c>
      <c r="B736" s="6">
        <v>45619</v>
      </c>
      <c r="C736" t="s">
        <v>187</v>
      </c>
      <c r="D736" t="s">
        <v>21</v>
      </c>
      <c r="E736" t="s">
        <v>17</v>
      </c>
      <c r="F736" t="s">
        <v>42</v>
      </c>
      <c r="G736" t="s">
        <v>36</v>
      </c>
      <c r="H736">
        <v>10</v>
      </c>
      <c r="I736" t="str">
        <f>VLOOKUP(D736,Product_Lookup!$A$2:$C$27,3,FALSE)</f>
        <v>$88.18</v>
      </c>
      <c r="J736" t="str">
        <f t="shared" si="91"/>
        <v>Saturday</v>
      </c>
      <c r="K736" s="10" t="str">
        <f t="shared" si="92"/>
        <v>November</v>
      </c>
      <c r="L736">
        <f t="shared" si="93"/>
        <v>2024</v>
      </c>
      <c r="M736" t="b">
        <f t="shared" si="94"/>
        <v>1</v>
      </c>
      <c r="N736" t="b">
        <f t="shared" si="88"/>
        <v>1</v>
      </c>
      <c r="O736" t="str">
        <f t="shared" si="95"/>
        <v>Large Order</v>
      </c>
      <c r="P736" s="7">
        <f t="shared" si="89"/>
        <v>4.4090000000000007</v>
      </c>
      <c r="Q736" s="7" t="str">
        <f>VLOOKUP(D737,Product_Lookup!$A$2:$C$27,2,FALSE)</f>
        <v>Board Game</v>
      </c>
      <c r="R736" s="7">
        <f t="shared" si="90"/>
        <v>881.80000000000007</v>
      </c>
    </row>
    <row r="737" spans="1:18" ht="21.75" customHeight="1">
      <c r="A737" t="s">
        <v>888</v>
      </c>
      <c r="B737" s="6">
        <v>45415</v>
      </c>
      <c r="C737" t="s">
        <v>131</v>
      </c>
      <c r="D737" t="s">
        <v>41</v>
      </c>
      <c r="E737" t="s">
        <v>22</v>
      </c>
      <c r="F737" t="s">
        <v>27</v>
      </c>
      <c r="G737" t="s">
        <v>13</v>
      </c>
      <c r="H737">
        <v>11</v>
      </c>
      <c r="I737" t="str">
        <f>VLOOKUP(D737,Product_Lookup!$A$2:$C$27,3,FALSE)</f>
        <v>$86.6</v>
      </c>
      <c r="J737" t="str">
        <f t="shared" si="91"/>
        <v>Friday</v>
      </c>
      <c r="K737" s="10" t="str">
        <f t="shared" si="92"/>
        <v>May</v>
      </c>
      <c r="L737">
        <f t="shared" si="93"/>
        <v>2024</v>
      </c>
      <c r="M737" t="b">
        <f t="shared" si="94"/>
        <v>0</v>
      </c>
      <c r="N737" t="b">
        <f t="shared" si="88"/>
        <v>1</v>
      </c>
      <c r="O737" t="str">
        <f t="shared" si="95"/>
        <v>Large Order</v>
      </c>
      <c r="P737" s="7">
        <f t="shared" si="89"/>
        <v>4.33</v>
      </c>
      <c r="Q737" s="7" t="str">
        <f>VLOOKUP(D738,Product_Lookup!$A$2:$C$27,2,FALSE)</f>
        <v>Vacuum</v>
      </c>
      <c r="R737" s="7">
        <f t="shared" si="90"/>
        <v>952.59999999999991</v>
      </c>
    </row>
    <row r="738" spans="1:18" ht="21.75" customHeight="1">
      <c r="A738" t="s">
        <v>889</v>
      </c>
      <c r="B738" s="6">
        <v>45627</v>
      </c>
      <c r="C738" t="s">
        <v>432</v>
      </c>
      <c r="D738" t="s">
        <v>87</v>
      </c>
      <c r="E738" t="s">
        <v>17</v>
      </c>
      <c r="F738" t="s">
        <v>42</v>
      </c>
      <c r="G738" t="s">
        <v>13</v>
      </c>
      <c r="H738">
        <v>13</v>
      </c>
      <c r="I738" t="str">
        <f>VLOOKUP(D738,Product_Lookup!$A$2:$C$27,3,FALSE)</f>
        <v>$26.59</v>
      </c>
      <c r="J738" t="str">
        <f t="shared" si="91"/>
        <v>Sunday</v>
      </c>
      <c r="K738" s="10" t="str">
        <f t="shared" si="92"/>
        <v>December</v>
      </c>
      <c r="L738">
        <f t="shared" si="93"/>
        <v>2024</v>
      </c>
      <c r="M738" t="b">
        <f t="shared" si="94"/>
        <v>1</v>
      </c>
      <c r="N738" t="b">
        <f t="shared" si="88"/>
        <v>0</v>
      </c>
      <c r="O738" t="str">
        <f t="shared" si="95"/>
        <v>Standard order</v>
      </c>
      <c r="P738" s="7">
        <f t="shared" si="89"/>
        <v>1.3295000000000001</v>
      </c>
      <c r="Q738" s="7" t="str">
        <f>VLOOKUP(D739,Product_Lookup!$A$2:$C$27,2,FALSE)</f>
        <v>Blender</v>
      </c>
      <c r="R738" s="7">
        <f t="shared" si="90"/>
        <v>345.67</v>
      </c>
    </row>
    <row r="739" spans="1:18" ht="21.75" customHeight="1">
      <c r="A739" t="s">
        <v>890</v>
      </c>
      <c r="B739" s="6">
        <v>45590</v>
      </c>
      <c r="C739" t="s">
        <v>369</v>
      </c>
      <c r="D739" t="s">
        <v>72</v>
      </c>
      <c r="E739" t="s">
        <v>22</v>
      </c>
      <c r="F739" t="s">
        <v>56</v>
      </c>
      <c r="G739" t="s">
        <v>23</v>
      </c>
      <c r="H739">
        <v>8</v>
      </c>
      <c r="I739" t="str">
        <f>VLOOKUP(D739,Product_Lookup!$A$2:$C$27,3,FALSE)</f>
        <v>$156.44</v>
      </c>
      <c r="J739" t="str">
        <f t="shared" si="91"/>
        <v>Friday</v>
      </c>
      <c r="K739" s="10" t="str">
        <f t="shared" si="92"/>
        <v>October</v>
      </c>
      <c r="L739">
        <f t="shared" si="93"/>
        <v>2024</v>
      </c>
      <c r="M739" t="b">
        <f t="shared" si="94"/>
        <v>0</v>
      </c>
      <c r="N739" t="b">
        <f t="shared" si="88"/>
        <v>1</v>
      </c>
      <c r="O739" t="str">
        <f t="shared" si="95"/>
        <v>Large Order</v>
      </c>
      <c r="P739" s="7">
        <f t="shared" si="89"/>
        <v>7.8220000000000001</v>
      </c>
      <c r="Q739" s="7" t="str">
        <f>VLOOKUP(D740,Product_Lookup!$A$2:$C$27,2,FALSE)</f>
        <v>T-Shirt</v>
      </c>
      <c r="R739" s="7">
        <f t="shared" si="90"/>
        <v>1251.52</v>
      </c>
    </row>
    <row r="740" spans="1:18" ht="21.75" customHeight="1">
      <c r="A740" t="s">
        <v>891</v>
      </c>
      <c r="B740" s="6">
        <v>45635</v>
      </c>
      <c r="C740" t="s">
        <v>182</v>
      </c>
      <c r="D740" t="s">
        <v>45</v>
      </c>
      <c r="E740" t="s">
        <v>22</v>
      </c>
      <c r="F740" t="s">
        <v>42</v>
      </c>
      <c r="G740" t="s">
        <v>13</v>
      </c>
      <c r="H740">
        <v>18</v>
      </c>
      <c r="I740" t="str">
        <f>VLOOKUP(D740,Product_Lookup!$A$2:$C$27,3,FALSE)</f>
        <v>$107.34</v>
      </c>
      <c r="J740" t="str">
        <f t="shared" si="91"/>
        <v>Monday</v>
      </c>
      <c r="K740" s="10" t="str">
        <f t="shared" si="92"/>
        <v>December</v>
      </c>
      <c r="L740">
        <f t="shared" si="93"/>
        <v>2024</v>
      </c>
      <c r="M740" t="b">
        <f t="shared" si="94"/>
        <v>0</v>
      </c>
      <c r="N740" t="b">
        <f t="shared" si="88"/>
        <v>1</v>
      </c>
      <c r="O740" t="str">
        <f t="shared" si="95"/>
        <v>Large Order</v>
      </c>
      <c r="P740" s="7">
        <f t="shared" si="89"/>
        <v>5.3670000000000009</v>
      </c>
      <c r="Q740" s="7" t="str">
        <f>VLOOKUP(D741,Product_Lookup!$A$2:$C$27,2,FALSE)</f>
        <v>Lego Set</v>
      </c>
      <c r="R740" s="7">
        <f t="shared" si="90"/>
        <v>1932.1200000000001</v>
      </c>
    </row>
    <row r="741" spans="1:18" ht="21.75" customHeight="1">
      <c r="A741" t="s">
        <v>892</v>
      </c>
      <c r="B741" s="6">
        <v>45533</v>
      </c>
      <c r="C741" t="s">
        <v>34</v>
      </c>
      <c r="D741" t="s">
        <v>84</v>
      </c>
      <c r="E741" t="s">
        <v>22</v>
      </c>
      <c r="F741" t="s">
        <v>42</v>
      </c>
      <c r="G741" t="s">
        <v>28</v>
      </c>
      <c r="H741">
        <v>18</v>
      </c>
      <c r="I741" t="str">
        <f>VLOOKUP(D741,Product_Lookup!$A$2:$C$27,3,FALSE)</f>
        <v>$130.07</v>
      </c>
      <c r="J741" t="str">
        <f t="shared" si="91"/>
        <v>Thursday</v>
      </c>
      <c r="K741" s="10" t="str">
        <f t="shared" si="92"/>
        <v>August</v>
      </c>
      <c r="L741">
        <f t="shared" si="93"/>
        <v>2024</v>
      </c>
      <c r="M741" t="b">
        <f t="shared" si="94"/>
        <v>0</v>
      </c>
      <c r="N741" t="b">
        <f t="shared" si="88"/>
        <v>1</v>
      </c>
      <c r="O741" t="str">
        <f t="shared" si="95"/>
        <v>Large Order</v>
      </c>
      <c r="P741" s="7">
        <f t="shared" si="89"/>
        <v>6.5034999999999998</v>
      </c>
      <c r="Q741" s="7" t="str">
        <f>VLOOKUP(D742,Product_Lookup!$A$2:$C$27,2,FALSE)</f>
        <v>Jacket</v>
      </c>
      <c r="R741" s="7">
        <f t="shared" si="90"/>
        <v>2341.2599999999998</v>
      </c>
    </row>
    <row r="742" spans="1:18" ht="21.75" customHeight="1">
      <c r="A742" t="s">
        <v>893</v>
      </c>
      <c r="B742" s="6">
        <v>45640</v>
      </c>
      <c r="C742" t="s">
        <v>118</v>
      </c>
      <c r="D742" t="s">
        <v>197</v>
      </c>
      <c r="E742" t="s">
        <v>22</v>
      </c>
      <c r="F742" t="s">
        <v>12</v>
      </c>
      <c r="G742" t="s">
        <v>32</v>
      </c>
      <c r="H742">
        <v>12</v>
      </c>
      <c r="I742" t="str">
        <f>VLOOKUP(D742,Product_Lookup!$A$2:$C$27,3,FALSE)</f>
        <v>$10.11</v>
      </c>
      <c r="J742" t="str">
        <f t="shared" si="91"/>
        <v>Saturday</v>
      </c>
      <c r="K742" s="10" t="str">
        <f t="shared" si="92"/>
        <v>December</v>
      </c>
      <c r="L742">
        <f t="shared" si="93"/>
        <v>2024</v>
      </c>
      <c r="M742" t="b">
        <f t="shared" si="94"/>
        <v>1</v>
      </c>
      <c r="N742" t="b">
        <f t="shared" si="88"/>
        <v>0</v>
      </c>
      <c r="O742" t="str">
        <f t="shared" si="95"/>
        <v>Standard order</v>
      </c>
      <c r="P742" s="7">
        <f t="shared" si="89"/>
        <v>0.50549999999999995</v>
      </c>
      <c r="Q742" s="7" t="str">
        <f>VLOOKUP(D743,Product_Lookup!$A$2:$C$27,2,FALSE)</f>
        <v>Sweater</v>
      </c>
      <c r="R742" s="7">
        <f t="shared" si="90"/>
        <v>121.32</v>
      </c>
    </row>
    <row r="743" spans="1:18" ht="21.75" customHeight="1">
      <c r="A743" t="s">
        <v>894</v>
      </c>
      <c r="B743" s="6">
        <v>45507</v>
      </c>
      <c r="C743" t="s">
        <v>728</v>
      </c>
      <c r="D743" t="s">
        <v>26</v>
      </c>
      <c r="E743" t="s">
        <v>17</v>
      </c>
      <c r="F743" t="s">
        <v>42</v>
      </c>
      <c r="G743" t="s">
        <v>13</v>
      </c>
      <c r="H743">
        <v>19</v>
      </c>
      <c r="I743" t="str">
        <f>VLOOKUP(D743,Product_Lookup!$A$2:$C$27,3,FALSE)</f>
        <v>$84.57</v>
      </c>
      <c r="J743" t="str">
        <f t="shared" si="91"/>
        <v>Saturday</v>
      </c>
      <c r="K743" s="10" t="str">
        <f t="shared" si="92"/>
        <v>August</v>
      </c>
      <c r="L743">
        <f t="shared" si="93"/>
        <v>2024</v>
      </c>
      <c r="M743" t="b">
        <f t="shared" si="94"/>
        <v>1</v>
      </c>
      <c r="N743" t="b">
        <f t="shared" si="88"/>
        <v>1</v>
      </c>
      <c r="O743" t="str">
        <f t="shared" si="95"/>
        <v>Large Order</v>
      </c>
      <c r="P743" s="7">
        <f t="shared" si="89"/>
        <v>4.2284999999999995</v>
      </c>
      <c r="Q743" s="7" t="str">
        <f>VLOOKUP(D744,Product_Lookup!$A$2:$C$27,2,FALSE)</f>
        <v>Desk Lamp</v>
      </c>
      <c r="R743" s="7">
        <f t="shared" si="90"/>
        <v>1606.83</v>
      </c>
    </row>
    <row r="744" spans="1:18" ht="21.75" customHeight="1">
      <c r="A744" t="s">
        <v>895</v>
      </c>
      <c r="B744" s="6">
        <v>45532</v>
      </c>
      <c r="C744" t="s">
        <v>9</v>
      </c>
      <c r="D744" t="s">
        <v>59</v>
      </c>
      <c r="E744" t="s">
        <v>22</v>
      </c>
      <c r="F744" t="s">
        <v>306</v>
      </c>
      <c r="G744" t="s">
        <v>28</v>
      </c>
      <c r="H744">
        <v>20</v>
      </c>
      <c r="I744" t="str">
        <f>VLOOKUP(D744,Product_Lookup!$A$2:$C$27,3,FALSE)</f>
        <v>$101.96</v>
      </c>
      <c r="J744" t="str">
        <f t="shared" si="91"/>
        <v>Wednesday</v>
      </c>
      <c r="K744" s="10" t="str">
        <f t="shared" si="92"/>
        <v>August</v>
      </c>
      <c r="L744">
        <f t="shared" si="93"/>
        <v>2024</v>
      </c>
      <c r="M744" t="b">
        <f t="shared" si="94"/>
        <v>0</v>
      </c>
      <c r="N744" t="b">
        <f t="shared" si="88"/>
        <v>1</v>
      </c>
      <c r="O744" t="str">
        <f t="shared" si="95"/>
        <v>Large Order</v>
      </c>
      <c r="P744" s="7">
        <f t="shared" si="89"/>
        <v>5.0979999999999999</v>
      </c>
      <c r="Q744" s="7" t="str">
        <f>VLOOKUP(D745,Product_Lookup!$A$2:$C$27,2,FALSE)</f>
        <v>Notebook</v>
      </c>
      <c r="R744" s="7">
        <f t="shared" si="90"/>
        <v>2039.1999999999998</v>
      </c>
    </row>
    <row r="745" spans="1:18" ht="21.75" customHeight="1">
      <c r="A745" t="s">
        <v>896</v>
      </c>
      <c r="B745" s="6">
        <v>45548</v>
      </c>
      <c r="C745" t="s">
        <v>114</v>
      </c>
      <c r="D745" t="s">
        <v>160</v>
      </c>
      <c r="E745" t="s">
        <v>22</v>
      </c>
      <c r="F745" t="s">
        <v>27</v>
      </c>
      <c r="G745" t="s">
        <v>28</v>
      </c>
      <c r="H745">
        <v>10</v>
      </c>
      <c r="I745" t="str">
        <f>VLOOKUP(D745,Product_Lookup!$A$2:$C$27,3,FALSE)</f>
        <v>$149.27</v>
      </c>
      <c r="J745" t="str">
        <f t="shared" si="91"/>
        <v>Friday</v>
      </c>
      <c r="K745" s="10" t="str">
        <f t="shared" si="92"/>
        <v>September</v>
      </c>
      <c r="L745">
        <f t="shared" si="93"/>
        <v>2024</v>
      </c>
      <c r="M745" t="b">
        <f t="shared" si="94"/>
        <v>0</v>
      </c>
      <c r="N745" t="b">
        <f t="shared" si="88"/>
        <v>1</v>
      </c>
      <c r="O745" t="str">
        <f t="shared" si="95"/>
        <v>Large Order</v>
      </c>
      <c r="P745" s="7">
        <f t="shared" si="89"/>
        <v>7.4635000000000007</v>
      </c>
      <c r="Q745" s="7" t="str">
        <f>VLOOKUP(D746,Product_Lookup!$A$2:$C$27,2,FALSE)</f>
        <v>Desk Lamp</v>
      </c>
      <c r="R745" s="7">
        <f t="shared" si="90"/>
        <v>1492.7</v>
      </c>
    </row>
    <row r="746" spans="1:18" ht="21.75" customHeight="1">
      <c r="A746" t="s">
        <v>897</v>
      </c>
      <c r="B746" s="6">
        <v>45362</v>
      </c>
      <c r="C746" t="s">
        <v>104</v>
      </c>
      <c r="D746" t="s">
        <v>59</v>
      </c>
      <c r="E746" t="s">
        <v>17</v>
      </c>
      <c r="F746" t="s">
        <v>27</v>
      </c>
      <c r="G746" t="s">
        <v>28</v>
      </c>
      <c r="H746">
        <v>15</v>
      </c>
      <c r="I746" t="str">
        <f>VLOOKUP(D746,Product_Lookup!$A$2:$C$27,3,FALSE)</f>
        <v>$101.96</v>
      </c>
      <c r="J746" t="str">
        <f t="shared" si="91"/>
        <v>Monday</v>
      </c>
      <c r="K746" s="10" t="str">
        <f t="shared" si="92"/>
        <v>March</v>
      </c>
      <c r="L746">
        <f t="shared" si="93"/>
        <v>2024</v>
      </c>
      <c r="M746" t="b">
        <f t="shared" si="94"/>
        <v>0</v>
      </c>
      <c r="N746" t="b">
        <f t="shared" si="88"/>
        <v>1</v>
      </c>
      <c r="O746" t="str">
        <f t="shared" si="95"/>
        <v>Large Order</v>
      </c>
      <c r="P746" s="7">
        <f t="shared" si="89"/>
        <v>5.0979999999999999</v>
      </c>
      <c r="Q746" s="7" t="str">
        <f>VLOOKUP(D747,Product_Lookup!$A$2:$C$27,2,FALSE)</f>
        <v>Blender</v>
      </c>
      <c r="R746" s="7">
        <f t="shared" si="90"/>
        <v>1529.3999999999999</v>
      </c>
    </row>
    <row r="747" spans="1:18" ht="21.75" customHeight="1">
      <c r="A747" t="s">
        <v>898</v>
      </c>
      <c r="B747" s="6">
        <v>45333</v>
      </c>
      <c r="C747" t="s">
        <v>374</v>
      </c>
      <c r="D747" t="s">
        <v>72</v>
      </c>
      <c r="E747" t="s">
        <v>17</v>
      </c>
      <c r="F747" t="s">
        <v>56</v>
      </c>
      <c r="G747" t="s">
        <v>32</v>
      </c>
      <c r="H747">
        <v>2</v>
      </c>
      <c r="I747" t="str">
        <f>VLOOKUP(D747,Product_Lookup!$A$2:$C$27,3,FALSE)</f>
        <v>$156.44</v>
      </c>
      <c r="J747" t="str">
        <f t="shared" si="91"/>
        <v>Sunday</v>
      </c>
      <c r="K747" s="10" t="str">
        <f t="shared" si="92"/>
        <v>February</v>
      </c>
      <c r="L747">
        <f t="shared" si="93"/>
        <v>2024</v>
      </c>
      <c r="M747" t="b">
        <f t="shared" si="94"/>
        <v>1</v>
      </c>
      <c r="N747" t="b">
        <f t="shared" si="88"/>
        <v>0</v>
      </c>
      <c r="O747" t="str">
        <f t="shared" si="95"/>
        <v>Standard order</v>
      </c>
      <c r="P747" s="7">
        <f t="shared" si="89"/>
        <v>7.8220000000000001</v>
      </c>
      <c r="Q747" s="7" t="str">
        <f>VLOOKUP(D748,Product_Lookup!$A$2:$C$27,2,FALSE)</f>
        <v>Doll</v>
      </c>
      <c r="R747" s="7">
        <f t="shared" si="90"/>
        <v>312.88</v>
      </c>
    </row>
    <row r="748" spans="1:18" ht="21.75" customHeight="1">
      <c r="A748" t="s">
        <v>899</v>
      </c>
      <c r="B748" s="6">
        <v>45399</v>
      </c>
      <c r="C748" t="s">
        <v>332</v>
      </c>
      <c r="D748" t="s">
        <v>119</v>
      </c>
      <c r="E748" t="s">
        <v>11</v>
      </c>
      <c r="F748" t="s">
        <v>306</v>
      </c>
      <c r="G748" t="s">
        <v>13</v>
      </c>
      <c r="H748">
        <v>6</v>
      </c>
      <c r="I748" t="str">
        <f>VLOOKUP(D748,Product_Lookup!$A$2:$C$27,3,FALSE)</f>
        <v>$32.94</v>
      </c>
      <c r="J748" t="str">
        <f t="shared" si="91"/>
        <v>Wednesday</v>
      </c>
      <c r="K748" s="10" t="str">
        <f t="shared" si="92"/>
        <v>April</v>
      </c>
      <c r="L748">
        <f t="shared" si="93"/>
        <v>2024</v>
      </c>
      <c r="M748" t="b">
        <f t="shared" si="94"/>
        <v>0</v>
      </c>
      <c r="N748" t="b">
        <f t="shared" si="88"/>
        <v>0</v>
      </c>
      <c r="O748" t="str">
        <f t="shared" si="95"/>
        <v>Standard order</v>
      </c>
      <c r="P748" s="7">
        <f t="shared" si="89"/>
        <v>1.647</v>
      </c>
      <c r="Q748" s="7" t="str">
        <f>VLOOKUP(D749,Product_Lookup!$A$2:$C$27,2,FALSE)</f>
        <v>Coffee Maker</v>
      </c>
      <c r="R748" s="7">
        <f t="shared" si="90"/>
        <v>197.64</v>
      </c>
    </row>
    <row r="749" spans="1:18" ht="21.75" customHeight="1">
      <c r="A749" t="s">
        <v>900</v>
      </c>
      <c r="B749" s="6">
        <v>45358</v>
      </c>
      <c r="C749" t="s">
        <v>594</v>
      </c>
      <c r="D749" t="s">
        <v>31</v>
      </c>
      <c r="E749" t="s">
        <v>17</v>
      </c>
      <c r="F749" t="s">
        <v>27</v>
      </c>
      <c r="G749" t="s">
        <v>23</v>
      </c>
      <c r="H749">
        <v>14</v>
      </c>
      <c r="I749" t="str">
        <f>VLOOKUP(D749,Product_Lookup!$A$2:$C$27,3,FALSE)</f>
        <v>$230.34</v>
      </c>
      <c r="J749" t="str">
        <f t="shared" si="91"/>
        <v>Thursday</v>
      </c>
      <c r="K749" s="10" t="str">
        <f t="shared" si="92"/>
        <v>March</v>
      </c>
      <c r="L749">
        <f t="shared" si="93"/>
        <v>2024</v>
      </c>
      <c r="M749" t="b">
        <f t="shared" si="94"/>
        <v>0</v>
      </c>
      <c r="N749" t="b">
        <f t="shared" si="88"/>
        <v>1</v>
      </c>
      <c r="O749" t="str">
        <f t="shared" si="95"/>
        <v>Large Order</v>
      </c>
      <c r="P749" s="7">
        <f t="shared" si="89"/>
        <v>11.517000000000001</v>
      </c>
      <c r="Q749" s="7" t="str">
        <f>VLOOKUP(D750,Product_Lookup!$A$2:$C$27,2,FALSE)</f>
        <v>Lego Set</v>
      </c>
      <c r="R749" s="7">
        <f t="shared" si="90"/>
        <v>3224.76</v>
      </c>
    </row>
    <row r="750" spans="1:18" ht="21.75" customHeight="1">
      <c r="A750" t="s">
        <v>901</v>
      </c>
      <c r="B750" s="6">
        <v>45294</v>
      </c>
      <c r="C750" t="s">
        <v>122</v>
      </c>
      <c r="D750" t="s">
        <v>84</v>
      </c>
      <c r="E750" t="s">
        <v>22</v>
      </c>
      <c r="F750" t="s">
        <v>56</v>
      </c>
      <c r="G750" t="s">
        <v>32</v>
      </c>
      <c r="H750">
        <v>12</v>
      </c>
      <c r="I750" t="str">
        <f>VLOOKUP(D750,Product_Lookup!$A$2:$C$27,3,FALSE)</f>
        <v>$130.07</v>
      </c>
      <c r="J750" t="str">
        <f t="shared" si="91"/>
        <v>Wednesday</v>
      </c>
      <c r="K750" s="10" t="str">
        <f t="shared" si="92"/>
        <v>January</v>
      </c>
      <c r="L750">
        <f t="shared" si="93"/>
        <v>2024</v>
      </c>
      <c r="M750" t="b">
        <f t="shared" si="94"/>
        <v>0</v>
      </c>
      <c r="N750" t="b">
        <f t="shared" si="88"/>
        <v>1</v>
      </c>
      <c r="O750" t="str">
        <f t="shared" si="95"/>
        <v>Large Order</v>
      </c>
      <c r="P750" s="7">
        <f t="shared" si="89"/>
        <v>6.5034999999999998</v>
      </c>
      <c r="Q750" s="7" t="str">
        <f>VLOOKUP(D751,Product_Lookup!$A$2:$C$27,2,FALSE)</f>
        <v>Action Figure</v>
      </c>
      <c r="R750" s="7">
        <f t="shared" si="90"/>
        <v>1560.84</v>
      </c>
    </row>
    <row r="751" spans="1:18" ht="21.75" customHeight="1">
      <c r="A751" t="s">
        <v>902</v>
      </c>
      <c r="B751" s="6">
        <v>45563</v>
      </c>
      <c r="C751" t="s">
        <v>150</v>
      </c>
      <c r="D751" t="s">
        <v>21</v>
      </c>
      <c r="E751" t="s">
        <v>11</v>
      </c>
      <c r="F751" t="s">
        <v>12</v>
      </c>
      <c r="G751" t="s">
        <v>32</v>
      </c>
      <c r="H751">
        <v>8</v>
      </c>
      <c r="I751" t="str">
        <f>VLOOKUP(D751,Product_Lookup!$A$2:$C$27,3,FALSE)</f>
        <v>$88.18</v>
      </c>
      <c r="J751" t="str">
        <f t="shared" si="91"/>
        <v>Saturday</v>
      </c>
      <c r="K751" s="10" t="str">
        <f t="shared" si="92"/>
        <v>September</v>
      </c>
      <c r="L751">
        <f t="shared" si="93"/>
        <v>2024</v>
      </c>
      <c r="M751" t="b">
        <f t="shared" si="94"/>
        <v>1</v>
      </c>
      <c r="N751" t="b">
        <f t="shared" si="88"/>
        <v>0</v>
      </c>
      <c r="O751" t="str">
        <f t="shared" si="95"/>
        <v>Large Order</v>
      </c>
      <c r="P751" s="7">
        <f t="shared" si="89"/>
        <v>4.4090000000000007</v>
      </c>
      <c r="Q751" s="7" t="str">
        <f>VLOOKUP(D752,Product_Lookup!$A$2:$C$27,2,FALSE)</f>
        <v>Notebook</v>
      </c>
      <c r="R751" s="7">
        <f t="shared" si="90"/>
        <v>705.44</v>
      </c>
    </row>
    <row r="752" spans="1:18" ht="21.75" customHeight="1">
      <c r="A752" t="s">
        <v>903</v>
      </c>
      <c r="B752" s="6">
        <v>45451</v>
      </c>
      <c r="C752" t="s">
        <v>34</v>
      </c>
      <c r="D752" t="s">
        <v>160</v>
      </c>
      <c r="E752" t="s">
        <v>11</v>
      </c>
      <c r="F752" t="s">
        <v>27</v>
      </c>
      <c r="G752" t="s">
        <v>13</v>
      </c>
      <c r="H752">
        <v>19</v>
      </c>
      <c r="I752" t="str">
        <f>VLOOKUP(D752,Product_Lookup!$A$2:$C$27,3,FALSE)</f>
        <v>$149.27</v>
      </c>
      <c r="J752" t="str">
        <f t="shared" si="91"/>
        <v>Saturday</v>
      </c>
      <c r="K752" s="10" t="str">
        <f t="shared" si="92"/>
        <v>June</v>
      </c>
      <c r="L752">
        <f t="shared" si="93"/>
        <v>2024</v>
      </c>
      <c r="M752" t="b">
        <f t="shared" si="94"/>
        <v>1</v>
      </c>
      <c r="N752" t="b">
        <f t="shared" si="88"/>
        <v>1</v>
      </c>
      <c r="O752" t="str">
        <f t="shared" si="95"/>
        <v>Large Order</v>
      </c>
      <c r="P752" s="7">
        <f t="shared" si="89"/>
        <v>7.4635000000000007</v>
      </c>
      <c r="Q752" s="7" t="str">
        <f>VLOOKUP(D753,Product_Lookup!$A$2:$C$27,2,FALSE)</f>
        <v>Lego Set</v>
      </c>
      <c r="R752" s="7">
        <f t="shared" si="90"/>
        <v>2836.13</v>
      </c>
    </row>
    <row r="753" spans="1:18" ht="21.75" customHeight="1">
      <c r="A753" t="s">
        <v>904</v>
      </c>
      <c r="B753" s="6">
        <v>45315</v>
      </c>
      <c r="C753" t="s">
        <v>68</v>
      </c>
      <c r="D753" t="s">
        <v>84</v>
      </c>
      <c r="E753" t="s">
        <v>17</v>
      </c>
      <c r="F753" t="s">
        <v>27</v>
      </c>
      <c r="G753" t="s">
        <v>32</v>
      </c>
      <c r="H753">
        <v>17</v>
      </c>
      <c r="I753" t="str">
        <f>VLOOKUP(D753,Product_Lookup!$A$2:$C$27,3,FALSE)</f>
        <v>$130.07</v>
      </c>
      <c r="J753" t="str">
        <f t="shared" si="91"/>
        <v>Wednesday</v>
      </c>
      <c r="K753" s="10" t="str">
        <f t="shared" si="92"/>
        <v>January</v>
      </c>
      <c r="L753">
        <f t="shared" si="93"/>
        <v>2024</v>
      </c>
      <c r="M753" t="b">
        <f t="shared" si="94"/>
        <v>0</v>
      </c>
      <c r="N753" t="b">
        <f t="shared" si="88"/>
        <v>1</v>
      </c>
      <c r="O753" t="str">
        <f t="shared" si="95"/>
        <v>Large Order</v>
      </c>
      <c r="P753" s="7">
        <f t="shared" si="89"/>
        <v>6.5034999999999998</v>
      </c>
      <c r="Q753" s="7" t="str">
        <f>VLOOKUP(D754,Product_Lookup!$A$2:$C$27,2,FALSE)</f>
        <v>Stapler</v>
      </c>
      <c r="R753" s="7">
        <f t="shared" si="90"/>
        <v>2211.19</v>
      </c>
    </row>
    <row r="754" spans="1:18" ht="21.75" customHeight="1">
      <c r="A754" t="s">
        <v>905</v>
      </c>
      <c r="B754" s="6">
        <v>45514</v>
      </c>
      <c r="C754" t="s">
        <v>455</v>
      </c>
      <c r="D754" t="s">
        <v>35</v>
      </c>
      <c r="E754" t="s">
        <v>11</v>
      </c>
      <c r="F754" t="s">
        <v>42</v>
      </c>
      <c r="G754" t="s">
        <v>28</v>
      </c>
      <c r="H754">
        <v>12</v>
      </c>
      <c r="I754" t="str">
        <f>VLOOKUP(D754,Product_Lookup!$A$2:$C$27,3,FALSE)</f>
        <v>$64.61</v>
      </c>
      <c r="J754" t="str">
        <f t="shared" si="91"/>
        <v>Saturday</v>
      </c>
      <c r="K754" s="10" t="str">
        <f t="shared" si="92"/>
        <v>August</v>
      </c>
      <c r="L754">
        <f t="shared" si="93"/>
        <v>2024</v>
      </c>
      <c r="M754" t="b">
        <f t="shared" si="94"/>
        <v>1</v>
      </c>
      <c r="N754" t="b">
        <f t="shared" si="88"/>
        <v>1</v>
      </c>
      <c r="O754" t="str">
        <f t="shared" si="95"/>
        <v>Large Order</v>
      </c>
      <c r="P754" s="7">
        <f t="shared" si="89"/>
        <v>3.2305000000000001</v>
      </c>
      <c r="Q754" s="7" t="str">
        <f>VLOOKUP(D755,Product_Lookup!$A$2:$C$27,2,FALSE)</f>
        <v>Lego Set</v>
      </c>
      <c r="R754" s="7">
        <f t="shared" si="90"/>
        <v>775.31999999999994</v>
      </c>
    </row>
    <row r="755" spans="1:18" ht="21.75" customHeight="1">
      <c r="A755" t="s">
        <v>906</v>
      </c>
      <c r="B755" s="6">
        <v>45498</v>
      </c>
      <c r="C755" t="s">
        <v>138</v>
      </c>
      <c r="D755" t="s">
        <v>84</v>
      </c>
      <c r="E755" t="s">
        <v>11</v>
      </c>
      <c r="F755" t="s">
        <v>56</v>
      </c>
      <c r="G755" t="s">
        <v>13</v>
      </c>
      <c r="H755">
        <v>5</v>
      </c>
      <c r="I755" t="str">
        <f>VLOOKUP(D755,Product_Lookup!$A$2:$C$27,3,FALSE)</f>
        <v>$130.07</v>
      </c>
      <c r="J755" t="str">
        <f t="shared" si="91"/>
        <v>Thursday</v>
      </c>
      <c r="K755" s="10" t="str">
        <f t="shared" si="92"/>
        <v>July</v>
      </c>
      <c r="L755">
        <f t="shared" si="93"/>
        <v>2024</v>
      </c>
      <c r="M755" t="b">
        <f t="shared" si="94"/>
        <v>0</v>
      </c>
      <c r="N755" t="b">
        <f t="shared" si="88"/>
        <v>0</v>
      </c>
      <c r="O755" t="str">
        <f t="shared" si="95"/>
        <v>Large Order</v>
      </c>
      <c r="P755" s="7">
        <f t="shared" si="89"/>
        <v>6.5034999999999998</v>
      </c>
      <c r="Q755" s="7" t="str">
        <f>VLOOKUP(D756,Product_Lookup!$A$2:$C$27,2,FALSE)</f>
        <v>Toaster</v>
      </c>
      <c r="R755" s="7">
        <f t="shared" si="90"/>
        <v>650.34999999999991</v>
      </c>
    </row>
    <row r="756" spans="1:18" ht="21.75" customHeight="1">
      <c r="A756" t="s">
        <v>907</v>
      </c>
      <c r="B756" s="6">
        <v>45593</v>
      </c>
      <c r="C756" t="s">
        <v>358</v>
      </c>
      <c r="D756" t="s">
        <v>48</v>
      </c>
      <c r="E756" t="s">
        <v>11</v>
      </c>
      <c r="F756" t="s">
        <v>12</v>
      </c>
      <c r="G756" t="s">
        <v>32</v>
      </c>
      <c r="H756">
        <v>2</v>
      </c>
      <c r="I756" t="str">
        <f>VLOOKUP(D756,Product_Lookup!$A$2:$C$27,3,FALSE)</f>
        <v>$208.85</v>
      </c>
      <c r="J756" t="str">
        <f t="shared" si="91"/>
        <v>Monday</v>
      </c>
      <c r="K756" s="10" t="str">
        <f t="shared" si="92"/>
        <v>October</v>
      </c>
      <c r="L756">
        <f t="shared" si="93"/>
        <v>2024</v>
      </c>
      <c r="M756" t="b">
        <f t="shared" si="94"/>
        <v>0</v>
      </c>
      <c r="N756" t="b">
        <f t="shared" si="88"/>
        <v>0</v>
      </c>
      <c r="O756" t="str">
        <f t="shared" si="95"/>
        <v>Standard order</v>
      </c>
      <c r="P756" s="7">
        <f t="shared" si="89"/>
        <v>10.442500000000001</v>
      </c>
      <c r="Q756" s="7" t="str">
        <f>VLOOKUP(D757,Product_Lookup!$A$2:$C$27,2,FALSE)</f>
        <v>Smartphone</v>
      </c>
      <c r="R756" s="7">
        <f t="shared" si="90"/>
        <v>417.7</v>
      </c>
    </row>
    <row r="757" spans="1:18" ht="21.75" customHeight="1">
      <c r="A757" t="s">
        <v>908</v>
      </c>
      <c r="B757" s="6">
        <v>45565</v>
      </c>
      <c r="C757" t="s">
        <v>381</v>
      </c>
      <c r="D757" t="s">
        <v>79</v>
      </c>
      <c r="E757" t="s">
        <v>11</v>
      </c>
      <c r="F757" t="s">
        <v>306</v>
      </c>
      <c r="G757" t="s">
        <v>13</v>
      </c>
      <c r="H757">
        <v>4</v>
      </c>
      <c r="I757" t="str">
        <f>VLOOKUP(D757,Product_Lookup!$A$2:$C$27,3,FALSE)</f>
        <v>$216.22</v>
      </c>
      <c r="J757" t="str">
        <f t="shared" si="91"/>
        <v>Monday</v>
      </c>
      <c r="K757" s="10" t="str">
        <f t="shared" si="92"/>
        <v>September</v>
      </c>
      <c r="L757">
        <f t="shared" si="93"/>
        <v>2024</v>
      </c>
      <c r="M757" t="b">
        <f t="shared" si="94"/>
        <v>0</v>
      </c>
      <c r="N757" t="b">
        <f t="shared" si="88"/>
        <v>0</v>
      </c>
      <c r="O757" t="str">
        <f t="shared" si="95"/>
        <v>Large Order</v>
      </c>
      <c r="P757" s="7">
        <f t="shared" si="89"/>
        <v>10.811</v>
      </c>
      <c r="Q757" s="7" t="str">
        <f>VLOOKUP(D758,Product_Lookup!$A$2:$C$27,2,FALSE)</f>
        <v>Air Fryer</v>
      </c>
      <c r="R757" s="7">
        <f t="shared" si="90"/>
        <v>864.88</v>
      </c>
    </row>
    <row r="758" spans="1:18" ht="21.75" customHeight="1">
      <c r="A758" t="s">
        <v>909</v>
      </c>
      <c r="B758" s="6">
        <v>45316</v>
      </c>
      <c r="C758" t="s">
        <v>465</v>
      </c>
      <c r="D758" t="s">
        <v>70</v>
      </c>
      <c r="E758" t="s">
        <v>11</v>
      </c>
      <c r="F758" t="s">
        <v>27</v>
      </c>
      <c r="G758" t="s">
        <v>32</v>
      </c>
      <c r="H758">
        <v>13</v>
      </c>
      <c r="I758" t="str">
        <f>VLOOKUP(D758,Product_Lookup!$A$2:$C$27,3,FALSE)</f>
        <v>$211.9</v>
      </c>
      <c r="J758" t="str">
        <f t="shared" si="91"/>
        <v>Thursday</v>
      </c>
      <c r="K758" s="10" t="str">
        <f t="shared" si="92"/>
        <v>January</v>
      </c>
      <c r="L758">
        <f t="shared" si="93"/>
        <v>2024</v>
      </c>
      <c r="M758" t="b">
        <f t="shared" si="94"/>
        <v>0</v>
      </c>
      <c r="N758" t="b">
        <f t="shared" si="88"/>
        <v>1</v>
      </c>
      <c r="O758" t="str">
        <f t="shared" si="95"/>
        <v>Large Order</v>
      </c>
      <c r="P758" s="7">
        <f t="shared" si="89"/>
        <v>10.595000000000001</v>
      </c>
      <c r="Q758" s="7" t="str">
        <f>VLOOKUP(D759,Product_Lookup!$A$2:$C$27,2,FALSE)</f>
        <v>Puzzle</v>
      </c>
      <c r="R758" s="7">
        <f t="shared" si="90"/>
        <v>2754.7000000000003</v>
      </c>
    </row>
    <row r="759" spans="1:18" ht="21.75" customHeight="1">
      <c r="A759" t="s">
        <v>910</v>
      </c>
      <c r="B759" s="6">
        <v>45534</v>
      </c>
      <c r="C759" t="s">
        <v>424</v>
      </c>
      <c r="D759" t="s">
        <v>62</v>
      </c>
      <c r="E759" t="s">
        <v>11</v>
      </c>
      <c r="F759" t="s">
        <v>56</v>
      </c>
      <c r="G759" t="s">
        <v>13</v>
      </c>
      <c r="H759">
        <v>1</v>
      </c>
      <c r="I759" t="str">
        <f>VLOOKUP(D759,Product_Lookup!$A$2:$C$27,3,FALSE)</f>
        <v>$46.19</v>
      </c>
      <c r="J759" t="str">
        <f t="shared" si="91"/>
        <v>Friday</v>
      </c>
      <c r="K759" s="10" t="str">
        <f t="shared" si="92"/>
        <v>August</v>
      </c>
      <c r="L759">
        <f t="shared" si="93"/>
        <v>2024</v>
      </c>
      <c r="M759" t="b">
        <f t="shared" si="94"/>
        <v>0</v>
      </c>
      <c r="N759" t="b">
        <f t="shared" si="88"/>
        <v>0</v>
      </c>
      <c r="O759" t="str">
        <f t="shared" si="95"/>
        <v>Standard order</v>
      </c>
      <c r="P759" s="7">
        <f t="shared" si="89"/>
        <v>2.3094999999999999</v>
      </c>
      <c r="Q759" s="7" t="str">
        <f>VLOOKUP(D760,Product_Lookup!$A$2:$C$27,2,FALSE)</f>
        <v>Paper Shredder</v>
      </c>
      <c r="R759" s="7">
        <f t="shared" si="90"/>
        <v>46.19</v>
      </c>
    </row>
    <row r="760" spans="1:18" ht="21.75" customHeight="1">
      <c r="A760" t="s">
        <v>911</v>
      </c>
      <c r="B760" s="6">
        <v>45631</v>
      </c>
      <c r="C760" t="s">
        <v>363</v>
      </c>
      <c r="D760" t="s">
        <v>109</v>
      </c>
      <c r="E760" t="s">
        <v>17</v>
      </c>
      <c r="F760" t="s">
        <v>306</v>
      </c>
      <c r="G760" t="s">
        <v>13</v>
      </c>
      <c r="H760">
        <v>5</v>
      </c>
      <c r="I760" t="str">
        <f>VLOOKUP(D760,Product_Lookup!$A$2:$C$27,3,FALSE)</f>
        <v>$81.02</v>
      </c>
      <c r="J760" t="str">
        <f t="shared" si="91"/>
        <v>Thursday</v>
      </c>
      <c r="K760" s="10" t="str">
        <f t="shared" si="92"/>
        <v>December</v>
      </c>
      <c r="L760">
        <f t="shared" si="93"/>
        <v>2024</v>
      </c>
      <c r="M760" t="b">
        <f t="shared" si="94"/>
        <v>0</v>
      </c>
      <c r="N760" t="b">
        <f t="shared" si="88"/>
        <v>0</v>
      </c>
      <c r="O760" t="str">
        <f t="shared" si="95"/>
        <v>Standard order</v>
      </c>
      <c r="P760" s="7">
        <f t="shared" si="89"/>
        <v>4.0510000000000002</v>
      </c>
      <c r="Q760" s="7" t="str">
        <f>VLOOKUP(D761,Product_Lookup!$A$2:$C$27,2,FALSE)</f>
        <v>Socks</v>
      </c>
      <c r="R760" s="7">
        <f t="shared" si="90"/>
        <v>405.09999999999997</v>
      </c>
    </row>
    <row r="761" spans="1:18" ht="21.75" customHeight="1">
      <c r="A761" t="s">
        <v>912</v>
      </c>
      <c r="B761" s="6">
        <v>45553</v>
      </c>
      <c r="C761" t="s">
        <v>329</v>
      </c>
      <c r="D761" t="s">
        <v>74</v>
      </c>
      <c r="E761" t="s">
        <v>22</v>
      </c>
      <c r="F761" t="s">
        <v>12</v>
      </c>
      <c r="G761" t="s">
        <v>23</v>
      </c>
      <c r="H761">
        <v>4</v>
      </c>
      <c r="I761" t="str">
        <f>VLOOKUP(D761,Product_Lookup!$A$2:$C$27,3,FALSE)</f>
        <v>$201.32</v>
      </c>
      <c r="J761" t="str">
        <f t="shared" si="91"/>
        <v>Wednesday</v>
      </c>
      <c r="K761" s="10" t="str">
        <f t="shared" si="92"/>
        <v>September</v>
      </c>
      <c r="L761">
        <f t="shared" si="93"/>
        <v>2024</v>
      </c>
      <c r="M761" t="b">
        <f t="shared" si="94"/>
        <v>0</v>
      </c>
      <c r="N761" t="b">
        <f t="shared" si="88"/>
        <v>0</v>
      </c>
      <c r="O761" t="str">
        <f t="shared" si="95"/>
        <v>Large Order</v>
      </c>
      <c r="P761" s="7">
        <f t="shared" si="89"/>
        <v>10.066000000000001</v>
      </c>
      <c r="Q761" s="7" t="str">
        <f>VLOOKUP(D762,Product_Lookup!$A$2:$C$27,2,FALSE)</f>
        <v>Notebook</v>
      </c>
      <c r="R761" s="7">
        <f t="shared" si="90"/>
        <v>805.28</v>
      </c>
    </row>
    <row r="762" spans="1:18" ht="21.75" customHeight="1">
      <c r="A762" t="s">
        <v>913</v>
      </c>
      <c r="B762" s="6">
        <v>45393</v>
      </c>
      <c r="C762" t="s">
        <v>493</v>
      </c>
      <c r="D762" t="s">
        <v>160</v>
      </c>
      <c r="E762" t="s">
        <v>11</v>
      </c>
      <c r="F762" t="s">
        <v>42</v>
      </c>
      <c r="G762" t="s">
        <v>23</v>
      </c>
      <c r="H762">
        <v>7</v>
      </c>
      <c r="I762" t="str">
        <f>VLOOKUP(D762,Product_Lookup!$A$2:$C$27,3,FALSE)</f>
        <v>$149.27</v>
      </c>
      <c r="J762" t="str">
        <f t="shared" si="91"/>
        <v>Thursday</v>
      </c>
      <c r="K762" s="10" t="str">
        <f t="shared" si="92"/>
        <v>April</v>
      </c>
      <c r="L762">
        <f t="shared" si="93"/>
        <v>2024</v>
      </c>
      <c r="M762" t="b">
        <f t="shared" si="94"/>
        <v>0</v>
      </c>
      <c r="N762" t="b">
        <f t="shared" si="88"/>
        <v>1</v>
      </c>
      <c r="O762" t="str">
        <f t="shared" si="95"/>
        <v>Large Order</v>
      </c>
      <c r="P762" s="7">
        <f t="shared" si="89"/>
        <v>7.4635000000000007</v>
      </c>
      <c r="Q762" s="7" t="str">
        <f>VLOOKUP(D763,Product_Lookup!$A$2:$C$27,2,FALSE)</f>
        <v>Stapler</v>
      </c>
      <c r="R762" s="7">
        <f t="shared" si="90"/>
        <v>1044.8900000000001</v>
      </c>
    </row>
    <row r="763" spans="1:18" ht="21.75" customHeight="1">
      <c r="A763" t="s">
        <v>914</v>
      </c>
      <c r="B763" s="6">
        <v>45443</v>
      </c>
      <c r="C763" t="s">
        <v>111</v>
      </c>
      <c r="D763" t="s">
        <v>35</v>
      </c>
      <c r="E763" t="s">
        <v>11</v>
      </c>
      <c r="F763" t="s">
        <v>306</v>
      </c>
      <c r="G763" t="s">
        <v>23</v>
      </c>
      <c r="H763">
        <v>7</v>
      </c>
      <c r="I763" t="str">
        <f>VLOOKUP(D763,Product_Lookup!$A$2:$C$27,3,FALSE)</f>
        <v>$64.61</v>
      </c>
      <c r="J763" t="str">
        <f t="shared" si="91"/>
        <v>Friday</v>
      </c>
      <c r="K763" s="10" t="str">
        <f t="shared" si="92"/>
        <v>May</v>
      </c>
      <c r="L763">
        <f t="shared" si="93"/>
        <v>2024</v>
      </c>
      <c r="M763" t="b">
        <f t="shared" si="94"/>
        <v>0</v>
      </c>
      <c r="N763" t="b">
        <f t="shared" si="88"/>
        <v>0</v>
      </c>
      <c r="O763" t="str">
        <f t="shared" si="95"/>
        <v>Standard order</v>
      </c>
      <c r="P763" s="7">
        <f t="shared" si="89"/>
        <v>3.2305000000000001</v>
      </c>
      <c r="Q763" s="7" t="str">
        <f>VLOOKUP(D764,Product_Lookup!$A$2:$C$27,2,FALSE)</f>
        <v>Board Game</v>
      </c>
      <c r="R763" s="7">
        <f t="shared" si="90"/>
        <v>452.27</v>
      </c>
    </row>
    <row r="764" spans="1:18" ht="21.75" customHeight="1">
      <c r="A764" t="s">
        <v>915</v>
      </c>
      <c r="B764" s="6">
        <v>45461</v>
      </c>
      <c r="C764" t="s">
        <v>93</v>
      </c>
      <c r="D764" t="s">
        <v>41</v>
      </c>
      <c r="E764" t="s">
        <v>11</v>
      </c>
      <c r="F764" t="s">
        <v>12</v>
      </c>
      <c r="G764" t="s">
        <v>36</v>
      </c>
      <c r="H764">
        <v>3</v>
      </c>
      <c r="I764" t="str">
        <f>VLOOKUP(D764,Product_Lookup!$A$2:$C$27,3,FALSE)</f>
        <v>$86.6</v>
      </c>
      <c r="J764" t="str">
        <f t="shared" si="91"/>
        <v>Tuesday</v>
      </c>
      <c r="K764" s="10" t="str">
        <f t="shared" si="92"/>
        <v>June</v>
      </c>
      <c r="L764">
        <f t="shared" si="93"/>
        <v>2024</v>
      </c>
      <c r="M764" t="b">
        <f t="shared" si="94"/>
        <v>0</v>
      </c>
      <c r="N764" t="b">
        <f t="shared" si="88"/>
        <v>0</v>
      </c>
      <c r="O764" t="str">
        <f t="shared" si="95"/>
        <v>Standard order</v>
      </c>
      <c r="P764" s="7">
        <f t="shared" si="89"/>
        <v>4.33</v>
      </c>
      <c r="Q764" s="7" t="str">
        <f>VLOOKUP(D765,Product_Lookup!$A$2:$C$27,2,FALSE)</f>
        <v>Doll</v>
      </c>
      <c r="R764" s="7">
        <f t="shared" si="90"/>
        <v>259.79999999999995</v>
      </c>
    </row>
    <row r="765" spans="1:18" ht="21.75" customHeight="1">
      <c r="A765" t="s">
        <v>916</v>
      </c>
      <c r="B765" s="6">
        <v>45634</v>
      </c>
      <c r="C765" t="s">
        <v>432</v>
      </c>
      <c r="D765" t="s">
        <v>119</v>
      </c>
      <c r="E765" t="s">
        <v>11</v>
      </c>
      <c r="F765" t="s">
        <v>12</v>
      </c>
      <c r="G765" t="s">
        <v>13</v>
      </c>
      <c r="H765">
        <v>17</v>
      </c>
      <c r="I765" t="str">
        <f>VLOOKUP(D765,Product_Lookup!$A$2:$C$27,3,FALSE)</f>
        <v>$32.94</v>
      </c>
      <c r="J765" t="str">
        <f t="shared" si="91"/>
        <v>Sunday</v>
      </c>
      <c r="K765" s="10" t="str">
        <f t="shared" si="92"/>
        <v>December</v>
      </c>
      <c r="L765">
        <f t="shared" si="93"/>
        <v>2024</v>
      </c>
      <c r="M765" t="b">
        <f t="shared" si="94"/>
        <v>1</v>
      </c>
      <c r="N765" t="b">
        <f t="shared" si="88"/>
        <v>0</v>
      </c>
      <c r="O765" t="str">
        <f t="shared" si="95"/>
        <v>Large Order</v>
      </c>
      <c r="P765" s="7">
        <f t="shared" si="89"/>
        <v>1.647</v>
      </c>
      <c r="Q765" s="7" t="str">
        <f>VLOOKUP(D766,Product_Lookup!$A$2:$C$27,2,FALSE)</f>
        <v>Socks</v>
      </c>
      <c r="R765" s="7">
        <f t="shared" si="90"/>
        <v>559.98</v>
      </c>
    </row>
    <row r="766" spans="1:18" ht="21.75" customHeight="1">
      <c r="A766" t="s">
        <v>917</v>
      </c>
      <c r="B766" s="6">
        <v>45423</v>
      </c>
      <c r="C766" t="s">
        <v>736</v>
      </c>
      <c r="D766" t="s">
        <v>74</v>
      </c>
      <c r="E766" t="s">
        <v>11</v>
      </c>
      <c r="F766" t="s">
        <v>27</v>
      </c>
      <c r="G766" t="s">
        <v>13</v>
      </c>
      <c r="H766">
        <v>9</v>
      </c>
      <c r="I766" t="str">
        <f>VLOOKUP(D766,Product_Lookup!$A$2:$C$27,3,FALSE)</f>
        <v>$201.32</v>
      </c>
      <c r="J766" t="str">
        <f t="shared" si="91"/>
        <v>Saturday</v>
      </c>
      <c r="K766" s="10" t="str">
        <f t="shared" si="92"/>
        <v>May</v>
      </c>
      <c r="L766">
        <f t="shared" si="93"/>
        <v>2024</v>
      </c>
      <c r="M766" t="b">
        <f t="shared" si="94"/>
        <v>1</v>
      </c>
      <c r="N766" t="b">
        <f t="shared" si="88"/>
        <v>1</v>
      </c>
      <c r="O766" t="str">
        <f t="shared" si="95"/>
        <v>Large Order</v>
      </c>
      <c r="P766" s="7">
        <f t="shared" si="89"/>
        <v>10.066000000000001</v>
      </c>
      <c r="Q766" s="7" t="str">
        <f>VLOOKUP(D767,Product_Lookup!$A$2:$C$27,2,FALSE)</f>
        <v>Board Game</v>
      </c>
      <c r="R766" s="7">
        <f t="shared" si="90"/>
        <v>1811.8799999999999</v>
      </c>
    </row>
    <row r="767" spans="1:18" ht="21.75" customHeight="1">
      <c r="A767" t="s">
        <v>918</v>
      </c>
      <c r="B767" s="6">
        <v>45381</v>
      </c>
      <c r="C767" t="s">
        <v>116</v>
      </c>
      <c r="D767" t="s">
        <v>41</v>
      </c>
      <c r="E767" t="s">
        <v>17</v>
      </c>
      <c r="F767" t="s">
        <v>42</v>
      </c>
      <c r="G767" t="s">
        <v>13</v>
      </c>
      <c r="H767">
        <v>11</v>
      </c>
      <c r="I767" t="str">
        <f>VLOOKUP(D767,Product_Lookup!$A$2:$C$27,3,FALSE)</f>
        <v>$86.6</v>
      </c>
      <c r="J767" t="str">
        <f t="shared" si="91"/>
        <v>Saturday</v>
      </c>
      <c r="K767" s="10" t="str">
        <f t="shared" si="92"/>
        <v>March</v>
      </c>
      <c r="L767">
        <f t="shared" si="93"/>
        <v>2024</v>
      </c>
      <c r="M767" t="b">
        <f t="shared" si="94"/>
        <v>1</v>
      </c>
      <c r="N767" t="b">
        <f t="shared" si="88"/>
        <v>1</v>
      </c>
      <c r="O767" t="str">
        <f t="shared" si="95"/>
        <v>Large Order</v>
      </c>
      <c r="P767" s="7">
        <f t="shared" si="89"/>
        <v>4.33</v>
      </c>
      <c r="Q767" s="7" t="str">
        <f>VLOOKUP(D768,Product_Lookup!$A$2:$C$27,2,FALSE)</f>
        <v>Headphones</v>
      </c>
      <c r="R767" s="7">
        <f t="shared" si="90"/>
        <v>952.59999999999991</v>
      </c>
    </row>
    <row r="768" spans="1:18" ht="21.75" customHeight="1">
      <c r="A768" t="s">
        <v>919</v>
      </c>
      <c r="B768" s="6">
        <v>45340</v>
      </c>
      <c r="C768" t="s">
        <v>332</v>
      </c>
      <c r="D768" t="s">
        <v>16</v>
      </c>
      <c r="E768" t="s">
        <v>11</v>
      </c>
      <c r="F768" t="s">
        <v>12</v>
      </c>
      <c r="G768" t="s">
        <v>23</v>
      </c>
      <c r="H768">
        <v>6</v>
      </c>
      <c r="I768" t="str">
        <f>VLOOKUP(D768,Product_Lookup!$A$2:$C$27,3,FALSE)</f>
        <v>$178.83</v>
      </c>
      <c r="J768" t="str">
        <f t="shared" si="91"/>
        <v>Sunday</v>
      </c>
      <c r="K768" s="10" t="str">
        <f t="shared" si="92"/>
        <v>February</v>
      </c>
      <c r="L768">
        <f t="shared" si="93"/>
        <v>2024</v>
      </c>
      <c r="M768" t="b">
        <f t="shared" si="94"/>
        <v>1</v>
      </c>
      <c r="N768" t="b">
        <f t="shared" si="88"/>
        <v>1</v>
      </c>
      <c r="O768" t="str">
        <f t="shared" si="95"/>
        <v>Large Order</v>
      </c>
      <c r="P768" s="7">
        <f t="shared" si="89"/>
        <v>8.9415000000000013</v>
      </c>
      <c r="Q768" s="7" t="str">
        <f>VLOOKUP(D769,Product_Lookup!$A$2:$C$27,2,FALSE)</f>
        <v>Toaster</v>
      </c>
      <c r="R768" s="7">
        <f t="shared" si="90"/>
        <v>1072.98</v>
      </c>
    </row>
    <row r="769" spans="1:18" ht="21.75" customHeight="1">
      <c r="A769" t="s">
        <v>920</v>
      </c>
      <c r="B769" s="6">
        <v>45610</v>
      </c>
      <c r="C769" t="s">
        <v>101</v>
      </c>
      <c r="D769" t="s">
        <v>48</v>
      </c>
      <c r="E769" t="s">
        <v>22</v>
      </c>
      <c r="F769" t="s">
        <v>12</v>
      </c>
      <c r="G769" t="s">
        <v>23</v>
      </c>
      <c r="H769">
        <v>11</v>
      </c>
      <c r="I769" t="str">
        <f>VLOOKUP(D769,Product_Lookup!$A$2:$C$27,3,FALSE)</f>
        <v>$208.85</v>
      </c>
      <c r="J769" t="str">
        <f t="shared" si="91"/>
        <v>Thursday</v>
      </c>
      <c r="K769" s="10" t="str">
        <f t="shared" si="92"/>
        <v>November</v>
      </c>
      <c r="L769">
        <f t="shared" si="93"/>
        <v>2024</v>
      </c>
      <c r="M769" t="b">
        <f t="shared" si="94"/>
        <v>0</v>
      </c>
      <c r="N769" t="b">
        <f t="shared" si="88"/>
        <v>1</v>
      </c>
      <c r="O769" t="str">
        <f t="shared" si="95"/>
        <v>Large Order</v>
      </c>
      <c r="P769" s="7">
        <f t="shared" si="89"/>
        <v>10.442500000000001</v>
      </c>
      <c r="Q769" s="7" t="str">
        <f>VLOOKUP(D770,Product_Lookup!$A$2:$C$27,2,FALSE)</f>
        <v>Puzzle</v>
      </c>
      <c r="R769" s="7">
        <f t="shared" si="90"/>
        <v>2297.35</v>
      </c>
    </row>
    <row r="770" spans="1:18" ht="21.75" customHeight="1">
      <c r="A770" t="s">
        <v>921</v>
      </c>
      <c r="B770" s="6">
        <v>45496</v>
      </c>
      <c r="C770" t="s">
        <v>366</v>
      </c>
      <c r="D770" t="s">
        <v>62</v>
      </c>
      <c r="E770" t="s">
        <v>17</v>
      </c>
      <c r="F770" t="s">
        <v>27</v>
      </c>
      <c r="G770" t="s">
        <v>28</v>
      </c>
      <c r="H770">
        <v>16</v>
      </c>
      <c r="I770" t="str">
        <f>VLOOKUP(D770,Product_Lookup!$A$2:$C$27,3,FALSE)</f>
        <v>$46.19</v>
      </c>
      <c r="J770" t="str">
        <f t="shared" si="91"/>
        <v>Tuesday</v>
      </c>
      <c r="K770" s="10" t="str">
        <f t="shared" si="92"/>
        <v>July</v>
      </c>
      <c r="L770">
        <f t="shared" si="93"/>
        <v>2024</v>
      </c>
      <c r="M770" t="b">
        <f t="shared" si="94"/>
        <v>0</v>
      </c>
      <c r="N770" t="b">
        <f t="shared" ref="N770:N833" si="96">AND(R770&gt;750, H770&gt;5)</f>
        <v>0</v>
      </c>
      <c r="O770" t="str">
        <f t="shared" si="95"/>
        <v>Large Order</v>
      </c>
      <c r="P770" s="7">
        <f t="shared" ref="P770:P833" si="97">I770*$S$2</f>
        <v>2.3094999999999999</v>
      </c>
      <c r="Q770" s="7" t="str">
        <f>VLOOKUP(D771,Product_Lookup!$A$2:$C$27,2,FALSE)</f>
        <v>T-Shirt</v>
      </c>
      <c r="R770" s="7">
        <f t="shared" ref="R770:R833" si="98">H770*I770</f>
        <v>739.04</v>
      </c>
    </row>
    <row r="771" spans="1:18" ht="21.75" customHeight="1">
      <c r="A771" t="s">
        <v>922</v>
      </c>
      <c r="B771" s="6">
        <v>45349</v>
      </c>
      <c r="C771" t="s">
        <v>34</v>
      </c>
      <c r="D771" t="s">
        <v>45</v>
      </c>
      <c r="E771" t="s">
        <v>22</v>
      </c>
      <c r="F771" t="s">
        <v>12</v>
      </c>
      <c r="G771" t="s">
        <v>36</v>
      </c>
      <c r="H771">
        <v>4</v>
      </c>
      <c r="I771" t="str">
        <f>VLOOKUP(D771,Product_Lookup!$A$2:$C$27,3,FALSE)</f>
        <v>$107.34</v>
      </c>
      <c r="J771" t="str">
        <f t="shared" ref="J771:J834" si="99">TEXT(B771, "dddd")</f>
        <v>Tuesday</v>
      </c>
      <c r="K771" s="10" t="str">
        <f t="shared" ref="K771:K834" si="100">TEXT(B771, "mmmm")</f>
        <v>February</v>
      </c>
      <c r="L771">
        <f t="shared" ref="L771:L834" si="101">YEAR(B771)</f>
        <v>2024</v>
      </c>
      <c r="M771" t="b">
        <f t="shared" ref="M771:M834" si="102">OR(J771="Saturday", J771="Sunday")</f>
        <v>0</v>
      </c>
      <c r="N771" t="b">
        <f t="shared" si="96"/>
        <v>0</v>
      </c>
      <c r="O771" t="str">
        <f t="shared" ref="O771:O834" si="103">IF(R771&gt;500,"Large Order","Standard order")</f>
        <v>Standard order</v>
      </c>
      <c r="P771" s="7">
        <f t="shared" si="97"/>
        <v>5.3670000000000009</v>
      </c>
      <c r="Q771" s="7" t="str">
        <f>VLOOKUP(D772,Product_Lookup!$A$2:$C$27,2,FALSE)</f>
        <v>T-Shirt</v>
      </c>
      <c r="R771" s="7">
        <f t="shared" si="98"/>
        <v>429.36</v>
      </c>
    </row>
    <row r="772" spans="1:18" ht="21.75" customHeight="1">
      <c r="A772" t="s">
        <v>923</v>
      </c>
      <c r="B772" s="6">
        <v>45539</v>
      </c>
      <c r="C772" t="s">
        <v>614</v>
      </c>
      <c r="D772" t="s">
        <v>45</v>
      </c>
      <c r="E772" t="s">
        <v>22</v>
      </c>
      <c r="F772" t="s">
        <v>27</v>
      </c>
      <c r="G772" t="s">
        <v>32</v>
      </c>
      <c r="H772">
        <v>20</v>
      </c>
      <c r="I772" t="str">
        <f>VLOOKUP(D772,Product_Lookup!$A$2:$C$27,3,FALSE)</f>
        <v>$107.34</v>
      </c>
      <c r="J772" t="str">
        <f t="shared" si="99"/>
        <v>Wednesday</v>
      </c>
      <c r="K772" s="10" t="str">
        <f t="shared" si="100"/>
        <v>September</v>
      </c>
      <c r="L772">
        <f t="shared" si="101"/>
        <v>2024</v>
      </c>
      <c r="M772" t="b">
        <f t="shared" si="102"/>
        <v>0</v>
      </c>
      <c r="N772" t="b">
        <f t="shared" si="96"/>
        <v>1</v>
      </c>
      <c r="O772" t="str">
        <f t="shared" si="103"/>
        <v>Large Order</v>
      </c>
      <c r="P772" s="7">
        <f t="shared" si="97"/>
        <v>5.3670000000000009</v>
      </c>
      <c r="Q772" s="7" t="str">
        <f>VLOOKUP(D773,Product_Lookup!$A$2:$C$27,2,FALSE)</f>
        <v>Stapler</v>
      </c>
      <c r="R772" s="7">
        <f t="shared" si="98"/>
        <v>2146.8000000000002</v>
      </c>
    </row>
    <row r="773" spans="1:18" ht="21.75" customHeight="1">
      <c r="A773" t="s">
        <v>924</v>
      </c>
      <c r="B773" s="6">
        <v>45605</v>
      </c>
      <c r="C773" t="s">
        <v>64</v>
      </c>
      <c r="D773" t="s">
        <v>35</v>
      </c>
      <c r="E773" t="s">
        <v>22</v>
      </c>
      <c r="F773" t="s">
        <v>56</v>
      </c>
      <c r="G773" t="s">
        <v>23</v>
      </c>
      <c r="H773">
        <v>16</v>
      </c>
      <c r="I773" t="str">
        <f>VLOOKUP(D773,Product_Lookup!$A$2:$C$27,3,FALSE)</f>
        <v>$64.61</v>
      </c>
      <c r="J773" t="str">
        <f t="shared" si="99"/>
        <v>Saturday</v>
      </c>
      <c r="K773" s="10" t="str">
        <f t="shared" si="100"/>
        <v>November</v>
      </c>
      <c r="L773">
        <f t="shared" si="101"/>
        <v>2024</v>
      </c>
      <c r="M773" t="b">
        <f t="shared" si="102"/>
        <v>1</v>
      </c>
      <c r="N773" t="b">
        <f t="shared" si="96"/>
        <v>1</v>
      </c>
      <c r="O773" t="str">
        <f t="shared" si="103"/>
        <v>Large Order</v>
      </c>
      <c r="P773" s="7">
        <f t="shared" si="97"/>
        <v>3.2305000000000001</v>
      </c>
      <c r="Q773" s="7" t="str">
        <f>VLOOKUP(D774,Product_Lookup!$A$2:$C$27,2,FALSE)</f>
        <v>Action Figure</v>
      </c>
      <c r="R773" s="7">
        <f t="shared" si="98"/>
        <v>1033.76</v>
      </c>
    </row>
    <row r="774" spans="1:18" ht="21.75" customHeight="1">
      <c r="A774" t="s">
        <v>925</v>
      </c>
      <c r="B774" s="6">
        <v>45517</v>
      </c>
      <c r="C774" t="s">
        <v>116</v>
      </c>
      <c r="D774" t="s">
        <v>21</v>
      </c>
      <c r="E774" t="s">
        <v>11</v>
      </c>
      <c r="F774" t="s">
        <v>42</v>
      </c>
      <c r="G774" t="s">
        <v>36</v>
      </c>
      <c r="H774">
        <v>11</v>
      </c>
      <c r="I774" t="str">
        <f>VLOOKUP(D774,Product_Lookup!$A$2:$C$27,3,FALSE)</f>
        <v>$88.18</v>
      </c>
      <c r="J774" t="str">
        <f t="shared" si="99"/>
        <v>Tuesday</v>
      </c>
      <c r="K774" s="10" t="str">
        <f t="shared" si="100"/>
        <v>August</v>
      </c>
      <c r="L774">
        <f t="shared" si="101"/>
        <v>2024</v>
      </c>
      <c r="M774" t="b">
        <f t="shared" si="102"/>
        <v>0</v>
      </c>
      <c r="N774" t="b">
        <f t="shared" si="96"/>
        <v>1</v>
      </c>
      <c r="O774" t="str">
        <f t="shared" si="103"/>
        <v>Large Order</v>
      </c>
      <c r="P774" s="7">
        <f t="shared" si="97"/>
        <v>4.4090000000000007</v>
      </c>
      <c r="Q774" s="7" t="str">
        <f>VLOOKUP(D775,Product_Lookup!$A$2:$C$27,2,FALSE)</f>
        <v>Board Game</v>
      </c>
      <c r="R774" s="7">
        <f t="shared" si="98"/>
        <v>969.98</v>
      </c>
    </row>
    <row r="775" spans="1:18" ht="21.75" customHeight="1">
      <c r="A775" t="s">
        <v>926</v>
      </c>
      <c r="B775" s="6">
        <v>45587</v>
      </c>
      <c r="C775" t="s">
        <v>329</v>
      </c>
      <c r="D775" t="s">
        <v>41</v>
      </c>
      <c r="E775" t="s">
        <v>22</v>
      </c>
      <c r="F775" t="s">
        <v>56</v>
      </c>
      <c r="G775" t="s">
        <v>36</v>
      </c>
      <c r="H775">
        <v>11</v>
      </c>
      <c r="I775" t="str">
        <f>VLOOKUP(D775,Product_Lookup!$A$2:$C$27,3,FALSE)</f>
        <v>$86.6</v>
      </c>
      <c r="J775" t="str">
        <f t="shared" si="99"/>
        <v>Tuesday</v>
      </c>
      <c r="K775" s="10" t="str">
        <f t="shared" si="100"/>
        <v>October</v>
      </c>
      <c r="L775">
        <f t="shared" si="101"/>
        <v>2024</v>
      </c>
      <c r="M775" t="b">
        <f t="shared" si="102"/>
        <v>0</v>
      </c>
      <c r="N775" t="b">
        <f t="shared" si="96"/>
        <v>1</v>
      </c>
      <c r="O775" t="str">
        <f t="shared" si="103"/>
        <v>Large Order</v>
      </c>
      <c r="P775" s="7">
        <f t="shared" si="97"/>
        <v>4.33</v>
      </c>
      <c r="Q775" s="7" t="str">
        <f>VLOOKUP(D776,Product_Lookup!$A$2:$C$27,2,FALSE)</f>
        <v>Stapler</v>
      </c>
      <c r="R775" s="7">
        <f t="shared" si="98"/>
        <v>952.59999999999991</v>
      </c>
    </row>
    <row r="776" spans="1:18" ht="21.75" customHeight="1">
      <c r="A776" t="s">
        <v>927</v>
      </c>
      <c r="B776" s="6">
        <v>45340</v>
      </c>
      <c r="C776" t="s">
        <v>348</v>
      </c>
      <c r="D776" t="s">
        <v>35</v>
      </c>
      <c r="E776" t="s">
        <v>22</v>
      </c>
      <c r="F776" t="s">
        <v>56</v>
      </c>
      <c r="G776" t="s">
        <v>23</v>
      </c>
      <c r="H776">
        <v>12</v>
      </c>
      <c r="I776" t="str">
        <f>VLOOKUP(D776,Product_Lookup!$A$2:$C$27,3,FALSE)</f>
        <v>$64.61</v>
      </c>
      <c r="J776" t="str">
        <f t="shared" si="99"/>
        <v>Sunday</v>
      </c>
      <c r="K776" s="10" t="str">
        <f t="shared" si="100"/>
        <v>February</v>
      </c>
      <c r="L776">
        <f t="shared" si="101"/>
        <v>2024</v>
      </c>
      <c r="M776" t="b">
        <f t="shared" si="102"/>
        <v>1</v>
      </c>
      <c r="N776" t="b">
        <f t="shared" si="96"/>
        <v>1</v>
      </c>
      <c r="O776" t="str">
        <f t="shared" si="103"/>
        <v>Large Order</v>
      </c>
      <c r="P776" s="7">
        <f t="shared" si="97"/>
        <v>3.2305000000000001</v>
      </c>
      <c r="Q776" s="7" t="str">
        <f>VLOOKUP(D777,Product_Lookup!$A$2:$C$27,2,FALSE)</f>
        <v>Laptop</v>
      </c>
      <c r="R776" s="7">
        <f t="shared" si="98"/>
        <v>775.31999999999994</v>
      </c>
    </row>
    <row r="777" spans="1:18" ht="21.75" customHeight="1">
      <c r="A777" t="s">
        <v>928</v>
      </c>
      <c r="B777" s="6">
        <v>45368</v>
      </c>
      <c r="C777" t="s">
        <v>642</v>
      </c>
      <c r="D777" t="s">
        <v>96</v>
      </c>
      <c r="E777" t="s">
        <v>22</v>
      </c>
      <c r="F777" t="s">
        <v>12</v>
      </c>
      <c r="G777" t="s">
        <v>23</v>
      </c>
      <c r="H777">
        <v>6</v>
      </c>
      <c r="I777" t="str">
        <f>VLOOKUP(D777,Product_Lookup!$A$2:$C$27,3,FALSE)</f>
        <v>$230.68</v>
      </c>
      <c r="J777" t="str">
        <f t="shared" si="99"/>
        <v>Sunday</v>
      </c>
      <c r="K777" s="10" t="str">
        <f t="shared" si="100"/>
        <v>March</v>
      </c>
      <c r="L777">
        <f t="shared" si="101"/>
        <v>2024</v>
      </c>
      <c r="M777" t="b">
        <f t="shared" si="102"/>
        <v>1</v>
      </c>
      <c r="N777" t="b">
        <f t="shared" si="96"/>
        <v>1</v>
      </c>
      <c r="O777" t="str">
        <f t="shared" si="103"/>
        <v>Large Order</v>
      </c>
      <c r="P777" s="7">
        <f t="shared" si="97"/>
        <v>11.534000000000001</v>
      </c>
      <c r="Q777" s="7" t="str">
        <f>VLOOKUP(D778,Product_Lookup!$A$2:$C$27,2,FALSE)</f>
        <v>Blender</v>
      </c>
      <c r="R777" s="7">
        <f t="shared" si="98"/>
        <v>1384.08</v>
      </c>
    </row>
    <row r="778" spans="1:18" ht="21.75" customHeight="1">
      <c r="A778" t="s">
        <v>929</v>
      </c>
      <c r="B778" s="6">
        <v>45545</v>
      </c>
      <c r="C778" t="s">
        <v>30</v>
      </c>
      <c r="D778" t="s">
        <v>72</v>
      </c>
      <c r="E778" t="s">
        <v>11</v>
      </c>
      <c r="F778" t="s">
        <v>27</v>
      </c>
      <c r="G778" t="s">
        <v>32</v>
      </c>
      <c r="H778">
        <v>8</v>
      </c>
      <c r="I778" t="str">
        <f>VLOOKUP(D778,Product_Lookup!$A$2:$C$27,3,FALSE)</f>
        <v>$156.44</v>
      </c>
      <c r="J778" t="str">
        <f t="shared" si="99"/>
        <v>Tuesday</v>
      </c>
      <c r="K778" s="10" t="str">
        <f t="shared" si="100"/>
        <v>September</v>
      </c>
      <c r="L778">
        <f t="shared" si="101"/>
        <v>2024</v>
      </c>
      <c r="M778" t="b">
        <f t="shared" si="102"/>
        <v>0</v>
      </c>
      <c r="N778" t="b">
        <f t="shared" si="96"/>
        <v>1</v>
      </c>
      <c r="O778" t="str">
        <f t="shared" si="103"/>
        <v>Large Order</v>
      </c>
      <c r="P778" s="7">
        <f t="shared" si="97"/>
        <v>7.8220000000000001</v>
      </c>
      <c r="Q778" s="7" t="str">
        <f>VLOOKUP(D779,Product_Lookup!$A$2:$C$27,2,FALSE)</f>
        <v>Action Figure</v>
      </c>
      <c r="R778" s="7">
        <f t="shared" si="98"/>
        <v>1251.52</v>
      </c>
    </row>
    <row r="779" spans="1:18" ht="21.75" customHeight="1">
      <c r="A779" t="s">
        <v>930</v>
      </c>
      <c r="B779" s="6">
        <v>45317</v>
      </c>
      <c r="C779" t="s">
        <v>358</v>
      </c>
      <c r="D779" t="s">
        <v>21</v>
      </c>
      <c r="E779" t="s">
        <v>11</v>
      </c>
      <c r="F779" t="s">
        <v>306</v>
      </c>
      <c r="G779" t="s">
        <v>28</v>
      </c>
      <c r="H779">
        <v>13</v>
      </c>
      <c r="I779" t="str">
        <f>VLOOKUP(D779,Product_Lookup!$A$2:$C$27,3,FALSE)</f>
        <v>$88.18</v>
      </c>
      <c r="J779" t="str">
        <f t="shared" si="99"/>
        <v>Friday</v>
      </c>
      <c r="K779" s="10" t="str">
        <f t="shared" si="100"/>
        <v>January</v>
      </c>
      <c r="L779">
        <f t="shared" si="101"/>
        <v>2024</v>
      </c>
      <c r="M779" t="b">
        <f t="shared" si="102"/>
        <v>0</v>
      </c>
      <c r="N779" t="b">
        <f t="shared" si="96"/>
        <v>1</v>
      </c>
      <c r="O779" t="str">
        <f t="shared" si="103"/>
        <v>Large Order</v>
      </c>
      <c r="P779" s="7">
        <f t="shared" si="97"/>
        <v>4.4090000000000007</v>
      </c>
      <c r="Q779" s="7" t="str">
        <f>VLOOKUP(D780,Product_Lookup!$A$2:$C$27,2,FALSE)</f>
        <v>Air Fryer</v>
      </c>
      <c r="R779" s="7">
        <f t="shared" si="98"/>
        <v>1146.3400000000001</v>
      </c>
    </row>
    <row r="780" spans="1:18" ht="21.75" customHeight="1">
      <c r="A780" t="s">
        <v>931</v>
      </c>
      <c r="B780" s="6">
        <v>45332</v>
      </c>
      <c r="C780" t="s">
        <v>366</v>
      </c>
      <c r="D780" t="s">
        <v>70</v>
      </c>
      <c r="E780" t="s">
        <v>17</v>
      </c>
      <c r="F780" t="s">
        <v>306</v>
      </c>
      <c r="G780" t="s">
        <v>23</v>
      </c>
      <c r="H780">
        <v>3</v>
      </c>
      <c r="I780" t="str">
        <f>VLOOKUP(D780,Product_Lookup!$A$2:$C$27,3,FALSE)</f>
        <v>$211.9</v>
      </c>
      <c r="J780" t="str">
        <f t="shared" si="99"/>
        <v>Saturday</v>
      </c>
      <c r="K780" s="10" t="str">
        <f t="shared" si="100"/>
        <v>February</v>
      </c>
      <c r="L780">
        <f t="shared" si="101"/>
        <v>2024</v>
      </c>
      <c r="M780" t="b">
        <f t="shared" si="102"/>
        <v>1</v>
      </c>
      <c r="N780" t="b">
        <f t="shared" si="96"/>
        <v>0</v>
      </c>
      <c r="O780" t="str">
        <f t="shared" si="103"/>
        <v>Large Order</v>
      </c>
      <c r="P780" s="7">
        <f t="shared" si="97"/>
        <v>10.595000000000001</v>
      </c>
      <c r="Q780" s="7" t="str">
        <f>VLOOKUP(D781,Product_Lookup!$A$2:$C$27,2,FALSE)</f>
        <v>Monitor</v>
      </c>
      <c r="R780" s="7">
        <f t="shared" si="98"/>
        <v>635.70000000000005</v>
      </c>
    </row>
    <row r="781" spans="1:18" ht="21.75" customHeight="1">
      <c r="A781" t="s">
        <v>932</v>
      </c>
      <c r="B781" s="6">
        <v>45453</v>
      </c>
      <c r="C781" t="s">
        <v>114</v>
      </c>
      <c r="D781" t="s">
        <v>102</v>
      </c>
      <c r="E781" t="s">
        <v>17</v>
      </c>
      <c r="F781" t="s">
        <v>12</v>
      </c>
      <c r="G781" t="s">
        <v>36</v>
      </c>
      <c r="H781">
        <v>13</v>
      </c>
      <c r="I781" t="str">
        <f>VLOOKUP(D781,Product_Lookup!$A$2:$C$27,3,FALSE)</f>
        <v>$145.48</v>
      </c>
      <c r="J781" t="str">
        <f t="shared" si="99"/>
        <v>Monday</v>
      </c>
      <c r="K781" s="10" t="str">
        <f t="shared" si="100"/>
        <v>June</v>
      </c>
      <c r="L781">
        <f t="shared" si="101"/>
        <v>2024</v>
      </c>
      <c r="M781" t="b">
        <f t="shared" si="102"/>
        <v>0</v>
      </c>
      <c r="N781" t="b">
        <f t="shared" si="96"/>
        <v>1</v>
      </c>
      <c r="O781" t="str">
        <f t="shared" si="103"/>
        <v>Large Order</v>
      </c>
      <c r="P781" s="7">
        <f t="shared" si="97"/>
        <v>7.274</v>
      </c>
      <c r="Q781" s="7" t="str">
        <f>VLOOKUP(D782,Product_Lookup!$A$2:$C$27,2,FALSE)</f>
        <v>Paper Shredder</v>
      </c>
      <c r="R781" s="7">
        <f t="shared" si="98"/>
        <v>1891.2399999999998</v>
      </c>
    </row>
    <row r="782" spans="1:18" ht="21.75" customHeight="1">
      <c r="A782" t="s">
        <v>933</v>
      </c>
      <c r="B782" s="6">
        <v>45573</v>
      </c>
      <c r="C782" t="s">
        <v>25</v>
      </c>
      <c r="D782" t="s">
        <v>109</v>
      </c>
      <c r="E782" t="s">
        <v>11</v>
      </c>
      <c r="F782" t="s">
        <v>306</v>
      </c>
      <c r="G782" t="s">
        <v>36</v>
      </c>
      <c r="H782">
        <v>10</v>
      </c>
      <c r="I782" t="str">
        <f>VLOOKUP(D782,Product_Lookup!$A$2:$C$27,3,FALSE)</f>
        <v>$81.02</v>
      </c>
      <c r="J782" t="str">
        <f t="shared" si="99"/>
        <v>Tuesday</v>
      </c>
      <c r="K782" s="10" t="str">
        <f t="shared" si="100"/>
        <v>October</v>
      </c>
      <c r="L782">
        <f t="shared" si="101"/>
        <v>2024</v>
      </c>
      <c r="M782" t="b">
        <f t="shared" si="102"/>
        <v>0</v>
      </c>
      <c r="N782" t="b">
        <f t="shared" si="96"/>
        <v>1</v>
      </c>
      <c r="O782" t="str">
        <f t="shared" si="103"/>
        <v>Large Order</v>
      </c>
      <c r="P782" s="7">
        <f t="shared" si="97"/>
        <v>4.0510000000000002</v>
      </c>
      <c r="Q782" s="7" t="str">
        <f>VLOOKUP(D783,Product_Lookup!$A$2:$C$27,2,FALSE)</f>
        <v>Blender</v>
      </c>
      <c r="R782" s="7">
        <f t="shared" si="98"/>
        <v>810.19999999999993</v>
      </c>
    </row>
    <row r="783" spans="1:18" ht="21.75" customHeight="1">
      <c r="A783" t="s">
        <v>934</v>
      </c>
      <c r="B783" s="6">
        <v>45397</v>
      </c>
      <c r="C783" t="s">
        <v>350</v>
      </c>
      <c r="D783" t="s">
        <v>72</v>
      </c>
      <c r="E783" t="s">
        <v>22</v>
      </c>
      <c r="F783" t="s">
        <v>27</v>
      </c>
      <c r="G783" t="s">
        <v>28</v>
      </c>
      <c r="H783">
        <v>12</v>
      </c>
      <c r="I783" t="str">
        <f>VLOOKUP(D783,Product_Lookup!$A$2:$C$27,3,FALSE)</f>
        <v>$156.44</v>
      </c>
      <c r="J783" t="str">
        <f t="shared" si="99"/>
        <v>Monday</v>
      </c>
      <c r="K783" s="10" t="str">
        <f t="shared" si="100"/>
        <v>April</v>
      </c>
      <c r="L783">
        <f t="shared" si="101"/>
        <v>2024</v>
      </c>
      <c r="M783" t="b">
        <f t="shared" si="102"/>
        <v>0</v>
      </c>
      <c r="N783" t="b">
        <f t="shared" si="96"/>
        <v>1</v>
      </c>
      <c r="O783" t="str">
        <f t="shared" si="103"/>
        <v>Large Order</v>
      </c>
      <c r="P783" s="7">
        <f t="shared" si="97"/>
        <v>7.8220000000000001</v>
      </c>
      <c r="Q783" s="7" t="str">
        <f>VLOOKUP(D784,Product_Lookup!$A$2:$C$27,2,FALSE)</f>
        <v>Paper Shredder</v>
      </c>
      <c r="R783" s="7">
        <f t="shared" si="98"/>
        <v>1877.28</v>
      </c>
    </row>
    <row r="784" spans="1:18" ht="21.75" customHeight="1">
      <c r="A784" t="s">
        <v>935</v>
      </c>
      <c r="B784" s="6">
        <v>45524</v>
      </c>
      <c r="C784" t="s">
        <v>118</v>
      </c>
      <c r="D784" t="s">
        <v>109</v>
      </c>
      <c r="E784" t="s">
        <v>22</v>
      </c>
      <c r="F784" t="s">
        <v>306</v>
      </c>
      <c r="G784" t="s">
        <v>32</v>
      </c>
      <c r="H784">
        <v>16</v>
      </c>
      <c r="I784" t="str">
        <f>VLOOKUP(D784,Product_Lookup!$A$2:$C$27,3,FALSE)</f>
        <v>$81.02</v>
      </c>
      <c r="J784" t="str">
        <f t="shared" si="99"/>
        <v>Tuesday</v>
      </c>
      <c r="K784" s="10" t="str">
        <f t="shared" si="100"/>
        <v>August</v>
      </c>
      <c r="L784">
        <f t="shared" si="101"/>
        <v>2024</v>
      </c>
      <c r="M784" t="b">
        <f t="shared" si="102"/>
        <v>0</v>
      </c>
      <c r="N784" t="b">
        <f t="shared" si="96"/>
        <v>1</v>
      </c>
      <c r="O784" t="str">
        <f t="shared" si="103"/>
        <v>Large Order</v>
      </c>
      <c r="P784" s="7">
        <f t="shared" si="97"/>
        <v>4.0510000000000002</v>
      </c>
      <c r="Q784" s="7" t="str">
        <f>VLOOKUP(D785,Product_Lookup!$A$2:$C$27,2,FALSE)</f>
        <v>Laptop</v>
      </c>
      <c r="R784" s="7">
        <f t="shared" si="98"/>
        <v>1296.32</v>
      </c>
    </row>
    <row r="785" spans="1:18" ht="21.75" customHeight="1">
      <c r="A785" t="s">
        <v>936</v>
      </c>
      <c r="B785" s="6">
        <v>45523</v>
      </c>
      <c r="C785" t="s">
        <v>40</v>
      </c>
      <c r="D785" t="s">
        <v>96</v>
      </c>
      <c r="E785" t="s">
        <v>11</v>
      </c>
      <c r="F785" t="s">
        <v>56</v>
      </c>
      <c r="G785" t="s">
        <v>32</v>
      </c>
      <c r="H785">
        <v>11</v>
      </c>
      <c r="I785" t="str">
        <f>VLOOKUP(D785,Product_Lookup!$A$2:$C$27,3,FALSE)</f>
        <v>$230.68</v>
      </c>
      <c r="J785" t="str">
        <f t="shared" si="99"/>
        <v>Monday</v>
      </c>
      <c r="K785" s="10" t="str">
        <f t="shared" si="100"/>
        <v>August</v>
      </c>
      <c r="L785">
        <f t="shared" si="101"/>
        <v>2024</v>
      </c>
      <c r="M785" t="b">
        <f t="shared" si="102"/>
        <v>0</v>
      </c>
      <c r="N785" t="b">
        <f t="shared" si="96"/>
        <v>1</v>
      </c>
      <c r="O785" t="str">
        <f t="shared" si="103"/>
        <v>Large Order</v>
      </c>
      <c r="P785" s="7">
        <f t="shared" si="97"/>
        <v>11.534000000000001</v>
      </c>
      <c r="Q785" s="7" t="str">
        <f>VLOOKUP(D786,Product_Lookup!$A$2:$C$27,2,FALSE)</f>
        <v>Smartphone</v>
      </c>
      <c r="R785" s="7">
        <f t="shared" si="98"/>
        <v>2537.48</v>
      </c>
    </row>
    <row r="786" spans="1:18" ht="21.75" customHeight="1">
      <c r="A786" t="s">
        <v>937</v>
      </c>
      <c r="B786" s="6">
        <v>45572</v>
      </c>
      <c r="C786" t="s">
        <v>363</v>
      </c>
      <c r="D786" t="s">
        <v>79</v>
      </c>
      <c r="E786" t="s">
        <v>17</v>
      </c>
      <c r="F786" t="s">
        <v>12</v>
      </c>
      <c r="G786" t="s">
        <v>23</v>
      </c>
      <c r="H786">
        <v>6</v>
      </c>
      <c r="I786" t="str">
        <f>VLOOKUP(D786,Product_Lookup!$A$2:$C$27,3,FALSE)</f>
        <v>$216.22</v>
      </c>
      <c r="J786" t="str">
        <f t="shared" si="99"/>
        <v>Monday</v>
      </c>
      <c r="K786" s="10" t="str">
        <f t="shared" si="100"/>
        <v>October</v>
      </c>
      <c r="L786">
        <f t="shared" si="101"/>
        <v>2024</v>
      </c>
      <c r="M786" t="b">
        <f t="shared" si="102"/>
        <v>0</v>
      </c>
      <c r="N786" t="b">
        <f t="shared" si="96"/>
        <v>1</v>
      </c>
      <c r="O786" t="str">
        <f t="shared" si="103"/>
        <v>Large Order</v>
      </c>
      <c r="P786" s="7">
        <f t="shared" si="97"/>
        <v>10.811</v>
      </c>
      <c r="Q786" s="7" t="str">
        <f>VLOOKUP(D787,Product_Lookup!$A$2:$C$27,2,FALSE)</f>
        <v>Jeans</v>
      </c>
      <c r="R786" s="7">
        <f t="shared" si="98"/>
        <v>1297.32</v>
      </c>
    </row>
    <row r="787" spans="1:18" ht="21.75" customHeight="1">
      <c r="A787" t="s">
        <v>938</v>
      </c>
      <c r="B787" s="6">
        <v>45346</v>
      </c>
      <c r="C787" t="s">
        <v>230</v>
      </c>
      <c r="D787" t="s">
        <v>65</v>
      </c>
      <c r="E787" t="s">
        <v>22</v>
      </c>
      <c r="F787" t="s">
        <v>56</v>
      </c>
      <c r="G787" t="s">
        <v>23</v>
      </c>
      <c r="H787">
        <v>4</v>
      </c>
      <c r="I787" t="str">
        <f>VLOOKUP(D787,Product_Lookup!$A$2:$C$27,3,FALSE)</f>
        <v>$33.22</v>
      </c>
      <c r="J787" t="str">
        <f t="shared" si="99"/>
        <v>Saturday</v>
      </c>
      <c r="K787" s="10" t="str">
        <f t="shared" si="100"/>
        <v>February</v>
      </c>
      <c r="L787">
        <f t="shared" si="101"/>
        <v>2024</v>
      </c>
      <c r="M787" t="b">
        <f t="shared" si="102"/>
        <v>1</v>
      </c>
      <c r="N787" t="b">
        <f t="shared" si="96"/>
        <v>0</v>
      </c>
      <c r="O787" t="str">
        <f t="shared" si="103"/>
        <v>Standard order</v>
      </c>
      <c r="P787" s="7">
        <f t="shared" si="97"/>
        <v>1.661</v>
      </c>
      <c r="Q787" s="7" t="str">
        <f>VLOOKUP(D788,Product_Lookup!$A$2:$C$27,2,FALSE)</f>
        <v>Monitor</v>
      </c>
      <c r="R787" s="7">
        <f t="shared" si="98"/>
        <v>132.88</v>
      </c>
    </row>
    <row r="788" spans="1:18" ht="21.75" customHeight="1">
      <c r="A788" t="s">
        <v>939</v>
      </c>
      <c r="B788" s="6">
        <v>45402</v>
      </c>
      <c r="C788" t="s">
        <v>366</v>
      </c>
      <c r="D788" t="s">
        <v>102</v>
      </c>
      <c r="E788" t="s">
        <v>11</v>
      </c>
      <c r="F788" t="s">
        <v>42</v>
      </c>
      <c r="G788" t="s">
        <v>36</v>
      </c>
      <c r="H788">
        <v>14</v>
      </c>
      <c r="I788" t="str">
        <f>VLOOKUP(D788,Product_Lookup!$A$2:$C$27,3,FALSE)</f>
        <v>$145.48</v>
      </c>
      <c r="J788" t="str">
        <f t="shared" si="99"/>
        <v>Saturday</v>
      </c>
      <c r="K788" s="10" t="str">
        <f t="shared" si="100"/>
        <v>April</v>
      </c>
      <c r="L788">
        <f t="shared" si="101"/>
        <v>2024</v>
      </c>
      <c r="M788" t="b">
        <f t="shared" si="102"/>
        <v>1</v>
      </c>
      <c r="N788" t="b">
        <f t="shared" si="96"/>
        <v>1</v>
      </c>
      <c r="O788" t="str">
        <f t="shared" si="103"/>
        <v>Large Order</v>
      </c>
      <c r="P788" s="7">
        <f t="shared" si="97"/>
        <v>7.274</v>
      </c>
      <c r="Q788" s="7" t="str">
        <f>VLOOKUP(D789,Product_Lookup!$A$2:$C$27,2,FALSE)</f>
        <v>Board Game</v>
      </c>
      <c r="R788" s="7">
        <f t="shared" si="98"/>
        <v>2036.7199999999998</v>
      </c>
    </row>
    <row r="789" spans="1:18" ht="21.75" customHeight="1">
      <c r="A789" t="s">
        <v>940</v>
      </c>
      <c r="B789" s="6">
        <v>45355</v>
      </c>
      <c r="C789" t="s">
        <v>337</v>
      </c>
      <c r="D789" t="s">
        <v>41</v>
      </c>
      <c r="E789" t="s">
        <v>17</v>
      </c>
      <c r="F789" t="s">
        <v>27</v>
      </c>
      <c r="G789" t="s">
        <v>28</v>
      </c>
      <c r="H789">
        <v>19</v>
      </c>
      <c r="I789" t="str">
        <f>VLOOKUP(D789,Product_Lookup!$A$2:$C$27,3,FALSE)</f>
        <v>$86.6</v>
      </c>
      <c r="J789" t="str">
        <f t="shared" si="99"/>
        <v>Monday</v>
      </c>
      <c r="K789" s="10" t="str">
        <f t="shared" si="100"/>
        <v>March</v>
      </c>
      <c r="L789">
        <f t="shared" si="101"/>
        <v>2024</v>
      </c>
      <c r="M789" t="b">
        <f t="shared" si="102"/>
        <v>0</v>
      </c>
      <c r="N789" t="b">
        <f t="shared" si="96"/>
        <v>1</v>
      </c>
      <c r="O789" t="str">
        <f t="shared" si="103"/>
        <v>Large Order</v>
      </c>
      <c r="P789" s="7">
        <f t="shared" si="97"/>
        <v>4.33</v>
      </c>
      <c r="Q789" s="7" t="str">
        <f>VLOOKUP(D790,Product_Lookup!$A$2:$C$27,2,FALSE)</f>
        <v>Pen Set</v>
      </c>
      <c r="R789" s="7">
        <f t="shared" si="98"/>
        <v>1645.3999999999999</v>
      </c>
    </row>
    <row r="790" spans="1:18" ht="21.75" customHeight="1">
      <c r="A790" t="s">
        <v>941</v>
      </c>
      <c r="B790" s="6">
        <v>45547</v>
      </c>
      <c r="C790" t="s">
        <v>25</v>
      </c>
      <c r="D790" t="s">
        <v>174</v>
      </c>
      <c r="E790" t="s">
        <v>22</v>
      </c>
      <c r="F790" t="s">
        <v>12</v>
      </c>
      <c r="G790" t="s">
        <v>23</v>
      </c>
      <c r="H790">
        <v>14</v>
      </c>
      <c r="I790" t="str">
        <f>VLOOKUP(D790,Product_Lookup!$A$2:$C$27,3,FALSE)</f>
        <v>$133.37</v>
      </c>
      <c r="J790" t="str">
        <f t="shared" si="99"/>
        <v>Thursday</v>
      </c>
      <c r="K790" s="10" t="str">
        <f t="shared" si="100"/>
        <v>September</v>
      </c>
      <c r="L790">
        <f t="shared" si="101"/>
        <v>2024</v>
      </c>
      <c r="M790" t="b">
        <f t="shared" si="102"/>
        <v>0</v>
      </c>
      <c r="N790" t="b">
        <f t="shared" si="96"/>
        <v>1</v>
      </c>
      <c r="O790" t="str">
        <f t="shared" si="103"/>
        <v>Large Order</v>
      </c>
      <c r="P790" s="7">
        <f t="shared" si="97"/>
        <v>6.6685000000000008</v>
      </c>
      <c r="Q790" s="7" t="str">
        <f>VLOOKUP(D791,Product_Lookup!$A$2:$C$27,2,FALSE)</f>
        <v>T-Shirt</v>
      </c>
      <c r="R790" s="7">
        <f t="shared" si="98"/>
        <v>1867.18</v>
      </c>
    </row>
    <row r="791" spans="1:18" ht="21.75" customHeight="1">
      <c r="A791" t="s">
        <v>942</v>
      </c>
      <c r="B791" s="6">
        <v>45552</v>
      </c>
      <c r="C791" t="s">
        <v>420</v>
      </c>
      <c r="D791" t="s">
        <v>45</v>
      </c>
      <c r="E791" t="s">
        <v>11</v>
      </c>
      <c r="F791" t="s">
        <v>306</v>
      </c>
      <c r="G791" t="s">
        <v>36</v>
      </c>
      <c r="H791">
        <v>5</v>
      </c>
      <c r="I791" t="str">
        <f>VLOOKUP(D791,Product_Lookup!$A$2:$C$27,3,FALSE)</f>
        <v>$107.34</v>
      </c>
      <c r="J791" t="str">
        <f t="shared" si="99"/>
        <v>Tuesday</v>
      </c>
      <c r="K791" s="10" t="str">
        <f t="shared" si="100"/>
        <v>September</v>
      </c>
      <c r="L791">
        <f t="shared" si="101"/>
        <v>2024</v>
      </c>
      <c r="M791" t="b">
        <f t="shared" si="102"/>
        <v>0</v>
      </c>
      <c r="N791" t="b">
        <f t="shared" si="96"/>
        <v>0</v>
      </c>
      <c r="O791" t="str">
        <f t="shared" si="103"/>
        <v>Large Order</v>
      </c>
      <c r="P791" s="7">
        <f t="shared" si="97"/>
        <v>5.3670000000000009</v>
      </c>
      <c r="Q791" s="7" t="str">
        <f>VLOOKUP(D792,Product_Lookup!$A$2:$C$27,2,FALSE)</f>
        <v>Vacuum</v>
      </c>
      <c r="R791" s="7">
        <f t="shared" si="98"/>
        <v>536.70000000000005</v>
      </c>
    </row>
    <row r="792" spans="1:18" ht="21.75" customHeight="1">
      <c r="A792" t="s">
        <v>943</v>
      </c>
      <c r="B792" s="6">
        <v>45602</v>
      </c>
      <c r="C792" t="s">
        <v>187</v>
      </c>
      <c r="D792" t="s">
        <v>87</v>
      </c>
      <c r="E792" t="s">
        <v>22</v>
      </c>
      <c r="F792" t="s">
        <v>27</v>
      </c>
      <c r="G792" t="s">
        <v>28</v>
      </c>
      <c r="H792">
        <v>20</v>
      </c>
      <c r="I792" t="str">
        <f>VLOOKUP(D792,Product_Lookup!$A$2:$C$27,3,FALSE)</f>
        <v>$26.59</v>
      </c>
      <c r="J792" t="str">
        <f t="shared" si="99"/>
        <v>Wednesday</v>
      </c>
      <c r="K792" s="10" t="str">
        <f t="shared" si="100"/>
        <v>November</v>
      </c>
      <c r="L792">
        <f t="shared" si="101"/>
        <v>2024</v>
      </c>
      <c r="M792" t="b">
        <f t="shared" si="102"/>
        <v>0</v>
      </c>
      <c r="N792" t="b">
        <f t="shared" si="96"/>
        <v>0</v>
      </c>
      <c r="O792" t="str">
        <f t="shared" si="103"/>
        <v>Large Order</v>
      </c>
      <c r="P792" s="7">
        <f t="shared" si="97"/>
        <v>1.3295000000000001</v>
      </c>
      <c r="Q792" s="7" t="str">
        <f>VLOOKUP(D793,Product_Lookup!$A$2:$C$27,2,FALSE)</f>
        <v>Air Fryer</v>
      </c>
      <c r="R792" s="7">
        <f t="shared" si="98"/>
        <v>531.79999999999995</v>
      </c>
    </row>
    <row r="793" spans="1:18" ht="21.75" customHeight="1">
      <c r="A793" t="s">
        <v>944</v>
      </c>
      <c r="B793" s="6">
        <v>45432</v>
      </c>
      <c r="C793" t="s">
        <v>106</v>
      </c>
      <c r="D793" t="s">
        <v>70</v>
      </c>
      <c r="E793" t="s">
        <v>17</v>
      </c>
      <c r="F793" t="s">
        <v>42</v>
      </c>
      <c r="G793" t="s">
        <v>36</v>
      </c>
      <c r="H793">
        <v>5</v>
      </c>
      <c r="I793" t="str">
        <f>VLOOKUP(D793,Product_Lookup!$A$2:$C$27,3,FALSE)</f>
        <v>$211.9</v>
      </c>
      <c r="J793" t="str">
        <f t="shared" si="99"/>
        <v>Monday</v>
      </c>
      <c r="K793" s="10" t="str">
        <f t="shared" si="100"/>
        <v>May</v>
      </c>
      <c r="L793">
        <f t="shared" si="101"/>
        <v>2024</v>
      </c>
      <c r="M793" t="b">
        <f t="shared" si="102"/>
        <v>0</v>
      </c>
      <c r="N793" t="b">
        <f t="shared" si="96"/>
        <v>0</v>
      </c>
      <c r="O793" t="str">
        <f t="shared" si="103"/>
        <v>Large Order</v>
      </c>
      <c r="P793" s="7">
        <f t="shared" si="97"/>
        <v>10.595000000000001</v>
      </c>
      <c r="Q793" s="7" t="str">
        <f>VLOOKUP(D794,Product_Lookup!$A$2:$C$27,2,FALSE)</f>
        <v>Puzzle</v>
      </c>
      <c r="R793" s="7">
        <f t="shared" si="98"/>
        <v>1059.5</v>
      </c>
    </row>
    <row r="794" spans="1:18" ht="21.75" customHeight="1">
      <c r="A794" t="s">
        <v>945</v>
      </c>
      <c r="B794" s="6">
        <v>45650</v>
      </c>
      <c r="C794" t="s">
        <v>323</v>
      </c>
      <c r="D794" t="s">
        <v>62</v>
      </c>
      <c r="E794" t="s">
        <v>22</v>
      </c>
      <c r="F794" t="s">
        <v>42</v>
      </c>
      <c r="G794" t="s">
        <v>36</v>
      </c>
      <c r="H794">
        <v>18</v>
      </c>
      <c r="I794" t="str">
        <f>VLOOKUP(D794,Product_Lookup!$A$2:$C$27,3,FALSE)</f>
        <v>$46.19</v>
      </c>
      <c r="J794" t="str">
        <f t="shared" si="99"/>
        <v>Tuesday</v>
      </c>
      <c r="K794" s="10" t="str">
        <f t="shared" si="100"/>
        <v>December</v>
      </c>
      <c r="L794">
        <f t="shared" si="101"/>
        <v>2024</v>
      </c>
      <c r="M794" t="b">
        <f t="shared" si="102"/>
        <v>0</v>
      </c>
      <c r="N794" t="b">
        <f t="shared" si="96"/>
        <v>1</v>
      </c>
      <c r="O794" t="str">
        <f t="shared" si="103"/>
        <v>Large Order</v>
      </c>
      <c r="P794" s="7">
        <f t="shared" si="97"/>
        <v>2.3094999999999999</v>
      </c>
      <c r="Q794" s="7" t="str">
        <f>VLOOKUP(D795,Product_Lookup!$A$2:$C$27,2,FALSE)</f>
        <v>Paper Shredder</v>
      </c>
      <c r="R794" s="7">
        <f t="shared" si="98"/>
        <v>831.42</v>
      </c>
    </row>
    <row r="795" spans="1:18" ht="21.75" customHeight="1">
      <c r="A795" t="s">
        <v>946</v>
      </c>
      <c r="B795" s="6">
        <v>45615</v>
      </c>
      <c r="C795" t="s">
        <v>133</v>
      </c>
      <c r="D795" t="s">
        <v>109</v>
      </c>
      <c r="E795" t="s">
        <v>11</v>
      </c>
      <c r="F795" t="s">
        <v>56</v>
      </c>
      <c r="G795" t="s">
        <v>28</v>
      </c>
      <c r="H795">
        <v>10</v>
      </c>
      <c r="I795" t="str">
        <f>VLOOKUP(D795,Product_Lookup!$A$2:$C$27,3,FALSE)</f>
        <v>$81.02</v>
      </c>
      <c r="J795" t="str">
        <f t="shared" si="99"/>
        <v>Tuesday</v>
      </c>
      <c r="K795" s="10" t="str">
        <f t="shared" si="100"/>
        <v>November</v>
      </c>
      <c r="L795">
        <f t="shared" si="101"/>
        <v>2024</v>
      </c>
      <c r="M795" t="b">
        <f t="shared" si="102"/>
        <v>0</v>
      </c>
      <c r="N795" t="b">
        <f t="shared" si="96"/>
        <v>1</v>
      </c>
      <c r="O795" t="str">
        <f t="shared" si="103"/>
        <v>Large Order</v>
      </c>
      <c r="P795" s="7">
        <f t="shared" si="97"/>
        <v>4.0510000000000002</v>
      </c>
      <c r="Q795" s="7" t="str">
        <f>VLOOKUP(D796,Product_Lookup!$A$2:$C$27,2,FALSE)</f>
        <v>Pen Set</v>
      </c>
      <c r="R795" s="7">
        <f t="shared" si="98"/>
        <v>810.19999999999993</v>
      </c>
    </row>
    <row r="796" spans="1:18" ht="21.75" customHeight="1">
      <c r="A796" t="s">
        <v>947</v>
      </c>
      <c r="B796" s="6">
        <v>45655</v>
      </c>
      <c r="C796" t="s">
        <v>350</v>
      </c>
      <c r="D796" t="s">
        <v>174</v>
      </c>
      <c r="E796" t="s">
        <v>11</v>
      </c>
      <c r="F796" t="s">
        <v>306</v>
      </c>
      <c r="G796" t="s">
        <v>32</v>
      </c>
      <c r="H796">
        <v>11</v>
      </c>
      <c r="I796" t="str">
        <f>VLOOKUP(D796,Product_Lookup!$A$2:$C$27,3,FALSE)</f>
        <v>$133.37</v>
      </c>
      <c r="J796" t="str">
        <f t="shared" si="99"/>
        <v>Sunday</v>
      </c>
      <c r="K796" s="10" t="str">
        <f t="shared" si="100"/>
        <v>December</v>
      </c>
      <c r="L796">
        <f t="shared" si="101"/>
        <v>2024</v>
      </c>
      <c r="M796" t="b">
        <f t="shared" si="102"/>
        <v>1</v>
      </c>
      <c r="N796" t="b">
        <f t="shared" si="96"/>
        <v>1</v>
      </c>
      <c r="O796" t="str">
        <f t="shared" si="103"/>
        <v>Large Order</v>
      </c>
      <c r="P796" s="7">
        <f t="shared" si="97"/>
        <v>6.6685000000000008</v>
      </c>
      <c r="Q796" s="7" t="str">
        <f>VLOOKUP(D797,Product_Lookup!$A$2:$C$27,2,FALSE)</f>
        <v>Board Game</v>
      </c>
      <c r="R796" s="7">
        <f t="shared" si="98"/>
        <v>1467.0700000000002</v>
      </c>
    </row>
    <row r="797" spans="1:18" ht="21.75" customHeight="1">
      <c r="A797" t="s">
        <v>948</v>
      </c>
      <c r="B797" s="6">
        <v>45579</v>
      </c>
      <c r="C797" t="s">
        <v>517</v>
      </c>
      <c r="D797" t="s">
        <v>41</v>
      </c>
      <c r="E797" t="s">
        <v>22</v>
      </c>
      <c r="F797" t="s">
        <v>306</v>
      </c>
      <c r="G797" t="s">
        <v>36</v>
      </c>
      <c r="H797">
        <v>14</v>
      </c>
      <c r="I797" t="str">
        <f>VLOOKUP(D797,Product_Lookup!$A$2:$C$27,3,FALSE)</f>
        <v>$86.6</v>
      </c>
      <c r="J797" t="str">
        <f t="shared" si="99"/>
        <v>Monday</v>
      </c>
      <c r="K797" s="10" t="str">
        <f t="shared" si="100"/>
        <v>October</v>
      </c>
      <c r="L797">
        <f t="shared" si="101"/>
        <v>2024</v>
      </c>
      <c r="M797" t="b">
        <f t="shared" si="102"/>
        <v>0</v>
      </c>
      <c r="N797" t="b">
        <f t="shared" si="96"/>
        <v>1</v>
      </c>
      <c r="O797" t="str">
        <f t="shared" si="103"/>
        <v>Large Order</v>
      </c>
      <c r="P797" s="7">
        <f t="shared" si="97"/>
        <v>4.33</v>
      </c>
      <c r="Q797" s="7" t="str">
        <f>VLOOKUP(D798,Product_Lookup!$A$2:$C$27,2,FALSE)</f>
        <v>Monitor</v>
      </c>
      <c r="R797" s="7">
        <f t="shared" si="98"/>
        <v>1212.3999999999999</v>
      </c>
    </row>
    <row r="798" spans="1:18" ht="21.75" customHeight="1">
      <c r="A798" t="s">
        <v>949</v>
      </c>
      <c r="B798" s="6">
        <v>45438</v>
      </c>
      <c r="C798" t="s">
        <v>309</v>
      </c>
      <c r="D798" t="s">
        <v>102</v>
      </c>
      <c r="E798" t="s">
        <v>11</v>
      </c>
      <c r="F798" t="s">
        <v>306</v>
      </c>
      <c r="G798" t="s">
        <v>13</v>
      </c>
      <c r="H798">
        <v>1</v>
      </c>
      <c r="I798" t="str">
        <f>VLOOKUP(D798,Product_Lookup!$A$2:$C$27,3,FALSE)</f>
        <v>$145.48</v>
      </c>
      <c r="J798" t="str">
        <f t="shared" si="99"/>
        <v>Sunday</v>
      </c>
      <c r="K798" s="10" t="str">
        <f t="shared" si="100"/>
        <v>May</v>
      </c>
      <c r="L798">
        <f t="shared" si="101"/>
        <v>2024</v>
      </c>
      <c r="M798" t="b">
        <f t="shared" si="102"/>
        <v>1</v>
      </c>
      <c r="N798" t="b">
        <f t="shared" si="96"/>
        <v>0</v>
      </c>
      <c r="O798" t="str">
        <f t="shared" si="103"/>
        <v>Standard order</v>
      </c>
      <c r="P798" s="7">
        <f t="shared" si="97"/>
        <v>7.274</v>
      </c>
      <c r="Q798" s="7" t="str">
        <f>VLOOKUP(D799,Product_Lookup!$A$2:$C$27,2,FALSE)</f>
        <v>Doll</v>
      </c>
      <c r="R798" s="7">
        <f t="shared" si="98"/>
        <v>145.47999999999999</v>
      </c>
    </row>
    <row r="799" spans="1:18" ht="21.75" customHeight="1">
      <c r="A799" t="s">
        <v>950</v>
      </c>
      <c r="B799" s="6">
        <v>45635</v>
      </c>
      <c r="C799" t="s">
        <v>131</v>
      </c>
      <c r="D799" t="s">
        <v>119</v>
      </c>
      <c r="E799" t="s">
        <v>11</v>
      </c>
      <c r="F799" t="s">
        <v>42</v>
      </c>
      <c r="G799" t="s">
        <v>32</v>
      </c>
      <c r="H799">
        <v>6</v>
      </c>
      <c r="I799" t="str">
        <f>VLOOKUP(D799,Product_Lookup!$A$2:$C$27,3,FALSE)</f>
        <v>$32.94</v>
      </c>
      <c r="J799" t="str">
        <f t="shared" si="99"/>
        <v>Monday</v>
      </c>
      <c r="K799" s="10" t="str">
        <f t="shared" si="100"/>
        <v>December</v>
      </c>
      <c r="L799">
        <f t="shared" si="101"/>
        <v>2024</v>
      </c>
      <c r="M799" t="b">
        <f t="shared" si="102"/>
        <v>0</v>
      </c>
      <c r="N799" t="b">
        <f t="shared" si="96"/>
        <v>0</v>
      </c>
      <c r="O799" t="str">
        <f t="shared" si="103"/>
        <v>Standard order</v>
      </c>
      <c r="P799" s="7">
        <f t="shared" si="97"/>
        <v>1.647</v>
      </c>
      <c r="Q799" s="7" t="str">
        <f>VLOOKUP(D800,Product_Lookup!$A$2:$C$27,2,FALSE)</f>
        <v>Jeans</v>
      </c>
      <c r="R799" s="7">
        <f t="shared" si="98"/>
        <v>197.64</v>
      </c>
    </row>
    <row r="800" spans="1:18" ht="21.75" customHeight="1">
      <c r="A800" t="s">
        <v>951</v>
      </c>
      <c r="B800" s="6">
        <v>45366</v>
      </c>
      <c r="C800" t="s">
        <v>131</v>
      </c>
      <c r="D800" t="s">
        <v>65</v>
      </c>
      <c r="E800" t="s">
        <v>22</v>
      </c>
      <c r="F800" t="s">
        <v>42</v>
      </c>
      <c r="G800" t="s">
        <v>23</v>
      </c>
      <c r="H800">
        <v>18</v>
      </c>
      <c r="I800" t="str">
        <f>VLOOKUP(D800,Product_Lookup!$A$2:$C$27,3,FALSE)</f>
        <v>$33.22</v>
      </c>
      <c r="J800" t="str">
        <f t="shared" si="99"/>
        <v>Friday</v>
      </c>
      <c r="K800" s="10" t="str">
        <f t="shared" si="100"/>
        <v>March</v>
      </c>
      <c r="L800">
        <f t="shared" si="101"/>
        <v>2024</v>
      </c>
      <c r="M800" t="b">
        <f t="shared" si="102"/>
        <v>0</v>
      </c>
      <c r="N800" t="b">
        <f t="shared" si="96"/>
        <v>0</v>
      </c>
      <c r="O800" t="str">
        <f t="shared" si="103"/>
        <v>Large Order</v>
      </c>
      <c r="P800" s="7">
        <f t="shared" si="97"/>
        <v>1.661</v>
      </c>
      <c r="Q800" s="7" t="str">
        <f>VLOOKUP(D801,Product_Lookup!$A$2:$C$27,2,FALSE)</f>
        <v>Jacket</v>
      </c>
      <c r="R800" s="7">
        <f t="shared" si="98"/>
        <v>597.96</v>
      </c>
    </row>
    <row r="801" spans="1:18" ht="21.75" customHeight="1">
      <c r="A801" t="s">
        <v>952</v>
      </c>
      <c r="B801" s="6">
        <v>45344</v>
      </c>
      <c r="C801" t="s">
        <v>594</v>
      </c>
      <c r="D801" t="s">
        <v>197</v>
      </c>
      <c r="E801" t="s">
        <v>22</v>
      </c>
      <c r="F801" t="s">
        <v>306</v>
      </c>
      <c r="G801" t="s">
        <v>36</v>
      </c>
      <c r="H801">
        <v>18</v>
      </c>
      <c r="I801" t="str">
        <f>VLOOKUP(D801,Product_Lookup!$A$2:$C$27,3,FALSE)</f>
        <v>$10.11</v>
      </c>
      <c r="J801" t="str">
        <f t="shared" si="99"/>
        <v>Thursday</v>
      </c>
      <c r="K801" s="10" t="str">
        <f t="shared" si="100"/>
        <v>February</v>
      </c>
      <c r="L801">
        <f t="shared" si="101"/>
        <v>2024</v>
      </c>
      <c r="M801" t="b">
        <f t="shared" si="102"/>
        <v>0</v>
      </c>
      <c r="N801" t="b">
        <f t="shared" si="96"/>
        <v>0</v>
      </c>
      <c r="O801" t="str">
        <f t="shared" si="103"/>
        <v>Standard order</v>
      </c>
      <c r="P801" s="7">
        <f t="shared" si="97"/>
        <v>0.50549999999999995</v>
      </c>
      <c r="Q801" s="7" t="str">
        <f>VLOOKUP(D802,Product_Lookup!$A$2:$C$27,2,FALSE)</f>
        <v>Coffee Maker</v>
      </c>
      <c r="R801" s="7">
        <f t="shared" si="98"/>
        <v>181.98</v>
      </c>
    </row>
    <row r="802" spans="1:18" ht="21.75" customHeight="1">
      <c r="A802" t="s">
        <v>953</v>
      </c>
      <c r="B802" s="6">
        <v>45648</v>
      </c>
      <c r="C802" t="s">
        <v>55</v>
      </c>
      <c r="D802" t="s">
        <v>31</v>
      </c>
      <c r="E802" t="s">
        <v>22</v>
      </c>
      <c r="F802" t="s">
        <v>12</v>
      </c>
      <c r="G802" t="s">
        <v>32</v>
      </c>
      <c r="H802">
        <v>13</v>
      </c>
      <c r="I802" t="str">
        <f>VLOOKUP(D802,Product_Lookup!$A$2:$C$27,3,FALSE)</f>
        <v>$230.34</v>
      </c>
      <c r="J802" t="str">
        <f t="shared" si="99"/>
        <v>Sunday</v>
      </c>
      <c r="K802" s="10" t="str">
        <f t="shared" si="100"/>
        <v>December</v>
      </c>
      <c r="L802">
        <f t="shared" si="101"/>
        <v>2024</v>
      </c>
      <c r="M802" t="b">
        <f t="shared" si="102"/>
        <v>1</v>
      </c>
      <c r="N802" t="b">
        <f t="shared" si="96"/>
        <v>1</v>
      </c>
      <c r="O802" t="str">
        <f t="shared" si="103"/>
        <v>Large Order</v>
      </c>
      <c r="P802" s="7">
        <f t="shared" si="97"/>
        <v>11.517000000000001</v>
      </c>
      <c r="Q802" s="7" t="str">
        <f>VLOOKUP(D803,Product_Lookup!$A$2:$C$27,2,FALSE)</f>
        <v>Jeans</v>
      </c>
      <c r="R802" s="7">
        <f t="shared" si="98"/>
        <v>2994.42</v>
      </c>
    </row>
    <row r="803" spans="1:18" ht="21.75" customHeight="1">
      <c r="A803" t="s">
        <v>954</v>
      </c>
      <c r="B803" s="6">
        <v>45574</v>
      </c>
      <c r="C803" t="s">
        <v>9</v>
      </c>
      <c r="D803" t="s">
        <v>65</v>
      </c>
      <c r="E803" t="s">
        <v>11</v>
      </c>
      <c r="F803" t="s">
        <v>42</v>
      </c>
      <c r="G803" t="s">
        <v>23</v>
      </c>
      <c r="H803">
        <v>20</v>
      </c>
      <c r="I803" t="str">
        <f>VLOOKUP(D803,Product_Lookup!$A$2:$C$27,3,FALSE)</f>
        <v>$33.22</v>
      </c>
      <c r="J803" t="str">
        <f t="shared" si="99"/>
        <v>Wednesday</v>
      </c>
      <c r="K803" s="10" t="str">
        <f t="shared" si="100"/>
        <v>October</v>
      </c>
      <c r="L803">
        <f t="shared" si="101"/>
        <v>2024</v>
      </c>
      <c r="M803" t="b">
        <f t="shared" si="102"/>
        <v>0</v>
      </c>
      <c r="N803" t="b">
        <f t="shared" si="96"/>
        <v>0</v>
      </c>
      <c r="O803" t="str">
        <f t="shared" si="103"/>
        <v>Large Order</v>
      </c>
      <c r="P803" s="7">
        <f t="shared" si="97"/>
        <v>1.661</v>
      </c>
      <c r="Q803" s="7" t="str">
        <f>VLOOKUP(D804,Product_Lookup!$A$2:$C$27,2,FALSE)</f>
        <v>Doll</v>
      </c>
      <c r="R803" s="7">
        <f t="shared" si="98"/>
        <v>664.4</v>
      </c>
    </row>
    <row r="804" spans="1:18" ht="21.75" customHeight="1">
      <c r="A804" t="s">
        <v>955</v>
      </c>
      <c r="B804" s="6">
        <v>45407</v>
      </c>
      <c r="C804" t="s">
        <v>541</v>
      </c>
      <c r="D804" t="s">
        <v>119</v>
      </c>
      <c r="E804" t="s">
        <v>22</v>
      </c>
      <c r="F804" t="s">
        <v>42</v>
      </c>
      <c r="G804" t="s">
        <v>36</v>
      </c>
      <c r="H804">
        <v>19</v>
      </c>
      <c r="I804" t="str">
        <f>VLOOKUP(D804,Product_Lookup!$A$2:$C$27,3,FALSE)</f>
        <v>$32.94</v>
      </c>
      <c r="J804" t="str">
        <f t="shared" si="99"/>
        <v>Thursday</v>
      </c>
      <c r="K804" s="10" t="str">
        <f t="shared" si="100"/>
        <v>April</v>
      </c>
      <c r="L804">
        <f t="shared" si="101"/>
        <v>2024</v>
      </c>
      <c r="M804" t="b">
        <f t="shared" si="102"/>
        <v>0</v>
      </c>
      <c r="N804" t="b">
        <f t="shared" si="96"/>
        <v>0</v>
      </c>
      <c r="O804" t="str">
        <f t="shared" si="103"/>
        <v>Large Order</v>
      </c>
      <c r="P804" s="7">
        <f t="shared" si="97"/>
        <v>1.647</v>
      </c>
      <c r="Q804" s="7" t="str">
        <f>VLOOKUP(D805,Product_Lookup!$A$2:$C$27,2,FALSE)</f>
        <v>Socks</v>
      </c>
      <c r="R804" s="7">
        <f t="shared" si="98"/>
        <v>625.8599999999999</v>
      </c>
    </row>
    <row r="805" spans="1:18" ht="21.75" customHeight="1">
      <c r="A805" t="s">
        <v>956</v>
      </c>
      <c r="B805" s="6">
        <v>45392</v>
      </c>
      <c r="C805" t="s">
        <v>420</v>
      </c>
      <c r="D805" t="s">
        <v>74</v>
      </c>
      <c r="E805" t="s">
        <v>22</v>
      </c>
      <c r="F805" t="s">
        <v>56</v>
      </c>
      <c r="G805" t="s">
        <v>13</v>
      </c>
      <c r="H805">
        <v>15</v>
      </c>
      <c r="I805" t="str">
        <f>VLOOKUP(D805,Product_Lookup!$A$2:$C$27,3,FALSE)</f>
        <v>$201.32</v>
      </c>
      <c r="J805" t="str">
        <f t="shared" si="99"/>
        <v>Wednesday</v>
      </c>
      <c r="K805" s="10" t="str">
        <f t="shared" si="100"/>
        <v>April</v>
      </c>
      <c r="L805">
        <f t="shared" si="101"/>
        <v>2024</v>
      </c>
      <c r="M805" t="b">
        <f t="shared" si="102"/>
        <v>0</v>
      </c>
      <c r="N805" t="b">
        <f t="shared" si="96"/>
        <v>1</v>
      </c>
      <c r="O805" t="str">
        <f t="shared" si="103"/>
        <v>Large Order</v>
      </c>
      <c r="P805" s="7">
        <f t="shared" si="97"/>
        <v>10.066000000000001</v>
      </c>
      <c r="Q805" s="7" t="str">
        <f>VLOOKUP(D806,Product_Lookup!$A$2:$C$27,2,FALSE)</f>
        <v>Monitor</v>
      </c>
      <c r="R805" s="7">
        <f t="shared" si="98"/>
        <v>3019.7999999999997</v>
      </c>
    </row>
    <row r="806" spans="1:18" ht="21.75" customHeight="1">
      <c r="A806" t="s">
        <v>957</v>
      </c>
      <c r="B806" s="6">
        <v>45387</v>
      </c>
      <c r="C806" t="s">
        <v>235</v>
      </c>
      <c r="D806" t="s">
        <v>102</v>
      </c>
      <c r="E806" t="s">
        <v>22</v>
      </c>
      <c r="F806" t="s">
        <v>306</v>
      </c>
      <c r="G806" t="s">
        <v>32</v>
      </c>
      <c r="H806">
        <v>13</v>
      </c>
      <c r="I806" t="str">
        <f>VLOOKUP(D806,Product_Lookup!$A$2:$C$27,3,FALSE)</f>
        <v>$145.48</v>
      </c>
      <c r="J806" t="str">
        <f t="shared" si="99"/>
        <v>Friday</v>
      </c>
      <c r="K806" s="10" t="str">
        <f t="shared" si="100"/>
        <v>April</v>
      </c>
      <c r="L806">
        <f t="shared" si="101"/>
        <v>2024</v>
      </c>
      <c r="M806" t="b">
        <f t="shared" si="102"/>
        <v>0</v>
      </c>
      <c r="N806" t="b">
        <f t="shared" si="96"/>
        <v>1</v>
      </c>
      <c r="O806" t="str">
        <f t="shared" si="103"/>
        <v>Large Order</v>
      </c>
      <c r="P806" s="7">
        <f t="shared" si="97"/>
        <v>7.274</v>
      </c>
      <c r="Q806" s="7" t="str">
        <f>VLOOKUP(D807,Product_Lookup!$A$2:$C$27,2,FALSE)</f>
        <v>Desk Lamp</v>
      </c>
      <c r="R806" s="7">
        <f t="shared" si="98"/>
        <v>1891.2399999999998</v>
      </c>
    </row>
    <row r="807" spans="1:18" ht="21.75" customHeight="1">
      <c r="A807" t="s">
        <v>958</v>
      </c>
      <c r="B807" s="6">
        <v>45576</v>
      </c>
      <c r="C807" t="s">
        <v>86</v>
      </c>
      <c r="D807" t="s">
        <v>59</v>
      </c>
      <c r="E807" t="s">
        <v>11</v>
      </c>
      <c r="F807" t="s">
        <v>56</v>
      </c>
      <c r="G807" t="s">
        <v>23</v>
      </c>
      <c r="H807">
        <v>9</v>
      </c>
      <c r="I807" t="str">
        <f>VLOOKUP(D807,Product_Lookup!$A$2:$C$27,3,FALSE)</f>
        <v>$101.96</v>
      </c>
      <c r="J807" t="str">
        <f t="shared" si="99"/>
        <v>Friday</v>
      </c>
      <c r="K807" s="10" t="str">
        <f t="shared" si="100"/>
        <v>October</v>
      </c>
      <c r="L807">
        <f t="shared" si="101"/>
        <v>2024</v>
      </c>
      <c r="M807" t="b">
        <f t="shared" si="102"/>
        <v>0</v>
      </c>
      <c r="N807" t="b">
        <f t="shared" si="96"/>
        <v>1</v>
      </c>
      <c r="O807" t="str">
        <f t="shared" si="103"/>
        <v>Large Order</v>
      </c>
      <c r="P807" s="7">
        <f t="shared" si="97"/>
        <v>5.0979999999999999</v>
      </c>
      <c r="Q807" s="7" t="str">
        <f>VLOOKUP(D808,Product_Lookup!$A$2:$C$27,2,FALSE)</f>
        <v>Blender</v>
      </c>
      <c r="R807" s="7">
        <f t="shared" si="98"/>
        <v>917.64</v>
      </c>
    </row>
    <row r="808" spans="1:18" ht="21.75" customHeight="1">
      <c r="A808" t="s">
        <v>959</v>
      </c>
      <c r="B808" s="6">
        <v>45655</v>
      </c>
      <c r="C808" t="s">
        <v>125</v>
      </c>
      <c r="D808" t="s">
        <v>72</v>
      </c>
      <c r="E808" t="s">
        <v>11</v>
      </c>
      <c r="F808" t="s">
        <v>56</v>
      </c>
      <c r="G808" t="s">
        <v>36</v>
      </c>
      <c r="H808">
        <v>20</v>
      </c>
      <c r="I808" t="str">
        <f>VLOOKUP(D808,Product_Lookup!$A$2:$C$27,3,FALSE)</f>
        <v>$156.44</v>
      </c>
      <c r="J808" t="str">
        <f t="shared" si="99"/>
        <v>Sunday</v>
      </c>
      <c r="K808" s="10" t="str">
        <f t="shared" si="100"/>
        <v>December</v>
      </c>
      <c r="L808">
        <f t="shared" si="101"/>
        <v>2024</v>
      </c>
      <c r="M808" t="b">
        <f t="shared" si="102"/>
        <v>1</v>
      </c>
      <c r="N808" t="b">
        <f t="shared" si="96"/>
        <v>1</v>
      </c>
      <c r="O808" t="str">
        <f t="shared" si="103"/>
        <v>Large Order</v>
      </c>
      <c r="P808" s="7">
        <f t="shared" si="97"/>
        <v>7.8220000000000001</v>
      </c>
      <c r="Q808" s="7" t="str">
        <f>VLOOKUP(D809,Product_Lookup!$A$2:$C$27,2,FALSE)</f>
        <v>Pen Set</v>
      </c>
      <c r="R808" s="7">
        <f t="shared" si="98"/>
        <v>3128.8</v>
      </c>
    </row>
    <row r="809" spans="1:18" ht="21.75" customHeight="1">
      <c r="A809" t="s">
        <v>960</v>
      </c>
      <c r="B809" s="6">
        <v>45630</v>
      </c>
      <c r="C809" t="s">
        <v>68</v>
      </c>
      <c r="D809" t="s">
        <v>174</v>
      </c>
      <c r="E809" t="s">
        <v>17</v>
      </c>
      <c r="F809" t="s">
        <v>306</v>
      </c>
      <c r="G809" t="s">
        <v>32</v>
      </c>
      <c r="H809">
        <v>12</v>
      </c>
      <c r="I809" t="str">
        <f>VLOOKUP(D809,Product_Lookup!$A$2:$C$27,3,FALSE)</f>
        <v>$133.37</v>
      </c>
      <c r="J809" t="str">
        <f t="shared" si="99"/>
        <v>Wednesday</v>
      </c>
      <c r="K809" s="10" t="str">
        <f t="shared" si="100"/>
        <v>December</v>
      </c>
      <c r="L809">
        <f t="shared" si="101"/>
        <v>2024</v>
      </c>
      <c r="M809" t="b">
        <f t="shared" si="102"/>
        <v>0</v>
      </c>
      <c r="N809" t="b">
        <f t="shared" si="96"/>
        <v>1</v>
      </c>
      <c r="O809" t="str">
        <f t="shared" si="103"/>
        <v>Large Order</v>
      </c>
      <c r="P809" s="7">
        <f t="shared" si="97"/>
        <v>6.6685000000000008</v>
      </c>
      <c r="Q809" s="7" t="str">
        <f>VLOOKUP(D810,Product_Lookup!$A$2:$C$27,2,FALSE)</f>
        <v>Tablet</v>
      </c>
      <c r="R809" s="7">
        <f t="shared" si="98"/>
        <v>1600.44</v>
      </c>
    </row>
    <row r="810" spans="1:18" ht="21.75" customHeight="1">
      <c r="A810" t="s">
        <v>961</v>
      </c>
      <c r="B810" s="6">
        <v>45561</v>
      </c>
      <c r="C810" t="s">
        <v>240</v>
      </c>
      <c r="D810" t="s">
        <v>10</v>
      </c>
      <c r="E810" t="s">
        <v>11</v>
      </c>
      <c r="F810" t="s">
        <v>306</v>
      </c>
      <c r="G810" t="s">
        <v>36</v>
      </c>
      <c r="H810">
        <v>17</v>
      </c>
      <c r="I810" t="str">
        <f>VLOOKUP(D810,Product_Lookup!$A$2:$C$27,3,FALSE)</f>
        <v>$146.06</v>
      </c>
      <c r="J810" t="str">
        <f t="shared" si="99"/>
        <v>Thursday</v>
      </c>
      <c r="K810" s="10" t="str">
        <f t="shared" si="100"/>
        <v>September</v>
      </c>
      <c r="L810">
        <f t="shared" si="101"/>
        <v>2024</v>
      </c>
      <c r="M810" t="b">
        <f t="shared" si="102"/>
        <v>0</v>
      </c>
      <c r="N810" t="b">
        <f t="shared" si="96"/>
        <v>1</v>
      </c>
      <c r="O810" t="str">
        <f t="shared" si="103"/>
        <v>Large Order</v>
      </c>
      <c r="P810" s="7">
        <f t="shared" si="97"/>
        <v>7.3030000000000008</v>
      </c>
      <c r="Q810" s="7" t="str">
        <f>VLOOKUP(D811,Product_Lookup!$A$2:$C$27,2,FALSE)</f>
        <v>Jacket</v>
      </c>
      <c r="R810" s="7">
        <f t="shared" si="98"/>
        <v>2483.02</v>
      </c>
    </row>
    <row r="811" spans="1:18" ht="21.75" customHeight="1">
      <c r="A811" t="s">
        <v>962</v>
      </c>
      <c r="B811" s="6">
        <v>45566</v>
      </c>
      <c r="C811" t="s">
        <v>341</v>
      </c>
      <c r="D811" t="s">
        <v>197</v>
      </c>
      <c r="E811" t="s">
        <v>11</v>
      </c>
      <c r="F811" t="s">
        <v>42</v>
      </c>
      <c r="G811" t="s">
        <v>32</v>
      </c>
      <c r="H811">
        <v>7</v>
      </c>
      <c r="I811" t="str">
        <f>VLOOKUP(D811,Product_Lookup!$A$2:$C$27,3,FALSE)</f>
        <v>$10.11</v>
      </c>
      <c r="J811" t="str">
        <f t="shared" si="99"/>
        <v>Tuesday</v>
      </c>
      <c r="K811" s="10" t="str">
        <f t="shared" si="100"/>
        <v>October</v>
      </c>
      <c r="L811">
        <f t="shared" si="101"/>
        <v>2024</v>
      </c>
      <c r="M811" t="b">
        <f t="shared" si="102"/>
        <v>0</v>
      </c>
      <c r="N811" t="b">
        <f t="shared" si="96"/>
        <v>0</v>
      </c>
      <c r="O811" t="str">
        <f t="shared" si="103"/>
        <v>Standard order</v>
      </c>
      <c r="P811" s="7">
        <f t="shared" si="97"/>
        <v>0.50549999999999995</v>
      </c>
      <c r="Q811" s="7" t="str">
        <f>VLOOKUP(D812,Product_Lookup!$A$2:$C$27,2,FALSE)</f>
        <v>Notebook</v>
      </c>
      <c r="R811" s="7">
        <f t="shared" si="98"/>
        <v>70.77</v>
      </c>
    </row>
    <row r="812" spans="1:18" ht="21.75" customHeight="1">
      <c r="A812" t="s">
        <v>963</v>
      </c>
      <c r="B812" s="6">
        <v>45476</v>
      </c>
      <c r="C812" t="s">
        <v>61</v>
      </c>
      <c r="D812" t="s">
        <v>160</v>
      </c>
      <c r="E812" t="s">
        <v>11</v>
      </c>
      <c r="F812" t="s">
        <v>306</v>
      </c>
      <c r="G812" t="s">
        <v>13</v>
      </c>
      <c r="H812">
        <v>16</v>
      </c>
      <c r="I812" t="str">
        <f>VLOOKUP(D812,Product_Lookup!$A$2:$C$27,3,FALSE)</f>
        <v>$149.27</v>
      </c>
      <c r="J812" t="str">
        <f t="shared" si="99"/>
        <v>Wednesday</v>
      </c>
      <c r="K812" s="10" t="str">
        <f t="shared" si="100"/>
        <v>July</v>
      </c>
      <c r="L812">
        <f t="shared" si="101"/>
        <v>2024</v>
      </c>
      <c r="M812" t="b">
        <f t="shared" si="102"/>
        <v>0</v>
      </c>
      <c r="N812" t="b">
        <f t="shared" si="96"/>
        <v>1</v>
      </c>
      <c r="O812" t="str">
        <f t="shared" si="103"/>
        <v>Large Order</v>
      </c>
      <c r="P812" s="7">
        <f t="shared" si="97"/>
        <v>7.4635000000000007</v>
      </c>
      <c r="Q812" s="7" t="str">
        <f>VLOOKUP(D813,Product_Lookup!$A$2:$C$27,2,FALSE)</f>
        <v>Jacket</v>
      </c>
      <c r="R812" s="7">
        <f t="shared" si="98"/>
        <v>2388.3200000000002</v>
      </c>
    </row>
    <row r="813" spans="1:18" ht="21.75" customHeight="1">
      <c r="A813" t="s">
        <v>964</v>
      </c>
      <c r="B813" s="6">
        <v>45350</v>
      </c>
      <c r="C813" t="s">
        <v>317</v>
      </c>
      <c r="D813" t="s">
        <v>197</v>
      </c>
      <c r="E813" t="s">
        <v>17</v>
      </c>
      <c r="F813" t="s">
        <v>27</v>
      </c>
      <c r="G813" t="s">
        <v>28</v>
      </c>
      <c r="H813">
        <v>20</v>
      </c>
      <c r="I813" t="str">
        <f>VLOOKUP(D813,Product_Lookup!$A$2:$C$27,3,FALSE)</f>
        <v>$10.11</v>
      </c>
      <c r="J813" t="str">
        <f t="shared" si="99"/>
        <v>Wednesday</v>
      </c>
      <c r="K813" s="10" t="str">
        <f t="shared" si="100"/>
        <v>February</v>
      </c>
      <c r="L813">
        <f t="shared" si="101"/>
        <v>2024</v>
      </c>
      <c r="M813" t="b">
        <f t="shared" si="102"/>
        <v>0</v>
      </c>
      <c r="N813" t="b">
        <f t="shared" si="96"/>
        <v>0</v>
      </c>
      <c r="O813" t="str">
        <f t="shared" si="103"/>
        <v>Standard order</v>
      </c>
      <c r="P813" s="7">
        <f t="shared" si="97"/>
        <v>0.50549999999999995</v>
      </c>
      <c r="Q813" s="7" t="str">
        <f>VLOOKUP(D814,Product_Lookup!$A$2:$C$27,2,FALSE)</f>
        <v>Monitor</v>
      </c>
      <c r="R813" s="7">
        <f t="shared" si="98"/>
        <v>202.2</v>
      </c>
    </row>
    <row r="814" spans="1:18" ht="21.75" customHeight="1">
      <c r="A814" t="s">
        <v>965</v>
      </c>
      <c r="B814" s="6">
        <v>45312</v>
      </c>
      <c r="C814" t="s">
        <v>455</v>
      </c>
      <c r="D814" t="s">
        <v>102</v>
      </c>
      <c r="E814" t="s">
        <v>17</v>
      </c>
      <c r="F814" t="s">
        <v>27</v>
      </c>
      <c r="G814" t="s">
        <v>32</v>
      </c>
      <c r="H814">
        <v>13</v>
      </c>
      <c r="I814" t="str">
        <f>VLOOKUP(D814,Product_Lookup!$A$2:$C$27,3,FALSE)</f>
        <v>$145.48</v>
      </c>
      <c r="J814" t="str">
        <f t="shared" si="99"/>
        <v>Sunday</v>
      </c>
      <c r="K814" s="10" t="str">
        <f t="shared" si="100"/>
        <v>January</v>
      </c>
      <c r="L814">
        <f t="shared" si="101"/>
        <v>2024</v>
      </c>
      <c r="M814" t="b">
        <f t="shared" si="102"/>
        <v>1</v>
      </c>
      <c r="N814" t="b">
        <f t="shared" si="96"/>
        <v>1</v>
      </c>
      <c r="O814" t="str">
        <f t="shared" si="103"/>
        <v>Large Order</v>
      </c>
      <c r="P814" s="7">
        <f t="shared" si="97"/>
        <v>7.274</v>
      </c>
      <c r="Q814" s="7" t="str">
        <f>VLOOKUP(D815,Product_Lookup!$A$2:$C$27,2,FALSE)</f>
        <v>Notebook</v>
      </c>
      <c r="R814" s="7">
        <f t="shared" si="98"/>
        <v>1891.2399999999998</v>
      </c>
    </row>
    <row r="815" spans="1:18" ht="21.75" customHeight="1">
      <c r="A815" t="s">
        <v>966</v>
      </c>
      <c r="B815" s="6">
        <v>45304</v>
      </c>
      <c r="C815" t="s">
        <v>363</v>
      </c>
      <c r="D815" t="s">
        <v>160</v>
      </c>
      <c r="E815" t="s">
        <v>17</v>
      </c>
      <c r="F815" t="s">
        <v>306</v>
      </c>
      <c r="G815" t="s">
        <v>32</v>
      </c>
      <c r="H815">
        <v>15</v>
      </c>
      <c r="I815" t="str">
        <f>VLOOKUP(D815,Product_Lookup!$A$2:$C$27,3,FALSE)</f>
        <v>$149.27</v>
      </c>
      <c r="J815" t="str">
        <f t="shared" si="99"/>
        <v>Saturday</v>
      </c>
      <c r="K815" s="10" t="str">
        <f t="shared" si="100"/>
        <v>January</v>
      </c>
      <c r="L815">
        <f t="shared" si="101"/>
        <v>2024</v>
      </c>
      <c r="M815" t="b">
        <f t="shared" si="102"/>
        <v>1</v>
      </c>
      <c r="N815" t="b">
        <f t="shared" si="96"/>
        <v>1</v>
      </c>
      <c r="O815" t="str">
        <f t="shared" si="103"/>
        <v>Large Order</v>
      </c>
      <c r="P815" s="7">
        <f t="shared" si="97"/>
        <v>7.4635000000000007</v>
      </c>
      <c r="Q815" s="7" t="str">
        <f>VLOOKUP(D816,Product_Lookup!$A$2:$C$27,2,FALSE)</f>
        <v>Tablet</v>
      </c>
      <c r="R815" s="7">
        <f t="shared" si="98"/>
        <v>2239.0500000000002</v>
      </c>
    </row>
    <row r="816" spans="1:18" ht="21.75" customHeight="1">
      <c r="A816" t="s">
        <v>967</v>
      </c>
      <c r="B816" s="6">
        <v>45625</v>
      </c>
      <c r="C816" t="s">
        <v>150</v>
      </c>
      <c r="D816" t="s">
        <v>10</v>
      </c>
      <c r="E816" t="s">
        <v>17</v>
      </c>
      <c r="F816" t="s">
        <v>306</v>
      </c>
      <c r="G816" t="s">
        <v>36</v>
      </c>
      <c r="H816">
        <v>4</v>
      </c>
      <c r="I816" t="str">
        <f>VLOOKUP(D816,Product_Lookup!$A$2:$C$27,3,FALSE)</f>
        <v>$146.06</v>
      </c>
      <c r="J816" t="str">
        <f t="shared" si="99"/>
        <v>Friday</v>
      </c>
      <c r="K816" s="10" t="str">
        <f t="shared" si="100"/>
        <v>November</v>
      </c>
      <c r="L816">
        <f t="shared" si="101"/>
        <v>2024</v>
      </c>
      <c r="M816" t="b">
        <f t="shared" si="102"/>
        <v>0</v>
      </c>
      <c r="N816" t="b">
        <f t="shared" si="96"/>
        <v>0</v>
      </c>
      <c r="O816" t="str">
        <f t="shared" si="103"/>
        <v>Large Order</v>
      </c>
      <c r="P816" s="7">
        <f t="shared" si="97"/>
        <v>7.3030000000000008</v>
      </c>
      <c r="Q816" s="7" t="str">
        <f>VLOOKUP(D817,Product_Lookup!$A$2:$C$27,2,FALSE)</f>
        <v>Jeans</v>
      </c>
      <c r="R816" s="7">
        <f t="shared" si="98"/>
        <v>584.24</v>
      </c>
    </row>
    <row r="817" spans="1:18" ht="21.75" customHeight="1">
      <c r="A817" t="s">
        <v>968</v>
      </c>
      <c r="B817" s="6">
        <v>45565</v>
      </c>
      <c r="C817" t="s">
        <v>25</v>
      </c>
      <c r="D817" t="s">
        <v>65</v>
      </c>
      <c r="E817" t="s">
        <v>22</v>
      </c>
      <c r="F817" t="s">
        <v>12</v>
      </c>
      <c r="G817" t="s">
        <v>23</v>
      </c>
      <c r="H817">
        <v>7</v>
      </c>
      <c r="I817" t="str">
        <f>VLOOKUP(D817,Product_Lookup!$A$2:$C$27,3,FALSE)</f>
        <v>$33.22</v>
      </c>
      <c r="J817" t="str">
        <f t="shared" si="99"/>
        <v>Monday</v>
      </c>
      <c r="K817" s="10" t="str">
        <f t="shared" si="100"/>
        <v>September</v>
      </c>
      <c r="L817">
        <f t="shared" si="101"/>
        <v>2024</v>
      </c>
      <c r="M817" t="b">
        <f t="shared" si="102"/>
        <v>0</v>
      </c>
      <c r="N817" t="b">
        <f t="shared" si="96"/>
        <v>0</v>
      </c>
      <c r="O817" t="str">
        <f t="shared" si="103"/>
        <v>Standard order</v>
      </c>
      <c r="P817" s="7">
        <f t="shared" si="97"/>
        <v>1.661</v>
      </c>
      <c r="Q817" s="7" t="str">
        <f>VLOOKUP(D818,Product_Lookup!$A$2:$C$27,2,FALSE)</f>
        <v>Action Figure</v>
      </c>
      <c r="R817" s="7">
        <f t="shared" si="98"/>
        <v>232.54</v>
      </c>
    </row>
    <row r="818" spans="1:18" ht="21.75" customHeight="1">
      <c r="A818" t="s">
        <v>969</v>
      </c>
      <c r="B818" s="6">
        <v>45345</v>
      </c>
      <c r="C818" t="s">
        <v>95</v>
      </c>
      <c r="D818" t="s">
        <v>21</v>
      </c>
      <c r="E818" t="s">
        <v>22</v>
      </c>
      <c r="F818" t="s">
        <v>27</v>
      </c>
      <c r="G818" t="s">
        <v>28</v>
      </c>
      <c r="H818">
        <v>3</v>
      </c>
      <c r="I818" t="str">
        <f>VLOOKUP(D818,Product_Lookup!$A$2:$C$27,3,FALSE)</f>
        <v>$88.18</v>
      </c>
      <c r="J818" t="str">
        <f t="shared" si="99"/>
        <v>Friday</v>
      </c>
      <c r="K818" s="10" t="str">
        <f t="shared" si="100"/>
        <v>February</v>
      </c>
      <c r="L818">
        <f t="shared" si="101"/>
        <v>2024</v>
      </c>
      <c r="M818" t="b">
        <f t="shared" si="102"/>
        <v>0</v>
      </c>
      <c r="N818" t="b">
        <f t="shared" si="96"/>
        <v>0</v>
      </c>
      <c r="O818" t="str">
        <f t="shared" si="103"/>
        <v>Standard order</v>
      </c>
      <c r="P818" s="7">
        <f t="shared" si="97"/>
        <v>4.4090000000000007</v>
      </c>
      <c r="Q818" s="7" t="str">
        <f>VLOOKUP(D819,Product_Lookup!$A$2:$C$27,2,FALSE)</f>
        <v>Smartphone</v>
      </c>
      <c r="R818" s="7">
        <f t="shared" si="98"/>
        <v>264.54000000000002</v>
      </c>
    </row>
    <row r="819" spans="1:18" ht="21.75" customHeight="1">
      <c r="A819" t="s">
        <v>970</v>
      </c>
      <c r="B819" s="6">
        <v>45304</v>
      </c>
      <c r="C819" t="s">
        <v>366</v>
      </c>
      <c r="D819" t="s">
        <v>79</v>
      </c>
      <c r="E819" t="s">
        <v>22</v>
      </c>
      <c r="F819" t="s">
        <v>42</v>
      </c>
      <c r="G819" t="s">
        <v>28</v>
      </c>
      <c r="H819">
        <v>3</v>
      </c>
      <c r="I819" t="str">
        <f>VLOOKUP(D819,Product_Lookup!$A$2:$C$27,3,FALSE)</f>
        <v>$216.22</v>
      </c>
      <c r="J819" t="str">
        <f t="shared" si="99"/>
        <v>Saturday</v>
      </c>
      <c r="K819" s="10" t="str">
        <f t="shared" si="100"/>
        <v>January</v>
      </c>
      <c r="L819">
        <f t="shared" si="101"/>
        <v>2024</v>
      </c>
      <c r="M819" t="b">
        <f t="shared" si="102"/>
        <v>1</v>
      </c>
      <c r="N819" t="b">
        <f t="shared" si="96"/>
        <v>0</v>
      </c>
      <c r="O819" t="str">
        <f t="shared" si="103"/>
        <v>Large Order</v>
      </c>
      <c r="P819" s="7">
        <f t="shared" si="97"/>
        <v>10.811</v>
      </c>
      <c r="Q819" s="7" t="str">
        <f>VLOOKUP(D820,Product_Lookup!$A$2:$C$27,2,FALSE)</f>
        <v>Jacket</v>
      </c>
      <c r="R819" s="7">
        <f t="shared" si="98"/>
        <v>648.66</v>
      </c>
    </row>
    <row r="820" spans="1:18" ht="21.75" customHeight="1">
      <c r="A820" t="s">
        <v>971</v>
      </c>
      <c r="B820" s="6">
        <v>45420</v>
      </c>
      <c r="C820" t="s">
        <v>642</v>
      </c>
      <c r="D820" t="s">
        <v>197</v>
      </c>
      <c r="E820" t="s">
        <v>11</v>
      </c>
      <c r="F820" t="s">
        <v>306</v>
      </c>
      <c r="G820" t="s">
        <v>23</v>
      </c>
      <c r="H820">
        <v>9</v>
      </c>
      <c r="I820" t="str">
        <f>VLOOKUP(D820,Product_Lookup!$A$2:$C$27,3,FALSE)</f>
        <v>$10.11</v>
      </c>
      <c r="J820" t="str">
        <f t="shared" si="99"/>
        <v>Wednesday</v>
      </c>
      <c r="K820" s="10" t="str">
        <f t="shared" si="100"/>
        <v>May</v>
      </c>
      <c r="L820">
        <f t="shared" si="101"/>
        <v>2024</v>
      </c>
      <c r="M820" t="b">
        <f t="shared" si="102"/>
        <v>0</v>
      </c>
      <c r="N820" t="b">
        <f t="shared" si="96"/>
        <v>0</v>
      </c>
      <c r="O820" t="str">
        <f t="shared" si="103"/>
        <v>Standard order</v>
      </c>
      <c r="P820" s="7">
        <f t="shared" si="97"/>
        <v>0.50549999999999995</v>
      </c>
      <c r="Q820" s="7" t="str">
        <f>VLOOKUP(D821,Product_Lookup!$A$2:$C$27,2,FALSE)</f>
        <v>Laptop</v>
      </c>
      <c r="R820" s="7">
        <f t="shared" si="98"/>
        <v>90.99</v>
      </c>
    </row>
    <row r="821" spans="1:18" ht="21.75" customHeight="1">
      <c r="A821" t="s">
        <v>972</v>
      </c>
      <c r="B821" s="6">
        <v>45614</v>
      </c>
      <c r="C821" t="s">
        <v>341</v>
      </c>
      <c r="D821" t="s">
        <v>96</v>
      </c>
      <c r="E821" t="s">
        <v>17</v>
      </c>
      <c r="F821" t="s">
        <v>42</v>
      </c>
      <c r="G821" t="s">
        <v>36</v>
      </c>
      <c r="H821">
        <v>13</v>
      </c>
      <c r="I821" t="str">
        <f>VLOOKUP(D821,Product_Lookup!$A$2:$C$27,3,FALSE)</f>
        <v>$230.68</v>
      </c>
      <c r="J821" t="str">
        <f t="shared" si="99"/>
        <v>Monday</v>
      </c>
      <c r="K821" s="10" t="str">
        <f t="shared" si="100"/>
        <v>November</v>
      </c>
      <c r="L821">
        <f t="shared" si="101"/>
        <v>2024</v>
      </c>
      <c r="M821" t="b">
        <f t="shared" si="102"/>
        <v>0</v>
      </c>
      <c r="N821" t="b">
        <f t="shared" si="96"/>
        <v>1</v>
      </c>
      <c r="O821" t="str">
        <f t="shared" si="103"/>
        <v>Large Order</v>
      </c>
      <c r="P821" s="7">
        <f t="shared" si="97"/>
        <v>11.534000000000001</v>
      </c>
      <c r="Q821" s="7" t="str">
        <f>VLOOKUP(D822,Product_Lookup!$A$2:$C$27,2,FALSE)</f>
        <v>Tablet</v>
      </c>
      <c r="R821" s="7">
        <f t="shared" si="98"/>
        <v>2998.84</v>
      </c>
    </row>
    <row r="822" spans="1:18" ht="21.75" customHeight="1">
      <c r="A822" t="s">
        <v>973</v>
      </c>
      <c r="B822" s="6">
        <v>45295</v>
      </c>
      <c r="C822" t="s">
        <v>736</v>
      </c>
      <c r="D822" t="s">
        <v>10</v>
      </c>
      <c r="E822" t="s">
        <v>22</v>
      </c>
      <c r="F822" t="s">
        <v>306</v>
      </c>
      <c r="G822" t="s">
        <v>13</v>
      </c>
      <c r="H822">
        <v>19</v>
      </c>
      <c r="I822" t="str">
        <f>VLOOKUP(D822,Product_Lookup!$A$2:$C$27,3,FALSE)</f>
        <v>$146.06</v>
      </c>
      <c r="J822" t="str">
        <f t="shared" si="99"/>
        <v>Thursday</v>
      </c>
      <c r="K822" s="10" t="str">
        <f t="shared" si="100"/>
        <v>January</v>
      </c>
      <c r="L822">
        <f t="shared" si="101"/>
        <v>2024</v>
      </c>
      <c r="M822" t="b">
        <f t="shared" si="102"/>
        <v>0</v>
      </c>
      <c r="N822" t="b">
        <f t="shared" si="96"/>
        <v>1</v>
      </c>
      <c r="O822" t="str">
        <f t="shared" si="103"/>
        <v>Large Order</v>
      </c>
      <c r="P822" s="7">
        <f t="shared" si="97"/>
        <v>7.3030000000000008</v>
      </c>
      <c r="Q822" s="7" t="str">
        <f>VLOOKUP(D823,Product_Lookup!$A$2:$C$27,2,FALSE)</f>
        <v>Board Game</v>
      </c>
      <c r="R822" s="7">
        <f t="shared" si="98"/>
        <v>2775.14</v>
      </c>
    </row>
    <row r="823" spans="1:18" ht="21.75" customHeight="1">
      <c r="A823" t="s">
        <v>974</v>
      </c>
      <c r="B823" s="6">
        <v>45475</v>
      </c>
      <c r="C823" t="s">
        <v>358</v>
      </c>
      <c r="D823" t="s">
        <v>41</v>
      </c>
      <c r="E823" t="s">
        <v>11</v>
      </c>
      <c r="F823" t="s">
        <v>42</v>
      </c>
      <c r="G823" t="s">
        <v>32</v>
      </c>
      <c r="H823">
        <v>10</v>
      </c>
      <c r="I823" t="str">
        <f>VLOOKUP(D823,Product_Lookup!$A$2:$C$27,3,FALSE)</f>
        <v>$86.6</v>
      </c>
      <c r="J823" t="str">
        <f t="shared" si="99"/>
        <v>Tuesday</v>
      </c>
      <c r="K823" s="10" t="str">
        <f t="shared" si="100"/>
        <v>July</v>
      </c>
      <c r="L823">
        <f t="shared" si="101"/>
        <v>2024</v>
      </c>
      <c r="M823" t="b">
        <f t="shared" si="102"/>
        <v>0</v>
      </c>
      <c r="N823" t="b">
        <f t="shared" si="96"/>
        <v>1</v>
      </c>
      <c r="O823" t="str">
        <f t="shared" si="103"/>
        <v>Large Order</v>
      </c>
      <c r="P823" s="7">
        <f t="shared" si="97"/>
        <v>4.33</v>
      </c>
      <c r="Q823" s="7" t="str">
        <f>VLOOKUP(D824,Product_Lookup!$A$2:$C$27,2,FALSE)</f>
        <v>Stapler</v>
      </c>
      <c r="R823" s="7">
        <f t="shared" si="98"/>
        <v>866</v>
      </c>
    </row>
    <row r="824" spans="1:18" ht="21.75" customHeight="1">
      <c r="A824" t="s">
        <v>975</v>
      </c>
      <c r="B824" s="6">
        <v>45516</v>
      </c>
      <c r="C824" t="s">
        <v>159</v>
      </c>
      <c r="D824" t="s">
        <v>35</v>
      </c>
      <c r="E824" t="s">
        <v>17</v>
      </c>
      <c r="F824" t="s">
        <v>12</v>
      </c>
      <c r="G824" t="s">
        <v>28</v>
      </c>
      <c r="H824">
        <v>6</v>
      </c>
      <c r="I824" t="str">
        <f>VLOOKUP(D824,Product_Lookup!$A$2:$C$27,3,FALSE)</f>
        <v>$64.61</v>
      </c>
      <c r="J824" t="str">
        <f t="shared" si="99"/>
        <v>Monday</v>
      </c>
      <c r="K824" s="10" t="str">
        <f t="shared" si="100"/>
        <v>August</v>
      </c>
      <c r="L824">
        <f t="shared" si="101"/>
        <v>2024</v>
      </c>
      <c r="M824" t="b">
        <f t="shared" si="102"/>
        <v>0</v>
      </c>
      <c r="N824" t="b">
        <f t="shared" si="96"/>
        <v>0</v>
      </c>
      <c r="O824" t="str">
        <f t="shared" si="103"/>
        <v>Standard order</v>
      </c>
      <c r="P824" s="7">
        <f t="shared" si="97"/>
        <v>3.2305000000000001</v>
      </c>
      <c r="Q824" s="7" t="str">
        <f>VLOOKUP(D825,Product_Lookup!$A$2:$C$27,2,FALSE)</f>
        <v>Socks</v>
      </c>
      <c r="R824" s="7">
        <f t="shared" si="98"/>
        <v>387.65999999999997</v>
      </c>
    </row>
    <row r="825" spans="1:18" ht="21.75" customHeight="1">
      <c r="A825" t="s">
        <v>976</v>
      </c>
      <c r="B825" s="6">
        <v>45492</v>
      </c>
      <c r="C825" t="s">
        <v>591</v>
      </c>
      <c r="D825" t="s">
        <v>74</v>
      </c>
      <c r="E825" t="s">
        <v>17</v>
      </c>
      <c r="F825" t="s">
        <v>56</v>
      </c>
      <c r="G825" t="s">
        <v>13</v>
      </c>
      <c r="H825">
        <v>12</v>
      </c>
      <c r="I825" t="str">
        <f>VLOOKUP(D825,Product_Lookup!$A$2:$C$27,3,FALSE)</f>
        <v>$201.32</v>
      </c>
      <c r="J825" t="str">
        <f t="shared" si="99"/>
        <v>Friday</v>
      </c>
      <c r="K825" s="10" t="str">
        <f t="shared" si="100"/>
        <v>July</v>
      </c>
      <c r="L825">
        <f t="shared" si="101"/>
        <v>2024</v>
      </c>
      <c r="M825" t="b">
        <f t="shared" si="102"/>
        <v>0</v>
      </c>
      <c r="N825" t="b">
        <f t="shared" si="96"/>
        <v>1</v>
      </c>
      <c r="O825" t="str">
        <f t="shared" si="103"/>
        <v>Large Order</v>
      </c>
      <c r="P825" s="7">
        <f t="shared" si="97"/>
        <v>10.066000000000001</v>
      </c>
      <c r="Q825" s="7" t="str">
        <f>VLOOKUP(D826,Product_Lookup!$A$2:$C$27,2,FALSE)</f>
        <v>Smartphone</v>
      </c>
      <c r="R825" s="7">
        <f t="shared" si="98"/>
        <v>2415.84</v>
      </c>
    </row>
    <row r="826" spans="1:18" ht="21.75" customHeight="1">
      <c r="A826" t="s">
        <v>977</v>
      </c>
      <c r="B826" s="6">
        <v>45575</v>
      </c>
      <c r="C826" t="s">
        <v>642</v>
      </c>
      <c r="D826" t="s">
        <v>79</v>
      </c>
      <c r="E826" t="s">
        <v>11</v>
      </c>
      <c r="F826" t="s">
        <v>12</v>
      </c>
      <c r="G826" t="s">
        <v>23</v>
      </c>
      <c r="H826">
        <v>1</v>
      </c>
      <c r="I826" t="str">
        <f>VLOOKUP(D826,Product_Lookup!$A$2:$C$27,3,FALSE)</f>
        <v>$216.22</v>
      </c>
      <c r="J826" t="str">
        <f t="shared" si="99"/>
        <v>Thursday</v>
      </c>
      <c r="K826" s="10" t="str">
        <f t="shared" si="100"/>
        <v>October</v>
      </c>
      <c r="L826">
        <f t="shared" si="101"/>
        <v>2024</v>
      </c>
      <c r="M826" t="b">
        <f t="shared" si="102"/>
        <v>0</v>
      </c>
      <c r="N826" t="b">
        <f t="shared" si="96"/>
        <v>0</v>
      </c>
      <c r="O826" t="str">
        <f t="shared" si="103"/>
        <v>Standard order</v>
      </c>
      <c r="P826" s="7">
        <f t="shared" si="97"/>
        <v>10.811</v>
      </c>
      <c r="Q826" s="7" t="str">
        <f>VLOOKUP(D827,Product_Lookup!$A$2:$C$27,2,FALSE)</f>
        <v>Jeans</v>
      </c>
      <c r="R826" s="7">
        <f t="shared" si="98"/>
        <v>216.22</v>
      </c>
    </row>
    <row r="827" spans="1:18" ht="21.75" customHeight="1">
      <c r="A827" t="s">
        <v>978</v>
      </c>
      <c r="B827" s="6">
        <v>45567</v>
      </c>
      <c r="C827" t="s">
        <v>378</v>
      </c>
      <c r="D827" t="s">
        <v>65</v>
      </c>
      <c r="E827" t="s">
        <v>11</v>
      </c>
      <c r="F827" t="s">
        <v>42</v>
      </c>
      <c r="G827" t="s">
        <v>36</v>
      </c>
      <c r="H827">
        <v>12</v>
      </c>
      <c r="I827" t="str">
        <f>VLOOKUP(D827,Product_Lookup!$A$2:$C$27,3,FALSE)</f>
        <v>$33.22</v>
      </c>
      <c r="J827" t="str">
        <f t="shared" si="99"/>
        <v>Wednesday</v>
      </c>
      <c r="K827" s="10" t="str">
        <f t="shared" si="100"/>
        <v>October</v>
      </c>
      <c r="L827">
        <f t="shared" si="101"/>
        <v>2024</v>
      </c>
      <c r="M827" t="b">
        <f t="shared" si="102"/>
        <v>0</v>
      </c>
      <c r="N827" t="b">
        <f t="shared" si="96"/>
        <v>0</v>
      </c>
      <c r="O827" t="str">
        <f t="shared" si="103"/>
        <v>Standard order</v>
      </c>
      <c r="P827" s="7">
        <f t="shared" si="97"/>
        <v>1.661</v>
      </c>
      <c r="Q827" s="7" t="str">
        <f>VLOOKUP(D828,Product_Lookup!$A$2:$C$27,2,FALSE)</f>
        <v>Paper Shredder</v>
      </c>
      <c r="R827" s="7">
        <f t="shared" si="98"/>
        <v>398.64</v>
      </c>
    </row>
    <row r="828" spans="1:18" ht="21.75" customHeight="1">
      <c r="A828" t="s">
        <v>979</v>
      </c>
      <c r="B828" s="6">
        <v>45364</v>
      </c>
      <c r="C828" t="s">
        <v>111</v>
      </c>
      <c r="D828" t="s">
        <v>109</v>
      </c>
      <c r="E828" t="s">
        <v>11</v>
      </c>
      <c r="F828" t="s">
        <v>56</v>
      </c>
      <c r="G828" t="s">
        <v>28</v>
      </c>
      <c r="H828">
        <v>9</v>
      </c>
      <c r="I828" t="str">
        <f>VLOOKUP(D828,Product_Lookup!$A$2:$C$27,3,FALSE)</f>
        <v>$81.02</v>
      </c>
      <c r="J828" t="str">
        <f t="shared" si="99"/>
        <v>Wednesday</v>
      </c>
      <c r="K828" s="10" t="str">
        <f t="shared" si="100"/>
        <v>March</v>
      </c>
      <c r="L828">
        <f t="shared" si="101"/>
        <v>2024</v>
      </c>
      <c r="M828" t="b">
        <f t="shared" si="102"/>
        <v>0</v>
      </c>
      <c r="N828" t="b">
        <f t="shared" si="96"/>
        <v>0</v>
      </c>
      <c r="O828" t="str">
        <f t="shared" si="103"/>
        <v>Large Order</v>
      </c>
      <c r="P828" s="7">
        <f t="shared" si="97"/>
        <v>4.0510000000000002</v>
      </c>
      <c r="Q828" s="7" t="str">
        <f>VLOOKUP(D829,Product_Lookup!$A$2:$C$27,2,FALSE)</f>
        <v>Air Fryer</v>
      </c>
      <c r="R828" s="7">
        <f t="shared" si="98"/>
        <v>729.18</v>
      </c>
    </row>
    <row r="829" spans="1:18" ht="21.75" customHeight="1">
      <c r="A829" t="s">
        <v>980</v>
      </c>
      <c r="B829" s="6">
        <v>45635</v>
      </c>
      <c r="C829" t="s">
        <v>614</v>
      </c>
      <c r="D829" t="s">
        <v>70</v>
      </c>
      <c r="E829" t="s">
        <v>11</v>
      </c>
      <c r="F829" t="s">
        <v>306</v>
      </c>
      <c r="G829" t="s">
        <v>13</v>
      </c>
      <c r="H829">
        <v>18</v>
      </c>
      <c r="I829" t="str">
        <f>VLOOKUP(D829,Product_Lookup!$A$2:$C$27,3,FALSE)</f>
        <v>$211.9</v>
      </c>
      <c r="J829" t="str">
        <f t="shared" si="99"/>
        <v>Monday</v>
      </c>
      <c r="K829" s="10" t="str">
        <f t="shared" si="100"/>
        <v>December</v>
      </c>
      <c r="L829">
        <f t="shared" si="101"/>
        <v>2024</v>
      </c>
      <c r="M829" t="b">
        <f t="shared" si="102"/>
        <v>0</v>
      </c>
      <c r="N829" t="b">
        <f t="shared" si="96"/>
        <v>1</v>
      </c>
      <c r="O829" t="str">
        <f t="shared" si="103"/>
        <v>Large Order</v>
      </c>
      <c r="P829" s="7">
        <f t="shared" si="97"/>
        <v>10.595000000000001</v>
      </c>
      <c r="Q829" s="7" t="str">
        <f>VLOOKUP(D830,Product_Lookup!$A$2:$C$27,2,FALSE)</f>
        <v>Stapler</v>
      </c>
      <c r="R829" s="7">
        <f t="shared" si="98"/>
        <v>3814.2000000000003</v>
      </c>
    </row>
    <row r="830" spans="1:18" ht="21.75" customHeight="1">
      <c r="A830" t="s">
        <v>981</v>
      </c>
      <c r="B830" s="6">
        <v>45420</v>
      </c>
      <c r="C830" t="s">
        <v>108</v>
      </c>
      <c r="D830" t="s">
        <v>35</v>
      </c>
      <c r="E830" t="s">
        <v>11</v>
      </c>
      <c r="F830" t="s">
        <v>306</v>
      </c>
      <c r="G830" t="s">
        <v>28</v>
      </c>
      <c r="H830">
        <v>11</v>
      </c>
      <c r="I830" t="str">
        <f>VLOOKUP(D830,Product_Lookup!$A$2:$C$27,3,FALSE)</f>
        <v>$64.61</v>
      </c>
      <c r="J830" t="str">
        <f t="shared" si="99"/>
        <v>Wednesday</v>
      </c>
      <c r="K830" s="10" t="str">
        <f t="shared" si="100"/>
        <v>May</v>
      </c>
      <c r="L830">
        <f t="shared" si="101"/>
        <v>2024</v>
      </c>
      <c r="M830" t="b">
        <f t="shared" si="102"/>
        <v>0</v>
      </c>
      <c r="N830" t="b">
        <f t="shared" si="96"/>
        <v>0</v>
      </c>
      <c r="O830" t="str">
        <f t="shared" si="103"/>
        <v>Large Order</v>
      </c>
      <c r="P830" s="7">
        <f t="shared" si="97"/>
        <v>3.2305000000000001</v>
      </c>
      <c r="Q830" s="7" t="str">
        <f>VLOOKUP(D831,Product_Lookup!$A$2:$C$27,2,FALSE)</f>
        <v>Jeans</v>
      </c>
      <c r="R830" s="7">
        <f t="shared" si="98"/>
        <v>710.71</v>
      </c>
    </row>
    <row r="831" spans="1:18" ht="21.75" customHeight="1">
      <c r="A831" t="s">
        <v>982</v>
      </c>
      <c r="B831" s="6">
        <v>45343</v>
      </c>
      <c r="C831" t="s">
        <v>55</v>
      </c>
      <c r="D831" t="s">
        <v>65</v>
      </c>
      <c r="E831" t="s">
        <v>22</v>
      </c>
      <c r="F831" t="s">
        <v>12</v>
      </c>
      <c r="G831" t="s">
        <v>32</v>
      </c>
      <c r="H831">
        <v>11</v>
      </c>
      <c r="I831" t="str">
        <f>VLOOKUP(D831,Product_Lookup!$A$2:$C$27,3,FALSE)</f>
        <v>$33.22</v>
      </c>
      <c r="J831" t="str">
        <f t="shared" si="99"/>
        <v>Wednesday</v>
      </c>
      <c r="K831" s="10" t="str">
        <f t="shared" si="100"/>
        <v>February</v>
      </c>
      <c r="L831">
        <f t="shared" si="101"/>
        <v>2024</v>
      </c>
      <c r="M831" t="b">
        <f t="shared" si="102"/>
        <v>0</v>
      </c>
      <c r="N831" t="b">
        <f t="shared" si="96"/>
        <v>0</v>
      </c>
      <c r="O831" t="str">
        <f t="shared" si="103"/>
        <v>Standard order</v>
      </c>
      <c r="P831" s="7">
        <f t="shared" si="97"/>
        <v>1.661</v>
      </c>
      <c r="Q831" s="7" t="str">
        <f>VLOOKUP(D832,Product_Lookup!$A$2:$C$27,2,FALSE)</f>
        <v>Headphones</v>
      </c>
      <c r="R831" s="7">
        <f t="shared" si="98"/>
        <v>365.41999999999996</v>
      </c>
    </row>
    <row r="832" spans="1:18" ht="21.75" customHeight="1">
      <c r="A832" t="s">
        <v>983</v>
      </c>
      <c r="B832" s="6">
        <v>45607</v>
      </c>
      <c r="C832" t="s">
        <v>371</v>
      </c>
      <c r="D832" t="s">
        <v>16</v>
      </c>
      <c r="E832" t="s">
        <v>17</v>
      </c>
      <c r="F832" t="s">
        <v>306</v>
      </c>
      <c r="G832" t="s">
        <v>32</v>
      </c>
      <c r="H832">
        <v>19</v>
      </c>
      <c r="I832" t="str">
        <f>VLOOKUP(D832,Product_Lookup!$A$2:$C$27,3,FALSE)</f>
        <v>$178.83</v>
      </c>
      <c r="J832" t="str">
        <f t="shared" si="99"/>
        <v>Monday</v>
      </c>
      <c r="K832" s="10" t="str">
        <f t="shared" si="100"/>
        <v>November</v>
      </c>
      <c r="L832">
        <f t="shared" si="101"/>
        <v>2024</v>
      </c>
      <c r="M832" t="b">
        <f t="shared" si="102"/>
        <v>0</v>
      </c>
      <c r="N832" t="b">
        <f t="shared" si="96"/>
        <v>1</v>
      </c>
      <c r="O832" t="str">
        <f t="shared" si="103"/>
        <v>Large Order</v>
      </c>
      <c r="P832" s="7">
        <f t="shared" si="97"/>
        <v>8.9415000000000013</v>
      </c>
      <c r="Q832" s="7" t="str">
        <f>VLOOKUP(D833,Product_Lookup!$A$2:$C$27,2,FALSE)</f>
        <v>Jacket</v>
      </c>
      <c r="R832" s="7">
        <f t="shared" si="98"/>
        <v>3397.7700000000004</v>
      </c>
    </row>
    <row r="833" spans="1:18" ht="21.75" customHeight="1">
      <c r="A833" t="s">
        <v>984</v>
      </c>
      <c r="B833" s="6">
        <v>45511</v>
      </c>
      <c r="C833" t="s">
        <v>30</v>
      </c>
      <c r="D833" t="s">
        <v>197</v>
      </c>
      <c r="E833" t="s">
        <v>11</v>
      </c>
      <c r="F833" t="s">
        <v>42</v>
      </c>
      <c r="G833" t="s">
        <v>23</v>
      </c>
      <c r="H833">
        <v>8</v>
      </c>
      <c r="I833" t="str">
        <f>VLOOKUP(D833,Product_Lookup!$A$2:$C$27,3,FALSE)</f>
        <v>$10.11</v>
      </c>
      <c r="J833" t="str">
        <f t="shared" si="99"/>
        <v>Wednesday</v>
      </c>
      <c r="K833" s="10" t="str">
        <f t="shared" si="100"/>
        <v>August</v>
      </c>
      <c r="L833">
        <f t="shared" si="101"/>
        <v>2024</v>
      </c>
      <c r="M833" t="b">
        <f t="shared" si="102"/>
        <v>0</v>
      </c>
      <c r="N833" t="b">
        <f t="shared" si="96"/>
        <v>0</v>
      </c>
      <c r="O833" t="str">
        <f t="shared" si="103"/>
        <v>Standard order</v>
      </c>
      <c r="P833" s="7">
        <f t="shared" si="97"/>
        <v>0.50549999999999995</v>
      </c>
      <c r="Q833" s="7" t="str">
        <f>VLOOKUP(D834,Product_Lookup!$A$2:$C$27,2,FALSE)</f>
        <v>Stapler</v>
      </c>
      <c r="R833" s="7">
        <f t="shared" si="98"/>
        <v>80.88</v>
      </c>
    </row>
    <row r="834" spans="1:18" ht="21.75" customHeight="1">
      <c r="A834" t="s">
        <v>985</v>
      </c>
      <c r="B834" s="6">
        <v>45433</v>
      </c>
      <c r="C834" t="s">
        <v>83</v>
      </c>
      <c r="D834" t="s">
        <v>35</v>
      </c>
      <c r="E834" t="s">
        <v>11</v>
      </c>
      <c r="F834" t="s">
        <v>42</v>
      </c>
      <c r="G834" t="s">
        <v>32</v>
      </c>
      <c r="H834">
        <v>15</v>
      </c>
      <c r="I834" t="str">
        <f>VLOOKUP(D834,Product_Lookup!$A$2:$C$27,3,FALSE)</f>
        <v>$64.61</v>
      </c>
      <c r="J834" t="str">
        <f t="shared" si="99"/>
        <v>Tuesday</v>
      </c>
      <c r="K834" s="10" t="str">
        <f t="shared" si="100"/>
        <v>May</v>
      </c>
      <c r="L834">
        <f t="shared" si="101"/>
        <v>2024</v>
      </c>
      <c r="M834" t="b">
        <f t="shared" si="102"/>
        <v>0</v>
      </c>
      <c r="N834" t="b">
        <f t="shared" ref="N834:N897" si="104">AND(R834&gt;750, H834&gt;5)</f>
        <v>1</v>
      </c>
      <c r="O834" t="str">
        <f t="shared" si="103"/>
        <v>Large Order</v>
      </c>
      <c r="P834" s="7">
        <f t="shared" ref="P834:P897" si="105">I834*$S$2</f>
        <v>3.2305000000000001</v>
      </c>
      <c r="Q834" s="7" t="str">
        <f>VLOOKUP(D835,Product_Lookup!$A$2:$C$27,2,FALSE)</f>
        <v>Action Figure</v>
      </c>
      <c r="R834" s="7">
        <f t="shared" ref="R834:R897" si="106">H834*I834</f>
        <v>969.15</v>
      </c>
    </row>
    <row r="835" spans="1:18" ht="21.75" customHeight="1">
      <c r="A835" t="s">
        <v>986</v>
      </c>
      <c r="B835" s="6">
        <v>45541</v>
      </c>
      <c r="C835" t="s">
        <v>378</v>
      </c>
      <c r="D835" t="s">
        <v>21</v>
      </c>
      <c r="E835" t="s">
        <v>11</v>
      </c>
      <c r="F835" t="s">
        <v>56</v>
      </c>
      <c r="G835" t="s">
        <v>32</v>
      </c>
      <c r="H835">
        <v>20</v>
      </c>
      <c r="I835" t="str">
        <f>VLOOKUP(D835,Product_Lookup!$A$2:$C$27,3,FALSE)</f>
        <v>$88.18</v>
      </c>
      <c r="J835" t="str">
        <f t="shared" ref="J835:J898" si="107">TEXT(B835, "dddd")</f>
        <v>Friday</v>
      </c>
      <c r="K835" s="10" t="str">
        <f t="shared" ref="K835:K898" si="108">TEXT(B835, "mmmm")</f>
        <v>September</v>
      </c>
      <c r="L835">
        <f t="shared" ref="L835:L898" si="109">YEAR(B835)</f>
        <v>2024</v>
      </c>
      <c r="M835" t="b">
        <f t="shared" ref="M835:M898" si="110">OR(J835="Saturday", J835="Sunday")</f>
        <v>0</v>
      </c>
      <c r="N835" t="b">
        <f t="shared" si="104"/>
        <v>1</v>
      </c>
      <c r="O835" t="str">
        <f t="shared" ref="O835:O898" si="111">IF(R835&gt;500,"Large Order","Standard order")</f>
        <v>Large Order</v>
      </c>
      <c r="P835" s="7">
        <f t="shared" si="105"/>
        <v>4.4090000000000007</v>
      </c>
      <c r="Q835" s="7" t="str">
        <f>VLOOKUP(D836,Product_Lookup!$A$2:$C$27,2,FALSE)</f>
        <v>Lego Set</v>
      </c>
      <c r="R835" s="7">
        <f t="shared" si="106"/>
        <v>1763.6000000000001</v>
      </c>
    </row>
    <row r="836" spans="1:18" ht="21.75" customHeight="1">
      <c r="A836" t="s">
        <v>987</v>
      </c>
      <c r="B836" s="6">
        <v>45363</v>
      </c>
      <c r="C836" t="s">
        <v>312</v>
      </c>
      <c r="D836" t="s">
        <v>84</v>
      </c>
      <c r="E836" t="s">
        <v>11</v>
      </c>
      <c r="F836" t="s">
        <v>42</v>
      </c>
      <c r="G836" t="s">
        <v>13</v>
      </c>
      <c r="H836">
        <v>3</v>
      </c>
      <c r="I836" t="str">
        <f>VLOOKUP(D836,Product_Lookup!$A$2:$C$27,3,FALSE)</f>
        <v>$130.07</v>
      </c>
      <c r="J836" t="str">
        <f t="shared" si="107"/>
        <v>Tuesday</v>
      </c>
      <c r="K836" s="10" t="str">
        <f t="shared" si="108"/>
        <v>March</v>
      </c>
      <c r="L836">
        <f t="shared" si="109"/>
        <v>2024</v>
      </c>
      <c r="M836" t="b">
        <f t="shared" si="110"/>
        <v>0</v>
      </c>
      <c r="N836" t="b">
        <f t="shared" si="104"/>
        <v>0</v>
      </c>
      <c r="O836" t="str">
        <f t="shared" si="111"/>
        <v>Standard order</v>
      </c>
      <c r="P836" s="7">
        <f t="shared" si="105"/>
        <v>6.5034999999999998</v>
      </c>
      <c r="Q836" s="7" t="str">
        <f>VLOOKUP(D837,Product_Lookup!$A$2:$C$27,2,FALSE)</f>
        <v>Desk Lamp</v>
      </c>
      <c r="R836" s="7">
        <f t="shared" si="106"/>
        <v>390.21</v>
      </c>
    </row>
    <row r="837" spans="1:18" ht="21.75" customHeight="1">
      <c r="A837" t="s">
        <v>988</v>
      </c>
      <c r="B837" s="6">
        <v>45551</v>
      </c>
      <c r="C837" t="s">
        <v>451</v>
      </c>
      <c r="D837" t="s">
        <v>59</v>
      </c>
      <c r="E837" t="s">
        <v>11</v>
      </c>
      <c r="F837" t="s">
        <v>306</v>
      </c>
      <c r="G837" t="s">
        <v>28</v>
      </c>
      <c r="H837">
        <v>13</v>
      </c>
      <c r="I837" t="str">
        <f>VLOOKUP(D837,Product_Lookup!$A$2:$C$27,3,FALSE)</f>
        <v>$101.96</v>
      </c>
      <c r="J837" t="str">
        <f t="shared" si="107"/>
        <v>Monday</v>
      </c>
      <c r="K837" s="10" t="str">
        <f t="shared" si="108"/>
        <v>September</v>
      </c>
      <c r="L837">
        <f t="shared" si="109"/>
        <v>2024</v>
      </c>
      <c r="M837" t="b">
        <f t="shared" si="110"/>
        <v>0</v>
      </c>
      <c r="N837" t="b">
        <f t="shared" si="104"/>
        <v>1</v>
      </c>
      <c r="O837" t="str">
        <f t="shared" si="111"/>
        <v>Large Order</v>
      </c>
      <c r="P837" s="7">
        <f t="shared" si="105"/>
        <v>5.0979999999999999</v>
      </c>
      <c r="Q837" s="7" t="str">
        <f>VLOOKUP(D838,Product_Lookup!$A$2:$C$27,2,FALSE)</f>
        <v>Pen Set</v>
      </c>
      <c r="R837" s="7">
        <f t="shared" si="106"/>
        <v>1325.48</v>
      </c>
    </row>
    <row r="838" spans="1:18" ht="21.75" customHeight="1">
      <c r="A838" t="s">
        <v>989</v>
      </c>
      <c r="B838" s="6">
        <v>45310</v>
      </c>
      <c r="C838" t="s">
        <v>378</v>
      </c>
      <c r="D838" t="s">
        <v>174</v>
      </c>
      <c r="E838" t="s">
        <v>17</v>
      </c>
      <c r="F838" t="s">
        <v>306</v>
      </c>
      <c r="G838" t="s">
        <v>28</v>
      </c>
      <c r="H838">
        <v>16</v>
      </c>
      <c r="I838" t="str">
        <f>VLOOKUP(D838,Product_Lookup!$A$2:$C$27,3,FALSE)</f>
        <v>$133.37</v>
      </c>
      <c r="J838" t="str">
        <f t="shared" si="107"/>
        <v>Friday</v>
      </c>
      <c r="K838" s="10" t="str">
        <f t="shared" si="108"/>
        <v>January</v>
      </c>
      <c r="L838">
        <f t="shared" si="109"/>
        <v>2024</v>
      </c>
      <c r="M838" t="b">
        <f t="shared" si="110"/>
        <v>0</v>
      </c>
      <c r="N838" t="b">
        <f t="shared" si="104"/>
        <v>1</v>
      </c>
      <c r="O838" t="str">
        <f t="shared" si="111"/>
        <v>Large Order</v>
      </c>
      <c r="P838" s="7">
        <f t="shared" si="105"/>
        <v>6.6685000000000008</v>
      </c>
      <c r="Q838" s="7" t="str">
        <f>VLOOKUP(D839,Product_Lookup!$A$2:$C$27,2,FALSE)</f>
        <v>Lego Set</v>
      </c>
      <c r="R838" s="7">
        <f t="shared" si="106"/>
        <v>2133.92</v>
      </c>
    </row>
    <row r="839" spans="1:18" ht="21.75" customHeight="1">
      <c r="A839" t="s">
        <v>990</v>
      </c>
      <c r="B839" s="6">
        <v>45479</v>
      </c>
      <c r="C839" t="s">
        <v>106</v>
      </c>
      <c r="D839" t="s">
        <v>84</v>
      </c>
      <c r="E839" t="s">
        <v>11</v>
      </c>
      <c r="F839" t="s">
        <v>306</v>
      </c>
      <c r="G839" t="s">
        <v>36</v>
      </c>
      <c r="H839">
        <v>10</v>
      </c>
      <c r="I839" t="str">
        <f>VLOOKUP(D839,Product_Lookup!$A$2:$C$27,3,FALSE)</f>
        <v>$130.07</v>
      </c>
      <c r="J839" t="str">
        <f t="shared" si="107"/>
        <v>Saturday</v>
      </c>
      <c r="K839" s="10" t="str">
        <f t="shared" si="108"/>
        <v>July</v>
      </c>
      <c r="L839">
        <f t="shared" si="109"/>
        <v>2024</v>
      </c>
      <c r="M839" t="b">
        <f t="shared" si="110"/>
        <v>1</v>
      </c>
      <c r="N839" t="b">
        <f t="shared" si="104"/>
        <v>1</v>
      </c>
      <c r="O839" t="str">
        <f t="shared" si="111"/>
        <v>Large Order</v>
      </c>
      <c r="P839" s="7">
        <f t="shared" si="105"/>
        <v>6.5034999999999998</v>
      </c>
      <c r="Q839" s="7" t="str">
        <f>VLOOKUP(D840,Product_Lookup!$A$2:$C$27,2,FALSE)</f>
        <v>Notebook</v>
      </c>
      <c r="R839" s="7">
        <f t="shared" si="106"/>
        <v>1300.6999999999998</v>
      </c>
    </row>
    <row r="840" spans="1:18" ht="21.75" customHeight="1">
      <c r="A840" t="s">
        <v>991</v>
      </c>
      <c r="B840" s="6">
        <v>45553</v>
      </c>
      <c r="C840" t="s">
        <v>203</v>
      </c>
      <c r="D840" t="s">
        <v>160</v>
      </c>
      <c r="E840" t="s">
        <v>17</v>
      </c>
      <c r="F840" t="s">
        <v>42</v>
      </c>
      <c r="G840" t="s">
        <v>36</v>
      </c>
      <c r="H840">
        <v>1</v>
      </c>
      <c r="I840" t="str">
        <f>VLOOKUP(D840,Product_Lookup!$A$2:$C$27,3,FALSE)</f>
        <v>$149.27</v>
      </c>
      <c r="J840" t="str">
        <f t="shared" si="107"/>
        <v>Wednesday</v>
      </c>
      <c r="K840" s="10" t="str">
        <f t="shared" si="108"/>
        <v>September</v>
      </c>
      <c r="L840">
        <f t="shared" si="109"/>
        <v>2024</v>
      </c>
      <c r="M840" t="b">
        <f t="shared" si="110"/>
        <v>0</v>
      </c>
      <c r="N840" t="b">
        <f t="shared" si="104"/>
        <v>0</v>
      </c>
      <c r="O840" t="str">
        <f t="shared" si="111"/>
        <v>Standard order</v>
      </c>
      <c r="P840" s="7">
        <f t="shared" si="105"/>
        <v>7.4635000000000007</v>
      </c>
      <c r="Q840" s="7" t="str">
        <f>VLOOKUP(D841,Product_Lookup!$A$2:$C$27,2,FALSE)</f>
        <v>Air Fryer</v>
      </c>
      <c r="R840" s="7">
        <f t="shared" si="106"/>
        <v>149.27000000000001</v>
      </c>
    </row>
    <row r="841" spans="1:18" ht="21.75" customHeight="1">
      <c r="A841" t="s">
        <v>992</v>
      </c>
      <c r="B841" s="6">
        <v>45642</v>
      </c>
      <c r="C841" t="s">
        <v>30</v>
      </c>
      <c r="D841" t="s">
        <v>70</v>
      </c>
      <c r="E841" t="s">
        <v>22</v>
      </c>
      <c r="F841" t="s">
        <v>56</v>
      </c>
      <c r="G841" t="s">
        <v>36</v>
      </c>
      <c r="H841">
        <v>6</v>
      </c>
      <c r="I841" t="str">
        <f>VLOOKUP(D841,Product_Lookup!$A$2:$C$27,3,FALSE)</f>
        <v>$211.9</v>
      </c>
      <c r="J841" t="str">
        <f t="shared" si="107"/>
        <v>Monday</v>
      </c>
      <c r="K841" s="10" t="str">
        <f t="shared" si="108"/>
        <v>December</v>
      </c>
      <c r="L841">
        <f t="shared" si="109"/>
        <v>2024</v>
      </c>
      <c r="M841" t="b">
        <f t="shared" si="110"/>
        <v>0</v>
      </c>
      <c r="N841" t="b">
        <f t="shared" si="104"/>
        <v>1</v>
      </c>
      <c r="O841" t="str">
        <f t="shared" si="111"/>
        <v>Large Order</v>
      </c>
      <c r="P841" s="7">
        <f t="shared" si="105"/>
        <v>10.595000000000001</v>
      </c>
      <c r="Q841" s="7" t="str">
        <f>VLOOKUP(D842,Product_Lookup!$A$2:$C$27,2,FALSE)</f>
        <v>Toaster</v>
      </c>
      <c r="R841" s="7">
        <f t="shared" si="106"/>
        <v>1271.4000000000001</v>
      </c>
    </row>
    <row r="842" spans="1:18" ht="21.75" customHeight="1">
      <c r="A842" t="s">
        <v>993</v>
      </c>
      <c r="B842" s="6">
        <v>45629</v>
      </c>
      <c r="C842" t="s">
        <v>167</v>
      </c>
      <c r="D842" t="s">
        <v>48</v>
      </c>
      <c r="E842" t="s">
        <v>22</v>
      </c>
      <c r="F842" t="s">
        <v>27</v>
      </c>
      <c r="G842" t="s">
        <v>23</v>
      </c>
      <c r="H842">
        <v>2</v>
      </c>
      <c r="I842" t="str">
        <f>VLOOKUP(D842,Product_Lookup!$A$2:$C$27,3,FALSE)</f>
        <v>$208.85</v>
      </c>
      <c r="J842" t="str">
        <f t="shared" si="107"/>
        <v>Tuesday</v>
      </c>
      <c r="K842" s="10" t="str">
        <f t="shared" si="108"/>
        <v>December</v>
      </c>
      <c r="L842">
        <f t="shared" si="109"/>
        <v>2024</v>
      </c>
      <c r="M842" t="b">
        <f t="shared" si="110"/>
        <v>0</v>
      </c>
      <c r="N842" t="b">
        <f t="shared" si="104"/>
        <v>0</v>
      </c>
      <c r="O842" t="str">
        <f t="shared" si="111"/>
        <v>Standard order</v>
      </c>
      <c r="P842" s="7">
        <f t="shared" si="105"/>
        <v>10.442500000000001</v>
      </c>
      <c r="Q842" s="7" t="str">
        <f>VLOOKUP(D843,Product_Lookup!$A$2:$C$27,2,FALSE)</f>
        <v>Jacket</v>
      </c>
      <c r="R842" s="7">
        <f t="shared" si="106"/>
        <v>417.7</v>
      </c>
    </row>
    <row r="843" spans="1:18" ht="21.75" customHeight="1">
      <c r="A843" t="s">
        <v>994</v>
      </c>
      <c r="B843" s="6">
        <v>45410</v>
      </c>
      <c r="C843" t="s">
        <v>58</v>
      </c>
      <c r="D843" t="s">
        <v>197</v>
      </c>
      <c r="E843" t="s">
        <v>17</v>
      </c>
      <c r="F843" t="s">
        <v>42</v>
      </c>
      <c r="G843" t="s">
        <v>36</v>
      </c>
      <c r="H843">
        <v>2</v>
      </c>
      <c r="I843" t="str">
        <f>VLOOKUP(D843,Product_Lookup!$A$2:$C$27,3,FALSE)</f>
        <v>$10.11</v>
      </c>
      <c r="J843" t="str">
        <f t="shared" si="107"/>
        <v>Sunday</v>
      </c>
      <c r="K843" s="10" t="str">
        <f t="shared" si="108"/>
        <v>April</v>
      </c>
      <c r="L843">
        <f t="shared" si="109"/>
        <v>2024</v>
      </c>
      <c r="M843" t="b">
        <f t="shared" si="110"/>
        <v>1</v>
      </c>
      <c r="N843" t="b">
        <f t="shared" si="104"/>
        <v>0</v>
      </c>
      <c r="O843" t="str">
        <f t="shared" si="111"/>
        <v>Standard order</v>
      </c>
      <c r="P843" s="7">
        <f t="shared" si="105"/>
        <v>0.50549999999999995</v>
      </c>
      <c r="Q843" s="7" t="str">
        <f>VLOOKUP(D844,Product_Lookup!$A$2:$C$27,2,FALSE)</f>
        <v>Smartphone</v>
      </c>
      <c r="R843" s="7">
        <f t="shared" si="106"/>
        <v>20.22</v>
      </c>
    </row>
    <row r="844" spans="1:18" ht="21.75" customHeight="1">
      <c r="A844" t="s">
        <v>995</v>
      </c>
      <c r="B844" s="6">
        <v>45476</v>
      </c>
      <c r="C844" t="s">
        <v>53</v>
      </c>
      <c r="D844" t="s">
        <v>79</v>
      </c>
      <c r="E844" t="s">
        <v>17</v>
      </c>
      <c r="F844" t="s">
        <v>27</v>
      </c>
      <c r="G844" t="s">
        <v>32</v>
      </c>
      <c r="H844">
        <v>2</v>
      </c>
      <c r="I844" t="str">
        <f>VLOOKUP(D844,Product_Lookup!$A$2:$C$27,3,FALSE)</f>
        <v>$216.22</v>
      </c>
      <c r="J844" t="str">
        <f t="shared" si="107"/>
        <v>Wednesday</v>
      </c>
      <c r="K844" s="10" t="str">
        <f t="shared" si="108"/>
        <v>July</v>
      </c>
      <c r="L844">
        <f t="shared" si="109"/>
        <v>2024</v>
      </c>
      <c r="M844" t="b">
        <f t="shared" si="110"/>
        <v>0</v>
      </c>
      <c r="N844" t="b">
        <f t="shared" si="104"/>
        <v>0</v>
      </c>
      <c r="O844" t="str">
        <f t="shared" si="111"/>
        <v>Standard order</v>
      </c>
      <c r="P844" s="7">
        <f t="shared" si="105"/>
        <v>10.811</v>
      </c>
      <c r="Q844" s="7" t="str">
        <f>VLOOKUP(D845,Product_Lookup!$A$2:$C$27,2,FALSE)</f>
        <v>Lego Set</v>
      </c>
      <c r="R844" s="7">
        <f t="shared" si="106"/>
        <v>432.44</v>
      </c>
    </row>
    <row r="845" spans="1:18" ht="21.75" customHeight="1">
      <c r="A845" t="s">
        <v>996</v>
      </c>
      <c r="B845" s="6">
        <v>45344</v>
      </c>
      <c r="C845" t="s">
        <v>369</v>
      </c>
      <c r="D845" t="s">
        <v>84</v>
      </c>
      <c r="E845" t="s">
        <v>22</v>
      </c>
      <c r="F845" t="s">
        <v>42</v>
      </c>
      <c r="G845" t="s">
        <v>36</v>
      </c>
      <c r="H845">
        <v>9</v>
      </c>
      <c r="I845" t="str">
        <f>VLOOKUP(D845,Product_Lookup!$A$2:$C$27,3,FALSE)</f>
        <v>$130.07</v>
      </c>
      <c r="J845" t="str">
        <f t="shared" si="107"/>
        <v>Thursday</v>
      </c>
      <c r="K845" s="10" t="str">
        <f t="shared" si="108"/>
        <v>February</v>
      </c>
      <c r="L845">
        <f t="shared" si="109"/>
        <v>2024</v>
      </c>
      <c r="M845" t="b">
        <f t="shared" si="110"/>
        <v>0</v>
      </c>
      <c r="N845" t="b">
        <f t="shared" si="104"/>
        <v>1</v>
      </c>
      <c r="O845" t="str">
        <f t="shared" si="111"/>
        <v>Large Order</v>
      </c>
      <c r="P845" s="7">
        <f t="shared" si="105"/>
        <v>6.5034999999999998</v>
      </c>
      <c r="Q845" s="7" t="str">
        <f>VLOOKUP(D846,Product_Lookup!$A$2:$C$27,2,FALSE)</f>
        <v>Toaster</v>
      </c>
      <c r="R845" s="7">
        <f t="shared" si="106"/>
        <v>1170.6299999999999</v>
      </c>
    </row>
    <row r="846" spans="1:18" ht="21.75" customHeight="1">
      <c r="A846" t="s">
        <v>997</v>
      </c>
      <c r="B846" s="6">
        <v>45381</v>
      </c>
      <c r="C846" t="s">
        <v>159</v>
      </c>
      <c r="D846" t="s">
        <v>48</v>
      </c>
      <c r="E846" t="s">
        <v>22</v>
      </c>
      <c r="F846" t="s">
        <v>27</v>
      </c>
      <c r="G846" t="s">
        <v>13</v>
      </c>
      <c r="H846">
        <v>19</v>
      </c>
      <c r="I846" t="str">
        <f>VLOOKUP(D846,Product_Lookup!$A$2:$C$27,3,FALSE)</f>
        <v>$208.85</v>
      </c>
      <c r="J846" t="str">
        <f t="shared" si="107"/>
        <v>Saturday</v>
      </c>
      <c r="K846" s="10" t="str">
        <f t="shared" si="108"/>
        <v>March</v>
      </c>
      <c r="L846">
        <f t="shared" si="109"/>
        <v>2024</v>
      </c>
      <c r="M846" t="b">
        <f t="shared" si="110"/>
        <v>1</v>
      </c>
      <c r="N846" t="b">
        <f t="shared" si="104"/>
        <v>1</v>
      </c>
      <c r="O846" t="str">
        <f t="shared" si="111"/>
        <v>Large Order</v>
      </c>
      <c r="P846" s="7">
        <f t="shared" si="105"/>
        <v>10.442500000000001</v>
      </c>
      <c r="Q846" s="7" t="str">
        <f>VLOOKUP(D847,Product_Lookup!$A$2:$C$27,2,FALSE)</f>
        <v>Notebook</v>
      </c>
      <c r="R846" s="7">
        <f t="shared" si="106"/>
        <v>3968.15</v>
      </c>
    </row>
    <row r="847" spans="1:18" ht="21.75" customHeight="1">
      <c r="A847" t="s">
        <v>998</v>
      </c>
      <c r="B847" s="6">
        <v>45556</v>
      </c>
      <c r="C847" t="s">
        <v>230</v>
      </c>
      <c r="D847" t="s">
        <v>160</v>
      </c>
      <c r="E847" t="s">
        <v>17</v>
      </c>
      <c r="F847" t="s">
        <v>56</v>
      </c>
      <c r="G847" t="s">
        <v>32</v>
      </c>
      <c r="H847">
        <v>13</v>
      </c>
      <c r="I847" t="str">
        <f>VLOOKUP(D847,Product_Lookup!$A$2:$C$27,3,FALSE)</f>
        <v>$149.27</v>
      </c>
      <c r="J847" t="str">
        <f t="shared" si="107"/>
        <v>Saturday</v>
      </c>
      <c r="K847" s="10" t="str">
        <f t="shared" si="108"/>
        <v>September</v>
      </c>
      <c r="L847">
        <f t="shared" si="109"/>
        <v>2024</v>
      </c>
      <c r="M847" t="b">
        <f t="shared" si="110"/>
        <v>1</v>
      </c>
      <c r="N847" t="b">
        <f t="shared" si="104"/>
        <v>1</v>
      </c>
      <c r="O847" t="str">
        <f t="shared" si="111"/>
        <v>Large Order</v>
      </c>
      <c r="P847" s="7">
        <f t="shared" si="105"/>
        <v>7.4635000000000007</v>
      </c>
      <c r="Q847" s="7" t="str">
        <f>VLOOKUP(D848,Product_Lookup!$A$2:$C$27,2,FALSE)</f>
        <v>Notebook</v>
      </c>
      <c r="R847" s="7">
        <f t="shared" si="106"/>
        <v>1940.5100000000002</v>
      </c>
    </row>
    <row r="848" spans="1:18" ht="21.75" customHeight="1">
      <c r="A848" t="s">
        <v>999</v>
      </c>
      <c r="B848" s="6">
        <v>45541</v>
      </c>
      <c r="C848" t="s">
        <v>517</v>
      </c>
      <c r="D848" t="s">
        <v>160</v>
      </c>
      <c r="E848" t="s">
        <v>22</v>
      </c>
      <c r="F848" t="s">
        <v>12</v>
      </c>
      <c r="G848" t="s">
        <v>28</v>
      </c>
      <c r="H848">
        <v>5</v>
      </c>
      <c r="I848" t="str">
        <f>VLOOKUP(D848,Product_Lookup!$A$2:$C$27,3,FALSE)</f>
        <v>$149.27</v>
      </c>
      <c r="J848" t="str">
        <f t="shared" si="107"/>
        <v>Friday</v>
      </c>
      <c r="K848" s="10" t="str">
        <f t="shared" si="108"/>
        <v>September</v>
      </c>
      <c r="L848">
        <f t="shared" si="109"/>
        <v>2024</v>
      </c>
      <c r="M848" t="b">
        <f t="shared" si="110"/>
        <v>0</v>
      </c>
      <c r="N848" t="b">
        <f t="shared" si="104"/>
        <v>0</v>
      </c>
      <c r="O848" t="str">
        <f t="shared" si="111"/>
        <v>Large Order</v>
      </c>
      <c r="P848" s="7">
        <f t="shared" si="105"/>
        <v>7.4635000000000007</v>
      </c>
      <c r="Q848" s="7" t="str">
        <f>VLOOKUP(D849,Product_Lookup!$A$2:$C$27,2,FALSE)</f>
        <v>Jeans</v>
      </c>
      <c r="R848" s="7">
        <f t="shared" si="106"/>
        <v>746.35</v>
      </c>
    </row>
    <row r="849" spans="1:18" ht="21.75" customHeight="1">
      <c r="A849" t="s">
        <v>1000</v>
      </c>
      <c r="B849" s="6">
        <v>45331</v>
      </c>
      <c r="C849" t="s">
        <v>345</v>
      </c>
      <c r="D849" t="s">
        <v>65</v>
      </c>
      <c r="E849" t="s">
        <v>22</v>
      </c>
      <c r="F849" t="s">
        <v>42</v>
      </c>
      <c r="G849" t="s">
        <v>32</v>
      </c>
      <c r="H849">
        <v>5</v>
      </c>
      <c r="I849" t="str">
        <f>VLOOKUP(D849,Product_Lookup!$A$2:$C$27,3,FALSE)</f>
        <v>$33.22</v>
      </c>
      <c r="J849" t="str">
        <f t="shared" si="107"/>
        <v>Friday</v>
      </c>
      <c r="K849" s="10" t="str">
        <f t="shared" si="108"/>
        <v>February</v>
      </c>
      <c r="L849">
        <f t="shared" si="109"/>
        <v>2024</v>
      </c>
      <c r="M849" t="b">
        <f t="shared" si="110"/>
        <v>0</v>
      </c>
      <c r="N849" t="b">
        <f t="shared" si="104"/>
        <v>0</v>
      </c>
      <c r="O849" t="str">
        <f t="shared" si="111"/>
        <v>Standard order</v>
      </c>
      <c r="P849" s="7">
        <f t="shared" si="105"/>
        <v>1.661</v>
      </c>
      <c r="Q849" s="7" t="str">
        <f>VLOOKUP(D850,Product_Lookup!$A$2:$C$27,2,FALSE)</f>
        <v>Vacuum</v>
      </c>
      <c r="R849" s="7">
        <f t="shared" si="106"/>
        <v>166.1</v>
      </c>
    </row>
    <row r="850" spans="1:18" ht="21.75" customHeight="1">
      <c r="A850" t="s">
        <v>1001</v>
      </c>
      <c r="B850" s="6">
        <v>45600</v>
      </c>
      <c r="C850" t="s">
        <v>436</v>
      </c>
      <c r="D850" t="s">
        <v>87</v>
      </c>
      <c r="E850" t="s">
        <v>11</v>
      </c>
      <c r="F850" t="s">
        <v>56</v>
      </c>
      <c r="G850" t="s">
        <v>23</v>
      </c>
      <c r="H850">
        <v>11</v>
      </c>
      <c r="I850" t="str">
        <f>VLOOKUP(D850,Product_Lookup!$A$2:$C$27,3,FALSE)</f>
        <v>$26.59</v>
      </c>
      <c r="J850" t="str">
        <f t="shared" si="107"/>
        <v>Monday</v>
      </c>
      <c r="K850" s="10" t="str">
        <f t="shared" si="108"/>
        <v>November</v>
      </c>
      <c r="L850">
        <f t="shared" si="109"/>
        <v>2024</v>
      </c>
      <c r="M850" t="b">
        <f t="shared" si="110"/>
        <v>0</v>
      </c>
      <c r="N850" t="b">
        <f t="shared" si="104"/>
        <v>0</v>
      </c>
      <c r="O850" t="str">
        <f t="shared" si="111"/>
        <v>Standard order</v>
      </c>
      <c r="P850" s="7">
        <f t="shared" si="105"/>
        <v>1.3295000000000001</v>
      </c>
      <c r="Q850" s="7" t="str">
        <f>VLOOKUP(D851,Product_Lookup!$A$2:$C$27,2,FALSE)</f>
        <v>Desk Lamp</v>
      </c>
      <c r="R850" s="7">
        <f t="shared" si="106"/>
        <v>292.49</v>
      </c>
    </row>
    <row r="851" spans="1:18" ht="21.75" customHeight="1">
      <c r="A851" t="s">
        <v>1002</v>
      </c>
      <c r="B851" s="6">
        <v>45637</v>
      </c>
      <c r="C851" t="s">
        <v>517</v>
      </c>
      <c r="D851" t="s">
        <v>59</v>
      </c>
      <c r="E851" t="s">
        <v>17</v>
      </c>
      <c r="F851" t="s">
        <v>56</v>
      </c>
      <c r="G851" t="s">
        <v>23</v>
      </c>
      <c r="H851">
        <v>6</v>
      </c>
      <c r="I851" t="str">
        <f>VLOOKUP(D851,Product_Lookup!$A$2:$C$27,3,FALSE)</f>
        <v>$101.96</v>
      </c>
      <c r="J851" t="str">
        <f t="shared" si="107"/>
        <v>Wednesday</v>
      </c>
      <c r="K851" s="10" t="str">
        <f t="shared" si="108"/>
        <v>December</v>
      </c>
      <c r="L851">
        <f t="shared" si="109"/>
        <v>2024</v>
      </c>
      <c r="M851" t="b">
        <f t="shared" si="110"/>
        <v>0</v>
      </c>
      <c r="N851" t="b">
        <f t="shared" si="104"/>
        <v>0</v>
      </c>
      <c r="O851" t="str">
        <f t="shared" si="111"/>
        <v>Large Order</v>
      </c>
      <c r="P851" s="7">
        <f t="shared" si="105"/>
        <v>5.0979999999999999</v>
      </c>
      <c r="Q851" s="7" t="str">
        <f>VLOOKUP(D852,Product_Lookup!$A$2:$C$27,2,FALSE)</f>
        <v>Desk Lamp</v>
      </c>
      <c r="R851" s="7">
        <f t="shared" si="106"/>
        <v>611.76</v>
      </c>
    </row>
    <row r="852" spans="1:18" ht="21.75" customHeight="1">
      <c r="A852" t="s">
        <v>1003</v>
      </c>
      <c r="B852" s="6">
        <v>45303</v>
      </c>
      <c r="C852" t="s">
        <v>78</v>
      </c>
      <c r="D852" t="s">
        <v>59</v>
      </c>
      <c r="E852" t="s">
        <v>11</v>
      </c>
      <c r="F852" t="s">
        <v>56</v>
      </c>
      <c r="G852" t="s">
        <v>36</v>
      </c>
      <c r="H852">
        <v>19</v>
      </c>
      <c r="I852" t="str">
        <f>VLOOKUP(D852,Product_Lookup!$A$2:$C$27,3,FALSE)</f>
        <v>$101.96</v>
      </c>
      <c r="J852" t="str">
        <f t="shared" si="107"/>
        <v>Friday</v>
      </c>
      <c r="K852" s="10" t="str">
        <f t="shared" si="108"/>
        <v>January</v>
      </c>
      <c r="L852">
        <f t="shared" si="109"/>
        <v>2024</v>
      </c>
      <c r="M852" t="b">
        <f t="shared" si="110"/>
        <v>0</v>
      </c>
      <c r="N852" t="b">
        <f t="shared" si="104"/>
        <v>1</v>
      </c>
      <c r="O852" t="str">
        <f t="shared" si="111"/>
        <v>Large Order</v>
      </c>
      <c r="P852" s="7">
        <f t="shared" si="105"/>
        <v>5.0979999999999999</v>
      </c>
      <c r="Q852" s="7" t="str">
        <f>VLOOKUP(D853,Product_Lookup!$A$2:$C$27,2,FALSE)</f>
        <v>T-Shirt</v>
      </c>
      <c r="R852" s="7">
        <f t="shared" si="106"/>
        <v>1937.2399999999998</v>
      </c>
    </row>
    <row r="853" spans="1:18" ht="21.75" customHeight="1">
      <c r="A853" t="s">
        <v>1004</v>
      </c>
      <c r="B853" s="6">
        <v>45312</v>
      </c>
      <c r="C853" t="s">
        <v>314</v>
      </c>
      <c r="D853" t="s">
        <v>45</v>
      </c>
      <c r="E853" t="s">
        <v>11</v>
      </c>
      <c r="F853" t="s">
        <v>12</v>
      </c>
      <c r="G853" t="s">
        <v>36</v>
      </c>
      <c r="H853">
        <v>9</v>
      </c>
      <c r="I853" t="str">
        <f>VLOOKUP(D853,Product_Lookup!$A$2:$C$27,3,FALSE)</f>
        <v>$107.34</v>
      </c>
      <c r="J853" t="str">
        <f t="shared" si="107"/>
        <v>Sunday</v>
      </c>
      <c r="K853" s="10" t="str">
        <f t="shared" si="108"/>
        <v>January</v>
      </c>
      <c r="L853">
        <f t="shared" si="109"/>
        <v>2024</v>
      </c>
      <c r="M853" t="b">
        <f t="shared" si="110"/>
        <v>1</v>
      </c>
      <c r="N853" t="b">
        <f t="shared" si="104"/>
        <v>1</v>
      </c>
      <c r="O853" t="str">
        <f t="shared" si="111"/>
        <v>Large Order</v>
      </c>
      <c r="P853" s="7">
        <f t="shared" si="105"/>
        <v>5.3670000000000009</v>
      </c>
      <c r="Q853" s="7" t="str">
        <f>VLOOKUP(D854,Product_Lookup!$A$2:$C$27,2,FALSE)</f>
        <v>Lego Set</v>
      </c>
      <c r="R853" s="7">
        <f t="shared" si="106"/>
        <v>966.06000000000006</v>
      </c>
    </row>
    <row r="854" spans="1:18" ht="21.75" customHeight="1">
      <c r="A854" t="s">
        <v>1005</v>
      </c>
      <c r="B854" s="6">
        <v>45499</v>
      </c>
      <c r="C854" t="s">
        <v>327</v>
      </c>
      <c r="D854" t="s">
        <v>84</v>
      </c>
      <c r="E854" t="s">
        <v>22</v>
      </c>
      <c r="F854" t="s">
        <v>12</v>
      </c>
      <c r="G854" t="s">
        <v>28</v>
      </c>
      <c r="H854">
        <v>10</v>
      </c>
      <c r="I854" t="str">
        <f>VLOOKUP(D854,Product_Lookup!$A$2:$C$27,3,FALSE)</f>
        <v>$130.07</v>
      </c>
      <c r="J854" t="str">
        <f t="shared" si="107"/>
        <v>Friday</v>
      </c>
      <c r="K854" s="10" t="str">
        <f t="shared" si="108"/>
        <v>July</v>
      </c>
      <c r="L854">
        <f t="shared" si="109"/>
        <v>2024</v>
      </c>
      <c r="M854" t="b">
        <f t="shared" si="110"/>
        <v>0</v>
      </c>
      <c r="N854" t="b">
        <f t="shared" si="104"/>
        <v>1</v>
      </c>
      <c r="O854" t="str">
        <f t="shared" si="111"/>
        <v>Large Order</v>
      </c>
      <c r="P854" s="7">
        <f t="shared" si="105"/>
        <v>6.5034999999999998</v>
      </c>
      <c r="Q854" s="7" t="str">
        <f>VLOOKUP(D855,Product_Lookup!$A$2:$C$27,2,FALSE)</f>
        <v>T-Shirt</v>
      </c>
      <c r="R854" s="7">
        <f t="shared" si="106"/>
        <v>1300.6999999999998</v>
      </c>
    </row>
    <row r="855" spans="1:18" ht="21.75" customHeight="1">
      <c r="A855" t="s">
        <v>1006</v>
      </c>
      <c r="B855" s="6">
        <v>45521</v>
      </c>
      <c r="C855" t="s">
        <v>493</v>
      </c>
      <c r="D855" t="s">
        <v>45</v>
      </c>
      <c r="E855" t="s">
        <v>17</v>
      </c>
      <c r="F855" t="s">
        <v>27</v>
      </c>
      <c r="G855" t="s">
        <v>36</v>
      </c>
      <c r="H855">
        <v>8</v>
      </c>
      <c r="I855" t="str">
        <f>VLOOKUP(D855,Product_Lookup!$A$2:$C$27,3,FALSE)</f>
        <v>$107.34</v>
      </c>
      <c r="J855" t="str">
        <f t="shared" si="107"/>
        <v>Saturday</v>
      </c>
      <c r="K855" s="10" t="str">
        <f t="shared" si="108"/>
        <v>August</v>
      </c>
      <c r="L855">
        <f t="shared" si="109"/>
        <v>2024</v>
      </c>
      <c r="M855" t="b">
        <f t="shared" si="110"/>
        <v>1</v>
      </c>
      <c r="N855" t="b">
        <f t="shared" si="104"/>
        <v>1</v>
      </c>
      <c r="O855" t="str">
        <f t="shared" si="111"/>
        <v>Large Order</v>
      </c>
      <c r="P855" s="7">
        <f t="shared" si="105"/>
        <v>5.3670000000000009</v>
      </c>
      <c r="Q855" s="7" t="str">
        <f>VLOOKUP(D856,Product_Lookup!$A$2:$C$27,2,FALSE)</f>
        <v>Board Game</v>
      </c>
      <c r="R855" s="7">
        <f t="shared" si="106"/>
        <v>858.72</v>
      </c>
    </row>
    <row r="856" spans="1:18" ht="21.75" customHeight="1">
      <c r="A856" t="s">
        <v>1007</v>
      </c>
      <c r="B856" s="6">
        <v>45365</v>
      </c>
      <c r="C856" t="s">
        <v>361</v>
      </c>
      <c r="D856" t="s">
        <v>41</v>
      </c>
      <c r="E856" t="s">
        <v>11</v>
      </c>
      <c r="F856" t="s">
        <v>306</v>
      </c>
      <c r="G856" t="s">
        <v>32</v>
      </c>
      <c r="H856">
        <v>17</v>
      </c>
      <c r="I856" t="str">
        <f>VLOOKUP(D856,Product_Lookup!$A$2:$C$27,3,FALSE)</f>
        <v>$86.6</v>
      </c>
      <c r="J856" t="str">
        <f t="shared" si="107"/>
        <v>Thursday</v>
      </c>
      <c r="K856" s="10" t="str">
        <f t="shared" si="108"/>
        <v>March</v>
      </c>
      <c r="L856">
        <f t="shared" si="109"/>
        <v>2024</v>
      </c>
      <c r="M856" t="b">
        <f t="shared" si="110"/>
        <v>0</v>
      </c>
      <c r="N856" t="b">
        <f t="shared" si="104"/>
        <v>1</v>
      </c>
      <c r="O856" t="str">
        <f t="shared" si="111"/>
        <v>Large Order</v>
      </c>
      <c r="P856" s="7">
        <f t="shared" si="105"/>
        <v>4.33</v>
      </c>
      <c r="Q856" s="7" t="str">
        <f>VLOOKUP(D857,Product_Lookup!$A$2:$C$27,2,FALSE)</f>
        <v>Jacket</v>
      </c>
      <c r="R856" s="7">
        <f t="shared" si="106"/>
        <v>1472.1999999999998</v>
      </c>
    </row>
    <row r="857" spans="1:18" ht="21.75" customHeight="1">
      <c r="A857" t="s">
        <v>1008</v>
      </c>
      <c r="B857" s="6">
        <v>45524</v>
      </c>
      <c r="C857" t="s">
        <v>327</v>
      </c>
      <c r="D857" t="s">
        <v>197</v>
      </c>
      <c r="E857" t="s">
        <v>22</v>
      </c>
      <c r="F857" t="s">
        <v>12</v>
      </c>
      <c r="G857" t="s">
        <v>13</v>
      </c>
      <c r="H857">
        <v>13</v>
      </c>
      <c r="I857" t="str">
        <f>VLOOKUP(D857,Product_Lookup!$A$2:$C$27,3,FALSE)</f>
        <v>$10.11</v>
      </c>
      <c r="J857" t="str">
        <f t="shared" si="107"/>
        <v>Tuesday</v>
      </c>
      <c r="K857" s="10" t="str">
        <f t="shared" si="108"/>
        <v>August</v>
      </c>
      <c r="L857">
        <f t="shared" si="109"/>
        <v>2024</v>
      </c>
      <c r="M857" t="b">
        <f t="shared" si="110"/>
        <v>0</v>
      </c>
      <c r="N857" t="b">
        <f t="shared" si="104"/>
        <v>0</v>
      </c>
      <c r="O857" t="str">
        <f t="shared" si="111"/>
        <v>Standard order</v>
      </c>
      <c r="P857" s="7">
        <f t="shared" si="105"/>
        <v>0.50549999999999995</v>
      </c>
      <c r="Q857" s="7" t="str">
        <f>VLOOKUP(D858,Product_Lookup!$A$2:$C$27,2,FALSE)</f>
        <v>Board Game</v>
      </c>
      <c r="R857" s="7">
        <f t="shared" si="106"/>
        <v>131.43</v>
      </c>
    </row>
    <row r="858" spans="1:18" ht="21.75" customHeight="1">
      <c r="A858" t="s">
        <v>1009</v>
      </c>
      <c r="B858" s="6">
        <v>45300</v>
      </c>
      <c r="C858" t="s">
        <v>104</v>
      </c>
      <c r="D858" t="s">
        <v>41</v>
      </c>
      <c r="E858" t="s">
        <v>22</v>
      </c>
      <c r="F858" t="s">
        <v>306</v>
      </c>
      <c r="G858" t="s">
        <v>36</v>
      </c>
      <c r="H858">
        <v>14</v>
      </c>
      <c r="I858" t="str">
        <f>VLOOKUP(D858,Product_Lookup!$A$2:$C$27,3,FALSE)</f>
        <v>$86.6</v>
      </c>
      <c r="J858" t="str">
        <f t="shared" si="107"/>
        <v>Tuesday</v>
      </c>
      <c r="K858" s="10" t="str">
        <f t="shared" si="108"/>
        <v>January</v>
      </c>
      <c r="L858">
        <f t="shared" si="109"/>
        <v>2024</v>
      </c>
      <c r="M858" t="b">
        <f t="shared" si="110"/>
        <v>0</v>
      </c>
      <c r="N858" t="b">
        <f t="shared" si="104"/>
        <v>1</v>
      </c>
      <c r="O858" t="str">
        <f t="shared" si="111"/>
        <v>Large Order</v>
      </c>
      <c r="P858" s="7">
        <f t="shared" si="105"/>
        <v>4.33</v>
      </c>
      <c r="Q858" s="7" t="str">
        <f>VLOOKUP(D859,Product_Lookup!$A$2:$C$27,2,FALSE)</f>
        <v>Paper Shredder</v>
      </c>
      <c r="R858" s="7">
        <f t="shared" si="106"/>
        <v>1212.3999999999999</v>
      </c>
    </row>
    <row r="859" spans="1:18" ht="21.75" customHeight="1">
      <c r="A859" t="s">
        <v>1010</v>
      </c>
      <c r="B859" s="6">
        <v>45341</v>
      </c>
      <c r="C859" t="s">
        <v>235</v>
      </c>
      <c r="D859" t="s">
        <v>109</v>
      </c>
      <c r="E859" t="s">
        <v>17</v>
      </c>
      <c r="F859" t="s">
        <v>306</v>
      </c>
      <c r="G859" t="s">
        <v>36</v>
      </c>
      <c r="H859">
        <v>2</v>
      </c>
      <c r="I859" t="str">
        <f>VLOOKUP(D859,Product_Lookup!$A$2:$C$27,3,FALSE)</f>
        <v>$81.02</v>
      </c>
      <c r="J859" t="str">
        <f t="shared" si="107"/>
        <v>Monday</v>
      </c>
      <c r="K859" s="10" t="str">
        <f t="shared" si="108"/>
        <v>February</v>
      </c>
      <c r="L859">
        <f t="shared" si="109"/>
        <v>2024</v>
      </c>
      <c r="M859" t="b">
        <f t="shared" si="110"/>
        <v>0</v>
      </c>
      <c r="N859" t="b">
        <f t="shared" si="104"/>
        <v>0</v>
      </c>
      <c r="O859" t="str">
        <f t="shared" si="111"/>
        <v>Standard order</v>
      </c>
      <c r="P859" s="7">
        <f t="shared" si="105"/>
        <v>4.0510000000000002</v>
      </c>
      <c r="Q859" s="7" t="str">
        <f>VLOOKUP(D860,Product_Lookup!$A$2:$C$27,2,FALSE)</f>
        <v>Stapler</v>
      </c>
      <c r="R859" s="7">
        <f t="shared" si="106"/>
        <v>162.04</v>
      </c>
    </row>
    <row r="860" spans="1:18" ht="21.75" customHeight="1">
      <c r="A860" t="s">
        <v>1011</v>
      </c>
      <c r="B860" s="6">
        <v>45549</v>
      </c>
      <c r="C860" t="s">
        <v>664</v>
      </c>
      <c r="D860" t="s">
        <v>35</v>
      </c>
      <c r="E860" t="s">
        <v>11</v>
      </c>
      <c r="F860" t="s">
        <v>12</v>
      </c>
      <c r="G860" t="s">
        <v>36</v>
      </c>
      <c r="H860">
        <v>5</v>
      </c>
      <c r="I860" t="str">
        <f>VLOOKUP(D860,Product_Lookup!$A$2:$C$27,3,FALSE)</f>
        <v>$64.61</v>
      </c>
      <c r="J860" t="str">
        <f t="shared" si="107"/>
        <v>Saturday</v>
      </c>
      <c r="K860" s="10" t="str">
        <f t="shared" si="108"/>
        <v>September</v>
      </c>
      <c r="L860">
        <f t="shared" si="109"/>
        <v>2024</v>
      </c>
      <c r="M860" t="b">
        <f t="shared" si="110"/>
        <v>1</v>
      </c>
      <c r="N860" t="b">
        <f t="shared" si="104"/>
        <v>0</v>
      </c>
      <c r="O860" t="str">
        <f t="shared" si="111"/>
        <v>Standard order</v>
      </c>
      <c r="P860" s="7">
        <f t="shared" si="105"/>
        <v>3.2305000000000001</v>
      </c>
      <c r="Q860" s="7" t="str">
        <f>VLOOKUP(D861,Product_Lookup!$A$2:$C$27,2,FALSE)</f>
        <v>Notebook</v>
      </c>
      <c r="R860" s="7">
        <f t="shared" si="106"/>
        <v>323.05</v>
      </c>
    </row>
    <row r="861" spans="1:18" ht="21.75" customHeight="1">
      <c r="A861" t="s">
        <v>1012</v>
      </c>
      <c r="B861" s="6">
        <v>45292</v>
      </c>
      <c r="C861" t="s">
        <v>420</v>
      </c>
      <c r="D861" t="s">
        <v>160</v>
      </c>
      <c r="E861" t="s">
        <v>22</v>
      </c>
      <c r="F861" t="s">
        <v>27</v>
      </c>
      <c r="G861" t="s">
        <v>13</v>
      </c>
      <c r="H861">
        <v>14</v>
      </c>
      <c r="I861" t="str">
        <f>VLOOKUP(D861,Product_Lookup!$A$2:$C$27,3,FALSE)</f>
        <v>$149.27</v>
      </c>
      <c r="J861" t="str">
        <f t="shared" si="107"/>
        <v>Monday</v>
      </c>
      <c r="K861" s="10" t="str">
        <f t="shared" si="108"/>
        <v>January</v>
      </c>
      <c r="L861">
        <f t="shared" si="109"/>
        <v>2024</v>
      </c>
      <c r="M861" t="b">
        <f t="shared" si="110"/>
        <v>0</v>
      </c>
      <c r="N861" t="b">
        <f t="shared" si="104"/>
        <v>1</v>
      </c>
      <c r="O861" t="str">
        <f t="shared" si="111"/>
        <v>Large Order</v>
      </c>
      <c r="P861" s="7">
        <f t="shared" si="105"/>
        <v>7.4635000000000007</v>
      </c>
      <c r="Q861" s="7" t="str">
        <f>VLOOKUP(D862,Product_Lookup!$A$2:$C$27,2,FALSE)</f>
        <v>Stapler</v>
      </c>
      <c r="R861" s="7">
        <f t="shared" si="106"/>
        <v>2089.7800000000002</v>
      </c>
    </row>
    <row r="862" spans="1:18" ht="21.75" customHeight="1">
      <c r="A862" t="s">
        <v>1013</v>
      </c>
      <c r="B862" s="6">
        <v>45649</v>
      </c>
      <c r="C862" t="s">
        <v>339</v>
      </c>
      <c r="D862" t="s">
        <v>35</v>
      </c>
      <c r="E862" t="s">
        <v>17</v>
      </c>
      <c r="F862" t="s">
        <v>56</v>
      </c>
      <c r="G862" t="s">
        <v>36</v>
      </c>
      <c r="H862">
        <v>13</v>
      </c>
      <c r="I862" t="str">
        <f>VLOOKUP(D862,Product_Lookup!$A$2:$C$27,3,FALSE)</f>
        <v>$64.61</v>
      </c>
      <c r="J862" t="str">
        <f t="shared" si="107"/>
        <v>Monday</v>
      </c>
      <c r="K862" s="10" t="str">
        <f t="shared" si="108"/>
        <v>December</v>
      </c>
      <c r="L862">
        <f t="shared" si="109"/>
        <v>2024</v>
      </c>
      <c r="M862" t="b">
        <f t="shared" si="110"/>
        <v>0</v>
      </c>
      <c r="N862" t="b">
        <f t="shared" si="104"/>
        <v>1</v>
      </c>
      <c r="O862" t="str">
        <f t="shared" si="111"/>
        <v>Large Order</v>
      </c>
      <c r="P862" s="7">
        <f t="shared" si="105"/>
        <v>3.2305000000000001</v>
      </c>
      <c r="Q862" s="7" t="str">
        <f>VLOOKUP(D863,Product_Lookup!$A$2:$C$27,2,FALSE)</f>
        <v>Stapler</v>
      </c>
      <c r="R862" s="7">
        <f t="shared" si="106"/>
        <v>839.93</v>
      </c>
    </row>
    <row r="863" spans="1:18" ht="21.75" customHeight="1">
      <c r="A863" t="s">
        <v>1014</v>
      </c>
      <c r="B863" s="6">
        <v>45342</v>
      </c>
      <c r="C863" t="s">
        <v>309</v>
      </c>
      <c r="D863" t="s">
        <v>35</v>
      </c>
      <c r="E863" t="s">
        <v>11</v>
      </c>
      <c r="F863" t="s">
        <v>42</v>
      </c>
      <c r="G863" t="s">
        <v>13</v>
      </c>
      <c r="H863">
        <v>8</v>
      </c>
      <c r="I863" t="str">
        <f>VLOOKUP(D863,Product_Lookup!$A$2:$C$27,3,FALSE)</f>
        <v>$64.61</v>
      </c>
      <c r="J863" t="str">
        <f t="shared" si="107"/>
        <v>Tuesday</v>
      </c>
      <c r="K863" s="10" t="str">
        <f t="shared" si="108"/>
        <v>February</v>
      </c>
      <c r="L863">
        <f t="shared" si="109"/>
        <v>2024</v>
      </c>
      <c r="M863" t="b">
        <f t="shared" si="110"/>
        <v>0</v>
      </c>
      <c r="N863" t="b">
        <f t="shared" si="104"/>
        <v>0</v>
      </c>
      <c r="O863" t="str">
        <f t="shared" si="111"/>
        <v>Large Order</v>
      </c>
      <c r="P863" s="7">
        <f t="shared" si="105"/>
        <v>3.2305000000000001</v>
      </c>
      <c r="Q863" s="7" t="str">
        <f>VLOOKUP(D864,Product_Lookup!$A$2:$C$27,2,FALSE)</f>
        <v>Sweater</v>
      </c>
      <c r="R863" s="7">
        <f t="shared" si="106"/>
        <v>516.88</v>
      </c>
    </row>
    <row r="864" spans="1:18" ht="21.75" customHeight="1">
      <c r="A864" t="s">
        <v>1015</v>
      </c>
      <c r="B864" s="6">
        <v>45437</v>
      </c>
      <c r="C864" t="s">
        <v>327</v>
      </c>
      <c r="D864" t="s">
        <v>26</v>
      </c>
      <c r="E864" t="s">
        <v>22</v>
      </c>
      <c r="F864" t="s">
        <v>27</v>
      </c>
      <c r="G864" t="s">
        <v>13</v>
      </c>
      <c r="H864">
        <v>7</v>
      </c>
      <c r="I864" t="str">
        <f>VLOOKUP(D864,Product_Lookup!$A$2:$C$27,3,FALSE)</f>
        <v>$84.57</v>
      </c>
      <c r="J864" t="str">
        <f t="shared" si="107"/>
        <v>Saturday</v>
      </c>
      <c r="K864" s="10" t="str">
        <f t="shared" si="108"/>
        <v>May</v>
      </c>
      <c r="L864">
        <f t="shared" si="109"/>
        <v>2024</v>
      </c>
      <c r="M864" t="b">
        <f t="shared" si="110"/>
        <v>1</v>
      </c>
      <c r="N864" t="b">
        <f t="shared" si="104"/>
        <v>0</v>
      </c>
      <c r="O864" t="str">
        <f t="shared" si="111"/>
        <v>Large Order</v>
      </c>
      <c r="P864" s="7">
        <f t="shared" si="105"/>
        <v>4.2284999999999995</v>
      </c>
      <c r="Q864" s="7" t="str">
        <f>VLOOKUP(D865,Product_Lookup!$A$2:$C$27,2,FALSE)</f>
        <v>Laptop</v>
      </c>
      <c r="R864" s="7">
        <f t="shared" si="106"/>
        <v>591.99</v>
      </c>
    </row>
    <row r="865" spans="1:18" ht="21.75" customHeight="1">
      <c r="A865" t="s">
        <v>1016</v>
      </c>
      <c r="B865" s="6">
        <v>45587</v>
      </c>
      <c r="C865" t="s">
        <v>363</v>
      </c>
      <c r="D865" t="s">
        <v>96</v>
      </c>
      <c r="E865" t="s">
        <v>11</v>
      </c>
      <c r="F865" t="s">
        <v>306</v>
      </c>
      <c r="G865" t="s">
        <v>32</v>
      </c>
      <c r="H865">
        <v>13</v>
      </c>
      <c r="I865" t="str">
        <f>VLOOKUP(D865,Product_Lookup!$A$2:$C$27,3,FALSE)</f>
        <v>$230.68</v>
      </c>
      <c r="J865" t="str">
        <f t="shared" si="107"/>
        <v>Tuesday</v>
      </c>
      <c r="K865" s="10" t="str">
        <f t="shared" si="108"/>
        <v>October</v>
      </c>
      <c r="L865">
        <f t="shared" si="109"/>
        <v>2024</v>
      </c>
      <c r="M865" t="b">
        <f t="shared" si="110"/>
        <v>0</v>
      </c>
      <c r="N865" t="b">
        <f t="shared" si="104"/>
        <v>1</v>
      </c>
      <c r="O865" t="str">
        <f t="shared" si="111"/>
        <v>Large Order</v>
      </c>
      <c r="P865" s="7">
        <f t="shared" si="105"/>
        <v>11.534000000000001</v>
      </c>
      <c r="Q865" s="7" t="str">
        <f>VLOOKUP(D866,Product_Lookup!$A$2:$C$27,2,FALSE)</f>
        <v>Vacuum</v>
      </c>
      <c r="R865" s="7">
        <f t="shared" si="106"/>
        <v>2998.84</v>
      </c>
    </row>
    <row r="866" spans="1:18" ht="21.75" customHeight="1">
      <c r="A866" t="s">
        <v>1017</v>
      </c>
      <c r="B866" s="6">
        <v>45501</v>
      </c>
      <c r="C866" t="s">
        <v>83</v>
      </c>
      <c r="D866" t="s">
        <v>87</v>
      </c>
      <c r="E866" t="s">
        <v>11</v>
      </c>
      <c r="F866" t="s">
        <v>56</v>
      </c>
      <c r="G866" t="s">
        <v>36</v>
      </c>
      <c r="H866">
        <v>19</v>
      </c>
      <c r="I866" t="str">
        <f>VLOOKUP(D866,Product_Lookup!$A$2:$C$27,3,FALSE)</f>
        <v>$26.59</v>
      </c>
      <c r="J866" t="str">
        <f t="shared" si="107"/>
        <v>Sunday</v>
      </c>
      <c r="K866" s="10" t="str">
        <f t="shared" si="108"/>
        <v>July</v>
      </c>
      <c r="L866">
        <f t="shared" si="109"/>
        <v>2024</v>
      </c>
      <c r="M866" t="b">
        <f t="shared" si="110"/>
        <v>1</v>
      </c>
      <c r="N866" t="b">
        <f t="shared" si="104"/>
        <v>0</v>
      </c>
      <c r="O866" t="str">
        <f t="shared" si="111"/>
        <v>Large Order</v>
      </c>
      <c r="P866" s="7">
        <f t="shared" si="105"/>
        <v>1.3295000000000001</v>
      </c>
      <c r="Q866" s="7" t="str">
        <f>VLOOKUP(D867,Product_Lookup!$A$2:$C$27,2,FALSE)</f>
        <v>Sweater</v>
      </c>
      <c r="R866" s="7">
        <f t="shared" si="106"/>
        <v>505.21</v>
      </c>
    </row>
    <row r="867" spans="1:18" ht="21.75" customHeight="1">
      <c r="A867" t="s">
        <v>1018</v>
      </c>
      <c r="B867" s="6">
        <v>45508</v>
      </c>
      <c r="C867" t="s">
        <v>614</v>
      </c>
      <c r="D867" t="s">
        <v>26</v>
      </c>
      <c r="E867" t="s">
        <v>17</v>
      </c>
      <c r="F867" t="s">
        <v>306</v>
      </c>
      <c r="G867" t="s">
        <v>23</v>
      </c>
      <c r="H867">
        <v>13</v>
      </c>
      <c r="I867" t="str">
        <f>VLOOKUP(D867,Product_Lookup!$A$2:$C$27,3,FALSE)</f>
        <v>$84.57</v>
      </c>
      <c r="J867" t="str">
        <f t="shared" si="107"/>
        <v>Sunday</v>
      </c>
      <c r="K867" s="10" t="str">
        <f t="shared" si="108"/>
        <v>August</v>
      </c>
      <c r="L867">
        <f t="shared" si="109"/>
        <v>2024</v>
      </c>
      <c r="M867" t="b">
        <f t="shared" si="110"/>
        <v>1</v>
      </c>
      <c r="N867" t="b">
        <f t="shared" si="104"/>
        <v>1</v>
      </c>
      <c r="O867" t="str">
        <f t="shared" si="111"/>
        <v>Large Order</v>
      </c>
      <c r="P867" s="7">
        <f t="shared" si="105"/>
        <v>4.2284999999999995</v>
      </c>
      <c r="Q867" s="7" t="str">
        <f>VLOOKUP(D868,Product_Lookup!$A$2:$C$27,2,FALSE)</f>
        <v>T-Shirt</v>
      </c>
      <c r="R867" s="7">
        <f t="shared" si="106"/>
        <v>1099.4099999999999</v>
      </c>
    </row>
    <row r="868" spans="1:18" ht="21.75" customHeight="1">
      <c r="A868" t="s">
        <v>1019</v>
      </c>
      <c r="B868" s="6">
        <v>45574</v>
      </c>
      <c r="C868" t="s">
        <v>728</v>
      </c>
      <c r="D868" t="s">
        <v>45</v>
      </c>
      <c r="E868" t="s">
        <v>22</v>
      </c>
      <c r="F868" t="s">
        <v>27</v>
      </c>
      <c r="G868" t="s">
        <v>23</v>
      </c>
      <c r="H868">
        <v>12</v>
      </c>
      <c r="I868" t="str">
        <f>VLOOKUP(D868,Product_Lookup!$A$2:$C$27,3,FALSE)</f>
        <v>$107.34</v>
      </c>
      <c r="J868" t="str">
        <f t="shared" si="107"/>
        <v>Wednesday</v>
      </c>
      <c r="K868" s="10" t="str">
        <f t="shared" si="108"/>
        <v>October</v>
      </c>
      <c r="L868">
        <f t="shared" si="109"/>
        <v>2024</v>
      </c>
      <c r="M868" t="b">
        <f t="shared" si="110"/>
        <v>0</v>
      </c>
      <c r="N868" t="b">
        <f t="shared" si="104"/>
        <v>1</v>
      </c>
      <c r="O868" t="str">
        <f t="shared" si="111"/>
        <v>Large Order</v>
      </c>
      <c r="P868" s="7">
        <f t="shared" si="105"/>
        <v>5.3670000000000009</v>
      </c>
      <c r="Q868" s="7" t="str">
        <f>VLOOKUP(D869,Product_Lookup!$A$2:$C$27,2,FALSE)</f>
        <v>Doll</v>
      </c>
      <c r="R868" s="7">
        <f t="shared" si="106"/>
        <v>1288.08</v>
      </c>
    </row>
    <row r="869" spans="1:18" ht="21.75" customHeight="1">
      <c r="A869" t="s">
        <v>1020</v>
      </c>
      <c r="B869" s="6">
        <v>45421</v>
      </c>
      <c r="C869" t="s">
        <v>147</v>
      </c>
      <c r="D869" t="s">
        <v>119</v>
      </c>
      <c r="E869" t="s">
        <v>22</v>
      </c>
      <c r="F869" t="s">
        <v>42</v>
      </c>
      <c r="G869" t="s">
        <v>13</v>
      </c>
      <c r="H869">
        <v>13</v>
      </c>
      <c r="I869" t="str">
        <f>VLOOKUP(D869,Product_Lookup!$A$2:$C$27,3,FALSE)</f>
        <v>$32.94</v>
      </c>
      <c r="J869" t="str">
        <f t="shared" si="107"/>
        <v>Thursday</v>
      </c>
      <c r="K869" s="10" t="str">
        <f t="shared" si="108"/>
        <v>May</v>
      </c>
      <c r="L869">
        <f t="shared" si="109"/>
        <v>2024</v>
      </c>
      <c r="M869" t="b">
        <f t="shared" si="110"/>
        <v>0</v>
      </c>
      <c r="N869" t="b">
        <f t="shared" si="104"/>
        <v>0</v>
      </c>
      <c r="O869" t="str">
        <f t="shared" si="111"/>
        <v>Standard order</v>
      </c>
      <c r="P869" s="7">
        <f t="shared" si="105"/>
        <v>1.647</v>
      </c>
      <c r="Q869" s="7" t="str">
        <f>VLOOKUP(D870,Product_Lookup!$A$2:$C$27,2,FALSE)</f>
        <v>Monitor</v>
      </c>
      <c r="R869" s="7">
        <f t="shared" si="106"/>
        <v>428.21999999999997</v>
      </c>
    </row>
    <row r="870" spans="1:18" ht="21.75" customHeight="1">
      <c r="A870" t="s">
        <v>1021</v>
      </c>
      <c r="B870" s="6">
        <v>45409</v>
      </c>
      <c r="C870" t="s">
        <v>430</v>
      </c>
      <c r="D870" t="s">
        <v>102</v>
      </c>
      <c r="E870" t="s">
        <v>22</v>
      </c>
      <c r="F870" t="s">
        <v>56</v>
      </c>
      <c r="G870" t="s">
        <v>32</v>
      </c>
      <c r="H870">
        <v>7</v>
      </c>
      <c r="I870" t="str">
        <f>VLOOKUP(D870,Product_Lookup!$A$2:$C$27,3,FALSE)</f>
        <v>$145.48</v>
      </c>
      <c r="J870" t="str">
        <f t="shared" si="107"/>
        <v>Saturday</v>
      </c>
      <c r="K870" s="10" t="str">
        <f t="shared" si="108"/>
        <v>April</v>
      </c>
      <c r="L870">
        <f t="shared" si="109"/>
        <v>2024</v>
      </c>
      <c r="M870" t="b">
        <f t="shared" si="110"/>
        <v>1</v>
      </c>
      <c r="N870" t="b">
        <f t="shared" si="104"/>
        <v>1</v>
      </c>
      <c r="O870" t="str">
        <f t="shared" si="111"/>
        <v>Large Order</v>
      </c>
      <c r="P870" s="7">
        <f t="shared" si="105"/>
        <v>7.274</v>
      </c>
      <c r="Q870" s="7" t="str">
        <f>VLOOKUP(D871,Product_Lookup!$A$2:$C$27,2,FALSE)</f>
        <v>T-Shirt</v>
      </c>
      <c r="R870" s="7">
        <f t="shared" si="106"/>
        <v>1018.3599999999999</v>
      </c>
    </row>
    <row r="871" spans="1:18" ht="21.75" customHeight="1">
      <c r="A871" t="s">
        <v>1022</v>
      </c>
      <c r="B871" s="6">
        <v>45573</v>
      </c>
      <c r="C871" t="s">
        <v>594</v>
      </c>
      <c r="D871" t="s">
        <v>45</v>
      </c>
      <c r="E871" t="s">
        <v>22</v>
      </c>
      <c r="F871" t="s">
        <v>12</v>
      </c>
      <c r="G871" t="s">
        <v>13</v>
      </c>
      <c r="H871">
        <v>13</v>
      </c>
      <c r="I871" t="str">
        <f>VLOOKUP(D871,Product_Lookup!$A$2:$C$27,3,FALSE)</f>
        <v>$107.34</v>
      </c>
      <c r="J871" t="str">
        <f t="shared" si="107"/>
        <v>Tuesday</v>
      </c>
      <c r="K871" s="10" t="str">
        <f t="shared" si="108"/>
        <v>October</v>
      </c>
      <c r="L871">
        <f t="shared" si="109"/>
        <v>2024</v>
      </c>
      <c r="M871" t="b">
        <f t="shared" si="110"/>
        <v>0</v>
      </c>
      <c r="N871" t="b">
        <f t="shared" si="104"/>
        <v>1</v>
      </c>
      <c r="O871" t="str">
        <f t="shared" si="111"/>
        <v>Large Order</v>
      </c>
      <c r="P871" s="7">
        <f t="shared" si="105"/>
        <v>5.3670000000000009</v>
      </c>
      <c r="Q871" s="7" t="str">
        <f>VLOOKUP(D872,Product_Lookup!$A$2:$C$27,2,FALSE)</f>
        <v>Vacuum</v>
      </c>
      <c r="R871" s="7">
        <f t="shared" si="106"/>
        <v>1395.42</v>
      </c>
    </row>
    <row r="872" spans="1:18" ht="21.75" customHeight="1">
      <c r="A872" t="s">
        <v>1023</v>
      </c>
      <c r="B872" s="6">
        <v>45338</v>
      </c>
      <c r="C872" t="s">
        <v>167</v>
      </c>
      <c r="D872" t="s">
        <v>87</v>
      </c>
      <c r="E872" t="s">
        <v>17</v>
      </c>
      <c r="F872" t="s">
        <v>306</v>
      </c>
      <c r="G872" t="s">
        <v>28</v>
      </c>
      <c r="H872">
        <v>3</v>
      </c>
      <c r="I872" t="str">
        <f>VLOOKUP(D872,Product_Lookup!$A$2:$C$27,3,FALSE)</f>
        <v>$26.59</v>
      </c>
      <c r="J872" t="str">
        <f t="shared" si="107"/>
        <v>Friday</v>
      </c>
      <c r="K872" s="10" t="str">
        <f t="shared" si="108"/>
        <v>February</v>
      </c>
      <c r="L872">
        <f t="shared" si="109"/>
        <v>2024</v>
      </c>
      <c r="M872" t="b">
        <f t="shared" si="110"/>
        <v>0</v>
      </c>
      <c r="N872" t="b">
        <f t="shared" si="104"/>
        <v>0</v>
      </c>
      <c r="O872" t="str">
        <f t="shared" si="111"/>
        <v>Standard order</v>
      </c>
      <c r="P872" s="7">
        <f t="shared" si="105"/>
        <v>1.3295000000000001</v>
      </c>
      <c r="Q872" s="7" t="str">
        <f>VLOOKUP(D873,Product_Lookup!$A$2:$C$27,2,FALSE)</f>
        <v>Lego Set</v>
      </c>
      <c r="R872" s="7">
        <f t="shared" si="106"/>
        <v>79.77</v>
      </c>
    </row>
    <row r="873" spans="1:18" ht="21.75" customHeight="1">
      <c r="A873" t="s">
        <v>1024</v>
      </c>
      <c r="B873" s="6">
        <v>45481</v>
      </c>
      <c r="C873" t="s">
        <v>81</v>
      </c>
      <c r="D873" t="s">
        <v>84</v>
      </c>
      <c r="E873" t="s">
        <v>22</v>
      </c>
      <c r="F873" t="s">
        <v>12</v>
      </c>
      <c r="G873" t="s">
        <v>23</v>
      </c>
      <c r="H873">
        <v>13</v>
      </c>
      <c r="I873" t="str">
        <f>VLOOKUP(D873,Product_Lookup!$A$2:$C$27,3,FALSE)</f>
        <v>$130.07</v>
      </c>
      <c r="J873" t="str">
        <f t="shared" si="107"/>
        <v>Monday</v>
      </c>
      <c r="K873" s="10" t="str">
        <f t="shared" si="108"/>
        <v>July</v>
      </c>
      <c r="L873">
        <f t="shared" si="109"/>
        <v>2024</v>
      </c>
      <c r="M873" t="b">
        <f t="shared" si="110"/>
        <v>0</v>
      </c>
      <c r="N873" t="b">
        <f t="shared" si="104"/>
        <v>1</v>
      </c>
      <c r="O873" t="str">
        <f t="shared" si="111"/>
        <v>Large Order</v>
      </c>
      <c r="P873" s="7">
        <f t="shared" si="105"/>
        <v>6.5034999999999998</v>
      </c>
      <c r="Q873" s="7" t="str">
        <f>VLOOKUP(D874,Product_Lookup!$A$2:$C$27,2,FALSE)</f>
        <v>Puzzle</v>
      </c>
      <c r="R873" s="7">
        <f t="shared" si="106"/>
        <v>1690.9099999999999</v>
      </c>
    </row>
    <row r="874" spans="1:18" ht="21.75" customHeight="1">
      <c r="A874" t="s">
        <v>1025</v>
      </c>
      <c r="B874" s="6">
        <v>45606</v>
      </c>
      <c r="C874" t="s">
        <v>350</v>
      </c>
      <c r="D874" t="s">
        <v>62</v>
      </c>
      <c r="E874" t="s">
        <v>22</v>
      </c>
      <c r="F874" t="s">
        <v>42</v>
      </c>
      <c r="G874" t="s">
        <v>28</v>
      </c>
      <c r="H874">
        <v>20</v>
      </c>
      <c r="I874" t="str">
        <f>VLOOKUP(D874,Product_Lookup!$A$2:$C$27,3,FALSE)</f>
        <v>$46.19</v>
      </c>
      <c r="J874" t="str">
        <f t="shared" si="107"/>
        <v>Sunday</v>
      </c>
      <c r="K874" s="10" t="str">
        <f t="shared" si="108"/>
        <v>November</v>
      </c>
      <c r="L874">
        <f t="shared" si="109"/>
        <v>2024</v>
      </c>
      <c r="M874" t="b">
        <f t="shared" si="110"/>
        <v>1</v>
      </c>
      <c r="N874" t="b">
        <f t="shared" si="104"/>
        <v>1</v>
      </c>
      <c r="O874" t="str">
        <f t="shared" si="111"/>
        <v>Large Order</v>
      </c>
      <c r="P874" s="7">
        <f t="shared" si="105"/>
        <v>2.3094999999999999</v>
      </c>
      <c r="Q874" s="7" t="str">
        <f>VLOOKUP(D875,Product_Lookup!$A$2:$C$27,2,FALSE)</f>
        <v>Jeans</v>
      </c>
      <c r="R874" s="7">
        <f t="shared" si="106"/>
        <v>923.8</v>
      </c>
    </row>
    <row r="875" spans="1:18" ht="21.75" customHeight="1">
      <c r="A875" t="s">
        <v>1026</v>
      </c>
      <c r="B875" s="6">
        <v>45619</v>
      </c>
      <c r="C875" t="s">
        <v>432</v>
      </c>
      <c r="D875" t="s">
        <v>65</v>
      </c>
      <c r="E875" t="s">
        <v>17</v>
      </c>
      <c r="F875" t="s">
        <v>12</v>
      </c>
      <c r="G875" t="s">
        <v>13</v>
      </c>
      <c r="H875">
        <v>17</v>
      </c>
      <c r="I875" t="str">
        <f>VLOOKUP(D875,Product_Lookup!$A$2:$C$27,3,FALSE)</f>
        <v>$33.22</v>
      </c>
      <c r="J875" t="str">
        <f t="shared" si="107"/>
        <v>Saturday</v>
      </c>
      <c r="K875" s="10" t="str">
        <f t="shared" si="108"/>
        <v>November</v>
      </c>
      <c r="L875">
        <f t="shared" si="109"/>
        <v>2024</v>
      </c>
      <c r="M875" t="b">
        <f t="shared" si="110"/>
        <v>1</v>
      </c>
      <c r="N875" t="b">
        <f t="shared" si="104"/>
        <v>0</v>
      </c>
      <c r="O875" t="str">
        <f t="shared" si="111"/>
        <v>Large Order</v>
      </c>
      <c r="P875" s="7">
        <f t="shared" si="105"/>
        <v>1.661</v>
      </c>
      <c r="Q875" s="7" t="str">
        <f>VLOOKUP(D876,Product_Lookup!$A$2:$C$27,2,FALSE)</f>
        <v>Paper Shredder</v>
      </c>
      <c r="R875" s="7">
        <f t="shared" si="106"/>
        <v>564.74</v>
      </c>
    </row>
    <row r="876" spans="1:18" ht="21.75" customHeight="1">
      <c r="A876" t="s">
        <v>1027</v>
      </c>
      <c r="B876" s="6">
        <v>45598</v>
      </c>
      <c r="C876" t="s">
        <v>345</v>
      </c>
      <c r="D876" t="s">
        <v>109</v>
      </c>
      <c r="E876" t="s">
        <v>22</v>
      </c>
      <c r="F876" t="s">
        <v>56</v>
      </c>
      <c r="G876" t="s">
        <v>32</v>
      </c>
      <c r="H876">
        <v>6</v>
      </c>
      <c r="I876" t="str">
        <f>VLOOKUP(D876,Product_Lookup!$A$2:$C$27,3,FALSE)</f>
        <v>$81.02</v>
      </c>
      <c r="J876" t="str">
        <f t="shared" si="107"/>
        <v>Saturday</v>
      </c>
      <c r="K876" s="10" t="str">
        <f t="shared" si="108"/>
        <v>November</v>
      </c>
      <c r="L876">
        <f t="shared" si="109"/>
        <v>2024</v>
      </c>
      <c r="M876" t="b">
        <f t="shared" si="110"/>
        <v>1</v>
      </c>
      <c r="N876" t="b">
        <f t="shared" si="104"/>
        <v>0</v>
      </c>
      <c r="O876" t="str">
        <f t="shared" si="111"/>
        <v>Standard order</v>
      </c>
      <c r="P876" s="7">
        <f t="shared" si="105"/>
        <v>4.0510000000000002</v>
      </c>
      <c r="Q876" s="7" t="str">
        <f>VLOOKUP(D877,Product_Lookup!$A$2:$C$27,2,FALSE)</f>
        <v>Tablet</v>
      </c>
      <c r="R876" s="7">
        <f t="shared" si="106"/>
        <v>486.12</v>
      </c>
    </row>
    <row r="877" spans="1:18" ht="21.75" customHeight="1">
      <c r="A877" t="s">
        <v>1028</v>
      </c>
      <c r="B877" s="6">
        <v>45414</v>
      </c>
      <c r="C877" t="s">
        <v>350</v>
      </c>
      <c r="D877" t="s">
        <v>10</v>
      </c>
      <c r="E877" t="s">
        <v>11</v>
      </c>
      <c r="F877" t="s">
        <v>56</v>
      </c>
      <c r="G877" t="s">
        <v>32</v>
      </c>
      <c r="H877">
        <v>9</v>
      </c>
      <c r="I877" t="str">
        <f>VLOOKUP(D877,Product_Lookup!$A$2:$C$27,3,FALSE)</f>
        <v>$146.06</v>
      </c>
      <c r="J877" t="str">
        <f t="shared" si="107"/>
        <v>Thursday</v>
      </c>
      <c r="K877" s="10" t="str">
        <f t="shared" si="108"/>
        <v>May</v>
      </c>
      <c r="L877">
        <f t="shared" si="109"/>
        <v>2024</v>
      </c>
      <c r="M877" t="b">
        <f t="shared" si="110"/>
        <v>0</v>
      </c>
      <c r="N877" t="b">
        <f t="shared" si="104"/>
        <v>1</v>
      </c>
      <c r="O877" t="str">
        <f t="shared" si="111"/>
        <v>Large Order</v>
      </c>
      <c r="P877" s="7">
        <f t="shared" si="105"/>
        <v>7.3030000000000008</v>
      </c>
      <c r="Q877" s="7" t="str">
        <f>VLOOKUP(D878,Product_Lookup!$A$2:$C$27,2,FALSE)</f>
        <v>Jeans</v>
      </c>
      <c r="R877" s="7">
        <f t="shared" si="106"/>
        <v>1314.54</v>
      </c>
    </row>
    <row r="878" spans="1:18" ht="21.75" customHeight="1">
      <c r="A878" t="s">
        <v>1029</v>
      </c>
      <c r="B878" s="6">
        <v>45634</v>
      </c>
      <c r="C878" t="s">
        <v>106</v>
      </c>
      <c r="D878" t="s">
        <v>65</v>
      </c>
      <c r="E878" t="s">
        <v>17</v>
      </c>
      <c r="F878" t="s">
        <v>306</v>
      </c>
      <c r="G878" t="s">
        <v>13</v>
      </c>
      <c r="H878">
        <v>17</v>
      </c>
      <c r="I878" t="str">
        <f>VLOOKUP(D878,Product_Lookup!$A$2:$C$27,3,FALSE)</f>
        <v>$33.22</v>
      </c>
      <c r="J878" t="str">
        <f t="shared" si="107"/>
        <v>Sunday</v>
      </c>
      <c r="K878" s="10" t="str">
        <f t="shared" si="108"/>
        <v>December</v>
      </c>
      <c r="L878">
        <f t="shared" si="109"/>
        <v>2024</v>
      </c>
      <c r="M878" t="b">
        <f t="shared" si="110"/>
        <v>1</v>
      </c>
      <c r="N878" t="b">
        <f t="shared" si="104"/>
        <v>0</v>
      </c>
      <c r="O878" t="str">
        <f t="shared" si="111"/>
        <v>Large Order</v>
      </c>
      <c r="P878" s="7">
        <f t="shared" si="105"/>
        <v>1.661</v>
      </c>
      <c r="Q878" s="7" t="str">
        <f>VLOOKUP(D879,Product_Lookup!$A$2:$C$27,2,FALSE)</f>
        <v>Desk Lamp</v>
      </c>
      <c r="R878" s="7">
        <f t="shared" si="106"/>
        <v>564.74</v>
      </c>
    </row>
    <row r="879" spans="1:18" ht="21.75" customHeight="1">
      <c r="A879" t="s">
        <v>1030</v>
      </c>
      <c r="B879" s="6">
        <v>45338</v>
      </c>
      <c r="C879" t="s">
        <v>378</v>
      </c>
      <c r="D879" t="s">
        <v>59</v>
      </c>
      <c r="E879" t="s">
        <v>17</v>
      </c>
      <c r="F879" t="s">
        <v>306</v>
      </c>
      <c r="G879" t="s">
        <v>32</v>
      </c>
      <c r="H879">
        <v>12</v>
      </c>
      <c r="I879" t="str">
        <f>VLOOKUP(D879,Product_Lookup!$A$2:$C$27,3,FALSE)</f>
        <v>$101.96</v>
      </c>
      <c r="J879" t="str">
        <f t="shared" si="107"/>
        <v>Friday</v>
      </c>
      <c r="K879" s="10" t="str">
        <f t="shared" si="108"/>
        <v>February</v>
      </c>
      <c r="L879">
        <f t="shared" si="109"/>
        <v>2024</v>
      </c>
      <c r="M879" t="b">
        <f t="shared" si="110"/>
        <v>0</v>
      </c>
      <c r="N879" t="b">
        <f t="shared" si="104"/>
        <v>1</v>
      </c>
      <c r="O879" t="str">
        <f t="shared" si="111"/>
        <v>Large Order</v>
      </c>
      <c r="P879" s="7">
        <f t="shared" si="105"/>
        <v>5.0979999999999999</v>
      </c>
      <c r="Q879" s="7" t="str">
        <f>VLOOKUP(D880,Product_Lookup!$A$2:$C$27,2,FALSE)</f>
        <v>Coffee Maker</v>
      </c>
      <c r="R879" s="7">
        <f t="shared" si="106"/>
        <v>1223.52</v>
      </c>
    </row>
    <row r="880" spans="1:18" ht="21.75" customHeight="1">
      <c r="A880" t="s">
        <v>1031</v>
      </c>
      <c r="B880" s="6">
        <v>45407</v>
      </c>
      <c r="C880" t="s">
        <v>493</v>
      </c>
      <c r="D880" t="s">
        <v>31</v>
      </c>
      <c r="E880" t="s">
        <v>11</v>
      </c>
      <c r="F880" t="s">
        <v>27</v>
      </c>
      <c r="G880" t="s">
        <v>28</v>
      </c>
      <c r="H880">
        <v>19</v>
      </c>
      <c r="I880" t="str">
        <f>VLOOKUP(D880,Product_Lookup!$A$2:$C$27,3,FALSE)</f>
        <v>$230.34</v>
      </c>
      <c r="J880" t="str">
        <f t="shared" si="107"/>
        <v>Thursday</v>
      </c>
      <c r="K880" s="10" t="str">
        <f t="shared" si="108"/>
        <v>April</v>
      </c>
      <c r="L880">
        <f t="shared" si="109"/>
        <v>2024</v>
      </c>
      <c r="M880" t="b">
        <f t="shared" si="110"/>
        <v>0</v>
      </c>
      <c r="N880" t="b">
        <f t="shared" si="104"/>
        <v>1</v>
      </c>
      <c r="O880" t="str">
        <f t="shared" si="111"/>
        <v>Large Order</v>
      </c>
      <c r="P880" s="7">
        <f t="shared" si="105"/>
        <v>11.517000000000001</v>
      </c>
      <c r="Q880" s="7" t="str">
        <f>VLOOKUP(D881,Product_Lookup!$A$2:$C$27,2,FALSE)</f>
        <v>Tablet</v>
      </c>
      <c r="R880" s="7">
        <f t="shared" si="106"/>
        <v>4376.46</v>
      </c>
    </row>
    <row r="881" spans="1:18" ht="21.75" customHeight="1">
      <c r="A881" t="s">
        <v>1032</v>
      </c>
      <c r="B881" s="6">
        <v>45500</v>
      </c>
      <c r="C881" t="s">
        <v>358</v>
      </c>
      <c r="D881" t="s">
        <v>10</v>
      </c>
      <c r="E881" t="s">
        <v>11</v>
      </c>
      <c r="F881" t="s">
        <v>306</v>
      </c>
      <c r="G881" t="s">
        <v>13</v>
      </c>
      <c r="H881">
        <v>17</v>
      </c>
      <c r="I881" t="str">
        <f>VLOOKUP(D881,Product_Lookup!$A$2:$C$27,3,FALSE)</f>
        <v>$146.06</v>
      </c>
      <c r="J881" t="str">
        <f t="shared" si="107"/>
        <v>Saturday</v>
      </c>
      <c r="K881" s="10" t="str">
        <f t="shared" si="108"/>
        <v>July</v>
      </c>
      <c r="L881">
        <f t="shared" si="109"/>
        <v>2024</v>
      </c>
      <c r="M881" t="b">
        <f t="shared" si="110"/>
        <v>1</v>
      </c>
      <c r="N881" t="b">
        <f t="shared" si="104"/>
        <v>1</v>
      </c>
      <c r="O881" t="str">
        <f t="shared" si="111"/>
        <v>Large Order</v>
      </c>
      <c r="P881" s="7">
        <f t="shared" si="105"/>
        <v>7.3030000000000008</v>
      </c>
      <c r="Q881" s="7" t="str">
        <f>VLOOKUP(D882,Product_Lookup!$A$2:$C$27,2,FALSE)</f>
        <v>Sweater</v>
      </c>
      <c r="R881" s="7">
        <f t="shared" si="106"/>
        <v>2483.02</v>
      </c>
    </row>
    <row r="882" spans="1:18" ht="21.75" customHeight="1">
      <c r="A882" t="s">
        <v>1033</v>
      </c>
      <c r="B882" s="6">
        <v>45554</v>
      </c>
      <c r="C882" t="s">
        <v>230</v>
      </c>
      <c r="D882" t="s">
        <v>26</v>
      </c>
      <c r="E882" t="s">
        <v>22</v>
      </c>
      <c r="F882" t="s">
        <v>306</v>
      </c>
      <c r="G882" t="s">
        <v>36</v>
      </c>
      <c r="H882">
        <v>15</v>
      </c>
      <c r="I882" t="str">
        <f>VLOOKUP(D882,Product_Lookup!$A$2:$C$27,3,FALSE)</f>
        <v>$84.57</v>
      </c>
      <c r="J882" t="str">
        <f t="shared" si="107"/>
        <v>Thursday</v>
      </c>
      <c r="K882" s="10" t="str">
        <f t="shared" si="108"/>
        <v>September</v>
      </c>
      <c r="L882">
        <f t="shared" si="109"/>
        <v>2024</v>
      </c>
      <c r="M882" t="b">
        <f t="shared" si="110"/>
        <v>0</v>
      </c>
      <c r="N882" t="b">
        <f t="shared" si="104"/>
        <v>1</v>
      </c>
      <c r="O882" t="str">
        <f t="shared" si="111"/>
        <v>Large Order</v>
      </c>
      <c r="P882" s="7">
        <f t="shared" si="105"/>
        <v>4.2284999999999995</v>
      </c>
      <c r="Q882" s="7" t="str">
        <f>VLOOKUP(D883,Product_Lookup!$A$2:$C$27,2,FALSE)</f>
        <v>Doll</v>
      </c>
      <c r="R882" s="7">
        <f t="shared" si="106"/>
        <v>1268.55</v>
      </c>
    </row>
    <row r="883" spans="1:18" ht="21.75" customHeight="1">
      <c r="A883" t="s">
        <v>1034</v>
      </c>
      <c r="B883" s="6">
        <v>45539</v>
      </c>
      <c r="C883" t="s">
        <v>337</v>
      </c>
      <c r="D883" t="s">
        <v>119</v>
      </c>
      <c r="E883" t="s">
        <v>11</v>
      </c>
      <c r="F883" t="s">
        <v>42</v>
      </c>
      <c r="G883" t="s">
        <v>36</v>
      </c>
      <c r="H883">
        <v>15</v>
      </c>
      <c r="I883" t="str">
        <f>VLOOKUP(D883,Product_Lookup!$A$2:$C$27,3,FALSE)</f>
        <v>$32.94</v>
      </c>
      <c r="J883" t="str">
        <f t="shared" si="107"/>
        <v>Wednesday</v>
      </c>
      <c r="K883" s="10" t="str">
        <f t="shared" si="108"/>
        <v>September</v>
      </c>
      <c r="L883">
        <f t="shared" si="109"/>
        <v>2024</v>
      </c>
      <c r="M883" t="b">
        <f t="shared" si="110"/>
        <v>0</v>
      </c>
      <c r="N883" t="b">
        <f t="shared" si="104"/>
        <v>0</v>
      </c>
      <c r="O883" t="str">
        <f t="shared" si="111"/>
        <v>Standard order</v>
      </c>
      <c r="P883" s="7">
        <f t="shared" si="105"/>
        <v>1.647</v>
      </c>
      <c r="Q883" s="7" t="str">
        <f>VLOOKUP(D884,Product_Lookup!$A$2:$C$27,2,FALSE)</f>
        <v>Tablet</v>
      </c>
      <c r="R883" s="7">
        <f t="shared" si="106"/>
        <v>494.09999999999997</v>
      </c>
    </row>
    <row r="884" spans="1:18" ht="21.75" customHeight="1">
      <c r="A884" t="s">
        <v>1035</v>
      </c>
      <c r="B884" s="6">
        <v>45306</v>
      </c>
      <c r="C884" t="s">
        <v>517</v>
      </c>
      <c r="D884" t="s">
        <v>10</v>
      </c>
      <c r="E884" t="s">
        <v>11</v>
      </c>
      <c r="F884" t="s">
        <v>42</v>
      </c>
      <c r="G884" t="s">
        <v>28</v>
      </c>
      <c r="H884">
        <v>13</v>
      </c>
      <c r="I884" t="str">
        <f>VLOOKUP(D884,Product_Lookup!$A$2:$C$27,3,FALSE)</f>
        <v>$146.06</v>
      </c>
      <c r="J884" t="str">
        <f t="shared" si="107"/>
        <v>Monday</v>
      </c>
      <c r="K884" s="10" t="str">
        <f t="shared" si="108"/>
        <v>January</v>
      </c>
      <c r="L884">
        <f t="shared" si="109"/>
        <v>2024</v>
      </c>
      <c r="M884" t="b">
        <f t="shared" si="110"/>
        <v>0</v>
      </c>
      <c r="N884" t="b">
        <f t="shared" si="104"/>
        <v>1</v>
      </c>
      <c r="O884" t="str">
        <f t="shared" si="111"/>
        <v>Large Order</v>
      </c>
      <c r="P884" s="7">
        <f t="shared" si="105"/>
        <v>7.3030000000000008</v>
      </c>
      <c r="Q884" s="7" t="str">
        <f>VLOOKUP(D885,Product_Lookup!$A$2:$C$27,2,FALSE)</f>
        <v>Vacuum</v>
      </c>
      <c r="R884" s="7">
        <f t="shared" si="106"/>
        <v>1898.78</v>
      </c>
    </row>
    <row r="885" spans="1:18" ht="21.75" customHeight="1">
      <c r="A885" t="s">
        <v>1036</v>
      </c>
      <c r="B885" s="6">
        <v>45638</v>
      </c>
      <c r="C885" t="s">
        <v>424</v>
      </c>
      <c r="D885" t="s">
        <v>87</v>
      </c>
      <c r="E885" t="s">
        <v>11</v>
      </c>
      <c r="F885" t="s">
        <v>42</v>
      </c>
      <c r="G885" t="s">
        <v>13</v>
      </c>
      <c r="H885">
        <v>12</v>
      </c>
      <c r="I885" t="str">
        <f>VLOOKUP(D885,Product_Lookup!$A$2:$C$27,3,FALSE)</f>
        <v>$26.59</v>
      </c>
      <c r="J885" t="str">
        <f t="shared" si="107"/>
        <v>Thursday</v>
      </c>
      <c r="K885" s="10" t="str">
        <f t="shared" si="108"/>
        <v>December</v>
      </c>
      <c r="L885">
        <f t="shared" si="109"/>
        <v>2024</v>
      </c>
      <c r="M885" t="b">
        <f t="shared" si="110"/>
        <v>0</v>
      </c>
      <c r="N885" t="b">
        <f t="shared" si="104"/>
        <v>0</v>
      </c>
      <c r="O885" t="str">
        <f t="shared" si="111"/>
        <v>Standard order</v>
      </c>
      <c r="P885" s="7">
        <f t="shared" si="105"/>
        <v>1.3295000000000001</v>
      </c>
      <c r="Q885" s="7" t="str">
        <f>VLOOKUP(D886,Product_Lookup!$A$2:$C$27,2,FALSE)</f>
        <v>Tablet</v>
      </c>
      <c r="R885" s="7">
        <f t="shared" si="106"/>
        <v>319.08</v>
      </c>
    </row>
    <row r="886" spans="1:18" ht="21.75" customHeight="1">
      <c r="A886" t="s">
        <v>1037</v>
      </c>
      <c r="B886" s="6">
        <v>45650</v>
      </c>
      <c r="C886" t="s">
        <v>86</v>
      </c>
      <c r="D886" t="s">
        <v>10</v>
      </c>
      <c r="E886" t="s">
        <v>11</v>
      </c>
      <c r="F886" t="s">
        <v>42</v>
      </c>
      <c r="G886" t="s">
        <v>32</v>
      </c>
      <c r="H886">
        <v>13</v>
      </c>
      <c r="I886" t="str">
        <f>VLOOKUP(D886,Product_Lookup!$A$2:$C$27,3,FALSE)</f>
        <v>$146.06</v>
      </c>
      <c r="J886" t="str">
        <f t="shared" si="107"/>
        <v>Tuesday</v>
      </c>
      <c r="K886" s="10" t="str">
        <f t="shared" si="108"/>
        <v>December</v>
      </c>
      <c r="L886">
        <f t="shared" si="109"/>
        <v>2024</v>
      </c>
      <c r="M886" t="b">
        <f t="shared" si="110"/>
        <v>0</v>
      </c>
      <c r="N886" t="b">
        <f t="shared" si="104"/>
        <v>1</v>
      </c>
      <c r="O886" t="str">
        <f t="shared" si="111"/>
        <v>Large Order</v>
      </c>
      <c r="P886" s="7">
        <f t="shared" si="105"/>
        <v>7.3030000000000008</v>
      </c>
      <c r="Q886" s="7" t="str">
        <f>VLOOKUP(D887,Product_Lookup!$A$2:$C$27,2,FALSE)</f>
        <v>Blender</v>
      </c>
      <c r="R886" s="7">
        <f t="shared" si="106"/>
        <v>1898.78</v>
      </c>
    </row>
    <row r="887" spans="1:18" ht="21.75" customHeight="1">
      <c r="A887" t="s">
        <v>1038</v>
      </c>
      <c r="B887" s="6">
        <v>45330</v>
      </c>
      <c r="C887" t="s">
        <v>378</v>
      </c>
      <c r="D887" t="s">
        <v>72</v>
      </c>
      <c r="E887" t="s">
        <v>11</v>
      </c>
      <c r="F887" t="s">
        <v>27</v>
      </c>
      <c r="G887" t="s">
        <v>36</v>
      </c>
      <c r="H887">
        <v>12</v>
      </c>
      <c r="I887" t="str">
        <f>VLOOKUP(D887,Product_Lookup!$A$2:$C$27,3,FALSE)</f>
        <v>$156.44</v>
      </c>
      <c r="J887" t="str">
        <f t="shared" si="107"/>
        <v>Thursday</v>
      </c>
      <c r="K887" s="10" t="str">
        <f t="shared" si="108"/>
        <v>February</v>
      </c>
      <c r="L887">
        <f t="shared" si="109"/>
        <v>2024</v>
      </c>
      <c r="M887" t="b">
        <f t="shared" si="110"/>
        <v>0</v>
      </c>
      <c r="N887" t="b">
        <f t="shared" si="104"/>
        <v>1</v>
      </c>
      <c r="O887" t="str">
        <f t="shared" si="111"/>
        <v>Large Order</v>
      </c>
      <c r="P887" s="7">
        <f t="shared" si="105"/>
        <v>7.8220000000000001</v>
      </c>
      <c r="Q887" s="7" t="str">
        <f>VLOOKUP(D888,Product_Lookup!$A$2:$C$27,2,FALSE)</f>
        <v>Stapler</v>
      </c>
      <c r="R887" s="7">
        <f t="shared" si="106"/>
        <v>1877.28</v>
      </c>
    </row>
    <row r="888" spans="1:18" ht="21.75" customHeight="1">
      <c r="A888" t="s">
        <v>1039</v>
      </c>
      <c r="B888" s="6">
        <v>45429</v>
      </c>
      <c r="C888" t="s">
        <v>44</v>
      </c>
      <c r="D888" t="s">
        <v>35</v>
      </c>
      <c r="E888" t="s">
        <v>22</v>
      </c>
      <c r="F888" t="s">
        <v>56</v>
      </c>
      <c r="G888" t="s">
        <v>28</v>
      </c>
      <c r="H888">
        <v>7</v>
      </c>
      <c r="I888" t="str">
        <f>VLOOKUP(D888,Product_Lookup!$A$2:$C$27,3,FALSE)</f>
        <v>$64.61</v>
      </c>
      <c r="J888" t="str">
        <f t="shared" si="107"/>
        <v>Friday</v>
      </c>
      <c r="K888" s="10" t="str">
        <f t="shared" si="108"/>
        <v>May</v>
      </c>
      <c r="L888">
        <f t="shared" si="109"/>
        <v>2024</v>
      </c>
      <c r="M888" t="b">
        <f t="shared" si="110"/>
        <v>0</v>
      </c>
      <c r="N888" t="b">
        <f t="shared" si="104"/>
        <v>0</v>
      </c>
      <c r="O888" t="str">
        <f t="shared" si="111"/>
        <v>Standard order</v>
      </c>
      <c r="P888" s="7">
        <f t="shared" si="105"/>
        <v>3.2305000000000001</v>
      </c>
      <c r="Q888" s="7" t="str">
        <f>VLOOKUP(D889,Product_Lookup!$A$2:$C$27,2,FALSE)</f>
        <v>Jacket</v>
      </c>
      <c r="R888" s="7">
        <f t="shared" si="106"/>
        <v>452.27</v>
      </c>
    </row>
    <row r="889" spans="1:18" ht="21.75" customHeight="1">
      <c r="A889" t="s">
        <v>1040</v>
      </c>
      <c r="B889" s="6">
        <v>45427</v>
      </c>
      <c r="C889" t="s">
        <v>95</v>
      </c>
      <c r="D889" t="s">
        <v>197</v>
      </c>
      <c r="E889" t="s">
        <v>11</v>
      </c>
      <c r="F889" t="s">
        <v>56</v>
      </c>
      <c r="G889" t="s">
        <v>13</v>
      </c>
      <c r="H889">
        <v>20</v>
      </c>
      <c r="I889" t="str">
        <f>VLOOKUP(D889,Product_Lookup!$A$2:$C$27,3,FALSE)</f>
        <v>$10.11</v>
      </c>
      <c r="J889" t="str">
        <f t="shared" si="107"/>
        <v>Wednesday</v>
      </c>
      <c r="K889" s="10" t="str">
        <f t="shared" si="108"/>
        <v>May</v>
      </c>
      <c r="L889">
        <f t="shared" si="109"/>
        <v>2024</v>
      </c>
      <c r="M889" t="b">
        <f t="shared" si="110"/>
        <v>0</v>
      </c>
      <c r="N889" t="b">
        <f t="shared" si="104"/>
        <v>0</v>
      </c>
      <c r="O889" t="str">
        <f t="shared" si="111"/>
        <v>Standard order</v>
      </c>
      <c r="P889" s="7">
        <f t="shared" si="105"/>
        <v>0.50549999999999995</v>
      </c>
      <c r="Q889" s="7" t="str">
        <f>VLOOKUP(D890,Product_Lookup!$A$2:$C$27,2,FALSE)</f>
        <v>Paper Shredder</v>
      </c>
      <c r="R889" s="7">
        <f t="shared" si="106"/>
        <v>202.2</v>
      </c>
    </row>
    <row r="890" spans="1:18" ht="21.75" customHeight="1">
      <c r="A890" t="s">
        <v>1041</v>
      </c>
      <c r="B890" s="6">
        <v>45353</v>
      </c>
      <c r="C890" t="s">
        <v>81</v>
      </c>
      <c r="D890" t="s">
        <v>109</v>
      </c>
      <c r="E890" t="s">
        <v>22</v>
      </c>
      <c r="F890" t="s">
        <v>27</v>
      </c>
      <c r="G890" t="s">
        <v>36</v>
      </c>
      <c r="H890">
        <v>1</v>
      </c>
      <c r="I890" t="str">
        <f>VLOOKUP(D890,Product_Lookup!$A$2:$C$27,3,FALSE)</f>
        <v>$81.02</v>
      </c>
      <c r="J890" t="str">
        <f t="shared" si="107"/>
        <v>Saturday</v>
      </c>
      <c r="K890" s="10" t="str">
        <f t="shared" si="108"/>
        <v>March</v>
      </c>
      <c r="L890">
        <f t="shared" si="109"/>
        <v>2024</v>
      </c>
      <c r="M890" t="b">
        <f t="shared" si="110"/>
        <v>1</v>
      </c>
      <c r="N890" t="b">
        <f t="shared" si="104"/>
        <v>0</v>
      </c>
      <c r="O890" t="str">
        <f t="shared" si="111"/>
        <v>Standard order</v>
      </c>
      <c r="P890" s="7">
        <f t="shared" si="105"/>
        <v>4.0510000000000002</v>
      </c>
      <c r="Q890" s="7" t="str">
        <f>VLOOKUP(D891,Product_Lookup!$A$2:$C$27,2,FALSE)</f>
        <v>Blender</v>
      </c>
      <c r="R890" s="7">
        <f t="shared" si="106"/>
        <v>81.02</v>
      </c>
    </row>
    <row r="891" spans="1:18" ht="21.75" customHeight="1">
      <c r="A891" t="s">
        <v>1042</v>
      </c>
      <c r="B891" s="6">
        <v>45313</v>
      </c>
      <c r="C891" t="s">
        <v>517</v>
      </c>
      <c r="D891" t="s">
        <v>72</v>
      </c>
      <c r="E891" t="s">
        <v>17</v>
      </c>
      <c r="F891" t="s">
        <v>306</v>
      </c>
      <c r="G891" t="s">
        <v>36</v>
      </c>
      <c r="H891">
        <v>16</v>
      </c>
      <c r="I891" t="str">
        <f>VLOOKUP(D891,Product_Lookup!$A$2:$C$27,3,FALSE)</f>
        <v>$156.44</v>
      </c>
      <c r="J891" t="str">
        <f t="shared" si="107"/>
        <v>Monday</v>
      </c>
      <c r="K891" s="10" t="str">
        <f t="shared" si="108"/>
        <v>January</v>
      </c>
      <c r="L891">
        <f t="shared" si="109"/>
        <v>2024</v>
      </c>
      <c r="M891" t="b">
        <f t="shared" si="110"/>
        <v>0</v>
      </c>
      <c r="N891" t="b">
        <f t="shared" si="104"/>
        <v>1</v>
      </c>
      <c r="O891" t="str">
        <f t="shared" si="111"/>
        <v>Large Order</v>
      </c>
      <c r="P891" s="7">
        <f t="shared" si="105"/>
        <v>7.8220000000000001</v>
      </c>
      <c r="Q891" s="7" t="str">
        <f>VLOOKUP(D892,Product_Lookup!$A$2:$C$27,2,FALSE)</f>
        <v>Sweater</v>
      </c>
      <c r="R891" s="7">
        <f t="shared" si="106"/>
        <v>2503.04</v>
      </c>
    </row>
    <row r="892" spans="1:18" ht="21.75" customHeight="1">
      <c r="A892" t="s">
        <v>1043</v>
      </c>
      <c r="B892" s="6">
        <v>45432</v>
      </c>
      <c r="C892" t="s">
        <v>374</v>
      </c>
      <c r="D892" t="s">
        <v>26</v>
      </c>
      <c r="E892" t="s">
        <v>11</v>
      </c>
      <c r="F892" t="s">
        <v>306</v>
      </c>
      <c r="G892" t="s">
        <v>36</v>
      </c>
      <c r="H892">
        <v>13</v>
      </c>
      <c r="I892" t="str">
        <f>VLOOKUP(D892,Product_Lookup!$A$2:$C$27,3,FALSE)</f>
        <v>$84.57</v>
      </c>
      <c r="J892" t="str">
        <f t="shared" si="107"/>
        <v>Monday</v>
      </c>
      <c r="K892" s="10" t="str">
        <f t="shared" si="108"/>
        <v>May</v>
      </c>
      <c r="L892">
        <f t="shared" si="109"/>
        <v>2024</v>
      </c>
      <c r="M892" t="b">
        <f t="shared" si="110"/>
        <v>0</v>
      </c>
      <c r="N892" t="b">
        <f t="shared" si="104"/>
        <v>1</v>
      </c>
      <c r="O892" t="str">
        <f t="shared" si="111"/>
        <v>Large Order</v>
      </c>
      <c r="P892" s="7">
        <f t="shared" si="105"/>
        <v>4.2284999999999995</v>
      </c>
      <c r="Q892" s="7" t="str">
        <f>VLOOKUP(D893,Product_Lookup!$A$2:$C$27,2,FALSE)</f>
        <v>Stapler</v>
      </c>
      <c r="R892" s="7">
        <f t="shared" si="106"/>
        <v>1099.4099999999999</v>
      </c>
    </row>
    <row r="893" spans="1:18" ht="21.75" customHeight="1">
      <c r="A893" t="s">
        <v>1044</v>
      </c>
      <c r="B893" s="6">
        <v>45357</v>
      </c>
      <c r="C893" t="s">
        <v>9</v>
      </c>
      <c r="D893" t="s">
        <v>35</v>
      </c>
      <c r="E893" t="s">
        <v>22</v>
      </c>
      <c r="F893" t="s">
        <v>27</v>
      </c>
      <c r="G893" t="s">
        <v>32</v>
      </c>
      <c r="H893">
        <v>18</v>
      </c>
      <c r="I893" t="str">
        <f>VLOOKUP(D893,Product_Lookup!$A$2:$C$27,3,FALSE)</f>
        <v>$64.61</v>
      </c>
      <c r="J893" t="str">
        <f t="shared" si="107"/>
        <v>Wednesday</v>
      </c>
      <c r="K893" s="10" t="str">
        <f t="shared" si="108"/>
        <v>March</v>
      </c>
      <c r="L893">
        <f t="shared" si="109"/>
        <v>2024</v>
      </c>
      <c r="M893" t="b">
        <f t="shared" si="110"/>
        <v>0</v>
      </c>
      <c r="N893" t="b">
        <f t="shared" si="104"/>
        <v>1</v>
      </c>
      <c r="O893" t="str">
        <f t="shared" si="111"/>
        <v>Large Order</v>
      </c>
      <c r="P893" s="7">
        <f t="shared" si="105"/>
        <v>3.2305000000000001</v>
      </c>
      <c r="Q893" s="7" t="str">
        <f>VLOOKUP(D894,Product_Lookup!$A$2:$C$27,2,FALSE)</f>
        <v>Monitor</v>
      </c>
      <c r="R893" s="7">
        <f t="shared" si="106"/>
        <v>1162.98</v>
      </c>
    </row>
    <row r="894" spans="1:18" ht="21.75" customHeight="1">
      <c r="A894" t="s">
        <v>1045</v>
      </c>
      <c r="B894" s="6">
        <v>45493</v>
      </c>
      <c r="C894" t="s">
        <v>455</v>
      </c>
      <c r="D894" t="s">
        <v>102</v>
      </c>
      <c r="E894" t="s">
        <v>11</v>
      </c>
      <c r="F894" t="s">
        <v>27</v>
      </c>
      <c r="G894" t="s">
        <v>13</v>
      </c>
      <c r="H894">
        <v>17</v>
      </c>
      <c r="I894" t="str">
        <f>VLOOKUP(D894,Product_Lookup!$A$2:$C$27,3,FALSE)</f>
        <v>$145.48</v>
      </c>
      <c r="J894" t="str">
        <f t="shared" si="107"/>
        <v>Saturday</v>
      </c>
      <c r="K894" s="10" t="str">
        <f t="shared" si="108"/>
        <v>July</v>
      </c>
      <c r="L894">
        <f t="shared" si="109"/>
        <v>2024</v>
      </c>
      <c r="M894" t="b">
        <f t="shared" si="110"/>
        <v>1</v>
      </c>
      <c r="N894" t="b">
        <f t="shared" si="104"/>
        <v>1</v>
      </c>
      <c r="O894" t="str">
        <f t="shared" si="111"/>
        <v>Large Order</v>
      </c>
      <c r="P894" s="7">
        <f t="shared" si="105"/>
        <v>7.274</v>
      </c>
      <c r="Q894" s="7" t="str">
        <f>VLOOKUP(D895,Product_Lookup!$A$2:$C$27,2,FALSE)</f>
        <v>Desk Lamp</v>
      </c>
      <c r="R894" s="7">
        <f t="shared" si="106"/>
        <v>2473.16</v>
      </c>
    </row>
    <row r="895" spans="1:18" ht="21.75" customHeight="1">
      <c r="A895" t="s">
        <v>1046</v>
      </c>
      <c r="B895" s="6">
        <v>45298</v>
      </c>
      <c r="C895" t="s">
        <v>422</v>
      </c>
      <c r="D895" t="s">
        <v>59</v>
      </c>
      <c r="E895" t="s">
        <v>11</v>
      </c>
      <c r="F895" t="s">
        <v>27</v>
      </c>
      <c r="G895" t="s">
        <v>36</v>
      </c>
      <c r="H895">
        <v>4</v>
      </c>
      <c r="I895" t="str">
        <f>VLOOKUP(D895,Product_Lookup!$A$2:$C$27,3,FALSE)</f>
        <v>$101.96</v>
      </c>
      <c r="J895" t="str">
        <f t="shared" si="107"/>
        <v>Sunday</v>
      </c>
      <c r="K895" s="10" t="str">
        <f t="shared" si="108"/>
        <v>January</v>
      </c>
      <c r="L895">
        <f t="shared" si="109"/>
        <v>2024</v>
      </c>
      <c r="M895" t="b">
        <f t="shared" si="110"/>
        <v>1</v>
      </c>
      <c r="N895" t="b">
        <f t="shared" si="104"/>
        <v>0</v>
      </c>
      <c r="O895" t="str">
        <f t="shared" si="111"/>
        <v>Standard order</v>
      </c>
      <c r="P895" s="7">
        <f t="shared" si="105"/>
        <v>5.0979999999999999</v>
      </c>
      <c r="Q895" s="7" t="str">
        <f>VLOOKUP(D896,Product_Lookup!$A$2:$C$27,2,FALSE)</f>
        <v>Jacket</v>
      </c>
      <c r="R895" s="7">
        <f t="shared" si="106"/>
        <v>407.84</v>
      </c>
    </row>
    <row r="896" spans="1:18" ht="21.75" customHeight="1">
      <c r="A896" t="s">
        <v>1047</v>
      </c>
      <c r="B896" s="6">
        <v>45424</v>
      </c>
      <c r="C896" t="s">
        <v>44</v>
      </c>
      <c r="D896" t="s">
        <v>197</v>
      </c>
      <c r="E896" t="s">
        <v>22</v>
      </c>
      <c r="F896" t="s">
        <v>42</v>
      </c>
      <c r="G896" t="s">
        <v>36</v>
      </c>
      <c r="H896">
        <v>9</v>
      </c>
      <c r="I896" t="str">
        <f>VLOOKUP(D896,Product_Lookup!$A$2:$C$27,3,FALSE)</f>
        <v>$10.11</v>
      </c>
      <c r="J896" t="str">
        <f t="shared" si="107"/>
        <v>Sunday</v>
      </c>
      <c r="K896" s="10" t="str">
        <f t="shared" si="108"/>
        <v>May</v>
      </c>
      <c r="L896">
        <f t="shared" si="109"/>
        <v>2024</v>
      </c>
      <c r="M896" t="b">
        <f t="shared" si="110"/>
        <v>1</v>
      </c>
      <c r="N896" t="b">
        <f t="shared" si="104"/>
        <v>0</v>
      </c>
      <c r="O896" t="str">
        <f t="shared" si="111"/>
        <v>Standard order</v>
      </c>
      <c r="P896" s="7">
        <f t="shared" si="105"/>
        <v>0.50549999999999995</v>
      </c>
      <c r="Q896" s="7" t="str">
        <f>VLOOKUP(D897,Product_Lookup!$A$2:$C$27,2,FALSE)</f>
        <v>Vacuum</v>
      </c>
      <c r="R896" s="7">
        <f t="shared" si="106"/>
        <v>90.99</v>
      </c>
    </row>
    <row r="897" spans="1:18" ht="21.75" customHeight="1">
      <c r="A897" t="s">
        <v>1048</v>
      </c>
      <c r="B897" s="6">
        <v>45467</v>
      </c>
      <c r="C897" t="s">
        <v>83</v>
      </c>
      <c r="D897" t="s">
        <v>87</v>
      </c>
      <c r="E897" t="s">
        <v>11</v>
      </c>
      <c r="F897" t="s">
        <v>27</v>
      </c>
      <c r="G897" t="s">
        <v>32</v>
      </c>
      <c r="H897">
        <v>7</v>
      </c>
      <c r="I897" t="str">
        <f>VLOOKUP(D897,Product_Lookup!$A$2:$C$27,3,FALSE)</f>
        <v>$26.59</v>
      </c>
      <c r="J897" t="str">
        <f t="shared" si="107"/>
        <v>Monday</v>
      </c>
      <c r="K897" s="10" t="str">
        <f t="shared" si="108"/>
        <v>June</v>
      </c>
      <c r="L897">
        <f t="shared" si="109"/>
        <v>2024</v>
      </c>
      <c r="M897" t="b">
        <f t="shared" si="110"/>
        <v>0</v>
      </c>
      <c r="N897" t="b">
        <f t="shared" si="104"/>
        <v>0</v>
      </c>
      <c r="O897" t="str">
        <f t="shared" si="111"/>
        <v>Standard order</v>
      </c>
      <c r="P897" s="7">
        <f t="shared" si="105"/>
        <v>1.3295000000000001</v>
      </c>
      <c r="Q897" s="7" t="str">
        <f>VLOOKUP(D898,Product_Lookup!$A$2:$C$27,2,FALSE)</f>
        <v>T-Shirt</v>
      </c>
      <c r="R897" s="7">
        <f t="shared" si="106"/>
        <v>186.13</v>
      </c>
    </row>
    <row r="898" spans="1:18" ht="21.75" customHeight="1">
      <c r="A898" t="s">
        <v>1049</v>
      </c>
      <c r="B898" s="6">
        <v>45478</v>
      </c>
      <c r="C898" t="s">
        <v>341</v>
      </c>
      <c r="D898" t="s">
        <v>45</v>
      </c>
      <c r="E898" t="s">
        <v>17</v>
      </c>
      <c r="F898" t="s">
        <v>27</v>
      </c>
      <c r="G898" t="s">
        <v>36</v>
      </c>
      <c r="H898">
        <v>19</v>
      </c>
      <c r="I898" t="str">
        <f>VLOOKUP(D898,Product_Lookup!$A$2:$C$27,3,FALSE)</f>
        <v>$107.34</v>
      </c>
      <c r="J898" t="str">
        <f t="shared" si="107"/>
        <v>Friday</v>
      </c>
      <c r="K898" s="10" t="str">
        <f t="shared" si="108"/>
        <v>July</v>
      </c>
      <c r="L898">
        <f t="shared" si="109"/>
        <v>2024</v>
      </c>
      <c r="M898" t="b">
        <f t="shared" si="110"/>
        <v>0</v>
      </c>
      <c r="N898" t="b">
        <f t="shared" ref="N898:N961" si="112">AND(R898&gt;750, H898&gt;5)</f>
        <v>1</v>
      </c>
      <c r="O898" t="str">
        <f t="shared" si="111"/>
        <v>Large Order</v>
      </c>
      <c r="P898" s="7">
        <f t="shared" ref="P898:P961" si="113">I898*$S$2</f>
        <v>5.3670000000000009</v>
      </c>
      <c r="Q898" s="7" t="str">
        <f>VLOOKUP(D899,Product_Lookup!$A$2:$C$27,2,FALSE)</f>
        <v>Jacket</v>
      </c>
      <c r="R898" s="7">
        <f t="shared" ref="R898:R961" si="114">H898*I898</f>
        <v>2039.46</v>
      </c>
    </row>
    <row r="899" spans="1:18" ht="21.75" customHeight="1">
      <c r="A899" t="s">
        <v>1050</v>
      </c>
      <c r="B899" s="6">
        <v>45643</v>
      </c>
      <c r="C899" t="s">
        <v>51</v>
      </c>
      <c r="D899" t="s">
        <v>197</v>
      </c>
      <c r="E899" t="s">
        <v>11</v>
      </c>
      <c r="F899" t="s">
        <v>42</v>
      </c>
      <c r="G899" t="s">
        <v>23</v>
      </c>
      <c r="H899">
        <v>18</v>
      </c>
      <c r="I899" t="str">
        <f>VLOOKUP(D899,Product_Lookup!$A$2:$C$27,3,FALSE)</f>
        <v>$10.11</v>
      </c>
      <c r="J899" t="str">
        <f t="shared" ref="J899:J962" si="115">TEXT(B899, "dddd")</f>
        <v>Tuesday</v>
      </c>
      <c r="K899" s="10" t="str">
        <f t="shared" ref="K899:K962" si="116">TEXT(B899, "mmmm")</f>
        <v>December</v>
      </c>
      <c r="L899">
        <f t="shared" ref="L899:L962" si="117">YEAR(B899)</f>
        <v>2024</v>
      </c>
      <c r="M899" t="b">
        <f t="shared" ref="M899:M962" si="118">OR(J899="Saturday", J899="Sunday")</f>
        <v>0</v>
      </c>
      <c r="N899" t="b">
        <f t="shared" si="112"/>
        <v>0</v>
      </c>
      <c r="O899" t="str">
        <f t="shared" ref="O899:O962" si="119">IF(R899&gt;500,"Large Order","Standard order")</f>
        <v>Standard order</v>
      </c>
      <c r="P899" s="7">
        <f t="shared" si="113"/>
        <v>0.50549999999999995</v>
      </c>
      <c r="Q899" s="7" t="str">
        <f>VLOOKUP(D900,Product_Lookup!$A$2:$C$27,2,FALSE)</f>
        <v>Stapler</v>
      </c>
      <c r="R899" s="7">
        <f t="shared" si="114"/>
        <v>181.98</v>
      </c>
    </row>
    <row r="900" spans="1:18" ht="21.75" customHeight="1">
      <c r="A900" t="s">
        <v>1051</v>
      </c>
      <c r="B900" s="6">
        <v>45392</v>
      </c>
      <c r="C900" t="s">
        <v>167</v>
      </c>
      <c r="D900" t="s">
        <v>35</v>
      </c>
      <c r="E900" t="s">
        <v>22</v>
      </c>
      <c r="F900" t="s">
        <v>56</v>
      </c>
      <c r="G900" t="s">
        <v>23</v>
      </c>
      <c r="H900">
        <v>1</v>
      </c>
      <c r="I900" t="str">
        <f>VLOOKUP(D900,Product_Lookup!$A$2:$C$27,3,FALSE)</f>
        <v>$64.61</v>
      </c>
      <c r="J900" t="str">
        <f t="shared" si="115"/>
        <v>Wednesday</v>
      </c>
      <c r="K900" s="10" t="str">
        <f t="shared" si="116"/>
        <v>April</v>
      </c>
      <c r="L900">
        <f t="shared" si="117"/>
        <v>2024</v>
      </c>
      <c r="M900" t="b">
        <f t="shared" si="118"/>
        <v>0</v>
      </c>
      <c r="N900" t="b">
        <f t="shared" si="112"/>
        <v>0</v>
      </c>
      <c r="O900" t="str">
        <f t="shared" si="119"/>
        <v>Standard order</v>
      </c>
      <c r="P900" s="7">
        <f t="shared" si="113"/>
        <v>3.2305000000000001</v>
      </c>
      <c r="Q900" s="7" t="str">
        <f>VLOOKUP(D901,Product_Lookup!$A$2:$C$27,2,FALSE)</f>
        <v>Lego Set</v>
      </c>
      <c r="R900" s="7">
        <f t="shared" si="114"/>
        <v>64.61</v>
      </c>
    </row>
    <row r="901" spans="1:18" ht="21.75" customHeight="1">
      <c r="A901" t="s">
        <v>1052</v>
      </c>
      <c r="B901" s="6">
        <v>45360</v>
      </c>
      <c r="C901" t="s">
        <v>451</v>
      </c>
      <c r="D901" t="s">
        <v>84</v>
      </c>
      <c r="E901" t="s">
        <v>22</v>
      </c>
      <c r="F901" t="s">
        <v>306</v>
      </c>
      <c r="G901" t="s">
        <v>32</v>
      </c>
      <c r="H901">
        <v>11</v>
      </c>
      <c r="I901" t="str">
        <f>VLOOKUP(D901,Product_Lookup!$A$2:$C$27,3,FALSE)</f>
        <v>$130.07</v>
      </c>
      <c r="J901" t="str">
        <f t="shared" si="115"/>
        <v>Saturday</v>
      </c>
      <c r="K901" s="10" t="str">
        <f t="shared" si="116"/>
        <v>March</v>
      </c>
      <c r="L901">
        <f t="shared" si="117"/>
        <v>2024</v>
      </c>
      <c r="M901" t="b">
        <f t="shared" si="118"/>
        <v>1</v>
      </c>
      <c r="N901" t="b">
        <f t="shared" si="112"/>
        <v>1</v>
      </c>
      <c r="O901" t="str">
        <f t="shared" si="119"/>
        <v>Large Order</v>
      </c>
      <c r="P901" s="7">
        <f t="shared" si="113"/>
        <v>6.5034999999999998</v>
      </c>
      <c r="Q901" s="7" t="str">
        <f>VLOOKUP(D902,Product_Lookup!$A$2:$C$27,2,FALSE)</f>
        <v>Coffee Maker</v>
      </c>
      <c r="R901" s="7">
        <f t="shared" si="114"/>
        <v>1430.77</v>
      </c>
    </row>
    <row r="902" spans="1:18" ht="21.75" customHeight="1">
      <c r="A902" t="s">
        <v>1053</v>
      </c>
      <c r="B902" s="6">
        <v>45420</v>
      </c>
      <c r="C902" t="s">
        <v>642</v>
      </c>
      <c r="D902" t="s">
        <v>31</v>
      </c>
      <c r="E902" t="s">
        <v>22</v>
      </c>
      <c r="F902" t="s">
        <v>12</v>
      </c>
      <c r="G902" t="s">
        <v>13</v>
      </c>
      <c r="H902">
        <v>4</v>
      </c>
      <c r="I902" t="str">
        <f>VLOOKUP(D902,Product_Lookup!$A$2:$C$27,3,FALSE)</f>
        <v>$230.34</v>
      </c>
      <c r="J902" t="str">
        <f t="shared" si="115"/>
        <v>Wednesday</v>
      </c>
      <c r="K902" s="10" t="str">
        <f t="shared" si="116"/>
        <v>May</v>
      </c>
      <c r="L902">
        <f t="shared" si="117"/>
        <v>2024</v>
      </c>
      <c r="M902" t="b">
        <f t="shared" si="118"/>
        <v>0</v>
      </c>
      <c r="N902" t="b">
        <f t="shared" si="112"/>
        <v>0</v>
      </c>
      <c r="O902" t="str">
        <f t="shared" si="119"/>
        <v>Large Order</v>
      </c>
      <c r="P902" s="7">
        <f t="shared" si="113"/>
        <v>11.517000000000001</v>
      </c>
      <c r="Q902" s="7" t="str">
        <f>VLOOKUP(D903,Product_Lookup!$A$2:$C$27,2,FALSE)</f>
        <v>Air Fryer</v>
      </c>
      <c r="R902" s="7">
        <f t="shared" si="114"/>
        <v>921.36</v>
      </c>
    </row>
    <row r="903" spans="1:18" ht="21.75" customHeight="1">
      <c r="A903" t="s">
        <v>1054</v>
      </c>
      <c r="B903" s="6">
        <v>45402</v>
      </c>
      <c r="C903" t="s">
        <v>230</v>
      </c>
      <c r="D903" t="s">
        <v>70</v>
      </c>
      <c r="E903" t="s">
        <v>17</v>
      </c>
      <c r="F903" t="s">
        <v>12</v>
      </c>
      <c r="G903" t="s">
        <v>32</v>
      </c>
      <c r="H903">
        <v>11</v>
      </c>
      <c r="I903" t="str">
        <f>VLOOKUP(D903,Product_Lookup!$A$2:$C$27,3,FALSE)</f>
        <v>$211.9</v>
      </c>
      <c r="J903" t="str">
        <f t="shared" si="115"/>
        <v>Saturday</v>
      </c>
      <c r="K903" s="10" t="str">
        <f t="shared" si="116"/>
        <v>April</v>
      </c>
      <c r="L903">
        <f t="shared" si="117"/>
        <v>2024</v>
      </c>
      <c r="M903" t="b">
        <f t="shared" si="118"/>
        <v>1</v>
      </c>
      <c r="N903" t="b">
        <f t="shared" si="112"/>
        <v>1</v>
      </c>
      <c r="O903" t="str">
        <f t="shared" si="119"/>
        <v>Large Order</v>
      </c>
      <c r="P903" s="7">
        <f t="shared" si="113"/>
        <v>10.595000000000001</v>
      </c>
      <c r="Q903" s="7" t="str">
        <f>VLOOKUP(D904,Product_Lookup!$A$2:$C$27,2,FALSE)</f>
        <v>Laptop</v>
      </c>
      <c r="R903" s="7">
        <f t="shared" si="114"/>
        <v>2330.9</v>
      </c>
    </row>
    <row r="904" spans="1:18" ht="21.75" customHeight="1">
      <c r="A904" t="s">
        <v>1055</v>
      </c>
      <c r="B904" s="6">
        <v>45578</v>
      </c>
      <c r="C904" t="s">
        <v>642</v>
      </c>
      <c r="D904" t="s">
        <v>96</v>
      </c>
      <c r="E904" t="s">
        <v>17</v>
      </c>
      <c r="F904" t="s">
        <v>42</v>
      </c>
      <c r="G904" t="s">
        <v>36</v>
      </c>
      <c r="H904">
        <v>14</v>
      </c>
      <c r="I904" t="str">
        <f>VLOOKUP(D904,Product_Lookup!$A$2:$C$27,3,FALSE)</f>
        <v>$230.68</v>
      </c>
      <c r="J904" t="str">
        <f t="shared" si="115"/>
        <v>Sunday</v>
      </c>
      <c r="K904" s="10" t="str">
        <f t="shared" si="116"/>
        <v>October</v>
      </c>
      <c r="L904">
        <f t="shared" si="117"/>
        <v>2024</v>
      </c>
      <c r="M904" t="b">
        <f t="shared" si="118"/>
        <v>1</v>
      </c>
      <c r="N904" t="b">
        <f t="shared" si="112"/>
        <v>1</v>
      </c>
      <c r="O904" t="str">
        <f t="shared" si="119"/>
        <v>Large Order</v>
      </c>
      <c r="P904" s="7">
        <f t="shared" si="113"/>
        <v>11.534000000000001</v>
      </c>
      <c r="Q904" s="7" t="str">
        <f>VLOOKUP(D905,Product_Lookup!$A$2:$C$27,2,FALSE)</f>
        <v>T-Shirt</v>
      </c>
      <c r="R904" s="7">
        <f t="shared" si="114"/>
        <v>3229.52</v>
      </c>
    </row>
    <row r="905" spans="1:18" ht="21.75" customHeight="1">
      <c r="A905" t="s">
        <v>1056</v>
      </c>
      <c r="B905" s="6">
        <v>45393</v>
      </c>
      <c r="C905" t="s">
        <v>314</v>
      </c>
      <c r="D905" t="s">
        <v>45</v>
      </c>
      <c r="E905" t="s">
        <v>22</v>
      </c>
      <c r="F905" t="s">
        <v>306</v>
      </c>
      <c r="G905" t="s">
        <v>36</v>
      </c>
      <c r="H905">
        <v>10</v>
      </c>
      <c r="I905" t="str">
        <f>VLOOKUP(D905,Product_Lookup!$A$2:$C$27,3,FALSE)</f>
        <v>$107.34</v>
      </c>
      <c r="J905" t="str">
        <f t="shared" si="115"/>
        <v>Thursday</v>
      </c>
      <c r="K905" s="10" t="str">
        <f t="shared" si="116"/>
        <v>April</v>
      </c>
      <c r="L905">
        <f t="shared" si="117"/>
        <v>2024</v>
      </c>
      <c r="M905" t="b">
        <f t="shared" si="118"/>
        <v>0</v>
      </c>
      <c r="N905" t="b">
        <f t="shared" si="112"/>
        <v>1</v>
      </c>
      <c r="O905" t="str">
        <f t="shared" si="119"/>
        <v>Large Order</v>
      </c>
      <c r="P905" s="7">
        <f t="shared" si="113"/>
        <v>5.3670000000000009</v>
      </c>
      <c r="Q905" s="7" t="str">
        <f>VLOOKUP(D906,Product_Lookup!$A$2:$C$27,2,FALSE)</f>
        <v>Tablet</v>
      </c>
      <c r="R905" s="7">
        <f t="shared" si="114"/>
        <v>1073.4000000000001</v>
      </c>
    </row>
    <row r="906" spans="1:18" ht="21.75" customHeight="1">
      <c r="A906" t="s">
        <v>1057</v>
      </c>
      <c r="B906" s="6">
        <v>45541</v>
      </c>
      <c r="C906" t="s">
        <v>420</v>
      </c>
      <c r="D906" t="s">
        <v>10</v>
      </c>
      <c r="E906" t="s">
        <v>22</v>
      </c>
      <c r="F906" t="s">
        <v>27</v>
      </c>
      <c r="G906" t="s">
        <v>23</v>
      </c>
      <c r="H906">
        <v>13</v>
      </c>
      <c r="I906" t="str">
        <f>VLOOKUP(D906,Product_Lookup!$A$2:$C$27,3,FALSE)</f>
        <v>$146.06</v>
      </c>
      <c r="J906" t="str">
        <f t="shared" si="115"/>
        <v>Friday</v>
      </c>
      <c r="K906" s="10" t="str">
        <f t="shared" si="116"/>
        <v>September</v>
      </c>
      <c r="L906">
        <f t="shared" si="117"/>
        <v>2024</v>
      </c>
      <c r="M906" t="b">
        <f t="shared" si="118"/>
        <v>0</v>
      </c>
      <c r="N906" t="b">
        <f t="shared" si="112"/>
        <v>1</v>
      </c>
      <c r="O906" t="str">
        <f t="shared" si="119"/>
        <v>Large Order</v>
      </c>
      <c r="P906" s="7">
        <f t="shared" si="113"/>
        <v>7.3030000000000008</v>
      </c>
      <c r="Q906" s="7" t="str">
        <f>VLOOKUP(D907,Product_Lookup!$A$2:$C$27,2,FALSE)</f>
        <v>Vacuum</v>
      </c>
      <c r="R906" s="7">
        <f t="shared" si="114"/>
        <v>1898.78</v>
      </c>
    </row>
    <row r="907" spans="1:18" ht="21.75" customHeight="1">
      <c r="A907" t="s">
        <v>1058</v>
      </c>
      <c r="B907" s="6">
        <v>45615</v>
      </c>
      <c r="C907" t="s">
        <v>167</v>
      </c>
      <c r="D907" t="s">
        <v>87</v>
      </c>
      <c r="E907" t="s">
        <v>11</v>
      </c>
      <c r="F907" t="s">
        <v>42</v>
      </c>
      <c r="G907" t="s">
        <v>13</v>
      </c>
      <c r="H907">
        <v>20</v>
      </c>
      <c r="I907" t="str">
        <f>VLOOKUP(D907,Product_Lookup!$A$2:$C$27,3,FALSE)</f>
        <v>$26.59</v>
      </c>
      <c r="J907" t="str">
        <f t="shared" si="115"/>
        <v>Tuesday</v>
      </c>
      <c r="K907" s="10" t="str">
        <f t="shared" si="116"/>
        <v>November</v>
      </c>
      <c r="L907">
        <f t="shared" si="117"/>
        <v>2024</v>
      </c>
      <c r="M907" t="b">
        <f t="shared" si="118"/>
        <v>0</v>
      </c>
      <c r="N907" t="b">
        <f t="shared" si="112"/>
        <v>0</v>
      </c>
      <c r="O907" t="str">
        <f t="shared" si="119"/>
        <v>Large Order</v>
      </c>
      <c r="P907" s="7">
        <f t="shared" si="113"/>
        <v>1.3295000000000001</v>
      </c>
      <c r="Q907" s="7" t="str">
        <f>VLOOKUP(D908,Product_Lookup!$A$2:$C$27,2,FALSE)</f>
        <v>Blender</v>
      </c>
      <c r="R907" s="7">
        <f t="shared" si="114"/>
        <v>531.79999999999995</v>
      </c>
    </row>
    <row r="908" spans="1:18" ht="21.75" customHeight="1">
      <c r="A908" t="s">
        <v>1059</v>
      </c>
      <c r="B908" s="6">
        <v>45332</v>
      </c>
      <c r="C908" t="s">
        <v>111</v>
      </c>
      <c r="D908" t="s">
        <v>72</v>
      </c>
      <c r="E908" t="s">
        <v>17</v>
      </c>
      <c r="F908" t="s">
        <v>56</v>
      </c>
      <c r="G908" t="s">
        <v>32</v>
      </c>
      <c r="H908">
        <v>11</v>
      </c>
      <c r="I908" t="str">
        <f>VLOOKUP(D908,Product_Lookup!$A$2:$C$27,3,FALSE)</f>
        <v>$156.44</v>
      </c>
      <c r="J908" t="str">
        <f t="shared" si="115"/>
        <v>Saturday</v>
      </c>
      <c r="K908" s="10" t="str">
        <f t="shared" si="116"/>
        <v>February</v>
      </c>
      <c r="L908">
        <f t="shared" si="117"/>
        <v>2024</v>
      </c>
      <c r="M908" t="b">
        <f t="shared" si="118"/>
        <v>1</v>
      </c>
      <c r="N908" t="b">
        <f t="shared" si="112"/>
        <v>1</v>
      </c>
      <c r="O908" t="str">
        <f t="shared" si="119"/>
        <v>Large Order</v>
      </c>
      <c r="P908" s="7">
        <f t="shared" si="113"/>
        <v>7.8220000000000001</v>
      </c>
      <c r="Q908" s="7" t="str">
        <f>VLOOKUP(D909,Product_Lookup!$A$2:$C$27,2,FALSE)</f>
        <v>Air Fryer</v>
      </c>
      <c r="R908" s="7">
        <f t="shared" si="114"/>
        <v>1720.84</v>
      </c>
    </row>
    <row r="909" spans="1:18" ht="21.75" customHeight="1">
      <c r="A909" t="s">
        <v>1060</v>
      </c>
      <c r="B909" s="6">
        <v>45601</v>
      </c>
      <c r="C909" t="s">
        <v>736</v>
      </c>
      <c r="D909" t="s">
        <v>70</v>
      </c>
      <c r="E909" t="s">
        <v>17</v>
      </c>
      <c r="F909" t="s">
        <v>42</v>
      </c>
      <c r="G909" t="s">
        <v>36</v>
      </c>
      <c r="H909">
        <v>12</v>
      </c>
      <c r="I909" t="str">
        <f>VLOOKUP(D909,Product_Lookup!$A$2:$C$27,3,FALSE)</f>
        <v>$211.9</v>
      </c>
      <c r="J909" t="str">
        <f t="shared" si="115"/>
        <v>Tuesday</v>
      </c>
      <c r="K909" s="10" t="str">
        <f t="shared" si="116"/>
        <v>November</v>
      </c>
      <c r="L909">
        <f t="shared" si="117"/>
        <v>2024</v>
      </c>
      <c r="M909" t="b">
        <f t="shared" si="118"/>
        <v>0</v>
      </c>
      <c r="N909" t="b">
        <f t="shared" si="112"/>
        <v>1</v>
      </c>
      <c r="O909" t="str">
        <f t="shared" si="119"/>
        <v>Large Order</v>
      </c>
      <c r="P909" s="7">
        <f t="shared" si="113"/>
        <v>10.595000000000001</v>
      </c>
      <c r="Q909" s="7" t="str">
        <f>VLOOKUP(D910,Product_Lookup!$A$2:$C$27,2,FALSE)</f>
        <v>Laptop</v>
      </c>
      <c r="R909" s="7">
        <f t="shared" si="114"/>
        <v>2542.8000000000002</v>
      </c>
    </row>
    <row r="910" spans="1:18" ht="21.75" customHeight="1">
      <c r="A910" t="s">
        <v>1061</v>
      </c>
      <c r="B910" s="6">
        <v>45522</v>
      </c>
      <c r="C910" t="s">
        <v>408</v>
      </c>
      <c r="D910" t="s">
        <v>96</v>
      </c>
      <c r="E910" t="s">
        <v>11</v>
      </c>
      <c r="F910" t="s">
        <v>56</v>
      </c>
      <c r="G910" t="s">
        <v>32</v>
      </c>
      <c r="H910">
        <v>5</v>
      </c>
      <c r="I910" t="str">
        <f>VLOOKUP(D910,Product_Lookup!$A$2:$C$27,3,FALSE)</f>
        <v>$230.68</v>
      </c>
      <c r="J910" t="str">
        <f t="shared" si="115"/>
        <v>Sunday</v>
      </c>
      <c r="K910" s="10" t="str">
        <f t="shared" si="116"/>
        <v>August</v>
      </c>
      <c r="L910">
        <f t="shared" si="117"/>
        <v>2024</v>
      </c>
      <c r="M910" t="b">
        <f t="shared" si="118"/>
        <v>1</v>
      </c>
      <c r="N910" t="b">
        <f t="shared" si="112"/>
        <v>0</v>
      </c>
      <c r="O910" t="str">
        <f t="shared" si="119"/>
        <v>Large Order</v>
      </c>
      <c r="P910" s="7">
        <f t="shared" si="113"/>
        <v>11.534000000000001</v>
      </c>
      <c r="Q910" s="7" t="str">
        <f>VLOOKUP(D911,Product_Lookup!$A$2:$C$27,2,FALSE)</f>
        <v>T-Shirt</v>
      </c>
      <c r="R910" s="7">
        <f t="shared" si="114"/>
        <v>1153.4000000000001</v>
      </c>
    </row>
    <row r="911" spans="1:18" ht="21.75" customHeight="1">
      <c r="A911" t="s">
        <v>1062</v>
      </c>
      <c r="B911" s="6">
        <v>45650</v>
      </c>
      <c r="C911" t="s">
        <v>323</v>
      </c>
      <c r="D911" t="s">
        <v>45</v>
      </c>
      <c r="E911" t="s">
        <v>11</v>
      </c>
      <c r="F911" t="s">
        <v>56</v>
      </c>
      <c r="G911" t="s">
        <v>13</v>
      </c>
      <c r="H911">
        <v>13</v>
      </c>
      <c r="I911" t="str">
        <f>VLOOKUP(D911,Product_Lookup!$A$2:$C$27,3,FALSE)</f>
        <v>$107.34</v>
      </c>
      <c r="J911" t="str">
        <f t="shared" si="115"/>
        <v>Tuesday</v>
      </c>
      <c r="K911" s="10" t="str">
        <f t="shared" si="116"/>
        <v>December</v>
      </c>
      <c r="L911">
        <f t="shared" si="117"/>
        <v>2024</v>
      </c>
      <c r="M911" t="b">
        <f t="shared" si="118"/>
        <v>0</v>
      </c>
      <c r="N911" t="b">
        <f t="shared" si="112"/>
        <v>1</v>
      </c>
      <c r="O911" t="str">
        <f t="shared" si="119"/>
        <v>Large Order</v>
      </c>
      <c r="P911" s="7">
        <f t="shared" si="113"/>
        <v>5.3670000000000009</v>
      </c>
      <c r="Q911" s="7" t="str">
        <f>VLOOKUP(D912,Product_Lookup!$A$2:$C$27,2,FALSE)</f>
        <v>Doll</v>
      </c>
      <c r="R911" s="7">
        <f t="shared" si="114"/>
        <v>1395.42</v>
      </c>
    </row>
    <row r="912" spans="1:18" ht="21.75" customHeight="1">
      <c r="A912" t="s">
        <v>1063</v>
      </c>
      <c r="B912" s="6">
        <v>45534</v>
      </c>
      <c r="C912" t="s">
        <v>378</v>
      </c>
      <c r="D912" t="s">
        <v>119</v>
      </c>
      <c r="E912" t="s">
        <v>11</v>
      </c>
      <c r="F912" t="s">
        <v>12</v>
      </c>
      <c r="G912" t="s">
        <v>13</v>
      </c>
      <c r="H912">
        <v>13</v>
      </c>
      <c r="I912" t="str">
        <f>VLOOKUP(D912,Product_Lookup!$A$2:$C$27,3,FALSE)</f>
        <v>$32.94</v>
      </c>
      <c r="J912" t="str">
        <f t="shared" si="115"/>
        <v>Friday</v>
      </c>
      <c r="K912" s="10" t="str">
        <f t="shared" si="116"/>
        <v>August</v>
      </c>
      <c r="L912">
        <f t="shared" si="117"/>
        <v>2024</v>
      </c>
      <c r="M912" t="b">
        <f t="shared" si="118"/>
        <v>0</v>
      </c>
      <c r="N912" t="b">
        <f t="shared" si="112"/>
        <v>0</v>
      </c>
      <c r="O912" t="str">
        <f t="shared" si="119"/>
        <v>Standard order</v>
      </c>
      <c r="P912" s="7">
        <f t="shared" si="113"/>
        <v>1.647</v>
      </c>
      <c r="Q912" s="7" t="str">
        <f>VLOOKUP(D913,Product_Lookup!$A$2:$C$27,2,FALSE)</f>
        <v>Tablet</v>
      </c>
      <c r="R912" s="7">
        <f t="shared" si="114"/>
        <v>428.21999999999997</v>
      </c>
    </row>
    <row r="913" spans="1:18" ht="21.75" customHeight="1">
      <c r="A913" t="s">
        <v>1064</v>
      </c>
      <c r="B913" s="6">
        <v>45345</v>
      </c>
      <c r="C913" t="s">
        <v>86</v>
      </c>
      <c r="D913" t="s">
        <v>10</v>
      </c>
      <c r="E913" t="s">
        <v>22</v>
      </c>
      <c r="F913" t="s">
        <v>56</v>
      </c>
      <c r="G913" t="s">
        <v>28</v>
      </c>
      <c r="H913">
        <v>13</v>
      </c>
      <c r="I913" t="str">
        <f>VLOOKUP(D913,Product_Lookup!$A$2:$C$27,3,FALSE)</f>
        <v>$146.06</v>
      </c>
      <c r="J913" t="str">
        <f t="shared" si="115"/>
        <v>Friday</v>
      </c>
      <c r="K913" s="10" t="str">
        <f t="shared" si="116"/>
        <v>February</v>
      </c>
      <c r="L913">
        <f t="shared" si="117"/>
        <v>2024</v>
      </c>
      <c r="M913" t="b">
        <f t="shared" si="118"/>
        <v>0</v>
      </c>
      <c r="N913" t="b">
        <f t="shared" si="112"/>
        <v>1</v>
      </c>
      <c r="O913" t="str">
        <f t="shared" si="119"/>
        <v>Large Order</v>
      </c>
      <c r="P913" s="7">
        <f t="shared" si="113"/>
        <v>7.3030000000000008</v>
      </c>
      <c r="Q913" s="7" t="str">
        <f>VLOOKUP(D914,Product_Lookup!$A$2:$C$27,2,FALSE)</f>
        <v>Headphones</v>
      </c>
      <c r="R913" s="7">
        <f t="shared" si="114"/>
        <v>1898.78</v>
      </c>
    </row>
    <row r="914" spans="1:18" ht="21.75" customHeight="1">
      <c r="A914" t="s">
        <v>1065</v>
      </c>
      <c r="B914" s="6">
        <v>45437</v>
      </c>
      <c r="C914" t="s">
        <v>396</v>
      </c>
      <c r="D914" t="s">
        <v>16</v>
      </c>
      <c r="E914" t="s">
        <v>22</v>
      </c>
      <c r="F914" t="s">
        <v>56</v>
      </c>
      <c r="G914" t="s">
        <v>13</v>
      </c>
      <c r="H914">
        <v>17</v>
      </c>
      <c r="I914" t="str">
        <f>VLOOKUP(D914,Product_Lookup!$A$2:$C$27,3,FALSE)</f>
        <v>$178.83</v>
      </c>
      <c r="J914" t="str">
        <f t="shared" si="115"/>
        <v>Saturday</v>
      </c>
      <c r="K914" s="10" t="str">
        <f t="shared" si="116"/>
        <v>May</v>
      </c>
      <c r="L914">
        <f t="shared" si="117"/>
        <v>2024</v>
      </c>
      <c r="M914" t="b">
        <f t="shared" si="118"/>
        <v>1</v>
      </c>
      <c r="N914" t="b">
        <f t="shared" si="112"/>
        <v>1</v>
      </c>
      <c r="O914" t="str">
        <f t="shared" si="119"/>
        <v>Large Order</v>
      </c>
      <c r="P914" s="7">
        <f t="shared" si="113"/>
        <v>8.9415000000000013</v>
      </c>
      <c r="Q914" s="7" t="str">
        <f>VLOOKUP(D915,Product_Lookup!$A$2:$C$27,2,FALSE)</f>
        <v>Stapler</v>
      </c>
      <c r="R914" s="7">
        <f t="shared" si="114"/>
        <v>3040.11</v>
      </c>
    </row>
    <row r="915" spans="1:18" ht="21.75" customHeight="1">
      <c r="A915" t="s">
        <v>1066</v>
      </c>
      <c r="B915" s="6">
        <v>45309</v>
      </c>
      <c r="C915" t="s">
        <v>371</v>
      </c>
      <c r="D915" t="s">
        <v>35</v>
      </c>
      <c r="E915" t="s">
        <v>17</v>
      </c>
      <c r="F915" t="s">
        <v>42</v>
      </c>
      <c r="G915" t="s">
        <v>36</v>
      </c>
      <c r="H915">
        <v>15</v>
      </c>
      <c r="I915" t="str">
        <f>VLOOKUP(D915,Product_Lookup!$A$2:$C$27,3,FALSE)</f>
        <v>$64.61</v>
      </c>
      <c r="J915" t="str">
        <f t="shared" si="115"/>
        <v>Thursday</v>
      </c>
      <c r="K915" s="10" t="str">
        <f t="shared" si="116"/>
        <v>January</v>
      </c>
      <c r="L915">
        <f t="shared" si="117"/>
        <v>2024</v>
      </c>
      <c r="M915" t="b">
        <f t="shared" si="118"/>
        <v>0</v>
      </c>
      <c r="N915" t="b">
        <f t="shared" si="112"/>
        <v>1</v>
      </c>
      <c r="O915" t="str">
        <f t="shared" si="119"/>
        <v>Large Order</v>
      </c>
      <c r="P915" s="7">
        <f t="shared" si="113"/>
        <v>3.2305000000000001</v>
      </c>
      <c r="Q915" s="7" t="str">
        <f>VLOOKUP(D916,Product_Lookup!$A$2:$C$27,2,FALSE)</f>
        <v>Puzzle</v>
      </c>
      <c r="R915" s="7">
        <f t="shared" si="114"/>
        <v>969.15</v>
      </c>
    </row>
    <row r="916" spans="1:18" ht="21.75" customHeight="1">
      <c r="A916" t="s">
        <v>1067</v>
      </c>
      <c r="B916" s="6">
        <v>45431</v>
      </c>
      <c r="C916" t="s">
        <v>378</v>
      </c>
      <c r="D916" t="s">
        <v>62</v>
      </c>
      <c r="E916" t="s">
        <v>17</v>
      </c>
      <c r="F916" t="s">
        <v>56</v>
      </c>
      <c r="G916" t="s">
        <v>36</v>
      </c>
      <c r="H916">
        <v>18</v>
      </c>
      <c r="I916" t="str">
        <f>VLOOKUP(D916,Product_Lookup!$A$2:$C$27,3,FALSE)</f>
        <v>$46.19</v>
      </c>
      <c r="J916" t="str">
        <f t="shared" si="115"/>
        <v>Sunday</v>
      </c>
      <c r="K916" s="10" t="str">
        <f t="shared" si="116"/>
        <v>May</v>
      </c>
      <c r="L916">
        <f t="shared" si="117"/>
        <v>2024</v>
      </c>
      <c r="M916" t="b">
        <f t="shared" si="118"/>
        <v>1</v>
      </c>
      <c r="N916" t="b">
        <f t="shared" si="112"/>
        <v>1</v>
      </c>
      <c r="O916" t="str">
        <f t="shared" si="119"/>
        <v>Large Order</v>
      </c>
      <c r="P916" s="7">
        <f t="shared" si="113"/>
        <v>2.3094999999999999</v>
      </c>
      <c r="Q916" s="7" t="str">
        <f>VLOOKUP(D917,Product_Lookup!$A$2:$C$27,2,FALSE)</f>
        <v>Vacuum</v>
      </c>
      <c r="R916" s="7">
        <f t="shared" si="114"/>
        <v>831.42</v>
      </c>
    </row>
    <row r="917" spans="1:18" ht="21.75" customHeight="1">
      <c r="A917" t="s">
        <v>1068</v>
      </c>
      <c r="B917" s="6">
        <v>45525</v>
      </c>
      <c r="C917" t="s">
        <v>451</v>
      </c>
      <c r="D917" t="s">
        <v>87</v>
      </c>
      <c r="E917" t="s">
        <v>22</v>
      </c>
      <c r="F917" t="s">
        <v>306</v>
      </c>
      <c r="G917" t="s">
        <v>36</v>
      </c>
      <c r="H917">
        <v>17</v>
      </c>
      <c r="I917" t="str">
        <f>VLOOKUP(D917,Product_Lookup!$A$2:$C$27,3,FALSE)</f>
        <v>$26.59</v>
      </c>
      <c r="J917" t="str">
        <f t="shared" si="115"/>
        <v>Wednesday</v>
      </c>
      <c r="K917" s="10" t="str">
        <f t="shared" si="116"/>
        <v>August</v>
      </c>
      <c r="L917">
        <f t="shared" si="117"/>
        <v>2024</v>
      </c>
      <c r="M917" t="b">
        <f t="shared" si="118"/>
        <v>0</v>
      </c>
      <c r="N917" t="b">
        <f t="shared" si="112"/>
        <v>0</v>
      </c>
      <c r="O917" t="str">
        <f t="shared" si="119"/>
        <v>Standard order</v>
      </c>
      <c r="P917" s="7">
        <f t="shared" si="113"/>
        <v>1.3295000000000001</v>
      </c>
      <c r="Q917" s="7" t="str">
        <f>VLOOKUP(D918,Product_Lookup!$A$2:$C$27,2,FALSE)</f>
        <v>Jacket</v>
      </c>
      <c r="R917" s="7">
        <f t="shared" si="114"/>
        <v>452.03</v>
      </c>
    </row>
    <row r="918" spans="1:18" ht="21.75" customHeight="1">
      <c r="A918" t="s">
        <v>1069</v>
      </c>
      <c r="B918" s="6">
        <v>45450</v>
      </c>
      <c r="C918" t="s">
        <v>20</v>
      </c>
      <c r="D918" t="s">
        <v>197</v>
      </c>
      <c r="E918" t="s">
        <v>17</v>
      </c>
      <c r="F918" t="s">
        <v>306</v>
      </c>
      <c r="G918" t="s">
        <v>32</v>
      </c>
      <c r="H918">
        <v>3</v>
      </c>
      <c r="I918" t="str">
        <f>VLOOKUP(D918,Product_Lookup!$A$2:$C$27,3,FALSE)</f>
        <v>$10.11</v>
      </c>
      <c r="J918" t="str">
        <f t="shared" si="115"/>
        <v>Friday</v>
      </c>
      <c r="K918" s="10" t="str">
        <f t="shared" si="116"/>
        <v>June</v>
      </c>
      <c r="L918">
        <f t="shared" si="117"/>
        <v>2024</v>
      </c>
      <c r="M918" t="b">
        <f t="shared" si="118"/>
        <v>0</v>
      </c>
      <c r="N918" t="b">
        <f t="shared" si="112"/>
        <v>0</v>
      </c>
      <c r="O918" t="str">
        <f t="shared" si="119"/>
        <v>Standard order</v>
      </c>
      <c r="P918" s="7">
        <f t="shared" si="113"/>
        <v>0.50549999999999995</v>
      </c>
      <c r="Q918" s="7" t="str">
        <f>VLOOKUP(D919,Product_Lookup!$A$2:$C$27,2,FALSE)</f>
        <v>Laptop</v>
      </c>
      <c r="R918" s="7">
        <f t="shared" si="114"/>
        <v>30.33</v>
      </c>
    </row>
    <row r="919" spans="1:18" ht="21.75" customHeight="1">
      <c r="A919" t="s">
        <v>1070</v>
      </c>
      <c r="B919" s="6">
        <v>45503</v>
      </c>
      <c r="C919" t="s">
        <v>86</v>
      </c>
      <c r="D919" t="s">
        <v>96</v>
      </c>
      <c r="E919" t="s">
        <v>11</v>
      </c>
      <c r="F919" t="s">
        <v>42</v>
      </c>
      <c r="G919" t="s">
        <v>28</v>
      </c>
      <c r="H919">
        <v>1</v>
      </c>
      <c r="I919" t="str">
        <f>VLOOKUP(D919,Product_Lookup!$A$2:$C$27,3,FALSE)</f>
        <v>$230.68</v>
      </c>
      <c r="J919" t="str">
        <f t="shared" si="115"/>
        <v>Tuesday</v>
      </c>
      <c r="K919" s="10" t="str">
        <f t="shared" si="116"/>
        <v>July</v>
      </c>
      <c r="L919">
        <f t="shared" si="117"/>
        <v>2024</v>
      </c>
      <c r="M919" t="b">
        <f t="shared" si="118"/>
        <v>0</v>
      </c>
      <c r="N919" t="b">
        <f t="shared" si="112"/>
        <v>0</v>
      </c>
      <c r="O919" t="str">
        <f t="shared" si="119"/>
        <v>Standard order</v>
      </c>
      <c r="P919" s="7">
        <f t="shared" si="113"/>
        <v>11.534000000000001</v>
      </c>
      <c r="Q919" s="7" t="str">
        <f>VLOOKUP(D920,Product_Lookup!$A$2:$C$27,2,FALSE)</f>
        <v>Laptop</v>
      </c>
      <c r="R919" s="7">
        <f t="shared" si="114"/>
        <v>230.68</v>
      </c>
    </row>
    <row r="920" spans="1:18" ht="21.75" customHeight="1">
      <c r="A920" t="s">
        <v>1071</v>
      </c>
      <c r="B920" s="6">
        <v>45468</v>
      </c>
      <c r="C920" t="s">
        <v>55</v>
      </c>
      <c r="D920" t="s">
        <v>96</v>
      </c>
      <c r="E920" t="s">
        <v>17</v>
      </c>
      <c r="F920" t="s">
        <v>306</v>
      </c>
      <c r="G920" t="s">
        <v>23</v>
      </c>
      <c r="H920">
        <v>16</v>
      </c>
      <c r="I920" t="str">
        <f>VLOOKUP(D920,Product_Lookup!$A$2:$C$27,3,FALSE)</f>
        <v>$230.68</v>
      </c>
      <c r="J920" t="str">
        <f t="shared" si="115"/>
        <v>Tuesday</v>
      </c>
      <c r="K920" s="10" t="str">
        <f t="shared" si="116"/>
        <v>June</v>
      </c>
      <c r="L920">
        <f t="shared" si="117"/>
        <v>2024</v>
      </c>
      <c r="M920" t="b">
        <f t="shared" si="118"/>
        <v>0</v>
      </c>
      <c r="N920" t="b">
        <f t="shared" si="112"/>
        <v>1</v>
      </c>
      <c r="O920" t="str">
        <f t="shared" si="119"/>
        <v>Large Order</v>
      </c>
      <c r="P920" s="7">
        <f t="shared" si="113"/>
        <v>11.534000000000001</v>
      </c>
      <c r="Q920" s="7" t="str">
        <f>VLOOKUP(D921,Product_Lookup!$A$2:$C$27,2,FALSE)</f>
        <v>Paper Shredder</v>
      </c>
      <c r="R920" s="7">
        <f t="shared" si="114"/>
        <v>3690.88</v>
      </c>
    </row>
    <row r="921" spans="1:18" ht="21.75" customHeight="1">
      <c r="A921" t="s">
        <v>1072</v>
      </c>
      <c r="B921" s="6">
        <v>45445</v>
      </c>
      <c r="C921" t="s">
        <v>142</v>
      </c>
      <c r="D921" t="s">
        <v>109</v>
      </c>
      <c r="E921" t="s">
        <v>17</v>
      </c>
      <c r="F921" t="s">
        <v>42</v>
      </c>
      <c r="G921" t="s">
        <v>36</v>
      </c>
      <c r="H921">
        <v>8</v>
      </c>
      <c r="I921" t="str">
        <f>VLOOKUP(D921,Product_Lookup!$A$2:$C$27,3,FALSE)</f>
        <v>$81.02</v>
      </c>
      <c r="J921" t="str">
        <f t="shared" si="115"/>
        <v>Sunday</v>
      </c>
      <c r="K921" s="10" t="str">
        <f t="shared" si="116"/>
        <v>June</v>
      </c>
      <c r="L921">
        <f t="shared" si="117"/>
        <v>2024</v>
      </c>
      <c r="M921" t="b">
        <f t="shared" si="118"/>
        <v>1</v>
      </c>
      <c r="N921" t="b">
        <f t="shared" si="112"/>
        <v>0</v>
      </c>
      <c r="O921" t="str">
        <f t="shared" si="119"/>
        <v>Large Order</v>
      </c>
      <c r="P921" s="7">
        <f t="shared" si="113"/>
        <v>4.0510000000000002</v>
      </c>
      <c r="Q921" s="7" t="str">
        <f>VLOOKUP(D922,Product_Lookup!$A$2:$C$27,2,FALSE)</f>
        <v>Vacuum</v>
      </c>
      <c r="R921" s="7">
        <f t="shared" si="114"/>
        <v>648.16</v>
      </c>
    </row>
    <row r="922" spans="1:18" ht="21.75" customHeight="1">
      <c r="A922" t="s">
        <v>1073</v>
      </c>
      <c r="B922" s="6">
        <v>45483</v>
      </c>
      <c r="C922" t="s">
        <v>150</v>
      </c>
      <c r="D922" t="s">
        <v>87</v>
      </c>
      <c r="E922" t="s">
        <v>17</v>
      </c>
      <c r="F922" t="s">
        <v>306</v>
      </c>
      <c r="G922" t="s">
        <v>23</v>
      </c>
      <c r="H922">
        <v>13</v>
      </c>
      <c r="I922" t="str">
        <f>VLOOKUP(D922,Product_Lookup!$A$2:$C$27,3,FALSE)</f>
        <v>$26.59</v>
      </c>
      <c r="J922" t="str">
        <f t="shared" si="115"/>
        <v>Wednesday</v>
      </c>
      <c r="K922" s="10" t="str">
        <f t="shared" si="116"/>
        <v>July</v>
      </c>
      <c r="L922">
        <f t="shared" si="117"/>
        <v>2024</v>
      </c>
      <c r="M922" t="b">
        <f t="shared" si="118"/>
        <v>0</v>
      </c>
      <c r="N922" t="b">
        <f t="shared" si="112"/>
        <v>0</v>
      </c>
      <c r="O922" t="str">
        <f t="shared" si="119"/>
        <v>Standard order</v>
      </c>
      <c r="P922" s="7">
        <f t="shared" si="113"/>
        <v>1.3295000000000001</v>
      </c>
      <c r="Q922" s="7" t="str">
        <f>VLOOKUP(D923,Product_Lookup!$A$2:$C$27,2,FALSE)</f>
        <v>Vacuum</v>
      </c>
      <c r="R922" s="7">
        <f t="shared" si="114"/>
        <v>345.67</v>
      </c>
    </row>
    <row r="923" spans="1:18" ht="21.75" customHeight="1">
      <c r="A923" t="s">
        <v>1074</v>
      </c>
      <c r="B923" s="6">
        <v>45485</v>
      </c>
      <c r="C923" t="s">
        <v>240</v>
      </c>
      <c r="D923" t="s">
        <v>87</v>
      </c>
      <c r="E923" t="s">
        <v>17</v>
      </c>
      <c r="F923" t="s">
        <v>12</v>
      </c>
      <c r="G923" t="s">
        <v>36</v>
      </c>
      <c r="H923">
        <v>8</v>
      </c>
      <c r="I923" t="str">
        <f>VLOOKUP(D923,Product_Lookup!$A$2:$C$27,3,FALSE)</f>
        <v>$26.59</v>
      </c>
      <c r="J923" t="str">
        <f t="shared" si="115"/>
        <v>Friday</v>
      </c>
      <c r="K923" s="10" t="str">
        <f t="shared" si="116"/>
        <v>July</v>
      </c>
      <c r="L923">
        <f t="shared" si="117"/>
        <v>2024</v>
      </c>
      <c r="M923" t="b">
        <f t="shared" si="118"/>
        <v>0</v>
      </c>
      <c r="N923" t="b">
        <f t="shared" si="112"/>
        <v>0</v>
      </c>
      <c r="O923" t="str">
        <f t="shared" si="119"/>
        <v>Standard order</v>
      </c>
      <c r="P923" s="7">
        <f t="shared" si="113"/>
        <v>1.3295000000000001</v>
      </c>
      <c r="Q923" s="7" t="str">
        <f>VLOOKUP(D924,Product_Lookup!$A$2:$C$27,2,FALSE)</f>
        <v>Action Figure</v>
      </c>
      <c r="R923" s="7">
        <f t="shared" si="114"/>
        <v>212.72</v>
      </c>
    </row>
    <row r="924" spans="1:18" ht="21.75" customHeight="1">
      <c r="A924" t="s">
        <v>1075</v>
      </c>
      <c r="B924" s="6">
        <v>45647</v>
      </c>
      <c r="C924" t="s">
        <v>455</v>
      </c>
      <c r="D924" t="s">
        <v>21</v>
      </c>
      <c r="E924" t="s">
        <v>17</v>
      </c>
      <c r="F924" t="s">
        <v>42</v>
      </c>
      <c r="G924" t="s">
        <v>23</v>
      </c>
      <c r="H924">
        <v>18</v>
      </c>
      <c r="I924" t="str">
        <f>VLOOKUP(D924,Product_Lookup!$A$2:$C$27,3,FALSE)</f>
        <v>$88.18</v>
      </c>
      <c r="J924" t="str">
        <f t="shared" si="115"/>
        <v>Saturday</v>
      </c>
      <c r="K924" s="10" t="str">
        <f t="shared" si="116"/>
        <v>December</v>
      </c>
      <c r="L924">
        <f t="shared" si="117"/>
        <v>2024</v>
      </c>
      <c r="M924" t="b">
        <f t="shared" si="118"/>
        <v>1</v>
      </c>
      <c r="N924" t="b">
        <f t="shared" si="112"/>
        <v>1</v>
      </c>
      <c r="O924" t="str">
        <f t="shared" si="119"/>
        <v>Large Order</v>
      </c>
      <c r="P924" s="7">
        <f t="shared" si="113"/>
        <v>4.4090000000000007</v>
      </c>
      <c r="Q924" s="7" t="str">
        <f>VLOOKUP(D925,Product_Lookup!$A$2:$C$27,2,FALSE)</f>
        <v>Socks</v>
      </c>
      <c r="R924" s="7">
        <f t="shared" si="114"/>
        <v>1587.2400000000002</v>
      </c>
    </row>
    <row r="925" spans="1:18" ht="21.75" customHeight="1">
      <c r="A925" t="s">
        <v>1076</v>
      </c>
      <c r="B925" s="6">
        <v>45388</v>
      </c>
      <c r="C925" t="s">
        <v>58</v>
      </c>
      <c r="D925" t="s">
        <v>74</v>
      </c>
      <c r="E925" t="s">
        <v>11</v>
      </c>
      <c r="F925" t="s">
        <v>56</v>
      </c>
      <c r="G925" t="s">
        <v>36</v>
      </c>
      <c r="H925">
        <v>4</v>
      </c>
      <c r="I925" t="str">
        <f>VLOOKUP(D925,Product_Lookup!$A$2:$C$27,3,FALSE)</f>
        <v>$201.32</v>
      </c>
      <c r="J925" t="str">
        <f t="shared" si="115"/>
        <v>Saturday</v>
      </c>
      <c r="K925" s="10" t="str">
        <f t="shared" si="116"/>
        <v>April</v>
      </c>
      <c r="L925">
        <f t="shared" si="117"/>
        <v>2024</v>
      </c>
      <c r="M925" t="b">
        <f t="shared" si="118"/>
        <v>1</v>
      </c>
      <c r="N925" t="b">
        <f t="shared" si="112"/>
        <v>0</v>
      </c>
      <c r="O925" t="str">
        <f t="shared" si="119"/>
        <v>Large Order</v>
      </c>
      <c r="P925" s="7">
        <f t="shared" si="113"/>
        <v>10.066000000000001</v>
      </c>
      <c r="Q925" s="7" t="str">
        <f>VLOOKUP(D926,Product_Lookup!$A$2:$C$27,2,FALSE)</f>
        <v>Stapler</v>
      </c>
      <c r="R925" s="7">
        <f t="shared" si="114"/>
        <v>805.28</v>
      </c>
    </row>
    <row r="926" spans="1:18" ht="21.75" customHeight="1">
      <c r="A926" t="s">
        <v>1077</v>
      </c>
      <c r="B926" s="6">
        <v>45523</v>
      </c>
      <c r="C926" t="s">
        <v>101</v>
      </c>
      <c r="D926" t="s">
        <v>35</v>
      </c>
      <c r="E926" t="s">
        <v>22</v>
      </c>
      <c r="F926" t="s">
        <v>306</v>
      </c>
      <c r="G926" t="s">
        <v>28</v>
      </c>
      <c r="H926">
        <v>7</v>
      </c>
      <c r="I926" t="str">
        <f>VLOOKUP(D926,Product_Lookup!$A$2:$C$27,3,FALSE)</f>
        <v>$64.61</v>
      </c>
      <c r="J926" t="str">
        <f t="shared" si="115"/>
        <v>Monday</v>
      </c>
      <c r="K926" s="10" t="str">
        <f t="shared" si="116"/>
        <v>August</v>
      </c>
      <c r="L926">
        <f t="shared" si="117"/>
        <v>2024</v>
      </c>
      <c r="M926" t="b">
        <f t="shared" si="118"/>
        <v>0</v>
      </c>
      <c r="N926" t="b">
        <f t="shared" si="112"/>
        <v>0</v>
      </c>
      <c r="O926" t="str">
        <f t="shared" si="119"/>
        <v>Standard order</v>
      </c>
      <c r="P926" s="7">
        <f t="shared" si="113"/>
        <v>3.2305000000000001</v>
      </c>
      <c r="Q926" s="7" t="str">
        <f>VLOOKUP(D927,Product_Lookup!$A$2:$C$27,2,FALSE)</f>
        <v>Monitor</v>
      </c>
      <c r="R926" s="7">
        <f t="shared" si="114"/>
        <v>452.27</v>
      </c>
    </row>
    <row r="927" spans="1:18" ht="21.75" customHeight="1">
      <c r="A927" t="s">
        <v>1078</v>
      </c>
      <c r="B927" s="6">
        <v>45317</v>
      </c>
      <c r="C927" t="s">
        <v>312</v>
      </c>
      <c r="D927" t="s">
        <v>102</v>
      </c>
      <c r="E927" t="s">
        <v>11</v>
      </c>
      <c r="F927" t="s">
        <v>56</v>
      </c>
      <c r="G927" t="s">
        <v>23</v>
      </c>
      <c r="H927">
        <v>10</v>
      </c>
      <c r="I927" t="str">
        <f>VLOOKUP(D927,Product_Lookup!$A$2:$C$27,3,FALSE)</f>
        <v>$145.48</v>
      </c>
      <c r="J927" t="str">
        <f t="shared" si="115"/>
        <v>Friday</v>
      </c>
      <c r="K927" s="10" t="str">
        <f t="shared" si="116"/>
        <v>January</v>
      </c>
      <c r="L927">
        <f t="shared" si="117"/>
        <v>2024</v>
      </c>
      <c r="M927" t="b">
        <f t="shared" si="118"/>
        <v>0</v>
      </c>
      <c r="N927" t="b">
        <f t="shared" si="112"/>
        <v>1</v>
      </c>
      <c r="O927" t="str">
        <f t="shared" si="119"/>
        <v>Large Order</v>
      </c>
      <c r="P927" s="7">
        <f t="shared" si="113"/>
        <v>7.274</v>
      </c>
      <c r="Q927" s="7" t="str">
        <f>VLOOKUP(D928,Product_Lookup!$A$2:$C$27,2,FALSE)</f>
        <v>Laptop</v>
      </c>
      <c r="R927" s="7">
        <f t="shared" si="114"/>
        <v>1454.8</v>
      </c>
    </row>
    <row r="928" spans="1:18" ht="21.75" customHeight="1">
      <c r="A928" t="s">
        <v>1079</v>
      </c>
      <c r="B928" s="6">
        <v>45296</v>
      </c>
      <c r="C928" t="s">
        <v>51</v>
      </c>
      <c r="D928" t="s">
        <v>96</v>
      </c>
      <c r="E928" t="s">
        <v>11</v>
      </c>
      <c r="F928" t="s">
        <v>56</v>
      </c>
      <c r="G928" t="s">
        <v>23</v>
      </c>
      <c r="H928">
        <v>16</v>
      </c>
      <c r="I928" t="str">
        <f>VLOOKUP(D928,Product_Lookup!$A$2:$C$27,3,FALSE)</f>
        <v>$230.68</v>
      </c>
      <c r="J928" t="str">
        <f t="shared" si="115"/>
        <v>Friday</v>
      </c>
      <c r="K928" s="10" t="str">
        <f t="shared" si="116"/>
        <v>January</v>
      </c>
      <c r="L928">
        <f t="shared" si="117"/>
        <v>2024</v>
      </c>
      <c r="M928" t="b">
        <f t="shared" si="118"/>
        <v>0</v>
      </c>
      <c r="N928" t="b">
        <f t="shared" si="112"/>
        <v>1</v>
      </c>
      <c r="O928" t="str">
        <f t="shared" si="119"/>
        <v>Large Order</v>
      </c>
      <c r="P928" s="7">
        <f t="shared" si="113"/>
        <v>11.534000000000001</v>
      </c>
      <c r="Q928" s="7" t="str">
        <f>VLOOKUP(D929,Product_Lookup!$A$2:$C$27,2,FALSE)</f>
        <v>Air Fryer</v>
      </c>
      <c r="R928" s="7">
        <f t="shared" si="114"/>
        <v>3690.88</v>
      </c>
    </row>
    <row r="929" spans="1:18" ht="21.75" customHeight="1">
      <c r="A929" t="s">
        <v>1080</v>
      </c>
      <c r="B929" s="6">
        <v>45451</v>
      </c>
      <c r="C929" t="s">
        <v>728</v>
      </c>
      <c r="D929" t="s">
        <v>70</v>
      </c>
      <c r="E929" t="s">
        <v>17</v>
      </c>
      <c r="F929" t="s">
        <v>42</v>
      </c>
      <c r="G929" t="s">
        <v>28</v>
      </c>
      <c r="H929">
        <v>2</v>
      </c>
      <c r="I929" t="str">
        <f>VLOOKUP(D929,Product_Lookup!$A$2:$C$27,3,FALSE)</f>
        <v>$211.9</v>
      </c>
      <c r="J929" t="str">
        <f t="shared" si="115"/>
        <v>Saturday</v>
      </c>
      <c r="K929" s="10" t="str">
        <f t="shared" si="116"/>
        <v>June</v>
      </c>
      <c r="L929">
        <f t="shared" si="117"/>
        <v>2024</v>
      </c>
      <c r="M929" t="b">
        <f t="shared" si="118"/>
        <v>1</v>
      </c>
      <c r="N929" t="b">
        <f t="shared" si="112"/>
        <v>0</v>
      </c>
      <c r="O929" t="str">
        <f t="shared" si="119"/>
        <v>Standard order</v>
      </c>
      <c r="P929" s="7">
        <f t="shared" si="113"/>
        <v>10.595000000000001</v>
      </c>
      <c r="Q929" s="7" t="str">
        <f>VLOOKUP(D930,Product_Lookup!$A$2:$C$27,2,FALSE)</f>
        <v>Pen Set</v>
      </c>
      <c r="R929" s="7">
        <f t="shared" si="114"/>
        <v>423.8</v>
      </c>
    </row>
    <row r="930" spans="1:18" ht="21.75" customHeight="1">
      <c r="A930" t="s">
        <v>1081</v>
      </c>
      <c r="B930" s="6">
        <v>45320</v>
      </c>
      <c r="C930" t="s">
        <v>101</v>
      </c>
      <c r="D930" t="s">
        <v>174</v>
      </c>
      <c r="E930" t="s">
        <v>17</v>
      </c>
      <c r="F930" t="s">
        <v>12</v>
      </c>
      <c r="G930" t="s">
        <v>32</v>
      </c>
      <c r="H930">
        <v>16</v>
      </c>
      <c r="I930" t="str">
        <f>VLOOKUP(D930,Product_Lookup!$A$2:$C$27,3,FALSE)</f>
        <v>$133.37</v>
      </c>
      <c r="J930" t="str">
        <f t="shared" si="115"/>
        <v>Monday</v>
      </c>
      <c r="K930" s="10" t="str">
        <f t="shared" si="116"/>
        <v>January</v>
      </c>
      <c r="L930">
        <f t="shared" si="117"/>
        <v>2024</v>
      </c>
      <c r="M930" t="b">
        <f t="shared" si="118"/>
        <v>0</v>
      </c>
      <c r="N930" t="b">
        <f t="shared" si="112"/>
        <v>1</v>
      </c>
      <c r="O930" t="str">
        <f t="shared" si="119"/>
        <v>Large Order</v>
      </c>
      <c r="P930" s="7">
        <f t="shared" si="113"/>
        <v>6.6685000000000008</v>
      </c>
      <c r="Q930" s="7" t="str">
        <f>VLOOKUP(D931,Product_Lookup!$A$2:$C$27,2,FALSE)</f>
        <v>Coffee Maker</v>
      </c>
      <c r="R930" s="7">
        <f t="shared" si="114"/>
        <v>2133.92</v>
      </c>
    </row>
    <row r="931" spans="1:18" ht="21.75" customHeight="1">
      <c r="A931" t="s">
        <v>1082</v>
      </c>
      <c r="B931" s="6">
        <v>45487</v>
      </c>
      <c r="C931" t="s">
        <v>142</v>
      </c>
      <c r="D931" t="s">
        <v>31</v>
      </c>
      <c r="E931" t="s">
        <v>11</v>
      </c>
      <c r="F931" t="s">
        <v>56</v>
      </c>
      <c r="G931" t="s">
        <v>13</v>
      </c>
      <c r="H931">
        <v>15</v>
      </c>
      <c r="I931" t="str">
        <f>VLOOKUP(D931,Product_Lookup!$A$2:$C$27,3,FALSE)</f>
        <v>$230.34</v>
      </c>
      <c r="J931" t="str">
        <f t="shared" si="115"/>
        <v>Sunday</v>
      </c>
      <c r="K931" s="10" t="str">
        <f t="shared" si="116"/>
        <v>July</v>
      </c>
      <c r="L931">
        <f t="shared" si="117"/>
        <v>2024</v>
      </c>
      <c r="M931" t="b">
        <f t="shared" si="118"/>
        <v>1</v>
      </c>
      <c r="N931" t="b">
        <f t="shared" si="112"/>
        <v>1</v>
      </c>
      <c r="O931" t="str">
        <f t="shared" si="119"/>
        <v>Large Order</v>
      </c>
      <c r="P931" s="7">
        <f t="shared" si="113"/>
        <v>11.517000000000001</v>
      </c>
      <c r="Q931" s="7" t="str">
        <f>VLOOKUP(D932,Product_Lookup!$A$2:$C$27,2,FALSE)</f>
        <v>Notebook</v>
      </c>
      <c r="R931" s="7">
        <f t="shared" si="114"/>
        <v>3455.1</v>
      </c>
    </row>
    <row r="932" spans="1:18" ht="21.75" customHeight="1">
      <c r="A932" t="s">
        <v>1083</v>
      </c>
      <c r="B932" s="6">
        <v>45393</v>
      </c>
      <c r="C932" t="s">
        <v>366</v>
      </c>
      <c r="D932" t="s">
        <v>160</v>
      </c>
      <c r="E932" t="s">
        <v>22</v>
      </c>
      <c r="F932" t="s">
        <v>12</v>
      </c>
      <c r="G932" t="s">
        <v>32</v>
      </c>
      <c r="H932">
        <v>7</v>
      </c>
      <c r="I932" t="str">
        <f>VLOOKUP(D932,Product_Lookup!$A$2:$C$27,3,FALSE)</f>
        <v>$149.27</v>
      </c>
      <c r="J932" t="str">
        <f t="shared" si="115"/>
        <v>Thursday</v>
      </c>
      <c r="K932" s="10" t="str">
        <f t="shared" si="116"/>
        <v>April</v>
      </c>
      <c r="L932">
        <f t="shared" si="117"/>
        <v>2024</v>
      </c>
      <c r="M932" t="b">
        <f t="shared" si="118"/>
        <v>0</v>
      </c>
      <c r="N932" t="b">
        <f t="shared" si="112"/>
        <v>1</v>
      </c>
      <c r="O932" t="str">
        <f t="shared" si="119"/>
        <v>Large Order</v>
      </c>
      <c r="P932" s="7">
        <f t="shared" si="113"/>
        <v>7.4635000000000007</v>
      </c>
      <c r="Q932" s="7" t="str">
        <f>VLOOKUP(D933,Product_Lookup!$A$2:$C$27,2,FALSE)</f>
        <v>Lego Set</v>
      </c>
      <c r="R932" s="7">
        <f t="shared" si="114"/>
        <v>1044.8900000000001</v>
      </c>
    </row>
    <row r="933" spans="1:18" ht="21.75" customHeight="1">
      <c r="A933" t="s">
        <v>1084</v>
      </c>
      <c r="B933" s="6">
        <v>45457</v>
      </c>
      <c r="C933" t="s">
        <v>111</v>
      </c>
      <c r="D933" t="s">
        <v>84</v>
      </c>
      <c r="E933" t="s">
        <v>22</v>
      </c>
      <c r="F933" t="s">
        <v>12</v>
      </c>
      <c r="G933" t="s">
        <v>32</v>
      </c>
      <c r="H933">
        <v>18</v>
      </c>
      <c r="I933" t="str">
        <f>VLOOKUP(D933,Product_Lookup!$A$2:$C$27,3,FALSE)</f>
        <v>$130.07</v>
      </c>
      <c r="J933" t="str">
        <f t="shared" si="115"/>
        <v>Friday</v>
      </c>
      <c r="K933" s="10" t="str">
        <f t="shared" si="116"/>
        <v>June</v>
      </c>
      <c r="L933">
        <f t="shared" si="117"/>
        <v>2024</v>
      </c>
      <c r="M933" t="b">
        <f t="shared" si="118"/>
        <v>0</v>
      </c>
      <c r="N933" t="b">
        <f t="shared" si="112"/>
        <v>1</v>
      </c>
      <c r="O933" t="str">
        <f t="shared" si="119"/>
        <v>Large Order</v>
      </c>
      <c r="P933" s="7">
        <f t="shared" si="113"/>
        <v>6.5034999999999998</v>
      </c>
      <c r="Q933" s="7" t="str">
        <f>VLOOKUP(D934,Product_Lookup!$A$2:$C$27,2,FALSE)</f>
        <v>Toaster</v>
      </c>
      <c r="R933" s="7">
        <f t="shared" si="114"/>
        <v>2341.2599999999998</v>
      </c>
    </row>
    <row r="934" spans="1:18" ht="21.75" customHeight="1">
      <c r="A934" t="s">
        <v>1085</v>
      </c>
      <c r="B934" s="6">
        <v>45538</v>
      </c>
      <c r="C934" t="s">
        <v>541</v>
      </c>
      <c r="D934" t="s">
        <v>48</v>
      </c>
      <c r="E934" t="s">
        <v>17</v>
      </c>
      <c r="F934" t="s">
        <v>56</v>
      </c>
      <c r="G934" t="s">
        <v>28</v>
      </c>
      <c r="H934">
        <v>2</v>
      </c>
      <c r="I934" t="str">
        <f>VLOOKUP(D934,Product_Lookup!$A$2:$C$27,3,FALSE)</f>
        <v>$208.85</v>
      </c>
      <c r="J934" t="str">
        <f t="shared" si="115"/>
        <v>Tuesday</v>
      </c>
      <c r="K934" s="10" t="str">
        <f t="shared" si="116"/>
        <v>September</v>
      </c>
      <c r="L934">
        <f t="shared" si="117"/>
        <v>2024</v>
      </c>
      <c r="M934" t="b">
        <f t="shared" si="118"/>
        <v>0</v>
      </c>
      <c r="N934" t="b">
        <f t="shared" si="112"/>
        <v>0</v>
      </c>
      <c r="O934" t="str">
        <f t="shared" si="119"/>
        <v>Standard order</v>
      </c>
      <c r="P934" s="7">
        <f t="shared" si="113"/>
        <v>10.442500000000001</v>
      </c>
      <c r="Q934" s="7" t="str">
        <f>VLOOKUP(D935,Product_Lookup!$A$2:$C$27,2,FALSE)</f>
        <v>Blender</v>
      </c>
      <c r="R934" s="7">
        <f t="shared" si="114"/>
        <v>417.7</v>
      </c>
    </row>
    <row r="935" spans="1:18" ht="21.75" customHeight="1">
      <c r="A935" t="s">
        <v>1086</v>
      </c>
      <c r="B935" s="6">
        <v>45349</v>
      </c>
      <c r="C935" t="s">
        <v>93</v>
      </c>
      <c r="D935" t="s">
        <v>72</v>
      </c>
      <c r="E935" t="s">
        <v>22</v>
      </c>
      <c r="F935" t="s">
        <v>27</v>
      </c>
      <c r="G935" t="s">
        <v>32</v>
      </c>
      <c r="H935">
        <v>1</v>
      </c>
      <c r="I935" t="str">
        <f>VLOOKUP(D935,Product_Lookup!$A$2:$C$27,3,FALSE)</f>
        <v>$156.44</v>
      </c>
      <c r="J935" t="str">
        <f t="shared" si="115"/>
        <v>Tuesday</v>
      </c>
      <c r="K935" s="10" t="str">
        <f t="shared" si="116"/>
        <v>February</v>
      </c>
      <c r="L935">
        <f t="shared" si="117"/>
        <v>2024</v>
      </c>
      <c r="M935" t="b">
        <f t="shared" si="118"/>
        <v>0</v>
      </c>
      <c r="N935" t="b">
        <f t="shared" si="112"/>
        <v>0</v>
      </c>
      <c r="O935" t="str">
        <f t="shared" si="119"/>
        <v>Standard order</v>
      </c>
      <c r="P935" s="7">
        <f t="shared" si="113"/>
        <v>7.8220000000000001</v>
      </c>
      <c r="Q935" s="7" t="str">
        <f>VLOOKUP(D936,Product_Lookup!$A$2:$C$27,2,FALSE)</f>
        <v>Laptop</v>
      </c>
      <c r="R935" s="7">
        <f t="shared" si="114"/>
        <v>156.44</v>
      </c>
    </row>
    <row r="936" spans="1:18" ht="21.75" customHeight="1">
      <c r="A936" t="s">
        <v>1087</v>
      </c>
      <c r="B936" s="6">
        <v>45591</v>
      </c>
      <c r="C936" t="s">
        <v>114</v>
      </c>
      <c r="D936" t="s">
        <v>96</v>
      </c>
      <c r="E936" t="s">
        <v>17</v>
      </c>
      <c r="F936" t="s">
        <v>56</v>
      </c>
      <c r="G936" t="s">
        <v>23</v>
      </c>
      <c r="H936">
        <v>2</v>
      </c>
      <c r="I936" t="str">
        <f>VLOOKUP(D936,Product_Lookup!$A$2:$C$27,3,FALSE)</f>
        <v>$230.68</v>
      </c>
      <c r="J936" t="str">
        <f t="shared" si="115"/>
        <v>Saturday</v>
      </c>
      <c r="K936" s="10" t="str">
        <f t="shared" si="116"/>
        <v>October</v>
      </c>
      <c r="L936">
        <f t="shared" si="117"/>
        <v>2024</v>
      </c>
      <c r="M936" t="b">
        <f t="shared" si="118"/>
        <v>1</v>
      </c>
      <c r="N936" t="b">
        <f t="shared" si="112"/>
        <v>0</v>
      </c>
      <c r="O936" t="str">
        <f t="shared" si="119"/>
        <v>Standard order</v>
      </c>
      <c r="P936" s="7">
        <f t="shared" si="113"/>
        <v>11.534000000000001</v>
      </c>
      <c r="Q936" s="7" t="str">
        <f>VLOOKUP(D937,Product_Lookup!$A$2:$C$27,2,FALSE)</f>
        <v>Doll</v>
      </c>
      <c r="R936" s="7">
        <f t="shared" si="114"/>
        <v>461.36</v>
      </c>
    </row>
    <row r="937" spans="1:18" ht="21.75" customHeight="1">
      <c r="A937" t="s">
        <v>1088</v>
      </c>
      <c r="B937" s="6">
        <v>45644</v>
      </c>
      <c r="C937" t="s">
        <v>327</v>
      </c>
      <c r="D937" t="s">
        <v>119</v>
      </c>
      <c r="E937" t="s">
        <v>11</v>
      </c>
      <c r="F937" t="s">
        <v>42</v>
      </c>
      <c r="G937" t="s">
        <v>23</v>
      </c>
      <c r="H937">
        <v>3</v>
      </c>
      <c r="I937" t="str">
        <f>VLOOKUP(D937,Product_Lookup!$A$2:$C$27,3,FALSE)</f>
        <v>$32.94</v>
      </c>
      <c r="J937" t="str">
        <f t="shared" si="115"/>
        <v>Wednesday</v>
      </c>
      <c r="K937" s="10" t="str">
        <f t="shared" si="116"/>
        <v>December</v>
      </c>
      <c r="L937">
        <f t="shared" si="117"/>
        <v>2024</v>
      </c>
      <c r="M937" t="b">
        <f t="shared" si="118"/>
        <v>0</v>
      </c>
      <c r="N937" t="b">
        <f t="shared" si="112"/>
        <v>0</v>
      </c>
      <c r="O937" t="str">
        <f t="shared" si="119"/>
        <v>Standard order</v>
      </c>
      <c r="P937" s="7">
        <f t="shared" si="113"/>
        <v>1.647</v>
      </c>
      <c r="Q937" s="7" t="str">
        <f>VLOOKUP(D938,Product_Lookup!$A$2:$C$27,2,FALSE)</f>
        <v>Doll</v>
      </c>
      <c r="R937" s="7">
        <f t="shared" si="114"/>
        <v>98.82</v>
      </c>
    </row>
    <row r="938" spans="1:18" ht="21.75" customHeight="1">
      <c r="A938" t="s">
        <v>1089</v>
      </c>
      <c r="B938" s="6">
        <v>45338</v>
      </c>
      <c r="C938" t="s">
        <v>455</v>
      </c>
      <c r="D938" t="s">
        <v>119</v>
      </c>
      <c r="E938" t="s">
        <v>22</v>
      </c>
      <c r="F938" t="s">
        <v>42</v>
      </c>
      <c r="G938" t="s">
        <v>28</v>
      </c>
      <c r="H938">
        <v>2</v>
      </c>
      <c r="I938" t="str">
        <f>VLOOKUP(D938,Product_Lookup!$A$2:$C$27,3,FALSE)</f>
        <v>$32.94</v>
      </c>
      <c r="J938" t="str">
        <f t="shared" si="115"/>
        <v>Friday</v>
      </c>
      <c r="K938" s="10" t="str">
        <f t="shared" si="116"/>
        <v>February</v>
      </c>
      <c r="L938">
        <f t="shared" si="117"/>
        <v>2024</v>
      </c>
      <c r="M938" t="b">
        <f t="shared" si="118"/>
        <v>0</v>
      </c>
      <c r="N938" t="b">
        <f t="shared" si="112"/>
        <v>0</v>
      </c>
      <c r="O938" t="str">
        <f t="shared" si="119"/>
        <v>Standard order</v>
      </c>
      <c r="P938" s="7">
        <f t="shared" si="113"/>
        <v>1.647</v>
      </c>
      <c r="Q938" s="7" t="str">
        <f>VLOOKUP(D939,Product_Lookup!$A$2:$C$27,2,FALSE)</f>
        <v>Stapler</v>
      </c>
      <c r="R938" s="7">
        <f t="shared" si="114"/>
        <v>65.88</v>
      </c>
    </row>
    <row r="939" spans="1:18" ht="21.75" customHeight="1">
      <c r="A939" t="s">
        <v>1090</v>
      </c>
      <c r="B939" s="6">
        <v>45651</v>
      </c>
      <c r="C939" t="s">
        <v>312</v>
      </c>
      <c r="D939" t="s">
        <v>35</v>
      </c>
      <c r="E939" t="s">
        <v>11</v>
      </c>
      <c r="F939" t="s">
        <v>56</v>
      </c>
      <c r="G939" t="s">
        <v>36</v>
      </c>
      <c r="H939">
        <v>8</v>
      </c>
      <c r="I939" t="str">
        <f>VLOOKUP(D939,Product_Lookup!$A$2:$C$27,3,FALSE)</f>
        <v>$64.61</v>
      </c>
      <c r="J939" t="str">
        <f t="shared" si="115"/>
        <v>Wednesday</v>
      </c>
      <c r="K939" s="10" t="str">
        <f t="shared" si="116"/>
        <v>December</v>
      </c>
      <c r="L939">
        <f t="shared" si="117"/>
        <v>2024</v>
      </c>
      <c r="M939" t="b">
        <f t="shared" si="118"/>
        <v>0</v>
      </c>
      <c r="N939" t="b">
        <f t="shared" si="112"/>
        <v>0</v>
      </c>
      <c r="O939" t="str">
        <f t="shared" si="119"/>
        <v>Large Order</v>
      </c>
      <c r="P939" s="7">
        <f t="shared" si="113"/>
        <v>3.2305000000000001</v>
      </c>
      <c r="Q939" s="7" t="str">
        <f>VLOOKUP(D940,Product_Lookup!$A$2:$C$27,2,FALSE)</f>
        <v>Lego Set</v>
      </c>
      <c r="R939" s="7">
        <f t="shared" si="114"/>
        <v>516.88</v>
      </c>
    </row>
    <row r="940" spans="1:18" ht="21.75" customHeight="1">
      <c r="A940" t="s">
        <v>1091</v>
      </c>
      <c r="B940" s="6">
        <v>45622</v>
      </c>
      <c r="C940" t="s">
        <v>664</v>
      </c>
      <c r="D940" t="s">
        <v>84</v>
      </c>
      <c r="E940" t="s">
        <v>17</v>
      </c>
      <c r="F940" t="s">
        <v>27</v>
      </c>
      <c r="G940" t="s">
        <v>23</v>
      </c>
      <c r="H940">
        <v>7</v>
      </c>
      <c r="I940" t="str">
        <f>VLOOKUP(D940,Product_Lookup!$A$2:$C$27,3,FALSE)</f>
        <v>$130.07</v>
      </c>
      <c r="J940" t="str">
        <f t="shared" si="115"/>
        <v>Tuesday</v>
      </c>
      <c r="K940" s="10" t="str">
        <f t="shared" si="116"/>
        <v>November</v>
      </c>
      <c r="L940">
        <f t="shared" si="117"/>
        <v>2024</v>
      </c>
      <c r="M940" t="b">
        <f t="shared" si="118"/>
        <v>0</v>
      </c>
      <c r="N940" t="b">
        <f t="shared" si="112"/>
        <v>1</v>
      </c>
      <c r="O940" t="str">
        <f t="shared" si="119"/>
        <v>Large Order</v>
      </c>
      <c r="P940" s="7">
        <f t="shared" si="113"/>
        <v>6.5034999999999998</v>
      </c>
      <c r="Q940" s="7" t="str">
        <f>VLOOKUP(D941,Product_Lookup!$A$2:$C$27,2,FALSE)</f>
        <v>Smartphone</v>
      </c>
      <c r="R940" s="7">
        <f t="shared" si="114"/>
        <v>910.49</v>
      </c>
    </row>
    <row r="941" spans="1:18" ht="21.75" customHeight="1">
      <c r="A941" t="s">
        <v>1092</v>
      </c>
      <c r="B941" s="6">
        <v>45475</v>
      </c>
      <c r="C941" t="s">
        <v>329</v>
      </c>
      <c r="D941" t="s">
        <v>79</v>
      </c>
      <c r="E941" t="s">
        <v>11</v>
      </c>
      <c r="F941" t="s">
        <v>42</v>
      </c>
      <c r="G941" t="s">
        <v>36</v>
      </c>
      <c r="H941">
        <v>16</v>
      </c>
      <c r="I941" t="str">
        <f>VLOOKUP(D941,Product_Lookup!$A$2:$C$27,3,FALSE)</f>
        <v>$216.22</v>
      </c>
      <c r="J941" t="str">
        <f t="shared" si="115"/>
        <v>Tuesday</v>
      </c>
      <c r="K941" s="10" t="str">
        <f t="shared" si="116"/>
        <v>July</v>
      </c>
      <c r="L941">
        <f t="shared" si="117"/>
        <v>2024</v>
      </c>
      <c r="M941" t="b">
        <f t="shared" si="118"/>
        <v>0</v>
      </c>
      <c r="N941" t="b">
        <f t="shared" si="112"/>
        <v>1</v>
      </c>
      <c r="O941" t="str">
        <f t="shared" si="119"/>
        <v>Large Order</v>
      </c>
      <c r="P941" s="7">
        <f t="shared" si="113"/>
        <v>10.811</v>
      </c>
      <c r="Q941" s="7" t="str">
        <f>VLOOKUP(D942,Product_Lookup!$A$2:$C$27,2,FALSE)</f>
        <v>Jeans</v>
      </c>
      <c r="R941" s="7">
        <f t="shared" si="114"/>
        <v>3459.52</v>
      </c>
    </row>
    <row r="942" spans="1:18" ht="21.75" customHeight="1">
      <c r="A942" t="s">
        <v>1093</v>
      </c>
      <c r="B942" s="6">
        <v>45442</v>
      </c>
      <c r="C942" t="s">
        <v>591</v>
      </c>
      <c r="D942" t="s">
        <v>65</v>
      </c>
      <c r="E942" t="s">
        <v>22</v>
      </c>
      <c r="F942" t="s">
        <v>27</v>
      </c>
      <c r="G942" t="s">
        <v>32</v>
      </c>
      <c r="H942">
        <v>19</v>
      </c>
      <c r="I942" t="str">
        <f>VLOOKUP(D942,Product_Lookup!$A$2:$C$27,3,FALSE)</f>
        <v>$33.22</v>
      </c>
      <c r="J942" t="str">
        <f t="shared" si="115"/>
        <v>Thursday</v>
      </c>
      <c r="K942" s="10" t="str">
        <f t="shared" si="116"/>
        <v>May</v>
      </c>
      <c r="L942">
        <f t="shared" si="117"/>
        <v>2024</v>
      </c>
      <c r="M942" t="b">
        <f t="shared" si="118"/>
        <v>0</v>
      </c>
      <c r="N942" t="b">
        <f t="shared" si="112"/>
        <v>0</v>
      </c>
      <c r="O942" t="str">
        <f t="shared" si="119"/>
        <v>Large Order</v>
      </c>
      <c r="P942" s="7">
        <f t="shared" si="113"/>
        <v>1.661</v>
      </c>
      <c r="Q942" s="7" t="str">
        <f>VLOOKUP(D943,Product_Lookup!$A$2:$C$27,2,FALSE)</f>
        <v>Paper Shredder</v>
      </c>
      <c r="R942" s="7">
        <f t="shared" si="114"/>
        <v>631.17999999999995</v>
      </c>
    </row>
    <row r="943" spans="1:18" ht="21.75" customHeight="1">
      <c r="A943" t="s">
        <v>1094</v>
      </c>
      <c r="B943" s="6">
        <v>45457</v>
      </c>
      <c r="C943" t="s">
        <v>388</v>
      </c>
      <c r="D943" t="s">
        <v>109</v>
      </c>
      <c r="E943" t="s">
        <v>17</v>
      </c>
      <c r="F943" t="s">
        <v>42</v>
      </c>
      <c r="G943" t="s">
        <v>36</v>
      </c>
      <c r="H943">
        <v>18</v>
      </c>
      <c r="I943" t="str">
        <f>VLOOKUP(D943,Product_Lookup!$A$2:$C$27,3,FALSE)</f>
        <v>$81.02</v>
      </c>
      <c r="J943" t="str">
        <f t="shared" si="115"/>
        <v>Friday</v>
      </c>
      <c r="K943" s="10" t="str">
        <f t="shared" si="116"/>
        <v>June</v>
      </c>
      <c r="L943">
        <f t="shared" si="117"/>
        <v>2024</v>
      </c>
      <c r="M943" t="b">
        <f t="shared" si="118"/>
        <v>0</v>
      </c>
      <c r="N943" t="b">
        <f t="shared" si="112"/>
        <v>1</v>
      </c>
      <c r="O943" t="str">
        <f t="shared" si="119"/>
        <v>Large Order</v>
      </c>
      <c r="P943" s="7">
        <f t="shared" si="113"/>
        <v>4.0510000000000002</v>
      </c>
      <c r="Q943" s="7" t="str">
        <f>VLOOKUP(D944,Product_Lookup!$A$2:$C$27,2,FALSE)</f>
        <v>Pen Set</v>
      </c>
      <c r="R943" s="7">
        <f t="shared" si="114"/>
        <v>1458.36</v>
      </c>
    </row>
    <row r="944" spans="1:18" ht="21.75" customHeight="1">
      <c r="A944" t="s">
        <v>1095</v>
      </c>
      <c r="B944" s="6">
        <v>45371</v>
      </c>
      <c r="C944" t="s">
        <v>430</v>
      </c>
      <c r="D944" t="s">
        <v>174</v>
      </c>
      <c r="E944" t="s">
        <v>17</v>
      </c>
      <c r="F944" t="s">
        <v>42</v>
      </c>
      <c r="G944" t="s">
        <v>36</v>
      </c>
      <c r="H944">
        <v>12</v>
      </c>
      <c r="I944" t="str">
        <f>VLOOKUP(D944,Product_Lookup!$A$2:$C$27,3,FALSE)</f>
        <v>$133.37</v>
      </c>
      <c r="J944" t="str">
        <f t="shared" si="115"/>
        <v>Wednesday</v>
      </c>
      <c r="K944" s="10" t="str">
        <f t="shared" si="116"/>
        <v>March</v>
      </c>
      <c r="L944">
        <f t="shared" si="117"/>
        <v>2024</v>
      </c>
      <c r="M944" t="b">
        <f t="shared" si="118"/>
        <v>0</v>
      </c>
      <c r="N944" t="b">
        <f t="shared" si="112"/>
        <v>1</v>
      </c>
      <c r="O944" t="str">
        <f t="shared" si="119"/>
        <v>Large Order</v>
      </c>
      <c r="P944" s="7">
        <f t="shared" si="113"/>
        <v>6.6685000000000008</v>
      </c>
      <c r="Q944" s="7" t="str">
        <f>VLOOKUP(D945,Product_Lookup!$A$2:$C$27,2,FALSE)</f>
        <v>Paper Shredder</v>
      </c>
      <c r="R944" s="7">
        <f t="shared" si="114"/>
        <v>1600.44</v>
      </c>
    </row>
    <row r="945" spans="1:18" ht="21.75" customHeight="1">
      <c r="A945" t="s">
        <v>1096</v>
      </c>
      <c r="B945" s="6">
        <v>45486</v>
      </c>
      <c r="C945" t="s">
        <v>388</v>
      </c>
      <c r="D945" t="s">
        <v>109</v>
      </c>
      <c r="E945" t="s">
        <v>11</v>
      </c>
      <c r="F945" t="s">
        <v>12</v>
      </c>
      <c r="G945" t="s">
        <v>28</v>
      </c>
      <c r="H945">
        <v>12</v>
      </c>
      <c r="I945" t="str">
        <f>VLOOKUP(D945,Product_Lookup!$A$2:$C$27,3,FALSE)</f>
        <v>$81.02</v>
      </c>
      <c r="J945" t="str">
        <f t="shared" si="115"/>
        <v>Saturday</v>
      </c>
      <c r="K945" s="10" t="str">
        <f t="shared" si="116"/>
        <v>July</v>
      </c>
      <c r="L945">
        <f t="shared" si="117"/>
        <v>2024</v>
      </c>
      <c r="M945" t="b">
        <f t="shared" si="118"/>
        <v>1</v>
      </c>
      <c r="N945" t="b">
        <f t="shared" si="112"/>
        <v>1</v>
      </c>
      <c r="O945" t="str">
        <f t="shared" si="119"/>
        <v>Large Order</v>
      </c>
      <c r="P945" s="7">
        <f t="shared" si="113"/>
        <v>4.0510000000000002</v>
      </c>
      <c r="Q945" s="7" t="str">
        <f>VLOOKUP(D946,Product_Lookup!$A$2:$C$27,2,FALSE)</f>
        <v>Coffee Maker</v>
      </c>
      <c r="R945" s="7">
        <f t="shared" si="114"/>
        <v>972.24</v>
      </c>
    </row>
    <row r="946" spans="1:18" ht="21.75" customHeight="1">
      <c r="A946" t="s">
        <v>1097</v>
      </c>
      <c r="B946" s="6">
        <v>45456</v>
      </c>
      <c r="C946" t="s">
        <v>329</v>
      </c>
      <c r="D946" t="s">
        <v>31</v>
      </c>
      <c r="E946" t="s">
        <v>11</v>
      </c>
      <c r="F946" t="s">
        <v>306</v>
      </c>
      <c r="G946" t="s">
        <v>23</v>
      </c>
      <c r="H946">
        <v>7</v>
      </c>
      <c r="I946" t="str">
        <f>VLOOKUP(D946,Product_Lookup!$A$2:$C$27,3,FALSE)</f>
        <v>$230.34</v>
      </c>
      <c r="J946" t="str">
        <f t="shared" si="115"/>
        <v>Thursday</v>
      </c>
      <c r="K946" s="10" t="str">
        <f t="shared" si="116"/>
        <v>June</v>
      </c>
      <c r="L946">
        <f t="shared" si="117"/>
        <v>2024</v>
      </c>
      <c r="M946" t="b">
        <f t="shared" si="118"/>
        <v>0</v>
      </c>
      <c r="N946" t="b">
        <f t="shared" si="112"/>
        <v>1</v>
      </c>
      <c r="O946" t="str">
        <f t="shared" si="119"/>
        <v>Large Order</v>
      </c>
      <c r="P946" s="7">
        <f t="shared" si="113"/>
        <v>11.517000000000001</v>
      </c>
      <c r="Q946" s="7" t="str">
        <f>VLOOKUP(D947,Product_Lookup!$A$2:$C$27,2,FALSE)</f>
        <v>Blender</v>
      </c>
      <c r="R946" s="7">
        <f t="shared" si="114"/>
        <v>1612.38</v>
      </c>
    </row>
    <row r="947" spans="1:18" ht="21.75" customHeight="1">
      <c r="A947" t="s">
        <v>1098</v>
      </c>
      <c r="B947" s="6">
        <v>45574</v>
      </c>
      <c r="C947" t="s">
        <v>125</v>
      </c>
      <c r="D947" t="s">
        <v>72</v>
      </c>
      <c r="E947" t="s">
        <v>22</v>
      </c>
      <c r="F947" t="s">
        <v>42</v>
      </c>
      <c r="G947" t="s">
        <v>13</v>
      </c>
      <c r="H947">
        <v>14</v>
      </c>
      <c r="I947" t="str">
        <f>VLOOKUP(D947,Product_Lookup!$A$2:$C$27,3,FALSE)</f>
        <v>$156.44</v>
      </c>
      <c r="J947" t="str">
        <f t="shared" si="115"/>
        <v>Wednesday</v>
      </c>
      <c r="K947" s="10" t="str">
        <f t="shared" si="116"/>
        <v>October</v>
      </c>
      <c r="L947">
        <f t="shared" si="117"/>
        <v>2024</v>
      </c>
      <c r="M947" t="b">
        <f t="shared" si="118"/>
        <v>0</v>
      </c>
      <c r="N947" t="b">
        <f t="shared" si="112"/>
        <v>1</v>
      </c>
      <c r="O947" t="str">
        <f t="shared" si="119"/>
        <v>Large Order</v>
      </c>
      <c r="P947" s="7">
        <f t="shared" si="113"/>
        <v>7.8220000000000001</v>
      </c>
      <c r="Q947" s="7" t="str">
        <f>VLOOKUP(D948,Product_Lookup!$A$2:$C$27,2,FALSE)</f>
        <v>Smartphone</v>
      </c>
      <c r="R947" s="7">
        <f t="shared" si="114"/>
        <v>2190.16</v>
      </c>
    </row>
    <row r="948" spans="1:18" ht="21.75" customHeight="1">
      <c r="A948" t="s">
        <v>1099</v>
      </c>
      <c r="B948" s="6">
        <v>45341</v>
      </c>
      <c r="C948" t="s">
        <v>363</v>
      </c>
      <c r="D948" t="s">
        <v>79</v>
      </c>
      <c r="E948" t="s">
        <v>22</v>
      </c>
      <c r="F948" t="s">
        <v>12</v>
      </c>
      <c r="G948" t="s">
        <v>13</v>
      </c>
      <c r="H948">
        <v>5</v>
      </c>
      <c r="I948" t="str">
        <f>VLOOKUP(D948,Product_Lookup!$A$2:$C$27,3,FALSE)</f>
        <v>$216.22</v>
      </c>
      <c r="J948" t="str">
        <f t="shared" si="115"/>
        <v>Monday</v>
      </c>
      <c r="K948" s="10" t="str">
        <f t="shared" si="116"/>
        <v>February</v>
      </c>
      <c r="L948">
        <f t="shared" si="117"/>
        <v>2024</v>
      </c>
      <c r="M948" t="b">
        <f t="shared" si="118"/>
        <v>0</v>
      </c>
      <c r="N948" t="b">
        <f t="shared" si="112"/>
        <v>0</v>
      </c>
      <c r="O948" t="str">
        <f t="shared" si="119"/>
        <v>Large Order</v>
      </c>
      <c r="P948" s="7">
        <f t="shared" si="113"/>
        <v>10.811</v>
      </c>
      <c r="Q948" s="7" t="str">
        <f>VLOOKUP(D949,Product_Lookup!$A$2:$C$27,2,FALSE)</f>
        <v>Monitor</v>
      </c>
      <c r="R948" s="7">
        <f t="shared" si="114"/>
        <v>1081.0999999999999</v>
      </c>
    </row>
    <row r="949" spans="1:18" ht="21.75" customHeight="1">
      <c r="A949" t="s">
        <v>1100</v>
      </c>
      <c r="B949" s="6">
        <v>45395</v>
      </c>
      <c r="C949" t="s">
        <v>15</v>
      </c>
      <c r="D949" t="s">
        <v>102</v>
      </c>
      <c r="E949" t="s">
        <v>17</v>
      </c>
      <c r="F949" t="s">
        <v>56</v>
      </c>
      <c r="G949" t="s">
        <v>23</v>
      </c>
      <c r="H949">
        <v>2</v>
      </c>
      <c r="I949" t="str">
        <f>VLOOKUP(D949,Product_Lookup!$A$2:$C$27,3,FALSE)</f>
        <v>$145.48</v>
      </c>
      <c r="J949" t="str">
        <f t="shared" si="115"/>
        <v>Saturday</v>
      </c>
      <c r="K949" s="10" t="str">
        <f t="shared" si="116"/>
        <v>April</v>
      </c>
      <c r="L949">
        <f t="shared" si="117"/>
        <v>2024</v>
      </c>
      <c r="M949" t="b">
        <f t="shared" si="118"/>
        <v>1</v>
      </c>
      <c r="N949" t="b">
        <f t="shared" si="112"/>
        <v>0</v>
      </c>
      <c r="O949" t="str">
        <f t="shared" si="119"/>
        <v>Standard order</v>
      </c>
      <c r="P949" s="7">
        <f t="shared" si="113"/>
        <v>7.274</v>
      </c>
      <c r="Q949" s="7" t="str">
        <f>VLOOKUP(D950,Product_Lookup!$A$2:$C$27,2,FALSE)</f>
        <v>Puzzle</v>
      </c>
      <c r="R949" s="7">
        <f t="shared" si="114"/>
        <v>290.95999999999998</v>
      </c>
    </row>
    <row r="950" spans="1:18" ht="21.75" customHeight="1">
      <c r="A950" t="s">
        <v>1101</v>
      </c>
      <c r="B950" s="6">
        <v>45628</v>
      </c>
      <c r="C950" t="s">
        <v>374</v>
      </c>
      <c r="D950" t="s">
        <v>62</v>
      </c>
      <c r="E950" t="s">
        <v>22</v>
      </c>
      <c r="F950" t="s">
        <v>306</v>
      </c>
      <c r="G950" t="s">
        <v>32</v>
      </c>
      <c r="H950">
        <v>19</v>
      </c>
      <c r="I950" t="str">
        <f>VLOOKUP(D950,Product_Lookup!$A$2:$C$27,3,FALSE)</f>
        <v>$46.19</v>
      </c>
      <c r="J950" t="str">
        <f t="shared" si="115"/>
        <v>Monday</v>
      </c>
      <c r="K950" s="10" t="str">
        <f t="shared" si="116"/>
        <v>December</v>
      </c>
      <c r="L950">
        <f t="shared" si="117"/>
        <v>2024</v>
      </c>
      <c r="M950" t="b">
        <f t="shared" si="118"/>
        <v>0</v>
      </c>
      <c r="N950" t="b">
        <f t="shared" si="112"/>
        <v>1</v>
      </c>
      <c r="O950" t="str">
        <f t="shared" si="119"/>
        <v>Large Order</v>
      </c>
      <c r="P950" s="7">
        <f t="shared" si="113"/>
        <v>2.3094999999999999</v>
      </c>
      <c r="Q950" s="7" t="str">
        <f>VLOOKUP(D951,Product_Lookup!$A$2:$C$27,2,FALSE)</f>
        <v>Laptop</v>
      </c>
      <c r="R950" s="7">
        <f t="shared" si="114"/>
        <v>877.6099999999999</v>
      </c>
    </row>
    <row r="951" spans="1:18" ht="21.75" customHeight="1">
      <c r="A951" t="s">
        <v>1102</v>
      </c>
      <c r="B951" s="6">
        <v>45405</v>
      </c>
      <c r="C951" t="s">
        <v>493</v>
      </c>
      <c r="D951" t="s">
        <v>96</v>
      </c>
      <c r="E951" t="s">
        <v>22</v>
      </c>
      <c r="F951" t="s">
        <v>12</v>
      </c>
      <c r="G951" t="s">
        <v>13</v>
      </c>
      <c r="H951">
        <v>7</v>
      </c>
      <c r="I951" t="str">
        <f>VLOOKUP(D951,Product_Lookup!$A$2:$C$27,3,FALSE)</f>
        <v>$230.68</v>
      </c>
      <c r="J951" t="str">
        <f t="shared" si="115"/>
        <v>Tuesday</v>
      </c>
      <c r="K951" s="10" t="str">
        <f t="shared" si="116"/>
        <v>April</v>
      </c>
      <c r="L951">
        <f t="shared" si="117"/>
        <v>2024</v>
      </c>
      <c r="M951" t="b">
        <f t="shared" si="118"/>
        <v>0</v>
      </c>
      <c r="N951" t="b">
        <f t="shared" si="112"/>
        <v>1</v>
      </c>
      <c r="O951" t="str">
        <f t="shared" si="119"/>
        <v>Large Order</v>
      </c>
      <c r="P951" s="7">
        <f t="shared" si="113"/>
        <v>11.534000000000001</v>
      </c>
      <c r="Q951" s="7" t="str">
        <f>VLOOKUP(D952,Product_Lookup!$A$2:$C$27,2,FALSE)</f>
        <v>Pen Set</v>
      </c>
      <c r="R951" s="7">
        <f t="shared" si="114"/>
        <v>1614.76</v>
      </c>
    </row>
    <row r="952" spans="1:18" ht="21.75" customHeight="1">
      <c r="A952" t="s">
        <v>1103</v>
      </c>
      <c r="B952" s="6">
        <v>45531</v>
      </c>
      <c r="C952" t="s">
        <v>541</v>
      </c>
      <c r="D952" t="s">
        <v>174</v>
      </c>
      <c r="E952" t="s">
        <v>11</v>
      </c>
      <c r="F952" t="s">
        <v>42</v>
      </c>
      <c r="G952" t="s">
        <v>13</v>
      </c>
      <c r="H952">
        <v>14</v>
      </c>
      <c r="I952" t="str">
        <f>VLOOKUP(D952,Product_Lookup!$A$2:$C$27,3,FALSE)</f>
        <v>$133.37</v>
      </c>
      <c r="J952" t="str">
        <f t="shared" si="115"/>
        <v>Tuesday</v>
      </c>
      <c r="K952" s="10" t="str">
        <f t="shared" si="116"/>
        <v>August</v>
      </c>
      <c r="L952">
        <f t="shared" si="117"/>
        <v>2024</v>
      </c>
      <c r="M952" t="b">
        <f t="shared" si="118"/>
        <v>0</v>
      </c>
      <c r="N952" t="b">
        <f t="shared" si="112"/>
        <v>1</v>
      </c>
      <c r="O952" t="str">
        <f t="shared" si="119"/>
        <v>Large Order</v>
      </c>
      <c r="P952" s="7">
        <f t="shared" si="113"/>
        <v>6.6685000000000008</v>
      </c>
      <c r="Q952" s="7" t="str">
        <f>VLOOKUP(D953,Product_Lookup!$A$2:$C$27,2,FALSE)</f>
        <v>Lego Set</v>
      </c>
      <c r="R952" s="7">
        <f t="shared" si="114"/>
        <v>1867.18</v>
      </c>
    </row>
    <row r="953" spans="1:18" ht="21.75" customHeight="1">
      <c r="A953" t="s">
        <v>1104</v>
      </c>
      <c r="B953" s="6">
        <v>45607</v>
      </c>
      <c r="C953" t="s">
        <v>101</v>
      </c>
      <c r="D953" t="s">
        <v>84</v>
      </c>
      <c r="E953" t="s">
        <v>22</v>
      </c>
      <c r="F953" t="s">
        <v>12</v>
      </c>
      <c r="G953" t="s">
        <v>13</v>
      </c>
      <c r="H953">
        <v>3</v>
      </c>
      <c r="I953" t="str">
        <f>VLOOKUP(D953,Product_Lookup!$A$2:$C$27,3,FALSE)</f>
        <v>$130.07</v>
      </c>
      <c r="J953" t="str">
        <f t="shared" si="115"/>
        <v>Monday</v>
      </c>
      <c r="K953" s="10" t="str">
        <f t="shared" si="116"/>
        <v>November</v>
      </c>
      <c r="L953">
        <f t="shared" si="117"/>
        <v>2024</v>
      </c>
      <c r="M953" t="b">
        <f t="shared" si="118"/>
        <v>0</v>
      </c>
      <c r="N953" t="b">
        <f t="shared" si="112"/>
        <v>0</v>
      </c>
      <c r="O953" t="str">
        <f t="shared" si="119"/>
        <v>Standard order</v>
      </c>
      <c r="P953" s="7">
        <f t="shared" si="113"/>
        <v>6.5034999999999998</v>
      </c>
      <c r="Q953" s="7" t="str">
        <f>VLOOKUP(D954,Product_Lookup!$A$2:$C$27,2,FALSE)</f>
        <v>Lego Set</v>
      </c>
      <c r="R953" s="7">
        <f t="shared" si="114"/>
        <v>390.21</v>
      </c>
    </row>
    <row r="954" spans="1:18" ht="21.75" customHeight="1">
      <c r="A954" t="s">
        <v>1105</v>
      </c>
      <c r="B954" s="6">
        <v>45402</v>
      </c>
      <c r="C954" t="s">
        <v>363</v>
      </c>
      <c r="D954" t="s">
        <v>84</v>
      </c>
      <c r="E954" t="s">
        <v>11</v>
      </c>
      <c r="F954" t="s">
        <v>12</v>
      </c>
      <c r="G954" t="s">
        <v>28</v>
      </c>
      <c r="H954">
        <v>8</v>
      </c>
      <c r="I954" t="str">
        <f>VLOOKUP(D954,Product_Lookup!$A$2:$C$27,3,FALSE)</f>
        <v>$130.07</v>
      </c>
      <c r="J954" t="str">
        <f t="shared" si="115"/>
        <v>Saturday</v>
      </c>
      <c r="K954" s="10" t="str">
        <f t="shared" si="116"/>
        <v>April</v>
      </c>
      <c r="L954">
        <f t="shared" si="117"/>
        <v>2024</v>
      </c>
      <c r="M954" t="b">
        <f t="shared" si="118"/>
        <v>1</v>
      </c>
      <c r="N954" t="b">
        <f t="shared" si="112"/>
        <v>1</v>
      </c>
      <c r="O954" t="str">
        <f t="shared" si="119"/>
        <v>Large Order</v>
      </c>
      <c r="P954" s="7">
        <f t="shared" si="113"/>
        <v>6.5034999999999998</v>
      </c>
      <c r="Q954" s="7" t="str">
        <f>VLOOKUP(D955,Product_Lookup!$A$2:$C$27,2,FALSE)</f>
        <v>Desk Lamp</v>
      </c>
      <c r="R954" s="7">
        <f t="shared" si="114"/>
        <v>1040.56</v>
      </c>
    </row>
    <row r="955" spans="1:18" ht="21.75" customHeight="1">
      <c r="A955" t="s">
        <v>1106</v>
      </c>
      <c r="B955" s="6">
        <v>45390</v>
      </c>
      <c r="C955" t="s">
        <v>339</v>
      </c>
      <c r="D955" t="s">
        <v>59</v>
      </c>
      <c r="E955" t="s">
        <v>22</v>
      </c>
      <c r="F955" t="s">
        <v>56</v>
      </c>
      <c r="G955" t="s">
        <v>36</v>
      </c>
      <c r="H955">
        <v>6</v>
      </c>
      <c r="I955" t="str">
        <f>VLOOKUP(D955,Product_Lookup!$A$2:$C$27,3,FALSE)</f>
        <v>$101.96</v>
      </c>
      <c r="J955" t="str">
        <f t="shared" si="115"/>
        <v>Monday</v>
      </c>
      <c r="K955" s="10" t="str">
        <f t="shared" si="116"/>
        <v>April</v>
      </c>
      <c r="L955">
        <f t="shared" si="117"/>
        <v>2024</v>
      </c>
      <c r="M955" t="b">
        <f t="shared" si="118"/>
        <v>0</v>
      </c>
      <c r="N955" t="b">
        <f t="shared" si="112"/>
        <v>0</v>
      </c>
      <c r="O955" t="str">
        <f t="shared" si="119"/>
        <v>Large Order</v>
      </c>
      <c r="P955" s="7">
        <f t="shared" si="113"/>
        <v>5.0979999999999999</v>
      </c>
      <c r="Q955" s="7" t="str">
        <f>VLOOKUP(D956,Product_Lookup!$A$2:$C$27,2,FALSE)</f>
        <v>Toaster</v>
      </c>
      <c r="R955" s="7">
        <f t="shared" si="114"/>
        <v>611.76</v>
      </c>
    </row>
    <row r="956" spans="1:18" ht="21.75" customHeight="1">
      <c r="A956" t="s">
        <v>1107</v>
      </c>
      <c r="B956" s="6">
        <v>45504</v>
      </c>
      <c r="C956" t="s">
        <v>323</v>
      </c>
      <c r="D956" t="s">
        <v>48</v>
      </c>
      <c r="E956" t="s">
        <v>11</v>
      </c>
      <c r="F956" t="s">
        <v>306</v>
      </c>
      <c r="G956" t="s">
        <v>23</v>
      </c>
      <c r="H956">
        <v>15</v>
      </c>
      <c r="I956" t="str">
        <f>VLOOKUP(D956,Product_Lookup!$A$2:$C$27,3,FALSE)</f>
        <v>$208.85</v>
      </c>
      <c r="J956" t="str">
        <f t="shared" si="115"/>
        <v>Wednesday</v>
      </c>
      <c r="K956" s="10" t="str">
        <f t="shared" si="116"/>
        <v>July</v>
      </c>
      <c r="L956">
        <f t="shared" si="117"/>
        <v>2024</v>
      </c>
      <c r="M956" t="b">
        <f t="shared" si="118"/>
        <v>0</v>
      </c>
      <c r="N956" t="b">
        <f t="shared" si="112"/>
        <v>1</v>
      </c>
      <c r="O956" t="str">
        <f t="shared" si="119"/>
        <v>Large Order</v>
      </c>
      <c r="P956" s="7">
        <f t="shared" si="113"/>
        <v>10.442500000000001</v>
      </c>
      <c r="Q956" s="7" t="str">
        <f>VLOOKUP(D957,Product_Lookup!$A$2:$C$27,2,FALSE)</f>
        <v>Coffee Maker</v>
      </c>
      <c r="R956" s="7">
        <f t="shared" si="114"/>
        <v>3132.75</v>
      </c>
    </row>
    <row r="957" spans="1:18" ht="21.75" customHeight="1">
      <c r="A957" t="s">
        <v>1108</v>
      </c>
      <c r="B957" s="6">
        <v>45345</v>
      </c>
      <c r="C957" t="s">
        <v>30</v>
      </c>
      <c r="D957" t="s">
        <v>31</v>
      </c>
      <c r="E957" t="s">
        <v>11</v>
      </c>
      <c r="F957" t="s">
        <v>306</v>
      </c>
      <c r="G957" t="s">
        <v>28</v>
      </c>
      <c r="H957">
        <v>17</v>
      </c>
      <c r="I957" t="str">
        <f>VLOOKUP(D957,Product_Lookup!$A$2:$C$27,3,FALSE)</f>
        <v>$230.34</v>
      </c>
      <c r="J957" t="str">
        <f t="shared" si="115"/>
        <v>Friday</v>
      </c>
      <c r="K957" s="10" t="str">
        <f t="shared" si="116"/>
        <v>February</v>
      </c>
      <c r="L957">
        <f t="shared" si="117"/>
        <v>2024</v>
      </c>
      <c r="M957" t="b">
        <f t="shared" si="118"/>
        <v>0</v>
      </c>
      <c r="N957" t="b">
        <f t="shared" si="112"/>
        <v>1</v>
      </c>
      <c r="O957" t="str">
        <f t="shared" si="119"/>
        <v>Large Order</v>
      </c>
      <c r="P957" s="7">
        <f t="shared" si="113"/>
        <v>11.517000000000001</v>
      </c>
      <c r="Q957" s="7" t="str">
        <f>VLOOKUP(D958,Product_Lookup!$A$2:$C$27,2,FALSE)</f>
        <v>Blender</v>
      </c>
      <c r="R957" s="7">
        <f t="shared" si="114"/>
        <v>3915.78</v>
      </c>
    </row>
    <row r="958" spans="1:18" ht="21.75" customHeight="1">
      <c r="A958" t="s">
        <v>1109</v>
      </c>
      <c r="B958" s="6">
        <v>45565</v>
      </c>
      <c r="C958" t="s">
        <v>327</v>
      </c>
      <c r="D958" t="s">
        <v>72</v>
      </c>
      <c r="E958" t="s">
        <v>17</v>
      </c>
      <c r="F958" t="s">
        <v>42</v>
      </c>
      <c r="G958" t="s">
        <v>32</v>
      </c>
      <c r="H958">
        <v>18</v>
      </c>
      <c r="I958" t="str">
        <f>VLOOKUP(D958,Product_Lookup!$A$2:$C$27,3,FALSE)</f>
        <v>$156.44</v>
      </c>
      <c r="J958" t="str">
        <f t="shared" si="115"/>
        <v>Monday</v>
      </c>
      <c r="K958" s="10" t="str">
        <f t="shared" si="116"/>
        <v>September</v>
      </c>
      <c r="L958">
        <f t="shared" si="117"/>
        <v>2024</v>
      </c>
      <c r="M958" t="b">
        <f t="shared" si="118"/>
        <v>0</v>
      </c>
      <c r="N958" t="b">
        <f t="shared" si="112"/>
        <v>1</v>
      </c>
      <c r="O958" t="str">
        <f t="shared" si="119"/>
        <v>Large Order</v>
      </c>
      <c r="P958" s="7">
        <f t="shared" si="113"/>
        <v>7.8220000000000001</v>
      </c>
      <c r="Q958" s="7" t="str">
        <f>VLOOKUP(D959,Product_Lookup!$A$2:$C$27,2,FALSE)</f>
        <v>Lego Set</v>
      </c>
      <c r="R958" s="7">
        <f t="shared" si="114"/>
        <v>2815.92</v>
      </c>
    </row>
    <row r="959" spans="1:18" ht="21.75" customHeight="1">
      <c r="A959" t="s">
        <v>1110</v>
      </c>
      <c r="B959" s="6">
        <v>45482</v>
      </c>
      <c r="C959" t="s">
        <v>408</v>
      </c>
      <c r="D959" t="s">
        <v>84</v>
      </c>
      <c r="E959" t="s">
        <v>22</v>
      </c>
      <c r="F959" t="s">
        <v>27</v>
      </c>
      <c r="G959" t="s">
        <v>36</v>
      </c>
      <c r="H959">
        <v>11</v>
      </c>
      <c r="I959" t="str">
        <f>VLOOKUP(D959,Product_Lookup!$A$2:$C$27,3,FALSE)</f>
        <v>$130.07</v>
      </c>
      <c r="J959" t="str">
        <f t="shared" si="115"/>
        <v>Tuesday</v>
      </c>
      <c r="K959" s="10" t="str">
        <f t="shared" si="116"/>
        <v>July</v>
      </c>
      <c r="L959">
        <f t="shared" si="117"/>
        <v>2024</v>
      </c>
      <c r="M959" t="b">
        <f t="shared" si="118"/>
        <v>0</v>
      </c>
      <c r="N959" t="b">
        <f t="shared" si="112"/>
        <v>1</v>
      </c>
      <c r="O959" t="str">
        <f t="shared" si="119"/>
        <v>Large Order</v>
      </c>
      <c r="P959" s="7">
        <f t="shared" si="113"/>
        <v>6.5034999999999998</v>
      </c>
      <c r="Q959" s="7" t="str">
        <f>VLOOKUP(D960,Product_Lookup!$A$2:$C$27,2,FALSE)</f>
        <v>Lego Set</v>
      </c>
      <c r="R959" s="7">
        <f t="shared" si="114"/>
        <v>1430.77</v>
      </c>
    </row>
    <row r="960" spans="1:18" ht="21.75" customHeight="1">
      <c r="A960" t="s">
        <v>1111</v>
      </c>
      <c r="B960" s="6">
        <v>45571</v>
      </c>
      <c r="C960" t="s">
        <v>133</v>
      </c>
      <c r="D960" t="s">
        <v>84</v>
      </c>
      <c r="E960" t="s">
        <v>17</v>
      </c>
      <c r="F960" t="s">
        <v>306</v>
      </c>
      <c r="G960" t="s">
        <v>23</v>
      </c>
      <c r="H960">
        <v>9</v>
      </c>
      <c r="I960" t="str">
        <f>VLOOKUP(D960,Product_Lookup!$A$2:$C$27,3,FALSE)</f>
        <v>$130.07</v>
      </c>
      <c r="J960" t="str">
        <f t="shared" si="115"/>
        <v>Sunday</v>
      </c>
      <c r="K960" s="10" t="str">
        <f t="shared" si="116"/>
        <v>October</v>
      </c>
      <c r="L960">
        <f t="shared" si="117"/>
        <v>2024</v>
      </c>
      <c r="M960" t="b">
        <f t="shared" si="118"/>
        <v>1</v>
      </c>
      <c r="N960" t="b">
        <f t="shared" si="112"/>
        <v>1</v>
      </c>
      <c r="O960" t="str">
        <f t="shared" si="119"/>
        <v>Large Order</v>
      </c>
      <c r="P960" s="7">
        <f t="shared" si="113"/>
        <v>6.5034999999999998</v>
      </c>
      <c r="Q960" s="7" t="str">
        <f>VLOOKUP(D961,Product_Lookup!$A$2:$C$27,2,FALSE)</f>
        <v>Socks</v>
      </c>
      <c r="R960" s="7">
        <f t="shared" si="114"/>
        <v>1170.6299999999999</v>
      </c>
    </row>
    <row r="961" spans="1:18" ht="21.75" customHeight="1">
      <c r="A961" t="s">
        <v>1112</v>
      </c>
      <c r="B961" s="6">
        <v>45521</v>
      </c>
      <c r="C961" t="s">
        <v>106</v>
      </c>
      <c r="D961" t="s">
        <v>74</v>
      </c>
      <c r="E961" t="s">
        <v>11</v>
      </c>
      <c r="F961" t="s">
        <v>12</v>
      </c>
      <c r="G961" t="s">
        <v>28</v>
      </c>
      <c r="H961">
        <v>20</v>
      </c>
      <c r="I961" t="str">
        <f>VLOOKUP(D961,Product_Lookup!$A$2:$C$27,3,FALSE)</f>
        <v>$201.32</v>
      </c>
      <c r="J961" t="str">
        <f t="shared" si="115"/>
        <v>Saturday</v>
      </c>
      <c r="K961" s="10" t="str">
        <f t="shared" si="116"/>
        <v>August</v>
      </c>
      <c r="L961">
        <f t="shared" si="117"/>
        <v>2024</v>
      </c>
      <c r="M961" t="b">
        <f t="shared" si="118"/>
        <v>1</v>
      </c>
      <c r="N961" t="b">
        <f t="shared" si="112"/>
        <v>1</v>
      </c>
      <c r="O961" t="str">
        <f t="shared" si="119"/>
        <v>Large Order</v>
      </c>
      <c r="P961" s="7">
        <f t="shared" si="113"/>
        <v>10.066000000000001</v>
      </c>
      <c r="Q961" s="7" t="str">
        <f>VLOOKUP(D962,Product_Lookup!$A$2:$C$27,2,FALSE)</f>
        <v>Jeans</v>
      </c>
      <c r="R961" s="7">
        <f t="shared" si="114"/>
        <v>4026.3999999999996</v>
      </c>
    </row>
    <row r="962" spans="1:18" ht="21.75" customHeight="1">
      <c r="A962" t="s">
        <v>1113</v>
      </c>
      <c r="B962" s="6">
        <v>45446</v>
      </c>
      <c r="C962" t="s">
        <v>25</v>
      </c>
      <c r="D962" t="s">
        <v>65</v>
      </c>
      <c r="E962" t="s">
        <v>17</v>
      </c>
      <c r="F962" t="s">
        <v>56</v>
      </c>
      <c r="G962" t="s">
        <v>32</v>
      </c>
      <c r="H962">
        <v>11</v>
      </c>
      <c r="I962" t="str">
        <f>VLOOKUP(D962,Product_Lookup!$A$2:$C$27,3,FALSE)</f>
        <v>$33.22</v>
      </c>
      <c r="J962" t="str">
        <f t="shared" si="115"/>
        <v>Monday</v>
      </c>
      <c r="K962" s="10" t="str">
        <f t="shared" si="116"/>
        <v>June</v>
      </c>
      <c r="L962">
        <f t="shared" si="117"/>
        <v>2024</v>
      </c>
      <c r="M962" t="b">
        <f t="shared" si="118"/>
        <v>0</v>
      </c>
      <c r="N962" t="b">
        <f t="shared" ref="N962:N1025" si="120">AND(R962&gt;750, H962&gt;5)</f>
        <v>0</v>
      </c>
      <c r="O962" t="str">
        <f t="shared" si="119"/>
        <v>Standard order</v>
      </c>
      <c r="P962" s="7">
        <f t="shared" ref="P962:P1025" si="121">I962*$S$2</f>
        <v>1.661</v>
      </c>
      <c r="Q962" s="7" t="str">
        <f>VLOOKUP(D963,Product_Lookup!$A$2:$C$27,2,FALSE)</f>
        <v>Desk Lamp</v>
      </c>
      <c r="R962" s="7">
        <f t="shared" ref="R962:R1025" si="122">H962*I962</f>
        <v>365.41999999999996</v>
      </c>
    </row>
    <row r="963" spans="1:18" ht="21.75" customHeight="1">
      <c r="A963" t="s">
        <v>1114</v>
      </c>
      <c r="B963" s="6">
        <v>45575</v>
      </c>
      <c r="C963" t="s">
        <v>345</v>
      </c>
      <c r="D963" t="s">
        <v>59</v>
      </c>
      <c r="E963" t="s">
        <v>22</v>
      </c>
      <c r="F963" t="s">
        <v>306</v>
      </c>
      <c r="G963" t="s">
        <v>23</v>
      </c>
      <c r="H963">
        <v>5</v>
      </c>
      <c r="I963" t="str">
        <f>VLOOKUP(D963,Product_Lookup!$A$2:$C$27,3,FALSE)</f>
        <v>$101.96</v>
      </c>
      <c r="J963" t="str">
        <f t="shared" ref="J963:J1026" si="123">TEXT(B963, "dddd")</f>
        <v>Thursday</v>
      </c>
      <c r="K963" s="10" t="str">
        <f t="shared" ref="K963:K1026" si="124">TEXT(B963, "mmmm")</f>
        <v>October</v>
      </c>
      <c r="L963">
        <f t="shared" ref="L963:L1026" si="125">YEAR(B963)</f>
        <v>2024</v>
      </c>
      <c r="M963" t="b">
        <f t="shared" ref="M963:M1026" si="126">OR(J963="Saturday", J963="Sunday")</f>
        <v>0</v>
      </c>
      <c r="N963" t="b">
        <f t="shared" si="120"/>
        <v>0</v>
      </c>
      <c r="O963" t="str">
        <f t="shared" ref="O963:O1026" si="127">IF(R963&gt;500,"Large Order","Standard order")</f>
        <v>Large Order</v>
      </c>
      <c r="P963" s="7">
        <f t="shared" si="121"/>
        <v>5.0979999999999999</v>
      </c>
      <c r="Q963" s="7" t="str">
        <f>VLOOKUP(D964,Product_Lookup!$A$2:$C$27,2,FALSE)</f>
        <v>Toaster</v>
      </c>
      <c r="R963" s="7">
        <f t="shared" si="122"/>
        <v>509.79999999999995</v>
      </c>
    </row>
    <row r="964" spans="1:18" ht="21.75" customHeight="1">
      <c r="A964" t="s">
        <v>1115</v>
      </c>
      <c r="B964" s="6">
        <v>45474</v>
      </c>
      <c r="C964" t="s">
        <v>125</v>
      </c>
      <c r="D964" t="s">
        <v>48</v>
      </c>
      <c r="E964" t="s">
        <v>11</v>
      </c>
      <c r="F964" t="s">
        <v>42</v>
      </c>
      <c r="G964" t="s">
        <v>32</v>
      </c>
      <c r="H964">
        <v>19</v>
      </c>
      <c r="I964" t="str">
        <f>VLOOKUP(D964,Product_Lookup!$A$2:$C$27,3,FALSE)</f>
        <v>$208.85</v>
      </c>
      <c r="J964" t="str">
        <f t="shared" si="123"/>
        <v>Monday</v>
      </c>
      <c r="K964" s="10" t="str">
        <f t="shared" si="124"/>
        <v>July</v>
      </c>
      <c r="L964">
        <f t="shared" si="125"/>
        <v>2024</v>
      </c>
      <c r="M964" t="b">
        <f t="shared" si="126"/>
        <v>0</v>
      </c>
      <c r="N964" t="b">
        <f t="shared" si="120"/>
        <v>1</v>
      </c>
      <c r="O964" t="str">
        <f t="shared" si="127"/>
        <v>Large Order</v>
      </c>
      <c r="P964" s="7">
        <f t="shared" si="121"/>
        <v>10.442500000000001</v>
      </c>
      <c r="Q964" s="7" t="str">
        <f>VLOOKUP(D965,Product_Lookup!$A$2:$C$27,2,FALSE)</f>
        <v>Desk Lamp</v>
      </c>
      <c r="R964" s="7">
        <f t="shared" si="122"/>
        <v>3968.15</v>
      </c>
    </row>
    <row r="965" spans="1:18" ht="21.75" customHeight="1">
      <c r="A965" t="s">
        <v>1116</v>
      </c>
      <c r="B965" s="6">
        <v>45445</v>
      </c>
      <c r="C965" t="s">
        <v>203</v>
      </c>
      <c r="D965" t="s">
        <v>59</v>
      </c>
      <c r="E965" t="s">
        <v>22</v>
      </c>
      <c r="F965" t="s">
        <v>27</v>
      </c>
      <c r="G965" t="s">
        <v>32</v>
      </c>
      <c r="H965">
        <v>7</v>
      </c>
      <c r="I965" t="str">
        <f>VLOOKUP(D965,Product_Lookup!$A$2:$C$27,3,FALSE)</f>
        <v>$101.96</v>
      </c>
      <c r="J965" t="str">
        <f t="shared" si="123"/>
        <v>Sunday</v>
      </c>
      <c r="K965" s="10" t="str">
        <f t="shared" si="124"/>
        <v>June</v>
      </c>
      <c r="L965">
        <f t="shared" si="125"/>
        <v>2024</v>
      </c>
      <c r="M965" t="b">
        <f t="shared" si="126"/>
        <v>1</v>
      </c>
      <c r="N965" t="b">
        <f t="shared" si="120"/>
        <v>0</v>
      </c>
      <c r="O965" t="str">
        <f t="shared" si="127"/>
        <v>Large Order</v>
      </c>
      <c r="P965" s="7">
        <f t="shared" si="121"/>
        <v>5.0979999999999999</v>
      </c>
      <c r="Q965" s="7" t="str">
        <f>VLOOKUP(D966,Product_Lookup!$A$2:$C$27,2,FALSE)</f>
        <v>Monitor</v>
      </c>
      <c r="R965" s="7">
        <f t="shared" si="122"/>
        <v>713.71999999999991</v>
      </c>
    </row>
    <row r="966" spans="1:18" ht="21.75" customHeight="1">
      <c r="A966" t="s">
        <v>1117</v>
      </c>
      <c r="B966" s="6">
        <v>45539</v>
      </c>
      <c r="C966" t="s">
        <v>235</v>
      </c>
      <c r="D966" t="s">
        <v>102</v>
      </c>
      <c r="E966" t="s">
        <v>17</v>
      </c>
      <c r="F966" t="s">
        <v>306</v>
      </c>
      <c r="G966" t="s">
        <v>13</v>
      </c>
      <c r="H966">
        <v>20</v>
      </c>
      <c r="I966" t="str">
        <f>VLOOKUP(D966,Product_Lookup!$A$2:$C$27,3,FALSE)</f>
        <v>$145.48</v>
      </c>
      <c r="J966" t="str">
        <f t="shared" si="123"/>
        <v>Wednesday</v>
      </c>
      <c r="K966" s="10" t="str">
        <f t="shared" si="124"/>
        <v>September</v>
      </c>
      <c r="L966">
        <f t="shared" si="125"/>
        <v>2024</v>
      </c>
      <c r="M966" t="b">
        <f t="shared" si="126"/>
        <v>0</v>
      </c>
      <c r="N966" t="b">
        <f t="shared" si="120"/>
        <v>1</v>
      </c>
      <c r="O966" t="str">
        <f t="shared" si="127"/>
        <v>Large Order</v>
      </c>
      <c r="P966" s="7">
        <f t="shared" si="121"/>
        <v>7.274</v>
      </c>
      <c r="Q966" s="7" t="str">
        <f>VLOOKUP(D967,Product_Lookup!$A$2:$C$27,2,FALSE)</f>
        <v>Doll</v>
      </c>
      <c r="R966" s="7">
        <f t="shared" si="122"/>
        <v>2909.6</v>
      </c>
    </row>
    <row r="967" spans="1:18" ht="21.75" customHeight="1">
      <c r="A967" t="s">
        <v>1118</v>
      </c>
      <c r="B967" s="6">
        <v>45587</v>
      </c>
      <c r="C967" t="s">
        <v>159</v>
      </c>
      <c r="D967" t="s">
        <v>119</v>
      </c>
      <c r="E967" t="s">
        <v>11</v>
      </c>
      <c r="F967" t="s">
        <v>12</v>
      </c>
      <c r="G967" t="s">
        <v>23</v>
      </c>
      <c r="H967">
        <v>11</v>
      </c>
      <c r="I967" t="str">
        <f>VLOOKUP(D967,Product_Lookup!$A$2:$C$27,3,FALSE)</f>
        <v>$32.94</v>
      </c>
      <c r="J967" t="str">
        <f t="shared" si="123"/>
        <v>Tuesday</v>
      </c>
      <c r="K967" s="10" t="str">
        <f t="shared" si="124"/>
        <v>October</v>
      </c>
      <c r="L967">
        <f t="shared" si="125"/>
        <v>2024</v>
      </c>
      <c r="M967" t="b">
        <f t="shared" si="126"/>
        <v>0</v>
      </c>
      <c r="N967" t="b">
        <f t="shared" si="120"/>
        <v>0</v>
      </c>
      <c r="O967" t="str">
        <f t="shared" si="127"/>
        <v>Standard order</v>
      </c>
      <c r="P967" s="7">
        <f t="shared" si="121"/>
        <v>1.647</v>
      </c>
      <c r="Q967" s="7" t="str">
        <f>VLOOKUP(D968,Product_Lookup!$A$2:$C$27,2,FALSE)</f>
        <v>Laptop</v>
      </c>
      <c r="R967" s="7">
        <f t="shared" si="122"/>
        <v>362.34</v>
      </c>
    </row>
    <row r="968" spans="1:18" ht="21.75" customHeight="1">
      <c r="A968" t="s">
        <v>1119</v>
      </c>
      <c r="B968" s="6">
        <v>45505</v>
      </c>
      <c r="C968" t="s">
        <v>114</v>
      </c>
      <c r="D968" t="s">
        <v>96</v>
      </c>
      <c r="E968" t="s">
        <v>11</v>
      </c>
      <c r="F968" t="s">
        <v>306</v>
      </c>
      <c r="G968" t="s">
        <v>36</v>
      </c>
      <c r="H968">
        <v>13</v>
      </c>
      <c r="I968" t="str">
        <f>VLOOKUP(D968,Product_Lookup!$A$2:$C$27,3,FALSE)</f>
        <v>$230.68</v>
      </c>
      <c r="J968" t="str">
        <f t="shared" si="123"/>
        <v>Thursday</v>
      </c>
      <c r="K968" s="10" t="str">
        <f t="shared" si="124"/>
        <v>August</v>
      </c>
      <c r="L968">
        <f t="shared" si="125"/>
        <v>2024</v>
      </c>
      <c r="M968" t="b">
        <f t="shared" si="126"/>
        <v>0</v>
      </c>
      <c r="N968" t="b">
        <f t="shared" si="120"/>
        <v>1</v>
      </c>
      <c r="O968" t="str">
        <f t="shared" si="127"/>
        <v>Large Order</v>
      </c>
      <c r="P968" s="7">
        <f t="shared" si="121"/>
        <v>11.534000000000001</v>
      </c>
      <c r="Q968" s="7" t="str">
        <f>VLOOKUP(D969,Product_Lookup!$A$2:$C$27,2,FALSE)</f>
        <v>Headphones</v>
      </c>
      <c r="R968" s="7">
        <f t="shared" si="122"/>
        <v>2998.84</v>
      </c>
    </row>
    <row r="969" spans="1:18" ht="21.75" customHeight="1">
      <c r="A969" t="s">
        <v>1120</v>
      </c>
      <c r="B969" s="6">
        <v>45313</v>
      </c>
      <c r="C969" t="s">
        <v>38</v>
      </c>
      <c r="D969" t="s">
        <v>16</v>
      </c>
      <c r="E969" t="s">
        <v>22</v>
      </c>
      <c r="F969" t="s">
        <v>306</v>
      </c>
      <c r="G969" t="s">
        <v>28</v>
      </c>
      <c r="H969">
        <v>11</v>
      </c>
      <c r="I969" t="str">
        <f>VLOOKUP(D969,Product_Lookup!$A$2:$C$27,3,FALSE)</f>
        <v>$178.83</v>
      </c>
      <c r="J969" t="str">
        <f t="shared" si="123"/>
        <v>Monday</v>
      </c>
      <c r="K969" s="10" t="str">
        <f t="shared" si="124"/>
        <v>January</v>
      </c>
      <c r="L969">
        <f t="shared" si="125"/>
        <v>2024</v>
      </c>
      <c r="M969" t="b">
        <f t="shared" si="126"/>
        <v>0</v>
      </c>
      <c r="N969" t="b">
        <f t="shared" si="120"/>
        <v>1</v>
      </c>
      <c r="O969" t="str">
        <f t="shared" si="127"/>
        <v>Large Order</v>
      </c>
      <c r="P969" s="7">
        <f t="shared" si="121"/>
        <v>8.9415000000000013</v>
      </c>
      <c r="Q969" s="7" t="str">
        <f>VLOOKUP(D970,Product_Lookup!$A$2:$C$27,2,FALSE)</f>
        <v>Air Fryer</v>
      </c>
      <c r="R969" s="7">
        <f t="shared" si="122"/>
        <v>1967.13</v>
      </c>
    </row>
    <row r="970" spans="1:18" ht="21.75" customHeight="1">
      <c r="A970" t="s">
        <v>1121</v>
      </c>
      <c r="B970" s="6">
        <v>45370</v>
      </c>
      <c r="C970" t="s">
        <v>9</v>
      </c>
      <c r="D970" t="s">
        <v>70</v>
      </c>
      <c r="E970" t="s">
        <v>22</v>
      </c>
      <c r="F970" t="s">
        <v>27</v>
      </c>
      <c r="G970" t="s">
        <v>13</v>
      </c>
      <c r="H970">
        <v>20</v>
      </c>
      <c r="I970" t="str">
        <f>VLOOKUP(D970,Product_Lookup!$A$2:$C$27,3,FALSE)</f>
        <v>$211.9</v>
      </c>
      <c r="J970" t="str">
        <f t="shared" si="123"/>
        <v>Tuesday</v>
      </c>
      <c r="K970" s="10" t="str">
        <f t="shared" si="124"/>
        <v>March</v>
      </c>
      <c r="L970">
        <f t="shared" si="125"/>
        <v>2024</v>
      </c>
      <c r="M970" t="b">
        <f t="shared" si="126"/>
        <v>0</v>
      </c>
      <c r="N970" t="b">
        <f t="shared" si="120"/>
        <v>1</v>
      </c>
      <c r="O970" t="str">
        <f t="shared" si="127"/>
        <v>Large Order</v>
      </c>
      <c r="P970" s="7">
        <f t="shared" si="121"/>
        <v>10.595000000000001</v>
      </c>
      <c r="Q970" s="7" t="str">
        <f>VLOOKUP(D971,Product_Lookup!$A$2:$C$27,2,FALSE)</f>
        <v>Headphones</v>
      </c>
      <c r="R970" s="7">
        <f t="shared" si="122"/>
        <v>4238</v>
      </c>
    </row>
    <row r="971" spans="1:18" ht="21.75" customHeight="1">
      <c r="A971" t="s">
        <v>1122</v>
      </c>
      <c r="B971" s="6">
        <v>45405</v>
      </c>
      <c r="C971" t="s">
        <v>348</v>
      </c>
      <c r="D971" t="s">
        <v>16</v>
      </c>
      <c r="E971" t="s">
        <v>17</v>
      </c>
      <c r="F971" t="s">
        <v>27</v>
      </c>
      <c r="G971" t="s">
        <v>23</v>
      </c>
      <c r="H971">
        <v>5</v>
      </c>
      <c r="I971" t="str">
        <f>VLOOKUP(D971,Product_Lookup!$A$2:$C$27,3,FALSE)</f>
        <v>$178.83</v>
      </c>
      <c r="J971" t="str">
        <f t="shared" si="123"/>
        <v>Tuesday</v>
      </c>
      <c r="K971" s="10" t="str">
        <f t="shared" si="124"/>
        <v>April</v>
      </c>
      <c r="L971">
        <f t="shared" si="125"/>
        <v>2024</v>
      </c>
      <c r="M971" t="b">
        <f t="shared" si="126"/>
        <v>0</v>
      </c>
      <c r="N971" t="b">
        <f t="shared" si="120"/>
        <v>0</v>
      </c>
      <c r="O971" t="str">
        <f t="shared" si="127"/>
        <v>Large Order</v>
      </c>
      <c r="P971" s="7">
        <f t="shared" si="121"/>
        <v>8.9415000000000013</v>
      </c>
      <c r="Q971" s="7" t="str">
        <f>VLOOKUP(D972,Product_Lookup!$A$2:$C$27,2,FALSE)</f>
        <v>Coffee Maker</v>
      </c>
      <c r="R971" s="7">
        <f t="shared" si="122"/>
        <v>894.15000000000009</v>
      </c>
    </row>
    <row r="972" spans="1:18" ht="21.75" customHeight="1">
      <c r="A972" t="s">
        <v>1123</v>
      </c>
      <c r="B972" s="6">
        <v>45584</v>
      </c>
      <c r="C972" t="s">
        <v>323</v>
      </c>
      <c r="D972" t="s">
        <v>31</v>
      </c>
      <c r="E972" t="s">
        <v>11</v>
      </c>
      <c r="F972" t="s">
        <v>306</v>
      </c>
      <c r="G972" t="s">
        <v>36</v>
      </c>
      <c r="H972">
        <v>9</v>
      </c>
      <c r="I972" t="str">
        <f>VLOOKUP(D972,Product_Lookup!$A$2:$C$27,3,FALSE)</f>
        <v>$230.34</v>
      </c>
      <c r="J972" t="str">
        <f t="shared" si="123"/>
        <v>Saturday</v>
      </c>
      <c r="K972" s="10" t="str">
        <f t="shared" si="124"/>
        <v>October</v>
      </c>
      <c r="L972">
        <f t="shared" si="125"/>
        <v>2024</v>
      </c>
      <c r="M972" t="b">
        <f t="shared" si="126"/>
        <v>1</v>
      </c>
      <c r="N972" t="b">
        <f t="shared" si="120"/>
        <v>1</v>
      </c>
      <c r="O972" t="str">
        <f t="shared" si="127"/>
        <v>Large Order</v>
      </c>
      <c r="P972" s="7">
        <f t="shared" si="121"/>
        <v>11.517000000000001</v>
      </c>
      <c r="Q972" s="7" t="str">
        <f>VLOOKUP(D973,Product_Lookup!$A$2:$C$27,2,FALSE)</f>
        <v>Doll</v>
      </c>
      <c r="R972" s="7">
        <f t="shared" si="122"/>
        <v>2073.06</v>
      </c>
    </row>
    <row r="973" spans="1:18" ht="21.75" customHeight="1">
      <c r="A973" t="s">
        <v>1124</v>
      </c>
      <c r="B973" s="6">
        <v>45514</v>
      </c>
      <c r="C973" t="s">
        <v>420</v>
      </c>
      <c r="D973" t="s">
        <v>119</v>
      </c>
      <c r="E973" t="s">
        <v>22</v>
      </c>
      <c r="F973" t="s">
        <v>56</v>
      </c>
      <c r="G973" t="s">
        <v>28</v>
      </c>
      <c r="H973">
        <v>5</v>
      </c>
      <c r="I973" t="str">
        <f>VLOOKUP(D973,Product_Lookup!$A$2:$C$27,3,FALSE)</f>
        <v>$32.94</v>
      </c>
      <c r="J973" t="str">
        <f t="shared" si="123"/>
        <v>Saturday</v>
      </c>
      <c r="K973" s="10" t="str">
        <f t="shared" si="124"/>
        <v>August</v>
      </c>
      <c r="L973">
        <f t="shared" si="125"/>
        <v>2024</v>
      </c>
      <c r="M973" t="b">
        <f t="shared" si="126"/>
        <v>1</v>
      </c>
      <c r="N973" t="b">
        <f t="shared" si="120"/>
        <v>0</v>
      </c>
      <c r="O973" t="str">
        <f t="shared" si="127"/>
        <v>Standard order</v>
      </c>
      <c r="P973" s="7">
        <f t="shared" si="121"/>
        <v>1.647</v>
      </c>
      <c r="Q973" s="7" t="str">
        <f>VLOOKUP(D974,Product_Lookup!$A$2:$C$27,2,FALSE)</f>
        <v>Jeans</v>
      </c>
      <c r="R973" s="7">
        <f t="shared" si="122"/>
        <v>164.7</v>
      </c>
    </row>
    <row r="974" spans="1:18" ht="21.75" customHeight="1">
      <c r="A974" t="s">
        <v>1125</v>
      </c>
      <c r="B974" s="6">
        <v>45541</v>
      </c>
      <c r="C974" t="s">
        <v>106</v>
      </c>
      <c r="D974" t="s">
        <v>65</v>
      </c>
      <c r="E974" t="s">
        <v>22</v>
      </c>
      <c r="F974" t="s">
        <v>306</v>
      </c>
      <c r="G974" t="s">
        <v>36</v>
      </c>
      <c r="H974">
        <v>18</v>
      </c>
      <c r="I974" t="str">
        <f>VLOOKUP(D974,Product_Lookup!$A$2:$C$27,3,FALSE)</f>
        <v>$33.22</v>
      </c>
      <c r="J974" t="str">
        <f t="shared" si="123"/>
        <v>Friday</v>
      </c>
      <c r="K974" s="10" t="str">
        <f t="shared" si="124"/>
        <v>September</v>
      </c>
      <c r="L974">
        <f t="shared" si="125"/>
        <v>2024</v>
      </c>
      <c r="M974" t="b">
        <f t="shared" si="126"/>
        <v>0</v>
      </c>
      <c r="N974" t="b">
        <f t="shared" si="120"/>
        <v>0</v>
      </c>
      <c r="O974" t="str">
        <f t="shared" si="127"/>
        <v>Large Order</v>
      </c>
      <c r="P974" s="7">
        <f t="shared" si="121"/>
        <v>1.661</v>
      </c>
      <c r="Q974" s="7" t="str">
        <f>VLOOKUP(D975,Product_Lookup!$A$2:$C$27,2,FALSE)</f>
        <v>Doll</v>
      </c>
      <c r="R974" s="7">
        <f t="shared" si="122"/>
        <v>597.96</v>
      </c>
    </row>
    <row r="975" spans="1:18" ht="21.75" customHeight="1">
      <c r="A975" t="s">
        <v>1126</v>
      </c>
      <c r="B975" s="6">
        <v>45418</v>
      </c>
      <c r="C975" t="s">
        <v>78</v>
      </c>
      <c r="D975" t="s">
        <v>119</v>
      </c>
      <c r="E975" t="s">
        <v>11</v>
      </c>
      <c r="F975" t="s">
        <v>42</v>
      </c>
      <c r="G975" t="s">
        <v>36</v>
      </c>
      <c r="H975">
        <v>14</v>
      </c>
      <c r="I975" t="str">
        <f>VLOOKUP(D975,Product_Lookup!$A$2:$C$27,3,FALSE)</f>
        <v>$32.94</v>
      </c>
      <c r="J975" t="str">
        <f t="shared" si="123"/>
        <v>Monday</v>
      </c>
      <c r="K975" s="10" t="str">
        <f t="shared" si="124"/>
        <v>May</v>
      </c>
      <c r="L975">
        <f t="shared" si="125"/>
        <v>2024</v>
      </c>
      <c r="M975" t="b">
        <f t="shared" si="126"/>
        <v>0</v>
      </c>
      <c r="N975" t="b">
        <f t="shared" si="120"/>
        <v>0</v>
      </c>
      <c r="O975" t="str">
        <f t="shared" si="127"/>
        <v>Standard order</v>
      </c>
      <c r="P975" s="7">
        <f t="shared" si="121"/>
        <v>1.647</v>
      </c>
      <c r="Q975" s="7" t="str">
        <f>VLOOKUP(D976,Product_Lookup!$A$2:$C$27,2,FALSE)</f>
        <v>Vacuum</v>
      </c>
      <c r="R975" s="7">
        <f t="shared" si="122"/>
        <v>461.15999999999997</v>
      </c>
    </row>
    <row r="976" spans="1:18" ht="21.75" customHeight="1">
      <c r="A976" t="s">
        <v>1127</v>
      </c>
      <c r="B976" s="6">
        <v>45337</v>
      </c>
      <c r="C976" t="s">
        <v>40</v>
      </c>
      <c r="D976" t="s">
        <v>87</v>
      </c>
      <c r="E976" t="s">
        <v>22</v>
      </c>
      <c r="F976" t="s">
        <v>27</v>
      </c>
      <c r="G976" t="s">
        <v>32</v>
      </c>
      <c r="H976">
        <v>12</v>
      </c>
      <c r="I976" t="str">
        <f>VLOOKUP(D976,Product_Lookup!$A$2:$C$27,3,FALSE)</f>
        <v>$26.59</v>
      </c>
      <c r="J976" t="str">
        <f t="shared" si="123"/>
        <v>Thursday</v>
      </c>
      <c r="K976" s="10" t="str">
        <f t="shared" si="124"/>
        <v>February</v>
      </c>
      <c r="L976">
        <f t="shared" si="125"/>
        <v>2024</v>
      </c>
      <c r="M976" t="b">
        <f t="shared" si="126"/>
        <v>0</v>
      </c>
      <c r="N976" t="b">
        <f t="shared" si="120"/>
        <v>0</v>
      </c>
      <c r="O976" t="str">
        <f t="shared" si="127"/>
        <v>Standard order</v>
      </c>
      <c r="P976" s="7">
        <f t="shared" si="121"/>
        <v>1.3295000000000001</v>
      </c>
      <c r="Q976" s="7" t="str">
        <f>VLOOKUP(D977,Product_Lookup!$A$2:$C$27,2,FALSE)</f>
        <v>Doll</v>
      </c>
      <c r="R976" s="7">
        <f t="shared" si="122"/>
        <v>319.08</v>
      </c>
    </row>
    <row r="977" spans="1:18" ht="21.75" customHeight="1">
      <c r="A977" t="s">
        <v>1128</v>
      </c>
      <c r="B977" s="6">
        <v>45468</v>
      </c>
      <c r="C977" t="s">
        <v>327</v>
      </c>
      <c r="D977" t="s">
        <v>119</v>
      </c>
      <c r="E977" t="s">
        <v>22</v>
      </c>
      <c r="F977" t="s">
        <v>12</v>
      </c>
      <c r="G977" t="s">
        <v>32</v>
      </c>
      <c r="H977">
        <v>10</v>
      </c>
      <c r="I977" t="str">
        <f>VLOOKUP(D977,Product_Lookup!$A$2:$C$27,3,FALSE)</f>
        <v>$32.94</v>
      </c>
      <c r="J977" t="str">
        <f t="shared" si="123"/>
        <v>Tuesday</v>
      </c>
      <c r="K977" s="10" t="str">
        <f t="shared" si="124"/>
        <v>June</v>
      </c>
      <c r="L977">
        <f t="shared" si="125"/>
        <v>2024</v>
      </c>
      <c r="M977" t="b">
        <f t="shared" si="126"/>
        <v>0</v>
      </c>
      <c r="N977" t="b">
        <f t="shared" si="120"/>
        <v>0</v>
      </c>
      <c r="O977" t="str">
        <f t="shared" si="127"/>
        <v>Standard order</v>
      </c>
      <c r="P977" s="7">
        <f t="shared" si="121"/>
        <v>1.647</v>
      </c>
      <c r="Q977" s="7" t="str">
        <f>VLOOKUP(D978,Product_Lookup!$A$2:$C$27,2,FALSE)</f>
        <v>Air Fryer</v>
      </c>
      <c r="R977" s="7">
        <f t="shared" si="122"/>
        <v>329.4</v>
      </c>
    </row>
    <row r="978" spans="1:18" ht="21.75" customHeight="1">
      <c r="A978" t="s">
        <v>1129</v>
      </c>
      <c r="B978" s="6">
        <v>45607</v>
      </c>
      <c r="C978" t="s">
        <v>396</v>
      </c>
      <c r="D978" t="s">
        <v>70</v>
      </c>
      <c r="E978" t="s">
        <v>22</v>
      </c>
      <c r="F978" t="s">
        <v>56</v>
      </c>
      <c r="G978" t="s">
        <v>28</v>
      </c>
      <c r="H978">
        <v>2</v>
      </c>
      <c r="I978" t="str">
        <f>VLOOKUP(D978,Product_Lookup!$A$2:$C$27,3,FALSE)</f>
        <v>$211.9</v>
      </c>
      <c r="J978" t="str">
        <f t="shared" si="123"/>
        <v>Monday</v>
      </c>
      <c r="K978" s="10" t="str">
        <f t="shared" si="124"/>
        <v>November</v>
      </c>
      <c r="L978">
        <f t="shared" si="125"/>
        <v>2024</v>
      </c>
      <c r="M978" t="b">
        <f t="shared" si="126"/>
        <v>0</v>
      </c>
      <c r="N978" t="b">
        <f t="shared" si="120"/>
        <v>0</v>
      </c>
      <c r="O978" t="str">
        <f t="shared" si="127"/>
        <v>Standard order</v>
      </c>
      <c r="P978" s="7">
        <f t="shared" si="121"/>
        <v>10.595000000000001</v>
      </c>
      <c r="Q978" s="7" t="str">
        <f>VLOOKUP(D979,Product_Lookup!$A$2:$C$27,2,FALSE)</f>
        <v>Doll</v>
      </c>
      <c r="R978" s="7">
        <f t="shared" si="122"/>
        <v>423.8</v>
      </c>
    </row>
    <row r="979" spans="1:18" ht="21.75" customHeight="1">
      <c r="A979" t="s">
        <v>1130</v>
      </c>
      <c r="B979" s="6">
        <v>45394</v>
      </c>
      <c r="C979" t="s">
        <v>455</v>
      </c>
      <c r="D979" t="s">
        <v>119</v>
      </c>
      <c r="E979" t="s">
        <v>17</v>
      </c>
      <c r="F979" t="s">
        <v>56</v>
      </c>
      <c r="G979" t="s">
        <v>13</v>
      </c>
      <c r="H979">
        <v>3</v>
      </c>
      <c r="I979" t="str">
        <f>VLOOKUP(D979,Product_Lookup!$A$2:$C$27,3,FALSE)</f>
        <v>$32.94</v>
      </c>
      <c r="J979" t="str">
        <f t="shared" si="123"/>
        <v>Friday</v>
      </c>
      <c r="K979" s="10" t="str">
        <f t="shared" si="124"/>
        <v>April</v>
      </c>
      <c r="L979">
        <f t="shared" si="125"/>
        <v>2024</v>
      </c>
      <c r="M979" t="b">
        <f t="shared" si="126"/>
        <v>0</v>
      </c>
      <c r="N979" t="b">
        <f t="shared" si="120"/>
        <v>0</v>
      </c>
      <c r="O979" t="str">
        <f t="shared" si="127"/>
        <v>Standard order</v>
      </c>
      <c r="P979" s="7">
        <f t="shared" si="121"/>
        <v>1.647</v>
      </c>
      <c r="Q979" s="7" t="str">
        <f>VLOOKUP(D980,Product_Lookup!$A$2:$C$27,2,FALSE)</f>
        <v>Laptop</v>
      </c>
      <c r="R979" s="7">
        <f t="shared" si="122"/>
        <v>98.82</v>
      </c>
    </row>
    <row r="980" spans="1:18" ht="21.75" customHeight="1">
      <c r="A980" t="s">
        <v>1131</v>
      </c>
      <c r="B980" s="6">
        <v>45416</v>
      </c>
      <c r="C980" t="s">
        <v>381</v>
      </c>
      <c r="D980" t="s">
        <v>96</v>
      </c>
      <c r="E980" t="s">
        <v>11</v>
      </c>
      <c r="F980" t="s">
        <v>42</v>
      </c>
      <c r="G980" t="s">
        <v>13</v>
      </c>
      <c r="H980">
        <v>11</v>
      </c>
      <c r="I980" t="str">
        <f>VLOOKUP(D980,Product_Lookup!$A$2:$C$27,3,FALSE)</f>
        <v>$230.68</v>
      </c>
      <c r="J980" t="str">
        <f t="shared" si="123"/>
        <v>Saturday</v>
      </c>
      <c r="K980" s="10" t="str">
        <f t="shared" si="124"/>
        <v>May</v>
      </c>
      <c r="L980">
        <f t="shared" si="125"/>
        <v>2024</v>
      </c>
      <c r="M980" t="b">
        <f t="shared" si="126"/>
        <v>1</v>
      </c>
      <c r="N980" t="b">
        <f t="shared" si="120"/>
        <v>1</v>
      </c>
      <c r="O980" t="str">
        <f t="shared" si="127"/>
        <v>Large Order</v>
      </c>
      <c r="P980" s="7">
        <f t="shared" si="121"/>
        <v>11.534000000000001</v>
      </c>
      <c r="Q980" s="7" t="str">
        <f>VLOOKUP(D981,Product_Lookup!$A$2:$C$27,2,FALSE)</f>
        <v>Blender</v>
      </c>
      <c r="R980" s="7">
        <f t="shared" si="122"/>
        <v>2537.48</v>
      </c>
    </row>
    <row r="981" spans="1:18" ht="21.75" customHeight="1">
      <c r="A981" t="s">
        <v>1132</v>
      </c>
      <c r="B981" s="6">
        <v>45448</v>
      </c>
      <c r="C981" t="s">
        <v>430</v>
      </c>
      <c r="D981" t="s">
        <v>72</v>
      </c>
      <c r="E981" t="s">
        <v>17</v>
      </c>
      <c r="F981" t="s">
        <v>12</v>
      </c>
      <c r="G981" t="s">
        <v>28</v>
      </c>
      <c r="H981">
        <v>7</v>
      </c>
      <c r="I981" t="str">
        <f>VLOOKUP(D981,Product_Lookup!$A$2:$C$27,3,FALSE)</f>
        <v>$156.44</v>
      </c>
      <c r="J981" t="str">
        <f t="shared" si="123"/>
        <v>Wednesday</v>
      </c>
      <c r="K981" s="10" t="str">
        <f t="shared" si="124"/>
        <v>June</v>
      </c>
      <c r="L981">
        <f t="shared" si="125"/>
        <v>2024</v>
      </c>
      <c r="M981" t="b">
        <f t="shared" si="126"/>
        <v>0</v>
      </c>
      <c r="N981" t="b">
        <f t="shared" si="120"/>
        <v>1</v>
      </c>
      <c r="O981" t="str">
        <f t="shared" si="127"/>
        <v>Large Order</v>
      </c>
      <c r="P981" s="7">
        <f t="shared" si="121"/>
        <v>7.8220000000000001</v>
      </c>
      <c r="Q981" s="7" t="str">
        <f>VLOOKUP(D982,Product_Lookup!$A$2:$C$27,2,FALSE)</f>
        <v>Pen Set</v>
      </c>
      <c r="R981" s="7">
        <f t="shared" si="122"/>
        <v>1095.08</v>
      </c>
    </row>
    <row r="982" spans="1:18" ht="21.75" customHeight="1">
      <c r="A982" t="s">
        <v>1133</v>
      </c>
      <c r="B982" s="6">
        <v>45396</v>
      </c>
      <c r="C982" t="s">
        <v>591</v>
      </c>
      <c r="D982" t="s">
        <v>174</v>
      </c>
      <c r="E982" t="s">
        <v>22</v>
      </c>
      <c r="F982" t="s">
        <v>42</v>
      </c>
      <c r="G982" t="s">
        <v>28</v>
      </c>
      <c r="H982">
        <v>16</v>
      </c>
      <c r="I982" t="str">
        <f>VLOOKUP(D982,Product_Lookup!$A$2:$C$27,3,FALSE)</f>
        <v>$133.37</v>
      </c>
      <c r="J982" t="str">
        <f t="shared" si="123"/>
        <v>Sunday</v>
      </c>
      <c r="K982" s="10" t="str">
        <f t="shared" si="124"/>
        <v>April</v>
      </c>
      <c r="L982">
        <f t="shared" si="125"/>
        <v>2024</v>
      </c>
      <c r="M982" t="b">
        <f t="shared" si="126"/>
        <v>1</v>
      </c>
      <c r="N982" t="b">
        <f t="shared" si="120"/>
        <v>1</v>
      </c>
      <c r="O982" t="str">
        <f t="shared" si="127"/>
        <v>Large Order</v>
      </c>
      <c r="P982" s="7">
        <f t="shared" si="121"/>
        <v>6.6685000000000008</v>
      </c>
      <c r="Q982" s="7" t="str">
        <f>VLOOKUP(D983,Product_Lookup!$A$2:$C$27,2,FALSE)</f>
        <v>Coffee Maker</v>
      </c>
      <c r="R982" s="7">
        <f t="shared" si="122"/>
        <v>2133.92</v>
      </c>
    </row>
    <row r="983" spans="1:18" ht="21.75" customHeight="1">
      <c r="A983" t="s">
        <v>1134</v>
      </c>
      <c r="B983" s="6">
        <v>45647</v>
      </c>
      <c r="C983" t="s">
        <v>424</v>
      </c>
      <c r="D983" t="s">
        <v>31</v>
      </c>
      <c r="E983" t="s">
        <v>22</v>
      </c>
      <c r="F983" t="s">
        <v>12</v>
      </c>
      <c r="G983" t="s">
        <v>36</v>
      </c>
      <c r="H983">
        <v>19</v>
      </c>
      <c r="I983" t="str">
        <f>VLOOKUP(D983,Product_Lookup!$A$2:$C$27,3,FALSE)</f>
        <v>$230.34</v>
      </c>
      <c r="J983" t="str">
        <f t="shared" si="123"/>
        <v>Saturday</v>
      </c>
      <c r="K983" s="10" t="str">
        <f t="shared" si="124"/>
        <v>December</v>
      </c>
      <c r="L983">
        <f t="shared" si="125"/>
        <v>2024</v>
      </c>
      <c r="M983" t="b">
        <f t="shared" si="126"/>
        <v>1</v>
      </c>
      <c r="N983" t="b">
        <f t="shared" si="120"/>
        <v>1</v>
      </c>
      <c r="O983" t="str">
        <f t="shared" si="127"/>
        <v>Large Order</v>
      </c>
      <c r="P983" s="7">
        <f t="shared" si="121"/>
        <v>11.517000000000001</v>
      </c>
      <c r="Q983" s="7" t="str">
        <f>VLOOKUP(D984,Product_Lookup!$A$2:$C$27,2,FALSE)</f>
        <v>Socks</v>
      </c>
      <c r="R983" s="7">
        <f t="shared" si="122"/>
        <v>4376.46</v>
      </c>
    </row>
    <row r="984" spans="1:18" ht="21.75" customHeight="1">
      <c r="A984" t="s">
        <v>1135</v>
      </c>
      <c r="B984" s="6">
        <v>45314</v>
      </c>
      <c r="C984" t="s">
        <v>230</v>
      </c>
      <c r="D984" t="s">
        <v>74</v>
      </c>
      <c r="E984" t="s">
        <v>11</v>
      </c>
      <c r="F984" t="s">
        <v>12</v>
      </c>
      <c r="G984" t="s">
        <v>36</v>
      </c>
      <c r="H984">
        <v>7</v>
      </c>
      <c r="I984" t="str">
        <f>VLOOKUP(D984,Product_Lookup!$A$2:$C$27,3,FALSE)</f>
        <v>$201.32</v>
      </c>
      <c r="J984" t="str">
        <f t="shared" si="123"/>
        <v>Tuesday</v>
      </c>
      <c r="K984" s="10" t="str">
        <f t="shared" si="124"/>
        <v>January</v>
      </c>
      <c r="L984">
        <f t="shared" si="125"/>
        <v>2024</v>
      </c>
      <c r="M984" t="b">
        <f t="shared" si="126"/>
        <v>0</v>
      </c>
      <c r="N984" t="b">
        <f t="shared" si="120"/>
        <v>1</v>
      </c>
      <c r="O984" t="str">
        <f t="shared" si="127"/>
        <v>Large Order</v>
      </c>
      <c r="P984" s="7">
        <f t="shared" si="121"/>
        <v>10.066000000000001</v>
      </c>
      <c r="Q984" s="7" t="str">
        <f>VLOOKUP(D985,Product_Lookup!$A$2:$C$27,2,FALSE)</f>
        <v>Tablet</v>
      </c>
      <c r="R984" s="7">
        <f t="shared" si="122"/>
        <v>1409.24</v>
      </c>
    </row>
    <row r="985" spans="1:18" ht="21.75" customHeight="1">
      <c r="A985" t="s">
        <v>1136</v>
      </c>
      <c r="B985" s="6">
        <v>45430</v>
      </c>
      <c r="C985" t="s">
        <v>9</v>
      </c>
      <c r="D985" t="s">
        <v>10</v>
      </c>
      <c r="E985" t="s">
        <v>17</v>
      </c>
      <c r="F985" t="s">
        <v>12</v>
      </c>
      <c r="G985" t="s">
        <v>32</v>
      </c>
      <c r="H985">
        <v>13</v>
      </c>
      <c r="I985" t="str">
        <f>VLOOKUP(D985,Product_Lookup!$A$2:$C$27,3,FALSE)</f>
        <v>$146.06</v>
      </c>
      <c r="J985" t="str">
        <f t="shared" si="123"/>
        <v>Saturday</v>
      </c>
      <c r="K985" s="10" t="str">
        <f t="shared" si="124"/>
        <v>May</v>
      </c>
      <c r="L985">
        <f t="shared" si="125"/>
        <v>2024</v>
      </c>
      <c r="M985" t="b">
        <f t="shared" si="126"/>
        <v>1</v>
      </c>
      <c r="N985" t="b">
        <f t="shared" si="120"/>
        <v>1</v>
      </c>
      <c r="O985" t="str">
        <f t="shared" si="127"/>
        <v>Large Order</v>
      </c>
      <c r="P985" s="7">
        <f t="shared" si="121"/>
        <v>7.3030000000000008</v>
      </c>
      <c r="Q985" s="7" t="str">
        <f>VLOOKUP(D986,Product_Lookup!$A$2:$C$27,2,FALSE)</f>
        <v>Jacket</v>
      </c>
      <c r="R985" s="7">
        <f t="shared" si="122"/>
        <v>1898.78</v>
      </c>
    </row>
    <row r="986" spans="1:18" ht="21.75" customHeight="1">
      <c r="A986" t="s">
        <v>1137</v>
      </c>
      <c r="B986" s="6">
        <v>45347</v>
      </c>
      <c r="C986" t="s">
        <v>138</v>
      </c>
      <c r="D986" t="s">
        <v>197</v>
      </c>
      <c r="E986" t="s">
        <v>17</v>
      </c>
      <c r="F986" t="s">
        <v>27</v>
      </c>
      <c r="G986" t="s">
        <v>13</v>
      </c>
      <c r="H986">
        <v>13</v>
      </c>
      <c r="I986" t="str">
        <f>VLOOKUP(D986,Product_Lookup!$A$2:$C$27,3,FALSE)</f>
        <v>$10.11</v>
      </c>
      <c r="J986" t="str">
        <f t="shared" si="123"/>
        <v>Sunday</v>
      </c>
      <c r="K986" s="10" t="str">
        <f t="shared" si="124"/>
        <v>February</v>
      </c>
      <c r="L986">
        <f t="shared" si="125"/>
        <v>2024</v>
      </c>
      <c r="M986" t="b">
        <f t="shared" si="126"/>
        <v>1</v>
      </c>
      <c r="N986" t="b">
        <f t="shared" si="120"/>
        <v>0</v>
      </c>
      <c r="O986" t="str">
        <f t="shared" si="127"/>
        <v>Standard order</v>
      </c>
      <c r="P986" s="7">
        <f t="shared" si="121"/>
        <v>0.50549999999999995</v>
      </c>
      <c r="Q986" s="7" t="str">
        <f>VLOOKUP(D987,Product_Lookup!$A$2:$C$27,2,FALSE)</f>
        <v>Tablet</v>
      </c>
      <c r="R986" s="7">
        <f t="shared" si="122"/>
        <v>131.43</v>
      </c>
    </row>
    <row r="987" spans="1:18" ht="21.75" customHeight="1">
      <c r="A987" t="s">
        <v>1138</v>
      </c>
      <c r="B987" s="6">
        <v>45453</v>
      </c>
      <c r="C987" t="s">
        <v>374</v>
      </c>
      <c r="D987" t="s">
        <v>10</v>
      </c>
      <c r="E987" t="s">
        <v>22</v>
      </c>
      <c r="F987" t="s">
        <v>306</v>
      </c>
      <c r="G987" t="s">
        <v>23</v>
      </c>
      <c r="H987">
        <v>6</v>
      </c>
      <c r="I987" t="str">
        <f>VLOOKUP(D987,Product_Lookup!$A$2:$C$27,3,FALSE)</f>
        <v>$146.06</v>
      </c>
      <c r="J987" t="str">
        <f t="shared" si="123"/>
        <v>Monday</v>
      </c>
      <c r="K987" s="10" t="str">
        <f t="shared" si="124"/>
        <v>June</v>
      </c>
      <c r="L987">
        <f t="shared" si="125"/>
        <v>2024</v>
      </c>
      <c r="M987" t="b">
        <f t="shared" si="126"/>
        <v>0</v>
      </c>
      <c r="N987" t="b">
        <f t="shared" si="120"/>
        <v>1</v>
      </c>
      <c r="O987" t="str">
        <f t="shared" si="127"/>
        <v>Large Order</v>
      </c>
      <c r="P987" s="7">
        <f t="shared" si="121"/>
        <v>7.3030000000000008</v>
      </c>
      <c r="Q987" s="7" t="str">
        <f>VLOOKUP(D988,Product_Lookup!$A$2:$C$27,2,FALSE)</f>
        <v>Jacket</v>
      </c>
      <c r="R987" s="7">
        <f t="shared" si="122"/>
        <v>876.36</v>
      </c>
    </row>
    <row r="988" spans="1:18" ht="21.75" customHeight="1">
      <c r="A988" t="s">
        <v>1139</v>
      </c>
      <c r="B988" s="6">
        <v>45579</v>
      </c>
      <c r="C988" t="s">
        <v>436</v>
      </c>
      <c r="D988" t="s">
        <v>197</v>
      </c>
      <c r="E988" t="s">
        <v>11</v>
      </c>
      <c r="F988" t="s">
        <v>12</v>
      </c>
      <c r="G988" t="s">
        <v>23</v>
      </c>
      <c r="H988">
        <v>17</v>
      </c>
      <c r="I988" t="str">
        <f>VLOOKUP(D988,Product_Lookup!$A$2:$C$27,3,FALSE)</f>
        <v>$10.11</v>
      </c>
      <c r="J988" t="str">
        <f t="shared" si="123"/>
        <v>Monday</v>
      </c>
      <c r="K988" s="10" t="str">
        <f t="shared" si="124"/>
        <v>October</v>
      </c>
      <c r="L988">
        <f t="shared" si="125"/>
        <v>2024</v>
      </c>
      <c r="M988" t="b">
        <f t="shared" si="126"/>
        <v>0</v>
      </c>
      <c r="N988" t="b">
        <f t="shared" si="120"/>
        <v>0</v>
      </c>
      <c r="O988" t="str">
        <f t="shared" si="127"/>
        <v>Standard order</v>
      </c>
      <c r="P988" s="7">
        <f t="shared" si="121"/>
        <v>0.50549999999999995</v>
      </c>
      <c r="Q988" s="7" t="str">
        <f>VLOOKUP(D989,Product_Lookup!$A$2:$C$27,2,FALSE)</f>
        <v>Toaster</v>
      </c>
      <c r="R988" s="7">
        <f t="shared" si="122"/>
        <v>171.87</v>
      </c>
    </row>
    <row r="989" spans="1:18" ht="21.75" customHeight="1">
      <c r="A989" t="s">
        <v>1140</v>
      </c>
      <c r="B989" s="6">
        <v>45493</v>
      </c>
      <c r="C989" t="s">
        <v>323</v>
      </c>
      <c r="D989" t="s">
        <v>48</v>
      </c>
      <c r="E989" t="s">
        <v>11</v>
      </c>
      <c r="F989" t="s">
        <v>12</v>
      </c>
      <c r="G989" t="s">
        <v>32</v>
      </c>
      <c r="H989">
        <v>12</v>
      </c>
      <c r="I989" t="str">
        <f>VLOOKUP(D989,Product_Lookup!$A$2:$C$27,3,FALSE)</f>
        <v>$208.85</v>
      </c>
      <c r="J989" t="str">
        <f t="shared" si="123"/>
        <v>Saturday</v>
      </c>
      <c r="K989" s="10" t="str">
        <f t="shared" si="124"/>
        <v>July</v>
      </c>
      <c r="L989">
        <f t="shared" si="125"/>
        <v>2024</v>
      </c>
      <c r="M989" t="b">
        <f t="shared" si="126"/>
        <v>1</v>
      </c>
      <c r="N989" t="b">
        <f t="shared" si="120"/>
        <v>1</v>
      </c>
      <c r="O989" t="str">
        <f t="shared" si="127"/>
        <v>Large Order</v>
      </c>
      <c r="P989" s="7">
        <f t="shared" si="121"/>
        <v>10.442500000000001</v>
      </c>
      <c r="Q989" s="7" t="str">
        <f>VLOOKUP(D990,Product_Lookup!$A$2:$C$27,2,FALSE)</f>
        <v>Action Figure</v>
      </c>
      <c r="R989" s="7">
        <f t="shared" si="122"/>
        <v>2506.1999999999998</v>
      </c>
    </row>
    <row r="990" spans="1:18" ht="21.75" customHeight="1">
      <c r="A990" t="s">
        <v>1141</v>
      </c>
      <c r="B990" s="6">
        <v>45412</v>
      </c>
      <c r="C990" t="s">
        <v>358</v>
      </c>
      <c r="D990" t="s">
        <v>21</v>
      </c>
      <c r="E990" t="s">
        <v>17</v>
      </c>
      <c r="F990" t="s">
        <v>12</v>
      </c>
      <c r="G990" t="s">
        <v>13</v>
      </c>
      <c r="H990">
        <v>9</v>
      </c>
      <c r="I990" t="str">
        <f>VLOOKUP(D990,Product_Lookup!$A$2:$C$27,3,FALSE)</f>
        <v>$88.18</v>
      </c>
      <c r="J990" t="str">
        <f t="shared" si="123"/>
        <v>Tuesday</v>
      </c>
      <c r="K990" s="10" t="str">
        <f t="shared" si="124"/>
        <v>April</v>
      </c>
      <c r="L990">
        <f t="shared" si="125"/>
        <v>2024</v>
      </c>
      <c r="M990" t="b">
        <f t="shared" si="126"/>
        <v>0</v>
      </c>
      <c r="N990" t="b">
        <f t="shared" si="120"/>
        <v>1</v>
      </c>
      <c r="O990" t="str">
        <f t="shared" si="127"/>
        <v>Large Order</v>
      </c>
      <c r="P990" s="7">
        <f t="shared" si="121"/>
        <v>4.4090000000000007</v>
      </c>
      <c r="Q990" s="7" t="str">
        <f>VLOOKUP(D991,Product_Lookup!$A$2:$C$27,2,FALSE)</f>
        <v>Blender</v>
      </c>
      <c r="R990" s="7">
        <f t="shared" si="122"/>
        <v>793.62000000000012</v>
      </c>
    </row>
    <row r="991" spans="1:18" ht="21.75" customHeight="1">
      <c r="A991" t="s">
        <v>1142</v>
      </c>
      <c r="B991" s="6">
        <v>45576</v>
      </c>
      <c r="C991" t="s">
        <v>89</v>
      </c>
      <c r="D991" t="s">
        <v>72</v>
      </c>
      <c r="E991" t="s">
        <v>11</v>
      </c>
      <c r="F991" t="s">
        <v>56</v>
      </c>
      <c r="G991" t="s">
        <v>13</v>
      </c>
      <c r="H991">
        <v>13</v>
      </c>
      <c r="I991" t="str">
        <f>VLOOKUP(D991,Product_Lookup!$A$2:$C$27,3,FALSE)</f>
        <v>$156.44</v>
      </c>
      <c r="J991" t="str">
        <f t="shared" si="123"/>
        <v>Friday</v>
      </c>
      <c r="K991" s="10" t="str">
        <f t="shared" si="124"/>
        <v>October</v>
      </c>
      <c r="L991">
        <f t="shared" si="125"/>
        <v>2024</v>
      </c>
      <c r="M991" t="b">
        <f t="shared" si="126"/>
        <v>0</v>
      </c>
      <c r="N991" t="b">
        <f t="shared" si="120"/>
        <v>1</v>
      </c>
      <c r="O991" t="str">
        <f t="shared" si="127"/>
        <v>Large Order</v>
      </c>
      <c r="P991" s="7">
        <f t="shared" si="121"/>
        <v>7.8220000000000001</v>
      </c>
      <c r="Q991" s="7" t="str">
        <f>VLOOKUP(D992,Product_Lookup!$A$2:$C$27,2,FALSE)</f>
        <v>Action Figure</v>
      </c>
      <c r="R991" s="7">
        <f t="shared" si="122"/>
        <v>2033.72</v>
      </c>
    </row>
    <row r="992" spans="1:18" ht="21.75" customHeight="1">
      <c r="A992" t="s">
        <v>1143</v>
      </c>
      <c r="B992" s="6">
        <v>45487</v>
      </c>
      <c r="C992" t="s">
        <v>363</v>
      </c>
      <c r="D992" t="s">
        <v>21</v>
      </c>
      <c r="E992" t="s">
        <v>22</v>
      </c>
      <c r="F992" t="s">
        <v>306</v>
      </c>
      <c r="G992" t="s">
        <v>36</v>
      </c>
      <c r="H992">
        <v>8</v>
      </c>
      <c r="I992" t="str">
        <f>VLOOKUP(D992,Product_Lookup!$A$2:$C$27,3,FALSE)</f>
        <v>$88.18</v>
      </c>
      <c r="J992" t="str">
        <f t="shared" si="123"/>
        <v>Sunday</v>
      </c>
      <c r="K992" s="10" t="str">
        <f t="shared" si="124"/>
        <v>July</v>
      </c>
      <c r="L992">
        <f t="shared" si="125"/>
        <v>2024</v>
      </c>
      <c r="M992" t="b">
        <f t="shared" si="126"/>
        <v>1</v>
      </c>
      <c r="N992" t="b">
        <f t="shared" si="120"/>
        <v>0</v>
      </c>
      <c r="O992" t="str">
        <f t="shared" si="127"/>
        <v>Large Order</v>
      </c>
      <c r="P992" s="7">
        <f t="shared" si="121"/>
        <v>4.4090000000000007</v>
      </c>
      <c r="Q992" s="7" t="str">
        <f>VLOOKUP(D993,Product_Lookup!$A$2:$C$27,2,FALSE)</f>
        <v>Blender</v>
      </c>
      <c r="R992" s="7">
        <f t="shared" si="122"/>
        <v>705.44</v>
      </c>
    </row>
    <row r="993" spans="1:18" ht="21.75" customHeight="1">
      <c r="A993" t="s">
        <v>1144</v>
      </c>
      <c r="B993" s="6">
        <v>45370</v>
      </c>
      <c r="C993" t="s">
        <v>309</v>
      </c>
      <c r="D993" t="s">
        <v>72</v>
      </c>
      <c r="E993" t="s">
        <v>17</v>
      </c>
      <c r="F993" t="s">
        <v>306</v>
      </c>
      <c r="G993" t="s">
        <v>28</v>
      </c>
      <c r="H993">
        <v>15</v>
      </c>
      <c r="I993" t="str">
        <f>VLOOKUP(D993,Product_Lookup!$A$2:$C$27,3,FALSE)</f>
        <v>$156.44</v>
      </c>
      <c r="J993" t="str">
        <f t="shared" si="123"/>
        <v>Tuesday</v>
      </c>
      <c r="K993" s="10" t="str">
        <f t="shared" si="124"/>
        <v>March</v>
      </c>
      <c r="L993">
        <f t="shared" si="125"/>
        <v>2024</v>
      </c>
      <c r="M993" t="b">
        <f t="shared" si="126"/>
        <v>0</v>
      </c>
      <c r="N993" t="b">
        <f t="shared" si="120"/>
        <v>1</v>
      </c>
      <c r="O993" t="str">
        <f t="shared" si="127"/>
        <v>Large Order</v>
      </c>
      <c r="P993" s="7">
        <f t="shared" si="121"/>
        <v>7.8220000000000001</v>
      </c>
      <c r="Q993" s="7" t="str">
        <f>VLOOKUP(D994,Product_Lookup!$A$2:$C$27,2,FALSE)</f>
        <v>Board Game</v>
      </c>
      <c r="R993" s="7">
        <f t="shared" si="122"/>
        <v>2346.6</v>
      </c>
    </row>
    <row r="994" spans="1:18" ht="21.75" customHeight="1">
      <c r="A994" t="s">
        <v>1145</v>
      </c>
      <c r="B994" s="6">
        <v>45626</v>
      </c>
      <c r="C994" t="s">
        <v>99</v>
      </c>
      <c r="D994" t="s">
        <v>41</v>
      </c>
      <c r="E994" t="s">
        <v>22</v>
      </c>
      <c r="F994" t="s">
        <v>306</v>
      </c>
      <c r="G994" t="s">
        <v>32</v>
      </c>
      <c r="H994">
        <v>7</v>
      </c>
      <c r="I994" t="str">
        <f>VLOOKUP(D994,Product_Lookup!$A$2:$C$27,3,FALSE)</f>
        <v>$86.6</v>
      </c>
      <c r="J994" t="str">
        <f t="shared" si="123"/>
        <v>Saturday</v>
      </c>
      <c r="K994" s="10" t="str">
        <f t="shared" si="124"/>
        <v>November</v>
      </c>
      <c r="L994">
        <f t="shared" si="125"/>
        <v>2024</v>
      </c>
      <c r="M994" t="b">
        <f t="shared" si="126"/>
        <v>1</v>
      </c>
      <c r="N994" t="b">
        <f t="shared" si="120"/>
        <v>0</v>
      </c>
      <c r="O994" t="str">
        <f t="shared" si="127"/>
        <v>Large Order</v>
      </c>
      <c r="P994" s="7">
        <f t="shared" si="121"/>
        <v>4.33</v>
      </c>
      <c r="Q994" s="7" t="str">
        <f>VLOOKUP(D995,Product_Lookup!$A$2:$C$27,2,FALSE)</f>
        <v>Vacuum</v>
      </c>
      <c r="R994" s="7">
        <f t="shared" si="122"/>
        <v>606.19999999999993</v>
      </c>
    </row>
    <row r="995" spans="1:18" ht="21.75" customHeight="1">
      <c r="A995" t="s">
        <v>1146</v>
      </c>
      <c r="B995" s="6">
        <v>45644</v>
      </c>
      <c r="C995" t="s">
        <v>369</v>
      </c>
      <c r="D995" t="s">
        <v>87</v>
      </c>
      <c r="E995" t="s">
        <v>22</v>
      </c>
      <c r="F995" t="s">
        <v>56</v>
      </c>
      <c r="G995" t="s">
        <v>36</v>
      </c>
      <c r="H995">
        <v>5</v>
      </c>
      <c r="I995" t="str">
        <f>VLOOKUP(D995,Product_Lookup!$A$2:$C$27,3,FALSE)</f>
        <v>$26.59</v>
      </c>
      <c r="J995" t="str">
        <f t="shared" si="123"/>
        <v>Wednesday</v>
      </c>
      <c r="K995" s="10" t="str">
        <f t="shared" si="124"/>
        <v>December</v>
      </c>
      <c r="L995">
        <f t="shared" si="125"/>
        <v>2024</v>
      </c>
      <c r="M995" t="b">
        <f t="shared" si="126"/>
        <v>0</v>
      </c>
      <c r="N995" t="b">
        <f t="shared" si="120"/>
        <v>0</v>
      </c>
      <c r="O995" t="str">
        <f t="shared" si="127"/>
        <v>Standard order</v>
      </c>
      <c r="P995" s="7">
        <f t="shared" si="121"/>
        <v>1.3295000000000001</v>
      </c>
      <c r="Q995" s="7" t="str">
        <f>VLOOKUP(D996,Product_Lookup!$A$2:$C$27,2,FALSE)</f>
        <v>Pen Set</v>
      </c>
      <c r="R995" s="7">
        <f t="shared" si="122"/>
        <v>132.94999999999999</v>
      </c>
    </row>
    <row r="996" spans="1:18" ht="21.75" customHeight="1">
      <c r="A996" t="s">
        <v>1147</v>
      </c>
      <c r="B996" s="6">
        <v>45372</v>
      </c>
      <c r="C996" t="s">
        <v>38</v>
      </c>
      <c r="D996" t="s">
        <v>174</v>
      </c>
      <c r="E996" t="s">
        <v>11</v>
      </c>
      <c r="F996" t="s">
        <v>306</v>
      </c>
      <c r="G996" t="s">
        <v>28</v>
      </c>
      <c r="H996">
        <v>4</v>
      </c>
      <c r="I996" t="str">
        <f>VLOOKUP(D996,Product_Lookup!$A$2:$C$27,3,FALSE)</f>
        <v>$133.37</v>
      </c>
      <c r="J996" t="str">
        <f t="shared" si="123"/>
        <v>Thursday</v>
      </c>
      <c r="K996" s="10" t="str">
        <f t="shared" si="124"/>
        <v>March</v>
      </c>
      <c r="L996">
        <f t="shared" si="125"/>
        <v>2024</v>
      </c>
      <c r="M996" t="b">
        <f t="shared" si="126"/>
        <v>0</v>
      </c>
      <c r="N996" t="b">
        <f t="shared" si="120"/>
        <v>0</v>
      </c>
      <c r="O996" t="str">
        <f t="shared" si="127"/>
        <v>Large Order</v>
      </c>
      <c r="P996" s="7">
        <f t="shared" si="121"/>
        <v>6.6685000000000008</v>
      </c>
      <c r="Q996" s="7" t="str">
        <f>VLOOKUP(D997,Product_Lookup!$A$2:$C$27,2,FALSE)</f>
        <v>Vacuum</v>
      </c>
      <c r="R996" s="7">
        <f t="shared" si="122"/>
        <v>533.48</v>
      </c>
    </row>
    <row r="997" spans="1:18" ht="21.75" customHeight="1">
      <c r="A997" t="s">
        <v>1148</v>
      </c>
      <c r="B997" s="6">
        <v>45307</v>
      </c>
      <c r="C997" t="s">
        <v>332</v>
      </c>
      <c r="D997" t="s">
        <v>87</v>
      </c>
      <c r="E997" t="s">
        <v>17</v>
      </c>
      <c r="F997" t="s">
        <v>27</v>
      </c>
      <c r="G997" t="s">
        <v>32</v>
      </c>
      <c r="H997">
        <v>10</v>
      </c>
      <c r="I997" t="str">
        <f>VLOOKUP(D997,Product_Lookup!$A$2:$C$27,3,FALSE)</f>
        <v>$26.59</v>
      </c>
      <c r="J997" t="str">
        <f t="shared" si="123"/>
        <v>Tuesday</v>
      </c>
      <c r="K997" s="10" t="str">
        <f t="shared" si="124"/>
        <v>January</v>
      </c>
      <c r="L997">
        <f t="shared" si="125"/>
        <v>2024</v>
      </c>
      <c r="M997" t="b">
        <f t="shared" si="126"/>
        <v>0</v>
      </c>
      <c r="N997" t="b">
        <f t="shared" si="120"/>
        <v>0</v>
      </c>
      <c r="O997" t="str">
        <f t="shared" si="127"/>
        <v>Standard order</v>
      </c>
      <c r="P997" s="7">
        <f t="shared" si="121"/>
        <v>1.3295000000000001</v>
      </c>
      <c r="Q997" s="7" t="str">
        <f>VLOOKUP(D998,Product_Lookup!$A$2:$C$27,2,FALSE)</f>
        <v>Headphones</v>
      </c>
      <c r="R997" s="7">
        <f t="shared" si="122"/>
        <v>265.89999999999998</v>
      </c>
    </row>
    <row r="998" spans="1:18" ht="21.75" customHeight="1">
      <c r="A998" t="s">
        <v>1149</v>
      </c>
      <c r="B998" s="6">
        <v>45369</v>
      </c>
      <c r="C998" t="s">
        <v>420</v>
      </c>
      <c r="D998" t="s">
        <v>16</v>
      </c>
      <c r="E998" t="s">
        <v>11</v>
      </c>
      <c r="F998" t="s">
        <v>12</v>
      </c>
      <c r="G998" t="s">
        <v>36</v>
      </c>
      <c r="H998">
        <v>6</v>
      </c>
      <c r="I998" t="str">
        <f>VLOOKUP(D998,Product_Lookup!$A$2:$C$27,3,FALSE)</f>
        <v>$178.83</v>
      </c>
      <c r="J998" t="str">
        <f t="shared" si="123"/>
        <v>Monday</v>
      </c>
      <c r="K998" s="10" t="str">
        <f t="shared" si="124"/>
        <v>March</v>
      </c>
      <c r="L998">
        <f t="shared" si="125"/>
        <v>2024</v>
      </c>
      <c r="M998" t="b">
        <f t="shared" si="126"/>
        <v>0</v>
      </c>
      <c r="N998" t="b">
        <f t="shared" si="120"/>
        <v>1</v>
      </c>
      <c r="O998" t="str">
        <f t="shared" si="127"/>
        <v>Large Order</v>
      </c>
      <c r="P998" s="7">
        <f t="shared" si="121"/>
        <v>8.9415000000000013</v>
      </c>
      <c r="Q998" s="7" t="str">
        <f>VLOOKUP(D999,Product_Lookup!$A$2:$C$27,2,FALSE)</f>
        <v>Paper Shredder</v>
      </c>
      <c r="R998" s="7">
        <f t="shared" si="122"/>
        <v>1072.98</v>
      </c>
    </row>
    <row r="999" spans="1:18" ht="21.75" customHeight="1">
      <c r="A999" t="s">
        <v>1150</v>
      </c>
      <c r="B999" s="6">
        <v>45607</v>
      </c>
      <c r="C999" t="s">
        <v>101</v>
      </c>
      <c r="D999" t="s">
        <v>109</v>
      </c>
      <c r="E999" t="s">
        <v>22</v>
      </c>
      <c r="F999" t="s">
        <v>306</v>
      </c>
      <c r="G999" t="s">
        <v>28</v>
      </c>
      <c r="H999">
        <v>8</v>
      </c>
      <c r="I999" t="str">
        <f>VLOOKUP(D999,Product_Lookup!$A$2:$C$27,3,FALSE)</f>
        <v>$81.02</v>
      </c>
      <c r="J999" t="str">
        <f t="shared" si="123"/>
        <v>Monday</v>
      </c>
      <c r="K999" s="10" t="str">
        <f t="shared" si="124"/>
        <v>November</v>
      </c>
      <c r="L999">
        <f t="shared" si="125"/>
        <v>2024</v>
      </c>
      <c r="M999" t="b">
        <f t="shared" si="126"/>
        <v>0</v>
      </c>
      <c r="N999" t="b">
        <f t="shared" si="120"/>
        <v>0</v>
      </c>
      <c r="O999" t="str">
        <f t="shared" si="127"/>
        <v>Large Order</v>
      </c>
      <c r="P999" s="7">
        <f t="shared" si="121"/>
        <v>4.0510000000000002</v>
      </c>
      <c r="Q999" s="7" t="str">
        <f>VLOOKUP(D1000,Product_Lookup!$A$2:$C$27,2,FALSE)</f>
        <v>Puzzle</v>
      </c>
      <c r="R999" s="7">
        <f t="shared" si="122"/>
        <v>648.16</v>
      </c>
    </row>
    <row r="1000" spans="1:18" ht="21.75" customHeight="1">
      <c r="A1000" t="s">
        <v>1151</v>
      </c>
      <c r="B1000" s="6">
        <v>45643</v>
      </c>
      <c r="C1000" t="s">
        <v>64</v>
      </c>
      <c r="D1000" t="s">
        <v>62</v>
      </c>
      <c r="E1000" t="s">
        <v>17</v>
      </c>
      <c r="F1000" t="s">
        <v>12</v>
      </c>
      <c r="G1000" t="s">
        <v>36</v>
      </c>
      <c r="H1000">
        <v>16</v>
      </c>
      <c r="I1000" t="str">
        <f>VLOOKUP(D1000,Product_Lookup!$A$2:$C$27,3,FALSE)</f>
        <v>$46.19</v>
      </c>
      <c r="J1000" t="str">
        <f t="shared" si="123"/>
        <v>Tuesday</v>
      </c>
      <c r="K1000" s="10" t="str">
        <f t="shared" si="124"/>
        <v>December</v>
      </c>
      <c r="L1000">
        <f t="shared" si="125"/>
        <v>2024</v>
      </c>
      <c r="M1000" t="b">
        <f t="shared" si="126"/>
        <v>0</v>
      </c>
      <c r="N1000" t="b">
        <f t="shared" si="120"/>
        <v>0</v>
      </c>
      <c r="O1000" t="str">
        <f t="shared" si="127"/>
        <v>Large Order</v>
      </c>
      <c r="P1000" s="7">
        <f t="shared" si="121"/>
        <v>2.3094999999999999</v>
      </c>
      <c r="Q1000" s="7" t="str">
        <f>VLOOKUP(D1001,Product_Lookup!$A$2:$C$27,2,FALSE)</f>
        <v>T-Shirt</v>
      </c>
      <c r="R1000" s="7">
        <f t="shared" si="122"/>
        <v>739.04</v>
      </c>
    </row>
    <row r="1001" spans="1:18" ht="21.75" customHeight="1">
      <c r="A1001" t="s">
        <v>1152</v>
      </c>
      <c r="B1001" s="6">
        <v>45532</v>
      </c>
      <c r="C1001" t="s">
        <v>436</v>
      </c>
      <c r="D1001" t="s">
        <v>45</v>
      </c>
      <c r="E1001" t="s">
        <v>22</v>
      </c>
      <c r="F1001" t="s">
        <v>42</v>
      </c>
      <c r="G1001" t="s">
        <v>28</v>
      </c>
      <c r="H1001">
        <v>13</v>
      </c>
      <c r="I1001" t="str">
        <f>VLOOKUP(D1001,Product_Lookup!$A$2:$C$27,3,FALSE)</f>
        <v>$107.34</v>
      </c>
      <c r="J1001" t="str">
        <f t="shared" si="123"/>
        <v>Wednesday</v>
      </c>
      <c r="K1001" s="10" t="str">
        <f t="shared" si="124"/>
        <v>August</v>
      </c>
      <c r="L1001">
        <f t="shared" si="125"/>
        <v>2024</v>
      </c>
      <c r="M1001" t="b">
        <f t="shared" si="126"/>
        <v>0</v>
      </c>
      <c r="N1001" t="b">
        <f t="shared" si="120"/>
        <v>1</v>
      </c>
      <c r="O1001" t="str">
        <f t="shared" si="127"/>
        <v>Large Order</v>
      </c>
      <c r="P1001" s="7">
        <f t="shared" si="121"/>
        <v>5.3670000000000009</v>
      </c>
      <c r="Q1001" s="7" t="str">
        <f>VLOOKUP(D1002,Product_Lookup!$A$2:$C$27,2,FALSE)</f>
        <v>Vacuum</v>
      </c>
      <c r="R1001" s="7">
        <f t="shared" si="122"/>
        <v>1395.42</v>
      </c>
    </row>
    <row r="1002" spans="1:18" ht="21.75" customHeight="1">
      <c r="A1002" t="s">
        <v>1153</v>
      </c>
      <c r="B1002" s="6">
        <v>45375</v>
      </c>
      <c r="C1002" t="s">
        <v>150</v>
      </c>
      <c r="D1002" t="s">
        <v>87</v>
      </c>
      <c r="E1002" t="s">
        <v>11</v>
      </c>
      <c r="F1002" t="s">
        <v>12</v>
      </c>
      <c r="G1002" t="s">
        <v>23</v>
      </c>
      <c r="H1002">
        <v>1</v>
      </c>
      <c r="I1002" t="str">
        <f>VLOOKUP(D1002,Product_Lookup!$A$2:$C$27,3,FALSE)</f>
        <v>$26.59</v>
      </c>
      <c r="J1002" t="str">
        <f t="shared" si="123"/>
        <v>Sunday</v>
      </c>
      <c r="K1002" s="10" t="str">
        <f t="shared" si="124"/>
        <v>March</v>
      </c>
      <c r="L1002">
        <f t="shared" si="125"/>
        <v>2024</v>
      </c>
      <c r="M1002" t="b">
        <f t="shared" si="126"/>
        <v>1</v>
      </c>
      <c r="N1002" t="b">
        <f t="shared" si="120"/>
        <v>0</v>
      </c>
      <c r="O1002" t="str">
        <f t="shared" si="127"/>
        <v>Standard order</v>
      </c>
      <c r="P1002" s="7">
        <f t="shared" si="121"/>
        <v>1.3295000000000001</v>
      </c>
      <c r="Q1002" s="7" t="str">
        <f>VLOOKUP(D1003,Product_Lookup!$A$2:$C$27,2,FALSE)</f>
        <v>Doll</v>
      </c>
      <c r="R1002" s="7">
        <f t="shared" si="122"/>
        <v>26.59</v>
      </c>
    </row>
    <row r="1003" spans="1:18" ht="21.75" customHeight="1">
      <c r="A1003" t="s">
        <v>1154</v>
      </c>
      <c r="B1003" s="6">
        <v>45405</v>
      </c>
      <c r="C1003" t="s">
        <v>323</v>
      </c>
      <c r="D1003" t="s">
        <v>119</v>
      </c>
      <c r="E1003" t="s">
        <v>22</v>
      </c>
      <c r="F1003" t="s">
        <v>56</v>
      </c>
      <c r="G1003" t="s">
        <v>23</v>
      </c>
      <c r="H1003">
        <v>7</v>
      </c>
      <c r="I1003" t="str">
        <f>VLOOKUP(D1003,Product_Lookup!$A$2:$C$27,3,FALSE)</f>
        <v>$32.94</v>
      </c>
      <c r="J1003" t="str">
        <f t="shared" si="123"/>
        <v>Tuesday</v>
      </c>
      <c r="K1003" s="10" t="str">
        <f t="shared" si="124"/>
        <v>April</v>
      </c>
      <c r="L1003">
        <f t="shared" si="125"/>
        <v>2024</v>
      </c>
      <c r="M1003" t="b">
        <f t="shared" si="126"/>
        <v>0</v>
      </c>
      <c r="N1003" t="b">
        <f t="shared" si="120"/>
        <v>0</v>
      </c>
      <c r="O1003" t="str">
        <f t="shared" si="127"/>
        <v>Standard order</v>
      </c>
      <c r="P1003" s="7">
        <f t="shared" si="121"/>
        <v>1.647</v>
      </c>
      <c r="Q1003" s="7" t="str">
        <f>VLOOKUP(D1004,Product_Lookup!$A$2:$C$27,2,FALSE)</f>
        <v>Air Fryer</v>
      </c>
      <c r="R1003" s="7">
        <f t="shared" si="122"/>
        <v>230.57999999999998</v>
      </c>
    </row>
    <row r="1004" spans="1:18" ht="21.75" customHeight="1">
      <c r="A1004" t="s">
        <v>1155</v>
      </c>
      <c r="B1004" s="6">
        <v>45607</v>
      </c>
      <c r="C1004" t="s">
        <v>374</v>
      </c>
      <c r="D1004" t="s">
        <v>70</v>
      </c>
      <c r="E1004" t="s">
        <v>22</v>
      </c>
      <c r="F1004" t="s">
        <v>42</v>
      </c>
      <c r="G1004" t="s">
        <v>13</v>
      </c>
      <c r="H1004">
        <v>8</v>
      </c>
      <c r="I1004" t="str">
        <f>VLOOKUP(D1004,Product_Lookup!$A$2:$C$27,3,FALSE)</f>
        <v>$211.9</v>
      </c>
      <c r="J1004" t="str">
        <f t="shared" si="123"/>
        <v>Monday</v>
      </c>
      <c r="K1004" s="10" t="str">
        <f t="shared" si="124"/>
        <v>November</v>
      </c>
      <c r="L1004">
        <f t="shared" si="125"/>
        <v>2024</v>
      </c>
      <c r="M1004" t="b">
        <f t="shared" si="126"/>
        <v>0</v>
      </c>
      <c r="N1004" t="b">
        <f t="shared" si="120"/>
        <v>1</v>
      </c>
      <c r="O1004" t="str">
        <f t="shared" si="127"/>
        <v>Large Order</v>
      </c>
      <c r="P1004" s="7">
        <f t="shared" si="121"/>
        <v>10.595000000000001</v>
      </c>
      <c r="Q1004" s="7" t="str">
        <f>VLOOKUP(D1005,Product_Lookup!$A$2:$C$27,2,FALSE)</f>
        <v>Coffee Maker</v>
      </c>
      <c r="R1004" s="7">
        <f t="shared" si="122"/>
        <v>1695.2</v>
      </c>
    </row>
    <row r="1005" spans="1:18" ht="21.75" customHeight="1">
      <c r="A1005" t="s">
        <v>1156</v>
      </c>
      <c r="B1005" s="6">
        <v>45603</v>
      </c>
      <c r="C1005" t="s">
        <v>304</v>
      </c>
      <c r="D1005" t="s">
        <v>31</v>
      </c>
      <c r="E1005" t="s">
        <v>17</v>
      </c>
      <c r="F1005" t="s">
        <v>42</v>
      </c>
      <c r="G1005" t="s">
        <v>36</v>
      </c>
      <c r="H1005">
        <v>20</v>
      </c>
      <c r="I1005" t="str">
        <f>VLOOKUP(D1005,Product_Lookup!$A$2:$C$27,3,FALSE)</f>
        <v>$230.34</v>
      </c>
      <c r="J1005" t="str">
        <f t="shared" si="123"/>
        <v>Thursday</v>
      </c>
      <c r="K1005" s="10" t="str">
        <f t="shared" si="124"/>
        <v>November</v>
      </c>
      <c r="L1005">
        <f t="shared" si="125"/>
        <v>2024</v>
      </c>
      <c r="M1005" t="b">
        <f t="shared" si="126"/>
        <v>0</v>
      </c>
      <c r="N1005" t="b">
        <f t="shared" si="120"/>
        <v>1</v>
      </c>
      <c r="O1005" t="str">
        <f t="shared" si="127"/>
        <v>Large Order</v>
      </c>
      <c r="P1005" s="7">
        <f t="shared" si="121"/>
        <v>11.517000000000001</v>
      </c>
      <c r="Q1005" s="7" t="str">
        <f>VLOOKUP(D1006,Product_Lookup!$A$2:$C$27,2,FALSE)</f>
        <v>Notebook</v>
      </c>
      <c r="R1005" s="7">
        <f t="shared" si="122"/>
        <v>4606.8</v>
      </c>
    </row>
    <row r="1006" spans="1:18" ht="21.75" customHeight="1">
      <c r="A1006" t="s">
        <v>1157</v>
      </c>
      <c r="B1006" s="6">
        <v>45596</v>
      </c>
      <c r="C1006" t="s">
        <v>312</v>
      </c>
      <c r="D1006" t="s">
        <v>160</v>
      </c>
      <c r="E1006" t="s">
        <v>22</v>
      </c>
      <c r="F1006" t="s">
        <v>12</v>
      </c>
      <c r="G1006" t="s">
        <v>13</v>
      </c>
      <c r="H1006">
        <v>4</v>
      </c>
      <c r="I1006" t="str">
        <f>VLOOKUP(D1006,Product_Lookup!$A$2:$C$27,3,FALSE)</f>
        <v>$149.27</v>
      </c>
      <c r="J1006" t="str">
        <f t="shared" si="123"/>
        <v>Thursday</v>
      </c>
      <c r="K1006" s="10" t="str">
        <f t="shared" si="124"/>
        <v>October</v>
      </c>
      <c r="L1006">
        <f t="shared" si="125"/>
        <v>2024</v>
      </c>
      <c r="M1006" t="b">
        <f t="shared" si="126"/>
        <v>0</v>
      </c>
      <c r="N1006" t="b">
        <f t="shared" si="120"/>
        <v>0</v>
      </c>
      <c r="O1006" t="str">
        <f t="shared" si="127"/>
        <v>Large Order</v>
      </c>
      <c r="P1006" s="7">
        <f t="shared" si="121"/>
        <v>7.4635000000000007</v>
      </c>
      <c r="Q1006" s="7" t="str">
        <f>VLOOKUP(D1007,Product_Lookup!$A$2:$C$27,2,FALSE)</f>
        <v>Lego Set</v>
      </c>
      <c r="R1006" s="7">
        <f t="shared" si="122"/>
        <v>597.08000000000004</v>
      </c>
    </row>
    <row r="1007" spans="1:18" ht="21.75" customHeight="1">
      <c r="A1007" t="s">
        <v>1158</v>
      </c>
      <c r="B1007" s="6">
        <v>45417</v>
      </c>
      <c r="C1007" t="s">
        <v>363</v>
      </c>
      <c r="D1007" t="s">
        <v>84</v>
      </c>
      <c r="E1007" t="s">
        <v>22</v>
      </c>
      <c r="F1007" t="s">
        <v>27</v>
      </c>
      <c r="G1007" t="s">
        <v>36</v>
      </c>
      <c r="H1007">
        <v>2</v>
      </c>
      <c r="I1007" t="str">
        <f>VLOOKUP(D1007,Product_Lookup!$A$2:$C$27,3,FALSE)</f>
        <v>$130.07</v>
      </c>
      <c r="J1007" t="str">
        <f t="shared" si="123"/>
        <v>Sunday</v>
      </c>
      <c r="K1007" s="10" t="str">
        <f t="shared" si="124"/>
        <v>May</v>
      </c>
      <c r="L1007">
        <f t="shared" si="125"/>
        <v>2024</v>
      </c>
      <c r="M1007" t="b">
        <f t="shared" si="126"/>
        <v>1</v>
      </c>
      <c r="N1007" t="b">
        <f t="shared" si="120"/>
        <v>0</v>
      </c>
      <c r="O1007" t="str">
        <f t="shared" si="127"/>
        <v>Standard order</v>
      </c>
      <c r="P1007" s="7">
        <f t="shared" si="121"/>
        <v>6.5034999999999998</v>
      </c>
      <c r="Q1007" s="7" t="str">
        <f>VLOOKUP(D1008,Product_Lookup!$A$2:$C$27,2,FALSE)</f>
        <v>Air Fryer</v>
      </c>
      <c r="R1007" s="7">
        <f t="shared" si="122"/>
        <v>260.14</v>
      </c>
    </row>
    <row r="1008" spans="1:18" ht="21.75" customHeight="1">
      <c r="A1008" t="s">
        <v>1159</v>
      </c>
      <c r="B1008" s="6">
        <v>45614</v>
      </c>
      <c r="C1008" t="s">
        <v>9</v>
      </c>
      <c r="D1008" t="s">
        <v>70</v>
      </c>
      <c r="E1008" t="s">
        <v>11</v>
      </c>
      <c r="F1008" t="s">
        <v>42</v>
      </c>
      <c r="G1008" t="s">
        <v>32</v>
      </c>
      <c r="H1008">
        <v>13</v>
      </c>
      <c r="I1008" t="str">
        <f>VLOOKUP(D1008,Product_Lookup!$A$2:$C$27,3,FALSE)</f>
        <v>$211.9</v>
      </c>
      <c r="J1008" t="str">
        <f t="shared" si="123"/>
        <v>Monday</v>
      </c>
      <c r="K1008" s="10" t="str">
        <f t="shared" si="124"/>
        <v>November</v>
      </c>
      <c r="L1008">
        <f t="shared" si="125"/>
        <v>2024</v>
      </c>
      <c r="M1008" t="b">
        <f t="shared" si="126"/>
        <v>0</v>
      </c>
      <c r="N1008" t="b">
        <f t="shared" si="120"/>
        <v>1</v>
      </c>
      <c r="O1008" t="str">
        <f t="shared" si="127"/>
        <v>Large Order</v>
      </c>
      <c r="P1008" s="7">
        <f t="shared" si="121"/>
        <v>10.595000000000001</v>
      </c>
      <c r="Q1008" s="7" t="str">
        <f>VLOOKUP(D1009,Product_Lookup!$A$2:$C$27,2,FALSE)</f>
        <v>Paper Shredder</v>
      </c>
      <c r="R1008" s="7">
        <f t="shared" si="122"/>
        <v>2754.7000000000003</v>
      </c>
    </row>
    <row r="1009" spans="1:18" ht="21.75" customHeight="1">
      <c r="A1009" t="s">
        <v>1160</v>
      </c>
      <c r="B1009" s="6">
        <v>45528</v>
      </c>
      <c r="C1009" t="s">
        <v>30</v>
      </c>
      <c r="D1009" t="s">
        <v>109</v>
      </c>
      <c r="E1009" t="s">
        <v>17</v>
      </c>
      <c r="F1009" t="s">
        <v>42</v>
      </c>
      <c r="G1009" t="s">
        <v>28</v>
      </c>
      <c r="H1009">
        <v>2</v>
      </c>
      <c r="I1009" t="str">
        <f>VLOOKUP(D1009,Product_Lookup!$A$2:$C$27,3,FALSE)</f>
        <v>$81.02</v>
      </c>
      <c r="J1009" t="str">
        <f t="shared" si="123"/>
        <v>Saturday</v>
      </c>
      <c r="K1009" s="10" t="str">
        <f t="shared" si="124"/>
        <v>August</v>
      </c>
      <c r="L1009">
        <f t="shared" si="125"/>
        <v>2024</v>
      </c>
      <c r="M1009" t="b">
        <f t="shared" si="126"/>
        <v>1</v>
      </c>
      <c r="N1009" t="b">
        <f t="shared" si="120"/>
        <v>0</v>
      </c>
      <c r="O1009" t="str">
        <f t="shared" si="127"/>
        <v>Standard order</v>
      </c>
      <c r="P1009" s="7">
        <f t="shared" si="121"/>
        <v>4.0510000000000002</v>
      </c>
      <c r="Q1009" s="7" t="str">
        <f>VLOOKUP(D1010,Product_Lookup!$A$2:$C$27,2,FALSE)</f>
        <v>Lego Set</v>
      </c>
      <c r="R1009" s="7">
        <f t="shared" si="122"/>
        <v>162.04</v>
      </c>
    </row>
    <row r="1010" spans="1:18" ht="21.75" customHeight="1">
      <c r="A1010" t="s">
        <v>1161</v>
      </c>
      <c r="B1010" s="6">
        <v>45529</v>
      </c>
      <c r="C1010" t="s">
        <v>736</v>
      </c>
      <c r="D1010" t="s">
        <v>84</v>
      </c>
      <c r="E1010" t="s">
        <v>17</v>
      </c>
      <c r="F1010" t="s">
        <v>12</v>
      </c>
      <c r="G1010" t="s">
        <v>36</v>
      </c>
      <c r="H1010">
        <v>17</v>
      </c>
      <c r="I1010" t="str">
        <f>VLOOKUP(D1010,Product_Lookup!$A$2:$C$27,3,FALSE)</f>
        <v>$130.07</v>
      </c>
      <c r="J1010" t="str">
        <f t="shared" si="123"/>
        <v>Sunday</v>
      </c>
      <c r="K1010" s="10" t="str">
        <f t="shared" si="124"/>
        <v>August</v>
      </c>
      <c r="L1010">
        <f t="shared" si="125"/>
        <v>2024</v>
      </c>
      <c r="M1010" t="b">
        <f t="shared" si="126"/>
        <v>1</v>
      </c>
      <c r="N1010" t="b">
        <f t="shared" si="120"/>
        <v>1</v>
      </c>
      <c r="O1010" t="str">
        <f t="shared" si="127"/>
        <v>Large Order</v>
      </c>
      <c r="P1010" s="7">
        <f t="shared" si="121"/>
        <v>6.5034999999999998</v>
      </c>
      <c r="Q1010" s="7" t="str">
        <f>VLOOKUP(D1011,Product_Lookup!$A$2:$C$27,2,FALSE)</f>
        <v>Vacuum</v>
      </c>
      <c r="R1010" s="7">
        <f t="shared" si="122"/>
        <v>2211.19</v>
      </c>
    </row>
    <row r="1011" spans="1:18" ht="21.75" customHeight="1">
      <c r="A1011" t="s">
        <v>1162</v>
      </c>
      <c r="B1011" s="6">
        <v>45648</v>
      </c>
      <c r="C1011" t="s">
        <v>591</v>
      </c>
      <c r="D1011" t="s">
        <v>87</v>
      </c>
      <c r="E1011" t="s">
        <v>11</v>
      </c>
      <c r="F1011" t="s">
        <v>27</v>
      </c>
      <c r="G1011" t="s">
        <v>28</v>
      </c>
      <c r="H1011">
        <v>11</v>
      </c>
      <c r="I1011" t="str">
        <f>VLOOKUP(D1011,Product_Lookup!$A$2:$C$27,3,FALSE)</f>
        <v>$26.59</v>
      </c>
      <c r="J1011" t="str">
        <f t="shared" si="123"/>
        <v>Sunday</v>
      </c>
      <c r="K1011" s="10" t="str">
        <f t="shared" si="124"/>
        <v>December</v>
      </c>
      <c r="L1011">
        <f t="shared" si="125"/>
        <v>2024</v>
      </c>
      <c r="M1011" t="b">
        <f t="shared" si="126"/>
        <v>1</v>
      </c>
      <c r="N1011" t="b">
        <f t="shared" si="120"/>
        <v>0</v>
      </c>
      <c r="O1011" t="str">
        <f t="shared" si="127"/>
        <v>Standard order</v>
      </c>
      <c r="P1011" s="7">
        <f t="shared" si="121"/>
        <v>1.3295000000000001</v>
      </c>
      <c r="Q1011" s="7" t="str">
        <f>VLOOKUP(D1012,Product_Lookup!$A$2:$C$27,2,FALSE)</f>
        <v>Air Fryer</v>
      </c>
      <c r="R1011" s="7">
        <f t="shared" si="122"/>
        <v>292.49</v>
      </c>
    </row>
    <row r="1012" spans="1:18" ht="21.75" customHeight="1">
      <c r="A1012" t="s">
        <v>1163</v>
      </c>
      <c r="B1012" s="6">
        <v>45524</v>
      </c>
      <c r="C1012" t="s">
        <v>449</v>
      </c>
      <c r="D1012" t="s">
        <v>70</v>
      </c>
      <c r="E1012" t="s">
        <v>22</v>
      </c>
      <c r="F1012" t="s">
        <v>56</v>
      </c>
      <c r="G1012" t="s">
        <v>28</v>
      </c>
      <c r="H1012">
        <v>3</v>
      </c>
      <c r="I1012" t="str">
        <f>VLOOKUP(D1012,Product_Lookup!$A$2:$C$27,3,FALSE)</f>
        <v>$211.9</v>
      </c>
      <c r="J1012" t="str">
        <f t="shared" si="123"/>
        <v>Tuesday</v>
      </c>
      <c r="K1012" s="10" t="str">
        <f t="shared" si="124"/>
        <v>August</v>
      </c>
      <c r="L1012">
        <f t="shared" si="125"/>
        <v>2024</v>
      </c>
      <c r="M1012" t="b">
        <f t="shared" si="126"/>
        <v>0</v>
      </c>
      <c r="N1012" t="b">
        <f t="shared" si="120"/>
        <v>0</v>
      </c>
      <c r="O1012" t="str">
        <f t="shared" si="127"/>
        <v>Large Order</v>
      </c>
      <c r="P1012" s="7">
        <f t="shared" si="121"/>
        <v>10.595000000000001</v>
      </c>
      <c r="Q1012" s="7" t="str">
        <f>VLOOKUP(D1013,Product_Lookup!$A$2:$C$27,2,FALSE)</f>
        <v>Action Figure</v>
      </c>
      <c r="R1012" s="7">
        <f t="shared" si="122"/>
        <v>635.70000000000005</v>
      </c>
    </row>
    <row r="1013" spans="1:18" ht="21.75" customHeight="1">
      <c r="A1013" t="s">
        <v>1164</v>
      </c>
      <c r="B1013" s="6">
        <v>45355</v>
      </c>
      <c r="C1013" t="s">
        <v>203</v>
      </c>
      <c r="D1013" t="s">
        <v>21</v>
      </c>
      <c r="E1013" t="s">
        <v>11</v>
      </c>
      <c r="F1013" t="s">
        <v>27</v>
      </c>
      <c r="G1013" t="s">
        <v>23</v>
      </c>
      <c r="H1013">
        <v>12</v>
      </c>
      <c r="I1013" t="str">
        <f>VLOOKUP(D1013,Product_Lookup!$A$2:$C$27,3,FALSE)</f>
        <v>$88.18</v>
      </c>
      <c r="J1013" t="str">
        <f t="shared" si="123"/>
        <v>Monday</v>
      </c>
      <c r="K1013" s="10" t="str">
        <f t="shared" si="124"/>
        <v>March</v>
      </c>
      <c r="L1013">
        <f t="shared" si="125"/>
        <v>2024</v>
      </c>
      <c r="M1013" t="b">
        <f t="shared" si="126"/>
        <v>0</v>
      </c>
      <c r="N1013" t="b">
        <f t="shared" si="120"/>
        <v>1</v>
      </c>
      <c r="O1013" t="str">
        <f t="shared" si="127"/>
        <v>Large Order</v>
      </c>
      <c r="P1013" s="7">
        <f t="shared" si="121"/>
        <v>4.4090000000000007</v>
      </c>
      <c r="Q1013" s="7" t="str">
        <f>VLOOKUP(D1014,Product_Lookup!$A$2:$C$27,2,FALSE)</f>
        <v>Pen Set</v>
      </c>
      <c r="R1013" s="7">
        <f t="shared" si="122"/>
        <v>1058.1600000000001</v>
      </c>
    </row>
    <row r="1014" spans="1:18" ht="21.75" customHeight="1">
      <c r="A1014" t="s">
        <v>1165</v>
      </c>
      <c r="B1014" s="6">
        <v>45553</v>
      </c>
      <c r="C1014" t="s">
        <v>594</v>
      </c>
      <c r="D1014" t="s">
        <v>174</v>
      </c>
      <c r="E1014" t="s">
        <v>11</v>
      </c>
      <c r="F1014" t="s">
        <v>27</v>
      </c>
      <c r="G1014" t="s">
        <v>28</v>
      </c>
      <c r="H1014">
        <v>13</v>
      </c>
      <c r="I1014" t="str">
        <f>VLOOKUP(D1014,Product_Lookup!$A$2:$C$27,3,FALSE)</f>
        <v>$133.37</v>
      </c>
      <c r="J1014" t="str">
        <f t="shared" si="123"/>
        <v>Wednesday</v>
      </c>
      <c r="K1014" s="10" t="str">
        <f t="shared" si="124"/>
        <v>September</v>
      </c>
      <c r="L1014">
        <f t="shared" si="125"/>
        <v>2024</v>
      </c>
      <c r="M1014" t="b">
        <f t="shared" si="126"/>
        <v>0</v>
      </c>
      <c r="N1014" t="b">
        <f t="shared" si="120"/>
        <v>1</v>
      </c>
      <c r="O1014" t="str">
        <f t="shared" si="127"/>
        <v>Large Order</v>
      </c>
      <c r="P1014" s="7">
        <f t="shared" si="121"/>
        <v>6.6685000000000008</v>
      </c>
      <c r="Q1014" s="7" t="str">
        <f>VLOOKUP(D1015,Product_Lookup!$A$2:$C$27,2,FALSE)</f>
        <v>T-Shirt</v>
      </c>
      <c r="R1014" s="7">
        <f t="shared" si="122"/>
        <v>1733.81</v>
      </c>
    </row>
    <row r="1015" spans="1:18" ht="21.75" customHeight="1">
      <c r="A1015" t="s">
        <v>1166</v>
      </c>
      <c r="B1015" s="6">
        <v>45463</v>
      </c>
      <c r="C1015" t="s">
        <v>614</v>
      </c>
      <c r="D1015" t="s">
        <v>45</v>
      </c>
      <c r="E1015" t="s">
        <v>22</v>
      </c>
      <c r="F1015" t="s">
        <v>56</v>
      </c>
      <c r="G1015" t="s">
        <v>13</v>
      </c>
      <c r="H1015">
        <v>5</v>
      </c>
      <c r="I1015" t="str">
        <f>VLOOKUP(D1015,Product_Lookup!$A$2:$C$27,3,FALSE)</f>
        <v>$107.34</v>
      </c>
      <c r="J1015" t="str">
        <f t="shared" si="123"/>
        <v>Thursday</v>
      </c>
      <c r="K1015" s="10" t="str">
        <f t="shared" si="124"/>
        <v>June</v>
      </c>
      <c r="L1015">
        <f t="shared" si="125"/>
        <v>2024</v>
      </c>
      <c r="M1015" t="b">
        <f t="shared" si="126"/>
        <v>0</v>
      </c>
      <c r="N1015" t="b">
        <f t="shared" si="120"/>
        <v>0</v>
      </c>
      <c r="O1015" t="str">
        <f t="shared" si="127"/>
        <v>Large Order</v>
      </c>
      <c r="P1015" s="7">
        <f t="shared" si="121"/>
        <v>5.3670000000000009</v>
      </c>
      <c r="Q1015" s="7" t="str">
        <f>VLOOKUP(D1016,Product_Lookup!$A$2:$C$27,2,FALSE)</f>
        <v>Socks</v>
      </c>
      <c r="R1015" s="7">
        <f t="shared" si="122"/>
        <v>536.70000000000005</v>
      </c>
    </row>
    <row r="1016" spans="1:18" ht="21.75" customHeight="1">
      <c r="A1016" t="s">
        <v>1167</v>
      </c>
      <c r="B1016" s="6">
        <v>45506</v>
      </c>
      <c r="C1016" t="s">
        <v>147</v>
      </c>
      <c r="D1016" t="s">
        <v>74</v>
      </c>
      <c r="E1016" t="s">
        <v>17</v>
      </c>
      <c r="F1016" t="s">
        <v>27</v>
      </c>
      <c r="G1016" t="s">
        <v>28</v>
      </c>
      <c r="H1016">
        <v>6</v>
      </c>
      <c r="I1016" t="str">
        <f>VLOOKUP(D1016,Product_Lookup!$A$2:$C$27,3,FALSE)</f>
        <v>$201.32</v>
      </c>
      <c r="J1016" t="str">
        <f t="shared" si="123"/>
        <v>Friday</v>
      </c>
      <c r="K1016" s="10" t="str">
        <f t="shared" si="124"/>
        <v>August</v>
      </c>
      <c r="L1016">
        <f t="shared" si="125"/>
        <v>2024</v>
      </c>
      <c r="M1016" t="b">
        <f t="shared" si="126"/>
        <v>0</v>
      </c>
      <c r="N1016" t="b">
        <f t="shared" si="120"/>
        <v>1</v>
      </c>
      <c r="O1016" t="str">
        <f t="shared" si="127"/>
        <v>Large Order</v>
      </c>
      <c r="P1016" s="7">
        <f t="shared" si="121"/>
        <v>10.066000000000001</v>
      </c>
      <c r="Q1016" s="7" t="str">
        <f>VLOOKUP(D1017,Product_Lookup!$A$2:$C$27,2,FALSE)</f>
        <v>Laptop</v>
      </c>
      <c r="R1016" s="7">
        <f t="shared" si="122"/>
        <v>1207.92</v>
      </c>
    </row>
    <row r="1017" spans="1:18" ht="21.75" customHeight="1">
      <c r="A1017" t="s">
        <v>1168</v>
      </c>
      <c r="B1017" s="6">
        <v>45395</v>
      </c>
      <c r="C1017" t="s">
        <v>25</v>
      </c>
      <c r="D1017" t="s">
        <v>96</v>
      </c>
      <c r="E1017" t="s">
        <v>22</v>
      </c>
      <c r="F1017" t="s">
        <v>42</v>
      </c>
      <c r="G1017" t="s">
        <v>23</v>
      </c>
      <c r="H1017">
        <v>15</v>
      </c>
      <c r="I1017" t="str">
        <f>VLOOKUP(D1017,Product_Lookup!$A$2:$C$27,3,FALSE)</f>
        <v>$230.68</v>
      </c>
      <c r="J1017" t="str">
        <f t="shared" si="123"/>
        <v>Saturday</v>
      </c>
      <c r="K1017" s="10" t="str">
        <f t="shared" si="124"/>
        <v>April</v>
      </c>
      <c r="L1017">
        <f t="shared" si="125"/>
        <v>2024</v>
      </c>
      <c r="M1017" t="b">
        <f t="shared" si="126"/>
        <v>1</v>
      </c>
      <c r="N1017" t="b">
        <f t="shared" si="120"/>
        <v>1</v>
      </c>
      <c r="O1017" t="str">
        <f t="shared" si="127"/>
        <v>Large Order</v>
      </c>
      <c r="P1017" s="7">
        <f t="shared" si="121"/>
        <v>11.534000000000001</v>
      </c>
      <c r="Q1017" s="7" t="str">
        <f>VLOOKUP(D1018,Product_Lookup!$A$2:$C$27,2,FALSE)</f>
        <v>Jacket</v>
      </c>
      <c r="R1017" s="7">
        <f t="shared" si="122"/>
        <v>3460.2000000000003</v>
      </c>
    </row>
    <row r="1018" spans="1:18" ht="21.75" customHeight="1">
      <c r="A1018" t="s">
        <v>1169</v>
      </c>
      <c r="B1018" s="6">
        <v>45570</v>
      </c>
      <c r="C1018" t="s">
        <v>25</v>
      </c>
      <c r="D1018" t="s">
        <v>197</v>
      </c>
      <c r="E1018" t="s">
        <v>22</v>
      </c>
      <c r="F1018" t="s">
        <v>27</v>
      </c>
      <c r="G1018" t="s">
        <v>23</v>
      </c>
      <c r="H1018">
        <v>7</v>
      </c>
      <c r="I1018" t="str">
        <f>VLOOKUP(D1018,Product_Lookup!$A$2:$C$27,3,FALSE)</f>
        <v>$10.11</v>
      </c>
      <c r="J1018" t="str">
        <f t="shared" si="123"/>
        <v>Saturday</v>
      </c>
      <c r="K1018" s="10" t="str">
        <f t="shared" si="124"/>
        <v>October</v>
      </c>
      <c r="L1018">
        <f t="shared" si="125"/>
        <v>2024</v>
      </c>
      <c r="M1018" t="b">
        <f t="shared" si="126"/>
        <v>1</v>
      </c>
      <c r="N1018" t="b">
        <f t="shared" si="120"/>
        <v>0</v>
      </c>
      <c r="O1018" t="str">
        <f t="shared" si="127"/>
        <v>Standard order</v>
      </c>
      <c r="P1018" s="7">
        <f t="shared" si="121"/>
        <v>0.50549999999999995</v>
      </c>
      <c r="Q1018" s="7" t="str">
        <f>VLOOKUP(D1019,Product_Lookup!$A$2:$C$27,2,FALSE)</f>
        <v>Paper Shredder</v>
      </c>
      <c r="R1018" s="7">
        <f t="shared" si="122"/>
        <v>70.77</v>
      </c>
    </row>
    <row r="1019" spans="1:18" ht="21.75" customHeight="1">
      <c r="A1019" t="s">
        <v>1170</v>
      </c>
      <c r="B1019" s="6">
        <v>45524</v>
      </c>
      <c r="C1019" t="s">
        <v>408</v>
      </c>
      <c r="D1019" t="s">
        <v>109</v>
      </c>
      <c r="E1019" t="s">
        <v>17</v>
      </c>
      <c r="F1019" t="s">
        <v>12</v>
      </c>
      <c r="G1019" t="s">
        <v>36</v>
      </c>
      <c r="H1019">
        <v>20</v>
      </c>
      <c r="I1019" t="str">
        <f>VLOOKUP(D1019,Product_Lookup!$A$2:$C$27,3,FALSE)</f>
        <v>$81.02</v>
      </c>
      <c r="J1019" t="str">
        <f t="shared" si="123"/>
        <v>Tuesday</v>
      </c>
      <c r="K1019" s="10" t="str">
        <f t="shared" si="124"/>
        <v>August</v>
      </c>
      <c r="L1019">
        <f t="shared" si="125"/>
        <v>2024</v>
      </c>
      <c r="M1019" t="b">
        <f t="shared" si="126"/>
        <v>0</v>
      </c>
      <c r="N1019" t="b">
        <f t="shared" si="120"/>
        <v>1</v>
      </c>
      <c r="O1019" t="str">
        <f t="shared" si="127"/>
        <v>Large Order</v>
      </c>
      <c r="P1019" s="7">
        <f t="shared" si="121"/>
        <v>4.0510000000000002</v>
      </c>
      <c r="Q1019" s="7" t="str">
        <f>VLOOKUP(D1020,Product_Lookup!$A$2:$C$27,2,FALSE)</f>
        <v>Jeans</v>
      </c>
      <c r="R1019" s="7">
        <f t="shared" si="122"/>
        <v>1620.3999999999999</v>
      </c>
    </row>
    <row r="1020" spans="1:18" ht="21.75" customHeight="1">
      <c r="A1020" t="s">
        <v>1171</v>
      </c>
      <c r="B1020" s="6">
        <v>45434</v>
      </c>
      <c r="C1020" t="s">
        <v>381</v>
      </c>
      <c r="D1020" t="s">
        <v>65</v>
      </c>
      <c r="E1020" t="s">
        <v>22</v>
      </c>
      <c r="F1020" t="s">
        <v>306</v>
      </c>
      <c r="G1020" t="s">
        <v>13</v>
      </c>
      <c r="H1020">
        <v>2</v>
      </c>
      <c r="I1020" t="str">
        <f>VLOOKUP(D1020,Product_Lookup!$A$2:$C$27,3,FALSE)</f>
        <v>$33.22</v>
      </c>
      <c r="J1020" t="str">
        <f t="shared" si="123"/>
        <v>Wednesday</v>
      </c>
      <c r="K1020" s="10" t="str">
        <f t="shared" si="124"/>
        <v>May</v>
      </c>
      <c r="L1020">
        <f t="shared" si="125"/>
        <v>2024</v>
      </c>
      <c r="M1020" t="b">
        <f t="shared" si="126"/>
        <v>0</v>
      </c>
      <c r="N1020" t="b">
        <f t="shared" si="120"/>
        <v>0</v>
      </c>
      <c r="O1020" t="str">
        <f t="shared" si="127"/>
        <v>Standard order</v>
      </c>
      <c r="P1020" s="7">
        <f t="shared" si="121"/>
        <v>1.661</v>
      </c>
      <c r="Q1020" s="7" t="str">
        <f>VLOOKUP(D1021,Product_Lookup!$A$2:$C$27,2,FALSE)</f>
        <v>Smartphone</v>
      </c>
      <c r="R1020" s="7">
        <f t="shared" si="122"/>
        <v>66.44</v>
      </c>
    </row>
    <row r="1021" spans="1:18" ht="21.75" customHeight="1">
      <c r="A1021" t="s">
        <v>1172</v>
      </c>
      <c r="B1021" s="6">
        <v>45626</v>
      </c>
      <c r="C1021" t="s">
        <v>20</v>
      </c>
      <c r="D1021" t="s">
        <v>79</v>
      </c>
      <c r="E1021" t="s">
        <v>11</v>
      </c>
      <c r="F1021" t="s">
        <v>56</v>
      </c>
      <c r="G1021" t="s">
        <v>32</v>
      </c>
      <c r="H1021">
        <v>19</v>
      </c>
      <c r="I1021" t="str">
        <f>VLOOKUP(D1021,Product_Lookup!$A$2:$C$27,3,FALSE)</f>
        <v>$216.22</v>
      </c>
      <c r="J1021" t="str">
        <f t="shared" si="123"/>
        <v>Saturday</v>
      </c>
      <c r="K1021" s="10" t="str">
        <f t="shared" si="124"/>
        <v>November</v>
      </c>
      <c r="L1021">
        <f t="shared" si="125"/>
        <v>2024</v>
      </c>
      <c r="M1021" t="b">
        <f t="shared" si="126"/>
        <v>1</v>
      </c>
      <c r="N1021" t="b">
        <f t="shared" si="120"/>
        <v>1</v>
      </c>
      <c r="O1021" t="str">
        <f t="shared" si="127"/>
        <v>Large Order</v>
      </c>
      <c r="P1021" s="7">
        <f t="shared" si="121"/>
        <v>10.811</v>
      </c>
      <c r="Q1021" s="7" t="str">
        <f>VLOOKUP(D1022,Product_Lookup!$A$2:$C$27,2,FALSE)</f>
        <v>Vacuum</v>
      </c>
      <c r="R1021" s="7">
        <f t="shared" si="122"/>
        <v>4108.18</v>
      </c>
    </row>
    <row r="1022" spans="1:18" ht="21.75" customHeight="1">
      <c r="A1022" t="s">
        <v>1173</v>
      </c>
      <c r="B1022" s="6">
        <v>45461</v>
      </c>
      <c r="C1022" t="s">
        <v>203</v>
      </c>
      <c r="D1022" t="s">
        <v>87</v>
      </c>
      <c r="E1022" t="s">
        <v>11</v>
      </c>
      <c r="F1022" t="s">
        <v>12</v>
      </c>
      <c r="G1022" t="s">
        <v>32</v>
      </c>
      <c r="H1022">
        <v>6</v>
      </c>
      <c r="I1022" t="str">
        <f>VLOOKUP(D1022,Product_Lookup!$A$2:$C$27,3,FALSE)</f>
        <v>$26.59</v>
      </c>
      <c r="J1022" t="str">
        <f t="shared" si="123"/>
        <v>Tuesday</v>
      </c>
      <c r="K1022" s="10" t="str">
        <f t="shared" si="124"/>
        <v>June</v>
      </c>
      <c r="L1022">
        <f t="shared" si="125"/>
        <v>2024</v>
      </c>
      <c r="M1022" t="b">
        <f t="shared" si="126"/>
        <v>0</v>
      </c>
      <c r="N1022" t="b">
        <f t="shared" si="120"/>
        <v>0</v>
      </c>
      <c r="O1022" t="str">
        <f t="shared" si="127"/>
        <v>Standard order</v>
      </c>
      <c r="P1022" s="7">
        <f t="shared" si="121"/>
        <v>1.3295000000000001</v>
      </c>
      <c r="Q1022" s="7" t="str">
        <f>VLOOKUP(D1023,Product_Lookup!$A$2:$C$27,2,FALSE)</f>
        <v>Desk Lamp</v>
      </c>
      <c r="R1022" s="7">
        <f t="shared" si="122"/>
        <v>159.54</v>
      </c>
    </row>
    <row r="1023" spans="1:18" ht="21.75" customHeight="1">
      <c r="A1023" t="s">
        <v>1174</v>
      </c>
      <c r="B1023" s="6">
        <v>45604</v>
      </c>
      <c r="C1023" t="s">
        <v>371</v>
      </c>
      <c r="D1023" t="s">
        <v>59</v>
      </c>
      <c r="E1023" t="s">
        <v>22</v>
      </c>
      <c r="F1023" t="s">
        <v>306</v>
      </c>
      <c r="G1023" t="s">
        <v>23</v>
      </c>
      <c r="H1023">
        <v>18</v>
      </c>
      <c r="I1023" t="str">
        <f>VLOOKUP(D1023,Product_Lookup!$A$2:$C$27,3,FALSE)</f>
        <v>$101.96</v>
      </c>
      <c r="J1023" t="str">
        <f t="shared" si="123"/>
        <v>Friday</v>
      </c>
      <c r="K1023" s="10" t="str">
        <f t="shared" si="124"/>
        <v>November</v>
      </c>
      <c r="L1023">
        <f t="shared" si="125"/>
        <v>2024</v>
      </c>
      <c r="M1023" t="b">
        <f t="shared" si="126"/>
        <v>0</v>
      </c>
      <c r="N1023" t="b">
        <f t="shared" si="120"/>
        <v>1</v>
      </c>
      <c r="O1023" t="str">
        <f t="shared" si="127"/>
        <v>Large Order</v>
      </c>
      <c r="P1023" s="7">
        <f t="shared" si="121"/>
        <v>5.0979999999999999</v>
      </c>
      <c r="Q1023" s="7" t="str">
        <f>VLOOKUP(D1024,Product_Lookup!$A$2:$C$27,2,FALSE)</f>
        <v>Doll</v>
      </c>
      <c r="R1023" s="7">
        <f t="shared" si="122"/>
        <v>1835.28</v>
      </c>
    </row>
    <row r="1024" spans="1:18" ht="21.75" customHeight="1">
      <c r="A1024" t="s">
        <v>1175</v>
      </c>
      <c r="B1024" s="6">
        <v>45588</v>
      </c>
      <c r="C1024" t="s">
        <v>83</v>
      </c>
      <c r="D1024" t="s">
        <v>119</v>
      </c>
      <c r="E1024" t="s">
        <v>11</v>
      </c>
      <c r="F1024" t="s">
        <v>12</v>
      </c>
      <c r="G1024" t="s">
        <v>23</v>
      </c>
      <c r="H1024">
        <v>10</v>
      </c>
      <c r="I1024" t="str">
        <f>VLOOKUP(D1024,Product_Lookup!$A$2:$C$27,3,FALSE)</f>
        <v>$32.94</v>
      </c>
      <c r="J1024" t="str">
        <f t="shared" si="123"/>
        <v>Wednesday</v>
      </c>
      <c r="K1024" s="10" t="str">
        <f t="shared" si="124"/>
        <v>October</v>
      </c>
      <c r="L1024">
        <f t="shared" si="125"/>
        <v>2024</v>
      </c>
      <c r="M1024" t="b">
        <f t="shared" si="126"/>
        <v>0</v>
      </c>
      <c r="N1024" t="b">
        <f t="shared" si="120"/>
        <v>0</v>
      </c>
      <c r="O1024" t="str">
        <f t="shared" si="127"/>
        <v>Standard order</v>
      </c>
      <c r="P1024" s="7">
        <f t="shared" si="121"/>
        <v>1.647</v>
      </c>
      <c r="Q1024" s="7" t="str">
        <f>VLOOKUP(D1025,Product_Lookup!$A$2:$C$27,2,FALSE)</f>
        <v>Tablet</v>
      </c>
      <c r="R1024" s="7">
        <f t="shared" si="122"/>
        <v>329.4</v>
      </c>
    </row>
    <row r="1025" spans="1:18" ht="21.75" customHeight="1">
      <c r="A1025" t="s">
        <v>1176</v>
      </c>
      <c r="B1025" s="6">
        <v>45326</v>
      </c>
      <c r="C1025" t="s">
        <v>332</v>
      </c>
      <c r="D1025" t="s">
        <v>10</v>
      </c>
      <c r="E1025" t="s">
        <v>17</v>
      </c>
      <c r="F1025" t="s">
        <v>306</v>
      </c>
      <c r="G1025" t="s">
        <v>13</v>
      </c>
      <c r="H1025">
        <v>10</v>
      </c>
      <c r="I1025" t="str">
        <f>VLOOKUP(D1025,Product_Lookup!$A$2:$C$27,3,FALSE)</f>
        <v>$146.06</v>
      </c>
      <c r="J1025" t="str">
        <f t="shared" si="123"/>
        <v>Sunday</v>
      </c>
      <c r="K1025" s="10" t="str">
        <f t="shared" si="124"/>
        <v>February</v>
      </c>
      <c r="L1025">
        <f t="shared" si="125"/>
        <v>2024</v>
      </c>
      <c r="M1025" t="b">
        <f t="shared" si="126"/>
        <v>1</v>
      </c>
      <c r="N1025" t="b">
        <f t="shared" si="120"/>
        <v>1</v>
      </c>
      <c r="O1025" t="str">
        <f t="shared" si="127"/>
        <v>Large Order</v>
      </c>
      <c r="P1025" s="7">
        <f t="shared" si="121"/>
        <v>7.3030000000000008</v>
      </c>
      <c r="Q1025" s="7" t="str">
        <f>VLOOKUP(D1026,Product_Lookup!$A$2:$C$27,2,FALSE)</f>
        <v>Vacuum</v>
      </c>
      <c r="R1025" s="7">
        <f t="shared" si="122"/>
        <v>1460.6</v>
      </c>
    </row>
    <row r="1026" spans="1:18" ht="21.75" customHeight="1">
      <c r="A1026" t="s">
        <v>1177</v>
      </c>
      <c r="B1026" s="6">
        <v>45647</v>
      </c>
      <c r="C1026" t="s">
        <v>89</v>
      </c>
      <c r="D1026" t="s">
        <v>87</v>
      </c>
      <c r="E1026" t="s">
        <v>17</v>
      </c>
      <c r="F1026" t="s">
        <v>306</v>
      </c>
      <c r="G1026" t="s">
        <v>28</v>
      </c>
      <c r="H1026">
        <v>17</v>
      </c>
      <c r="I1026" t="str">
        <f>VLOOKUP(D1026,Product_Lookup!$A$2:$C$27,3,FALSE)</f>
        <v>$26.59</v>
      </c>
      <c r="J1026" t="str">
        <f t="shared" si="123"/>
        <v>Saturday</v>
      </c>
      <c r="K1026" s="10" t="str">
        <f t="shared" si="124"/>
        <v>December</v>
      </c>
      <c r="L1026">
        <f t="shared" si="125"/>
        <v>2024</v>
      </c>
      <c r="M1026" t="b">
        <f t="shared" si="126"/>
        <v>1</v>
      </c>
      <c r="N1026" t="b">
        <f t="shared" ref="N1026:N1089" si="128">AND(R1026&gt;750, H1026&gt;5)</f>
        <v>0</v>
      </c>
      <c r="O1026" t="str">
        <f t="shared" si="127"/>
        <v>Standard order</v>
      </c>
      <c r="P1026" s="7">
        <f t="shared" ref="P1026:P1089" si="129">I1026*$S$2</f>
        <v>1.3295000000000001</v>
      </c>
      <c r="Q1026" s="7" t="str">
        <f>VLOOKUP(D1027,Product_Lookup!$A$2:$C$27,2,FALSE)</f>
        <v>Lego Set</v>
      </c>
      <c r="R1026" s="7">
        <f t="shared" ref="R1026:R1089" si="130">H1026*I1026</f>
        <v>452.03</v>
      </c>
    </row>
    <row r="1027" spans="1:18" ht="21.75" customHeight="1">
      <c r="A1027" t="s">
        <v>1178</v>
      </c>
      <c r="B1027" s="6">
        <v>45605</v>
      </c>
      <c r="C1027" t="s">
        <v>131</v>
      </c>
      <c r="D1027" t="s">
        <v>84</v>
      </c>
      <c r="E1027" t="s">
        <v>11</v>
      </c>
      <c r="F1027" t="s">
        <v>306</v>
      </c>
      <c r="G1027" t="s">
        <v>23</v>
      </c>
      <c r="H1027">
        <v>17</v>
      </c>
      <c r="I1027" t="str">
        <f>VLOOKUP(D1027,Product_Lookup!$A$2:$C$27,3,FALSE)</f>
        <v>$130.07</v>
      </c>
      <c r="J1027" t="str">
        <f t="shared" ref="J1027:J1090" si="131">TEXT(B1027, "dddd")</f>
        <v>Saturday</v>
      </c>
      <c r="K1027" s="10" t="str">
        <f t="shared" ref="K1027:K1090" si="132">TEXT(B1027, "mmmm")</f>
        <v>November</v>
      </c>
      <c r="L1027">
        <f t="shared" ref="L1027:L1090" si="133">YEAR(B1027)</f>
        <v>2024</v>
      </c>
      <c r="M1027" t="b">
        <f t="shared" ref="M1027:M1090" si="134">OR(J1027="Saturday", J1027="Sunday")</f>
        <v>1</v>
      </c>
      <c r="N1027" t="b">
        <f t="shared" si="128"/>
        <v>1</v>
      </c>
      <c r="O1027" t="str">
        <f t="shared" ref="O1027:O1090" si="135">IF(R1027&gt;500,"Large Order","Standard order")</f>
        <v>Large Order</v>
      </c>
      <c r="P1027" s="7">
        <f t="shared" si="129"/>
        <v>6.5034999999999998</v>
      </c>
      <c r="Q1027" s="7" t="str">
        <f>VLOOKUP(D1028,Product_Lookup!$A$2:$C$27,2,FALSE)</f>
        <v>Vacuum</v>
      </c>
      <c r="R1027" s="7">
        <f t="shared" si="130"/>
        <v>2211.19</v>
      </c>
    </row>
    <row r="1028" spans="1:18" ht="21.75" customHeight="1">
      <c r="A1028" t="s">
        <v>1179</v>
      </c>
      <c r="B1028" s="6">
        <v>45644</v>
      </c>
      <c r="C1028" t="s">
        <v>493</v>
      </c>
      <c r="D1028" t="s">
        <v>87</v>
      </c>
      <c r="E1028" t="s">
        <v>22</v>
      </c>
      <c r="F1028" t="s">
        <v>42</v>
      </c>
      <c r="G1028" t="s">
        <v>32</v>
      </c>
      <c r="H1028">
        <v>20</v>
      </c>
      <c r="I1028" t="str">
        <f>VLOOKUP(D1028,Product_Lookup!$A$2:$C$27,3,FALSE)</f>
        <v>$26.59</v>
      </c>
      <c r="J1028" t="str">
        <f t="shared" si="131"/>
        <v>Wednesday</v>
      </c>
      <c r="K1028" s="10" t="str">
        <f t="shared" si="132"/>
        <v>December</v>
      </c>
      <c r="L1028">
        <f t="shared" si="133"/>
        <v>2024</v>
      </c>
      <c r="M1028" t="b">
        <f t="shared" si="134"/>
        <v>0</v>
      </c>
      <c r="N1028" t="b">
        <f t="shared" si="128"/>
        <v>0</v>
      </c>
      <c r="O1028" t="str">
        <f t="shared" si="135"/>
        <v>Large Order</v>
      </c>
      <c r="P1028" s="7">
        <f t="shared" si="129"/>
        <v>1.3295000000000001</v>
      </c>
      <c r="Q1028" s="7" t="str">
        <f>VLOOKUP(D1029,Product_Lookup!$A$2:$C$27,2,FALSE)</f>
        <v>Headphones</v>
      </c>
      <c r="R1028" s="7">
        <f t="shared" si="130"/>
        <v>531.79999999999995</v>
      </c>
    </row>
    <row r="1029" spans="1:18" ht="21.75" customHeight="1">
      <c r="A1029" t="s">
        <v>1180</v>
      </c>
      <c r="B1029" s="6">
        <v>45561</v>
      </c>
      <c r="C1029" t="s">
        <v>314</v>
      </c>
      <c r="D1029" t="s">
        <v>16</v>
      </c>
      <c r="E1029" t="s">
        <v>22</v>
      </c>
      <c r="F1029" t="s">
        <v>42</v>
      </c>
      <c r="G1029" t="s">
        <v>36</v>
      </c>
      <c r="H1029">
        <v>20</v>
      </c>
      <c r="I1029" t="str">
        <f>VLOOKUP(D1029,Product_Lookup!$A$2:$C$27,3,FALSE)</f>
        <v>$178.83</v>
      </c>
      <c r="J1029" t="str">
        <f t="shared" si="131"/>
        <v>Thursday</v>
      </c>
      <c r="K1029" s="10" t="str">
        <f t="shared" si="132"/>
        <v>September</v>
      </c>
      <c r="L1029">
        <f t="shared" si="133"/>
        <v>2024</v>
      </c>
      <c r="M1029" t="b">
        <f t="shared" si="134"/>
        <v>0</v>
      </c>
      <c r="N1029" t="b">
        <f t="shared" si="128"/>
        <v>1</v>
      </c>
      <c r="O1029" t="str">
        <f t="shared" si="135"/>
        <v>Large Order</v>
      </c>
      <c r="P1029" s="7">
        <f t="shared" si="129"/>
        <v>8.9415000000000013</v>
      </c>
      <c r="Q1029" s="7" t="str">
        <f>VLOOKUP(D1030,Product_Lookup!$A$2:$C$27,2,FALSE)</f>
        <v>Paper Shredder</v>
      </c>
      <c r="R1029" s="7">
        <f t="shared" si="130"/>
        <v>3576.6000000000004</v>
      </c>
    </row>
    <row r="1030" spans="1:18" ht="21.75" customHeight="1">
      <c r="A1030" t="s">
        <v>1181</v>
      </c>
      <c r="B1030" s="6">
        <v>45615</v>
      </c>
      <c r="C1030" t="s">
        <v>432</v>
      </c>
      <c r="D1030" t="s">
        <v>109</v>
      </c>
      <c r="E1030" t="s">
        <v>17</v>
      </c>
      <c r="F1030" t="s">
        <v>56</v>
      </c>
      <c r="G1030" t="s">
        <v>28</v>
      </c>
      <c r="H1030">
        <v>8</v>
      </c>
      <c r="I1030" t="str">
        <f>VLOOKUP(D1030,Product_Lookup!$A$2:$C$27,3,FALSE)</f>
        <v>$81.02</v>
      </c>
      <c r="J1030" t="str">
        <f t="shared" si="131"/>
        <v>Tuesday</v>
      </c>
      <c r="K1030" s="10" t="str">
        <f t="shared" si="132"/>
        <v>November</v>
      </c>
      <c r="L1030">
        <f t="shared" si="133"/>
        <v>2024</v>
      </c>
      <c r="M1030" t="b">
        <f t="shared" si="134"/>
        <v>0</v>
      </c>
      <c r="N1030" t="b">
        <f t="shared" si="128"/>
        <v>0</v>
      </c>
      <c r="O1030" t="str">
        <f t="shared" si="135"/>
        <v>Large Order</v>
      </c>
      <c r="P1030" s="7">
        <f t="shared" si="129"/>
        <v>4.0510000000000002</v>
      </c>
      <c r="Q1030" s="7" t="str">
        <f>VLOOKUP(D1031,Product_Lookup!$A$2:$C$27,2,FALSE)</f>
        <v>Action Figure</v>
      </c>
      <c r="R1030" s="7">
        <f t="shared" si="130"/>
        <v>648.16</v>
      </c>
    </row>
    <row r="1031" spans="1:18" ht="21.75" customHeight="1">
      <c r="A1031" t="s">
        <v>1182</v>
      </c>
      <c r="B1031" s="6">
        <v>45292</v>
      </c>
      <c r="C1031" t="s">
        <v>114</v>
      </c>
      <c r="D1031" t="s">
        <v>21</v>
      </c>
      <c r="E1031" t="s">
        <v>11</v>
      </c>
      <c r="F1031" t="s">
        <v>27</v>
      </c>
      <c r="G1031" t="s">
        <v>28</v>
      </c>
      <c r="H1031">
        <v>4</v>
      </c>
      <c r="I1031" t="str">
        <f>VLOOKUP(D1031,Product_Lookup!$A$2:$C$27,3,FALSE)</f>
        <v>$88.18</v>
      </c>
      <c r="J1031" t="str">
        <f t="shared" si="131"/>
        <v>Monday</v>
      </c>
      <c r="K1031" s="10" t="str">
        <f t="shared" si="132"/>
        <v>January</v>
      </c>
      <c r="L1031">
        <f t="shared" si="133"/>
        <v>2024</v>
      </c>
      <c r="M1031" t="b">
        <f t="shared" si="134"/>
        <v>0</v>
      </c>
      <c r="N1031" t="b">
        <f t="shared" si="128"/>
        <v>0</v>
      </c>
      <c r="O1031" t="str">
        <f t="shared" si="135"/>
        <v>Standard order</v>
      </c>
      <c r="P1031" s="7">
        <f t="shared" si="129"/>
        <v>4.4090000000000007</v>
      </c>
      <c r="Q1031" s="7" t="str">
        <f>VLOOKUP(D1032,Product_Lookup!$A$2:$C$27,2,FALSE)</f>
        <v>Blender</v>
      </c>
      <c r="R1031" s="7">
        <f t="shared" si="130"/>
        <v>352.72</v>
      </c>
    </row>
    <row r="1032" spans="1:18" ht="21.75" customHeight="1">
      <c r="A1032" t="s">
        <v>1183</v>
      </c>
      <c r="B1032" s="6">
        <v>45607</v>
      </c>
      <c r="C1032" t="s">
        <v>572</v>
      </c>
      <c r="D1032" t="s">
        <v>72</v>
      </c>
      <c r="E1032" t="s">
        <v>17</v>
      </c>
      <c r="F1032" t="s">
        <v>12</v>
      </c>
      <c r="G1032" t="s">
        <v>28</v>
      </c>
      <c r="H1032">
        <v>12</v>
      </c>
      <c r="I1032" t="str">
        <f>VLOOKUP(D1032,Product_Lookup!$A$2:$C$27,3,FALSE)</f>
        <v>$156.44</v>
      </c>
      <c r="J1032" t="str">
        <f t="shared" si="131"/>
        <v>Monday</v>
      </c>
      <c r="K1032" s="10" t="str">
        <f t="shared" si="132"/>
        <v>November</v>
      </c>
      <c r="L1032">
        <f t="shared" si="133"/>
        <v>2024</v>
      </c>
      <c r="M1032" t="b">
        <f t="shared" si="134"/>
        <v>0</v>
      </c>
      <c r="N1032" t="b">
        <f t="shared" si="128"/>
        <v>1</v>
      </c>
      <c r="O1032" t="str">
        <f t="shared" si="135"/>
        <v>Large Order</v>
      </c>
      <c r="P1032" s="7">
        <f t="shared" si="129"/>
        <v>7.8220000000000001</v>
      </c>
      <c r="Q1032" s="7" t="str">
        <f>VLOOKUP(D1033,Product_Lookup!$A$2:$C$27,2,FALSE)</f>
        <v>Sweater</v>
      </c>
      <c r="R1032" s="7">
        <f t="shared" si="130"/>
        <v>1877.28</v>
      </c>
    </row>
    <row r="1033" spans="1:18" ht="21.75" customHeight="1">
      <c r="A1033" t="s">
        <v>1184</v>
      </c>
      <c r="B1033" s="6">
        <v>45297</v>
      </c>
      <c r="C1033" t="s">
        <v>541</v>
      </c>
      <c r="D1033" t="s">
        <v>26</v>
      </c>
      <c r="E1033" t="s">
        <v>11</v>
      </c>
      <c r="F1033" t="s">
        <v>42</v>
      </c>
      <c r="G1033" t="s">
        <v>36</v>
      </c>
      <c r="H1033">
        <v>3</v>
      </c>
      <c r="I1033" t="str">
        <f>VLOOKUP(D1033,Product_Lookup!$A$2:$C$27,3,FALSE)</f>
        <v>$84.57</v>
      </c>
      <c r="J1033" t="str">
        <f t="shared" si="131"/>
        <v>Saturday</v>
      </c>
      <c r="K1033" s="10" t="str">
        <f t="shared" si="132"/>
        <v>January</v>
      </c>
      <c r="L1033">
        <f t="shared" si="133"/>
        <v>2024</v>
      </c>
      <c r="M1033" t="b">
        <f t="shared" si="134"/>
        <v>1</v>
      </c>
      <c r="N1033" t="b">
        <f t="shared" si="128"/>
        <v>0</v>
      </c>
      <c r="O1033" t="str">
        <f t="shared" si="135"/>
        <v>Standard order</v>
      </c>
      <c r="P1033" s="7">
        <f t="shared" si="129"/>
        <v>4.2284999999999995</v>
      </c>
      <c r="Q1033" s="7" t="str">
        <f>VLOOKUP(D1034,Product_Lookup!$A$2:$C$27,2,FALSE)</f>
        <v>Board Game</v>
      </c>
      <c r="R1033" s="7">
        <f t="shared" si="130"/>
        <v>253.70999999999998</v>
      </c>
    </row>
    <row r="1034" spans="1:18" ht="21.75" customHeight="1">
      <c r="A1034" t="s">
        <v>1185</v>
      </c>
      <c r="B1034" s="6">
        <v>45573</v>
      </c>
      <c r="C1034" t="s">
        <v>187</v>
      </c>
      <c r="D1034" t="s">
        <v>41</v>
      </c>
      <c r="E1034" t="s">
        <v>11</v>
      </c>
      <c r="F1034" t="s">
        <v>12</v>
      </c>
      <c r="G1034" t="s">
        <v>36</v>
      </c>
      <c r="H1034">
        <v>11</v>
      </c>
      <c r="I1034" t="str">
        <f>VLOOKUP(D1034,Product_Lookup!$A$2:$C$27,3,FALSE)</f>
        <v>$86.6</v>
      </c>
      <c r="J1034" t="str">
        <f t="shared" si="131"/>
        <v>Tuesday</v>
      </c>
      <c r="K1034" s="10" t="str">
        <f t="shared" si="132"/>
        <v>October</v>
      </c>
      <c r="L1034">
        <f t="shared" si="133"/>
        <v>2024</v>
      </c>
      <c r="M1034" t="b">
        <f t="shared" si="134"/>
        <v>0</v>
      </c>
      <c r="N1034" t="b">
        <f t="shared" si="128"/>
        <v>1</v>
      </c>
      <c r="O1034" t="str">
        <f t="shared" si="135"/>
        <v>Large Order</v>
      </c>
      <c r="P1034" s="7">
        <f t="shared" si="129"/>
        <v>4.33</v>
      </c>
      <c r="Q1034" s="7" t="str">
        <f>VLOOKUP(D1035,Product_Lookup!$A$2:$C$27,2,FALSE)</f>
        <v>Blender</v>
      </c>
      <c r="R1034" s="7">
        <f t="shared" si="130"/>
        <v>952.59999999999991</v>
      </c>
    </row>
    <row r="1035" spans="1:18" ht="21.75" customHeight="1">
      <c r="A1035" t="s">
        <v>1186</v>
      </c>
      <c r="B1035" s="6">
        <v>45607</v>
      </c>
      <c r="C1035" t="s">
        <v>64</v>
      </c>
      <c r="D1035" t="s">
        <v>72</v>
      </c>
      <c r="E1035" t="s">
        <v>11</v>
      </c>
      <c r="F1035" t="s">
        <v>56</v>
      </c>
      <c r="G1035" t="s">
        <v>23</v>
      </c>
      <c r="H1035">
        <v>11</v>
      </c>
      <c r="I1035" t="str">
        <f>VLOOKUP(D1035,Product_Lookup!$A$2:$C$27,3,FALSE)</f>
        <v>$156.44</v>
      </c>
      <c r="J1035" t="str">
        <f t="shared" si="131"/>
        <v>Monday</v>
      </c>
      <c r="K1035" s="10" t="str">
        <f t="shared" si="132"/>
        <v>November</v>
      </c>
      <c r="L1035">
        <f t="shared" si="133"/>
        <v>2024</v>
      </c>
      <c r="M1035" t="b">
        <f t="shared" si="134"/>
        <v>0</v>
      </c>
      <c r="N1035" t="b">
        <f t="shared" si="128"/>
        <v>1</v>
      </c>
      <c r="O1035" t="str">
        <f t="shared" si="135"/>
        <v>Large Order</v>
      </c>
      <c r="P1035" s="7">
        <f t="shared" si="129"/>
        <v>7.8220000000000001</v>
      </c>
      <c r="Q1035" s="7" t="str">
        <f>VLOOKUP(D1036,Product_Lookup!$A$2:$C$27,2,FALSE)</f>
        <v>Stapler</v>
      </c>
      <c r="R1035" s="7">
        <f t="shared" si="130"/>
        <v>1720.84</v>
      </c>
    </row>
    <row r="1036" spans="1:18" ht="21.75" customHeight="1">
      <c r="A1036" t="s">
        <v>1187</v>
      </c>
      <c r="B1036" s="6">
        <v>45534</v>
      </c>
      <c r="C1036" t="s">
        <v>122</v>
      </c>
      <c r="D1036" t="s">
        <v>35</v>
      </c>
      <c r="E1036" t="s">
        <v>22</v>
      </c>
      <c r="F1036" t="s">
        <v>56</v>
      </c>
      <c r="G1036" t="s">
        <v>36</v>
      </c>
      <c r="H1036">
        <v>5</v>
      </c>
      <c r="I1036" t="str">
        <f>VLOOKUP(D1036,Product_Lookup!$A$2:$C$27,3,FALSE)</f>
        <v>$64.61</v>
      </c>
      <c r="J1036" t="str">
        <f t="shared" si="131"/>
        <v>Friday</v>
      </c>
      <c r="K1036" s="10" t="str">
        <f t="shared" si="132"/>
        <v>August</v>
      </c>
      <c r="L1036">
        <f t="shared" si="133"/>
        <v>2024</v>
      </c>
      <c r="M1036" t="b">
        <f t="shared" si="134"/>
        <v>0</v>
      </c>
      <c r="N1036" t="b">
        <f t="shared" si="128"/>
        <v>0</v>
      </c>
      <c r="O1036" t="str">
        <f t="shared" si="135"/>
        <v>Standard order</v>
      </c>
      <c r="P1036" s="7">
        <f t="shared" si="129"/>
        <v>3.2305000000000001</v>
      </c>
      <c r="Q1036" s="7" t="str">
        <f>VLOOKUP(D1037,Product_Lookup!$A$2:$C$27,2,FALSE)</f>
        <v>Notebook</v>
      </c>
      <c r="R1036" s="7">
        <f t="shared" si="130"/>
        <v>323.05</v>
      </c>
    </row>
    <row r="1037" spans="1:18" ht="21.75" customHeight="1">
      <c r="A1037" t="s">
        <v>1188</v>
      </c>
      <c r="B1037" s="6">
        <v>45463</v>
      </c>
      <c r="C1037" t="s">
        <v>319</v>
      </c>
      <c r="D1037" t="s">
        <v>160</v>
      </c>
      <c r="E1037" t="s">
        <v>17</v>
      </c>
      <c r="F1037" t="s">
        <v>12</v>
      </c>
      <c r="G1037" t="s">
        <v>32</v>
      </c>
      <c r="H1037">
        <v>10</v>
      </c>
      <c r="I1037" t="str">
        <f>VLOOKUP(D1037,Product_Lookup!$A$2:$C$27,3,FALSE)</f>
        <v>$149.27</v>
      </c>
      <c r="J1037" t="str">
        <f t="shared" si="131"/>
        <v>Thursday</v>
      </c>
      <c r="K1037" s="10" t="str">
        <f t="shared" si="132"/>
        <v>June</v>
      </c>
      <c r="L1037">
        <f t="shared" si="133"/>
        <v>2024</v>
      </c>
      <c r="M1037" t="b">
        <f t="shared" si="134"/>
        <v>0</v>
      </c>
      <c r="N1037" t="b">
        <f t="shared" si="128"/>
        <v>1</v>
      </c>
      <c r="O1037" t="str">
        <f t="shared" si="135"/>
        <v>Large Order</v>
      </c>
      <c r="P1037" s="7">
        <f t="shared" si="129"/>
        <v>7.4635000000000007</v>
      </c>
      <c r="Q1037" s="7" t="str">
        <f>VLOOKUP(D1038,Product_Lookup!$A$2:$C$27,2,FALSE)</f>
        <v>Desk Lamp</v>
      </c>
      <c r="R1037" s="7">
        <f t="shared" si="130"/>
        <v>1492.7</v>
      </c>
    </row>
    <row r="1038" spans="1:18" ht="21.75" customHeight="1">
      <c r="A1038" t="s">
        <v>1189</v>
      </c>
      <c r="B1038" s="6">
        <v>45576</v>
      </c>
      <c r="C1038" t="s">
        <v>312</v>
      </c>
      <c r="D1038" t="s">
        <v>59</v>
      </c>
      <c r="E1038" t="s">
        <v>11</v>
      </c>
      <c r="F1038" t="s">
        <v>56</v>
      </c>
      <c r="G1038" t="s">
        <v>32</v>
      </c>
      <c r="H1038">
        <v>11</v>
      </c>
      <c r="I1038" t="str">
        <f>VLOOKUP(D1038,Product_Lookup!$A$2:$C$27,3,FALSE)</f>
        <v>$101.96</v>
      </c>
      <c r="J1038" t="str">
        <f t="shared" si="131"/>
        <v>Friday</v>
      </c>
      <c r="K1038" s="10" t="str">
        <f t="shared" si="132"/>
        <v>October</v>
      </c>
      <c r="L1038">
        <f t="shared" si="133"/>
        <v>2024</v>
      </c>
      <c r="M1038" t="b">
        <f t="shared" si="134"/>
        <v>0</v>
      </c>
      <c r="N1038" t="b">
        <f t="shared" si="128"/>
        <v>1</v>
      </c>
      <c r="O1038" t="str">
        <f t="shared" si="135"/>
        <v>Large Order</v>
      </c>
      <c r="P1038" s="7">
        <f t="shared" si="129"/>
        <v>5.0979999999999999</v>
      </c>
      <c r="Q1038" s="7" t="str">
        <f>VLOOKUP(D1039,Product_Lookup!$A$2:$C$27,2,FALSE)</f>
        <v>Blender</v>
      </c>
      <c r="R1038" s="7">
        <f t="shared" si="130"/>
        <v>1121.56</v>
      </c>
    </row>
    <row r="1039" spans="1:18" ht="21.75" customHeight="1">
      <c r="A1039" t="s">
        <v>1190</v>
      </c>
      <c r="B1039" s="6">
        <v>45325</v>
      </c>
      <c r="C1039" t="s">
        <v>125</v>
      </c>
      <c r="D1039" t="s">
        <v>72</v>
      </c>
      <c r="E1039" t="s">
        <v>17</v>
      </c>
      <c r="F1039" t="s">
        <v>12</v>
      </c>
      <c r="G1039" t="s">
        <v>28</v>
      </c>
      <c r="H1039">
        <v>13</v>
      </c>
      <c r="I1039" t="str">
        <f>VLOOKUP(D1039,Product_Lookup!$A$2:$C$27,3,FALSE)</f>
        <v>$156.44</v>
      </c>
      <c r="J1039" t="str">
        <f t="shared" si="131"/>
        <v>Saturday</v>
      </c>
      <c r="K1039" s="10" t="str">
        <f t="shared" si="132"/>
        <v>February</v>
      </c>
      <c r="L1039">
        <f t="shared" si="133"/>
        <v>2024</v>
      </c>
      <c r="M1039" t="b">
        <f t="shared" si="134"/>
        <v>1</v>
      </c>
      <c r="N1039" t="b">
        <f t="shared" si="128"/>
        <v>1</v>
      </c>
      <c r="O1039" t="str">
        <f t="shared" si="135"/>
        <v>Large Order</v>
      </c>
      <c r="P1039" s="7">
        <f t="shared" si="129"/>
        <v>7.8220000000000001</v>
      </c>
      <c r="Q1039" s="7" t="str">
        <f>VLOOKUP(D1040,Product_Lookup!$A$2:$C$27,2,FALSE)</f>
        <v>Paper Shredder</v>
      </c>
      <c r="R1039" s="7">
        <f t="shared" si="130"/>
        <v>2033.72</v>
      </c>
    </row>
    <row r="1040" spans="1:18" ht="21.75" customHeight="1">
      <c r="A1040" t="s">
        <v>1191</v>
      </c>
      <c r="B1040" s="6">
        <v>45584</v>
      </c>
      <c r="C1040" t="s">
        <v>493</v>
      </c>
      <c r="D1040" t="s">
        <v>109</v>
      </c>
      <c r="E1040" t="s">
        <v>17</v>
      </c>
      <c r="F1040" t="s">
        <v>56</v>
      </c>
      <c r="G1040" t="s">
        <v>32</v>
      </c>
      <c r="H1040">
        <v>4</v>
      </c>
      <c r="I1040" t="str">
        <f>VLOOKUP(D1040,Product_Lookup!$A$2:$C$27,3,FALSE)</f>
        <v>$81.02</v>
      </c>
      <c r="J1040" t="str">
        <f t="shared" si="131"/>
        <v>Saturday</v>
      </c>
      <c r="K1040" s="10" t="str">
        <f t="shared" si="132"/>
        <v>October</v>
      </c>
      <c r="L1040">
        <f t="shared" si="133"/>
        <v>2024</v>
      </c>
      <c r="M1040" t="b">
        <f t="shared" si="134"/>
        <v>1</v>
      </c>
      <c r="N1040" t="b">
        <f t="shared" si="128"/>
        <v>0</v>
      </c>
      <c r="O1040" t="str">
        <f t="shared" si="135"/>
        <v>Standard order</v>
      </c>
      <c r="P1040" s="7">
        <f t="shared" si="129"/>
        <v>4.0510000000000002</v>
      </c>
      <c r="Q1040" s="7" t="str">
        <f>VLOOKUP(D1041,Product_Lookup!$A$2:$C$27,2,FALSE)</f>
        <v>Sweater</v>
      </c>
      <c r="R1040" s="7">
        <f t="shared" si="130"/>
        <v>324.08</v>
      </c>
    </row>
    <row r="1041" spans="1:18" ht="21.75" customHeight="1">
      <c r="A1041" t="s">
        <v>1192</v>
      </c>
      <c r="B1041" s="6">
        <v>45653</v>
      </c>
      <c r="C1041" t="s">
        <v>38</v>
      </c>
      <c r="D1041" t="s">
        <v>26</v>
      </c>
      <c r="E1041" t="s">
        <v>22</v>
      </c>
      <c r="F1041" t="s">
        <v>12</v>
      </c>
      <c r="G1041" t="s">
        <v>28</v>
      </c>
      <c r="H1041">
        <v>14</v>
      </c>
      <c r="I1041" t="str">
        <f>VLOOKUP(D1041,Product_Lookup!$A$2:$C$27,3,FALSE)</f>
        <v>$84.57</v>
      </c>
      <c r="J1041" t="str">
        <f t="shared" si="131"/>
        <v>Friday</v>
      </c>
      <c r="K1041" s="10" t="str">
        <f t="shared" si="132"/>
        <v>December</v>
      </c>
      <c r="L1041">
        <f t="shared" si="133"/>
        <v>2024</v>
      </c>
      <c r="M1041" t="b">
        <f t="shared" si="134"/>
        <v>0</v>
      </c>
      <c r="N1041" t="b">
        <f t="shared" si="128"/>
        <v>1</v>
      </c>
      <c r="O1041" t="str">
        <f t="shared" si="135"/>
        <v>Large Order</v>
      </c>
      <c r="P1041" s="7">
        <f t="shared" si="129"/>
        <v>4.2284999999999995</v>
      </c>
      <c r="Q1041" s="7" t="str">
        <f>VLOOKUP(D1042,Product_Lookup!$A$2:$C$27,2,FALSE)</f>
        <v>Notebook</v>
      </c>
      <c r="R1041" s="7">
        <f t="shared" si="130"/>
        <v>1183.98</v>
      </c>
    </row>
    <row r="1042" spans="1:18" ht="21.75" customHeight="1">
      <c r="A1042" t="s">
        <v>1193</v>
      </c>
      <c r="B1042" s="6">
        <v>45482</v>
      </c>
      <c r="C1042" t="s">
        <v>430</v>
      </c>
      <c r="D1042" t="s">
        <v>160</v>
      </c>
      <c r="E1042" t="s">
        <v>17</v>
      </c>
      <c r="F1042" t="s">
        <v>56</v>
      </c>
      <c r="G1042" t="s">
        <v>32</v>
      </c>
      <c r="H1042">
        <v>10</v>
      </c>
      <c r="I1042" t="str">
        <f>VLOOKUP(D1042,Product_Lookup!$A$2:$C$27,3,FALSE)</f>
        <v>$149.27</v>
      </c>
      <c r="J1042" t="str">
        <f t="shared" si="131"/>
        <v>Tuesday</v>
      </c>
      <c r="K1042" s="10" t="str">
        <f t="shared" si="132"/>
        <v>July</v>
      </c>
      <c r="L1042">
        <f t="shared" si="133"/>
        <v>2024</v>
      </c>
      <c r="M1042" t="b">
        <f t="shared" si="134"/>
        <v>0</v>
      </c>
      <c r="N1042" t="b">
        <f t="shared" si="128"/>
        <v>1</v>
      </c>
      <c r="O1042" t="str">
        <f t="shared" si="135"/>
        <v>Large Order</v>
      </c>
      <c r="P1042" s="7">
        <f t="shared" si="129"/>
        <v>7.4635000000000007</v>
      </c>
      <c r="Q1042" s="7" t="str">
        <f>VLOOKUP(D1043,Product_Lookup!$A$2:$C$27,2,FALSE)</f>
        <v>Air Fryer</v>
      </c>
      <c r="R1042" s="7">
        <f t="shared" si="130"/>
        <v>1492.7</v>
      </c>
    </row>
    <row r="1043" spans="1:18" ht="21.75" customHeight="1">
      <c r="A1043" t="s">
        <v>1194</v>
      </c>
      <c r="B1043" s="6">
        <v>45311</v>
      </c>
      <c r="C1043" t="s">
        <v>420</v>
      </c>
      <c r="D1043" t="s">
        <v>70</v>
      </c>
      <c r="E1043" t="s">
        <v>11</v>
      </c>
      <c r="F1043" t="s">
        <v>12</v>
      </c>
      <c r="G1043" t="s">
        <v>23</v>
      </c>
      <c r="H1043">
        <v>17</v>
      </c>
      <c r="I1043" t="str">
        <f>VLOOKUP(D1043,Product_Lookup!$A$2:$C$27,3,FALSE)</f>
        <v>$211.9</v>
      </c>
      <c r="J1043" t="str">
        <f t="shared" si="131"/>
        <v>Saturday</v>
      </c>
      <c r="K1043" s="10" t="str">
        <f t="shared" si="132"/>
        <v>January</v>
      </c>
      <c r="L1043">
        <f t="shared" si="133"/>
        <v>2024</v>
      </c>
      <c r="M1043" t="b">
        <f t="shared" si="134"/>
        <v>1</v>
      </c>
      <c r="N1043" t="b">
        <f t="shared" si="128"/>
        <v>1</v>
      </c>
      <c r="O1043" t="str">
        <f t="shared" si="135"/>
        <v>Large Order</v>
      </c>
      <c r="P1043" s="7">
        <f t="shared" si="129"/>
        <v>10.595000000000001</v>
      </c>
      <c r="Q1043" s="7" t="str">
        <f>VLOOKUP(D1044,Product_Lookup!$A$2:$C$27,2,FALSE)</f>
        <v>Stapler</v>
      </c>
      <c r="R1043" s="7">
        <f t="shared" si="130"/>
        <v>3602.3</v>
      </c>
    </row>
    <row r="1044" spans="1:18" ht="21.75" customHeight="1">
      <c r="A1044" t="s">
        <v>1195</v>
      </c>
      <c r="B1044" s="6">
        <v>45548</v>
      </c>
      <c r="C1044" t="s">
        <v>125</v>
      </c>
      <c r="D1044" t="s">
        <v>35</v>
      </c>
      <c r="E1044" t="s">
        <v>11</v>
      </c>
      <c r="F1044" t="s">
        <v>42</v>
      </c>
      <c r="G1044" t="s">
        <v>32</v>
      </c>
      <c r="H1044">
        <v>17</v>
      </c>
      <c r="I1044" t="str">
        <f>VLOOKUP(D1044,Product_Lookup!$A$2:$C$27,3,FALSE)</f>
        <v>$64.61</v>
      </c>
      <c r="J1044" t="str">
        <f t="shared" si="131"/>
        <v>Friday</v>
      </c>
      <c r="K1044" s="10" t="str">
        <f t="shared" si="132"/>
        <v>September</v>
      </c>
      <c r="L1044">
        <f t="shared" si="133"/>
        <v>2024</v>
      </c>
      <c r="M1044" t="b">
        <f t="shared" si="134"/>
        <v>0</v>
      </c>
      <c r="N1044" t="b">
        <f t="shared" si="128"/>
        <v>1</v>
      </c>
      <c r="O1044" t="str">
        <f t="shared" si="135"/>
        <v>Large Order</v>
      </c>
      <c r="P1044" s="7">
        <f t="shared" si="129"/>
        <v>3.2305000000000001</v>
      </c>
      <c r="Q1044" s="7" t="str">
        <f>VLOOKUP(D1045,Product_Lookup!$A$2:$C$27,2,FALSE)</f>
        <v>Board Game</v>
      </c>
      <c r="R1044" s="7">
        <f t="shared" si="130"/>
        <v>1098.3699999999999</v>
      </c>
    </row>
    <row r="1045" spans="1:18" ht="21.75" customHeight="1">
      <c r="A1045" t="s">
        <v>1196</v>
      </c>
      <c r="B1045" s="6">
        <v>45365</v>
      </c>
      <c r="C1045" t="s">
        <v>337</v>
      </c>
      <c r="D1045" t="s">
        <v>41</v>
      </c>
      <c r="E1045" t="s">
        <v>11</v>
      </c>
      <c r="F1045" t="s">
        <v>306</v>
      </c>
      <c r="G1045" t="s">
        <v>13</v>
      </c>
      <c r="H1045">
        <v>5</v>
      </c>
      <c r="I1045" t="str">
        <f>VLOOKUP(D1045,Product_Lookup!$A$2:$C$27,3,FALSE)</f>
        <v>$86.6</v>
      </c>
      <c r="J1045" t="str">
        <f t="shared" si="131"/>
        <v>Thursday</v>
      </c>
      <c r="K1045" s="10" t="str">
        <f t="shared" si="132"/>
        <v>March</v>
      </c>
      <c r="L1045">
        <f t="shared" si="133"/>
        <v>2024</v>
      </c>
      <c r="M1045" t="b">
        <f t="shared" si="134"/>
        <v>0</v>
      </c>
      <c r="N1045" t="b">
        <f t="shared" si="128"/>
        <v>0</v>
      </c>
      <c r="O1045" t="str">
        <f t="shared" si="135"/>
        <v>Standard order</v>
      </c>
      <c r="P1045" s="7">
        <f t="shared" si="129"/>
        <v>4.33</v>
      </c>
      <c r="Q1045" s="7" t="str">
        <f>VLOOKUP(D1046,Product_Lookup!$A$2:$C$27,2,FALSE)</f>
        <v>Monitor</v>
      </c>
      <c r="R1045" s="7">
        <f t="shared" si="130"/>
        <v>433</v>
      </c>
    </row>
    <row r="1046" spans="1:18" ht="21.75" customHeight="1">
      <c r="A1046" t="s">
        <v>1197</v>
      </c>
      <c r="B1046" s="6">
        <v>45527</v>
      </c>
      <c r="C1046" t="s">
        <v>53</v>
      </c>
      <c r="D1046" t="s">
        <v>102</v>
      </c>
      <c r="E1046" t="s">
        <v>22</v>
      </c>
      <c r="F1046" t="s">
        <v>306</v>
      </c>
      <c r="G1046" t="s">
        <v>13</v>
      </c>
      <c r="H1046">
        <v>1</v>
      </c>
      <c r="I1046" t="str">
        <f>VLOOKUP(D1046,Product_Lookup!$A$2:$C$27,3,FALSE)</f>
        <v>$145.48</v>
      </c>
      <c r="J1046" t="str">
        <f t="shared" si="131"/>
        <v>Friday</v>
      </c>
      <c r="K1046" s="10" t="str">
        <f t="shared" si="132"/>
        <v>August</v>
      </c>
      <c r="L1046">
        <f t="shared" si="133"/>
        <v>2024</v>
      </c>
      <c r="M1046" t="b">
        <f t="shared" si="134"/>
        <v>0</v>
      </c>
      <c r="N1046" t="b">
        <f t="shared" si="128"/>
        <v>0</v>
      </c>
      <c r="O1046" t="str">
        <f t="shared" si="135"/>
        <v>Standard order</v>
      </c>
      <c r="P1046" s="7">
        <f t="shared" si="129"/>
        <v>7.274</v>
      </c>
      <c r="Q1046" s="7" t="str">
        <f>VLOOKUP(D1047,Product_Lookup!$A$2:$C$27,2,FALSE)</f>
        <v>Air Fryer</v>
      </c>
      <c r="R1046" s="7">
        <f t="shared" si="130"/>
        <v>145.47999999999999</v>
      </c>
    </row>
    <row r="1047" spans="1:18" ht="21.75" customHeight="1">
      <c r="A1047" t="s">
        <v>1198</v>
      </c>
      <c r="B1047" s="6">
        <v>45643</v>
      </c>
      <c r="C1047" t="s">
        <v>327</v>
      </c>
      <c r="D1047" t="s">
        <v>70</v>
      </c>
      <c r="E1047" t="s">
        <v>11</v>
      </c>
      <c r="F1047" t="s">
        <v>42</v>
      </c>
      <c r="G1047" t="s">
        <v>32</v>
      </c>
      <c r="H1047">
        <v>2</v>
      </c>
      <c r="I1047" t="str">
        <f>VLOOKUP(D1047,Product_Lookup!$A$2:$C$27,3,FALSE)</f>
        <v>$211.9</v>
      </c>
      <c r="J1047" t="str">
        <f t="shared" si="131"/>
        <v>Tuesday</v>
      </c>
      <c r="K1047" s="10" t="str">
        <f t="shared" si="132"/>
        <v>December</v>
      </c>
      <c r="L1047">
        <f t="shared" si="133"/>
        <v>2024</v>
      </c>
      <c r="M1047" t="b">
        <f t="shared" si="134"/>
        <v>0</v>
      </c>
      <c r="N1047" t="b">
        <f t="shared" si="128"/>
        <v>0</v>
      </c>
      <c r="O1047" t="str">
        <f t="shared" si="135"/>
        <v>Standard order</v>
      </c>
      <c r="P1047" s="7">
        <f t="shared" si="129"/>
        <v>10.595000000000001</v>
      </c>
      <c r="Q1047" s="7" t="str">
        <f>VLOOKUP(D1048,Product_Lookup!$A$2:$C$27,2,FALSE)</f>
        <v>Blender</v>
      </c>
      <c r="R1047" s="7">
        <f t="shared" si="130"/>
        <v>423.8</v>
      </c>
    </row>
    <row r="1048" spans="1:18" ht="21.75" customHeight="1">
      <c r="A1048" t="s">
        <v>1199</v>
      </c>
      <c r="B1048" s="6">
        <v>45303</v>
      </c>
      <c r="C1048" t="s">
        <v>314</v>
      </c>
      <c r="D1048" t="s">
        <v>72</v>
      </c>
      <c r="E1048" t="s">
        <v>17</v>
      </c>
      <c r="F1048" t="s">
        <v>56</v>
      </c>
      <c r="G1048" t="s">
        <v>32</v>
      </c>
      <c r="H1048">
        <v>7</v>
      </c>
      <c r="I1048" t="str">
        <f>VLOOKUP(D1048,Product_Lookup!$A$2:$C$27,3,FALSE)</f>
        <v>$156.44</v>
      </c>
      <c r="J1048" t="str">
        <f t="shared" si="131"/>
        <v>Friday</v>
      </c>
      <c r="K1048" s="10" t="str">
        <f t="shared" si="132"/>
        <v>January</v>
      </c>
      <c r="L1048">
        <f t="shared" si="133"/>
        <v>2024</v>
      </c>
      <c r="M1048" t="b">
        <f t="shared" si="134"/>
        <v>0</v>
      </c>
      <c r="N1048" t="b">
        <f t="shared" si="128"/>
        <v>1</v>
      </c>
      <c r="O1048" t="str">
        <f t="shared" si="135"/>
        <v>Large Order</v>
      </c>
      <c r="P1048" s="7">
        <f t="shared" si="129"/>
        <v>7.8220000000000001</v>
      </c>
      <c r="Q1048" s="7" t="str">
        <f>VLOOKUP(D1049,Product_Lookup!$A$2:$C$27,2,FALSE)</f>
        <v>Sweater</v>
      </c>
      <c r="R1048" s="7">
        <f t="shared" si="130"/>
        <v>1095.08</v>
      </c>
    </row>
    <row r="1049" spans="1:18" ht="21.75" customHeight="1">
      <c r="A1049" t="s">
        <v>1200</v>
      </c>
      <c r="B1049" s="6">
        <v>45564</v>
      </c>
      <c r="C1049" t="s">
        <v>38</v>
      </c>
      <c r="D1049" t="s">
        <v>26</v>
      </c>
      <c r="E1049" t="s">
        <v>17</v>
      </c>
      <c r="F1049" t="s">
        <v>12</v>
      </c>
      <c r="G1049" t="s">
        <v>13</v>
      </c>
      <c r="H1049">
        <v>5</v>
      </c>
      <c r="I1049" t="str">
        <f>VLOOKUP(D1049,Product_Lookup!$A$2:$C$27,3,FALSE)</f>
        <v>$84.57</v>
      </c>
      <c r="J1049" t="str">
        <f t="shared" si="131"/>
        <v>Sunday</v>
      </c>
      <c r="K1049" s="10" t="str">
        <f t="shared" si="132"/>
        <v>September</v>
      </c>
      <c r="L1049">
        <f t="shared" si="133"/>
        <v>2024</v>
      </c>
      <c r="M1049" t="b">
        <f t="shared" si="134"/>
        <v>1</v>
      </c>
      <c r="N1049" t="b">
        <f t="shared" si="128"/>
        <v>0</v>
      </c>
      <c r="O1049" t="str">
        <f t="shared" si="135"/>
        <v>Standard order</v>
      </c>
      <c r="P1049" s="7">
        <f t="shared" si="129"/>
        <v>4.2284999999999995</v>
      </c>
      <c r="Q1049" s="7" t="str">
        <f>VLOOKUP(D1050,Product_Lookup!$A$2:$C$27,2,FALSE)</f>
        <v>Monitor</v>
      </c>
      <c r="R1049" s="7">
        <f t="shared" si="130"/>
        <v>422.84999999999997</v>
      </c>
    </row>
    <row r="1050" spans="1:18" ht="21.75" customHeight="1">
      <c r="A1050" t="s">
        <v>1201</v>
      </c>
      <c r="B1050" s="6">
        <v>45299</v>
      </c>
      <c r="C1050" t="s">
        <v>381</v>
      </c>
      <c r="D1050" t="s">
        <v>102</v>
      </c>
      <c r="E1050" t="s">
        <v>22</v>
      </c>
      <c r="F1050" t="s">
        <v>306</v>
      </c>
      <c r="G1050" t="s">
        <v>36</v>
      </c>
      <c r="H1050">
        <v>7</v>
      </c>
      <c r="I1050" t="str">
        <f>VLOOKUP(D1050,Product_Lookup!$A$2:$C$27,3,FALSE)</f>
        <v>$145.48</v>
      </c>
      <c r="J1050" t="str">
        <f t="shared" si="131"/>
        <v>Monday</v>
      </c>
      <c r="K1050" s="10" t="str">
        <f t="shared" si="132"/>
        <v>January</v>
      </c>
      <c r="L1050">
        <f t="shared" si="133"/>
        <v>2024</v>
      </c>
      <c r="M1050" t="b">
        <f t="shared" si="134"/>
        <v>0</v>
      </c>
      <c r="N1050" t="b">
        <f t="shared" si="128"/>
        <v>1</v>
      </c>
      <c r="O1050" t="str">
        <f t="shared" si="135"/>
        <v>Large Order</v>
      </c>
      <c r="P1050" s="7">
        <f t="shared" si="129"/>
        <v>7.274</v>
      </c>
      <c r="Q1050" s="7" t="str">
        <f>VLOOKUP(D1051,Product_Lookup!$A$2:$C$27,2,FALSE)</f>
        <v>Desk Lamp</v>
      </c>
      <c r="R1050" s="7">
        <f t="shared" si="130"/>
        <v>1018.3599999999999</v>
      </c>
    </row>
    <row r="1051" spans="1:18" ht="21.75" customHeight="1">
      <c r="A1051" t="s">
        <v>1202</v>
      </c>
      <c r="B1051" s="6">
        <v>45455</v>
      </c>
      <c r="C1051" t="s">
        <v>101</v>
      </c>
      <c r="D1051" t="s">
        <v>59</v>
      </c>
      <c r="E1051" t="s">
        <v>11</v>
      </c>
      <c r="F1051" t="s">
        <v>42</v>
      </c>
      <c r="G1051" t="s">
        <v>32</v>
      </c>
      <c r="H1051">
        <v>8</v>
      </c>
      <c r="I1051" t="str">
        <f>VLOOKUP(D1051,Product_Lookup!$A$2:$C$27,3,FALSE)</f>
        <v>$101.96</v>
      </c>
      <c r="J1051" t="str">
        <f t="shared" si="131"/>
        <v>Wednesday</v>
      </c>
      <c r="K1051" s="10" t="str">
        <f t="shared" si="132"/>
        <v>June</v>
      </c>
      <c r="L1051">
        <f t="shared" si="133"/>
        <v>2024</v>
      </c>
      <c r="M1051" t="b">
        <f t="shared" si="134"/>
        <v>0</v>
      </c>
      <c r="N1051" t="b">
        <f t="shared" si="128"/>
        <v>1</v>
      </c>
      <c r="O1051" t="str">
        <f t="shared" si="135"/>
        <v>Large Order</v>
      </c>
      <c r="P1051" s="7">
        <f t="shared" si="129"/>
        <v>5.0979999999999999</v>
      </c>
      <c r="Q1051" s="7" t="str">
        <f>VLOOKUP(D1052,Product_Lookup!$A$2:$C$27,2,FALSE)</f>
        <v>Smartphone</v>
      </c>
      <c r="R1051" s="7">
        <f t="shared" si="130"/>
        <v>815.68</v>
      </c>
    </row>
    <row r="1052" spans="1:18" ht="21.75" customHeight="1">
      <c r="A1052" t="s">
        <v>1203</v>
      </c>
      <c r="B1052" s="6">
        <v>45605</v>
      </c>
      <c r="C1052" t="s">
        <v>47</v>
      </c>
      <c r="D1052" t="s">
        <v>79</v>
      </c>
      <c r="E1052" t="s">
        <v>22</v>
      </c>
      <c r="F1052" t="s">
        <v>27</v>
      </c>
      <c r="G1052" t="s">
        <v>13</v>
      </c>
      <c r="H1052">
        <v>5</v>
      </c>
      <c r="I1052" t="str">
        <f>VLOOKUP(D1052,Product_Lookup!$A$2:$C$27,3,FALSE)</f>
        <v>$216.22</v>
      </c>
      <c r="J1052" t="str">
        <f t="shared" si="131"/>
        <v>Saturday</v>
      </c>
      <c r="K1052" s="10" t="str">
        <f t="shared" si="132"/>
        <v>November</v>
      </c>
      <c r="L1052">
        <f t="shared" si="133"/>
        <v>2024</v>
      </c>
      <c r="M1052" t="b">
        <f t="shared" si="134"/>
        <v>1</v>
      </c>
      <c r="N1052" t="b">
        <f t="shared" si="128"/>
        <v>0</v>
      </c>
      <c r="O1052" t="str">
        <f t="shared" si="135"/>
        <v>Large Order</v>
      </c>
      <c r="P1052" s="7">
        <f t="shared" si="129"/>
        <v>10.811</v>
      </c>
      <c r="Q1052" s="7" t="str">
        <f>VLOOKUP(D1053,Product_Lookup!$A$2:$C$27,2,FALSE)</f>
        <v>Vacuum</v>
      </c>
      <c r="R1052" s="7">
        <f t="shared" si="130"/>
        <v>1081.0999999999999</v>
      </c>
    </row>
    <row r="1053" spans="1:18" ht="21.75" customHeight="1">
      <c r="A1053" t="s">
        <v>1204</v>
      </c>
      <c r="B1053" s="6">
        <v>45346</v>
      </c>
      <c r="C1053" t="s">
        <v>53</v>
      </c>
      <c r="D1053" t="s">
        <v>87</v>
      </c>
      <c r="E1053" t="s">
        <v>11</v>
      </c>
      <c r="F1053" t="s">
        <v>12</v>
      </c>
      <c r="G1053" t="s">
        <v>36</v>
      </c>
      <c r="H1053">
        <v>13</v>
      </c>
      <c r="I1053" t="str">
        <f>VLOOKUP(D1053,Product_Lookup!$A$2:$C$27,3,FALSE)</f>
        <v>$26.59</v>
      </c>
      <c r="J1053" t="str">
        <f t="shared" si="131"/>
        <v>Saturday</v>
      </c>
      <c r="K1053" s="10" t="str">
        <f t="shared" si="132"/>
        <v>February</v>
      </c>
      <c r="L1053">
        <f t="shared" si="133"/>
        <v>2024</v>
      </c>
      <c r="M1053" t="b">
        <f t="shared" si="134"/>
        <v>1</v>
      </c>
      <c r="N1053" t="b">
        <f t="shared" si="128"/>
        <v>0</v>
      </c>
      <c r="O1053" t="str">
        <f t="shared" si="135"/>
        <v>Standard order</v>
      </c>
      <c r="P1053" s="7">
        <f t="shared" si="129"/>
        <v>1.3295000000000001</v>
      </c>
      <c r="Q1053" s="7" t="str">
        <f>VLOOKUP(D1054,Product_Lookup!$A$2:$C$27,2,FALSE)</f>
        <v>Paper Shredder</v>
      </c>
      <c r="R1053" s="7">
        <f t="shared" si="130"/>
        <v>345.67</v>
      </c>
    </row>
    <row r="1054" spans="1:18" ht="21.75" customHeight="1">
      <c r="A1054" t="s">
        <v>1205</v>
      </c>
      <c r="B1054" s="6">
        <v>45595</v>
      </c>
      <c r="C1054" t="s">
        <v>451</v>
      </c>
      <c r="D1054" t="s">
        <v>109</v>
      </c>
      <c r="E1054" t="s">
        <v>22</v>
      </c>
      <c r="F1054" t="s">
        <v>27</v>
      </c>
      <c r="G1054" t="s">
        <v>28</v>
      </c>
      <c r="H1054">
        <v>12</v>
      </c>
      <c r="I1054" t="str">
        <f>VLOOKUP(D1054,Product_Lookup!$A$2:$C$27,3,FALSE)</f>
        <v>$81.02</v>
      </c>
      <c r="J1054" t="str">
        <f t="shared" si="131"/>
        <v>Wednesday</v>
      </c>
      <c r="K1054" s="10" t="str">
        <f t="shared" si="132"/>
        <v>October</v>
      </c>
      <c r="L1054">
        <f t="shared" si="133"/>
        <v>2024</v>
      </c>
      <c r="M1054" t="b">
        <f t="shared" si="134"/>
        <v>0</v>
      </c>
      <c r="N1054" t="b">
        <f t="shared" si="128"/>
        <v>1</v>
      </c>
      <c r="O1054" t="str">
        <f t="shared" si="135"/>
        <v>Large Order</v>
      </c>
      <c r="P1054" s="7">
        <f t="shared" si="129"/>
        <v>4.0510000000000002</v>
      </c>
      <c r="Q1054" s="7" t="str">
        <f>VLOOKUP(D1055,Product_Lookup!$A$2:$C$27,2,FALSE)</f>
        <v>Desk Lamp</v>
      </c>
      <c r="R1054" s="7">
        <f t="shared" si="130"/>
        <v>972.24</v>
      </c>
    </row>
    <row r="1055" spans="1:18" ht="21.75" customHeight="1">
      <c r="A1055" t="s">
        <v>1206</v>
      </c>
      <c r="B1055" s="6">
        <v>45635</v>
      </c>
      <c r="C1055" t="s">
        <v>312</v>
      </c>
      <c r="D1055" t="s">
        <v>59</v>
      </c>
      <c r="E1055" t="s">
        <v>11</v>
      </c>
      <c r="F1055" t="s">
        <v>27</v>
      </c>
      <c r="G1055" t="s">
        <v>23</v>
      </c>
      <c r="H1055">
        <v>5</v>
      </c>
      <c r="I1055" t="str">
        <f>VLOOKUP(D1055,Product_Lookup!$A$2:$C$27,3,FALSE)</f>
        <v>$101.96</v>
      </c>
      <c r="J1055" t="str">
        <f t="shared" si="131"/>
        <v>Monday</v>
      </c>
      <c r="K1055" s="10" t="str">
        <f t="shared" si="132"/>
        <v>December</v>
      </c>
      <c r="L1055">
        <f t="shared" si="133"/>
        <v>2024</v>
      </c>
      <c r="M1055" t="b">
        <f t="shared" si="134"/>
        <v>0</v>
      </c>
      <c r="N1055" t="b">
        <f t="shared" si="128"/>
        <v>0</v>
      </c>
      <c r="O1055" t="str">
        <f t="shared" si="135"/>
        <v>Large Order</v>
      </c>
      <c r="P1055" s="7">
        <f t="shared" si="129"/>
        <v>5.0979999999999999</v>
      </c>
      <c r="Q1055" s="7" t="str">
        <f>VLOOKUP(D1056,Product_Lookup!$A$2:$C$27,2,FALSE)</f>
        <v>Stapler</v>
      </c>
      <c r="R1055" s="7">
        <f t="shared" si="130"/>
        <v>509.79999999999995</v>
      </c>
    </row>
    <row r="1056" spans="1:18" ht="21.75" customHeight="1">
      <c r="A1056" t="s">
        <v>1207</v>
      </c>
      <c r="B1056" s="6">
        <v>45341</v>
      </c>
      <c r="C1056" t="s">
        <v>366</v>
      </c>
      <c r="D1056" t="s">
        <v>35</v>
      </c>
      <c r="E1056" t="s">
        <v>17</v>
      </c>
      <c r="F1056" t="s">
        <v>27</v>
      </c>
      <c r="G1056" t="s">
        <v>28</v>
      </c>
      <c r="H1056">
        <v>8</v>
      </c>
      <c r="I1056" t="str">
        <f>VLOOKUP(D1056,Product_Lookup!$A$2:$C$27,3,FALSE)</f>
        <v>$64.61</v>
      </c>
      <c r="J1056" t="str">
        <f t="shared" si="131"/>
        <v>Monday</v>
      </c>
      <c r="K1056" s="10" t="str">
        <f t="shared" si="132"/>
        <v>February</v>
      </c>
      <c r="L1056">
        <f t="shared" si="133"/>
        <v>2024</v>
      </c>
      <c r="M1056" t="b">
        <f t="shared" si="134"/>
        <v>0</v>
      </c>
      <c r="N1056" t="b">
        <f t="shared" si="128"/>
        <v>0</v>
      </c>
      <c r="O1056" t="str">
        <f t="shared" si="135"/>
        <v>Large Order</v>
      </c>
      <c r="P1056" s="7">
        <f t="shared" si="129"/>
        <v>3.2305000000000001</v>
      </c>
      <c r="Q1056" s="7" t="str">
        <f>VLOOKUP(D1057,Product_Lookup!$A$2:$C$27,2,FALSE)</f>
        <v>T-Shirt</v>
      </c>
      <c r="R1056" s="7">
        <f t="shared" si="130"/>
        <v>516.88</v>
      </c>
    </row>
    <row r="1057" spans="1:18" ht="21.75" customHeight="1">
      <c r="A1057" t="s">
        <v>1208</v>
      </c>
      <c r="B1057" s="6">
        <v>45607</v>
      </c>
      <c r="C1057" t="s">
        <v>86</v>
      </c>
      <c r="D1057" t="s">
        <v>45</v>
      </c>
      <c r="E1057" t="s">
        <v>17</v>
      </c>
      <c r="F1057" t="s">
        <v>27</v>
      </c>
      <c r="G1057" t="s">
        <v>32</v>
      </c>
      <c r="H1057">
        <v>11</v>
      </c>
      <c r="I1057" t="str">
        <f>VLOOKUP(D1057,Product_Lookup!$A$2:$C$27,3,FALSE)</f>
        <v>$107.34</v>
      </c>
      <c r="J1057" t="str">
        <f t="shared" si="131"/>
        <v>Monday</v>
      </c>
      <c r="K1057" s="10" t="str">
        <f t="shared" si="132"/>
        <v>November</v>
      </c>
      <c r="L1057">
        <f t="shared" si="133"/>
        <v>2024</v>
      </c>
      <c r="M1057" t="b">
        <f t="shared" si="134"/>
        <v>0</v>
      </c>
      <c r="N1057" t="b">
        <f t="shared" si="128"/>
        <v>1</v>
      </c>
      <c r="O1057" t="str">
        <f t="shared" si="135"/>
        <v>Large Order</v>
      </c>
      <c r="P1057" s="7">
        <f t="shared" si="129"/>
        <v>5.3670000000000009</v>
      </c>
      <c r="Q1057" s="7" t="str">
        <f>VLOOKUP(D1058,Product_Lookup!$A$2:$C$27,2,FALSE)</f>
        <v>Stapler</v>
      </c>
      <c r="R1057" s="7">
        <f t="shared" si="130"/>
        <v>1180.74</v>
      </c>
    </row>
    <row r="1058" spans="1:18" ht="21.75" customHeight="1">
      <c r="A1058" t="s">
        <v>1209</v>
      </c>
      <c r="B1058" s="6">
        <v>45524</v>
      </c>
      <c r="C1058" t="s">
        <v>374</v>
      </c>
      <c r="D1058" t="s">
        <v>35</v>
      </c>
      <c r="E1058" t="s">
        <v>11</v>
      </c>
      <c r="F1058" t="s">
        <v>12</v>
      </c>
      <c r="G1058" t="s">
        <v>23</v>
      </c>
      <c r="H1058">
        <v>4</v>
      </c>
      <c r="I1058" t="str">
        <f>VLOOKUP(D1058,Product_Lookup!$A$2:$C$27,3,FALSE)</f>
        <v>$64.61</v>
      </c>
      <c r="J1058" t="str">
        <f t="shared" si="131"/>
        <v>Tuesday</v>
      </c>
      <c r="K1058" s="10" t="str">
        <f t="shared" si="132"/>
        <v>August</v>
      </c>
      <c r="L1058">
        <f t="shared" si="133"/>
        <v>2024</v>
      </c>
      <c r="M1058" t="b">
        <f t="shared" si="134"/>
        <v>0</v>
      </c>
      <c r="N1058" t="b">
        <f t="shared" si="128"/>
        <v>0</v>
      </c>
      <c r="O1058" t="str">
        <f t="shared" si="135"/>
        <v>Standard order</v>
      </c>
      <c r="P1058" s="7">
        <f t="shared" si="129"/>
        <v>3.2305000000000001</v>
      </c>
      <c r="Q1058" s="7" t="str">
        <f>VLOOKUP(D1059,Product_Lookup!$A$2:$C$27,2,FALSE)</f>
        <v>Desk Lamp</v>
      </c>
      <c r="R1058" s="7">
        <f t="shared" si="130"/>
        <v>258.44</v>
      </c>
    </row>
    <row r="1059" spans="1:18" ht="21.75" customHeight="1">
      <c r="A1059" t="s">
        <v>1210</v>
      </c>
      <c r="B1059" s="6">
        <v>45379</v>
      </c>
      <c r="C1059" t="s">
        <v>55</v>
      </c>
      <c r="D1059" t="s">
        <v>59</v>
      </c>
      <c r="E1059" t="s">
        <v>17</v>
      </c>
      <c r="F1059" t="s">
        <v>306</v>
      </c>
      <c r="G1059" t="s">
        <v>23</v>
      </c>
      <c r="H1059">
        <v>5</v>
      </c>
      <c r="I1059" t="str">
        <f>VLOOKUP(D1059,Product_Lookup!$A$2:$C$27,3,FALSE)</f>
        <v>$101.96</v>
      </c>
      <c r="J1059" t="str">
        <f t="shared" si="131"/>
        <v>Thursday</v>
      </c>
      <c r="K1059" s="10" t="str">
        <f t="shared" si="132"/>
        <v>March</v>
      </c>
      <c r="L1059">
        <f t="shared" si="133"/>
        <v>2024</v>
      </c>
      <c r="M1059" t="b">
        <f t="shared" si="134"/>
        <v>0</v>
      </c>
      <c r="N1059" t="b">
        <f t="shared" si="128"/>
        <v>0</v>
      </c>
      <c r="O1059" t="str">
        <f t="shared" si="135"/>
        <v>Large Order</v>
      </c>
      <c r="P1059" s="7">
        <f t="shared" si="129"/>
        <v>5.0979999999999999</v>
      </c>
      <c r="Q1059" s="7" t="str">
        <f>VLOOKUP(D1060,Product_Lookup!$A$2:$C$27,2,FALSE)</f>
        <v>Socks</v>
      </c>
      <c r="R1059" s="7">
        <f t="shared" si="130"/>
        <v>509.79999999999995</v>
      </c>
    </row>
    <row r="1060" spans="1:18" ht="21.75" customHeight="1">
      <c r="A1060" t="s">
        <v>1211</v>
      </c>
      <c r="B1060" s="6">
        <v>45346</v>
      </c>
      <c r="C1060" t="s">
        <v>187</v>
      </c>
      <c r="D1060" t="s">
        <v>74</v>
      </c>
      <c r="E1060" t="s">
        <v>22</v>
      </c>
      <c r="F1060" t="s">
        <v>12</v>
      </c>
      <c r="G1060" t="s">
        <v>36</v>
      </c>
      <c r="H1060">
        <v>18</v>
      </c>
      <c r="I1060" t="str">
        <f>VLOOKUP(D1060,Product_Lookup!$A$2:$C$27,3,FALSE)</f>
        <v>$201.32</v>
      </c>
      <c r="J1060" t="str">
        <f t="shared" si="131"/>
        <v>Saturday</v>
      </c>
      <c r="K1060" s="10" t="str">
        <f t="shared" si="132"/>
        <v>February</v>
      </c>
      <c r="L1060">
        <f t="shared" si="133"/>
        <v>2024</v>
      </c>
      <c r="M1060" t="b">
        <f t="shared" si="134"/>
        <v>1</v>
      </c>
      <c r="N1060" t="b">
        <f t="shared" si="128"/>
        <v>1</v>
      </c>
      <c r="O1060" t="str">
        <f t="shared" si="135"/>
        <v>Large Order</v>
      </c>
      <c r="P1060" s="7">
        <f t="shared" si="129"/>
        <v>10.066000000000001</v>
      </c>
      <c r="Q1060" s="7" t="str">
        <f>VLOOKUP(D1061,Product_Lookup!$A$2:$C$27,2,FALSE)</f>
        <v>Pen Set</v>
      </c>
      <c r="R1060" s="7">
        <f t="shared" si="130"/>
        <v>3623.7599999999998</v>
      </c>
    </row>
    <row r="1061" spans="1:18" ht="21.75" customHeight="1">
      <c r="A1061" t="s">
        <v>1212</v>
      </c>
      <c r="B1061" s="6">
        <v>45503</v>
      </c>
      <c r="C1061" t="s">
        <v>93</v>
      </c>
      <c r="D1061" t="s">
        <v>174</v>
      </c>
      <c r="E1061" t="s">
        <v>22</v>
      </c>
      <c r="F1061" t="s">
        <v>56</v>
      </c>
      <c r="G1061" t="s">
        <v>23</v>
      </c>
      <c r="H1061">
        <v>6</v>
      </c>
      <c r="I1061" t="str">
        <f>VLOOKUP(D1061,Product_Lookup!$A$2:$C$27,3,FALSE)</f>
        <v>$133.37</v>
      </c>
      <c r="J1061" t="str">
        <f t="shared" si="131"/>
        <v>Tuesday</v>
      </c>
      <c r="K1061" s="10" t="str">
        <f t="shared" si="132"/>
        <v>July</v>
      </c>
      <c r="L1061">
        <f t="shared" si="133"/>
        <v>2024</v>
      </c>
      <c r="M1061" t="b">
        <f t="shared" si="134"/>
        <v>0</v>
      </c>
      <c r="N1061" t="b">
        <f t="shared" si="128"/>
        <v>1</v>
      </c>
      <c r="O1061" t="str">
        <f t="shared" si="135"/>
        <v>Large Order</v>
      </c>
      <c r="P1061" s="7">
        <f t="shared" si="129"/>
        <v>6.6685000000000008</v>
      </c>
      <c r="Q1061" s="7" t="str">
        <f>VLOOKUP(D1062,Product_Lookup!$A$2:$C$27,2,FALSE)</f>
        <v>Vacuum</v>
      </c>
      <c r="R1061" s="7">
        <f t="shared" si="130"/>
        <v>800.22</v>
      </c>
    </row>
    <row r="1062" spans="1:18" ht="21.75" customHeight="1">
      <c r="A1062" t="s">
        <v>1213</v>
      </c>
      <c r="B1062" s="6">
        <v>45325</v>
      </c>
      <c r="C1062" t="s">
        <v>47</v>
      </c>
      <c r="D1062" t="s">
        <v>87</v>
      </c>
      <c r="E1062" t="s">
        <v>11</v>
      </c>
      <c r="F1062" t="s">
        <v>306</v>
      </c>
      <c r="G1062" t="s">
        <v>32</v>
      </c>
      <c r="H1062">
        <v>14</v>
      </c>
      <c r="I1062" t="str">
        <f>VLOOKUP(D1062,Product_Lookup!$A$2:$C$27,3,FALSE)</f>
        <v>$26.59</v>
      </c>
      <c r="J1062" t="str">
        <f t="shared" si="131"/>
        <v>Saturday</v>
      </c>
      <c r="K1062" s="10" t="str">
        <f t="shared" si="132"/>
        <v>February</v>
      </c>
      <c r="L1062">
        <f t="shared" si="133"/>
        <v>2024</v>
      </c>
      <c r="M1062" t="b">
        <f t="shared" si="134"/>
        <v>1</v>
      </c>
      <c r="N1062" t="b">
        <f t="shared" si="128"/>
        <v>0</v>
      </c>
      <c r="O1062" t="str">
        <f t="shared" si="135"/>
        <v>Standard order</v>
      </c>
      <c r="P1062" s="7">
        <f t="shared" si="129"/>
        <v>1.3295000000000001</v>
      </c>
      <c r="Q1062" s="7" t="str">
        <f>VLOOKUP(D1063,Product_Lookup!$A$2:$C$27,2,FALSE)</f>
        <v>Board Game</v>
      </c>
      <c r="R1062" s="7">
        <f t="shared" si="130"/>
        <v>372.26</v>
      </c>
    </row>
    <row r="1063" spans="1:18" ht="21.75" customHeight="1">
      <c r="A1063" t="s">
        <v>1214</v>
      </c>
      <c r="B1063" s="6">
        <v>45570</v>
      </c>
      <c r="C1063" t="s">
        <v>465</v>
      </c>
      <c r="D1063" t="s">
        <v>41</v>
      </c>
      <c r="E1063" t="s">
        <v>11</v>
      </c>
      <c r="F1063" t="s">
        <v>56</v>
      </c>
      <c r="G1063" t="s">
        <v>36</v>
      </c>
      <c r="H1063">
        <v>3</v>
      </c>
      <c r="I1063" t="str">
        <f>VLOOKUP(D1063,Product_Lookup!$A$2:$C$27,3,FALSE)</f>
        <v>$86.6</v>
      </c>
      <c r="J1063" t="str">
        <f t="shared" si="131"/>
        <v>Saturday</v>
      </c>
      <c r="K1063" s="10" t="str">
        <f t="shared" si="132"/>
        <v>October</v>
      </c>
      <c r="L1063">
        <f t="shared" si="133"/>
        <v>2024</v>
      </c>
      <c r="M1063" t="b">
        <f t="shared" si="134"/>
        <v>1</v>
      </c>
      <c r="N1063" t="b">
        <f t="shared" si="128"/>
        <v>0</v>
      </c>
      <c r="O1063" t="str">
        <f t="shared" si="135"/>
        <v>Standard order</v>
      </c>
      <c r="P1063" s="7">
        <f t="shared" si="129"/>
        <v>4.33</v>
      </c>
      <c r="Q1063" s="7" t="str">
        <f>VLOOKUP(D1064,Product_Lookup!$A$2:$C$27,2,FALSE)</f>
        <v>Air Fryer</v>
      </c>
      <c r="R1063" s="7">
        <f t="shared" si="130"/>
        <v>259.79999999999995</v>
      </c>
    </row>
    <row r="1064" spans="1:18" ht="21.75" customHeight="1">
      <c r="A1064" t="s">
        <v>1215</v>
      </c>
      <c r="B1064" s="6">
        <v>45541</v>
      </c>
      <c r="C1064" t="s">
        <v>40</v>
      </c>
      <c r="D1064" t="s">
        <v>70</v>
      </c>
      <c r="E1064" t="s">
        <v>22</v>
      </c>
      <c r="F1064" t="s">
        <v>306</v>
      </c>
      <c r="G1064" t="s">
        <v>23</v>
      </c>
      <c r="H1064">
        <v>11</v>
      </c>
      <c r="I1064" t="str">
        <f>VLOOKUP(D1064,Product_Lookup!$A$2:$C$27,3,FALSE)</f>
        <v>$211.9</v>
      </c>
      <c r="J1064" t="str">
        <f t="shared" si="131"/>
        <v>Friday</v>
      </c>
      <c r="K1064" s="10" t="str">
        <f t="shared" si="132"/>
        <v>September</v>
      </c>
      <c r="L1064">
        <f t="shared" si="133"/>
        <v>2024</v>
      </c>
      <c r="M1064" t="b">
        <f t="shared" si="134"/>
        <v>0</v>
      </c>
      <c r="N1064" t="b">
        <f t="shared" si="128"/>
        <v>1</v>
      </c>
      <c r="O1064" t="str">
        <f t="shared" si="135"/>
        <v>Large Order</v>
      </c>
      <c r="P1064" s="7">
        <f t="shared" si="129"/>
        <v>10.595000000000001</v>
      </c>
      <c r="Q1064" s="7" t="str">
        <f>VLOOKUP(D1065,Product_Lookup!$A$2:$C$27,2,FALSE)</f>
        <v>Paper Shredder</v>
      </c>
      <c r="R1064" s="7">
        <f t="shared" si="130"/>
        <v>2330.9</v>
      </c>
    </row>
    <row r="1065" spans="1:18" ht="21.75" customHeight="1">
      <c r="A1065" t="s">
        <v>1216</v>
      </c>
      <c r="B1065" s="6">
        <v>45382</v>
      </c>
      <c r="C1065" t="s">
        <v>147</v>
      </c>
      <c r="D1065" t="s">
        <v>109</v>
      </c>
      <c r="E1065" t="s">
        <v>17</v>
      </c>
      <c r="F1065" t="s">
        <v>12</v>
      </c>
      <c r="G1065" t="s">
        <v>36</v>
      </c>
      <c r="H1065">
        <v>4</v>
      </c>
      <c r="I1065" t="str">
        <f>VLOOKUP(D1065,Product_Lookup!$A$2:$C$27,3,FALSE)</f>
        <v>$81.02</v>
      </c>
      <c r="J1065" t="str">
        <f t="shared" si="131"/>
        <v>Sunday</v>
      </c>
      <c r="K1065" s="10" t="str">
        <f t="shared" si="132"/>
        <v>March</v>
      </c>
      <c r="L1065">
        <f t="shared" si="133"/>
        <v>2024</v>
      </c>
      <c r="M1065" t="b">
        <f t="shared" si="134"/>
        <v>1</v>
      </c>
      <c r="N1065" t="b">
        <f t="shared" si="128"/>
        <v>0</v>
      </c>
      <c r="O1065" t="str">
        <f t="shared" si="135"/>
        <v>Standard order</v>
      </c>
      <c r="P1065" s="7">
        <f t="shared" si="129"/>
        <v>4.0510000000000002</v>
      </c>
      <c r="Q1065" s="7" t="str">
        <f>VLOOKUP(D1066,Product_Lookup!$A$2:$C$27,2,FALSE)</f>
        <v>Tablet</v>
      </c>
      <c r="R1065" s="7">
        <f t="shared" si="130"/>
        <v>324.08</v>
      </c>
    </row>
    <row r="1066" spans="1:18" ht="21.75" customHeight="1">
      <c r="A1066" t="s">
        <v>1217</v>
      </c>
      <c r="B1066" s="6">
        <v>45486</v>
      </c>
      <c r="C1066" t="s">
        <v>187</v>
      </c>
      <c r="D1066" t="s">
        <v>10</v>
      </c>
      <c r="E1066" t="s">
        <v>17</v>
      </c>
      <c r="F1066" t="s">
        <v>12</v>
      </c>
      <c r="G1066" t="s">
        <v>36</v>
      </c>
      <c r="H1066">
        <v>7</v>
      </c>
      <c r="I1066" t="str">
        <f>VLOOKUP(D1066,Product_Lookup!$A$2:$C$27,3,FALSE)</f>
        <v>$146.06</v>
      </c>
      <c r="J1066" t="str">
        <f t="shared" si="131"/>
        <v>Saturday</v>
      </c>
      <c r="K1066" s="10" t="str">
        <f t="shared" si="132"/>
        <v>July</v>
      </c>
      <c r="L1066">
        <f t="shared" si="133"/>
        <v>2024</v>
      </c>
      <c r="M1066" t="b">
        <f t="shared" si="134"/>
        <v>1</v>
      </c>
      <c r="N1066" t="b">
        <f t="shared" si="128"/>
        <v>1</v>
      </c>
      <c r="O1066" t="str">
        <f t="shared" si="135"/>
        <v>Large Order</v>
      </c>
      <c r="P1066" s="7">
        <f t="shared" si="129"/>
        <v>7.3030000000000008</v>
      </c>
      <c r="Q1066" s="7" t="str">
        <f>VLOOKUP(D1067,Product_Lookup!$A$2:$C$27,2,FALSE)</f>
        <v>Air Fryer</v>
      </c>
      <c r="R1066" s="7">
        <f t="shared" si="130"/>
        <v>1022.4200000000001</v>
      </c>
    </row>
    <row r="1067" spans="1:18" ht="21.75" customHeight="1">
      <c r="A1067" t="s">
        <v>1218</v>
      </c>
      <c r="B1067" s="6">
        <v>45617</v>
      </c>
      <c r="C1067" t="s">
        <v>25</v>
      </c>
      <c r="D1067" t="s">
        <v>70</v>
      </c>
      <c r="E1067" t="s">
        <v>11</v>
      </c>
      <c r="F1067" t="s">
        <v>56</v>
      </c>
      <c r="G1067" t="s">
        <v>36</v>
      </c>
      <c r="H1067">
        <v>18</v>
      </c>
      <c r="I1067" t="str">
        <f>VLOOKUP(D1067,Product_Lookup!$A$2:$C$27,3,FALSE)</f>
        <v>$211.9</v>
      </c>
      <c r="J1067" t="str">
        <f t="shared" si="131"/>
        <v>Thursday</v>
      </c>
      <c r="K1067" s="10" t="str">
        <f t="shared" si="132"/>
        <v>November</v>
      </c>
      <c r="L1067">
        <f t="shared" si="133"/>
        <v>2024</v>
      </c>
      <c r="M1067" t="b">
        <f t="shared" si="134"/>
        <v>0</v>
      </c>
      <c r="N1067" t="b">
        <f t="shared" si="128"/>
        <v>1</v>
      </c>
      <c r="O1067" t="str">
        <f t="shared" si="135"/>
        <v>Large Order</v>
      </c>
      <c r="P1067" s="7">
        <f t="shared" si="129"/>
        <v>10.595000000000001</v>
      </c>
      <c r="Q1067" s="7" t="str">
        <f>VLOOKUP(D1068,Product_Lookup!$A$2:$C$27,2,FALSE)</f>
        <v>Board Game</v>
      </c>
      <c r="R1067" s="7">
        <f t="shared" si="130"/>
        <v>3814.2000000000003</v>
      </c>
    </row>
    <row r="1068" spans="1:18" ht="21.75" customHeight="1">
      <c r="A1068" t="s">
        <v>1219</v>
      </c>
      <c r="B1068" s="6">
        <v>45587</v>
      </c>
      <c r="C1068" t="s">
        <v>430</v>
      </c>
      <c r="D1068" t="s">
        <v>41</v>
      </c>
      <c r="E1068" t="s">
        <v>11</v>
      </c>
      <c r="F1068" t="s">
        <v>56</v>
      </c>
      <c r="G1068" t="s">
        <v>32</v>
      </c>
      <c r="H1068">
        <v>11</v>
      </c>
      <c r="I1068" t="str">
        <f>VLOOKUP(D1068,Product_Lookup!$A$2:$C$27,3,FALSE)</f>
        <v>$86.6</v>
      </c>
      <c r="J1068" t="str">
        <f t="shared" si="131"/>
        <v>Tuesday</v>
      </c>
      <c r="K1068" s="10" t="str">
        <f t="shared" si="132"/>
        <v>October</v>
      </c>
      <c r="L1068">
        <f t="shared" si="133"/>
        <v>2024</v>
      </c>
      <c r="M1068" t="b">
        <f t="shared" si="134"/>
        <v>0</v>
      </c>
      <c r="N1068" t="b">
        <f t="shared" si="128"/>
        <v>1</v>
      </c>
      <c r="O1068" t="str">
        <f t="shared" si="135"/>
        <v>Large Order</v>
      </c>
      <c r="P1068" s="7">
        <f t="shared" si="129"/>
        <v>4.33</v>
      </c>
      <c r="Q1068" s="7" t="str">
        <f>VLOOKUP(D1069,Product_Lookup!$A$2:$C$27,2,FALSE)</f>
        <v>Desk Lamp</v>
      </c>
      <c r="R1068" s="7">
        <f t="shared" si="130"/>
        <v>952.59999999999991</v>
      </c>
    </row>
    <row r="1069" spans="1:18" ht="21.75" customHeight="1">
      <c r="A1069" t="s">
        <v>1220</v>
      </c>
      <c r="B1069" s="6">
        <v>45514</v>
      </c>
      <c r="C1069" t="s">
        <v>436</v>
      </c>
      <c r="D1069" t="s">
        <v>59</v>
      </c>
      <c r="E1069" t="s">
        <v>17</v>
      </c>
      <c r="F1069" t="s">
        <v>12</v>
      </c>
      <c r="G1069" t="s">
        <v>36</v>
      </c>
      <c r="H1069">
        <v>1</v>
      </c>
      <c r="I1069" t="str">
        <f>VLOOKUP(D1069,Product_Lookup!$A$2:$C$27,3,FALSE)</f>
        <v>$101.96</v>
      </c>
      <c r="J1069" t="str">
        <f t="shared" si="131"/>
        <v>Saturday</v>
      </c>
      <c r="K1069" s="10" t="str">
        <f t="shared" si="132"/>
        <v>August</v>
      </c>
      <c r="L1069">
        <f t="shared" si="133"/>
        <v>2024</v>
      </c>
      <c r="M1069" t="b">
        <f t="shared" si="134"/>
        <v>1</v>
      </c>
      <c r="N1069" t="b">
        <f t="shared" si="128"/>
        <v>0</v>
      </c>
      <c r="O1069" t="str">
        <f t="shared" si="135"/>
        <v>Standard order</v>
      </c>
      <c r="P1069" s="7">
        <f t="shared" si="129"/>
        <v>5.0979999999999999</v>
      </c>
      <c r="Q1069" s="7" t="str">
        <f>VLOOKUP(D1070,Product_Lookup!$A$2:$C$27,2,FALSE)</f>
        <v>Toaster</v>
      </c>
      <c r="R1069" s="7">
        <f t="shared" si="130"/>
        <v>101.96</v>
      </c>
    </row>
    <row r="1070" spans="1:18" ht="21.75" customHeight="1">
      <c r="A1070" t="s">
        <v>1221</v>
      </c>
      <c r="B1070" s="6">
        <v>45498</v>
      </c>
      <c r="C1070" t="s">
        <v>34</v>
      </c>
      <c r="D1070" t="s">
        <v>48</v>
      </c>
      <c r="E1070" t="s">
        <v>17</v>
      </c>
      <c r="F1070" t="s">
        <v>12</v>
      </c>
      <c r="G1070" t="s">
        <v>13</v>
      </c>
      <c r="H1070">
        <v>18</v>
      </c>
      <c r="I1070" t="str">
        <f>VLOOKUP(D1070,Product_Lookup!$A$2:$C$27,3,FALSE)</f>
        <v>$208.85</v>
      </c>
      <c r="J1070" t="str">
        <f t="shared" si="131"/>
        <v>Thursday</v>
      </c>
      <c r="K1070" s="10" t="str">
        <f t="shared" si="132"/>
        <v>July</v>
      </c>
      <c r="L1070">
        <f t="shared" si="133"/>
        <v>2024</v>
      </c>
      <c r="M1070" t="b">
        <f t="shared" si="134"/>
        <v>0</v>
      </c>
      <c r="N1070" t="b">
        <f t="shared" si="128"/>
        <v>1</v>
      </c>
      <c r="O1070" t="str">
        <f t="shared" si="135"/>
        <v>Large Order</v>
      </c>
      <c r="P1070" s="7">
        <f t="shared" si="129"/>
        <v>10.442500000000001</v>
      </c>
      <c r="Q1070" s="7" t="str">
        <f>VLOOKUP(D1071,Product_Lookup!$A$2:$C$27,2,FALSE)</f>
        <v>Socks</v>
      </c>
      <c r="R1070" s="7">
        <f t="shared" si="130"/>
        <v>3759.2999999999997</v>
      </c>
    </row>
    <row r="1071" spans="1:18" ht="21.75" customHeight="1">
      <c r="A1071" t="s">
        <v>1222</v>
      </c>
      <c r="B1071" s="6">
        <v>45652</v>
      </c>
      <c r="C1071" t="s">
        <v>642</v>
      </c>
      <c r="D1071" t="s">
        <v>74</v>
      </c>
      <c r="E1071" t="s">
        <v>17</v>
      </c>
      <c r="F1071" t="s">
        <v>12</v>
      </c>
      <c r="G1071" t="s">
        <v>36</v>
      </c>
      <c r="H1071">
        <v>1</v>
      </c>
      <c r="I1071" t="str">
        <f>VLOOKUP(D1071,Product_Lookup!$A$2:$C$27,3,FALSE)</f>
        <v>$201.32</v>
      </c>
      <c r="J1071" t="str">
        <f t="shared" si="131"/>
        <v>Thursday</v>
      </c>
      <c r="K1071" s="10" t="str">
        <f t="shared" si="132"/>
        <v>December</v>
      </c>
      <c r="L1071">
        <f t="shared" si="133"/>
        <v>2024</v>
      </c>
      <c r="M1071" t="b">
        <f t="shared" si="134"/>
        <v>0</v>
      </c>
      <c r="N1071" t="b">
        <f t="shared" si="128"/>
        <v>0</v>
      </c>
      <c r="O1071" t="str">
        <f t="shared" si="135"/>
        <v>Standard order</v>
      </c>
      <c r="P1071" s="7">
        <f t="shared" si="129"/>
        <v>10.066000000000001</v>
      </c>
      <c r="Q1071" s="7" t="str">
        <f>VLOOKUP(D1072,Product_Lookup!$A$2:$C$27,2,FALSE)</f>
        <v>Coffee Maker</v>
      </c>
      <c r="R1071" s="7">
        <f t="shared" si="130"/>
        <v>201.32</v>
      </c>
    </row>
    <row r="1072" spans="1:18" ht="21.75" customHeight="1">
      <c r="A1072" t="s">
        <v>1223</v>
      </c>
      <c r="B1072" s="6">
        <v>45493</v>
      </c>
      <c r="C1072" t="s">
        <v>451</v>
      </c>
      <c r="D1072" t="s">
        <v>31</v>
      </c>
      <c r="E1072" t="s">
        <v>17</v>
      </c>
      <c r="F1072" t="s">
        <v>27</v>
      </c>
      <c r="G1072" t="s">
        <v>28</v>
      </c>
      <c r="H1072">
        <v>13</v>
      </c>
      <c r="I1072" t="str">
        <f>VLOOKUP(D1072,Product_Lookup!$A$2:$C$27,3,FALSE)</f>
        <v>$230.34</v>
      </c>
      <c r="J1072" t="str">
        <f t="shared" si="131"/>
        <v>Saturday</v>
      </c>
      <c r="K1072" s="10" t="str">
        <f t="shared" si="132"/>
        <v>July</v>
      </c>
      <c r="L1072">
        <f t="shared" si="133"/>
        <v>2024</v>
      </c>
      <c r="M1072" t="b">
        <f t="shared" si="134"/>
        <v>1</v>
      </c>
      <c r="N1072" t="b">
        <f t="shared" si="128"/>
        <v>1</v>
      </c>
      <c r="O1072" t="str">
        <f t="shared" si="135"/>
        <v>Large Order</v>
      </c>
      <c r="P1072" s="7">
        <f t="shared" si="129"/>
        <v>11.517000000000001</v>
      </c>
      <c r="Q1072" s="7" t="str">
        <f>VLOOKUP(D1073,Product_Lookup!$A$2:$C$27,2,FALSE)</f>
        <v>Jeans</v>
      </c>
      <c r="R1072" s="7">
        <f t="shared" si="130"/>
        <v>2994.42</v>
      </c>
    </row>
    <row r="1073" spans="1:18" ht="21.75" customHeight="1">
      <c r="A1073" t="s">
        <v>1224</v>
      </c>
      <c r="B1073" s="6">
        <v>45631</v>
      </c>
      <c r="C1073" t="s">
        <v>235</v>
      </c>
      <c r="D1073" t="s">
        <v>65</v>
      </c>
      <c r="E1073" t="s">
        <v>17</v>
      </c>
      <c r="F1073" t="s">
        <v>56</v>
      </c>
      <c r="G1073" t="s">
        <v>32</v>
      </c>
      <c r="H1073">
        <v>18</v>
      </c>
      <c r="I1073" t="str">
        <f>VLOOKUP(D1073,Product_Lookup!$A$2:$C$27,3,FALSE)</f>
        <v>$33.22</v>
      </c>
      <c r="J1073" t="str">
        <f t="shared" si="131"/>
        <v>Thursday</v>
      </c>
      <c r="K1073" s="10" t="str">
        <f t="shared" si="132"/>
        <v>December</v>
      </c>
      <c r="L1073">
        <f t="shared" si="133"/>
        <v>2024</v>
      </c>
      <c r="M1073" t="b">
        <f t="shared" si="134"/>
        <v>0</v>
      </c>
      <c r="N1073" t="b">
        <f t="shared" si="128"/>
        <v>0</v>
      </c>
      <c r="O1073" t="str">
        <f t="shared" si="135"/>
        <v>Large Order</v>
      </c>
      <c r="P1073" s="7">
        <f t="shared" si="129"/>
        <v>1.661</v>
      </c>
      <c r="Q1073" s="7" t="str">
        <f>VLOOKUP(D1074,Product_Lookup!$A$2:$C$27,2,FALSE)</f>
        <v>Headphones</v>
      </c>
      <c r="R1073" s="7">
        <f t="shared" si="130"/>
        <v>597.96</v>
      </c>
    </row>
    <row r="1074" spans="1:18" ht="21.75" customHeight="1">
      <c r="A1074" t="s">
        <v>1225</v>
      </c>
      <c r="B1074" s="6">
        <v>45505</v>
      </c>
      <c r="C1074" t="s">
        <v>125</v>
      </c>
      <c r="D1074" t="s">
        <v>16</v>
      </c>
      <c r="E1074" t="s">
        <v>17</v>
      </c>
      <c r="F1074" t="s">
        <v>56</v>
      </c>
      <c r="G1074" t="s">
        <v>13</v>
      </c>
      <c r="H1074">
        <v>1</v>
      </c>
      <c r="I1074" t="str">
        <f>VLOOKUP(D1074,Product_Lookup!$A$2:$C$27,3,FALSE)</f>
        <v>$178.83</v>
      </c>
      <c r="J1074" t="str">
        <f t="shared" si="131"/>
        <v>Thursday</v>
      </c>
      <c r="K1074" s="10" t="str">
        <f t="shared" si="132"/>
        <v>August</v>
      </c>
      <c r="L1074">
        <f t="shared" si="133"/>
        <v>2024</v>
      </c>
      <c r="M1074" t="b">
        <f t="shared" si="134"/>
        <v>0</v>
      </c>
      <c r="N1074" t="b">
        <f t="shared" si="128"/>
        <v>0</v>
      </c>
      <c r="O1074" t="str">
        <f t="shared" si="135"/>
        <v>Standard order</v>
      </c>
      <c r="P1074" s="7">
        <f t="shared" si="129"/>
        <v>8.9415000000000013</v>
      </c>
      <c r="Q1074" s="7" t="str">
        <f>VLOOKUP(D1075,Product_Lookup!$A$2:$C$27,2,FALSE)</f>
        <v>Headphones</v>
      </c>
      <c r="R1074" s="7">
        <f t="shared" si="130"/>
        <v>178.83</v>
      </c>
    </row>
    <row r="1075" spans="1:18" ht="21.75" customHeight="1">
      <c r="A1075" t="s">
        <v>1226</v>
      </c>
      <c r="B1075" s="6">
        <v>45365</v>
      </c>
      <c r="C1075" t="s">
        <v>329</v>
      </c>
      <c r="D1075" t="s">
        <v>16</v>
      </c>
      <c r="E1075" t="s">
        <v>17</v>
      </c>
      <c r="F1075" t="s">
        <v>27</v>
      </c>
      <c r="G1075" t="s">
        <v>23</v>
      </c>
      <c r="H1075">
        <v>3</v>
      </c>
      <c r="I1075" t="str">
        <f>VLOOKUP(D1075,Product_Lookup!$A$2:$C$27,3,FALSE)</f>
        <v>$178.83</v>
      </c>
      <c r="J1075" t="str">
        <f t="shared" si="131"/>
        <v>Thursday</v>
      </c>
      <c r="K1075" s="10" t="str">
        <f t="shared" si="132"/>
        <v>March</v>
      </c>
      <c r="L1075">
        <f t="shared" si="133"/>
        <v>2024</v>
      </c>
      <c r="M1075" t="b">
        <f t="shared" si="134"/>
        <v>0</v>
      </c>
      <c r="N1075" t="b">
        <f t="shared" si="128"/>
        <v>0</v>
      </c>
      <c r="O1075" t="str">
        <f t="shared" si="135"/>
        <v>Large Order</v>
      </c>
      <c r="P1075" s="7">
        <f t="shared" si="129"/>
        <v>8.9415000000000013</v>
      </c>
      <c r="Q1075" s="7" t="str">
        <f>VLOOKUP(D1076,Product_Lookup!$A$2:$C$27,2,FALSE)</f>
        <v>Vacuum</v>
      </c>
      <c r="R1075" s="7">
        <f t="shared" si="130"/>
        <v>536.49</v>
      </c>
    </row>
    <row r="1076" spans="1:18" ht="21.75" customHeight="1">
      <c r="A1076" t="s">
        <v>1227</v>
      </c>
      <c r="B1076" s="6">
        <v>45525</v>
      </c>
      <c r="C1076" t="s">
        <v>728</v>
      </c>
      <c r="D1076" t="s">
        <v>87</v>
      </c>
      <c r="E1076" t="s">
        <v>22</v>
      </c>
      <c r="F1076" t="s">
        <v>306</v>
      </c>
      <c r="G1076" t="s">
        <v>36</v>
      </c>
      <c r="H1076">
        <v>20</v>
      </c>
      <c r="I1076" t="str">
        <f>VLOOKUP(D1076,Product_Lookup!$A$2:$C$27,3,FALSE)</f>
        <v>$26.59</v>
      </c>
      <c r="J1076" t="str">
        <f t="shared" si="131"/>
        <v>Wednesday</v>
      </c>
      <c r="K1076" s="10" t="str">
        <f t="shared" si="132"/>
        <v>August</v>
      </c>
      <c r="L1076">
        <f t="shared" si="133"/>
        <v>2024</v>
      </c>
      <c r="M1076" t="b">
        <f t="shared" si="134"/>
        <v>0</v>
      </c>
      <c r="N1076" t="b">
        <f t="shared" si="128"/>
        <v>0</v>
      </c>
      <c r="O1076" t="str">
        <f t="shared" si="135"/>
        <v>Large Order</v>
      </c>
      <c r="P1076" s="7">
        <f t="shared" si="129"/>
        <v>1.3295000000000001</v>
      </c>
      <c r="Q1076" s="7" t="str">
        <f>VLOOKUP(D1077,Product_Lookup!$A$2:$C$27,2,FALSE)</f>
        <v>Toaster</v>
      </c>
      <c r="R1076" s="7">
        <f t="shared" si="130"/>
        <v>531.79999999999995</v>
      </c>
    </row>
    <row r="1077" spans="1:18" ht="21.75" customHeight="1">
      <c r="A1077" t="s">
        <v>1228</v>
      </c>
      <c r="B1077" s="6">
        <v>45509</v>
      </c>
      <c r="C1077" t="s">
        <v>378</v>
      </c>
      <c r="D1077" t="s">
        <v>48</v>
      </c>
      <c r="E1077" t="s">
        <v>17</v>
      </c>
      <c r="F1077" t="s">
        <v>27</v>
      </c>
      <c r="G1077" t="s">
        <v>36</v>
      </c>
      <c r="H1077">
        <v>8</v>
      </c>
      <c r="I1077" t="str">
        <f>VLOOKUP(D1077,Product_Lookup!$A$2:$C$27,3,FALSE)</f>
        <v>$208.85</v>
      </c>
      <c r="J1077" t="str">
        <f t="shared" si="131"/>
        <v>Monday</v>
      </c>
      <c r="K1077" s="10" t="str">
        <f t="shared" si="132"/>
        <v>August</v>
      </c>
      <c r="L1077">
        <f t="shared" si="133"/>
        <v>2024</v>
      </c>
      <c r="M1077" t="b">
        <f t="shared" si="134"/>
        <v>0</v>
      </c>
      <c r="N1077" t="b">
        <f t="shared" si="128"/>
        <v>1</v>
      </c>
      <c r="O1077" t="str">
        <f t="shared" si="135"/>
        <v>Large Order</v>
      </c>
      <c r="P1077" s="7">
        <f t="shared" si="129"/>
        <v>10.442500000000001</v>
      </c>
      <c r="Q1077" s="7" t="str">
        <f>VLOOKUP(D1078,Product_Lookup!$A$2:$C$27,2,FALSE)</f>
        <v>Puzzle</v>
      </c>
      <c r="R1077" s="7">
        <f t="shared" si="130"/>
        <v>1670.8</v>
      </c>
    </row>
    <row r="1078" spans="1:18" ht="21.75" customHeight="1">
      <c r="A1078" t="s">
        <v>1229</v>
      </c>
      <c r="B1078" s="6">
        <v>45295</v>
      </c>
      <c r="C1078" t="s">
        <v>314</v>
      </c>
      <c r="D1078" t="s">
        <v>62</v>
      </c>
      <c r="E1078" t="s">
        <v>17</v>
      </c>
      <c r="F1078" t="s">
        <v>56</v>
      </c>
      <c r="G1078" t="s">
        <v>36</v>
      </c>
      <c r="H1078">
        <v>17</v>
      </c>
      <c r="I1078" t="str">
        <f>VLOOKUP(D1078,Product_Lookup!$A$2:$C$27,3,FALSE)</f>
        <v>$46.19</v>
      </c>
      <c r="J1078" t="str">
        <f t="shared" si="131"/>
        <v>Thursday</v>
      </c>
      <c r="K1078" s="10" t="str">
        <f t="shared" si="132"/>
        <v>January</v>
      </c>
      <c r="L1078">
        <f t="shared" si="133"/>
        <v>2024</v>
      </c>
      <c r="M1078" t="b">
        <f t="shared" si="134"/>
        <v>0</v>
      </c>
      <c r="N1078" t="b">
        <f t="shared" si="128"/>
        <v>1</v>
      </c>
      <c r="O1078" t="str">
        <f t="shared" si="135"/>
        <v>Large Order</v>
      </c>
      <c r="P1078" s="7">
        <f t="shared" si="129"/>
        <v>2.3094999999999999</v>
      </c>
      <c r="Q1078" s="7" t="str">
        <f>VLOOKUP(D1079,Product_Lookup!$A$2:$C$27,2,FALSE)</f>
        <v>Desk Lamp</v>
      </c>
      <c r="R1078" s="7">
        <f t="shared" si="130"/>
        <v>785.23</v>
      </c>
    </row>
    <row r="1079" spans="1:18" ht="21.75" customHeight="1">
      <c r="A1079" t="s">
        <v>1230</v>
      </c>
      <c r="B1079" s="6">
        <v>45587</v>
      </c>
      <c r="C1079" t="s">
        <v>83</v>
      </c>
      <c r="D1079" t="s">
        <v>59</v>
      </c>
      <c r="E1079" t="s">
        <v>11</v>
      </c>
      <c r="F1079" t="s">
        <v>12</v>
      </c>
      <c r="G1079" t="s">
        <v>13</v>
      </c>
      <c r="H1079">
        <v>16</v>
      </c>
      <c r="I1079" t="str">
        <f>VLOOKUP(D1079,Product_Lookup!$A$2:$C$27,3,FALSE)</f>
        <v>$101.96</v>
      </c>
      <c r="J1079" t="str">
        <f t="shared" si="131"/>
        <v>Tuesday</v>
      </c>
      <c r="K1079" s="10" t="str">
        <f t="shared" si="132"/>
        <v>October</v>
      </c>
      <c r="L1079">
        <f t="shared" si="133"/>
        <v>2024</v>
      </c>
      <c r="M1079" t="b">
        <f t="shared" si="134"/>
        <v>0</v>
      </c>
      <c r="N1079" t="b">
        <f t="shared" si="128"/>
        <v>1</v>
      </c>
      <c r="O1079" t="str">
        <f t="shared" si="135"/>
        <v>Large Order</v>
      </c>
      <c r="P1079" s="7">
        <f t="shared" si="129"/>
        <v>5.0979999999999999</v>
      </c>
      <c r="Q1079" s="7" t="str">
        <f>VLOOKUP(D1080,Product_Lookup!$A$2:$C$27,2,FALSE)</f>
        <v>Headphones</v>
      </c>
      <c r="R1079" s="7">
        <f t="shared" si="130"/>
        <v>1631.36</v>
      </c>
    </row>
    <row r="1080" spans="1:18" ht="21.75" customHeight="1">
      <c r="A1080" t="s">
        <v>1231</v>
      </c>
      <c r="B1080" s="6">
        <v>45589</v>
      </c>
      <c r="C1080" t="s">
        <v>517</v>
      </c>
      <c r="D1080" t="s">
        <v>16</v>
      </c>
      <c r="E1080" t="s">
        <v>22</v>
      </c>
      <c r="F1080" t="s">
        <v>12</v>
      </c>
      <c r="G1080" t="s">
        <v>32</v>
      </c>
      <c r="H1080">
        <v>17</v>
      </c>
      <c r="I1080" t="str">
        <f>VLOOKUP(D1080,Product_Lookup!$A$2:$C$27,3,FALSE)</f>
        <v>$178.83</v>
      </c>
      <c r="J1080" t="str">
        <f t="shared" si="131"/>
        <v>Thursday</v>
      </c>
      <c r="K1080" s="10" t="str">
        <f t="shared" si="132"/>
        <v>October</v>
      </c>
      <c r="L1080">
        <f t="shared" si="133"/>
        <v>2024</v>
      </c>
      <c r="M1080" t="b">
        <f t="shared" si="134"/>
        <v>0</v>
      </c>
      <c r="N1080" t="b">
        <f t="shared" si="128"/>
        <v>1</v>
      </c>
      <c r="O1080" t="str">
        <f t="shared" si="135"/>
        <v>Large Order</v>
      </c>
      <c r="P1080" s="7">
        <f t="shared" si="129"/>
        <v>8.9415000000000013</v>
      </c>
      <c r="Q1080" s="7" t="str">
        <f>VLOOKUP(D1081,Product_Lookup!$A$2:$C$27,2,FALSE)</f>
        <v>Paper Shredder</v>
      </c>
      <c r="R1080" s="7">
        <f t="shared" si="130"/>
        <v>3040.11</v>
      </c>
    </row>
    <row r="1081" spans="1:18" ht="21.75" customHeight="1">
      <c r="A1081" t="s">
        <v>1232</v>
      </c>
      <c r="B1081" s="6">
        <v>45530</v>
      </c>
      <c r="C1081" t="s">
        <v>363</v>
      </c>
      <c r="D1081" t="s">
        <v>109</v>
      </c>
      <c r="E1081" t="s">
        <v>11</v>
      </c>
      <c r="F1081" t="s">
        <v>306</v>
      </c>
      <c r="G1081" t="s">
        <v>13</v>
      </c>
      <c r="H1081">
        <v>3</v>
      </c>
      <c r="I1081" t="str">
        <f>VLOOKUP(D1081,Product_Lookup!$A$2:$C$27,3,FALSE)</f>
        <v>$81.02</v>
      </c>
      <c r="J1081" t="str">
        <f t="shared" si="131"/>
        <v>Monday</v>
      </c>
      <c r="K1081" s="10" t="str">
        <f t="shared" si="132"/>
        <v>August</v>
      </c>
      <c r="L1081">
        <f t="shared" si="133"/>
        <v>2024</v>
      </c>
      <c r="M1081" t="b">
        <f t="shared" si="134"/>
        <v>0</v>
      </c>
      <c r="N1081" t="b">
        <f t="shared" si="128"/>
        <v>0</v>
      </c>
      <c r="O1081" t="str">
        <f t="shared" si="135"/>
        <v>Standard order</v>
      </c>
      <c r="P1081" s="7">
        <f t="shared" si="129"/>
        <v>4.0510000000000002</v>
      </c>
      <c r="Q1081" s="7" t="str">
        <f>VLOOKUP(D1082,Product_Lookup!$A$2:$C$27,2,FALSE)</f>
        <v>Socks</v>
      </c>
      <c r="R1081" s="7">
        <f t="shared" si="130"/>
        <v>243.06</v>
      </c>
    </row>
    <row r="1082" spans="1:18" ht="21.75" customHeight="1">
      <c r="A1082" t="s">
        <v>1233</v>
      </c>
      <c r="B1082" s="6">
        <v>45642</v>
      </c>
      <c r="C1082" t="s">
        <v>541</v>
      </c>
      <c r="D1082" t="s">
        <v>74</v>
      </c>
      <c r="E1082" t="s">
        <v>22</v>
      </c>
      <c r="F1082" t="s">
        <v>306</v>
      </c>
      <c r="G1082" t="s">
        <v>32</v>
      </c>
      <c r="H1082">
        <v>20</v>
      </c>
      <c r="I1082" t="str">
        <f>VLOOKUP(D1082,Product_Lookup!$A$2:$C$27,3,FALSE)</f>
        <v>$201.32</v>
      </c>
      <c r="J1082" t="str">
        <f t="shared" si="131"/>
        <v>Monday</v>
      </c>
      <c r="K1082" s="10" t="str">
        <f t="shared" si="132"/>
        <v>December</v>
      </c>
      <c r="L1082">
        <f t="shared" si="133"/>
        <v>2024</v>
      </c>
      <c r="M1082" t="b">
        <f t="shared" si="134"/>
        <v>0</v>
      </c>
      <c r="N1082" t="b">
        <f t="shared" si="128"/>
        <v>1</v>
      </c>
      <c r="O1082" t="str">
        <f t="shared" si="135"/>
        <v>Large Order</v>
      </c>
      <c r="P1082" s="7">
        <f t="shared" si="129"/>
        <v>10.066000000000001</v>
      </c>
      <c r="Q1082" s="7" t="str">
        <f>VLOOKUP(D1083,Product_Lookup!$A$2:$C$27,2,FALSE)</f>
        <v>Air Fryer</v>
      </c>
      <c r="R1082" s="7">
        <f t="shared" si="130"/>
        <v>4026.3999999999996</v>
      </c>
    </row>
    <row r="1083" spans="1:18" ht="21.75" customHeight="1">
      <c r="A1083" t="s">
        <v>1234</v>
      </c>
      <c r="B1083" s="6">
        <v>45565</v>
      </c>
      <c r="C1083" t="s">
        <v>420</v>
      </c>
      <c r="D1083" t="s">
        <v>70</v>
      </c>
      <c r="E1083" t="s">
        <v>11</v>
      </c>
      <c r="F1083" t="s">
        <v>27</v>
      </c>
      <c r="G1083" t="s">
        <v>36</v>
      </c>
      <c r="H1083">
        <v>17</v>
      </c>
      <c r="I1083" t="str">
        <f>VLOOKUP(D1083,Product_Lookup!$A$2:$C$27,3,FALSE)</f>
        <v>$211.9</v>
      </c>
      <c r="J1083" t="str">
        <f t="shared" si="131"/>
        <v>Monday</v>
      </c>
      <c r="K1083" s="10" t="str">
        <f t="shared" si="132"/>
        <v>September</v>
      </c>
      <c r="L1083">
        <f t="shared" si="133"/>
        <v>2024</v>
      </c>
      <c r="M1083" t="b">
        <f t="shared" si="134"/>
        <v>0</v>
      </c>
      <c r="N1083" t="b">
        <f t="shared" si="128"/>
        <v>1</v>
      </c>
      <c r="O1083" t="str">
        <f t="shared" si="135"/>
        <v>Large Order</v>
      </c>
      <c r="P1083" s="7">
        <f t="shared" si="129"/>
        <v>10.595000000000001</v>
      </c>
      <c r="Q1083" s="7" t="str">
        <f>VLOOKUP(D1084,Product_Lookup!$A$2:$C$27,2,FALSE)</f>
        <v>Socks</v>
      </c>
      <c r="R1083" s="7">
        <f t="shared" si="130"/>
        <v>3602.3</v>
      </c>
    </row>
    <row r="1084" spans="1:18" ht="21.75" customHeight="1">
      <c r="A1084" t="s">
        <v>1235</v>
      </c>
      <c r="B1084" s="6">
        <v>45461</v>
      </c>
      <c r="C1084" t="s">
        <v>572</v>
      </c>
      <c r="D1084" t="s">
        <v>74</v>
      </c>
      <c r="E1084" t="s">
        <v>17</v>
      </c>
      <c r="F1084" t="s">
        <v>42</v>
      </c>
      <c r="G1084" t="s">
        <v>36</v>
      </c>
      <c r="H1084">
        <v>6</v>
      </c>
      <c r="I1084" t="str">
        <f>VLOOKUP(D1084,Product_Lookup!$A$2:$C$27,3,FALSE)</f>
        <v>$201.32</v>
      </c>
      <c r="J1084" t="str">
        <f t="shared" si="131"/>
        <v>Tuesday</v>
      </c>
      <c r="K1084" s="10" t="str">
        <f t="shared" si="132"/>
        <v>June</v>
      </c>
      <c r="L1084">
        <f t="shared" si="133"/>
        <v>2024</v>
      </c>
      <c r="M1084" t="b">
        <f t="shared" si="134"/>
        <v>0</v>
      </c>
      <c r="N1084" t="b">
        <f t="shared" si="128"/>
        <v>1</v>
      </c>
      <c r="O1084" t="str">
        <f t="shared" si="135"/>
        <v>Large Order</v>
      </c>
      <c r="P1084" s="7">
        <f t="shared" si="129"/>
        <v>10.066000000000001</v>
      </c>
      <c r="Q1084" s="7" t="str">
        <f>VLOOKUP(D1085,Product_Lookup!$A$2:$C$27,2,FALSE)</f>
        <v>Smartphone</v>
      </c>
      <c r="R1084" s="7">
        <f t="shared" si="130"/>
        <v>1207.92</v>
      </c>
    </row>
    <row r="1085" spans="1:18" ht="21.75" customHeight="1">
      <c r="A1085" t="s">
        <v>1236</v>
      </c>
      <c r="B1085" s="6">
        <v>45447</v>
      </c>
      <c r="C1085" t="s">
        <v>388</v>
      </c>
      <c r="D1085" t="s">
        <v>79</v>
      </c>
      <c r="E1085" t="s">
        <v>22</v>
      </c>
      <c r="F1085" t="s">
        <v>42</v>
      </c>
      <c r="G1085" t="s">
        <v>36</v>
      </c>
      <c r="H1085">
        <v>16</v>
      </c>
      <c r="I1085" t="str">
        <f>VLOOKUP(D1085,Product_Lookup!$A$2:$C$27,3,FALSE)</f>
        <v>$216.22</v>
      </c>
      <c r="J1085" t="str">
        <f t="shared" si="131"/>
        <v>Tuesday</v>
      </c>
      <c r="K1085" s="10" t="str">
        <f t="shared" si="132"/>
        <v>June</v>
      </c>
      <c r="L1085">
        <f t="shared" si="133"/>
        <v>2024</v>
      </c>
      <c r="M1085" t="b">
        <f t="shared" si="134"/>
        <v>0</v>
      </c>
      <c r="N1085" t="b">
        <f t="shared" si="128"/>
        <v>1</v>
      </c>
      <c r="O1085" t="str">
        <f t="shared" si="135"/>
        <v>Large Order</v>
      </c>
      <c r="P1085" s="7">
        <f t="shared" si="129"/>
        <v>10.811</v>
      </c>
      <c r="Q1085" s="7" t="str">
        <f>VLOOKUP(D1086,Product_Lookup!$A$2:$C$27,2,FALSE)</f>
        <v>Laptop</v>
      </c>
      <c r="R1085" s="7">
        <f t="shared" si="130"/>
        <v>3459.52</v>
      </c>
    </row>
    <row r="1086" spans="1:18" ht="21.75" customHeight="1">
      <c r="A1086" t="s">
        <v>1237</v>
      </c>
      <c r="B1086" s="6">
        <v>45318</v>
      </c>
      <c r="C1086" t="s">
        <v>371</v>
      </c>
      <c r="D1086" t="s">
        <v>96</v>
      </c>
      <c r="E1086" t="s">
        <v>17</v>
      </c>
      <c r="F1086" t="s">
        <v>306</v>
      </c>
      <c r="G1086" t="s">
        <v>28</v>
      </c>
      <c r="H1086">
        <v>10</v>
      </c>
      <c r="I1086" t="str">
        <f>VLOOKUP(D1086,Product_Lookup!$A$2:$C$27,3,FALSE)</f>
        <v>$230.68</v>
      </c>
      <c r="J1086" t="str">
        <f t="shared" si="131"/>
        <v>Saturday</v>
      </c>
      <c r="K1086" s="10" t="str">
        <f t="shared" si="132"/>
        <v>January</v>
      </c>
      <c r="L1086">
        <f t="shared" si="133"/>
        <v>2024</v>
      </c>
      <c r="M1086" t="b">
        <f t="shared" si="134"/>
        <v>1</v>
      </c>
      <c r="N1086" t="b">
        <f t="shared" si="128"/>
        <v>1</v>
      </c>
      <c r="O1086" t="str">
        <f t="shared" si="135"/>
        <v>Large Order</v>
      </c>
      <c r="P1086" s="7">
        <f t="shared" si="129"/>
        <v>11.534000000000001</v>
      </c>
      <c r="Q1086" s="7" t="str">
        <f>VLOOKUP(D1087,Product_Lookup!$A$2:$C$27,2,FALSE)</f>
        <v>Headphones</v>
      </c>
      <c r="R1086" s="7">
        <f t="shared" si="130"/>
        <v>2306.8000000000002</v>
      </c>
    </row>
    <row r="1087" spans="1:18" ht="21.75" customHeight="1">
      <c r="A1087" t="s">
        <v>1238</v>
      </c>
      <c r="B1087" s="6">
        <v>45550</v>
      </c>
      <c r="C1087" t="s">
        <v>208</v>
      </c>
      <c r="D1087" t="s">
        <v>16</v>
      </c>
      <c r="E1087" t="s">
        <v>17</v>
      </c>
      <c r="F1087" t="s">
        <v>42</v>
      </c>
      <c r="G1087" t="s">
        <v>32</v>
      </c>
      <c r="H1087">
        <v>20</v>
      </c>
      <c r="I1087" t="str">
        <f>VLOOKUP(D1087,Product_Lookup!$A$2:$C$27,3,FALSE)</f>
        <v>$178.83</v>
      </c>
      <c r="J1087" t="str">
        <f t="shared" si="131"/>
        <v>Sunday</v>
      </c>
      <c r="K1087" s="10" t="str">
        <f t="shared" si="132"/>
        <v>September</v>
      </c>
      <c r="L1087">
        <f t="shared" si="133"/>
        <v>2024</v>
      </c>
      <c r="M1087" t="b">
        <f t="shared" si="134"/>
        <v>1</v>
      </c>
      <c r="N1087" t="b">
        <f t="shared" si="128"/>
        <v>1</v>
      </c>
      <c r="O1087" t="str">
        <f t="shared" si="135"/>
        <v>Large Order</v>
      </c>
      <c r="P1087" s="7">
        <f t="shared" si="129"/>
        <v>8.9415000000000013</v>
      </c>
      <c r="Q1087" s="7" t="str">
        <f>VLOOKUP(D1088,Product_Lookup!$A$2:$C$27,2,FALSE)</f>
        <v>T-Shirt</v>
      </c>
      <c r="R1087" s="7">
        <f t="shared" si="130"/>
        <v>3576.6000000000004</v>
      </c>
    </row>
    <row r="1088" spans="1:18" ht="21.75" customHeight="1">
      <c r="A1088" t="s">
        <v>1239</v>
      </c>
      <c r="B1088" s="6">
        <v>45299</v>
      </c>
      <c r="C1088" t="s">
        <v>304</v>
      </c>
      <c r="D1088" t="s">
        <v>45</v>
      </c>
      <c r="E1088" t="s">
        <v>11</v>
      </c>
      <c r="F1088" t="s">
        <v>306</v>
      </c>
      <c r="G1088" t="s">
        <v>23</v>
      </c>
      <c r="H1088">
        <v>19</v>
      </c>
      <c r="I1088" t="str">
        <f>VLOOKUP(D1088,Product_Lookup!$A$2:$C$27,3,FALSE)</f>
        <v>$107.34</v>
      </c>
      <c r="J1088" t="str">
        <f t="shared" si="131"/>
        <v>Monday</v>
      </c>
      <c r="K1088" s="10" t="str">
        <f t="shared" si="132"/>
        <v>January</v>
      </c>
      <c r="L1088">
        <f t="shared" si="133"/>
        <v>2024</v>
      </c>
      <c r="M1088" t="b">
        <f t="shared" si="134"/>
        <v>0</v>
      </c>
      <c r="N1088" t="b">
        <f t="shared" si="128"/>
        <v>1</v>
      </c>
      <c r="O1088" t="str">
        <f t="shared" si="135"/>
        <v>Large Order</v>
      </c>
      <c r="P1088" s="7">
        <f t="shared" si="129"/>
        <v>5.3670000000000009</v>
      </c>
      <c r="Q1088" s="7" t="str">
        <f>VLOOKUP(D1089,Product_Lookup!$A$2:$C$27,2,FALSE)</f>
        <v>Stapler</v>
      </c>
      <c r="R1088" s="7">
        <f t="shared" si="130"/>
        <v>2039.46</v>
      </c>
    </row>
    <row r="1089" spans="1:18" ht="21.75" customHeight="1">
      <c r="A1089" t="s">
        <v>1240</v>
      </c>
      <c r="B1089" s="6">
        <v>45481</v>
      </c>
      <c r="C1089" t="s">
        <v>235</v>
      </c>
      <c r="D1089" t="s">
        <v>35</v>
      </c>
      <c r="E1089" t="s">
        <v>17</v>
      </c>
      <c r="F1089" t="s">
        <v>56</v>
      </c>
      <c r="G1089" t="s">
        <v>13</v>
      </c>
      <c r="H1089">
        <v>6</v>
      </c>
      <c r="I1089" t="str">
        <f>VLOOKUP(D1089,Product_Lookup!$A$2:$C$27,3,FALSE)</f>
        <v>$64.61</v>
      </c>
      <c r="J1089" t="str">
        <f t="shared" si="131"/>
        <v>Monday</v>
      </c>
      <c r="K1089" s="10" t="str">
        <f t="shared" si="132"/>
        <v>July</v>
      </c>
      <c r="L1089">
        <f t="shared" si="133"/>
        <v>2024</v>
      </c>
      <c r="M1089" t="b">
        <f t="shared" si="134"/>
        <v>0</v>
      </c>
      <c r="N1089" t="b">
        <f t="shared" si="128"/>
        <v>0</v>
      </c>
      <c r="O1089" t="str">
        <f t="shared" si="135"/>
        <v>Standard order</v>
      </c>
      <c r="P1089" s="7">
        <f t="shared" si="129"/>
        <v>3.2305000000000001</v>
      </c>
      <c r="Q1089" s="7" t="str">
        <f>VLOOKUP(D1090,Product_Lookup!$A$2:$C$27,2,FALSE)</f>
        <v>Headphones</v>
      </c>
      <c r="R1089" s="7">
        <f t="shared" si="130"/>
        <v>387.65999999999997</v>
      </c>
    </row>
    <row r="1090" spans="1:18" ht="21.75" customHeight="1">
      <c r="A1090" t="s">
        <v>1241</v>
      </c>
      <c r="B1090" s="6">
        <v>45467</v>
      </c>
      <c r="C1090" t="s">
        <v>81</v>
      </c>
      <c r="D1090" t="s">
        <v>16</v>
      </c>
      <c r="E1090" t="s">
        <v>11</v>
      </c>
      <c r="F1090" t="s">
        <v>306</v>
      </c>
      <c r="G1090" t="s">
        <v>23</v>
      </c>
      <c r="H1090">
        <v>16</v>
      </c>
      <c r="I1090" t="str">
        <f>VLOOKUP(D1090,Product_Lookup!$A$2:$C$27,3,FALSE)</f>
        <v>$178.83</v>
      </c>
      <c r="J1090" t="str">
        <f t="shared" si="131"/>
        <v>Monday</v>
      </c>
      <c r="K1090" s="10" t="str">
        <f t="shared" si="132"/>
        <v>June</v>
      </c>
      <c r="L1090">
        <f t="shared" si="133"/>
        <v>2024</v>
      </c>
      <c r="M1090" t="b">
        <f t="shared" si="134"/>
        <v>0</v>
      </c>
      <c r="N1090" t="b">
        <f t="shared" ref="N1090:N1153" si="136">AND(R1090&gt;750, H1090&gt;5)</f>
        <v>1</v>
      </c>
      <c r="O1090" t="str">
        <f t="shared" si="135"/>
        <v>Large Order</v>
      </c>
      <c r="P1090" s="7">
        <f t="shared" ref="P1090:P1153" si="137">I1090*$S$2</f>
        <v>8.9415000000000013</v>
      </c>
      <c r="Q1090" s="7" t="str">
        <f>VLOOKUP(D1091,Product_Lookup!$A$2:$C$27,2,FALSE)</f>
        <v>Lego Set</v>
      </c>
      <c r="R1090" s="7">
        <f t="shared" ref="R1090:R1153" si="138">H1090*I1090</f>
        <v>2861.28</v>
      </c>
    </row>
    <row r="1091" spans="1:18" ht="21.75" customHeight="1">
      <c r="A1091" t="s">
        <v>1242</v>
      </c>
      <c r="B1091" s="6">
        <v>45488</v>
      </c>
      <c r="C1091" t="s">
        <v>93</v>
      </c>
      <c r="D1091" t="s">
        <v>84</v>
      </c>
      <c r="E1091" t="s">
        <v>22</v>
      </c>
      <c r="F1091" t="s">
        <v>27</v>
      </c>
      <c r="G1091" t="s">
        <v>32</v>
      </c>
      <c r="H1091">
        <v>6</v>
      </c>
      <c r="I1091" t="str">
        <f>VLOOKUP(D1091,Product_Lookup!$A$2:$C$27,3,FALSE)</f>
        <v>$130.07</v>
      </c>
      <c r="J1091" t="str">
        <f t="shared" ref="J1091:J1154" si="139">TEXT(B1091, "dddd")</f>
        <v>Monday</v>
      </c>
      <c r="K1091" s="10" t="str">
        <f t="shared" ref="K1091:K1154" si="140">TEXT(B1091, "mmmm")</f>
        <v>July</v>
      </c>
      <c r="L1091">
        <f t="shared" ref="L1091:L1154" si="141">YEAR(B1091)</f>
        <v>2024</v>
      </c>
      <c r="M1091" t="b">
        <f t="shared" ref="M1091:M1154" si="142">OR(J1091="Saturday", J1091="Sunday")</f>
        <v>0</v>
      </c>
      <c r="N1091" t="b">
        <f t="shared" si="136"/>
        <v>1</v>
      </c>
      <c r="O1091" t="str">
        <f t="shared" ref="O1091:O1154" si="143">IF(R1091&gt;500,"Large Order","Standard order")</f>
        <v>Large Order</v>
      </c>
      <c r="P1091" s="7">
        <f t="shared" si="137"/>
        <v>6.5034999999999998</v>
      </c>
      <c r="Q1091" s="7" t="str">
        <f>VLOOKUP(D1092,Product_Lookup!$A$2:$C$27,2,FALSE)</f>
        <v>Smartphone</v>
      </c>
      <c r="R1091" s="7">
        <f t="shared" si="138"/>
        <v>780.42</v>
      </c>
    </row>
    <row r="1092" spans="1:18" ht="21.75" customHeight="1">
      <c r="A1092" t="s">
        <v>1243</v>
      </c>
      <c r="B1092" s="6">
        <v>45319</v>
      </c>
      <c r="C1092" t="s">
        <v>736</v>
      </c>
      <c r="D1092" t="s">
        <v>79</v>
      </c>
      <c r="E1092" t="s">
        <v>17</v>
      </c>
      <c r="F1092" t="s">
        <v>12</v>
      </c>
      <c r="G1092" t="s">
        <v>23</v>
      </c>
      <c r="H1092">
        <v>6</v>
      </c>
      <c r="I1092" t="str">
        <f>VLOOKUP(D1092,Product_Lookup!$A$2:$C$27,3,FALSE)</f>
        <v>$216.22</v>
      </c>
      <c r="J1092" t="str">
        <f t="shared" si="139"/>
        <v>Sunday</v>
      </c>
      <c r="K1092" s="10" t="str">
        <f t="shared" si="140"/>
        <v>January</v>
      </c>
      <c r="L1092">
        <f t="shared" si="141"/>
        <v>2024</v>
      </c>
      <c r="M1092" t="b">
        <f t="shared" si="142"/>
        <v>1</v>
      </c>
      <c r="N1092" t="b">
        <f t="shared" si="136"/>
        <v>1</v>
      </c>
      <c r="O1092" t="str">
        <f t="shared" si="143"/>
        <v>Large Order</v>
      </c>
      <c r="P1092" s="7">
        <f t="shared" si="137"/>
        <v>10.811</v>
      </c>
      <c r="Q1092" s="7" t="str">
        <f>VLOOKUP(D1093,Product_Lookup!$A$2:$C$27,2,FALSE)</f>
        <v>Jacket</v>
      </c>
      <c r="R1092" s="7">
        <f t="shared" si="138"/>
        <v>1297.32</v>
      </c>
    </row>
    <row r="1093" spans="1:18" ht="21.75" customHeight="1">
      <c r="A1093" t="s">
        <v>1244</v>
      </c>
      <c r="B1093" s="6">
        <v>45446</v>
      </c>
      <c r="C1093" t="s">
        <v>553</v>
      </c>
      <c r="D1093" t="s">
        <v>197</v>
      </c>
      <c r="E1093" t="s">
        <v>22</v>
      </c>
      <c r="F1093" t="s">
        <v>306</v>
      </c>
      <c r="G1093" t="s">
        <v>23</v>
      </c>
      <c r="H1093">
        <v>13</v>
      </c>
      <c r="I1093" t="str">
        <f>VLOOKUP(D1093,Product_Lookup!$A$2:$C$27,3,FALSE)</f>
        <v>$10.11</v>
      </c>
      <c r="J1093" t="str">
        <f t="shared" si="139"/>
        <v>Monday</v>
      </c>
      <c r="K1093" s="10" t="str">
        <f t="shared" si="140"/>
        <v>June</v>
      </c>
      <c r="L1093">
        <f t="shared" si="141"/>
        <v>2024</v>
      </c>
      <c r="M1093" t="b">
        <f t="shared" si="142"/>
        <v>0</v>
      </c>
      <c r="N1093" t="b">
        <f t="shared" si="136"/>
        <v>0</v>
      </c>
      <c r="O1093" t="str">
        <f t="shared" si="143"/>
        <v>Standard order</v>
      </c>
      <c r="P1093" s="7">
        <f t="shared" si="137"/>
        <v>0.50549999999999995</v>
      </c>
      <c r="Q1093" s="7" t="str">
        <f>VLOOKUP(D1094,Product_Lookup!$A$2:$C$27,2,FALSE)</f>
        <v>Vacuum</v>
      </c>
      <c r="R1093" s="7">
        <f t="shared" si="138"/>
        <v>131.43</v>
      </c>
    </row>
    <row r="1094" spans="1:18" ht="21.75" customHeight="1">
      <c r="A1094" t="s">
        <v>1245</v>
      </c>
      <c r="B1094" s="6">
        <v>45534</v>
      </c>
      <c r="C1094" t="s">
        <v>86</v>
      </c>
      <c r="D1094" t="s">
        <v>87</v>
      </c>
      <c r="E1094" t="s">
        <v>11</v>
      </c>
      <c r="F1094" t="s">
        <v>306</v>
      </c>
      <c r="G1094" t="s">
        <v>23</v>
      </c>
      <c r="H1094">
        <v>1</v>
      </c>
      <c r="I1094" t="str">
        <f>VLOOKUP(D1094,Product_Lookup!$A$2:$C$27,3,FALSE)</f>
        <v>$26.59</v>
      </c>
      <c r="J1094" t="str">
        <f t="shared" si="139"/>
        <v>Friday</v>
      </c>
      <c r="K1094" s="10" t="str">
        <f t="shared" si="140"/>
        <v>August</v>
      </c>
      <c r="L1094">
        <f t="shared" si="141"/>
        <v>2024</v>
      </c>
      <c r="M1094" t="b">
        <f t="shared" si="142"/>
        <v>0</v>
      </c>
      <c r="N1094" t="b">
        <f t="shared" si="136"/>
        <v>0</v>
      </c>
      <c r="O1094" t="str">
        <f t="shared" si="143"/>
        <v>Standard order</v>
      </c>
      <c r="P1094" s="7">
        <f t="shared" si="137"/>
        <v>1.3295000000000001</v>
      </c>
      <c r="Q1094" s="7" t="str">
        <f>VLOOKUP(D1095,Product_Lookup!$A$2:$C$27,2,FALSE)</f>
        <v>Board Game</v>
      </c>
      <c r="R1094" s="7">
        <f t="shared" si="138"/>
        <v>26.59</v>
      </c>
    </row>
    <row r="1095" spans="1:18" ht="21.75" customHeight="1">
      <c r="A1095" t="s">
        <v>1246</v>
      </c>
      <c r="B1095" s="6">
        <v>45487</v>
      </c>
      <c r="C1095" t="s">
        <v>422</v>
      </c>
      <c r="D1095" t="s">
        <v>41</v>
      </c>
      <c r="E1095" t="s">
        <v>17</v>
      </c>
      <c r="F1095" t="s">
        <v>306</v>
      </c>
      <c r="G1095" t="s">
        <v>36</v>
      </c>
      <c r="H1095">
        <v>2</v>
      </c>
      <c r="I1095" t="str">
        <f>VLOOKUP(D1095,Product_Lookup!$A$2:$C$27,3,FALSE)</f>
        <v>$86.6</v>
      </c>
      <c r="J1095" t="str">
        <f t="shared" si="139"/>
        <v>Sunday</v>
      </c>
      <c r="K1095" s="10" t="str">
        <f t="shared" si="140"/>
        <v>July</v>
      </c>
      <c r="L1095">
        <f t="shared" si="141"/>
        <v>2024</v>
      </c>
      <c r="M1095" t="b">
        <f t="shared" si="142"/>
        <v>1</v>
      </c>
      <c r="N1095" t="b">
        <f t="shared" si="136"/>
        <v>0</v>
      </c>
      <c r="O1095" t="str">
        <f t="shared" si="143"/>
        <v>Standard order</v>
      </c>
      <c r="P1095" s="7">
        <f t="shared" si="137"/>
        <v>4.33</v>
      </c>
      <c r="Q1095" s="7" t="str">
        <f>VLOOKUP(D1096,Product_Lookup!$A$2:$C$27,2,FALSE)</f>
        <v>Action Figure</v>
      </c>
      <c r="R1095" s="7">
        <f t="shared" si="138"/>
        <v>173.2</v>
      </c>
    </row>
    <row r="1096" spans="1:18" ht="21.75" customHeight="1">
      <c r="A1096" t="s">
        <v>1247</v>
      </c>
      <c r="B1096" s="6">
        <v>45618</v>
      </c>
      <c r="C1096" t="s">
        <v>182</v>
      </c>
      <c r="D1096" t="s">
        <v>21</v>
      </c>
      <c r="E1096" t="s">
        <v>17</v>
      </c>
      <c r="F1096" t="s">
        <v>306</v>
      </c>
      <c r="G1096" t="s">
        <v>32</v>
      </c>
      <c r="H1096">
        <v>9</v>
      </c>
      <c r="I1096" t="str">
        <f>VLOOKUP(D1096,Product_Lookup!$A$2:$C$27,3,FALSE)</f>
        <v>$88.18</v>
      </c>
      <c r="J1096" t="str">
        <f t="shared" si="139"/>
        <v>Friday</v>
      </c>
      <c r="K1096" s="10" t="str">
        <f t="shared" si="140"/>
        <v>November</v>
      </c>
      <c r="L1096">
        <f t="shared" si="141"/>
        <v>2024</v>
      </c>
      <c r="M1096" t="b">
        <f t="shared" si="142"/>
        <v>0</v>
      </c>
      <c r="N1096" t="b">
        <f t="shared" si="136"/>
        <v>1</v>
      </c>
      <c r="O1096" t="str">
        <f t="shared" si="143"/>
        <v>Large Order</v>
      </c>
      <c r="P1096" s="7">
        <f t="shared" si="137"/>
        <v>4.4090000000000007</v>
      </c>
      <c r="Q1096" s="7" t="str">
        <f>VLOOKUP(D1097,Product_Lookup!$A$2:$C$27,2,FALSE)</f>
        <v>Coffee Maker</v>
      </c>
      <c r="R1096" s="7">
        <f t="shared" si="138"/>
        <v>793.62000000000012</v>
      </c>
    </row>
    <row r="1097" spans="1:18" ht="21.75" customHeight="1">
      <c r="A1097" t="s">
        <v>1248</v>
      </c>
      <c r="B1097" s="6">
        <v>45342</v>
      </c>
      <c r="C1097" t="s">
        <v>230</v>
      </c>
      <c r="D1097" t="s">
        <v>31</v>
      </c>
      <c r="E1097" t="s">
        <v>22</v>
      </c>
      <c r="F1097" t="s">
        <v>306</v>
      </c>
      <c r="G1097" t="s">
        <v>28</v>
      </c>
      <c r="H1097">
        <v>15</v>
      </c>
      <c r="I1097" t="str">
        <f>VLOOKUP(D1097,Product_Lookup!$A$2:$C$27,3,FALSE)</f>
        <v>$230.34</v>
      </c>
      <c r="J1097" t="str">
        <f t="shared" si="139"/>
        <v>Tuesday</v>
      </c>
      <c r="K1097" s="10" t="str">
        <f t="shared" si="140"/>
        <v>February</v>
      </c>
      <c r="L1097">
        <f t="shared" si="141"/>
        <v>2024</v>
      </c>
      <c r="M1097" t="b">
        <f t="shared" si="142"/>
        <v>0</v>
      </c>
      <c r="N1097" t="b">
        <f t="shared" si="136"/>
        <v>1</v>
      </c>
      <c r="O1097" t="str">
        <f t="shared" si="143"/>
        <v>Large Order</v>
      </c>
      <c r="P1097" s="7">
        <f t="shared" si="137"/>
        <v>11.517000000000001</v>
      </c>
      <c r="Q1097" s="7" t="str">
        <f>VLOOKUP(D1098,Product_Lookup!$A$2:$C$27,2,FALSE)</f>
        <v>Blender</v>
      </c>
      <c r="R1097" s="7">
        <f t="shared" si="138"/>
        <v>3455.1</v>
      </c>
    </row>
    <row r="1098" spans="1:18" ht="21.75" customHeight="1">
      <c r="A1098" t="s">
        <v>1249</v>
      </c>
      <c r="B1098" s="6">
        <v>45636</v>
      </c>
      <c r="C1098" t="s">
        <v>449</v>
      </c>
      <c r="D1098" t="s">
        <v>72</v>
      </c>
      <c r="E1098" t="s">
        <v>11</v>
      </c>
      <c r="F1098" t="s">
        <v>306</v>
      </c>
      <c r="G1098" t="s">
        <v>13</v>
      </c>
      <c r="H1098">
        <v>6</v>
      </c>
      <c r="I1098" t="str">
        <f>VLOOKUP(D1098,Product_Lookup!$A$2:$C$27,3,FALSE)</f>
        <v>$156.44</v>
      </c>
      <c r="J1098" t="str">
        <f t="shared" si="139"/>
        <v>Tuesday</v>
      </c>
      <c r="K1098" s="10" t="str">
        <f t="shared" si="140"/>
        <v>December</v>
      </c>
      <c r="L1098">
        <f t="shared" si="141"/>
        <v>2024</v>
      </c>
      <c r="M1098" t="b">
        <f t="shared" si="142"/>
        <v>0</v>
      </c>
      <c r="N1098" t="b">
        <f t="shared" si="136"/>
        <v>1</v>
      </c>
      <c r="O1098" t="str">
        <f t="shared" si="143"/>
        <v>Large Order</v>
      </c>
      <c r="P1098" s="7">
        <f t="shared" si="137"/>
        <v>7.8220000000000001</v>
      </c>
      <c r="Q1098" s="7" t="str">
        <f>VLOOKUP(D1099,Product_Lookup!$A$2:$C$27,2,FALSE)</f>
        <v>Vacuum</v>
      </c>
      <c r="R1098" s="7">
        <f t="shared" si="138"/>
        <v>938.64</v>
      </c>
    </row>
    <row r="1099" spans="1:18" ht="21.75" customHeight="1">
      <c r="A1099" t="s">
        <v>1250</v>
      </c>
      <c r="B1099" s="6">
        <v>45636</v>
      </c>
      <c r="C1099" t="s">
        <v>142</v>
      </c>
      <c r="D1099" t="s">
        <v>87</v>
      </c>
      <c r="E1099" t="s">
        <v>11</v>
      </c>
      <c r="F1099" t="s">
        <v>12</v>
      </c>
      <c r="G1099" t="s">
        <v>23</v>
      </c>
      <c r="H1099">
        <v>4</v>
      </c>
      <c r="I1099" t="str">
        <f>VLOOKUP(D1099,Product_Lookup!$A$2:$C$27,3,FALSE)</f>
        <v>$26.59</v>
      </c>
      <c r="J1099" t="str">
        <f t="shared" si="139"/>
        <v>Tuesday</v>
      </c>
      <c r="K1099" s="10" t="str">
        <f t="shared" si="140"/>
        <v>December</v>
      </c>
      <c r="L1099">
        <f t="shared" si="141"/>
        <v>2024</v>
      </c>
      <c r="M1099" t="b">
        <f t="shared" si="142"/>
        <v>0</v>
      </c>
      <c r="N1099" t="b">
        <f t="shared" si="136"/>
        <v>0</v>
      </c>
      <c r="O1099" t="str">
        <f t="shared" si="143"/>
        <v>Standard order</v>
      </c>
      <c r="P1099" s="7">
        <f t="shared" si="137"/>
        <v>1.3295000000000001</v>
      </c>
      <c r="Q1099" s="7" t="str">
        <f>VLOOKUP(D1100,Product_Lookup!$A$2:$C$27,2,FALSE)</f>
        <v>Sweater</v>
      </c>
      <c r="R1099" s="7">
        <f t="shared" si="138"/>
        <v>106.36</v>
      </c>
    </row>
    <row r="1100" spans="1:18" ht="21.75" customHeight="1">
      <c r="A1100" t="s">
        <v>1251</v>
      </c>
      <c r="B1100" s="6">
        <v>45471</v>
      </c>
      <c r="C1100" t="s">
        <v>240</v>
      </c>
      <c r="D1100" t="s">
        <v>26</v>
      </c>
      <c r="E1100" t="s">
        <v>22</v>
      </c>
      <c r="F1100" t="s">
        <v>42</v>
      </c>
      <c r="G1100" t="s">
        <v>36</v>
      </c>
      <c r="H1100">
        <v>7</v>
      </c>
      <c r="I1100" t="str">
        <f>VLOOKUP(D1100,Product_Lookup!$A$2:$C$27,3,FALSE)</f>
        <v>$84.57</v>
      </c>
      <c r="J1100" t="str">
        <f t="shared" si="139"/>
        <v>Friday</v>
      </c>
      <c r="K1100" s="10" t="str">
        <f t="shared" si="140"/>
        <v>June</v>
      </c>
      <c r="L1100">
        <f t="shared" si="141"/>
        <v>2024</v>
      </c>
      <c r="M1100" t="b">
        <f t="shared" si="142"/>
        <v>0</v>
      </c>
      <c r="N1100" t="b">
        <f t="shared" si="136"/>
        <v>0</v>
      </c>
      <c r="O1100" t="str">
        <f t="shared" si="143"/>
        <v>Large Order</v>
      </c>
      <c r="P1100" s="7">
        <f t="shared" si="137"/>
        <v>4.2284999999999995</v>
      </c>
      <c r="Q1100" s="7" t="str">
        <f>VLOOKUP(D1101,Product_Lookup!$A$2:$C$27,2,FALSE)</f>
        <v>Paper Shredder</v>
      </c>
      <c r="R1100" s="7">
        <f t="shared" si="138"/>
        <v>591.99</v>
      </c>
    </row>
    <row r="1101" spans="1:18" ht="21.75" customHeight="1">
      <c r="A1101" t="s">
        <v>1252</v>
      </c>
      <c r="B1101" s="6">
        <v>45339</v>
      </c>
      <c r="C1101" t="s">
        <v>131</v>
      </c>
      <c r="D1101" t="s">
        <v>109</v>
      </c>
      <c r="E1101" t="s">
        <v>22</v>
      </c>
      <c r="F1101" t="s">
        <v>56</v>
      </c>
      <c r="G1101" t="s">
        <v>13</v>
      </c>
      <c r="H1101">
        <v>4</v>
      </c>
      <c r="I1101" t="str">
        <f>VLOOKUP(D1101,Product_Lookup!$A$2:$C$27,3,FALSE)</f>
        <v>$81.02</v>
      </c>
      <c r="J1101" t="str">
        <f t="shared" si="139"/>
        <v>Saturday</v>
      </c>
      <c r="K1101" s="10" t="str">
        <f t="shared" si="140"/>
        <v>February</v>
      </c>
      <c r="L1101">
        <f t="shared" si="141"/>
        <v>2024</v>
      </c>
      <c r="M1101" t="b">
        <f t="shared" si="142"/>
        <v>1</v>
      </c>
      <c r="N1101" t="b">
        <f t="shared" si="136"/>
        <v>0</v>
      </c>
      <c r="O1101" t="str">
        <f t="shared" si="143"/>
        <v>Standard order</v>
      </c>
      <c r="P1101" s="7">
        <f t="shared" si="137"/>
        <v>4.0510000000000002</v>
      </c>
      <c r="Q1101" s="7" t="str">
        <f>VLOOKUP(D1102,Product_Lookup!$A$2:$C$27,2,FALSE)</f>
        <v>Board Game</v>
      </c>
      <c r="R1101" s="7">
        <f t="shared" si="138"/>
        <v>324.08</v>
      </c>
    </row>
    <row r="1102" spans="1:18" ht="21.75" customHeight="1">
      <c r="A1102" t="s">
        <v>1253</v>
      </c>
      <c r="B1102" s="6">
        <v>45336</v>
      </c>
      <c r="C1102" t="s">
        <v>493</v>
      </c>
      <c r="D1102" t="s">
        <v>41</v>
      </c>
      <c r="E1102" t="s">
        <v>11</v>
      </c>
      <c r="F1102" t="s">
        <v>27</v>
      </c>
      <c r="G1102" t="s">
        <v>28</v>
      </c>
      <c r="H1102">
        <v>19</v>
      </c>
      <c r="I1102" t="str">
        <f>VLOOKUP(D1102,Product_Lookup!$A$2:$C$27,3,FALSE)</f>
        <v>$86.6</v>
      </c>
      <c r="J1102" t="str">
        <f t="shared" si="139"/>
        <v>Wednesday</v>
      </c>
      <c r="K1102" s="10" t="str">
        <f t="shared" si="140"/>
        <v>February</v>
      </c>
      <c r="L1102">
        <f t="shared" si="141"/>
        <v>2024</v>
      </c>
      <c r="M1102" t="b">
        <f t="shared" si="142"/>
        <v>0</v>
      </c>
      <c r="N1102" t="b">
        <f t="shared" si="136"/>
        <v>1</v>
      </c>
      <c r="O1102" t="str">
        <f t="shared" si="143"/>
        <v>Large Order</v>
      </c>
      <c r="P1102" s="7">
        <f t="shared" si="137"/>
        <v>4.33</v>
      </c>
      <c r="Q1102" s="7" t="str">
        <f>VLOOKUP(D1103,Product_Lookup!$A$2:$C$27,2,FALSE)</f>
        <v>Socks</v>
      </c>
      <c r="R1102" s="7">
        <f t="shared" si="138"/>
        <v>1645.3999999999999</v>
      </c>
    </row>
    <row r="1103" spans="1:18" ht="21.75" customHeight="1">
      <c r="A1103" t="s">
        <v>1254</v>
      </c>
      <c r="B1103" s="6">
        <v>45348</v>
      </c>
      <c r="C1103" t="s">
        <v>424</v>
      </c>
      <c r="D1103" t="s">
        <v>74</v>
      </c>
      <c r="E1103" t="s">
        <v>11</v>
      </c>
      <c r="F1103" t="s">
        <v>42</v>
      </c>
      <c r="G1103" t="s">
        <v>13</v>
      </c>
      <c r="H1103">
        <v>15</v>
      </c>
      <c r="I1103" t="str">
        <f>VLOOKUP(D1103,Product_Lookup!$A$2:$C$27,3,FALSE)</f>
        <v>$201.32</v>
      </c>
      <c r="J1103" t="str">
        <f t="shared" si="139"/>
        <v>Monday</v>
      </c>
      <c r="K1103" s="10" t="str">
        <f t="shared" si="140"/>
        <v>February</v>
      </c>
      <c r="L1103">
        <f t="shared" si="141"/>
        <v>2024</v>
      </c>
      <c r="M1103" t="b">
        <f t="shared" si="142"/>
        <v>0</v>
      </c>
      <c r="N1103" t="b">
        <f t="shared" si="136"/>
        <v>1</v>
      </c>
      <c r="O1103" t="str">
        <f t="shared" si="143"/>
        <v>Large Order</v>
      </c>
      <c r="P1103" s="7">
        <f t="shared" si="137"/>
        <v>10.066000000000001</v>
      </c>
      <c r="Q1103" s="7" t="str">
        <f>VLOOKUP(D1104,Product_Lookup!$A$2:$C$27,2,FALSE)</f>
        <v>Puzzle</v>
      </c>
      <c r="R1103" s="7">
        <f t="shared" si="138"/>
        <v>3019.7999999999997</v>
      </c>
    </row>
    <row r="1104" spans="1:18" ht="21.75" customHeight="1">
      <c r="A1104" t="s">
        <v>1255</v>
      </c>
      <c r="B1104" s="6">
        <v>45619</v>
      </c>
      <c r="C1104" t="s">
        <v>366</v>
      </c>
      <c r="D1104" t="s">
        <v>62</v>
      </c>
      <c r="E1104" t="s">
        <v>17</v>
      </c>
      <c r="F1104" t="s">
        <v>27</v>
      </c>
      <c r="G1104" t="s">
        <v>13</v>
      </c>
      <c r="H1104">
        <v>11</v>
      </c>
      <c r="I1104" t="str">
        <f>VLOOKUP(D1104,Product_Lookup!$A$2:$C$27,3,FALSE)</f>
        <v>$46.19</v>
      </c>
      <c r="J1104" t="str">
        <f t="shared" si="139"/>
        <v>Saturday</v>
      </c>
      <c r="K1104" s="10" t="str">
        <f t="shared" si="140"/>
        <v>November</v>
      </c>
      <c r="L1104">
        <f t="shared" si="141"/>
        <v>2024</v>
      </c>
      <c r="M1104" t="b">
        <f t="shared" si="142"/>
        <v>1</v>
      </c>
      <c r="N1104" t="b">
        <f t="shared" si="136"/>
        <v>0</v>
      </c>
      <c r="O1104" t="str">
        <f t="shared" si="143"/>
        <v>Large Order</v>
      </c>
      <c r="P1104" s="7">
        <f t="shared" si="137"/>
        <v>2.3094999999999999</v>
      </c>
      <c r="Q1104" s="7" t="str">
        <f>VLOOKUP(D1105,Product_Lookup!$A$2:$C$27,2,FALSE)</f>
        <v>Coffee Maker</v>
      </c>
      <c r="R1104" s="7">
        <f t="shared" si="138"/>
        <v>508.09</v>
      </c>
    </row>
    <row r="1105" spans="1:18" ht="21.75" customHeight="1">
      <c r="A1105" t="s">
        <v>1256</v>
      </c>
      <c r="B1105" s="6">
        <v>45433</v>
      </c>
      <c r="C1105" t="s">
        <v>420</v>
      </c>
      <c r="D1105" t="s">
        <v>31</v>
      </c>
      <c r="E1105" t="s">
        <v>11</v>
      </c>
      <c r="F1105" t="s">
        <v>27</v>
      </c>
      <c r="G1105" t="s">
        <v>32</v>
      </c>
      <c r="H1105">
        <v>11</v>
      </c>
      <c r="I1105" t="str">
        <f>VLOOKUP(D1105,Product_Lookup!$A$2:$C$27,3,FALSE)</f>
        <v>$230.34</v>
      </c>
      <c r="J1105" t="str">
        <f t="shared" si="139"/>
        <v>Tuesday</v>
      </c>
      <c r="K1105" s="10" t="str">
        <f t="shared" si="140"/>
        <v>May</v>
      </c>
      <c r="L1105">
        <f t="shared" si="141"/>
        <v>2024</v>
      </c>
      <c r="M1105" t="b">
        <f t="shared" si="142"/>
        <v>0</v>
      </c>
      <c r="N1105" t="b">
        <f t="shared" si="136"/>
        <v>1</v>
      </c>
      <c r="O1105" t="str">
        <f t="shared" si="143"/>
        <v>Large Order</v>
      </c>
      <c r="P1105" s="7">
        <f t="shared" si="137"/>
        <v>11.517000000000001</v>
      </c>
      <c r="Q1105" s="7" t="str">
        <f>VLOOKUP(D1106,Product_Lookup!$A$2:$C$27,2,FALSE)</f>
        <v>Stapler</v>
      </c>
      <c r="R1105" s="7">
        <f t="shared" si="138"/>
        <v>2533.7400000000002</v>
      </c>
    </row>
    <row r="1106" spans="1:18" ht="21.75" customHeight="1">
      <c r="A1106" t="s">
        <v>1257</v>
      </c>
      <c r="B1106" s="6">
        <v>45427</v>
      </c>
      <c r="C1106" t="s">
        <v>235</v>
      </c>
      <c r="D1106" t="s">
        <v>35</v>
      </c>
      <c r="E1106" t="s">
        <v>17</v>
      </c>
      <c r="F1106" t="s">
        <v>12</v>
      </c>
      <c r="G1106" t="s">
        <v>28</v>
      </c>
      <c r="H1106">
        <v>7</v>
      </c>
      <c r="I1106" t="str">
        <f>VLOOKUP(D1106,Product_Lookup!$A$2:$C$27,3,FALSE)</f>
        <v>$64.61</v>
      </c>
      <c r="J1106" t="str">
        <f t="shared" si="139"/>
        <v>Wednesday</v>
      </c>
      <c r="K1106" s="10" t="str">
        <f t="shared" si="140"/>
        <v>May</v>
      </c>
      <c r="L1106">
        <f t="shared" si="141"/>
        <v>2024</v>
      </c>
      <c r="M1106" t="b">
        <f t="shared" si="142"/>
        <v>0</v>
      </c>
      <c r="N1106" t="b">
        <f t="shared" si="136"/>
        <v>0</v>
      </c>
      <c r="O1106" t="str">
        <f t="shared" si="143"/>
        <v>Standard order</v>
      </c>
      <c r="P1106" s="7">
        <f t="shared" si="137"/>
        <v>3.2305000000000001</v>
      </c>
      <c r="Q1106" s="7" t="str">
        <f>VLOOKUP(D1107,Product_Lookup!$A$2:$C$27,2,FALSE)</f>
        <v>Pen Set</v>
      </c>
      <c r="R1106" s="7">
        <f t="shared" si="138"/>
        <v>452.27</v>
      </c>
    </row>
    <row r="1107" spans="1:18" ht="21.75" customHeight="1">
      <c r="A1107" t="s">
        <v>1258</v>
      </c>
      <c r="B1107" s="6">
        <v>45622</v>
      </c>
      <c r="C1107" t="s">
        <v>374</v>
      </c>
      <c r="D1107" t="s">
        <v>174</v>
      </c>
      <c r="E1107" t="s">
        <v>11</v>
      </c>
      <c r="F1107" t="s">
        <v>56</v>
      </c>
      <c r="G1107" t="s">
        <v>13</v>
      </c>
      <c r="H1107">
        <v>14</v>
      </c>
      <c r="I1107" t="str">
        <f>VLOOKUP(D1107,Product_Lookup!$A$2:$C$27,3,FALSE)</f>
        <v>$133.37</v>
      </c>
      <c r="J1107" t="str">
        <f t="shared" si="139"/>
        <v>Tuesday</v>
      </c>
      <c r="K1107" s="10" t="str">
        <f t="shared" si="140"/>
        <v>November</v>
      </c>
      <c r="L1107">
        <f t="shared" si="141"/>
        <v>2024</v>
      </c>
      <c r="M1107" t="b">
        <f t="shared" si="142"/>
        <v>0</v>
      </c>
      <c r="N1107" t="b">
        <f t="shared" si="136"/>
        <v>1</v>
      </c>
      <c r="O1107" t="str">
        <f t="shared" si="143"/>
        <v>Large Order</v>
      </c>
      <c r="P1107" s="7">
        <f t="shared" si="137"/>
        <v>6.6685000000000008</v>
      </c>
      <c r="Q1107" s="7" t="str">
        <f>VLOOKUP(D1108,Product_Lookup!$A$2:$C$27,2,FALSE)</f>
        <v>Smartphone</v>
      </c>
      <c r="R1107" s="7">
        <f t="shared" si="138"/>
        <v>1867.18</v>
      </c>
    </row>
    <row r="1108" spans="1:18" ht="21.75" customHeight="1">
      <c r="A1108" t="s">
        <v>1259</v>
      </c>
      <c r="B1108" s="6">
        <v>45518</v>
      </c>
      <c r="C1108" t="s">
        <v>436</v>
      </c>
      <c r="D1108" t="s">
        <v>79</v>
      </c>
      <c r="E1108" t="s">
        <v>17</v>
      </c>
      <c r="F1108" t="s">
        <v>12</v>
      </c>
      <c r="G1108" t="s">
        <v>32</v>
      </c>
      <c r="H1108">
        <v>3</v>
      </c>
      <c r="I1108" t="str">
        <f>VLOOKUP(D1108,Product_Lookup!$A$2:$C$27,3,FALSE)</f>
        <v>$216.22</v>
      </c>
      <c r="J1108" t="str">
        <f t="shared" si="139"/>
        <v>Wednesday</v>
      </c>
      <c r="K1108" s="10" t="str">
        <f t="shared" si="140"/>
        <v>August</v>
      </c>
      <c r="L1108">
        <f t="shared" si="141"/>
        <v>2024</v>
      </c>
      <c r="M1108" t="b">
        <f t="shared" si="142"/>
        <v>0</v>
      </c>
      <c r="N1108" t="b">
        <f t="shared" si="136"/>
        <v>0</v>
      </c>
      <c r="O1108" t="str">
        <f t="shared" si="143"/>
        <v>Large Order</v>
      </c>
      <c r="P1108" s="7">
        <f t="shared" si="137"/>
        <v>10.811</v>
      </c>
      <c r="Q1108" s="7" t="str">
        <f>VLOOKUP(D1109,Product_Lookup!$A$2:$C$27,2,FALSE)</f>
        <v>Action Figure</v>
      </c>
      <c r="R1108" s="7">
        <f t="shared" si="138"/>
        <v>648.66</v>
      </c>
    </row>
    <row r="1109" spans="1:18" ht="21.75" customHeight="1">
      <c r="A1109" t="s">
        <v>1260</v>
      </c>
      <c r="B1109" s="6">
        <v>45520</v>
      </c>
      <c r="C1109" t="s">
        <v>138</v>
      </c>
      <c r="D1109" t="s">
        <v>21</v>
      </c>
      <c r="E1109" t="s">
        <v>17</v>
      </c>
      <c r="F1109" t="s">
        <v>56</v>
      </c>
      <c r="G1109" t="s">
        <v>23</v>
      </c>
      <c r="H1109">
        <v>1</v>
      </c>
      <c r="I1109" t="str">
        <f>VLOOKUP(D1109,Product_Lookup!$A$2:$C$27,3,FALSE)</f>
        <v>$88.18</v>
      </c>
      <c r="J1109" t="str">
        <f t="shared" si="139"/>
        <v>Friday</v>
      </c>
      <c r="K1109" s="10" t="str">
        <f t="shared" si="140"/>
        <v>August</v>
      </c>
      <c r="L1109">
        <f t="shared" si="141"/>
        <v>2024</v>
      </c>
      <c r="M1109" t="b">
        <f t="shared" si="142"/>
        <v>0</v>
      </c>
      <c r="N1109" t="b">
        <f t="shared" si="136"/>
        <v>0</v>
      </c>
      <c r="O1109" t="str">
        <f t="shared" si="143"/>
        <v>Standard order</v>
      </c>
      <c r="P1109" s="7">
        <f t="shared" si="137"/>
        <v>4.4090000000000007</v>
      </c>
      <c r="Q1109" s="7" t="str">
        <f>VLOOKUP(D1110,Product_Lookup!$A$2:$C$27,2,FALSE)</f>
        <v>Coffee Maker</v>
      </c>
      <c r="R1109" s="7">
        <f t="shared" si="138"/>
        <v>88.18</v>
      </c>
    </row>
    <row r="1110" spans="1:18" ht="21.75" customHeight="1">
      <c r="A1110" t="s">
        <v>1261</v>
      </c>
      <c r="B1110" s="6">
        <v>45428</v>
      </c>
      <c r="C1110" t="s">
        <v>125</v>
      </c>
      <c r="D1110" t="s">
        <v>31</v>
      </c>
      <c r="E1110" t="s">
        <v>22</v>
      </c>
      <c r="F1110" t="s">
        <v>42</v>
      </c>
      <c r="G1110" t="s">
        <v>23</v>
      </c>
      <c r="H1110">
        <v>19</v>
      </c>
      <c r="I1110" t="str">
        <f>VLOOKUP(D1110,Product_Lookup!$A$2:$C$27,3,FALSE)</f>
        <v>$230.34</v>
      </c>
      <c r="J1110" t="str">
        <f t="shared" si="139"/>
        <v>Thursday</v>
      </c>
      <c r="K1110" s="10" t="str">
        <f t="shared" si="140"/>
        <v>May</v>
      </c>
      <c r="L1110">
        <f t="shared" si="141"/>
        <v>2024</v>
      </c>
      <c r="M1110" t="b">
        <f t="shared" si="142"/>
        <v>0</v>
      </c>
      <c r="N1110" t="b">
        <f t="shared" si="136"/>
        <v>1</v>
      </c>
      <c r="O1110" t="str">
        <f t="shared" si="143"/>
        <v>Large Order</v>
      </c>
      <c r="P1110" s="7">
        <f t="shared" si="137"/>
        <v>11.517000000000001</v>
      </c>
      <c r="Q1110" s="7" t="str">
        <f>VLOOKUP(D1111,Product_Lookup!$A$2:$C$27,2,FALSE)</f>
        <v>Pen Set</v>
      </c>
      <c r="R1110" s="7">
        <f t="shared" si="138"/>
        <v>4376.46</v>
      </c>
    </row>
    <row r="1111" spans="1:18" ht="21.75" customHeight="1">
      <c r="A1111" t="s">
        <v>1262</v>
      </c>
      <c r="B1111" s="6">
        <v>45536</v>
      </c>
      <c r="C1111" t="s">
        <v>348</v>
      </c>
      <c r="D1111" t="s">
        <v>174</v>
      </c>
      <c r="E1111" t="s">
        <v>17</v>
      </c>
      <c r="F1111" t="s">
        <v>12</v>
      </c>
      <c r="G1111" t="s">
        <v>23</v>
      </c>
      <c r="H1111">
        <v>8</v>
      </c>
      <c r="I1111" t="str">
        <f>VLOOKUP(D1111,Product_Lookup!$A$2:$C$27,3,FALSE)</f>
        <v>$133.37</v>
      </c>
      <c r="J1111" t="str">
        <f t="shared" si="139"/>
        <v>Sunday</v>
      </c>
      <c r="K1111" s="10" t="str">
        <f t="shared" si="140"/>
        <v>September</v>
      </c>
      <c r="L1111">
        <f t="shared" si="141"/>
        <v>2024</v>
      </c>
      <c r="M1111" t="b">
        <f t="shared" si="142"/>
        <v>1</v>
      </c>
      <c r="N1111" t="b">
        <f t="shared" si="136"/>
        <v>1</v>
      </c>
      <c r="O1111" t="str">
        <f t="shared" si="143"/>
        <v>Large Order</v>
      </c>
      <c r="P1111" s="7">
        <f t="shared" si="137"/>
        <v>6.6685000000000008</v>
      </c>
      <c r="Q1111" s="7" t="str">
        <f>VLOOKUP(D1112,Product_Lookup!$A$2:$C$27,2,FALSE)</f>
        <v>Blender</v>
      </c>
      <c r="R1111" s="7">
        <f t="shared" si="138"/>
        <v>1066.96</v>
      </c>
    </row>
    <row r="1112" spans="1:18" ht="21.75" customHeight="1">
      <c r="A1112" t="s">
        <v>1263</v>
      </c>
      <c r="B1112" s="6">
        <v>45354</v>
      </c>
      <c r="C1112" t="s">
        <v>614</v>
      </c>
      <c r="D1112" t="s">
        <v>72</v>
      </c>
      <c r="E1112" t="s">
        <v>22</v>
      </c>
      <c r="F1112" t="s">
        <v>42</v>
      </c>
      <c r="G1112" t="s">
        <v>13</v>
      </c>
      <c r="H1112">
        <v>10</v>
      </c>
      <c r="I1112" t="str">
        <f>VLOOKUP(D1112,Product_Lookup!$A$2:$C$27,3,FALSE)</f>
        <v>$156.44</v>
      </c>
      <c r="J1112" t="str">
        <f t="shared" si="139"/>
        <v>Sunday</v>
      </c>
      <c r="K1112" s="10" t="str">
        <f t="shared" si="140"/>
        <v>March</v>
      </c>
      <c r="L1112">
        <f t="shared" si="141"/>
        <v>2024</v>
      </c>
      <c r="M1112" t="b">
        <f t="shared" si="142"/>
        <v>1</v>
      </c>
      <c r="N1112" t="b">
        <f t="shared" si="136"/>
        <v>1</v>
      </c>
      <c r="O1112" t="str">
        <f t="shared" si="143"/>
        <v>Large Order</v>
      </c>
      <c r="P1112" s="7">
        <f t="shared" si="137"/>
        <v>7.8220000000000001</v>
      </c>
      <c r="Q1112" s="7" t="str">
        <f>VLOOKUP(D1113,Product_Lookup!$A$2:$C$27,2,FALSE)</f>
        <v>Air Fryer</v>
      </c>
      <c r="R1112" s="7">
        <f t="shared" si="138"/>
        <v>1564.4</v>
      </c>
    </row>
    <row r="1113" spans="1:18" ht="21.75" customHeight="1">
      <c r="A1113" t="s">
        <v>1264</v>
      </c>
      <c r="B1113" s="6">
        <v>45479</v>
      </c>
      <c r="C1113" t="s">
        <v>312</v>
      </c>
      <c r="D1113" t="s">
        <v>70</v>
      </c>
      <c r="E1113" t="s">
        <v>17</v>
      </c>
      <c r="F1113" t="s">
        <v>12</v>
      </c>
      <c r="G1113" t="s">
        <v>28</v>
      </c>
      <c r="H1113">
        <v>10</v>
      </c>
      <c r="I1113" t="str">
        <f>VLOOKUP(D1113,Product_Lookup!$A$2:$C$27,3,FALSE)</f>
        <v>$211.9</v>
      </c>
      <c r="J1113" t="str">
        <f t="shared" si="139"/>
        <v>Saturday</v>
      </c>
      <c r="K1113" s="10" t="str">
        <f t="shared" si="140"/>
        <v>July</v>
      </c>
      <c r="L1113">
        <f t="shared" si="141"/>
        <v>2024</v>
      </c>
      <c r="M1113" t="b">
        <f t="shared" si="142"/>
        <v>1</v>
      </c>
      <c r="N1113" t="b">
        <f t="shared" si="136"/>
        <v>1</v>
      </c>
      <c r="O1113" t="str">
        <f t="shared" si="143"/>
        <v>Large Order</v>
      </c>
      <c r="P1113" s="7">
        <f t="shared" si="137"/>
        <v>10.595000000000001</v>
      </c>
      <c r="Q1113" s="7" t="str">
        <f>VLOOKUP(D1114,Product_Lookup!$A$2:$C$27,2,FALSE)</f>
        <v>Socks</v>
      </c>
      <c r="R1113" s="7">
        <f t="shared" si="138"/>
        <v>2119</v>
      </c>
    </row>
    <row r="1114" spans="1:18" ht="21.75" customHeight="1">
      <c r="A1114" t="s">
        <v>1265</v>
      </c>
      <c r="B1114" s="6">
        <v>45575</v>
      </c>
      <c r="C1114" t="s">
        <v>116</v>
      </c>
      <c r="D1114" t="s">
        <v>74</v>
      </c>
      <c r="E1114" t="s">
        <v>17</v>
      </c>
      <c r="F1114" t="s">
        <v>56</v>
      </c>
      <c r="G1114" t="s">
        <v>32</v>
      </c>
      <c r="H1114">
        <v>13</v>
      </c>
      <c r="I1114" t="str">
        <f>VLOOKUP(D1114,Product_Lookup!$A$2:$C$27,3,FALSE)</f>
        <v>$201.32</v>
      </c>
      <c r="J1114" t="str">
        <f t="shared" si="139"/>
        <v>Thursday</v>
      </c>
      <c r="K1114" s="10" t="str">
        <f t="shared" si="140"/>
        <v>October</v>
      </c>
      <c r="L1114">
        <f t="shared" si="141"/>
        <v>2024</v>
      </c>
      <c r="M1114" t="b">
        <f t="shared" si="142"/>
        <v>0</v>
      </c>
      <c r="N1114" t="b">
        <f t="shared" si="136"/>
        <v>1</v>
      </c>
      <c r="O1114" t="str">
        <f t="shared" si="143"/>
        <v>Large Order</v>
      </c>
      <c r="P1114" s="7">
        <f t="shared" si="137"/>
        <v>10.066000000000001</v>
      </c>
      <c r="Q1114" s="7" t="str">
        <f>VLOOKUP(D1115,Product_Lookup!$A$2:$C$27,2,FALSE)</f>
        <v>Lego Set</v>
      </c>
      <c r="R1114" s="7">
        <f t="shared" si="138"/>
        <v>2617.16</v>
      </c>
    </row>
    <row r="1115" spans="1:18" ht="21.75" customHeight="1">
      <c r="A1115" t="s">
        <v>1266</v>
      </c>
      <c r="B1115" s="6">
        <v>45541</v>
      </c>
      <c r="C1115" t="s">
        <v>81</v>
      </c>
      <c r="D1115" t="s">
        <v>84</v>
      </c>
      <c r="E1115" t="s">
        <v>22</v>
      </c>
      <c r="F1115" t="s">
        <v>27</v>
      </c>
      <c r="G1115" t="s">
        <v>28</v>
      </c>
      <c r="H1115">
        <v>7</v>
      </c>
      <c r="I1115" t="str">
        <f>VLOOKUP(D1115,Product_Lookup!$A$2:$C$27,3,FALSE)</f>
        <v>$130.07</v>
      </c>
      <c r="J1115" t="str">
        <f t="shared" si="139"/>
        <v>Friday</v>
      </c>
      <c r="K1115" s="10" t="str">
        <f t="shared" si="140"/>
        <v>September</v>
      </c>
      <c r="L1115">
        <f t="shared" si="141"/>
        <v>2024</v>
      </c>
      <c r="M1115" t="b">
        <f t="shared" si="142"/>
        <v>0</v>
      </c>
      <c r="N1115" t="b">
        <f t="shared" si="136"/>
        <v>1</v>
      </c>
      <c r="O1115" t="str">
        <f t="shared" si="143"/>
        <v>Large Order</v>
      </c>
      <c r="P1115" s="7">
        <f t="shared" si="137"/>
        <v>6.5034999999999998</v>
      </c>
      <c r="Q1115" s="7" t="str">
        <f>VLOOKUP(D1116,Product_Lookup!$A$2:$C$27,2,FALSE)</f>
        <v>Stapler</v>
      </c>
      <c r="R1115" s="7">
        <f t="shared" si="138"/>
        <v>910.49</v>
      </c>
    </row>
    <row r="1116" spans="1:18" ht="21.75" customHeight="1">
      <c r="A1116" t="s">
        <v>1267</v>
      </c>
      <c r="B1116" s="6">
        <v>45304</v>
      </c>
      <c r="C1116" t="s">
        <v>329</v>
      </c>
      <c r="D1116" t="s">
        <v>35</v>
      </c>
      <c r="E1116" t="s">
        <v>22</v>
      </c>
      <c r="F1116" t="s">
        <v>56</v>
      </c>
      <c r="G1116" t="s">
        <v>36</v>
      </c>
      <c r="H1116">
        <v>13</v>
      </c>
      <c r="I1116" t="str">
        <f>VLOOKUP(D1116,Product_Lookup!$A$2:$C$27,3,FALSE)</f>
        <v>$64.61</v>
      </c>
      <c r="J1116" t="str">
        <f t="shared" si="139"/>
        <v>Saturday</v>
      </c>
      <c r="K1116" s="10" t="str">
        <f t="shared" si="140"/>
        <v>January</v>
      </c>
      <c r="L1116">
        <f t="shared" si="141"/>
        <v>2024</v>
      </c>
      <c r="M1116" t="b">
        <f t="shared" si="142"/>
        <v>1</v>
      </c>
      <c r="N1116" t="b">
        <f t="shared" si="136"/>
        <v>1</v>
      </c>
      <c r="O1116" t="str">
        <f t="shared" si="143"/>
        <v>Large Order</v>
      </c>
      <c r="P1116" s="7">
        <f t="shared" si="137"/>
        <v>3.2305000000000001</v>
      </c>
      <c r="Q1116" s="7" t="str">
        <f>VLOOKUP(D1117,Product_Lookup!$A$2:$C$27,2,FALSE)</f>
        <v>Air Fryer</v>
      </c>
      <c r="R1116" s="7">
        <f t="shared" si="138"/>
        <v>839.93</v>
      </c>
    </row>
    <row r="1117" spans="1:18" ht="21.75" customHeight="1">
      <c r="A1117" t="s">
        <v>1268</v>
      </c>
      <c r="B1117" s="6">
        <v>45621</v>
      </c>
      <c r="C1117" t="s">
        <v>147</v>
      </c>
      <c r="D1117" t="s">
        <v>70</v>
      </c>
      <c r="E1117" t="s">
        <v>17</v>
      </c>
      <c r="F1117" t="s">
        <v>306</v>
      </c>
      <c r="G1117" t="s">
        <v>13</v>
      </c>
      <c r="H1117">
        <v>1</v>
      </c>
      <c r="I1117" t="str">
        <f>VLOOKUP(D1117,Product_Lookup!$A$2:$C$27,3,FALSE)</f>
        <v>$211.9</v>
      </c>
      <c r="J1117" t="str">
        <f t="shared" si="139"/>
        <v>Monday</v>
      </c>
      <c r="K1117" s="10" t="str">
        <f t="shared" si="140"/>
        <v>November</v>
      </c>
      <c r="L1117">
        <f t="shared" si="141"/>
        <v>2024</v>
      </c>
      <c r="M1117" t="b">
        <f t="shared" si="142"/>
        <v>0</v>
      </c>
      <c r="N1117" t="b">
        <f t="shared" si="136"/>
        <v>0</v>
      </c>
      <c r="O1117" t="str">
        <f t="shared" si="143"/>
        <v>Standard order</v>
      </c>
      <c r="P1117" s="7">
        <f t="shared" si="137"/>
        <v>10.595000000000001</v>
      </c>
      <c r="Q1117" s="7" t="str">
        <f>VLOOKUP(D1118,Product_Lookup!$A$2:$C$27,2,FALSE)</f>
        <v>Coffee Maker</v>
      </c>
      <c r="R1117" s="7">
        <f t="shared" si="138"/>
        <v>211.9</v>
      </c>
    </row>
    <row r="1118" spans="1:18" ht="21.75" customHeight="1">
      <c r="A1118" t="s">
        <v>1269</v>
      </c>
      <c r="B1118" s="6">
        <v>45464</v>
      </c>
      <c r="C1118" t="s">
        <v>728</v>
      </c>
      <c r="D1118" t="s">
        <v>31</v>
      </c>
      <c r="E1118" t="s">
        <v>22</v>
      </c>
      <c r="F1118" t="s">
        <v>12</v>
      </c>
      <c r="G1118" t="s">
        <v>36</v>
      </c>
      <c r="H1118">
        <v>4</v>
      </c>
      <c r="I1118" t="str">
        <f>VLOOKUP(D1118,Product_Lookup!$A$2:$C$27,3,FALSE)</f>
        <v>$230.34</v>
      </c>
      <c r="J1118" t="str">
        <f t="shared" si="139"/>
        <v>Friday</v>
      </c>
      <c r="K1118" s="10" t="str">
        <f t="shared" si="140"/>
        <v>June</v>
      </c>
      <c r="L1118">
        <f t="shared" si="141"/>
        <v>2024</v>
      </c>
      <c r="M1118" t="b">
        <f t="shared" si="142"/>
        <v>0</v>
      </c>
      <c r="N1118" t="b">
        <f t="shared" si="136"/>
        <v>0</v>
      </c>
      <c r="O1118" t="str">
        <f t="shared" si="143"/>
        <v>Large Order</v>
      </c>
      <c r="P1118" s="7">
        <f t="shared" si="137"/>
        <v>11.517000000000001</v>
      </c>
      <c r="Q1118" s="7" t="str">
        <f>VLOOKUP(D1119,Product_Lookup!$A$2:$C$27,2,FALSE)</f>
        <v>Lego Set</v>
      </c>
      <c r="R1118" s="7">
        <f t="shared" si="138"/>
        <v>921.36</v>
      </c>
    </row>
    <row r="1119" spans="1:18" ht="21.75" customHeight="1">
      <c r="A1119" t="s">
        <v>1270</v>
      </c>
      <c r="B1119" s="6">
        <v>45526</v>
      </c>
      <c r="C1119" t="s">
        <v>422</v>
      </c>
      <c r="D1119" t="s">
        <v>84</v>
      </c>
      <c r="E1119" t="s">
        <v>22</v>
      </c>
      <c r="F1119" t="s">
        <v>56</v>
      </c>
      <c r="G1119" t="s">
        <v>13</v>
      </c>
      <c r="H1119">
        <v>19</v>
      </c>
      <c r="I1119" t="str">
        <f>VLOOKUP(D1119,Product_Lookup!$A$2:$C$27,3,FALSE)</f>
        <v>$130.07</v>
      </c>
      <c r="J1119" t="str">
        <f t="shared" si="139"/>
        <v>Thursday</v>
      </c>
      <c r="K1119" s="10" t="str">
        <f t="shared" si="140"/>
        <v>August</v>
      </c>
      <c r="L1119">
        <f t="shared" si="141"/>
        <v>2024</v>
      </c>
      <c r="M1119" t="b">
        <f t="shared" si="142"/>
        <v>0</v>
      </c>
      <c r="N1119" t="b">
        <f t="shared" si="136"/>
        <v>1</v>
      </c>
      <c r="O1119" t="str">
        <f t="shared" si="143"/>
        <v>Large Order</v>
      </c>
      <c r="P1119" s="7">
        <f t="shared" si="137"/>
        <v>6.5034999999999998</v>
      </c>
      <c r="Q1119" s="7" t="str">
        <f>VLOOKUP(D1120,Product_Lookup!$A$2:$C$27,2,FALSE)</f>
        <v>Action Figure</v>
      </c>
      <c r="R1119" s="7">
        <f t="shared" si="138"/>
        <v>2471.33</v>
      </c>
    </row>
    <row r="1120" spans="1:18" ht="21.75" customHeight="1">
      <c r="A1120" t="s">
        <v>1271</v>
      </c>
      <c r="B1120" s="6">
        <v>45310</v>
      </c>
      <c r="C1120" t="s">
        <v>304</v>
      </c>
      <c r="D1120" t="s">
        <v>21</v>
      </c>
      <c r="E1120" t="s">
        <v>11</v>
      </c>
      <c r="F1120" t="s">
        <v>27</v>
      </c>
      <c r="G1120" t="s">
        <v>36</v>
      </c>
      <c r="H1120">
        <v>1</v>
      </c>
      <c r="I1120" t="str">
        <f>VLOOKUP(D1120,Product_Lookup!$A$2:$C$27,3,FALSE)</f>
        <v>$88.18</v>
      </c>
      <c r="J1120" t="str">
        <f t="shared" si="139"/>
        <v>Friday</v>
      </c>
      <c r="K1120" s="10" t="str">
        <f t="shared" si="140"/>
        <v>January</v>
      </c>
      <c r="L1120">
        <f t="shared" si="141"/>
        <v>2024</v>
      </c>
      <c r="M1120" t="b">
        <f t="shared" si="142"/>
        <v>0</v>
      </c>
      <c r="N1120" t="b">
        <f t="shared" si="136"/>
        <v>0</v>
      </c>
      <c r="O1120" t="str">
        <f t="shared" si="143"/>
        <v>Standard order</v>
      </c>
      <c r="P1120" s="7">
        <f t="shared" si="137"/>
        <v>4.4090000000000007</v>
      </c>
      <c r="Q1120" s="7" t="str">
        <f>VLOOKUP(D1121,Product_Lookup!$A$2:$C$27,2,FALSE)</f>
        <v>Laptop</v>
      </c>
      <c r="R1120" s="7">
        <f t="shared" si="138"/>
        <v>88.18</v>
      </c>
    </row>
    <row r="1121" spans="1:18" ht="21.75" customHeight="1">
      <c r="A1121" t="s">
        <v>1272</v>
      </c>
      <c r="B1121" s="6">
        <v>45315</v>
      </c>
      <c r="C1121" t="s">
        <v>78</v>
      </c>
      <c r="D1121" t="s">
        <v>96</v>
      </c>
      <c r="E1121" t="s">
        <v>22</v>
      </c>
      <c r="F1121" t="s">
        <v>56</v>
      </c>
      <c r="G1121" t="s">
        <v>32</v>
      </c>
      <c r="H1121">
        <v>6</v>
      </c>
      <c r="I1121" t="str">
        <f>VLOOKUP(D1121,Product_Lookup!$A$2:$C$27,3,FALSE)</f>
        <v>$230.68</v>
      </c>
      <c r="J1121" t="str">
        <f t="shared" si="139"/>
        <v>Wednesday</v>
      </c>
      <c r="K1121" s="10" t="str">
        <f t="shared" si="140"/>
        <v>January</v>
      </c>
      <c r="L1121">
        <f t="shared" si="141"/>
        <v>2024</v>
      </c>
      <c r="M1121" t="b">
        <f t="shared" si="142"/>
        <v>0</v>
      </c>
      <c r="N1121" t="b">
        <f t="shared" si="136"/>
        <v>1</v>
      </c>
      <c r="O1121" t="str">
        <f t="shared" si="143"/>
        <v>Large Order</v>
      </c>
      <c r="P1121" s="7">
        <f t="shared" si="137"/>
        <v>11.534000000000001</v>
      </c>
      <c r="Q1121" s="7" t="str">
        <f>VLOOKUP(D1122,Product_Lookup!$A$2:$C$27,2,FALSE)</f>
        <v>Desk Lamp</v>
      </c>
      <c r="R1121" s="7">
        <f t="shared" si="138"/>
        <v>1384.08</v>
      </c>
    </row>
    <row r="1122" spans="1:18" ht="21.75" customHeight="1">
      <c r="A1122" t="s">
        <v>1273</v>
      </c>
      <c r="B1122" s="6">
        <v>45341</v>
      </c>
      <c r="C1122" t="s">
        <v>366</v>
      </c>
      <c r="D1122" t="s">
        <v>59</v>
      </c>
      <c r="E1122" t="s">
        <v>22</v>
      </c>
      <c r="F1122" t="s">
        <v>56</v>
      </c>
      <c r="G1122" t="s">
        <v>13</v>
      </c>
      <c r="H1122">
        <v>3</v>
      </c>
      <c r="I1122" t="str">
        <f>VLOOKUP(D1122,Product_Lookup!$A$2:$C$27,3,FALSE)</f>
        <v>$101.96</v>
      </c>
      <c r="J1122" t="str">
        <f t="shared" si="139"/>
        <v>Monday</v>
      </c>
      <c r="K1122" s="10" t="str">
        <f t="shared" si="140"/>
        <v>February</v>
      </c>
      <c r="L1122">
        <f t="shared" si="141"/>
        <v>2024</v>
      </c>
      <c r="M1122" t="b">
        <f t="shared" si="142"/>
        <v>0</v>
      </c>
      <c r="N1122" t="b">
        <f t="shared" si="136"/>
        <v>0</v>
      </c>
      <c r="O1122" t="str">
        <f t="shared" si="143"/>
        <v>Standard order</v>
      </c>
      <c r="P1122" s="7">
        <f t="shared" si="137"/>
        <v>5.0979999999999999</v>
      </c>
      <c r="Q1122" s="7" t="str">
        <f>VLOOKUP(D1123,Product_Lookup!$A$2:$C$27,2,FALSE)</f>
        <v>Jacket</v>
      </c>
      <c r="R1122" s="7">
        <f t="shared" si="138"/>
        <v>305.88</v>
      </c>
    </row>
    <row r="1123" spans="1:18" ht="21.75" customHeight="1">
      <c r="A1123" t="s">
        <v>1274</v>
      </c>
      <c r="B1123" s="6">
        <v>45350</v>
      </c>
      <c r="C1123" t="s">
        <v>432</v>
      </c>
      <c r="D1123" t="s">
        <v>197</v>
      </c>
      <c r="E1123" t="s">
        <v>22</v>
      </c>
      <c r="F1123" t="s">
        <v>306</v>
      </c>
      <c r="G1123" t="s">
        <v>23</v>
      </c>
      <c r="H1123">
        <v>3</v>
      </c>
      <c r="I1123" t="str">
        <f>VLOOKUP(D1123,Product_Lookup!$A$2:$C$27,3,FALSE)</f>
        <v>$10.11</v>
      </c>
      <c r="J1123" t="str">
        <f t="shared" si="139"/>
        <v>Wednesday</v>
      </c>
      <c r="K1123" s="10" t="str">
        <f t="shared" si="140"/>
        <v>February</v>
      </c>
      <c r="L1123">
        <f t="shared" si="141"/>
        <v>2024</v>
      </c>
      <c r="M1123" t="b">
        <f t="shared" si="142"/>
        <v>0</v>
      </c>
      <c r="N1123" t="b">
        <f t="shared" si="136"/>
        <v>0</v>
      </c>
      <c r="O1123" t="str">
        <f t="shared" si="143"/>
        <v>Standard order</v>
      </c>
      <c r="P1123" s="7">
        <f t="shared" si="137"/>
        <v>0.50549999999999995</v>
      </c>
      <c r="Q1123" s="7" t="str">
        <f>VLOOKUP(D1124,Product_Lookup!$A$2:$C$27,2,FALSE)</f>
        <v>Blender</v>
      </c>
      <c r="R1123" s="7">
        <f t="shared" si="138"/>
        <v>30.33</v>
      </c>
    </row>
    <row r="1124" spans="1:18" ht="21.75" customHeight="1">
      <c r="A1124" t="s">
        <v>1275</v>
      </c>
      <c r="B1124" s="6">
        <v>45464</v>
      </c>
      <c r="C1124" t="s">
        <v>304</v>
      </c>
      <c r="D1124" t="s">
        <v>72</v>
      </c>
      <c r="E1124" t="s">
        <v>22</v>
      </c>
      <c r="F1124" t="s">
        <v>27</v>
      </c>
      <c r="G1124" t="s">
        <v>36</v>
      </c>
      <c r="H1124">
        <v>4</v>
      </c>
      <c r="I1124" t="str">
        <f>VLOOKUP(D1124,Product_Lookup!$A$2:$C$27,3,FALSE)</f>
        <v>$156.44</v>
      </c>
      <c r="J1124" t="str">
        <f t="shared" si="139"/>
        <v>Friday</v>
      </c>
      <c r="K1124" s="10" t="str">
        <f t="shared" si="140"/>
        <v>June</v>
      </c>
      <c r="L1124">
        <f t="shared" si="141"/>
        <v>2024</v>
      </c>
      <c r="M1124" t="b">
        <f t="shared" si="142"/>
        <v>0</v>
      </c>
      <c r="N1124" t="b">
        <f t="shared" si="136"/>
        <v>0</v>
      </c>
      <c r="O1124" t="str">
        <f t="shared" si="143"/>
        <v>Large Order</v>
      </c>
      <c r="P1124" s="7">
        <f t="shared" si="137"/>
        <v>7.8220000000000001</v>
      </c>
      <c r="Q1124" s="7" t="str">
        <f>VLOOKUP(D1125,Product_Lookup!$A$2:$C$27,2,FALSE)</f>
        <v>Doll</v>
      </c>
      <c r="R1124" s="7">
        <f t="shared" si="138"/>
        <v>625.76</v>
      </c>
    </row>
    <row r="1125" spans="1:18" ht="21.75" customHeight="1">
      <c r="A1125" t="s">
        <v>1276</v>
      </c>
      <c r="B1125" s="6">
        <v>45571</v>
      </c>
      <c r="C1125" t="s">
        <v>99</v>
      </c>
      <c r="D1125" t="s">
        <v>119</v>
      </c>
      <c r="E1125" t="s">
        <v>17</v>
      </c>
      <c r="F1125" t="s">
        <v>56</v>
      </c>
      <c r="G1125" t="s">
        <v>32</v>
      </c>
      <c r="H1125">
        <v>2</v>
      </c>
      <c r="I1125" t="str">
        <f>VLOOKUP(D1125,Product_Lookup!$A$2:$C$27,3,FALSE)</f>
        <v>$32.94</v>
      </c>
      <c r="J1125" t="str">
        <f t="shared" si="139"/>
        <v>Sunday</v>
      </c>
      <c r="K1125" s="10" t="str">
        <f t="shared" si="140"/>
        <v>October</v>
      </c>
      <c r="L1125">
        <f t="shared" si="141"/>
        <v>2024</v>
      </c>
      <c r="M1125" t="b">
        <f t="shared" si="142"/>
        <v>1</v>
      </c>
      <c r="N1125" t="b">
        <f t="shared" si="136"/>
        <v>0</v>
      </c>
      <c r="O1125" t="str">
        <f t="shared" si="143"/>
        <v>Standard order</v>
      </c>
      <c r="P1125" s="7">
        <f t="shared" si="137"/>
        <v>1.647</v>
      </c>
      <c r="Q1125" s="7" t="str">
        <f>VLOOKUP(D1126,Product_Lookup!$A$2:$C$27,2,FALSE)</f>
        <v>Doll</v>
      </c>
      <c r="R1125" s="7">
        <f t="shared" si="138"/>
        <v>65.88</v>
      </c>
    </row>
    <row r="1126" spans="1:18" ht="21.75" customHeight="1">
      <c r="A1126" t="s">
        <v>1277</v>
      </c>
      <c r="B1126" s="6">
        <v>45324</v>
      </c>
      <c r="C1126" t="s">
        <v>114</v>
      </c>
      <c r="D1126" t="s">
        <v>119</v>
      </c>
      <c r="E1126" t="s">
        <v>17</v>
      </c>
      <c r="F1126" t="s">
        <v>56</v>
      </c>
      <c r="G1126" t="s">
        <v>32</v>
      </c>
      <c r="H1126">
        <v>14</v>
      </c>
      <c r="I1126" t="str">
        <f>VLOOKUP(D1126,Product_Lookup!$A$2:$C$27,3,FALSE)</f>
        <v>$32.94</v>
      </c>
      <c r="J1126" t="str">
        <f t="shared" si="139"/>
        <v>Friday</v>
      </c>
      <c r="K1126" s="10" t="str">
        <f t="shared" si="140"/>
        <v>February</v>
      </c>
      <c r="L1126">
        <f t="shared" si="141"/>
        <v>2024</v>
      </c>
      <c r="M1126" t="b">
        <f t="shared" si="142"/>
        <v>0</v>
      </c>
      <c r="N1126" t="b">
        <f t="shared" si="136"/>
        <v>0</v>
      </c>
      <c r="O1126" t="str">
        <f t="shared" si="143"/>
        <v>Standard order</v>
      </c>
      <c r="P1126" s="7">
        <f t="shared" si="137"/>
        <v>1.647</v>
      </c>
      <c r="Q1126" s="7" t="str">
        <f>VLOOKUP(D1127,Product_Lookup!$A$2:$C$27,2,FALSE)</f>
        <v>Desk Lamp</v>
      </c>
      <c r="R1126" s="7">
        <f t="shared" si="138"/>
        <v>461.15999999999997</v>
      </c>
    </row>
    <row r="1127" spans="1:18" ht="21.75" customHeight="1">
      <c r="A1127" t="s">
        <v>1278</v>
      </c>
      <c r="B1127" s="6">
        <v>45575</v>
      </c>
      <c r="C1127" t="s">
        <v>30</v>
      </c>
      <c r="D1127" t="s">
        <v>59</v>
      </c>
      <c r="E1127" t="s">
        <v>17</v>
      </c>
      <c r="F1127" t="s">
        <v>56</v>
      </c>
      <c r="G1127" t="s">
        <v>36</v>
      </c>
      <c r="H1127">
        <v>2</v>
      </c>
      <c r="I1127" t="str">
        <f>VLOOKUP(D1127,Product_Lookup!$A$2:$C$27,3,FALSE)</f>
        <v>$101.96</v>
      </c>
      <c r="J1127" t="str">
        <f t="shared" si="139"/>
        <v>Thursday</v>
      </c>
      <c r="K1127" s="10" t="str">
        <f t="shared" si="140"/>
        <v>October</v>
      </c>
      <c r="L1127">
        <f t="shared" si="141"/>
        <v>2024</v>
      </c>
      <c r="M1127" t="b">
        <f t="shared" si="142"/>
        <v>0</v>
      </c>
      <c r="N1127" t="b">
        <f t="shared" si="136"/>
        <v>0</v>
      </c>
      <c r="O1127" t="str">
        <f t="shared" si="143"/>
        <v>Standard order</v>
      </c>
      <c r="P1127" s="7">
        <f t="shared" si="137"/>
        <v>5.0979999999999999</v>
      </c>
      <c r="Q1127" s="7" t="str">
        <f>VLOOKUP(D1128,Product_Lookup!$A$2:$C$27,2,FALSE)</f>
        <v>Stapler</v>
      </c>
      <c r="R1127" s="7">
        <f t="shared" si="138"/>
        <v>203.92</v>
      </c>
    </row>
    <row r="1128" spans="1:18" ht="21.75" customHeight="1">
      <c r="A1128" t="s">
        <v>1279</v>
      </c>
      <c r="B1128" s="6">
        <v>45484</v>
      </c>
      <c r="C1128" t="s">
        <v>420</v>
      </c>
      <c r="D1128" t="s">
        <v>35</v>
      </c>
      <c r="E1128" t="s">
        <v>11</v>
      </c>
      <c r="F1128" t="s">
        <v>12</v>
      </c>
      <c r="G1128" t="s">
        <v>28</v>
      </c>
      <c r="H1128">
        <v>3</v>
      </c>
      <c r="I1128" t="str">
        <f>VLOOKUP(D1128,Product_Lookup!$A$2:$C$27,3,FALSE)</f>
        <v>$64.61</v>
      </c>
      <c r="J1128" t="str">
        <f t="shared" si="139"/>
        <v>Thursday</v>
      </c>
      <c r="K1128" s="10" t="str">
        <f t="shared" si="140"/>
        <v>July</v>
      </c>
      <c r="L1128">
        <f t="shared" si="141"/>
        <v>2024</v>
      </c>
      <c r="M1128" t="b">
        <f t="shared" si="142"/>
        <v>0</v>
      </c>
      <c r="N1128" t="b">
        <f t="shared" si="136"/>
        <v>0</v>
      </c>
      <c r="O1128" t="str">
        <f t="shared" si="143"/>
        <v>Standard order</v>
      </c>
      <c r="P1128" s="7">
        <f t="shared" si="137"/>
        <v>3.2305000000000001</v>
      </c>
      <c r="Q1128" s="7" t="str">
        <f>VLOOKUP(D1129,Product_Lookup!$A$2:$C$27,2,FALSE)</f>
        <v>Socks</v>
      </c>
      <c r="R1128" s="7">
        <f t="shared" si="138"/>
        <v>193.82999999999998</v>
      </c>
    </row>
    <row r="1129" spans="1:18" ht="21.75" customHeight="1">
      <c r="A1129" t="s">
        <v>1280</v>
      </c>
      <c r="B1129" s="6">
        <v>45337</v>
      </c>
      <c r="C1129" t="s">
        <v>369</v>
      </c>
      <c r="D1129" t="s">
        <v>74</v>
      </c>
      <c r="E1129" t="s">
        <v>22</v>
      </c>
      <c r="F1129" t="s">
        <v>306</v>
      </c>
      <c r="G1129" t="s">
        <v>23</v>
      </c>
      <c r="H1129">
        <v>14</v>
      </c>
      <c r="I1129" t="str">
        <f>VLOOKUP(D1129,Product_Lookup!$A$2:$C$27,3,FALSE)</f>
        <v>$201.32</v>
      </c>
      <c r="J1129" t="str">
        <f t="shared" si="139"/>
        <v>Thursday</v>
      </c>
      <c r="K1129" s="10" t="str">
        <f t="shared" si="140"/>
        <v>February</v>
      </c>
      <c r="L1129">
        <f t="shared" si="141"/>
        <v>2024</v>
      </c>
      <c r="M1129" t="b">
        <f t="shared" si="142"/>
        <v>0</v>
      </c>
      <c r="N1129" t="b">
        <f t="shared" si="136"/>
        <v>1</v>
      </c>
      <c r="O1129" t="str">
        <f t="shared" si="143"/>
        <v>Large Order</v>
      </c>
      <c r="P1129" s="7">
        <f t="shared" si="137"/>
        <v>10.066000000000001</v>
      </c>
      <c r="Q1129" s="7" t="str">
        <f>VLOOKUP(D1130,Product_Lookup!$A$2:$C$27,2,FALSE)</f>
        <v>Action Figure</v>
      </c>
      <c r="R1129" s="7">
        <f t="shared" si="138"/>
        <v>2818.48</v>
      </c>
    </row>
    <row r="1130" spans="1:18" ht="21.75" customHeight="1">
      <c r="A1130" t="s">
        <v>1281</v>
      </c>
      <c r="B1130" s="6">
        <v>45646</v>
      </c>
      <c r="C1130" t="s">
        <v>34</v>
      </c>
      <c r="D1130" t="s">
        <v>21</v>
      </c>
      <c r="E1130" t="s">
        <v>11</v>
      </c>
      <c r="F1130" t="s">
        <v>56</v>
      </c>
      <c r="G1130" t="s">
        <v>23</v>
      </c>
      <c r="H1130">
        <v>9</v>
      </c>
      <c r="I1130" t="str">
        <f>VLOOKUP(D1130,Product_Lookup!$A$2:$C$27,3,FALSE)</f>
        <v>$88.18</v>
      </c>
      <c r="J1130" t="str">
        <f t="shared" si="139"/>
        <v>Friday</v>
      </c>
      <c r="K1130" s="10" t="str">
        <f t="shared" si="140"/>
        <v>December</v>
      </c>
      <c r="L1130">
        <f t="shared" si="141"/>
        <v>2024</v>
      </c>
      <c r="M1130" t="b">
        <f t="shared" si="142"/>
        <v>0</v>
      </c>
      <c r="N1130" t="b">
        <f t="shared" si="136"/>
        <v>1</v>
      </c>
      <c r="O1130" t="str">
        <f t="shared" si="143"/>
        <v>Large Order</v>
      </c>
      <c r="P1130" s="7">
        <f t="shared" si="137"/>
        <v>4.4090000000000007</v>
      </c>
      <c r="Q1130" s="7" t="str">
        <f>VLOOKUP(D1131,Product_Lookup!$A$2:$C$27,2,FALSE)</f>
        <v>Paper Shredder</v>
      </c>
      <c r="R1130" s="7">
        <f t="shared" si="138"/>
        <v>793.62000000000012</v>
      </c>
    </row>
    <row r="1131" spans="1:18" ht="21.75" customHeight="1">
      <c r="A1131" t="s">
        <v>1282</v>
      </c>
      <c r="B1131" s="6">
        <v>45414</v>
      </c>
      <c r="C1131" t="s">
        <v>235</v>
      </c>
      <c r="D1131" t="s">
        <v>109</v>
      </c>
      <c r="E1131" t="s">
        <v>22</v>
      </c>
      <c r="F1131" t="s">
        <v>12</v>
      </c>
      <c r="G1131" t="s">
        <v>36</v>
      </c>
      <c r="H1131">
        <v>6</v>
      </c>
      <c r="I1131" t="str">
        <f>VLOOKUP(D1131,Product_Lookup!$A$2:$C$27,3,FALSE)</f>
        <v>$81.02</v>
      </c>
      <c r="J1131" t="str">
        <f t="shared" si="139"/>
        <v>Thursday</v>
      </c>
      <c r="K1131" s="10" t="str">
        <f t="shared" si="140"/>
        <v>May</v>
      </c>
      <c r="L1131">
        <f t="shared" si="141"/>
        <v>2024</v>
      </c>
      <c r="M1131" t="b">
        <f t="shared" si="142"/>
        <v>0</v>
      </c>
      <c r="N1131" t="b">
        <f t="shared" si="136"/>
        <v>0</v>
      </c>
      <c r="O1131" t="str">
        <f t="shared" si="143"/>
        <v>Standard order</v>
      </c>
      <c r="P1131" s="7">
        <f t="shared" si="137"/>
        <v>4.0510000000000002</v>
      </c>
      <c r="Q1131" s="7" t="str">
        <f>VLOOKUP(D1132,Product_Lookup!$A$2:$C$27,2,FALSE)</f>
        <v>Vacuum</v>
      </c>
      <c r="R1131" s="7">
        <f t="shared" si="138"/>
        <v>486.12</v>
      </c>
    </row>
    <row r="1132" spans="1:18" ht="21.75" customHeight="1">
      <c r="A1132" t="s">
        <v>1283</v>
      </c>
      <c r="B1132" s="6">
        <v>45337</v>
      </c>
      <c r="C1132" t="s">
        <v>451</v>
      </c>
      <c r="D1132" t="s">
        <v>87</v>
      </c>
      <c r="E1132" t="s">
        <v>17</v>
      </c>
      <c r="F1132" t="s">
        <v>42</v>
      </c>
      <c r="G1132" t="s">
        <v>28</v>
      </c>
      <c r="H1132">
        <v>1</v>
      </c>
      <c r="I1132" t="str">
        <f>VLOOKUP(D1132,Product_Lookup!$A$2:$C$27,3,FALSE)</f>
        <v>$26.59</v>
      </c>
      <c r="J1132" t="str">
        <f t="shared" si="139"/>
        <v>Thursday</v>
      </c>
      <c r="K1132" s="10" t="str">
        <f t="shared" si="140"/>
        <v>February</v>
      </c>
      <c r="L1132">
        <f t="shared" si="141"/>
        <v>2024</v>
      </c>
      <c r="M1132" t="b">
        <f t="shared" si="142"/>
        <v>0</v>
      </c>
      <c r="N1132" t="b">
        <f t="shared" si="136"/>
        <v>0</v>
      </c>
      <c r="O1132" t="str">
        <f t="shared" si="143"/>
        <v>Standard order</v>
      </c>
      <c r="P1132" s="7">
        <f t="shared" si="137"/>
        <v>1.3295000000000001</v>
      </c>
      <c r="Q1132" s="7" t="str">
        <f>VLOOKUP(D1133,Product_Lookup!$A$2:$C$27,2,FALSE)</f>
        <v>Toaster</v>
      </c>
      <c r="R1132" s="7">
        <f t="shared" si="138"/>
        <v>26.59</v>
      </c>
    </row>
    <row r="1133" spans="1:18" ht="21.75" customHeight="1">
      <c r="A1133" t="s">
        <v>1284</v>
      </c>
      <c r="B1133" s="6">
        <v>45352</v>
      </c>
      <c r="C1133" t="s">
        <v>339</v>
      </c>
      <c r="D1133" t="s">
        <v>48</v>
      </c>
      <c r="E1133" t="s">
        <v>11</v>
      </c>
      <c r="F1133" t="s">
        <v>306</v>
      </c>
      <c r="G1133" t="s">
        <v>23</v>
      </c>
      <c r="H1133">
        <v>18</v>
      </c>
      <c r="I1133" t="str">
        <f>VLOOKUP(D1133,Product_Lookup!$A$2:$C$27,3,FALSE)</f>
        <v>$208.85</v>
      </c>
      <c r="J1133" t="str">
        <f t="shared" si="139"/>
        <v>Friday</v>
      </c>
      <c r="K1133" s="10" t="str">
        <f t="shared" si="140"/>
        <v>March</v>
      </c>
      <c r="L1133">
        <f t="shared" si="141"/>
        <v>2024</v>
      </c>
      <c r="M1133" t="b">
        <f t="shared" si="142"/>
        <v>0</v>
      </c>
      <c r="N1133" t="b">
        <f t="shared" si="136"/>
        <v>1</v>
      </c>
      <c r="O1133" t="str">
        <f t="shared" si="143"/>
        <v>Large Order</v>
      </c>
      <c r="P1133" s="7">
        <f t="shared" si="137"/>
        <v>10.442500000000001</v>
      </c>
      <c r="Q1133" s="7" t="str">
        <f>VLOOKUP(D1134,Product_Lookup!$A$2:$C$27,2,FALSE)</f>
        <v>Smartphone</v>
      </c>
      <c r="R1133" s="7">
        <f t="shared" si="138"/>
        <v>3759.2999999999997</v>
      </c>
    </row>
    <row r="1134" spans="1:18" ht="21.75" customHeight="1">
      <c r="A1134" t="s">
        <v>1285</v>
      </c>
      <c r="B1134" s="6">
        <v>45612</v>
      </c>
      <c r="C1134" t="s">
        <v>371</v>
      </c>
      <c r="D1134" t="s">
        <v>79</v>
      </c>
      <c r="E1134" t="s">
        <v>11</v>
      </c>
      <c r="F1134" t="s">
        <v>42</v>
      </c>
      <c r="G1134" t="s">
        <v>28</v>
      </c>
      <c r="H1134">
        <v>7</v>
      </c>
      <c r="I1134" t="str">
        <f>VLOOKUP(D1134,Product_Lookup!$A$2:$C$27,3,FALSE)</f>
        <v>$216.22</v>
      </c>
      <c r="J1134" t="str">
        <f t="shared" si="139"/>
        <v>Saturday</v>
      </c>
      <c r="K1134" s="10" t="str">
        <f t="shared" si="140"/>
        <v>November</v>
      </c>
      <c r="L1134">
        <f t="shared" si="141"/>
        <v>2024</v>
      </c>
      <c r="M1134" t="b">
        <f t="shared" si="142"/>
        <v>1</v>
      </c>
      <c r="N1134" t="b">
        <f t="shared" si="136"/>
        <v>1</v>
      </c>
      <c r="O1134" t="str">
        <f t="shared" si="143"/>
        <v>Large Order</v>
      </c>
      <c r="P1134" s="7">
        <f t="shared" si="137"/>
        <v>10.811</v>
      </c>
      <c r="Q1134" s="7" t="str">
        <f>VLOOKUP(D1135,Product_Lookup!$A$2:$C$27,2,FALSE)</f>
        <v>T-Shirt</v>
      </c>
      <c r="R1134" s="7">
        <f t="shared" si="138"/>
        <v>1513.54</v>
      </c>
    </row>
    <row r="1135" spans="1:18" ht="21.75" customHeight="1">
      <c r="A1135" t="s">
        <v>1286</v>
      </c>
      <c r="B1135" s="6">
        <v>45642</v>
      </c>
      <c r="C1135" t="s">
        <v>553</v>
      </c>
      <c r="D1135" t="s">
        <v>45</v>
      </c>
      <c r="E1135" t="s">
        <v>17</v>
      </c>
      <c r="F1135" t="s">
        <v>56</v>
      </c>
      <c r="G1135" t="s">
        <v>32</v>
      </c>
      <c r="H1135">
        <v>2</v>
      </c>
      <c r="I1135" t="str">
        <f>VLOOKUP(D1135,Product_Lookup!$A$2:$C$27,3,FALSE)</f>
        <v>$107.34</v>
      </c>
      <c r="J1135" t="str">
        <f t="shared" si="139"/>
        <v>Monday</v>
      </c>
      <c r="K1135" s="10" t="str">
        <f t="shared" si="140"/>
        <v>December</v>
      </c>
      <c r="L1135">
        <f t="shared" si="141"/>
        <v>2024</v>
      </c>
      <c r="M1135" t="b">
        <f t="shared" si="142"/>
        <v>0</v>
      </c>
      <c r="N1135" t="b">
        <f t="shared" si="136"/>
        <v>0</v>
      </c>
      <c r="O1135" t="str">
        <f t="shared" si="143"/>
        <v>Standard order</v>
      </c>
      <c r="P1135" s="7">
        <f t="shared" si="137"/>
        <v>5.3670000000000009</v>
      </c>
      <c r="Q1135" s="7" t="str">
        <f>VLOOKUP(D1136,Product_Lookup!$A$2:$C$27,2,FALSE)</f>
        <v>Blender</v>
      </c>
      <c r="R1135" s="7">
        <f t="shared" si="138"/>
        <v>214.68</v>
      </c>
    </row>
    <row r="1136" spans="1:18" ht="21.75" customHeight="1">
      <c r="A1136" t="s">
        <v>1287</v>
      </c>
      <c r="B1136" s="6">
        <v>45437</v>
      </c>
      <c r="C1136" t="s">
        <v>95</v>
      </c>
      <c r="D1136" t="s">
        <v>72</v>
      </c>
      <c r="E1136" t="s">
        <v>17</v>
      </c>
      <c r="F1136" t="s">
        <v>42</v>
      </c>
      <c r="G1136" t="s">
        <v>23</v>
      </c>
      <c r="H1136">
        <v>20</v>
      </c>
      <c r="I1136" t="str">
        <f>VLOOKUP(D1136,Product_Lookup!$A$2:$C$27,3,FALSE)</f>
        <v>$156.44</v>
      </c>
      <c r="J1136" t="str">
        <f t="shared" si="139"/>
        <v>Saturday</v>
      </c>
      <c r="K1136" s="10" t="str">
        <f t="shared" si="140"/>
        <v>May</v>
      </c>
      <c r="L1136">
        <f t="shared" si="141"/>
        <v>2024</v>
      </c>
      <c r="M1136" t="b">
        <f t="shared" si="142"/>
        <v>1</v>
      </c>
      <c r="N1136" t="b">
        <f t="shared" si="136"/>
        <v>1</v>
      </c>
      <c r="O1136" t="str">
        <f t="shared" si="143"/>
        <v>Large Order</v>
      </c>
      <c r="P1136" s="7">
        <f t="shared" si="137"/>
        <v>7.8220000000000001</v>
      </c>
      <c r="Q1136" s="7" t="str">
        <f>VLOOKUP(D1137,Product_Lookup!$A$2:$C$27,2,FALSE)</f>
        <v>Pen Set</v>
      </c>
      <c r="R1136" s="7">
        <f t="shared" si="138"/>
        <v>3128.8</v>
      </c>
    </row>
    <row r="1137" spans="1:18" ht="21.75" customHeight="1">
      <c r="A1137" t="s">
        <v>1288</v>
      </c>
      <c r="B1137" s="6">
        <v>45314</v>
      </c>
      <c r="C1137" t="s">
        <v>15</v>
      </c>
      <c r="D1137" t="s">
        <v>174</v>
      </c>
      <c r="E1137" t="s">
        <v>22</v>
      </c>
      <c r="F1137" t="s">
        <v>12</v>
      </c>
      <c r="G1137" t="s">
        <v>13</v>
      </c>
      <c r="H1137">
        <v>6</v>
      </c>
      <c r="I1137" t="str">
        <f>VLOOKUP(D1137,Product_Lookup!$A$2:$C$27,3,FALSE)</f>
        <v>$133.37</v>
      </c>
      <c r="J1137" t="str">
        <f t="shared" si="139"/>
        <v>Tuesday</v>
      </c>
      <c r="K1137" s="10" t="str">
        <f t="shared" si="140"/>
        <v>January</v>
      </c>
      <c r="L1137">
        <f t="shared" si="141"/>
        <v>2024</v>
      </c>
      <c r="M1137" t="b">
        <f t="shared" si="142"/>
        <v>0</v>
      </c>
      <c r="N1137" t="b">
        <f t="shared" si="136"/>
        <v>1</v>
      </c>
      <c r="O1137" t="str">
        <f t="shared" si="143"/>
        <v>Large Order</v>
      </c>
      <c r="P1137" s="7">
        <f t="shared" si="137"/>
        <v>6.6685000000000008</v>
      </c>
      <c r="Q1137" s="7" t="str">
        <f>VLOOKUP(D1138,Product_Lookup!$A$2:$C$27,2,FALSE)</f>
        <v>Jacket</v>
      </c>
      <c r="R1137" s="7">
        <f t="shared" si="138"/>
        <v>800.22</v>
      </c>
    </row>
    <row r="1138" spans="1:18" ht="21.75" customHeight="1">
      <c r="A1138" t="s">
        <v>1289</v>
      </c>
      <c r="B1138" s="6">
        <v>45540</v>
      </c>
      <c r="C1138" t="s">
        <v>345</v>
      </c>
      <c r="D1138" t="s">
        <v>197</v>
      </c>
      <c r="E1138" t="s">
        <v>11</v>
      </c>
      <c r="F1138" t="s">
        <v>12</v>
      </c>
      <c r="G1138" t="s">
        <v>32</v>
      </c>
      <c r="H1138">
        <v>15</v>
      </c>
      <c r="I1138" t="str">
        <f>VLOOKUP(D1138,Product_Lookup!$A$2:$C$27,3,FALSE)</f>
        <v>$10.11</v>
      </c>
      <c r="J1138" t="str">
        <f t="shared" si="139"/>
        <v>Thursday</v>
      </c>
      <c r="K1138" s="10" t="str">
        <f t="shared" si="140"/>
        <v>September</v>
      </c>
      <c r="L1138">
        <f t="shared" si="141"/>
        <v>2024</v>
      </c>
      <c r="M1138" t="b">
        <f t="shared" si="142"/>
        <v>0</v>
      </c>
      <c r="N1138" t="b">
        <f t="shared" si="136"/>
        <v>0</v>
      </c>
      <c r="O1138" t="str">
        <f t="shared" si="143"/>
        <v>Standard order</v>
      </c>
      <c r="P1138" s="7">
        <f t="shared" si="137"/>
        <v>0.50549999999999995</v>
      </c>
      <c r="Q1138" s="7" t="str">
        <f>VLOOKUP(D1139,Product_Lookup!$A$2:$C$27,2,FALSE)</f>
        <v>Jacket</v>
      </c>
      <c r="R1138" s="7">
        <f t="shared" si="138"/>
        <v>151.64999999999998</v>
      </c>
    </row>
    <row r="1139" spans="1:18" ht="21.75" customHeight="1">
      <c r="A1139" t="s">
        <v>1290</v>
      </c>
      <c r="B1139" s="6">
        <v>45506</v>
      </c>
      <c r="C1139" t="s">
        <v>104</v>
      </c>
      <c r="D1139" t="s">
        <v>197</v>
      </c>
      <c r="E1139" t="s">
        <v>22</v>
      </c>
      <c r="F1139" t="s">
        <v>42</v>
      </c>
      <c r="G1139" t="s">
        <v>13</v>
      </c>
      <c r="H1139">
        <v>4</v>
      </c>
      <c r="I1139" t="str">
        <f>VLOOKUP(D1139,Product_Lookup!$A$2:$C$27,3,FALSE)</f>
        <v>$10.11</v>
      </c>
      <c r="J1139" t="str">
        <f t="shared" si="139"/>
        <v>Friday</v>
      </c>
      <c r="K1139" s="10" t="str">
        <f t="shared" si="140"/>
        <v>August</v>
      </c>
      <c r="L1139">
        <f t="shared" si="141"/>
        <v>2024</v>
      </c>
      <c r="M1139" t="b">
        <f t="shared" si="142"/>
        <v>0</v>
      </c>
      <c r="N1139" t="b">
        <f t="shared" si="136"/>
        <v>0</v>
      </c>
      <c r="O1139" t="str">
        <f t="shared" si="143"/>
        <v>Standard order</v>
      </c>
      <c r="P1139" s="7">
        <f t="shared" si="137"/>
        <v>0.50549999999999995</v>
      </c>
      <c r="Q1139" s="7" t="str">
        <f>VLOOKUP(D1140,Product_Lookup!$A$2:$C$27,2,FALSE)</f>
        <v>Coffee Maker</v>
      </c>
      <c r="R1139" s="7">
        <f t="shared" si="138"/>
        <v>40.44</v>
      </c>
    </row>
    <row r="1140" spans="1:18" ht="21.75" customHeight="1">
      <c r="A1140" t="s">
        <v>1291</v>
      </c>
      <c r="B1140" s="6">
        <v>45413</v>
      </c>
      <c r="C1140" t="s">
        <v>304</v>
      </c>
      <c r="D1140" t="s">
        <v>31</v>
      </c>
      <c r="E1140" t="s">
        <v>17</v>
      </c>
      <c r="F1140" t="s">
        <v>56</v>
      </c>
      <c r="G1140" t="s">
        <v>36</v>
      </c>
      <c r="H1140">
        <v>8</v>
      </c>
      <c r="I1140" t="str">
        <f>VLOOKUP(D1140,Product_Lookup!$A$2:$C$27,3,FALSE)</f>
        <v>$230.34</v>
      </c>
      <c r="J1140" t="str">
        <f t="shared" si="139"/>
        <v>Wednesday</v>
      </c>
      <c r="K1140" s="10" t="str">
        <f t="shared" si="140"/>
        <v>May</v>
      </c>
      <c r="L1140">
        <f t="shared" si="141"/>
        <v>2024</v>
      </c>
      <c r="M1140" t="b">
        <f t="shared" si="142"/>
        <v>0</v>
      </c>
      <c r="N1140" t="b">
        <f t="shared" si="136"/>
        <v>1</v>
      </c>
      <c r="O1140" t="str">
        <f t="shared" si="143"/>
        <v>Large Order</v>
      </c>
      <c r="P1140" s="7">
        <f t="shared" si="137"/>
        <v>11.517000000000001</v>
      </c>
      <c r="Q1140" s="7" t="str">
        <f>VLOOKUP(D1141,Product_Lookup!$A$2:$C$27,2,FALSE)</f>
        <v>Jeans</v>
      </c>
      <c r="R1140" s="7">
        <f t="shared" si="138"/>
        <v>1842.72</v>
      </c>
    </row>
    <row r="1141" spans="1:18" ht="21.75" customHeight="1">
      <c r="A1141" t="s">
        <v>1292</v>
      </c>
      <c r="B1141" s="6">
        <v>45540</v>
      </c>
      <c r="C1141" t="s">
        <v>9</v>
      </c>
      <c r="D1141" t="s">
        <v>65</v>
      </c>
      <c r="E1141" t="s">
        <v>17</v>
      </c>
      <c r="F1141" t="s">
        <v>56</v>
      </c>
      <c r="G1141" t="s">
        <v>23</v>
      </c>
      <c r="H1141">
        <v>20</v>
      </c>
      <c r="I1141" t="str">
        <f>VLOOKUP(D1141,Product_Lookup!$A$2:$C$27,3,FALSE)</f>
        <v>$33.22</v>
      </c>
      <c r="J1141" t="str">
        <f t="shared" si="139"/>
        <v>Thursday</v>
      </c>
      <c r="K1141" s="10" t="str">
        <f t="shared" si="140"/>
        <v>September</v>
      </c>
      <c r="L1141">
        <f t="shared" si="141"/>
        <v>2024</v>
      </c>
      <c r="M1141" t="b">
        <f t="shared" si="142"/>
        <v>0</v>
      </c>
      <c r="N1141" t="b">
        <f t="shared" si="136"/>
        <v>0</v>
      </c>
      <c r="O1141" t="str">
        <f t="shared" si="143"/>
        <v>Large Order</v>
      </c>
      <c r="P1141" s="7">
        <f t="shared" si="137"/>
        <v>1.661</v>
      </c>
      <c r="Q1141" s="7" t="str">
        <f>VLOOKUP(D1142,Product_Lookup!$A$2:$C$27,2,FALSE)</f>
        <v>Action Figure</v>
      </c>
      <c r="R1141" s="7">
        <f t="shared" si="138"/>
        <v>664.4</v>
      </c>
    </row>
    <row r="1142" spans="1:18" ht="21.75" customHeight="1">
      <c r="A1142" t="s">
        <v>1293</v>
      </c>
      <c r="B1142" s="6">
        <v>45483</v>
      </c>
      <c r="C1142" t="s">
        <v>99</v>
      </c>
      <c r="D1142" t="s">
        <v>21</v>
      </c>
      <c r="E1142" t="s">
        <v>17</v>
      </c>
      <c r="F1142" t="s">
        <v>56</v>
      </c>
      <c r="G1142" t="s">
        <v>28</v>
      </c>
      <c r="H1142">
        <v>12</v>
      </c>
      <c r="I1142" t="str">
        <f>VLOOKUP(D1142,Product_Lookup!$A$2:$C$27,3,FALSE)</f>
        <v>$88.18</v>
      </c>
      <c r="J1142" t="str">
        <f t="shared" si="139"/>
        <v>Wednesday</v>
      </c>
      <c r="K1142" s="10" t="str">
        <f t="shared" si="140"/>
        <v>July</v>
      </c>
      <c r="L1142">
        <f t="shared" si="141"/>
        <v>2024</v>
      </c>
      <c r="M1142" t="b">
        <f t="shared" si="142"/>
        <v>0</v>
      </c>
      <c r="N1142" t="b">
        <f t="shared" si="136"/>
        <v>1</v>
      </c>
      <c r="O1142" t="str">
        <f t="shared" si="143"/>
        <v>Large Order</v>
      </c>
      <c r="P1142" s="7">
        <f t="shared" si="137"/>
        <v>4.4090000000000007</v>
      </c>
      <c r="Q1142" s="7" t="str">
        <f>VLOOKUP(D1143,Product_Lookup!$A$2:$C$27,2,FALSE)</f>
        <v>Smartphone</v>
      </c>
      <c r="R1142" s="7">
        <f t="shared" si="138"/>
        <v>1058.1600000000001</v>
      </c>
    </row>
    <row r="1143" spans="1:18" ht="21.75" customHeight="1">
      <c r="A1143" t="s">
        <v>1294</v>
      </c>
      <c r="B1143" s="6">
        <v>45463</v>
      </c>
      <c r="C1143" t="s">
        <v>34</v>
      </c>
      <c r="D1143" t="s">
        <v>79</v>
      </c>
      <c r="E1143" t="s">
        <v>11</v>
      </c>
      <c r="F1143" t="s">
        <v>306</v>
      </c>
      <c r="G1143" t="s">
        <v>23</v>
      </c>
      <c r="H1143">
        <v>9</v>
      </c>
      <c r="I1143" t="str">
        <f>VLOOKUP(D1143,Product_Lookup!$A$2:$C$27,3,FALSE)</f>
        <v>$216.22</v>
      </c>
      <c r="J1143" t="str">
        <f t="shared" si="139"/>
        <v>Thursday</v>
      </c>
      <c r="K1143" s="10" t="str">
        <f t="shared" si="140"/>
        <v>June</v>
      </c>
      <c r="L1143">
        <f t="shared" si="141"/>
        <v>2024</v>
      </c>
      <c r="M1143" t="b">
        <f t="shared" si="142"/>
        <v>0</v>
      </c>
      <c r="N1143" t="b">
        <f t="shared" si="136"/>
        <v>1</v>
      </c>
      <c r="O1143" t="str">
        <f t="shared" si="143"/>
        <v>Large Order</v>
      </c>
      <c r="P1143" s="7">
        <f t="shared" si="137"/>
        <v>10.811</v>
      </c>
      <c r="Q1143" s="7" t="str">
        <f>VLOOKUP(D1144,Product_Lookup!$A$2:$C$27,2,FALSE)</f>
        <v>Jacket</v>
      </c>
      <c r="R1143" s="7">
        <f t="shared" si="138"/>
        <v>1945.98</v>
      </c>
    </row>
    <row r="1144" spans="1:18" ht="21.75" customHeight="1">
      <c r="A1144" t="s">
        <v>1295</v>
      </c>
      <c r="B1144" s="6">
        <v>45526</v>
      </c>
      <c r="C1144" t="s">
        <v>572</v>
      </c>
      <c r="D1144" t="s">
        <v>197</v>
      </c>
      <c r="E1144" t="s">
        <v>11</v>
      </c>
      <c r="F1144" t="s">
        <v>42</v>
      </c>
      <c r="G1144" t="s">
        <v>36</v>
      </c>
      <c r="H1144">
        <v>10</v>
      </c>
      <c r="I1144" t="str">
        <f>VLOOKUP(D1144,Product_Lookup!$A$2:$C$27,3,FALSE)</f>
        <v>$10.11</v>
      </c>
      <c r="J1144" t="str">
        <f t="shared" si="139"/>
        <v>Thursday</v>
      </c>
      <c r="K1144" s="10" t="str">
        <f t="shared" si="140"/>
        <v>August</v>
      </c>
      <c r="L1144">
        <f t="shared" si="141"/>
        <v>2024</v>
      </c>
      <c r="M1144" t="b">
        <f t="shared" si="142"/>
        <v>0</v>
      </c>
      <c r="N1144" t="b">
        <f t="shared" si="136"/>
        <v>0</v>
      </c>
      <c r="O1144" t="str">
        <f t="shared" si="143"/>
        <v>Standard order</v>
      </c>
      <c r="P1144" s="7">
        <f t="shared" si="137"/>
        <v>0.50549999999999995</v>
      </c>
      <c r="Q1144" s="7" t="str">
        <f>VLOOKUP(D1145,Product_Lookup!$A$2:$C$27,2,FALSE)</f>
        <v>Tablet</v>
      </c>
      <c r="R1144" s="7">
        <f t="shared" si="138"/>
        <v>101.1</v>
      </c>
    </row>
    <row r="1145" spans="1:18" ht="21.75" customHeight="1">
      <c r="A1145" t="s">
        <v>1296</v>
      </c>
      <c r="B1145" s="6">
        <v>45379</v>
      </c>
      <c r="C1145" t="s">
        <v>314</v>
      </c>
      <c r="D1145" t="s">
        <v>10</v>
      </c>
      <c r="E1145" t="s">
        <v>22</v>
      </c>
      <c r="F1145" t="s">
        <v>56</v>
      </c>
      <c r="G1145" t="s">
        <v>23</v>
      </c>
      <c r="H1145">
        <v>14</v>
      </c>
      <c r="I1145" t="str">
        <f>VLOOKUP(D1145,Product_Lookup!$A$2:$C$27,3,FALSE)</f>
        <v>$146.06</v>
      </c>
      <c r="J1145" t="str">
        <f t="shared" si="139"/>
        <v>Thursday</v>
      </c>
      <c r="K1145" s="10" t="str">
        <f t="shared" si="140"/>
        <v>March</v>
      </c>
      <c r="L1145">
        <f t="shared" si="141"/>
        <v>2024</v>
      </c>
      <c r="M1145" t="b">
        <f t="shared" si="142"/>
        <v>0</v>
      </c>
      <c r="N1145" t="b">
        <f t="shared" si="136"/>
        <v>1</v>
      </c>
      <c r="O1145" t="str">
        <f t="shared" si="143"/>
        <v>Large Order</v>
      </c>
      <c r="P1145" s="7">
        <f t="shared" si="137"/>
        <v>7.3030000000000008</v>
      </c>
      <c r="Q1145" s="7" t="str">
        <f>VLOOKUP(D1146,Product_Lookup!$A$2:$C$27,2,FALSE)</f>
        <v>Sweater</v>
      </c>
      <c r="R1145" s="7">
        <f t="shared" si="138"/>
        <v>2044.8400000000001</v>
      </c>
    </row>
    <row r="1146" spans="1:18" ht="21.75" customHeight="1">
      <c r="A1146" t="s">
        <v>1297</v>
      </c>
      <c r="B1146" s="6">
        <v>45402</v>
      </c>
      <c r="C1146" t="s">
        <v>449</v>
      </c>
      <c r="D1146" t="s">
        <v>26</v>
      </c>
      <c r="E1146" t="s">
        <v>17</v>
      </c>
      <c r="F1146" t="s">
        <v>27</v>
      </c>
      <c r="G1146" t="s">
        <v>28</v>
      </c>
      <c r="H1146">
        <v>1</v>
      </c>
      <c r="I1146" t="str">
        <f>VLOOKUP(D1146,Product_Lookup!$A$2:$C$27,3,FALSE)</f>
        <v>$84.57</v>
      </c>
      <c r="J1146" t="str">
        <f t="shared" si="139"/>
        <v>Saturday</v>
      </c>
      <c r="K1146" s="10" t="str">
        <f t="shared" si="140"/>
        <v>April</v>
      </c>
      <c r="L1146">
        <f t="shared" si="141"/>
        <v>2024</v>
      </c>
      <c r="M1146" t="b">
        <f t="shared" si="142"/>
        <v>1</v>
      </c>
      <c r="N1146" t="b">
        <f t="shared" si="136"/>
        <v>0</v>
      </c>
      <c r="O1146" t="str">
        <f t="shared" si="143"/>
        <v>Standard order</v>
      </c>
      <c r="P1146" s="7">
        <f t="shared" si="137"/>
        <v>4.2284999999999995</v>
      </c>
      <c r="Q1146" s="7" t="str">
        <f>VLOOKUP(D1147,Product_Lookup!$A$2:$C$27,2,FALSE)</f>
        <v>Jacket</v>
      </c>
      <c r="R1146" s="7">
        <f t="shared" si="138"/>
        <v>84.57</v>
      </c>
    </row>
    <row r="1147" spans="1:18" ht="21.75" customHeight="1">
      <c r="A1147" t="s">
        <v>1298</v>
      </c>
      <c r="B1147" s="6">
        <v>45418</v>
      </c>
      <c r="C1147" t="s">
        <v>187</v>
      </c>
      <c r="D1147" t="s">
        <v>197</v>
      </c>
      <c r="E1147" t="s">
        <v>17</v>
      </c>
      <c r="F1147" t="s">
        <v>306</v>
      </c>
      <c r="G1147" t="s">
        <v>36</v>
      </c>
      <c r="H1147">
        <v>19</v>
      </c>
      <c r="I1147" t="str">
        <f>VLOOKUP(D1147,Product_Lookup!$A$2:$C$27,3,FALSE)</f>
        <v>$10.11</v>
      </c>
      <c r="J1147" t="str">
        <f t="shared" si="139"/>
        <v>Monday</v>
      </c>
      <c r="K1147" s="10" t="str">
        <f t="shared" si="140"/>
        <v>May</v>
      </c>
      <c r="L1147">
        <f t="shared" si="141"/>
        <v>2024</v>
      </c>
      <c r="M1147" t="b">
        <f t="shared" si="142"/>
        <v>0</v>
      </c>
      <c r="N1147" t="b">
        <f t="shared" si="136"/>
        <v>0</v>
      </c>
      <c r="O1147" t="str">
        <f t="shared" si="143"/>
        <v>Standard order</v>
      </c>
      <c r="P1147" s="7">
        <f t="shared" si="137"/>
        <v>0.50549999999999995</v>
      </c>
      <c r="Q1147" s="7" t="str">
        <f>VLOOKUP(D1148,Product_Lookup!$A$2:$C$27,2,FALSE)</f>
        <v>Stapler</v>
      </c>
      <c r="R1147" s="7">
        <f t="shared" si="138"/>
        <v>192.08999999999997</v>
      </c>
    </row>
    <row r="1148" spans="1:18" ht="21.75" customHeight="1">
      <c r="A1148" t="s">
        <v>1299</v>
      </c>
      <c r="B1148" s="6">
        <v>45294</v>
      </c>
      <c r="C1148" t="s">
        <v>572</v>
      </c>
      <c r="D1148" t="s">
        <v>35</v>
      </c>
      <c r="E1148" t="s">
        <v>11</v>
      </c>
      <c r="F1148" t="s">
        <v>12</v>
      </c>
      <c r="G1148" t="s">
        <v>36</v>
      </c>
      <c r="H1148">
        <v>17</v>
      </c>
      <c r="I1148" t="str">
        <f>VLOOKUP(D1148,Product_Lookup!$A$2:$C$27,3,FALSE)</f>
        <v>$64.61</v>
      </c>
      <c r="J1148" t="str">
        <f t="shared" si="139"/>
        <v>Wednesday</v>
      </c>
      <c r="K1148" s="10" t="str">
        <f t="shared" si="140"/>
        <v>January</v>
      </c>
      <c r="L1148">
        <f t="shared" si="141"/>
        <v>2024</v>
      </c>
      <c r="M1148" t="b">
        <f t="shared" si="142"/>
        <v>0</v>
      </c>
      <c r="N1148" t="b">
        <f t="shared" si="136"/>
        <v>1</v>
      </c>
      <c r="O1148" t="str">
        <f t="shared" si="143"/>
        <v>Large Order</v>
      </c>
      <c r="P1148" s="7">
        <f t="shared" si="137"/>
        <v>3.2305000000000001</v>
      </c>
      <c r="Q1148" s="7" t="str">
        <f>VLOOKUP(D1149,Product_Lookup!$A$2:$C$27,2,FALSE)</f>
        <v>Air Fryer</v>
      </c>
      <c r="R1148" s="7">
        <f t="shared" si="138"/>
        <v>1098.3699999999999</v>
      </c>
    </row>
    <row r="1149" spans="1:18" ht="21.75" customHeight="1">
      <c r="A1149" t="s">
        <v>1300</v>
      </c>
      <c r="B1149" s="6">
        <v>45493</v>
      </c>
      <c r="C1149" t="s">
        <v>517</v>
      </c>
      <c r="D1149" t="s">
        <v>70</v>
      </c>
      <c r="E1149" t="s">
        <v>22</v>
      </c>
      <c r="F1149" t="s">
        <v>12</v>
      </c>
      <c r="G1149" t="s">
        <v>36</v>
      </c>
      <c r="H1149">
        <v>16</v>
      </c>
      <c r="I1149" t="str">
        <f>VLOOKUP(D1149,Product_Lookup!$A$2:$C$27,3,FALSE)</f>
        <v>$211.9</v>
      </c>
      <c r="J1149" t="str">
        <f t="shared" si="139"/>
        <v>Saturday</v>
      </c>
      <c r="K1149" s="10" t="str">
        <f t="shared" si="140"/>
        <v>July</v>
      </c>
      <c r="L1149">
        <f t="shared" si="141"/>
        <v>2024</v>
      </c>
      <c r="M1149" t="b">
        <f t="shared" si="142"/>
        <v>1</v>
      </c>
      <c r="N1149" t="b">
        <f t="shared" si="136"/>
        <v>1</v>
      </c>
      <c r="O1149" t="str">
        <f t="shared" si="143"/>
        <v>Large Order</v>
      </c>
      <c r="P1149" s="7">
        <f t="shared" si="137"/>
        <v>10.595000000000001</v>
      </c>
      <c r="Q1149" s="7" t="str">
        <f>VLOOKUP(D1150,Product_Lookup!$A$2:$C$27,2,FALSE)</f>
        <v>Jeans</v>
      </c>
      <c r="R1149" s="7">
        <f t="shared" si="138"/>
        <v>3390.4</v>
      </c>
    </row>
    <row r="1150" spans="1:18" ht="21.75" customHeight="1">
      <c r="A1150" t="s">
        <v>1301</v>
      </c>
      <c r="B1150" s="6">
        <v>45298</v>
      </c>
      <c r="C1150" t="s">
        <v>465</v>
      </c>
      <c r="D1150" t="s">
        <v>65</v>
      </c>
      <c r="E1150" t="s">
        <v>22</v>
      </c>
      <c r="F1150" t="s">
        <v>27</v>
      </c>
      <c r="G1150" t="s">
        <v>28</v>
      </c>
      <c r="H1150">
        <v>5</v>
      </c>
      <c r="I1150" t="str">
        <f>VLOOKUP(D1150,Product_Lookup!$A$2:$C$27,3,FALSE)</f>
        <v>$33.22</v>
      </c>
      <c r="J1150" t="str">
        <f t="shared" si="139"/>
        <v>Sunday</v>
      </c>
      <c r="K1150" s="10" t="str">
        <f t="shared" si="140"/>
        <v>January</v>
      </c>
      <c r="L1150">
        <f t="shared" si="141"/>
        <v>2024</v>
      </c>
      <c r="M1150" t="b">
        <f t="shared" si="142"/>
        <v>1</v>
      </c>
      <c r="N1150" t="b">
        <f t="shared" si="136"/>
        <v>0</v>
      </c>
      <c r="O1150" t="str">
        <f t="shared" si="143"/>
        <v>Standard order</v>
      </c>
      <c r="P1150" s="7">
        <f t="shared" si="137"/>
        <v>1.661</v>
      </c>
      <c r="Q1150" s="7" t="str">
        <f>VLOOKUP(D1151,Product_Lookup!$A$2:$C$27,2,FALSE)</f>
        <v>Board Game</v>
      </c>
      <c r="R1150" s="7">
        <f t="shared" si="138"/>
        <v>166.1</v>
      </c>
    </row>
    <row r="1151" spans="1:18" ht="21.75" customHeight="1">
      <c r="A1151" t="s">
        <v>1302</v>
      </c>
      <c r="B1151" s="6">
        <v>45623</v>
      </c>
      <c r="C1151" t="s">
        <v>203</v>
      </c>
      <c r="D1151" t="s">
        <v>41</v>
      </c>
      <c r="E1151" t="s">
        <v>11</v>
      </c>
      <c r="F1151" t="s">
        <v>27</v>
      </c>
      <c r="G1151" t="s">
        <v>23</v>
      </c>
      <c r="H1151">
        <v>10</v>
      </c>
      <c r="I1151" t="str">
        <f>VLOOKUP(D1151,Product_Lookup!$A$2:$C$27,3,FALSE)</f>
        <v>$86.6</v>
      </c>
      <c r="J1151" t="str">
        <f t="shared" si="139"/>
        <v>Wednesday</v>
      </c>
      <c r="K1151" s="10" t="str">
        <f t="shared" si="140"/>
        <v>November</v>
      </c>
      <c r="L1151">
        <f t="shared" si="141"/>
        <v>2024</v>
      </c>
      <c r="M1151" t="b">
        <f t="shared" si="142"/>
        <v>0</v>
      </c>
      <c r="N1151" t="b">
        <f t="shared" si="136"/>
        <v>1</v>
      </c>
      <c r="O1151" t="str">
        <f t="shared" si="143"/>
        <v>Large Order</v>
      </c>
      <c r="P1151" s="7">
        <f t="shared" si="137"/>
        <v>4.33</v>
      </c>
      <c r="Q1151" s="7" t="str">
        <f>VLOOKUP(D1152,Product_Lookup!$A$2:$C$27,2,FALSE)</f>
        <v>Air Fryer</v>
      </c>
      <c r="R1151" s="7">
        <f t="shared" si="138"/>
        <v>866</v>
      </c>
    </row>
    <row r="1152" spans="1:18" ht="21.75" customHeight="1">
      <c r="A1152" t="s">
        <v>1303</v>
      </c>
      <c r="B1152" s="6">
        <v>45584</v>
      </c>
      <c r="C1152" t="s">
        <v>323</v>
      </c>
      <c r="D1152" t="s">
        <v>70</v>
      </c>
      <c r="E1152" t="s">
        <v>22</v>
      </c>
      <c r="F1152" t="s">
        <v>12</v>
      </c>
      <c r="G1152" t="s">
        <v>23</v>
      </c>
      <c r="H1152">
        <v>15</v>
      </c>
      <c r="I1152" t="str">
        <f>VLOOKUP(D1152,Product_Lookup!$A$2:$C$27,3,FALSE)</f>
        <v>$211.9</v>
      </c>
      <c r="J1152" t="str">
        <f t="shared" si="139"/>
        <v>Saturday</v>
      </c>
      <c r="K1152" s="10" t="str">
        <f t="shared" si="140"/>
        <v>October</v>
      </c>
      <c r="L1152">
        <f t="shared" si="141"/>
        <v>2024</v>
      </c>
      <c r="M1152" t="b">
        <f t="shared" si="142"/>
        <v>1</v>
      </c>
      <c r="N1152" t="b">
        <f t="shared" si="136"/>
        <v>1</v>
      </c>
      <c r="O1152" t="str">
        <f t="shared" si="143"/>
        <v>Large Order</v>
      </c>
      <c r="P1152" s="7">
        <f t="shared" si="137"/>
        <v>10.595000000000001</v>
      </c>
      <c r="Q1152" s="7" t="str">
        <f>VLOOKUP(D1153,Product_Lookup!$A$2:$C$27,2,FALSE)</f>
        <v>Puzzle</v>
      </c>
      <c r="R1152" s="7">
        <f t="shared" si="138"/>
        <v>3178.5</v>
      </c>
    </row>
    <row r="1153" spans="1:18" ht="21.75" customHeight="1">
      <c r="A1153" t="s">
        <v>1304</v>
      </c>
      <c r="B1153" s="6">
        <v>45386</v>
      </c>
      <c r="C1153" t="s">
        <v>200</v>
      </c>
      <c r="D1153" t="s">
        <v>62</v>
      </c>
      <c r="E1153" t="s">
        <v>22</v>
      </c>
      <c r="F1153" t="s">
        <v>27</v>
      </c>
      <c r="G1153" t="s">
        <v>13</v>
      </c>
      <c r="H1153">
        <v>1</v>
      </c>
      <c r="I1153" t="str">
        <f>VLOOKUP(D1153,Product_Lookup!$A$2:$C$27,3,FALSE)</f>
        <v>$46.19</v>
      </c>
      <c r="J1153" t="str">
        <f t="shared" si="139"/>
        <v>Thursday</v>
      </c>
      <c r="K1153" s="10" t="str">
        <f t="shared" si="140"/>
        <v>April</v>
      </c>
      <c r="L1153">
        <f t="shared" si="141"/>
        <v>2024</v>
      </c>
      <c r="M1153" t="b">
        <f t="shared" si="142"/>
        <v>0</v>
      </c>
      <c r="N1153" t="b">
        <f t="shared" si="136"/>
        <v>0</v>
      </c>
      <c r="O1153" t="str">
        <f t="shared" si="143"/>
        <v>Standard order</v>
      </c>
      <c r="P1153" s="7">
        <f t="shared" si="137"/>
        <v>2.3094999999999999</v>
      </c>
      <c r="Q1153" s="7" t="str">
        <f>VLOOKUP(D1154,Product_Lookup!$A$2:$C$27,2,FALSE)</f>
        <v>Smartphone</v>
      </c>
      <c r="R1153" s="7">
        <f t="shared" si="138"/>
        <v>46.19</v>
      </c>
    </row>
    <row r="1154" spans="1:18" ht="21.75" customHeight="1">
      <c r="A1154" t="s">
        <v>1305</v>
      </c>
      <c r="B1154" s="6">
        <v>45489</v>
      </c>
      <c r="C1154" t="s">
        <v>465</v>
      </c>
      <c r="D1154" t="s">
        <v>79</v>
      </c>
      <c r="E1154" t="s">
        <v>17</v>
      </c>
      <c r="F1154" t="s">
        <v>306</v>
      </c>
      <c r="G1154" t="s">
        <v>32</v>
      </c>
      <c r="H1154">
        <v>10</v>
      </c>
      <c r="I1154" t="str">
        <f>VLOOKUP(D1154,Product_Lookup!$A$2:$C$27,3,FALSE)</f>
        <v>$216.22</v>
      </c>
      <c r="J1154" t="str">
        <f t="shared" si="139"/>
        <v>Tuesday</v>
      </c>
      <c r="K1154" s="10" t="str">
        <f t="shared" si="140"/>
        <v>July</v>
      </c>
      <c r="L1154">
        <f t="shared" si="141"/>
        <v>2024</v>
      </c>
      <c r="M1154" t="b">
        <f t="shared" si="142"/>
        <v>0</v>
      </c>
      <c r="N1154" t="b">
        <f t="shared" ref="N1154:N1217" si="144">AND(R1154&gt;750, H1154&gt;5)</f>
        <v>1</v>
      </c>
      <c r="O1154" t="str">
        <f t="shared" si="143"/>
        <v>Large Order</v>
      </c>
      <c r="P1154" s="7">
        <f t="shared" ref="P1154:P1217" si="145">I1154*$S$2</f>
        <v>10.811</v>
      </c>
      <c r="Q1154" s="7" t="str">
        <f>VLOOKUP(D1155,Product_Lookup!$A$2:$C$27,2,FALSE)</f>
        <v>Jeans</v>
      </c>
      <c r="R1154" s="7">
        <f t="shared" ref="R1154:R1217" si="146">H1154*I1154</f>
        <v>2162.1999999999998</v>
      </c>
    </row>
    <row r="1155" spans="1:18" ht="21.75" customHeight="1">
      <c r="A1155" t="s">
        <v>1306</v>
      </c>
      <c r="B1155" s="6">
        <v>45649</v>
      </c>
      <c r="C1155" t="s">
        <v>594</v>
      </c>
      <c r="D1155" t="s">
        <v>65</v>
      </c>
      <c r="E1155" t="s">
        <v>22</v>
      </c>
      <c r="F1155" t="s">
        <v>306</v>
      </c>
      <c r="G1155" t="s">
        <v>32</v>
      </c>
      <c r="H1155">
        <v>3</v>
      </c>
      <c r="I1155" t="str">
        <f>VLOOKUP(D1155,Product_Lookup!$A$2:$C$27,3,FALSE)</f>
        <v>$33.22</v>
      </c>
      <c r="J1155" t="str">
        <f t="shared" ref="J1155:J1218" si="147">TEXT(B1155, "dddd")</f>
        <v>Monday</v>
      </c>
      <c r="K1155" s="10" t="str">
        <f t="shared" ref="K1155:K1218" si="148">TEXT(B1155, "mmmm")</f>
        <v>December</v>
      </c>
      <c r="L1155">
        <f t="shared" ref="L1155:L1218" si="149">YEAR(B1155)</f>
        <v>2024</v>
      </c>
      <c r="M1155" t="b">
        <f t="shared" ref="M1155:M1218" si="150">OR(J1155="Saturday", J1155="Sunday")</f>
        <v>0</v>
      </c>
      <c r="N1155" t="b">
        <f t="shared" si="144"/>
        <v>0</v>
      </c>
      <c r="O1155" t="str">
        <f t="shared" ref="O1155:O1218" si="151">IF(R1155&gt;500,"Large Order","Standard order")</f>
        <v>Standard order</v>
      </c>
      <c r="P1155" s="7">
        <f t="shared" si="145"/>
        <v>1.661</v>
      </c>
      <c r="Q1155" s="7" t="str">
        <f>VLOOKUP(D1156,Product_Lookup!$A$2:$C$27,2,FALSE)</f>
        <v>Smartphone</v>
      </c>
      <c r="R1155" s="7">
        <f t="shared" si="146"/>
        <v>99.66</v>
      </c>
    </row>
    <row r="1156" spans="1:18" ht="21.75" customHeight="1">
      <c r="A1156" t="s">
        <v>1307</v>
      </c>
      <c r="B1156" s="6">
        <v>45320</v>
      </c>
      <c r="C1156" t="s">
        <v>345</v>
      </c>
      <c r="D1156" t="s">
        <v>79</v>
      </c>
      <c r="E1156" t="s">
        <v>22</v>
      </c>
      <c r="F1156" t="s">
        <v>42</v>
      </c>
      <c r="G1156" t="s">
        <v>23</v>
      </c>
      <c r="H1156">
        <v>4</v>
      </c>
      <c r="I1156" t="str">
        <f>VLOOKUP(D1156,Product_Lookup!$A$2:$C$27,3,FALSE)</f>
        <v>$216.22</v>
      </c>
      <c r="J1156" t="str">
        <f t="shared" si="147"/>
        <v>Monday</v>
      </c>
      <c r="K1156" s="10" t="str">
        <f t="shared" si="148"/>
        <v>January</v>
      </c>
      <c r="L1156">
        <f t="shared" si="149"/>
        <v>2024</v>
      </c>
      <c r="M1156" t="b">
        <f t="shared" si="150"/>
        <v>0</v>
      </c>
      <c r="N1156" t="b">
        <f t="shared" si="144"/>
        <v>0</v>
      </c>
      <c r="O1156" t="str">
        <f t="shared" si="151"/>
        <v>Large Order</v>
      </c>
      <c r="P1156" s="7">
        <f t="shared" si="145"/>
        <v>10.811</v>
      </c>
      <c r="Q1156" s="7" t="str">
        <f>VLOOKUP(D1157,Product_Lookup!$A$2:$C$27,2,FALSE)</f>
        <v>T-Shirt</v>
      </c>
      <c r="R1156" s="7">
        <f t="shared" si="146"/>
        <v>864.88</v>
      </c>
    </row>
    <row r="1157" spans="1:18" ht="21.75" customHeight="1">
      <c r="A1157" t="s">
        <v>1308</v>
      </c>
      <c r="B1157" s="6">
        <v>45608</v>
      </c>
      <c r="C1157" t="s">
        <v>116</v>
      </c>
      <c r="D1157" t="s">
        <v>45</v>
      </c>
      <c r="E1157" t="s">
        <v>17</v>
      </c>
      <c r="F1157" t="s">
        <v>42</v>
      </c>
      <c r="G1157" t="s">
        <v>36</v>
      </c>
      <c r="H1157">
        <v>18</v>
      </c>
      <c r="I1157" t="str">
        <f>VLOOKUP(D1157,Product_Lookup!$A$2:$C$27,3,FALSE)</f>
        <v>$107.34</v>
      </c>
      <c r="J1157" t="str">
        <f t="shared" si="147"/>
        <v>Tuesday</v>
      </c>
      <c r="K1157" s="10" t="str">
        <f t="shared" si="148"/>
        <v>November</v>
      </c>
      <c r="L1157">
        <f t="shared" si="149"/>
        <v>2024</v>
      </c>
      <c r="M1157" t="b">
        <f t="shared" si="150"/>
        <v>0</v>
      </c>
      <c r="N1157" t="b">
        <f t="shared" si="144"/>
        <v>1</v>
      </c>
      <c r="O1157" t="str">
        <f t="shared" si="151"/>
        <v>Large Order</v>
      </c>
      <c r="P1157" s="7">
        <f t="shared" si="145"/>
        <v>5.3670000000000009</v>
      </c>
      <c r="Q1157" s="7" t="str">
        <f>VLOOKUP(D1158,Product_Lookup!$A$2:$C$27,2,FALSE)</f>
        <v>Blender</v>
      </c>
      <c r="R1157" s="7">
        <f t="shared" si="146"/>
        <v>1932.1200000000001</v>
      </c>
    </row>
    <row r="1158" spans="1:18" ht="21.75" customHeight="1">
      <c r="A1158" t="s">
        <v>1309</v>
      </c>
      <c r="B1158" s="6">
        <v>45655</v>
      </c>
      <c r="C1158" t="s">
        <v>420</v>
      </c>
      <c r="D1158" t="s">
        <v>72</v>
      </c>
      <c r="E1158" t="s">
        <v>11</v>
      </c>
      <c r="F1158" t="s">
        <v>56</v>
      </c>
      <c r="G1158" t="s">
        <v>23</v>
      </c>
      <c r="H1158">
        <v>8</v>
      </c>
      <c r="I1158" t="str">
        <f>VLOOKUP(D1158,Product_Lookup!$A$2:$C$27,3,FALSE)</f>
        <v>$156.44</v>
      </c>
      <c r="J1158" t="str">
        <f t="shared" si="147"/>
        <v>Sunday</v>
      </c>
      <c r="K1158" s="10" t="str">
        <f t="shared" si="148"/>
        <v>December</v>
      </c>
      <c r="L1158">
        <f t="shared" si="149"/>
        <v>2024</v>
      </c>
      <c r="M1158" t="b">
        <f t="shared" si="150"/>
        <v>1</v>
      </c>
      <c r="N1158" t="b">
        <f t="shared" si="144"/>
        <v>1</v>
      </c>
      <c r="O1158" t="str">
        <f t="shared" si="151"/>
        <v>Large Order</v>
      </c>
      <c r="P1158" s="7">
        <f t="shared" si="145"/>
        <v>7.8220000000000001</v>
      </c>
      <c r="Q1158" s="7" t="str">
        <f>VLOOKUP(D1159,Product_Lookup!$A$2:$C$27,2,FALSE)</f>
        <v>Blender</v>
      </c>
      <c r="R1158" s="7">
        <f t="shared" si="146"/>
        <v>1251.52</v>
      </c>
    </row>
    <row r="1159" spans="1:18" ht="21.75" customHeight="1">
      <c r="A1159" t="s">
        <v>1310</v>
      </c>
      <c r="B1159" s="6">
        <v>45589</v>
      </c>
      <c r="C1159" t="s">
        <v>424</v>
      </c>
      <c r="D1159" t="s">
        <v>72</v>
      </c>
      <c r="E1159" t="s">
        <v>11</v>
      </c>
      <c r="F1159" t="s">
        <v>56</v>
      </c>
      <c r="G1159" t="s">
        <v>36</v>
      </c>
      <c r="H1159">
        <v>12</v>
      </c>
      <c r="I1159" t="str">
        <f>VLOOKUP(D1159,Product_Lookup!$A$2:$C$27,3,FALSE)</f>
        <v>$156.44</v>
      </c>
      <c r="J1159" t="str">
        <f t="shared" si="147"/>
        <v>Thursday</v>
      </c>
      <c r="K1159" s="10" t="str">
        <f t="shared" si="148"/>
        <v>October</v>
      </c>
      <c r="L1159">
        <f t="shared" si="149"/>
        <v>2024</v>
      </c>
      <c r="M1159" t="b">
        <f t="shared" si="150"/>
        <v>0</v>
      </c>
      <c r="N1159" t="b">
        <f t="shared" si="144"/>
        <v>1</v>
      </c>
      <c r="O1159" t="str">
        <f t="shared" si="151"/>
        <v>Large Order</v>
      </c>
      <c r="P1159" s="7">
        <f t="shared" si="145"/>
        <v>7.8220000000000001</v>
      </c>
      <c r="Q1159" s="7" t="str">
        <f>VLOOKUP(D1160,Product_Lookup!$A$2:$C$27,2,FALSE)</f>
        <v>Tablet</v>
      </c>
      <c r="R1159" s="7">
        <f t="shared" si="146"/>
        <v>1877.28</v>
      </c>
    </row>
    <row r="1160" spans="1:18" ht="21.75" customHeight="1">
      <c r="A1160" t="s">
        <v>1311</v>
      </c>
      <c r="B1160" s="6">
        <v>45640</v>
      </c>
      <c r="C1160" t="s">
        <v>309</v>
      </c>
      <c r="D1160" t="s">
        <v>10</v>
      </c>
      <c r="E1160" t="s">
        <v>17</v>
      </c>
      <c r="F1160" t="s">
        <v>12</v>
      </c>
      <c r="G1160" t="s">
        <v>23</v>
      </c>
      <c r="H1160">
        <v>12</v>
      </c>
      <c r="I1160" t="str">
        <f>VLOOKUP(D1160,Product_Lookup!$A$2:$C$27,3,FALSE)</f>
        <v>$146.06</v>
      </c>
      <c r="J1160" t="str">
        <f t="shared" si="147"/>
        <v>Saturday</v>
      </c>
      <c r="K1160" s="10" t="str">
        <f t="shared" si="148"/>
        <v>December</v>
      </c>
      <c r="L1160">
        <f t="shared" si="149"/>
        <v>2024</v>
      </c>
      <c r="M1160" t="b">
        <f t="shared" si="150"/>
        <v>1</v>
      </c>
      <c r="N1160" t="b">
        <f t="shared" si="144"/>
        <v>1</v>
      </c>
      <c r="O1160" t="str">
        <f t="shared" si="151"/>
        <v>Large Order</v>
      </c>
      <c r="P1160" s="7">
        <f t="shared" si="145"/>
        <v>7.3030000000000008</v>
      </c>
      <c r="Q1160" s="7" t="str">
        <f>VLOOKUP(D1161,Product_Lookup!$A$2:$C$27,2,FALSE)</f>
        <v>Puzzle</v>
      </c>
      <c r="R1160" s="7">
        <f t="shared" si="146"/>
        <v>1752.72</v>
      </c>
    </row>
    <row r="1161" spans="1:18" ht="21.75" customHeight="1">
      <c r="A1161" t="s">
        <v>1312</v>
      </c>
      <c r="B1161" s="6">
        <v>45548</v>
      </c>
      <c r="C1161" t="s">
        <v>339</v>
      </c>
      <c r="D1161" t="s">
        <v>62</v>
      </c>
      <c r="E1161" t="s">
        <v>11</v>
      </c>
      <c r="F1161" t="s">
        <v>27</v>
      </c>
      <c r="G1161" t="s">
        <v>36</v>
      </c>
      <c r="H1161">
        <v>18</v>
      </c>
      <c r="I1161" t="str">
        <f>VLOOKUP(D1161,Product_Lookup!$A$2:$C$27,3,FALSE)</f>
        <v>$46.19</v>
      </c>
      <c r="J1161" t="str">
        <f t="shared" si="147"/>
        <v>Friday</v>
      </c>
      <c r="K1161" s="10" t="str">
        <f t="shared" si="148"/>
        <v>September</v>
      </c>
      <c r="L1161">
        <f t="shared" si="149"/>
        <v>2024</v>
      </c>
      <c r="M1161" t="b">
        <f t="shared" si="150"/>
        <v>0</v>
      </c>
      <c r="N1161" t="b">
        <f t="shared" si="144"/>
        <v>1</v>
      </c>
      <c r="O1161" t="str">
        <f t="shared" si="151"/>
        <v>Large Order</v>
      </c>
      <c r="P1161" s="7">
        <f t="shared" si="145"/>
        <v>2.3094999999999999</v>
      </c>
      <c r="Q1161" s="7" t="str">
        <f>VLOOKUP(D1162,Product_Lookup!$A$2:$C$27,2,FALSE)</f>
        <v>Board Game</v>
      </c>
      <c r="R1161" s="7">
        <f t="shared" si="146"/>
        <v>831.42</v>
      </c>
    </row>
    <row r="1162" spans="1:18" ht="21.75" customHeight="1">
      <c r="A1162" t="s">
        <v>1313</v>
      </c>
      <c r="B1162" s="6">
        <v>45441</v>
      </c>
      <c r="C1162" t="s">
        <v>430</v>
      </c>
      <c r="D1162" t="s">
        <v>41</v>
      </c>
      <c r="E1162" t="s">
        <v>22</v>
      </c>
      <c r="F1162" t="s">
        <v>42</v>
      </c>
      <c r="G1162" t="s">
        <v>23</v>
      </c>
      <c r="H1162">
        <v>3</v>
      </c>
      <c r="I1162" t="str">
        <f>VLOOKUP(D1162,Product_Lookup!$A$2:$C$27,3,FALSE)</f>
        <v>$86.6</v>
      </c>
      <c r="J1162" t="str">
        <f t="shared" si="147"/>
        <v>Wednesday</v>
      </c>
      <c r="K1162" s="10" t="str">
        <f t="shared" si="148"/>
        <v>May</v>
      </c>
      <c r="L1162">
        <f t="shared" si="149"/>
        <v>2024</v>
      </c>
      <c r="M1162" t="b">
        <f t="shared" si="150"/>
        <v>0</v>
      </c>
      <c r="N1162" t="b">
        <f t="shared" si="144"/>
        <v>0</v>
      </c>
      <c r="O1162" t="str">
        <f t="shared" si="151"/>
        <v>Standard order</v>
      </c>
      <c r="P1162" s="7">
        <f t="shared" si="145"/>
        <v>4.33</v>
      </c>
      <c r="Q1162" s="7" t="str">
        <f>VLOOKUP(D1163,Product_Lookup!$A$2:$C$27,2,FALSE)</f>
        <v>Socks</v>
      </c>
      <c r="R1162" s="7">
        <f t="shared" si="146"/>
        <v>259.79999999999995</v>
      </c>
    </row>
    <row r="1163" spans="1:18" ht="21.75" customHeight="1">
      <c r="A1163" t="s">
        <v>1314</v>
      </c>
      <c r="B1163" s="6">
        <v>45336</v>
      </c>
      <c r="C1163" t="s">
        <v>81</v>
      </c>
      <c r="D1163" t="s">
        <v>74</v>
      </c>
      <c r="E1163" t="s">
        <v>17</v>
      </c>
      <c r="F1163" t="s">
        <v>56</v>
      </c>
      <c r="G1163" t="s">
        <v>32</v>
      </c>
      <c r="H1163">
        <v>3</v>
      </c>
      <c r="I1163" t="str">
        <f>VLOOKUP(D1163,Product_Lookup!$A$2:$C$27,3,FALSE)</f>
        <v>$201.32</v>
      </c>
      <c r="J1163" t="str">
        <f t="shared" si="147"/>
        <v>Wednesday</v>
      </c>
      <c r="K1163" s="10" t="str">
        <f t="shared" si="148"/>
        <v>February</v>
      </c>
      <c r="L1163">
        <f t="shared" si="149"/>
        <v>2024</v>
      </c>
      <c r="M1163" t="b">
        <f t="shared" si="150"/>
        <v>0</v>
      </c>
      <c r="N1163" t="b">
        <f t="shared" si="144"/>
        <v>0</v>
      </c>
      <c r="O1163" t="str">
        <f t="shared" si="151"/>
        <v>Large Order</v>
      </c>
      <c r="P1163" s="7">
        <f t="shared" si="145"/>
        <v>10.066000000000001</v>
      </c>
      <c r="Q1163" s="7" t="str">
        <f>VLOOKUP(D1164,Product_Lookup!$A$2:$C$27,2,FALSE)</f>
        <v>Headphones</v>
      </c>
      <c r="R1163" s="7">
        <f t="shared" si="146"/>
        <v>603.96</v>
      </c>
    </row>
    <row r="1164" spans="1:18" ht="21.75" customHeight="1">
      <c r="A1164" t="s">
        <v>1315</v>
      </c>
      <c r="B1164" s="6">
        <v>45349</v>
      </c>
      <c r="C1164" t="s">
        <v>424</v>
      </c>
      <c r="D1164" t="s">
        <v>16</v>
      </c>
      <c r="E1164" t="s">
        <v>11</v>
      </c>
      <c r="F1164" t="s">
        <v>27</v>
      </c>
      <c r="G1164" t="s">
        <v>13</v>
      </c>
      <c r="H1164">
        <v>7</v>
      </c>
      <c r="I1164" t="str">
        <f>VLOOKUP(D1164,Product_Lookup!$A$2:$C$27,3,FALSE)</f>
        <v>$178.83</v>
      </c>
      <c r="J1164" t="str">
        <f t="shared" si="147"/>
        <v>Tuesday</v>
      </c>
      <c r="K1164" s="10" t="str">
        <f t="shared" si="148"/>
        <v>February</v>
      </c>
      <c r="L1164">
        <f t="shared" si="149"/>
        <v>2024</v>
      </c>
      <c r="M1164" t="b">
        <f t="shared" si="150"/>
        <v>0</v>
      </c>
      <c r="N1164" t="b">
        <f t="shared" si="144"/>
        <v>1</v>
      </c>
      <c r="O1164" t="str">
        <f t="shared" si="151"/>
        <v>Large Order</v>
      </c>
      <c r="P1164" s="7">
        <f t="shared" si="145"/>
        <v>8.9415000000000013</v>
      </c>
      <c r="Q1164" s="7" t="str">
        <f>VLOOKUP(D1165,Product_Lookup!$A$2:$C$27,2,FALSE)</f>
        <v>Headphones</v>
      </c>
      <c r="R1164" s="7">
        <f t="shared" si="146"/>
        <v>1251.8100000000002</v>
      </c>
    </row>
    <row r="1165" spans="1:18" ht="21.75" customHeight="1">
      <c r="A1165" t="s">
        <v>1316</v>
      </c>
      <c r="B1165" s="6">
        <v>45442</v>
      </c>
      <c r="C1165" t="s">
        <v>572</v>
      </c>
      <c r="D1165" t="s">
        <v>16</v>
      </c>
      <c r="E1165" t="s">
        <v>22</v>
      </c>
      <c r="F1165" t="s">
        <v>306</v>
      </c>
      <c r="G1165" t="s">
        <v>23</v>
      </c>
      <c r="H1165">
        <v>16</v>
      </c>
      <c r="I1165" t="str">
        <f>VLOOKUP(D1165,Product_Lookup!$A$2:$C$27,3,FALSE)</f>
        <v>$178.83</v>
      </c>
      <c r="J1165" t="str">
        <f t="shared" si="147"/>
        <v>Thursday</v>
      </c>
      <c r="K1165" s="10" t="str">
        <f t="shared" si="148"/>
        <v>May</v>
      </c>
      <c r="L1165">
        <f t="shared" si="149"/>
        <v>2024</v>
      </c>
      <c r="M1165" t="b">
        <f t="shared" si="150"/>
        <v>0</v>
      </c>
      <c r="N1165" t="b">
        <f t="shared" si="144"/>
        <v>1</v>
      </c>
      <c r="O1165" t="str">
        <f t="shared" si="151"/>
        <v>Large Order</v>
      </c>
      <c r="P1165" s="7">
        <f t="shared" si="145"/>
        <v>8.9415000000000013</v>
      </c>
      <c r="Q1165" s="7" t="str">
        <f>VLOOKUP(D1166,Product_Lookup!$A$2:$C$27,2,FALSE)</f>
        <v>Tablet</v>
      </c>
      <c r="R1165" s="7">
        <f t="shared" si="146"/>
        <v>2861.28</v>
      </c>
    </row>
    <row r="1166" spans="1:18" ht="21.75" customHeight="1">
      <c r="A1166" t="s">
        <v>1317</v>
      </c>
      <c r="B1166" s="6">
        <v>45622</v>
      </c>
      <c r="C1166" t="s">
        <v>138</v>
      </c>
      <c r="D1166" t="s">
        <v>10</v>
      </c>
      <c r="E1166" t="s">
        <v>17</v>
      </c>
      <c r="F1166" t="s">
        <v>56</v>
      </c>
      <c r="G1166" t="s">
        <v>28</v>
      </c>
      <c r="H1166">
        <v>1</v>
      </c>
      <c r="I1166" t="str">
        <f>VLOOKUP(D1166,Product_Lookup!$A$2:$C$27,3,FALSE)</f>
        <v>$146.06</v>
      </c>
      <c r="J1166" t="str">
        <f t="shared" si="147"/>
        <v>Tuesday</v>
      </c>
      <c r="K1166" s="10" t="str">
        <f t="shared" si="148"/>
        <v>November</v>
      </c>
      <c r="L1166">
        <f t="shared" si="149"/>
        <v>2024</v>
      </c>
      <c r="M1166" t="b">
        <f t="shared" si="150"/>
        <v>0</v>
      </c>
      <c r="N1166" t="b">
        <f t="shared" si="144"/>
        <v>0</v>
      </c>
      <c r="O1166" t="str">
        <f t="shared" si="151"/>
        <v>Standard order</v>
      </c>
      <c r="P1166" s="7">
        <f t="shared" si="145"/>
        <v>7.3030000000000008</v>
      </c>
      <c r="Q1166" s="7" t="str">
        <f>VLOOKUP(D1167,Product_Lookup!$A$2:$C$27,2,FALSE)</f>
        <v>Desk Lamp</v>
      </c>
      <c r="R1166" s="7">
        <f t="shared" si="146"/>
        <v>146.06</v>
      </c>
    </row>
    <row r="1167" spans="1:18" ht="21.75" customHeight="1">
      <c r="A1167" t="s">
        <v>1318</v>
      </c>
      <c r="B1167" s="6">
        <v>45558</v>
      </c>
      <c r="C1167" t="s">
        <v>736</v>
      </c>
      <c r="D1167" t="s">
        <v>59</v>
      </c>
      <c r="E1167" t="s">
        <v>17</v>
      </c>
      <c r="F1167" t="s">
        <v>27</v>
      </c>
      <c r="G1167" t="s">
        <v>32</v>
      </c>
      <c r="H1167">
        <v>11</v>
      </c>
      <c r="I1167" t="str">
        <f>VLOOKUP(D1167,Product_Lookup!$A$2:$C$27,3,FALSE)</f>
        <v>$101.96</v>
      </c>
      <c r="J1167" t="str">
        <f t="shared" si="147"/>
        <v>Monday</v>
      </c>
      <c r="K1167" s="10" t="str">
        <f t="shared" si="148"/>
        <v>September</v>
      </c>
      <c r="L1167">
        <f t="shared" si="149"/>
        <v>2024</v>
      </c>
      <c r="M1167" t="b">
        <f t="shared" si="150"/>
        <v>0</v>
      </c>
      <c r="N1167" t="b">
        <f t="shared" si="144"/>
        <v>1</v>
      </c>
      <c r="O1167" t="str">
        <f t="shared" si="151"/>
        <v>Large Order</v>
      </c>
      <c r="P1167" s="7">
        <f t="shared" si="145"/>
        <v>5.0979999999999999</v>
      </c>
      <c r="Q1167" s="7" t="str">
        <f>VLOOKUP(D1168,Product_Lookup!$A$2:$C$27,2,FALSE)</f>
        <v>Pen Set</v>
      </c>
      <c r="R1167" s="7">
        <f t="shared" si="146"/>
        <v>1121.56</v>
      </c>
    </row>
    <row r="1168" spans="1:18" ht="21.75" customHeight="1">
      <c r="A1168" t="s">
        <v>1319</v>
      </c>
      <c r="B1168" s="6">
        <v>45540</v>
      </c>
      <c r="C1168" t="s">
        <v>449</v>
      </c>
      <c r="D1168" t="s">
        <v>174</v>
      </c>
      <c r="E1168" t="s">
        <v>22</v>
      </c>
      <c r="F1168" t="s">
        <v>306</v>
      </c>
      <c r="G1168" t="s">
        <v>36</v>
      </c>
      <c r="H1168">
        <v>15</v>
      </c>
      <c r="I1168" t="str">
        <f>VLOOKUP(D1168,Product_Lookup!$A$2:$C$27,3,FALSE)</f>
        <v>$133.37</v>
      </c>
      <c r="J1168" t="str">
        <f t="shared" si="147"/>
        <v>Thursday</v>
      </c>
      <c r="K1168" s="10" t="str">
        <f t="shared" si="148"/>
        <v>September</v>
      </c>
      <c r="L1168">
        <f t="shared" si="149"/>
        <v>2024</v>
      </c>
      <c r="M1168" t="b">
        <f t="shared" si="150"/>
        <v>0</v>
      </c>
      <c r="N1168" t="b">
        <f t="shared" si="144"/>
        <v>1</v>
      </c>
      <c r="O1168" t="str">
        <f t="shared" si="151"/>
        <v>Large Order</v>
      </c>
      <c r="P1168" s="7">
        <f t="shared" si="145"/>
        <v>6.6685000000000008</v>
      </c>
      <c r="Q1168" s="7" t="str">
        <f>VLOOKUP(D1169,Product_Lookup!$A$2:$C$27,2,FALSE)</f>
        <v>Jacket</v>
      </c>
      <c r="R1168" s="7">
        <f t="shared" si="146"/>
        <v>2000.5500000000002</v>
      </c>
    </row>
    <row r="1169" spans="1:18" ht="21.75" customHeight="1">
      <c r="A1169" t="s">
        <v>1320</v>
      </c>
      <c r="B1169" s="6">
        <v>45359</v>
      </c>
      <c r="C1169" t="s">
        <v>147</v>
      </c>
      <c r="D1169" t="s">
        <v>197</v>
      </c>
      <c r="E1169" t="s">
        <v>11</v>
      </c>
      <c r="F1169" t="s">
        <v>42</v>
      </c>
      <c r="G1169" t="s">
        <v>32</v>
      </c>
      <c r="H1169">
        <v>16</v>
      </c>
      <c r="I1169" t="str">
        <f>VLOOKUP(D1169,Product_Lookup!$A$2:$C$27,3,FALSE)</f>
        <v>$10.11</v>
      </c>
      <c r="J1169" t="str">
        <f t="shared" si="147"/>
        <v>Friday</v>
      </c>
      <c r="K1169" s="10" t="str">
        <f t="shared" si="148"/>
        <v>March</v>
      </c>
      <c r="L1169">
        <f t="shared" si="149"/>
        <v>2024</v>
      </c>
      <c r="M1169" t="b">
        <f t="shared" si="150"/>
        <v>0</v>
      </c>
      <c r="N1169" t="b">
        <f t="shared" si="144"/>
        <v>0</v>
      </c>
      <c r="O1169" t="str">
        <f t="shared" si="151"/>
        <v>Standard order</v>
      </c>
      <c r="P1169" s="7">
        <f t="shared" si="145"/>
        <v>0.50549999999999995</v>
      </c>
      <c r="Q1169" s="7" t="str">
        <f>VLOOKUP(D1170,Product_Lookup!$A$2:$C$27,2,FALSE)</f>
        <v>Air Fryer</v>
      </c>
      <c r="R1169" s="7">
        <f t="shared" si="146"/>
        <v>161.76</v>
      </c>
    </row>
    <row r="1170" spans="1:18" ht="21.75" customHeight="1">
      <c r="A1170" t="s">
        <v>1321</v>
      </c>
      <c r="B1170" s="6">
        <v>45316</v>
      </c>
      <c r="C1170" t="s">
        <v>167</v>
      </c>
      <c r="D1170" t="s">
        <v>70</v>
      </c>
      <c r="E1170" t="s">
        <v>17</v>
      </c>
      <c r="F1170" t="s">
        <v>42</v>
      </c>
      <c r="G1170" t="s">
        <v>28</v>
      </c>
      <c r="H1170">
        <v>6</v>
      </c>
      <c r="I1170" t="str">
        <f>VLOOKUP(D1170,Product_Lookup!$A$2:$C$27,3,FALSE)</f>
        <v>$211.9</v>
      </c>
      <c r="J1170" t="str">
        <f t="shared" si="147"/>
        <v>Thursday</v>
      </c>
      <c r="K1170" s="10" t="str">
        <f t="shared" si="148"/>
        <v>January</v>
      </c>
      <c r="L1170">
        <f t="shared" si="149"/>
        <v>2024</v>
      </c>
      <c r="M1170" t="b">
        <f t="shared" si="150"/>
        <v>0</v>
      </c>
      <c r="N1170" t="b">
        <f t="shared" si="144"/>
        <v>1</v>
      </c>
      <c r="O1170" t="str">
        <f t="shared" si="151"/>
        <v>Large Order</v>
      </c>
      <c r="P1170" s="7">
        <f t="shared" si="145"/>
        <v>10.595000000000001</v>
      </c>
      <c r="Q1170" s="7" t="str">
        <f>VLOOKUP(D1171,Product_Lookup!$A$2:$C$27,2,FALSE)</f>
        <v>T-Shirt</v>
      </c>
      <c r="R1170" s="7">
        <f t="shared" si="146"/>
        <v>1271.4000000000001</v>
      </c>
    </row>
    <row r="1171" spans="1:18" ht="21.75" customHeight="1">
      <c r="A1171" t="s">
        <v>1322</v>
      </c>
      <c r="B1171" s="6">
        <v>45656</v>
      </c>
      <c r="C1171" t="s">
        <v>312</v>
      </c>
      <c r="D1171" t="s">
        <v>45</v>
      </c>
      <c r="E1171" t="s">
        <v>17</v>
      </c>
      <c r="F1171" t="s">
        <v>56</v>
      </c>
      <c r="G1171" t="s">
        <v>13</v>
      </c>
      <c r="H1171">
        <v>5</v>
      </c>
      <c r="I1171" t="str">
        <f>VLOOKUP(D1171,Product_Lookup!$A$2:$C$27,3,FALSE)</f>
        <v>$107.34</v>
      </c>
      <c r="J1171" t="str">
        <f t="shared" si="147"/>
        <v>Monday</v>
      </c>
      <c r="K1171" s="10" t="str">
        <f t="shared" si="148"/>
        <v>December</v>
      </c>
      <c r="L1171">
        <f t="shared" si="149"/>
        <v>2024</v>
      </c>
      <c r="M1171" t="b">
        <f t="shared" si="150"/>
        <v>0</v>
      </c>
      <c r="N1171" t="b">
        <f t="shared" si="144"/>
        <v>0</v>
      </c>
      <c r="O1171" t="str">
        <f t="shared" si="151"/>
        <v>Large Order</v>
      </c>
      <c r="P1171" s="7">
        <f t="shared" si="145"/>
        <v>5.3670000000000009</v>
      </c>
      <c r="Q1171" s="7" t="str">
        <f>VLOOKUP(D1172,Product_Lookup!$A$2:$C$27,2,FALSE)</f>
        <v>Air Fryer</v>
      </c>
      <c r="R1171" s="7">
        <f t="shared" si="146"/>
        <v>536.70000000000005</v>
      </c>
    </row>
    <row r="1172" spans="1:18" ht="21.75" customHeight="1">
      <c r="A1172" t="s">
        <v>1323</v>
      </c>
      <c r="B1172" s="6">
        <v>45313</v>
      </c>
      <c r="C1172" t="s">
        <v>38</v>
      </c>
      <c r="D1172" t="s">
        <v>70</v>
      </c>
      <c r="E1172" t="s">
        <v>22</v>
      </c>
      <c r="F1172" t="s">
        <v>56</v>
      </c>
      <c r="G1172" t="s">
        <v>28</v>
      </c>
      <c r="H1172">
        <v>9</v>
      </c>
      <c r="I1172" t="str">
        <f>VLOOKUP(D1172,Product_Lookup!$A$2:$C$27,3,FALSE)</f>
        <v>$211.9</v>
      </c>
      <c r="J1172" t="str">
        <f t="shared" si="147"/>
        <v>Monday</v>
      </c>
      <c r="K1172" s="10" t="str">
        <f t="shared" si="148"/>
        <v>January</v>
      </c>
      <c r="L1172">
        <f t="shared" si="149"/>
        <v>2024</v>
      </c>
      <c r="M1172" t="b">
        <f t="shared" si="150"/>
        <v>0</v>
      </c>
      <c r="N1172" t="b">
        <f t="shared" si="144"/>
        <v>1</v>
      </c>
      <c r="O1172" t="str">
        <f t="shared" si="151"/>
        <v>Large Order</v>
      </c>
      <c r="P1172" s="7">
        <f t="shared" si="145"/>
        <v>10.595000000000001</v>
      </c>
      <c r="Q1172" s="7" t="str">
        <f>VLOOKUP(D1173,Product_Lookup!$A$2:$C$27,2,FALSE)</f>
        <v>Toaster</v>
      </c>
      <c r="R1172" s="7">
        <f t="shared" si="146"/>
        <v>1907.1000000000001</v>
      </c>
    </row>
    <row r="1173" spans="1:18" ht="21.75" customHeight="1">
      <c r="A1173" t="s">
        <v>1324</v>
      </c>
      <c r="B1173" s="6">
        <v>45579</v>
      </c>
      <c r="C1173" t="s">
        <v>369</v>
      </c>
      <c r="D1173" t="s">
        <v>48</v>
      </c>
      <c r="E1173" t="s">
        <v>11</v>
      </c>
      <c r="F1173" t="s">
        <v>42</v>
      </c>
      <c r="G1173" t="s">
        <v>36</v>
      </c>
      <c r="H1173">
        <v>5</v>
      </c>
      <c r="I1173" t="str">
        <f>VLOOKUP(D1173,Product_Lookup!$A$2:$C$27,3,FALSE)</f>
        <v>$208.85</v>
      </c>
      <c r="J1173" t="str">
        <f t="shared" si="147"/>
        <v>Monday</v>
      </c>
      <c r="K1173" s="10" t="str">
        <f t="shared" si="148"/>
        <v>October</v>
      </c>
      <c r="L1173">
        <f t="shared" si="149"/>
        <v>2024</v>
      </c>
      <c r="M1173" t="b">
        <f t="shared" si="150"/>
        <v>0</v>
      </c>
      <c r="N1173" t="b">
        <f t="shared" si="144"/>
        <v>0</v>
      </c>
      <c r="O1173" t="str">
        <f t="shared" si="151"/>
        <v>Large Order</v>
      </c>
      <c r="P1173" s="7">
        <f t="shared" si="145"/>
        <v>10.442500000000001</v>
      </c>
      <c r="Q1173" s="7" t="str">
        <f>VLOOKUP(D1174,Product_Lookup!$A$2:$C$27,2,FALSE)</f>
        <v>Laptop</v>
      </c>
      <c r="R1173" s="7">
        <f t="shared" si="146"/>
        <v>1044.25</v>
      </c>
    </row>
    <row r="1174" spans="1:18" ht="21.75" customHeight="1">
      <c r="A1174" t="s">
        <v>1325</v>
      </c>
      <c r="B1174" s="6">
        <v>45375</v>
      </c>
      <c r="C1174" t="s">
        <v>312</v>
      </c>
      <c r="D1174" t="s">
        <v>96</v>
      </c>
      <c r="E1174" t="s">
        <v>17</v>
      </c>
      <c r="F1174" t="s">
        <v>12</v>
      </c>
      <c r="G1174" t="s">
        <v>28</v>
      </c>
      <c r="H1174">
        <v>13</v>
      </c>
      <c r="I1174" t="str">
        <f>VLOOKUP(D1174,Product_Lookup!$A$2:$C$27,3,FALSE)</f>
        <v>$230.68</v>
      </c>
      <c r="J1174" t="str">
        <f t="shared" si="147"/>
        <v>Sunday</v>
      </c>
      <c r="K1174" s="10" t="str">
        <f t="shared" si="148"/>
        <v>March</v>
      </c>
      <c r="L1174">
        <f t="shared" si="149"/>
        <v>2024</v>
      </c>
      <c r="M1174" t="b">
        <f t="shared" si="150"/>
        <v>1</v>
      </c>
      <c r="N1174" t="b">
        <f t="shared" si="144"/>
        <v>1</v>
      </c>
      <c r="O1174" t="str">
        <f t="shared" si="151"/>
        <v>Large Order</v>
      </c>
      <c r="P1174" s="7">
        <f t="shared" si="145"/>
        <v>11.534000000000001</v>
      </c>
      <c r="Q1174" s="7" t="str">
        <f>VLOOKUP(D1175,Product_Lookup!$A$2:$C$27,2,FALSE)</f>
        <v>Lego Set</v>
      </c>
      <c r="R1174" s="7">
        <f t="shared" si="146"/>
        <v>2998.84</v>
      </c>
    </row>
    <row r="1175" spans="1:18" ht="21.75" customHeight="1">
      <c r="A1175" t="s">
        <v>1326</v>
      </c>
      <c r="B1175" s="6">
        <v>45526</v>
      </c>
      <c r="C1175" t="s">
        <v>38</v>
      </c>
      <c r="D1175" t="s">
        <v>84</v>
      </c>
      <c r="E1175" t="s">
        <v>11</v>
      </c>
      <c r="F1175" t="s">
        <v>12</v>
      </c>
      <c r="G1175" t="s">
        <v>32</v>
      </c>
      <c r="H1175">
        <v>18</v>
      </c>
      <c r="I1175" t="str">
        <f>VLOOKUP(D1175,Product_Lookup!$A$2:$C$27,3,FALSE)</f>
        <v>$130.07</v>
      </c>
      <c r="J1175" t="str">
        <f t="shared" si="147"/>
        <v>Thursday</v>
      </c>
      <c r="K1175" s="10" t="str">
        <f t="shared" si="148"/>
        <v>August</v>
      </c>
      <c r="L1175">
        <f t="shared" si="149"/>
        <v>2024</v>
      </c>
      <c r="M1175" t="b">
        <f t="shared" si="150"/>
        <v>0</v>
      </c>
      <c r="N1175" t="b">
        <f t="shared" si="144"/>
        <v>1</v>
      </c>
      <c r="O1175" t="str">
        <f t="shared" si="151"/>
        <v>Large Order</v>
      </c>
      <c r="P1175" s="7">
        <f t="shared" si="145"/>
        <v>6.5034999999999998</v>
      </c>
      <c r="Q1175" s="7" t="str">
        <f>VLOOKUP(D1176,Product_Lookup!$A$2:$C$27,2,FALSE)</f>
        <v>Socks</v>
      </c>
      <c r="R1175" s="7">
        <f t="shared" si="146"/>
        <v>2341.2599999999998</v>
      </c>
    </row>
    <row r="1176" spans="1:18" ht="21.75" customHeight="1">
      <c r="A1176" t="s">
        <v>1327</v>
      </c>
      <c r="B1176" s="6">
        <v>45623</v>
      </c>
      <c r="C1176" t="s">
        <v>369</v>
      </c>
      <c r="D1176" t="s">
        <v>74</v>
      </c>
      <c r="E1176" t="s">
        <v>17</v>
      </c>
      <c r="F1176" t="s">
        <v>27</v>
      </c>
      <c r="G1176" t="s">
        <v>36</v>
      </c>
      <c r="H1176">
        <v>19</v>
      </c>
      <c r="I1176" t="str">
        <f>VLOOKUP(D1176,Product_Lookup!$A$2:$C$27,3,FALSE)</f>
        <v>$201.32</v>
      </c>
      <c r="J1176" t="str">
        <f t="shared" si="147"/>
        <v>Wednesday</v>
      </c>
      <c r="K1176" s="10" t="str">
        <f t="shared" si="148"/>
        <v>November</v>
      </c>
      <c r="L1176">
        <f t="shared" si="149"/>
        <v>2024</v>
      </c>
      <c r="M1176" t="b">
        <f t="shared" si="150"/>
        <v>0</v>
      </c>
      <c r="N1176" t="b">
        <f t="shared" si="144"/>
        <v>1</v>
      </c>
      <c r="O1176" t="str">
        <f t="shared" si="151"/>
        <v>Large Order</v>
      </c>
      <c r="P1176" s="7">
        <f t="shared" si="145"/>
        <v>10.066000000000001</v>
      </c>
      <c r="Q1176" s="7" t="str">
        <f>VLOOKUP(D1177,Product_Lookup!$A$2:$C$27,2,FALSE)</f>
        <v>Lego Set</v>
      </c>
      <c r="R1176" s="7">
        <f t="shared" si="146"/>
        <v>3825.08</v>
      </c>
    </row>
    <row r="1177" spans="1:18" ht="21.75" customHeight="1">
      <c r="A1177" t="s">
        <v>1328</v>
      </c>
      <c r="B1177" s="6">
        <v>45518</v>
      </c>
      <c r="C1177" t="s">
        <v>47</v>
      </c>
      <c r="D1177" t="s">
        <v>84</v>
      </c>
      <c r="E1177" t="s">
        <v>22</v>
      </c>
      <c r="F1177" t="s">
        <v>12</v>
      </c>
      <c r="G1177" t="s">
        <v>28</v>
      </c>
      <c r="H1177">
        <v>16</v>
      </c>
      <c r="I1177" t="str">
        <f>VLOOKUP(D1177,Product_Lookup!$A$2:$C$27,3,FALSE)</f>
        <v>$130.07</v>
      </c>
      <c r="J1177" t="str">
        <f t="shared" si="147"/>
        <v>Wednesday</v>
      </c>
      <c r="K1177" s="10" t="str">
        <f t="shared" si="148"/>
        <v>August</v>
      </c>
      <c r="L1177">
        <f t="shared" si="149"/>
        <v>2024</v>
      </c>
      <c r="M1177" t="b">
        <f t="shared" si="150"/>
        <v>0</v>
      </c>
      <c r="N1177" t="b">
        <f t="shared" si="144"/>
        <v>1</v>
      </c>
      <c r="O1177" t="str">
        <f t="shared" si="151"/>
        <v>Large Order</v>
      </c>
      <c r="P1177" s="7">
        <f t="shared" si="145"/>
        <v>6.5034999999999998</v>
      </c>
      <c r="Q1177" s="7" t="str">
        <f>VLOOKUP(D1178,Product_Lookup!$A$2:$C$27,2,FALSE)</f>
        <v>Laptop</v>
      </c>
      <c r="R1177" s="7">
        <f t="shared" si="146"/>
        <v>2081.12</v>
      </c>
    </row>
    <row r="1178" spans="1:18" ht="21.75" customHeight="1">
      <c r="A1178" t="s">
        <v>1329</v>
      </c>
      <c r="B1178" s="6">
        <v>45639</v>
      </c>
      <c r="C1178" t="s">
        <v>378</v>
      </c>
      <c r="D1178" t="s">
        <v>96</v>
      </c>
      <c r="E1178" t="s">
        <v>11</v>
      </c>
      <c r="F1178" t="s">
        <v>42</v>
      </c>
      <c r="G1178" t="s">
        <v>28</v>
      </c>
      <c r="H1178">
        <v>13</v>
      </c>
      <c r="I1178" t="str">
        <f>VLOOKUP(D1178,Product_Lookup!$A$2:$C$27,3,FALSE)</f>
        <v>$230.68</v>
      </c>
      <c r="J1178" t="str">
        <f t="shared" si="147"/>
        <v>Friday</v>
      </c>
      <c r="K1178" s="10" t="str">
        <f t="shared" si="148"/>
        <v>December</v>
      </c>
      <c r="L1178">
        <f t="shared" si="149"/>
        <v>2024</v>
      </c>
      <c r="M1178" t="b">
        <f t="shared" si="150"/>
        <v>0</v>
      </c>
      <c r="N1178" t="b">
        <f t="shared" si="144"/>
        <v>1</v>
      </c>
      <c r="O1178" t="str">
        <f t="shared" si="151"/>
        <v>Large Order</v>
      </c>
      <c r="P1178" s="7">
        <f t="shared" si="145"/>
        <v>11.534000000000001</v>
      </c>
      <c r="Q1178" s="7" t="str">
        <f>VLOOKUP(D1179,Product_Lookup!$A$2:$C$27,2,FALSE)</f>
        <v>Smartphone</v>
      </c>
      <c r="R1178" s="7">
        <f t="shared" si="146"/>
        <v>2998.84</v>
      </c>
    </row>
    <row r="1179" spans="1:18" ht="21.75" customHeight="1">
      <c r="A1179" t="s">
        <v>1330</v>
      </c>
      <c r="B1179" s="6">
        <v>45520</v>
      </c>
      <c r="C1179" t="s">
        <v>182</v>
      </c>
      <c r="D1179" t="s">
        <v>79</v>
      </c>
      <c r="E1179" t="s">
        <v>11</v>
      </c>
      <c r="F1179" t="s">
        <v>42</v>
      </c>
      <c r="G1179" t="s">
        <v>36</v>
      </c>
      <c r="H1179">
        <v>20</v>
      </c>
      <c r="I1179" t="str">
        <f>VLOOKUP(D1179,Product_Lookup!$A$2:$C$27,3,FALSE)</f>
        <v>$216.22</v>
      </c>
      <c r="J1179" t="str">
        <f t="shared" si="147"/>
        <v>Friday</v>
      </c>
      <c r="K1179" s="10" t="str">
        <f t="shared" si="148"/>
        <v>August</v>
      </c>
      <c r="L1179">
        <f t="shared" si="149"/>
        <v>2024</v>
      </c>
      <c r="M1179" t="b">
        <f t="shared" si="150"/>
        <v>0</v>
      </c>
      <c r="N1179" t="b">
        <f t="shared" si="144"/>
        <v>1</v>
      </c>
      <c r="O1179" t="str">
        <f t="shared" si="151"/>
        <v>Large Order</v>
      </c>
      <c r="P1179" s="7">
        <f t="shared" si="145"/>
        <v>10.811</v>
      </c>
      <c r="Q1179" s="7" t="str">
        <f>VLOOKUP(D1180,Product_Lookup!$A$2:$C$27,2,FALSE)</f>
        <v>Laptop</v>
      </c>
      <c r="R1179" s="7">
        <f t="shared" si="146"/>
        <v>4324.3999999999996</v>
      </c>
    </row>
    <row r="1180" spans="1:18" ht="21.75" customHeight="1">
      <c r="A1180" t="s">
        <v>1331</v>
      </c>
      <c r="B1180" s="6">
        <v>45561</v>
      </c>
      <c r="C1180" t="s">
        <v>240</v>
      </c>
      <c r="D1180" t="s">
        <v>96</v>
      </c>
      <c r="E1180" t="s">
        <v>17</v>
      </c>
      <c r="F1180" t="s">
        <v>56</v>
      </c>
      <c r="G1180" t="s">
        <v>23</v>
      </c>
      <c r="H1180">
        <v>3</v>
      </c>
      <c r="I1180" t="str">
        <f>VLOOKUP(D1180,Product_Lookup!$A$2:$C$27,3,FALSE)</f>
        <v>$230.68</v>
      </c>
      <c r="J1180" t="str">
        <f t="shared" si="147"/>
        <v>Thursday</v>
      </c>
      <c r="K1180" s="10" t="str">
        <f t="shared" si="148"/>
        <v>September</v>
      </c>
      <c r="L1180">
        <f t="shared" si="149"/>
        <v>2024</v>
      </c>
      <c r="M1180" t="b">
        <f t="shared" si="150"/>
        <v>0</v>
      </c>
      <c r="N1180" t="b">
        <f t="shared" si="144"/>
        <v>0</v>
      </c>
      <c r="O1180" t="str">
        <f t="shared" si="151"/>
        <v>Large Order</v>
      </c>
      <c r="P1180" s="7">
        <f t="shared" si="145"/>
        <v>11.534000000000001</v>
      </c>
      <c r="Q1180" s="7" t="str">
        <f>VLOOKUP(D1181,Product_Lookup!$A$2:$C$27,2,FALSE)</f>
        <v>Coffee Maker</v>
      </c>
      <c r="R1180" s="7">
        <f t="shared" si="146"/>
        <v>692.04</v>
      </c>
    </row>
    <row r="1181" spans="1:18" ht="21.75" customHeight="1">
      <c r="A1181" t="s">
        <v>1332</v>
      </c>
      <c r="B1181" s="6">
        <v>45638</v>
      </c>
      <c r="C1181" t="s">
        <v>317</v>
      </c>
      <c r="D1181" t="s">
        <v>31</v>
      </c>
      <c r="E1181" t="s">
        <v>11</v>
      </c>
      <c r="F1181" t="s">
        <v>306</v>
      </c>
      <c r="G1181" t="s">
        <v>36</v>
      </c>
      <c r="H1181">
        <v>7</v>
      </c>
      <c r="I1181" t="str">
        <f>VLOOKUP(D1181,Product_Lookup!$A$2:$C$27,3,FALSE)</f>
        <v>$230.34</v>
      </c>
      <c r="J1181" t="str">
        <f t="shared" si="147"/>
        <v>Thursday</v>
      </c>
      <c r="K1181" s="10" t="str">
        <f t="shared" si="148"/>
        <v>December</v>
      </c>
      <c r="L1181">
        <f t="shared" si="149"/>
        <v>2024</v>
      </c>
      <c r="M1181" t="b">
        <f t="shared" si="150"/>
        <v>0</v>
      </c>
      <c r="N1181" t="b">
        <f t="shared" si="144"/>
        <v>1</v>
      </c>
      <c r="O1181" t="str">
        <f t="shared" si="151"/>
        <v>Large Order</v>
      </c>
      <c r="P1181" s="7">
        <f t="shared" si="145"/>
        <v>11.517000000000001</v>
      </c>
      <c r="Q1181" s="7" t="str">
        <f>VLOOKUP(D1182,Product_Lookup!$A$2:$C$27,2,FALSE)</f>
        <v>Coffee Maker</v>
      </c>
      <c r="R1181" s="7">
        <f t="shared" si="146"/>
        <v>1612.38</v>
      </c>
    </row>
    <row r="1182" spans="1:18" ht="21.75" customHeight="1">
      <c r="A1182" t="s">
        <v>1333</v>
      </c>
      <c r="B1182" s="6">
        <v>45601</v>
      </c>
      <c r="C1182" t="s">
        <v>345</v>
      </c>
      <c r="D1182" t="s">
        <v>31</v>
      </c>
      <c r="E1182" t="s">
        <v>11</v>
      </c>
      <c r="F1182" t="s">
        <v>42</v>
      </c>
      <c r="G1182" t="s">
        <v>23</v>
      </c>
      <c r="H1182">
        <v>5</v>
      </c>
      <c r="I1182" t="str">
        <f>VLOOKUP(D1182,Product_Lookup!$A$2:$C$27,3,FALSE)</f>
        <v>$230.34</v>
      </c>
      <c r="J1182" t="str">
        <f t="shared" si="147"/>
        <v>Tuesday</v>
      </c>
      <c r="K1182" s="10" t="str">
        <f t="shared" si="148"/>
        <v>November</v>
      </c>
      <c r="L1182">
        <f t="shared" si="149"/>
        <v>2024</v>
      </c>
      <c r="M1182" t="b">
        <f t="shared" si="150"/>
        <v>0</v>
      </c>
      <c r="N1182" t="b">
        <f t="shared" si="144"/>
        <v>0</v>
      </c>
      <c r="O1182" t="str">
        <f t="shared" si="151"/>
        <v>Large Order</v>
      </c>
      <c r="P1182" s="7">
        <f t="shared" si="145"/>
        <v>11.517000000000001</v>
      </c>
      <c r="Q1182" s="7" t="str">
        <f>VLOOKUP(D1183,Product_Lookup!$A$2:$C$27,2,FALSE)</f>
        <v>Socks</v>
      </c>
      <c r="R1182" s="7">
        <f t="shared" si="146"/>
        <v>1151.7</v>
      </c>
    </row>
    <row r="1183" spans="1:18" ht="21.75" customHeight="1">
      <c r="A1183" t="s">
        <v>1334</v>
      </c>
      <c r="B1183" s="6">
        <v>45481</v>
      </c>
      <c r="C1183" t="s">
        <v>53</v>
      </c>
      <c r="D1183" t="s">
        <v>74</v>
      </c>
      <c r="E1183" t="s">
        <v>17</v>
      </c>
      <c r="F1183" t="s">
        <v>12</v>
      </c>
      <c r="G1183" t="s">
        <v>23</v>
      </c>
      <c r="H1183">
        <v>12</v>
      </c>
      <c r="I1183" t="str">
        <f>VLOOKUP(D1183,Product_Lookup!$A$2:$C$27,3,FALSE)</f>
        <v>$201.32</v>
      </c>
      <c r="J1183" t="str">
        <f t="shared" si="147"/>
        <v>Monday</v>
      </c>
      <c r="K1183" s="10" t="str">
        <f t="shared" si="148"/>
        <v>July</v>
      </c>
      <c r="L1183">
        <f t="shared" si="149"/>
        <v>2024</v>
      </c>
      <c r="M1183" t="b">
        <f t="shared" si="150"/>
        <v>0</v>
      </c>
      <c r="N1183" t="b">
        <f t="shared" si="144"/>
        <v>1</v>
      </c>
      <c r="O1183" t="str">
        <f t="shared" si="151"/>
        <v>Large Order</v>
      </c>
      <c r="P1183" s="7">
        <f t="shared" si="145"/>
        <v>10.066000000000001</v>
      </c>
      <c r="Q1183" s="7" t="str">
        <f>VLOOKUP(D1184,Product_Lookup!$A$2:$C$27,2,FALSE)</f>
        <v>Lego Set</v>
      </c>
      <c r="R1183" s="7">
        <f t="shared" si="146"/>
        <v>2415.84</v>
      </c>
    </row>
    <row r="1184" spans="1:18" ht="21.75" customHeight="1">
      <c r="A1184" t="s">
        <v>1335</v>
      </c>
      <c r="B1184" s="6">
        <v>45579</v>
      </c>
      <c r="C1184" t="s">
        <v>203</v>
      </c>
      <c r="D1184" t="s">
        <v>84</v>
      </c>
      <c r="E1184" t="s">
        <v>11</v>
      </c>
      <c r="F1184" t="s">
        <v>27</v>
      </c>
      <c r="G1184" t="s">
        <v>32</v>
      </c>
      <c r="H1184">
        <v>14</v>
      </c>
      <c r="I1184" t="str">
        <f>VLOOKUP(D1184,Product_Lookup!$A$2:$C$27,3,FALSE)</f>
        <v>$130.07</v>
      </c>
      <c r="J1184" t="str">
        <f t="shared" si="147"/>
        <v>Monday</v>
      </c>
      <c r="K1184" s="10" t="str">
        <f t="shared" si="148"/>
        <v>October</v>
      </c>
      <c r="L1184">
        <f t="shared" si="149"/>
        <v>2024</v>
      </c>
      <c r="M1184" t="b">
        <f t="shared" si="150"/>
        <v>0</v>
      </c>
      <c r="N1184" t="b">
        <f t="shared" si="144"/>
        <v>1</v>
      </c>
      <c r="O1184" t="str">
        <f t="shared" si="151"/>
        <v>Large Order</v>
      </c>
      <c r="P1184" s="7">
        <f t="shared" si="145"/>
        <v>6.5034999999999998</v>
      </c>
      <c r="Q1184" s="7" t="str">
        <f>VLOOKUP(D1185,Product_Lookup!$A$2:$C$27,2,FALSE)</f>
        <v>Headphones</v>
      </c>
      <c r="R1184" s="7">
        <f t="shared" si="146"/>
        <v>1820.98</v>
      </c>
    </row>
    <row r="1185" spans="1:18" ht="21.75" customHeight="1">
      <c r="A1185" t="s">
        <v>1336</v>
      </c>
      <c r="B1185" s="6">
        <v>45375</v>
      </c>
      <c r="C1185" t="s">
        <v>388</v>
      </c>
      <c r="D1185" t="s">
        <v>16</v>
      </c>
      <c r="E1185" t="s">
        <v>17</v>
      </c>
      <c r="F1185" t="s">
        <v>27</v>
      </c>
      <c r="G1185" t="s">
        <v>28</v>
      </c>
      <c r="H1185">
        <v>19</v>
      </c>
      <c r="I1185" t="str">
        <f>VLOOKUP(D1185,Product_Lookup!$A$2:$C$27,3,FALSE)</f>
        <v>$178.83</v>
      </c>
      <c r="J1185" t="str">
        <f t="shared" si="147"/>
        <v>Sunday</v>
      </c>
      <c r="K1185" s="10" t="str">
        <f t="shared" si="148"/>
        <v>March</v>
      </c>
      <c r="L1185">
        <f t="shared" si="149"/>
        <v>2024</v>
      </c>
      <c r="M1185" t="b">
        <f t="shared" si="150"/>
        <v>1</v>
      </c>
      <c r="N1185" t="b">
        <f t="shared" si="144"/>
        <v>1</v>
      </c>
      <c r="O1185" t="str">
        <f t="shared" si="151"/>
        <v>Large Order</v>
      </c>
      <c r="P1185" s="7">
        <f t="shared" si="145"/>
        <v>8.9415000000000013</v>
      </c>
      <c r="Q1185" s="7" t="str">
        <f>VLOOKUP(D1186,Product_Lookup!$A$2:$C$27,2,FALSE)</f>
        <v>Blender</v>
      </c>
      <c r="R1185" s="7">
        <f t="shared" si="146"/>
        <v>3397.7700000000004</v>
      </c>
    </row>
    <row r="1186" spans="1:18" ht="21.75" customHeight="1">
      <c r="A1186" t="s">
        <v>1337</v>
      </c>
      <c r="B1186" s="6">
        <v>45398</v>
      </c>
      <c r="C1186" t="s">
        <v>68</v>
      </c>
      <c r="D1186" t="s">
        <v>72</v>
      </c>
      <c r="E1186" t="s">
        <v>17</v>
      </c>
      <c r="F1186" t="s">
        <v>306</v>
      </c>
      <c r="G1186" t="s">
        <v>36</v>
      </c>
      <c r="H1186">
        <v>3</v>
      </c>
      <c r="I1186" t="str">
        <f>VLOOKUP(D1186,Product_Lookup!$A$2:$C$27,3,FALSE)</f>
        <v>$156.44</v>
      </c>
      <c r="J1186" t="str">
        <f t="shared" si="147"/>
        <v>Tuesday</v>
      </c>
      <c r="K1186" s="10" t="str">
        <f t="shared" si="148"/>
        <v>April</v>
      </c>
      <c r="L1186">
        <f t="shared" si="149"/>
        <v>2024</v>
      </c>
      <c r="M1186" t="b">
        <f t="shared" si="150"/>
        <v>0</v>
      </c>
      <c r="N1186" t="b">
        <f t="shared" si="144"/>
        <v>0</v>
      </c>
      <c r="O1186" t="str">
        <f t="shared" si="151"/>
        <v>Standard order</v>
      </c>
      <c r="P1186" s="7">
        <f t="shared" si="145"/>
        <v>7.8220000000000001</v>
      </c>
      <c r="Q1186" s="7" t="str">
        <f>VLOOKUP(D1187,Product_Lookup!$A$2:$C$27,2,FALSE)</f>
        <v>Action Figure</v>
      </c>
      <c r="R1186" s="7">
        <f t="shared" si="146"/>
        <v>469.32</v>
      </c>
    </row>
    <row r="1187" spans="1:18" ht="21.75" customHeight="1">
      <c r="A1187" t="s">
        <v>1338</v>
      </c>
      <c r="B1187" s="6">
        <v>45484</v>
      </c>
      <c r="C1187" t="s">
        <v>203</v>
      </c>
      <c r="D1187" t="s">
        <v>21</v>
      </c>
      <c r="E1187" t="s">
        <v>11</v>
      </c>
      <c r="F1187" t="s">
        <v>27</v>
      </c>
      <c r="G1187" t="s">
        <v>36</v>
      </c>
      <c r="H1187">
        <v>9</v>
      </c>
      <c r="I1187" t="str">
        <f>VLOOKUP(D1187,Product_Lookup!$A$2:$C$27,3,FALSE)</f>
        <v>$88.18</v>
      </c>
      <c r="J1187" t="str">
        <f t="shared" si="147"/>
        <v>Thursday</v>
      </c>
      <c r="K1187" s="10" t="str">
        <f t="shared" si="148"/>
        <v>July</v>
      </c>
      <c r="L1187">
        <f t="shared" si="149"/>
        <v>2024</v>
      </c>
      <c r="M1187" t="b">
        <f t="shared" si="150"/>
        <v>0</v>
      </c>
      <c r="N1187" t="b">
        <f t="shared" si="144"/>
        <v>1</v>
      </c>
      <c r="O1187" t="str">
        <f t="shared" si="151"/>
        <v>Large Order</v>
      </c>
      <c r="P1187" s="7">
        <f t="shared" si="145"/>
        <v>4.4090000000000007</v>
      </c>
      <c r="Q1187" s="7" t="str">
        <f>VLOOKUP(D1188,Product_Lookup!$A$2:$C$27,2,FALSE)</f>
        <v>Jeans</v>
      </c>
      <c r="R1187" s="7">
        <f t="shared" si="146"/>
        <v>793.62000000000012</v>
      </c>
    </row>
    <row r="1188" spans="1:18" ht="21.75" customHeight="1">
      <c r="A1188" t="s">
        <v>1339</v>
      </c>
      <c r="B1188" s="6">
        <v>45528</v>
      </c>
      <c r="C1188" t="s">
        <v>369</v>
      </c>
      <c r="D1188" t="s">
        <v>65</v>
      </c>
      <c r="E1188" t="s">
        <v>22</v>
      </c>
      <c r="F1188" t="s">
        <v>56</v>
      </c>
      <c r="G1188" t="s">
        <v>32</v>
      </c>
      <c r="H1188">
        <v>6</v>
      </c>
      <c r="I1188" t="str">
        <f>VLOOKUP(D1188,Product_Lookup!$A$2:$C$27,3,FALSE)</f>
        <v>$33.22</v>
      </c>
      <c r="J1188" t="str">
        <f t="shared" si="147"/>
        <v>Saturday</v>
      </c>
      <c r="K1188" s="10" t="str">
        <f t="shared" si="148"/>
        <v>August</v>
      </c>
      <c r="L1188">
        <f t="shared" si="149"/>
        <v>2024</v>
      </c>
      <c r="M1188" t="b">
        <f t="shared" si="150"/>
        <v>1</v>
      </c>
      <c r="N1188" t="b">
        <f t="shared" si="144"/>
        <v>0</v>
      </c>
      <c r="O1188" t="str">
        <f t="shared" si="151"/>
        <v>Standard order</v>
      </c>
      <c r="P1188" s="7">
        <f t="shared" si="145"/>
        <v>1.661</v>
      </c>
      <c r="Q1188" s="7" t="str">
        <f>VLOOKUP(D1189,Product_Lookup!$A$2:$C$27,2,FALSE)</f>
        <v>Desk Lamp</v>
      </c>
      <c r="R1188" s="7">
        <f t="shared" si="146"/>
        <v>199.32</v>
      </c>
    </row>
    <row r="1189" spans="1:18" ht="21.75" customHeight="1">
      <c r="A1189" t="s">
        <v>1340</v>
      </c>
      <c r="B1189" s="6">
        <v>45575</v>
      </c>
      <c r="C1189" t="s">
        <v>374</v>
      </c>
      <c r="D1189" t="s">
        <v>59</v>
      </c>
      <c r="E1189" t="s">
        <v>11</v>
      </c>
      <c r="F1189" t="s">
        <v>42</v>
      </c>
      <c r="G1189" t="s">
        <v>23</v>
      </c>
      <c r="H1189">
        <v>10</v>
      </c>
      <c r="I1189" t="str">
        <f>VLOOKUP(D1189,Product_Lookup!$A$2:$C$27,3,FALSE)</f>
        <v>$101.96</v>
      </c>
      <c r="J1189" t="str">
        <f t="shared" si="147"/>
        <v>Thursday</v>
      </c>
      <c r="K1189" s="10" t="str">
        <f t="shared" si="148"/>
        <v>October</v>
      </c>
      <c r="L1189">
        <f t="shared" si="149"/>
        <v>2024</v>
      </c>
      <c r="M1189" t="b">
        <f t="shared" si="150"/>
        <v>0</v>
      </c>
      <c r="N1189" t="b">
        <f t="shared" si="144"/>
        <v>1</v>
      </c>
      <c r="O1189" t="str">
        <f t="shared" si="151"/>
        <v>Large Order</v>
      </c>
      <c r="P1189" s="7">
        <f t="shared" si="145"/>
        <v>5.0979999999999999</v>
      </c>
      <c r="Q1189" s="7" t="str">
        <f>VLOOKUP(D1190,Product_Lookup!$A$2:$C$27,2,FALSE)</f>
        <v>Sweater</v>
      </c>
      <c r="R1189" s="7">
        <f t="shared" si="146"/>
        <v>1019.5999999999999</v>
      </c>
    </row>
    <row r="1190" spans="1:18" ht="21.75" customHeight="1">
      <c r="A1190" t="s">
        <v>1341</v>
      </c>
      <c r="B1190" s="6">
        <v>45406</v>
      </c>
      <c r="C1190" t="s">
        <v>64</v>
      </c>
      <c r="D1190" t="s">
        <v>26</v>
      </c>
      <c r="E1190" t="s">
        <v>11</v>
      </c>
      <c r="F1190" t="s">
        <v>56</v>
      </c>
      <c r="G1190" t="s">
        <v>23</v>
      </c>
      <c r="H1190">
        <v>10</v>
      </c>
      <c r="I1190" t="str">
        <f>VLOOKUP(D1190,Product_Lookup!$A$2:$C$27,3,FALSE)</f>
        <v>$84.57</v>
      </c>
      <c r="J1190" t="str">
        <f t="shared" si="147"/>
        <v>Wednesday</v>
      </c>
      <c r="K1190" s="10" t="str">
        <f t="shared" si="148"/>
        <v>April</v>
      </c>
      <c r="L1190">
        <f t="shared" si="149"/>
        <v>2024</v>
      </c>
      <c r="M1190" t="b">
        <f t="shared" si="150"/>
        <v>0</v>
      </c>
      <c r="N1190" t="b">
        <f t="shared" si="144"/>
        <v>1</v>
      </c>
      <c r="O1190" t="str">
        <f t="shared" si="151"/>
        <v>Large Order</v>
      </c>
      <c r="P1190" s="7">
        <f t="shared" si="145"/>
        <v>4.2284999999999995</v>
      </c>
      <c r="Q1190" s="7" t="str">
        <f>VLOOKUP(D1191,Product_Lookup!$A$2:$C$27,2,FALSE)</f>
        <v>Vacuum</v>
      </c>
      <c r="R1190" s="7">
        <f t="shared" si="146"/>
        <v>845.69999999999993</v>
      </c>
    </row>
    <row r="1191" spans="1:18" ht="21.75" customHeight="1">
      <c r="A1191" t="s">
        <v>1342</v>
      </c>
      <c r="B1191" s="6">
        <v>45355</v>
      </c>
      <c r="C1191" t="s">
        <v>350</v>
      </c>
      <c r="D1191" t="s">
        <v>87</v>
      </c>
      <c r="E1191" t="s">
        <v>22</v>
      </c>
      <c r="F1191" t="s">
        <v>42</v>
      </c>
      <c r="G1191" t="s">
        <v>28</v>
      </c>
      <c r="H1191">
        <v>6</v>
      </c>
      <c r="I1191" t="str">
        <f>VLOOKUP(D1191,Product_Lookup!$A$2:$C$27,3,FALSE)</f>
        <v>$26.59</v>
      </c>
      <c r="J1191" t="str">
        <f t="shared" si="147"/>
        <v>Monday</v>
      </c>
      <c r="K1191" s="10" t="str">
        <f t="shared" si="148"/>
        <v>March</v>
      </c>
      <c r="L1191">
        <f t="shared" si="149"/>
        <v>2024</v>
      </c>
      <c r="M1191" t="b">
        <f t="shared" si="150"/>
        <v>0</v>
      </c>
      <c r="N1191" t="b">
        <f t="shared" si="144"/>
        <v>0</v>
      </c>
      <c r="O1191" t="str">
        <f t="shared" si="151"/>
        <v>Standard order</v>
      </c>
      <c r="P1191" s="7">
        <f t="shared" si="145"/>
        <v>1.3295000000000001</v>
      </c>
      <c r="Q1191" s="7" t="str">
        <f>VLOOKUP(D1192,Product_Lookup!$A$2:$C$27,2,FALSE)</f>
        <v>Tablet</v>
      </c>
      <c r="R1191" s="7">
        <f t="shared" si="146"/>
        <v>159.54</v>
      </c>
    </row>
    <row r="1192" spans="1:18" ht="21.75" customHeight="1">
      <c r="A1192" t="s">
        <v>1343</v>
      </c>
      <c r="B1192" s="6">
        <v>45306</v>
      </c>
      <c r="C1192" t="s">
        <v>114</v>
      </c>
      <c r="D1192" t="s">
        <v>10</v>
      </c>
      <c r="E1192" t="s">
        <v>17</v>
      </c>
      <c r="F1192" t="s">
        <v>27</v>
      </c>
      <c r="G1192" t="s">
        <v>36</v>
      </c>
      <c r="H1192">
        <v>20</v>
      </c>
      <c r="I1192" t="str">
        <f>VLOOKUP(D1192,Product_Lookup!$A$2:$C$27,3,FALSE)</f>
        <v>$146.06</v>
      </c>
      <c r="J1192" t="str">
        <f t="shared" si="147"/>
        <v>Monday</v>
      </c>
      <c r="K1192" s="10" t="str">
        <f t="shared" si="148"/>
        <v>January</v>
      </c>
      <c r="L1192">
        <f t="shared" si="149"/>
        <v>2024</v>
      </c>
      <c r="M1192" t="b">
        <f t="shared" si="150"/>
        <v>0</v>
      </c>
      <c r="N1192" t="b">
        <f t="shared" si="144"/>
        <v>1</v>
      </c>
      <c r="O1192" t="str">
        <f t="shared" si="151"/>
        <v>Large Order</v>
      </c>
      <c r="P1192" s="7">
        <f t="shared" si="145"/>
        <v>7.3030000000000008</v>
      </c>
      <c r="Q1192" s="7" t="str">
        <f>VLOOKUP(D1193,Product_Lookup!$A$2:$C$27,2,FALSE)</f>
        <v>Action Figure</v>
      </c>
      <c r="R1192" s="7">
        <f t="shared" si="146"/>
        <v>2921.2</v>
      </c>
    </row>
    <row r="1193" spans="1:18" ht="21.75" customHeight="1">
      <c r="A1193" t="s">
        <v>1344</v>
      </c>
      <c r="B1193" s="6">
        <v>45538</v>
      </c>
      <c r="C1193" t="s">
        <v>614</v>
      </c>
      <c r="D1193" t="s">
        <v>21</v>
      </c>
      <c r="E1193" t="s">
        <v>17</v>
      </c>
      <c r="F1193" t="s">
        <v>42</v>
      </c>
      <c r="G1193" t="s">
        <v>13</v>
      </c>
      <c r="H1193">
        <v>16</v>
      </c>
      <c r="I1193" t="str">
        <f>VLOOKUP(D1193,Product_Lookup!$A$2:$C$27,3,FALSE)</f>
        <v>$88.18</v>
      </c>
      <c r="J1193" t="str">
        <f t="shared" si="147"/>
        <v>Tuesday</v>
      </c>
      <c r="K1193" s="10" t="str">
        <f t="shared" si="148"/>
        <v>September</v>
      </c>
      <c r="L1193">
        <f t="shared" si="149"/>
        <v>2024</v>
      </c>
      <c r="M1193" t="b">
        <f t="shared" si="150"/>
        <v>0</v>
      </c>
      <c r="N1193" t="b">
        <f t="shared" si="144"/>
        <v>1</v>
      </c>
      <c r="O1193" t="str">
        <f t="shared" si="151"/>
        <v>Large Order</v>
      </c>
      <c r="P1193" s="7">
        <f t="shared" si="145"/>
        <v>4.4090000000000007</v>
      </c>
      <c r="Q1193" s="7" t="str">
        <f>VLOOKUP(D1194,Product_Lookup!$A$2:$C$27,2,FALSE)</f>
        <v>Laptop</v>
      </c>
      <c r="R1193" s="7">
        <f t="shared" si="146"/>
        <v>1410.88</v>
      </c>
    </row>
    <row r="1194" spans="1:18" ht="21.75" customHeight="1">
      <c r="A1194" t="s">
        <v>1345</v>
      </c>
      <c r="B1194" s="6">
        <v>45483</v>
      </c>
      <c r="C1194" t="s">
        <v>345</v>
      </c>
      <c r="D1194" t="s">
        <v>96</v>
      </c>
      <c r="E1194" t="s">
        <v>22</v>
      </c>
      <c r="F1194" t="s">
        <v>306</v>
      </c>
      <c r="G1194" t="s">
        <v>13</v>
      </c>
      <c r="H1194">
        <v>9</v>
      </c>
      <c r="I1194" t="str">
        <f>VLOOKUP(D1194,Product_Lookup!$A$2:$C$27,3,FALSE)</f>
        <v>$230.68</v>
      </c>
      <c r="J1194" t="str">
        <f t="shared" si="147"/>
        <v>Wednesday</v>
      </c>
      <c r="K1194" s="10" t="str">
        <f t="shared" si="148"/>
        <v>July</v>
      </c>
      <c r="L1194">
        <f t="shared" si="149"/>
        <v>2024</v>
      </c>
      <c r="M1194" t="b">
        <f t="shared" si="150"/>
        <v>0</v>
      </c>
      <c r="N1194" t="b">
        <f t="shared" si="144"/>
        <v>1</v>
      </c>
      <c r="O1194" t="str">
        <f t="shared" si="151"/>
        <v>Large Order</v>
      </c>
      <c r="P1194" s="7">
        <f t="shared" si="145"/>
        <v>11.534000000000001</v>
      </c>
      <c r="Q1194" s="7" t="str">
        <f>VLOOKUP(D1195,Product_Lookup!$A$2:$C$27,2,FALSE)</f>
        <v>Toaster</v>
      </c>
      <c r="R1194" s="7">
        <f t="shared" si="146"/>
        <v>2076.12</v>
      </c>
    </row>
    <row r="1195" spans="1:18" ht="21.75" customHeight="1">
      <c r="A1195" t="s">
        <v>1346</v>
      </c>
      <c r="B1195" s="6">
        <v>45366</v>
      </c>
      <c r="C1195" t="s">
        <v>38</v>
      </c>
      <c r="D1195" t="s">
        <v>48</v>
      </c>
      <c r="E1195" t="s">
        <v>17</v>
      </c>
      <c r="F1195" t="s">
        <v>56</v>
      </c>
      <c r="G1195" t="s">
        <v>32</v>
      </c>
      <c r="H1195">
        <v>6</v>
      </c>
      <c r="I1195" t="str">
        <f>VLOOKUP(D1195,Product_Lookup!$A$2:$C$27,3,FALSE)</f>
        <v>$208.85</v>
      </c>
      <c r="J1195" t="str">
        <f t="shared" si="147"/>
        <v>Friday</v>
      </c>
      <c r="K1195" s="10" t="str">
        <f t="shared" si="148"/>
        <v>March</v>
      </c>
      <c r="L1195">
        <f t="shared" si="149"/>
        <v>2024</v>
      </c>
      <c r="M1195" t="b">
        <f t="shared" si="150"/>
        <v>0</v>
      </c>
      <c r="N1195" t="b">
        <f t="shared" si="144"/>
        <v>1</v>
      </c>
      <c r="O1195" t="str">
        <f t="shared" si="151"/>
        <v>Large Order</v>
      </c>
      <c r="P1195" s="7">
        <f t="shared" si="145"/>
        <v>10.442500000000001</v>
      </c>
      <c r="Q1195" s="7" t="str">
        <f>VLOOKUP(D1196,Product_Lookup!$A$2:$C$27,2,FALSE)</f>
        <v>Socks</v>
      </c>
      <c r="R1195" s="7">
        <f t="shared" si="146"/>
        <v>1253.0999999999999</v>
      </c>
    </row>
    <row r="1196" spans="1:18" ht="21.75" customHeight="1">
      <c r="A1196" t="s">
        <v>1347</v>
      </c>
      <c r="B1196" s="6">
        <v>45506</v>
      </c>
      <c r="C1196" t="s">
        <v>541</v>
      </c>
      <c r="D1196" t="s">
        <v>74</v>
      </c>
      <c r="E1196" t="s">
        <v>17</v>
      </c>
      <c r="F1196" t="s">
        <v>12</v>
      </c>
      <c r="G1196" t="s">
        <v>13</v>
      </c>
      <c r="H1196">
        <v>10</v>
      </c>
      <c r="I1196" t="str">
        <f>VLOOKUP(D1196,Product_Lookup!$A$2:$C$27,3,FALSE)</f>
        <v>$201.32</v>
      </c>
      <c r="J1196" t="str">
        <f t="shared" si="147"/>
        <v>Friday</v>
      </c>
      <c r="K1196" s="10" t="str">
        <f t="shared" si="148"/>
        <v>August</v>
      </c>
      <c r="L1196">
        <f t="shared" si="149"/>
        <v>2024</v>
      </c>
      <c r="M1196" t="b">
        <f t="shared" si="150"/>
        <v>0</v>
      </c>
      <c r="N1196" t="b">
        <f t="shared" si="144"/>
        <v>1</v>
      </c>
      <c r="O1196" t="str">
        <f t="shared" si="151"/>
        <v>Large Order</v>
      </c>
      <c r="P1196" s="7">
        <f t="shared" si="145"/>
        <v>10.066000000000001</v>
      </c>
      <c r="Q1196" s="7" t="str">
        <f>VLOOKUP(D1197,Product_Lookup!$A$2:$C$27,2,FALSE)</f>
        <v>Doll</v>
      </c>
      <c r="R1196" s="7">
        <f t="shared" si="146"/>
        <v>2013.1999999999998</v>
      </c>
    </row>
    <row r="1197" spans="1:18" ht="21.75" customHeight="1">
      <c r="A1197" t="s">
        <v>1348</v>
      </c>
      <c r="B1197" s="6">
        <v>45555</v>
      </c>
      <c r="C1197" t="s">
        <v>150</v>
      </c>
      <c r="D1197" t="s">
        <v>119</v>
      </c>
      <c r="E1197" t="s">
        <v>22</v>
      </c>
      <c r="F1197" t="s">
        <v>56</v>
      </c>
      <c r="G1197" t="s">
        <v>28</v>
      </c>
      <c r="H1197">
        <v>4</v>
      </c>
      <c r="I1197" t="str">
        <f>VLOOKUP(D1197,Product_Lookup!$A$2:$C$27,3,FALSE)</f>
        <v>$32.94</v>
      </c>
      <c r="J1197" t="str">
        <f t="shared" si="147"/>
        <v>Friday</v>
      </c>
      <c r="K1197" s="10" t="str">
        <f t="shared" si="148"/>
        <v>September</v>
      </c>
      <c r="L1197">
        <f t="shared" si="149"/>
        <v>2024</v>
      </c>
      <c r="M1197" t="b">
        <f t="shared" si="150"/>
        <v>0</v>
      </c>
      <c r="N1197" t="b">
        <f t="shared" si="144"/>
        <v>0</v>
      </c>
      <c r="O1197" t="str">
        <f t="shared" si="151"/>
        <v>Standard order</v>
      </c>
      <c r="P1197" s="7">
        <f t="shared" si="145"/>
        <v>1.647</v>
      </c>
      <c r="Q1197" s="7" t="str">
        <f>VLOOKUP(D1198,Product_Lookup!$A$2:$C$27,2,FALSE)</f>
        <v>Sweater</v>
      </c>
      <c r="R1197" s="7">
        <f t="shared" si="146"/>
        <v>131.76</v>
      </c>
    </row>
    <row r="1198" spans="1:18" ht="21.75" customHeight="1">
      <c r="A1198" t="s">
        <v>1349</v>
      </c>
      <c r="B1198" s="6">
        <v>45570</v>
      </c>
      <c r="C1198" t="s">
        <v>187</v>
      </c>
      <c r="D1198" t="s">
        <v>26</v>
      </c>
      <c r="E1198" t="s">
        <v>17</v>
      </c>
      <c r="F1198" t="s">
        <v>42</v>
      </c>
      <c r="G1198" t="s">
        <v>36</v>
      </c>
      <c r="H1198">
        <v>12</v>
      </c>
      <c r="I1198" t="str">
        <f>VLOOKUP(D1198,Product_Lookup!$A$2:$C$27,3,FALSE)</f>
        <v>$84.57</v>
      </c>
      <c r="J1198" t="str">
        <f t="shared" si="147"/>
        <v>Saturday</v>
      </c>
      <c r="K1198" s="10" t="str">
        <f t="shared" si="148"/>
        <v>October</v>
      </c>
      <c r="L1198">
        <f t="shared" si="149"/>
        <v>2024</v>
      </c>
      <c r="M1198" t="b">
        <f t="shared" si="150"/>
        <v>1</v>
      </c>
      <c r="N1198" t="b">
        <f t="shared" si="144"/>
        <v>1</v>
      </c>
      <c r="O1198" t="str">
        <f t="shared" si="151"/>
        <v>Large Order</v>
      </c>
      <c r="P1198" s="7">
        <f t="shared" si="145"/>
        <v>4.2284999999999995</v>
      </c>
      <c r="Q1198" s="7" t="str">
        <f>VLOOKUP(D1199,Product_Lookup!$A$2:$C$27,2,FALSE)</f>
        <v>Notebook</v>
      </c>
      <c r="R1198" s="7">
        <f t="shared" si="146"/>
        <v>1014.8399999999999</v>
      </c>
    </row>
    <row r="1199" spans="1:18" ht="21.75" customHeight="1">
      <c r="A1199" t="s">
        <v>1350</v>
      </c>
      <c r="B1199" s="6">
        <v>45472</v>
      </c>
      <c r="C1199" t="s">
        <v>167</v>
      </c>
      <c r="D1199" t="s">
        <v>160</v>
      </c>
      <c r="E1199" t="s">
        <v>11</v>
      </c>
      <c r="F1199" t="s">
        <v>56</v>
      </c>
      <c r="G1199" t="s">
        <v>23</v>
      </c>
      <c r="H1199">
        <v>10</v>
      </c>
      <c r="I1199" t="str">
        <f>VLOOKUP(D1199,Product_Lookup!$A$2:$C$27,3,FALSE)</f>
        <v>$149.27</v>
      </c>
      <c r="J1199" t="str">
        <f t="shared" si="147"/>
        <v>Saturday</v>
      </c>
      <c r="K1199" s="10" t="str">
        <f t="shared" si="148"/>
        <v>June</v>
      </c>
      <c r="L1199">
        <f t="shared" si="149"/>
        <v>2024</v>
      </c>
      <c r="M1199" t="b">
        <f t="shared" si="150"/>
        <v>1</v>
      </c>
      <c r="N1199" t="b">
        <f t="shared" si="144"/>
        <v>1</v>
      </c>
      <c r="O1199" t="str">
        <f t="shared" si="151"/>
        <v>Large Order</v>
      </c>
      <c r="P1199" s="7">
        <f t="shared" si="145"/>
        <v>7.4635000000000007</v>
      </c>
      <c r="Q1199" s="7" t="str">
        <f>VLOOKUP(D1200,Product_Lookup!$A$2:$C$27,2,FALSE)</f>
        <v>Jeans</v>
      </c>
      <c r="R1199" s="7">
        <f t="shared" si="146"/>
        <v>1492.7</v>
      </c>
    </row>
    <row r="1200" spans="1:18" ht="21.75" customHeight="1">
      <c r="A1200" t="s">
        <v>1351</v>
      </c>
      <c r="B1200" s="6">
        <v>45502</v>
      </c>
      <c r="C1200" t="s">
        <v>47</v>
      </c>
      <c r="D1200" t="s">
        <v>65</v>
      </c>
      <c r="E1200" t="s">
        <v>11</v>
      </c>
      <c r="F1200" t="s">
        <v>12</v>
      </c>
      <c r="G1200" t="s">
        <v>28</v>
      </c>
      <c r="H1200">
        <v>5</v>
      </c>
      <c r="I1200" t="str">
        <f>VLOOKUP(D1200,Product_Lookup!$A$2:$C$27,3,FALSE)</f>
        <v>$33.22</v>
      </c>
      <c r="J1200" t="str">
        <f t="shared" si="147"/>
        <v>Monday</v>
      </c>
      <c r="K1200" s="10" t="str">
        <f t="shared" si="148"/>
        <v>July</v>
      </c>
      <c r="L1200">
        <f t="shared" si="149"/>
        <v>2024</v>
      </c>
      <c r="M1200" t="b">
        <f t="shared" si="150"/>
        <v>0</v>
      </c>
      <c r="N1200" t="b">
        <f t="shared" si="144"/>
        <v>0</v>
      </c>
      <c r="O1200" t="str">
        <f t="shared" si="151"/>
        <v>Standard order</v>
      </c>
      <c r="P1200" s="7">
        <f t="shared" si="145"/>
        <v>1.661</v>
      </c>
      <c r="Q1200" s="7" t="str">
        <f>VLOOKUP(D1201,Product_Lookup!$A$2:$C$27,2,FALSE)</f>
        <v>Pen Set</v>
      </c>
      <c r="R1200" s="7">
        <f t="shared" si="146"/>
        <v>166.1</v>
      </c>
    </row>
    <row r="1201" spans="1:18" ht="21.75" customHeight="1">
      <c r="A1201" t="s">
        <v>1352</v>
      </c>
      <c r="B1201" s="6">
        <v>45578</v>
      </c>
      <c r="C1201" t="s">
        <v>594</v>
      </c>
      <c r="D1201" t="s">
        <v>174</v>
      </c>
      <c r="E1201" t="s">
        <v>22</v>
      </c>
      <c r="F1201" t="s">
        <v>306</v>
      </c>
      <c r="G1201" t="s">
        <v>13</v>
      </c>
      <c r="H1201">
        <v>18</v>
      </c>
      <c r="I1201" t="str">
        <f>VLOOKUP(D1201,Product_Lookup!$A$2:$C$27,3,FALSE)</f>
        <v>$133.37</v>
      </c>
      <c r="J1201" t="str">
        <f t="shared" si="147"/>
        <v>Sunday</v>
      </c>
      <c r="K1201" s="10" t="str">
        <f t="shared" si="148"/>
        <v>October</v>
      </c>
      <c r="L1201">
        <f t="shared" si="149"/>
        <v>2024</v>
      </c>
      <c r="M1201" t="b">
        <f t="shared" si="150"/>
        <v>1</v>
      </c>
      <c r="N1201" t="b">
        <f t="shared" si="144"/>
        <v>1</v>
      </c>
      <c r="O1201" t="str">
        <f t="shared" si="151"/>
        <v>Large Order</v>
      </c>
      <c r="P1201" s="7">
        <f t="shared" si="145"/>
        <v>6.6685000000000008</v>
      </c>
      <c r="Q1201" s="7" t="str">
        <f>VLOOKUP(D1202,Product_Lookup!$A$2:$C$27,2,FALSE)</f>
        <v>Headphones</v>
      </c>
      <c r="R1201" s="7">
        <f t="shared" si="146"/>
        <v>2400.66</v>
      </c>
    </row>
    <row r="1202" spans="1:18" ht="21.75" customHeight="1">
      <c r="A1202" t="s">
        <v>1353</v>
      </c>
      <c r="B1202" s="6">
        <v>45505</v>
      </c>
      <c r="C1202" t="s">
        <v>366</v>
      </c>
      <c r="D1202" t="s">
        <v>16</v>
      </c>
      <c r="E1202" t="s">
        <v>11</v>
      </c>
      <c r="F1202" t="s">
        <v>12</v>
      </c>
      <c r="G1202" t="s">
        <v>32</v>
      </c>
      <c r="H1202">
        <v>1</v>
      </c>
      <c r="I1202" t="str">
        <f>VLOOKUP(D1202,Product_Lookup!$A$2:$C$27,3,FALSE)</f>
        <v>$178.83</v>
      </c>
      <c r="J1202" t="str">
        <f t="shared" si="147"/>
        <v>Thursday</v>
      </c>
      <c r="K1202" s="10" t="str">
        <f t="shared" si="148"/>
        <v>August</v>
      </c>
      <c r="L1202">
        <f t="shared" si="149"/>
        <v>2024</v>
      </c>
      <c r="M1202" t="b">
        <f t="shared" si="150"/>
        <v>0</v>
      </c>
      <c r="N1202" t="b">
        <f t="shared" si="144"/>
        <v>0</v>
      </c>
      <c r="O1202" t="str">
        <f t="shared" si="151"/>
        <v>Standard order</v>
      </c>
      <c r="P1202" s="7">
        <f t="shared" si="145"/>
        <v>8.9415000000000013</v>
      </c>
      <c r="Q1202" s="7" t="str">
        <f>VLOOKUP(D1203,Product_Lookup!$A$2:$C$27,2,FALSE)</f>
        <v>Paper Shredder</v>
      </c>
      <c r="R1202" s="7">
        <f t="shared" si="146"/>
        <v>178.83</v>
      </c>
    </row>
    <row r="1203" spans="1:18" ht="21.75" customHeight="1">
      <c r="A1203" t="s">
        <v>1354</v>
      </c>
      <c r="B1203" s="6">
        <v>45645</v>
      </c>
      <c r="C1203" t="s">
        <v>83</v>
      </c>
      <c r="D1203" t="s">
        <v>109</v>
      </c>
      <c r="E1203" t="s">
        <v>11</v>
      </c>
      <c r="F1203" t="s">
        <v>27</v>
      </c>
      <c r="G1203" t="s">
        <v>32</v>
      </c>
      <c r="H1203">
        <v>17</v>
      </c>
      <c r="I1203" t="str">
        <f>VLOOKUP(D1203,Product_Lookup!$A$2:$C$27,3,FALSE)</f>
        <v>$81.02</v>
      </c>
      <c r="J1203" t="str">
        <f t="shared" si="147"/>
        <v>Thursday</v>
      </c>
      <c r="K1203" s="10" t="str">
        <f t="shared" si="148"/>
        <v>December</v>
      </c>
      <c r="L1203">
        <f t="shared" si="149"/>
        <v>2024</v>
      </c>
      <c r="M1203" t="b">
        <f t="shared" si="150"/>
        <v>0</v>
      </c>
      <c r="N1203" t="b">
        <f t="shared" si="144"/>
        <v>1</v>
      </c>
      <c r="O1203" t="str">
        <f t="shared" si="151"/>
        <v>Large Order</v>
      </c>
      <c r="P1203" s="7">
        <f t="shared" si="145"/>
        <v>4.0510000000000002</v>
      </c>
      <c r="Q1203" s="7" t="str">
        <f>VLOOKUP(D1204,Product_Lookup!$A$2:$C$27,2,FALSE)</f>
        <v>Lego Set</v>
      </c>
      <c r="R1203" s="7">
        <f t="shared" si="146"/>
        <v>1377.34</v>
      </c>
    </row>
    <row r="1204" spans="1:18" ht="21.75" customHeight="1">
      <c r="A1204" t="s">
        <v>1355</v>
      </c>
      <c r="B1204" s="6">
        <v>45380</v>
      </c>
      <c r="C1204" t="s">
        <v>369</v>
      </c>
      <c r="D1204" t="s">
        <v>84</v>
      </c>
      <c r="E1204" t="s">
        <v>17</v>
      </c>
      <c r="F1204" t="s">
        <v>12</v>
      </c>
      <c r="G1204" t="s">
        <v>28</v>
      </c>
      <c r="H1204">
        <v>4</v>
      </c>
      <c r="I1204" t="str">
        <f>VLOOKUP(D1204,Product_Lookup!$A$2:$C$27,3,FALSE)</f>
        <v>$130.07</v>
      </c>
      <c r="J1204" t="str">
        <f t="shared" si="147"/>
        <v>Friday</v>
      </c>
      <c r="K1204" s="10" t="str">
        <f t="shared" si="148"/>
        <v>March</v>
      </c>
      <c r="L1204">
        <f t="shared" si="149"/>
        <v>2024</v>
      </c>
      <c r="M1204" t="b">
        <f t="shared" si="150"/>
        <v>0</v>
      </c>
      <c r="N1204" t="b">
        <f t="shared" si="144"/>
        <v>0</v>
      </c>
      <c r="O1204" t="str">
        <f t="shared" si="151"/>
        <v>Large Order</v>
      </c>
      <c r="P1204" s="7">
        <f t="shared" si="145"/>
        <v>6.5034999999999998</v>
      </c>
      <c r="Q1204" s="7" t="str">
        <f>VLOOKUP(D1205,Product_Lookup!$A$2:$C$27,2,FALSE)</f>
        <v>Jeans</v>
      </c>
      <c r="R1204" s="7">
        <f t="shared" si="146"/>
        <v>520.28</v>
      </c>
    </row>
    <row r="1205" spans="1:18" ht="21.75" customHeight="1">
      <c r="A1205" t="s">
        <v>1356</v>
      </c>
      <c r="B1205" s="6">
        <v>45644</v>
      </c>
      <c r="C1205" t="s">
        <v>51</v>
      </c>
      <c r="D1205" t="s">
        <v>65</v>
      </c>
      <c r="E1205" t="s">
        <v>17</v>
      </c>
      <c r="F1205" t="s">
        <v>56</v>
      </c>
      <c r="G1205" t="s">
        <v>23</v>
      </c>
      <c r="H1205">
        <v>5</v>
      </c>
      <c r="I1205" t="str">
        <f>VLOOKUP(D1205,Product_Lookup!$A$2:$C$27,3,FALSE)</f>
        <v>$33.22</v>
      </c>
      <c r="J1205" t="str">
        <f t="shared" si="147"/>
        <v>Wednesday</v>
      </c>
      <c r="K1205" s="10" t="str">
        <f t="shared" si="148"/>
        <v>December</v>
      </c>
      <c r="L1205">
        <f t="shared" si="149"/>
        <v>2024</v>
      </c>
      <c r="M1205" t="b">
        <f t="shared" si="150"/>
        <v>0</v>
      </c>
      <c r="N1205" t="b">
        <f t="shared" si="144"/>
        <v>0</v>
      </c>
      <c r="O1205" t="str">
        <f t="shared" si="151"/>
        <v>Standard order</v>
      </c>
      <c r="P1205" s="7">
        <f t="shared" si="145"/>
        <v>1.661</v>
      </c>
      <c r="Q1205" s="7" t="str">
        <f>VLOOKUP(D1206,Product_Lookup!$A$2:$C$27,2,FALSE)</f>
        <v>Laptop</v>
      </c>
      <c r="R1205" s="7">
        <f t="shared" si="146"/>
        <v>166.1</v>
      </c>
    </row>
    <row r="1206" spans="1:18" ht="21.75" customHeight="1">
      <c r="A1206" t="s">
        <v>1357</v>
      </c>
      <c r="B1206" s="6">
        <v>45645</v>
      </c>
      <c r="C1206" t="s">
        <v>332</v>
      </c>
      <c r="D1206" t="s">
        <v>96</v>
      </c>
      <c r="E1206" t="s">
        <v>11</v>
      </c>
      <c r="F1206" t="s">
        <v>12</v>
      </c>
      <c r="G1206" t="s">
        <v>13</v>
      </c>
      <c r="H1206">
        <v>16</v>
      </c>
      <c r="I1206" t="str">
        <f>VLOOKUP(D1206,Product_Lookup!$A$2:$C$27,3,FALSE)</f>
        <v>$230.68</v>
      </c>
      <c r="J1206" t="str">
        <f t="shared" si="147"/>
        <v>Thursday</v>
      </c>
      <c r="K1206" s="10" t="str">
        <f t="shared" si="148"/>
        <v>December</v>
      </c>
      <c r="L1206">
        <f t="shared" si="149"/>
        <v>2024</v>
      </c>
      <c r="M1206" t="b">
        <f t="shared" si="150"/>
        <v>0</v>
      </c>
      <c r="N1206" t="b">
        <f t="shared" si="144"/>
        <v>1</v>
      </c>
      <c r="O1206" t="str">
        <f t="shared" si="151"/>
        <v>Large Order</v>
      </c>
      <c r="P1206" s="7">
        <f t="shared" si="145"/>
        <v>11.534000000000001</v>
      </c>
      <c r="Q1206" s="7" t="str">
        <f>VLOOKUP(D1207,Product_Lookup!$A$2:$C$27,2,FALSE)</f>
        <v>Desk Lamp</v>
      </c>
      <c r="R1206" s="7">
        <f t="shared" si="146"/>
        <v>3690.88</v>
      </c>
    </row>
    <row r="1207" spans="1:18" ht="21.75" customHeight="1">
      <c r="A1207" t="s">
        <v>1358</v>
      </c>
      <c r="B1207" s="6">
        <v>45392</v>
      </c>
      <c r="C1207" t="s">
        <v>15</v>
      </c>
      <c r="D1207" t="s">
        <v>59</v>
      </c>
      <c r="E1207" t="s">
        <v>11</v>
      </c>
      <c r="F1207" t="s">
        <v>306</v>
      </c>
      <c r="G1207" t="s">
        <v>32</v>
      </c>
      <c r="H1207">
        <v>2</v>
      </c>
      <c r="I1207" t="str">
        <f>VLOOKUP(D1207,Product_Lookup!$A$2:$C$27,3,FALSE)</f>
        <v>$101.96</v>
      </c>
      <c r="J1207" t="str">
        <f t="shared" si="147"/>
        <v>Wednesday</v>
      </c>
      <c r="K1207" s="10" t="str">
        <f t="shared" si="148"/>
        <v>April</v>
      </c>
      <c r="L1207">
        <f t="shared" si="149"/>
        <v>2024</v>
      </c>
      <c r="M1207" t="b">
        <f t="shared" si="150"/>
        <v>0</v>
      </c>
      <c r="N1207" t="b">
        <f t="shared" si="144"/>
        <v>0</v>
      </c>
      <c r="O1207" t="str">
        <f t="shared" si="151"/>
        <v>Standard order</v>
      </c>
      <c r="P1207" s="7">
        <f t="shared" si="145"/>
        <v>5.0979999999999999</v>
      </c>
      <c r="Q1207" s="7" t="str">
        <f>VLOOKUP(D1208,Product_Lookup!$A$2:$C$27,2,FALSE)</f>
        <v>Doll</v>
      </c>
      <c r="R1207" s="7">
        <f t="shared" si="146"/>
        <v>203.92</v>
      </c>
    </row>
    <row r="1208" spans="1:18" ht="21.75" customHeight="1">
      <c r="A1208" t="s">
        <v>1359</v>
      </c>
      <c r="B1208" s="6">
        <v>45314</v>
      </c>
      <c r="C1208" t="s">
        <v>58</v>
      </c>
      <c r="D1208" t="s">
        <v>119</v>
      </c>
      <c r="E1208" t="s">
        <v>17</v>
      </c>
      <c r="F1208" t="s">
        <v>12</v>
      </c>
      <c r="G1208" t="s">
        <v>36</v>
      </c>
      <c r="H1208">
        <v>4</v>
      </c>
      <c r="I1208" t="str">
        <f>VLOOKUP(D1208,Product_Lookup!$A$2:$C$27,3,FALSE)</f>
        <v>$32.94</v>
      </c>
      <c r="J1208" t="str">
        <f t="shared" si="147"/>
        <v>Tuesday</v>
      </c>
      <c r="K1208" s="10" t="str">
        <f t="shared" si="148"/>
        <v>January</v>
      </c>
      <c r="L1208">
        <f t="shared" si="149"/>
        <v>2024</v>
      </c>
      <c r="M1208" t="b">
        <f t="shared" si="150"/>
        <v>0</v>
      </c>
      <c r="N1208" t="b">
        <f t="shared" si="144"/>
        <v>0</v>
      </c>
      <c r="O1208" t="str">
        <f t="shared" si="151"/>
        <v>Standard order</v>
      </c>
      <c r="P1208" s="7">
        <f t="shared" si="145"/>
        <v>1.647</v>
      </c>
      <c r="Q1208" s="7" t="str">
        <f>VLOOKUP(D1209,Product_Lookup!$A$2:$C$27,2,FALSE)</f>
        <v>Board Game</v>
      </c>
      <c r="R1208" s="7">
        <f t="shared" si="146"/>
        <v>131.76</v>
      </c>
    </row>
    <row r="1209" spans="1:18" ht="21.75" customHeight="1">
      <c r="A1209" t="s">
        <v>1360</v>
      </c>
      <c r="B1209" s="6">
        <v>45397</v>
      </c>
      <c r="C1209" t="s">
        <v>449</v>
      </c>
      <c r="D1209" t="s">
        <v>41</v>
      </c>
      <c r="E1209" t="s">
        <v>11</v>
      </c>
      <c r="F1209" t="s">
        <v>56</v>
      </c>
      <c r="G1209" t="s">
        <v>28</v>
      </c>
      <c r="H1209">
        <v>12</v>
      </c>
      <c r="I1209" t="str">
        <f>VLOOKUP(D1209,Product_Lookup!$A$2:$C$27,3,FALSE)</f>
        <v>$86.6</v>
      </c>
      <c r="J1209" t="str">
        <f t="shared" si="147"/>
        <v>Monday</v>
      </c>
      <c r="K1209" s="10" t="str">
        <f t="shared" si="148"/>
        <v>April</v>
      </c>
      <c r="L1209">
        <f t="shared" si="149"/>
        <v>2024</v>
      </c>
      <c r="M1209" t="b">
        <f t="shared" si="150"/>
        <v>0</v>
      </c>
      <c r="N1209" t="b">
        <f t="shared" si="144"/>
        <v>1</v>
      </c>
      <c r="O1209" t="str">
        <f t="shared" si="151"/>
        <v>Large Order</v>
      </c>
      <c r="P1209" s="7">
        <f t="shared" si="145"/>
        <v>4.33</v>
      </c>
      <c r="Q1209" s="7" t="str">
        <f>VLOOKUP(D1210,Product_Lookup!$A$2:$C$27,2,FALSE)</f>
        <v>T-Shirt</v>
      </c>
      <c r="R1209" s="7">
        <f t="shared" si="146"/>
        <v>1039.1999999999998</v>
      </c>
    </row>
    <row r="1210" spans="1:18" ht="21.75" customHeight="1">
      <c r="A1210" t="s">
        <v>1361</v>
      </c>
      <c r="B1210" s="6">
        <v>45434</v>
      </c>
      <c r="C1210" t="s">
        <v>361</v>
      </c>
      <c r="D1210" t="s">
        <v>45</v>
      </c>
      <c r="E1210" t="s">
        <v>17</v>
      </c>
      <c r="F1210" t="s">
        <v>42</v>
      </c>
      <c r="G1210" t="s">
        <v>36</v>
      </c>
      <c r="H1210">
        <v>17</v>
      </c>
      <c r="I1210" t="str">
        <f>VLOOKUP(D1210,Product_Lookup!$A$2:$C$27,3,FALSE)</f>
        <v>$107.34</v>
      </c>
      <c r="J1210" t="str">
        <f t="shared" si="147"/>
        <v>Wednesday</v>
      </c>
      <c r="K1210" s="10" t="str">
        <f t="shared" si="148"/>
        <v>May</v>
      </c>
      <c r="L1210">
        <f t="shared" si="149"/>
        <v>2024</v>
      </c>
      <c r="M1210" t="b">
        <f t="shared" si="150"/>
        <v>0</v>
      </c>
      <c r="N1210" t="b">
        <f t="shared" si="144"/>
        <v>1</v>
      </c>
      <c r="O1210" t="str">
        <f t="shared" si="151"/>
        <v>Large Order</v>
      </c>
      <c r="P1210" s="7">
        <f t="shared" si="145"/>
        <v>5.3670000000000009</v>
      </c>
      <c r="Q1210" s="7" t="str">
        <f>VLOOKUP(D1211,Product_Lookup!$A$2:$C$27,2,FALSE)</f>
        <v>Monitor</v>
      </c>
      <c r="R1210" s="7">
        <f t="shared" si="146"/>
        <v>1824.78</v>
      </c>
    </row>
    <row r="1211" spans="1:18" ht="21.75" customHeight="1">
      <c r="A1211" t="s">
        <v>1362</v>
      </c>
      <c r="B1211" s="6">
        <v>45415</v>
      </c>
      <c r="C1211" t="s">
        <v>358</v>
      </c>
      <c r="D1211" t="s">
        <v>102</v>
      </c>
      <c r="E1211" t="s">
        <v>22</v>
      </c>
      <c r="F1211" t="s">
        <v>12</v>
      </c>
      <c r="G1211" t="s">
        <v>36</v>
      </c>
      <c r="H1211">
        <v>19</v>
      </c>
      <c r="I1211" t="str">
        <f>VLOOKUP(D1211,Product_Lookup!$A$2:$C$27,3,FALSE)</f>
        <v>$145.48</v>
      </c>
      <c r="J1211" t="str">
        <f t="shared" si="147"/>
        <v>Friday</v>
      </c>
      <c r="K1211" s="10" t="str">
        <f t="shared" si="148"/>
        <v>May</v>
      </c>
      <c r="L1211">
        <f t="shared" si="149"/>
        <v>2024</v>
      </c>
      <c r="M1211" t="b">
        <f t="shared" si="150"/>
        <v>0</v>
      </c>
      <c r="N1211" t="b">
        <f t="shared" si="144"/>
        <v>1</v>
      </c>
      <c r="O1211" t="str">
        <f t="shared" si="151"/>
        <v>Large Order</v>
      </c>
      <c r="P1211" s="7">
        <f t="shared" si="145"/>
        <v>7.274</v>
      </c>
      <c r="Q1211" s="7" t="str">
        <f>VLOOKUP(D1212,Product_Lookup!$A$2:$C$27,2,FALSE)</f>
        <v>T-Shirt</v>
      </c>
      <c r="R1211" s="7">
        <f t="shared" si="146"/>
        <v>2764.12</v>
      </c>
    </row>
    <row r="1212" spans="1:18" ht="21.75" customHeight="1">
      <c r="A1212" t="s">
        <v>1363</v>
      </c>
      <c r="B1212" s="6">
        <v>45403</v>
      </c>
      <c r="C1212" t="s">
        <v>436</v>
      </c>
      <c r="D1212" t="s">
        <v>45</v>
      </c>
      <c r="E1212" t="s">
        <v>11</v>
      </c>
      <c r="F1212" t="s">
        <v>42</v>
      </c>
      <c r="G1212" t="s">
        <v>13</v>
      </c>
      <c r="H1212">
        <v>18</v>
      </c>
      <c r="I1212" t="str">
        <f>VLOOKUP(D1212,Product_Lookup!$A$2:$C$27,3,FALSE)</f>
        <v>$107.34</v>
      </c>
      <c r="J1212" t="str">
        <f t="shared" si="147"/>
        <v>Sunday</v>
      </c>
      <c r="K1212" s="10" t="str">
        <f t="shared" si="148"/>
        <v>April</v>
      </c>
      <c r="L1212">
        <f t="shared" si="149"/>
        <v>2024</v>
      </c>
      <c r="M1212" t="b">
        <f t="shared" si="150"/>
        <v>1</v>
      </c>
      <c r="N1212" t="b">
        <f t="shared" si="144"/>
        <v>1</v>
      </c>
      <c r="O1212" t="str">
        <f t="shared" si="151"/>
        <v>Large Order</v>
      </c>
      <c r="P1212" s="7">
        <f t="shared" si="145"/>
        <v>5.3670000000000009</v>
      </c>
      <c r="Q1212" s="7" t="str">
        <f>VLOOKUP(D1213,Product_Lookup!$A$2:$C$27,2,FALSE)</f>
        <v>Toaster</v>
      </c>
      <c r="R1212" s="7">
        <f t="shared" si="146"/>
        <v>1932.1200000000001</v>
      </c>
    </row>
    <row r="1213" spans="1:18" ht="21.75" customHeight="1">
      <c r="A1213" t="s">
        <v>1364</v>
      </c>
      <c r="B1213" s="6">
        <v>45401</v>
      </c>
      <c r="C1213" t="s">
        <v>358</v>
      </c>
      <c r="D1213" t="s">
        <v>48</v>
      </c>
      <c r="E1213" t="s">
        <v>22</v>
      </c>
      <c r="F1213" t="s">
        <v>27</v>
      </c>
      <c r="G1213" t="s">
        <v>13</v>
      </c>
      <c r="H1213">
        <v>19</v>
      </c>
      <c r="I1213" t="str">
        <f>VLOOKUP(D1213,Product_Lookup!$A$2:$C$27,3,FALSE)</f>
        <v>$208.85</v>
      </c>
      <c r="J1213" t="str">
        <f t="shared" si="147"/>
        <v>Friday</v>
      </c>
      <c r="K1213" s="10" t="str">
        <f t="shared" si="148"/>
        <v>April</v>
      </c>
      <c r="L1213">
        <f t="shared" si="149"/>
        <v>2024</v>
      </c>
      <c r="M1213" t="b">
        <f t="shared" si="150"/>
        <v>0</v>
      </c>
      <c r="N1213" t="b">
        <f t="shared" si="144"/>
        <v>1</v>
      </c>
      <c r="O1213" t="str">
        <f t="shared" si="151"/>
        <v>Large Order</v>
      </c>
      <c r="P1213" s="7">
        <f t="shared" si="145"/>
        <v>10.442500000000001</v>
      </c>
      <c r="Q1213" s="7" t="str">
        <f>VLOOKUP(D1214,Product_Lookup!$A$2:$C$27,2,FALSE)</f>
        <v>Jeans</v>
      </c>
      <c r="R1213" s="7">
        <f t="shared" si="146"/>
        <v>3968.15</v>
      </c>
    </row>
    <row r="1214" spans="1:18" ht="21.75" customHeight="1">
      <c r="A1214" t="s">
        <v>1365</v>
      </c>
      <c r="B1214" s="6">
        <v>45384</v>
      </c>
      <c r="C1214" t="s">
        <v>182</v>
      </c>
      <c r="D1214" t="s">
        <v>65</v>
      </c>
      <c r="E1214" t="s">
        <v>17</v>
      </c>
      <c r="F1214" t="s">
        <v>27</v>
      </c>
      <c r="G1214" t="s">
        <v>13</v>
      </c>
      <c r="H1214">
        <v>17</v>
      </c>
      <c r="I1214" t="str">
        <f>VLOOKUP(D1214,Product_Lookup!$A$2:$C$27,3,FALSE)</f>
        <v>$33.22</v>
      </c>
      <c r="J1214" t="str">
        <f t="shared" si="147"/>
        <v>Tuesday</v>
      </c>
      <c r="K1214" s="10" t="str">
        <f t="shared" si="148"/>
        <v>April</v>
      </c>
      <c r="L1214">
        <f t="shared" si="149"/>
        <v>2024</v>
      </c>
      <c r="M1214" t="b">
        <f t="shared" si="150"/>
        <v>0</v>
      </c>
      <c r="N1214" t="b">
        <f t="shared" si="144"/>
        <v>0</v>
      </c>
      <c r="O1214" t="str">
        <f t="shared" si="151"/>
        <v>Large Order</v>
      </c>
      <c r="P1214" s="7">
        <f t="shared" si="145"/>
        <v>1.661</v>
      </c>
      <c r="Q1214" s="7" t="str">
        <f>VLOOKUP(D1215,Product_Lookup!$A$2:$C$27,2,FALSE)</f>
        <v>Notebook</v>
      </c>
      <c r="R1214" s="7">
        <f t="shared" si="146"/>
        <v>564.74</v>
      </c>
    </row>
    <row r="1215" spans="1:18" ht="21.75" customHeight="1">
      <c r="A1215" t="s">
        <v>1366</v>
      </c>
      <c r="B1215" s="6">
        <v>45452</v>
      </c>
      <c r="C1215" t="s">
        <v>114</v>
      </c>
      <c r="D1215" t="s">
        <v>160</v>
      </c>
      <c r="E1215" t="s">
        <v>17</v>
      </c>
      <c r="F1215" t="s">
        <v>12</v>
      </c>
      <c r="G1215" t="s">
        <v>32</v>
      </c>
      <c r="H1215">
        <v>5</v>
      </c>
      <c r="I1215" t="str">
        <f>VLOOKUP(D1215,Product_Lookup!$A$2:$C$27,3,FALSE)</f>
        <v>$149.27</v>
      </c>
      <c r="J1215" t="str">
        <f t="shared" si="147"/>
        <v>Sunday</v>
      </c>
      <c r="K1215" s="10" t="str">
        <f t="shared" si="148"/>
        <v>June</v>
      </c>
      <c r="L1215">
        <f t="shared" si="149"/>
        <v>2024</v>
      </c>
      <c r="M1215" t="b">
        <f t="shared" si="150"/>
        <v>1</v>
      </c>
      <c r="N1215" t="b">
        <f t="shared" si="144"/>
        <v>0</v>
      </c>
      <c r="O1215" t="str">
        <f t="shared" si="151"/>
        <v>Large Order</v>
      </c>
      <c r="P1215" s="7">
        <f t="shared" si="145"/>
        <v>7.4635000000000007</v>
      </c>
      <c r="Q1215" s="7" t="str">
        <f>VLOOKUP(D1216,Product_Lookup!$A$2:$C$27,2,FALSE)</f>
        <v>Tablet</v>
      </c>
      <c r="R1215" s="7">
        <f t="shared" si="146"/>
        <v>746.35</v>
      </c>
    </row>
    <row r="1216" spans="1:18" ht="21.75" customHeight="1">
      <c r="A1216" t="s">
        <v>1367</v>
      </c>
      <c r="B1216" s="6">
        <v>45652</v>
      </c>
      <c r="C1216" t="s">
        <v>55</v>
      </c>
      <c r="D1216" t="s">
        <v>10</v>
      </c>
      <c r="E1216" t="s">
        <v>22</v>
      </c>
      <c r="F1216" t="s">
        <v>12</v>
      </c>
      <c r="G1216" t="s">
        <v>23</v>
      </c>
      <c r="H1216">
        <v>11</v>
      </c>
      <c r="I1216" t="str">
        <f>VLOOKUP(D1216,Product_Lookup!$A$2:$C$27,3,FALSE)</f>
        <v>$146.06</v>
      </c>
      <c r="J1216" t="str">
        <f t="shared" si="147"/>
        <v>Thursday</v>
      </c>
      <c r="K1216" s="10" t="str">
        <f t="shared" si="148"/>
        <v>December</v>
      </c>
      <c r="L1216">
        <f t="shared" si="149"/>
        <v>2024</v>
      </c>
      <c r="M1216" t="b">
        <f t="shared" si="150"/>
        <v>0</v>
      </c>
      <c r="N1216" t="b">
        <f t="shared" si="144"/>
        <v>1</v>
      </c>
      <c r="O1216" t="str">
        <f t="shared" si="151"/>
        <v>Large Order</v>
      </c>
      <c r="P1216" s="7">
        <f t="shared" si="145"/>
        <v>7.3030000000000008</v>
      </c>
      <c r="Q1216" s="7" t="str">
        <f>VLOOKUP(D1217,Product_Lookup!$A$2:$C$27,2,FALSE)</f>
        <v>Board Game</v>
      </c>
      <c r="R1216" s="7">
        <f t="shared" si="146"/>
        <v>1606.66</v>
      </c>
    </row>
    <row r="1217" spans="1:18" ht="21.75" customHeight="1">
      <c r="A1217" t="s">
        <v>1368</v>
      </c>
      <c r="B1217" s="6">
        <v>45437</v>
      </c>
      <c r="C1217" t="s">
        <v>366</v>
      </c>
      <c r="D1217" t="s">
        <v>41</v>
      </c>
      <c r="E1217" t="s">
        <v>22</v>
      </c>
      <c r="F1217" t="s">
        <v>42</v>
      </c>
      <c r="G1217" t="s">
        <v>23</v>
      </c>
      <c r="H1217">
        <v>15</v>
      </c>
      <c r="I1217" t="str">
        <f>VLOOKUP(D1217,Product_Lookup!$A$2:$C$27,3,FALSE)</f>
        <v>$86.6</v>
      </c>
      <c r="J1217" t="str">
        <f t="shared" si="147"/>
        <v>Saturday</v>
      </c>
      <c r="K1217" s="10" t="str">
        <f t="shared" si="148"/>
        <v>May</v>
      </c>
      <c r="L1217">
        <f t="shared" si="149"/>
        <v>2024</v>
      </c>
      <c r="M1217" t="b">
        <f t="shared" si="150"/>
        <v>1</v>
      </c>
      <c r="N1217" t="b">
        <f t="shared" si="144"/>
        <v>1</v>
      </c>
      <c r="O1217" t="str">
        <f t="shared" si="151"/>
        <v>Large Order</v>
      </c>
      <c r="P1217" s="7">
        <f t="shared" si="145"/>
        <v>4.33</v>
      </c>
      <c r="Q1217" s="7" t="str">
        <f>VLOOKUP(D1218,Product_Lookup!$A$2:$C$27,2,FALSE)</f>
        <v>Stapler</v>
      </c>
      <c r="R1217" s="7">
        <f t="shared" si="146"/>
        <v>1299</v>
      </c>
    </row>
    <row r="1218" spans="1:18" ht="21.75" customHeight="1">
      <c r="A1218" t="s">
        <v>1369</v>
      </c>
      <c r="B1218" s="6">
        <v>45440</v>
      </c>
      <c r="C1218" t="s">
        <v>309</v>
      </c>
      <c r="D1218" t="s">
        <v>35</v>
      </c>
      <c r="E1218" t="s">
        <v>11</v>
      </c>
      <c r="F1218" t="s">
        <v>12</v>
      </c>
      <c r="G1218" t="s">
        <v>23</v>
      </c>
      <c r="H1218">
        <v>12</v>
      </c>
      <c r="I1218" t="str">
        <f>VLOOKUP(D1218,Product_Lookup!$A$2:$C$27,3,FALSE)</f>
        <v>$64.61</v>
      </c>
      <c r="J1218" t="str">
        <f t="shared" si="147"/>
        <v>Tuesday</v>
      </c>
      <c r="K1218" s="10" t="str">
        <f t="shared" si="148"/>
        <v>May</v>
      </c>
      <c r="L1218">
        <f t="shared" si="149"/>
        <v>2024</v>
      </c>
      <c r="M1218" t="b">
        <f t="shared" si="150"/>
        <v>0</v>
      </c>
      <c r="N1218" t="b">
        <f t="shared" ref="N1218:N1281" si="152">AND(R1218&gt;750, H1218&gt;5)</f>
        <v>1</v>
      </c>
      <c r="O1218" t="str">
        <f t="shared" si="151"/>
        <v>Large Order</v>
      </c>
      <c r="P1218" s="7">
        <f t="shared" ref="P1218:P1281" si="153">I1218*$S$2</f>
        <v>3.2305000000000001</v>
      </c>
      <c r="Q1218" s="7" t="str">
        <f>VLOOKUP(D1219,Product_Lookup!$A$2:$C$27,2,FALSE)</f>
        <v>Notebook</v>
      </c>
      <c r="R1218" s="7">
        <f t="shared" ref="R1218:R1281" si="154">H1218*I1218</f>
        <v>775.31999999999994</v>
      </c>
    </row>
    <row r="1219" spans="1:18" ht="21.75" customHeight="1">
      <c r="A1219" t="s">
        <v>1370</v>
      </c>
      <c r="B1219" s="6">
        <v>45636</v>
      </c>
      <c r="C1219" t="s">
        <v>15</v>
      </c>
      <c r="D1219" t="s">
        <v>160</v>
      </c>
      <c r="E1219" t="s">
        <v>17</v>
      </c>
      <c r="F1219" t="s">
        <v>27</v>
      </c>
      <c r="G1219" t="s">
        <v>23</v>
      </c>
      <c r="H1219">
        <v>3</v>
      </c>
      <c r="I1219" t="str">
        <f>VLOOKUP(D1219,Product_Lookup!$A$2:$C$27,3,FALSE)</f>
        <v>$149.27</v>
      </c>
      <c r="J1219" t="str">
        <f t="shared" ref="J1219:J1282" si="155">TEXT(B1219, "dddd")</f>
        <v>Tuesday</v>
      </c>
      <c r="K1219" s="10" t="str">
        <f t="shared" ref="K1219:K1282" si="156">TEXT(B1219, "mmmm")</f>
        <v>December</v>
      </c>
      <c r="L1219">
        <f t="shared" ref="L1219:L1282" si="157">YEAR(B1219)</f>
        <v>2024</v>
      </c>
      <c r="M1219" t="b">
        <f t="shared" ref="M1219:M1282" si="158">OR(J1219="Saturday", J1219="Sunday")</f>
        <v>0</v>
      </c>
      <c r="N1219" t="b">
        <f t="shared" si="152"/>
        <v>0</v>
      </c>
      <c r="O1219" t="str">
        <f t="shared" ref="O1219:O1282" si="159">IF(R1219&gt;500,"Large Order","Standard order")</f>
        <v>Standard order</v>
      </c>
      <c r="P1219" s="7">
        <f t="shared" si="153"/>
        <v>7.4635000000000007</v>
      </c>
      <c r="Q1219" s="7" t="str">
        <f>VLOOKUP(D1220,Product_Lookup!$A$2:$C$27,2,FALSE)</f>
        <v>Lego Set</v>
      </c>
      <c r="R1219" s="7">
        <f t="shared" si="154"/>
        <v>447.81000000000006</v>
      </c>
    </row>
    <row r="1220" spans="1:18" ht="21.75" customHeight="1">
      <c r="A1220" t="s">
        <v>1371</v>
      </c>
      <c r="B1220" s="6">
        <v>45497</v>
      </c>
      <c r="C1220" t="s">
        <v>465</v>
      </c>
      <c r="D1220" t="s">
        <v>84</v>
      </c>
      <c r="E1220" t="s">
        <v>22</v>
      </c>
      <c r="F1220" t="s">
        <v>12</v>
      </c>
      <c r="G1220" t="s">
        <v>28</v>
      </c>
      <c r="H1220">
        <v>6</v>
      </c>
      <c r="I1220" t="str">
        <f>VLOOKUP(D1220,Product_Lookup!$A$2:$C$27,3,FALSE)</f>
        <v>$130.07</v>
      </c>
      <c r="J1220" t="str">
        <f t="shared" si="155"/>
        <v>Wednesday</v>
      </c>
      <c r="K1220" s="10" t="str">
        <f t="shared" si="156"/>
        <v>July</v>
      </c>
      <c r="L1220">
        <f t="shared" si="157"/>
        <v>2024</v>
      </c>
      <c r="M1220" t="b">
        <f t="shared" si="158"/>
        <v>0</v>
      </c>
      <c r="N1220" t="b">
        <f t="shared" si="152"/>
        <v>1</v>
      </c>
      <c r="O1220" t="str">
        <f t="shared" si="159"/>
        <v>Large Order</v>
      </c>
      <c r="P1220" s="7">
        <f t="shared" si="153"/>
        <v>6.5034999999999998</v>
      </c>
      <c r="Q1220" s="7" t="str">
        <f>VLOOKUP(D1221,Product_Lookup!$A$2:$C$27,2,FALSE)</f>
        <v>Monitor</v>
      </c>
      <c r="R1220" s="7">
        <f t="shared" si="154"/>
        <v>780.42</v>
      </c>
    </row>
    <row r="1221" spans="1:18" ht="21.75" customHeight="1">
      <c r="A1221" t="s">
        <v>1372</v>
      </c>
      <c r="B1221" s="6">
        <v>45465</v>
      </c>
      <c r="C1221" t="s">
        <v>104</v>
      </c>
      <c r="D1221" t="s">
        <v>102</v>
      </c>
      <c r="E1221" t="s">
        <v>22</v>
      </c>
      <c r="F1221" t="s">
        <v>27</v>
      </c>
      <c r="G1221" t="s">
        <v>23</v>
      </c>
      <c r="H1221">
        <v>8</v>
      </c>
      <c r="I1221" t="str">
        <f>VLOOKUP(D1221,Product_Lookup!$A$2:$C$27,3,FALSE)</f>
        <v>$145.48</v>
      </c>
      <c r="J1221" t="str">
        <f t="shared" si="155"/>
        <v>Saturday</v>
      </c>
      <c r="K1221" s="10" t="str">
        <f t="shared" si="156"/>
        <v>June</v>
      </c>
      <c r="L1221">
        <f t="shared" si="157"/>
        <v>2024</v>
      </c>
      <c r="M1221" t="b">
        <f t="shared" si="158"/>
        <v>1</v>
      </c>
      <c r="N1221" t="b">
        <f t="shared" si="152"/>
        <v>1</v>
      </c>
      <c r="O1221" t="str">
        <f t="shared" si="159"/>
        <v>Large Order</v>
      </c>
      <c r="P1221" s="7">
        <f t="shared" si="153"/>
        <v>7.274</v>
      </c>
      <c r="Q1221" s="7" t="str">
        <f>VLOOKUP(D1222,Product_Lookup!$A$2:$C$27,2,FALSE)</f>
        <v>Desk Lamp</v>
      </c>
      <c r="R1221" s="7">
        <f t="shared" si="154"/>
        <v>1163.8399999999999</v>
      </c>
    </row>
    <row r="1222" spans="1:18" ht="21.75" customHeight="1">
      <c r="A1222" t="s">
        <v>1373</v>
      </c>
      <c r="B1222" s="6">
        <v>45434</v>
      </c>
      <c r="C1222" t="s">
        <v>332</v>
      </c>
      <c r="D1222" t="s">
        <v>59</v>
      </c>
      <c r="E1222" t="s">
        <v>22</v>
      </c>
      <c r="F1222" t="s">
        <v>306</v>
      </c>
      <c r="G1222" t="s">
        <v>23</v>
      </c>
      <c r="H1222">
        <v>9</v>
      </c>
      <c r="I1222" t="str">
        <f>VLOOKUP(D1222,Product_Lookup!$A$2:$C$27,3,FALSE)</f>
        <v>$101.96</v>
      </c>
      <c r="J1222" t="str">
        <f t="shared" si="155"/>
        <v>Wednesday</v>
      </c>
      <c r="K1222" s="10" t="str">
        <f t="shared" si="156"/>
        <v>May</v>
      </c>
      <c r="L1222">
        <f t="shared" si="157"/>
        <v>2024</v>
      </c>
      <c r="M1222" t="b">
        <f t="shared" si="158"/>
        <v>0</v>
      </c>
      <c r="N1222" t="b">
        <f t="shared" si="152"/>
        <v>1</v>
      </c>
      <c r="O1222" t="str">
        <f t="shared" si="159"/>
        <v>Large Order</v>
      </c>
      <c r="P1222" s="7">
        <f t="shared" si="153"/>
        <v>5.0979999999999999</v>
      </c>
      <c r="Q1222" s="7" t="str">
        <f>VLOOKUP(D1223,Product_Lookup!$A$2:$C$27,2,FALSE)</f>
        <v>Coffee Maker</v>
      </c>
      <c r="R1222" s="7">
        <f t="shared" si="154"/>
        <v>917.64</v>
      </c>
    </row>
    <row r="1223" spans="1:18" ht="21.75" customHeight="1">
      <c r="A1223" t="s">
        <v>1374</v>
      </c>
      <c r="B1223" s="6">
        <v>45474</v>
      </c>
      <c r="C1223" t="s">
        <v>553</v>
      </c>
      <c r="D1223" t="s">
        <v>31</v>
      </c>
      <c r="E1223" t="s">
        <v>22</v>
      </c>
      <c r="F1223" t="s">
        <v>306</v>
      </c>
      <c r="G1223" t="s">
        <v>28</v>
      </c>
      <c r="H1223">
        <v>16</v>
      </c>
      <c r="I1223" t="str">
        <f>VLOOKUP(D1223,Product_Lookup!$A$2:$C$27,3,FALSE)</f>
        <v>$230.34</v>
      </c>
      <c r="J1223" t="str">
        <f t="shared" si="155"/>
        <v>Monday</v>
      </c>
      <c r="K1223" s="10" t="str">
        <f t="shared" si="156"/>
        <v>July</v>
      </c>
      <c r="L1223">
        <f t="shared" si="157"/>
        <v>2024</v>
      </c>
      <c r="M1223" t="b">
        <f t="shared" si="158"/>
        <v>0</v>
      </c>
      <c r="N1223" t="b">
        <f t="shared" si="152"/>
        <v>1</v>
      </c>
      <c r="O1223" t="str">
        <f t="shared" si="159"/>
        <v>Large Order</v>
      </c>
      <c r="P1223" s="7">
        <f t="shared" si="153"/>
        <v>11.517000000000001</v>
      </c>
      <c r="Q1223" s="7" t="str">
        <f>VLOOKUP(D1224,Product_Lookup!$A$2:$C$27,2,FALSE)</f>
        <v>Stapler</v>
      </c>
      <c r="R1223" s="7">
        <f t="shared" si="154"/>
        <v>3685.44</v>
      </c>
    </row>
    <row r="1224" spans="1:18" ht="21.75" customHeight="1">
      <c r="A1224" t="s">
        <v>1375</v>
      </c>
      <c r="B1224" s="6">
        <v>45524</v>
      </c>
      <c r="C1224" t="s">
        <v>15</v>
      </c>
      <c r="D1224" t="s">
        <v>35</v>
      </c>
      <c r="E1224" t="s">
        <v>11</v>
      </c>
      <c r="F1224" t="s">
        <v>42</v>
      </c>
      <c r="G1224" t="s">
        <v>28</v>
      </c>
      <c r="H1224">
        <v>16</v>
      </c>
      <c r="I1224" t="str">
        <f>VLOOKUP(D1224,Product_Lookup!$A$2:$C$27,3,FALSE)</f>
        <v>$64.61</v>
      </c>
      <c r="J1224" t="str">
        <f t="shared" si="155"/>
        <v>Tuesday</v>
      </c>
      <c r="K1224" s="10" t="str">
        <f t="shared" si="156"/>
        <v>August</v>
      </c>
      <c r="L1224">
        <f t="shared" si="157"/>
        <v>2024</v>
      </c>
      <c r="M1224" t="b">
        <f t="shared" si="158"/>
        <v>0</v>
      </c>
      <c r="N1224" t="b">
        <f t="shared" si="152"/>
        <v>1</v>
      </c>
      <c r="O1224" t="str">
        <f t="shared" si="159"/>
        <v>Large Order</v>
      </c>
      <c r="P1224" s="7">
        <f t="shared" si="153"/>
        <v>3.2305000000000001</v>
      </c>
      <c r="Q1224" s="7" t="str">
        <f>VLOOKUP(D1225,Product_Lookup!$A$2:$C$27,2,FALSE)</f>
        <v>Tablet</v>
      </c>
      <c r="R1224" s="7">
        <f t="shared" si="154"/>
        <v>1033.76</v>
      </c>
    </row>
    <row r="1225" spans="1:18" ht="21.75" customHeight="1">
      <c r="A1225" t="s">
        <v>1376</v>
      </c>
      <c r="B1225" s="6">
        <v>45307</v>
      </c>
      <c r="C1225" t="s">
        <v>108</v>
      </c>
      <c r="D1225" t="s">
        <v>10</v>
      </c>
      <c r="E1225" t="s">
        <v>22</v>
      </c>
      <c r="F1225" t="s">
        <v>12</v>
      </c>
      <c r="G1225" t="s">
        <v>28</v>
      </c>
      <c r="H1225">
        <v>16</v>
      </c>
      <c r="I1225" t="str">
        <f>VLOOKUP(D1225,Product_Lookup!$A$2:$C$27,3,FALSE)</f>
        <v>$146.06</v>
      </c>
      <c r="J1225" t="str">
        <f t="shared" si="155"/>
        <v>Tuesday</v>
      </c>
      <c r="K1225" s="10" t="str">
        <f t="shared" si="156"/>
        <v>January</v>
      </c>
      <c r="L1225">
        <f t="shared" si="157"/>
        <v>2024</v>
      </c>
      <c r="M1225" t="b">
        <f t="shared" si="158"/>
        <v>0</v>
      </c>
      <c r="N1225" t="b">
        <f t="shared" si="152"/>
        <v>1</v>
      </c>
      <c r="O1225" t="str">
        <f t="shared" si="159"/>
        <v>Large Order</v>
      </c>
      <c r="P1225" s="7">
        <f t="shared" si="153"/>
        <v>7.3030000000000008</v>
      </c>
      <c r="Q1225" s="7" t="str">
        <f>VLOOKUP(D1226,Product_Lookup!$A$2:$C$27,2,FALSE)</f>
        <v>Headphones</v>
      </c>
      <c r="R1225" s="7">
        <f t="shared" si="154"/>
        <v>2336.96</v>
      </c>
    </row>
    <row r="1226" spans="1:18" ht="21.75" customHeight="1">
      <c r="A1226" t="s">
        <v>1377</v>
      </c>
      <c r="B1226" s="6">
        <v>45487</v>
      </c>
      <c r="C1226" t="s">
        <v>493</v>
      </c>
      <c r="D1226" t="s">
        <v>16</v>
      </c>
      <c r="E1226" t="s">
        <v>22</v>
      </c>
      <c r="F1226" t="s">
        <v>42</v>
      </c>
      <c r="G1226" t="s">
        <v>13</v>
      </c>
      <c r="H1226">
        <v>10</v>
      </c>
      <c r="I1226" t="str">
        <f>VLOOKUP(D1226,Product_Lookup!$A$2:$C$27,3,FALSE)</f>
        <v>$178.83</v>
      </c>
      <c r="J1226" t="str">
        <f t="shared" si="155"/>
        <v>Sunday</v>
      </c>
      <c r="K1226" s="10" t="str">
        <f t="shared" si="156"/>
        <v>July</v>
      </c>
      <c r="L1226">
        <f t="shared" si="157"/>
        <v>2024</v>
      </c>
      <c r="M1226" t="b">
        <f t="shared" si="158"/>
        <v>1</v>
      </c>
      <c r="N1226" t="b">
        <f t="shared" si="152"/>
        <v>1</v>
      </c>
      <c r="O1226" t="str">
        <f t="shared" si="159"/>
        <v>Large Order</v>
      </c>
      <c r="P1226" s="7">
        <f t="shared" si="153"/>
        <v>8.9415000000000013</v>
      </c>
      <c r="Q1226" s="7" t="str">
        <f>VLOOKUP(D1227,Product_Lookup!$A$2:$C$27,2,FALSE)</f>
        <v>Air Fryer</v>
      </c>
      <c r="R1226" s="7">
        <f t="shared" si="154"/>
        <v>1788.3000000000002</v>
      </c>
    </row>
    <row r="1227" spans="1:18" ht="21.75" customHeight="1">
      <c r="A1227" t="s">
        <v>1378</v>
      </c>
      <c r="B1227" s="6">
        <v>45331</v>
      </c>
      <c r="C1227" t="s">
        <v>371</v>
      </c>
      <c r="D1227" t="s">
        <v>70</v>
      </c>
      <c r="E1227" t="s">
        <v>22</v>
      </c>
      <c r="F1227" t="s">
        <v>27</v>
      </c>
      <c r="G1227" t="s">
        <v>23</v>
      </c>
      <c r="H1227">
        <v>7</v>
      </c>
      <c r="I1227" t="str">
        <f>VLOOKUP(D1227,Product_Lookup!$A$2:$C$27,3,FALSE)</f>
        <v>$211.9</v>
      </c>
      <c r="J1227" t="str">
        <f t="shared" si="155"/>
        <v>Friday</v>
      </c>
      <c r="K1227" s="10" t="str">
        <f t="shared" si="156"/>
        <v>February</v>
      </c>
      <c r="L1227">
        <f t="shared" si="157"/>
        <v>2024</v>
      </c>
      <c r="M1227" t="b">
        <f t="shared" si="158"/>
        <v>0</v>
      </c>
      <c r="N1227" t="b">
        <f t="shared" si="152"/>
        <v>1</v>
      </c>
      <c r="O1227" t="str">
        <f t="shared" si="159"/>
        <v>Large Order</v>
      </c>
      <c r="P1227" s="7">
        <f t="shared" si="153"/>
        <v>10.595000000000001</v>
      </c>
      <c r="Q1227" s="7" t="str">
        <f>VLOOKUP(D1228,Product_Lookup!$A$2:$C$27,2,FALSE)</f>
        <v>Blender</v>
      </c>
      <c r="R1227" s="7">
        <f t="shared" si="154"/>
        <v>1483.3</v>
      </c>
    </row>
    <row r="1228" spans="1:18" ht="21.75" customHeight="1">
      <c r="A1228" t="s">
        <v>1379</v>
      </c>
      <c r="B1228" s="6">
        <v>45543</v>
      </c>
      <c r="C1228" t="s">
        <v>358</v>
      </c>
      <c r="D1228" t="s">
        <v>72</v>
      </c>
      <c r="E1228" t="s">
        <v>17</v>
      </c>
      <c r="F1228" t="s">
        <v>306</v>
      </c>
      <c r="G1228" t="s">
        <v>13</v>
      </c>
      <c r="H1228">
        <v>18</v>
      </c>
      <c r="I1228" t="str">
        <f>VLOOKUP(D1228,Product_Lookup!$A$2:$C$27,3,FALSE)</f>
        <v>$156.44</v>
      </c>
      <c r="J1228" t="str">
        <f t="shared" si="155"/>
        <v>Sunday</v>
      </c>
      <c r="K1228" s="10" t="str">
        <f t="shared" si="156"/>
        <v>September</v>
      </c>
      <c r="L1228">
        <f t="shared" si="157"/>
        <v>2024</v>
      </c>
      <c r="M1228" t="b">
        <f t="shared" si="158"/>
        <v>1</v>
      </c>
      <c r="N1228" t="b">
        <f t="shared" si="152"/>
        <v>1</v>
      </c>
      <c r="O1228" t="str">
        <f t="shared" si="159"/>
        <v>Large Order</v>
      </c>
      <c r="P1228" s="7">
        <f t="shared" si="153"/>
        <v>7.8220000000000001</v>
      </c>
      <c r="Q1228" s="7" t="str">
        <f>VLOOKUP(D1229,Product_Lookup!$A$2:$C$27,2,FALSE)</f>
        <v>Blender</v>
      </c>
      <c r="R1228" s="7">
        <f t="shared" si="154"/>
        <v>2815.92</v>
      </c>
    </row>
    <row r="1229" spans="1:18" ht="21.75" customHeight="1">
      <c r="A1229" t="s">
        <v>1380</v>
      </c>
      <c r="B1229" s="6">
        <v>45512</v>
      </c>
      <c r="C1229" t="s">
        <v>114</v>
      </c>
      <c r="D1229" t="s">
        <v>72</v>
      </c>
      <c r="E1229" t="s">
        <v>17</v>
      </c>
      <c r="F1229" t="s">
        <v>27</v>
      </c>
      <c r="G1229" t="s">
        <v>13</v>
      </c>
      <c r="H1229">
        <v>13</v>
      </c>
      <c r="I1229" t="str">
        <f>VLOOKUP(D1229,Product_Lookup!$A$2:$C$27,3,FALSE)</f>
        <v>$156.44</v>
      </c>
      <c r="J1229" t="str">
        <f t="shared" si="155"/>
        <v>Thursday</v>
      </c>
      <c r="K1229" s="10" t="str">
        <f t="shared" si="156"/>
        <v>August</v>
      </c>
      <c r="L1229">
        <f t="shared" si="157"/>
        <v>2024</v>
      </c>
      <c r="M1229" t="b">
        <f t="shared" si="158"/>
        <v>0</v>
      </c>
      <c r="N1229" t="b">
        <f t="shared" si="152"/>
        <v>1</v>
      </c>
      <c r="O1229" t="str">
        <f t="shared" si="159"/>
        <v>Large Order</v>
      </c>
      <c r="P1229" s="7">
        <f t="shared" si="153"/>
        <v>7.8220000000000001</v>
      </c>
      <c r="Q1229" s="7" t="str">
        <f>VLOOKUP(D1230,Product_Lookup!$A$2:$C$27,2,FALSE)</f>
        <v>Puzzle</v>
      </c>
      <c r="R1229" s="7">
        <f t="shared" si="154"/>
        <v>2033.72</v>
      </c>
    </row>
    <row r="1230" spans="1:18" ht="21.75" customHeight="1">
      <c r="A1230" t="s">
        <v>1381</v>
      </c>
      <c r="B1230" s="6">
        <v>45308</v>
      </c>
      <c r="C1230" t="s">
        <v>235</v>
      </c>
      <c r="D1230" t="s">
        <v>62</v>
      </c>
      <c r="E1230" t="s">
        <v>22</v>
      </c>
      <c r="F1230" t="s">
        <v>42</v>
      </c>
      <c r="G1230" t="s">
        <v>28</v>
      </c>
      <c r="H1230">
        <v>6</v>
      </c>
      <c r="I1230" t="str">
        <f>VLOOKUP(D1230,Product_Lookup!$A$2:$C$27,3,FALSE)</f>
        <v>$46.19</v>
      </c>
      <c r="J1230" t="str">
        <f t="shared" si="155"/>
        <v>Wednesday</v>
      </c>
      <c r="K1230" s="10" t="str">
        <f t="shared" si="156"/>
        <v>January</v>
      </c>
      <c r="L1230">
        <f t="shared" si="157"/>
        <v>2024</v>
      </c>
      <c r="M1230" t="b">
        <f t="shared" si="158"/>
        <v>0</v>
      </c>
      <c r="N1230" t="b">
        <f t="shared" si="152"/>
        <v>0</v>
      </c>
      <c r="O1230" t="str">
        <f t="shared" si="159"/>
        <v>Standard order</v>
      </c>
      <c r="P1230" s="7">
        <f t="shared" si="153"/>
        <v>2.3094999999999999</v>
      </c>
      <c r="Q1230" s="7" t="str">
        <f>VLOOKUP(D1231,Product_Lookup!$A$2:$C$27,2,FALSE)</f>
        <v>Doll</v>
      </c>
      <c r="R1230" s="7">
        <f t="shared" si="154"/>
        <v>277.14</v>
      </c>
    </row>
    <row r="1231" spans="1:18" ht="21.75" customHeight="1">
      <c r="A1231" t="s">
        <v>1382</v>
      </c>
      <c r="B1231" s="6">
        <v>45451</v>
      </c>
      <c r="C1231" t="s">
        <v>436</v>
      </c>
      <c r="D1231" t="s">
        <v>119</v>
      </c>
      <c r="E1231" t="s">
        <v>17</v>
      </c>
      <c r="F1231" t="s">
        <v>27</v>
      </c>
      <c r="G1231" t="s">
        <v>23</v>
      </c>
      <c r="H1231">
        <v>4</v>
      </c>
      <c r="I1231" t="str">
        <f>VLOOKUP(D1231,Product_Lookup!$A$2:$C$27,3,FALSE)</f>
        <v>$32.94</v>
      </c>
      <c r="J1231" t="str">
        <f t="shared" si="155"/>
        <v>Saturday</v>
      </c>
      <c r="K1231" s="10" t="str">
        <f t="shared" si="156"/>
        <v>June</v>
      </c>
      <c r="L1231">
        <f t="shared" si="157"/>
        <v>2024</v>
      </c>
      <c r="M1231" t="b">
        <f t="shared" si="158"/>
        <v>1</v>
      </c>
      <c r="N1231" t="b">
        <f t="shared" si="152"/>
        <v>0</v>
      </c>
      <c r="O1231" t="str">
        <f t="shared" si="159"/>
        <v>Standard order</v>
      </c>
      <c r="P1231" s="7">
        <f t="shared" si="153"/>
        <v>1.647</v>
      </c>
      <c r="Q1231" s="7" t="str">
        <f>VLOOKUP(D1232,Product_Lookup!$A$2:$C$27,2,FALSE)</f>
        <v>Desk Lamp</v>
      </c>
      <c r="R1231" s="7">
        <f t="shared" si="154"/>
        <v>131.76</v>
      </c>
    </row>
    <row r="1232" spans="1:18" ht="21.75" customHeight="1">
      <c r="A1232" t="s">
        <v>1383</v>
      </c>
      <c r="B1232" s="6">
        <v>45629</v>
      </c>
      <c r="C1232" t="s">
        <v>378</v>
      </c>
      <c r="D1232" t="s">
        <v>59</v>
      </c>
      <c r="E1232" t="s">
        <v>22</v>
      </c>
      <c r="F1232" t="s">
        <v>306</v>
      </c>
      <c r="G1232" t="s">
        <v>28</v>
      </c>
      <c r="H1232">
        <v>16</v>
      </c>
      <c r="I1232" t="str">
        <f>VLOOKUP(D1232,Product_Lookup!$A$2:$C$27,3,FALSE)</f>
        <v>$101.96</v>
      </c>
      <c r="J1232" t="str">
        <f t="shared" si="155"/>
        <v>Tuesday</v>
      </c>
      <c r="K1232" s="10" t="str">
        <f t="shared" si="156"/>
        <v>December</v>
      </c>
      <c r="L1232">
        <f t="shared" si="157"/>
        <v>2024</v>
      </c>
      <c r="M1232" t="b">
        <f t="shared" si="158"/>
        <v>0</v>
      </c>
      <c r="N1232" t="b">
        <f t="shared" si="152"/>
        <v>1</v>
      </c>
      <c r="O1232" t="str">
        <f t="shared" si="159"/>
        <v>Large Order</v>
      </c>
      <c r="P1232" s="7">
        <f t="shared" si="153"/>
        <v>5.0979999999999999</v>
      </c>
      <c r="Q1232" s="7" t="str">
        <f>VLOOKUP(D1233,Product_Lookup!$A$2:$C$27,2,FALSE)</f>
        <v>Stapler</v>
      </c>
      <c r="R1232" s="7">
        <f t="shared" si="154"/>
        <v>1631.36</v>
      </c>
    </row>
    <row r="1233" spans="1:18" ht="21.75" customHeight="1">
      <c r="A1233" t="s">
        <v>1384</v>
      </c>
      <c r="B1233" s="6">
        <v>45551</v>
      </c>
      <c r="C1233" t="s">
        <v>131</v>
      </c>
      <c r="D1233" t="s">
        <v>35</v>
      </c>
      <c r="E1233" t="s">
        <v>17</v>
      </c>
      <c r="F1233" t="s">
        <v>42</v>
      </c>
      <c r="G1233" t="s">
        <v>36</v>
      </c>
      <c r="H1233">
        <v>19</v>
      </c>
      <c r="I1233" t="str">
        <f>VLOOKUP(D1233,Product_Lookup!$A$2:$C$27,3,FALSE)</f>
        <v>$64.61</v>
      </c>
      <c r="J1233" t="str">
        <f t="shared" si="155"/>
        <v>Monday</v>
      </c>
      <c r="K1233" s="10" t="str">
        <f t="shared" si="156"/>
        <v>September</v>
      </c>
      <c r="L1233">
        <f t="shared" si="157"/>
        <v>2024</v>
      </c>
      <c r="M1233" t="b">
        <f t="shared" si="158"/>
        <v>0</v>
      </c>
      <c r="N1233" t="b">
        <f t="shared" si="152"/>
        <v>1</v>
      </c>
      <c r="O1233" t="str">
        <f t="shared" si="159"/>
        <v>Large Order</v>
      </c>
      <c r="P1233" s="7">
        <f t="shared" si="153"/>
        <v>3.2305000000000001</v>
      </c>
      <c r="Q1233" s="7" t="str">
        <f>VLOOKUP(D1234,Product_Lookup!$A$2:$C$27,2,FALSE)</f>
        <v>Smartphone</v>
      </c>
      <c r="R1233" s="7">
        <f t="shared" si="154"/>
        <v>1227.5899999999999</v>
      </c>
    </row>
    <row r="1234" spans="1:18" ht="21.75" customHeight="1">
      <c r="A1234" t="s">
        <v>1385</v>
      </c>
      <c r="B1234" s="6">
        <v>45638</v>
      </c>
      <c r="C1234" t="s">
        <v>182</v>
      </c>
      <c r="D1234" t="s">
        <v>79</v>
      </c>
      <c r="E1234" t="s">
        <v>17</v>
      </c>
      <c r="F1234" t="s">
        <v>42</v>
      </c>
      <c r="G1234" t="s">
        <v>28</v>
      </c>
      <c r="H1234">
        <v>1</v>
      </c>
      <c r="I1234" t="str">
        <f>VLOOKUP(D1234,Product_Lookup!$A$2:$C$27,3,FALSE)</f>
        <v>$216.22</v>
      </c>
      <c r="J1234" t="str">
        <f t="shared" si="155"/>
        <v>Thursday</v>
      </c>
      <c r="K1234" s="10" t="str">
        <f t="shared" si="156"/>
        <v>December</v>
      </c>
      <c r="L1234">
        <f t="shared" si="157"/>
        <v>2024</v>
      </c>
      <c r="M1234" t="b">
        <f t="shared" si="158"/>
        <v>0</v>
      </c>
      <c r="N1234" t="b">
        <f t="shared" si="152"/>
        <v>0</v>
      </c>
      <c r="O1234" t="str">
        <f t="shared" si="159"/>
        <v>Standard order</v>
      </c>
      <c r="P1234" s="7">
        <f t="shared" si="153"/>
        <v>10.811</v>
      </c>
      <c r="Q1234" s="7" t="str">
        <f>VLOOKUP(D1235,Product_Lookup!$A$2:$C$27,2,FALSE)</f>
        <v>Laptop</v>
      </c>
      <c r="R1234" s="7">
        <f t="shared" si="154"/>
        <v>216.22</v>
      </c>
    </row>
    <row r="1235" spans="1:18" ht="21.75" customHeight="1">
      <c r="A1235" t="s">
        <v>1386</v>
      </c>
      <c r="B1235" s="6">
        <v>45479</v>
      </c>
      <c r="C1235" t="s">
        <v>20</v>
      </c>
      <c r="D1235" t="s">
        <v>96</v>
      </c>
      <c r="E1235" t="s">
        <v>22</v>
      </c>
      <c r="F1235" t="s">
        <v>306</v>
      </c>
      <c r="G1235" t="s">
        <v>23</v>
      </c>
      <c r="H1235">
        <v>11</v>
      </c>
      <c r="I1235" t="str">
        <f>VLOOKUP(D1235,Product_Lookup!$A$2:$C$27,3,FALSE)</f>
        <v>$230.68</v>
      </c>
      <c r="J1235" t="str">
        <f t="shared" si="155"/>
        <v>Saturday</v>
      </c>
      <c r="K1235" s="10" t="str">
        <f t="shared" si="156"/>
        <v>July</v>
      </c>
      <c r="L1235">
        <f t="shared" si="157"/>
        <v>2024</v>
      </c>
      <c r="M1235" t="b">
        <f t="shared" si="158"/>
        <v>1</v>
      </c>
      <c r="N1235" t="b">
        <f t="shared" si="152"/>
        <v>1</v>
      </c>
      <c r="O1235" t="str">
        <f t="shared" si="159"/>
        <v>Large Order</v>
      </c>
      <c r="P1235" s="7">
        <f t="shared" si="153"/>
        <v>11.534000000000001</v>
      </c>
      <c r="Q1235" s="7" t="str">
        <f>VLOOKUP(D1236,Product_Lookup!$A$2:$C$27,2,FALSE)</f>
        <v>Smartphone</v>
      </c>
      <c r="R1235" s="7">
        <f t="shared" si="154"/>
        <v>2537.48</v>
      </c>
    </row>
    <row r="1236" spans="1:18" ht="21.75" customHeight="1">
      <c r="A1236" t="s">
        <v>1387</v>
      </c>
      <c r="B1236" s="6">
        <v>45468</v>
      </c>
      <c r="C1236" t="s">
        <v>182</v>
      </c>
      <c r="D1236" t="s">
        <v>79</v>
      </c>
      <c r="E1236" t="s">
        <v>17</v>
      </c>
      <c r="F1236" t="s">
        <v>42</v>
      </c>
      <c r="G1236" t="s">
        <v>32</v>
      </c>
      <c r="H1236">
        <v>8</v>
      </c>
      <c r="I1236" t="str">
        <f>VLOOKUP(D1236,Product_Lookup!$A$2:$C$27,3,FALSE)</f>
        <v>$216.22</v>
      </c>
      <c r="J1236" t="str">
        <f t="shared" si="155"/>
        <v>Tuesday</v>
      </c>
      <c r="K1236" s="10" t="str">
        <f t="shared" si="156"/>
        <v>June</v>
      </c>
      <c r="L1236">
        <f t="shared" si="157"/>
        <v>2024</v>
      </c>
      <c r="M1236" t="b">
        <f t="shared" si="158"/>
        <v>0</v>
      </c>
      <c r="N1236" t="b">
        <f t="shared" si="152"/>
        <v>1</v>
      </c>
      <c r="O1236" t="str">
        <f t="shared" si="159"/>
        <v>Large Order</v>
      </c>
      <c r="P1236" s="7">
        <f t="shared" si="153"/>
        <v>10.811</v>
      </c>
      <c r="Q1236" s="7" t="str">
        <f>VLOOKUP(D1237,Product_Lookup!$A$2:$C$27,2,FALSE)</f>
        <v>Socks</v>
      </c>
      <c r="R1236" s="7">
        <f t="shared" si="154"/>
        <v>1729.76</v>
      </c>
    </row>
    <row r="1237" spans="1:18" ht="21.75" customHeight="1">
      <c r="A1237" t="s">
        <v>1388</v>
      </c>
      <c r="B1237" s="6">
        <v>45595</v>
      </c>
      <c r="C1237" t="s">
        <v>81</v>
      </c>
      <c r="D1237" t="s">
        <v>74</v>
      </c>
      <c r="E1237" t="s">
        <v>22</v>
      </c>
      <c r="F1237" t="s">
        <v>12</v>
      </c>
      <c r="G1237" t="s">
        <v>13</v>
      </c>
      <c r="H1237">
        <v>4</v>
      </c>
      <c r="I1237" t="str">
        <f>VLOOKUP(D1237,Product_Lookup!$A$2:$C$27,3,FALSE)</f>
        <v>$201.32</v>
      </c>
      <c r="J1237" t="str">
        <f t="shared" si="155"/>
        <v>Wednesday</v>
      </c>
      <c r="K1237" s="10" t="str">
        <f t="shared" si="156"/>
        <v>October</v>
      </c>
      <c r="L1237">
        <f t="shared" si="157"/>
        <v>2024</v>
      </c>
      <c r="M1237" t="b">
        <f t="shared" si="158"/>
        <v>0</v>
      </c>
      <c r="N1237" t="b">
        <f t="shared" si="152"/>
        <v>0</v>
      </c>
      <c r="O1237" t="str">
        <f t="shared" si="159"/>
        <v>Large Order</v>
      </c>
      <c r="P1237" s="7">
        <f t="shared" si="153"/>
        <v>10.066000000000001</v>
      </c>
      <c r="Q1237" s="7" t="str">
        <f>VLOOKUP(D1238,Product_Lookup!$A$2:$C$27,2,FALSE)</f>
        <v>Board Game</v>
      </c>
      <c r="R1237" s="7">
        <f t="shared" si="154"/>
        <v>805.28</v>
      </c>
    </row>
    <row r="1238" spans="1:18" ht="21.75" customHeight="1">
      <c r="A1238" t="s">
        <v>1389</v>
      </c>
      <c r="B1238" s="6">
        <v>45567</v>
      </c>
      <c r="C1238" t="s">
        <v>187</v>
      </c>
      <c r="D1238" t="s">
        <v>41</v>
      </c>
      <c r="E1238" t="s">
        <v>11</v>
      </c>
      <c r="F1238" t="s">
        <v>27</v>
      </c>
      <c r="G1238" t="s">
        <v>23</v>
      </c>
      <c r="H1238">
        <v>14</v>
      </c>
      <c r="I1238" t="str">
        <f>VLOOKUP(D1238,Product_Lookup!$A$2:$C$27,3,FALSE)</f>
        <v>$86.6</v>
      </c>
      <c r="J1238" t="str">
        <f t="shared" si="155"/>
        <v>Wednesday</v>
      </c>
      <c r="K1238" s="10" t="str">
        <f t="shared" si="156"/>
        <v>October</v>
      </c>
      <c r="L1238">
        <f t="shared" si="157"/>
        <v>2024</v>
      </c>
      <c r="M1238" t="b">
        <f t="shared" si="158"/>
        <v>0</v>
      </c>
      <c r="N1238" t="b">
        <f t="shared" si="152"/>
        <v>1</v>
      </c>
      <c r="O1238" t="str">
        <f t="shared" si="159"/>
        <v>Large Order</v>
      </c>
      <c r="P1238" s="7">
        <f t="shared" si="153"/>
        <v>4.33</v>
      </c>
      <c r="Q1238" s="7" t="str">
        <f>VLOOKUP(D1239,Product_Lookup!$A$2:$C$27,2,FALSE)</f>
        <v>Desk Lamp</v>
      </c>
      <c r="R1238" s="7">
        <f t="shared" si="154"/>
        <v>1212.3999999999999</v>
      </c>
    </row>
    <row r="1239" spans="1:18" ht="21.75" customHeight="1">
      <c r="A1239" t="s">
        <v>1390</v>
      </c>
      <c r="B1239" s="6">
        <v>45428</v>
      </c>
      <c r="C1239" t="s">
        <v>138</v>
      </c>
      <c r="D1239" t="s">
        <v>59</v>
      </c>
      <c r="E1239" t="s">
        <v>22</v>
      </c>
      <c r="F1239" t="s">
        <v>27</v>
      </c>
      <c r="G1239" t="s">
        <v>23</v>
      </c>
      <c r="H1239">
        <v>1</v>
      </c>
      <c r="I1239" t="str">
        <f>VLOOKUP(D1239,Product_Lookup!$A$2:$C$27,3,FALSE)</f>
        <v>$101.96</v>
      </c>
      <c r="J1239" t="str">
        <f t="shared" si="155"/>
        <v>Thursday</v>
      </c>
      <c r="K1239" s="10" t="str">
        <f t="shared" si="156"/>
        <v>May</v>
      </c>
      <c r="L1239">
        <f t="shared" si="157"/>
        <v>2024</v>
      </c>
      <c r="M1239" t="b">
        <f t="shared" si="158"/>
        <v>0</v>
      </c>
      <c r="N1239" t="b">
        <f t="shared" si="152"/>
        <v>0</v>
      </c>
      <c r="O1239" t="str">
        <f t="shared" si="159"/>
        <v>Standard order</v>
      </c>
      <c r="P1239" s="7">
        <f t="shared" si="153"/>
        <v>5.0979999999999999</v>
      </c>
      <c r="Q1239" s="7" t="str">
        <f>VLOOKUP(D1240,Product_Lookup!$A$2:$C$27,2,FALSE)</f>
        <v>Monitor</v>
      </c>
      <c r="R1239" s="7">
        <f t="shared" si="154"/>
        <v>101.96</v>
      </c>
    </row>
    <row r="1240" spans="1:18" ht="21.75" customHeight="1">
      <c r="A1240" t="s">
        <v>1391</v>
      </c>
      <c r="B1240" s="6">
        <v>45584</v>
      </c>
      <c r="C1240" t="s">
        <v>53</v>
      </c>
      <c r="D1240" t="s">
        <v>102</v>
      </c>
      <c r="E1240" t="s">
        <v>17</v>
      </c>
      <c r="F1240" t="s">
        <v>306</v>
      </c>
      <c r="G1240" t="s">
        <v>28</v>
      </c>
      <c r="H1240">
        <v>16</v>
      </c>
      <c r="I1240" t="str">
        <f>VLOOKUP(D1240,Product_Lookup!$A$2:$C$27,3,FALSE)</f>
        <v>$145.48</v>
      </c>
      <c r="J1240" t="str">
        <f t="shared" si="155"/>
        <v>Saturday</v>
      </c>
      <c r="K1240" s="10" t="str">
        <f t="shared" si="156"/>
        <v>October</v>
      </c>
      <c r="L1240">
        <f t="shared" si="157"/>
        <v>2024</v>
      </c>
      <c r="M1240" t="b">
        <f t="shared" si="158"/>
        <v>1</v>
      </c>
      <c r="N1240" t="b">
        <f t="shared" si="152"/>
        <v>1</v>
      </c>
      <c r="O1240" t="str">
        <f t="shared" si="159"/>
        <v>Large Order</v>
      </c>
      <c r="P1240" s="7">
        <f t="shared" si="153"/>
        <v>7.274</v>
      </c>
      <c r="Q1240" s="7" t="str">
        <f>VLOOKUP(D1241,Product_Lookup!$A$2:$C$27,2,FALSE)</f>
        <v>T-Shirt</v>
      </c>
      <c r="R1240" s="7">
        <f t="shared" si="154"/>
        <v>2327.6799999999998</v>
      </c>
    </row>
    <row r="1241" spans="1:18" ht="21.75" customHeight="1">
      <c r="A1241" t="s">
        <v>1392</v>
      </c>
      <c r="B1241" s="6">
        <v>45464</v>
      </c>
      <c r="C1241" t="s">
        <v>432</v>
      </c>
      <c r="D1241" t="s">
        <v>45</v>
      </c>
      <c r="E1241" t="s">
        <v>22</v>
      </c>
      <c r="F1241" t="s">
        <v>42</v>
      </c>
      <c r="G1241" t="s">
        <v>23</v>
      </c>
      <c r="H1241">
        <v>20</v>
      </c>
      <c r="I1241" t="str">
        <f>VLOOKUP(D1241,Product_Lookup!$A$2:$C$27,3,FALSE)</f>
        <v>$107.34</v>
      </c>
      <c r="J1241" t="str">
        <f t="shared" si="155"/>
        <v>Friday</v>
      </c>
      <c r="K1241" s="10" t="str">
        <f t="shared" si="156"/>
        <v>June</v>
      </c>
      <c r="L1241">
        <f t="shared" si="157"/>
        <v>2024</v>
      </c>
      <c r="M1241" t="b">
        <f t="shared" si="158"/>
        <v>0</v>
      </c>
      <c r="N1241" t="b">
        <f t="shared" si="152"/>
        <v>1</v>
      </c>
      <c r="O1241" t="str">
        <f t="shared" si="159"/>
        <v>Large Order</v>
      </c>
      <c r="P1241" s="7">
        <f t="shared" si="153"/>
        <v>5.3670000000000009</v>
      </c>
      <c r="Q1241" s="7" t="str">
        <f>VLOOKUP(D1242,Product_Lookup!$A$2:$C$27,2,FALSE)</f>
        <v>Pen Set</v>
      </c>
      <c r="R1241" s="7">
        <f t="shared" si="154"/>
        <v>2146.8000000000002</v>
      </c>
    </row>
    <row r="1242" spans="1:18" ht="21.75" customHeight="1">
      <c r="A1242" t="s">
        <v>1393</v>
      </c>
      <c r="B1242" s="6">
        <v>45395</v>
      </c>
      <c r="C1242" t="s">
        <v>432</v>
      </c>
      <c r="D1242" t="s">
        <v>174</v>
      </c>
      <c r="E1242" t="s">
        <v>22</v>
      </c>
      <c r="F1242" t="s">
        <v>12</v>
      </c>
      <c r="G1242" t="s">
        <v>13</v>
      </c>
      <c r="H1242">
        <v>7</v>
      </c>
      <c r="I1242" t="str">
        <f>VLOOKUP(D1242,Product_Lookup!$A$2:$C$27,3,FALSE)</f>
        <v>$133.37</v>
      </c>
      <c r="J1242" t="str">
        <f t="shared" si="155"/>
        <v>Saturday</v>
      </c>
      <c r="K1242" s="10" t="str">
        <f t="shared" si="156"/>
        <v>April</v>
      </c>
      <c r="L1242">
        <f t="shared" si="157"/>
        <v>2024</v>
      </c>
      <c r="M1242" t="b">
        <f t="shared" si="158"/>
        <v>1</v>
      </c>
      <c r="N1242" t="b">
        <f t="shared" si="152"/>
        <v>1</v>
      </c>
      <c r="O1242" t="str">
        <f t="shared" si="159"/>
        <v>Large Order</v>
      </c>
      <c r="P1242" s="7">
        <f t="shared" si="153"/>
        <v>6.6685000000000008</v>
      </c>
      <c r="Q1242" s="7" t="str">
        <f>VLOOKUP(D1243,Product_Lookup!$A$2:$C$27,2,FALSE)</f>
        <v>Paper Shredder</v>
      </c>
      <c r="R1242" s="7">
        <f t="shared" si="154"/>
        <v>933.59</v>
      </c>
    </row>
    <row r="1243" spans="1:18" ht="21.75" customHeight="1">
      <c r="A1243" t="s">
        <v>1394</v>
      </c>
      <c r="B1243" s="6">
        <v>45444</v>
      </c>
      <c r="C1243" t="s">
        <v>314</v>
      </c>
      <c r="D1243" t="s">
        <v>109</v>
      </c>
      <c r="E1243" t="s">
        <v>17</v>
      </c>
      <c r="F1243" t="s">
        <v>56</v>
      </c>
      <c r="G1243" t="s">
        <v>36</v>
      </c>
      <c r="H1243">
        <v>3</v>
      </c>
      <c r="I1243" t="str">
        <f>VLOOKUP(D1243,Product_Lookup!$A$2:$C$27,3,FALSE)</f>
        <v>$81.02</v>
      </c>
      <c r="J1243" t="str">
        <f t="shared" si="155"/>
        <v>Saturday</v>
      </c>
      <c r="K1243" s="10" t="str">
        <f t="shared" si="156"/>
        <v>June</v>
      </c>
      <c r="L1243">
        <f t="shared" si="157"/>
        <v>2024</v>
      </c>
      <c r="M1243" t="b">
        <f t="shared" si="158"/>
        <v>1</v>
      </c>
      <c r="N1243" t="b">
        <f t="shared" si="152"/>
        <v>0</v>
      </c>
      <c r="O1243" t="str">
        <f t="shared" si="159"/>
        <v>Standard order</v>
      </c>
      <c r="P1243" s="7">
        <f t="shared" si="153"/>
        <v>4.0510000000000002</v>
      </c>
      <c r="Q1243" s="7" t="str">
        <f>VLOOKUP(D1244,Product_Lookup!$A$2:$C$27,2,FALSE)</f>
        <v>Tablet</v>
      </c>
      <c r="R1243" s="7">
        <f t="shared" si="154"/>
        <v>243.06</v>
      </c>
    </row>
    <row r="1244" spans="1:18" ht="21.75" customHeight="1">
      <c r="A1244" t="s">
        <v>1395</v>
      </c>
      <c r="B1244" s="6">
        <v>45340</v>
      </c>
      <c r="C1244" t="s">
        <v>449</v>
      </c>
      <c r="D1244" t="s">
        <v>10</v>
      </c>
      <c r="E1244" t="s">
        <v>17</v>
      </c>
      <c r="F1244" t="s">
        <v>42</v>
      </c>
      <c r="G1244" t="s">
        <v>23</v>
      </c>
      <c r="H1244">
        <v>19</v>
      </c>
      <c r="I1244" t="str">
        <f>VLOOKUP(D1244,Product_Lookup!$A$2:$C$27,3,FALSE)</f>
        <v>$146.06</v>
      </c>
      <c r="J1244" t="str">
        <f t="shared" si="155"/>
        <v>Sunday</v>
      </c>
      <c r="K1244" s="10" t="str">
        <f t="shared" si="156"/>
        <v>February</v>
      </c>
      <c r="L1244">
        <f t="shared" si="157"/>
        <v>2024</v>
      </c>
      <c r="M1244" t="b">
        <f t="shared" si="158"/>
        <v>1</v>
      </c>
      <c r="N1244" t="b">
        <f t="shared" si="152"/>
        <v>1</v>
      </c>
      <c r="O1244" t="str">
        <f t="shared" si="159"/>
        <v>Large Order</v>
      </c>
      <c r="P1244" s="7">
        <f t="shared" si="153"/>
        <v>7.3030000000000008</v>
      </c>
      <c r="Q1244" s="7" t="str">
        <f>VLOOKUP(D1245,Product_Lookup!$A$2:$C$27,2,FALSE)</f>
        <v>Action Figure</v>
      </c>
      <c r="R1244" s="7">
        <f t="shared" si="154"/>
        <v>2775.14</v>
      </c>
    </row>
    <row r="1245" spans="1:18" ht="21.75" customHeight="1">
      <c r="A1245" t="s">
        <v>1396</v>
      </c>
      <c r="B1245" s="6">
        <v>45510</v>
      </c>
      <c r="C1245" t="s">
        <v>95</v>
      </c>
      <c r="D1245" t="s">
        <v>21</v>
      </c>
      <c r="E1245" t="s">
        <v>17</v>
      </c>
      <c r="F1245" t="s">
        <v>12</v>
      </c>
      <c r="G1245" t="s">
        <v>32</v>
      </c>
      <c r="H1245">
        <v>10</v>
      </c>
      <c r="I1245" t="str">
        <f>VLOOKUP(D1245,Product_Lookup!$A$2:$C$27,3,FALSE)</f>
        <v>$88.18</v>
      </c>
      <c r="J1245" t="str">
        <f t="shared" si="155"/>
        <v>Tuesday</v>
      </c>
      <c r="K1245" s="10" t="str">
        <f t="shared" si="156"/>
        <v>August</v>
      </c>
      <c r="L1245">
        <f t="shared" si="157"/>
        <v>2024</v>
      </c>
      <c r="M1245" t="b">
        <f t="shared" si="158"/>
        <v>0</v>
      </c>
      <c r="N1245" t="b">
        <f t="shared" si="152"/>
        <v>1</v>
      </c>
      <c r="O1245" t="str">
        <f t="shared" si="159"/>
        <v>Large Order</v>
      </c>
      <c r="P1245" s="7">
        <f t="shared" si="153"/>
        <v>4.4090000000000007</v>
      </c>
      <c r="Q1245" s="7" t="str">
        <f>VLOOKUP(D1246,Product_Lookup!$A$2:$C$27,2,FALSE)</f>
        <v>Jeans</v>
      </c>
      <c r="R1245" s="7">
        <f t="shared" si="154"/>
        <v>881.80000000000007</v>
      </c>
    </row>
    <row r="1246" spans="1:18" ht="21.75" customHeight="1">
      <c r="A1246" t="s">
        <v>1397</v>
      </c>
      <c r="B1246" s="6">
        <v>45513</v>
      </c>
      <c r="C1246" t="s">
        <v>371</v>
      </c>
      <c r="D1246" t="s">
        <v>65</v>
      </c>
      <c r="E1246" t="s">
        <v>22</v>
      </c>
      <c r="F1246" t="s">
        <v>42</v>
      </c>
      <c r="G1246" t="s">
        <v>36</v>
      </c>
      <c r="H1246">
        <v>14</v>
      </c>
      <c r="I1246" t="str">
        <f>VLOOKUP(D1246,Product_Lookup!$A$2:$C$27,3,FALSE)</f>
        <v>$33.22</v>
      </c>
      <c r="J1246" t="str">
        <f t="shared" si="155"/>
        <v>Friday</v>
      </c>
      <c r="K1246" s="10" t="str">
        <f t="shared" si="156"/>
        <v>August</v>
      </c>
      <c r="L1246">
        <f t="shared" si="157"/>
        <v>2024</v>
      </c>
      <c r="M1246" t="b">
        <f t="shared" si="158"/>
        <v>0</v>
      </c>
      <c r="N1246" t="b">
        <f t="shared" si="152"/>
        <v>0</v>
      </c>
      <c r="O1246" t="str">
        <f t="shared" si="159"/>
        <v>Standard order</v>
      </c>
      <c r="P1246" s="7">
        <f t="shared" si="153"/>
        <v>1.661</v>
      </c>
      <c r="Q1246" s="7" t="str">
        <f>VLOOKUP(D1247,Product_Lookup!$A$2:$C$27,2,FALSE)</f>
        <v>T-Shirt</v>
      </c>
      <c r="R1246" s="7">
        <f t="shared" si="154"/>
        <v>465.08</v>
      </c>
    </row>
    <row r="1247" spans="1:18" ht="21.75" customHeight="1">
      <c r="A1247" t="s">
        <v>1398</v>
      </c>
      <c r="B1247" s="6">
        <v>45555</v>
      </c>
      <c r="C1247" t="s">
        <v>366</v>
      </c>
      <c r="D1247" t="s">
        <v>45</v>
      </c>
      <c r="E1247" t="s">
        <v>22</v>
      </c>
      <c r="F1247" t="s">
        <v>306</v>
      </c>
      <c r="G1247" t="s">
        <v>36</v>
      </c>
      <c r="H1247">
        <v>1</v>
      </c>
      <c r="I1247" t="str">
        <f>VLOOKUP(D1247,Product_Lookup!$A$2:$C$27,3,FALSE)</f>
        <v>$107.34</v>
      </c>
      <c r="J1247" t="str">
        <f t="shared" si="155"/>
        <v>Friday</v>
      </c>
      <c r="K1247" s="10" t="str">
        <f t="shared" si="156"/>
        <v>September</v>
      </c>
      <c r="L1247">
        <f t="shared" si="157"/>
        <v>2024</v>
      </c>
      <c r="M1247" t="b">
        <f t="shared" si="158"/>
        <v>0</v>
      </c>
      <c r="N1247" t="b">
        <f t="shared" si="152"/>
        <v>0</v>
      </c>
      <c r="O1247" t="str">
        <f t="shared" si="159"/>
        <v>Standard order</v>
      </c>
      <c r="P1247" s="7">
        <f t="shared" si="153"/>
        <v>5.3670000000000009</v>
      </c>
      <c r="Q1247" s="7" t="str">
        <f>VLOOKUP(D1248,Product_Lookup!$A$2:$C$27,2,FALSE)</f>
        <v>Board Game</v>
      </c>
      <c r="R1247" s="7">
        <f t="shared" si="154"/>
        <v>107.34</v>
      </c>
    </row>
    <row r="1248" spans="1:18" ht="21.75" customHeight="1">
      <c r="A1248" t="s">
        <v>1399</v>
      </c>
      <c r="B1248" s="6">
        <v>45387</v>
      </c>
      <c r="C1248" t="s">
        <v>314</v>
      </c>
      <c r="D1248" t="s">
        <v>41</v>
      </c>
      <c r="E1248" t="s">
        <v>17</v>
      </c>
      <c r="F1248" t="s">
        <v>56</v>
      </c>
      <c r="G1248" t="s">
        <v>36</v>
      </c>
      <c r="H1248">
        <v>15</v>
      </c>
      <c r="I1248" t="str">
        <f>VLOOKUP(D1248,Product_Lookup!$A$2:$C$27,3,FALSE)</f>
        <v>$86.6</v>
      </c>
      <c r="J1248" t="str">
        <f t="shared" si="155"/>
        <v>Friday</v>
      </c>
      <c r="K1248" s="10" t="str">
        <f t="shared" si="156"/>
        <v>April</v>
      </c>
      <c r="L1248">
        <f t="shared" si="157"/>
        <v>2024</v>
      </c>
      <c r="M1248" t="b">
        <f t="shared" si="158"/>
        <v>0</v>
      </c>
      <c r="N1248" t="b">
        <f t="shared" si="152"/>
        <v>1</v>
      </c>
      <c r="O1248" t="str">
        <f t="shared" si="159"/>
        <v>Large Order</v>
      </c>
      <c r="P1248" s="7">
        <f t="shared" si="153"/>
        <v>4.33</v>
      </c>
      <c r="Q1248" s="7" t="str">
        <f>VLOOKUP(D1249,Product_Lookup!$A$2:$C$27,2,FALSE)</f>
        <v>Lego Set</v>
      </c>
      <c r="R1248" s="7">
        <f t="shared" si="154"/>
        <v>1299</v>
      </c>
    </row>
    <row r="1249" spans="1:18" ht="21.75" customHeight="1">
      <c r="A1249" t="s">
        <v>1400</v>
      </c>
      <c r="B1249" s="6">
        <v>45606</v>
      </c>
      <c r="C1249" t="s">
        <v>337</v>
      </c>
      <c r="D1249" t="s">
        <v>84</v>
      </c>
      <c r="E1249" t="s">
        <v>17</v>
      </c>
      <c r="F1249" t="s">
        <v>306</v>
      </c>
      <c r="G1249" t="s">
        <v>32</v>
      </c>
      <c r="H1249">
        <v>2</v>
      </c>
      <c r="I1249" t="str">
        <f>VLOOKUP(D1249,Product_Lookup!$A$2:$C$27,3,FALSE)</f>
        <v>$130.07</v>
      </c>
      <c r="J1249" t="str">
        <f t="shared" si="155"/>
        <v>Sunday</v>
      </c>
      <c r="K1249" s="10" t="str">
        <f t="shared" si="156"/>
        <v>November</v>
      </c>
      <c r="L1249">
        <f t="shared" si="157"/>
        <v>2024</v>
      </c>
      <c r="M1249" t="b">
        <f t="shared" si="158"/>
        <v>1</v>
      </c>
      <c r="N1249" t="b">
        <f t="shared" si="152"/>
        <v>0</v>
      </c>
      <c r="O1249" t="str">
        <f t="shared" si="159"/>
        <v>Standard order</v>
      </c>
      <c r="P1249" s="7">
        <f t="shared" si="153"/>
        <v>6.5034999999999998</v>
      </c>
      <c r="Q1249" s="7" t="str">
        <f>VLOOKUP(D1250,Product_Lookup!$A$2:$C$27,2,FALSE)</f>
        <v>Lego Set</v>
      </c>
      <c r="R1249" s="7">
        <f t="shared" si="154"/>
        <v>260.14</v>
      </c>
    </row>
    <row r="1250" spans="1:18" ht="21.75" customHeight="1">
      <c r="A1250" t="s">
        <v>1401</v>
      </c>
      <c r="B1250" s="6">
        <v>45528</v>
      </c>
      <c r="C1250" t="s">
        <v>167</v>
      </c>
      <c r="D1250" t="s">
        <v>84</v>
      </c>
      <c r="E1250" t="s">
        <v>11</v>
      </c>
      <c r="F1250" t="s">
        <v>56</v>
      </c>
      <c r="G1250" t="s">
        <v>23</v>
      </c>
      <c r="H1250">
        <v>10</v>
      </c>
      <c r="I1250" t="str">
        <f>VLOOKUP(D1250,Product_Lookup!$A$2:$C$27,3,FALSE)</f>
        <v>$130.07</v>
      </c>
      <c r="J1250" t="str">
        <f t="shared" si="155"/>
        <v>Saturday</v>
      </c>
      <c r="K1250" s="10" t="str">
        <f t="shared" si="156"/>
        <v>August</v>
      </c>
      <c r="L1250">
        <f t="shared" si="157"/>
        <v>2024</v>
      </c>
      <c r="M1250" t="b">
        <f t="shared" si="158"/>
        <v>1</v>
      </c>
      <c r="N1250" t="b">
        <f t="shared" si="152"/>
        <v>1</v>
      </c>
      <c r="O1250" t="str">
        <f t="shared" si="159"/>
        <v>Large Order</v>
      </c>
      <c r="P1250" s="7">
        <f t="shared" si="153"/>
        <v>6.5034999999999998</v>
      </c>
      <c r="Q1250" s="7" t="str">
        <f>VLOOKUP(D1251,Product_Lookup!$A$2:$C$27,2,FALSE)</f>
        <v>Vacuum</v>
      </c>
      <c r="R1250" s="7">
        <f t="shared" si="154"/>
        <v>1300.6999999999998</v>
      </c>
    </row>
    <row r="1251" spans="1:18" ht="21.75" customHeight="1">
      <c r="A1251" t="s">
        <v>1402</v>
      </c>
      <c r="B1251" s="6">
        <v>45455</v>
      </c>
      <c r="C1251" t="s">
        <v>58</v>
      </c>
      <c r="D1251" t="s">
        <v>87</v>
      </c>
      <c r="E1251" t="s">
        <v>22</v>
      </c>
      <c r="F1251" t="s">
        <v>56</v>
      </c>
      <c r="G1251" t="s">
        <v>28</v>
      </c>
      <c r="H1251">
        <v>9</v>
      </c>
      <c r="I1251" t="str">
        <f>VLOOKUP(D1251,Product_Lookup!$A$2:$C$27,3,FALSE)</f>
        <v>$26.59</v>
      </c>
      <c r="J1251" t="str">
        <f t="shared" si="155"/>
        <v>Wednesday</v>
      </c>
      <c r="K1251" s="10" t="str">
        <f t="shared" si="156"/>
        <v>June</v>
      </c>
      <c r="L1251">
        <f t="shared" si="157"/>
        <v>2024</v>
      </c>
      <c r="M1251" t="b">
        <f t="shared" si="158"/>
        <v>0</v>
      </c>
      <c r="N1251" t="b">
        <f t="shared" si="152"/>
        <v>0</v>
      </c>
      <c r="O1251" t="str">
        <f t="shared" si="159"/>
        <v>Standard order</v>
      </c>
      <c r="P1251" s="7">
        <f t="shared" si="153"/>
        <v>1.3295000000000001</v>
      </c>
      <c r="Q1251" s="7" t="str">
        <f>VLOOKUP(D1252,Product_Lookup!$A$2:$C$27,2,FALSE)</f>
        <v>Coffee Maker</v>
      </c>
      <c r="R1251" s="7">
        <f t="shared" si="154"/>
        <v>239.31</v>
      </c>
    </row>
    <row r="1252" spans="1:18" ht="21.75" customHeight="1">
      <c r="A1252" t="s">
        <v>1403</v>
      </c>
      <c r="B1252" s="6">
        <v>45423</v>
      </c>
      <c r="C1252" t="s">
        <v>455</v>
      </c>
      <c r="D1252" t="s">
        <v>31</v>
      </c>
      <c r="E1252" t="s">
        <v>22</v>
      </c>
      <c r="F1252" t="s">
        <v>56</v>
      </c>
      <c r="G1252" t="s">
        <v>28</v>
      </c>
      <c r="H1252">
        <v>8</v>
      </c>
      <c r="I1252" t="str">
        <f>VLOOKUP(D1252,Product_Lookup!$A$2:$C$27,3,FALSE)</f>
        <v>$230.34</v>
      </c>
      <c r="J1252" t="str">
        <f t="shared" si="155"/>
        <v>Saturday</v>
      </c>
      <c r="K1252" s="10" t="str">
        <f t="shared" si="156"/>
        <v>May</v>
      </c>
      <c r="L1252">
        <f t="shared" si="157"/>
        <v>2024</v>
      </c>
      <c r="M1252" t="b">
        <f t="shared" si="158"/>
        <v>1</v>
      </c>
      <c r="N1252" t="b">
        <f t="shared" si="152"/>
        <v>1</v>
      </c>
      <c r="O1252" t="str">
        <f t="shared" si="159"/>
        <v>Large Order</v>
      </c>
      <c r="P1252" s="7">
        <f t="shared" si="153"/>
        <v>11.517000000000001</v>
      </c>
      <c r="Q1252" s="7" t="str">
        <f>VLOOKUP(D1253,Product_Lookup!$A$2:$C$27,2,FALSE)</f>
        <v>Stapler</v>
      </c>
      <c r="R1252" s="7">
        <f t="shared" si="154"/>
        <v>1842.72</v>
      </c>
    </row>
    <row r="1253" spans="1:18" ht="21.75" customHeight="1">
      <c r="A1253" t="s">
        <v>1404</v>
      </c>
      <c r="B1253" s="6">
        <v>45306</v>
      </c>
      <c r="C1253" t="s">
        <v>78</v>
      </c>
      <c r="D1253" t="s">
        <v>35</v>
      </c>
      <c r="E1253" t="s">
        <v>17</v>
      </c>
      <c r="F1253" t="s">
        <v>27</v>
      </c>
      <c r="G1253" t="s">
        <v>23</v>
      </c>
      <c r="H1253">
        <v>18</v>
      </c>
      <c r="I1253" t="str">
        <f>VLOOKUP(D1253,Product_Lookup!$A$2:$C$27,3,FALSE)</f>
        <v>$64.61</v>
      </c>
      <c r="J1253" t="str">
        <f t="shared" si="155"/>
        <v>Monday</v>
      </c>
      <c r="K1253" s="10" t="str">
        <f t="shared" si="156"/>
        <v>January</v>
      </c>
      <c r="L1253">
        <f t="shared" si="157"/>
        <v>2024</v>
      </c>
      <c r="M1253" t="b">
        <f t="shared" si="158"/>
        <v>0</v>
      </c>
      <c r="N1253" t="b">
        <f t="shared" si="152"/>
        <v>1</v>
      </c>
      <c r="O1253" t="str">
        <f t="shared" si="159"/>
        <v>Large Order</v>
      </c>
      <c r="P1253" s="7">
        <f t="shared" si="153"/>
        <v>3.2305000000000001</v>
      </c>
      <c r="Q1253" s="7" t="str">
        <f>VLOOKUP(D1254,Product_Lookup!$A$2:$C$27,2,FALSE)</f>
        <v>Sweater</v>
      </c>
      <c r="R1253" s="7">
        <f t="shared" si="154"/>
        <v>1162.98</v>
      </c>
    </row>
    <row r="1254" spans="1:18" ht="21.75" customHeight="1">
      <c r="A1254" t="s">
        <v>1405</v>
      </c>
      <c r="B1254" s="6">
        <v>45623</v>
      </c>
      <c r="C1254" t="s">
        <v>122</v>
      </c>
      <c r="D1254" t="s">
        <v>26</v>
      </c>
      <c r="E1254" t="s">
        <v>11</v>
      </c>
      <c r="F1254" t="s">
        <v>56</v>
      </c>
      <c r="G1254" t="s">
        <v>32</v>
      </c>
      <c r="H1254">
        <v>5</v>
      </c>
      <c r="I1254" t="str">
        <f>VLOOKUP(D1254,Product_Lookup!$A$2:$C$27,3,FALSE)</f>
        <v>$84.57</v>
      </c>
      <c r="J1254" t="str">
        <f t="shared" si="155"/>
        <v>Wednesday</v>
      </c>
      <c r="K1254" s="10" t="str">
        <f t="shared" si="156"/>
        <v>November</v>
      </c>
      <c r="L1254">
        <f t="shared" si="157"/>
        <v>2024</v>
      </c>
      <c r="M1254" t="b">
        <f t="shared" si="158"/>
        <v>0</v>
      </c>
      <c r="N1254" t="b">
        <f t="shared" si="152"/>
        <v>0</v>
      </c>
      <c r="O1254" t="str">
        <f t="shared" si="159"/>
        <v>Standard order</v>
      </c>
      <c r="P1254" s="7">
        <f t="shared" si="153"/>
        <v>4.2284999999999995</v>
      </c>
      <c r="Q1254" s="7" t="str">
        <f>VLOOKUP(D1255,Product_Lookup!$A$2:$C$27,2,FALSE)</f>
        <v>Lego Set</v>
      </c>
      <c r="R1254" s="7">
        <f t="shared" si="154"/>
        <v>422.84999999999997</v>
      </c>
    </row>
    <row r="1255" spans="1:18" ht="21.75" customHeight="1">
      <c r="A1255" t="s">
        <v>1406</v>
      </c>
      <c r="B1255" s="6">
        <v>45629</v>
      </c>
      <c r="C1255" t="s">
        <v>378</v>
      </c>
      <c r="D1255" t="s">
        <v>84</v>
      </c>
      <c r="E1255" t="s">
        <v>11</v>
      </c>
      <c r="F1255" t="s">
        <v>12</v>
      </c>
      <c r="G1255" t="s">
        <v>13</v>
      </c>
      <c r="H1255">
        <v>16</v>
      </c>
      <c r="I1255" t="str">
        <f>VLOOKUP(D1255,Product_Lookup!$A$2:$C$27,3,FALSE)</f>
        <v>$130.07</v>
      </c>
      <c r="J1255" t="str">
        <f t="shared" si="155"/>
        <v>Tuesday</v>
      </c>
      <c r="K1255" s="10" t="str">
        <f t="shared" si="156"/>
        <v>December</v>
      </c>
      <c r="L1255">
        <f t="shared" si="157"/>
        <v>2024</v>
      </c>
      <c r="M1255" t="b">
        <f t="shared" si="158"/>
        <v>0</v>
      </c>
      <c r="N1255" t="b">
        <f t="shared" si="152"/>
        <v>1</v>
      </c>
      <c r="O1255" t="str">
        <f t="shared" si="159"/>
        <v>Large Order</v>
      </c>
      <c r="P1255" s="7">
        <f t="shared" si="153"/>
        <v>6.5034999999999998</v>
      </c>
      <c r="Q1255" s="7" t="str">
        <f>VLOOKUP(D1256,Product_Lookup!$A$2:$C$27,2,FALSE)</f>
        <v>Tablet</v>
      </c>
      <c r="R1255" s="7">
        <f t="shared" si="154"/>
        <v>2081.12</v>
      </c>
    </row>
    <row r="1256" spans="1:18" ht="21.75" customHeight="1">
      <c r="A1256" t="s">
        <v>1407</v>
      </c>
      <c r="B1256" s="6">
        <v>45334</v>
      </c>
      <c r="C1256" t="s">
        <v>38</v>
      </c>
      <c r="D1256" t="s">
        <v>10</v>
      </c>
      <c r="E1256" t="s">
        <v>22</v>
      </c>
      <c r="F1256" t="s">
        <v>42</v>
      </c>
      <c r="G1256" t="s">
        <v>13</v>
      </c>
      <c r="H1256">
        <v>14</v>
      </c>
      <c r="I1256" t="str">
        <f>VLOOKUP(D1256,Product_Lookup!$A$2:$C$27,3,FALSE)</f>
        <v>$146.06</v>
      </c>
      <c r="J1256" t="str">
        <f t="shared" si="155"/>
        <v>Monday</v>
      </c>
      <c r="K1256" s="10" t="str">
        <f t="shared" si="156"/>
        <v>February</v>
      </c>
      <c r="L1256">
        <f t="shared" si="157"/>
        <v>2024</v>
      </c>
      <c r="M1256" t="b">
        <f t="shared" si="158"/>
        <v>0</v>
      </c>
      <c r="N1256" t="b">
        <f t="shared" si="152"/>
        <v>1</v>
      </c>
      <c r="O1256" t="str">
        <f t="shared" si="159"/>
        <v>Large Order</v>
      </c>
      <c r="P1256" s="7">
        <f t="shared" si="153"/>
        <v>7.3030000000000008</v>
      </c>
      <c r="Q1256" s="7" t="str">
        <f>VLOOKUP(D1257,Product_Lookup!$A$2:$C$27,2,FALSE)</f>
        <v>Monitor</v>
      </c>
      <c r="R1256" s="7">
        <f t="shared" si="154"/>
        <v>2044.8400000000001</v>
      </c>
    </row>
    <row r="1257" spans="1:18" ht="21.75" customHeight="1">
      <c r="A1257" t="s">
        <v>1408</v>
      </c>
      <c r="B1257" s="6">
        <v>45495</v>
      </c>
      <c r="C1257" t="s">
        <v>329</v>
      </c>
      <c r="D1257" t="s">
        <v>102</v>
      </c>
      <c r="E1257" t="s">
        <v>11</v>
      </c>
      <c r="F1257" t="s">
        <v>56</v>
      </c>
      <c r="G1257" t="s">
        <v>13</v>
      </c>
      <c r="H1257">
        <v>19</v>
      </c>
      <c r="I1257" t="str">
        <f>VLOOKUP(D1257,Product_Lookup!$A$2:$C$27,3,FALSE)</f>
        <v>$145.48</v>
      </c>
      <c r="J1257" t="str">
        <f t="shared" si="155"/>
        <v>Monday</v>
      </c>
      <c r="K1257" s="10" t="str">
        <f t="shared" si="156"/>
        <v>July</v>
      </c>
      <c r="L1257">
        <f t="shared" si="157"/>
        <v>2024</v>
      </c>
      <c r="M1257" t="b">
        <f t="shared" si="158"/>
        <v>0</v>
      </c>
      <c r="N1257" t="b">
        <f t="shared" si="152"/>
        <v>1</v>
      </c>
      <c r="O1257" t="str">
        <f t="shared" si="159"/>
        <v>Large Order</v>
      </c>
      <c r="P1257" s="7">
        <f t="shared" si="153"/>
        <v>7.274</v>
      </c>
      <c r="Q1257" s="7" t="str">
        <f>VLOOKUP(D1258,Product_Lookup!$A$2:$C$27,2,FALSE)</f>
        <v>Sweater</v>
      </c>
      <c r="R1257" s="7">
        <f t="shared" si="154"/>
        <v>2764.12</v>
      </c>
    </row>
    <row r="1258" spans="1:18" ht="21.75" customHeight="1">
      <c r="A1258" t="s">
        <v>1409</v>
      </c>
      <c r="B1258" s="6">
        <v>45559</v>
      </c>
      <c r="C1258" t="s">
        <v>317</v>
      </c>
      <c r="D1258" t="s">
        <v>26</v>
      </c>
      <c r="E1258" t="s">
        <v>22</v>
      </c>
      <c r="F1258" t="s">
        <v>306</v>
      </c>
      <c r="G1258" t="s">
        <v>28</v>
      </c>
      <c r="H1258">
        <v>16</v>
      </c>
      <c r="I1258" t="str">
        <f>VLOOKUP(D1258,Product_Lookup!$A$2:$C$27,3,FALSE)</f>
        <v>$84.57</v>
      </c>
      <c r="J1258" t="str">
        <f t="shared" si="155"/>
        <v>Tuesday</v>
      </c>
      <c r="K1258" s="10" t="str">
        <f t="shared" si="156"/>
        <v>September</v>
      </c>
      <c r="L1258">
        <f t="shared" si="157"/>
        <v>2024</v>
      </c>
      <c r="M1258" t="b">
        <f t="shared" si="158"/>
        <v>0</v>
      </c>
      <c r="N1258" t="b">
        <f t="shared" si="152"/>
        <v>1</v>
      </c>
      <c r="O1258" t="str">
        <f t="shared" si="159"/>
        <v>Large Order</v>
      </c>
      <c r="P1258" s="7">
        <f t="shared" si="153"/>
        <v>4.2284999999999995</v>
      </c>
      <c r="Q1258" s="7" t="str">
        <f>VLOOKUP(D1259,Product_Lookup!$A$2:$C$27,2,FALSE)</f>
        <v>Desk Lamp</v>
      </c>
      <c r="R1258" s="7">
        <f t="shared" si="154"/>
        <v>1353.12</v>
      </c>
    </row>
    <row r="1259" spans="1:18" ht="21.75" customHeight="1">
      <c r="A1259" t="s">
        <v>1410</v>
      </c>
      <c r="B1259" s="6">
        <v>45599</v>
      </c>
      <c r="C1259" t="s">
        <v>114</v>
      </c>
      <c r="D1259" t="s">
        <v>59</v>
      </c>
      <c r="E1259" t="s">
        <v>17</v>
      </c>
      <c r="F1259" t="s">
        <v>42</v>
      </c>
      <c r="G1259" t="s">
        <v>28</v>
      </c>
      <c r="H1259">
        <v>13</v>
      </c>
      <c r="I1259" t="str">
        <f>VLOOKUP(D1259,Product_Lookup!$A$2:$C$27,3,FALSE)</f>
        <v>$101.96</v>
      </c>
      <c r="J1259" t="str">
        <f t="shared" si="155"/>
        <v>Sunday</v>
      </c>
      <c r="K1259" s="10" t="str">
        <f t="shared" si="156"/>
        <v>November</v>
      </c>
      <c r="L1259">
        <f t="shared" si="157"/>
        <v>2024</v>
      </c>
      <c r="M1259" t="b">
        <f t="shared" si="158"/>
        <v>1</v>
      </c>
      <c r="N1259" t="b">
        <f t="shared" si="152"/>
        <v>1</v>
      </c>
      <c r="O1259" t="str">
        <f t="shared" si="159"/>
        <v>Large Order</v>
      </c>
      <c r="P1259" s="7">
        <f t="shared" si="153"/>
        <v>5.0979999999999999</v>
      </c>
      <c r="Q1259" s="7" t="str">
        <f>VLOOKUP(D1260,Product_Lookup!$A$2:$C$27,2,FALSE)</f>
        <v>T-Shirt</v>
      </c>
      <c r="R1259" s="7">
        <f t="shared" si="154"/>
        <v>1325.48</v>
      </c>
    </row>
    <row r="1260" spans="1:18" ht="21.75" customHeight="1">
      <c r="A1260" t="s">
        <v>1411</v>
      </c>
      <c r="B1260" s="6">
        <v>45508</v>
      </c>
      <c r="C1260" t="s">
        <v>133</v>
      </c>
      <c r="D1260" t="s">
        <v>45</v>
      </c>
      <c r="E1260" t="s">
        <v>11</v>
      </c>
      <c r="F1260" t="s">
        <v>12</v>
      </c>
      <c r="G1260" t="s">
        <v>23</v>
      </c>
      <c r="H1260">
        <v>7</v>
      </c>
      <c r="I1260" t="str">
        <f>VLOOKUP(D1260,Product_Lookup!$A$2:$C$27,3,FALSE)</f>
        <v>$107.34</v>
      </c>
      <c r="J1260" t="str">
        <f t="shared" si="155"/>
        <v>Sunday</v>
      </c>
      <c r="K1260" s="10" t="str">
        <f t="shared" si="156"/>
        <v>August</v>
      </c>
      <c r="L1260">
        <f t="shared" si="157"/>
        <v>2024</v>
      </c>
      <c r="M1260" t="b">
        <f t="shared" si="158"/>
        <v>1</v>
      </c>
      <c r="N1260" t="b">
        <f t="shared" si="152"/>
        <v>1</v>
      </c>
      <c r="O1260" t="str">
        <f t="shared" si="159"/>
        <v>Large Order</v>
      </c>
      <c r="P1260" s="7">
        <f t="shared" si="153"/>
        <v>5.3670000000000009</v>
      </c>
      <c r="Q1260" s="7" t="str">
        <f>VLOOKUP(D1261,Product_Lookup!$A$2:$C$27,2,FALSE)</f>
        <v>Stapler</v>
      </c>
      <c r="R1260" s="7">
        <f t="shared" si="154"/>
        <v>751.38</v>
      </c>
    </row>
    <row r="1261" spans="1:18" ht="21.75" customHeight="1">
      <c r="A1261" t="s">
        <v>1412</v>
      </c>
      <c r="B1261" s="6">
        <v>45501</v>
      </c>
      <c r="C1261" t="s">
        <v>230</v>
      </c>
      <c r="D1261" t="s">
        <v>35</v>
      </c>
      <c r="E1261" t="s">
        <v>22</v>
      </c>
      <c r="F1261" t="s">
        <v>12</v>
      </c>
      <c r="G1261" t="s">
        <v>13</v>
      </c>
      <c r="H1261">
        <v>18</v>
      </c>
      <c r="I1261" t="str">
        <f>VLOOKUP(D1261,Product_Lookup!$A$2:$C$27,3,FALSE)</f>
        <v>$64.61</v>
      </c>
      <c r="J1261" t="str">
        <f t="shared" si="155"/>
        <v>Sunday</v>
      </c>
      <c r="K1261" s="10" t="str">
        <f t="shared" si="156"/>
        <v>July</v>
      </c>
      <c r="L1261">
        <f t="shared" si="157"/>
        <v>2024</v>
      </c>
      <c r="M1261" t="b">
        <f t="shared" si="158"/>
        <v>1</v>
      </c>
      <c r="N1261" t="b">
        <f t="shared" si="152"/>
        <v>1</v>
      </c>
      <c r="O1261" t="str">
        <f t="shared" si="159"/>
        <v>Large Order</v>
      </c>
      <c r="P1261" s="7">
        <f t="shared" si="153"/>
        <v>3.2305000000000001</v>
      </c>
      <c r="Q1261" s="7" t="str">
        <f>VLOOKUP(D1262,Product_Lookup!$A$2:$C$27,2,FALSE)</f>
        <v>Board Game</v>
      </c>
      <c r="R1261" s="7">
        <f t="shared" si="154"/>
        <v>1162.98</v>
      </c>
    </row>
    <row r="1262" spans="1:18" ht="21.75" customHeight="1">
      <c r="A1262" t="s">
        <v>1413</v>
      </c>
      <c r="B1262" s="6">
        <v>45454</v>
      </c>
      <c r="C1262" t="s">
        <v>591</v>
      </c>
      <c r="D1262" t="s">
        <v>41</v>
      </c>
      <c r="E1262" t="s">
        <v>17</v>
      </c>
      <c r="F1262" t="s">
        <v>27</v>
      </c>
      <c r="G1262" t="s">
        <v>28</v>
      </c>
      <c r="H1262">
        <v>8</v>
      </c>
      <c r="I1262" t="str">
        <f>VLOOKUP(D1262,Product_Lookup!$A$2:$C$27,3,FALSE)</f>
        <v>$86.6</v>
      </c>
      <c r="J1262" t="str">
        <f t="shared" si="155"/>
        <v>Tuesday</v>
      </c>
      <c r="K1262" s="10" t="str">
        <f t="shared" si="156"/>
        <v>June</v>
      </c>
      <c r="L1262">
        <f t="shared" si="157"/>
        <v>2024</v>
      </c>
      <c r="M1262" t="b">
        <f t="shared" si="158"/>
        <v>0</v>
      </c>
      <c r="N1262" t="b">
        <f t="shared" si="152"/>
        <v>0</v>
      </c>
      <c r="O1262" t="str">
        <f t="shared" si="159"/>
        <v>Large Order</v>
      </c>
      <c r="P1262" s="7">
        <f t="shared" si="153"/>
        <v>4.33</v>
      </c>
      <c r="Q1262" s="7" t="str">
        <f>VLOOKUP(D1263,Product_Lookup!$A$2:$C$27,2,FALSE)</f>
        <v>Socks</v>
      </c>
      <c r="R1262" s="7">
        <f t="shared" si="154"/>
        <v>692.8</v>
      </c>
    </row>
    <row r="1263" spans="1:18" ht="21.75" customHeight="1">
      <c r="A1263" t="s">
        <v>1414</v>
      </c>
      <c r="B1263" s="6">
        <v>45477</v>
      </c>
      <c r="C1263" t="s">
        <v>553</v>
      </c>
      <c r="D1263" t="s">
        <v>74</v>
      </c>
      <c r="E1263" t="s">
        <v>22</v>
      </c>
      <c r="F1263" t="s">
        <v>42</v>
      </c>
      <c r="G1263" t="s">
        <v>36</v>
      </c>
      <c r="H1263">
        <v>1</v>
      </c>
      <c r="I1263" t="str">
        <f>VLOOKUP(D1263,Product_Lookup!$A$2:$C$27,3,FALSE)</f>
        <v>$201.32</v>
      </c>
      <c r="J1263" t="str">
        <f t="shared" si="155"/>
        <v>Thursday</v>
      </c>
      <c r="K1263" s="10" t="str">
        <f t="shared" si="156"/>
        <v>July</v>
      </c>
      <c r="L1263">
        <f t="shared" si="157"/>
        <v>2024</v>
      </c>
      <c r="M1263" t="b">
        <f t="shared" si="158"/>
        <v>0</v>
      </c>
      <c r="N1263" t="b">
        <f t="shared" si="152"/>
        <v>0</v>
      </c>
      <c r="O1263" t="str">
        <f t="shared" si="159"/>
        <v>Standard order</v>
      </c>
      <c r="P1263" s="7">
        <f t="shared" si="153"/>
        <v>10.066000000000001</v>
      </c>
      <c r="Q1263" s="7" t="str">
        <f>VLOOKUP(D1264,Product_Lookup!$A$2:$C$27,2,FALSE)</f>
        <v>Puzzle</v>
      </c>
      <c r="R1263" s="7">
        <f t="shared" si="154"/>
        <v>201.32</v>
      </c>
    </row>
    <row r="1264" spans="1:18" ht="21.75" customHeight="1">
      <c r="A1264" t="s">
        <v>1415</v>
      </c>
      <c r="B1264" s="6">
        <v>45309</v>
      </c>
      <c r="C1264" t="s">
        <v>304</v>
      </c>
      <c r="D1264" t="s">
        <v>62</v>
      </c>
      <c r="E1264" t="s">
        <v>22</v>
      </c>
      <c r="F1264" t="s">
        <v>12</v>
      </c>
      <c r="G1264" t="s">
        <v>23</v>
      </c>
      <c r="H1264">
        <v>8</v>
      </c>
      <c r="I1264" t="str">
        <f>VLOOKUP(D1264,Product_Lookup!$A$2:$C$27,3,FALSE)</f>
        <v>$46.19</v>
      </c>
      <c r="J1264" t="str">
        <f t="shared" si="155"/>
        <v>Thursday</v>
      </c>
      <c r="K1264" s="10" t="str">
        <f t="shared" si="156"/>
        <v>January</v>
      </c>
      <c r="L1264">
        <f t="shared" si="157"/>
        <v>2024</v>
      </c>
      <c r="M1264" t="b">
        <f t="shared" si="158"/>
        <v>0</v>
      </c>
      <c r="N1264" t="b">
        <f t="shared" si="152"/>
        <v>0</v>
      </c>
      <c r="O1264" t="str">
        <f t="shared" si="159"/>
        <v>Standard order</v>
      </c>
      <c r="P1264" s="7">
        <f t="shared" si="153"/>
        <v>2.3094999999999999</v>
      </c>
      <c r="Q1264" s="7" t="str">
        <f>VLOOKUP(D1265,Product_Lookup!$A$2:$C$27,2,FALSE)</f>
        <v>Board Game</v>
      </c>
      <c r="R1264" s="7">
        <f t="shared" si="154"/>
        <v>369.52</v>
      </c>
    </row>
    <row r="1265" spans="1:18" ht="21.75" customHeight="1">
      <c r="A1265" t="s">
        <v>1416</v>
      </c>
      <c r="B1265" s="6">
        <v>45450</v>
      </c>
      <c r="C1265" t="s">
        <v>541</v>
      </c>
      <c r="D1265" t="s">
        <v>41</v>
      </c>
      <c r="E1265" t="s">
        <v>22</v>
      </c>
      <c r="F1265" t="s">
        <v>42</v>
      </c>
      <c r="G1265" t="s">
        <v>28</v>
      </c>
      <c r="H1265">
        <v>4</v>
      </c>
      <c r="I1265" t="str">
        <f>VLOOKUP(D1265,Product_Lookup!$A$2:$C$27,3,FALSE)</f>
        <v>$86.6</v>
      </c>
      <c r="J1265" t="str">
        <f t="shared" si="155"/>
        <v>Friday</v>
      </c>
      <c r="K1265" s="10" t="str">
        <f t="shared" si="156"/>
        <v>June</v>
      </c>
      <c r="L1265">
        <f t="shared" si="157"/>
        <v>2024</v>
      </c>
      <c r="M1265" t="b">
        <f t="shared" si="158"/>
        <v>0</v>
      </c>
      <c r="N1265" t="b">
        <f t="shared" si="152"/>
        <v>0</v>
      </c>
      <c r="O1265" t="str">
        <f t="shared" si="159"/>
        <v>Standard order</v>
      </c>
      <c r="P1265" s="7">
        <f t="shared" si="153"/>
        <v>4.33</v>
      </c>
      <c r="Q1265" s="7" t="str">
        <f>VLOOKUP(D1266,Product_Lookup!$A$2:$C$27,2,FALSE)</f>
        <v>Sweater</v>
      </c>
      <c r="R1265" s="7">
        <f t="shared" si="154"/>
        <v>346.4</v>
      </c>
    </row>
    <row r="1266" spans="1:18" ht="21.75" customHeight="1">
      <c r="A1266" t="s">
        <v>1417</v>
      </c>
      <c r="B1266" s="6">
        <v>45518</v>
      </c>
      <c r="C1266" t="s">
        <v>53</v>
      </c>
      <c r="D1266" t="s">
        <v>26</v>
      </c>
      <c r="E1266" t="s">
        <v>11</v>
      </c>
      <c r="F1266" t="s">
        <v>27</v>
      </c>
      <c r="G1266" t="s">
        <v>28</v>
      </c>
      <c r="H1266">
        <v>10</v>
      </c>
      <c r="I1266" t="str">
        <f>VLOOKUP(D1266,Product_Lookup!$A$2:$C$27,3,FALSE)</f>
        <v>$84.57</v>
      </c>
      <c r="J1266" t="str">
        <f t="shared" si="155"/>
        <v>Wednesday</v>
      </c>
      <c r="K1266" s="10" t="str">
        <f t="shared" si="156"/>
        <v>August</v>
      </c>
      <c r="L1266">
        <f t="shared" si="157"/>
        <v>2024</v>
      </c>
      <c r="M1266" t="b">
        <f t="shared" si="158"/>
        <v>0</v>
      </c>
      <c r="N1266" t="b">
        <f t="shared" si="152"/>
        <v>1</v>
      </c>
      <c r="O1266" t="str">
        <f t="shared" si="159"/>
        <v>Large Order</v>
      </c>
      <c r="P1266" s="7">
        <f t="shared" si="153"/>
        <v>4.2284999999999995</v>
      </c>
      <c r="Q1266" s="7" t="str">
        <f>VLOOKUP(D1267,Product_Lookup!$A$2:$C$27,2,FALSE)</f>
        <v>Action Figure</v>
      </c>
      <c r="R1266" s="7">
        <f t="shared" si="154"/>
        <v>845.69999999999993</v>
      </c>
    </row>
    <row r="1267" spans="1:18" ht="21.75" customHeight="1">
      <c r="A1267" t="s">
        <v>1418</v>
      </c>
      <c r="B1267" s="6">
        <v>45444</v>
      </c>
      <c r="C1267" t="s">
        <v>95</v>
      </c>
      <c r="D1267" t="s">
        <v>21</v>
      </c>
      <c r="E1267" t="s">
        <v>11</v>
      </c>
      <c r="F1267" t="s">
        <v>27</v>
      </c>
      <c r="G1267" t="s">
        <v>23</v>
      </c>
      <c r="H1267">
        <v>11</v>
      </c>
      <c r="I1267" t="str">
        <f>VLOOKUP(D1267,Product_Lookup!$A$2:$C$27,3,FALSE)</f>
        <v>$88.18</v>
      </c>
      <c r="J1267" t="str">
        <f t="shared" si="155"/>
        <v>Saturday</v>
      </c>
      <c r="K1267" s="10" t="str">
        <f t="shared" si="156"/>
        <v>June</v>
      </c>
      <c r="L1267">
        <f t="shared" si="157"/>
        <v>2024</v>
      </c>
      <c r="M1267" t="b">
        <f t="shared" si="158"/>
        <v>1</v>
      </c>
      <c r="N1267" t="b">
        <f t="shared" si="152"/>
        <v>1</v>
      </c>
      <c r="O1267" t="str">
        <f t="shared" si="159"/>
        <v>Large Order</v>
      </c>
      <c r="P1267" s="7">
        <f t="shared" si="153"/>
        <v>4.4090000000000007</v>
      </c>
      <c r="Q1267" s="7" t="str">
        <f>VLOOKUP(D1268,Product_Lookup!$A$2:$C$27,2,FALSE)</f>
        <v>Stapler</v>
      </c>
      <c r="R1267" s="7">
        <f t="shared" si="154"/>
        <v>969.98</v>
      </c>
    </row>
    <row r="1268" spans="1:18" ht="21.75" customHeight="1">
      <c r="A1268" t="s">
        <v>1419</v>
      </c>
      <c r="B1268" s="6">
        <v>45309</v>
      </c>
      <c r="C1268" t="s">
        <v>89</v>
      </c>
      <c r="D1268" t="s">
        <v>35</v>
      </c>
      <c r="E1268" t="s">
        <v>11</v>
      </c>
      <c r="F1268" t="s">
        <v>27</v>
      </c>
      <c r="G1268" t="s">
        <v>32</v>
      </c>
      <c r="H1268">
        <v>14</v>
      </c>
      <c r="I1268" t="str">
        <f>VLOOKUP(D1268,Product_Lookup!$A$2:$C$27,3,FALSE)</f>
        <v>$64.61</v>
      </c>
      <c r="J1268" t="str">
        <f t="shared" si="155"/>
        <v>Thursday</v>
      </c>
      <c r="K1268" s="10" t="str">
        <f t="shared" si="156"/>
        <v>January</v>
      </c>
      <c r="L1268">
        <f t="shared" si="157"/>
        <v>2024</v>
      </c>
      <c r="M1268" t="b">
        <f t="shared" si="158"/>
        <v>0</v>
      </c>
      <c r="N1268" t="b">
        <f t="shared" si="152"/>
        <v>1</v>
      </c>
      <c r="O1268" t="str">
        <f t="shared" si="159"/>
        <v>Large Order</v>
      </c>
      <c r="P1268" s="7">
        <f t="shared" si="153"/>
        <v>3.2305000000000001</v>
      </c>
      <c r="Q1268" s="7" t="str">
        <f>VLOOKUP(D1269,Product_Lookup!$A$2:$C$27,2,FALSE)</f>
        <v>Notebook</v>
      </c>
      <c r="R1268" s="7">
        <f t="shared" si="154"/>
        <v>904.54</v>
      </c>
    </row>
    <row r="1269" spans="1:18" ht="21.75" customHeight="1">
      <c r="A1269" t="s">
        <v>1420</v>
      </c>
      <c r="B1269" s="6">
        <v>45508</v>
      </c>
      <c r="C1269" t="s">
        <v>108</v>
      </c>
      <c r="D1269" t="s">
        <v>160</v>
      </c>
      <c r="E1269" t="s">
        <v>11</v>
      </c>
      <c r="F1269" t="s">
        <v>42</v>
      </c>
      <c r="G1269" t="s">
        <v>36</v>
      </c>
      <c r="H1269">
        <v>3</v>
      </c>
      <c r="I1269" t="str">
        <f>VLOOKUP(D1269,Product_Lookup!$A$2:$C$27,3,FALSE)</f>
        <v>$149.27</v>
      </c>
      <c r="J1269" t="str">
        <f t="shared" si="155"/>
        <v>Sunday</v>
      </c>
      <c r="K1269" s="10" t="str">
        <f t="shared" si="156"/>
        <v>August</v>
      </c>
      <c r="L1269">
        <f t="shared" si="157"/>
        <v>2024</v>
      </c>
      <c r="M1269" t="b">
        <f t="shared" si="158"/>
        <v>1</v>
      </c>
      <c r="N1269" t="b">
        <f t="shared" si="152"/>
        <v>0</v>
      </c>
      <c r="O1269" t="str">
        <f t="shared" si="159"/>
        <v>Standard order</v>
      </c>
      <c r="P1269" s="7">
        <f t="shared" si="153"/>
        <v>7.4635000000000007</v>
      </c>
      <c r="Q1269" s="7" t="str">
        <f>VLOOKUP(D1270,Product_Lookup!$A$2:$C$27,2,FALSE)</f>
        <v>Puzzle</v>
      </c>
      <c r="R1269" s="7">
        <f t="shared" si="154"/>
        <v>447.81000000000006</v>
      </c>
    </row>
    <row r="1270" spans="1:18" ht="21.75" customHeight="1">
      <c r="A1270" t="s">
        <v>1421</v>
      </c>
      <c r="B1270" s="6">
        <v>45572</v>
      </c>
      <c r="C1270" t="s">
        <v>304</v>
      </c>
      <c r="D1270" t="s">
        <v>62</v>
      </c>
      <c r="E1270" t="s">
        <v>17</v>
      </c>
      <c r="F1270" t="s">
        <v>27</v>
      </c>
      <c r="G1270" t="s">
        <v>28</v>
      </c>
      <c r="H1270">
        <v>1</v>
      </c>
      <c r="I1270" t="str">
        <f>VLOOKUP(D1270,Product_Lookup!$A$2:$C$27,3,FALSE)</f>
        <v>$46.19</v>
      </c>
      <c r="J1270" t="str">
        <f t="shared" si="155"/>
        <v>Monday</v>
      </c>
      <c r="K1270" s="10" t="str">
        <f t="shared" si="156"/>
        <v>October</v>
      </c>
      <c r="L1270">
        <f t="shared" si="157"/>
        <v>2024</v>
      </c>
      <c r="M1270" t="b">
        <f t="shared" si="158"/>
        <v>0</v>
      </c>
      <c r="N1270" t="b">
        <f t="shared" si="152"/>
        <v>0</v>
      </c>
      <c r="O1270" t="str">
        <f t="shared" si="159"/>
        <v>Standard order</v>
      </c>
      <c r="P1270" s="7">
        <f t="shared" si="153"/>
        <v>2.3094999999999999</v>
      </c>
      <c r="Q1270" s="7" t="str">
        <f>VLOOKUP(D1271,Product_Lookup!$A$2:$C$27,2,FALSE)</f>
        <v>Laptop</v>
      </c>
      <c r="R1270" s="7">
        <f t="shared" si="154"/>
        <v>46.19</v>
      </c>
    </row>
    <row r="1271" spans="1:18" ht="21.75" customHeight="1">
      <c r="A1271" t="s">
        <v>1422</v>
      </c>
      <c r="B1271" s="6">
        <v>45614</v>
      </c>
      <c r="C1271" t="s">
        <v>396</v>
      </c>
      <c r="D1271" t="s">
        <v>96</v>
      </c>
      <c r="E1271" t="s">
        <v>22</v>
      </c>
      <c r="F1271" t="s">
        <v>56</v>
      </c>
      <c r="G1271" t="s">
        <v>32</v>
      </c>
      <c r="H1271">
        <v>13</v>
      </c>
      <c r="I1271" t="str">
        <f>VLOOKUP(D1271,Product_Lookup!$A$2:$C$27,3,FALSE)</f>
        <v>$230.68</v>
      </c>
      <c r="J1271" t="str">
        <f t="shared" si="155"/>
        <v>Monday</v>
      </c>
      <c r="K1271" s="10" t="str">
        <f t="shared" si="156"/>
        <v>November</v>
      </c>
      <c r="L1271">
        <f t="shared" si="157"/>
        <v>2024</v>
      </c>
      <c r="M1271" t="b">
        <f t="shared" si="158"/>
        <v>0</v>
      </c>
      <c r="N1271" t="b">
        <f t="shared" si="152"/>
        <v>1</v>
      </c>
      <c r="O1271" t="str">
        <f t="shared" si="159"/>
        <v>Large Order</v>
      </c>
      <c r="P1271" s="7">
        <f t="shared" si="153"/>
        <v>11.534000000000001</v>
      </c>
      <c r="Q1271" s="7" t="str">
        <f>VLOOKUP(D1272,Product_Lookup!$A$2:$C$27,2,FALSE)</f>
        <v>T-Shirt</v>
      </c>
      <c r="R1271" s="7">
        <f t="shared" si="154"/>
        <v>2998.84</v>
      </c>
    </row>
    <row r="1272" spans="1:18" ht="21.75" customHeight="1">
      <c r="A1272" t="s">
        <v>1423</v>
      </c>
      <c r="B1272" s="6">
        <v>45452</v>
      </c>
      <c r="C1272" t="s">
        <v>314</v>
      </c>
      <c r="D1272" t="s">
        <v>45</v>
      </c>
      <c r="E1272" t="s">
        <v>11</v>
      </c>
      <c r="F1272" t="s">
        <v>12</v>
      </c>
      <c r="G1272" t="s">
        <v>28</v>
      </c>
      <c r="H1272">
        <v>8</v>
      </c>
      <c r="I1272" t="str">
        <f>VLOOKUP(D1272,Product_Lookup!$A$2:$C$27,3,FALSE)</f>
        <v>$107.34</v>
      </c>
      <c r="J1272" t="str">
        <f t="shared" si="155"/>
        <v>Sunday</v>
      </c>
      <c r="K1272" s="10" t="str">
        <f t="shared" si="156"/>
        <v>June</v>
      </c>
      <c r="L1272">
        <f t="shared" si="157"/>
        <v>2024</v>
      </c>
      <c r="M1272" t="b">
        <f t="shared" si="158"/>
        <v>1</v>
      </c>
      <c r="N1272" t="b">
        <f t="shared" si="152"/>
        <v>1</v>
      </c>
      <c r="O1272" t="str">
        <f t="shared" si="159"/>
        <v>Large Order</v>
      </c>
      <c r="P1272" s="7">
        <f t="shared" si="153"/>
        <v>5.3670000000000009</v>
      </c>
      <c r="Q1272" s="7" t="str">
        <f>VLOOKUP(D1273,Product_Lookup!$A$2:$C$27,2,FALSE)</f>
        <v>Air Fryer</v>
      </c>
      <c r="R1272" s="7">
        <f t="shared" si="154"/>
        <v>858.72</v>
      </c>
    </row>
    <row r="1273" spans="1:18" ht="21.75" customHeight="1">
      <c r="A1273" t="s">
        <v>1424</v>
      </c>
      <c r="B1273" s="6">
        <v>45596</v>
      </c>
      <c r="C1273" t="s">
        <v>455</v>
      </c>
      <c r="D1273" t="s">
        <v>70</v>
      </c>
      <c r="E1273" t="s">
        <v>17</v>
      </c>
      <c r="F1273" t="s">
        <v>42</v>
      </c>
      <c r="G1273" t="s">
        <v>28</v>
      </c>
      <c r="H1273">
        <v>16</v>
      </c>
      <c r="I1273" t="str">
        <f>VLOOKUP(D1273,Product_Lookup!$A$2:$C$27,3,FALSE)</f>
        <v>$211.9</v>
      </c>
      <c r="J1273" t="str">
        <f t="shared" si="155"/>
        <v>Thursday</v>
      </c>
      <c r="K1273" s="10" t="str">
        <f t="shared" si="156"/>
        <v>October</v>
      </c>
      <c r="L1273">
        <f t="shared" si="157"/>
        <v>2024</v>
      </c>
      <c r="M1273" t="b">
        <f t="shared" si="158"/>
        <v>0</v>
      </c>
      <c r="N1273" t="b">
        <f t="shared" si="152"/>
        <v>1</v>
      </c>
      <c r="O1273" t="str">
        <f t="shared" si="159"/>
        <v>Large Order</v>
      </c>
      <c r="P1273" s="7">
        <f t="shared" si="153"/>
        <v>10.595000000000001</v>
      </c>
      <c r="Q1273" s="7" t="str">
        <f>VLOOKUP(D1274,Product_Lookup!$A$2:$C$27,2,FALSE)</f>
        <v>Blender</v>
      </c>
      <c r="R1273" s="7">
        <f t="shared" si="154"/>
        <v>3390.4</v>
      </c>
    </row>
    <row r="1274" spans="1:18" ht="21.75" customHeight="1">
      <c r="A1274" t="s">
        <v>1425</v>
      </c>
      <c r="B1274" s="6">
        <v>45425</v>
      </c>
      <c r="C1274" t="s">
        <v>235</v>
      </c>
      <c r="D1274" t="s">
        <v>72</v>
      </c>
      <c r="E1274" t="s">
        <v>22</v>
      </c>
      <c r="F1274" t="s">
        <v>306</v>
      </c>
      <c r="G1274" t="s">
        <v>23</v>
      </c>
      <c r="H1274">
        <v>10</v>
      </c>
      <c r="I1274" t="str">
        <f>VLOOKUP(D1274,Product_Lookup!$A$2:$C$27,3,FALSE)</f>
        <v>$156.44</v>
      </c>
      <c r="J1274" t="str">
        <f t="shared" si="155"/>
        <v>Monday</v>
      </c>
      <c r="K1274" s="10" t="str">
        <f t="shared" si="156"/>
        <v>May</v>
      </c>
      <c r="L1274">
        <f t="shared" si="157"/>
        <v>2024</v>
      </c>
      <c r="M1274" t="b">
        <f t="shared" si="158"/>
        <v>0</v>
      </c>
      <c r="N1274" t="b">
        <f t="shared" si="152"/>
        <v>1</v>
      </c>
      <c r="O1274" t="str">
        <f t="shared" si="159"/>
        <v>Large Order</v>
      </c>
      <c r="P1274" s="7">
        <f t="shared" si="153"/>
        <v>7.8220000000000001</v>
      </c>
      <c r="Q1274" s="7" t="str">
        <f>VLOOKUP(D1275,Product_Lookup!$A$2:$C$27,2,FALSE)</f>
        <v>Desk Lamp</v>
      </c>
      <c r="R1274" s="7">
        <f t="shared" si="154"/>
        <v>1564.4</v>
      </c>
    </row>
    <row r="1275" spans="1:18" ht="21.75" customHeight="1">
      <c r="A1275" t="s">
        <v>1426</v>
      </c>
      <c r="B1275" s="6">
        <v>45480</v>
      </c>
      <c r="C1275" t="s">
        <v>44</v>
      </c>
      <c r="D1275" t="s">
        <v>59</v>
      </c>
      <c r="E1275" t="s">
        <v>17</v>
      </c>
      <c r="F1275" t="s">
        <v>27</v>
      </c>
      <c r="G1275" t="s">
        <v>13</v>
      </c>
      <c r="H1275">
        <v>8</v>
      </c>
      <c r="I1275" t="str">
        <f>VLOOKUP(D1275,Product_Lookup!$A$2:$C$27,3,FALSE)</f>
        <v>$101.96</v>
      </c>
      <c r="J1275" t="str">
        <f t="shared" si="155"/>
        <v>Sunday</v>
      </c>
      <c r="K1275" s="10" t="str">
        <f t="shared" si="156"/>
        <v>July</v>
      </c>
      <c r="L1275">
        <f t="shared" si="157"/>
        <v>2024</v>
      </c>
      <c r="M1275" t="b">
        <f t="shared" si="158"/>
        <v>1</v>
      </c>
      <c r="N1275" t="b">
        <f t="shared" si="152"/>
        <v>1</v>
      </c>
      <c r="O1275" t="str">
        <f t="shared" si="159"/>
        <v>Large Order</v>
      </c>
      <c r="P1275" s="7">
        <f t="shared" si="153"/>
        <v>5.0979999999999999</v>
      </c>
      <c r="Q1275" s="7" t="str">
        <f>VLOOKUP(D1276,Product_Lookup!$A$2:$C$27,2,FALSE)</f>
        <v>Tablet</v>
      </c>
      <c r="R1275" s="7">
        <f t="shared" si="154"/>
        <v>815.68</v>
      </c>
    </row>
    <row r="1276" spans="1:18" ht="21.75" customHeight="1">
      <c r="A1276" t="s">
        <v>1427</v>
      </c>
      <c r="B1276" s="6">
        <v>45577</v>
      </c>
      <c r="C1276" t="s">
        <v>736</v>
      </c>
      <c r="D1276" t="s">
        <v>10</v>
      </c>
      <c r="E1276" t="s">
        <v>22</v>
      </c>
      <c r="F1276" t="s">
        <v>56</v>
      </c>
      <c r="G1276" t="s">
        <v>28</v>
      </c>
      <c r="H1276">
        <v>15</v>
      </c>
      <c r="I1276" t="str">
        <f>VLOOKUP(D1276,Product_Lookup!$A$2:$C$27,3,FALSE)</f>
        <v>$146.06</v>
      </c>
      <c r="J1276" t="str">
        <f t="shared" si="155"/>
        <v>Saturday</v>
      </c>
      <c r="K1276" s="10" t="str">
        <f t="shared" si="156"/>
        <v>October</v>
      </c>
      <c r="L1276">
        <f t="shared" si="157"/>
        <v>2024</v>
      </c>
      <c r="M1276" t="b">
        <f t="shared" si="158"/>
        <v>1</v>
      </c>
      <c r="N1276" t="b">
        <f t="shared" si="152"/>
        <v>1</v>
      </c>
      <c r="O1276" t="str">
        <f t="shared" si="159"/>
        <v>Large Order</v>
      </c>
      <c r="P1276" s="7">
        <f t="shared" si="153"/>
        <v>7.3030000000000008</v>
      </c>
      <c r="Q1276" s="7" t="str">
        <f>VLOOKUP(D1277,Product_Lookup!$A$2:$C$27,2,FALSE)</f>
        <v>Paper Shredder</v>
      </c>
      <c r="R1276" s="7">
        <f t="shared" si="154"/>
        <v>2190.9</v>
      </c>
    </row>
    <row r="1277" spans="1:18" ht="21.75" customHeight="1">
      <c r="A1277" t="s">
        <v>1428</v>
      </c>
      <c r="B1277" s="6">
        <v>45317</v>
      </c>
      <c r="C1277" t="s">
        <v>341</v>
      </c>
      <c r="D1277" t="s">
        <v>109</v>
      </c>
      <c r="E1277" t="s">
        <v>22</v>
      </c>
      <c r="F1277" t="s">
        <v>27</v>
      </c>
      <c r="G1277" t="s">
        <v>32</v>
      </c>
      <c r="H1277">
        <v>9</v>
      </c>
      <c r="I1277" t="str">
        <f>VLOOKUP(D1277,Product_Lookup!$A$2:$C$27,3,FALSE)</f>
        <v>$81.02</v>
      </c>
      <c r="J1277" t="str">
        <f t="shared" si="155"/>
        <v>Friday</v>
      </c>
      <c r="K1277" s="10" t="str">
        <f t="shared" si="156"/>
        <v>January</v>
      </c>
      <c r="L1277">
        <f t="shared" si="157"/>
        <v>2024</v>
      </c>
      <c r="M1277" t="b">
        <f t="shared" si="158"/>
        <v>0</v>
      </c>
      <c r="N1277" t="b">
        <f t="shared" si="152"/>
        <v>0</v>
      </c>
      <c r="O1277" t="str">
        <f t="shared" si="159"/>
        <v>Large Order</v>
      </c>
      <c r="P1277" s="7">
        <f t="shared" si="153"/>
        <v>4.0510000000000002</v>
      </c>
      <c r="Q1277" s="7" t="str">
        <f>VLOOKUP(D1278,Product_Lookup!$A$2:$C$27,2,FALSE)</f>
        <v>Puzzle</v>
      </c>
      <c r="R1277" s="7">
        <f t="shared" si="154"/>
        <v>729.18</v>
      </c>
    </row>
    <row r="1278" spans="1:18" ht="21.75" customHeight="1">
      <c r="A1278" t="s">
        <v>1429</v>
      </c>
      <c r="B1278" s="6">
        <v>45379</v>
      </c>
      <c r="C1278" t="s">
        <v>614</v>
      </c>
      <c r="D1278" t="s">
        <v>62</v>
      </c>
      <c r="E1278" t="s">
        <v>11</v>
      </c>
      <c r="F1278" t="s">
        <v>12</v>
      </c>
      <c r="G1278" t="s">
        <v>23</v>
      </c>
      <c r="H1278">
        <v>17</v>
      </c>
      <c r="I1278" t="str">
        <f>VLOOKUP(D1278,Product_Lookup!$A$2:$C$27,3,FALSE)</f>
        <v>$46.19</v>
      </c>
      <c r="J1278" t="str">
        <f t="shared" si="155"/>
        <v>Thursday</v>
      </c>
      <c r="K1278" s="10" t="str">
        <f t="shared" si="156"/>
        <v>March</v>
      </c>
      <c r="L1278">
        <f t="shared" si="157"/>
        <v>2024</v>
      </c>
      <c r="M1278" t="b">
        <f t="shared" si="158"/>
        <v>0</v>
      </c>
      <c r="N1278" t="b">
        <f t="shared" si="152"/>
        <v>1</v>
      </c>
      <c r="O1278" t="str">
        <f t="shared" si="159"/>
        <v>Large Order</v>
      </c>
      <c r="P1278" s="7">
        <f t="shared" si="153"/>
        <v>2.3094999999999999</v>
      </c>
      <c r="Q1278" s="7" t="str">
        <f>VLOOKUP(D1279,Product_Lookup!$A$2:$C$27,2,FALSE)</f>
        <v>Puzzle</v>
      </c>
      <c r="R1278" s="7">
        <f t="shared" si="154"/>
        <v>785.23</v>
      </c>
    </row>
    <row r="1279" spans="1:18" ht="21.75" customHeight="1">
      <c r="A1279" t="s">
        <v>1430</v>
      </c>
      <c r="B1279" s="6">
        <v>45636</v>
      </c>
      <c r="C1279" t="s">
        <v>432</v>
      </c>
      <c r="D1279" t="s">
        <v>62</v>
      </c>
      <c r="E1279" t="s">
        <v>11</v>
      </c>
      <c r="F1279" t="s">
        <v>56</v>
      </c>
      <c r="G1279" t="s">
        <v>32</v>
      </c>
      <c r="H1279">
        <v>7</v>
      </c>
      <c r="I1279" t="str">
        <f>VLOOKUP(D1279,Product_Lookup!$A$2:$C$27,3,FALSE)</f>
        <v>$46.19</v>
      </c>
      <c r="J1279" t="str">
        <f t="shared" si="155"/>
        <v>Tuesday</v>
      </c>
      <c r="K1279" s="10" t="str">
        <f t="shared" si="156"/>
        <v>December</v>
      </c>
      <c r="L1279">
        <f t="shared" si="157"/>
        <v>2024</v>
      </c>
      <c r="M1279" t="b">
        <f t="shared" si="158"/>
        <v>0</v>
      </c>
      <c r="N1279" t="b">
        <f t="shared" si="152"/>
        <v>0</v>
      </c>
      <c r="O1279" t="str">
        <f t="shared" si="159"/>
        <v>Standard order</v>
      </c>
      <c r="P1279" s="7">
        <f t="shared" si="153"/>
        <v>2.3094999999999999</v>
      </c>
      <c r="Q1279" s="7" t="str">
        <f>VLOOKUP(D1280,Product_Lookup!$A$2:$C$27,2,FALSE)</f>
        <v>Headphones</v>
      </c>
      <c r="R1279" s="7">
        <f t="shared" si="154"/>
        <v>323.33</v>
      </c>
    </row>
    <row r="1280" spans="1:18" ht="21.75" customHeight="1">
      <c r="A1280" t="s">
        <v>1431</v>
      </c>
      <c r="B1280" s="6">
        <v>45439</v>
      </c>
      <c r="C1280" t="s">
        <v>323</v>
      </c>
      <c r="D1280" t="s">
        <v>16</v>
      </c>
      <c r="E1280" t="s">
        <v>17</v>
      </c>
      <c r="F1280" t="s">
        <v>27</v>
      </c>
      <c r="G1280" t="s">
        <v>36</v>
      </c>
      <c r="H1280">
        <v>14</v>
      </c>
      <c r="I1280" t="str">
        <f>VLOOKUP(D1280,Product_Lookup!$A$2:$C$27,3,FALSE)</f>
        <v>$178.83</v>
      </c>
      <c r="J1280" t="str">
        <f t="shared" si="155"/>
        <v>Monday</v>
      </c>
      <c r="K1280" s="10" t="str">
        <f t="shared" si="156"/>
        <v>May</v>
      </c>
      <c r="L1280">
        <f t="shared" si="157"/>
        <v>2024</v>
      </c>
      <c r="M1280" t="b">
        <f t="shared" si="158"/>
        <v>0</v>
      </c>
      <c r="N1280" t="b">
        <f t="shared" si="152"/>
        <v>1</v>
      </c>
      <c r="O1280" t="str">
        <f t="shared" si="159"/>
        <v>Large Order</v>
      </c>
      <c r="P1280" s="7">
        <f t="shared" si="153"/>
        <v>8.9415000000000013</v>
      </c>
      <c r="Q1280" s="7" t="str">
        <f>VLOOKUP(D1281,Product_Lookup!$A$2:$C$27,2,FALSE)</f>
        <v>Vacuum</v>
      </c>
      <c r="R1280" s="7">
        <f t="shared" si="154"/>
        <v>2503.6200000000003</v>
      </c>
    </row>
    <row r="1281" spans="1:18" ht="21.75" customHeight="1">
      <c r="A1281" t="s">
        <v>1432</v>
      </c>
      <c r="B1281" s="6">
        <v>45402</v>
      </c>
      <c r="C1281" t="s">
        <v>55</v>
      </c>
      <c r="D1281" t="s">
        <v>87</v>
      </c>
      <c r="E1281" t="s">
        <v>22</v>
      </c>
      <c r="F1281" t="s">
        <v>56</v>
      </c>
      <c r="G1281" t="s">
        <v>28</v>
      </c>
      <c r="H1281">
        <v>6</v>
      </c>
      <c r="I1281" t="str">
        <f>VLOOKUP(D1281,Product_Lookup!$A$2:$C$27,3,FALSE)</f>
        <v>$26.59</v>
      </c>
      <c r="J1281" t="str">
        <f t="shared" si="155"/>
        <v>Saturday</v>
      </c>
      <c r="K1281" s="10" t="str">
        <f t="shared" si="156"/>
        <v>April</v>
      </c>
      <c r="L1281">
        <f t="shared" si="157"/>
        <v>2024</v>
      </c>
      <c r="M1281" t="b">
        <f t="shared" si="158"/>
        <v>1</v>
      </c>
      <c r="N1281" t="b">
        <f t="shared" si="152"/>
        <v>0</v>
      </c>
      <c r="O1281" t="str">
        <f t="shared" si="159"/>
        <v>Standard order</v>
      </c>
      <c r="P1281" s="7">
        <f t="shared" si="153"/>
        <v>1.3295000000000001</v>
      </c>
      <c r="Q1281" s="7" t="str">
        <f>VLOOKUP(D1282,Product_Lookup!$A$2:$C$27,2,FALSE)</f>
        <v>Paper Shredder</v>
      </c>
      <c r="R1281" s="7">
        <f t="shared" si="154"/>
        <v>159.54</v>
      </c>
    </row>
    <row r="1282" spans="1:18" ht="21.75" customHeight="1">
      <c r="A1282" t="s">
        <v>1433</v>
      </c>
      <c r="B1282" s="6">
        <v>45306</v>
      </c>
      <c r="C1282" t="s">
        <v>61</v>
      </c>
      <c r="D1282" t="s">
        <v>109</v>
      </c>
      <c r="E1282" t="s">
        <v>17</v>
      </c>
      <c r="F1282" t="s">
        <v>56</v>
      </c>
      <c r="G1282" t="s">
        <v>32</v>
      </c>
      <c r="H1282">
        <v>15</v>
      </c>
      <c r="I1282" t="str">
        <f>VLOOKUP(D1282,Product_Lookup!$A$2:$C$27,3,FALSE)</f>
        <v>$81.02</v>
      </c>
      <c r="J1282" t="str">
        <f t="shared" si="155"/>
        <v>Monday</v>
      </c>
      <c r="K1282" s="10" t="str">
        <f t="shared" si="156"/>
        <v>January</v>
      </c>
      <c r="L1282">
        <f t="shared" si="157"/>
        <v>2024</v>
      </c>
      <c r="M1282" t="b">
        <f t="shared" si="158"/>
        <v>0</v>
      </c>
      <c r="N1282" t="b">
        <f t="shared" ref="N1282:N1345" si="160">AND(R1282&gt;750, H1282&gt;5)</f>
        <v>1</v>
      </c>
      <c r="O1282" t="str">
        <f t="shared" si="159"/>
        <v>Large Order</v>
      </c>
      <c r="P1282" s="7">
        <f t="shared" ref="P1282:P1345" si="161">I1282*$S$2</f>
        <v>4.0510000000000002</v>
      </c>
      <c r="Q1282" s="7" t="str">
        <f>VLOOKUP(D1283,Product_Lookup!$A$2:$C$27,2,FALSE)</f>
        <v>Tablet</v>
      </c>
      <c r="R1282" s="7">
        <f t="shared" ref="R1282:R1345" si="162">H1282*I1282</f>
        <v>1215.3</v>
      </c>
    </row>
    <row r="1283" spans="1:18" ht="21.75" customHeight="1">
      <c r="A1283" t="s">
        <v>1434</v>
      </c>
      <c r="B1283" s="6">
        <v>45590</v>
      </c>
      <c r="C1283" t="s">
        <v>455</v>
      </c>
      <c r="D1283" t="s">
        <v>10</v>
      </c>
      <c r="E1283" t="s">
        <v>22</v>
      </c>
      <c r="F1283" t="s">
        <v>27</v>
      </c>
      <c r="G1283" t="s">
        <v>32</v>
      </c>
      <c r="H1283">
        <v>1</v>
      </c>
      <c r="I1283" t="str">
        <f>VLOOKUP(D1283,Product_Lookup!$A$2:$C$27,3,FALSE)</f>
        <v>$146.06</v>
      </c>
      <c r="J1283" t="str">
        <f t="shared" ref="J1283:J1346" si="163">TEXT(B1283, "dddd")</f>
        <v>Friday</v>
      </c>
      <c r="K1283" s="10" t="str">
        <f t="shared" ref="K1283:K1346" si="164">TEXT(B1283, "mmmm")</f>
        <v>October</v>
      </c>
      <c r="L1283">
        <f t="shared" ref="L1283:L1346" si="165">YEAR(B1283)</f>
        <v>2024</v>
      </c>
      <c r="M1283" t="b">
        <f t="shared" ref="M1283:M1346" si="166">OR(J1283="Saturday", J1283="Sunday")</f>
        <v>0</v>
      </c>
      <c r="N1283" t="b">
        <f t="shared" si="160"/>
        <v>0</v>
      </c>
      <c r="O1283" t="str">
        <f t="shared" ref="O1283:O1346" si="167">IF(R1283&gt;500,"Large Order","Standard order")</f>
        <v>Standard order</v>
      </c>
      <c r="P1283" s="7">
        <f t="shared" si="161"/>
        <v>7.3030000000000008</v>
      </c>
      <c r="Q1283" s="7" t="str">
        <f>VLOOKUP(D1284,Product_Lookup!$A$2:$C$27,2,FALSE)</f>
        <v>Puzzle</v>
      </c>
      <c r="R1283" s="7">
        <f t="shared" si="162"/>
        <v>146.06</v>
      </c>
    </row>
    <row r="1284" spans="1:18" ht="21.75" customHeight="1">
      <c r="A1284" t="s">
        <v>1435</v>
      </c>
      <c r="B1284" s="6">
        <v>45646</v>
      </c>
      <c r="C1284" t="s">
        <v>106</v>
      </c>
      <c r="D1284" t="s">
        <v>62</v>
      </c>
      <c r="E1284" t="s">
        <v>22</v>
      </c>
      <c r="F1284" t="s">
        <v>56</v>
      </c>
      <c r="G1284" t="s">
        <v>36</v>
      </c>
      <c r="H1284">
        <v>13</v>
      </c>
      <c r="I1284" t="str">
        <f>VLOOKUP(D1284,Product_Lookup!$A$2:$C$27,3,FALSE)</f>
        <v>$46.19</v>
      </c>
      <c r="J1284" t="str">
        <f t="shared" si="163"/>
        <v>Friday</v>
      </c>
      <c r="K1284" s="10" t="str">
        <f t="shared" si="164"/>
        <v>December</v>
      </c>
      <c r="L1284">
        <f t="shared" si="165"/>
        <v>2024</v>
      </c>
      <c r="M1284" t="b">
        <f t="shared" si="166"/>
        <v>0</v>
      </c>
      <c r="N1284" t="b">
        <f t="shared" si="160"/>
        <v>0</v>
      </c>
      <c r="O1284" t="str">
        <f t="shared" si="167"/>
        <v>Large Order</v>
      </c>
      <c r="P1284" s="7">
        <f t="shared" si="161"/>
        <v>2.3094999999999999</v>
      </c>
      <c r="Q1284" s="7" t="str">
        <f>VLOOKUP(D1285,Product_Lookup!$A$2:$C$27,2,FALSE)</f>
        <v>Smartphone</v>
      </c>
      <c r="R1284" s="7">
        <f t="shared" si="162"/>
        <v>600.47</v>
      </c>
    </row>
    <row r="1285" spans="1:18" ht="21.75" customHeight="1">
      <c r="A1285" t="s">
        <v>1436</v>
      </c>
      <c r="B1285" s="6">
        <v>45423</v>
      </c>
      <c r="C1285" t="s">
        <v>208</v>
      </c>
      <c r="D1285" t="s">
        <v>79</v>
      </c>
      <c r="E1285" t="s">
        <v>11</v>
      </c>
      <c r="F1285" t="s">
        <v>306</v>
      </c>
      <c r="G1285" t="s">
        <v>28</v>
      </c>
      <c r="H1285">
        <v>2</v>
      </c>
      <c r="I1285" t="str">
        <f>VLOOKUP(D1285,Product_Lookup!$A$2:$C$27,3,FALSE)</f>
        <v>$216.22</v>
      </c>
      <c r="J1285" t="str">
        <f t="shared" si="163"/>
        <v>Saturday</v>
      </c>
      <c r="K1285" s="10" t="str">
        <f t="shared" si="164"/>
        <v>May</v>
      </c>
      <c r="L1285">
        <f t="shared" si="165"/>
        <v>2024</v>
      </c>
      <c r="M1285" t="b">
        <f t="shared" si="166"/>
        <v>1</v>
      </c>
      <c r="N1285" t="b">
        <f t="shared" si="160"/>
        <v>0</v>
      </c>
      <c r="O1285" t="str">
        <f t="shared" si="167"/>
        <v>Standard order</v>
      </c>
      <c r="P1285" s="7">
        <f t="shared" si="161"/>
        <v>10.811</v>
      </c>
      <c r="Q1285" s="7" t="str">
        <f>VLOOKUP(D1286,Product_Lookup!$A$2:$C$27,2,FALSE)</f>
        <v>Puzzle</v>
      </c>
      <c r="R1285" s="7">
        <f t="shared" si="162"/>
        <v>432.44</v>
      </c>
    </row>
    <row r="1286" spans="1:18" ht="21.75" customHeight="1">
      <c r="A1286" t="s">
        <v>1437</v>
      </c>
      <c r="B1286" s="6">
        <v>45533</v>
      </c>
      <c r="C1286" t="s">
        <v>182</v>
      </c>
      <c r="D1286" t="s">
        <v>62</v>
      </c>
      <c r="E1286" t="s">
        <v>22</v>
      </c>
      <c r="F1286" t="s">
        <v>306</v>
      </c>
      <c r="G1286" t="s">
        <v>36</v>
      </c>
      <c r="H1286">
        <v>2</v>
      </c>
      <c r="I1286" t="str">
        <f>VLOOKUP(D1286,Product_Lookup!$A$2:$C$27,3,FALSE)</f>
        <v>$46.19</v>
      </c>
      <c r="J1286" t="str">
        <f t="shared" si="163"/>
        <v>Thursday</v>
      </c>
      <c r="K1286" s="10" t="str">
        <f t="shared" si="164"/>
        <v>August</v>
      </c>
      <c r="L1286">
        <f t="shared" si="165"/>
        <v>2024</v>
      </c>
      <c r="M1286" t="b">
        <f t="shared" si="166"/>
        <v>0</v>
      </c>
      <c r="N1286" t="b">
        <f t="shared" si="160"/>
        <v>0</v>
      </c>
      <c r="O1286" t="str">
        <f t="shared" si="167"/>
        <v>Standard order</v>
      </c>
      <c r="P1286" s="7">
        <f t="shared" si="161"/>
        <v>2.3094999999999999</v>
      </c>
      <c r="Q1286" s="7" t="str">
        <f>VLOOKUP(D1287,Product_Lookup!$A$2:$C$27,2,FALSE)</f>
        <v>Board Game</v>
      </c>
      <c r="R1286" s="7">
        <f t="shared" si="162"/>
        <v>92.38</v>
      </c>
    </row>
    <row r="1287" spans="1:18" ht="21.75" customHeight="1">
      <c r="A1287" t="s">
        <v>1438</v>
      </c>
      <c r="B1287" s="6">
        <v>45609</v>
      </c>
      <c r="C1287" t="s">
        <v>159</v>
      </c>
      <c r="D1287" t="s">
        <v>41</v>
      </c>
      <c r="E1287" t="s">
        <v>17</v>
      </c>
      <c r="F1287" t="s">
        <v>27</v>
      </c>
      <c r="G1287" t="s">
        <v>36</v>
      </c>
      <c r="H1287">
        <v>12</v>
      </c>
      <c r="I1287" t="str">
        <f>VLOOKUP(D1287,Product_Lookup!$A$2:$C$27,3,FALSE)</f>
        <v>$86.6</v>
      </c>
      <c r="J1287" t="str">
        <f t="shared" si="163"/>
        <v>Wednesday</v>
      </c>
      <c r="K1287" s="10" t="str">
        <f t="shared" si="164"/>
        <v>November</v>
      </c>
      <c r="L1287">
        <f t="shared" si="165"/>
        <v>2024</v>
      </c>
      <c r="M1287" t="b">
        <f t="shared" si="166"/>
        <v>0</v>
      </c>
      <c r="N1287" t="b">
        <f t="shared" si="160"/>
        <v>1</v>
      </c>
      <c r="O1287" t="str">
        <f t="shared" si="167"/>
        <v>Large Order</v>
      </c>
      <c r="P1287" s="7">
        <f t="shared" si="161"/>
        <v>4.33</v>
      </c>
      <c r="Q1287" s="7" t="str">
        <f>VLOOKUP(D1288,Product_Lookup!$A$2:$C$27,2,FALSE)</f>
        <v>T-Shirt</v>
      </c>
      <c r="R1287" s="7">
        <f t="shared" si="162"/>
        <v>1039.1999999999998</v>
      </c>
    </row>
    <row r="1288" spans="1:18" ht="21.75" customHeight="1">
      <c r="A1288" t="s">
        <v>1439</v>
      </c>
      <c r="B1288" s="6">
        <v>45313</v>
      </c>
      <c r="C1288" t="s">
        <v>361</v>
      </c>
      <c r="D1288" t="s">
        <v>45</v>
      </c>
      <c r="E1288" t="s">
        <v>11</v>
      </c>
      <c r="F1288" t="s">
        <v>42</v>
      </c>
      <c r="G1288" t="s">
        <v>32</v>
      </c>
      <c r="H1288">
        <v>17</v>
      </c>
      <c r="I1288" t="str">
        <f>VLOOKUP(D1288,Product_Lookup!$A$2:$C$27,3,FALSE)</f>
        <v>$107.34</v>
      </c>
      <c r="J1288" t="str">
        <f t="shared" si="163"/>
        <v>Monday</v>
      </c>
      <c r="K1288" s="10" t="str">
        <f t="shared" si="164"/>
        <v>January</v>
      </c>
      <c r="L1288">
        <f t="shared" si="165"/>
        <v>2024</v>
      </c>
      <c r="M1288" t="b">
        <f t="shared" si="166"/>
        <v>0</v>
      </c>
      <c r="N1288" t="b">
        <f t="shared" si="160"/>
        <v>1</v>
      </c>
      <c r="O1288" t="str">
        <f t="shared" si="167"/>
        <v>Large Order</v>
      </c>
      <c r="P1288" s="7">
        <f t="shared" si="161"/>
        <v>5.3670000000000009</v>
      </c>
      <c r="Q1288" s="7" t="str">
        <f>VLOOKUP(D1289,Product_Lookup!$A$2:$C$27,2,FALSE)</f>
        <v>Puzzle</v>
      </c>
      <c r="R1288" s="7">
        <f t="shared" si="162"/>
        <v>1824.78</v>
      </c>
    </row>
    <row r="1289" spans="1:18" ht="21.75" customHeight="1">
      <c r="A1289" t="s">
        <v>1440</v>
      </c>
      <c r="B1289" s="6">
        <v>45531</v>
      </c>
      <c r="C1289" t="s">
        <v>34</v>
      </c>
      <c r="D1289" t="s">
        <v>62</v>
      </c>
      <c r="E1289" t="s">
        <v>11</v>
      </c>
      <c r="F1289" t="s">
        <v>42</v>
      </c>
      <c r="G1289" t="s">
        <v>32</v>
      </c>
      <c r="H1289">
        <v>17</v>
      </c>
      <c r="I1289" t="str">
        <f>VLOOKUP(D1289,Product_Lookup!$A$2:$C$27,3,FALSE)</f>
        <v>$46.19</v>
      </c>
      <c r="J1289" t="str">
        <f t="shared" si="163"/>
        <v>Tuesday</v>
      </c>
      <c r="K1289" s="10" t="str">
        <f t="shared" si="164"/>
        <v>August</v>
      </c>
      <c r="L1289">
        <f t="shared" si="165"/>
        <v>2024</v>
      </c>
      <c r="M1289" t="b">
        <f t="shared" si="166"/>
        <v>0</v>
      </c>
      <c r="N1289" t="b">
        <f t="shared" si="160"/>
        <v>1</v>
      </c>
      <c r="O1289" t="str">
        <f t="shared" si="167"/>
        <v>Large Order</v>
      </c>
      <c r="P1289" s="7">
        <f t="shared" si="161"/>
        <v>2.3094999999999999</v>
      </c>
      <c r="Q1289" s="7" t="str">
        <f>VLOOKUP(D1290,Product_Lookup!$A$2:$C$27,2,FALSE)</f>
        <v>Stapler</v>
      </c>
      <c r="R1289" s="7">
        <f t="shared" si="162"/>
        <v>785.23</v>
      </c>
    </row>
    <row r="1290" spans="1:18" ht="21.75" customHeight="1">
      <c r="A1290" t="s">
        <v>1441</v>
      </c>
      <c r="B1290" s="6">
        <v>45351</v>
      </c>
      <c r="C1290" t="s">
        <v>38</v>
      </c>
      <c r="D1290" t="s">
        <v>35</v>
      </c>
      <c r="E1290" t="s">
        <v>11</v>
      </c>
      <c r="F1290" t="s">
        <v>56</v>
      </c>
      <c r="G1290" t="s">
        <v>23</v>
      </c>
      <c r="H1290">
        <v>9</v>
      </c>
      <c r="I1290" t="str">
        <f>VLOOKUP(D1290,Product_Lookup!$A$2:$C$27,3,FALSE)</f>
        <v>$64.61</v>
      </c>
      <c r="J1290" t="str">
        <f t="shared" si="163"/>
        <v>Thursday</v>
      </c>
      <c r="K1290" s="10" t="str">
        <f t="shared" si="164"/>
        <v>February</v>
      </c>
      <c r="L1290">
        <f t="shared" si="165"/>
        <v>2024</v>
      </c>
      <c r="M1290" t="b">
        <f t="shared" si="166"/>
        <v>0</v>
      </c>
      <c r="N1290" t="b">
        <f t="shared" si="160"/>
        <v>0</v>
      </c>
      <c r="O1290" t="str">
        <f t="shared" si="167"/>
        <v>Large Order</v>
      </c>
      <c r="P1290" s="7">
        <f t="shared" si="161"/>
        <v>3.2305000000000001</v>
      </c>
      <c r="Q1290" s="7" t="str">
        <f>VLOOKUP(D1291,Product_Lookup!$A$2:$C$27,2,FALSE)</f>
        <v>Notebook</v>
      </c>
      <c r="R1290" s="7">
        <f t="shared" si="162"/>
        <v>581.49</v>
      </c>
    </row>
    <row r="1291" spans="1:18" ht="21.75" customHeight="1">
      <c r="A1291" t="s">
        <v>1442</v>
      </c>
      <c r="B1291" s="6">
        <v>45436</v>
      </c>
      <c r="C1291" t="s">
        <v>86</v>
      </c>
      <c r="D1291" t="s">
        <v>160</v>
      </c>
      <c r="E1291" t="s">
        <v>22</v>
      </c>
      <c r="F1291" t="s">
        <v>42</v>
      </c>
      <c r="G1291" t="s">
        <v>28</v>
      </c>
      <c r="H1291">
        <v>11</v>
      </c>
      <c r="I1291" t="str">
        <f>VLOOKUP(D1291,Product_Lookup!$A$2:$C$27,3,FALSE)</f>
        <v>$149.27</v>
      </c>
      <c r="J1291" t="str">
        <f t="shared" si="163"/>
        <v>Friday</v>
      </c>
      <c r="K1291" s="10" t="str">
        <f t="shared" si="164"/>
        <v>May</v>
      </c>
      <c r="L1291">
        <f t="shared" si="165"/>
        <v>2024</v>
      </c>
      <c r="M1291" t="b">
        <f t="shared" si="166"/>
        <v>0</v>
      </c>
      <c r="N1291" t="b">
        <f t="shared" si="160"/>
        <v>1</v>
      </c>
      <c r="O1291" t="str">
        <f t="shared" si="167"/>
        <v>Large Order</v>
      </c>
      <c r="P1291" s="7">
        <f t="shared" si="161"/>
        <v>7.4635000000000007</v>
      </c>
      <c r="Q1291" s="7" t="str">
        <f>VLOOKUP(D1292,Product_Lookup!$A$2:$C$27,2,FALSE)</f>
        <v>Pen Set</v>
      </c>
      <c r="R1291" s="7">
        <f t="shared" si="162"/>
        <v>1641.97</v>
      </c>
    </row>
    <row r="1292" spans="1:18" ht="21.75" customHeight="1">
      <c r="A1292" t="s">
        <v>1443</v>
      </c>
      <c r="B1292" s="6">
        <v>45453</v>
      </c>
      <c r="C1292" t="s">
        <v>304</v>
      </c>
      <c r="D1292" t="s">
        <v>174</v>
      </c>
      <c r="E1292" t="s">
        <v>17</v>
      </c>
      <c r="F1292" t="s">
        <v>56</v>
      </c>
      <c r="G1292" t="s">
        <v>28</v>
      </c>
      <c r="H1292">
        <v>15</v>
      </c>
      <c r="I1292" t="str">
        <f>VLOOKUP(D1292,Product_Lookup!$A$2:$C$27,3,FALSE)</f>
        <v>$133.37</v>
      </c>
      <c r="J1292" t="str">
        <f t="shared" si="163"/>
        <v>Monday</v>
      </c>
      <c r="K1292" s="10" t="str">
        <f t="shared" si="164"/>
        <v>June</v>
      </c>
      <c r="L1292">
        <f t="shared" si="165"/>
        <v>2024</v>
      </c>
      <c r="M1292" t="b">
        <f t="shared" si="166"/>
        <v>0</v>
      </c>
      <c r="N1292" t="b">
        <f t="shared" si="160"/>
        <v>1</v>
      </c>
      <c r="O1292" t="str">
        <f t="shared" si="167"/>
        <v>Large Order</v>
      </c>
      <c r="P1292" s="7">
        <f t="shared" si="161"/>
        <v>6.6685000000000008</v>
      </c>
      <c r="Q1292" s="7" t="str">
        <f>VLOOKUP(D1293,Product_Lookup!$A$2:$C$27,2,FALSE)</f>
        <v>Stapler</v>
      </c>
      <c r="R1292" s="7">
        <f t="shared" si="162"/>
        <v>2000.5500000000002</v>
      </c>
    </row>
    <row r="1293" spans="1:18" ht="21.75" customHeight="1">
      <c r="A1293" t="s">
        <v>1444</v>
      </c>
      <c r="B1293" s="6">
        <v>45319</v>
      </c>
      <c r="C1293" t="s">
        <v>51</v>
      </c>
      <c r="D1293" t="s">
        <v>35</v>
      </c>
      <c r="E1293" t="s">
        <v>11</v>
      </c>
      <c r="F1293" t="s">
        <v>12</v>
      </c>
      <c r="G1293" t="s">
        <v>23</v>
      </c>
      <c r="H1293">
        <v>9</v>
      </c>
      <c r="I1293" t="str">
        <f>VLOOKUP(D1293,Product_Lookup!$A$2:$C$27,3,FALSE)</f>
        <v>$64.61</v>
      </c>
      <c r="J1293" t="str">
        <f t="shared" si="163"/>
        <v>Sunday</v>
      </c>
      <c r="K1293" s="10" t="str">
        <f t="shared" si="164"/>
        <v>January</v>
      </c>
      <c r="L1293">
        <f t="shared" si="165"/>
        <v>2024</v>
      </c>
      <c r="M1293" t="b">
        <f t="shared" si="166"/>
        <v>1</v>
      </c>
      <c r="N1293" t="b">
        <f t="shared" si="160"/>
        <v>0</v>
      </c>
      <c r="O1293" t="str">
        <f t="shared" si="167"/>
        <v>Large Order</v>
      </c>
      <c r="P1293" s="7">
        <f t="shared" si="161"/>
        <v>3.2305000000000001</v>
      </c>
      <c r="Q1293" s="7" t="str">
        <f>VLOOKUP(D1294,Product_Lookup!$A$2:$C$27,2,FALSE)</f>
        <v>Air Fryer</v>
      </c>
      <c r="R1293" s="7">
        <f t="shared" si="162"/>
        <v>581.49</v>
      </c>
    </row>
    <row r="1294" spans="1:18" ht="21.75" customHeight="1">
      <c r="A1294" t="s">
        <v>1445</v>
      </c>
      <c r="B1294" s="6">
        <v>45515</v>
      </c>
      <c r="C1294" t="s">
        <v>40</v>
      </c>
      <c r="D1294" t="s">
        <v>70</v>
      </c>
      <c r="E1294" t="s">
        <v>17</v>
      </c>
      <c r="F1294" t="s">
        <v>12</v>
      </c>
      <c r="G1294" t="s">
        <v>36</v>
      </c>
      <c r="H1294">
        <v>12</v>
      </c>
      <c r="I1294" t="str">
        <f>VLOOKUP(D1294,Product_Lookup!$A$2:$C$27,3,FALSE)</f>
        <v>$211.9</v>
      </c>
      <c r="J1294" t="str">
        <f t="shared" si="163"/>
        <v>Sunday</v>
      </c>
      <c r="K1294" s="10" t="str">
        <f t="shared" si="164"/>
        <v>August</v>
      </c>
      <c r="L1294">
        <f t="shared" si="165"/>
        <v>2024</v>
      </c>
      <c r="M1294" t="b">
        <f t="shared" si="166"/>
        <v>1</v>
      </c>
      <c r="N1294" t="b">
        <f t="shared" si="160"/>
        <v>1</v>
      </c>
      <c r="O1294" t="str">
        <f t="shared" si="167"/>
        <v>Large Order</v>
      </c>
      <c r="P1294" s="7">
        <f t="shared" si="161"/>
        <v>10.595000000000001</v>
      </c>
      <c r="Q1294" s="7" t="str">
        <f>VLOOKUP(D1295,Product_Lookup!$A$2:$C$27,2,FALSE)</f>
        <v>Lego Set</v>
      </c>
      <c r="R1294" s="7">
        <f t="shared" si="162"/>
        <v>2542.8000000000002</v>
      </c>
    </row>
    <row r="1295" spans="1:18" ht="21.75" customHeight="1">
      <c r="A1295" t="s">
        <v>1446</v>
      </c>
      <c r="B1295" s="6">
        <v>45540</v>
      </c>
      <c r="C1295" t="s">
        <v>366</v>
      </c>
      <c r="D1295" t="s">
        <v>84</v>
      </c>
      <c r="E1295" t="s">
        <v>17</v>
      </c>
      <c r="F1295" t="s">
        <v>12</v>
      </c>
      <c r="G1295" t="s">
        <v>13</v>
      </c>
      <c r="H1295">
        <v>5</v>
      </c>
      <c r="I1295" t="str">
        <f>VLOOKUP(D1295,Product_Lookup!$A$2:$C$27,3,FALSE)</f>
        <v>$130.07</v>
      </c>
      <c r="J1295" t="str">
        <f t="shared" si="163"/>
        <v>Thursday</v>
      </c>
      <c r="K1295" s="10" t="str">
        <f t="shared" si="164"/>
        <v>September</v>
      </c>
      <c r="L1295">
        <f t="shared" si="165"/>
        <v>2024</v>
      </c>
      <c r="M1295" t="b">
        <f t="shared" si="166"/>
        <v>0</v>
      </c>
      <c r="N1295" t="b">
        <f t="shared" si="160"/>
        <v>0</v>
      </c>
      <c r="O1295" t="str">
        <f t="shared" si="167"/>
        <v>Large Order</v>
      </c>
      <c r="P1295" s="7">
        <f t="shared" si="161"/>
        <v>6.5034999999999998</v>
      </c>
      <c r="Q1295" s="7" t="str">
        <f>VLOOKUP(D1296,Product_Lookup!$A$2:$C$27,2,FALSE)</f>
        <v>Lego Set</v>
      </c>
      <c r="R1295" s="7">
        <f t="shared" si="162"/>
        <v>650.34999999999991</v>
      </c>
    </row>
    <row r="1296" spans="1:18" ht="21.75" customHeight="1">
      <c r="A1296" t="s">
        <v>1447</v>
      </c>
      <c r="B1296" s="6">
        <v>45396</v>
      </c>
      <c r="C1296" t="s">
        <v>55</v>
      </c>
      <c r="D1296" t="s">
        <v>84</v>
      </c>
      <c r="E1296" t="s">
        <v>11</v>
      </c>
      <c r="F1296" t="s">
        <v>56</v>
      </c>
      <c r="G1296" t="s">
        <v>36</v>
      </c>
      <c r="H1296">
        <v>17</v>
      </c>
      <c r="I1296" t="str">
        <f>VLOOKUP(D1296,Product_Lookup!$A$2:$C$27,3,FALSE)</f>
        <v>$130.07</v>
      </c>
      <c r="J1296" t="str">
        <f t="shared" si="163"/>
        <v>Sunday</v>
      </c>
      <c r="K1296" s="10" t="str">
        <f t="shared" si="164"/>
        <v>April</v>
      </c>
      <c r="L1296">
        <f t="shared" si="165"/>
        <v>2024</v>
      </c>
      <c r="M1296" t="b">
        <f t="shared" si="166"/>
        <v>1</v>
      </c>
      <c r="N1296" t="b">
        <f t="shared" si="160"/>
        <v>1</v>
      </c>
      <c r="O1296" t="str">
        <f t="shared" si="167"/>
        <v>Large Order</v>
      </c>
      <c r="P1296" s="7">
        <f t="shared" si="161"/>
        <v>6.5034999999999998</v>
      </c>
      <c r="Q1296" s="7" t="str">
        <f>VLOOKUP(D1297,Product_Lookup!$A$2:$C$27,2,FALSE)</f>
        <v>Laptop</v>
      </c>
      <c r="R1296" s="7">
        <f t="shared" si="162"/>
        <v>2211.19</v>
      </c>
    </row>
    <row r="1297" spans="1:18" ht="21.75" customHeight="1">
      <c r="A1297" t="s">
        <v>1448</v>
      </c>
      <c r="B1297" s="6">
        <v>45631</v>
      </c>
      <c r="C1297" t="s">
        <v>361</v>
      </c>
      <c r="D1297" t="s">
        <v>96</v>
      </c>
      <c r="E1297" t="s">
        <v>11</v>
      </c>
      <c r="F1297" t="s">
        <v>306</v>
      </c>
      <c r="G1297" t="s">
        <v>28</v>
      </c>
      <c r="H1297">
        <v>17</v>
      </c>
      <c r="I1297" t="str">
        <f>VLOOKUP(D1297,Product_Lookup!$A$2:$C$27,3,FALSE)</f>
        <v>$230.68</v>
      </c>
      <c r="J1297" t="str">
        <f t="shared" si="163"/>
        <v>Thursday</v>
      </c>
      <c r="K1297" s="10" t="str">
        <f t="shared" si="164"/>
        <v>December</v>
      </c>
      <c r="L1297">
        <f t="shared" si="165"/>
        <v>2024</v>
      </c>
      <c r="M1297" t="b">
        <f t="shared" si="166"/>
        <v>0</v>
      </c>
      <c r="N1297" t="b">
        <f t="shared" si="160"/>
        <v>1</v>
      </c>
      <c r="O1297" t="str">
        <f t="shared" si="167"/>
        <v>Large Order</v>
      </c>
      <c r="P1297" s="7">
        <f t="shared" si="161"/>
        <v>11.534000000000001</v>
      </c>
      <c r="Q1297" s="7" t="str">
        <f>VLOOKUP(D1298,Product_Lookup!$A$2:$C$27,2,FALSE)</f>
        <v>Board Game</v>
      </c>
      <c r="R1297" s="7">
        <f t="shared" si="162"/>
        <v>3921.56</v>
      </c>
    </row>
    <row r="1298" spans="1:18" ht="21.75" customHeight="1">
      <c r="A1298" t="s">
        <v>1449</v>
      </c>
      <c r="B1298" s="6">
        <v>45505</v>
      </c>
      <c r="C1298" t="s">
        <v>208</v>
      </c>
      <c r="D1298" t="s">
        <v>41</v>
      </c>
      <c r="E1298" t="s">
        <v>11</v>
      </c>
      <c r="F1298" t="s">
        <v>27</v>
      </c>
      <c r="G1298" t="s">
        <v>13</v>
      </c>
      <c r="H1298">
        <v>4</v>
      </c>
      <c r="I1298" t="str">
        <f>VLOOKUP(D1298,Product_Lookup!$A$2:$C$27,3,FALSE)</f>
        <v>$86.6</v>
      </c>
      <c r="J1298" t="str">
        <f t="shared" si="163"/>
        <v>Thursday</v>
      </c>
      <c r="K1298" s="10" t="str">
        <f t="shared" si="164"/>
        <v>August</v>
      </c>
      <c r="L1298">
        <f t="shared" si="165"/>
        <v>2024</v>
      </c>
      <c r="M1298" t="b">
        <f t="shared" si="166"/>
        <v>0</v>
      </c>
      <c r="N1298" t="b">
        <f t="shared" si="160"/>
        <v>0</v>
      </c>
      <c r="O1298" t="str">
        <f t="shared" si="167"/>
        <v>Standard order</v>
      </c>
      <c r="P1298" s="7">
        <f t="shared" si="161"/>
        <v>4.33</v>
      </c>
      <c r="Q1298" s="7" t="str">
        <f>VLOOKUP(D1299,Product_Lookup!$A$2:$C$27,2,FALSE)</f>
        <v>Coffee Maker</v>
      </c>
      <c r="R1298" s="7">
        <f t="shared" si="162"/>
        <v>346.4</v>
      </c>
    </row>
    <row r="1299" spans="1:18" ht="21.75" customHeight="1">
      <c r="A1299" t="s">
        <v>1450</v>
      </c>
      <c r="B1299" s="6">
        <v>45437</v>
      </c>
      <c r="C1299" t="s">
        <v>455</v>
      </c>
      <c r="D1299" t="s">
        <v>31</v>
      </c>
      <c r="E1299" t="s">
        <v>22</v>
      </c>
      <c r="F1299" t="s">
        <v>12</v>
      </c>
      <c r="G1299" t="s">
        <v>13</v>
      </c>
      <c r="H1299">
        <v>12</v>
      </c>
      <c r="I1299" t="str">
        <f>VLOOKUP(D1299,Product_Lookup!$A$2:$C$27,3,FALSE)</f>
        <v>$230.34</v>
      </c>
      <c r="J1299" t="str">
        <f t="shared" si="163"/>
        <v>Saturday</v>
      </c>
      <c r="K1299" s="10" t="str">
        <f t="shared" si="164"/>
        <v>May</v>
      </c>
      <c r="L1299">
        <f t="shared" si="165"/>
        <v>2024</v>
      </c>
      <c r="M1299" t="b">
        <f t="shared" si="166"/>
        <v>1</v>
      </c>
      <c r="N1299" t="b">
        <f t="shared" si="160"/>
        <v>1</v>
      </c>
      <c r="O1299" t="str">
        <f t="shared" si="167"/>
        <v>Large Order</v>
      </c>
      <c r="P1299" s="7">
        <f t="shared" si="161"/>
        <v>11.517000000000001</v>
      </c>
      <c r="Q1299" s="7" t="str">
        <f>VLOOKUP(D1300,Product_Lookup!$A$2:$C$27,2,FALSE)</f>
        <v>Air Fryer</v>
      </c>
      <c r="R1299" s="7">
        <f t="shared" si="162"/>
        <v>2764.08</v>
      </c>
    </row>
    <row r="1300" spans="1:18" ht="21.75" customHeight="1">
      <c r="A1300" t="s">
        <v>1451</v>
      </c>
      <c r="B1300" s="6">
        <v>45457</v>
      </c>
      <c r="C1300" t="s">
        <v>125</v>
      </c>
      <c r="D1300" t="s">
        <v>70</v>
      </c>
      <c r="E1300" t="s">
        <v>11</v>
      </c>
      <c r="F1300" t="s">
        <v>12</v>
      </c>
      <c r="G1300" t="s">
        <v>32</v>
      </c>
      <c r="H1300">
        <v>16</v>
      </c>
      <c r="I1300" t="str">
        <f>VLOOKUP(D1300,Product_Lookup!$A$2:$C$27,3,FALSE)</f>
        <v>$211.9</v>
      </c>
      <c r="J1300" t="str">
        <f t="shared" si="163"/>
        <v>Friday</v>
      </c>
      <c r="K1300" s="10" t="str">
        <f t="shared" si="164"/>
        <v>June</v>
      </c>
      <c r="L1300">
        <f t="shared" si="165"/>
        <v>2024</v>
      </c>
      <c r="M1300" t="b">
        <f t="shared" si="166"/>
        <v>0</v>
      </c>
      <c r="N1300" t="b">
        <f t="shared" si="160"/>
        <v>1</v>
      </c>
      <c r="O1300" t="str">
        <f t="shared" si="167"/>
        <v>Large Order</v>
      </c>
      <c r="P1300" s="7">
        <f t="shared" si="161"/>
        <v>10.595000000000001</v>
      </c>
      <c r="Q1300" s="7" t="str">
        <f>VLOOKUP(D1301,Product_Lookup!$A$2:$C$27,2,FALSE)</f>
        <v>Smartphone</v>
      </c>
      <c r="R1300" s="7">
        <f t="shared" si="162"/>
        <v>3390.4</v>
      </c>
    </row>
    <row r="1301" spans="1:18" ht="21.75" customHeight="1">
      <c r="A1301" t="s">
        <v>1452</v>
      </c>
      <c r="B1301" s="6">
        <v>45596</v>
      </c>
      <c r="C1301" t="s">
        <v>371</v>
      </c>
      <c r="D1301" t="s">
        <v>79</v>
      </c>
      <c r="E1301" t="s">
        <v>11</v>
      </c>
      <c r="F1301" t="s">
        <v>42</v>
      </c>
      <c r="G1301" t="s">
        <v>32</v>
      </c>
      <c r="H1301">
        <v>20</v>
      </c>
      <c r="I1301" t="str">
        <f>VLOOKUP(D1301,Product_Lookup!$A$2:$C$27,3,FALSE)</f>
        <v>$216.22</v>
      </c>
      <c r="J1301" t="str">
        <f t="shared" si="163"/>
        <v>Thursday</v>
      </c>
      <c r="K1301" s="10" t="str">
        <f t="shared" si="164"/>
        <v>October</v>
      </c>
      <c r="L1301">
        <f t="shared" si="165"/>
        <v>2024</v>
      </c>
      <c r="M1301" t="b">
        <f t="shared" si="166"/>
        <v>0</v>
      </c>
      <c r="N1301" t="b">
        <f t="shared" si="160"/>
        <v>1</v>
      </c>
      <c r="O1301" t="str">
        <f t="shared" si="167"/>
        <v>Large Order</v>
      </c>
      <c r="P1301" s="7">
        <f t="shared" si="161"/>
        <v>10.811</v>
      </c>
      <c r="Q1301" s="7" t="str">
        <f>VLOOKUP(D1302,Product_Lookup!$A$2:$C$27,2,FALSE)</f>
        <v>Laptop</v>
      </c>
      <c r="R1301" s="7">
        <f t="shared" si="162"/>
        <v>4324.3999999999996</v>
      </c>
    </row>
    <row r="1302" spans="1:18" ht="21.75" customHeight="1">
      <c r="A1302" t="s">
        <v>1453</v>
      </c>
      <c r="B1302" s="6">
        <v>45619</v>
      </c>
      <c r="C1302" t="s">
        <v>40</v>
      </c>
      <c r="D1302" t="s">
        <v>96</v>
      </c>
      <c r="E1302" t="s">
        <v>22</v>
      </c>
      <c r="F1302" t="s">
        <v>42</v>
      </c>
      <c r="G1302" t="s">
        <v>28</v>
      </c>
      <c r="H1302">
        <v>8</v>
      </c>
      <c r="I1302" t="str">
        <f>VLOOKUP(D1302,Product_Lookup!$A$2:$C$27,3,FALSE)</f>
        <v>$230.68</v>
      </c>
      <c r="J1302" t="str">
        <f t="shared" si="163"/>
        <v>Saturday</v>
      </c>
      <c r="K1302" s="10" t="str">
        <f t="shared" si="164"/>
        <v>November</v>
      </c>
      <c r="L1302">
        <f t="shared" si="165"/>
        <v>2024</v>
      </c>
      <c r="M1302" t="b">
        <f t="shared" si="166"/>
        <v>1</v>
      </c>
      <c r="N1302" t="b">
        <f t="shared" si="160"/>
        <v>1</v>
      </c>
      <c r="O1302" t="str">
        <f t="shared" si="167"/>
        <v>Large Order</v>
      </c>
      <c r="P1302" s="7">
        <f t="shared" si="161"/>
        <v>11.534000000000001</v>
      </c>
      <c r="Q1302" s="7" t="str">
        <f>VLOOKUP(D1303,Product_Lookup!$A$2:$C$27,2,FALSE)</f>
        <v>Lego Set</v>
      </c>
      <c r="R1302" s="7">
        <f t="shared" si="162"/>
        <v>1845.44</v>
      </c>
    </row>
    <row r="1303" spans="1:18" ht="21.75" customHeight="1">
      <c r="A1303" t="s">
        <v>1454</v>
      </c>
      <c r="B1303" s="6">
        <v>45344</v>
      </c>
      <c r="C1303" t="s">
        <v>422</v>
      </c>
      <c r="D1303" t="s">
        <v>84</v>
      </c>
      <c r="E1303" t="s">
        <v>22</v>
      </c>
      <c r="F1303" t="s">
        <v>12</v>
      </c>
      <c r="G1303" t="s">
        <v>36</v>
      </c>
      <c r="H1303">
        <v>14</v>
      </c>
      <c r="I1303" t="str">
        <f>VLOOKUP(D1303,Product_Lookup!$A$2:$C$27,3,FALSE)</f>
        <v>$130.07</v>
      </c>
      <c r="J1303" t="str">
        <f t="shared" si="163"/>
        <v>Thursday</v>
      </c>
      <c r="K1303" s="10" t="str">
        <f t="shared" si="164"/>
        <v>February</v>
      </c>
      <c r="L1303">
        <f t="shared" si="165"/>
        <v>2024</v>
      </c>
      <c r="M1303" t="b">
        <f t="shared" si="166"/>
        <v>0</v>
      </c>
      <c r="N1303" t="b">
        <f t="shared" si="160"/>
        <v>1</v>
      </c>
      <c r="O1303" t="str">
        <f t="shared" si="167"/>
        <v>Large Order</v>
      </c>
      <c r="P1303" s="7">
        <f t="shared" si="161"/>
        <v>6.5034999999999998</v>
      </c>
      <c r="Q1303" s="7" t="str">
        <f>VLOOKUP(D1304,Product_Lookup!$A$2:$C$27,2,FALSE)</f>
        <v>Jacket</v>
      </c>
      <c r="R1303" s="7">
        <f t="shared" si="162"/>
        <v>1820.98</v>
      </c>
    </row>
    <row r="1304" spans="1:18" ht="21.75" customHeight="1">
      <c r="A1304" t="s">
        <v>1455</v>
      </c>
      <c r="B1304" s="6">
        <v>45339</v>
      </c>
      <c r="C1304" t="s">
        <v>133</v>
      </c>
      <c r="D1304" t="s">
        <v>197</v>
      </c>
      <c r="E1304" t="s">
        <v>22</v>
      </c>
      <c r="F1304" t="s">
        <v>306</v>
      </c>
      <c r="G1304" t="s">
        <v>13</v>
      </c>
      <c r="H1304">
        <v>18</v>
      </c>
      <c r="I1304" t="str">
        <f>VLOOKUP(D1304,Product_Lookup!$A$2:$C$27,3,FALSE)</f>
        <v>$10.11</v>
      </c>
      <c r="J1304" t="str">
        <f t="shared" si="163"/>
        <v>Saturday</v>
      </c>
      <c r="K1304" s="10" t="str">
        <f t="shared" si="164"/>
        <v>February</v>
      </c>
      <c r="L1304">
        <f t="shared" si="165"/>
        <v>2024</v>
      </c>
      <c r="M1304" t="b">
        <f t="shared" si="166"/>
        <v>1</v>
      </c>
      <c r="N1304" t="b">
        <f t="shared" si="160"/>
        <v>0</v>
      </c>
      <c r="O1304" t="str">
        <f t="shared" si="167"/>
        <v>Standard order</v>
      </c>
      <c r="P1304" s="7">
        <f t="shared" si="161"/>
        <v>0.50549999999999995</v>
      </c>
      <c r="Q1304" s="7" t="str">
        <f>VLOOKUP(D1305,Product_Lookup!$A$2:$C$27,2,FALSE)</f>
        <v>Pen Set</v>
      </c>
      <c r="R1304" s="7">
        <f t="shared" si="162"/>
        <v>181.98</v>
      </c>
    </row>
    <row r="1305" spans="1:18" ht="21.75" customHeight="1">
      <c r="A1305" t="s">
        <v>1456</v>
      </c>
      <c r="B1305" s="6">
        <v>45624</v>
      </c>
      <c r="C1305" t="s">
        <v>424</v>
      </c>
      <c r="D1305" t="s">
        <v>174</v>
      </c>
      <c r="E1305" t="s">
        <v>17</v>
      </c>
      <c r="F1305" t="s">
        <v>56</v>
      </c>
      <c r="G1305" t="s">
        <v>23</v>
      </c>
      <c r="H1305">
        <v>19</v>
      </c>
      <c r="I1305" t="str">
        <f>VLOOKUP(D1305,Product_Lookup!$A$2:$C$27,3,FALSE)</f>
        <v>$133.37</v>
      </c>
      <c r="J1305" t="str">
        <f t="shared" si="163"/>
        <v>Thursday</v>
      </c>
      <c r="K1305" s="10" t="str">
        <f t="shared" si="164"/>
        <v>November</v>
      </c>
      <c r="L1305">
        <f t="shared" si="165"/>
        <v>2024</v>
      </c>
      <c r="M1305" t="b">
        <f t="shared" si="166"/>
        <v>0</v>
      </c>
      <c r="N1305" t="b">
        <f t="shared" si="160"/>
        <v>1</v>
      </c>
      <c r="O1305" t="str">
        <f t="shared" si="167"/>
        <v>Large Order</v>
      </c>
      <c r="P1305" s="7">
        <f t="shared" si="161"/>
        <v>6.6685000000000008</v>
      </c>
      <c r="Q1305" s="7" t="str">
        <f>VLOOKUP(D1306,Product_Lookup!$A$2:$C$27,2,FALSE)</f>
        <v>T-Shirt</v>
      </c>
      <c r="R1305" s="7">
        <f t="shared" si="162"/>
        <v>2534.0300000000002</v>
      </c>
    </row>
    <row r="1306" spans="1:18" ht="21.75" customHeight="1">
      <c r="A1306" t="s">
        <v>1457</v>
      </c>
      <c r="B1306" s="6">
        <v>45295</v>
      </c>
      <c r="C1306" t="s">
        <v>332</v>
      </c>
      <c r="D1306" t="s">
        <v>45</v>
      </c>
      <c r="E1306" t="s">
        <v>22</v>
      </c>
      <c r="F1306" t="s">
        <v>27</v>
      </c>
      <c r="G1306" t="s">
        <v>32</v>
      </c>
      <c r="H1306">
        <v>9</v>
      </c>
      <c r="I1306" t="str">
        <f>VLOOKUP(D1306,Product_Lookup!$A$2:$C$27,3,FALSE)</f>
        <v>$107.34</v>
      </c>
      <c r="J1306" t="str">
        <f t="shared" si="163"/>
        <v>Thursday</v>
      </c>
      <c r="K1306" s="10" t="str">
        <f t="shared" si="164"/>
        <v>January</v>
      </c>
      <c r="L1306">
        <f t="shared" si="165"/>
        <v>2024</v>
      </c>
      <c r="M1306" t="b">
        <f t="shared" si="166"/>
        <v>0</v>
      </c>
      <c r="N1306" t="b">
        <f t="shared" si="160"/>
        <v>1</v>
      </c>
      <c r="O1306" t="str">
        <f t="shared" si="167"/>
        <v>Large Order</v>
      </c>
      <c r="P1306" s="7">
        <f t="shared" si="161"/>
        <v>5.3670000000000009</v>
      </c>
      <c r="Q1306" s="7" t="str">
        <f>VLOOKUP(D1307,Product_Lookup!$A$2:$C$27,2,FALSE)</f>
        <v>Tablet</v>
      </c>
      <c r="R1306" s="7">
        <f t="shared" si="162"/>
        <v>966.06000000000006</v>
      </c>
    </row>
    <row r="1307" spans="1:18" ht="21.75" customHeight="1">
      <c r="A1307" t="s">
        <v>1458</v>
      </c>
      <c r="B1307" s="6">
        <v>45464</v>
      </c>
      <c r="C1307" t="s">
        <v>15</v>
      </c>
      <c r="D1307" t="s">
        <v>10</v>
      </c>
      <c r="E1307" t="s">
        <v>17</v>
      </c>
      <c r="F1307" t="s">
        <v>12</v>
      </c>
      <c r="G1307" t="s">
        <v>32</v>
      </c>
      <c r="H1307">
        <v>12</v>
      </c>
      <c r="I1307" t="str">
        <f>VLOOKUP(D1307,Product_Lookup!$A$2:$C$27,3,FALSE)</f>
        <v>$146.06</v>
      </c>
      <c r="J1307" t="str">
        <f t="shared" si="163"/>
        <v>Friday</v>
      </c>
      <c r="K1307" s="10" t="str">
        <f t="shared" si="164"/>
        <v>June</v>
      </c>
      <c r="L1307">
        <f t="shared" si="165"/>
        <v>2024</v>
      </c>
      <c r="M1307" t="b">
        <f t="shared" si="166"/>
        <v>0</v>
      </c>
      <c r="N1307" t="b">
        <f t="shared" si="160"/>
        <v>1</v>
      </c>
      <c r="O1307" t="str">
        <f t="shared" si="167"/>
        <v>Large Order</v>
      </c>
      <c r="P1307" s="7">
        <f t="shared" si="161"/>
        <v>7.3030000000000008</v>
      </c>
      <c r="Q1307" s="7" t="str">
        <f>VLOOKUP(D1308,Product_Lookup!$A$2:$C$27,2,FALSE)</f>
        <v>Air Fryer</v>
      </c>
      <c r="R1307" s="7">
        <f t="shared" si="162"/>
        <v>1752.72</v>
      </c>
    </row>
    <row r="1308" spans="1:18" ht="21.75" customHeight="1">
      <c r="A1308" t="s">
        <v>1459</v>
      </c>
      <c r="B1308" s="6">
        <v>45314</v>
      </c>
      <c r="C1308" t="s">
        <v>388</v>
      </c>
      <c r="D1308" t="s">
        <v>70</v>
      </c>
      <c r="E1308" t="s">
        <v>22</v>
      </c>
      <c r="F1308" t="s">
        <v>12</v>
      </c>
      <c r="G1308" t="s">
        <v>23</v>
      </c>
      <c r="H1308">
        <v>3</v>
      </c>
      <c r="I1308" t="str">
        <f>VLOOKUP(D1308,Product_Lookup!$A$2:$C$27,3,FALSE)</f>
        <v>$211.9</v>
      </c>
      <c r="J1308" t="str">
        <f t="shared" si="163"/>
        <v>Tuesday</v>
      </c>
      <c r="K1308" s="10" t="str">
        <f t="shared" si="164"/>
        <v>January</v>
      </c>
      <c r="L1308">
        <f t="shared" si="165"/>
        <v>2024</v>
      </c>
      <c r="M1308" t="b">
        <f t="shared" si="166"/>
        <v>0</v>
      </c>
      <c r="N1308" t="b">
        <f t="shared" si="160"/>
        <v>0</v>
      </c>
      <c r="O1308" t="str">
        <f t="shared" si="167"/>
        <v>Large Order</v>
      </c>
      <c r="P1308" s="7">
        <f t="shared" si="161"/>
        <v>10.595000000000001</v>
      </c>
      <c r="Q1308" s="7" t="str">
        <f>VLOOKUP(D1309,Product_Lookup!$A$2:$C$27,2,FALSE)</f>
        <v>Toaster</v>
      </c>
      <c r="R1308" s="7">
        <f t="shared" si="162"/>
        <v>635.70000000000005</v>
      </c>
    </row>
    <row r="1309" spans="1:18" ht="21.75" customHeight="1">
      <c r="A1309" t="s">
        <v>1460</v>
      </c>
      <c r="B1309" s="6">
        <v>45613</v>
      </c>
      <c r="C1309" t="s">
        <v>381</v>
      </c>
      <c r="D1309" t="s">
        <v>48</v>
      </c>
      <c r="E1309" t="s">
        <v>22</v>
      </c>
      <c r="F1309" t="s">
        <v>56</v>
      </c>
      <c r="G1309" t="s">
        <v>13</v>
      </c>
      <c r="H1309">
        <v>2</v>
      </c>
      <c r="I1309" t="str">
        <f>VLOOKUP(D1309,Product_Lookup!$A$2:$C$27,3,FALSE)</f>
        <v>$208.85</v>
      </c>
      <c r="J1309" t="str">
        <f t="shared" si="163"/>
        <v>Sunday</v>
      </c>
      <c r="K1309" s="10" t="str">
        <f t="shared" si="164"/>
        <v>November</v>
      </c>
      <c r="L1309">
        <f t="shared" si="165"/>
        <v>2024</v>
      </c>
      <c r="M1309" t="b">
        <f t="shared" si="166"/>
        <v>1</v>
      </c>
      <c r="N1309" t="b">
        <f t="shared" si="160"/>
        <v>0</v>
      </c>
      <c r="O1309" t="str">
        <f t="shared" si="167"/>
        <v>Standard order</v>
      </c>
      <c r="P1309" s="7">
        <f t="shared" si="161"/>
        <v>10.442500000000001</v>
      </c>
      <c r="Q1309" s="7" t="str">
        <f>VLOOKUP(D1310,Product_Lookup!$A$2:$C$27,2,FALSE)</f>
        <v>Jacket</v>
      </c>
      <c r="R1309" s="7">
        <f t="shared" si="162"/>
        <v>417.7</v>
      </c>
    </row>
    <row r="1310" spans="1:18" ht="21.75" customHeight="1">
      <c r="A1310" t="s">
        <v>1461</v>
      </c>
      <c r="B1310" s="6">
        <v>45440</v>
      </c>
      <c r="C1310" t="s">
        <v>81</v>
      </c>
      <c r="D1310" t="s">
        <v>197</v>
      </c>
      <c r="E1310" t="s">
        <v>11</v>
      </c>
      <c r="F1310" t="s">
        <v>27</v>
      </c>
      <c r="G1310" t="s">
        <v>32</v>
      </c>
      <c r="H1310">
        <v>15</v>
      </c>
      <c r="I1310" t="str">
        <f>VLOOKUP(D1310,Product_Lookup!$A$2:$C$27,3,FALSE)</f>
        <v>$10.11</v>
      </c>
      <c r="J1310" t="str">
        <f t="shared" si="163"/>
        <v>Tuesday</v>
      </c>
      <c r="K1310" s="10" t="str">
        <f t="shared" si="164"/>
        <v>May</v>
      </c>
      <c r="L1310">
        <f t="shared" si="165"/>
        <v>2024</v>
      </c>
      <c r="M1310" t="b">
        <f t="shared" si="166"/>
        <v>0</v>
      </c>
      <c r="N1310" t="b">
        <f t="shared" si="160"/>
        <v>0</v>
      </c>
      <c r="O1310" t="str">
        <f t="shared" si="167"/>
        <v>Standard order</v>
      </c>
      <c r="P1310" s="7">
        <f t="shared" si="161"/>
        <v>0.50549999999999995</v>
      </c>
      <c r="Q1310" s="7" t="str">
        <f>VLOOKUP(D1311,Product_Lookup!$A$2:$C$27,2,FALSE)</f>
        <v>Toaster</v>
      </c>
      <c r="R1310" s="7">
        <f t="shared" si="162"/>
        <v>151.64999999999998</v>
      </c>
    </row>
    <row r="1311" spans="1:18" ht="21.75" customHeight="1">
      <c r="A1311" t="s">
        <v>1462</v>
      </c>
      <c r="B1311" s="6">
        <v>45478</v>
      </c>
      <c r="C1311" t="s">
        <v>111</v>
      </c>
      <c r="D1311" t="s">
        <v>48</v>
      </c>
      <c r="E1311" t="s">
        <v>17</v>
      </c>
      <c r="F1311" t="s">
        <v>56</v>
      </c>
      <c r="G1311" t="s">
        <v>32</v>
      </c>
      <c r="H1311">
        <v>3</v>
      </c>
      <c r="I1311" t="str">
        <f>VLOOKUP(D1311,Product_Lookup!$A$2:$C$27,3,FALSE)</f>
        <v>$208.85</v>
      </c>
      <c r="J1311" t="str">
        <f t="shared" si="163"/>
        <v>Friday</v>
      </c>
      <c r="K1311" s="10" t="str">
        <f t="shared" si="164"/>
        <v>July</v>
      </c>
      <c r="L1311">
        <f t="shared" si="165"/>
        <v>2024</v>
      </c>
      <c r="M1311" t="b">
        <f t="shared" si="166"/>
        <v>0</v>
      </c>
      <c r="N1311" t="b">
        <f t="shared" si="160"/>
        <v>0</v>
      </c>
      <c r="O1311" t="str">
        <f t="shared" si="167"/>
        <v>Large Order</v>
      </c>
      <c r="P1311" s="7">
        <f t="shared" si="161"/>
        <v>10.442500000000001</v>
      </c>
      <c r="Q1311" s="7" t="str">
        <f>VLOOKUP(D1312,Product_Lookup!$A$2:$C$27,2,FALSE)</f>
        <v>Lego Set</v>
      </c>
      <c r="R1311" s="7">
        <f t="shared" si="162"/>
        <v>626.54999999999995</v>
      </c>
    </row>
    <row r="1312" spans="1:18" ht="21.75" customHeight="1">
      <c r="A1312" t="s">
        <v>1463</v>
      </c>
      <c r="B1312" s="6">
        <v>45379</v>
      </c>
      <c r="C1312" t="s">
        <v>312</v>
      </c>
      <c r="D1312" t="s">
        <v>84</v>
      </c>
      <c r="E1312" t="s">
        <v>11</v>
      </c>
      <c r="F1312" t="s">
        <v>56</v>
      </c>
      <c r="G1312" t="s">
        <v>23</v>
      </c>
      <c r="H1312">
        <v>13</v>
      </c>
      <c r="I1312" t="str">
        <f>VLOOKUP(D1312,Product_Lookup!$A$2:$C$27,3,FALSE)</f>
        <v>$130.07</v>
      </c>
      <c r="J1312" t="str">
        <f t="shared" si="163"/>
        <v>Thursday</v>
      </c>
      <c r="K1312" s="10" t="str">
        <f t="shared" si="164"/>
        <v>March</v>
      </c>
      <c r="L1312">
        <f t="shared" si="165"/>
        <v>2024</v>
      </c>
      <c r="M1312" t="b">
        <f t="shared" si="166"/>
        <v>0</v>
      </c>
      <c r="N1312" t="b">
        <f t="shared" si="160"/>
        <v>1</v>
      </c>
      <c r="O1312" t="str">
        <f t="shared" si="167"/>
        <v>Large Order</v>
      </c>
      <c r="P1312" s="7">
        <f t="shared" si="161"/>
        <v>6.5034999999999998</v>
      </c>
      <c r="Q1312" s="7" t="str">
        <f>VLOOKUP(D1313,Product_Lookup!$A$2:$C$27,2,FALSE)</f>
        <v>Pen Set</v>
      </c>
      <c r="R1312" s="7">
        <f t="shared" si="162"/>
        <v>1690.9099999999999</v>
      </c>
    </row>
    <row r="1313" spans="1:18" ht="21.75" customHeight="1">
      <c r="A1313" t="s">
        <v>1464</v>
      </c>
      <c r="B1313" s="6">
        <v>45619</v>
      </c>
      <c r="C1313" t="s">
        <v>465</v>
      </c>
      <c r="D1313" t="s">
        <v>174</v>
      </c>
      <c r="E1313" t="s">
        <v>11</v>
      </c>
      <c r="F1313" t="s">
        <v>42</v>
      </c>
      <c r="G1313" t="s">
        <v>13</v>
      </c>
      <c r="H1313">
        <v>8</v>
      </c>
      <c r="I1313" t="str">
        <f>VLOOKUP(D1313,Product_Lookup!$A$2:$C$27,3,FALSE)</f>
        <v>$133.37</v>
      </c>
      <c r="J1313" t="str">
        <f t="shared" si="163"/>
        <v>Saturday</v>
      </c>
      <c r="K1313" s="10" t="str">
        <f t="shared" si="164"/>
        <v>November</v>
      </c>
      <c r="L1313">
        <f t="shared" si="165"/>
        <v>2024</v>
      </c>
      <c r="M1313" t="b">
        <f t="shared" si="166"/>
        <v>1</v>
      </c>
      <c r="N1313" t="b">
        <f t="shared" si="160"/>
        <v>1</v>
      </c>
      <c r="O1313" t="str">
        <f t="shared" si="167"/>
        <v>Large Order</v>
      </c>
      <c r="P1313" s="7">
        <f t="shared" si="161"/>
        <v>6.6685000000000008</v>
      </c>
      <c r="Q1313" s="7" t="str">
        <f>VLOOKUP(D1314,Product_Lookup!$A$2:$C$27,2,FALSE)</f>
        <v>Sweater</v>
      </c>
      <c r="R1313" s="7">
        <f t="shared" si="162"/>
        <v>1066.96</v>
      </c>
    </row>
    <row r="1314" spans="1:18" ht="21.75" customHeight="1">
      <c r="A1314" t="s">
        <v>1465</v>
      </c>
      <c r="B1314" s="6">
        <v>45453</v>
      </c>
      <c r="C1314" t="s">
        <v>341</v>
      </c>
      <c r="D1314" t="s">
        <v>26</v>
      </c>
      <c r="E1314" t="s">
        <v>11</v>
      </c>
      <c r="F1314" t="s">
        <v>56</v>
      </c>
      <c r="G1314" t="s">
        <v>36</v>
      </c>
      <c r="H1314">
        <v>11</v>
      </c>
      <c r="I1314" t="str">
        <f>VLOOKUP(D1314,Product_Lookup!$A$2:$C$27,3,FALSE)</f>
        <v>$84.57</v>
      </c>
      <c r="J1314" t="str">
        <f t="shared" si="163"/>
        <v>Monday</v>
      </c>
      <c r="K1314" s="10" t="str">
        <f t="shared" si="164"/>
        <v>June</v>
      </c>
      <c r="L1314">
        <f t="shared" si="165"/>
        <v>2024</v>
      </c>
      <c r="M1314" t="b">
        <f t="shared" si="166"/>
        <v>0</v>
      </c>
      <c r="N1314" t="b">
        <f t="shared" si="160"/>
        <v>1</v>
      </c>
      <c r="O1314" t="str">
        <f t="shared" si="167"/>
        <v>Large Order</v>
      </c>
      <c r="P1314" s="7">
        <f t="shared" si="161"/>
        <v>4.2284999999999995</v>
      </c>
      <c r="Q1314" s="7" t="str">
        <f>VLOOKUP(D1315,Product_Lookup!$A$2:$C$27,2,FALSE)</f>
        <v>Action Figure</v>
      </c>
      <c r="R1314" s="7">
        <f t="shared" si="162"/>
        <v>930.27</v>
      </c>
    </row>
    <row r="1315" spans="1:18" ht="21.75" customHeight="1">
      <c r="A1315" t="s">
        <v>1466</v>
      </c>
      <c r="B1315" s="6">
        <v>45547</v>
      </c>
      <c r="C1315" t="s">
        <v>106</v>
      </c>
      <c r="D1315" t="s">
        <v>21</v>
      </c>
      <c r="E1315" t="s">
        <v>17</v>
      </c>
      <c r="F1315" t="s">
        <v>56</v>
      </c>
      <c r="G1315" t="s">
        <v>32</v>
      </c>
      <c r="H1315">
        <v>5</v>
      </c>
      <c r="I1315" t="str">
        <f>VLOOKUP(D1315,Product_Lookup!$A$2:$C$27,3,FALSE)</f>
        <v>$88.18</v>
      </c>
      <c r="J1315" t="str">
        <f t="shared" si="163"/>
        <v>Thursday</v>
      </c>
      <c r="K1315" s="10" t="str">
        <f t="shared" si="164"/>
        <v>September</v>
      </c>
      <c r="L1315">
        <f t="shared" si="165"/>
        <v>2024</v>
      </c>
      <c r="M1315" t="b">
        <f t="shared" si="166"/>
        <v>0</v>
      </c>
      <c r="N1315" t="b">
        <f t="shared" si="160"/>
        <v>0</v>
      </c>
      <c r="O1315" t="str">
        <f t="shared" si="167"/>
        <v>Standard order</v>
      </c>
      <c r="P1315" s="7">
        <f t="shared" si="161"/>
        <v>4.4090000000000007</v>
      </c>
      <c r="Q1315" s="7" t="str">
        <f>VLOOKUP(D1316,Product_Lookup!$A$2:$C$27,2,FALSE)</f>
        <v>Sweater</v>
      </c>
      <c r="R1315" s="7">
        <f t="shared" si="162"/>
        <v>440.90000000000003</v>
      </c>
    </row>
    <row r="1316" spans="1:18" ht="21.75" customHeight="1">
      <c r="A1316" t="s">
        <v>1467</v>
      </c>
      <c r="B1316" s="6">
        <v>45579</v>
      </c>
      <c r="C1316" t="s">
        <v>312</v>
      </c>
      <c r="D1316" t="s">
        <v>26</v>
      </c>
      <c r="E1316" t="s">
        <v>22</v>
      </c>
      <c r="F1316" t="s">
        <v>306</v>
      </c>
      <c r="G1316" t="s">
        <v>23</v>
      </c>
      <c r="H1316">
        <v>19</v>
      </c>
      <c r="I1316" t="str">
        <f>VLOOKUP(D1316,Product_Lookup!$A$2:$C$27,3,FALSE)</f>
        <v>$84.57</v>
      </c>
      <c r="J1316" t="str">
        <f t="shared" si="163"/>
        <v>Monday</v>
      </c>
      <c r="K1316" s="10" t="str">
        <f t="shared" si="164"/>
        <v>October</v>
      </c>
      <c r="L1316">
        <f t="shared" si="165"/>
        <v>2024</v>
      </c>
      <c r="M1316" t="b">
        <f t="shared" si="166"/>
        <v>0</v>
      </c>
      <c r="N1316" t="b">
        <f t="shared" si="160"/>
        <v>1</v>
      </c>
      <c r="O1316" t="str">
        <f t="shared" si="167"/>
        <v>Large Order</v>
      </c>
      <c r="P1316" s="7">
        <f t="shared" si="161"/>
        <v>4.2284999999999995</v>
      </c>
      <c r="Q1316" s="7" t="str">
        <f>VLOOKUP(D1317,Product_Lookup!$A$2:$C$27,2,FALSE)</f>
        <v>Notebook</v>
      </c>
      <c r="R1316" s="7">
        <f t="shared" si="162"/>
        <v>1606.83</v>
      </c>
    </row>
    <row r="1317" spans="1:18" ht="21.75" customHeight="1">
      <c r="A1317" t="s">
        <v>1468</v>
      </c>
      <c r="B1317" s="6">
        <v>45404</v>
      </c>
      <c r="C1317" t="s">
        <v>99</v>
      </c>
      <c r="D1317" t="s">
        <v>160</v>
      </c>
      <c r="E1317" t="s">
        <v>17</v>
      </c>
      <c r="F1317" t="s">
        <v>12</v>
      </c>
      <c r="G1317" t="s">
        <v>13</v>
      </c>
      <c r="H1317">
        <v>4</v>
      </c>
      <c r="I1317" t="str">
        <f>VLOOKUP(D1317,Product_Lookup!$A$2:$C$27,3,FALSE)</f>
        <v>$149.27</v>
      </c>
      <c r="J1317" t="str">
        <f t="shared" si="163"/>
        <v>Monday</v>
      </c>
      <c r="K1317" s="10" t="str">
        <f t="shared" si="164"/>
        <v>April</v>
      </c>
      <c r="L1317">
        <f t="shared" si="165"/>
        <v>2024</v>
      </c>
      <c r="M1317" t="b">
        <f t="shared" si="166"/>
        <v>0</v>
      </c>
      <c r="N1317" t="b">
        <f t="shared" si="160"/>
        <v>0</v>
      </c>
      <c r="O1317" t="str">
        <f t="shared" si="167"/>
        <v>Large Order</v>
      </c>
      <c r="P1317" s="7">
        <f t="shared" si="161"/>
        <v>7.4635000000000007</v>
      </c>
      <c r="Q1317" s="7" t="str">
        <f>VLOOKUP(D1318,Product_Lookup!$A$2:$C$27,2,FALSE)</f>
        <v>Vacuum</v>
      </c>
      <c r="R1317" s="7">
        <f t="shared" si="162"/>
        <v>597.08000000000004</v>
      </c>
    </row>
    <row r="1318" spans="1:18" ht="21.75" customHeight="1">
      <c r="A1318" t="s">
        <v>1469</v>
      </c>
      <c r="B1318" s="6">
        <v>45373</v>
      </c>
      <c r="C1318" t="s">
        <v>455</v>
      </c>
      <c r="D1318" t="s">
        <v>87</v>
      </c>
      <c r="E1318" t="s">
        <v>22</v>
      </c>
      <c r="F1318" t="s">
        <v>12</v>
      </c>
      <c r="G1318" t="s">
        <v>23</v>
      </c>
      <c r="H1318">
        <v>13</v>
      </c>
      <c r="I1318" t="str">
        <f>VLOOKUP(D1318,Product_Lookup!$A$2:$C$27,3,FALSE)</f>
        <v>$26.59</v>
      </c>
      <c r="J1318" t="str">
        <f t="shared" si="163"/>
        <v>Friday</v>
      </c>
      <c r="K1318" s="10" t="str">
        <f t="shared" si="164"/>
        <v>March</v>
      </c>
      <c r="L1318">
        <f t="shared" si="165"/>
        <v>2024</v>
      </c>
      <c r="M1318" t="b">
        <f t="shared" si="166"/>
        <v>0</v>
      </c>
      <c r="N1318" t="b">
        <f t="shared" si="160"/>
        <v>0</v>
      </c>
      <c r="O1318" t="str">
        <f t="shared" si="167"/>
        <v>Standard order</v>
      </c>
      <c r="P1318" s="7">
        <f t="shared" si="161"/>
        <v>1.3295000000000001</v>
      </c>
      <c r="Q1318" s="7" t="str">
        <f>VLOOKUP(D1319,Product_Lookup!$A$2:$C$27,2,FALSE)</f>
        <v>Sweater</v>
      </c>
      <c r="R1318" s="7">
        <f t="shared" si="162"/>
        <v>345.67</v>
      </c>
    </row>
    <row r="1319" spans="1:18" ht="21.75" customHeight="1">
      <c r="A1319" t="s">
        <v>1470</v>
      </c>
      <c r="B1319" s="6">
        <v>45531</v>
      </c>
      <c r="C1319" t="s">
        <v>339</v>
      </c>
      <c r="D1319" t="s">
        <v>26</v>
      </c>
      <c r="E1319" t="s">
        <v>22</v>
      </c>
      <c r="F1319" t="s">
        <v>12</v>
      </c>
      <c r="G1319" t="s">
        <v>13</v>
      </c>
      <c r="H1319">
        <v>18</v>
      </c>
      <c r="I1319" t="str">
        <f>VLOOKUP(D1319,Product_Lookup!$A$2:$C$27,3,FALSE)</f>
        <v>$84.57</v>
      </c>
      <c r="J1319" t="str">
        <f t="shared" si="163"/>
        <v>Tuesday</v>
      </c>
      <c r="K1319" s="10" t="str">
        <f t="shared" si="164"/>
        <v>August</v>
      </c>
      <c r="L1319">
        <f t="shared" si="165"/>
        <v>2024</v>
      </c>
      <c r="M1319" t="b">
        <f t="shared" si="166"/>
        <v>0</v>
      </c>
      <c r="N1319" t="b">
        <f t="shared" si="160"/>
        <v>1</v>
      </c>
      <c r="O1319" t="str">
        <f t="shared" si="167"/>
        <v>Large Order</v>
      </c>
      <c r="P1319" s="7">
        <f t="shared" si="161"/>
        <v>4.2284999999999995</v>
      </c>
      <c r="Q1319" s="7" t="str">
        <f>VLOOKUP(D1320,Product_Lookup!$A$2:$C$27,2,FALSE)</f>
        <v>Monitor</v>
      </c>
      <c r="R1319" s="7">
        <f t="shared" si="162"/>
        <v>1522.2599999999998</v>
      </c>
    </row>
    <row r="1320" spans="1:18" ht="21.75" customHeight="1">
      <c r="A1320" t="s">
        <v>1471</v>
      </c>
      <c r="B1320" s="6">
        <v>45620</v>
      </c>
      <c r="C1320" t="s">
        <v>47</v>
      </c>
      <c r="D1320" t="s">
        <v>102</v>
      </c>
      <c r="E1320" t="s">
        <v>17</v>
      </c>
      <c r="F1320" t="s">
        <v>27</v>
      </c>
      <c r="G1320" t="s">
        <v>28</v>
      </c>
      <c r="H1320">
        <v>15</v>
      </c>
      <c r="I1320" t="str">
        <f>VLOOKUP(D1320,Product_Lookup!$A$2:$C$27,3,FALSE)</f>
        <v>$145.48</v>
      </c>
      <c r="J1320" t="str">
        <f t="shared" si="163"/>
        <v>Sunday</v>
      </c>
      <c r="K1320" s="10" t="str">
        <f t="shared" si="164"/>
        <v>November</v>
      </c>
      <c r="L1320">
        <f t="shared" si="165"/>
        <v>2024</v>
      </c>
      <c r="M1320" t="b">
        <f t="shared" si="166"/>
        <v>1</v>
      </c>
      <c r="N1320" t="b">
        <f t="shared" si="160"/>
        <v>1</v>
      </c>
      <c r="O1320" t="str">
        <f t="shared" si="167"/>
        <v>Large Order</v>
      </c>
      <c r="P1320" s="7">
        <f t="shared" si="161"/>
        <v>7.274</v>
      </c>
      <c r="Q1320" s="7" t="str">
        <f>VLOOKUP(D1321,Product_Lookup!$A$2:$C$27,2,FALSE)</f>
        <v>Doll</v>
      </c>
      <c r="R1320" s="7">
        <f t="shared" si="162"/>
        <v>2182.1999999999998</v>
      </c>
    </row>
    <row r="1321" spans="1:18" ht="21.75" customHeight="1">
      <c r="A1321" t="s">
        <v>1472</v>
      </c>
      <c r="B1321" s="6">
        <v>45426</v>
      </c>
      <c r="C1321" t="s">
        <v>358</v>
      </c>
      <c r="D1321" t="s">
        <v>119</v>
      </c>
      <c r="E1321" t="s">
        <v>11</v>
      </c>
      <c r="F1321" t="s">
        <v>306</v>
      </c>
      <c r="G1321" t="s">
        <v>13</v>
      </c>
      <c r="H1321">
        <v>10</v>
      </c>
      <c r="I1321" t="str">
        <f>VLOOKUP(D1321,Product_Lookup!$A$2:$C$27,3,FALSE)</f>
        <v>$32.94</v>
      </c>
      <c r="J1321" t="str">
        <f t="shared" si="163"/>
        <v>Tuesday</v>
      </c>
      <c r="K1321" s="10" t="str">
        <f t="shared" si="164"/>
        <v>May</v>
      </c>
      <c r="L1321">
        <f t="shared" si="165"/>
        <v>2024</v>
      </c>
      <c r="M1321" t="b">
        <f t="shared" si="166"/>
        <v>0</v>
      </c>
      <c r="N1321" t="b">
        <f t="shared" si="160"/>
        <v>0</v>
      </c>
      <c r="O1321" t="str">
        <f t="shared" si="167"/>
        <v>Standard order</v>
      </c>
      <c r="P1321" s="7">
        <f t="shared" si="161"/>
        <v>1.647</v>
      </c>
      <c r="Q1321" s="7" t="str">
        <f>VLOOKUP(D1322,Product_Lookup!$A$2:$C$27,2,FALSE)</f>
        <v>Jeans</v>
      </c>
      <c r="R1321" s="7">
        <f t="shared" si="162"/>
        <v>329.4</v>
      </c>
    </row>
    <row r="1322" spans="1:18" ht="21.75" customHeight="1">
      <c r="A1322" t="s">
        <v>1473</v>
      </c>
      <c r="B1322" s="6">
        <v>45551</v>
      </c>
      <c r="C1322" t="s">
        <v>493</v>
      </c>
      <c r="D1322" t="s">
        <v>65</v>
      </c>
      <c r="E1322" t="s">
        <v>11</v>
      </c>
      <c r="F1322" t="s">
        <v>42</v>
      </c>
      <c r="G1322" t="s">
        <v>28</v>
      </c>
      <c r="H1322">
        <v>18</v>
      </c>
      <c r="I1322" t="str">
        <f>VLOOKUP(D1322,Product_Lookup!$A$2:$C$27,3,FALSE)</f>
        <v>$33.22</v>
      </c>
      <c r="J1322" t="str">
        <f t="shared" si="163"/>
        <v>Monday</v>
      </c>
      <c r="K1322" s="10" t="str">
        <f t="shared" si="164"/>
        <v>September</v>
      </c>
      <c r="L1322">
        <f t="shared" si="165"/>
        <v>2024</v>
      </c>
      <c r="M1322" t="b">
        <f t="shared" si="166"/>
        <v>0</v>
      </c>
      <c r="N1322" t="b">
        <f t="shared" si="160"/>
        <v>0</v>
      </c>
      <c r="O1322" t="str">
        <f t="shared" si="167"/>
        <v>Large Order</v>
      </c>
      <c r="P1322" s="7">
        <f t="shared" si="161"/>
        <v>1.661</v>
      </c>
      <c r="Q1322" s="7" t="str">
        <f>VLOOKUP(D1323,Product_Lookup!$A$2:$C$27,2,FALSE)</f>
        <v>Paper Shredder</v>
      </c>
      <c r="R1322" s="7">
        <f t="shared" si="162"/>
        <v>597.96</v>
      </c>
    </row>
    <row r="1323" spans="1:18" ht="21.75" customHeight="1">
      <c r="A1323" t="s">
        <v>1474</v>
      </c>
      <c r="B1323" s="6">
        <v>45563</v>
      </c>
      <c r="C1323" t="s">
        <v>25</v>
      </c>
      <c r="D1323" t="s">
        <v>109</v>
      </c>
      <c r="E1323" t="s">
        <v>17</v>
      </c>
      <c r="F1323" t="s">
        <v>27</v>
      </c>
      <c r="G1323" t="s">
        <v>13</v>
      </c>
      <c r="H1323">
        <v>4</v>
      </c>
      <c r="I1323" t="str">
        <f>VLOOKUP(D1323,Product_Lookup!$A$2:$C$27,3,FALSE)</f>
        <v>$81.02</v>
      </c>
      <c r="J1323" t="str">
        <f t="shared" si="163"/>
        <v>Saturday</v>
      </c>
      <c r="K1323" s="10" t="str">
        <f t="shared" si="164"/>
        <v>September</v>
      </c>
      <c r="L1323">
        <f t="shared" si="165"/>
        <v>2024</v>
      </c>
      <c r="M1323" t="b">
        <f t="shared" si="166"/>
        <v>1</v>
      </c>
      <c r="N1323" t="b">
        <f t="shared" si="160"/>
        <v>0</v>
      </c>
      <c r="O1323" t="str">
        <f t="shared" si="167"/>
        <v>Standard order</v>
      </c>
      <c r="P1323" s="7">
        <f t="shared" si="161"/>
        <v>4.0510000000000002</v>
      </c>
      <c r="Q1323" s="7" t="str">
        <f>VLOOKUP(D1324,Product_Lookup!$A$2:$C$27,2,FALSE)</f>
        <v>Smartphone</v>
      </c>
      <c r="R1323" s="7">
        <f t="shared" si="162"/>
        <v>324.08</v>
      </c>
    </row>
    <row r="1324" spans="1:18" ht="21.75" customHeight="1">
      <c r="A1324" t="s">
        <v>1475</v>
      </c>
      <c r="B1324" s="6">
        <v>45449</v>
      </c>
      <c r="C1324" t="s">
        <v>93</v>
      </c>
      <c r="D1324" t="s">
        <v>79</v>
      </c>
      <c r="E1324" t="s">
        <v>11</v>
      </c>
      <c r="F1324" t="s">
        <v>306</v>
      </c>
      <c r="G1324" t="s">
        <v>13</v>
      </c>
      <c r="H1324">
        <v>3</v>
      </c>
      <c r="I1324" t="str">
        <f>VLOOKUP(D1324,Product_Lookup!$A$2:$C$27,3,FALSE)</f>
        <v>$216.22</v>
      </c>
      <c r="J1324" t="str">
        <f t="shared" si="163"/>
        <v>Thursday</v>
      </c>
      <c r="K1324" s="10" t="str">
        <f t="shared" si="164"/>
        <v>June</v>
      </c>
      <c r="L1324">
        <f t="shared" si="165"/>
        <v>2024</v>
      </c>
      <c r="M1324" t="b">
        <f t="shared" si="166"/>
        <v>0</v>
      </c>
      <c r="N1324" t="b">
        <f t="shared" si="160"/>
        <v>0</v>
      </c>
      <c r="O1324" t="str">
        <f t="shared" si="167"/>
        <v>Large Order</v>
      </c>
      <c r="P1324" s="7">
        <f t="shared" si="161"/>
        <v>10.811</v>
      </c>
      <c r="Q1324" s="7" t="str">
        <f>VLOOKUP(D1325,Product_Lookup!$A$2:$C$27,2,FALSE)</f>
        <v>Pen Set</v>
      </c>
      <c r="R1324" s="7">
        <f t="shared" si="162"/>
        <v>648.66</v>
      </c>
    </row>
    <row r="1325" spans="1:18" ht="21.75" customHeight="1">
      <c r="A1325" t="s">
        <v>1476</v>
      </c>
      <c r="B1325" s="6">
        <v>45327</v>
      </c>
      <c r="C1325" t="s">
        <v>332</v>
      </c>
      <c r="D1325" t="s">
        <v>174</v>
      </c>
      <c r="E1325" t="s">
        <v>11</v>
      </c>
      <c r="F1325" t="s">
        <v>56</v>
      </c>
      <c r="G1325" t="s">
        <v>23</v>
      </c>
      <c r="H1325">
        <v>18</v>
      </c>
      <c r="I1325" t="str">
        <f>VLOOKUP(D1325,Product_Lookup!$A$2:$C$27,3,FALSE)</f>
        <v>$133.37</v>
      </c>
      <c r="J1325" t="str">
        <f t="shared" si="163"/>
        <v>Monday</v>
      </c>
      <c r="K1325" s="10" t="str">
        <f t="shared" si="164"/>
        <v>February</v>
      </c>
      <c r="L1325">
        <f t="shared" si="165"/>
        <v>2024</v>
      </c>
      <c r="M1325" t="b">
        <f t="shared" si="166"/>
        <v>0</v>
      </c>
      <c r="N1325" t="b">
        <f t="shared" si="160"/>
        <v>1</v>
      </c>
      <c r="O1325" t="str">
        <f t="shared" si="167"/>
        <v>Large Order</v>
      </c>
      <c r="P1325" s="7">
        <f t="shared" si="161"/>
        <v>6.6685000000000008</v>
      </c>
      <c r="Q1325" s="7" t="str">
        <f>VLOOKUP(D1326,Product_Lookup!$A$2:$C$27,2,FALSE)</f>
        <v>Vacuum</v>
      </c>
      <c r="R1325" s="7">
        <f t="shared" si="162"/>
        <v>2400.66</v>
      </c>
    </row>
    <row r="1326" spans="1:18" ht="21.75" customHeight="1">
      <c r="A1326" t="s">
        <v>1477</v>
      </c>
      <c r="B1326" s="6">
        <v>45562</v>
      </c>
      <c r="C1326" t="s">
        <v>493</v>
      </c>
      <c r="D1326" t="s">
        <v>87</v>
      </c>
      <c r="E1326" t="s">
        <v>11</v>
      </c>
      <c r="F1326" t="s">
        <v>306</v>
      </c>
      <c r="G1326" t="s">
        <v>28</v>
      </c>
      <c r="H1326">
        <v>10</v>
      </c>
      <c r="I1326" t="str">
        <f>VLOOKUP(D1326,Product_Lookup!$A$2:$C$27,3,FALSE)</f>
        <v>$26.59</v>
      </c>
      <c r="J1326" t="str">
        <f t="shared" si="163"/>
        <v>Friday</v>
      </c>
      <c r="K1326" s="10" t="str">
        <f t="shared" si="164"/>
        <v>September</v>
      </c>
      <c r="L1326">
        <f t="shared" si="165"/>
        <v>2024</v>
      </c>
      <c r="M1326" t="b">
        <f t="shared" si="166"/>
        <v>0</v>
      </c>
      <c r="N1326" t="b">
        <f t="shared" si="160"/>
        <v>0</v>
      </c>
      <c r="O1326" t="str">
        <f t="shared" si="167"/>
        <v>Standard order</v>
      </c>
      <c r="P1326" s="7">
        <f t="shared" si="161"/>
        <v>1.3295000000000001</v>
      </c>
      <c r="Q1326" s="7" t="str">
        <f>VLOOKUP(D1327,Product_Lookup!$A$2:$C$27,2,FALSE)</f>
        <v>Toaster</v>
      </c>
      <c r="R1326" s="7">
        <f t="shared" si="162"/>
        <v>265.89999999999998</v>
      </c>
    </row>
    <row r="1327" spans="1:18" ht="21.75" customHeight="1">
      <c r="A1327" t="s">
        <v>1478</v>
      </c>
      <c r="B1327" s="6">
        <v>45635</v>
      </c>
      <c r="C1327" t="s">
        <v>350</v>
      </c>
      <c r="D1327" t="s">
        <v>48</v>
      </c>
      <c r="E1327" t="s">
        <v>17</v>
      </c>
      <c r="F1327" t="s">
        <v>306</v>
      </c>
      <c r="G1327" t="s">
        <v>23</v>
      </c>
      <c r="H1327">
        <v>4</v>
      </c>
      <c r="I1327" t="str">
        <f>VLOOKUP(D1327,Product_Lookup!$A$2:$C$27,3,FALSE)</f>
        <v>$208.85</v>
      </c>
      <c r="J1327" t="str">
        <f t="shared" si="163"/>
        <v>Monday</v>
      </c>
      <c r="K1327" s="10" t="str">
        <f t="shared" si="164"/>
        <v>December</v>
      </c>
      <c r="L1327">
        <f t="shared" si="165"/>
        <v>2024</v>
      </c>
      <c r="M1327" t="b">
        <f t="shared" si="166"/>
        <v>0</v>
      </c>
      <c r="N1327" t="b">
        <f t="shared" si="160"/>
        <v>0</v>
      </c>
      <c r="O1327" t="str">
        <f t="shared" si="167"/>
        <v>Large Order</v>
      </c>
      <c r="P1327" s="7">
        <f t="shared" si="161"/>
        <v>10.442500000000001</v>
      </c>
      <c r="Q1327" s="7" t="str">
        <f>VLOOKUP(D1328,Product_Lookup!$A$2:$C$27,2,FALSE)</f>
        <v>Laptop</v>
      </c>
      <c r="R1327" s="7">
        <f t="shared" si="162"/>
        <v>835.4</v>
      </c>
    </row>
    <row r="1328" spans="1:18" ht="21.75" customHeight="1">
      <c r="A1328" t="s">
        <v>1479</v>
      </c>
      <c r="B1328" s="6">
        <v>45324</v>
      </c>
      <c r="C1328" t="s">
        <v>47</v>
      </c>
      <c r="D1328" t="s">
        <v>96</v>
      </c>
      <c r="E1328" t="s">
        <v>22</v>
      </c>
      <c r="F1328" t="s">
        <v>306</v>
      </c>
      <c r="G1328" t="s">
        <v>28</v>
      </c>
      <c r="H1328">
        <v>19</v>
      </c>
      <c r="I1328" t="str">
        <f>VLOOKUP(D1328,Product_Lookup!$A$2:$C$27,3,FALSE)</f>
        <v>$230.68</v>
      </c>
      <c r="J1328" t="str">
        <f t="shared" si="163"/>
        <v>Friday</v>
      </c>
      <c r="K1328" s="10" t="str">
        <f t="shared" si="164"/>
        <v>February</v>
      </c>
      <c r="L1328">
        <f t="shared" si="165"/>
        <v>2024</v>
      </c>
      <c r="M1328" t="b">
        <f t="shared" si="166"/>
        <v>0</v>
      </c>
      <c r="N1328" t="b">
        <f t="shared" si="160"/>
        <v>1</v>
      </c>
      <c r="O1328" t="str">
        <f t="shared" si="167"/>
        <v>Large Order</v>
      </c>
      <c r="P1328" s="7">
        <f t="shared" si="161"/>
        <v>11.534000000000001</v>
      </c>
      <c r="Q1328" s="7" t="str">
        <f>VLOOKUP(D1329,Product_Lookup!$A$2:$C$27,2,FALSE)</f>
        <v>Action Figure</v>
      </c>
      <c r="R1328" s="7">
        <f t="shared" si="162"/>
        <v>4382.92</v>
      </c>
    </row>
    <row r="1329" spans="1:18" ht="21.75" customHeight="1">
      <c r="A1329" t="s">
        <v>1480</v>
      </c>
      <c r="B1329" s="6">
        <v>45328</v>
      </c>
      <c r="C1329" t="s">
        <v>369</v>
      </c>
      <c r="D1329" t="s">
        <v>21</v>
      </c>
      <c r="E1329" t="s">
        <v>11</v>
      </c>
      <c r="F1329" t="s">
        <v>56</v>
      </c>
      <c r="G1329" t="s">
        <v>13</v>
      </c>
      <c r="H1329">
        <v>2</v>
      </c>
      <c r="I1329" t="str">
        <f>VLOOKUP(D1329,Product_Lookup!$A$2:$C$27,3,FALSE)</f>
        <v>$88.18</v>
      </c>
      <c r="J1329" t="str">
        <f t="shared" si="163"/>
        <v>Tuesday</v>
      </c>
      <c r="K1329" s="10" t="str">
        <f t="shared" si="164"/>
        <v>February</v>
      </c>
      <c r="L1329">
        <f t="shared" si="165"/>
        <v>2024</v>
      </c>
      <c r="M1329" t="b">
        <f t="shared" si="166"/>
        <v>0</v>
      </c>
      <c r="N1329" t="b">
        <f t="shared" si="160"/>
        <v>0</v>
      </c>
      <c r="O1329" t="str">
        <f t="shared" si="167"/>
        <v>Standard order</v>
      </c>
      <c r="P1329" s="7">
        <f t="shared" si="161"/>
        <v>4.4090000000000007</v>
      </c>
      <c r="Q1329" s="7" t="str">
        <f>VLOOKUP(D1330,Product_Lookup!$A$2:$C$27,2,FALSE)</f>
        <v>Jacket</v>
      </c>
      <c r="R1329" s="7">
        <f t="shared" si="162"/>
        <v>176.36</v>
      </c>
    </row>
    <row r="1330" spans="1:18" ht="21.75" customHeight="1">
      <c r="A1330" t="s">
        <v>1481</v>
      </c>
      <c r="B1330" s="6">
        <v>45328</v>
      </c>
      <c r="C1330" t="s">
        <v>345</v>
      </c>
      <c r="D1330" t="s">
        <v>197</v>
      </c>
      <c r="E1330" t="s">
        <v>17</v>
      </c>
      <c r="F1330" t="s">
        <v>27</v>
      </c>
      <c r="G1330" t="s">
        <v>28</v>
      </c>
      <c r="H1330">
        <v>18</v>
      </c>
      <c r="I1330" t="str">
        <f>VLOOKUP(D1330,Product_Lookup!$A$2:$C$27,3,FALSE)</f>
        <v>$10.11</v>
      </c>
      <c r="J1330" t="str">
        <f t="shared" si="163"/>
        <v>Tuesday</v>
      </c>
      <c r="K1330" s="10" t="str">
        <f t="shared" si="164"/>
        <v>February</v>
      </c>
      <c r="L1330">
        <f t="shared" si="165"/>
        <v>2024</v>
      </c>
      <c r="M1330" t="b">
        <f t="shared" si="166"/>
        <v>0</v>
      </c>
      <c r="N1330" t="b">
        <f t="shared" si="160"/>
        <v>0</v>
      </c>
      <c r="O1330" t="str">
        <f t="shared" si="167"/>
        <v>Standard order</v>
      </c>
      <c r="P1330" s="7">
        <f t="shared" si="161"/>
        <v>0.50549999999999995</v>
      </c>
      <c r="Q1330" s="7" t="str">
        <f>VLOOKUP(D1331,Product_Lookup!$A$2:$C$27,2,FALSE)</f>
        <v>Stapler</v>
      </c>
      <c r="R1330" s="7">
        <f t="shared" si="162"/>
        <v>181.98</v>
      </c>
    </row>
    <row r="1331" spans="1:18" ht="21.75" customHeight="1">
      <c r="A1331" t="s">
        <v>1482</v>
      </c>
      <c r="B1331" s="6">
        <v>45584</v>
      </c>
      <c r="C1331" t="s">
        <v>314</v>
      </c>
      <c r="D1331" t="s">
        <v>35</v>
      </c>
      <c r="E1331" t="s">
        <v>11</v>
      </c>
      <c r="F1331" t="s">
        <v>27</v>
      </c>
      <c r="G1331" t="s">
        <v>23</v>
      </c>
      <c r="H1331">
        <v>7</v>
      </c>
      <c r="I1331" t="str">
        <f>VLOOKUP(D1331,Product_Lookup!$A$2:$C$27,3,FALSE)</f>
        <v>$64.61</v>
      </c>
      <c r="J1331" t="str">
        <f t="shared" si="163"/>
        <v>Saturday</v>
      </c>
      <c r="K1331" s="10" t="str">
        <f t="shared" si="164"/>
        <v>October</v>
      </c>
      <c r="L1331">
        <f t="shared" si="165"/>
        <v>2024</v>
      </c>
      <c r="M1331" t="b">
        <f t="shared" si="166"/>
        <v>1</v>
      </c>
      <c r="N1331" t="b">
        <f t="shared" si="160"/>
        <v>0</v>
      </c>
      <c r="O1331" t="str">
        <f t="shared" si="167"/>
        <v>Standard order</v>
      </c>
      <c r="P1331" s="7">
        <f t="shared" si="161"/>
        <v>3.2305000000000001</v>
      </c>
      <c r="Q1331" s="7" t="str">
        <f>VLOOKUP(D1332,Product_Lookup!$A$2:$C$27,2,FALSE)</f>
        <v>Toaster</v>
      </c>
      <c r="R1331" s="7">
        <f t="shared" si="162"/>
        <v>452.27</v>
      </c>
    </row>
    <row r="1332" spans="1:18" ht="21.75" customHeight="1">
      <c r="A1332" t="s">
        <v>1483</v>
      </c>
      <c r="B1332" s="6">
        <v>45629</v>
      </c>
      <c r="C1332" t="s">
        <v>348</v>
      </c>
      <c r="D1332" t="s">
        <v>48</v>
      </c>
      <c r="E1332" t="s">
        <v>17</v>
      </c>
      <c r="F1332" t="s">
        <v>27</v>
      </c>
      <c r="G1332" t="s">
        <v>23</v>
      </c>
      <c r="H1332">
        <v>2</v>
      </c>
      <c r="I1332" t="str">
        <f>VLOOKUP(D1332,Product_Lookup!$A$2:$C$27,3,FALSE)</f>
        <v>$208.85</v>
      </c>
      <c r="J1332" t="str">
        <f t="shared" si="163"/>
        <v>Tuesday</v>
      </c>
      <c r="K1332" s="10" t="str">
        <f t="shared" si="164"/>
        <v>December</v>
      </c>
      <c r="L1332">
        <f t="shared" si="165"/>
        <v>2024</v>
      </c>
      <c r="M1332" t="b">
        <f t="shared" si="166"/>
        <v>0</v>
      </c>
      <c r="N1332" t="b">
        <f t="shared" si="160"/>
        <v>0</v>
      </c>
      <c r="O1332" t="str">
        <f t="shared" si="167"/>
        <v>Standard order</v>
      </c>
      <c r="P1332" s="7">
        <f t="shared" si="161"/>
        <v>10.442500000000001</v>
      </c>
      <c r="Q1332" s="7" t="str">
        <f>VLOOKUP(D1333,Product_Lookup!$A$2:$C$27,2,FALSE)</f>
        <v>Smartphone</v>
      </c>
      <c r="R1332" s="7">
        <f t="shared" si="162"/>
        <v>417.7</v>
      </c>
    </row>
    <row r="1333" spans="1:18" ht="21.75" customHeight="1">
      <c r="A1333" t="s">
        <v>1484</v>
      </c>
      <c r="B1333" s="6">
        <v>45622</v>
      </c>
      <c r="C1333" t="s">
        <v>108</v>
      </c>
      <c r="D1333" t="s">
        <v>79</v>
      </c>
      <c r="E1333" t="s">
        <v>17</v>
      </c>
      <c r="F1333" t="s">
        <v>42</v>
      </c>
      <c r="G1333" t="s">
        <v>13</v>
      </c>
      <c r="H1333">
        <v>8</v>
      </c>
      <c r="I1333" t="str">
        <f>VLOOKUP(D1333,Product_Lookup!$A$2:$C$27,3,FALSE)</f>
        <v>$216.22</v>
      </c>
      <c r="J1333" t="str">
        <f t="shared" si="163"/>
        <v>Tuesday</v>
      </c>
      <c r="K1333" s="10" t="str">
        <f t="shared" si="164"/>
        <v>November</v>
      </c>
      <c r="L1333">
        <f t="shared" si="165"/>
        <v>2024</v>
      </c>
      <c r="M1333" t="b">
        <f t="shared" si="166"/>
        <v>0</v>
      </c>
      <c r="N1333" t="b">
        <f t="shared" si="160"/>
        <v>1</v>
      </c>
      <c r="O1333" t="str">
        <f t="shared" si="167"/>
        <v>Large Order</v>
      </c>
      <c r="P1333" s="7">
        <f t="shared" si="161"/>
        <v>10.811</v>
      </c>
      <c r="Q1333" s="7" t="str">
        <f>VLOOKUP(D1334,Product_Lookup!$A$2:$C$27,2,FALSE)</f>
        <v>Headphones</v>
      </c>
      <c r="R1333" s="7">
        <f t="shared" si="162"/>
        <v>1729.76</v>
      </c>
    </row>
    <row r="1334" spans="1:18" ht="21.75" customHeight="1">
      <c r="A1334" t="s">
        <v>1485</v>
      </c>
      <c r="B1334" s="6">
        <v>45566</v>
      </c>
      <c r="C1334" t="s">
        <v>430</v>
      </c>
      <c r="D1334" t="s">
        <v>16</v>
      </c>
      <c r="E1334" t="s">
        <v>17</v>
      </c>
      <c r="F1334" t="s">
        <v>56</v>
      </c>
      <c r="G1334" t="s">
        <v>32</v>
      </c>
      <c r="H1334">
        <v>15</v>
      </c>
      <c r="I1334" t="str">
        <f>VLOOKUP(D1334,Product_Lookup!$A$2:$C$27,3,FALSE)</f>
        <v>$178.83</v>
      </c>
      <c r="J1334" t="str">
        <f t="shared" si="163"/>
        <v>Tuesday</v>
      </c>
      <c r="K1334" s="10" t="str">
        <f t="shared" si="164"/>
        <v>October</v>
      </c>
      <c r="L1334">
        <f t="shared" si="165"/>
        <v>2024</v>
      </c>
      <c r="M1334" t="b">
        <f t="shared" si="166"/>
        <v>0</v>
      </c>
      <c r="N1334" t="b">
        <f t="shared" si="160"/>
        <v>1</v>
      </c>
      <c r="O1334" t="str">
        <f t="shared" si="167"/>
        <v>Large Order</v>
      </c>
      <c r="P1334" s="7">
        <f t="shared" si="161"/>
        <v>8.9415000000000013</v>
      </c>
      <c r="Q1334" s="7" t="str">
        <f>VLOOKUP(D1335,Product_Lookup!$A$2:$C$27,2,FALSE)</f>
        <v>Pen Set</v>
      </c>
      <c r="R1334" s="7">
        <f t="shared" si="162"/>
        <v>2682.4500000000003</v>
      </c>
    </row>
    <row r="1335" spans="1:18" ht="21.75" customHeight="1">
      <c r="A1335" t="s">
        <v>1486</v>
      </c>
      <c r="B1335" s="6">
        <v>45330</v>
      </c>
      <c r="C1335" t="s">
        <v>396</v>
      </c>
      <c r="D1335" t="s">
        <v>174</v>
      </c>
      <c r="E1335" t="s">
        <v>11</v>
      </c>
      <c r="F1335" t="s">
        <v>12</v>
      </c>
      <c r="G1335" t="s">
        <v>36</v>
      </c>
      <c r="H1335">
        <v>1</v>
      </c>
      <c r="I1335" t="str">
        <f>VLOOKUP(D1335,Product_Lookup!$A$2:$C$27,3,FALSE)</f>
        <v>$133.37</v>
      </c>
      <c r="J1335" t="str">
        <f t="shared" si="163"/>
        <v>Thursday</v>
      </c>
      <c r="K1335" s="10" t="str">
        <f t="shared" si="164"/>
        <v>February</v>
      </c>
      <c r="L1335">
        <f t="shared" si="165"/>
        <v>2024</v>
      </c>
      <c r="M1335" t="b">
        <f t="shared" si="166"/>
        <v>0</v>
      </c>
      <c r="N1335" t="b">
        <f t="shared" si="160"/>
        <v>0</v>
      </c>
      <c r="O1335" t="str">
        <f t="shared" si="167"/>
        <v>Standard order</v>
      </c>
      <c r="P1335" s="7">
        <f t="shared" si="161"/>
        <v>6.6685000000000008</v>
      </c>
      <c r="Q1335" s="7" t="str">
        <f>VLOOKUP(D1336,Product_Lookup!$A$2:$C$27,2,FALSE)</f>
        <v>Vacuum</v>
      </c>
      <c r="R1335" s="7">
        <f t="shared" si="162"/>
        <v>133.37</v>
      </c>
    </row>
    <row r="1336" spans="1:18" ht="21.75" customHeight="1">
      <c r="A1336" t="s">
        <v>1487</v>
      </c>
      <c r="B1336" s="6">
        <v>45413</v>
      </c>
      <c r="C1336" t="s">
        <v>30</v>
      </c>
      <c r="D1336" t="s">
        <v>87</v>
      </c>
      <c r="E1336" t="s">
        <v>17</v>
      </c>
      <c r="F1336" t="s">
        <v>27</v>
      </c>
      <c r="G1336" t="s">
        <v>28</v>
      </c>
      <c r="H1336">
        <v>13</v>
      </c>
      <c r="I1336" t="str">
        <f>VLOOKUP(D1336,Product_Lookup!$A$2:$C$27,3,FALSE)</f>
        <v>$26.59</v>
      </c>
      <c r="J1336" t="str">
        <f t="shared" si="163"/>
        <v>Wednesday</v>
      </c>
      <c r="K1336" s="10" t="str">
        <f t="shared" si="164"/>
        <v>May</v>
      </c>
      <c r="L1336">
        <f t="shared" si="165"/>
        <v>2024</v>
      </c>
      <c r="M1336" t="b">
        <f t="shared" si="166"/>
        <v>0</v>
      </c>
      <c r="N1336" t="b">
        <f t="shared" si="160"/>
        <v>0</v>
      </c>
      <c r="O1336" t="str">
        <f t="shared" si="167"/>
        <v>Standard order</v>
      </c>
      <c r="P1336" s="7">
        <f t="shared" si="161"/>
        <v>1.3295000000000001</v>
      </c>
      <c r="Q1336" s="7" t="str">
        <f>VLOOKUP(D1337,Product_Lookup!$A$2:$C$27,2,FALSE)</f>
        <v>Laptop</v>
      </c>
      <c r="R1336" s="7">
        <f t="shared" si="162"/>
        <v>345.67</v>
      </c>
    </row>
    <row r="1337" spans="1:18" ht="21.75" customHeight="1">
      <c r="A1337" t="s">
        <v>1488</v>
      </c>
      <c r="B1337" s="6">
        <v>45376</v>
      </c>
      <c r="C1337" t="s">
        <v>159</v>
      </c>
      <c r="D1337" t="s">
        <v>96</v>
      </c>
      <c r="E1337" t="s">
        <v>17</v>
      </c>
      <c r="F1337" t="s">
        <v>42</v>
      </c>
      <c r="G1337" t="s">
        <v>23</v>
      </c>
      <c r="H1337">
        <v>10</v>
      </c>
      <c r="I1337" t="str">
        <f>VLOOKUP(D1337,Product_Lookup!$A$2:$C$27,3,FALSE)</f>
        <v>$230.68</v>
      </c>
      <c r="J1337" t="str">
        <f t="shared" si="163"/>
        <v>Monday</v>
      </c>
      <c r="K1337" s="10" t="str">
        <f t="shared" si="164"/>
        <v>March</v>
      </c>
      <c r="L1337">
        <f t="shared" si="165"/>
        <v>2024</v>
      </c>
      <c r="M1337" t="b">
        <f t="shared" si="166"/>
        <v>0</v>
      </c>
      <c r="N1337" t="b">
        <f t="shared" si="160"/>
        <v>1</v>
      </c>
      <c r="O1337" t="str">
        <f t="shared" si="167"/>
        <v>Large Order</v>
      </c>
      <c r="P1337" s="7">
        <f t="shared" si="161"/>
        <v>11.534000000000001</v>
      </c>
      <c r="Q1337" s="7" t="str">
        <f>VLOOKUP(D1338,Product_Lookup!$A$2:$C$27,2,FALSE)</f>
        <v>Puzzle</v>
      </c>
      <c r="R1337" s="7">
        <f t="shared" si="162"/>
        <v>2306.8000000000002</v>
      </c>
    </row>
    <row r="1338" spans="1:18" ht="21.75" customHeight="1">
      <c r="A1338" t="s">
        <v>1489</v>
      </c>
      <c r="B1338" s="6">
        <v>45576</v>
      </c>
      <c r="C1338" t="s">
        <v>371</v>
      </c>
      <c r="D1338" t="s">
        <v>62</v>
      </c>
      <c r="E1338" t="s">
        <v>17</v>
      </c>
      <c r="F1338" t="s">
        <v>56</v>
      </c>
      <c r="G1338" t="s">
        <v>28</v>
      </c>
      <c r="H1338">
        <v>10</v>
      </c>
      <c r="I1338" t="str">
        <f>VLOOKUP(D1338,Product_Lookup!$A$2:$C$27,3,FALSE)</f>
        <v>$46.19</v>
      </c>
      <c r="J1338" t="str">
        <f t="shared" si="163"/>
        <v>Friday</v>
      </c>
      <c r="K1338" s="10" t="str">
        <f t="shared" si="164"/>
        <v>October</v>
      </c>
      <c r="L1338">
        <f t="shared" si="165"/>
        <v>2024</v>
      </c>
      <c r="M1338" t="b">
        <f t="shared" si="166"/>
        <v>0</v>
      </c>
      <c r="N1338" t="b">
        <f t="shared" si="160"/>
        <v>0</v>
      </c>
      <c r="O1338" t="str">
        <f t="shared" si="167"/>
        <v>Standard order</v>
      </c>
      <c r="P1338" s="7">
        <f t="shared" si="161"/>
        <v>2.3094999999999999</v>
      </c>
      <c r="Q1338" s="7" t="str">
        <f>VLOOKUP(D1339,Product_Lookup!$A$2:$C$27,2,FALSE)</f>
        <v>Lego Set</v>
      </c>
      <c r="R1338" s="7">
        <f t="shared" si="162"/>
        <v>461.9</v>
      </c>
    </row>
    <row r="1339" spans="1:18" ht="21.75" customHeight="1">
      <c r="A1339" t="s">
        <v>1490</v>
      </c>
      <c r="B1339" s="6">
        <v>45321</v>
      </c>
      <c r="C1339" t="s">
        <v>361</v>
      </c>
      <c r="D1339" t="s">
        <v>84</v>
      </c>
      <c r="E1339" t="s">
        <v>22</v>
      </c>
      <c r="F1339" t="s">
        <v>12</v>
      </c>
      <c r="G1339" t="s">
        <v>32</v>
      </c>
      <c r="H1339">
        <v>2</v>
      </c>
      <c r="I1339" t="str">
        <f>VLOOKUP(D1339,Product_Lookup!$A$2:$C$27,3,FALSE)</f>
        <v>$130.07</v>
      </c>
      <c r="J1339" t="str">
        <f t="shared" si="163"/>
        <v>Tuesday</v>
      </c>
      <c r="K1339" s="10" t="str">
        <f t="shared" si="164"/>
        <v>January</v>
      </c>
      <c r="L1339">
        <f t="shared" si="165"/>
        <v>2024</v>
      </c>
      <c r="M1339" t="b">
        <f t="shared" si="166"/>
        <v>0</v>
      </c>
      <c r="N1339" t="b">
        <f t="shared" si="160"/>
        <v>0</v>
      </c>
      <c r="O1339" t="str">
        <f t="shared" si="167"/>
        <v>Standard order</v>
      </c>
      <c r="P1339" s="7">
        <f t="shared" si="161"/>
        <v>6.5034999999999998</v>
      </c>
      <c r="Q1339" s="7" t="str">
        <f>VLOOKUP(D1340,Product_Lookup!$A$2:$C$27,2,FALSE)</f>
        <v>Notebook</v>
      </c>
      <c r="R1339" s="7">
        <f t="shared" si="162"/>
        <v>260.14</v>
      </c>
    </row>
    <row r="1340" spans="1:18" ht="21.75" customHeight="1">
      <c r="A1340" t="s">
        <v>1491</v>
      </c>
      <c r="B1340" s="6">
        <v>45536</v>
      </c>
      <c r="C1340" t="s">
        <v>358</v>
      </c>
      <c r="D1340" t="s">
        <v>160</v>
      </c>
      <c r="E1340" t="s">
        <v>11</v>
      </c>
      <c r="F1340" t="s">
        <v>12</v>
      </c>
      <c r="G1340" t="s">
        <v>36</v>
      </c>
      <c r="H1340">
        <v>3</v>
      </c>
      <c r="I1340" t="str">
        <f>VLOOKUP(D1340,Product_Lookup!$A$2:$C$27,3,FALSE)</f>
        <v>$149.27</v>
      </c>
      <c r="J1340" t="str">
        <f t="shared" si="163"/>
        <v>Sunday</v>
      </c>
      <c r="K1340" s="10" t="str">
        <f t="shared" si="164"/>
        <v>September</v>
      </c>
      <c r="L1340">
        <f t="shared" si="165"/>
        <v>2024</v>
      </c>
      <c r="M1340" t="b">
        <f t="shared" si="166"/>
        <v>1</v>
      </c>
      <c r="N1340" t="b">
        <f t="shared" si="160"/>
        <v>0</v>
      </c>
      <c r="O1340" t="str">
        <f t="shared" si="167"/>
        <v>Standard order</v>
      </c>
      <c r="P1340" s="7">
        <f t="shared" si="161"/>
        <v>7.4635000000000007</v>
      </c>
      <c r="Q1340" s="7" t="str">
        <f>VLOOKUP(D1341,Product_Lookup!$A$2:$C$27,2,FALSE)</f>
        <v>Tablet</v>
      </c>
      <c r="R1340" s="7">
        <f t="shared" si="162"/>
        <v>447.81000000000006</v>
      </c>
    </row>
    <row r="1341" spans="1:18" ht="21.75" customHeight="1">
      <c r="A1341" t="s">
        <v>1492</v>
      </c>
      <c r="B1341" s="6">
        <v>45327</v>
      </c>
      <c r="C1341" t="s">
        <v>327</v>
      </c>
      <c r="D1341" t="s">
        <v>10</v>
      </c>
      <c r="E1341" t="s">
        <v>22</v>
      </c>
      <c r="F1341" t="s">
        <v>56</v>
      </c>
      <c r="G1341" t="s">
        <v>23</v>
      </c>
      <c r="H1341">
        <v>4</v>
      </c>
      <c r="I1341" t="str">
        <f>VLOOKUP(D1341,Product_Lookup!$A$2:$C$27,3,FALSE)</f>
        <v>$146.06</v>
      </c>
      <c r="J1341" t="str">
        <f t="shared" si="163"/>
        <v>Monday</v>
      </c>
      <c r="K1341" s="10" t="str">
        <f t="shared" si="164"/>
        <v>February</v>
      </c>
      <c r="L1341">
        <f t="shared" si="165"/>
        <v>2024</v>
      </c>
      <c r="M1341" t="b">
        <f t="shared" si="166"/>
        <v>0</v>
      </c>
      <c r="N1341" t="b">
        <f t="shared" si="160"/>
        <v>0</v>
      </c>
      <c r="O1341" t="str">
        <f t="shared" si="167"/>
        <v>Large Order</v>
      </c>
      <c r="P1341" s="7">
        <f t="shared" si="161"/>
        <v>7.3030000000000008</v>
      </c>
      <c r="Q1341" s="7" t="str">
        <f>VLOOKUP(D1342,Product_Lookup!$A$2:$C$27,2,FALSE)</f>
        <v>Desk Lamp</v>
      </c>
      <c r="R1341" s="7">
        <f t="shared" si="162"/>
        <v>584.24</v>
      </c>
    </row>
    <row r="1342" spans="1:18" ht="21.75" customHeight="1">
      <c r="A1342" t="s">
        <v>1493</v>
      </c>
      <c r="B1342" s="6">
        <v>45583</v>
      </c>
      <c r="C1342" t="s">
        <v>78</v>
      </c>
      <c r="D1342" t="s">
        <v>59</v>
      </c>
      <c r="E1342" t="s">
        <v>22</v>
      </c>
      <c r="F1342" t="s">
        <v>12</v>
      </c>
      <c r="G1342" t="s">
        <v>36</v>
      </c>
      <c r="H1342">
        <v>3</v>
      </c>
      <c r="I1342" t="str">
        <f>VLOOKUP(D1342,Product_Lookup!$A$2:$C$27,3,FALSE)</f>
        <v>$101.96</v>
      </c>
      <c r="J1342" t="str">
        <f t="shared" si="163"/>
        <v>Friday</v>
      </c>
      <c r="K1342" s="10" t="str">
        <f t="shared" si="164"/>
        <v>October</v>
      </c>
      <c r="L1342">
        <f t="shared" si="165"/>
        <v>2024</v>
      </c>
      <c r="M1342" t="b">
        <f t="shared" si="166"/>
        <v>0</v>
      </c>
      <c r="N1342" t="b">
        <f t="shared" si="160"/>
        <v>0</v>
      </c>
      <c r="O1342" t="str">
        <f t="shared" si="167"/>
        <v>Standard order</v>
      </c>
      <c r="P1342" s="7">
        <f t="shared" si="161"/>
        <v>5.0979999999999999</v>
      </c>
      <c r="Q1342" s="7" t="str">
        <f>VLOOKUP(D1343,Product_Lookup!$A$2:$C$27,2,FALSE)</f>
        <v>Notebook</v>
      </c>
      <c r="R1342" s="7">
        <f t="shared" si="162"/>
        <v>305.88</v>
      </c>
    </row>
    <row r="1343" spans="1:18" ht="21.75" customHeight="1">
      <c r="A1343" t="s">
        <v>1494</v>
      </c>
      <c r="B1343" s="6">
        <v>45590</v>
      </c>
      <c r="C1343" t="s">
        <v>614</v>
      </c>
      <c r="D1343" t="s">
        <v>160</v>
      </c>
      <c r="E1343" t="s">
        <v>17</v>
      </c>
      <c r="F1343" t="s">
        <v>42</v>
      </c>
      <c r="G1343" t="s">
        <v>28</v>
      </c>
      <c r="H1343">
        <v>11</v>
      </c>
      <c r="I1343" t="str">
        <f>VLOOKUP(D1343,Product_Lookup!$A$2:$C$27,3,FALSE)</f>
        <v>$149.27</v>
      </c>
      <c r="J1343" t="str">
        <f t="shared" si="163"/>
        <v>Friday</v>
      </c>
      <c r="K1343" s="10" t="str">
        <f t="shared" si="164"/>
        <v>October</v>
      </c>
      <c r="L1343">
        <f t="shared" si="165"/>
        <v>2024</v>
      </c>
      <c r="M1343" t="b">
        <f t="shared" si="166"/>
        <v>0</v>
      </c>
      <c r="N1343" t="b">
        <f t="shared" si="160"/>
        <v>1</v>
      </c>
      <c r="O1343" t="str">
        <f t="shared" si="167"/>
        <v>Large Order</v>
      </c>
      <c r="P1343" s="7">
        <f t="shared" si="161"/>
        <v>7.4635000000000007</v>
      </c>
      <c r="Q1343" s="7" t="str">
        <f>VLOOKUP(D1344,Product_Lookup!$A$2:$C$27,2,FALSE)</f>
        <v>Board Game</v>
      </c>
      <c r="R1343" s="7">
        <f t="shared" si="162"/>
        <v>1641.97</v>
      </c>
    </row>
    <row r="1344" spans="1:18" ht="21.75" customHeight="1">
      <c r="A1344" t="s">
        <v>1495</v>
      </c>
      <c r="B1344" s="6">
        <v>45494</v>
      </c>
      <c r="C1344" t="s">
        <v>34</v>
      </c>
      <c r="D1344" t="s">
        <v>41</v>
      </c>
      <c r="E1344" t="s">
        <v>22</v>
      </c>
      <c r="F1344" t="s">
        <v>42</v>
      </c>
      <c r="G1344" t="s">
        <v>23</v>
      </c>
      <c r="H1344">
        <v>11</v>
      </c>
      <c r="I1344" t="str">
        <f>VLOOKUP(D1344,Product_Lookup!$A$2:$C$27,3,FALSE)</f>
        <v>$86.6</v>
      </c>
      <c r="J1344" t="str">
        <f t="shared" si="163"/>
        <v>Sunday</v>
      </c>
      <c r="K1344" s="10" t="str">
        <f t="shared" si="164"/>
        <v>July</v>
      </c>
      <c r="L1344">
        <f t="shared" si="165"/>
        <v>2024</v>
      </c>
      <c r="M1344" t="b">
        <f t="shared" si="166"/>
        <v>1</v>
      </c>
      <c r="N1344" t="b">
        <f t="shared" si="160"/>
        <v>1</v>
      </c>
      <c r="O1344" t="str">
        <f t="shared" si="167"/>
        <v>Large Order</v>
      </c>
      <c r="P1344" s="7">
        <f t="shared" si="161"/>
        <v>4.33</v>
      </c>
      <c r="Q1344" s="7" t="str">
        <f>VLOOKUP(D1345,Product_Lookup!$A$2:$C$27,2,FALSE)</f>
        <v>Air Fryer</v>
      </c>
      <c r="R1344" s="7">
        <f t="shared" si="162"/>
        <v>952.59999999999991</v>
      </c>
    </row>
    <row r="1345" spans="1:18" ht="21.75" customHeight="1">
      <c r="A1345" t="s">
        <v>1496</v>
      </c>
      <c r="B1345" s="6">
        <v>45329</v>
      </c>
      <c r="C1345" t="s">
        <v>142</v>
      </c>
      <c r="D1345" t="s">
        <v>70</v>
      </c>
      <c r="E1345" t="s">
        <v>22</v>
      </c>
      <c r="F1345" t="s">
        <v>306</v>
      </c>
      <c r="G1345" t="s">
        <v>13</v>
      </c>
      <c r="H1345">
        <v>3</v>
      </c>
      <c r="I1345" t="str">
        <f>VLOOKUP(D1345,Product_Lookup!$A$2:$C$27,3,FALSE)</f>
        <v>$211.9</v>
      </c>
      <c r="J1345" t="str">
        <f t="shared" si="163"/>
        <v>Wednesday</v>
      </c>
      <c r="K1345" s="10" t="str">
        <f t="shared" si="164"/>
        <v>February</v>
      </c>
      <c r="L1345">
        <f t="shared" si="165"/>
        <v>2024</v>
      </c>
      <c r="M1345" t="b">
        <f t="shared" si="166"/>
        <v>0</v>
      </c>
      <c r="N1345" t="b">
        <f t="shared" si="160"/>
        <v>0</v>
      </c>
      <c r="O1345" t="str">
        <f t="shared" si="167"/>
        <v>Large Order</v>
      </c>
      <c r="P1345" s="7">
        <f t="shared" si="161"/>
        <v>10.595000000000001</v>
      </c>
      <c r="Q1345" s="7" t="str">
        <f>VLOOKUP(D1346,Product_Lookup!$A$2:$C$27,2,FALSE)</f>
        <v>Headphones</v>
      </c>
      <c r="R1345" s="7">
        <f t="shared" si="162"/>
        <v>635.70000000000005</v>
      </c>
    </row>
    <row r="1346" spans="1:18" ht="21.75" customHeight="1">
      <c r="A1346" t="s">
        <v>1497</v>
      </c>
      <c r="B1346" s="6">
        <v>45551</v>
      </c>
      <c r="C1346" t="s">
        <v>86</v>
      </c>
      <c r="D1346" t="s">
        <v>16</v>
      </c>
      <c r="E1346" t="s">
        <v>17</v>
      </c>
      <c r="F1346" t="s">
        <v>12</v>
      </c>
      <c r="G1346" t="s">
        <v>28</v>
      </c>
      <c r="H1346">
        <v>12</v>
      </c>
      <c r="I1346" t="str">
        <f>VLOOKUP(D1346,Product_Lookup!$A$2:$C$27,3,FALSE)</f>
        <v>$178.83</v>
      </c>
      <c r="J1346" t="str">
        <f t="shared" si="163"/>
        <v>Monday</v>
      </c>
      <c r="K1346" s="10" t="str">
        <f t="shared" si="164"/>
        <v>September</v>
      </c>
      <c r="L1346">
        <f t="shared" si="165"/>
        <v>2024</v>
      </c>
      <c r="M1346" t="b">
        <f t="shared" si="166"/>
        <v>0</v>
      </c>
      <c r="N1346" t="b">
        <f t="shared" ref="N1346:N1409" si="168">AND(R1346&gt;750, H1346&gt;5)</f>
        <v>1</v>
      </c>
      <c r="O1346" t="str">
        <f t="shared" si="167"/>
        <v>Large Order</v>
      </c>
      <c r="P1346" s="7">
        <f t="shared" ref="P1346:P1409" si="169">I1346*$S$2</f>
        <v>8.9415000000000013</v>
      </c>
      <c r="Q1346" s="7" t="str">
        <f>VLOOKUP(D1347,Product_Lookup!$A$2:$C$27,2,FALSE)</f>
        <v>Puzzle</v>
      </c>
      <c r="R1346" s="7">
        <f t="shared" ref="R1346:R1409" si="170">H1346*I1346</f>
        <v>2145.96</v>
      </c>
    </row>
    <row r="1347" spans="1:18" ht="21.75" customHeight="1">
      <c r="A1347" t="s">
        <v>1498</v>
      </c>
      <c r="B1347" s="6">
        <v>45516</v>
      </c>
      <c r="C1347" t="s">
        <v>591</v>
      </c>
      <c r="D1347" t="s">
        <v>62</v>
      </c>
      <c r="E1347" t="s">
        <v>17</v>
      </c>
      <c r="F1347" t="s">
        <v>306</v>
      </c>
      <c r="G1347" t="s">
        <v>36</v>
      </c>
      <c r="H1347">
        <v>1</v>
      </c>
      <c r="I1347" t="str">
        <f>VLOOKUP(D1347,Product_Lookup!$A$2:$C$27,3,FALSE)</f>
        <v>$46.19</v>
      </c>
      <c r="J1347" t="str">
        <f t="shared" ref="J1347:J1410" si="171">TEXT(B1347, "dddd")</f>
        <v>Monday</v>
      </c>
      <c r="K1347" s="10" t="str">
        <f t="shared" ref="K1347:K1410" si="172">TEXT(B1347, "mmmm")</f>
        <v>August</v>
      </c>
      <c r="L1347">
        <f t="shared" ref="L1347:L1410" si="173">YEAR(B1347)</f>
        <v>2024</v>
      </c>
      <c r="M1347" t="b">
        <f t="shared" ref="M1347:M1410" si="174">OR(J1347="Saturday", J1347="Sunday")</f>
        <v>0</v>
      </c>
      <c r="N1347" t="b">
        <f t="shared" si="168"/>
        <v>0</v>
      </c>
      <c r="O1347" t="str">
        <f t="shared" ref="O1347:O1410" si="175">IF(R1347&gt;500,"Large Order","Standard order")</f>
        <v>Standard order</v>
      </c>
      <c r="P1347" s="7">
        <f t="shared" si="169"/>
        <v>2.3094999999999999</v>
      </c>
      <c r="Q1347" s="7" t="str">
        <f>VLOOKUP(D1348,Product_Lookup!$A$2:$C$27,2,FALSE)</f>
        <v>Board Game</v>
      </c>
      <c r="R1347" s="7">
        <f t="shared" si="170"/>
        <v>46.19</v>
      </c>
    </row>
    <row r="1348" spans="1:18" ht="21.75" customHeight="1">
      <c r="A1348" t="s">
        <v>1499</v>
      </c>
      <c r="B1348" s="6">
        <v>45575</v>
      </c>
      <c r="C1348" t="s">
        <v>68</v>
      </c>
      <c r="D1348" t="s">
        <v>41</v>
      </c>
      <c r="E1348" t="s">
        <v>11</v>
      </c>
      <c r="F1348" t="s">
        <v>56</v>
      </c>
      <c r="G1348" t="s">
        <v>32</v>
      </c>
      <c r="H1348">
        <v>4</v>
      </c>
      <c r="I1348" t="str">
        <f>VLOOKUP(D1348,Product_Lookup!$A$2:$C$27,3,FALSE)</f>
        <v>$86.6</v>
      </c>
      <c r="J1348" t="str">
        <f t="shared" si="171"/>
        <v>Thursday</v>
      </c>
      <c r="K1348" s="10" t="str">
        <f t="shared" si="172"/>
        <v>October</v>
      </c>
      <c r="L1348">
        <f t="shared" si="173"/>
        <v>2024</v>
      </c>
      <c r="M1348" t="b">
        <f t="shared" si="174"/>
        <v>0</v>
      </c>
      <c r="N1348" t="b">
        <f t="shared" si="168"/>
        <v>0</v>
      </c>
      <c r="O1348" t="str">
        <f t="shared" si="175"/>
        <v>Standard order</v>
      </c>
      <c r="P1348" s="7">
        <f t="shared" si="169"/>
        <v>4.33</v>
      </c>
      <c r="Q1348" s="7" t="str">
        <f>VLOOKUP(D1349,Product_Lookup!$A$2:$C$27,2,FALSE)</f>
        <v>Sweater</v>
      </c>
      <c r="R1348" s="7">
        <f t="shared" si="170"/>
        <v>346.4</v>
      </c>
    </row>
    <row r="1349" spans="1:18" ht="21.75" customHeight="1">
      <c r="A1349" t="s">
        <v>1500</v>
      </c>
      <c r="B1349" s="6">
        <v>45575</v>
      </c>
      <c r="C1349" t="s">
        <v>125</v>
      </c>
      <c r="D1349" t="s">
        <v>26</v>
      </c>
      <c r="E1349" t="s">
        <v>17</v>
      </c>
      <c r="F1349" t="s">
        <v>306</v>
      </c>
      <c r="G1349" t="s">
        <v>28</v>
      </c>
      <c r="H1349">
        <v>11</v>
      </c>
      <c r="I1349" t="str">
        <f>VLOOKUP(D1349,Product_Lookup!$A$2:$C$27,3,FALSE)</f>
        <v>$84.57</v>
      </c>
      <c r="J1349" t="str">
        <f t="shared" si="171"/>
        <v>Thursday</v>
      </c>
      <c r="K1349" s="10" t="str">
        <f t="shared" si="172"/>
        <v>October</v>
      </c>
      <c r="L1349">
        <f t="shared" si="173"/>
        <v>2024</v>
      </c>
      <c r="M1349" t="b">
        <f t="shared" si="174"/>
        <v>0</v>
      </c>
      <c r="N1349" t="b">
        <f t="shared" si="168"/>
        <v>1</v>
      </c>
      <c r="O1349" t="str">
        <f t="shared" si="175"/>
        <v>Large Order</v>
      </c>
      <c r="P1349" s="7">
        <f t="shared" si="169"/>
        <v>4.2284999999999995</v>
      </c>
      <c r="Q1349" s="7" t="str">
        <f>VLOOKUP(D1350,Product_Lookup!$A$2:$C$27,2,FALSE)</f>
        <v>Notebook</v>
      </c>
      <c r="R1349" s="7">
        <f t="shared" si="170"/>
        <v>930.27</v>
      </c>
    </row>
    <row r="1350" spans="1:18" ht="21.75" customHeight="1">
      <c r="A1350" t="s">
        <v>1501</v>
      </c>
      <c r="B1350" s="6">
        <v>45616</v>
      </c>
      <c r="C1350" t="s">
        <v>86</v>
      </c>
      <c r="D1350" t="s">
        <v>160</v>
      </c>
      <c r="E1350" t="s">
        <v>17</v>
      </c>
      <c r="F1350" t="s">
        <v>42</v>
      </c>
      <c r="G1350" t="s">
        <v>13</v>
      </c>
      <c r="H1350">
        <v>3</v>
      </c>
      <c r="I1350" t="str">
        <f>VLOOKUP(D1350,Product_Lookup!$A$2:$C$27,3,FALSE)</f>
        <v>$149.27</v>
      </c>
      <c r="J1350" t="str">
        <f t="shared" si="171"/>
        <v>Wednesday</v>
      </c>
      <c r="K1350" s="10" t="str">
        <f t="shared" si="172"/>
        <v>November</v>
      </c>
      <c r="L1350">
        <f t="shared" si="173"/>
        <v>2024</v>
      </c>
      <c r="M1350" t="b">
        <f t="shared" si="174"/>
        <v>0</v>
      </c>
      <c r="N1350" t="b">
        <f t="shared" si="168"/>
        <v>0</v>
      </c>
      <c r="O1350" t="str">
        <f t="shared" si="175"/>
        <v>Standard order</v>
      </c>
      <c r="P1350" s="7">
        <f t="shared" si="169"/>
        <v>7.4635000000000007</v>
      </c>
      <c r="Q1350" s="7" t="str">
        <f>VLOOKUP(D1351,Product_Lookup!$A$2:$C$27,2,FALSE)</f>
        <v>Laptop</v>
      </c>
      <c r="R1350" s="7">
        <f t="shared" si="170"/>
        <v>447.81000000000006</v>
      </c>
    </row>
    <row r="1351" spans="1:18" ht="21.75" customHeight="1">
      <c r="A1351" t="s">
        <v>1502</v>
      </c>
      <c r="B1351" s="6">
        <v>45433</v>
      </c>
      <c r="C1351" t="s">
        <v>116</v>
      </c>
      <c r="D1351" t="s">
        <v>96</v>
      </c>
      <c r="E1351" t="s">
        <v>17</v>
      </c>
      <c r="F1351" t="s">
        <v>56</v>
      </c>
      <c r="G1351" t="s">
        <v>32</v>
      </c>
      <c r="H1351">
        <v>6</v>
      </c>
      <c r="I1351" t="str">
        <f>VLOOKUP(D1351,Product_Lookup!$A$2:$C$27,3,FALSE)</f>
        <v>$230.68</v>
      </c>
      <c r="J1351" t="str">
        <f t="shared" si="171"/>
        <v>Tuesday</v>
      </c>
      <c r="K1351" s="10" t="str">
        <f t="shared" si="172"/>
        <v>May</v>
      </c>
      <c r="L1351">
        <f t="shared" si="173"/>
        <v>2024</v>
      </c>
      <c r="M1351" t="b">
        <f t="shared" si="174"/>
        <v>0</v>
      </c>
      <c r="N1351" t="b">
        <f t="shared" si="168"/>
        <v>1</v>
      </c>
      <c r="O1351" t="str">
        <f t="shared" si="175"/>
        <v>Large Order</v>
      </c>
      <c r="P1351" s="7">
        <f t="shared" si="169"/>
        <v>11.534000000000001</v>
      </c>
      <c r="Q1351" s="7" t="str">
        <f>VLOOKUP(D1352,Product_Lookup!$A$2:$C$27,2,FALSE)</f>
        <v>Vacuum</v>
      </c>
      <c r="R1351" s="7">
        <f t="shared" si="170"/>
        <v>1384.08</v>
      </c>
    </row>
    <row r="1352" spans="1:18" ht="21.75" customHeight="1">
      <c r="A1352" t="s">
        <v>1503</v>
      </c>
      <c r="B1352" s="6">
        <v>45574</v>
      </c>
      <c r="C1352" t="s">
        <v>369</v>
      </c>
      <c r="D1352" t="s">
        <v>87</v>
      </c>
      <c r="E1352" t="s">
        <v>22</v>
      </c>
      <c r="F1352" t="s">
        <v>12</v>
      </c>
      <c r="G1352" t="s">
        <v>13</v>
      </c>
      <c r="H1352">
        <v>3</v>
      </c>
      <c r="I1352" t="str">
        <f>VLOOKUP(D1352,Product_Lookup!$A$2:$C$27,3,FALSE)</f>
        <v>$26.59</v>
      </c>
      <c r="J1352" t="str">
        <f t="shared" si="171"/>
        <v>Wednesday</v>
      </c>
      <c r="K1352" s="10" t="str">
        <f t="shared" si="172"/>
        <v>October</v>
      </c>
      <c r="L1352">
        <f t="shared" si="173"/>
        <v>2024</v>
      </c>
      <c r="M1352" t="b">
        <f t="shared" si="174"/>
        <v>0</v>
      </c>
      <c r="N1352" t="b">
        <f t="shared" si="168"/>
        <v>0</v>
      </c>
      <c r="O1352" t="str">
        <f t="shared" si="175"/>
        <v>Standard order</v>
      </c>
      <c r="P1352" s="7">
        <f t="shared" si="169"/>
        <v>1.3295000000000001</v>
      </c>
      <c r="Q1352" s="7" t="str">
        <f>VLOOKUP(D1353,Product_Lookup!$A$2:$C$27,2,FALSE)</f>
        <v>Pen Set</v>
      </c>
      <c r="R1352" s="7">
        <f t="shared" si="170"/>
        <v>79.77</v>
      </c>
    </row>
    <row r="1353" spans="1:18" ht="21.75" customHeight="1">
      <c r="A1353" t="s">
        <v>1504</v>
      </c>
      <c r="B1353" s="6">
        <v>45645</v>
      </c>
      <c r="C1353" t="s">
        <v>125</v>
      </c>
      <c r="D1353" t="s">
        <v>174</v>
      </c>
      <c r="E1353" t="s">
        <v>11</v>
      </c>
      <c r="F1353" t="s">
        <v>42</v>
      </c>
      <c r="G1353" t="s">
        <v>36</v>
      </c>
      <c r="H1353">
        <v>18</v>
      </c>
      <c r="I1353" t="str">
        <f>VLOOKUP(D1353,Product_Lookup!$A$2:$C$27,3,FALSE)</f>
        <v>$133.37</v>
      </c>
      <c r="J1353" t="str">
        <f t="shared" si="171"/>
        <v>Thursday</v>
      </c>
      <c r="K1353" s="10" t="str">
        <f t="shared" si="172"/>
        <v>December</v>
      </c>
      <c r="L1353">
        <f t="shared" si="173"/>
        <v>2024</v>
      </c>
      <c r="M1353" t="b">
        <f t="shared" si="174"/>
        <v>0</v>
      </c>
      <c r="N1353" t="b">
        <f t="shared" si="168"/>
        <v>1</v>
      </c>
      <c r="O1353" t="str">
        <f t="shared" si="175"/>
        <v>Large Order</v>
      </c>
      <c r="P1353" s="7">
        <f t="shared" si="169"/>
        <v>6.6685000000000008</v>
      </c>
      <c r="Q1353" s="7" t="str">
        <f>VLOOKUP(D1354,Product_Lookup!$A$2:$C$27,2,FALSE)</f>
        <v>Socks</v>
      </c>
      <c r="R1353" s="7">
        <f t="shared" si="170"/>
        <v>2400.66</v>
      </c>
    </row>
    <row r="1354" spans="1:18" ht="21.75" customHeight="1">
      <c r="A1354" t="s">
        <v>1505</v>
      </c>
      <c r="B1354" s="6">
        <v>45357</v>
      </c>
      <c r="C1354" t="s">
        <v>116</v>
      </c>
      <c r="D1354" t="s">
        <v>74</v>
      </c>
      <c r="E1354" t="s">
        <v>17</v>
      </c>
      <c r="F1354" t="s">
        <v>12</v>
      </c>
      <c r="G1354" t="s">
        <v>32</v>
      </c>
      <c r="H1354">
        <v>7</v>
      </c>
      <c r="I1354" t="str">
        <f>VLOOKUP(D1354,Product_Lookup!$A$2:$C$27,3,FALSE)</f>
        <v>$201.32</v>
      </c>
      <c r="J1354" t="str">
        <f t="shared" si="171"/>
        <v>Wednesday</v>
      </c>
      <c r="K1354" s="10" t="str">
        <f t="shared" si="172"/>
        <v>March</v>
      </c>
      <c r="L1354">
        <f t="shared" si="173"/>
        <v>2024</v>
      </c>
      <c r="M1354" t="b">
        <f t="shared" si="174"/>
        <v>0</v>
      </c>
      <c r="N1354" t="b">
        <f t="shared" si="168"/>
        <v>1</v>
      </c>
      <c r="O1354" t="str">
        <f t="shared" si="175"/>
        <v>Large Order</v>
      </c>
      <c r="P1354" s="7">
        <f t="shared" si="169"/>
        <v>10.066000000000001</v>
      </c>
      <c r="Q1354" s="7" t="str">
        <f>VLOOKUP(D1355,Product_Lookup!$A$2:$C$27,2,FALSE)</f>
        <v>Toaster</v>
      </c>
      <c r="R1354" s="7">
        <f t="shared" si="170"/>
        <v>1409.24</v>
      </c>
    </row>
    <row r="1355" spans="1:18" ht="21.75" customHeight="1">
      <c r="A1355" t="s">
        <v>1506</v>
      </c>
      <c r="B1355" s="6">
        <v>45633</v>
      </c>
      <c r="C1355" t="s">
        <v>15</v>
      </c>
      <c r="D1355" t="s">
        <v>48</v>
      </c>
      <c r="E1355" t="s">
        <v>22</v>
      </c>
      <c r="F1355" t="s">
        <v>27</v>
      </c>
      <c r="G1355" t="s">
        <v>36</v>
      </c>
      <c r="H1355">
        <v>5</v>
      </c>
      <c r="I1355" t="str">
        <f>VLOOKUP(D1355,Product_Lookup!$A$2:$C$27,3,FALSE)</f>
        <v>$208.85</v>
      </c>
      <c r="J1355" t="str">
        <f t="shared" si="171"/>
        <v>Saturday</v>
      </c>
      <c r="K1355" s="10" t="str">
        <f t="shared" si="172"/>
        <v>December</v>
      </c>
      <c r="L1355">
        <f t="shared" si="173"/>
        <v>2024</v>
      </c>
      <c r="M1355" t="b">
        <f t="shared" si="174"/>
        <v>1</v>
      </c>
      <c r="N1355" t="b">
        <f t="shared" si="168"/>
        <v>0</v>
      </c>
      <c r="O1355" t="str">
        <f t="shared" si="175"/>
        <v>Large Order</v>
      </c>
      <c r="P1355" s="7">
        <f t="shared" si="169"/>
        <v>10.442500000000001</v>
      </c>
      <c r="Q1355" s="7" t="str">
        <f>VLOOKUP(D1356,Product_Lookup!$A$2:$C$27,2,FALSE)</f>
        <v>T-Shirt</v>
      </c>
      <c r="R1355" s="7">
        <f t="shared" si="170"/>
        <v>1044.25</v>
      </c>
    </row>
    <row r="1356" spans="1:18" ht="21.75" customHeight="1">
      <c r="A1356" t="s">
        <v>1507</v>
      </c>
      <c r="B1356" s="6">
        <v>45413</v>
      </c>
      <c r="C1356" t="s">
        <v>111</v>
      </c>
      <c r="D1356" t="s">
        <v>45</v>
      </c>
      <c r="E1356" t="s">
        <v>17</v>
      </c>
      <c r="F1356" t="s">
        <v>12</v>
      </c>
      <c r="G1356" t="s">
        <v>28</v>
      </c>
      <c r="H1356">
        <v>11</v>
      </c>
      <c r="I1356" t="str">
        <f>VLOOKUP(D1356,Product_Lookup!$A$2:$C$27,3,FALSE)</f>
        <v>$107.34</v>
      </c>
      <c r="J1356" t="str">
        <f t="shared" si="171"/>
        <v>Wednesday</v>
      </c>
      <c r="K1356" s="10" t="str">
        <f t="shared" si="172"/>
        <v>May</v>
      </c>
      <c r="L1356">
        <f t="shared" si="173"/>
        <v>2024</v>
      </c>
      <c r="M1356" t="b">
        <f t="shared" si="174"/>
        <v>0</v>
      </c>
      <c r="N1356" t="b">
        <f t="shared" si="168"/>
        <v>1</v>
      </c>
      <c r="O1356" t="str">
        <f t="shared" si="175"/>
        <v>Large Order</v>
      </c>
      <c r="P1356" s="7">
        <f t="shared" si="169"/>
        <v>5.3670000000000009</v>
      </c>
      <c r="Q1356" s="7" t="str">
        <f>VLOOKUP(D1357,Product_Lookup!$A$2:$C$27,2,FALSE)</f>
        <v>Lego Set</v>
      </c>
      <c r="R1356" s="7">
        <f t="shared" si="170"/>
        <v>1180.74</v>
      </c>
    </row>
    <row r="1357" spans="1:18" ht="21.75" customHeight="1">
      <c r="A1357" t="s">
        <v>1508</v>
      </c>
      <c r="B1357" s="6">
        <v>45502</v>
      </c>
      <c r="C1357" t="s">
        <v>317</v>
      </c>
      <c r="D1357" t="s">
        <v>84</v>
      </c>
      <c r="E1357" t="s">
        <v>11</v>
      </c>
      <c r="F1357" t="s">
        <v>42</v>
      </c>
      <c r="G1357" t="s">
        <v>28</v>
      </c>
      <c r="H1357">
        <v>4</v>
      </c>
      <c r="I1357" t="str">
        <f>VLOOKUP(D1357,Product_Lookup!$A$2:$C$27,3,FALSE)</f>
        <v>$130.07</v>
      </c>
      <c r="J1357" t="str">
        <f t="shared" si="171"/>
        <v>Monday</v>
      </c>
      <c r="K1357" s="10" t="str">
        <f t="shared" si="172"/>
        <v>July</v>
      </c>
      <c r="L1357">
        <f t="shared" si="173"/>
        <v>2024</v>
      </c>
      <c r="M1357" t="b">
        <f t="shared" si="174"/>
        <v>0</v>
      </c>
      <c r="N1357" t="b">
        <f t="shared" si="168"/>
        <v>0</v>
      </c>
      <c r="O1357" t="str">
        <f t="shared" si="175"/>
        <v>Large Order</v>
      </c>
      <c r="P1357" s="7">
        <f t="shared" si="169"/>
        <v>6.5034999999999998</v>
      </c>
      <c r="Q1357" s="7" t="str">
        <f>VLOOKUP(D1358,Product_Lookup!$A$2:$C$27,2,FALSE)</f>
        <v>Jacket</v>
      </c>
      <c r="R1357" s="7">
        <f t="shared" si="170"/>
        <v>520.28</v>
      </c>
    </row>
    <row r="1358" spans="1:18" ht="21.75" customHeight="1">
      <c r="A1358" t="s">
        <v>1509</v>
      </c>
      <c r="B1358" s="6">
        <v>45311</v>
      </c>
      <c r="C1358" t="s">
        <v>553</v>
      </c>
      <c r="D1358" t="s">
        <v>197</v>
      </c>
      <c r="E1358" t="s">
        <v>11</v>
      </c>
      <c r="F1358" t="s">
        <v>27</v>
      </c>
      <c r="G1358" t="s">
        <v>32</v>
      </c>
      <c r="H1358">
        <v>10</v>
      </c>
      <c r="I1358" t="str">
        <f>VLOOKUP(D1358,Product_Lookup!$A$2:$C$27,3,FALSE)</f>
        <v>$10.11</v>
      </c>
      <c r="J1358" t="str">
        <f t="shared" si="171"/>
        <v>Saturday</v>
      </c>
      <c r="K1358" s="10" t="str">
        <f t="shared" si="172"/>
        <v>January</v>
      </c>
      <c r="L1358">
        <f t="shared" si="173"/>
        <v>2024</v>
      </c>
      <c r="M1358" t="b">
        <f t="shared" si="174"/>
        <v>1</v>
      </c>
      <c r="N1358" t="b">
        <f t="shared" si="168"/>
        <v>0</v>
      </c>
      <c r="O1358" t="str">
        <f t="shared" si="175"/>
        <v>Standard order</v>
      </c>
      <c r="P1358" s="7">
        <f t="shared" si="169"/>
        <v>0.50549999999999995</v>
      </c>
      <c r="Q1358" s="7" t="str">
        <f>VLOOKUP(D1359,Product_Lookup!$A$2:$C$27,2,FALSE)</f>
        <v>Laptop</v>
      </c>
      <c r="R1358" s="7">
        <f t="shared" si="170"/>
        <v>101.1</v>
      </c>
    </row>
    <row r="1359" spans="1:18" ht="21.75" customHeight="1">
      <c r="A1359" t="s">
        <v>1510</v>
      </c>
      <c r="B1359" s="6">
        <v>45408</v>
      </c>
      <c r="C1359" t="s">
        <v>240</v>
      </c>
      <c r="D1359" t="s">
        <v>96</v>
      </c>
      <c r="E1359" t="s">
        <v>22</v>
      </c>
      <c r="F1359" t="s">
        <v>56</v>
      </c>
      <c r="G1359" t="s">
        <v>23</v>
      </c>
      <c r="H1359">
        <v>11</v>
      </c>
      <c r="I1359" t="str">
        <f>VLOOKUP(D1359,Product_Lookup!$A$2:$C$27,3,FALSE)</f>
        <v>$230.68</v>
      </c>
      <c r="J1359" t="str">
        <f t="shared" si="171"/>
        <v>Friday</v>
      </c>
      <c r="K1359" s="10" t="str">
        <f t="shared" si="172"/>
        <v>April</v>
      </c>
      <c r="L1359">
        <f t="shared" si="173"/>
        <v>2024</v>
      </c>
      <c r="M1359" t="b">
        <f t="shared" si="174"/>
        <v>0</v>
      </c>
      <c r="N1359" t="b">
        <f t="shared" si="168"/>
        <v>1</v>
      </c>
      <c r="O1359" t="str">
        <f t="shared" si="175"/>
        <v>Large Order</v>
      </c>
      <c r="P1359" s="7">
        <f t="shared" si="169"/>
        <v>11.534000000000001</v>
      </c>
      <c r="Q1359" s="7" t="str">
        <f>VLOOKUP(D1360,Product_Lookup!$A$2:$C$27,2,FALSE)</f>
        <v>Sweater</v>
      </c>
      <c r="R1359" s="7">
        <f t="shared" si="170"/>
        <v>2537.48</v>
      </c>
    </row>
    <row r="1360" spans="1:18" ht="21.75" customHeight="1">
      <c r="A1360" t="s">
        <v>1511</v>
      </c>
      <c r="B1360" s="6">
        <v>45327</v>
      </c>
      <c r="C1360" t="s">
        <v>337</v>
      </c>
      <c r="D1360" t="s">
        <v>26</v>
      </c>
      <c r="E1360" t="s">
        <v>17</v>
      </c>
      <c r="F1360" t="s">
        <v>306</v>
      </c>
      <c r="G1360" t="s">
        <v>23</v>
      </c>
      <c r="H1360">
        <v>18</v>
      </c>
      <c r="I1360" t="str">
        <f>VLOOKUP(D1360,Product_Lookup!$A$2:$C$27,3,FALSE)</f>
        <v>$84.57</v>
      </c>
      <c r="J1360" t="str">
        <f t="shared" si="171"/>
        <v>Monday</v>
      </c>
      <c r="K1360" s="10" t="str">
        <f t="shared" si="172"/>
        <v>February</v>
      </c>
      <c r="L1360">
        <f t="shared" si="173"/>
        <v>2024</v>
      </c>
      <c r="M1360" t="b">
        <f t="shared" si="174"/>
        <v>0</v>
      </c>
      <c r="N1360" t="b">
        <f t="shared" si="168"/>
        <v>1</v>
      </c>
      <c r="O1360" t="str">
        <f t="shared" si="175"/>
        <v>Large Order</v>
      </c>
      <c r="P1360" s="7">
        <f t="shared" si="169"/>
        <v>4.2284999999999995</v>
      </c>
      <c r="Q1360" s="7" t="str">
        <f>VLOOKUP(D1361,Product_Lookup!$A$2:$C$27,2,FALSE)</f>
        <v>Sweater</v>
      </c>
      <c r="R1360" s="7">
        <f t="shared" si="170"/>
        <v>1522.2599999999998</v>
      </c>
    </row>
    <row r="1361" spans="1:18" ht="21.75" customHeight="1">
      <c r="A1361" t="s">
        <v>1512</v>
      </c>
      <c r="B1361" s="6">
        <v>45306</v>
      </c>
      <c r="C1361" t="s">
        <v>40</v>
      </c>
      <c r="D1361" t="s">
        <v>26</v>
      </c>
      <c r="E1361" t="s">
        <v>11</v>
      </c>
      <c r="F1361" t="s">
        <v>306</v>
      </c>
      <c r="G1361" t="s">
        <v>32</v>
      </c>
      <c r="H1361">
        <v>2</v>
      </c>
      <c r="I1361" t="str">
        <f>VLOOKUP(D1361,Product_Lookup!$A$2:$C$27,3,FALSE)</f>
        <v>$84.57</v>
      </c>
      <c r="J1361" t="str">
        <f t="shared" si="171"/>
        <v>Monday</v>
      </c>
      <c r="K1361" s="10" t="str">
        <f t="shared" si="172"/>
        <v>January</v>
      </c>
      <c r="L1361">
        <f t="shared" si="173"/>
        <v>2024</v>
      </c>
      <c r="M1361" t="b">
        <f t="shared" si="174"/>
        <v>0</v>
      </c>
      <c r="N1361" t="b">
        <f t="shared" si="168"/>
        <v>0</v>
      </c>
      <c r="O1361" t="str">
        <f t="shared" si="175"/>
        <v>Standard order</v>
      </c>
      <c r="P1361" s="7">
        <f t="shared" si="169"/>
        <v>4.2284999999999995</v>
      </c>
      <c r="Q1361" s="7" t="str">
        <f>VLOOKUP(D1362,Product_Lookup!$A$2:$C$27,2,FALSE)</f>
        <v>Lego Set</v>
      </c>
      <c r="R1361" s="7">
        <f t="shared" si="170"/>
        <v>169.14</v>
      </c>
    </row>
    <row r="1362" spans="1:18" ht="21.75" customHeight="1">
      <c r="A1362" t="s">
        <v>1513</v>
      </c>
      <c r="B1362" s="6">
        <v>45514</v>
      </c>
      <c r="C1362" t="s">
        <v>20</v>
      </c>
      <c r="D1362" t="s">
        <v>84</v>
      </c>
      <c r="E1362" t="s">
        <v>17</v>
      </c>
      <c r="F1362" t="s">
        <v>27</v>
      </c>
      <c r="G1362" t="s">
        <v>36</v>
      </c>
      <c r="H1362">
        <v>17</v>
      </c>
      <c r="I1362" t="str">
        <f>VLOOKUP(D1362,Product_Lookup!$A$2:$C$27,3,FALSE)</f>
        <v>$130.07</v>
      </c>
      <c r="J1362" t="str">
        <f t="shared" si="171"/>
        <v>Saturday</v>
      </c>
      <c r="K1362" s="10" t="str">
        <f t="shared" si="172"/>
        <v>August</v>
      </c>
      <c r="L1362">
        <f t="shared" si="173"/>
        <v>2024</v>
      </c>
      <c r="M1362" t="b">
        <f t="shared" si="174"/>
        <v>1</v>
      </c>
      <c r="N1362" t="b">
        <f t="shared" si="168"/>
        <v>1</v>
      </c>
      <c r="O1362" t="str">
        <f t="shared" si="175"/>
        <v>Large Order</v>
      </c>
      <c r="P1362" s="7">
        <f t="shared" si="169"/>
        <v>6.5034999999999998</v>
      </c>
      <c r="Q1362" s="7" t="str">
        <f>VLOOKUP(D1363,Product_Lookup!$A$2:$C$27,2,FALSE)</f>
        <v>Sweater</v>
      </c>
      <c r="R1362" s="7">
        <f t="shared" si="170"/>
        <v>2211.19</v>
      </c>
    </row>
    <row r="1363" spans="1:18" ht="21.75" customHeight="1">
      <c r="A1363" t="s">
        <v>1514</v>
      </c>
      <c r="B1363" s="6">
        <v>45587</v>
      </c>
      <c r="C1363" t="s">
        <v>150</v>
      </c>
      <c r="D1363" t="s">
        <v>26</v>
      </c>
      <c r="E1363" t="s">
        <v>11</v>
      </c>
      <c r="F1363" t="s">
        <v>27</v>
      </c>
      <c r="G1363" t="s">
        <v>13</v>
      </c>
      <c r="H1363">
        <v>17</v>
      </c>
      <c r="I1363" t="str">
        <f>VLOOKUP(D1363,Product_Lookup!$A$2:$C$27,3,FALSE)</f>
        <v>$84.57</v>
      </c>
      <c r="J1363" t="str">
        <f t="shared" si="171"/>
        <v>Tuesday</v>
      </c>
      <c r="K1363" s="10" t="str">
        <f t="shared" si="172"/>
        <v>October</v>
      </c>
      <c r="L1363">
        <f t="shared" si="173"/>
        <v>2024</v>
      </c>
      <c r="M1363" t="b">
        <f t="shared" si="174"/>
        <v>0</v>
      </c>
      <c r="N1363" t="b">
        <f t="shared" si="168"/>
        <v>1</v>
      </c>
      <c r="O1363" t="str">
        <f t="shared" si="175"/>
        <v>Large Order</v>
      </c>
      <c r="P1363" s="7">
        <f t="shared" si="169"/>
        <v>4.2284999999999995</v>
      </c>
      <c r="Q1363" s="7" t="str">
        <f>VLOOKUP(D1364,Product_Lookup!$A$2:$C$27,2,FALSE)</f>
        <v>Lego Set</v>
      </c>
      <c r="R1363" s="7">
        <f t="shared" si="170"/>
        <v>1437.6899999999998</v>
      </c>
    </row>
    <row r="1364" spans="1:18" ht="21.75" customHeight="1">
      <c r="A1364" t="s">
        <v>1515</v>
      </c>
      <c r="B1364" s="6">
        <v>45567</v>
      </c>
      <c r="C1364" t="s">
        <v>455</v>
      </c>
      <c r="D1364" t="s">
        <v>84</v>
      </c>
      <c r="E1364" t="s">
        <v>22</v>
      </c>
      <c r="F1364" t="s">
        <v>56</v>
      </c>
      <c r="G1364" t="s">
        <v>32</v>
      </c>
      <c r="H1364">
        <v>14</v>
      </c>
      <c r="I1364" t="str">
        <f>VLOOKUP(D1364,Product_Lookup!$A$2:$C$27,3,FALSE)</f>
        <v>$130.07</v>
      </c>
      <c r="J1364" t="str">
        <f t="shared" si="171"/>
        <v>Wednesday</v>
      </c>
      <c r="K1364" s="10" t="str">
        <f t="shared" si="172"/>
        <v>October</v>
      </c>
      <c r="L1364">
        <f t="shared" si="173"/>
        <v>2024</v>
      </c>
      <c r="M1364" t="b">
        <f t="shared" si="174"/>
        <v>0</v>
      </c>
      <c r="N1364" t="b">
        <f t="shared" si="168"/>
        <v>1</v>
      </c>
      <c r="O1364" t="str">
        <f t="shared" si="175"/>
        <v>Large Order</v>
      </c>
      <c r="P1364" s="7">
        <f t="shared" si="169"/>
        <v>6.5034999999999998</v>
      </c>
      <c r="Q1364" s="7" t="str">
        <f>VLOOKUP(D1365,Product_Lookup!$A$2:$C$27,2,FALSE)</f>
        <v>Paper Shredder</v>
      </c>
      <c r="R1364" s="7">
        <f t="shared" si="170"/>
        <v>1820.98</v>
      </c>
    </row>
    <row r="1365" spans="1:18" ht="21.75" customHeight="1">
      <c r="A1365" t="s">
        <v>1516</v>
      </c>
      <c r="B1365" s="6">
        <v>45632</v>
      </c>
      <c r="C1365" t="s">
        <v>118</v>
      </c>
      <c r="D1365" t="s">
        <v>109</v>
      </c>
      <c r="E1365" t="s">
        <v>17</v>
      </c>
      <c r="F1365" t="s">
        <v>12</v>
      </c>
      <c r="G1365" t="s">
        <v>32</v>
      </c>
      <c r="H1365">
        <v>17</v>
      </c>
      <c r="I1365" t="str">
        <f>VLOOKUP(D1365,Product_Lookup!$A$2:$C$27,3,FALSE)</f>
        <v>$81.02</v>
      </c>
      <c r="J1365" t="str">
        <f t="shared" si="171"/>
        <v>Friday</v>
      </c>
      <c r="K1365" s="10" t="str">
        <f t="shared" si="172"/>
        <v>December</v>
      </c>
      <c r="L1365">
        <f t="shared" si="173"/>
        <v>2024</v>
      </c>
      <c r="M1365" t="b">
        <f t="shared" si="174"/>
        <v>0</v>
      </c>
      <c r="N1365" t="b">
        <f t="shared" si="168"/>
        <v>1</v>
      </c>
      <c r="O1365" t="str">
        <f t="shared" si="175"/>
        <v>Large Order</v>
      </c>
      <c r="P1365" s="7">
        <f t="shared" si="169"/>
        <v>4.0510000000000002</v>
      </c>
      <c r="Q1365" s="7" t="str">
        <f>VLOOKUP(D1366,Product_Lookup!$A$2:$C$27,2,FALSE)</f>
        <v>Coffee Maker</v>
      </c>
      <c r="R1365" s="7">
        <f t="shared" si="170"/>
        <v>1377.34</v>
      </c>
    </row>
    <row r="1366" spans="1:18" ht="21.75" customHeight="1">
      <c r="A1366" t="s">
        <v>1517</v>
      </c>
      <c r="B1366" s="6">
        <v>45501</v>
      </c>
      <c r="C1366" t="s">
        <v>187</v>
      </c>
      <c r="D1366" t="s">
        <v>31</v>
      </c>
      <c r="E1366" t="s">
        <v>22</v>
      </c>
      <c r="F1366" t="s">
        <v>42</v>
      </c>
      <c r="G1366" t="s">
        <v>36</v>
      </c>
      <c r="H1366">
        <v>5</v>
      </c>
      <c r="I1366" t="str">
        <f>VLOOKUP(D1366,Product_Lookup!$A$2:$C$27,3,FALSE)</f>
        <v>$230.34</v>
      </c>
      <c r="J1366" t="str">
        <f t="shared" si="171"/>
        <v>Sunday</v>
      </c>
      <c r="K1366" s="10" t="str">
        <f t="shared" si="172"/>
        <v>July</v>
      </c>
      <c r="L1366">
        <f t="shared" si="173"/>
        <v>2024</v>
      </c>
      <c r="M1366" t="b">
        <f t="shared" si="174"/>
        <v>1</v>
      </c>
      <c r="N1366" t="b">
        <f t="shared" si="168"/>
        <v>0</v>
      </c>
      <c r="O1366" t="str">
        <f t="shared" si="175"/>
        <v>Large Order</v>
      </c>
      <c r="P1366" s="7">
        <f t="shared" si="169"/>
        <v>11.517000000000001</v>
      </c>
      <c r="Q1366" s="7" t="str">
        <f>VLOOKUP(D1367,Product_Lookup!$A$2:$C$27,2,FALSE)</f>
        <v>Board Game</v>
      </c>
      <c r="R1366" s="7">
        <f t="shared" si="170"/>
        <v>1151.7</v>
      </c>
    </row>
    <row r="1367" spans="1:18" ht="21.75" customHeight="1">
      <c r="A1367" t="s">
        <v>1518</v>
      </c>
      <c r="B1367" s="6">
        <v>45632</v>
      </c>
      <c r="C1367" t="s">
        <v>159</v>
      </c>
      <c r="D1367" t="s">
        <v>41</v>
      </c>
      <c r="E1367" t="s">
        <v>22</v>
      </c>
      <c r="F1367" t="s">
        <v>56</v>
      </c>
      <c r="G1367" t="s">
        <v>36</v>
      </c>
      <c r="H1367">
        <v>19</v>
      </c>
      <c r="I1367" t="str">
        <f>VLOOKUP(D1367,Product_Lookup!$A$2:$C$27,3,FALSE)</f>
        <v>$86.6</v>
      </c>
      <c r="J1367" t="str">
        <f t="shared" si="171"/>
        <v>Friday</v>
      </c>
      <c r="K1367" s="10" t="str">
        <f t="shared" si="172"/>
        <v>December</v>
      </c>
      <c r="L1367">
        <f t="shared" si="173"/>
        <v>2024</v>
      </c>
      <c r="M1367" t="b">
        <f t="shared" si="174"/>
        <v>0</v>
      </c>
      <c r="N1367" t="b">
        <f t="shared" si="168"/>
        <v>1</v>
      </c>
      <c r="O1367" t="str">
        <f t="shared" si="175"/>
        <v>Large Order</v>
      </c>
      <c r="P1367" s="7">
        <f t="shared" si="169"/>
        <v>4.33</v>
      </c>
      <c r="Q1367" s="7" t="str">
        <f>VLOOKUP(D1368,Product_Lookup!$A$2:$C$27,2,FALSE)</f>
        <v>Socks</v>
      </c>
      <c r="R1367" s="7">
        <f t="shared" si="170"/>
        <v>1645.3999999999999</v>
      </c>
    </row>
    <row r="1368" spans="1:18" ht="21.75" customHeight="1">
      <c r="A1368" t="s">
        <v>1519</v>
      </c>
      <c r="B1368" s="6">
        <v>45572</v>
      </c>
      <c r="C1368" t="s">
        <v>25</v>
      </c>
      <c r="D1368" t="s">
        <v>74</v>
      </c>
      <c r="E1368" t="s">
        <v>17</v>
      </c>
      <c r="F1368" t="s">
        <v>56</v>
      </c>
      <c r="G1368" t="s">
        <v>23</v>
      </c>
      <c r="H1368">
        <v>19</v>
      </c>
      <c r="I1368" t="str">
        <f>VLOOKUP(D1368,Product_Lookup!$A$2:$C$27,3,FALSE)</f>
        <v>$201.32</v>
      </c>
      <c r="J1368" t="str">
        <f t="shared" si="171"/>
        <v>Monday</v>
      </c>
      <c r="K1368" s="10" t="str">
        <f t="shared" si="172"/>
        <v>October</v>
      </c>
      <c r="L1368">
        <f t="shared" si="173"/>
        <v>2024</v>
      </c>
      <c r="M1368" t="b">
        <f t="shared" si="174"/>
        <v>0</v>
      </c>
      <c r="N1368" t="b">
        <f t="shared" si="168"/>
        <v>1</v>
      </c>
      <c r="O1368" t="str">
        <f t="shared" si="175"/>
        <v>Large Order</v>
      </c>
      <c r="P1368" s="7">
        <f t="shared" si="169"/>
        <v>10.066000000000001</v>
      </c>
      <c r="Q1368" s="7" t="str">
        <f>VLOOKUP(D1369,Product_Lookup!$A$2:$C$27,2,FALSE)</f>
        <v>Air Fryer</v>
      </c>
      <c r="R1368" s="7">
        <f t="shared" si="170"/>
        <v>3825.08</v>
      </c>
    </row>
    <row r="1369" spans="1:18" ht="21.75" customHeight="1">
      <c r="A1369" t="s">
        <v>1520</v>
      </c>
      <c r="B1369" s="6">
        <v>45456</v>
      </c>
      <c r="C1369" t="s">
        <v>319</v>
      </c>
      <c r="D1369" t="s">
        <v>70</v>
      </c>
      <c r="E1369" t="s">
        <v>17</v>
      </c>
      <c r="F1369" t="s">
        <v>56</v>
      </c>
      <c r="G1369" t="s">
        <v>36</v>
      </c>
      <c r="H1369">
        <v>16</v>
      </c>
      <c r="I1369" t="str">
        <f>VLOOKUP(D1369,Product_Lookup!$A$2:$C$27,3,FALSE)</f>
        <v>$211.9</v>
      </c>
      <c r="J1369" t="str">
        <f t="shared" si="171"/>
        <v>Thursday</v>
      </c>
      <c r="K1369" s="10" t="str">
        <f t="shared" si="172"/>
        <v>June</v>
      </c>
      <c r="L1369">
        <f t="shared" si="173"/>
        <v>2024</v>
      </c>
      <c r="M1369" t="b">
        <f t="shared" si="174"/>
        <v>0</v>
      </c>
      <c r="N1369" t="b">
        <f t="shared" si="168"/>
        <v>1</v>
      </c>
      <c r="O1369" t="str">
        <f t="shared" si="175"/>
        <v>Large Order</v>
      </c>
      <c r="P1369" s="7">
        <f t="shared" si="169"/>
        <v>10.595000000000001</v>
      </c>
      <c r="Q1369" s="7" t="str">
        <f>VLOOKUP(D1370,Product_Lookup!$A$2:$C$27,2,FALSE)</f>
        <v>Tablet</v>
      </c>
      <c r="R1369" s="7">
        <f t="shared" si="170"/>
        <v>3390.4</v>
      </c>
    </row>
    <row r="1370" spans="1:18" ht="21.75" customHeight="1">
      <c r="A1370" t="s">
        <v>1521</v>
      </c>
      <c r="B1370" s="6">
        <v>45378</v>
      </c>
      <c r="C1370" t="s">
        <v>371</v>
      </c>
      <c r="D1370" t="s">
        <v>10</v>
      </c>
      <c r="E1370" t="s">
        <v>17</v>
      </c>
      <c r="F1370" t="s">
        <v>306</v>
      </c>
      <c r="G1370" t="s">
        <v>36</v>
      </c>
      <c r="H1370">
        <v>11</v>
      </c>
      <c r="I1370" t="str">
        <f>VLOOKUP(D1370,Product_Lookup!$A$2:$C$27,3,FALSE)</f>
        <v>$146.06</v>
      </c>
      <c r="J1370" t="str">
        <f t="shared" si="171"/>
        <v>Wednesday</v>
      </c>
      <c r="K1370" s="10" t="str">
        <f t="shared" si="172"/>
        <v>March</v>
      </c>
      <c r="L1370">
        <f t="shared" si="173"/>
        <v>2024</v>
      </c>
      <c r="M1370" t="b">
        <f t="shared" si="174"/>
        <v>0</v>
      </c>
      <c r="N1370" t="b">
        <f t="shared" si="168"/>
        <v>1</v>
      </c>
      <c r="O1370" t="str">
        <f t="shared" si="175"/>
        <v>Large Order</v>
      </c>
      <c r="P1370" s="7">
        <f t="shared" si="169"/>
        <v>7.3030000000000008</v>
      </c>
      <c r="Q1370" s="7" t="str">
        <f>VLOOKUP(D1371,Product_Lookup!$A$2:$C$27,2,FALSE)</f>
        <v>Socks</v>
      </c>
      <c r="R1370" s="7">
        <f t="shared" si="170"/>
        <v>1606.66</v>
      </c>
    </row>
    <row r="1371" spans="1:18" ht="21.75" customHeight="1">
      <c r="A1371" t="s">
        <v>1522</v>
      </c>
      <c r="B1371" s="6">
        <v>45412</v>
      </c>
      <c r="C1371" t="s">
        <v>422</v>
      </c>
      <c r="D1371" t="s">
        <v>74</v>
      </c>
      <c r="E1371" t="s">
        <v>11</v>
      </c>
      <c r="F1371" t="s">
        <v>56</v>
      </c>
      <c r="G1371" t="s">
        <v>28</v>
      </c>
      <c r="H1371">
        <v>1</v>
      </c>
      <c r="I1371" t="str">
        <f>VLOOKUP(D1371,Product_Lookup!$A$2:$C$27,3,FALSE)</f>
        <v>$201.32</v>
      </c>
      <c r="J1371" t="str">
        <f t="shared" si="171"/>
        <v>Tuesday</v>
      </c>
      <c r="K1371" s="10" t="str">
        <f t="shared" si="172"/>
        <v>April</v>
      </c>
      <c r="L1371">
        <f t="shared" si="173"/>
        <v>2024</v>
      </c>
      <c r="M1371" t="b">
        <f t="shared" si="174"/>
        <v>0</v>
      </c>
      <c r="N1371" t="b">
        <f t="shared" si="168"/>
        <v>0</v>
      </c>
      <c r="O1371" t="str">
        <f t="shared" si="175"/>
        <v>Standard order</v>
      </c>
      <c r="P1371" s="7">
        <f t="shared" si="169"/>
        <v>10.066000000000001</v>
      </c>
      <c r="Q1371" s="7" t="str">
        <f>VLOOKUP(D1372,Product_Lookup!$A$2:$C$27,2,FALSE)</f>
        <v>Doll</v>
      </c>
      <c r="R1371" s="7">
        <f t="shared" si="170"/>
        <v>201.32</v>
      </c>
    </row>
    <row r="1372" spans="1:18" ht="21.75" customHeight="1">
      <c r="A1372" t="s">
        <v>1523</v>
      </c>
      <c r="B1372" s="6">
        <v>45535</v>
      </c>
      <c r="C1372" t="s">
        <v>594</v>
      </c>
      <c r="D1372" t="s">
        <v>119</v>
      </c>
      <c r="E1372" t="s">
        <v>11</v>
      </c>
      <c r="F1372" t="s">
        <v>27</v>
      </c>
      <c r="G1372" t="s">
        <v>23</v>
      </c>
      <c r="H1372">
        <v>19</v>
      </c>
      <c r="I1372" t="str">
        <f>VLOOKUP(D1372,Product_Lookup!$A$2:$C$27,3,FALSE)</f>
        <v>$32.94</v>
      </c>
      <c r="J1372" t="str">
        <f t="shared" si="171"/>
        <v>Saturday</v>
      </c>
      <c r="K1372" s="10" t="str">
        <f t="shared" si="172"/>
        <v>August</v>
      </c>
      <c r="L1372">
        <f t="shared" si="173"/>
        <v>2024</v>
      </c>
      <c r="M1372" t="b">
        <f t="shared" si="174"/>
        <v>1</v>
      </c>
      <c r="N1372" t="b">
        <f t="shared" si="168"/>
        <v>0</v>
      </c>
      <c r="O1372" t="str">
        <f t="shared" si="175"/>
        <v>Large Order</v>
      </c>
      <c r="P1372" s="7">
        <f t="shared" si="169"/>
        <v>1.647</v>
      </c>
      <c r="Q1372" s="7" t="str">
        <f>VLOOKUP(D1373,Product_Lookup!$A$2:$C$27,2,FALSE)</f>
        <v>Stapler</v>
      </c>
      <c r="R1372" s="7">
        <f t="shared" si="170"/>
        <v>625.8599999999999</v>
      </c>
    </row>
    <row r="1373" spans="1:18" ht="21.75" customHeight="1">
      <c r="A1373" t="s">
        <v>1524</v>
      </c>
      <c r="B1373" s="6">
        <v>45648</v>
      </c>
      <c r="C1373" t="s">
        <v>53</v>
      </c>
      <c r="D1373" t="s">
        <v>35</v>
      </c>
      <c r="E1373" t="s">
        <v>17</v>
      </c>
      <c r="F1373" t="s">
        <v>56</v>
      </c>
      <c r="G1373" t="s">
        <v>28</v>
      </c>
      <c r="H1373">
        <v>1</v>
      </c>
      <c r="I1373" t="str">
        <f>VLOOKUP(D1373,Product_Lookup!$A$2:$C$27,3,FALSE)</f>
        <v>$64.61</v>
      </c>
      <c r="J1373" t="str">
        <f t="shared" si="171"/>
        <v>Sunday</v>
      </c>
      <c r="K1373" s="10" t="str">
        <f t="shared" si="172"/>
        <v>December</v>
      </c>
      <c r="L1373">
        <f t="shared" si="173"/>
        <v>2024</v>
      </c>
      <c r="M1373" t="b">
        <f t="shared" si="174"/>
        <v>1</v>
      </c>
      <c r="N1373" t="b">
        <f t="shared" si="168"/>
        <v>0</v>
      </c>
      <c r="O1373" t="str">
        <f t="shared" si="175"/>
        <v>Standard order</v>
      </c>
      <c r="P1373" s="7">
        <f t="shared" si="169"/>
        <v>3.2305000000000001</v>
      </c>
      <c r="Q1373" s="7" t="str">
        <f>VLOOKUP(D1374,Product_Lookup!$A$2:$C$27,2,FALSE)</f>
        <v>Vacuum</v>
      </c>
      <c r="R1373" s="7">
        <f t="shared" si="170"/>
        <v>64.61</v>
      </c>
    </row>
    <row r="1374" spans="1:18" ht="21.75" customHeight="1">
      <c r="A1374" t="s">
        <v>1525</v>
      </c>
      <c r="B1374" s="6">
        <v>45346</v>
      </c>
      <c r="C1374" t="s">
        <v>420</v>
      </c>
      <c r="D1374" t="s">
        <v>87</v>
      </c>
      <c r="E1374" t="s">
        <v>11</v>
      </c>
      <c r="F1374" t="s">
        <v>56</v>
      </c>
      <c r="G1374" t="s">
        <v>36</v>
      </c>
      <c r="H1374">
        <v>15</v>
      </c>
      <c r="I1374" t="str">
        <f>VLOOKUP(D1374,Product_Lookup!$A$2:$C$27,3,FALSE)</f>
        <v>$26.59</v>
      </c>
      <c r="J1374" t="str">
        <f t="shared" si="171"/>
        <v>Saturday</v>
      </c>
      <c r="K1374" s="10" t="str">
        <f t="shared" si="172"/>
        <v>February</v>
      </c>
      <c r="L1374">
        <f t="shared" si="173"/>
        <v>2024</v>
      </c>
      <c r="M1374" t="b">
        <f t="shared" si="174"/>
        <v>1</v>
      </c>
      <c r="N1374" t="b">
        <f t="shared" si="168"/>
        <v>0</v>
      </c>
      <c r="O1374" t="str">
        <f t="shared" si="175"/>
        <v>Standard order</v>
      </c>
      <c r="P1374" s="7">
        <f t="shared" si="169"/>
        <v>1.3295000000000001</v>
      </c>
      <c r="Q1374" s="7" t="str">
        <f>VLOOKUP(D1375,Product_Lookup!$A$2:$C$27,2,FALSE)</f>
        <v>Air Fryer</v>
      </c>
      <c r="R1374" s="7">
        <f t="shared" si="170"/>
        <v>398.85</v>
      </c>
    </row>
    <row r="1375" spans="1:18" ht="21.75" customHeight="1">
      <c r="A1375" t="s">
        <v>1526</v>
      </c>
      <c r="B1375" s="6">
        <v>45419</v>
      </c>
      <c r="C1375" t="s">
        <v>114</v>
      </c>
      <c r="D1375" t="s">
        <v>70</v>
      </c>
      <c r="E1375" t="s">
        <v>11</v>
      </c>
      <c r="F1375" t="s">
        <v>27</v>
      </c>
      <c r="G1375" t="s">
        <v>36</v>
      </c>
      <c r="H1375">
        <v>18</v>
      </c>
      <c r="I1375" t="str">
        <f>VLOOKUP(D1375,Product_Lookup!$A$2:$C$27,3,FALSE)</f>
        <v>$211.9</v>
      </c>
      <c r="J1375" t="str">
        <f t="shared" si="171"/>
        <v>Tuesday</v>
      </c>
      <c r="K1375" s="10" t="str">
        <f t="shared" si="172"/>
        <v>May</v>
      </c>
      <c r="L1375">
        <f t="shared" si="173"/>
        <v>2024</v>
      </c>
      <c r="M1375" t="b">
        <f t="shared" si="174"/>
        <v>0</v>
      </c>
      <c r="N1375" t="b">
        <f t="shared" si="168"/>
        <v>1</v>
      </c>
      <c r="O1375" t="str">
        <f t="shared" si="175"/>
        <v>Large Order</v>
      </c>
      <c r="P1375" s="7">
        <f t="shared" si="169"/>
        <v>10.595000000000001</v>
      </c>
      <c r="Q1375" s="7" t="str">
        <f>VLOOKUP(D1376,Product_Lookup!$A$2:$C$27,2,FALSE)</f>
        <v>Lego Set</v>
      </c>
      <c r="R1375" s="7">
        <f t="shared" si="170"/>
        <v>3814.2000000000003</v>
      </c>
    </row>
    <row r="1376" spans="1:18" ht="21.75" customHeight="1">
      <c r="A1376" t="s">
        <v>1527</v>
      </c>
      <c r="B1376" s="6">
        <v>45518</v>
      </c>
      <c r="C1376" t="s">
        <v>594</v>
      </c>
      <c r="D1376" t="s">
        <v>84</v>
      </c>
      <c r="E1376" t="s">
        <v>22</v>
      </c>
      <c r="F1376" t="s">
        <v>27</v>
      </c>
      <c r="G1376" t="s">
        <v>36</v>
      </c>
      <c r="H1376">
        <v>15</v>
      </c>
      <c r="I1376" t="str">
        <f>VLOOKUP(D1376,Product_Lookup!$A$2:$C$27,3,FALSE)</f>
        <v>$130.07</v>
      </c>
      <c r="J1376" t="str">
        <f t="shared" si="171"/>
        <v>Wednesday</v>
      </c>
      <c r="K1376" s="10" t="str">
        <f t="shared" si="172"/>
        <v>August</v>
      </c>
      <c r="L1376">
        <f t="shared" si="173"/>
        <v>2024</v>
      </c>
      <c r="M1376" t="b">
        <f t="shared" si="174"/>
        <v>0</v>
      </c>
      <c r="N1376" t="b">
        <f t="shared" si="168"/>
        <v>1</v>
      </c>
      <c r="O1376" t="str">
        <f t="shared" si="175"/>
        <v>Large Order</v>
      </c>
      <c r="P1376" s="7">
        <f t="shared" si="169"/>
        <v>6.5034999999999998</v>
      </c>
      <c r="Q1376" s="7" t="str">
        <f>VLOOKUP(D1377,Product_Lookup!$A$2:$C$27,2,FALSE)</f>
        <v>Sweater</v>
      </c>
      <c r="R1376" s="7">
        <f t="shared" si="170"/>
        <v>1951.05</v>
      </c>
    </row>
    <row r="1377" spans="1:18" ht="21.75" customHeight="1">
      <c r="A1377" t="s">
        <v>1528</v>
      </c>
      <c r="B1377" s="6">
        <v>45535</v>
      </c>
      <c r="C1377" t="s">
        <v>430</v>
      </c>
      <c r="D1377" t="s">
        <v>26</v>
      </c>
      <c r="E1377" t="s">
        <v>11</v>
      </c>
      <c r="F1377" t="s">
        <v>42</v>
      </c>
      <c r="G1377" t="s">
        <v>36</v>
      </c>
      <c r="H1377">
        <v>16</v>
      </c>
      <c r="I1377" t="str">
        <f>VLOOKUP(D1377,Product_Lookup!$A$2:$C$27,3,FALSE)</f>
        <v>$84.57</v>
      </c>
      <c r="J1377" t="str">
        <f t="shared" si="171"/>
        <v>Saturday</v>
      </c>
      <c r="K1377" s="10" t="str">
        <f t="shared" si="172"/>
        <v>August</v>
      </c>
      <c r="L1377">
        <f t="shared" si="173"/>
        <v>2024</v>
      </c>
      <c r="M1377" t="b">
        <f t="shared" si="174"/>
        <v>1</v>
      </c>
      <c r="N1377" t="b">
        <f t="shared" si="168"/>
        <v>1</v>
      </c>
      <c r="O1377" t="str">
        <f t="shared" si="175"/>
        <v>Large Order</v>
      </c>
      <c r="P1377" s="7">
        <f t="shared" si="169"/>
        <v>4.2284999999999995</v>
      </c>
      <c r="Q1377" s="7" t="str">
        <f>VLOOKUP(D1378,Product_Lookup!$A$2:$C$27,2,FALSE)</f>
        <v>Tablet</v>
      </c>
      <c r="R1377" s="7">
        <f t="shared" si="170"/>
        <v>1353.12</v>
      </c>
    </row>
    <row r="1378" spans="1:18" ht="21.75" customHeight="1">
      <c r="A1378" t="s">
        <v>1529</v>
      </c>
      <c r="B1378" s="6">
        <v>45432</v>
      </c>
      <c r="C1378" t="s">
        <v>396</v>
      </c>
      <c r="D1378" t="s">
        <v>10</v>
      </c>
      <c r="E1378" t="s">
        <v>22</v>
      </c>
      <c r="F1378" t="s">
        <v>42</v>
      </c>
      <c r="G1378" t="s">
        <v>28</v>
      </c>
      <c r="H1378">
        <v>9</v>
      </c>
      <c r="I1378" t="str">
        <f>VLOOKUP(D1378,Product_Lookup!$A$2:$C$27,3,FALSE)</f>
        <v>$146.06</v>
      </c>
      <c r="J1378" t="str">
        <f t="shared" si="171"/>
        <v>Monday</v>
      </c>
      <c r="K1378" s="10" t="str">
        <f t="shared" si="172"/>
        <v>May</v>
      </c>
      <c r="L1378">
        <f t="shared" si="173"/>
        <v>2024</v>
      </c>
      <c r="M1378" t="b">
        <f t="shared" si="174"/>
        <v>0</v>
      </c>
      <c r="N1378" t="b">
        <f t="shared" si="168"/>
        <v>1</v>
      </c>
      <c r="O1378" t="str">
        <f t="shared" si="175"/>
        <v>Large Order</v>
      </c>
      <c r="P1378" s="7">
        <f t="shared" si="169"/>
        <v>7.3030000000000008</v>
      </c>
      <c r="Q1378" s="7" t="str">
        <f>VLOOKUP(D1379,Product_Lookup!$A$2:$C$27,2,FALSE)</f>
        <v>Headphones</v>
      </c>
      <c r="R1378" s="7">
        <f t="shared" si="170"/>
        <v>1314.54</v>
      </c>
    </row>
    <row r="1379" spans="1:18" ht="21.75" customHeight="1">
      <c r="A1379" t="s">
        <v>1530</v>
      </c>
      <c r="B1379" s="6">
        <v>45568</v>
      </c>
      <c r="C1379" t="s">
        <v>81</v>
      </c>
      <c r="D1379" t="s">
        <v>16</v>
      </c>
      <c r="E1379" t="s">
        <v>11</v>
      </c>
      <c r="F1379" t="s">
        <v>56</v>
      </c>
      <c r="G1379" t="s">
        <v>23</v>
      </c>
      <c r="H1379">
        <v>5</v>
      </c>
      <c r="I1379" t="str">
        <f>VLOOKUP(D1379,Product_Lookup!$A$2:$C$27,3,FALSE)</f>
        <v>$178.83</v>
      </c>
      <c r="J1379" t="str">
        <f t="shared" si="171"/>
        <v>Thursday</v>
      </c>
      <c r="K1379" s="10" t="str">
        <f t="shared" si="172"/>
        <v>October</v>
      </c>
      <c r="L1379">
        <f t="shared" si="173"/>
        <v>2024</v>
      </c>
      <c r="M1379" t="b">
        <f t="shared" si="174"/>
        <v>0</v>
      </c>
      <c r="N1379" t="b">
        <f t="shared" si="168"/>
        <v>0</v>
      </c>
      <c r="O1379" t="str">
        <f t="shared" si="175"/>
        <v>Large Order</v>
      </c>
      <c r="P1379" s="7">
        <f t="shared" si="169"/>
        <v>8.9415000000000013</v>
      </c>
      <c r="Q1379" s="7" t="str">
        <f>VLOOKUP(D1380,Product_Lookup!$A$2:$C$27,2,FALSE)</f>
        <v>Vacuum</v>
      </c>
      <c r="R1379" s="7">
        <f t="shared" si="170"/>
        <v>894.15000000000009</v>
      </c>
    </row>
    <row r="1380" spans="1:18" ht="21.75" customHeight="1">
      <c r="A1380" t="s">
        <v>1531</v>
      </c>
      <c r="B1380" s="6">
        <v>45324</v>
      </c>
      <c r="C1380" t="s">
        <v>572</v>
      </c>
      <c r="D1380" t="s">
        <v>87</v>
      </c>
      <c r="E1380" t="s">
        <v>17</v>
      </c>
      <c r="F1380" t="s">
        <v>306</v>
      </c>
      <c r="G1380" t="s">
        <v>23</v>
      </c>
      <c r="H1380">
        <v>14</v>
      </c>
      <c r="I1380" t="str">
        <f>VLOOKUP(D1380,Product_Lookup!$A$2:$C$27,3,FALSE)</f>
        <v>$26.59</v>
      </c>
      <c r="J1380" t="str">
        <f t="shared" si="171"/>
        <v>Friday</v>
      </c>
      <c r="K1380" s="10" t="str">
        <f t="shared" si="172"/>
        <v>February</v>
      </c>
      <c r="L1380">
        <f t="shared" si="173"/>
        <v>2024</v>
      </c>
      <c r="M1380" t="b">
        <f t="shared" si="174"/>
        <v>0</v>
      </c>
      <c r="N1380" t="b">
        <f t="shared" si="168"/>
        <v>0</v>
      </c>
      <c r="O1380" t="str">
        <f t="shared" si="175"/>
        <v>Standard order</v>
      </c>
      <c r="P1380" s="7">
        <f t="shared" si="169"/>
        <v>1.3295000000000001</v>
      </c>
      <c r="Q1380" s="7" t="str">
        <f>VLOOKUP(D1381,Product_Lookup!$A$2:$C$27,2,FALSE)</f>
        <v>Doll</v>
      </c>
      <c r="R1380" s="7">
        <f t="shared" si="170"/>
        <v>372.26</v>
      </c>
    </row>
    <row r="1381" spans="1:18" ht="21.75" customHeight="1">
      <c r="A1381" t="s">
        <v>1532</v>
      </c>
      <c r="B1381" s="6">
        <v>45507</v>
      </c>
      <c r="C1381" t="s">
        <v>53</v>
      </c>
      <c r="D1381" t="s">
        <v>119</v>
      </c>
      <c r="E1381" t="s">
        <v>22</v>
      </c>
      <c r="F1381" t="s">
        <v>12</v>
      </c>
      <c r="G1381" t="s">
        <v>36</v>
      </c>
      <c r="H1381">
        <v>13</v>
      </c>
      <c r="I1381" t="str">
        <f>VLOOKUP(D1381,Product_Lookup!$A$2:$C$27,3,FALSE)</f>
        <v>$32.94</v>
      </c>
      <c r="J1381" t="str">
        <f t="shared" si="171"/>
        <v>Saturday</v>
      </c>
      <c r="K1381" s="10" t="str">
        <f t="shared" si="172"/>
        <v>August</v>
      </c>
      <c r="L1381">
        <f t="shared" si="173"/>
        <v>2024</v>
      </c>
      <c r="M1381" t="b">
        <f t="shared" si="174"/>
        <v>1</v>
      </c>
      <c r="N1381" t="b">
        <f t="shared" si="168"/>
        <v>0</v>
      </c>
      <c r="O1381" t="str">
        <f t="shared" si="175"/>
        <v>Standard order</v>
      </c>
      <c r="P1381" s="7">
        <f t="shared" si="169"/>
        <v>1.647</v>
      </c>
      <c r="Q1381" s="7" t="str">
        <f>VLOOKUP(D1382,Product_Lookup!$A$2:$C$27,2,FALSE)</f>
        <v>Doll</v>
      </c>
      <c r="R1381" s="7">
        <f t="shared" si="170"/>
        <v>428.21999999999997</v>
      </c>
    </row>
    <row r="1382" spans="1:18" ht="21.75" customHeight="1">
      <c r="A1382" t="s">
        <v>1533</v>
      </c>
      <c r="B1382" s="6">
        <v>45472</v>
      </c>
      <c r="C1382" t="s">
        <v>68</v>
      </c>
      <c r="D1382" t="s">
        <v>119</v>
      </c>
      <c r="E1382" t="s">
        <v>17</v>
      </c>
      <c r="F1382" t="s">
        <v>27</v>
      </c>
      <c r="G1382" t="s">
        <v>36</v>
      </c>
      <c r="H1382">
        <v>18</v>
      </c>
      <c r="I1382" t="str">
        <f>VLOOKUP(D1382,Product_Lookup!$A$2:$C$27,3,FALSE)</f>
        <v>$32.94</v>
      </c>
      <c r="J1382" t="str">
        <f t="shared" si="171"/>
        <v>Saturday</v>
      </c>
      <c r="K1382" s="10" t="str">
        <f t="shared" si="172"/>
        <v>June</v>
      </c>
      <c r="L1382">
        <f t="shared" si="173"/>
        <v>2024</v>
      </c>
      <c r="M1382" t="b">
        <f t="shared" si="174"/>
        <v>1</v>
      </c>
      <c r="N1382" t="b">
        <f t="shared" si="168"/>
        <v>0</v>
      </c>
      <c r="O1382" t="str">
        <f t="shared" si="175"/>
        <v>Large Order</v>
      </c>
      <c r="P1382" s="7">
        <f t="shared" si="169"/>
        <v>1.647</v>
      </c>
      <c r="Q1382" s="7" t="str">
        <f>VLOOKUP(D1383,Product_Lookup!$A$2:$C$27,2,FALSE)</f>
        <v>Jacket</v>
      </c>
      <c r="R1382" s="7">
        <f t="shared" si="170"/>
        <v>592.91999999999996</v>
      </c>
    </row>
    <row r="1383" spans="1:18" ht="21.75" customHeight="1">
      <c r="A1383" t="s">
        <v>1534</v>
      </c>
      <c r="B1383" s="6">
        <v>45404</v>
      </c>
      <c r="C1383" t="s">
        <v>374</v>
      </c>
      <c r="D1383" t="s">
        <v>197</v>
      </c>
      <c r="E1383" t="s">
        <v>17</v>
      </c>
      <c r="F1383" t="s">
        <v>27</v>
      </c>
      <c r="G1383" t="s">
        <v>23</v>
      </c>
      <c r="H1383">
        <v>1</v>
      </c>
      <c r="I1383" t="str">
        <f>VLOOKUP(D1383,Product_Lookup!$A$2:$C$27,3,FALSE)</f>
        <v>$10.11</v>
      </c>
      <c r="J1383" t="str">
        <f t="shared" si="171"/>
        <v>Monday</v>
      </c>
      <c r="K1383" s="10" t="str">
        <f t="shared" si="172"/>
        <v>April</v>
      </c>
      <c r="L1383">
        <f t="shared" si="173"/>
        <v>2024</v>
      </c>
      <c r="M1383" t="b">
        <f t="shared" si="174"/>
        <v>0</v>
      </c>
      <c r="N1383" t="b">
        <f t="shared" si="168"/>
        <v>0</v>
      </c>
      <c r="O1383" t="str">
        <f t="shared" si="175"/>
        <v>Standard order</v>
      </c>
      <c r="P1383" s="7">
        <f t="shared" si="169"/>
        <v>0.50549999999999995</v>
      </c>
      <c r="Q1383" s="7" t="str">
        <f>VLOOKUP(D1384,Product_Lookup!$A$2:$C$27,2,FALSE)</f>
        <v>Coffee Maker</v>
      </c>
      <c r="R1383" s="7">
        <f t="shared" si="170"/>
        <v>10.11</v>
      </c>
    </row>
    <row r="1384" spans="1:18" ht="21.75" customHeight="1">
      <c r="A1384" t="s">
        <v>1535</v>
      </c>
      <c r="B1384" s="6">
        <v>45634</v>
      </c>
      <c r="C1384" t="s">
        <v>422</v>
      </c>
      <c r="D1384" t="s">
        <v>31</v>
      </c>
      <c r="E1384" t="s">
        <v>22</v>
      </c>
      <c r="F1384" t="s">
        <v>56</v>
      </c>
      <c r="G1384" t="s">
        <v>23</v>
      </c>
      <c r="H1384">
        <v>5</v>
      </c>
      <c r="I1384" t="str">
        <f>VLOOKUP(D1384,Product_Lookup!$A$2:$C$27,3,FALSE)</f>
        <v>$230.34</v>
      </c>
      <c r="J1384" t="str">
        <f t="shared" si="171"/>
        <v>Sunday</v>
      </c>
      <c r="K1384" s="10" t="str">
        <f t="shared" si="172"/>
        <v>December</v>
      </c>
      <c r="L1384">
        <f t="shared" si="173"/>
        <v>2024</v>
      </c>
      <c r="M1384" t="b">
        <f t="shared" si="174"/>
        <v>1</v>
      </c>
      <c r="N1384" t="b">
        <f t="shared" si="168"/>
        <v>0</v>
      </c>
      <c r="O1384" t="str">
        <f t="shared" si="175"/>
        <v>Large Order</v>
      </c>
      <c r="P1384" s="7">
        <f t="shared" si="169"/>
        <v>11.517000000000001</v>
      </c>
      <c r="Q1384" s="7" t="str">
        <f>VLOOKUP(D1385,Product_Lookup!$A$2:$C$27,2,FALSE)</f>
        <v>Coffee Maker</v>
      </c>
      <c r="R1384" s="7">
        <f t="shared" si="170"/>
        <v>1151.7</v>
      </c>
    </row>
    <row r="1385" spans="1:18" ht="21.75" customHeight="1">
      <c r="A1385" t="s">
        <v>1536</v>
      </c>
      <c r="B1385" s="6">
        <v>45565</v>
      </c>
      <c r="C1385" t="s">
        <v>64</v>
      </c>
      <c r="D1385" t="s">
        <v>31</v>
      </c>
      <c r="E1385" t="s">
        <v>22</v>
      </c>
      <c r="F1385" t="s">
        <v>306</v>
      </c>
      <c r="G1385" t="s">
        <v>13</v>
      </c>
      <c r="H1385">
        <v>3</v>
      </c>
      <c r="I1385" t="str">
        <f>VLOOKUP(D1385,Product_Lookup!$A$2:$C$27,3,FALSE)</f>
        <v>$230.34</v>
      </c>
      <c r="J1385" t="str">
        <f t="shared" si="171"/>
        <v>Monday</v>
      </c>
      <c r="K1385" s="10" t="str">
        <f t="shared" si="172"/>
        <v>September</v>
      </c>
      <c r="L1385">
        <f t="shared" si="173"/>
        <v>2024</v>
      </c>
      <c r="M1385" t="b">
        <f t="shared" si="174"/>
        <v>0</v>
      </c>
      <c r="N1385" t="b">
        <f t="shared" si="168"/>
        <v>0</v>
      </c>
      <c r="O1385" t="str">
        <f t="shared" si="175"/>
        <v>Large Order</v>
      </c>
      <c r="P1385" s="7">
        <f t="shared" si="169"/>
        <v>11.517000000000001</v>
      </c>
      <c r="Q1385" s="7" t="str">
        <f>VLOOKUP(D1386,Product_Lookup!$A$2:$C$27,2,FALSE)</f>
        <v>T-Shirt</v>
      </c>
      <c r="R1385" s="7">
        <f t="shared" si="170"/>
        <v>691.02</v>
      </c>
    </row>
    <row r="1386" spans="1:18" ht="21.75" customHeight="1">
      <c r="A1386" t="s">
        <v>1537</v>
      </c>
      <c r="B1386" s="6">
        <v>45361</v>
      </c>
      <c r="C1386" t="s">
        <v>319</v>
      </c>
      <c r="D1386" t="s">
        <v>45</v>
      </c>
      <c r="E1386" t="s">
        <v>11</v>
      </c>
      <c r="F1386" t="s">
        <v>42</v>
      </c>
      <c r="G1386" t="s">
        <v>23</v>
      </c>
      <c r="H1386">
        <v>11</v>
      </c>
      <c r="I1386" t="str">
        <f>VLOOKUP(D1386,Product_Lookup!$A$2:$C$27,3,FALSE)</f>
        <v>$107.34</v>
      </c>
      <c r="J1386" t="str">
        <f t="shared" si="171"/>
        <v>Sunday</v>
      </c>
      <c r="K1386" s="10" t="str">
        <f t="shared" si="172"/>
        <v>March</v>
      </c>
      <c r="L1386">
        <f t="shared" si="173"/>
        <v>2024</v>
      </c>
      <c r="M1386" t="b">
        <f t="shared" si="174"/>
        <v>1</v>
      </c>
      <c r="N1386" t="b">
        <f t="shared" si="168"/>
        <v>1</v>
      </c>
      <c r="O1386" t="str">
        <f t="shared" si="175"/>
        <v>Large Order</v>
      </c>
      <c r="P1386" s="7">
        <f t="shared" si="169"/>
        <v>5.3670000000000009</v>
      </c>
      <c r="Q1386" s="7" t="str">
        <f>VLOOKUP(D1387,Product_Lookup!$A$2:$C$27,2,FALSE)</f>
        <v>Doll</v>
      </c>
      <c r="R1386" s="7">
        <f t="shared" si="170"/>
        <v>1180.74</v>
      </c>
    </row>
    <row r="1387" spans="1:18" ht="21.75" customHeight="1">
      <c r="A1387" t="s">
        <v>1538</v>
      </c>
      <c r="B1387" s="6">
        <v>45459</v>
      </c>
      <c r="C1387" t="s">
        <v>47</v>
      </c>
      <c r="D1387" t="s">
        <v>119</v>
      </c>
      <c r="E1387" t="s">
        <v>17</v>
      </c>
      <c r="F1387" t="s">
        <v>42</v>
      </c>
      <c r="G1387" t="s">
        <v>23</v>
      </c>
      <c r="H1387">
        <v>9</v>
      </c>
      <c r="I1387" t="str">
        <f>VLOOKUP(D1387,Product_Lookup!$A$2:$C$27,3,FALSE)</f>
        <v>$32.94</v>
      </c>
      <c r="J1387" t="str">
        <f t="shared" si="171"/>
        <v>Sunday</v>
      </c>
      <c r="K1387" s="10" t="str">
        <f t="shared" si="172"/>
        <v>June</v>
      </c>
      <c r="L1387">
        <f t="shared" si="173"/>
        <v>2024</v>
      </c>
      <c r="M1387" t="b">
        <f t="shared" si="174"/>
        <v>1</v>
      </c>
      <c r="N1387" t="b">
        <f t="shared" si="168"/>
        <v>0</v>
      </c>
      <c r="O1387" t="str">
        <f t="shared" si="175"/>
        <v>Standard order</v>
      </c>
      <c r="P1387" s="7">
        <f t="shared" si="169"/>
        <v>1.647</v>
      </c>
      <c r="Q1387" s="7" t="str">
        <f>VLOOKUP(D1388,Product_Lookup!$A$2:$C$27,2,FALSE)</f>
        <v>Lego Set</v>
      </c>
      <c r="R1387" s="7">
        <f t="shared" si="170"/>
        <v>296.45999999999998</v>
      </c>
    </row>
    <row r="1388" spans="1:18" ht="21.75" customHeight="1">
      <c r="A1388" t="s">
        <v>1539</v>
      </c>
      <c r="B1388" s="6">
        <v>45532</v>
      </c>
      <c r="C1388" t="s">
        <v>138</v>
      </c>
      <c r="D1388" t="s">
        <v>84</v>
      </c>
      <c r="E1388" t="s">
        <v>22</v>
      </c>
      <c r="F1388" t="s">
        <v>12</v>
      </c>
      <c r="G1388" t="s">
        <v>32</v>
      </c>
      <c r="H1388">
        <v>8</v>
      </c>
      <c r="I1388" t="str">
        <f>VLOOKUP(D1388,Product_Lookup!$A$2:$C$27,3,FALSE)</f>
        <v>$130.07</v>
      </c>
      <c r="J1388" t="str">
        <f t="shared" si="171"/>
        <v>Wednesday</v>
      </c>
      <c r="K1388" s="10" t="str">
        <f t="shared" si="172"/>
        <v>August</v>
      </c>
      <c r="L1388">
        <f t="shared" si="173"/>
        <v>2024</v>
      </c>
      <c r="M1388" t="b">
        <f t="shared" si="174"/>
        <v>0</v>
      </c>
      <c r="N1388" t="b">
        <f t="shared" si="168"/>
        <v>1</v>
      </c>
      <c r="O1388" t="str">
        <f t="shared" si="175"/>
        <v>Large Order</v>
      </c>
      <c r="P1388" s="7">
        <f t="shared" si="169"/>
        <v>6.5034999999999998</v>
      </c>
      <c r="Q1388" s="7" t="str">
        <f>VLOOKUP(D1389,Product_Lookup!$A$2:$C$27,2,FALSE)</f>
        <v>Doll</v>
      </c>
      <c r="R1388" s="7">
        <f t="shared" si="170"/>
        <v>1040.56</v>
      </c>
    </row>
    <row r="1389" spans="1:18" ht="21.75" customHeight="1">
      <c r="A1389" t="s">
        <v>1540</v>
      </c>
      <c r="B1389" s="6">
        <v>45625</v>
      </c>
      <c r="C1389" t="s">
        <v>116</v>
      </c>
      <c r="D1389" t="s">
        <v>119</v>
      </c>
      <c r="E1389" t="s">
        <v>11</v>
      </c>
      <c r="F1389" t="s">
        <v>56</v>
      </c>
      <c r="G1389" t="s">
        <v>28</v>
      </c>
      <c r="H1389">
        <v>1</v>
      </c>
      <c r="I1389" t="str">
        <f>VLOOKUP(D1389,Product_Lookup!$A$2:$C$27,3,FALSE)</f>
        <v>$32.94</v>
      </c>
      <c r="J1389" t="str">
        <f t="shared" si="171"/>
        <v>Friday</v>
      </c>
      <c r="K1389" s="10" t="str">
        <f t="shared" si="172"/>
        <v>November</v>
      </c>
      <c r="L1389">
        <f t="shared" si="173"/>
        <v>2024</v>
      </c>
      <c r="M1389" t="b">
        <f t="shared" si="174"/>
        <v>0</v>
      </c>
      <c r="N1389" t="b">
        <f t="shared" si="168"/>
        <v>0</v>
      </c>
      <c r="O1389" t="str">
        <f t="shared" si="175"/>
        <v>Standard order</v>
      </c>
      <c r="P1389" s="7">
        <f t="shared" si="169"/>
        <v>1.647</v>
      </c>
      <c r="Q1389" s="7" t="str">
        <f>VLOOKUP(D1390,Product_Lookup!$A$2:$C$27,2,FALSE)</f>
        <v>Stapler</v>
      </c>
      <c r="R1389" s="7">
        <f t="shared" si="170"/>
        <v>32.94</v>
      </c>
    </row>
    <row r="1390" spans="1:18" ht="21.75" customHeight="1">
      <c r="A1390" t="s">
        <v>1541</v>
      </c>
      <c r="B1390" s="6">
        <v>45414</v>
      </c>
      <c r="C1390" t="s">
        <v>34</v>
      </c>
      <c r="D1390" t="s">
        <v>35</v>
      </c>
      <c r="E1390" t="s">
        <v>22</v>
      </c>
      <c r="F1390" t="s">
        <v>12</v>
      </c>
      <c r="G1390" t="s">
        <v>36</v>
      </c>
      <c r="H1390">
        <v>7</v>
      </c>
      <c r="I1390" t="str">
        <f>VLOOKUP(D1390,Product_Lookup!$A$2:$C$27,3,FALSE)</f>
        <v>$64.61</v>
      </c>
      <c r="J1390" t="str">
        <f t="shared" si="171"/>
        <v>Thursday</v>
      </c>
      <c r="K1390" s="10" t="str">
        <f t="shared" si="172"/>
        <v>May</v>
      </c>
      <c r="L1390">
        <f t="shared" si="173"/>
        <v>2024</v>
      </c>
      <c r="M1390" t="b">
        <f t="shared" si="174"/>
        <v>0</v>
      </c>
      <c r="N1390" t="b">
        <f t="shared" si="168"/>
        <v>0</v>
      </c>
      <c r="O1390" t="str">
        <f t="shared" si="175"/>
        <v>Standard order</v>
      </c>
      <c r="P1390" s="7">
        <f t="shared" si="169"/>
        <v>3.2305000000000001</v>
      </c>
      <c r="Q1390" s="7" t="str">
        <f>VLOOKUP(D1391,Product_Lookup!$A$2:$C$27,2,FALSE)</f>
        <v>Toaster</v>
      </c>
      <c r="R1390" s="7">
        <f t="shared" si="170"/>
        <v>452.27</v>
      </c>
    </row>
    <row r="1391" spans="1:18" ht="21.75" customHeight="1">
      <c r="A1391" t="s">
        <v>1542</v>
      </c>
      <c r="B1391" s="6">
        <v>45423</v>
      </c>
      <c r="C1391" t="s">
        <v>337</v>
      </c>
      <c r="D1391" t="s">
        <v>48</v>
      </c>
      <c r="E1391" t="s">
        <v>11</v>
      </c>
      <c r="F1391" t="s">
        <v>306</v>
      </c>
      <c r="G1391" t="s">
        <v>36</v>
      </c>
      <c r="H1391">
        <v>4</v>
      </c>
      <c r="I1391" t="str">
        <f>VLOOKUP(D1391,Product_Lookup!$A$2:$C$27,3,FALSE)</f>
        <v>$208.85</v>
      </c>
      <c r="J1391" t="str">
        <f t="shared" si="171"/>
        <v>Saturday</v>
      </c>
      <c r="K1391" s="10" t="str">
        <f t="shared" si="172"/>
        <v>May</v>
      </c>
      <c r="L1391">
        <f t="shared" si="173"/>
        <v>2024</v>
      </c>
      <c r="M1391" t="b">
        <f t="shared" si="174"/>
        <v>1</v>
      </c>
      <c r="N1391" t="b">
        <f t="shared" si="168"/>
        <v>0</v>
      </c>
      <c r="O1391" t="str">
        <f t="shared" si="175"/>
        <v>Large Order</v>
      </c>
      <c r="P1391" s="7">
        <f t="shared" si="169"/>
        <v>10.442500000000001</v>
      </c>
      <c r="Q1391" s="7" t="str">
        <f>VLOOKUP(D1392,Product_Lookup!$A$2:$C$27,2,FALSE)</f>
        <v>Monitor</v>
      </c>
      <c r="R1391" s="7">
        <f t="shared" si="170"/>
        <v>835.4</v>
      </c>
    </row>
    <row r="1392" spans="1:18" ht="21.75" customHeight="1">
      <c r="A1392" t="s">
        <v>1543</v>
      </c>
      <c r="B1392" s="6">
        <v>45375</v>
      </c>
      <c r="C1392" t="s">
        <v>147</v>
      </c>
      <c r="D1392" t="s">
        <v>102</v>
      </c>
      <c r="E1392" t="s">
        <v>22</v>
      </c>
      <c r="F1392" t="s">
        <v>12</v>
      </c>
      <c r="G1392" t="s">
        <v>32</v>
      </c>
      <c r="H1392">
        <v>19</v>
      </c>
      <c r="I1392" t="str">
        <f>VLOOKUP(D1392,Product_Lookup!$A$2:$C$27,3,FALSE)</f>
        <v>$145.48</v>
      </c>
      <c r="J1392" t="str">
        <f t="shared" si="171"/>
        <v>Sunday</v>
      </c>
      <c r="K1392" s="10" t="str">
        <f t="shared" si="172"/>
        <v>March</v>
      </c>
      <c r="L1392">
        <f t="shared" si="173"/>
        <v>2024</v>
      </c>
      <c r="M1392" t="b">
        <f t="shared" si="174"/>
        <v>1</v>
      </c>
      <c r="N1392" t="b">
        <f t="shared" si="168"/>
        <v>1</v>
      </c>
      <c r="O1392" t="str">
        <f t="shared" si="175"/>
        <v>Large Order</v>
      </c>
      <c r="P1392" s="7">
        <f t="shared" si="169"/>
        <v>7.274</v>
      </c>
      <c r="Q1392" s="7" t="str">
        <f>VLOOKUP(D1393,Product_Lookup!$A$2:$C$27,2,FALSE)</f>
        <v>Puzzle</v>
      </c>
      <c r="R1392" s="7">
        <f t="shared" si="170"/>
        <v>2764.12</v>
      </c>
    </row>
    <row r="1393" spans="1:18" ht="21.75" customHeight="1">
      <c r="A1393" t="s">
        <v>1544</v>
      </c>
      <c r="B1393" s="6">
        <v>45484</v>
      </c>
      <c r="C1393" t="s">
        <v>106</v>
      </c>
      <c r="D1393" t="s">
        <v>62</v>
      </c>
      <c r="E1393" t="s">
        <v>11</v>
      </c>
      <c r="F1393" t="s">
        <v>12</v>
      </c>
      <c r="G1393" t="s">
        <v>36</v>
      </c>
      <c r="H1393">
        <v>8</v>
      </c>
      <c r="I1393" t="str">
        <f>VLOOKUP(D1393,Product_Lookup!$A$2:$C$27,3,FALSE)</f>
        <v>$46.19</v>
      </c>
      <c r="J1393" t="str">
        <f t="shared" si="171"/>
        <v>Thursday</v>
      </c>
      <c r="K1393" s="10" t="str">
        <f t="shared" si="172"/>
        <v>July</v>
      </c>
      <c r="L1393">
        <f t="shared" si="173"/>
        <v>2024</v>
      </c>
      <c r="M1393" t="b">
        <f t="shared" si="174"/>
        <v>0</v>
      </c>
      <c r="N1393" t="b">
        <f t="shared" si="168"/>
        <v>0</v>
      </c>
      <c r="O1393" t="str">
        <f t="shared" si="175"/>
        <v>Standard order</v>
      </c>
      <c r="P1393" s="7">
        <f t="shared" si="169"/>
        <v>2.3094999999999999</v>
      </c>
      <c r="Q1393" s="7" t="str">
        <f>VLOOKUP(D1394,Product_Lookup!$A$2:$C$27,2,FALSE)</f>
        <v>Paper Shredder</v>
      </c>
      <c r="R1393" s="7">
        <f t="shared" si="170"/>
        <v>369.52</v>
      </c>
    </row>
    <row r="1394" spans="1:18" ht="21.75" customHeight="1">
      <c r="A1394" t="s">
        <v>1545</v>
      </c>
      <c r="B1394" s="6">
        <v>45446</v>
      </c>
      <c r="C1394" t="s">
        <v>455</v>
      </c>
      <c r="D1394" t="s">
        <v>109</v>
      </c>
      <c r="E1394" t="s">
        <v>11</v>
      </c>
      <c r="F1394" t="s">
        <v>306</v>
      </c>
      <c r="G1394" t="s">
        <v>13</v>
      </c>
      <c r="H1394">
        <v>12</v>
      </c>
      <c r="I1394" t="str">
        <f>VLOOKUP(D1394,Product_Lookup!$A$2:$C$27,3,FALSE)</f>
        <v>$81.02</v>
      </c>
      <c r="J1394" t="str">
        <f t="shared" si="171"/>
        <v>Monday</v>
      </c>
      <c r="K1394" s="10" t="str">
        <f t="shared" si="172"/>
        <v>June</v>
      </c>
      <c r="L1394">
        <f t="shared" si="173"/>
        <v>2024</v>
      </c>
      <c r="M1394" t="b">
        <f t="shared" si="174"/>
        <v>0</v>
      </c>
      <c r="N1394" t="b">
        <f t="shared" si="168"/>
        <v>1</v>
      </c>
      <c r="O1394" t="str">
        <f t="shared" si="175"/>
        <v>Large Order</v>
      </c>
      <c r="P1394" s="7">
        <f t="shared" si="169"/>
        <v>4.0510000000000002</v>
      </c>
      <c r="Q1394" s="7" t="str">
        <f>VLOOKUP(D1395,Product_Lookup!$A$2:$C$27,2,FALSE)</f>
        <v>Tablet</v>
      </c>
      <c r="R1394" s="7">
        <f t="shared" si="170"/>
        <v>972.24</v>
      </c>
    </row>
    <row r="1395" spans="1:18" ht="21.75" customHeight="1">
      <c r="A1395" t="s">
        <v>1546</v>
      </c>
      <c r="B1395" s="6">
        <v>45630</v>
      </c>
      <c r="C1395" t="s">
        <v>200</v>
      </c>
      <c r="D1395" t="s">
        <v>10</v>
      </c>
      <c r="E1395" t="s">
        <v>22</v>
      </c>
      <c r="F1395" t="s">
        <v>42</v>
      </c>
      <c r="G1395" t="s">
        <v>13</v>
      </c>
      <c r="H1395">
        <v>14</v>
      </c>
      <c r="I1395" t="str">
        <f>VLOOKUP(D1395,Product_Lookup!$A$2:$C$27,3,FALSE)</f>
        <v>$146.06</v>
      </c>
      <c r="J1395" t="str">
        <f t="shared" si="171"/>
        <v>Wednesday</v>
      </c>
      <c r="K1395" s="10" t="str">
        <f t="shared" si="172"/>
        <v>December</v>
      </c>
      <c r="L1395">
        <f t="shared" si="173"/>
        <v>2024</v>
      </c>
      <c r="M1395" t="b">
        <f t="shared" si="174"/>
        <v>0</v>
      </c>
      <c r="N1395" t="b">
        <f t="shared" si="168"/>
        <v>1</v>
      </c>
      <c r="O1395" t="str">
        <f t="shared" si="175"/>
        <v>Large Order</v>
      </c>
      <c r="P1395" s="7">
        <f t="shared" si="169"/>
        <v>7.3030000000000008</v>
      </c>
      <c r="Q1395" s="7" t="str">
        <f>VLOOKUP(D1396,Product_Lookup!$A$2:$C$27,2,FALSE)</f>
        <v>Toaster</v>
      </c>
      <c r="R1395" s="7">
        <f t="shared" si="170"/>
        <v>2044.8400000000001</v>
      </c>
    </row>
    <row r="1396" spans="1:18" ht="21.75" customHeight="1">
      <c r="A1396" t="s">
        <v>1547</v>
      </c>
      <c r="B1396" s="6">
        <v>45346</v>
      </c>
      <c r="C1396" t="s">
        <v>348</v>
      </c>
      <c r="D1396" t="s">
        <v>48</v>
      </c>
      <c r="E1396" t="s">
        <v>22</v>
      </c>
      <c r="F1396" t="s">
        <v>27</v>
      </c>
      <c r="G1396" t="s">
        <v>28</v>
      </c>
      <c r="H1396">
        <v>14</v>
      </c>
      <c r="I1396" t="str">
        <f>VLOOKUP(D1396,Product_Lookup!$A$2:$C$27,3,FALSE)</f>
        <v>$208.85</v>
      </c>
      <c r="J1396" t="str">
        <f t="shared" si="171"/>
        <v>Saturday</v>
      </c>
      <c r="K1396" s="10" t="str">
        <f t="shared" si="172"/>
        <v>February</v>
      </c>
      <c r="L1396">
        <f t="shared" si="173"/>
        <v>2024</v>
      </c>
      <c r="M1396" t="b">
        <f t="shared" si="174"/>
        <v>1</v>
      </c>
      <c r="N1396" t="b">
        <f t="shared" si="168"/>
        <v>1</v>
      </c>
      <c r="O1396" t="str">
        <f t="shared" si="175"/>
        <v>Large Order</v>
      </c>
      <c r="P1396" s="7">
        <f t="shared" si="169"/>
        <v>10.442500000000001</v>
      </c>
      <c r="Q1396" s="7" t="str">
        <f>VLOOKUP(D1397,Product_Lookup!$A$2:$C$27,2,FALSE)</f>
        <v>Sweater</v>
      </c>
      <c r="R1396" s="7">
        <f t="shared" si="170"/>
        <v>2923.9</v>
      </c>
    </row>
    <row r="1397" spans="1:18" ht="21.75" customHeight="1">
      <c r="A1397" t="s">
        <v>1548</v>
      </c>
      <c r="B1397" s="6">
        <v>45559</v>
      </c>
      <c r="C1397" t="s">
        <v>350</v>
      </c>
      <c r="D1397" t="s">
        <v>26</v>
      </c>
      <c r="E1397" t="s">
        <v>22</v>
      </c>
      <c r="F1397" t="s">
        <v>306</v>
      </c>
      <c r="G1397" t="s">
        <v>23</v>
      </c>
      <c r="H1397">
        <v>15</v>
      </c>
      <c r="I1397" t="str">
        <f>VLOOKUP(D1397,Product_Lookup!$A$2:$C$27,3,FALSE)</f>
        <v>$84.57</v>
      </c>
      <c r="J1397" t="str">
        <f t="shared" si="171"/>
        <v>Tuesday</v>
      </c>
      <c r="K1397" s="10" t="str">
        <f t="shared" si="172"/>
        <v>September</v>
      </c>
      <c r="L1397">
        <f t="shared" si="173"/>
        <v>2024</v>
      </c>
      <c r="M1397" t="b">
        <f t="shared" si="174"/>
        <v>0</v>
      </c>
      <c r="N1397" t="b">
        <f t="shared" si="168"/>
        <v>1</v>
      </c>
      <c r="O1397" t="str">
        <f t="shared" si="175"/>
        <v>Large Order</v>
      </c>
      <c r="P1397" s="7">
        <f t="shared" si="169"/>
        <v>4.2284999999999995</v>
      </c>
      <c r="Q1397" s="7" t="str">
        <f>VLOOKUP(D1398,Product_Lookup!$A$2:$C$27,2,FALSE)</f>
        <v>Blender</v>
      </c>
      <c r="R1397" s="7">
        <f t="shared" si="170"/>
        <v>1268.55</v>
      </c>
    </row>
    <row r="1398" spans="1:18" ht="21.75" customHeight="1">
      <c r="A1398" t="s">
        <v>1549</v>
      </c>
      <c r="B1398" s="6">
        <v>45595</v>
      </c>
      <c r="C1398" t="s">
        <v>101</v>
      </c>
      <c r="D1398" t="s">
        <v>72</v>
      </c>
      <c r="E1398" t="s">
        <v>11</v>
      </c>
      <c r="F1398" t="s">
        <v>12</v>
      </c>
      <c r="G1398" t="s">
        <v>32</v>
      </c>
      <c r="H1398">
        <v>15</v>
      </c>
      <c r="I1398" t="str">
        <f>VLOOKUP(D1398,Product_Lookup!$A$2:$C$27,3,FALSE)</f>
        <v>$156.44</v>
      </c>
      <c r="J1398" t="str">
        <f t="shared" si="171"/>
        <v>Wednesday</v>
      </c>
      <c r="K1398" s="10" t="str">
        <f t="shared" si="172"/>
        <v>October</v>
      </c>
      <c r="L1398">
        <f t="shared" si="173"/>
        <v>2024</v>
      </c>
      <c r="M1398" t="b">
        <f t="shared" si="174"/>
        <v>0</v>
      </c>
      <c r="N1398" t="b">
        <f t="shared" si="168"/>
        <v>1</v>
      </c>
      <c r="O1398" t="str">
        <f t="shared" si="175"/>
        <v>Large Order</v>
      </c>
      <c r="P1398" s="7">
        <f t="shared" si="169"/>
        <v>7.8220000000000001</v>
      </c>
      <c r="Q1398" s="7" t="str">
        <f>VLOOKUP(D1399,Product_Lookup!$A$2:$C$27,2,FALSE)</f>
        <v>Paper Shredder</v>
      </c>
      <c r="R1398" s="7">
        <f t="shared" si="170"/>
        <v>2346.6</v>
      </c>
    </row>
    <row r="1399" spans="1:18" ht="21.75" customHeight="1">
      <c r="A1399" t="s">
        <v>1550</v>
      </c>
      <c r="B1399" s="6">
        <v>45529</v>
      </c>
      <c r="C1399" t="s">
        <v>614</v>
      </c>
      <c r="D1399" t="s">
        <v>109</v>
      </c>
      <c r="E1399" t="s">
        <v>22</v>
      </c>
      <c r="F1399" t="s">
        <v>27</v>
      </c>
      <c r="G1399" t="s">
        <v>32</v>
      </c>
      <c r="H1399">
        <v>1</v>
      </c>
      <c r="I1399" t="str">
        <f>VLOOKUP(D1399,Product_Lookup!$A$2:$C$27,3,FALSE)</f>
        <v>$81.02</v>
      </c>
      <c r="J1399" t="str">
        <f t="shared" si="171"/>
        <v>Sunday</v>
      </c>
      <c r="K1399" s="10" t="str">
        <f t="shared" si="172"/>
        <v>August</v>
      </c>
      <c r="L1399">
        <f t="shared" si="173"/>
        <v>2024</v>
      </c>
      <c r="M1399" t="b">
        <f t="shared" si="174"/>
        <v>1</v>
      </c>
      <c r="N1399" t="b">
        <f t="shared" si="168"/>
        <v>0</v>
      </c>
      <c r="O1399" t="str">
        <f t="shared" si="175"/>
        <v>Standard order</v>
      </c>
      <c r="P1399" s="7">
        <f t="shared" si="169"/>
        <v>4.0510000000000002</v>
      </c>
      <c r="Q1399" s="7" t="str">
        <f>VLOOKUP(D1400,Product_Lookup!$A$2:$C$27,2,FALSE)</f>
        <v>Stapler</v>
      </c>
      <c r="R1399" s="7">
        <f t="shared" si="170"/>
        <v>81.02</v>
      </c>
    </row>
    <row r="1400" spans="1:18" ht="21.75" customHeight="1">
      <c r="A1400" t="s">
        <v>1551</v>
      </c>
      <c r="B1400" s="6">
        <v>45458</v>
      </c>
      <c r="C1400" t="s">
        <v>44</v>
      </c>
      <c r="D1400" t="s">
        <v>35</v>
      </c>
      <c r="E1400" t="s">
        <v>11</v>
      </c>
      <c r="F1400" t="s">
        <v>42</v>
      </c>
      <c r="G1400" t="s">
        <v>32</v>
      </c>
      <c r="H1400">
        <v>11</v>
      </c>
      <c r="I1400" t="str">
        <f>VLOOKUP(D1400,Product_Lookup!$A$2:$C$27,3,FALSE)</f>
        <v>$64.61</v>
      </c>
      <c r="J1400" t="str">
        <f t="shared" si="171"/>
        <v>Saturday</v>
      </c>
      <c r="K1400" s="10" t="str">
        <f t="shared" si="172"/>
        <v>June</v>
      </c>
      <c r="L1400">
        <f t="shared" si="173"/>
        <v>2024</v>
      </c>
      <c r="M1400" t="b">
        <f t="shared" si="174"/>
        <v>1</v>
      </c>
      <c r="N1400" t="b">
        <f t="shared" si="168"/>
        <v>0</v>
      </c>
      <c r="O1400" t="str">
        <f t="shared" si="175"/>
        <v>Large Order</v>
      </c>
      <c r="P1400" s="7">
        <f t="shared" si="169"/>
        <v>3.2305000000000001</v>
      </c>
      <c r="Q1400" s="7" t="str">
        <f>VLOOKUP(D1401,Product_Lookup!$A$2:$C$27,2,FALSE)</f>
        <v>Sweater</v>
      </c>
      <c r="R1400" s="7">
        <f t="shared" si="170"/>
        <v>710.71</v>
      </c>
    </row>
    <row r="1401" spans="1:18" ht="21.75" customHeight="1">
      <c r="A1401" t="s">
        <v>1552</v>
      </c>
      <c r="B1401" s="6">
        <v>45597</v>
      </c>
      <c r="C1401" t="s">
        <v>424</v>
      </c>
      <c r="D1401" t="s">
        <v>26</v>
      </c>
      <c r="E1401" t="s">
        <v>22</v>
      </c>
      <c r="F1401" t="s">
        <v>12</v>
      </c>
      <c r="G1401" t="s">
        <v>36</v>
      </c>
      <c r="H1401">
        <v>7</v>
      </c>
      <c r="I1401" t="str">
        <f>VLOOKUP(D1401,Product_Lookup!$A$2:$C$27,3,FALSE)</f>
        <v>$84.57</v>
      </c>
      <c r="J1401" t="str">
        <f t="shared" si="171"/>
        <v>Friday</v>
      </c>
      <c r="K1401" s="10" t="str">
        <f t="shared" si="172"/>
        <v>November</v>
      </c>
      <c r="L1401">
        <f t="shared" si="173"/>
        <v>2024</v>
      </c>
      <c r="M1401" t="b">
        <f t="shared" si="174"/>
        <v>0</v>
      </c>
      <c r="N1401" t="b">
        <f t="shared" si="168"/>
        <v>0</v>
      </c>
      <c r="O1401" t="str">
        <f t="shared" si="175"/>
        <v>Large Order</v>
      </c>
      <c r="P1401" s="7">
        <f t="shared" si="169"/>
        <v>4.2284999999999995</v>
      </c>
      <c r="Q1401" s="7" t="str">
        <f>VLOOKUP(D1402,Product_Lookup!$A$2:$C$27,2,FALSE)</f>
        <v>Pen Set</v>
      </c>
      <c r="R1401" s="7">
        <f t="shared" si="170"/>
        <v>591.99</v>
      </c>
    </row>
    <row r="1402" spans="1:18" ht="21.75" customHeight="1">
      <c r="A1402" t="s">
        <v>1553</v>
      </c>
      <c r="B1402" s="6">
        <v>45500</v>
      </c>
      <c r="C1402" t="s">
        <v>374</v>
      </c>
      <c r="D1402" t="s">
        <v>174</v>
      </c>
      <c r="E1402" t="s">
        <v>11</v>
      </c>
      <c r="F1402" t="s">
        <v>27</v>
      </c>
      <c r="G1402" t="s">
        <v>23</v>
      </c>
      <c r="H1402">
        <v>15</v>
      </c>
      <c r="I1402" t="str">
        <f>VLOOKUP(D1402,Product_Lookup!$A$2:$C$27,3,FALSE)</f>
        <v>$133.37</v>
      </c>
      <c r="J1402" t="str">
        <f t="shared" si="171"/>
        <v>Saturday</v>
      </c>
      <c r="K1402" s="10" t="str">
        <f t="shared" si="172"/>
        <v>July</v>
      </c>
      <c r="L1402">
        <f t="shared" si="173"/>
        <v>2024</v>
      </c>
      <c r="M1402" t="b">
        <f t="shared" si="174"/>
        <v>1</v>
      </c>
      <c r="N1402" t="b">
        <f t="shared" si="168"/>
        <v>1</v>
      </c>
      <c r="O1402" t="str">
        <f t="shared" si="175"/>
        <v>Large Order</v>
      </c>
      <c r="P1402" s="7">
        <f t="shared" si="169"/>
        <v>6.6685000000000008</v>
      </c>
      <c r="Q1402" s="7" t="str">
        <f>VLOOKUP(D1403,Product_Lookup!$A$2:$C$27,2,FALSE)</f>
        <v>Jacket</v>
      </c>
      <c r="R1402" s="7">
        <f t="shared" si="170"/>
        <v>2000.5500000000002</v>
      </c>
    </row>
    <row r="1403" spans="1:18" ht="21.75" customHeight="1">
      <c r="A1403" t="s">
        <v>1554</v>
      </c>
      <c r="B1403" s="6">
        <v>45339</v>
      </c>
      <c r="C1403" t="s">
        <v>61</v>
      </c>
      <c r="D1403" t="s">
        <v>197</v>
      </c>
      <c r="E1403" t="s">
        <v>17</v>
      </c>
      <c r="F1403" t="s">
        <v>56</v>
      </c>
      <c r="G1403" t="s">
        <v>32</v>
      </c>
      <c r="H1403">
        <v>19</v>
      </c>
      <c r="I1403" t="str">
        <f>VLOOKUP(D1403,Product_Lookup!$A$2:$C$27,3,FALSE)</f>
        <v>$10.11</v>
      </c>
      <c r="J1403" t="str">
        <f t="shared" si="171"/>
        <v>Saturday</v>
      </c>
      <c r="K1403" s="10" t="str">
        <f t="shared" si="172"/>
        <v>February</v>
      </c>
      <c r="L1403">
        <f t="shared" si="173"/>
        <v>2024</v>
      </c>
      <c r="M1403" t="b">
        <f t="shared" si="174"/>
        <v>1</v>
      </c>
      <c r="N1403" t="b">
        <f t="shared" si="168"/>
        <v>0</v>
      </c>
      <c r="O1403" t="str">
        <f t="shared" si="175"/>
        <v>Standard order</v>
      </c>
      <c r="P1403" s="7">
        <f t="shared" si="169"/>
        <v>0.50549999999999995</v>
      </c>
      <c r="Q1403" s="7" t="str">
        <f>VLOOKUP(D1404,Product_Lookup!$A$2:$C$27,2,FALSE)</f>
        <v>Toaster</v>
      </c>
      <c r="R1403" s="7">
        <f t="shared" si="170"/>
        <v>192.08999999999997</v>
      </c>
    </row>
    <row r="1404" spans="1:18" ht="21.75" customHeight="1">
      <c r="A1404" t="s">
        <v>1555</v>
      </c>
      <c r="B1404" s="6">
        <v>45575</v>
      </c>
      <c r="C1404" t="s">
        <v>339</v>
      </c>
      <c r="D1404" t="s">
        <v>48</v>
      </c>
      <c r="E1404" t="s">
        <v>17</v>
      </c>
      <c r="F1404" t="s">
        <v>306</v>
      </c>
      <c r="G1404" t="s">
        <v>32</v>
      </c>
      <c r="H1404">
        <v>12</v>
      </c>
      <c r="I1404" t="str">
        <f>VLOOKUP(D1404,Product_Lookup!$A$2:$C$27,3,FALSE)</f>
        <v>$208.85</v>
      </c>
      <c r="J1404" t="str">
        <f t="shared" si="171"/>
        <v>Thursday</v>
      </c>
      <c r="K1404" s="10" t="str">
        <f t="shared" si="172"/>
        <v>October</v>
      </c>
      <c r="L1404">
        <f t="shared" si="173"/>
        <v>2024</v>
      </c>
      <c r="M1404" t="b">
        <f t="shared" si="174"/>
        <v>0</v>
      </c>
      <c r="N1404" t="b">
        <f t="shared" si="168"/>
        <v>1</v>
      </c>
      <c r="O1404" t="str">
        <f t="shared" si="175"/>
        <v>Large Order</v>
      </c>
      <c r="P1404" s="7">
        <f t="shared" si="169"/>
        <v>10.442500000000001</v>
      </c>
      <c r="Q1404" s="7" t="str">
        <f>VLOOKUP(D1405,Product_Lookup!$A$2:$C$27,2,FALSE)</f>
        <v>Sweater</v>
      </c>
      <c r="R1404" s="7">
        <f t="shared" si="170"/>
        <v>2506.1999999999998</v>
      </c>
    </row>
    <row r="1405" spans="1:18" ht="21.75" customHeight="1">
      <c r="A1405" t="s">
        <v>1556</v>
      </c>
      <c r="B1405" s="6">
        <v>45430</v>
      </c>
      <c r="C1405" t="s">
        <v>147</v>
      </c>
      <c r="D1405" t="s">
        <v>26</v>
      </c>
      <c r="E1405" t="s">
        <v>11</v>
      </c>
      <c r="F1405" t="s">
        <v>12</v>
      </c>
      <c r="G1405" t="s">
        <v>28</v>
      </c>
      <c r="H1405">
        <v>11</v>
      </c>
      <c r="I1405" t="str">
        <f>VLOOKUP(D1405,Product_Lookup!$A$2:$C$27,3,FALSE)</f>
        <v>$84.57</v>
      </c>
      <c r="J1405" t="str">
        <f t="shared" si="171"/>
        <v>Saturday</v>
      </c>
      <c r="K1405" s="10" t="str">
        <f t="shared" si="172"/>
        <v>May</v>
      </c>
      <c r="L1405">
        <f t="shared" si="173"/>
        <v>2024</v>
      </c>
      <c r="M1405" t="b">
        <f t="shared" si="174"/>
        <v>1</v>
      </c>
      <c r="N1405" t="b">
        <f t="shared" si="168"/>
        <v>1</v>
      </c>
      <c r="O1405" t="str">
        <f t="shared" si="175"/>
        <v>Large Order</v>
      </c>
      <c r="P1405" s="7">
        <f t="shared" si="169"/>
        <v>4.2284999999999995</v>
      </c>
      <c r="Q1405" s="7" t="str">
        <f>VLOOKUP(D1406,Product_Lookup!$A$2:$C$27,2,FALSE)</f>
        <v>Puzzle</v>
      </c>
      <c r="R1405" s="7">
        <f t="shared" si="170"/>
        <v>930.27</v>
      </c>
    </row>
    <row r="1406" spans="1:18" ht="21.75" customHeight="1">
      <c r="A1406" t="s">
        <v>1557</v>
      </c>
      <c r="B1406" s="6">
        <v>45566</v>
      </c>
      <c r="C1406" t="s">
        <v>332</v>
      </c>
      <c r="D1406" t="s">
        <v>62</v>
      </c>
      <c r="E1406" t="s">
        <v>11</v>
      </c>
      <c r="F1406" t="s">
        <v>56</v>
      </c>
      <c r="G1406" t="s">
        <v>28</v>
      </c>
      <c r="H1406">
        <v>16</v>
      </c>
      <c r="I1406" t="str">
        <f>VLOOKUP(D1406,Product_Lookup!$A$2:$C$27,3,FALSE)</f>
        <v>$46.19</v>
      </c>
      <c r="J1406" t="str">
        <f t="shared" si="171"/>
        <v>Tuesday</v>
      </c>
      <c r="K1406" s="10" t="str">
        <f t="shared" si="172"/>
        <v>October</v>
      </c>
      <c r="L1406">
        <f t="shared" si="173"/>
        <v>2024</v>
      </c>
      <c r="M1406" t="b">
        <f t="shared" si="174"/>
        <v>0</v>
      </c>
      <c r="N1406" t="b">
        <f t="shared" si="168"/>
        <v>0</v>
      </c>
      <c r="O1406" t="str">
        <f t="shared" si="175"/>
        <v>Large Order</v>
      </c>
      <c r="P1406" s="7">
        <f t="shared" si="169"/>
        <v>2.3094999999999999</v>
      </c>
      <c r="Q1406" s="7" t="str">
        <f>VLOOKUP(D1407,Product_Lookup!$A$2:$C$27,2,FALSE)</f>
        <v>Notebook</v>
      </c>
      <c r="R1406" s="7">
        <f t="shared" si="170"/>
        <v>739.04</v>
      </c>
    </row>
    <row r="1407" spans="1:18" ht="21.75" customHeight="1">
      <c r="A1407" t="s">
        <v>1558</v>
      </c>
      <c r="B1407" s="6">
        <v>45593</v>
      </c>
      <c r="C1407" t="s">
        <v>332</v>
      </c>
      <c r="D1407" t="s">
        <v>160</v>
      </c>
      <c r="E1407" t="s">
        <v>22</v>
      </c>
      <c r="F1407" t="s">
        <v>42</v>
      </c>
      <c r="G1407" t="s">
        <v>13</v>
      </c>
      <c r="H1407">
        <v>7</v>
      </c>
      <c r="I1407" t="str">
        <f>VLOOKUP(D1407,Product_Lookup!$A$2:$C$27,3,FALSE)</f>
        <v>$149.27</v>
      </c>
      <c r="J1407" t="str">
        <f t="shared" si="171"/>
        <v>Monday</v>
      </c>
      <c r="K1407" s="10" t="str">
        <f t="shared" si="172"/>
        <v>October</v>
      </c>
      <c r="L1407">
        <f t="shared" si="173"/>
        <v>2024</v>
      </c>
      <c r="M1407" t="b">
        <f t="shared" si="174"/>
        <v>0</v>
      </c>
      <c r="N1407" t="b">
        <f t="shared" si="168"/>
        <v>1</v>
      </c>
      <c r="O1407" t="str">
        <f t="shared" si="175"/>
        <v>Large Order</v>
      </c>
      <c r="P1407" s="7">
        <f t="shared" si="169"/>
        <v>7.4635000000000007</v>
      </c>
      <c r="Q1407" s="7" t="str">
        <f>VLOOKUP(D1408,Product_Lookup!$A$2:$C$27,2,FALSE)</f>
        <v>Socks</v>
      </c>
      <c r="R1407" s="7">
        <f t="shared" si="170"/>
        <v>1044.8900000000001</v>
      </c>
    </row>
    <row r="1408" spans="1:18" ht="21.75" customHeight="1">
      <c r="A1408" t="s">
        <v>1559</v>
      </c>
      <c r="B1408" s="6">
        <v>45476</v>
      </c>
      <c r="C1408" t="s">
        <v>235</v>
      </c>
      <c r="D1408" t="s">
        <v>74</v>
      </c>
      <c r="E1408" t="s">
        <v>11</v>
      </c>
      <c r="F1408" t="s">
        <v>306</v>
      </c>
      <c r="G1408" t="s">
        <v>28</v>
      </c>
      <c r="H1408">
        <v>9</v>
      </c>
      <c r="I1408" t="str">
        <f>VLOOKUP(D1408,Product_Lookup!$A$2:$C$27,3,FALSE)</f>
        <v>$201.32</v>
      </c>
      <c r="J1408" t="str">
        <f t="shared" si="171"/>
        <v>Wednesday</v>
      </c>
      <c r="K1408" s="10" t="str">
        <f t="shared" si="172"/>
        <v>July</v>
      </c>
      <c r="L1408">
        <f t="shared" si="173"/>
        <v>2024</v>
      </c>
      <c r="M1408" t="b">
        <f t="shared" si="174"/>
        <v>0</v>
      </c>
      <c r="N1408" t="b">
        <f t="shared" si="168"/>
        <v>1</v>
      </c>
      <c r="O1408" t="str">
        <f t="shared" si="175"/>
        <v>Large Order</v>
      </c>
      <c r="P1408" s="7">
        <f t="shared" si="169"/>
        <v>10.066000000000001</v>
      </c>
      <c r="Q1408" s="7" t="str">
        <f>VLOOKUP(D1409,Product_Lookup!$A$2:$C$27,2,FALSE)</f>
        <v>Socks</v>
      </c>
      <c r="R1408" s="7">
        <f t="shared" si="170"/>
        <v>1811.8799999999999</v>
      </c>
    </row>
    <row r="1409" spans="1:18" ht="21.75" customHeight="1">
      <c r="A1409" t="s">
        <v>1560</v>
      </c>
      <c r="B1409" s="6">
        <v>45319</v>
      </c>
      <c r="C1409" t="s">
        <v>378</v>
      </c>
      <c r="D1409" t="s">
        <v>74</v>
      </c>
      <c r="E1409" t="s">
        <v>22</v>
      </c>
      <c r="F1409" t="s">
        <v>56</v>
      </c>
      <c r="G1409" t="s">
        <v>23</v>
      </c>
      <c r="H1409">
        <v>4</v>
      </c>
      <c r="I1409" t="str">
        <f>VLOOKUP(D1409,Product_Lookup!$A$2:$C$27,3,FALSE)</f>
        <v>$201.32</v>
      </c>
      <c r="J1409" t="str">
        <f t="shared" si="171"/>
        <v>Sunday</v>
      </c>
      <c r="K1409" s="10" t="str">
        <f t="shared" si="172"/>
        <v>January</v>
      </c>
      <c r="L1409">
        <f t="shared" si="173"/>
        <v>2024</v>
      </c>
      <c r="M1409" t="b">
        <f t="shared" si="174"/>
        <v>1</v>
      </c>
      <c r="N1409" t="b">
        <f t="shared" si="168"/>
        <v>0</v>
      </c>
      <c r="O1409" t="str">
        <f t="shared" si="175"/>
        <v>Large Order</v>
      </c>
      <c r="P1409" s="7">
        <f t="shared" si="169"/>
        <v>10.066000000000001</v>
      </c>
      <c r="Q1409" s="7" t="str">
        <f>VLOOKUP(D1410,Product_Lookup!$A$2:$C$27,2,FALSE)</f>
        <v>Stapler</v>
      </c>
      <c r="R1409" s="7">
        <f t="shared" si="170"/>
        <v>805.28</v>
      </c>
    </row>
    <row r="1410" spans="1:18" ht="21.75" customHeight="1">
      <c r="A1410" t="s">
        <v>1561</v>
      </c>
      <c r="B1410" s="6">
        <v>45585</v>
      </c>
      <c r="C1410" t="s">
        <v>55</v>
      </c>
      <c r="D1410" t="s">
        <v>35</v>
      </c>
      <c r="E1410" t="s">
        <v>17</v>
      </c>
      <c r="F1410" t="s">
        <v>27</v>
      </c>
      <c r="G1410" t="s">
        <v>32</v>
      </c>
      <c r="H1410">
        <v>6</v>
      </c>
      <c r="I1410" t="str">
        <f>VLOOKUP(D1410,Product_Lookup!$A$2:$C$27,3,FALSE)</f>
        <v>$64.61</v>
      </c>
      <c r="J1410" t="str">
        <f t="shared" si="171"/>
        <v>Sunday</v>
      </c>
      <c r="K1410" s="10" t="str">
        <f t="shared" si="172"/>
        <v>October</v>
      </c>
      <c r="L1410">
        <f t="shared" si="173"/>
        <v>2024</v>
      </c>
      <c r="M1410" t="b">
        <f t="shared" si="174"/>
        <v>1</v>
      </c>
      <c r="N1410" t="b">
        <f t="shared" ref="N1410:N1473" si="176">AND(R1410&gt;750, H1410&gt;5)</f>
        <v>0</v>
      </c>
      <c r="O1410" t="str">
        <f t="shared" si="175"/>
        <v>Standard order</v>
      </c>
      <c r="P1410" s="7">
        <f t="shared" ref="P1410:P1473" si="177">I1410*$S$2</f>
        <v>3.2305000000000001</v>
      </c>
      <c r="Q1410" s="7" t="str">
        <f>VLOOKUP(D1411,Product_Lookup!$A$2:$C$27,2,FALSE)</f>
        <v>Monitor</v>
      </c>
      <c r="R1410" s="7">
        <f t="shared" ref="R1410:R1473" si="178">H1410*I1410</f>
        <v>387.65999999999997</v>
      </c>
    </row>
    <row r="1411" spans="1:18" ht="21.75" customHeight="1">
      <c r="A1411" t="s">
        <v>1562</v>
      </c>
      <c r="B1411" s="6">
        <v>45421</v>
      </c>
      <c r="C1411" t="s">
        <v>517</v>
      </c>
      <c r="D1411" t="s">
        <v>102</v>
      </c>
      <c r="E1411" t="s">
        <v>11</v>
      </c>
      <c r="F1411" t="s">
        <v>27</v>
      </c>
      <c r="G1411" t="s">
        <v>23</v>
      </c>
      <c r="H1411">
        <v>3</v>
      </c>
      <c r="I1411" t="str">
        <f>VLOOKUP(D1411,Product_Lookup!$A$2:$C$27,3,FALSE)</f>
        <v>$145.48</v>
      </c>
      <c r="J1411" t="str">
        <f t="shared" ref="J1411:J1474" si="179">TEXT(B1411, "dddd")</f>
        <v>Thursday</v>
      </c>
      <c r="K1411" s="10" t="str">
        <f t="shared" ref="K1411:K1474" si="180">TEXT(B1411, "mmmm")</f>
        <v>May</v>
      </c>
      <c r="L1411">
        <f t="shared" ref="L1411:L1474" si="181">YEAR(B1411)</f>
        <v>2024</v>
      </c>
      <c r="M1411" t="b">
        <f t="shared" ref="M1411:M1474" si="182">OR(J1411="Saturday", J1411="Sunday")</f>
        <v>0</v>
      </c>
      <c r="N1411" t="b">
        <f t="shared" si="176"/>
        <v>0</v>
      </c>
      <c r="O1411" t="str">
        <f t="shared" ref="O1411:O1474" si="183">IF(R1411&gt;500,"Large Order","Standard order")</f>
        <v>Standard order</v>
      </c>
      <c r="P1411" s="7">
        <f t="shared" si="177"/>
        <v>7.274</v>
      </c>
      <c r="Q1411" s="7" t="str">
        <f>VLOOKUP(D1412,Product_Lookup!$A$2:$C$27,2,FALSE)</f>
        <v>Headphones</v>
      </c>
      <c r="R1411" s="7">
        <f t="shared" si="178"/>
        <v>436.43999999999994</v>
      </c>
    </row>
    <row r="1412" spans="1:18" ht="21.75" customHeight="1">
      <c r="A1412" t="s">
        <v>1563</v>
      </c>
      <c r="B1412" s="6">
        <v>45643</v>
      </c>
      <c r="C1412" t="s">
        <v>9</v>
      </c>
      <c r="D1412" t="s">
        <v>16</v>
      </c>
      <c r="E1412" t="s">
        <v>11</v>
      </c>
      <c r="F1412" t="s">
        <v>306</v>
      </c>
      <c r="G1412" t="s">
        <v>32</v>
      </c>
      <c r="H1412">
        <v>3</v>
      </c>
      <c r="I1412" t="str">
        <f>VLOOKUP(D1412,Product_Lookup!$A$2:$C$27,3,FALSE)</f>
        <v>$178.83</v>
      </c>
      <c r="J1412" t="str">
        <f t="shared" si="179"/>
        <v>Tuesday</v>
      </c>
      <c r="K1412" s="10" t="str">
        <f t="shared" si="180"/>
        <v>December</v>
      </c>
      <c r="L1412">
        <f t="shared" si="181"/>
        <v>2024</v>
      </c>
      <c r="M1412" t="b">
        <f t="shared" si="182"/>
        <v>0</v>
      </c>
      <c r="N1412" t="b">
        <f t="shared" si="176"/>
        <v>0</v>
      </c>
      <c r="O1412" t="str">
        <f t="shared" si="183"/>
        <v>Large Order</v>
      </c>
      <c r="P1412" s="7">
        <f t="shared" si="177"/>
        <v>8.9415000000000013</v>
      </c>
      <c r="Q1412" s="7" t="str">
        <f>VLOOKUP(D1413,Product_Lookup!$A$2:$C$27,2,FALSE)</f>
        <v>Doll</v>
      </c>
      <c r="R1412" s="7">
        <f t="shared" si="178"/>
        <v>536.49</v>
      </c>
    </row>
    <row r="1413" spans="1:18" ht="21.75" customHeight="1">
      <c r="A1413" t="s">
        <v>1564</v>
      </c>
      <c r="B1413" s="6">
        <v>45352</v>
      </c>
      <c r="C1413" t="s">
        <v>642</v>
      </c>
      <c r="D1413" t="s">
        <v>119</v>
      </c>
      <c r="E1413" t="s">
        <v>17</v>
      </c>
      <c r="F1413" t="s">
        <v>306</v>
      </c>
      <c r="G1413" t="s">
        <v>36</v>
      </c>
      <c r="H1413">
        <v>20</v>
      </c>
      <c r="I1413" t="str">
        <f>VLOOKUP(D1413,Product_Lookup!$A$2:$C$27,3,FALSE)</f>
        <v>$32.94</v>
      </c>
      <c r="J1413" t="str">
        <f t="shared" si="179"/>
        <v>Friday</v>
      </c>
      <c r="K1413" s="10" t="str">
        <f t="shared" si="180"/>
        <v>March</v>
      </c>
      <c r="L1413">
        <f t="shared" si="181"/>
        <v>2024</v>
      </c>
      <c r="M1413" t="b">
        <f t="shared" si="182"/>
        <v>0</v>
      </c>
      <c r="N1413" t="b">
        <f t="shared" si="176"/>
        <v>0</v>
      </c>
      <c r="O1413" t="str">
        <f t="shared" si="183"/>
        <v>Large Order</v>
      </c>
      <c r="P1413" s="7">
        <f t="shared" si="177"/>
        <v>1.647</v>
      </c>
      <c r="Q1413" s="7" t="str">
        <f>VLOOKUP(D1414,Product_Lookup!$A$2:$C$27,2,FALSE)</f>
        <v>Air Fryer</v>
      </c>
      <c r="R1413" s="7">
        <f t="shared" si="178"/>
        <v>658.8</v>
      </c>
    </row>
    <row r="1414" spans="1:18" ht="21.75" customHeight="1">
      <c r="A1414" t="s">
        <v>1565</v>
      </c>
      <c r="B1414" s="6">
        <v>45559</v>
      </c>
      <c r="C1414" t="s">
        <v>159</v>
      </c>
      <c r="D1414" t="s">
        <v>70</v>
      </c>
      <c r="E1414" t="s">
        <v>17</v>
      </c>
      <c r="F1414" t="s">
        <v>42</v>
      </c>
      <c r="G1414" t="s">
        <v>36</v>
      </c>
      <c r="H1414">
        <v>14</v>
      </c>
      <c r="I1414" t="str">
        <f>VLOOKUP(D1414,Product_Lookup!$A$2:$C$27,3,FALSE)</f>
        <v>$211.9</v>
      </c>
      <c r="J1414" t="str">
        <f t="shared" si="179"/>
        <v>Tuesday</v>
      </c>
      <c r="K1414" s="10" t="str">
        <f t="shared" si="180"/>
        <v>September</v>
      </c>
      <c r="L1414">
        <f t="shared" si="181"/>
        <v>2024</v>
      </c>
      <c r="M1414" t="b">
        <f t="shared" si="182"/>
        <v>0</v>
      </c>
      <c r="N1414" t="b">
        <f t="shared" si="176"/>
        <v>1</v>
      </c>
      <c r="O1414" t="str">
        <f t="shared" si="183"/>
        <v>Large Order</v>
      </c>
      <c r="P1414" s="7">
        <f t="shared" si="177"/>
        <v>10.595000000000001</v>
      </c>
      <c r="Q1414" s="7" t="str">
        <f>VLOOKUP(D1415,Product_Lookup!$A$2:$C$27,2,FALSE)</f>
        <v>Paper Shredder</v>
      </c>
      <c r="R1414" s="7">
        <f t="shared" si="178"/>
        <v>2966.6</v>
      </c>
    </row>
    <row r="1415" spans="1:18" ht="21.75" customHeight="1">
      <c r="A1415" t="s">
        <v>1566</v>
      </c>
      <c r="B1415" s="6">
        <v>45609</v>
      </c>
      <c r="C1415" t="s">
        <v>131</v>
      </c>
      <c r="D1415" t="s">
        <v>109</v>
      </c>
      <c r="E1415" t="s">
        <v>22</v>
      </c>
      <c r="F1415" t="s">
        <v>12</v>
      </c>
      <c r="G1415" t="s">
        <v>28</v>
      </c>
      <c r="H1415">
        <v>7</v>
      </c>
      <c r="I1415" t="str">
        <f>VLOOKUP(D1415,Product_Lookup!$A$2:$C$27,3,FALSE)</f>
        <v>$81.02</v>
      </c>
      <c r="J1415" t="str">
        <f t="shared" si="179"/>
        <v>Wednesday</v>
      </c>
      <c r="K1415" s="10" t="str">
        <f t="shared" si="180"/>
        <v>November</v>
      </c>
      <c r="L1415">
        <f t="shared" si="181"/>
        <v>2024</v>
      </c>
      <c r="M1415" t="b">
        <f t="shared" si="182"/>
        <v>0</v>
      </c>
      <c r="N1415" t="b">
        <f t="shared" si="176"/>
        <v>0</v>
      </c>
      <c r="O1415" t="str">
        <f t="shared" si="183"/>
        <v>Large Order</v>
      </c>
      <c r="P1415" s="7">
        <f t="shared" si="177"/>
        <v>4.0510000000000002</v>
      </c>
      <c r="Q1415" s="7" t="str">
        <f>VLOOKUP(D1416,Product_Lookup!$A$2:$C$27,2,FALSE)</f>
        <v>Jacket</v>
      </c>
      <c r="R1415" s="7">
        <f t="shared" si="178"/>
        <v>567.14</v>
      </c>
    </row>
    <row r="1416" spans="1:18" ht="21.75" customHeight="1">
      <c r="A1416" t="s">
        <v>1567</v>
      </c>
      <c r="B1416" s="6">
        <v>45333</v>
      </c>
      <c r="C1416" t="s">
        <v>111</v>
      </c>
      <c r="D1416" t="s">
        <v>197</v>
      </c>
      <c r="E1416" t="s">
        <v>11</v>
      </c>
      <c r="F1416" t="s">
        <v>306</v>
      </c>
      <c r="G1416" t="s">
        <v>13</v>
      </c>
      <c r="H1416">
        <v>6</v>
      </c>
      <c r="I1416" t="str">
        <f>VLOOKUP(D1416,Product_Lookup!$A$2:$C$27,3,FALSE)</f>
        <v>$10.11</v>
      </c>
      <c r="J1416" t="str">
        <f t="shared" si="179"/>
        <v>Sunday</v>
      </c>
      <c r="K1416" s="10" t="str">
        <f t="shared" si="180"/>
        <v>February</v>
      </c>
      <c r="L1416">
        <f t="shared" si="181"/>
        <v>2024</v>
      </c>
      <c r="M1416" t="b">
        <f t="shared" si="182"/>
        <v>1</v>
      </c>
      <c r="N1416" t="b">
        <f t="shared" si="176"/>
        <v>0</v>
      </c>
      <c r="O1416" t="str">
        <f t="shared" si="183"/>
        <v>Standard order</v>
      </c>
      <c r="P1416" s="7">
        <f t="shared" si="177"/>
        <v>0.50549999999999995</v>
      </c>
      <c r="Q1416" s="7" t="str">
        <f>VLOOKUP(D1417,Product_Lookup!$A$2:$C$27,2,FALSE)</f>
        <v>Paper Shredder</v>
      </c>
      <c r="R1416" s="7">
        <f t="shared" si="178"/>
        <v>60.66</v>
      </c>
    </row>
    <row r="1417" spans="1:18" ht="21.75" customHeight="1">
      <c r="A1417" t="s">
        <v>1568</v>
      </c>
      <c r="B1417" s="6">
        <v>45522</v>
      </c>
      <c r="C1417" t="s">
        <v>465</v>
      </c>
      <c r="D1417" t="s">
        <v>109</v>
      </c>
      <c r="E1417" t="s">
        <v>17</v>
      </c>
      <c r="F1417" t="s">
        <v>42</v>
      </c>
      <c r="G1417" t="s">
        <v>13</v>
      </c>
      <c r="H1417">
        <v>8</v>
      </c>
      <c r="I1417" t="str">
        <f>VLOOKUP(D1417,Product_Lookup!$A$2:$C$27,3,FALSE)</f>
        <v>$81.02</v>
      </c>
      <c r="J1417" t="str">
        <f t="shared" si="179"/>
        <v>Sunday</v>
      </c>
      <c r="K1417" s="10" t="str">
        <f t="shared" si="180"/>
        <v>August</v>
      </c>
      <c r="L1417">
        <f t="shared" si="181"/>
        <v>2024</v>
      </c>
      <c r="M1417" t="b">
        <f t="shared" si="182"/>
        <v>1</v>
      </c>
      <c r="N1417" t="b">
        <f t="shared" si="176"/>
        <v>0</v>
      </c>
      <c r="O1417" t="str">
        <f t="shared" si="183"/>
        <v>Large Order</v>
      </c>
      <c r="P1417" s="7">
        <f t="shared" si="177"/>
        <v>4.0510000000000002</v>
      </c>
      <c r="Q1417" s="7" t="str">
        <f>VLOOKUP(D1418,Product_Lookup!$A$2:$C$27,2,FALSE)</f>
        <v>Air Fryer</v>
      </c>
      <c r="R1417" s="7">
        <f t="shared" si="178"/>
        <v>648.16</v>
      </c>
    </row>
    <row r="1418" spans="1:18" ht="21.75" customHeight="1">
      <c r="A1418" t="s">
        <v>1569</v>
      </c>
      <c r="B1418" s="6">
        <v>45436</v>
      </c>
      <c r="C1418" t="s">
        <v>424</v>
      </c>
      <c r="D1418" t="s">
        <v>70</v>
      </c>
      <c r="E1418" t="s">
        <v>11</v>
      </c>
      <c r="F1418" t="s">
        <v>56</v>
      </c>
      <c r="G1418" t="s">
        <v>32</v>
      </c>
      <c r="H1418">
        <v>19</v>
      </c>
      <c r="I1418" t="str">
        <f>VLOOKUP(D1418,Product_Lookup!$A$2:$C$27,3,FALSE)</f>
        <v>$211.9</v>
      </c>
      <c r="J1418" t="str">
        <f t="shared" si="179"/>
        <v>Friday</v>
      </c>
      <c r="K1418" s="10" t="str">
        <f t="shared" si="180"/>
        <v>May</v>
      </c>
      <c r="L1418">
        <f t="shared" si="181"/>
        <v>2024</v>
      </c>
      <c r="M1418" t="b">
        <f t="shared" si="182"/>
        <v>0</v>
      </c>
      <c r="N1418" t="b">
        <f t="shared" si="176"/>
        <v>1</v>
      </c>
      <c r="O1418" t="str">
        <f t="shared" si="183"/>
        <v>Large Order</v>
      </c>
      <c r="P1418" s="7">
        <f t="shared" si="177"/>
        <v>10.595000000000001</v>
      </c>
      <c r="Q1418" s="7" t="str">
        <f>VLOOKUP(D1419,Product_Lookup!$A$2:$C$27,2,FALSE)</f>
        <v>Monitor</v>
      </c>
      <c r="R1418" s="7">
        <f t="shared" si="178"/>
        <v>4026.1</v>
      </c>
    </row>
    <row r="1419" spans="1:18" ht="21.75" customHeight="1">
      <c r="A1419" t="s">
        <v>1570</v>
      </c>
      <c r="B1419" s="6">
        <v>45393</v>
      </c>
      <c r="C1419" t="s">
        <v>309</v>
      </c>
      <c r="D1419" t="s">
        <v>102</v>
      </c>
      <c r="E1419" t="s">
        <v>22</v>
      </c>
      <c r="F1419" t="s">
        <v>56</v>
      </c>
      <c r="G1419" t="s">
        <v>28</v>
      </c>
      <c r="H1419">
        <v>9</v>
      </c>
      <c r="I1419" t="str">
        <f>VLOOKUP(D1419,Product_Lookup!$A$2:$C$27,3,FALSE)</f>
        <v>$145.48</v>
      </c>
      <c r="J1419" t="str">
        <f t="shared" si="179"/>
        <v>Thursday</v>
      </c>
      <c r="K1419" s="10" t="str">
        <f t="shared" si="180"/>
        <v>April</v>
      </c>
      <c r="L1419">
        <f t="shared" si="181"/>
        <v>2024</v>
      </c>
      <c r="M1419" t="b">
        <f t="shared" si="182"/>
        <v>0</v>
      </c>
      <c r="N1419" t="b">
        <f t="shared" si="176"/>
        <v>1</v>
      </c>
      <c r="O1419" t="str">
        <f t="shared" si="183"/>
        <v>Large Order</v>
      </c>
      <c r="P1419" s="7">
        <f t="shared" si="177"/>
        <v>7.274</v>
      </c>
      <c r="Q1419" s="7" t="str">
        <f>VLOOKUP(D1420,Product_Lookup!$A$2:$C$27,2,FALSE)</f>
        <v>T-Shirt</v>
      </c>
      <c r="R1419" s="7">
        <f t="shared" si="178"/>
        <v>1309.32</v>
      </c>
    </row>
    <row r="1420" spans="1:18" ht="21.75" customHeight="1">
      <c r="A1420" t="s">
        <v>1571</v>
      </c>
      <c r="B1420" s="6">
        <v>45328</v>
      </c>
      <c r="C1420" t="s">
        <v>131</v>
      </c>
      <c r="D1420" t="s">
        <v>45</v>
      </c>
      <c r="E1420" t="s">
        <v>17</v>
      </c>
      <c r="F1420" t="s">
        <v>306</v>
      </c>
      <c r="G1420" t="s">
        <v>36</v>
      </c>
      <c r="H1420">
        <v>10</v>
      </c>
      <c r="I1420" t="str">
        <f>VLOOKUP(D1420,Product_Lookup!$A$2:$C$27,3,FALSE)</f>
        <v>$107.34</v>
      </c>
      <c r="J1420" t="str">
        <f t="shared" si="179"/>
        <v>Tuesday</v>
      </c>
      <c r="K1420" s="10" t="str">
        <f t="shared" si="180"/>
        <v>February</v>
      </c>
      <c r="L1420">
        <f t="shared" si="181"/>
        <v>2024</v>
      </c>
      <c r="M1420" t="b">
        <f t="shared" si="182"/>
        <v>0</v>
      </c>
      <c r="N1420" t="b">
        <f t="shared" si="176"/>
        <v>1</v>
      </c>
      <c r="O1420" t="str">
        <f t="shared" si="183"/>
        <v>Large Order</v>
      </c>
      <c r="P1420" s="7">
        <f t="shared" si="177"/>
        <v>5.3670000000000009</v>
      </c>
      <c r="Q1420" s="7" t="str">
        <f>VLOOKUP(D1421,Product_Lookup!$A$2:$C$27,2,FALSE)</f>
        <v>Socks</v>
      </c>
      <c r="R1420" s="7">
        <f t="shared" si="178"/>
        <v>1073.4000000000001</v>
      </c>
    </row>
    <row r="1421" spans="1:18" ht="21.75" customHeight="1">
      <c r="A1421" t="s">
        <v>1572</v>
      </c>
      <c r="B1421" s="6">
        <v>45531</v>
      </c>
      <c r="C1421" t="s">
        <v>465</v>
      </c>
      <c r="D1421" t="s">
        <v>74</v>
      </c>
      <c r="E1421" t="s">
        <v>22</v>
      </c>
      <c r="F1421" t="s">
        <v>27</v>
      </c>
      <c r="G1421" t="s">
        <v>32</v>
      </c>
      <c r="H1421">
        <v>17</v>
      </c>
      <c r="I1421" t="str">
        <f>VLOOKUP(D1421,Product_Lookup!$A$2:$C$27,3,FALSE)</f>
        <v>$201.32</v>
      </c>
      <c r="J1421" t="str">
        <f t="shared" si="179"/>
        <v>Tuesday</v>
      </c>
      <c r="K1421" s="10" t="str">
        <f t="shared" si="180"/>
        <v>August</v>
      </c>
      <c r="L1421">
        <f t="shared" si="181"/>
        <v>2024</v>
      </c>
      <c r="M1421" t="b">
        <f t="shared" si="182"/>
        <v>0</v>
      </c>
      <c r="N1421" t="b">
        <f t="shared" si="176"/>
        <v>1</v>
      </c>
      <c r="O1421" t="str">
        <f t="shared" si="183"/>
        <v>Large Order</v>
      </c>
      <c r="P1421" s="7">
        <f t="shared" si="177"/>
        <v>10.066000000000001</v>
      </c>
      <c r="Q1421" s="7" t="str">
        <f>VLOOKUP(D1422,Product_Lookup!$A$2:$C$27,2,FALSE)</f>
        <v>Paper Shredder</v>
      </c>
      <c r="R1421" s="7">
        <f t="shared" si="178"/>
        <v>3422.44</v>
      </c>
    </row>
    <row r="1422" spans="1:18" ht="21.75" customHeight="1">
      <c r="A1422" t="s">
        <v>1573</v>
      </c>
      <c r="B1422" s="6">
        <v>45516</v>
      </c>
      <c r="C1422" t="s">
        <v>81</v>
      </c>
      <c r="D1422" t="s">
        <v>109</v>
      </c>
      <c r="E1422" t="s">
        <v>11</v>
      </c>
      <c r="F1422" t="s">
        <v>27</v>
      </c>
      <c r="G1422" t="s">
        <v>32</v>
      </c>
      <c r="H1422">
        <v>20</v>
      </c>
      <c r="I1422" t="str">
        <f>VLOOKUP(D1422,Product_Lookup!$A$2:$C$27,3,FALSE)</f>
        <v>$81.02</v>
      </c>
      <c r="J1422" t="str">
        <f t="shared" si="179"/>
        <v>Monday</v>
      </c>
      <c r="K1422" s="10" t="str">
        <f t="shared" si="180"/>
        <v>August</v>
      </c>
      <c r="L1422">
        <f t="shared" si="181"/>
        <v>2024</v>
      </c>
      <c r="M1422" t="b">
        <f t="shared" si="182"/>
        <v>0</v>
      </c>
      <c r="N1422" t="b">
        <f t="shared" si="176"/>
        <v>1</v>
      </c>
      <c r="O1422" t="str">
        <f t="shared" si="183"/>
        <v>Large Order</v>
      </c>
      <c r="P1422" s="7">
        <f t="shared" si="177"/>
        <v>4.0510000000000002</v>
      </c>
      <c r="Q1422" s="7" t="str">
        <f>VLOOKUP(D1423,Product_Lookup!$A$2:$C$27,2,FALSE)</f>
        <v>Board Game</v>
      </c>
      <c r="R1422" s="7">
        <f t="shared" si="178"/>
        <v>1620.3999999999999</v>
      </c>
    </row>
    <row r="1423" spans="1:18" ht="21.75" customHeight="1">
      <c r="A1423" t="s">
        <v>1574</v>
      </c>
      <c r="B1423" s="6">
        <v>45338</v>
      </c>
      <c r="C1423" t="s">
        <v>51</v>
      </c>
      <c r="D1423" t="s">
        <v>41</v>
      </c>
      <c r="E1423" t="s">
        <v>22</v>
      </c>
      <c r="F1423" t="s">
        <v>306</v>
      </c>
      <c r="G1423" t="s">
        <v>13</v>
      </c>
      <c r="H1423">
        <v>9</v>
      </c>
      <c r="I1423" t="str">
        <f>VLOOKUP(D1423,Product_Lookup!$A$2:$C$27,3,FALSE)</f>
        <v>$86.6</v>
      </c>
      <c r="J1423" t="str">
        <f t="shared" si="179"/>
        <v>Friday</v>
      </c>
      <c r="K1423" s="10" t="str">
        <f t="shared" si="180"/>
        <v>February</v>
      </c>
      <c r="L1423">
        <f t="shared" si="181"/>
        <v>2024</v>
      </c>
      <c r="M1423" t="b">
        <f t="shared" si="182"/>
        <v>0</v>
      </c>
      <c r="N1423" t="b">
        <f t="shared" si="176"/>
        <v>1</v>
      </c>
      <c r="O1423" t="str">
        <f t="shared" si="183"/>
        <v>Large Order</v>
      </c>
      <c r="P1423" s="7">
        <f t="shared" si="177"/>
        <v>4.33</v>
      </c>
      <c r="Q1423" s="7" t="str">
        <f>VLOOKUP(D1424,Product_Lookup!$A$2:$C$27,2,FALSE)</f>
        <v>Notebook</v>
      </c>
      <c r="R1423" s="7">
        <f t="shared" si="178"/>
        <v>779.4</v>
      </c>
    </row>
    <row r="1424" spans="1:18" ht="21.75" customHeight="1">
      <c r="A1424" t="s">
        <v>1575</v>
      </c>
      <c r="B1424" s="6">
        <v>45381</v>
      </c>
      <c r="C1424" t="s">
        <v>553</v>
      </c>
      <c r="D1424" t="s">
        <v>160</v>
      </c>
      <c r="E1424" t="s">
        <v>22</v>
      </c>
      <c r="F1424" t="s">
        <v>27</v>
      </c>
      <c r="G1424" t="s">
        <v>32</v>
      </c>
      <c r="H1424">
        <v>6</v>
      </c>
      <c r="I1424" t="str">
        <f>VLOOKUP(D1424,Product_Lookup!$A$2:$C$27,3,FALSE)</f>
        <v>$149.27</v>
      </c>
      <c r="J1424" t="str">
        <f t="shared" si="179"/>
        <v>Saturday</v>
      </c>
      <c r="K1424" s="10" t="str">
        <f t="shared" si="180"/>
        <v>March</v>
      </c>
      <c r="L1424">
        <f t="shared" si="181"/>
        <v>2024</v>
      </c>
      <c r="M1424" t="b">
        <f t="shared" si="182"/>
        <v>1</v>
      </c>
      <c r="N1424" t="b">
        <f t="shared" si="176"/>
        <v>1</v>
      </c>
      <c r="O1424" t="str">
        <f t="shared" si="183"/>
        <v>Large Order</v>
      </c>
      <c r="P1424" s="7">
        <f t="shared" si="177"/>
        <v>7.4635000000000007</v>
      </c>
      <c r="Q1424" s="7" t="str">
        <f>VLOOKUP(D1425,Product_Lookup!$A$2:$C$27,2,FALSE)</f>
        <v>Stapler</v>
      </c>
      <c r="R1424" s="7">
        <f t="shared" si="178"/>
        <v>895.62000000000012</v>
      </c>
    </row>
    <row r="1425" spans="1:18" ht="21.75" customHeight="1">
      <c r="A1425" t="s">
        <v>1576</v>
      </c>
      <c r="B1425" s="6">
        <v>45515</v>
      </c>
      <c r="C1425" t="s">
        <v>541</v>
      </c>
      <c r="D1425" t="s">
        <v>35</v>
      </c>
      <c r="E1425" t="s">
        <v>11</v>
      </c>
      <c r="F1425" t="s">
        <v>27</v>
      </c>
      <c r="G1425" t="s">
        <v>32</v>
      </c>
      <c r="H1425">
        <v>14</v>
      </c>
      <c r="I1425" t="str">
        <f>VLOOKUP(D1425,Product_Lookup!$A$2:$C$27,3,FALSE)</f>
        <v>$64.61</v>
      </c>
      <c r="J1425" t="str">
        <f t="shared" si="179"/>
        <v>Sunday</v>
      </c>
      <c r="K1425" s="10" t="str">
        <f t="shared" si="180"/>
        <v>August</v>
      </c>
      <c r="L1425">
        <f t="shared" si="181"/>
        <v>2024</v>
      </c>
      <c r="M1425" t="b">
        <f t="shared" si="182"/>
        <v>1</v>
      </c>
      <c r="N1425" t="b">
        <f t="shared" si="176"/>
        <v>1</v>
      </c>
      <c r="O1425" t="str">
        <f t="shared" si="183"/>
        <v>Large Order</v>
      </c>
      <c r="P1425" s="7">
        <f t="shared" si="177"/>
        <v>3.2305000000000001</v>
      </c>
      <c r="Q1425" s="7" t="str">
        <f>VLOOKUP(D1426,Product_Lookup!$A$2:$C$27,2,FALSE)</f>
        <v>T-Shirt</v>
      </c>
      <c r="R1425" s="7">
        <f t="shared" si="178"/>
        <v>904.54</v>
      </c>
    </row>
    <row r="1426" spans="1:18" ht="21.75" customHeight="1">
      <c r="A1426" t="s">
        <v>1577</v>
      </c>
      <c r="B1426" s="6">
        <v>45635</v>
      </c>
      <c r="C1426" t="s">
        <v>15</v>
      </c>
      <c r="D1426" t="s">
        <v>45</v>
      </c>
      <c r="E1426" t="s">
        <v>17</v>
      </c>
      <c r="F1426" t="s">
        <v>27</v>
      </c>
      <c r="G1426" t="s">
        <v>23</v>
      </c>
      <c r="H1426">
        <v>10</v>
      </c>
      <c r="I1426" t="str">
        <f>VLOOKUP(D1426,Product_Lookup!$A$2:$C$27,3,FALSE)</f>
        <v>$107.34</v>
      </c>
      <c r="J1426" t="str">
        <f t="shared" si="179"/>
        <v>Monday</v>
      </c>
      <c r="K1426" s="10" t="str">
        <f t="shared" si="180"/>
        <v>December</v>
      </c>
      <c r="L1426">
        <f t="shared" si="181"/>
        <v>2024</v>
      </c>
      <c r="M1426" t="b">
        <f t="shared" si="182"/>
        <v>0</v>
      </c>
      <c r="N1426" t="b">
        <f t="shared" si="176"/>
        <v>1</v>
      </c>
      <c r="O1426" t="str">
        <f t="shared" si="183"/>
        <v>Large Order</v>
      </c>
      <c r="P1426" s="7">
        <f t="shared" si="177"/>
        <v>5.3670000000000009</v>
      </c>
      <c r="Q1426" s="7" t="str">
        <f>VLOOKUP(D1427,Product_Lookup!$A$2:$C$27,2,FALSE)</f>
        <v>Pen Set</v>
      </c>
      <c r="R1426" s="7">
        <f t="shared" si="178"/>
        <v>1073.4000000000001</v>
      </c>
    </row>
    <row r="1427" spans="1:18" ht="21.75" customHeight="1">
      <c r="A1427" t="s">
        <v>1578</v>
      </c>
      <c r="B1427" s="6">
        <v>45497</v>
      </c>
      <c r="C1427" t="s">
        <v>332</v>
      </c>
      <c r="D1427" t="s">
        <v>174</v>
      </c>
      <c r="E1427" t="s">
        <v>11</v>
      </c>
      <c r="F1427" t="s">
        <v>27</v>
      </c>
      <c r="G1427" t="s">
        <v>13</v>
      </c>
      <c r="H1427">
        <v>11</v>
      </c>
      <c r="I1427" t="str">
        <f>VLOOKUP(D1427,Product_Lookup!$A$2:$C$27,3,FALSE)</f>
        <v>$133.37</v>
      </c>
      <c r="J1427" t="str">
        <f t="shared" si="179"/>
        <v>Wednesday</v>
      </c>
      <c r="K1427" s="10" t="str">
        <f t="shared" si="180"/>
        <v>July</v>
      </c>
      <c r="L1427">
        <f t="shared" si="181"/>
        <v>2024</v>
      </c>
      <c r="M1427" t="b">
        <f t="shared" si="182"/>
        <v>0</v>
      </c>
      <c r="N1427" t="b">
        <f t="shared" si="176"/>
        <v>1</v>
      </c>
      <c r="O1427" t="str">
        <f t="shared" si="183"/>
        <v>Large Order</v>
      </c>
      <c r="P1427" s="7">
        <f t="shared" si="177"/>
        <v>6.6685000000000008</v>
      </c>
      <c r="Q1427" s="7" t="str">
        <f>VLOOKUP(D1428,Product_Lookup!$A$2:$C$27,2,FALSE)</f>
        <v>Coffee Maker</v>
      </c>
      <c r="R1427" s="7">
        <f t="shared" si="178"/>
        <v>1467.0700000000002</v>
      </c>
    </row>
    <row r="1428" spans="1:18" ht="21.75" customHeight="1">
      <c r="A1428" t="s">
        <v>1579</v>
      </c>
      <c r="B1428" s="6">
        <v>45351</v>
      </c>
      <c r="C1428" t="s">
        <v>337</v>
      </c>
      <c r="D1428" t="s">
        <v>31</v>
      </c>
      <c r="E1428" t="s">
        <v>22</v>
      </c>
      <c r="F1428" t="s">
        <v>12</v>
      </c>
      <c r="G1428" t="s">
        <v>36</v>
      </c>
      <c r="H1428">
        <v>15</v>
      </c>
      <c r="I1428" t="str">
        <f>VLOOKUP(D1428,Product_Lookup!$A$2:$C$27,3,FALSE)</f>
        <v>$230.34</v>
      </c>
      <c r="J1428" t="str">
        <f t="shared" si="179"/>
        <v>Thursday</v>
      </c>
      <c r="K1428" s="10" t="str">
        <f t="shared" si="180"/>
        <v>February</v>
      </c>
      <c r="L1428">
        <f t="shared" si="181"/>
        <v>2024</v>
      </c>
      <c r="M1428" t="b">
        <f t="shared" si="182"/>
        <v>0</v>
      </c>
      <c r="N1428" t="b">
        <f t="shared" si="176"/>
        <v>1</v>
      </c>
      <c r="O1428" t="str">
        <f t="shared" si="183"/>
        <v>Large Order</v>
      </c>
      <c r="P1428" s="7">
        <f t="shared" si="177"/>
        <v>11.517000000000001</v>
      </c>
      <c r="Q1428" s="7" t="str">
        <f>VLOOKUP(D1429,Product_Lookup!$A$2:$C$27,2,FALSE)</f>
        <v>Toaster</v>
      </c>
      <c r="R1428" s="7">
        <f t="shared" si="178"/>
        <v>3455.1</v>
      </c>
    </row>
    <row r="1429" spans="1:18" ht="21.75" customHeight="1">
      <c r="A1429" t="s">
        <v>1580</v>
      </c>
      <c r="B1429" s="6">
        <v>45388</v>
      </c>
      <c r="C1429" t="s">
        <v>363</v>
      </c>
      <c r="D1429" t="s">
        <v>48</v>
      </c>
      <c r="E1429" t="s">
        <v>22</v>
      </c>
      <c r="F1429" t="s">
        <v>27</v>
      </c>
      <c r="G1429" t="s">
        <v>23</v>
      </c>
      <c r="H1429">
        <v>2</v>
      </c>
      <c r="I1429" t="str">
        <f>VLOOKUP(D1429,Product_Lookup!$A$2:$C$27,3,FALSE)</f>
        <v>$208.85</v>
      </c>
      <c r="J1429" t="str">
        <f t="shared" si="179"/>
        <v>Saturday</v>
      </c>
      <c r="K1429" s="10" t="str">
        <f t="shared" si="180"/>
        <v>April</v>
      </c>
      <c r="L1429">
        <f t="shared" si="181"/>
        <v>2024</v>
      </c>
      <c r="M1429" t="b">
        <f t="shared" si="182"/>
        <v>1</v>
      </c>
      <c r="N1429" t="b">
        <f t="shared" si="176"/>
        <v>0</v>
      </c>
      <c r="O1429" t="str">
        <f t="shared" si="183"/>
        <v>Standard order</v>
      </c>
      <c r="P1429" s="7">
        <f t="shared" si="177"/>
        <v>10.442500000000001</v>
      </c>
      <c r="Q1429" s="7" t="str">
        <f>VLOOKUP(D1430,Product_Lookup!$A$2:$C$27,2,FALSE)</f>
        <v>Socks</v>
      </c>
      <c r="R1429" s="7">
        <f t="shared" si="178"/>
        <v>417.7</v>
      </c>
    </row>
    <row r="1430" spans="1:18" ht="21.75" customHeight="1">
      <c r="A1430" t="s">
        <v>1581</v>
      </c>
      <c r="B1430" s="6">
        <v>45573</v>
      </c>
      <c r="C1430" t="s">
        <v>34</v>
      </c>
      <c r="D1430" t="s">
        <v>74</v>
      </c>
      <c r="E1430" t="s">
        <v>17</v>
      </c>
      <c r="F1430" t="s">
        <v>27</v>
      </c>
      <c r="G1430" t="s">
        <v>13</v>
      </c>
      <c r="H1430">
        <v>1</v>
      </c>
      <c r="I1430" t="str">
        <f>VLOOKUP(D1430,Product_Lookup!$A$2:$C$27,3,FALSE)</f>
        <v>$201.32</v>
      </c>
      <c r="J1430" t="str">
        <f t="shared" si="179"/>
        <v>Tuesday</v>
      </c>
      <c r="K1430" s="10" t="str">
        <f t="shared" si="180"/>
        <v>October</v>
      </c>
      <c r="L1430">
        <f t="shared" si="181"/>
        <v>2024</v>
      </c>
      <c r="M1430" t="b">
        <f t="shared" si="182"/>
        <v>0</v>
      </c>
      <c r="N1430" t="b">
        <f t="shared" si="176"/>
        <v>0</v>
      </c>
      <c r="O1430" t="str">
        <f t="shared" si="183"/>
        <v>Standard order</v>
      </c>
      <c r="P1430" s="7">
        <f t="shared" si="177"/>
        <v>10.066000000000001</v>
      </c>
      <c r="Q1430" s="7" t="str">
        <f>VLOOKUP(D1431,Product_Lookup!$A$2:$C$27,2,FALSE)</f>
        <v>Puzzle</v>
      </c>
      <c r="R1430" s="7">
        <f t="shared" si="178"/>
        <v>201.32</v>
      </c>
    </row>
    <row r="1431" spans="1:18" ht="21.75" customHeight="1">
      <c r="A1431" t="s">
        <v>1582</v>
      </c>
      <c r="B1431" s="6">
        <v>45603</v>
      </c>
      <c r="C1431" t="s">
        <v>93</v>
      </c>
      <c r="D1431" t="s">
        <v>62</v>
      </c>
      <c r="E1431" t="s">
        <v>11</v>
      </c>
      <c r="F1431" t="s">
        <v>42</v>
      </c>
      <c r="G1431" t="s">
        <v>36</v>
      </c>
      <c r="H1431">
        <v>1</v>
      </c>
      <c r="I1431" t="str">
        <f>VLOOKUP(D1431,Product_Lookup!$A$2:$C$27,3,FALSE)</f>
        <v>$46.19</v>
      </c>
      <c r="J1431" t="str">
        <f t="shared" si="179"/>
        <v>Thursday</v>
      </c>
      <c r="K1431" s="10" t="str">
        <f t="shared" si="180"/>
        <v>November</v>
      </c>
      <c r="L1431">
        <f t="shared" si="181"/>
        <v>2024</v>
      </c>
      <c r="M1431" t="b">
        <f t="shared" si="182"/>
        <v>0</v>
      </c>
      <c r="N1431" t="b">
        <f t="shared" si="176"/>
        <v>0</v>
      </c>
      <c r="O1431" t="str">
        <f t="shared" si="183"/>
        <v>Standard order</v>
      </c>
      <c r="P1431" s="7">
        <f t="shared" si="177"/>
        <v>2.3094999999999999</v>
      </c>
      <c r="Q1431" s="7" t="str">
        <f>VLOOKUP(D1432,Product_Lookup!$A$2:$C$27,2,FALSE)</f>
        <v>Monitor</v>
      </c>
      <c r="R1431" s="7">
        <f t="shared" si="178"/>
        <v>46.19</v>
      </c>
    </row>
    <row r="1432" spans="1:18" ht="21.75" customHeight="1">
      <c r="A1432" t="s">
        <v>1583</v>
      </c>
      <c r="B1432" s="6">
        <v>45339</v>
      </c>
      <c r="C1432" t="s">
        <v>240</v>
      </c>
      <c r="D1432" t="s">
        <v>102</v>
      </c>
      <c r="E1432" t="s">
        <v>17</v>
      </c>
      <c r="F1432" t="s">
        <v>12</v>
      </c>
      <c r="G1432" t="s">
        <v>28</v>
      </c>
      <c r="H1432">
        <v>16</v>
      </c>
      <c r="I1432" t="str">
        <f>VLOOKUP(D1432,Product_Lookup!$A$2:$C$27,3,FALSE)</f>
        <v>$145.48</v>
      </c>
      <c r="J1432" t="str">
        <f t="shared" si="179"/>
        <v>Saturday</v>
      </c>
      <c r="K1432" s="10" t="str">
        <f t="shared" si="180"/>
        <v>February</v>
      </c>
      <c r="L1432">
        <f t="shared" si="181"/>
        <v>2024</v>
      </c>
      <c r="M1432" t="b">
        <f t="shared" si="182"/>
        <v>1</v>
      </c>
      <c r="N1432" t="b">
        <f t="shared" si="176"/>
        <v>1</v>
      </c>
      <c r="O1432" t="str">
        <f t="shared" si="183"/>
        <v>Large Order</v>
      </c>
      <c r="P1432" s="7">
        <f t="shared" si="177"/>
        <v>7.274</v>
      </c>
      <c r="Q1432" s="7" t="str">
        <f>VLOOKUP(D1433,Product_Lookup!$A$2:$C$27,2,FALSE)</f>
        <v>Puzzle</v>
      </c>
      <c r="R1432" s="7">
        <f t="shared" si="178"/>
        <v>2327.6799999999998</v>
      </c>
    </row>
    <row r="1433" spans="1:18" ht="21.75" customHeight="1">
      <c r="A1433" t="s">
        <v>1584</v>
      </c>
      <c r="B1433" s="6">
        <v>45441</v>
      </c>
      <c r="C1433" t="s">
        <v>345</v>
      </c>
      <c r="D1433" t="s">
        <v>62</v>
      </c>
      <c r="E1433" t="s">
        <v>17</v>
      </c>
      <c r="F1433" t="s">
        <v>27</v>
      </c>
      <c r="G1433" t="s">
        <v>23</v>
      </c>
      <c r="H1433">
        <v>16</v>
      </c>
      <c r="I1433" t="str">
        <f>VLOOKUP(D1433,Product_Lookup!$A$2:$C$27,3,FALSE)</f>
        <v>$46.19</v>
      </c>
      <c r="J1433" t="str">
        <f t="shared" si="179"/>
        <v>Wednesday</v>
      </c>
      <c r="K1433" s="10" t="str">
        <f t="shared" si="180"/>
        <v>May</v>
      </c>
      <c r="L1433">
        <f t="shared" si="181"/>
        <v>2024</v>
      </c>
      <c r="M1433" t="b">
        <f t="shared" si="182"/>
        <v>0</v>
      </c>
      <c r="N1433" t="b">
        <f t="shared" si="176"/>
        <v>0</v>
      </c>
      <c r="O1433" t="str">
        <f t="shared" si="183"/>
        <v>Large Order</v>
      </c>
      <c r="P1433" s="7">
        <f t="shared" si="177"/>
        <v>2.3094999999999999</v>
      </c>
      <c r="Q1433" s="7" t="str">
        <f>VLOOKUP(D1434,Product_Lookup!$A$2:$C$27,2,FALSE)</f>
        <v>Coffee Maker</v>
      </c>
      <c r="R1433" s="7">
        <f t="shared" si="178"/>
        <v>739.04</v>
      </c>
    </row>
    <row r="1434" spans="1:18" ht="21.75" customHeight="1">
      <c r="A1434" t="s">
        <v>1585</v>
      </c>
      <c r="B1434" s="6">
        <v>45574</v>
      </c>
      <c r="C1434" t="s">
        <v>167</v>
      </c>
      <c r="D1434" t="s">
        <v>31</v>
      </c>
      <c r="E1434" t="s">
        <v>11</v>
      </c>
      <c r="F1434" t="s">
        <v>306</v>
      </c>
      <c r="G1434" t="s">
        <v>36</v>
      </c>
      <c r="H1434">
        <v>5</v>
      </c>
      <c r="I1434" t="str">
        <f>VLOOKUP(D1434,Product_Lookup!$A$2:$C$27,3,FALSE)</f>
        <v>$230.34</v>
      </c>
      <c r="J1434" t="str">
        <f t="shared" si="179"/>
        <v>Wednesday</v>
      </c>
      <c r="K1434" s="10" t="str">
        <f t="shared" si="180"/>
        <v>October</v>
      </c>
      <c r="L1434">
        <f t="shared" si="181"/>
        <v>2024</v>
      </c>
      <c r="M1434" t="b">
        <f t="shared" si="182"/>
        <v>0</v>
      </c>
      <c r="N1434" t="b">
        <f t="shared" si="176"/>
        <v>0</v>
      </c>
      <c r="O1434" t="str">
        <f t="shared" si="183"/>
        <v>Large Order</v>
      </c>
      <c r="P1434" s="7">
        <f t="shared" si="177"/>
        <v>11.517000000000001</v>
      </c>
      <c r="Q1434" s="7" t="str">
        <f>VLOOKUP(D1435,Product_Lookup!$A$2:$C$27,2,FALSE)</f>
        <v>Vacuum</v>
      </c>
      <c r="R1434" s="7">
        <f t="shared" si="178"/>
        <v>1151.7</v>
      </c>
    </row>
    <row r="1435" spans="1:18" ht="21.75" customHeight="1">
      <c r="A1435" t="s">
        <v>1586</v>
      </c>
      <c r="B1435" s="6">
        <v>45433</v>
      </c>
      <c r="C1435" t="s">
        <v>337</v>
      </c>
      <c r="D1435" t="s">
        <v>87</v>
      </c>
      <c r="E1435" t="s">
        <v>17</v>
      </c>
      <c r="F1435" t="s">
        <v>306</v>
      </c>
      <c r="G1435" t="s">
        <v>32</v>
      </c>
      <c r="H1435">
        <v>1</v>
      </c>
      <c r="I1435" t="str">
        <f>VLOOKUP(D1435,Product_Lookup!$A$2:$C$27,3,FALSE)</f>
        <v>$26.59</v>
      </c>
      <c r="J1435" t="str">
        <f t="shared" si="179"/>
        <v>Tuesday</v>
      </c>
      <c r="K1435" s="10" t="str">
        <f t="shared" si="180"/>
        <v>May</v>
      </c>
      <c r="L1435">
        <f t="shared" si="181"/>
        <v>2024</v>
      </c>
      <c r="M1435" t="b">
        <f t="shared" si="182"/>
        <v>0</v>
      </c>
      <c r="N1435" t="b">
        <f t="shared" si="176"/>
        <v>0</v>
      </c>
      <c r="O1435" t="str">
        <f t="shared" si="183"/>
        <v>Standard order</v>
      </c>
      <c r="P1435" s="7">
        <f t="shared" si="177"/>
        <v>1.3295000000000001</v>
      </c>
      <c r="Q1435" s="7" t="str">
        <f>VLOOKUP(D1436,Product_Lookup!$A$2:$C$27,2,FALSE)</f>
        <v>Desk Lamp</v>
      </c>
      <c r="R1435" s="7">
        <f t="shared" si="178"/>
        <v>26.59</v>
      </c>
    </row>
    <row r="1436" spans="1:18" ht="21.75" customHeight="1">
      <c r="A1436" t="s">
        <v>1587</v>
      </c>
      <c r="B1436" s="6">
        <v>45444</v>
      </c>
      <c r="C1436" t="s">
        <v>449</v>
      </c>
      <c r="D1436" t="s">
        <v>59</v>
      </c>
      <c r="E1436" t="s">
        <v>22</v>
      </c>
      <c r="F1436" t="s">
        <v>27</v>
      </c>
      <c r="G1436" t="s">
        <v>28</v>
      </c>
      <c r="H1436">
        <v>15</v>
      </c>
      <c r="I1436" t="str">
        <f>VLOOKUP(D1436,Product_Lookup!$A$2:$C$27,3,FALSE)</f>
        <v>$101.96</v>
      </c>
      <c r="J1436" t="str">
        <f t="shared" si="179"/>
        <v>Saturday</v>
      </c>
      <c r="K1436" s="10" t="str">
        <f t="shared" si="180"/>
        <v>June</v>
      </c>
      <c r="L1436">
        <f t="shared" si="181"/>
        <v>2024</v>
      </c>
      <c r="M1436" t="b">
        <f t="shared" si="182"/>
        <v>1</v>
      </c>
      <c r="N1436" t="b">
        <f t="shared" si="176"/>
        <v>1</v>
      </c>
      <c r="O1436" t="str">
        <f t="shared" si="183"/>
        <v>Large Order</v>
      </c>
      <c r="P1436" s="7">
        <f t="shared" si="177"/>
        <v>5.0979999999999999</v>
      </c>
      <c r="Q1436" s="7" t="str">
        <f>VLOOKUP(D1437,Product_Lookup!$A$2:$C$27,2,FALSE)</f>
        <v>Pen Set</v>
      </c>
      <c r="R1436" s="7">
        <f t="shared" si="178"/>
        <v>1529.3999999999999</v>
      </c>
    </row>
    <row r="1437" spans="1:18" ht="21.75" customHeight="1">
      <c r="A1437" t="s">
        <v>1588</v>
      </c>
      <c r="B1437" s="6">
        <v>45468</v>
      </c>
      <c r="C1437" t="s">
        <v>118</v>
      </c>
      <c r="D1437" t="s">
        <v>174</v>
      </c>
      <c r="E1437" t="s">
        <v>22</v>
      </c>
      <c r="F1437" t="s">
        <v>27</v>
      </c>
      <c r="G1437" t="s">
        <v>23</v>
      </c>
      <c r="H1437">
        <v>11</v>
      </c>
      <c r="I1437" t="str">
        <f>VLOOKUP(D1437,Product_Lookup!$A$2:$C$27,3,FALSE)</f>
        <v>$133.37</v>
      </c>
      <c r="J1437" t="str">
        <f t="shared" si="179"/>
        <v>Tuesday</v>
      </c>
      <c r="K1437" s="10" t="str">
        <f t="shared" si="180"/>
        <v>June</v>
      </c>
      <c r="L1437">
        <f t="shared" si="181"/>
        <v>2024</v>
      </c>
      <c r="M1437" t="b">
        <f t="shared" si="182"/>
        <v>0</v>
      </c>
      <c r="N1437" t="b">
        <f t="shared" si="176"/>
        <v>1</v>
      </c>
      <c r="O1437" t="str">
        <f t="shared" si="183"/>
        <v>Large Order</v>
      </c>
      <c r="P1437" s="7">
        <f t="shared" si="177"/>
        <v>6.6685000000000008</v>
      </c>
      <c r="Q1437" s="7" t="str">
        <f>VLOOKUP(D1438,Product_Lookup!$A$2:$C$27,2,FALSE)</f>
        <v>Desk Lamp</v>
      </c>
      <c r="R1437" s="7">
        <f t="shared" si="178"/>
        <v>1467.0700000000002</v>
      </c>
    </row>
    <row r="1438" spans="1:18" ht="21.75" customHeight="1">
      <c r="A1438" t="s">
        <v>1589</v>
      </c>
      <c r="B1438" s="6">
        <v>45649</v>
      </c>
      <c r="C1438" t="s">
        <v>93</v>
      </c>
      <c r="D1438" t="s">
        <v>59</v>
      </c>
      <c r="E1438" t="s">
        <v>17</v>
      </c>
      <c r="F1438" t="s">
        <v>56</v>
      </c>
      <c r="G1438" t="s">
        <v>23</v>
      </c>
      <c r="H1438">
        <v>2</v>
      </c>
      <c r="I1438" t="str">
        <f>VLOOKUP(D1438,Product_Lookup!$A$2:$C$27,3,FALSE)</f>
        <v>$101.96</v>
      </c>
      <c r="J1438" t="str">
        <f t="shared" si="179"/>
        <v>Monday</v>
      </c>
      <c r="K1438" s="10" t="str">
        <f t="shared" si="180"/>
        <v>December</v>
      </c>
      <c r="L1438">
        <f t="shared" si="181"/>
        <v>2024</v>
      </c>
      <c r="M1438" t="b">
        <f t="shared" si="182"/>
        <v>0</v>
      </c>
      <c r="N1438" t="b">
        <f t="shared" si="176"/>
        <v>0</v>
      </c>
      <c r="O1438" t="str">
        <f t="shared" si="183"/>
        <v>Standard order</v>
      </c>
      <c r="P1438" s="7">
        <f t="shared" si="177"/>
        <v>5.0979999999999999</v>
      </c>
      <c r="Q1438" s="7" t="str">
        <f>VLOOKUP(D1439,Product_Lookup!$A$2:$C$27,2,FALSE)</f>
        <v>Coffee Maker</v>
      </c>
      <c r="R1438" s="7">
        <f t="shared" si="178"/>
        <v>203.92</v>
      </c>
    </row>
    <row r="1439" spans="1:18" ht="21.75" customHeight="1">
      <c r="A1439" t="s">
        <v>1590</v>
      </c>
      <c r="B1439" s="6">
        <v>45534</v>
      </c>
      <c r="C1439" t="s">
        <v>369</v>
      </c>
      <c r="D1439" t="s">
        <v>31</v>
      </c>
      <c r="E1439" t="s">
        <v>17</v>
      </c>
      <c r="F1439" t="s">
        <v>56</v>
      </c>
      <c r="G1439" t="s">
        <v>23</v>
      </c>
      <c r="H1439">
        <v>2</v>
      </c>
      <c r="I1439" t="str">
        <f>VLOOKUP(D1439,Product_Lookup!$A$2:$C$27,3,FALSE)</f>
        <v>$230.34</v>
      </c>
      <c r="J1439" t="str">
        <f t="shared" si="179"/>
        <v>Friday</v>
      </c>
      <c r="K1439" s="10" t="str">
        <f t="shared" si="180"/>
        <v>August</v>
      </c>
      <c r="L1439">
        <f t="shared" si="181"/>
        <v>2024</v>
      </c>
      <c r="M1439" t="b">
        <f t="shared" si="182"/>
        <v>0</v>
      </c>
      <c r="N1439" t="b">
        <f t="shared" si="176"/>
        <v>0</v>
      </c>
      <c r="O1439" t="str">
        <f t="shared" si="183"/>
        <v>Standard order</v>
      </c>
      <c r="P1439" s="7">
        <f t="shared" si="177"/>
        <v>11.517000000000001</v>
      </c>
      <c r="Q1439" s="7" t="str">
        <f>VLOOKUP(D1440,Product_Lookup!$A$2:$C$27,2,FALSE)</f>
        <v>Monitor</v>
      </c>
      <c r="R1439" s="7">
        <f t="shared" si="178"/>
        <v>460.68</v>
      </c>
    </row>
    <row r="1440" spans="1:18" ht="21.75" customHeight="1">
      <c r="A1440" t="s">
        <v>1591</v>
      </c>
      <c r="B1440" s="6">
        <v>45594</v>
      </c>
      <c r="C1440" t="s">
        <v>118</v>
      </c>
      <c r="D1440" t="s">
        <v>102</v>
      </c>
      <c r="E1440" t="s">
        <v>17</v>
      </c>
      <c r="F1440" t="s">
        <v>12</v>
      </c>
      <c r="G1440" t="s">
        <v>36</v>
      </c>
      <c r="H1440">
        <v>15</v>
      </c>
      <c r="I1440" t="str">
        <f>VLOOKUP(D1440,Product_Lookup!$A$2:$C$27,3,FALSE)</f>
        <v>$145.48</v>
      </c>
      <c r="J1440" t="str">
        <f t="shared" si="179"/>
        <v>Tuesday</v>
      </c>
      <c r="K1440" s="10" t="str">
        <f t="shared" si="180"/>
        <v>October</v>
      </c>
      <c r="L1440">
        <f t="shared" si="181"/>
        <v>2024</v>
      </c>
      <c r="M1440" t="b">
        <f t="shared" si="182"/>
        <v>0</v>
      </c>
      <c r="N1440" t="b">
        <f t="shared" si="176"/>
        <v>1</v>
      </c>
      <c r="O1440" t="str">
        <f t="shared" si="183"/>
        <v>Large Order</v>
      </c>
      <c r="P1440" s="7">
        <f t="shared" si="177"/>
        <v>7.274</v>
      </c>
      <c r="Q1440" s="7" t="str">
        <f>VLOOKUP(D1441,Product_Lookup!$A$2:$C$27,2,FALSE)</f>
        <v>Action Figure</v>
      </c>
      <c r="R1440" s="7">
        <f t="shared" si="178"/>
        <v>2182.1999999999998</v>
      </c>
    </row>
    <row r="1441" spans="1:18" ht="21.75" customHeight="1">
      <c r="A1441" t="s">
        <v>1592</v>
      </c>
      <c r="B1441" s="6">
        <v>45365</v>
      </c>
      <c r="C1441" t="s">
        <v>408</v>
      </c>
      <c r="D1441" t="s">
        <v>21</v>
      </c>
      <c r="E1441" t="s">
        <v>11</v>
      </c>
      <c r="F1441" t="s">
        <v>12</v>
      </c>
      <c r="G1441" t="s">
        <v>23</v>
      </c>
      <c r="H1441">
        <v>9</v>
      </c>
      <c r="I1441" t="str">
        <f>VLOOKUP(D1441,Product_Lookup!$A$2:$C$27,3,FALSE)</f>
        <v>$88.18</v>
      </c>
      <c r="J1441" t="str">
        <f t="shared" si="179"/>
        <v>Thursday</v>
      </c>
      <c r="K1441" s="10" t="str">
        <f t="shared" si="180"/>
        <v>March</v>
      </c>
      <c r="L1441">
        <f t="shared" si="181"/>
        <v>2024</v>
      </c>
      <c r="M1441" t="b">
        <f t="shared" si="182"/>
        <v>0</v>
      </c>
      <c r="N1441" t="b">
        <f t="shared" si="176"/>
        <v>1</v>
      </c>
      <c r="O1441" t="str">
        <f t="shared" si="183"/>
        <v>Large Order</v>
      </c>
      <c r="P1441" s="7">
        <f t="shared" si="177"/>
        <v>4.4090000000000007</v>
      </c>
      <c r="Q1441" s="7" t="str">
        <f>VLOOKUP(D1442,Product_Lookup!$A$2:$C$27,2,FALSE)</f>
        <v>Action Figure</v>
      </c>
      <c r="R1441" s="7">
        <f t="shared" si="178"/>
        <v>793.62000000000012</v>
      </c>
    </row>
    <row r="1442" spans="1:18" ht="21.75" customHeight="1">
      <c r="A1442" t="s">
        <v>1593</v>
      </c>
      <c r="B1442" s="6">
        <v>45646</v>
      </c>
      <c r="C1442" t="s">
        <v>106</v>
      </c>
      <c r="D1442" t="s">
        <v>21</v>
      </c>
      <c r="E1442" t="s">
        <v>11</v>
      </c>
      <c r="F1442" t="s">
        <v>42</v>
      </c>
      <c r="G1442" t="s">
        <v>36</v>
      </c>
      <c r="H1442">
        <v>13</v>
      </c>
      <c r="I1442" t="str">
        <f>VLOOKUP(D1442,Product_Lookup!$A$2:$C$27,3,FALSE)</f>
        <v>$88.18</v>
      </c>
      <c r="J1442" t="str">
        <f t="shared" si="179"/>
        <v>Friday</v>
      </c>
      <c r="K1442" s="10" t="str">
        <f t="shared" si="180"/>
        <v>December</v>
      </c>
      <c r="L1442">
        <f t="shared" si="181"/>
        <v>2024</v>
      </c>
      <c r="M1442" t="b">
        <f t="shared" si="182"/>
        <v>0</v>
      </c>
      <c r="N1442" t="b">
        <f t="shared" si="176"/>
        <v>1</v>
      </c>
      <c r="O1442" t="str">
        <f t="shared" si="183"/>
        <v>Large Order</v>
      </c>
      <c r="P1442" s="7">
        <f t="shared" si="177"/>
        <v>4.4090000000000007</v>
      </c>
      <c r="Q1442" s="7" t="str">
        <f>VLOOKUP(D1443,Product_Lookup!$A$2:$C$27,2,FALSE)</f>
        <v>Doll</v>
      </c>
      <c r="R1442" s="7">
        <f t="shared" si="178"/>
        <v>1146.3400000000001</v>
      </c>
    </row>
    <row r="1443" spans="1:18" ht="21.75" customHeight="1">
      <c r="A1443" t="s">
        <v>1594</v>
      </c>
      <c r="B1443" s="6">
        <v>45612</v>
      </c>
      <c r="C1443" t="s">
        <v>436</v>
      </c>
      <c r="D1443" t="s">
        <v>119</v>
      </c>
      <c r="E1443" t="s">
        <v>17</v>
      </c>
      <c r="F1443" t="s">
        <v>306</v>
      </c>
      <c r="G1443" t="s">
        <v>13</v>
      </c>
      <c r="H1443">
        <v>20</v>
      </c>
      <c r="I1443" t="str">
        <f>VLOOKUP(D1443,Product_Lookup!$A$2:$C$27,3,FALSE)</f>
        <v>$32.94</v>
      </c>
      <c r="J1443" t="str">
        <f t="shared" si="179"/>
        <v>Saturday</v>
      </c>
      <c r="K1443" s="10" t="str">
        <f t="shared" si="180"/>
        <v>November</v>
      </c>
      <c r="L1443">
        <f t="shared" si="181"/>
        <v>2024</v>
      </c>
      <c r="M1443" t="b">
        <f t="shared" si="182"/>
        <v>1</v>
      </c>
      <c r="N1443" t="b">
        <f t="shared" si="176"/>
        <v>0</v>
      </c>
      <c r="O1443" t="str">
        <f t="shared" si="183"/>
        <v>Large Order</v>
      </c>
      <c r="P1443" s="7">
        <f t="shared" si="177"/>
        <v>1.647</v>
      </c>
      <c r="Q1443" s="7" t="str">
        <f>VLOOKUP(D1444,Product_Lookup!$A$2:$C$27,2,FALSE)</f>
        <v>Socks</v>
      </c>
      <c r="R1443" s="7">
        <f t="shared" si="178"/>
        <v>658.8</v>
      </c>
    </row>
    <row r="1444" spans="1:18" ht="21.75" customHeight="1">
      <c r="A1444" t="s">
        <v>1595</v>
      </c>
      <c r="B1444" s="6">
        <v>45615</v>
      </c>
      <c r="C1444" t="s">
        <v>455</v>
      </c>
      <c r="D1444" t="s">
        <v>74</v>
      </c>
      <c r="E1444" t="s">
        <v>11</v>
      </c>
      <c r="F1444" t="s">
        <v>12</v>
      </c>
      <c r="G1444" t="s">
        <v>23</v>
      </c>
      <c r="H1444">
        <v>4</v>
      </c>
      <c r="I1444" t="str">
        <f>VLOOKUP(D1444,Product_Lookup!$A$2:$C$27,3,FALSE)</f>
        <v>$201.32</v>
      </c>
      <c r="J1444" t="str">
        <f t="shared" si="179"/>
        <v>Tuesday</v>
      </c>
      <c r="K1444" s="10" t="str">
        <f t="shared" si="180"/>
        <v>November</v>
      </c>
      <c r="L1444">
        <f t="shared" si="181"/>
        <v>2024</v>
      </c>
      <c r="M1444" t="b">
        <f t="shared" si="182"/>
        <v>0</v>
      </c>
      <c r="N1444" t="b">
        <f t="shared" si="176"/>
        <v>0</v>
      </c>
      <c r="O1444" t="str">
        <f t="shared" si="183"/>
        <v>Large Order</v>
      </c>
      <c r="P1444" s="7">
        <f t="shared" si="177"/>
        <v>10.066000000000001</v>
      </c>
      <c r="Q1444" s="7" t="str">
        <f>VLOOKUP(D1445,Product_Lookup!$A$2:$C$27,2,FALSE)</f>
        <v>Air Fryer</v>
      </c>
      <c r="R1444" s="7">
        <f t="shared" si="178"/>
        <v>805.28</v>
      </c>
    </row>
    <row r="1445" spans="1:18" ht="21.75" customHeight="1">
      <c r="A1445" t="s">
        <v>1596</v>
      </c>
      <c r="B1445" s="6">
        <v>45652</v>
      </c>
      <c r="C1445" t="s">
        <v>108</v>
      </c>
      <c r="D1445" t="s">
        <v>70</v>
      </c>
      <c r="E1445" t="s">
        <v>11</v>
      </c>
      <c r="F1445" t="s">
        <v>42</v>
      </c>
      <c r="G1445" t="s">
        <v>13</v>
      </c>
      <c r="H1445">
        <v>2</v>
      </c>
      <c r="I1445" t="str">
        <f>VLOOKUP(D1445,Product_Lookup!$A$2:$C$27,3,FALSE)</f>
        <v>$211.9</v>
      </c>
      <c r="J1445" t="str">
        <f t="shared" si="179"/>
        <v>Thursday</v>
      </c>
      <c r="K1445" s="10" t="str">
        <f t="shared" si="180"/>
        <v>December</v>
      </c>
      <c r="L1445">
        <f t="shared" si="181"/>
        <v>2024</v>
      </c>
      <c r="M1445" t="b">
        <f t="shared" si="182"/>
        <v>0</v>
      </c>
      <c r="N1445" t="b">
        <f t="shared" si="176"/>
        <v>0</v>
      </c>
      <c r="O1445" t="str">
        <f t="shared" si="183"/>
        <v>Standard order</v>
      </c>
      <c r="P1445" s="7">
        <f t="shared" si="177"/>
        <v>10.595000000000001</v>
      </c>
      <c r="Q1445" s="7" t="str">
        <f>VLOOKUP(D1446,Product_Lookup!$A$2:$C$27,2,FALSE)</f>
        <v>Toaster</v>
      </c>
      <c r="R1445" s="7">
        <f t="shared" si="178"/>
        <v>423.8</v>
      </c>
    </row>
    <row r="1446" spans="1:18" ht="21.75" customHeight="1">
      <c r="A1446" t="s">
        <v>1597</v>
      </c>
      <c r="B1446" s="6">
        <v>45320</v>
      </c>
      <c r="C1446" t="s">
        <v>61</v>
      </c>
      <c r="D1446" t="s">
        <v>48</v>
      </c>
      <c r="E1446" t="s">
        <v>17</v>
      </c>
      <c r="F1446" t="s">
        <v>27</v>
      </c>
      <c r="G1446" t="s">
        <v>28</v>
      </c>
      <c r="H1446">
        <v>8</v>
      </c>
      <c r="I1446" t="str">
        <f>VLOOKUP(D1446,Product_Lookup!$A$2:$C$27,3,FALSE)</f>
        <v>$208.85</v>
      </c>
      <c r="J1446" t="str">
        <f t="shared" si="179"/>
        <v>Monday</v>
      </c>
      <c r="K1446" s="10" t="str">
        <f t="shared" si="180"/>
        <v>January</v>
      </c>
      <c r="L1446">
        <f t="shared" si="181"/>
        <v>2024</v>
      </c>
      <c r="M1446" t="b">
        <f t="shared" si="182"/>
        <v>0</v>
      </c>
      <c r="N1446" t="b">
        <f t="shared" si="176"/>
        <v>1</v>
      </c>
      <c r="O1446" t="str">
        <f t="shared" si="183"/>
        <v>Large Order</v>
      </c>
      <c r="P1446" s="7">
        <f t="shared" si="177"/>
        <v>10.442500000000001</v>
      </c>
      <c r="Q1446" s="7" t="str">
        <f>VLOOKUP(D1447,Product_Lookup!$A$2:$C$27,2,FALSE)</f>
        <v>T-Shirt</v>
      </c>
      <c r="R1446" s="7">
        <f t="shared" si="178"/>
        <v>1670.8</v>
      </c>
    </row>
    <row r="1447" spans="1:18" ht="21.75" customHeight="1">
      <c r="A1447" t="s">
        <v>1598</v>
      </c>
      <c r="B1447" s="6">
        <v>45581</v>
      </c>
      <c r="C1447" t="s">
        <v>455</v>
      </c>
      <c r="D1447" t="s">
        <v>45</v>
      </c>
      <c r="E1447" t="s">
        <v>11</v>
      </c>
      <c r="F1447" t="s">
        <v>56</v>
      </c>
      <c r="G1447" t="s">
        <v>13</v>
      </c>
      <c r="H1447">
        <v>20</v>
      </c>
      <c r="I1447" t="str">
        <f>VLOOKUP(D1447,Product_Lookup!$A$2:$C$27,3,FALSE)</f>
        <v>$107.34</v>
      </c>
      <c r="J1447" t="str">
        <f t="shared" si="179"/>
        <v>Wednesday</v>
      </c>
      <c r="K1447" s="10" t="str">
        <f t="shared" si="180"/>
        <v>October</v>
      </c>
      <c r="L1447">
        <f t="shared" si="181"/>
        <v>2024</v>
      </c>
      <c r="M1447" t="b">
        <f t="shared" si="182"/>
        <v>0</v>
      </c>
      <c r="N1447" t="b">
        <f t="shared" si="176"/>
        <v>1</v>
      </c>
      <c r="O1447" t="str">
        <f t="shared" si="183"/>
        <v>Large Order</v>
      </c>
      <c r="P1447" s="7">
        <f t="shared" si="177"/>
        <v>5.3670000000000009</v>
      </c>
      <c r="Q1447" s="7" t="str">
        <f>VLOOKUP(D1448,Product_Lookup!$A$2:$C$27,2,FALSE)</f>
        <v>Jacket</v>
      </c>
      <c r="R1447" s="7">
        <f t="shared" si="178"/>
        <v>2146.8000000000002</v>
      </c>
    </row>
    <row r="1448" spans="1:18" ht="21.75" customHeight="1">
      <c r="A1448" t="s">
        <v>1599</v>
      </c>
      <c r="B1448" s="6">
        <v>45609</v>
      </c>
      <c r="C1448" t="s">
        <v>455</v>
      </c>
      <c r="D1448" t="s">
        <v>197</v>
      </c>
      <c r="E1448" t="s">
        <v>17</v>
      </c>
      <c r="F1448" t="s">
        <v>306</v>
      </c>
      <c r="G1448" t="s">
        <v>28</v>
      </c>
      <c r="H1448">
        <v>8</v>
      </c>
      <c r="I1448" t="str">
        <f>VLOOKUP(D1448,Product_Lookup!$A$2:$C$27,3,FALSE)</f>
        <v>$10.11</v>
      </c>
      <c r="J1448" t="str">
        <f t="shared" si="179"/>
        <v>Wednesday</v>
      </c>
      <c r="K1448" s="10" t="str">
        <f t="shared" si="180"/>
        <v>November</v>
      </c>
      <c r="L1448">
        <f t="shared" si="181"/>
        <v>2024</v>
      </c>
      <c r="M1448" t="b">
        <f t="shared" si="182"/>
        <v>0</v>
      </c>
      <c r="N1448" t="b">
        <f t="shared" si="176"/>
        <v>0</v>
      </c>
      <c r="O1448" t="str">
        <f t="shared" si="183"/>
        <v>Standard order</v>
      </c>
      <c r="P1448" s="7">
        <f t="shared" si="177"/>
        <v>0.50549999999999995</v>
      </c>
      <c r="Q1448" s="7" t="str">
        <f>VLOOKUP(D1449,Product_Lookup!$A$2:$C$27,2,FALSE)</f>
        <v>Sweater</v>
      </c>
      <c r="R1448" s="7">
        <f t="shared" si="178"/>
        <v>80.88</v>
      </c>
    </row>
    <row r="1449" spans="1:18" ht="21.75" customHeight="1">
      <c r="A1449" t="s">
        <v>1600</v>
      </c>
      <c r="B1449" s="6">
        <v>45422</v>
      </c>
      <c r="C1449" t="s">
        <v>366</v>
      </c>
      <c r="D1449" t="s">
        <v>26</v>
      </c>
      <c r="E1449" t="s">
        <v>22</v>
      </c>
      <c r="F1449" t="s">
        <v>12</v>
      </c>
      <c r="G1449" t="s">
        <v>23</v>
      </c>
      <c r="H1449">
        <v>10</v>
      </c>
      <c r="I1449" t="str">
        <f>VLOOKUP(D1449,Product_Lookup!$A$2:$C$27,3,FALSE)</f>
        <v>$84.57</v>
      </c>
      <c r="J1449" t="str">
        <f t="shared" si="179"/>
        <v>Friday</v>
      </c>
      <c r="K1449" s="10" t="str">
        <f t="shared" si="180"/>
        <v>May</v>
      </c>
      <c r="L1449">
        <f t="shared" si="181"/>
        <v>2024</v>
      </c>
      <c r="M1449" t="b">
        <f t="shared" si="182"/>
        <v>0</v>
      </c>
      <c r="N1449" t="b">
        <f t="shared" si="176"/>
        <v>1</v>
      </c>
      <c r="O1449" t="str">
        <f t="shared" si="183"/>
        <v>Large Order</v>
      </c>
      <c r="P1449" s="7">
        <f t="shared" si="177"/>
        <v>4.2284999999999995</v>
      </c>
      <c r="Q1449" s="7" t="str">
        <f>VLOOKUP(D1450,Product_Lookup!$A$2:$C$27,2,FALSE)</f>
        <v>Air Fryer</v>
      </c>
      <c r="R1449" s="7">
        <f t="shared" si="178"/>
        <v>845.69999999999993</v>
      </c>
    </row>
    <row r="1450" spans="1:18" ht="21.75" customHeight="1">
      <c r="A1450" t="s">
        <v>1601</v>
      </c>
      <c r="B1450" s="6">
        <v>45372</v>
      </c>
      <c r="C1450" t="s">
        <v>208</v>
      </c>
      <c r="D1450" t="s">
        <v>70</v>
      </c>
      <c r="E1450" t="s">
        <v>17</v>
      </c>
      <c r="F1450" t="s">
        <v>306</v>
      </c>
      <c r="G1450" t="s">
        <v>32</v>
      </c>
      <c r="H1450">
        <v>14</v>
      </c>
      <c r="I1450" t="str">
        <f>VLOOKUP(D1450,Product_Lookup!$A$2:$C$27,3,FALSE)</f>
        <v>$211.9</v>
      </c>
      <c r="J1450" t="str">
        <f t="shared" si="179"/>
        <v>Thursday</v>
      </c>
      <c r="K1450" s="10" t="str">
        <f t="shared" si="180"/>
        <v>March</v>
      </c>
      <c r="L1450">
        <f t="shared" si="181"/>
        <v>2024</v>
      </c>
      <c r="M1450" t="b">
        <f t="shared" si="182"/>
        <v>0</v>
      </c>
      <c r="N1450" t="b">
        <f t="shared" si="176"/>
        <v>1</v>
      </c>
      <c r="O1450" t="str">
        <f t="shared" si="183"/>
        <v>Large Order</v>
      </c>
      <c r="P1450" s="7">
        <f t="shared" si="177"/>
        <v>10.595000000000001</v>
      </c>
      <c r="Q1450" s="7" t="str">
        <f>VLOOKUP(D1451,Product_Lookup!$A$2:$C$27,2,FALSE)</f>
        <v>Jeans</v>
      </c>
      <c r="R1450" s="7">
        <f t="shared" si="178"/>
        <v>2966.6</v>
      </c>
    </row>
    <row r="1451" spans="1:18" ht="21.75" customHeight="1">
      <c r="A1451" t="s">
        <v>1602</v>
      </c>
      <c r="B1451" s="6">
        <v>45525</v>
      </c>
      <c r="C1451" t="s">
        <v>68</v>
      </c>
      <c r="D1451" t="s">
        <v>65</v>
      </c>
      <c r="E1451" t="s">
        <v>17</v>
      </c>
      <c r="F1451" t="s">
        <v>27</v>
      </c>
      <c r="G1451" t="s">
        <v>13</v>
      </c>
      <c r="H1451">
        <v>8</v>
      </c>
      <c r="I1451" t="str">
        <f>VLOOKUP(D1451,Product_Lookup!$A$2:$C$27,3,FALSE)</f>
        <v>$33.22</v>
      </c>
      <c r="J1451" t="str">
        <f t="shared" si="179"/>
        <v>Wednesday</v>
      </c>
      <c r="K1451" s="10" t="str">
        <f t="shared" si="180"/>
        <v>August</v>
      </c>
      <c r="L1451">
        <f t="shared" si="181"/>
        <v>2024</v>
      </c>
      <c r="M1451" t="b">
        <f t="shared" si="182"/>
        <v>0</v>
      </c>
      <c r="N1451" t="b">
        <f t="shared" si="176"/>
        <v>0</v>
      </c>
      <c r="O1451" t="str">
        <f t="shared" si="183"/>
        <v>Standard order</v>
      </c>
      <c r="P1451" s="7">
        <f t="shared" si="177"/>
        <v>1.661</v>
      </c>
      <c r="Q1451" s="7" t="str">
        <f>VLOOKUP(D1452,Product_Lookup!$A$2:$C$27,2,FALSE)</f>
        <v>Socks</v>
      </c>
      <c r="R1451" s="7">
        <f t="shared" si="178"/>
        <v>265.76</v>
      </c>
    </row>
    <row r="1452" spans="1:18" ht="21.75" customHeight="1">
      <c r="A1452" t="s">
        <v>1603</v>
      </c>
      <c r="B1452" s="6">
        <v>45475</v>
      </c>
      <c r="C1452" t="s">
        <v>314</v>
      </c>
      <c r="D1452" t="s">
        <v>74</v>
      </c>
      <c r="E1452" t="s">
        <v>22</v>
      </c>
      <c r="F1452" t="s">
        <v>42</v>
      </c>
      <c r="G1452" t="s">
        <v>13</v>
      </c>
      <c r="H1452">
        <v>13</v>
      </c>
      <c r="I1452" t="str">
        <f>VLOOKUP(D1452,Product_Lookup!$A$2:$C$27,3,FALSE)</f>
        <v>$201.32</v>
      </c>
      <c r="J1452" t="str">
        <f t="shared" si="179"/>
        <v>Tuesday</v>
      </c>
      <c r="K1452" s="10" t="str">
        <f t="shared" si="180"/>
        <v>July</v>
      </c>
      <c r="L1452">
        <f t="shared" si="181"/>
        <v>2024</v>
      </c>
      <c r="M1452" t="b">
        <f t="shared" si="182"/>
        <v>0</v>
      </c>
      <c r="N1452" t="b">
        <f t="shared" si="176"/>
        <v>1</v>
      </c>
      <c r="O1452" t="str">
        <f t="shared" si="183"/>
        <v>Large Order</v>
      </c>
      <c r="P1452" s="7">
        <f t="shared" si="177"/>
        <v>10.066000000000001</v>
      </c>
      <c r="Q1452" s="7" t="str">
        <f>VLOOKUP(D1453,Product_Lookup!$A$2:$C$27,2,FALSE)</f>
        <v>Doll</v>
      </c>
      <c r="R1452" s="7">
        <f t="shared" si="178"/>
        <v>2617.16</v>
      </c>
    </row>
    <row r="1453" spans="1:18" ht="21.75" customHeight="1">
      <c r="A1453" t="s">
        <v>1604</v>
      </c>
      <c r="B1453" s="6">
        <v>45581</v>
      </c>
      <c r="C1453" t="s">
        <v>455</v>
      </c>
      <c r="D1453" t="s">
        <v>119</v>
      </c>
      <c r="E1453" t="s">
        <v>22</v>
      </c>
      <c r="F1453" t="s">
        <v>12</v>
      </c>
      <c r="G1453" t="s">
        <v>36</v>
      </c>
      <c r="H1453">
        <v>16</v>
      </c>
      <c r="I1453" t="str">
        <f>VLOOKUP(D1453,Product_Lookup!$A$2:$C$27,3,FALSE)</f>
        <v>$32.94</v>
      </c>
      <c r="J1453" t="str">
        <f t="shared" si="179"/>
        <v>Wednesday</v>
      </c>
      <c r="K1453" s="10" t="str">
        <f t="shared" si="180"/>
        <v>October</v>
      </c>
      <c r="L1453">
        <f t="shared" si="181"/>
        <v>2024</v>
      </c>
      <c r="M1453" t="b">
        <f t="shared" si="182"/>
        <v>0</v>
      </c>
      <c r="N1453" t="b">
        <f t="shared" si="176"/>
        <v>0</v>
      </c>
      <c r="O1453" t="str">
        <f t="shared" si="183"/>
        <v>Large Order</v>
      </c>
      <c r="P1453" s="7">
        <f t="shared" si="177"/>
        <v>1.647</v>
      </c>
      <c r="Q1453" s="7" t="str">
        <f>VLOOKUP(D1454,Product_Lookup!$A$2:$C$27,2,FALSE)</f>
        <v>Jacket</v>
      </c>
      <c r="R1453" s="7">
        <f t="shared" si="178"/>
        <v>527.04</v>
      </c>
    </row>
    <row r="1454" spans="1:18" ht="21.75" customHeight="1">
      <c r="A1454" t="s">
        <v>1605</v>
      </c>
      <c r="B1454" s="6">
        <v>45438</v>
      </c>
      <c r="C1454" t="s">
        <v>420</v>
      </c>
      <c r="D1454" t="s">
        <v>197</v>
      </c>
      <c r="E1454" t="s">
        <v>22</v>
      </c>
      <c r="F1454" t="s">
        <v>42</v>
      </c>
      <c r="G1454" t="s">
        <v>28</v>
      </c>
      <c r="H1454">
        <v>7</v>
      </c>
      <c r="I1454" t="str">
        <f>VLOOKUP(D1454,Product_Lookup!$A$2:$C$27,3,FALSE)</f>
        <v>$10.11</v>
      </c>
      <c r="J1454" t="str">
        <f t="shared" si="179"/>
        <v>Sunday</v>
      </c>
      <c r="K1454" s="10" t="str">
        <f t="shared" si="180"/>
        <v>May</v>
      </c>
      <c r="L1454">
        <f t="shared" si="181"/>
        <v>2024</v>
      </c>
      <c r="M1454" t="b">
        <f t="shared" si="182"/>
        <v>1</v>
      </c>
      <c r="N1454" t="b">
        <f t="shared" si="176"/>
        <v>0</v>
      </c>
      <c r="O1454" t="str">
        <f t="shared" si="183"/>
        <v>Standard order</v>
      </c>
      <c r="P1454" s="7">
        <f t="shared" si="177"/>
        <v>0.50549999999999995</v>
      </c>
      <c r="Q1454" s="7" t="str">
        <f>VLOOKUP(D1455,Product_Lookup!$A$2:$C$27,2,FALSE)</f>
        <v>Lego Set</v>
      </c>
      <c r="R1454" s="7">
        <f t="shared" si="178"/>
        <v>70.77</v>
      </c>
    </row>
    <row r="1455" spans="1:18" ht="21.75" customHeight="1">
      <c r="A1455" t="s">
        <v>1606</v>
      </c>
      <c r="B1455" s="6">
        <v>45639</v>
      </c>
      <c r="C1455" t="s">
        <v>664</v>
      </c>
      <c r="D1455" t="s">
        <v>84</v>
      </c>
      <c r="E1455" t="s">
        <v>22</v>
      </c>
      <c r="F1455" t="s">
        <v>56</v>
      </c>
      <c r="G1455" t="s">
        <v>13</v>
      </c>
      <c r="H1455">
        <v>2</v>
      </c>
      <c r="I1455" t="str">
        <f>VLOOKUP(D1455,Product_Lookup!$A$2:$C$27,3,FALSE)</f>
        <v>$130.07</v>
      </c>
      <c r="J1455" t="str">
        <f t="shared" si="179"/>
        <v>Friday</v>
      </c>
      <c r="K1455" s="10" t="str">
        <f t="shared" si="180"/>
        <v>December</v>
      </c>
      <c r="L1455">
        <f t="shared" si="181"/>
        <v>2024</v>
      </c>
      <c r="M1455" t="b">
        <f t="shared" si="182"/>
        <v>0</v>
      </c>
      <c r="N1455" t="b">
        <f t="shared" si="176"/>
        <v>0</v>
      </c>
      <c r="O1455" t="str">
        <f t="shared" si="183"/>
        <v>Standard order</v>
      </c>
      <c r="P1455" s="7">
        <f t="shared" si="177"/>
        <v>6.5034999999999998</v>
      </c>
      <c r="Q1455" s="7" t="str">
        <f>VLOOKUP(D1456,Product_Lookup!$A$2:$C$27,2,FALSE)</f>
        <v>Desk Lamp</v>
      </c>
      <c r="R1455" s="7">
        <f t="shared" si="178"/>
        <v>260.14</v>
      </c>
    </row>
    <row r="1456" spans="1:18" ht="21.75" customHeight="1">
      <c r="A1456" t="s">
        <v>1607</v>
      </c>
      <c r="B1456" s="6">
        <v>45517</v>
      </c>
      <c r="C1456" t="s">
        <v>122</v>
      </c>
      <c r="D1456" t="s">
        <v>59</v>
      </c>
      <c r="E1456" t="s">
        <v>17</v>
      </c>
      <c r="F1456" t="s">
        <v>56</v>
      </c>
      <c r="G1456" t="s">
        <v>13</v>
      </c>
      <c r="H1456">
        <v>10</v>
      </c>
      <c r="I1456" t="str">
        <f>VLOOKUP(D1456,Product_Lookup!$A$2:$C$27,3,FALSE)</f>
        <v>$101.96</v>
      </c>
      <c r="J1456" t="str">
        <f t="shared" si="179"/>
        <v>Tuesday</v>
      </c>
      <c r="K1456" s="10" t="str">
        <f t="shared" si="180"/>
        <v>August</v>
      </c>
      <c r="L1456">
        <f t="shared" si="181"/>
        <v>2024</v>
      </c>
      <c r="M1456" t="b">
        <f t="shared" si="182"/>
        <v>0</v>
      </c>
      <c r="N1456" t="b">
        <f t="shared" si="176"/>
        <v>1</v>
      </c>
      <c r="O1456" t="str">
        <f t="shared" si="183"/>
        <v>Large Order</v>
      </c>
      <c r="P1456" s="7">
        <f t="shared" si="177"/>
        <v>5.0979999999999999</v>
      </c>
      <c r="Q1456" s="7" t="str">
        <f>VLOOKUP(D1457,Product_Lookup!$A$2:$C$27,2,FALSE)</f>
        <v>Jeans</v>
      </c>
      <c r="R1456" s="7">
        <f t="shared" si="178"/>
        <v>1019.5999999999999</v>
      </c>
    </row>
    <row r="1457" spans="1:18" ht="21.75" customHeight="1">
      <c r="A1457" t="s">
        <v>1608</v>
      </c>
      <c r="B1457" s="6">
        <v>45504</v>
      </c>
      <c r="C1457" t="s">
        <v>235</v>
      </c>
      <c r="D1457" t="s">
        <v>65</v>
      </c>
      <c r="E1457" t="s">
        <v>11</v>
      </c>
      <c r="F1457" t="s">
        <v>306</v>
      </c>
      <c r="G1457" t="s">
        <v>32</v>
      </c>
      <c r="H1457">
        <v>17</v>
      </c>
      <c r="I1457" t="str">
        <f>VLOOKUP(D1457,Product_Lookup!$A$2:$C$27,3,FALSE)</f>
        <v>$33.22</v>
      </c>
      <c r="J1457" t="str">
        <f t="shared" si="179"/>
        <v>Wednesday</v>
      </c>
      <c r="K1457" s="10" t="str">
        <f t="shared" si="180"/>
        <v>July</v>
      </c>
      <c r="L1457">
        <f t="shared" si="181"/>
        <v>2024</v>
      </c>
      <c r="M1457" t="b">
        <f t="shared" si="182"/>
        <v>0</v>
      </c>
      <c r="N1457" t="b">
        <f t="shared" si="176"/>
        <v>0</v>
      </c>
      <c r="O1457" t="str">
        <f t="shared" si="183"/>
        <v>Large Order</v>
      </c>
      <c r="P1457" s="7">
        <f t="shared" si="177"/>
        <v>1.661</v>
      </c>
      <c r="Q1457" s="7" t="str">
        <f>VLOOKUP(D1458,Product_Lookup!$A$2:$C$27,2,FALSE)</f>
        <v>Sweater</v>
      </c>
      <c r="R1457" s="7">
        <f t="shared" si="178"/>
        <v>564.74</v>
      </c>
    </row>
    <row r="1458" spans="1:18" ht="21.75" customHeight="1">
      <c r="A1458" t="s">
        <v>1609</v>
      </c>
      <c r="B1458" s="6">
        <v>45431</v>
      </c>
      <c r="C1458" t="s">
        <v>30</v>
      </c>
      <c r="D1458" t="s">
        <v>26</v>
      </c>
      <c r="E1458" t="s">
        <v>17</v>
      </c>
      <c r="F1458" t="s">
        <v>42</v>
      </c>
      <c r="G1458" t="s">
        <v>32</v>
      </c>
      <c r="H1458">
        <v>4</v>
      </c>
      <c r="I1458" t="str">
        <f>VLOOKUP(D1458,Product_Lookup!$A$2:$C$27,3,FALSE)</f>
        <v>$84.57</v>
      </c>
      <c r="J1458" t="str">
        <f t="shared" si="179"/>
        <v>Sunday</v>
      </c>
      <c r="K1458" s="10" t="str">
        <f t="shared" si="180"/>
        <v>May</v>
      </c>
      <c r="L1458">
        <f t="shared" si="181"/>
        <v>2024</v>
      </c>
      <c r="M1458" t="b">
        <f t="shared" si="182"/>
        <v>1</v>
      </c>
      <c r="N1458" t="b">
        <f t="shared" si="176"/>
        <v>0</v>
      </c>
      <c r="O1458" t="str">
        <f t="shared" si="183"/>
        <v>Standard order</v>
      </c>
      <c r="P1458" s="7">
        <f t="shared" si="177"/>
        <v>4.2284999999999995</v>
      </c>
      <c r="Q1458" s="7" t="str">
        <f>VLOOKUP(D1459,Product_Lookup!$A$2:$C$27,2,FALSE)</f>
        <v>Doll</v>
      </c>
      <c r="R1458" s="7">
        <f t="shared" si="178"/>
        <v>338.28</v>
      </c>
    </row>
    <row r="1459" spans="1:18" ht="21.75" customHeight="1">
      <c r="A1459" t="s">
        <v>1610</v>
      </c>
      <c r="B1459" s="6">
        <v>45330</v>
      </c>
      <c r="C1459" t="s">
        <v>167</v>
      </c>
      <c r="D1459" t="s">
        <v>119</v>
      </c>
      <c r="E1459" t="s">
        <v>11</v>
      </c>
      <c r="F1459" t="s">
        <v>27</v>
      </c>
      <c r="G1459" t="s">
        <v>36</v>
      </c>
      <c r="H1459">
        <v>12</v>
      </c>
      <c r="I1459" t="str">
        <f>VLOOKUP(D1459,Product_Lookup!$A$2:$C$27,3,FALSE)</f>
        <v>$32.94</v>
      </c>
      <c r="J1459" t="str">
        <f t="shared" si="179"/>
        <v>Thursday</v>
      </c>
      <c r="K1459" s="10" t="str">
        <f t="shared" si="180"/>
        <v>February</v>
      </c>
      <c r="L1459">
        <f t="shared" si="181"/>
        <v>2024</v>
      </c>
      <c r="M1459" t="b">
        <f t="shared" si="182"/>
        <v>0</v>
      </c>
      <c r="N1459" t="b">
        <f t="shared" si="176"/>
        <v>0</v>
      </c>
      <c r="O1459" t="str">
        <f t="shared" si="183"/>
        <v>Standard order</v>
      </c>
      <c r="P1459" s="7">
        <f t="shared" si="177"/>
        <v>1.647</v>
      </c>
      <c r="Q1459" s="7" t="str">
        <f>VLOOKUP(D1460,Product_Lookup!$A$2:$C$27,2,FALSE)</f>
        <v>Sweater</v>
      </c>
      <c r="R1459" s="7">
        <f t="shared" si="178"/>
        <v>395.28</v>
      </c>
    </row>
    <row r="1460" spans="1:18" ht="21.75" customHeight="1">
      <c r="A1460" t="s">
        <v>1611</v>
      </c>
      <c r="B1460" s="6">
        <v>45494</v>
      </c>
      <c r="C1460" t="s">
        <v>142</v>
      </c>
      <c r="D1460" t="s">
        <v>26</v>
      </c>
      <c r="E1460" t="s">
        <v>22</v>
      </c>
      <c r="F1460" t="s">
        <v>12</v>
      </c>
      <c r="G1460" t="s">
        <v>23</v>
      </c>
      <c r="H1460">
        <v>12</v>
      </c>
      <c r="I1460" t="str">
        <f>VLOOKUP(D1460,Product_Lookup!$A$2:$C$27,3,FALSE)</f>
        <v>$84.57</v>
      </c>
      <c r="J1460" t="str">
        <f t="shared" si="179"/>
        <v>Sunday</v>
      </c>
      <c r="K1460" s="10" t="str">
        <f t="shared" si="180"/>
        <v>July</v>
      </c>
      <c r="L1460">
        <f t="shared" si="181"/>
        <v>2024</v>
      </c>
      <c r="M1460" t="b">
        <f t="shared" si="182"/>
        <v>1</v>
      </c>
      <c r="N1460" t="b">
        <f t="shared" si="176"/>
        <v>1</v>
      </c>
      <c r="O1460" t="str">
        <f t="shared" si="183"/>
        <v>Large Order</v>
      </c>
      <c r="P1460" s="7">
        <f t="shared" si="177"/>
        <v>4.2284999999999995</v>
      </c>
      <c r="Q1460" s="7" t="str">
        <f>VLOOKUP(D1461,Product_Lookup!$A$2:$C$27,2,FALSE)</f>
        <v>Desk Lamp</v>
      </c>
      <c r="R1460" s="7">
        <f t="shared" si="178"/>
        <v>1014.8399999999999</v>
      </c>
    </row>
    <row r="1461" spans="1:18" ht="21.75" customHeight="1">
      <c r="A1461" t="s">
        <v>1612</v>
      </c>
      <c r="B1461" s="6">
        <v>45636</v>
      </c>
      <c r="C1461" t="s">
        <v>86</v>
      </c>
      <c r="D1461" t="s">
        <v>59</v>
      </c>
      <c r="E1461" t="s">
        <v>17</v>
      </c>
      <c r="F1461" t="s">
        <v>42</v>
      </c>
      <c r="G1461" t="s">
        <v>13</v>
      </c>
      <c r="H1461">
        <v>8</v>
      </c>
      <c r="I1461" t="str">
        <f>VLOOKUP(D1461,Product_Lookup!$A$2:$C$27,3,FALSE)</f>
        <v>$101.96</v>
      </c>
      <c r="J1461" t="str">
        <f t="shared" si="179"/>
        <v>Tuesday</v>
      </c>
      <c r="K1461" s="10" t="str">
        <f t="shared" si="180"/>
        <v>December</v>
      </c>
      <c r="L1461">
        <f t="shared" si="181"/>
        <v>2024</v>
      </c>
      <c r="M1461" t="b">
        <f t="shared" si="182"/>
        <v>0</v>
      </c>
      <c r="N1461" t="b">
        <f t="shared" si="176"/>
        <v>1</v>
      </c>
      <c r="O1461" t="str">
        <f t="shared" si="183"/>
        <v>Large Order</v>
      </c>
      <c r="P1461" s="7">
        <f t="shared" si="177"/>
        <v>5.0979999999999999</v>
      </c>
      <c r="Q1461" s="7" t="str">
        <f>VLOOKUP(D1462,Product_Lookup!$A$2:$C$27,2,FALSE)</f>
        <v>Blender</v>
      </c>
      <c r="R1461" s="7">
        <f t="shared" si="178"/>
        <v>815.68</v>
      </c>
    </row>
    <row r="1462" spans="1:18" ht="21.75" customHeight="1">
      <c r="A1462" t="s">
        <v>1613</v>
      </c>
      <c r="B1462" s="6">
        <v>45609</v>
      </c>
      <c r="C1462" t="s">
        <v>642</v>
      </c>
      <c r="D1462" t="s">
        <v>72</v>
      </c>
      <c r="E1462" t="s">
        <v>22</v>
      </c>
      <c r="F1462" t="s">
        <v>56</v>
      </c>
      <c r="G1462" t="s">
        <v>13</v>
      </c>
      <c r="H1462">
        <v>15</v>
      </c>
      <c r="I1462" t="str">
        <f>VLOOKUP(D1462,Product_Lookup!$A$2:$C$27,3,FALSE)</f>
        <v>$156.44</v>
      </c>
      <c r="J1462" t="str">
        <f t="shared" si="179"/>
        <v>Wednesday</v>
      </c>
      <c r="K1462" s="10" t="str">
        <f t="shared" si="180"/>
        <v>November</v>
      </c>
      <c r="L1462">
        <f t="shared" si="181"/>
        <v>2024</v>
      </c>
      <c r="M1462" t="b">
        <f t="shared" si="182"/>
        <v>0</v>
      </c>
      <c r="N1462" t="b">
        <f t="shared" si="176"/>
        <v>1</v>
      </c>
      <c r="O1462" t="str">
        <f t="shared" si="183"/>
        <v>Large Order</v>
      </c>
      <c r="P1462" s="7">
        <f t="shared" si="177"/>
        <v>7.8220000000000001</v>
      </c>
      <c r="Q1462" s="7" t="str">
        <f>VLOOKUP(D1463,Product_Lookup!$A$2:$C$27,2,FALSE)</f>
        <v>Vacuum</v>
      </c>
      <c r="R1462" s="7">
        <f t="shared" si="178"/>
        <v>2346.6</v>
      </c>
    </row>
    <row r="1463" spans="1:18" ht="21.75" customHeight="1">
      <c r="A1463" t="s">
        <v>1614</v>
      </c>
      <c r="B1463" s="6">
        <v>45446</v>
      </c>
      <c r="C1463" t="s">
        <v>350</v>
      </c>
      <c r="D1463" t="s">
        <v>87</v>
      </c>
      <c r="E1463" t="s">
        <v>11</v>
      </c>
      <c r="F1463" t="s">
        <v>56</v>
      </c>
      <c r="G1463" t="s">
        <v>13</v>
      </c>
      <c r="H1463">
        <v>2</v>
      </c>
      <c r="I1463" t="str">
        <f>VLOOKUP(D1463,Product_Lookup!$A$2:$C$27,3,FALSE)</f>
        <v>$26.59</v>
      </c>
      <c r="J1463" t="str">
        <f t="shared" si="179"/>
        <v>Monday</v>
      </c>
      <c r="K1463" s="10" t="str">
        <f t="shared" si="180"/>
        <v>June</v>
      </c>
      <c r="L1463">
        <f t="shared" si="181"/>
        <v>2024</v>
      </c>
      <c r="M1463" t="b">
        <f t="shared" si="182"/>
        <v>0</v>
      </c>
      <c r="N1463" t="b">
        <f t="shared" si="176"/>
        <v>0</v>
      </c>
      <c r="O1463" t="str">
        <f t="shared" si="183"/>
        <v>Standard order</v>
      </c>
      <c r="P1463" s="7">
        <f t="shared" si="177"/>
        <v>1.3295000000000001</v>
      </c>
      <c r="Q1463" s="7" t="str">
        <f>VLOOKUP(D1464,Product_Lookup!$A$2:$C$27,2,FALSE)</f>
        <v>Monitor</v>
      </c>
      <c r="R1463" s="7">
        <f t="shared" si="178"/>
        <v>53.18</v>
      </c>
    </row>
    <row r="1464" spans="1:18" ht="21.75" customHeight="1">
      <c r="A1464" t="s">
        <v>1615</v>
      </c>
      <c r="B1464" s="6">
        <v>45544</v>
      </c>
      <c r="C1464" t="s">
        <v>40</v>
      </c>
      <c r="D1464" t="s">
        <v>102</v>
      </c>
      <c r="E1464" t="s">
        <v>11</v>
      </c>
      <c r="F1464" t="s">
        <v>306</v>
      </c>
      <c r="G1464" t="s">
        <v>28</v>
      </c>
      <c r="H1464">
        <v>13</v>
      </c>
      <c r="I1464" t="str">
        <f>VLOOKUP(D1464,Product_Lookup!$A$2:$C$27,3,FALSE)</f>
        <v>$145.48</v>
      </c>
      <c r="J1464" t="str">
        <f t="shared" si="179"/>
        <v>Monday</v>
      </c>
      <c r="K1464" s="10" t="str">
        <f t="shared" si="180"/>
        <v>September</v>
      </c>
      <c r="L1464">
        <f t="shared" si="181"/>
        <v>2024</v>
      </c>
      <c r="M1464" t="b">
        <f t="shared" si="182"/>
        <v>0</v>
      </c>
      <c r="N1464" t="b">
        <f t="shared" si="176"/>
        <v>1</v>
      </c>
      <c r="O1464" t="str">
        <f t="shared" si="183"/>
        <v>Large Order</v>
      </c>
      <c r="P1464" s="7">
        <f t="shared" si="177"/>
        <v>7.274</v>
      </c>
      <c r="Q1464" s="7" t="str">
        <f>VLOOKUP(D1465,Product_Lookup!$A$2:$C$27,2,FALSE)</f>
        <v>Puzzle</v>
      </c>
      <c r="R1464" s="7">
        <f t="shared" si="178"/>
        <v>1891.2399999999998</v>
      </c>
    </row>
    <row r="1465" spans="1:18" ht="21.75" customHeight="1">
      <c r="A1465" t="s">
        <v>1616</v>
      </c>
      <c r="B1465" s="6">
        <v>45635</v>
      </c>
      <c r="C1465" t="s">
        <v>323</v>
      </c>
      <c r="D1465" t="s">
        <v>62</v>
      </c>
      <c r="E1465" t="s">
        <v>22</v>
      </c>
      <c r="F1465" t="s">
        <v>27</v>
      </c>
      <c r="G1465" t="s">
        <v>36</v>
      </c>
      <c r="H1465">
        <v>5</v>
      </c>
      <c r="I1465" t="str">
        <f>VLOOKUP(D1465,Product_Lookup!$A$2:$C$27,3,FALSE)</f>
        <v>$46.19</v>
      </c>
      <c r="J1465" t="str">
        <f t="shared" si="179"/>
        <v>Monday</v>
      </c>
      <c r="K1465" s="10" t="str">
        <f t="shared" si="180"/>
        <v>December</v>
      </c>
      <c r="L1465">
        <f t="shared" si="181"/>
        <v>2024</v>
      </c>
      <c r="M1465" t="b">
        <f t="shared" si="182"/>
        <v>0</v>
      </c>
      <c r="N1465" t="b">
        <f t="shared" si="176"/>
        <v>0</v>
      </c>
      <c r="O1465" t="str">
        <f t="shared" si="183"/>
        <v>Standard order</v>
      </c>
      <c r="P1465" s="7">
        <f t="shared" si="177"/>
        <v>2.3094999999999999</v>
      </c>
      <c r="Q1465" s="7" t="str">
        <f>VLOOKUP(D1466,Product_Lookup!$A$2:$C$27,2,FALSE)</f>
        <v>Stapler</v>
      </c>
      <c r="R1465" s="7">
        <f t="shared" si="178"/>
        <v>230.95</v>
      </c>
    </row>
    <row r="1466" spans="1:18" ht="21.75" customHeight="1">
      <c r="A1466" t="s">
        <v>1617</v>
      </c>
      <c r="B1466" s="6">
        <v>45627</v>
      </c>
      <c r="C1466" t="s">
        <v>108</v>
      </c>
      <c r="D1466" t="s">
        <v>35</v>
      </c>
      <c r="E1466" t="s">
        <v>22</v>
      </c>
      <c r="F1466" t="s">
        <v>27</v>
      </c>
      <c r="G1466" t="s">
        <v>32</v>
      </c>
      <c r="H1466">
        <v>2</v>
      </c>
      <c r="I1466" t="str">
        <f>VLOOKUP(D1466,Product_Lookup!$A$2:$C$27,3,FALSE)</f>
        <v>$64.61</v>
      </c>
      <c r="J1466" t="str">
        <f t="shared" si="179"/>
        <v>Sunday</v>
      </c>
      <c r="K1466" s="10" t="str">
        <f t="shared" si="180"/>
        <v>December</v>
      </c>
      <c r="L1466">
        <f t="shared" si="181"/>
        <v>2024</v>
      </c>
      <c r="M1466" t="b">
        <f t="shared" si="182"/>
        <v>1</v>
      </c>
      <c r="N1466" t="b">
        <f t="shared" si="176"/>
        <v>0</v>
      </c>
      <c r="O1466" t="str">
        <f t="shared" si="183"/>
        <v>Standard order</v>
      </c>
      <c r="P1466" s="7">
        <f t="shared" si="177"/>
        <v>3.2305000000000001</v>
      </c>
      <c r="Q1466" s="7" t="str">
        <f>VLOOKUP(D1467,Product_Lookup!$A$2:$C$27,2,FALSE)</f>
        <v>Air Fryer</v>
      </c>
      <c r="R1466" s="7">
        <f t="shared" si="178"/>
        <v>129.22</v>
      </c>
    </row>
    <row r="1467" spans="1:18" ht="21.75" customHeight="1">
      <c r="A1467" t="s">
        <v>1618</v>
      </c>
      <c r="B1467" s="6">
        <v>45403</v>
      </c>
      <c r="C1467" t="s">
        <v>396</v>
      </c>
      <c r="D1467" t="s">
        <v>70</v>
      </c>
      <c r="E1467" t="s">
        <v>11</v>
      </c>
      <c r="F1467" t="s">
        <v>42</v>
      </c>
      <c r="G1467" t="s">
        <v>13</v>
      </c>
      <c r="H1467">
        <v>12</v>
      </c>
      <c r="I1467" t="str">
        <f>VLOOKUP(D1467,Product_Lookup!$A$2:$C$27,3,FALSE)</f>
        <v>$211.9</v>
      </c>
      <c r="J1467" t="str">
        <f t="shared" si="179"/>
        <v>Sunday</v>
      </c>
      <c r="K1467" s="10" t="str">
        <f t="shared" si="180"/>
        <v>April</v>
      </c>
      <c r="L1467">
        <f t="shared" si="181"/>
        <v>2024</v>
      </c>
      <c r="M1467" t="b">
        <f t="shared" si="182"/>
        <v>1</v>
      </c>
      <c r="N1467" t="b">
        <f t="shared" si="176"/>
        <v>1</v>
      </c>
      <c r="O1467" t="str">
        <f t="shared" si="183"/>
        <v>Large Order</v>
      </c>
      <c r="P1467" s="7">
        <f t="shared" si="177"/>
        <v>10.595000000000001</v>
      </c>
      <c r="Q1467" s="7" t="str">
        <f>VLOOKUP(D1468,Product_Lookup!$A$2:$C$27,2,FALSE)</f>
        <v>Smartphone</v>
      </c>
      <c r="R1467" s="7">
        <f t="shared" si="178"/>
        <v>2542.8000000000002</v>
      </c>
    </row>
    <row r="1468" spans="1:18" ht="21.75" customHeight="1">
      <c r="A1468" t="s">
        <v>1619</v>
      </c>
      <c r="B1468" s="6">
        <v>45622</v>
      </c>
      <c r="C1468" t="s">
        <v>182</v>
      </c>
      <c r="D1468" t="s">
        <v>79</v>
      </c>
      <c r="E1468" t="s">
        <v>17</v>
      </c>
      <c r="F1468" t="s">
        <v>42</v>
      </c>
      <c r="G1468" t="s">
        <v>28</v>
      </c>
      <c r="H1468">
        <v>4</v>
      </c>
      <c r="I1468" t="str">
        <f>VLOOKUP(D1468,Product_Lookup!$A$2:$C$27,3,FALSE)</f>
        <v>$216.22</v>
      </c>
      <c r="J1468" t="str">
        <f t="shared" si="179"/>
        <v>Tuesday</v>
      </c>
      <c r="K1468" s="10" t="str">
        <f t="shared" si="180"/>
        <v>November</v>
      </c>
      <c r="L1468">
        <f t="shared" si="181"/>
        <v>2024</v>
      </c>
      <c r="M1468" t="b">
        <f t="shared" si="182"/>
        <v>0</v>
      </c>
      <c r="N1468" t="b">
        <f t="shared" si="176"/>
        <v>0</v>
      </c>
      <c r="O1468" t="str">
        <f t="shared" si="183"/>
        <v>Large Order</v>
      </c>
      <c r="P1468" s="7">
        <f t="shared" si="177"/>
        <v>10.811</v>
      </c>
      <c r="Q1468" s="7" t="str">
        <f>VLOOKUP(D1469,Product_Lookup!$A$2:$C$27,2,FALSE)</f>
        <v>Board Game</v>
      </c>
      <c r="R1468" s="7">
        <f t="shared" si="178"/>
        <v>864.88</v>
      </c>
    </row>
    <row r="1469" spans="1:18" ht="21.75" customHeight="1">
      <c r="A1469" t="s">
        <v>1620</v>
      </c>
      <c r="B1469" s="6">
        <v>45524</v>
      </c>
      <c r="C1469" t="s">
        <v>203</v>
      </c>
      <c r="D1469" t="s">
        <v>41</v>
      </c>
      <c r="E1469" t="s">
        <v>11</v>
      </c>
      <c r="F1469" t="s">
        <v>306</v>
      </c>
      <c r="G1469" t="s">
        <v>13</v>
      </c>
      <c r="H1469">
        <v>2</v>
      </c>
      <c r="I1469" t="str">
        <f>VLOOKUP(D1469,Product_Lookup!$A$2:$C$27,3,FALSE)</f>
        <v>$86.6</v>
      </c>
      <c r="J1469" t="str">
        <f t="shared" si="179"/>
        <v>Tuesday</v>
      </c>
      <c r="K1469" s="10" t="str">
        <f t="shared" si="180"/>
        <v>August</v>
      </c>
      <c r="L1469">
        <f t="shared" si="181"/>
        <v>2024</v>
      </c>
      <c r="M1469" t="b">
        <f t="shared" si="182"/>
        <v>0</v>
      </c>
      <c r="N1469" t="b">
        <f t="shared" si="176"/>
        <v>0</v>
      </c>
      <c r="O1469" t="str">
        <f t="shared" si="183"/>
        <v>Standard order</v>
      </c>
      <c r="P1469" s="7">
        <f t="shared" si="177"/>
        <v>4.33</v>
      </c>
      <c r="Q1469" s="7" t="str">
        <f>VLOOKUP(D1470,Product_Lookup!$A$2:$C$27,2,FALSE)</f>
        <v>Desk Lamp</v>
      </c>
      <c r="R1469" s="7">
        <f t="shared" si="178"/>
        <v>173.2</v>
      </c>
    </row>
    <row r="1470" spans="1:18" ht="21.75" customHeight="1">
      <c r="A1470" t="s">
        <v>1621</v>
      </c>
      <c r="B1470" s="6">
        <v>45416</v>
      </c>
      <c r="C1470" t="s">
        <v>34</v>
      </c>
      <c r="D1470" t="s">
        <v>59</v>
      </c>
      <c r="E1470" t="s">
        <v>11</v>
      </c>
      <c r="F1470" t="s">
        <v>12</v>
      </c>
      <c r="G1470" t="s">
        <v>36</v>
      </c>
      <c r="H1470">
        <v>7</v>
      </c>
      <c r="I1470" t="str">
        <f>VLOOKUP(D1470,Product_Lookup!$A$2:$C$27,3,FALSE)</f>
        <v>$101.96</v>
      </c>
      <c r="J1470" t="str">
        <f t="shared" si="179"/>
        <v>Saturday</v>
      </c>
      <c r="K1470" s="10" t="str">
        <f t="shared" si="180"/>
        <v>May</v>
      </c>
      <c r="L1470">
        <f t="shared" si="181"/>
        <v>2024</v>
      </c>
      <c r="M1470" t="b">
        <f t="shared" si="182"/>
        <v>1</v>
      </c>
      <c r="N1470" t="b">
        <f t="shared" si="176"/>
        <v>0</v>
      </c>
      <c r="O1470" t="str">
        <f t="shared" si="183"/>
        <v>Large Order</v>
      </c>
      <c r="P1470" s="7">
        <f t="shared" si="177"/>
        <v>5.0979999999999999</v>
      </c>
      <c r="Q1470" s="7" t="str">
        <f>VLOOKUP(D1471,Product_Lookup!$A$2:$C$27,2,FALSE)</f>
        <v>Doll</v>
      </c>
      <c r="R1470" s="7">
        <f t="shared" si="178"/>
        <v>713.71999999999991</v>
      </c>
    </row>
    <row r="1471" spans="1:18" ht="21.75" customHeight="1">
      <c r="A1471" t="s">
        <v>1622</v>
      </c>
      <c r="B1471" s="6">
        <v>45411</v>
      </c>
      <c r="C1471" t="s">
        <v>118</v>
      </c>
      <c r="D1471" t="s">
        <v>119</v>
      </c>
      <c r="E1471" t="s">
        <v>11</v>
      </c>
      <c r="F1471" t="s">
        <v>306</v>
      </c>
      <c r="G1471" t="s">
        <v>13</v>
      </c>
      <c r="H1471">
        <v>9</v>
      </c>
      <c r="I1471" t="str">
        <f>VLOOKUP(D1471,Product_Lookup!$A$2:$C$27,3,FALSE)</f>
        <v>$32.94</v>
      </c>
      <c r="J1471" t="str">
        <f t="shared" si="179"/>
        <v>Monday</v>
      </c>
      <c r="K1471" s="10" t="str">
        <f t="shared" si="180"/>
        <v>April</v>
      </c>
      <c r="L1471">
        <f t="shared" si="181"/>
        <v>2024</v>
      </c>
      <c r="M1471" t="b">
        <f t="shared" si="182"/>
        <v>0</v>
      </c>
      <c r="N1471" t="b">
        <f t="shared" si="176"/>
        <v>0</v>
      </c>
      <c r="O1471" t="str">
        <f t="shared" si="183"/>
        <v>Standard order</v>
      </c>
      <c r="P1471" s="7">
        <f t="shared" si="177"/>
        <v>1.647</v>
      </c>
      <c r="Q1471" s="7" t="str">
        <f>VLOOKUP(D1472,Product_Lookup!$A$2:$C$27,2,FALSE)</f>
        <v>Pen Set</v>
      </c>
      <c r="R1471" s="7">
        <f t="shared" si="178"/>
        <v>296.45999999999998</v>
      </c>
    </row>
    <row r="1472" spans="1:18" ht="21.75" customHeight="1">
      <c r="A1472" t="s">
        <v>1623</v>
      </c>
      <c r="B1472" s="6">
        <v>45366</v>
      </c>
      <c r="C1472" t="s">
        <v>34</v>
      </c>
      <c r="D1472" t="s">
        <v>174</v>
      </c>
      <c r="E1472" t="s">
        <v>17</v>
      </c>
      <c r="F1472" t="s">
        <v>56</v>
      </c>
      <c r="G1472" t="s">
        <v>13</v>
      </c>
      <c r="H1472">
        <v>1</v>
      </c>
      <c r="I1472" t="str">
        <f>VLOOKUP(D1472,Product_Lookup!$A$2:$C$27,3,FALSE)</f>
        <v>$133.37</v>
      </c>
      <c r="J1472" t="str">
        <f t="shared" si="179"/>
        <v>Friday</v>
      </c>
      <c r="K1472" s="10" t="str">
        <f t="shared" si="180"/>
        <v>March</v>
      </c>
      <c r="L1472">
        <f t="shared" si="181"/>
        <v>2024</v>
      </c>
      <c r="M1472" t="b">
        <f t="shared" si="182"/>
        <v>0</v>
      </c>
      <c r="N1472" t="b">
        <f t="shared" si="176"/>
        <v>0</v>
      </c>
      <c r="O1472" t="str">
        <f t="shared" si="183"/>
        <v>Standard order</v>
      </c>
      <c r="P1472" s="7">
        <f t="shared" si="177"/>
        <v>6.6685000000000008</v>
      </c>
      <c r="Q1472" s="7" t="str">
        <f>VLOOKUP(D1473,Product_Lookup!$A$2:$C$27,2,FALSE)</f>
        <v>Jacket</v>
      </c>
      <c r="R1472" s="7">
        <f t="shared" si="178"/>
        <v>133.37</v>
      </c>
    </row>
    <row r="1473" spans="1:18" ht="21.75" customHeight="1">
      <c r="A1473" t="s">
        <v>1624</v>
      </c>
      <c r="B1473" s="6">
        <v>45475</v>
      </c>
      <c r="C1473" t="s">
        <v>728</v>
      </c>
      <c r="D1473" t="s">
        <v>197</v>
      </c>
      <c r="E1473" t="s">
        <v>22</v>
      </c>
      <c r="F1473" t="s">
        <v>42</v>
      </c>
      <c r="G1473" t="s">
        <v>13</v>
      </c>
      <c r="H1473">
        <v>6</v>
      </c>
      <c r="I1473" t="str">
        <f>VLOOKUP(D1473,Product_Lookup!$A$2:$C$27,3,FALSE)</f>
        <v>$10.11</v>
      </c>
      <c r="J1473" t="str">
        <f t="shared" si="179"/>
        <v>Tuesday</v>
      </c>
      <c r="K1473" s="10" t="str">
        <f t="shared" si="180"/>
        <v>July</v>
      </c>
      <c r="L1473">
        <f t="shared" si="181"/>
        <v>2024</v>
      </c>
      <c r="M1473" t="b">
        <f t="shared" si="182"/>
        <v>0</v>
      </c>
      <c r="N1473" t="b">
        <f t="shared" si="176"/>
        <v>0</v>
      </c>
      <c r="O1473" t="str">
        <f t="shared" si="183"/>
        <v>Standard order</v>
      </c>
      <c r="P1473" s="7">
        <f t="shared" si="177"/>
        <v>0.50549999999999995</v>
      </c>
      <c r="Q1473" s="7" t="str">
        <f>VLOOKUP(D1474,Product_Lookup!$A$2:$C$27,2,FALSE)</f>
        <v>Vacuum</v>
      </c>
      <c r="R1473" s="7">
        <f t="shared" si="178"/>
        <v>60.66</v>
      </c>
    </row>
    <row r="1474" spans="1:18" ht="21.75" customHeight="1">
      <c r="A1474" t="s">
        <v>1625</v>
      </c>
      <c r="B1474" s="6">
        <v>45356</v>
      </c>
      <c r="C1474" t="s">
        <v>304</v>
      </c>
      <c r="D1474" t="s">
        <v>87</v>
      </c>
      <c r="E1474" t="s">
        <v>22</v>
      </c>
      <c r="F1474" t="s">
        <v>12</v>
      </c>
      <c r="G1474" t="s">
        <v>13</v>
      </c>
      <c r="H1474">
        <v>16</v>
      </c>
      <c r="I1474" t="str">
        <f>VLOOKUP(D1474,Product_Lookup!$A$2:$C$27,3,FALSE)</f>
        <v>$26.59</v>
      </c>
      <c r="J1474" t="str">
        <f t="shared" si="179"/>
        <v>Tuesday</v>
      </c>
      <c r="K1474" s="10" t="str">
        <f t="shared" si="180"/>
        <v>March</v>
      </c>
      <c r="L1474">
        <f t="shared" si="181"/>
        <v>2024</v>
      </c>
      <c r="M1474" t="b">
        <f t="shared" si="182"/>
        <v>0</v>
      </c>
      <c r="N1474" t="b">
        <f t="shared" ref="N1474:N1537" si="184">AND(R1474&gt;750, H1474&gt;5)</f>
        <v>0</v>
      </c>
      <c r="O1474" t="str">
        <f t="shared" si="183"/>
        <v>Standard order</v>
      </c>
      <c r="P1474" s="7">
        <f t="shared" ref="P1474:P1537" si="185">I1474*$S$2</f>
        <v>1.3295000000000001</v>
      </c>
      <c r="Q1474" s="7" t="str">
        <f>VLOOKUP(D1475,Product_Lookup!$A$2:$C$27,2,FALSE)</f>
        <v>Desk Lamp</v>
      </c>
      <c r="R1474" s="7">
        <f t="shared" ref="R1474:R1537" si="186">H1474*I1474</f>
        <v>425.44</v>
      </c>
    </row>
    <row r="1475" spans="1:18" ht="21.75" customHeight="1">
      <c r="A1475" t="s">
        <v>1626</v>
      </c>
      <c r="B1475" s="6">
        <v>45477</v>
      </c>
      <c r="C1475" t="s">
        <v>345</v>
      </c>
      <c r="D1475" t="s">
        <v>59</v>
      </c>
      <c r="E1475" t="s">
        <v>11</v>
      </c>
      <c r="F1475" t="s">
        <v>27</v>
      </c>
      <c r="G1475" t="s">
        <v>36</v>
      </c>
      <c r="H1475">
        <v>8</v>
      </c>
      <c r="I1475" t="str">
        <f>VLOOKUP(D1475,Product_Lookup!$A$2:$C$27,3,FALSE)</f>
        <v>$101.96</v>
      </c>
      <c r="J1475" t="str">
        <f t="shared" ref="J1475:J1538" si="187">TEXT(B1475, "dddd")</f>
        <v>Thursday</v>
      </c>
      <c r="K1475" s="10" t="str">
        <f t="shared" ref="K1475:K1538" si="188">TEXT(B1475, "mmmm")</f>
        <v>July</v>
      </c>
      <c r="L1475">
        <f t="shared" ref="L1475:L1538" si="189">YEAR(B1475)</f>
        <v>2024</v>
      </c>
      <c r="M1475" t="b">
        <f t="shared" ref="M1475:M1538" si="190">OR(J1475="Saturday", J1475="Sunday")</f>
        <v>0</v>
      </c>
      <c r="N1475" t="b">
        <f t="shared" si="184"/>
        <v>1</v>
      </c>
      <c r="O1475" t="str">
        <f t="shared" ref="O1475:O1538" si="191">IF(R1475&gt;500,"Large Order","Standard order")</f>
        <v>Large Order</v>
      </c>
      <c r="P1475" s="7">
        <f t="shared" si="185"/>
        <v>5.0979999999999999</v>
      </c>
      <c r="Q1475" s="7" t="str">
        <f>VLOOKUP(D1476,Product_Lookup!$A$2:$C$27,2,FALSE)</f>
        <v>Board Game</v>
      </c>
      <c r="R1475" s="7">
        <f t="shared" si="186"/>
        <v>815.68</v>
      </c>
    </row>
    <row r="1476" spans="1:18" ht="21.75" customHeight="1">
      <c r="A1476" t="s">
        <v>1627</v>
      </c>
      <c r="B1476" s="6">
        <v>45314</v>
      </c>
      <c r="C1476" t="s">
        <v>388</v>
      </c>
      <c r="D1476" t="s">
        <v>41</v>
      </c>
      <c r="E1476" t="s">
        <v>22</v>
      </c>
      <c r="F1476" t="s">
        <v>42</v>
      </c>
      <c r="G1476" t="s">
        <v>23</v>
      </c>
      <c r="H1476">
        <v>1</v>
      </c>
      <c r="I1476" t="str">
        <f>VLOOKUP(D1476,Product_Lookup!$A$2:$C$27,3,FALSE)</f>
        <v>$86.6</v>
      </c>
      <c r="J1476" t="str">
        <f t="shared" si="187"/>
        <v>Tuesday</v>
      </c>
      <c r="K1476" s="10" t="str">
        <f t="shared" si="188"/>
        <v>January</v>
      </c>
      <c r="L1476">
        <f t="shared" si="189"/>
        <v>2024</v>
      </c>
      <c r="M1476" t="b">
        <f t="shared" si="190"/>
        <v>0</v>
      </c>
      <c r="N1476" t="b">
        <f t="shared" si="184"/>
        <v>0</v>
      </c>
      <c r="O1476" t="str">
        <f t="shared" si="191"/>
        <v>Standard order</v>
      </c>
      <c r="P1476" s="7">
        <f t="shared" si="185"/>
        <v>4.33</v>
      </c>
      <c r="Q1476" s="7" t="str">
        <f>VLOOKUP(D1477,Product_Lookup!$A$2:$C$27,2,FALSE)</f>
        <v>Vacuum</v>
      </c>
      <c r="R1476" s="7">
        <f t="shared" si="186"/>
        <v>86.6</v>
      </c>
    </row>
    <row r="1477" spans="1:18" ht="21.75" customHeight="1">
      <c r="A1477" t="s">
        <v>1628</v>
      </c>
      <c r="B1477" s="6">
        <v>45537</v>
      </c>
      <c r="C1477" t="s">
        <v>341</v>
      </c>
      <c r="D1477" t="s">
        <v>87</v>
      </c>
      <c r="E1477" t="s">
        <v>22</v>
      </c>
      <c r="F1477" t="s">
        <v>12</v>
      </c>
      <c r="G1477" t="s">
        <v>23</v>
      </c>
      <c r="H1477">
        <v>15</v>
      </c>
      <c r="I1477" t="str">
        <f>VLOOKUP(D1477,Product_Lookup!$A$2:$C$27,3,FALSE)</f>
        <v>$26.59</v>
      </c>
      <c r="J1477" t="str">
        <f t="shared" si="187"/>
        <v>Monday</v>
      </c>
      <c r="K1477" s="10" t="str">
        <f t="shared" si="188"/>
        <v>September</v>
      </c>
      <c r="L1477">
        <f t="shared" si="189"/>
        <v>2024</v>
      </c>
      <c r="M1477" t="b">
        <f t="shared" si="190"/>
        <v>0</v>
      </c>
      <c r="N1477" t="b">
        <f t="shared" si="184"/>
        <v>0</v>
      </c>
      <c r="O1477" t="str">
        <f t="shared" si="191"/>
        <v>Standard order</v>
      </c>
      <c r="P1477" s="7">
        <f t="shared" si="185"/>
        <v>1.3295000000000001</v>
      </c>
      <c r="Q1477" s="7" t="str">
        <f>VLOOKUP(D1478,Product_Lookup!$A$2:$C$27,2,FALSE)</f>
        <v>Paper Shredder</v>
      </c>
      <c r="R1477" s="7">
        <f t="shared" si="186"/>
        <v>398.85</v>
      </c>
    </row>
    <row r="1478" spans="1:18" ht="21.75" customHeight="1">
      <c r="A1478" t="s">
        <v>1629</v>
      </c>
      <c r="B1478" s="6">
        <v>45333</v>
      </c>
      <c r="C1478" t="s">
        <v>187</v>
      </c>
      <c r="D1478" t="s">
        <v>109</v>
      </c>
      <c r="E1478" t="s">
        <v>11</v>
      </c>
      <c r="F1478" t="s">
        <v>12</v>
      </c>
      <c r="G1478" t="s">
        <v>28</v>
      </c>
      <c r="H1478">
        <v>9</v>
      </c>
      <c r="I1478" t="str">
        <f>VLOOKUP(D1478,Product_Lookup!$A$2:$C$27,3,FALSE)</f>
        <v>$81.02</v>
      </c>
      <c r="J1478" t="str">
        <f t="shared" si="187"/>
        <v>Sunday</v>
      </c>
      <c r="K1478" s="10" t="str">
        <f t="shared" si="188"/>
        <v>February</v>
      </c>
      <c r="L1478">
        <f t="shared" si="189"/>
        <v>2024</v>
      </c>
      <c r="M1478" t="b">
        <f t="shared" si="190"/>
        <v>1</v>
      </c>
      <c r="N1478" t="b">
        <f t="shared" si="184"/>
        <v>0</v>
      </c>
      <c r="O1478" t="str">
        <f t="shared" si="191"/>
        <v>Large Order</v>
      </c>
      <c r="P1478" s="7">
        <f t="shared" si="185"/>
        <v>4.0510000000000002</v>
      </c>
      <c r="Q1478" s="7" t="str">
        <f>VLOOKUP(D1479,Product_Lookup!$A$2:$C$27,2,FALSE)</f>
        <v>Puzzle</v>
      </c>
      <c r="R1478" s="7">
        <f t="shared" si="186"/>
        <v>729.18</v>
      </c>
    </row>
    <row r="1479" spans="1:18" ht="21.75" customHeight="1">
      <c r="A1479" t="s">
        <v>1630</v>
      </c>
      <c r="B1479" s="6">
        <v>45591</v>
      </c>
      <c r="C1479" t="s">
        <v>378</v>
      </c>
      <c r="D1479" t="s">
        <v>62</v>
      </c>
      <c r="E1479" t="s">
        <v>17</v>
      </c>
      <c r="F1479" t="s">
        <v>27</v>
      </c>
      <c r="G1479" t="s">
        <v>36</v>
      </c>
      <c r="H1479">
        <v>17</v>
      </c>
      <c r="I1479" t="str">
        <f>VLOOKUP(D1479,Product_Lookup!$A$2:$C$27,3,FALSE)</f>
        <v>$46.19</v>
      </c>
      <c r="J1479" t="str">
        <f t="shared" si="187"/>
        <v>Saturday</v>
      </c>
      <c r="K1479" s="10" t="str">
        <f t="shared" si="188"/>
        <v>October</v>
      </c>
      <c r="L1479">
        <f t="shared" si="189"/>
        <v>2024</v>
      </c>
      <c r="M1479" t="b">
        <f t="shared" si="190"/>
        <v>1</v>
      </c>
      <c r="N1479" t="b">
        <f t="shared" si="184"/>
        <v>1</v>
      </c>
      <c r="O1479" t="str">
        <f t="shared" si="191"/>
        <v>Large Order</v>
      </c>
      <c r="P1479" s="7">
        <f t="shared" si="185"/>
        <v>2.3094999999999999</v>
      </c>
      <c r="Q1479" s="7" t="str">
        <f>VLOOKUP(D1480,Product_Lookup!$A$2:$C$27,2,FALSE)</f>
        <v>Vacuum</v>
      </c>
      <c r="R1479" s="7">
        <f t="shared" si="186"/>
        <v>785.23</v>
      </c>
    </row>
    <row r="1480" spans="1:18" ht="21.75" customHeight="1">
      <c r="A1480" t="s">
        <v>1631</v>
      </c>
      <c r="B1480" s="6">
        <v>45550</v>
      </c>
      <c r="C1480" t="s">
        <v>493</v>
      </c>
      <c r="D1480" t="s">
        <v>87</v>
      </c>
      <c r="E1480" t="s">
        <v>11</v>
      </c>
      <c r="F1480" t="s">
        <v>12</v>
      </c>
      <c r="G1480" t="s">
        <v>36</v>
      </c>
      <c r="H1480">
        <v>7</v>
      </c>
      <c r="I1480" t="str">
        <f>VLOOKUP(D1480,Product_Lookup!$A$2:$C$27,3,FALSE)</f>
        <v>$26.59</v>
      </c>
      <c r="J1480" t="str">
        <f t="shared" si="187"/>
        <v>Sunday</v>
      </c>
      <c r="K1480" s="10" t="str">
        <f t="shared" si="188"/>
        <v>September</v>
      </c>
      <c r="L1480">
        <f t="shared" si="189"/>
        <v>2024</v>
      </c>
      <c r="M1480" t="b">
        <f t="shared" si="190"/>
        <v>1</v>
      </c>
      <c r="N1480" t="b">
        <f t="shared" si="184"/>
        <v>0</v>
      </c>
      <c r="O1480" t="str">
        <f t="shared" si="191"/>
        <v>Standard order</v>
      </c>
      <c r="P1480" s="7">
        <f t="shared" si="185"/>
        <v>1.3295000000000001</v>
      </c>
      <c r="Q1480" s="7" t="str">
        <f>VLOOKUP(D1481,Product_Lookup!$A$2:$C$27,2,FALSE)</f>
        <v>Blender</v>
      </c>
      <c r="R1480" s="7">
        <f t="shared" si="186"/>
        <v>186.13</v>
      </c>
    </row>
    <row r="1481" spans="1:18" ht="21.75" customHeight="1">
      <c r="A1481" t="s">
        <v>1632</v>
      </c>
      <c r="B1481" s="6">
        <v>45408</v>
      </c>
      <c r="C1481" t="s">
        <v>408</v>
      </c>
      <c r="D1481" t="s">
        <v>72</v>
      </c>
      <c r="E1481" t="s">
        <v>17</v>
      </c>
      <c r="F1481" t="s">
        <v>27</v>
      </c>
      <c r="G1481" t="s">
        <v>23</v>
      </c>
      <c r="H1481">
        <v>4</v>
      </c>
      <c r="I1481" t="str">
        <f>VLOOKUP(D1481,Product_Lookup!$A$2:$C$27,3,FALSE)</f>
        <v>$156.44</v>
      </c>
      <c r="J1481" t="str">
        <f t="shared" si="187"/>
        <v>Friday</v>
      </c>
      <c r="K1481" s="10" t="str">
        <f t="shared" si="188"/>
        <v>April</v>
      </c>
      <c r="L1481">
        <f t="shared" si="189"/>
        <v>2024</v>
      </c>
      <c r="M1481" t="b">
        <f t="shared" si="190"/>
        <v>0</v>
      </c>
      <c r="N1481" t="b">
        <f t="shared" si="184"/>
        <v>0</v>
      </c>
      <c r="O1481" t="str">
        <f t="shared" si="191"/>
        <v>Large Order</v>
      </c>
      <c r="P1481" s="7">
        <f t="shared" si="185"/>
        <v>7.8220000000000001</v>
      </c>
      <c r="Q1481" s="7" t="str">
        <f>VLOOKUP(D1482,Product_Lookup!$A$2:$C$27,2,FALSE)</f>
        <v>Sweater</v>
      </c>
      <c r="R1481" s="7">
        <f t="shared" si="186"/>
        <v>625.76</v>
      </c>
    </row>
    <row r="1482" spans="1:18" ht="21.75" customHeight="1">
      <c r="A1482" t="s">
        <v>1633</v>
      </c>
      <c r="B1482" s="6">
        <v>45452</v>
      </c>
      <c r="C1482" t="s">
        <v>317</v>
      </c>
      <c r="D1482" t="s">
        <v>26</v>
      </c>
      <c r="E1482" t="s">
        <v>17</v>
      </c>
      <c r="F1482" t="s">
        <v>56</v>
      </c>
      <c r="G1482" t="s">
        <v>23</v>
      </c>
      <c r="H1482">
        <v>3</v>
      </c>
      <c r="I1482" t="str">
        <f>VLOOKUP(D1482,Product_Lookup!$A$2:$C$27,3,FALSE)</f>
        <v>$84.57</v>
      </c>
      <c r="J1482" t="str">
        <f t="shared" si="187"/>
        <v>Sunday</v>
      </c>
      <c r="K1482" s="10" t="str">
        <f t="shared" si="188"/>
        <v>June</v>
      </c>
      <c r="L1482">
        <f t="shared" si="189"/>
        <v>2024</v>
      </c>
      <c r="M1482" t="b">
        <f t="shared" si="190"/>
        <v>1</v>
      </c>
      <c r="N1482" t="b">
        <f t="shared" si="184"/>
        <v>0</v>
      </c>
      <c r="O1482" t="str">
        <f t="shared" si="191"/>
        <v>Standard order</v>
      </c>
      <c r="P1482" s="7">
        <f t="shared" si="185"/>
        <v>4.2284999999999995</v>
      </c>
      <c r="Q1482" s="7" t="str">
        <f>VLOOKUP(D1483,Product_Lookup!$A$2:$C$27,2,FALSE)</f>
        <v>Vacuum</v>
      </c>
      <c r="R1482" s="7">
        <f t="shared" si="186"/>
        <v>253.70999999999998</v>
      </c>
    </row>
    <row r="1483" spans="1:18" ht="21.75" customHeight="1">
      <c r="A1483" t="s">
        <v>1634</v>
      </c>
      <c r="B1483" s="6">
        <v>45335</v>
      </c>
      <c r="C1483" t="s">
        <v>203</v>
      </c>
      <c r="D1483" t="s">
        <v>87</v>
      </c>
      <c r="E1483" t="s">
        <v>11</v>
      </c>
      <c r="F1483" t="s">
        <v>42</v>
      </c>
      <c r="G1483" t="s">
        <v>28</v>
      </c>
      <c r="H1483">
        <v>18</v>
      </c>
      <c r="I1483" t="str">
        <f>VLOOKUP(D1483,Product_Lookup!$A$2:$C$27,3,FALSE)</f>
        <v>$26.59</v>
      </c>
      <c r="J1483" t="str">
        <f t="shared" si="187"/>
        <v>Tuesday</v>
      </c>
      <c r="K1483" s="10" t="str">
        <f t="shared" si="188"/>
        <v>February</v>
      </c>
      <c r="L1483">
        <f t="shared" si="189"/>
        <v>2024</v>
      </c>
      <c r="M1483" t="b">
        <f t="shared" si="190"/>
        <v>0</v>
      </c>
      <c r="N1483" t="b">
        <f t="shared" si="184"/>
        <v>0</v>
      </c>
      <c r="O1483" t="str">
        <f t="shared" si="191"/>
        <v>Standard order</v>
      </c>
      <c r="P1483" s="7">
        <f t="shared" si="185"/>
        <v>1.3295000000000001</v>
      </c>
      <c r="Q1483" s="7" t="str">
        <f>VLOOKUP(D1484,Product_Lookup!$A$2:$C$27,2,FALSE)</f>
        <v>Blender</v>
      </c>
      <c r="R1483" s="7">
        <f t="shared" si="186"/>
        <v>478.62</v>
      </c>
    </row>
    <row r="1484" spans="1:18" ht="21.75" customHeight="1">
      <c r="A1484" t="s">
        <v>1635</v>
      </c>
      <c r="B1484" s="6">
        <v>45579</v>
      </c>
      <c r="C1484" t="s">
        <v>642</v>
      </c>
      <c r="D1484" t="s">
        <v>72</v>
      </c>
      <c r="E1484" t="s">
        <v>22</v>
      </c>
      <c r="F1484" t="s">
        <v>12</v>
      </c>
      <c r="G1484" t="s">
        <v>23</v>
      </c>
      <c r="H1484">
        <v>12</v>
      </c>
      <c r="I1484" t="str">
        <f>VLOOKUP(D1484,Product_Lookup!$A$2:$C$27,3,FALSE)</f>
        <v>$156.44</v>
      </c>
      <c r="J1484" t="str">
        <f t="shared" si="187"/>
        <v>Monday</v>
      </c>
      <c r="K1484" s="10" t="str">
        <f t="shared" si="188"/>
        <v>October</v>
      </c>
      <c r="L1484">
        <f t="shared" si="189"/>
        <v>2024</v>
      </c>
      <c r="M1484" t="b">
        <f t="shared" si="190"/>
        <v>0</v>
      </c>
      <c r="N1484" t="b">
        <f t="shared" si="184"/>
        <v>1</v>
      </c>
      <c r="O1484" t="str">
        <f t="shared" si="191"/>
        <v>Large Order</v>
      </c>
      <c r="P1484" s="7">
        <f t="shared" si="185"/>
        <v>7.8220000000000001</v>
      </c>
      <c r="Q1484" s="7" t="str">
        <f>VLOOKUP(D1485,Product_Lookup!$A$2:$C$27,2,FALSE)</f>
        <v>Smartphone</v>
      </c>
      <c r="R1484" s="7">
        <f t="shared" si="186"/>
        <v>1877.28</v>
      </c>
    </row>
    <row r="1485" spans="1:18" ht="21.75" customHeight="1">
      <c r="A1485" t="s">
        <v>1636</v>
      </c>
      <c r="B1485" s="6">
        <v>45508</v>
      </c>
      <c r="C1485" t="s">
        <v>329</v>
      </c>
      <c r="D1485" t="s">
        <v>79</v>
      </c>
      <c r="E1485" t="s">
        <v>17</v>
      </c>
      <c r="F1485" t="s">
        <v>306</v>
      </c>
      <c r="G1485" t="s">
        <v>32</v>
      </c>
      <c r="H1485">
        <v>12</v>
      </c>
      <c r="I1485" t="str">
        <f>VLOOKUP(D1485,Product_Lookup!$A$2:$C$27,3,FALSE)</f>
        <v>$216.22</v>
      </c>
      <c r="J1485" t="str">
        <f t="shared" si="187"/>
        <v>Sunday</v>
      </c>
      <c r="K1485" s="10" t="str">
        <f t="shared" si="188"/>
        <v>August</v>
      </c>
      <c r="L1485">
        <f t="shared" si="189"/>
        <v>2024</v>
      </c>
      <c r="M1485" t="b">
        <f t="shared" si="190"/>
        <v>1</v>
      </c>
      <c r="N1485" t="b">
        <f t="shared" si="184"/>
        <v>1</v>
      </c>
      <c r="O1485" t="str">
        <f t="shared" si="191"/>
        <v>Large Order</v>
      </c>
      <c r="P1485" s="7">
        <f t="shared" si="185"/>
        <v>10.811</v>
      </c>
      <c r="Q1485" s="7" t="str">
        <f>VLOOKUP(D1486,Product_Lookup!$A$2:$C$27,2,FALSE)</f>
        <v>Headphones</v>
      </c>
      <c r="R1485" s="7">
        <f t="shared" si="186"/>
        <v>2594.64</v>
      </c>
    </row>
    <row r="1486" spans="1:18" ht="21.75" customHeight="1">
      <c r="A1486" t="s">
        <v>1637</v>
      </c>
      <c r="B1486" s="6">
        <v>45551</v>
      </c>
      <c r="C1486" t="s">
        <v>133</v>
      </c>
      <c r="D1486" t="s">
        <v>16</v>
      </c>
      <c r="E1486" t="s">
        <v>22</v>
      </c>
      <c r="F1486" t="s">
        <v>27</v>
      </c>
      <c r="G1486" t="s">
        <v>28</v>
      </c>
      <c r="H1486">
        <v>4</v>
      </c>
      <c r="I1486" t="str">
        <f>VLOOKUP(D1486,Product_Lookup!$A$2:$C$27,3,FALSE)</f>
        <v>$178.83</v>
      </c>
      <c r="J1486" t="str">
        <f t="shared" si="187"/>
        <v>Monday</v>
      </c>
      <c r="K1486" s="10" t="str">
        <f t="shared" si="188"/>
        <v>September</v>
      </c>
      <c r="L1486">
        <f t="shared" si="189"/>
        <v>2024</v>
      </c>
      <c r="M1486" t="b">
        <f t="shared" si="190"/>
        <v>0</v>
      </c>
      <c r="N1486" t="b">
        <f t="shared" si="184"/>
        <v>0</v>
      </c>
      <c r="O1486" t="str">
        <f t="shared" si="191"/>
        <v>Large Order</v>
      </c>
      <c r="P1486" s="7">
        <f t="shared" si="185"/>
        <v>8.9415000000000013</v>
      </c>
      <c r="Q1486" s="7" t="str">
        <f>VLOOKUP(D1487,Product_Lookup!$A$2:$C$27,2,FALSE)</f>
        <v>Monitor</v>
      </c>
      <c r="R1486" s="7">
        <f t="shared" si="186"/>
        <v>715.32</v>
      </c>
    </row>
    <row r="1487" spans="1:18" ht="21.75" customHeight="1">
      <c r="A1487" t="s">
        <v>1638</v>
      </c>
      <c r="B1487" s="6">
        <v>45576</v>
      </c>
      <c r="C1487" t="s">
        <v>200</v>
      </c>
      <c r="D1487" t="s">
        <v>102</v>
      </c>
      <c r="E1487" t="s">
        <v>17</v>
      </c>
      <c r="F1487" t="s">
        <v>306</v>
      </c>
      <c r="G1487" t="s">
        <v>28</v>
      </c>
      <c r="H1487">
        <v>14</v>
      </c>
      <c r="I1487" t="str">
        <f>VLOOKUP(D1487,Product_Lookup!$A$2:$C$27,3,FALSE)</f>
        <v>$145.48</v>
      </c>
      <c r="J1487" t="str">
        <f t="shared" si="187"/>
        <v>Friday</v>
      </c>
      <c r="K1487" s="10" t="str">
        <f t="shared" si="188"/>
        <v>October</v>
      </c>
      <c r="L1487">
        <f t="shared" si="189"/>
        <v>2024</v>
      </c>
      <c r="M1487" t="b">
        <f t="shared" si="190"/>
        <v>0</v>
      </c>
      <c r="N1487" t="b">
        <f t="shared" si="184"/>
        <v>1</v>
      </c>
      <c r="O1487" t="str">
        <f t="shared" si="191"/>
        <v>Large Order</v>
      </c>
      <c r="P1487" s="7">
        <f t="shared" si="185"/>
        <v>7.274</v>
      </c>
      <c r="Q1487" s="7" t="str">
        <f>VLOOKUP(D1488,Product_Lookup!$A$2:$C$27,2,FALSE)</f>
        <v>Board Game</v>
      </c>
      <c r="R1487" s="7">
        <f t="shared" si="186"/>
        <v>2036.7199999999998</v>
      </c>
    </row>
    <row r="1488" spans="1:18" ht="21.75" customHeight="1">
      <c r="A1488" t="s">
        <v>1639</v>
      </c>
      <c r="B1488" s="6">
        <v>45610</v>
      </c>
      <c r="C1488" t="s">
        <v>594</v>
      </c>
      <c r="D1488" t="s">
        <v>41</v>
      </c>
      <c r="E1488" t="s">
        <v>22</v>
      </c>
      <c r="F1488" t="s">
        <v>306</v>
      </c>
      <c r="G1488" t="s">
        <v>13</v>
      </c>
      <c r="H1488">
        <v>20</v>
      </c>
      <c r="I1488" t="str">
        <f>VLOOKUP(D1488,Product_Lookup!$A$2:$C$27,3,FALSE)</f>
        <v>$86.6</v>
      </c>
      <c r="J1488" t="str">
        <f t="shared" si="187"/>
        <v>Thursday</v>
      </c>
      <c r="K1488" s="10" t="str">
        <f t="shared" si="188"/>
        <v>November</v>
      </c>
      <c r="L1488">
        <f t="shared" si="189"/>
        <v>2024</v>
      </c>
      <c r="M1488" t="b">
        <f t="shared" si="190"/>
        <v>0</v>
      </c>
      <c r="N1488" t="b">
        <f t="shared" si="184"/>
        <v>1</v>
      </c>
      <c r="O1488" t="str">
        <f t="shared" si="191"/>
        <v>Large Order</v>
      </c>
      <c r="P1488" s="7">
        <f t="shared" si="185"/>
        <v>4.33</v>
      </c>
      <c r="Q1488" s="7" t="str">
        <f>VLOOKUP(D1489,Product_Lookup!$A$2:$C$27,2,FALSE)</f>
        <v>Laptop</v>
      </c>
      <c r="R1488" s="7">
        <f t="shared" si="186"/>
        <v>1732</v>
      </c>
    </row>
    <row r="1489" spans="1:18" ht="21.75" customHeight="1">
      <c r="A1489" t="s">
        <v>1640</v>
      </c>
      <c r="B1489" s="6">
        <v>45647</v>
      </c>
      <c r="C1489" t="s">
        <v>101</v>
      </c>
      <c r="D1489" t="s">
        <v>96</v>
      </c>
      <c r="E1489" t="s">
        <v>11</v>
      </c>
      <c r="F1489" t="s">
        <v>42</v>
      </c>
      <c r="G1489" t="s">
        <v>32</v>
      </c>
      <c r="H1489">
        <v>11</v>
      </c>
      <c r="I1489" t="str">
        <f>VLOOKUP(D1489,Product_Lookup!$A$2:$C$27,3,FALSE)</f>
        <v>$230.68</v>
      </c>
      <c r="J1489" t="str">
        <f t="shared" si="187"/>
        <v>Saturday</v>
      </c>
      <c r="K1489" s="10" t="str">
        <f t="shared" si="188"/>
        <v>December</v>
      </c>
      <c r="L1489">
        <f t="shared" si="189"/>
        <v>2024</v>
      </c>
      <c r="M1489" t="b">
        <f t="shared" si="190"/>
        <v>1</v>
      </c>
      <c r="N1489" t="b">
        <f t="shared" si="184"/>
        <v>1</v>
      </c>
      <c r="O1489" t="str">
        <f t="shared" si="191"/>
        <v>Large Order</v>
      </c>
      <c r="P1489" s="7">
        <f t="shared" si="185"/>
        <v>11.534000000000001</v>
      </c>
      <c r="Q1489" s="7" t="str">
        <f>VLOOKUP(D1490,Product_Lookup!$A$2:$C$27,2,FALSE)</f>
        <v>Desk Lamp</v>
      </c>
      <c r="R1489" s="7">
        <f t="shared" si="186"/>
        <v>2537.48</v>
      </c>
    </row>
    <row r="1490" spans="1:18" ht="21.75" customHeight="1">
      <c r="A1490" t="s">
        <v>1641</v>
      </c>
      <c r="B1490" s="6">
        <v>45384</v>
      </c>
      <c r="C1490" t="s">
        <v>167</v>
      </c>
      <c r="D1490" t="s">
        <v>59</v>
      </c>
      <c r="E1490" t="s">
        <v>22</v>
      </c>
      <c r="F1490" t="s">
        <v>27</v>
      </c>
      <c r="G1490" t="s">
        <v>13</v>
      </c>
      <c r="H1490">
        <v>5</v>
      </c>
      <c r="I1490" t="str">
        <f>VLOOKUP(D1490,Product_Lookup!$A$2:$C$27,3,FALSE)</f>
        <v>$101.96</v>
      </c>
      <c r="J1490" t="str">
        <f t="shared" si="187"/>
        <v>Tuesday</v>
      </c>
      <c r="K1490" s="10" t="str">
        <f t="shared" si="188"/>
        <v>April</v>
      </c>
      <c r="L1490">
        <f t="shared" si="189"/>
        <v>2024</v>
      </c>
      <c r="M1490" t="b">
        <f t="shared" si="190"/>
        <v>0</v>
      </c>
      <c r="N1490" t="b">
        <f t="shared" si="184"/>
        <v>0</v>
      </c>
      <c r="O1490" t="str">
        <f t="shared" si="191"/>
        <v>Large Order</v>
      </c>
      <c r="P1490" s="7">
        <f t="shared" si="185"/>
        <v>5.0979999999999999</v>
      </c>
      <c r="Q1490" s="7" t="str">
        <f>VLOOKUP(D1491,Product_Lookup!$A$2:$C$27,2,FALSE)</f>
        <v>Lego Set</v>
      </c>
      <c r="R1490" s="7">
        <f t="shared" si="186"/>
        <v>509.79999999999995</v>
      </c>
    </row>
    <row r="1491" spans="1:18" ht="21.75" customHeight="1">
      <c r="A1491" t="s">
        <v>1642</v>
      </c>
      <c r="B1491" s="6">
        <v>45307</v>
      </c>
      <c r="C1491" t="s">
        <v>203</v>
      </c>
      <c r="D1491" t="s">
        <v>84</v>
      </c>
      <c r="E1491" t="s">
        <v>22</v>
      </c>
      <c r="F1491" t="s">
        <v>56</v>
      </c>
      <c r="G1491" t="s">
        <v>23</v>
      </c>
      <c r="H1491">
        <v>14</v>
      </c>
      <c r="I1491" t="str">
        <f>VLOOKUP(D1491,Product_Lookup!$A$2:$C$27,3,FALSE)</f>
        <v>$130.07</v>
      </c>
      <c r="J1491" t="str">
        <f t="shared" si="187"/>
        <v>Tuesday</v>
      </c>
      <c r="K1491" s="10" t="str">
        <f t="shared" si="188"/>
        <v>January</v>
      </c>
      <c r="L1491">
        <f t="shared" si="189"/>
        <v>2024</v>
      </c>
      <c r="M1491" t="b">
        <f t="shared" si="190"/>
        <v>0</v>
      </c>
      <c r="N1491" t="b">
        <f t="shared" si="184"/>
        <v>1</v>
      </c>
      <c r="O1491" t="str">
        <f t="shared" si="191"/>
        <v>Large Order</v>
      </c>
      <c r="P1491" s="7">
        <f t="shared" si="185"/>
        <v>6.5034999999999998</v>
      </c>
      <c r="Q1491" s="7" t="str">
        <f>VLOOKUP(D1492,Product_Lookup!$A$2:$C$27,2,FALSE)</f>
        <v>Socks</v>
      </c>
      <c r="R1491" s="7">
        <f t="shared" si="186"/>
        <v>1820.98</v>
      </c>
    </row>
    <row r="1492" spans="1:18" ht="21.75" customHeight="1">
      <c r="A1492" t="s">
        <v>1643</v>
      </c>
      <c r="B1492" s="6">
        <v>45372</v>
      </c>
      <c r="C1492" t="s">
        <v>200</v>
      </c>
      <c r="D1492" t="s">
        <v>74</v>
      </c>
      <c r="E1492" t="s">
        <v>22</v>
      </c>
      <c r="F1492" t="s">
        <v>42</v>
      </c>
      <c r="G1492" t="s">
        <v>36</v>
      </c>
      <c r="H1492">
        <v>20</v>
      </c>
      <c r="I1492" t="str">
        <f>VLOOKUP(D1492,Product_Lookup!$A$2:$C$27,3,FALSE)</f>
        <v>$201.32</v>
      </c>
      <c r="J1492" t="str">
        <f t="shared" si="187"/>
        <v>Thursday</v>
      </c>
      <c r="K1492" s="10" t="str">
        <f t="shared" si="188"/>
        <v>March</v>
      </c>
      <c r="L1492">
        <f t="shared" si="189"/>
        <v>2024</v>
      </c>
      <c r="M1492" t="b">
        <f t="shared" si="190"/>
        <v>0</v>
      </c>
      <c r="N1492" t="b">
        <f t="shared" si="184"/>
        <v>1</v>
      </c>
      <c r="O1492" t="str">
        <f t="shared" si="191"/>
        <v>Large Order</v>
      </c>
      <c r="P1492" s="7">
        <f t="shared" si="185"/>
        <v>10.066000000000001</v>
      </c>
      <c r="Q1492" s="7" t="str">
        <f>VLOOKUP(D1493,Product_Lookup!$A$2:$C$27,2,FALSE)</f>
        <v>T-Shirt</v>
      </c>
      <c r="R1492" s="7">
        <f t="shared" si="186"/>
        <v>4026.3999999999996</v>
      </c>
    </row>
    <row r="1493" spans="1:18" ht="21.75" customHeight="1">
      <c r="A1493" t="s">
        <v>1644</v>
      </c>
      <c r="B1493" s="6">
        <v>45318</v>
      </c>
      <c r="C1493" t="s">
        <v>125</v>
      </c>
      <c r="D1493" t="s">
        <v>45</v>
      </c>
      <c r="E1493" t="s">
        <v>22</v>
      </c>
      <c r="F1493" t="s">
        <v>12</v>
      </c>
      <c r="G1493" t="s">
        <v>13</v>
      </c>
      <c r="H1493">
        <v>9</v>
      </c>
      <c r="I1493" t="str">
        <f>VLOOKUP(D1493,Product_Lookup!$A$2:$C$27,3,FALSE)</f>
        <v>$107.34</v>
      </c>
      <c r="J1493" t="str">
        <f t="shared" si="187"/>
        <v>Saturday</v>
      </c>
      <c r="K1493" s="10" t="str">
        <f t="shared" si="188"/>
        <v>January</v>
      </c>
      <c r="L1493">
        <f t="shared" si="189"/>
        <v>2024</v>
      </c>
      <c r="M1493" t="b">
        <f t="shared" si="190"/>
        <v>1</v>
      </c>
      <c r="N1493" t="b">
        <f t="shared" si="184"/>
        <v>1</v>
      </c>
      <c r="O1493" t="str">
        <f t="shared" si="191"/>
        <v>Large Order</v>
      </c>
      <c r="P1493" s="7">
        <f t="shared" si="185"/>
        <v>5.3670000000000009</v>
      </c>
      <c r="Q1493" s="7" t="str">
        <f>VLOOKUP(D1494,Product_Lookup!$A$2:$C$27,2,FALSE)</f>
        <v>Paper Shredder</v>
      </c>
      <c r="R1493" s="7">
        <f t="shared" si="186"/>
        <v>966.06000000000006</v>
      </c>
    </row>
    <row r="1494" spans="1:18" ht="21.75" customHeight="1">
      <c r="A1494" t="s">
        <v>1645</v>
      </c>
      <c r="B1494" s="6">
        <v>45509</v>
      </c>
      <c r="C1494" t="s">
        <v>374</v>
      </c>
      <c r="D1494" t="s">
        <v>109</v>
      </c>
      <c r="E1494" t="s">
        <v>17</v>
      </c>
      <c r="F1494" t="s">
        <v>27</v>
      </c>
      <c r="G1494" t="s">
        <v>32</v>
      </c>
      <c r="H1494">
        <v>7</v>
      </c>
      <c r="I1494" t="str">
        <f>VLOOKUP(D1494,Product_Lookup!$A$2:$C$27,3,FALSE)</f>
        <v>$81.02</v>
      </c>
      <c r="J1494" t="str">
        <f t="shared" si="187"/>
        <v>Monday</v>
      </c>
      <c r="K1494" s="10" t="str">
        <f t="shared" si="188"/>
        <v>August</v>
      </c>
      <c r="L1494">
        <f t="shared" si="189"/>
        <v>2024</v>
      </c>
      <c r="M1494" t="b">
        <f t="shared" si="190"/>
        <v>0</v>
      </c>
      <c r="N1494" t="b">
        <f t="shared" si="184"/>
        <v>0</v>
      </c>
      <c r="O1494" t="str">
        <f t="shared" si="191"/>
        <v>Large Order</v>
      </c>
      <c r="P1494" s="7">
        <f t="shared" si="185"/>
        <v>4.0510000000000002</v>
      </c>
      <c r="Q1494" s="7" t="str">
        <f>VLOOKUP(D1495,Product_Lookup!$A$2:$C$27,2,FALSE)</f>
        <v>Vacuum</v>
      </c>
      <c r="R1494" s="7">
        <f t="shared" si="186"/>
        <v>567.14</v>
      </c>
    </row>
    <row r="1495" spans="1:18" ht="21.75" customHeight="1">
      <c r="A1495" t="s">
        <v>1646</v>
      </c>
      <c r="B1495" s="6">
        <v>45350</v>
      </c>
      <c r="C1495" t="s">
        <v>20</v>
      </c>
      <c r="D1495" t="s">
        <v>87</v>
      </c>
      <c r="E1495" t="s">
        <v>11</v>
      </c>
      <c r="F1495" t="s">
        <v>42</v>
      </c>
      <c r="G1495" t="s">
        <v>36</v>
      </c>
      <c r="H1495">
        <v>16</v>
      </c>
      <c r="I1495" t="str">
        <f>VLOOKUP(D1495,Product_Lookup!$A$2:$C$27,3,FALSE)</f>
        <v>$26.59</v>
      </c>
      <c r="J1495" t="str">
        <f t="shared" si="187"/>
        <v>Wednesday</v>
      </c>
      <c r="K1495" s="10" t="str">
        <f t="shared" si="188"/>
        <v>February</v>
      </c>
      <c r="L1495">
        <f t="shared" si="189"/>
        <v>2024</v>
      </c>
      <c r="M1495" t="b">
        <f t="shared" si="190"/>
        <v>0</v>
      </c>
      <c r="N1495" t="b">
        <f t="shared" si="184"/>
        <v>0</v>
      </c>
      <c r="O1495" t="str">
        <f t="shared" si="191"/>
        <v>Standard order</v>
      </c>
      <c r="P1495" s="7">
        <f t="shared" si="185"/>
        <v>1.3295000000000001</v>
      </c>
      <c r="Q1495" s="7" t="str">
        <f>VLOOKUP(D1496,Product_Lookup!$A$2:$C$27,2,FALSE)</f>
        <v>Jacket</v>
      </c>
      <c r="R1495" s="7">
        <f t="shared" si="186"/>
        <v>425.44</v>
      </c>
    </row>
    <row r="1496" spans="1:18" ht="21.75" customHeight="1">
      <c r="A1496" t="s">
        <v>1647</v>
      </c>
      <c r="B1496" s="6">
        <v>45449</v>
      </c>
      <c r="C1496" t="s">
        <v>116</v>
      </c>
      <c r="D1496" t="s">
        <v>197</v>
      </c>
      <c r="E1496" t="s">
        <v>17</v>
      </c>
      <c r="F1496" t="s">
        <v>306</v>
      </c>
      <c r="G1496" t="s">
        <v>13</v>
      </c>
      <c r="H1496">
        <v>1</v>
      </c>
      <c r="I1496" t="str">
        <f>VLOOKUP(D1496,Product_Lookup!$A$2:$C$27,3,FALSE)</f>
        <v>$10.11</v>
      </c>
      <c r="J1496" t="str">
        <f t="shared" si="187"/>
        <v>Thursday</v>
      </c>
      <c r="K1496" s="10" t="str">
        <f t="shared" si="188"/>
        <v>June</v>
      </c>
      <c r="L1496">
        <f t="shared" si="189"/>
        <v>2024</v>
      </c>
      <c r="M1496" t="b">
        <f t="shared" si="190"/>
        <v>0</v>
      </c>
      <c r="N1496" t="b">
        <f t="shared" si="184"/>
        <v>0</v>
      </c>
      <c r="O1496" t="str">
        <f t="shared" si="191"/>
        <v>Standard order</v>
      </c>
      <c r="P1496" s="7">
        <f t="shared" si="185"/>
        <v>0.50549999999999995</v>
      </c>
      <c r="Q1496" s="7" t="str">
        <f>VLOOKUP(D1497,Product_Lookup!$A$2:$C$27,2,FALSE)</f>
        <v>Headphones</v>
      </c>
      <c r="R1496" s="7">
        <f t="shared" si="186"/>
        <v>10.11</v>
      </c>
    </row>
    <row r="1497" spans="1:18" ht="21.75" customHeight="1">
      <c r="A1497" t="s">
        <v>1648</v>
      </c>
      <c r="B1497" s="6">
        <v>45400</v>
      </c>
      <c r="C1497" t="s">
        <v>337</v>
      </c>
      <c r="D1497" t="s">
        <v>16</v>
      </c>
      <c r="E1497" t="s">
        <v>17</v>
      </c>
      <c r="F1497" t="s">
        <v>42</v>
      </c>
      <c r="G1497" t="s">
        <v>32</v>
      </c>
      <c r="H1497">
        <v>4</v>
      </c>
      <c r="I1497" t="str">
        <f>VLOOKUP(D1497,Product_Lookup!$A$2:$C$27,3,FALSE)</f>
        <v>$178.83</v>
      </c>
      <c r="J1497" t="str">
        <f t="shared" si="187"/>
        <v>Thursday</v>
      </c>
      <c r="K1497" s="10" t="str">
        <f t="shared" si="188"/>
        <v>April</v>
      </c>
      <c r="L1497">
        <f t="shared" si="189"/>
        <v>2024</v>
      </c>
      <c r="M1497" t="b">
        <f t="shared" si="190"/>
        <v>0</v>
      </c>
      <c r="N1497" t="b">
        <f t="shared" si="184"/>
        <v>0</v>
      </c>
      <c r="O1497" t="str">
        <f t="shared" si="191"/>
        <v>Large Order</v>
      </c>
      <c r="P1497" s="7">
        <f t="shared" si="185"/>
        <v>8.9415000000000013</v>
      </c>
      <c r="Q1497" s="7" t="str">
        <f>VLOOKUP(D1498,Product_Lookup!$A$2:$C$27,2,FALSE)</f>
        <v>Headphones</v>
      </c>
      <c r="R1497" s="7">
        <f t="shared" si="186"/>
        <v>715.32</v>
      </c>
    </row>
    <row r="1498" spans="1:18" ht="21.75" customHeight="1">
      <c r="A1498" t="s">
        <v>1649</v>
      </c>
      <c r="B1498" s="6">
        <v>45512</v>
      </c>
      <c r="C1498" t="s">
        <v>235</v>
      </c>
      <c r="D1498" t="s">
        <v>16</v>
      </c>
      <c r="E1498" t="s">
        <v>17</v>
      </c>
      <c r="F1498" t="s">
        <v>306</v>
      </c>
      <c r="G1498" t="s">
        <v>28</v>
      </c>
      <c r="H1498">
        <v>17</v>
      </c>
      <c r="I1498" t="str">
        <f>VLOOKUP(D1498,Product_Lookup!$A$2:$C$27,3,FALSE)</f>
        <v>$178.83</v>
      </c>
      <c r="J1498" t="str">
        <f t="shared" si="187"/>
        <v>Thursday</v>
      </c>
      <c r="K1498" s="10" t="str">
        <f t="shared" si="188"/>
        <v>August</v>
      </c>
      <c r="L1498">
        <f t="shared" si="189"/>
        <v>2024</v>
      </c>
      <c r="M1498" t="b">
        <f t="shared" si="190"/>
        <v>0</v>
      </c>
      <c r="N1498" t="b">
        <f t="shared" si="184"/>
        <v>1</v>
      </c>
      <c r="O1498" t="str">
        <f t="shared" si="191"/>
        <v>Large Order</v>
      </c>
      <c r="P1498" s="7">
        <f t="shared" si="185"/>
        <v>8.9415000000000013</v>
      </c>
      <c r="Q1498" s="7" t="str">
        <f>VLOOKUP(D1499,Product_Lookup!$A$2:$C$27,2,FALSE)</f>
        <v>Tablet</v>
      </c>
      <c r="R1498" s="7">
        <f t="shared" si="186"/>
        <v>3040.11</v>
      </c>
    </row>
    <row r="1499" spans="1:18" ht="21.75" customHeight="1">
      <c r="A1499" t="s">
        <v>1650</v>
      </c>
      <c r="B1499" s="6">
        <v>45634</v>
      </c>
      <c r="C1499" t="s">
        <v>182</v>
      </c>
      <c r="D1499" t="s">
        <v>10</v>
      </c>
      <c r="E1499" t="s">
        <v>17</v>
      </c>
      <c r="F1499" t="s">
        <v>12</v>
      </c>
      <c r="G1499" t="s">
        <v>23</v>
      </c>
      <c r="H1499">
        <v>1</v>
      </c>
      <c r="I1499" t="str">
        <f>VLOOKUP(D1499,Product_Lookup!$A$2:$C$27,3,FALSE)</f>
        <v>$146.06</v>
      </c>
      <c r="J1499" t="str">
        <f t="shared" si="187"/>
        <v>Sunday</v>
      </c>
      <c r="K1499" s="10" t="str">
        <f t="shared" si="188"/>
        <v>December</v>
      </c>
      <c r="L1499">
        <f t="shared" si="189"/>
        <v>2024</v>
      </c>
      <c r="M1499" t="b">
        <f t="shared" si="190"/>
        <v>1</v>
      </c>
      <c r="N1499" t="b">
        <f t="shared" si="184"/>
        <v>0</v>
      </c>
      <c r="O1499" t="str">
        <f t="shared" si="191"/>
        <v>Standard order</v>
      </c>
      <c r="P1499" s="7">
        <f t="shared" si="185"/>
        <v>7.3030000000000008</v>
      </c>
      <c r="Q1499" s="7" t="str">
        <f>VLOOKUP(D1500,Product_Lookup!$A$2:$C$27,2,FALSE)</f>
        <v>Desk Lamp</v>
      </c>
      <c r="R1499" s="7">
        <f t="shared" si="186"/>
        <v>146.06</v>
      </c>
    </row>
    <row r="1500" spans="1:18" ht="21.75" customHeight="1">
      <c r="A1500" t="s">
        <v>1651</v>
      </c>
      <c r="B1500" s="6">
        <v>45331</v>
      </c>
      <c r="C1500" t="s">
        <v>38</v>
      </c>
      <c r="D1500" t="s">
        <v>59</v>
      </c>
      <c r="E1500" t="s">
        <v>17</v>
      </c>
      <c r="F1500" t="s">
        <v>306</v>
      </c>
      <c r="G1500" t="s">
        <v>23</v>
      </c>
      <c r="H1500">
        <v>14</v>
      </c>
      <c r="I1500" t="str">
        <f>VLOOKUP(D1500,Product_Lookup!$A$2:$C$27,3,FALSE)</f>
        <v>$101.96</v>
      </c>
      <c r="J1500" t="str">
        <f t="shared" si="187"/>
        <v>Friday</v>
      </c>
      <c r="K1500" s="10" t="str">
        <f t="shared" si="188"/>
        <v>February</v>
      </c>
      <c r="L1500">
        <f t="shared" si="189"/>
        <v>2024</v>
      </c>
      <c r="M1500" t="b">
        <f t="shared" si="190"/>
        <v>0</v>
      </c>
      <c r="N1500" t="b">
        <f t="shared" si="184"/>
        <v>1</v>
      </c>
      <c r="O1500" t="str">
        <f t="shared" si="191"/>
        <v>Large Order</v>
      </c>
      <c r="P1500" s="7">
        <f t="shared" si="185"/>
        <v>5.0979999999999999</v>
      </c>
      <c r="Q1500" s="7" t="str">
        <f>VLOOKUP(D1501,Product_Lookup!$A$2:$C$27,2,FALSE)</f>
        <v>Blender</v>
      </c>
      <c r="R1500" s="7">
        <f t="shared" si="186"/>
        <v>1427.4399999999998</v>
      </c>
    </row>
    <row r="1501" spans="1:18" ht="21.75" customHeight="1">
      <c r="A1501" t="s">
        <v>1652</v>
      </c>
      <c r="B1501" s="6">
        <v>45499</v>
      </c>
      <c r="C1501" t="s">
        <v>138</v>
      </c>
      <c r="D1501" t="s">
        <v>72</v>
      </c>
      <c r="E1501" t="s">
        <v>11</v>
      </c>
      <c r="F1501" t="s">
        <v>306</v>
      </c>
      <c r="G1501" t="s">
        <v>23</v>
      </c>
      <c r="H1501">
        <v>12</v>
      </c>
      <c r="I1501" t="str">
        <f>VLOOKUP(D1501,Product_Lookup!$A$2:$C$27,3,FALSE)</f>
        <v>$156.44</v>
      </c>
      <c r="J1501" t="str">
        <f t="shared" si="187"/>
        <v>Friday</v>
      </c>
      <c r="K1501" s="10" t="str">
        <f t="shared" si="188"/>
        <v>July</v>
      </c>
      <c r="L1501">
        <f t="shared" si="189"/>
        <v>2024</v>
      </c>
      <c r="M1501" t="b">
        <f t="shared" si="190"/>
        <v>0</v>
      </c>
      <c r="N1501" t="b">
        <f t="shared" si="184"/>
        <v>1</v>
      </c>
      <c r="O1501" t="str">
        <f t="shared" si="191"/>
        <v>Large Order</v>
      </c>
      <c r="P1501" s="7">
        <f t="shared" si="185"/>
        <v>7.8220000000000001</v>
      </c>
      <c r="Q1501" s="7" t="str">
        <f>VLOOKUP(D1502,Product_Lookup!$A$2:$C$27,2,FALSE)</f>
        <v>Vacuum</v>
      </c>
      <c r="R1501" s="7">
        <f t="shared" si="186"/>
        <v>1877.28</v>
      </c>
    </row>
    <row r="1502" spans="1:18" ht="21.75" customHeight="1">
      <c r="A1502" t="s">
        <v>1653</v>
      </c>
      <c r="B1502" s="6">
        <v>45346</v>
      </c>
      <c r="C1502" t="s">
        <v>78</v>
      </c>
      <c r="D1502" t="s">
        <v>87</v>
      </c>
      <c r="E1502" t="s">
        <v>22</v>
      </c>
      <c r="F1502" t="s">
        <v>27</v>
      </c>
      <c r="G1502" t="s">
        <v>36</v>
      </c>
      <c r="H1502">
        <v>3</v>
      </c>
      <c r="I1502" t="str">
        <f>VLOOKUP(D1502,Product_Lookup!$A$2:$C$27,3,FALSE)</f>
        <v>$26.59</v>
      </c>
      <c r="J1502" t="str">
        <f t="shared" si="187"/>
        <v>Saturday</v>
      </c>
      <c r="K1502" s="10" t="str">
        <f t="shared" si="188"/>
        <v>February</v>
      </c>
      <c r="L1502">
        <f t="shared" si="189"/>
        <v>2024</v>
      </c>
      <c r="M1502" t="b">
        <f t="shared" si="190"/>
        <v>1</v>
      </c>
      <c r="N1502" t="b">
        <f t="shared" si="184"/>
        <v>0</v>
      </c>
      <c r="O1502" t="str">
        <f t="shared" si="191"/>
        <v>Standard order</v>
      </c>
      <c r="P1502" s="7">
        <f t="shared" si="185"/>
        <v>1.3295000000000001</v>
      </c>
      <c r="Q1502" s="7" t="str">
        <f>VLOOKUP(D1503,Product_Lookup!$A$2:$C$27,2,FALSE)</f>
        <v>Blender</v>
      </c>
      <c r="R1502" s="7">
        <f t="shared" si="186"/>
        <v>79.77</v>
      </c>
    </row>
    <row r="1503" spans="1:18" ht="21.75" customHeight="1">
      <c r="A1503" t="s">
        <v>1654</v>
      </c>
      <c r="B1503" s="6">
        <v>45450</v>
      </c>
      <c r="C1503" t="s">
        <v>323</v>
      </c>
      <c r="D1503" t="s">
        <v>72</v>
      </c>
      <c r="E1503" t="s">
        <v>11</v>
      </c>
      <c r="F1503" t="s">
        <v>42</v>
      </c>
      <c r="G1503" t="s">
        <v>28</v>
      </c>
      <c r="H1503">
        <v>3</v>
      </c>
      <c r="I1503" t="str">
        <f>VLOOKUP(D1503,Product_Lookup!$A$2:$C$27,3,FALSE)</f>
        <v>$156.44</v>
      </c>
      <c r="J1503" t="str">
        <f t="shared" si="187"/>
        <v>Friday</v>
      </c>
      <c r="K1503" s="10" t="str">
        <f t="shared" si="188"/>
        <v>June</v>
      </c>
      <c r="L1503">
        <f t="shared" si="189"/>
        <v>2024</v>
      </c>
      <c r="M1503" t="b">
        <f t="shared" si="190"/>
        <v>0</v>
      </c>
      <c r="N1503" t="b">
        <f t="shared" si="184"/>
        <v>0</v>
      </c>
      <c r="O1503" t="str">
        <f t="shared" si="191"/>
        <v>Standard order</v>
      </c>
      <c r="P1503" s="7">
        <f t="shared" si="185"/>
        <v>7.8220000000000001</v>
      </c>
      <c r="Q1503" s="7" t="str">
        <f>VLOOKUP(D1504,Product_Lookup!$A$2:$C$27,2,FALSE)</f>
        <v>Notebook</v>
      </c>
      <c r="R1503" s="7">
        <f t="shared" si="186"/>
        <v>469.32</v>
      </c>
    </row>
    <row r="1504" spans="1:18" ht="21.75" customHeight="1">
      <c r="A1504" t="s">
        <v>1655</v>
      </c>
      <c r="B1504" s="6">
        <v>45350</v>
      </c>
      <c r="C1504" t="s">
        <v>339</v>
      </c>
      <c r="D1504" t="s">
        <v>160</v>
      </c>
      <c r="E1504" t="s">
        <v>11</v>
      </c>
      <c r="F1504" t="s">
        <v>42</v>
      </c>
      <c r="G1504" t="s">
        <v>32</v>
      </c>
      <c r="H1504">
        <v>5</v>
      </c>
      <c r="I1504" t="str">
        <f>VLOOKUP(D1504,Product_Lookup!$A$2:$C$27,3,FALSE)</f>
        <v>$149.27</v>
      </c>
      <c r="J1504" t="str">
        <f t="shared" si="187"/>
        <v>Wednesday</v>
      </c>
      <c r="K1504" s="10" t="str">
        <f t="shared" si="188"/>
        <v>February</v>
      </c>
      <c r="L1504">
        <f t="shared" si="189"/>
        <v>2024</v>
      </c>
      <c r="M1504" t="b">
        <f t="shared" si="190"/>
        <v>0</v>
      </c>
      <c r="N1504" t="b">
        <f t="shared" si="184"/>
        <v>0</v>
      </c>
      <c r="O1504" t="str">
        <f t="shared" si="191"/>
        <v>Large Order</v>
      </c>
      <c r="P1504" s="7">
        <f t="shared" si="185"/>
        <v>7.4635000000000007</v>
      </c>
      <c r="Q1504" s="7" t="str">
        <f>VLOOKUP(D1505,Product_Lookup!$A$2:$C$27,2,FALSE)</f>
        <v>Jeans</v>
      </c>
      <c r="R1504" s="7">
        <f t="shared" si="186"/>
        <v>746.35</v>
      </c>
    </row>
    <row r="1505" spans="1:18" ht="21.75" customHeight="1">
      <c r="A1505" t="s">
        <v>1656</v>
      </c>
      <c r="B1505" s="6">
        <v>45366</v>
      </c>
      <c r="C1505" t="s">
        <v>230</v>
      </c>
      <c r="D1505" t="s">
        <v>65</v>
      </c>
      <c r="E1505" t="s">
        <v>11</v>
      </c>
      <c r="F1505" t="s">
        <v>306</v>
      </c>
      <c r="G1505" t="s">
        <v>28</v>
      </c>
      <c r="H1505">
        <v>3</v>
      </c>
      <c r="I1505" t="str">
        <f>VLOOKUP(D1505,Product_Lookup!$A$2:$C$27,3,FALSE)</f>
        <v>$33.22</v>
      </c>
      <c r="J1505" t="str">
        <f t="shared" si="187"/>
        <v>Friday</v>
      </c>
      <c r="K1505" s="10" t="str">
        <f t="shared" si="188"/>
        <v>March</v>
      </c>
      <c r="L1505">
        <f t="shared" si="189"/>
        <v>2024</v>
      </c>
      <c r="M1505" t="b">
        <f t="shared" si="190"/>
        <v>0</v>
      </c>
      <c r="N1505" t="b">
        <f t="shared" si="184"/>
        <v>0</v>
      </c>
      <c r="O1505" t="str">
        <f t="shared" si="191"/>
        <v>Standard order</v>
      </c>
      <c r="P1505" s="7">
        <f t="shared" si="185"/>
        <v>1.661</v>
      </c>
      <c r="Q1505" s="7" t="str">
        <f>VLOOKUP(D1506,Product_Lookup!$A$2:$C$27,2,FALSE)</f>
        <v>Air Fryer</v>
      </c>
      <c r="R1505" s="7">
        <f t="shared" si="186"/>
        <v>99.66</v>
      </c>
    </row>
    <row r="1506" spans="1:18" ht="21.75" customHeight="1">
      <c r="A1506" t="s">
        <v>1657</v>
      </c>
      <c r="B1506" s="6">
        <v>45613</v>
      </c>
      <c r="C1506" t="s">
        <v>432</v>
      </c>
      <c r="D1506" t="s">
        <v>70</v>
      </c>
      <c r="E1506" t="s">
        <v>22</v>
      </c>
      <c r="F1506" t="s">
        <v>306</v>
      </c>
      <c r="G1506" t="s">
        <v>23</v>
      </c>
      <c r="H1506">
        <v>19</v>
      </c>
      <c r="I1506" t="str">
        <f>VLOOKUP(D1506,Product_Lookup!$A$2:$C$27,3,FALSE)</f>
        <v>$211.9</v>
      </c>
      <c r="J1506" t="str">
        <f t="shared" si="187"/>
        <v>Sunday</v>
      </c>
      <c r="K1506" s="10" t="str">
        <f t="shared" si="188"/>
        <v>November</v>
      </c>
      <c r="L1506">
        <f t="shared" si="189"/>
        <v>2024</v>
      </c>
      <c r="M1506" t="b">
        <f t="shared" si="190"/>
        <v>1</v>
      </c>
      <c r="N1506" t="b">
        <f t="shared" si="184"/>
        <v>1</v>
      </c>
      <c r="O1506" t="str">
        <f t="shared" si="191"/>
        <v>Large Order</v>
      </c>
      <c r="P1506" s="7">
        <f t="shared" si="185"/>
        <v>10.595000000000001</v>
      </c>
      <c r="Q1506" s="7" t="str">
        <f>VLOOKUP(D1507,Product_Lookup!$A$2:$C$27,2,FALSE)</f>
        <v>Action Figure</v>
      </c>
      <c r="R1506" s="7">
        <f t="shared" si="186"/>
        <v>4026.1</v>
      </c>
    </row>
    <row r="1507" spans="1:18" ht="21.75" customHeight="1">
      <c r="A1507" t="s">
        <v>1658</v>
      </c>
      <c r="B1507" s="6">
        <v>45611</v>
      </c>
      <c r="C1507" t="s">
        <v>187</v>
      </c>
      <c r="D1507" t="s">
        <v>21</v>
      </c>
      <c r="E1507" t="s">
        <v>17</v>
      </c>
      <c r="F1507" t="s">
        <v>56</v>
      </c>
      <c r="G1507" t="s">
        <v>23</v>
      </c>
      <c r="H1507">
        <v>3</v>
      </c>
      <c r="I1507" t="str">
        <f>VLOOKUP(D1507,Product_Lookup!$A$2:$C$27,3,FALSE)</f>
        <v>$88.18</v>
      </c>
      <c r="J1507" t="str">
        <f t="shared" si="187"/>
        <v>Friday</v>
      </c>
      <c r="K1507" s="10" t="str">
        <f t="shared" si="188"/>
        <v>November</v>
      </c>
      <c r="L1507">
        <f t="shared" si="189"/>
        <v>2024</v>
      </c>
      <c r="M1507" t="b">
        <f t="shared" si="190"/>
        <v>0</v>
      </c>
      <c r="N1507" t="b">
        <f t="shared" si="184"/>
        <v>0</v>
      </c>
      <c r="O1507" t="str">
        <f t="shared" si="191"/>
        <v>Standard order</v>
      </c>
      <c r="P1507" s="7">
        <f t="shared" si="185"/>
        <v>4.4090000000000007</v>
      </c>
      <c r="Q1507" s="7" t="str">
        <f>VLOOKUP(D1508,Product_Lookup!$A$2:$C$27,2,FALSE)</f>
        <v>Sweater</v>
      </c>
      <c r="R1507" s="7">
        <f t="shared" si="186"/>
        <v>264.54000000000002</v>
      </c>
    </row>
    <row r="1508" spans="1:18" ht="21.75" customHeight="1">
      <c r="A1508" t="s">
        <v>1659</v>
      </c>
      <c r="B1508" s="6">
        <v>45615</v>
      </c>
      <c r="C1508" t="s">
        <v>68</v>
      </c>
      <c r="D1508" t="s">
        <v>26</v>
      </c>
      <c r="E1508" t="s">
        <v>22</v>
      </c>
      <c r="F1508" t="s">
        <v>12</v>
      </c>
      <c r="G1508" t="s">
        <v>32</v>
      </c>
      <c r="H1508">
        <v>17</v>
      </c>
      <c r="I1508" t="str">
        <f>VLOOKUP(D1508,Product_Lookup!$A$2:$C$27,3,FALSE)</f>
        <v>$84.57</v>
      </c>
      <c r="J1508" t="str">
        <f t="shared" si="187"/>
        <v>Tuesday</v>
      </c>
      <c r="K1508" s="10" t="str">
        <f t="shared" si="188"/>
        <v>November</v>
      </c>
      <c r="L1508">
        <f t="shared" si="189"/>
        <v>2024</v>
      </c>
      <c r="M1508" t="b">
        <f t="shared" si="190"/>
        <v>0</v>
      </c>
      <c r="N1508" t="b">
        <f t="shared" si="184"/>
        <v>1</v>
      </c>
      <c r="O1508" t="str">
        <f t="shared" si="191"/>
        <v>Large Order</v>
      </c>
      <c r="P1508" s="7">
        <f t="shared" si="185"/>
        <v>4.2284999999999995</v>
      </c>
      <c r="Q1508" s="7" t="str">
        <f>VLOOKUP(D1509,Product_Lookup!$A$2:$C$27,2,FALSE)</f>
        <v>Smartphone</v>
      </c>
      <c r="R1508" s="7">
        <f t="shared" si="186"/>
        <v>1437.6899999999998</v>
      </c>
    </row>
    <row r="1509" spans="1:18" ht="21.75" customHeight="1">
      <c r="A1509" t="s">
        <v>1660</v>
      </c>
      <c r="B1509" s="6">
        <v>45528</v>
      </c>
      <c r="C1509" t="s">
        <v>430</v>
      </c>
      <c r="D1509" t="s">
        <v>79</v>
      </c>
      <c r="E1509" t="s">
        <v>11</v>
      </c>
      <c r="F1509" t="s">
        <v>42</v>
      </c>
      <c r="G1509" t="s">
        <v>32</v>
      </c>
      <c r="H1509">
        <v>3</v>
      </c>
      <c r="I1509" t="str">
        <f>VLOOKUP(D1509,Product_Lookup!$A$2:$C$27,3,FALSE)</f>
        <v>$216.22</v>
      </c>
      <c r="J1509" t="str">
        <f t="shared" si="187"/>
        <v>Saturday</v>
      </c>
      <c r="K1509" s="10" t="str">
        <f t="shared" si="188"/>
        <v>August</v>
      </c>
      <c r="L1509">
        <f t="shared" si="189"/>
        <v>2024</v>
      </c>
      <c r="M1509" t="b">
        <f t="shared" si="190"/>
        <v>1</v>
      </c>
      <c r="N1509" t="b">
        <f t="shared" si="184"/>
        <v>0</v>
      </c>
      <c r="O1509" t="str">
        <f t="shared" si="191"/>
        <v>Large Order</v>
      </c>
      <c r="P1509" s="7">
        <f t="shared" si="185"/>
        <v>10.811</v>
      </c>
      <c r="Q1509" s="7" t="str">
        <f>VLOOKUP(D1510,Product_Lookup!$A$2:$C$27,2,FALSE)</f>
        <v>Paper Shredder</v>
      </c>
      <c r="R1509" s="7">
        <f t="shared" si="186"/>
        <v>648.66</v>
      </c>
    </row>
    <row r="1510" spans="1:18" ht="21.75" customHeight="1">
      <c r="A1510" t="s">
        <v>1661</v>
      </c>
      <c r="B1510" s="6">
        <v>45338</v>
      </c>
      <c r="C1510" t="s">
        <v>594</v>
      </c>
      <c r="D1510" t="s">
        <v>109</v>
      </c>
      <c r="E1510" t="s">
        <v>22</v>
      </c>
      <c r="F1510" t="s">
        <v>27</v>
      </c>
      <c r="G1510" t="s">
        <v>23</v>
      </c>
      <c r="H1510">
        <v>19</v>
      </c>
      <c r="I1510" t="str">
        <f>VLOOKUP(D1510,Product_Lookup!$A$2:$C$27,3,FALSE)</f>
        <v>$81.02</v>
      </c>
      <c r="J1510" t="str">
        <f t="shared" si="187"/>
        <v>Friday</v>
      </c>
      <c r="K1510" s="10" t="str">
        <f t="shared" si="188"/>
        <v>February</v>
      </c>
      <c r="L1510">
        <f t="shared" si="189"/>
        <v>2024</v>
      </c>
      <c r="M1510" t="b">
        <f t="shared" si="190"/>
        <v>0</v>
      </c>
      <c r="N1510" t="b">
        <f t="shared" si="184"/>
        <v>1</v>
      </c>
      <c r="O1510" t="str">
        <f t="shared" si="191"/>
        <v>Large Order</v>
      </c>
      <c r="P1510" s="7">
        <f t="shared" si="185"/>
        <v>4.0510000000000002</v>
      </c>
      <c r="Q1510" s="7" t="str">
        <f>VLOOKUP(D1511,Product_Lookup!$A$2:$C$27,2,FALSE)</f>
        <v>Desk Lamp</v>
      </c>
      <c r="R1510" s="7">
        <f t="shared" si="186"/>
        <v>1539.3799999999999</v>
      </c>
    </row>
    <row r="1511" spans="1:18" ht="21.75" customHeight="1">
      <c r="A1511" t="s">
        <v>1662</v>
      </c>
      <c r="B1511" s="6">
        <v>45313</v>
      </c>
      <c r="C1511" t="s">
        <v>430</v>
      </c>
      <c r="D1511" t="s">
        <v>59</v>
      </c>
      <c r="E1511" t="s">
        <v>22</v>
      </c>
      <c r="F1511" t="s">
        <v>56</v>
      </c>
      <c r="G1511" t="s">
        <v>32</v>
      </c>
      <c r="H1511">
        <v>20</v>
      </c>
      <c r="I1511" t="str">
        <f>VLOOKUP(D1511,Product_Lookup!$A$2:$C$27,3,FALSE)</f>
        <v>$101.96</v>
      </c>
      <c r="J1511" t="str">
        <f t="shared" si="187"/>
        <v>Monday</v>
      </c>
      <c r="K1511" s="10" t="str">
        <f t="shared" si="188"/>
        <v>January</v>
      </c>
      <c r="L1511">
        <f t="shared" si="189"/>
        <v>2024</v>
      </c>
      <c r="M1511" t="b">
        <f t="shared" si="190"/>
        <v>0</v>
      </c>
      <c r="N1511" t="b">
        <f t="shared" si="184"/>
        <v>1</v>
      </c>
      <c r="O1511" t="str">
        <f t="shared" si="191"/>
        <v>Large Order</v>
      </c>
      <c r="P1511" s="7">
        <f t="shared" si="185"/>
        <v>5.0979999999999999</v>
      </c>
      <c r="Q1511" s="7" t="str">
        <f>VLOOKUP(D1512,Product_Lookup!$A$2:$C$27,2,FALSE)</f>
        <v>Air Fryer</v>
      </c>
      <c r="R1511" s="7">
        <f t="shared" si="186"/>
        <v>2039.1999999999998</v>
      </c>
    </row>
    <row r="1512" spans="1:18" ht="21.75" customHeight="1">
      <c r="A1512" t="s">
        <v>1663</v>
      </c>
      <c r="B1512" s="6">
        <v>45369</v>
      </c>
      <c r="C1512" t="s">
        <v>131</v>
      </c>
      <c r="D1512" t="s">
        <v>70</v>
      </c>
      <c r="E1512" t="s">
        <v>11</v>
      </c>
      <c r="F1512" t="s">
        <v>42</v>
      </c>
      <c r="G1512" t="s">
        <v>13</v>
      </c>
      <c r="H1512">
        <v>17</v>
      </c>
      <c r="I1512" t="str">
        <f>VLOOKUP(D1512,Product_Lookup!$A$2:$C$27,3,FALSE)</f>
        <v>$211.9</v>
      </c>
      <c r="J1512" t="str">
        <f t="shared" si="187"/>
        <v>Monday</v>
      </c>
      <c r="K1512" s="10" t="str">
        <f t="shared" si="188"/>
        <v>March</v>
      </c>
      <c r="L1512">
        <f t="shared" si="189"/>
        <v>2024</v>
      </c>
      <c r="M1512" t="b">
        <f t="shared" si="190"/>
        <v>0</v>
      </c>
      <c r="N1512" t="b">
        <f t="shared" si="184"/>
        <v>1</v>
      </c>
      <c r="O1512" t="str">
        <f t="shared" si="191"/>
        <v>Large Order</v>
      </c>
      <c r="P1512" s="7">
        <f t="shared" si="185"/>
        <v>10.595000000000001</v>
      </c>
      <c r="Q1512" s="7" t="str">
        <f>VLOOKUP(D1513,Product_Lookup!$A$2:$C$27,2,FALSE)</f>
        <v>Puzzle</v>
      </c>
      <c r="R1512" s="7">
        <f t="shared" si="186"/>
        <v>3602.3</v>
      </c>
    </row>
    <row r="1513" spans="1:18" ht="21.75" customHeight="1">
      <c r="A1513" t="s">
        <v>1664</v>
      </c>
      <c r="B1513" s="6">
        <v>45312</v>
      </c>
      <c r="C1513" t="s">
        <v>78</v>
      </c>
      <c r="D1513" t="s">
        <v>62</v>
      </c>
      <c r="E1513" t="s">
        <v>17</v>
      </c>
      <c r="F1513" t="s">
        <v>27</v>
      </c>
      <c r="G1513" t="s">
        <v>36</v>
      </c>
      <c r="H1513">
        <v>17</v>
      </c>
      <c r="I1513" t="str">
        <f>VLOOKUP(D1513,Product_Lookup!$A$2:$C$27,3,FALSE)</f>
        <v>$46.19</v>
      </c>
      <c r="J1513" t="str">
        <f t="shared" si="187"/>
        <v>Sunday</v>
      </c>
      <c r="K1513" s="10" t="str">
        <f t="shared" si="188"/>
        <v>January</v>
      </c>
      <c r="L1513">
        <f t="shared" si="189"/>
        <v>2024</v>
      </c>
      <c r="M1513" t="b">
        <f t="shared" si="190"/>
        <v>1</v>
      </c>
      <c r="N1513" t="b">
        <f t="shared" si="184"/>
        <v>1</v>
      </c>
      <c r="O1513" t="str">
        <f t="shared" si="191"/>
        <v>Large Order</v>
      </c>
      <c r="P1513" s="7">
        <f t="shared" si="185"/>
        <v>2.3094999999999999</v>
      </c>
      <c r="Q1513" s="7" t="str">
        <f>VLOOKUP(D1514,Product_Lookup!$A$2:$C$27,2,FALSE)</f>
        <v>Socks</v>
      </c>
      <c r="R1513" s="7">
        <f t="shared" si="186"/>
        <v>785.23</v>
      </c>
    </row>
    <row r="1514" spans="1:18" ht="21.75" customHeight="1">
      <c r="A1514" t="s">
        <v>1665</v>
      </c>
      <c r="B1514" s="6">
        <v>45478</v>
      </c>
      <c r="C1514" t="s">
        <v>200</v>
      </c>
      <c r="D1514" t="s">
        <v>74</v>
      </c>
      <c r="E1514" t="s">
        <v>17</v>
      </c>
      <c r="F1514" t="s">
        <v>27</v>
      </c>
      <c r="G1514" t="s">
        <v>32</v>
      </c>
      <c r="H1514">
        <v>20</v>
      </c>
      <c r="I1514" t="str">
        <f>VLOOKUP(D1514,Product_Lookup!$A$2:$C$27,3,FALSE)</f>
        <v>$201.32</v>
      </c>
      <c r="J1514" t="str">
        <f t="shared" si="187"/>
        <v>Friday</v>
      </c>
      <c r="K1514" s="10" t="str">
        <f t="shared" si="188"/>
        <v>July</v>
      </c>
      <c r="L1514">
        <f t="shared" si="189"/>
        <v>2024</v>
      </c>
      <c r="M1514" t="b">
        <f t="shared" si="190"/>
        <v>0</v>
      </c>
      <c r="N1514" t="b">
        <f t="shared" si="184"/>
        <v>1</v>
      </c>
      <c r="O1514" t="str">
        <f t="shared" si="191"/>
        <v>Large Order</v>
      </c>
      <c r="P1514" s="7">
        <f t="shared" si="185"/>
        <v>10.066000000000001</v>
      </c>
      <c r="Q1514" s="7" t="str">
        <f>VLOOKUP(D1515,Product_Lookup!$A$2:$C$27,2,FALSE)</f>
        <v>Blender</v>
      </c>
      <c r="R1514" s="7">
        <f t="shared" si="186"/>
        <v>4026.3999999999996</v>
      </c>
    </row>
    <row r="1515" spans="1:18" ht="21.75" customHeight="1">
      <c r="A1515" t="s">
        <v>1666</v>
      </c>
      <c r="B1515" s="6">
        <v>45615</v>
      </c>
      <c r="C1515" t="s">
        <v>736</v>
      </c>
      <c r="D1515" t="s">
        <v>72</v>
      </c>
      <c r="E1515" t="s">
        <v>11</v>
      </c>
      <c r="F1515" t="s">
        <v>42</v>
      </c>
      <c r="G1515" t="s">
        <v>13</v>
      </c>
      <c r="H1515">
        <v>18</v>
      </c>
      <c r="I1515" t="str">
        <f>VLOOKUP(D1515,Product_Lookup!$A$2:$C$27,3,FALSE)</f>
        <v>$156.44</v>
      </c>
      <c r="J1515" t="str">
        <f t="shared" si="187"/>
        <v>Tuesday</v>
      </c>
      <c r="K1515" s="10" t="str">
        <f t="shared" si="188"/>
        <v>November</v>
      </c>
      <c r="L1515">
        <f t="shared" si="189"/>
        <v>2024</v>
      </c>
      <c r="M1515" t="b">
        <f t="shared" si="190"/>
        <v>0</v>
      </c>
      <c r="N1515" t="b">
        <f t="shared" si="184"/>
        <v>1</v>
      </c>
      <c r="O1515" t="str">
        <f t="shared" si="191"/>
        <v>Large Order</v>
      </c>
      <c r="P1515" s="7">
        <f t="shared" si="185"/>
        <v>7.8220000000000001</v>
      </c>
      <c r="Q1515" s="7" t="str">
        <f>VLOOKUP(D1516,Product_Lookup!$A$2:$C$27,2,FALSE)</f>
        <v>Lego Set</v>
      </c>
      <c r="R1515" s="7">
        <f t="shared" si="186"/>
        <v>2815.92</v>
      </c>
    </row>
    <row r="1516" spans="1:18" ht="21.75" customHeight="1">
      <c r="A1516" t="s">
        <v>1667</v>
      </c>
      <c r="B1516" s="6">
        <v>45437</v>
      </c>
      <c r="C1516" t="s">
        <v>230</v>
      </c>
      <c r="D1516" t="s">
        <v>84</v>
      </c>
      <c r="E1516" t="s">
        <v>22</v>
      </c>
      <c r="F1516" t="s">
        <v>306</v>
      </c>
      <c r="G1516" t="s">
        <v>28</v>
      </c>
      <c r="H1516">
        <v>11</v>
      </c>
      <c r="I1516" t="str">
        <f>VLOOKUP(D1516,Product_Lookup!$A$2:$C$27,3,FALSE)</f>
        <v>$130.07</v>
      </c>
      <c r="J1516" t="str">
        <f t="shared" si="187"/>
        <v>Saturday</v>
      </c>
      <c r="K1516" s="10" t="str">
        <f t="shared" si="188"/>
        <v>May</v>
      </c>
      <c r="L1516">
        <f t="shared" si="189"/>
        <v>2024</v>
      </c>
      <c r="M1516" t="b">
        <f t="shared" si="190"/>
        <v>1</v>
      </c>
      <c r="N1516" t="b">
        <f t="shared" si="184"/>
        <v>1</v>
      </c>
      <c r="O1516" t="str">
        <f t="shared" si="191"/>
        <v>Large Order</v>
      </c>
      <c r="P1516" s="7">
        <f t="shared" si="185"/>
        <v>6.5034999999999998</v>
      </c>
      <c r="Q1516" s="7" t="str">
        <f>VLOOKUP(D1517,Product_Lookup!$A$2:$C$27,2,FALSE)</f>
        <v>Toaster</v>
      </c>
      <c r="R1516" s="7">
        <f t="shared" si="186"/>
        <v>1430.77</v>
      </c>
    </row>
    <row r="1517" spans="1:18" ht="21.75" customHeight="1">
      <c r="A1517" t="s">
        <v>1668</v>
      </c>
      <c r="B1517" s="6">
        <v>45631</v>
      </c>
      <c r="C1517" t="s">
        <v>167</v>
      </c>
      <c r="D1517" t="s">
        <v>48</v>
      </c>
      <c r="E1517" t="s">
        <v>17</v>
      </c>
      <c r="F1517" t="s">
        <v>27</v>
      </c>
      <c r="G1517" t="s">
        <v>28</v>
      </c>
      <c r="H1517">
        <v>20</v>
      </c>
      <c r="I1517" t="str">
        <f>VLOOKUP(D1517,Product_Lookup!$A$2:$C$27,3,FALSE)</f>
        <v>$208.85</v>
      </c>
      <c r="J1517" t="str">
        <f t="shared" si="187"/>
        <v>Thursday</v>
      </c>
      <c r="K1517" s="10" t="str">
        <f t="shared" si="188"/>
        <v>December</v>
      </c>
      <c r="L1517">
        <f t="shared" si="189"/>
        <v>2024</v>
      </c>
      <c r="M1517" t="b">
        <f t="shared" si="190"/>
        <v>0</v>
      </c>
      <c r="N1517" t="b">
        <f t="shared" si="184"/>
        <v>1</v>
      </c>
      <c r="O1517" t="str">
        <f t="shared" si="191"/>
        <v>Large Order</v>
      </c>
      <c r="P1517" s="7">
        <f t="shared" si="185"/>
        <v>10.442500000000001</v>
      </c>
      <c r="Q1517" s="7" t="str">
        <f>VLOOKUP(D1518,Product_Lookup!$A$2:$C$27,2,FALSE)</f>
        <v>Pen Set</v>
      </c>
      <c r="R1517" s="7">
        <f t="shared" si="186"/>
        <v>4177</v>
      </c>
    </row>
    <row r="1518" spans="1:18" ht="21.75" customHeight="1">
      <c r="A1518" t="s">
        <v>1669</v>
      </c>
      <c r="B1518" s="6">
        <v>45335</v>
      </c>
      <c r="C1518" t="s">
        <v>147</v>
      </c>
      <c r="D1518" t="s">
        <v>174</v>
      </c>
      <c r="E1518" t="s">
        <v>17</v>
      </c>
      <c r="F1518" t="s">
        <v>42</v>
      </c>
      <c r="G1518" t="s">
        <v>28</v>
      </c>
      <c r="H1518">
        <v>17</v>
      </c>
      <c r="I1518" t="str">
        <f>VLOOKUP(D1518,Product_Lookup!$A$2:$C$27,3,FALSE)</f>
        <v>$133.37</v>
      </c>
      <c r="J1518" t="str">
        <f t="shared" si="187"/>
        <v>Tuesday</v>
      </c>
      <c r="K1518" s="10" t="str">
        <f t="shared" si="188"/>
        <v>February</v>
      </c>
      <c r="L1518">
        <f t="shared" si="189"/>
        <v>2024</v>
      </c>
      <c r="M1518" t="b">
        <f t="shared" si="190"/>
        <v>0</v>
      </c>
      <c r="N1518" t="b">
        <f t="shared" si="184"/>
        <v>1</v>
      </c>
      <c r="O1518" t="str">
        <f t="shared" si="191"/>
        <v>Large Order</v>
      </c>
      <c r="P1518" s="7">
        <f t="shared" si="185"/>
        <v>6.6685000000000008</v>
      </c>
      <c r="Q1518" s="7" t="str">
        <f>VLOOKUP(D1519,Product_Lookup!$A$2:$C$27,2,FALSE)</f>
        <v>Notebook</v>
      </c>
      <c r="R1518" s="7">
        <f t="shared" si="186"/>
        <v>2267.29</v>
      </c>
    </row>
    <row r="1519" spans="1:18" ht="21.75" customHeight="1">
      <c r="A1519" t="s">
        <v>1670</v>
      </c>
      <c r="B1519" s="6">
        <v>45635</v>
      </c>
      <c r="C1519" t="s">
        <v>309</v>
      </c>
      <c r="D1519" t="s">
        <v>160</v>
      </c>
      <c r="E1519" t="s">
        <v>17</v>
      </c>
      <c r="F1519" t="s">
        <v>12</v>
      </c>
      <c r="G1519" t="s">
        <v>32</v>
      </c>
      <c r="H1519">
        <v>10</v>
      </c>
      <c r="I1519" t="str">
        <f>VLOOKUP(D1519,Product_Lookup!$A$2:$C$27,3,FALSE)</f>
        <v>$149.27</v>
      </c>
      <c r="J1519" t="str">
        <f t="shared" si="187"/>
        <v>Monday</v>
      </c>
      <c r="K1519" s="10" t="str">
        <f t="shared" si="188"/>
        <v>December</v>
      </c>
      <c r="L1519">
        <f t="shared" si="189"/>
        <v>2024</v>
      </c>
      <c r="M1519" t="b">
        <f t="shared" si="190"/>
        <v>0</v>
      </c>
      <c r="N1519" t="b">
        <f t="shared" si="184"/>
        <v>1</v>
      </c>
      <c r="O1519" t="str">
        <f t="shared" si="191"/>
        <v>Large Order</v>
      </c>
      <c r="P1519" s="7">
        <f t="shared" si="185"/>
        <v>7.4635000000000007</v>
      </c>
      <c r="Q1519" s="7" t="str">
        <f>VLOOKUP(D1520,Product_Lookup!$A$2:$C$27,2,FALSE)</f>
        <v>Doll</v>
      </c>
      <c r="R1519" s="7">
        <f t="shared" si="186"/>
        <v>1492.7</v>
      </c>
    </row>
    <row r="1520" spans="1:18" ht="21.75" customHeight="1">
      <c r="A1520" t="s">
        <v>1671</v>
      </c>
      <c r="B1520" s="6">
        <v>45401</v>
      </c>
      <c r="C1520" t="s">
        <v>47</v>
      </c>
      <c r="D1520" t="s">
        <v>119</v>
      </c>
      <c r="E1520" t="s">
        <v>17</v>
      </c>
      <c r="F1520" t="s">
        <v>56</v>
      </c>
      <c r="G1520" t="s">
        <v>28</v>
      </c>
      <c r="H1520">
        <v>5</v>
      </c>
      <c r="I1520" t="str">
        <f>VLOOKUP(D1520,Product_Lookup!$A$2:$C$27,3,FALSE)</f>
        <v>$32.94</v>
      </c>
      <c r="J1520" t="str">
        <f t="shared" si="187"/>
        <v>Friday</v>
      </c>
      <c r="K1520" s="10" t="str">
        <f t="shared" si="188"/>
        <v>April</v>
      </c>
      <c r="L1520">
        <f t="shared" si="189"/>
        <v>2024</v>
      </c>
      <c r="M1520" t="b">
        <f t="shared" si="190"/>
        <v>0</v>
      </c>
      <c r="N1520" t="b">
        <f t="shared" si="184"/>
        <v>0</v>
      </c>
      <c r="O1520" t="str">
        <f t="shared" si="191"/>
        <v>Standard order</v>
      </c>
      <c r="P1520" s="7">
        <f t="shared" si="185"/>
        <v>1.647</v>
      </c>
      <c r="Q1520" s="7" t="str">
        <f>VLOOKUP(D1521,Product_Lookup!$A$2:$C$27,2,FALSE)</f>
        <v>Monitor</v>
      </c>
      <c r="R1520" s="7">
        <f t="shared" si="186"/>
        <v>164.7</v>
      </c>
    </row>
    <row r="1521" spans="1:18" ht="21.75" customHeight="1">
      <c r="A1521" t="s">
        <v>1672</v>
      </c>
      <c r="B1521" s="6">
        <v>45443</v>
      </c>
      <c r="C1521" t="s">
        <v>728</v>
      </c>
      <c r="D1521" t="s">
        <v>102</v>
      </c>
      <c r="E1521" t="s">
        <v>22</v>
      </c>
      <c r="F1521" t="s">
        <v>306</v>
      </c>
      <c r="G1521" t="s">
        <v>36</v>
      </c>
      <c r="H1521">
        <v>2</v>
      </c>
      <c r="I1521" t="str">
        <f>VLOOKUP(D1521,Product_Lookup!$A$2:$C$27,3,FALSE)</f>
        <v>$145.48</v>
      </c>
      <c r="J1521" t="str">
        <f t="shared" si="187"/>
        <v>Friday</v>
      </c>
      <c r="K1521" s="10" t="str">
        <f t="shared" si="188"/>
        <v>May</v>
      </c>
      <c r="L1521">
        <f t="shared" si="189"/>
        <v>2024</v>
      </c>
      <c r="M1521" t="b">
        <f t="shared" si="190"/>
        <v>0</v>
      </c>
      <c r="N1521" t="b">
        <f t="shared" si="184"/>
        <v>0</v>
      </c>
      <c r="O1521" t="str">
        <f t="shared" si="191"/>
        <v>Standard order</v>
      </c>
      <c r="P1521" s="7">
        <f t="shared" si="185"/>
        <v>7.274</v>
      </c>
      <c r="Q1521" s="7" t="str">
        <f>VLOOKUP(D1522,Product_Lookup!$A$2:$C$27,2,FALSE)</f>
        <v>Paper Shredder</v>
      </c>
      <c r="R1521" s="7">
        <f t="shared" si="186"/>
        <v>290.95999999999998</v>
      </c>
    </row>
    <row r="1522" spans="1:18" ht="21.75" customHeight="1">
      <c r="A1522" t="s">
        <v>1673</v>
      </c>
      <c r="B1522" s="6">
        <v>45608</v>
      </c>
      <c r="C1522" t="s">
        <v>34</v>
      </c>
      <c r="D1522" t="s">
        <v>109</v>
      </c>
      <c r="E1522" t="s">
        <v>17</v>
      </c>
      <c r="F1522" t="s">
        <v>56</v>
      </c>
      <c r="G1522" t="s">
        <v>28</v>
      </c>
      <c r="H1522">
        <v>6</v>
      </c>
      <c r="I1522" t="str">
        <f>VLOOKUP(D1522,Product_Lookup!$A$2:$C$27,3,FALSE)</f>
        <v>$81.02</v>
      </c>
      <c r="J1522" t="str">
        <f t="shared" si="187"/>
        <v>Tuesday</v>
      </c>
      <c r="K1522" s="10" t="str">
        <f t="shared" si="188"/>
        <v>November</v>
      </c>
      <c r="L1522">
        <f t="shared" si="189"/>
        <v>2024</v>
      </c>
      <c r="M1522" t="b">
        <f t="shared" si="190"/>
        <v>0</v>
      </c>
      <c r="N1522" t="b">
        <f t="shared" si="184"/>
        <v>0</v>
      </c>
      <c r="O1522" t="str">
        <f t="shared" si="191"/>
        <v>Standard order</v>
      </c>
      <c r="P1522" s="7">
        <f t="shared" si="185"/>
        <v>4.0510000000000002</v>
      </c>
      <c r="Q1522" s="7" t="str">
        <f>VLOOKUP(D1523,Product_Lookup!$A$2:$C$27,2,FALSE)</f>
        <v>Lego Set</v>
      </c>
      <c r="R1522" s="7">
        <f t="shared" si="186"/>
        <v>486.12</v>
      </c>
    </row>
    <row r="1523" spans="1:18" ht="21.75" customHeight="1">
      <c r="A1523" t="s">
        <v>1674</v>
      </c>
      <c r="B1523" s="6">
        <v>45611</v>
      </c>
      <c r="C1523" t="s">
        <v>30</v>
      </c>
      <c r="D1523" t="s">
        <v>84</v>
      </c>
      <c r="E1523" t="s">
        <v>17</v>
      </c>
      <c r="F1523" t="s">
        <v>12</v>
      </c>
      <c r="G1523" t="s">
        <v>23</v>
      </c>
      <c r="H1523">
        <v>12</v>
      </c>
      <c r="I1523" t="str">
        <f>VLOOKUP(D1523,Product_Lookup!$A$2:$C$27,3,FALSE)</f>
        <v>$130.07</v>
      </c>
      <c r="J1523" t="str">
        <f t="shared" si="187"/>
        <v>Friday</v>
      </c>
      <c r="K1523" s="10" t="str">
        <f t="shared" si="188"/>
        <v>November</v>
      </c>
      <c r="L1523">
        <f t="shared" si="189"/>
        <v>2024</v>
      </c>
      <c r="M1523" t="b">
        <f t="shared" si="190"/>
        <v>0</v>
      </c>
      <c r="N1523" t="b">
        <f t="shared" si="184"/>
        <v>1</v>
      </c>
      <c r="O1523" t="str">
        <f t="shared" si="191"/>
        <v>Large Order</v>
      </c>
      <c r="P1523" s="7">
        <f t="shared" si="185"/>
        <v>6.5034999999999998</v>
      </c>
      <c r="Q1523" s="7" t="str">
        <f>VLOOKUP(D1524,Product_Lookup!$A$2:$C$27,2,FALSE)</f>
        <v>Paper Shredder</v>
      </c>
      <c r="R1523" s="7">
        <f t="shared" si="186"/>
        <v>1560.84</v>
      </c>
    </row>
    <row r="1524" spans="1:18" ht="21.75" customHeight="1">
      <c r="A1524" t="s">
        <v>1675</v>
      </c>
      <c r="B1524" s="6">
        <v>45413</v>
      </c>
      <c r="C1524" t="s">
        <v>396</v>
      </c>
      <c r="D1524" t="s">
        <v>109</v>
      </c>
      <c r="E1524" t="s">
        <v>17</v>
      </c>
      <c r="F1524" t="s">
        <v>27</v>
      </c>
      <c r="G1524" t="s">
        <v>28</v>
      </c>
      <c r="H1524">
        <v>18</v>
      </c>
      <c r="I1524" t="str">
        <f>VLOOKUP(D1524,Product_Lookup!$A$2:$C$27,3,FALSE)</f>
        <v>$81.02</v>
      </c>
      <c r="J1524" t="str">
        <f t="shared" si="187"/>
        <v>Wednesday</v>
      </c>
      <c r="K1524" s="10" t="str">
        <f t="shared" si="188"/>
        <v>May</v>
      </c>
      <c r="L1524">
        <f t="shared" si="189"/>
        <v>2024</v>
      </c>
      <c r="M1524" t="b">
        <f t="shared" si="190"/>
        <v>0</v>
      </c>
      <c r="N1524" t="b">
        <f t="shared" si="184"/>
        <v>1</v>
      </c>
      <c r="O1524" t="str">
        <f t="shared" si="191"/>
        <v>Large Order</v>
      </c>
      <c r="P1524" s="7">
        <f t="shared" si="185"/>
        <v>4.0510000000000002</v>
      </c>
      <c r="Q1524" s="7" t="str">
        <f>VLOOKUP(D1525,Product_Lookup!$A$2:$C$27,2,FALSE)</f>
        <v>Toaster</v>
      </c>
      <c r="R1524" s="7">
        <f t="shared" si="186"/>
        <v>1458.36</v>
      </c>
    </row>
    <row r="1525" spans="1:18" ht="21.75" customHeight="1">
      <c r="A1525" t="s">
        <v>1676</v>
      </c>
      <c r="B1525" s="6">
        <v>45532</v>
      </c>
      <c r="C1525" t="s">
        <v>150</v>
      </c>
      <c r="D1525" t="s">
        <v>48</v>
      </c>
      <c r="E1525" t="s">
        <v>22</v>
      </c>
      <c r="F1525" t="s">
        <v>306</v>
      </c>
      <c r="G1525" t="s">
        <v>23</v>
      </c>
      <c r="H1525">
        <v>15</v>
      </c>
      <c r="I1525" t="str">
        <f>VLOOKUP(D1525,Product_Lookup!$A$2:$C$27,3,FALSE)</f>
        <v>$208.85</v>
      </c>
      <c r="J1525" t="str">
        <f t="shared" si="187"/>
        <v>Wednesday</v>
      </c>
      <c r="K1525" s="10" t="str">
        <f t="shared" si="188"/>
        <v>August</v>
      </c>
      <c r="L1525">
        <f t="shared" si="189"/>
        <v>2024</v>
      </c>
      <c r="M1525" t="b">
        <f t="shared" si="190"/>
        <v>0</v>
      </c>
      <c r="N1525" t="b">
        <f t="shared" si="184"/>
        <v>1</v>
      </c>
      <c r="O1525" t="str">
        <f t="shared" si="191"/>
        <v>Large Order</v>
      </c>
      <c r="P1525" s="7">
        <f t="shared" si="185"/>
        <v>10.442500000000001</v>
      </c>
      <c r="Q1525" s="7" t="str">
        <f>VLOOKUP(D1526,Product_Lookup!$A$2:$C$27,2,FALSE)</f>
        <v>Notebook</v>
      </c>
      <c r="R1525" s="7">
        <f t="shared" si="186"/>
        <v>3132.75</v>
      </c>
    </row>
    <row r="1526" spans="1:18" ht="21.75" customHeight="1">
      <c r="A1526" t="s">
        <v>1677</v>
      </c>
      <c r="B1526" s="6">
        <v>45487</v>
      </c>
      <c r="C1526" t="s">
        <v>358</v>
      </c>
      <c r="D1526" t="s">
        <v>160</v>
      </c>
      <c r="E1526" t="s">
        <v>17</v>
      </c>
      <c r="F1526" t="s">
        <v>56</v>
      </c>
      <c r="G1526" t="s">
        <v>28</v>
      </c>
      <c r="H1526">
        <v>20</v>
      </c>
      <c r="I1526" t="str">
        <f>VLOOKUP(D1526,Product_Lookup!$A$2:$C$27,3,FALSE)</f>
        <v>$149.27</v>
      </c>
      <c r="J1526" t="str">
        <f t="shared" si="187"/>
        <v>Sunday</v>
      </c>
      <c r="K1526" s="10" t="str">
        <f t="shared" si="188"/>
        <v>July</v>
      </c>
      <c r="L1526">
        <f t="shared" si="189"/>
        <v>2024</v>
      </c>
      <c r="M1526" t="b">
        <f t="shared" si="190"/>
        <v>1</v>
      </c>
      <c r="N1526" t="b">
        <f t="shared" si="184"/>
        <v>1</v>
      </c>
      <c r="O1526" t="str">
        <f t="shared" si="191"/>
        <v>Large Order</v>
      </c>
      <c r="P1526" s="7">
        <f t="shared" si="185"/>
        <v>7.4635000000000007</v>
      </c>
      <c r="Q1526" s="7" t="str">
        <f>VLOOKUP(D1527,Product_Lookup!$A$2:$C$27,2,FALSE)</f>
        <v>Action Figure</v>
      </c>
      <c r="R1526" s="7">
        <f t="shared" si="186"/>
        <v>2985.4</v>
      </c>
    </row>
    <row r="1527" spans="1:18" ht="21.75" customHeight="1">
      <c r="A1527" t="s">
        <v>1678</v>
      </c>
      <c r="B1527" s="6">
        <v>45420</v>
      </c>
      <c r="C1527" t="s">
        <v>9</v>
      </c>
      <c r="D1527" t="s">
        <v>21</v>
      </c>
      <c r="E1527" t="s">
        <v>17</v>
      </c>
      <c r="F1527" t="s">
        <v>42</v>
      </c>
      <c r="G1527" t="s">
        <v>36</v>
      </c>
      <c r="H1527">
        <v>4</v>
      </c>
      <c r="I1527" t="str">
        <f>VLOOKUP(D1527,Product_Lookup!$A$2:$C$27,3,FALSE)</f>
        <v>$88.18</v>
      </c>
      <c r="J1527" t="str">
        <f t="shared" si="187"/>
        <v>Wednesday</v>
      </c>
      <c r="K1527" s="10" t="str">
        <f t="shared" si="188"/>
        <v>May</v>
      </c>
      <c r="L1527">
        <f t="shared" si="189"/>
        <v>2024</v>
      </c>
      <c r="M1527" t="b">
        <f t="shared" si="190"/>
        <v>0</v>
      </c>
      <c r="N1527" t="b">
        <f t="shared" si="184"/>
        <v>0</v>
      </c>
      <c r="O1527" t="str">
        <f t="shared" si="191"/>
        <v>Standard order</v>
      </c>
      <c r="P1527" s="7">
        <f t="shared" si="185"/>
        <v>4.4090000000000007</v>
      </c>
      <c r="Q1527" s="7" t="str">
        <f>VLOOKUP(D1528,Product_Lookup!$A$2:$C$27,2,FALSE)</f>
        <v>Socks</v>
      </c>
      <c r="R1527" s="7">
        <f t="shared" si="186"/>
        <v>352.72</v>
      </c>
    </row>
    <row r="1528" spans="1:18" ht="21.75" customHeight="1">
      <c r="A1528" t="s">
        <v>1679</v>
      </c>
      <c r="B1528" s="6">
        <v>45556</v>
      </c>
      <c r="C1528" t="s">
        <v>114</v>
      </c>
      <c r="D1528" t="s">
        <v>74</v>
      </c>
      <c r="E1528" t="s">
        <v>11</v>
      </c>
      <c r="F1528" t="s">
        <v>56</v>
      </c>
      <c r="G1528" t="s">
        <v>32</v>
      </c>
      <c r="H1528">
        <v>15</v>
      </c>
      <c r="I1528" t="str">
        <f>VLOOKUP(D1528,Product_Lookup!$A$2:$C$27,3,FALSE)</f>
        <v>$201.32</v>
      </c>
      <c r="J1528" t="str">
        <f t="shared" si="187"/>
        <v>Saturday</v>
      </c>
      <c r="K1528" s="10" t="str">
        <f t="shared" si="188"/>
        <v>September</v>
      </c>
      <c r="L1528">
        <f t="shared" si="189"/>
        <v>2024</v>
      </c>
      <c r="M1528" t="b">
        <f t="shared" si="190"/>
        <v>1</v>
      </c>
      <c r="N1528" t="b">
        <f t="shared" si="184"/>
        <v>1</v>
      </c>
      <c r="O1528" t="str">
        <f t="shared" si="191"/>
        <v>Large Order</v>
      </c>
      <c r="P1528" s="7">
        <f t="shared" si="185"/>
        <v>10.066000000000001</v>
      </c>
      <c r="Q1528" s="7" t="str">
        <f>VLOOKUP(D1529,Product_Lookup!$A$2:$C$27,2,FALSE)</f>
        <v>Tablet</v>
      </c>
      <c r="R1528" s="7">
        <f t="shared" si="186"/>
        <v>3019.7999999999997</v>
      </c>
    </row>
    <row r="1529" spans="1:18" ht="21.75" customHeight="1">
      <c r="A1529" t="s">
        <v>1680</v>
      </c>
      <c r="B1529" s="6">
        <v>45367</v>
      </c>
      <c r="C1529" t="s">
        <v>348</v>
      </c>
      <c r="D1529" t="s">
        <v>10</v>
      </c>
      <c r="E1529" t="s">
        <v>11</v>
      </c>
      <c r="F1529" t="s">
        <v>27</v>
      </c>
      <c r="G1529" t="s">
        <v>32</v>
      </c>
      <c r="H1529">
        <v>1</v>
      </c>
      <c r="I1529" t="str">
        <f>VLOOKUP(D1529,Product_Lookup!$A$2:$C$27,3,FALSE)</f>
        <v>$146.06</v>
      </c>
      <c r="J1529" t="str">
        <f t="shared" si="187"/>
        <v>Saturday</v>
      </c>
      <c r="K1529" s="10" t="str">
        <f t="shared" si="188"/>
        <v>March</v>
      </c>
      <c r="L1529">
        <f t="shared" si="189"/>
        <v>2024</v>
      </c>
      <c r="M1529" t="b">
        <f t="shared" si="190"/>
        <v>1</v>
      </c>
      <c r="N1529" t="b">
        <f t="shared" si="184"/>
        <v>0</v>
      </c>
      <c r="O1529" t="str">
        <f t="shared" si="191"/>
        <v>Standard order</v>
      </c>
      <c r="P1529" s="7">
        <f t="shared" si="185"/>
        <v>7.3030000000000008</v>
      </c>
      <c r="Q1529" s="7" t="str">
        <f>VLOOKUP(D1530,Product_Lookup!$A$2:$C$27,2,FALSE)</f>
        <v>Toaster</v>
      </c>
      <c r="R1529" s="7">
        <f t="shared" si="186"/>
        <v>146.06</v>
      </c>
    </row>
    <row r="1530" spans="1:18" ht="21.75" customHeight="1">
      <c r="A1530" t="s">
        <v>1681</v>
      </c>
      <c r="B1530" s="6">
        <v>45494</v>
      </c>
      <c r="C1530" t="s">
        <v>358</v>
      </c>
      <c r="D1530" t="s">
        <v>48</v>
      </c>
      <c r="E1530" t="s">
        <v>11</v>
      </c>
      <c r="F1530" t="s">
        <v>27</v>
      </c>
      <c r="G1530" t="s">
        <v>13</v>
      </c>
      <c r="H1530">
        <v>12</v>
      </c>
      <c r="I1530" t="str">
        <f>VLOOKUP(D1530,Product_Lookup!$A$2:$C$27,3,FALSE)</f>
        <v>$208.85</v>
      </c>
      <c r="J1530" t="str">
        <f t="shared" si="187"/>
        <v>Sunday</v>
      </c>
      <c r="K1530" s="10" t="str">
        <f t="shared" si="188"/>
        <v>July</v>
      </c>
      <c r="L1530">
        <f t="shared" si="189"/>
        <v>2024</v>
      </c>
      <c r="M1530" t="b">
        <f t="shared" si="190"/>
        <v>1</v>
      </c>
      <c r="N1530" t="b">
        <f t="shared" si="184"/>
        <v>1</v>
      </c>
      <c r="O1530" t="str">
        <f t="shared" si="191"/>
        <v>Large Order</v>
      </c>
      <c r="P1530" s="7">
        <f t="shared" si="185"/>
        <v>10.442500000000001</v>
      </c>
      <c r="Q1530" s="7" t="str">
        <f>VLOOKUP(D1531,Product_Lookup!$A$2:$C$27,2,FALSE)</f>
        <v>Puzzle</v>
      </c>
      <c r="R1530" s="7">
        <f t="shared" si="186"/>
        <v>2506.1999999999998</v>
      </c>
    </row>
    <row r="1531" spans="1:18" ht="21.75" customHeight="1">
      <c r="A1531" t="s">
        <v>1682</v>
      </c>
      <c r="B1531" s="6">
        <v>45455</v>
      </c>
      <c r="C1531" t="s">
        <v>108</v>
      </c>
      <c r="D1531" t="s">
        <v>62</v>
      </c>
      <c r="E1531" t="s">
        <v>22</v>
      </c>
      <c r="F1531" t="s">
        <v>42</v>
      </c>
      <c r="G1531" t="s">
        <v>28</v>
      </c>
      <c r="H1531">
        <v>5</v>
      </c>
      <c r="I1531" t="str">
        <f>VLOOKUP(D1531,Product_Lookup!$A$2:$C$27,3,FALSE)</f>
        <v>$46.19</v>
      </c>
      <c r="J1531" t="str">
        <f t="shared" si="187"/>
        <v>Wednesday</v>
      </c>
      <c r="K1531" s="10" t="str">
        <f t="shared" si="188"/>
        <v>June</v>
      </c>
      <c r="L1531">
        <f t="shared" si="189"/>
        <v>2024</v>
      </c>
      <c r="M1531" t="b">
        <f t="shared" si="190"/>
        <v>0</v>
      </c>
      <c r="N1531" t="b">
        <f t="shared" si="184"/>
        <v>0</v>
      </c>
      <c r="O1531" t="str">
        <f t="shared" si="191"/>
        <v>Standard order</v>
      </c>
      <c r="P1531" s="7">
        <f t="shared" si="185"/>
        <v>2.3094999999999999</v>
      </c>
      <c r="Q1531" s="7" t="str">
        <f>VLOOKUP(D1532,Product_Lookup!$A$2:$C$27,2,FALSE)</f>
        <v>Headphones</v>
      </c>
      <c r="R1531" s="7">
        <f t="shared" si="186"/>
        <v>230.95</v>
      </c>
    </row>
    <row r="1532" spans="1:18" ht="21.75" customHeight="1">
      <c r="A1532" t="s">
        <v>1683</v>
      </c>
      <c r="B1532" s="6">
        <v>45533</v>
      </c>
      <c r="C1532" t="s">
        <v>424</v>
      </c>
      <c r="D1532" t="s">
        <v>16</v>
      </c>
      <c r="E1532" t="s">
        <v>22</v>
      </c>
      <c r="F1532" t="s">
        <v>27</v>
      </c>
      <c r="G1532" t="s">
        <v>23</v>
      </c>
      <c r="H1532">
        <v>20</v>
      </c>
      <c r="I1532" t="str">
        <f>VLOOKUP(D1532,Product_Lookup!$A$2:$C$27,3,FALSE)</f>
        <v>$178.83</v>
      </c>
      <c r="J1532" t="str">
        <f t="shared" si="187"/>
        <v>Thursday</v>
      </c>
      <c r="K1532" s="10" t="str">
        <f t="shared" si="188"/>
        <v>August</v>
      </c>
      <c r="L1532">
        <f t="shared" si="189"/>
        <v>2024</v>
      </c>
      <c r="M1532" t="b">
        <f t="shared" si="190"/>
        <v>0</v>
      </c>
      <c r="N1532" t="b">
        <f t="shared" si="184"/>
        <v>1</v>
      </c>
      <c r="O1532" t="str">
        <f t="shared" si="191"/>
        <v>Large Order</v>
      </c>
      <c r="P1532" s="7">
        <f t="shared" si="185"/>
        <v>8.9415000000000013</v>
      </c>
      <c r="Q1532" s="7" t="str">
        <f>VLOOKUP(D1533,Product_Lookup!$A$2:$C$27,2,FALSE)</f>
        <v>Sweater</v>
      </c>
      <c r="R1532" s="7">
        <f t="shared" si="186"/>
        <v>3576.6000000000004</v>
      </c>
    </row>
    <row r="1533" spans="1:18" ht="21.75" customHeight="1">
      <c r="A1533" t="s">
        <v>1684</v>
      </c>
      <c r="B1533" s="6">
        <v>45332</v>
      </c>
      <c r="C1533" t="s">
        <v>138</v>
      </c>
      <c r="D1533" t="s">
        <v>26</v>
      </c>
      <c r="E1533" t="s">
        <v>11</v>
      </c>
      <c r="F1533" t="s">
        <v>56</v>
      </c>
      <c r="G1533" t="s">
        <v>36</v>
      </c>
      <c r="H1533">
        <v>20</v>
      </c>
      <c r="I1533" t="str">
        <f>VLOOKUP(D1533,Product_Lookup!$A$2:$C$27,3,FALSE)</f>
        <v>$84.57</v>
      </c>
      <c r="J1533" t="str">
        <f t="shared" si="187"/>
        <v>Saturday</v>
      </c>
      <c r="K1533" s="10" t="str">
        <f t="shared" si="188"/>
        <v>February</v>
      </c>
      <c r="L1533">
        <f t="shared" si="189"/>
        <v>2024</v>
      </c>
      <c r="M1533" t="b">
        <f t="shared" si="190"/>
        <v>1</v>
      </c>
      <c r="N1533" t="b">
        <f t="shared" si="184"/>
        <v>1</v>
      </c>
      <c r="O1533" t="str">
        <f t="shared" si="191"/>
        <v>Large Order</v>
      </c>
      <c r="P1533" s="7">
        <f t="shared" si="185"/>
        <v>4.2284999999999995</v>
      </c>
      <c r="Q1533" s="7" t="str">
        <f>VLOOKUP(D1534,Product_Lookup!$A$2:$C$27,2,FALSE)</f>
        <v>Socks</v>
      </c>
      <c r="R1533" s="7">
        <f t="shared" si="186"/>
        <v>1691.3999999999999</v>
      </c>
    </row>
    <row r="1534" spans="1:18" ht="21.75" customHeight="1">
      <c r="A1534" t="s">
        <v>1685</v>
      </c>
      <c r="B1534" s="6">
        <v>45348</v>
      </c>
      <c r="C1534" t="s">
        <v>420</v>
      </c>
      <c r="D1534" t="s">
        <v>74</v>
      </c>
      <c r="E1534" t="s">
        <v>11</v>
      </c>
      <c r="F1534" t="s">
        <v>42</v>
      </c>
      <c r="G1534" t="s">
        <v>13</v>
      </c>
      <c r="H1534">
        <v>2</v>
      </c>
      <c r="I1534" t="str">
        <f>VLOOKUP(D1534,Product_Lookup!$A$2:$C$27,3,FALSE)</f>
        <v>$201.32</v>
      </c>
      <c r="J1534" t="str">
        <f t="shared" si="187"/>
        <v>Monday</v>
      </c>
      <c r="K1534" s="10" t="str">
        <f t="shared" si="188"/>
        <v>February</v>
      </c>
      <c r="L1534">
        <f t="shared" si="189"/>
        <v>2024</v>
      </c>
      <c r="M1534" t="b">
        <f t="shared" si="190"/>
        <v>0</v>
      </c>
      <c r="N1534" t="b">
        <f t="shared" si="184"/>
        <v>0</v>
      </c>
      <c r="O1534" t="str">
        <f t="shared" si="191"/>
        <v>Standard order</v>
      </c>
      <c r="P1534" s="7">
        <f t="shared" si="185"/>
        <v>10.066000000000001</v>
      </c>
      <c r="Q1534" s="7" t="str">
        <f>VLOOKUP(D1535,Product_Lookup!$A$2:$C$27,2,FALSE)</f>
        <v>Air Fryer</v>
      </c>
      <c r="R1534" s="7">
        <f t="shared" si="186"/>
        <v>402.64</v>
      </c>
    </row>
    <row r="1535" spans="1:18" ht="21.75" customHeight="1">
      <c r="A1535" t="s">
        <v>1686</v>
      </c>
      <c r="B1535" s="6">
        <v>45619</v>
      </c>
      <c r="C1535" t="s">
        <v>381</v>
      </c>
      <c r="D1535" t="s">
        <v>70</v>
      </c>
      <c r="E1535" t="s">
        <v>11</v>
      </c>
      <c r="F1535" t="s">
        <v>12</v>
      </c>
      <c r="G1535" t="s">
        <v>23</v>
      </c>
      <c r="H1535">
        <v>20</v>
      </c>
      <c r="I1535" t="str">
        <f>VLOOKUP(D1535,Product_Lookup!$A$2:$C$27,3,FALSE)</f>
        <v>$211.9</v>
      </c>
      <c r="J1535" t="str">
        <f t="shared" si="187"/>
        <v>Saturday</v>
      </c>
      <c r="K1535" s="10" t="str">
        <f t="shared" si="188"/>
        <v>November</v>
      </c>
      <c r="L1535">
        <f t="shared" si="189"/>
        <v>2024</v>
      </c>
      <c r="M1535" t="b">
        <f t="shared" si="190"/>
        <v>1</v>
      </c>
      <c r="N1535" t="b">
        <f t="shared" si="184"/>
        <v>1</v>
      </c>
      <c r="O1535" t="str">
        <f t="shared" si="191"/>
        <v>Large Order</v>
      </c>
      <c r="P1535" s="7">
        <f t="shared" si="185"/>
        <v>10.595000000000001</v>
      </c>
      <c r="Q1535" s="7" t="str">
        <f>VLOOKUP(D1536,Product_Lookup!$A$2:$C$27,2,FALSE)</f>
        <v>Desk Lamp</v>
      </c>
      <c r="R1535" s="7">
        <f t="shared" si="186"/>
        <v>4238</v>
      </c>
    </row>
    <row r="1536" spans="1:18" ht="21.75" customHeight="1">
      <c r="A1536" t="s">
        <v>1687</v>
      </c>
      <c r="B1536" s="6">
        <v>45615</v>
      </c>
      <c r="C1536" t="s">
        <v>345</v>
      </c>
      <c r="D1536" t="s">
        <v>59</v>
      </c>
      <c r="E1536" t="s">
        <v>11</v>
      </c>
      <c r="F1536" t="s">
        <v>56</v>
      </c>
      <c r="G1536" t="s">
        <v>32</v>
      </c>
      <c r="H1536">
        <v>14</v>
      </c>
      <c r="I1536" t="str">
        <f>VLOOKUP(D1536,Product_Lookup!$A$2:$C$27,3,FALSE)</f>
        <v>$101.96</v>
      </c>
      <c r="J1536" t="str">
        <f t="shared" si="187"/>
        <v>Tuesday</v>
      </c>
      <c r="K1536" s="10" t="str">
        <f t="shared" si="188"/>
        <v>November</v>
      </c>
      <c r="L1536">
        <f t="shared" si="189"/>
        <v>2024</v>
      </c>
      <c r="M1536" t="b">
        <f t="shared" si="190"/>
        <v>0</v>
      </c>
      <c r="N1536" t="b">
        <f t="shared" si="184"/>
        <v>1</v>
      </c>
      <c r="O1536" t="str">
        <f t="shared" si="191"/>
        <v>Large Order</v>
      </c>
      <c r="P1536" s="7">
        <f t="shared" si="185"/>
        <v>5.0979999999999999</v>
      </c>
      <c r="Q1536" s="7" t="str">
        <f>VLOOKUP(D1537,Product_Lookup!$A$2:$C$27,2,FALSE)</f>
        <v>Desk Lamp</v>
      </c>
      <c r="R1536" s="7">
        <f t="shared" si="186"/>
        <v>1427.4399999999998</v>
      </c>
    </row>
    <row r="1537" spans="1:18" ht="21.75" customHeight="1">
      <c r="A1537" t="s">
        <v>1688</v>
      </c>
      <c r="B1537" s="6">
        <v>45472</v>
      </c>
      <c r="C1537" t="s">
        <v>93</v>
      </c>
      <c r="D1537" t="s">
        <v>59</v>
      </c>
      <c r="E1537" t="s">
        <v>17</v>
      </c>
      <c r="F1537" t="s">
        <v>56</v>
      </c>
      <c r="G1537" t="s">
        <v>13</v>
      </c>
      <c r="H1537">
        <v>17</v>
      </c>
      <c r="I1537" t="str">
        <f>VLOOKUP(D1537,Product_Lookup!$A$2:$C$27,3,FALSE)</f>
        <v>$101.96</v>
      </c>
      <c r="J1537" t="str">
        <f t="shared" si="187"/>
        <v>Saturday</v>
      </c>
      <c r="K1537" s="10" t="str">
        <f t="shared" si="188"/>
        <v>June</v>
      </c>
      <c r="L1537">
        <f t="shared" si="189"/>
        <v>2024</v>
      </c>
      <c r="M1537" t="b">
        <f t="shared" si="190"/>
        <v>1</v>
      </c>
      <c r="N1537" t="b">
        <f t="shared" si="184"/>
        <v>1</v>
      </c>
      <c r="O1537" t="str">
        <f t="shared" si="191"/>
        <v>Large Order</v>
      </c>
      <c r="P1537" s="7">
        <f t="shared" si="185"/>
        <v>5.0979999999999999</v>
      </c>
      <c r="Q1537" s="7" t="str">
        <f>VLOOKUP(D1538,Product_Lookup!$A$2:$C$27,2,FALSE)</f>
        <v>Pen Set</v>
      </c>
      <c r="R1537" s="7">
        <f t="shared" si="186"/>
        <v>1733.32</v>
      </c>
    </row>
    <row r="1538" spans="1:18" ht="21.75" customHeight="1">
      <c r="A1538" t="s">
        <v>1689</v>
      </c>
      <c r="B1538" s="6">
        <v>45326</v>
      </c>
      <c r="C1538" t="s">
        <v>339</v>
      </c>
      <c r="D1538" t="s">
        <v>174</v>
      </c>
      <c r="E1538" t="s">
        <v>22</v>
      </c>
      <c r="F1538" t="s">
        <v>306</v>
      </c>
      <c r="G1538" t="s">
        <v>36</v>
      </c>
      <c r="H1538">
        <v>1</v>
      </c>
      <c r="I1538" t="str">
        <f>VLOOKUP(D1538,Product_Lookup!$A$2:$C$27,3,FALSE)</f>
        <v>$133.37</v>
      </c>
      <c r="J1538" t="str">
        <f t="shared" si="187"/>
        <v>Sunday</v>
      </c>
      <c r="K1538" s="10" t="str">
        <f t="shared" si="188"/>
        <v>February</v>
      </c>
      <c r="L1538">
        <f t="shared" si="189"/>
        <v>2024</v>
      </c>
      <c r="M1538" t="b">
        <f t="shared" si="190"/>
        <v>1</v>
      </c>
      <c r="N1538" t="b">
        <f t="shared" ref="N1538:N1601" si="192">AND(R1538&gt;750, H1538&gt;5)</f>
        <v>0</v>
      </c>
      <c r="O1538" t="str">
        <f t="shared" si="191"/>
        <v>Standard order</v>
      </c>
      <c r="P1538" s="7">
        <f t="shared" ref="P1538:P1601" si="193">I1538*$S$2</f>
        <v>6.6685000000000008</v>
      </c>
      <c r="Q1538" s="7" t="str">
        <f>VLOOKUP(D1539,Product_Lookup!$A$2:$C$27,2,FALSE)</f>
        <v>Action Figure</v>
      </c>
      <c r="R1538" s="7">
        <f t="shared" ref="R1538:R1601" si="194">H1538*I1538</f>
        <v>133.37</v>
      </c>
    </row>
    <row r="1539" spans="1:18" ht="21.75" customHeight="1">
      <c r="A1539" t="s">
        <v>1690</v>
      </c>
      <c r="B1539" s="6">
        <v>45532</v>
      </c>
      <c r="C1539" t="s">
        <v>116</v>
      </c>
      <c r="D1539" t="s">
        <v>21</v>
      </c>
      <c r="E1539" t="s">
        <v>17</v>
      </c>
      <c r="F1539" t="s">
        <v>42</v>
      </c>
      <c r="G1539" t="s">
        <v>32</v>
      </c>
      <c r="H1539">
        <v>1</v>
      </c>
      <c r="I1539" t="str">
        <f>VLOOKUP(D1539,Product_Lookup!$A$2:$C$27,3,FALSE)</f>
        <v>$88.18</v>
      </c>
      <c r="J1539" t="str">
        <f t="shared" ref="J1539:J1602" si="195">TEXT(B1539, "dddd")</f>
        <v>Wednesday</v>
      </c>
      <c r="K1539" s="10" t="str">
        <f t="shared" ref="K1539:K1602" si="196">TEXT(B1539, "mmmm")</f>
        <v>August</v>
      </c>
      <c r="L1539">
        <f t="shared" ref="L1539:L1602" si="197">YEAR(B1539)</f>
        <v>2024</v>
      </c>
      <c r="M1539" t="b">
        <f t="shared" ref="M1539:M1602" si="198">OR(J1539="Saturday", J1539="Sunday")</f>
        <v>0</v>
      </c>
      <c r="N1539" t="b">
        <f t="shared" si="192"/>
        <v>0</v>
      </c>
      <c r="O1539" t="str">
        <f t="shared" ref="O1539:O1602" si="199">IF(R1539&gt;500,"Large Order","Standard order")</f>
        <v>Standard order</v>
      </c>
      <c r="P1539" s="7">
        <f t="shared" si="193"/>
        <v>4.4090000000000007</v>
      </c>
      <c r="Q1539" s="7" t="str">
        <f>VLOOKUP(D1540,Product_Lookup!$A$2:$C$27,2,FALSE)</f>
        <v>Jacket</v>
      </c>
      <c r="R1539" s="7">
        <f t="shared" si="194"/>
        <v>88.18</v>
      </c>
    </row>
    <row r="1540" spans="1:18" ht="21.75" customHeight="1">
      <c r="A1540" t="s">
        <v>1691</v>
      </c>
      <c r="B1540" s="6">
        <v>45326</v>
      </c>
      <c r="C1540" t="s">
        <v>20</v>
      </c>
      <c r="D1540" t="s">
        <v>197</v>
      </c>
      <c r="E1540" t="s">
        <v>22</v>
      </c>
      <c r="F1540" t="s">
        <v>12</v>
      </c>
      <c r="G1540" t="s">
        <v>36</v>
      </c>
      <c r="H1540">
        <v>11</v>
      </c>
      <c r="I1540" t="str">
        <f>VLOOKUP(D1540,Product_Lookup!$A$2:$C$27,3,FALSE)</f>
        <v>$10.11</v>
      </c>
      <c r="J1540" t="str">
        <f t="shared" si="195"/>
        <v>Sunday</v>
      </c>
      <c r="K1540" s="10" t="str">
        <f t="shared" si="196"/>
        <v>February</v>
      </c>
      <c r="L1540">
        <f t="shared" si="197"/>
        <v>2024</v>
      </c>
      <c r="M1540" t="b">
        <f t="shared" si="198"/>
        <v>1</v>
      </c>
      <c r="N1540" t="b">
        <f t="shared" si="192"/>
        <v>0</v>
      </c>
      <c r="O1540" t="str">
        <f t="shared" si="199"/>
        <v>Standard order</v>
      </c>
      <c r="P1540" s="7">
        <f t="shared" si="193"/>
        <v>0.50549999999999995</v>
      </c>
      <c r="Q1540" s="7" t="str">
        <f>VLOOKUP(D1541,Product_Lookup!$A$2:$C$27,2,FALSE)</f>
        <v>Blender</v>
      </c>
      <c r="R1540" s="7">
        <f t="shared" si="194"/>
        <v>111.21</v>
      </c>
    </row>
    <row r="1541" spans="1:18" ht="21.75" customHeight="1">
      <c r="A1541" t="s">
        <v>1692</v>
      </c>
      <c r="B1541" s="6">
        <v>45472</v>
      </c>
      <c r="C1541" t="s">
        <v>591</v>
      </c>
      <c r="D1541" t="s">
        <v>72</v>
      </c>
      <c r="E1541" t="s">
        <v>22</v>
      </c>
      <c r="F1541" t="s">
        <v>56</v>
      </c>
      <c r="G1541" t="s">
        <v>23</v>
      </c>
      <c r="H1541">
        <v>16</v>
      </c>
      <c r="I1541" t="str">
        <f>VLOOKUP(D1541,Product_Lookup!$A$2:$C$27,3,FALSE)</f>
        <v>$156.44</v>
      </c>
      <c r="J1541" t="str">
        <f t="shared" si="195"/>
        <v>Saturday</v>
      </c>
      <c r="K1541" s="10" t="str">
        <f t="shared" si="196"/>
        <v>June</v>
      </c>
      <c r="L1541">
        <f t="shared" si="197"/>
        <v>2024</v>
      </c>
      <c r="M1541" t="b">
        <f t="shared" si="198"/>
        <v>1</v>
      </c>
      <c r="N1541" t="b">
        <f t="shared" si="192"/>
        <v>1</v>
      </c>
      <c r="O1541" t="str">
        <f t="shared" si="199"/>
        <v>Large Order</v>
      </c>
      <c r="P1541" s="7">
        <f t="shared" si="193"/>
        <v>7.8220000000000001</v>
      </c>
      <c r="Q1541" s="7" t="str">
        <f>VLOOKUP(D1542,Product_Lookup!$A$2:$C$27,2,FALSE)</f>
        <v>Puzzle</v>
      </c>
      <c r="R1541" s="7">
        <f t="shared" si="194"/>
        <v>2503.04</v>
      </c>
    </row>
    <row r="1542" spans="1:18" ht="21.75" customHeight="1">
      <c r="A1542" t="s">
        <v>1693</v>
      </c>
      <c r="B1542" s="6">
        <v>45361</v>
      </c>
      <c r="C1542" t="s">
        <v>58</v>
      </c>
      <c r="D1542" t="s">
        <v>62</v>
      </c>
      <c r="E1542" t="s">
        <v>17</v>
      </c>
      <c r="F1542" t="s">
        <v>12</v>
      </c>
      <c r="G1542" t="s">
        <v>32</v>
      </c>
      <c r="H1542">
        <v>7</v>
      </c>
      <c r="I1542" t="str">
        <f>VLOOKUP(D1542,Product_Lookup!$A$2:$C$27,3,FALSE)</f>
        <v>$46.19</v>
      </c>
      <c r="J1542" t="str">
        <f t="shared" si="195"/>
        <v>Sunday</v>
      </c>
      <c r="K1542" s="10" t="str">
        <f t="shared" si="196"/>
        <v>March</v>
      </c>
      <c r="L1542">
        <f t="shared" si="197"/>
        <v>2024</v>
      </c>
      <c r="M1542" t="b">
        <f t="shared" si="198"/>
        <v>1</v>
      </c>
      <c r="N1542" t="b">
        <f t="shared" si="192"/>
        <v>0</v>
      </c>
      <c r="O1542" t="str">
        <f t="shared" si="199"/>
        <v>Standard order</v>
      </c>
      <c r="P1542" s="7">
        <f t="shared" si="193"/>
        <v>2.3094999999999999</v>
      </c>
      <c r="Q1542" s="7" t="str">
        <f>VLOOKUP(D1543,Product_Lookup!$A$2:$C$27,2,FALSE)</f>
        <v>Blender</v>
      </c>
      <c r="R1542" s="7">
        <f t="shared" si="194"/>
        <v>323.33</v>
      </c>
    </row>
    <row r="1543" spans="1:18" ht="21.75" customHeight="1">
      <c r="A1543" t="s">
        <v>1694</v>
      </c>
      <c r="B1543" s="6">
        <v>45394</v>
      </c>
      <c r="C1543" t="s">
        <v>116</v>
      </c>
      <c r="D1543" t="s">
        <v>72</v>
      </c>
      <c r="E1543" t="s">
        <v>17</v>
      </c>
      <c r="F1543" t="s">
        <v>306</v>
      </c>
      <c r="G1543" t="s">
        <v>23</v>
      </c>
      <c r="H1543">
        <v>18</v>
      </c>
      <c r="I1543" t="str">
        <f>VLOOKUP(D1543,Product_Lookup!$A$2:$C$27,3,FALSE)</f>
        <v>$156.44</v>
      </c>
      <c r="J1543" t="str">
        <f t="shared" si="195"/>
        <v>Friday</v>
      </c>
      <c r="K1543" s="10" t="str">
        <f t="shared" si="196"/>
        <v>April</v>
      </c>
      <c r="L1543">
        <f t="shared" si="197"/>
        <v>2024</v>
      </c>
      <c r="M1543" t="b">
        <f t="shared" si="198"/>
        <v>0</v>
      </c>
      <c r="N1543" t="b">
        <f t="shared" si="192"/>
        <v>1</v>
      </c>
      <c r="O1543" t="str">
        <f t="shared" si="199"/>
        <v>Large Order</v>
      </c>
      <c r="P1543" s="7">
        <f t="shared" si="193"/>
        <v>7.8220000000000001</v>
      </c>
      <c r="Q1543" s="7" t="str">
        <f>VLOOKUP(D1544,Product_Lookup!$A$2:$C$27,2,FALSE)</f>
        <v>Action Figure</v>
      </c>
      <c r="R1543" s="7">
        <f t="shared" si="194"/>
        <v>2815.92</v>
      </c>
    </row>
    <row r="1544" spans="1:18" ht="21.75" customHeight="1">
      <c r="A1544" t="s">
        <v>1695</v>
      </c>
      <c r="B1544" s="6">
        <v>45310</v>
      </c>
      <c r="C1544" t="s">
        <v>664</v>
      </c>
      <c r="D1544" t="s">
        <v>21</v>
      </c>
      <c r="E1544" t="s">
        <v>11</v>
      </c>
      <c r="F1544" t="s">
        <v>42</v>
      </c>
      <c r="G1544" t="s">
        <v>32</v>
      </c>
      <c r="H1544">
        <v>2</v>
      </c>
      <c r="I1544" t="str">
        <f>VLOOKUP(D1544,Product_Lookup!$A$2:$C$27,3,FALSE)</f>
        <v>$88.18</v>
      </c>
      <c r="J1544" t="str">
        <f t="shared" si="195"/>
        <v>Friday</v>
      </c>
      <c r="K1544" s="10" t="str">
        <f t="shared" si="196"/>
        <v>January</v>
      </c>
      <c r="L1544">
        <f t="shared" si="197"/>
        <v>2024</v>
      </c>
      <c r="M1544" t="b">
        <f t="shared" si="198"/>
        <v>0</v>
      </c>
      <c r="N1544" t="b">
        <f t="shared" si="192"/>
        <v>0</v>
      </c>
      <c r="O1544" t="str">
        <f t="shared" si="199"/>
        <v>Standard order</v>
      </c>
      <c r="P1544" s="7">
        <f t="shared" si="193"/>
        <v>4.4090000000000007</v>
      </c>
      <c r="Q1544" s="7" t="str">
        <f>VLOOKUP(D1545,Product_Lookup!$A$2:$C$27,2,FALSE)</f>
        <v>Monitor</v>
      </c>
      <c r="R1544" s="7">
        <f t="shared" si="194"/>
        <v>176.36</v>
      </c>
    </row>
    <row r="1545" spans="1:18" ht="21.75" customHeight="1">
      <c r="A1545" t="s">
        <v>1696</v>
      </c>
      <c r="B1545" s="6">
        <v>45461</v>
      </c>
      <c r="C1545" t="s">
        <v>101</v>
      </c>
      <c r="D1545" t="s">
        <v>102</v>
      </c>
      <c r="E1545" t="s">
        <v>17</v>
      </c>
      <c r="F1545" t="s">
        <v>27</v>
      </c>
      <c r="G1545" t="s">
        <v>23</v>
      </c>
      <c r="H1545">
        <v>15</v>
      </c>
      <c r="I1545" t="str">
        <f>VLOOKUP(D1545,Product_Lookup!$A$2:$C$27,3,FALSE)</f>
        <v>$145.48</v>
      </c>
      <c r="J1545" t="str">
        <f t="shared" si="195"/>
        <v>Tuesday</v>
      </c>
      <c r="K1545" s="10" t="str">
        <f t="shared" si="196"/>
        <v>June</v>
      </c>
      <c r="L1545">
        <f t="shared" si="197"/>
        <v>2024</v>
      </c>
      <c r="M1545" t="b">
        <f t="shared" si="198"/>
        <v>0</v>
      </c>
      <c r="N1545" t="b">
        <f t="shared" si="192"/>
        <v>1</v>
      </c>
      <c r="O1545" t="str">
        <f t="shared" si="199"/>
        <v>Large Order</v>
      </c>
      <c r="P1545" s="7">
        <f t="shared" si="193"/>
        <v>7.274</v>
      </c>
      <c r="Q1545" s="7" t="str">
        <f>VLOOKUP(D1546,Product_Lookup!$A$2:$C$27,2,FALSE)</f>
        <v>T-Shirt</v>
      </c>
      <c r="R1545" s="7">
        <f t="shared" si="194"/>
        <v>2182.1999999999998</v>
      </c>
    </row>
    <row r="1546" spans="1:18" ht="21.75" customHeight="1">
      <c r="A1546" t="s">
        <v>1697</v>
      </c>
      <c r="B1546" s="6">
        <v>45489</v>
      </c>
      <c r="C1546" t="s">
        <v>47</v>
      </c>
      <c r="D1546" t="s">
        <v>45</v>
      </c>
      <c r="E1546" t="s">
        <v>17</v>
      </c>
      <c r="F1546" t="s">
        <v>27</v>
      </c>
      <c r="G1546" t="s">
        <v>32</v>
      </c>
      <c r="H1546">
        <v>17</v>
      </c>
      <c r="I1546" t="str">
        <f>VLOOKUP(D1546,Product_Lookup!$A$2:$C$27,3,FALSE)</f>
        <v>$107.34</v>
      </c>
      <c r="J1546" t="str">
        <f t="shared" si="195"/>
        <v>Tuesday</v>
      </c>
      <c r="K1546" s="10" t="str">
        <f t="shared" si="196"/>
        <v>July</v>
      </c>
      <c r="L1546">
        <f t="shared" si="197"/>
        <v>2024</v>
      </c>
      <c r="M1546" t="b">
        <f t="shared" si="198"/>
        <v>0</v>
      </c>
      <c r="N1546" t="b">
        <f t="shared" si="192"/>
        <v>1</v>
      </c>
      <c r="O1546" t="str">
        <f t="shared" si="199"/>
        <v>Large Order</v>
      </c>
      <c r="P1546" s="7">
        <f t="shared" si="193"/>
        <v>5.3670000000000009</v>
      </c>
      <c r="Q1546" s="7" t="str">
        <f>VLOOKUP(D1547,Product_Lookup!$A$2:$C$27,2,FALSE)</f>
        <v>Vacuum</v>
      </c>
      <c r="R1546" s="7">
        <f t="shared" si="194"/>
        <v>1824.78</v>
      </c>
    </row>
    <row r="1547" spans="1:18" ht="21.75" customHeight="1">
      <c r="A1547" t="s">
        <v>1698</v>
      </c>
      <c r="B1547" s="6">
        <v>45334</v>
      </c>
      <c r="C1547" t="s">
        <v>388</v>
      </c>
      <c r="D1547" t="s">
        <v>87</v>
      </c>
      <c r="E1547" t="s">
        <v>11</v>
      </c>
      <c r="F1547" t="s">
        <v>27</v>
      </c>
      <c r="G1547" t="s">
        <v>36</v>
      </c>
      <c r="H1547">
        <v>6</v>
      </c>
      <c r="I1547" t="str">
        <f>VLOOKUP(D1547,Product_Lookup!$A$2:$C$27,3,FALSE)</f>
        <v>$26.59</v>
      </c>
      <c r="J1547" t="str">
        <f t="shared" si="195"/>
        <v>Monday</v>
      </c>
      <c r="K1547" s="10" t="str">
        <f t="shared" si="196"/>
        <v>February</v>
      </c>
      <c r="L1547">
        <f t="shared" si="197"/>
        <v>2024</v>
      </c>
      <c r="M1547" t="b">
        <f t="shared" si="198"/>
        <v>0</v>
      </c>
      <c r="N1547" t="b">
        <f t="shared" si="192"/>
        <v>0</v>
      </c>
      <c r="O1547" t="str">
        <f t="shared" si="199"/>
        <v>Standard order</v>
      </c>
      <c r="P1547" s="7">
        <f t="shared" si="193"/>
        <v>1.3295000000000001</v>
      </c>
      <c r="Q1547" s="7" t="str">
        <f>VLOOKUP(D1548,Product_Lookup!$A$2:$C$27,2,FALSE)</f>
        <v>Tablet</v>
      </c>
      <c r="R1547" s="7">
        <f t="shared" si="194"/>
        <v>159.54</v>
      </c>
    </row>
    <row r="1548" spans="1:18" ht="21.75" customHeight="1">
      <c r="A1548" t="s">
        <v>1699</v>
      </c>
      <c r="B1548" s="6">
        <v>45456</v>
      </c>
      <c r="C1548" t="s">
        <v>15</v>
      </c>
      <c r="D1548" t="s">
        <v>10</v>
      </c>
      <c r="E1548" t="s">
        <v>17</v>
      </c>
      <c r="F1548" t="s">
        <v>42</v>
      </c>
      <c r="G1548" t="s">
        <v>32</v>
      </c>
      <c r="H1548">
        <v>15</v>
      </c>
      <c r="I1548" t="str">
        <f>VLOOKUP(D1548,Product_Lookup!$A$2:$C$27,3,FALSE)</f>
        <v>$146.06</v>
      </c>
      <c r="J1548" t="str">
        <f t="shared" si="195"/>
        <v>Thursday</v>
      </c>
      <c r="K1548" s="10" t="str">
        <f t="shared" si="196"/>
        <v>June</v>
      </c>
      <c r="L1548">
        <f t="shared" si="197"/>
        <v>2024</v>
      </c>
      <c r="M1548" t="b">
        <f t="shared" si="198"/>
        <v>0</v>
      </c>
      <c r="N1548" t="b">
        <f t="shared" si="192"/>
        <v>1</v>
      </c>
      <c r="O1548" t="str">
        <f t="shared" si="199"/>
        <v>Large Order</v>
      </c>
      <c r="P1548" s="7">
        <f t="shared" si="193"/>
        <v>7.3030000000000008</v>
      </c>
      <c r="Q1548" s="7" t="str">
        <f>VLOOKUP(D1549,Product_Lookup!$A$2:$C$27,2,FALSE)</f>
        <v>Puzzle</v>
      </c>
      <c r="R1548" s="7">
        <f t="shared" si="194"/>
        <v>2190.9</v>
      </c>
    </row>
    <row r="1549" spans="1:18" ht="21.75" customHeight="1">
      <c r="A1549" t="s">
        <v>1700</v>
      </c>
      <c r="B1549" s="6">
        <v>45510</v>
      </c>
      <c r="C1549" t="s">
        <v>30</v>
      </c>
      <c r="D1549" t="s">
        <v>62</v>
      </c>
      <c r="E1549" t="s">
        <v>17</v>
      </c>
      <c r="F1549" t="s">
        <v>42</v>
      </c>
      <c r="G1549" t="s">
        <v>23</v>
      </c>
      <c r="H1549">
        <v>2</v>
      </c>
      <c r="I1549" t="str">
        <f>VLOOKUP(D1549,Product_Lookup!$A$2:$C$27,3,FALSE)</f>
        <v>$46.19</v>
      </c>
      <c r="J1549" t="str">
        <f t="shared" si="195"/>
        <v>Tuesday</v>
      </c>
      <c r="K1549" s="10" t="str">
        <f t="shared" si="196"/>
        <v>August</v>
      </c>
      <c r="L1549">
        <f t="shared" si="197"/>
        <v>2024</v>
      </c>
      <c r="M1549" t="b">
        <f t="shared" si="198"/>
        <v>0</v>
      </c>
      <c r="N1549" t="b">
        <f t="shared" si="192"/>
        <v>0</v>
      </c>
      <c r="O1549" t="str">
        <f t="shared" si="199"/>
        <v>Standard order</v>
      </c>
      <c r="P1549" s="7">
        <f t="shared" si="193"/>
        <v>2.3094999999999999</v>
      </c>
      <c r="Q1549" s="7" t="str">
        <f>VLOOKUP(D1550,Product_Lookup!$A$2:$C$27,2,FALSE)</f>
        <v>Vacuum</v>
      </c>
      <c r="R1549" s="7">
        <f t="shared" si="194"/>
        <v>92.38</v>
      </c>
    </row>
    <row r="1550" spans="1:18" ht="21.75" customHeight="1">
      <c r="A1550" t="s">
        <v>1701</v>
      </c>
      <c r="B1550" s="6">
        <v>45472</v>
      </c>
      <c r="C1550" t="s">
        <v>594</v>
      </c>
      <c r="D1550" t="s">
        <v>87</v>
      </c>
      <c r="E1550" t="s">
        <v>17</v>
      </c>
      <c r="F1550" t="s">
        <v>12</v>
      </c>
      <c r="G1550" t="s">
        <v>13</v>
      </c>
      <c r="H1550">
        <v>13</v>
      </c>
      <c r="I1550" t="str">
        <f>VLOOKUP(D1550,Product_Lookup!$A$2:$C$27,3,FALSE)</f>
        <v>$26.59</v>
      </c>
      <c r="J1550" t="str">
        <f t="shared" si="195"/>
        <v>Saturday</v>
      </c>
      <c r="K1550" s="10" t="str">
        <f t="shared" si="196"/>
        <v>June</v>
      </c>
      <c r="L1550">
        <f t="shared" si="197"/>
        <v>2024</v>
      </c>
      <c r="M1550" t="b">
        <f t="shared" si="198"/>
        <v>1</v>
      </c>
      <c r="N1550" t="b">
        <f t="shared" si="192"/>
        <v>0</v>
      </c>
      <c r="O1550" t="str">
        <f t="shared" si="199"/>
        <v>Standard order</v>
      </c>
      <c r="P1550" s="7">
        <f t="shared" si="193"/>
        <v>1.3295000000000001</v>
      </c>
      <c r="Q1550" s="7" t="str">
        <f>VLOOKUP(D1551,Product_Lookup!$A$2:$C$27,2,FALSE)</f>
        <v>Laptop</v>
      </c>
      <c r="R1550" s="7">
        <f t="shared" si="194"/>
        <v>345.67</v>
      </c>
    </row>
    <row r="1551" spans="1:18" ht="21.75" customHeight="1">
      <c r="A1551" t="s">
        <v>1702</v>
      </c>
      <c r="B1551" s="6">
        <v>45639</v>
      </c>
      <c r="C1551" t="s">
        <v>111</v>
      </c>
      <c r="D1551" t="s">
        <v>96</v>
      </c>
      <c r="E1551" t="s">
        <v>11</v>
      </c>
      <c r="F1551" t="s">
        <v>306</v>
      </c>
      <c r="G1551" t="s">
        <v>23</v>
      </c>
      <c r="H1551">
        <v>2</v>
      </c>
      <c r="I1551" t="str">
        <f>VLOOKUP(D1551,Product_Lookup!$A$2:$C$27,3,FALSE)</f>
        <v>$230.68</v>
      </c>
      <c r="J1551" t="str">
        <f t="shared" si="195"/>
        <v>Friday</v>
      </c>
      <c r="K1551" s="10" t="str">
        <f t="shared" si="196"/>
        <v>December</v>
      </c>
      <c r="L1551">
        <f t="shared" si="197"/>
        <v>2024</v>
      </c>
      <c r="M1551" t="b">
        <f t="shared" si="198"/>
        <v>0</v>
      </c>
      <c r="N1551" t="b">
        <f t="shared" si="192"/>
        <v>0</v>
      </c>
      <c r="O1551" t="str">
        <f t="shared" si="199"/>
        <v>Standard order</v>
      </c>
      <c r="P1551" s="7">
        <f t="shared" si="193"/>
        <v>11.534000000000001</v>
      </c>
      <c r="Q1551" s="7" t="str">
        <f>VLOOKUP(D1552,Product_Lookup!$A$2:$C$27,2,FALSE)</f>
        <v>Action Figure</v>
      </c>
      <c r="R1551" s="7">
        <f t="shared" si="194"/>
        <v>461.36</v>
      </c>
    </row>
    <row r="1552" spans="1:18" ht="21.75" customHeight="1">
      <c r="A1552" t="s">
        <v>1703</v>
      </c>
      <c r="B1552" s="6">
        <v>45412</v>
      </c>
      <c r="C1552" t="s">
        <v>420</v>
      </c>
      <c r="D1552" t="s">
        <v>21</v>
      </c>
      <c r="E1552" t="s">
        <v>17</v>
      </c>
      <c r="F1552" t="s">
        <v>42</v>
      </c>
      <c r="G1552" t="s">
        <v>23</v>
      </c>
      <c r="H1552">
        <v>19</v>
      </c>
      <c r="I1552" t="str">
        <f>VLOOKUP(D1552,Product_Lookup!$A$2:$C$27,3,FALSE)</f>
        <v>$88.18</v>
      </c>
      <c r="J1552" t="str">
        <f t="shared" si="195"/>
        <v>Tuesday</v>
      </c>
      <c r="K1552" s="10" t="str">
        <f t="shared" si="196"/>
        <v>April</v>
      </c>
      <c r="L1552">
        <f t="shared" si="197"/>
        <v>2024</v>
      </c>
      <c r="M1552" t="b">
        <f t="shared" si="198"/>
        <v>0</v>
      </c>
      <c r="N1552" t="b">
        <f t="shared" si="192"/>
        <v>1</v>
      </c>
      <c r="O1552" t="str">
        <f t="shared" si="199"/>
        <v>Large Order</v>
      </c>
      <c r="P1552" s="7">
        <f t="shared" si="193"/>
        <v>4.4090000000000007</v>
      </c>
      <c r="Q1552" s="7" t="str">
        <f>VLOOKUP(D1553,Product_Lookup!$A$2:$C$27,2,FALSE)</f>
        <v>Air Fryer</v>
      </c>
      <c r="R1552" s="7">
        <f t="shared" si="194"/>
        <v>1675.42</v>
      </c>
    </row>
    <row r="1553" spans="1:18" ht="21.75" customHeight="1">
      <c r="A1553" t="s">
        <v>1704</v>
      </c>
      <c r="B1553" s="6">
        <v>45370</v>
      </c>
      <c r="C1553" t="s">
        <v>422</v>
      </c>
      <c r="D1553" t="s">
        <v>70</v>
      </c>
      <c r="E1553" t="s">
        <v>17</v>
      </c>
      <c r="F1553" t="s">
        <v>42</v>
      </c>
      <c r="G1553" t="s">
        <v>23</v>
      </c>
      <c r="H1553">
        <v>3</v>
      </c>
      <c r="I1553" t="str">
        <f>VLOOKUP(D1553,Product_Lookup!$A$2:$C$27,3,FALSE)</f>
        <v>$211.9</v>
      </c>
      <c r="J1553" t="str">
        <f t="shared" si="195"/>
        <v>Tuesday</v>
      </c>
      <c r="K1553" s="10" t="str">
        <f t="shared" si="196"/>
        <v>March</v>
      </c>
      <c r="L1553">
        <f t="shared" si="197"/>
        <v>2024</v>
      </c>
      <c r="M1553" t="b">
        <f t="shared" si="198"/>
        <v>0</v>
      </c>
      <c r="N1553" t="b">
        <f t="shared" si="192"/>
        <v>0</v>
      </c>
      <c r="O1553" t="str">
        <f t="shared" si="199"/>
        <v>Large Order</v>
      </c>
      <c r="P1553" s="7">
        <f t="shared" si="193"/>
        <v>10.595000000000001</v>
      </c>
      <c r="Q1553" s="7" t="str">
        <f>VLOOKUP(D1554,Product_Lookup!$A$2:$C$27,2,FALSE)</f>
        <v>Coffee Maker</v>
      </c>
      <c r="R1553" s="7">
        <f t="shared" si="194"/>
        <v>635.70000000000005</v>
      </c>
    </row>
    <row r="1554" spans="1:18" ht="21.75" customHeight="1">
      <c r="A1554" t="s">
        <v>1705</v>
      </c>
      <c r="B1554" s="6">
        <v>45563</v>
      </c>
      <c r="C1554" t="s">
        <v>83</v>
      </c>
      <c r="D1554" t="s">
        <v>31</v>
      </c>
      <c r="E1554" t="s">
        <v>17</v>
      </c>
      <c r="F1554" t="s">
        <v>42</v>
      </c>
      <c r="G1554" t="s">
        <v>28</v>
      </c>
      <c r="H1554">
        <v>4</v>
      </c>
      <c r="I1554" t="str">
        <f>VLOOKUP(D1554,Product_Lookup!$A$2:$C$27,3,FALSE)</f>
        <v>$230.34</v>
      </c>
      <c r="J1554" t="str">
        <f t="shared" si="195"/>
        <v>Saturday</v>
      </c>
      <c r="K1554" s="10" t="str">
        <f t="shared" si="196"/>
        <v>September</v>
      </c>
      <c r="L1554">
        <f t="shared" si="197"/>
        <v>2024</v>
      </c>
      <c r="M1554" t="b">
        <f t="shared" si="198"/>
        <v>1</v>
      </c>
      <c r="N1554" t="b">
        <f t="shared" si="192"/>
        <v>0</v>
      </c>
      <c r="O1554" t="str">
        <f t="shared" si="199"/>
        <v>Large Order</v>
      </c>
      <c r="P1554" s="7">
        <f t="shared" si="193"/>
        <v>11.517000000000001</v>
      </c>
      <c r="Q1554" s="7" t="str">
        <f>VLOOKUP(D1555,Product_Lookup!$A$2:$C$27,2,FALSE)</f>
        <v>Notebook</v>
      </c>
      <c r="R1554" s="7">
        <f t="shared" si="194"/>
        <v>921.36</v>
      </c>
    </row>
    <row r="1555" spans="1:18" ht="21.75" customHeight="1">
      <c r="A1555" t="s">
        <v>1706</v>
      </c>
      <c r="B1555" s="6">
        <v>45387</v>
      </c>
      <c r="C1555" t="s">
        <v>432</v>
      </c>
      <c r="D1555" t="s">
        <v>160</v>
      </c>
      <c r="E1555" t="s">
        <v>17</v>
      </c>
      <c r="F1555" t="s">
        <v>306</v>
      </c>
      <c r="G1555" t="s">
        <v>13</v>
      </c>
      <c r="H1555">
        <v>9</v>
      </c>
      <c r="I1555" t="str">
        <f>VLOOKUP(D1555,Product_Lookup!$A$2:$C$27,3,FALSE)</f>
        <v>$149.27</v>
      </c>
      <c r="J1555" t="str">
        <f t="shared" si="195"/>
        <v>Friday</v>
      </c>
      <c r="K1555" s="10" t="str">
        <f t="shared" si="196"/>
        <v>April</v>
      </c>
      <c r="L1555">
        <f t="shared" si="197"/>
        <v>2024</v>
      </c>
      <c r="M1555" t="b">
        <f t="shared" si="198"/>
        <v>0</v>
      </c>
      <c r="N1555" t="b">
        <f t="shared" si="192"/>
        <v>1</v>
      </c>
      <c r="O1555" t="str">
        <f t="shared" si="199"/>
        <v>Large Order</v>
      </c>
      <c r="P1555" s="7">
        <f t="shared" si="193"/>
        <v>7.4635000000000007</v>
      </c>
      <c r="Q1555" s="7" t="str">
        <f>VLOOKUP(D1556,Product_Lookup!$A$2:$C$27,2,FALSE)</f>
        <v>Jeans</v>
      </c>
      <c r="R1555" s="7">
        <f t="shared" si="194"/>
        <v>1343.43</v>
      </c>
    </row>
    <row r="1556" spans="1:18" ht="21.75" customHeight="1">
      <c r="A1556" t="s">
        <v>1707</v>
      </c>
      <c r="B1556" s="6">
        <v>45652</v>
      </c>
      <c r="C1556" t="s">
        <v>430</v>
      </c>
      <c r="D1556" t="s">
        <v>65</v>
      </c>
      <c r="E1556" t="s">
        <v>22</v>
      </c>
      <c r="F1556" t="s">
        <v>42</v>
      </c>
      <c r="G1556" t="s">
        <v>23</v>
      </c>
      <c r="H1556">
        <v>7</v>
      </c>
      <c r="I1556" t="str">
        <f>VLOOKUP(D1556,Product_Lookup!$A$2:$C$27,3,FALSE)</f>
        <v>$33.22</v>
      </c>
      <c r="J1556" t="str">
        <f t="shared" si="195"/>
        <v>Thursday</v>
      </c>
      <c r="K1556" s="10" t="str">
        <f t="shared" si="196"/>
        <v>December</v>
      </c>
      <c r="L1556">
        <f t="shared" si="197"/>
        <v>2024</v>
      </c>
      <c r="M1556" t="b">
        <f t="shared" si="198"/>
        <v>0</v>
      </c>
      <c r="N1556" t="b">
        <f t="shared" si="192"/>
        <v>0</v>
      </c>
      <c r="O1556" t="str">
        <f t="shared" si="199"/>
        <v>Standard order</v>
      </c>
      <c r="P1556" s="7">
        <f t="shared" si="193"/>
        <v>1.661</v>
      </c>
      <c r="Q1556" s="7" t="str">
        <f>VLOOKUP(D1557,Product_Lookup!$A$2:$C$27,2,FALSE)</f>
        <v>T-Shirt</v>
      </c>
      <c r="R1556" s="7">
        <f t="shared" si="194"/>
        <v>232.54</v>
      </c>
    </row>
    <row r="1557" spans="1:18" ht="21.75" customHeight="1">
      <c r="A1557" t="s">
        <v>1708</v>
      </c>
      <c r="B1557" s="6">
        <v>45329</v>
      </c>
      <c r="C1557" t="s">
        <v>430</v>
      </c>
      <c r="D1557" t="s">
        <v>45</v>
      </c>
      <c r="E1557" t="s">
        <v>22</v>
      </c>
      <c r="F1557" t="s">
        <v>27</v>
      </c>
      <c r="G1557" t="s">
        <v>13</v>
      </c>
      <c r="H1557">
        <v>11</v>
      </c>
      <c r="I1557" t="str">
        <f>VLOOKUP(D1557,Product_Lookup!$A$2:$C$27,3,FALSE)</f>
        <v>$107.34</v>
      </c>
      <c r="J1557" t="str">
        <f t="shared" si="195"/>
        <v>Wednesday</v>
      </c>
      <c r="K1557" s="10" t="str">
        <f t="shared" si="196"/>
        <v>February</v>
      </c>
      <c r="L1557">
        <f t="shared" si="197"/>
        <v>2024</v>
      </c>
      <c r="M1557" t="b">
        <f t="shared" si="198"/>
        <v>0</v>
      </c>
      <c r="N1557" t="b">
        <f t="shared" si="192"/>
        <v>1</v>
      </c>
      <c r="O1557" t="str">
        <f t="shared" si="199"/>
        <v>Large Order</v>
      </c>
      <c r="P1557" s="7">
        <f t="shared" si="193"/>
        <v>5.3670000000000009</v>
      </c>
      <c r="Q1557" s="7" t="str">
        <f>VLOOKUP(D1558,Product_Lookup!$A$2:$C$27,2,FALSE)</f>
        <v>Pen Set</v>
      </c>
      <c r="R1557" s="7">
        <f t="shared" si="194"/>
        <v>1180.74</v>
      </c>
    </row>
    <row r="1558" spans="1:18" ht="21.75" customHeight="1">
      <c r="A1558" t="s">
        <v>1709</v>
      </c>
      <c r="B1558" s="6">
        <v>45655</v>
      </c>
      <c r="C1558" t="s">
        <v>58</v>
      </c>
      <c r="D1558" t="s">
        <v>174</v>
      </c>
      <c r="E1558" t="s">
        <v>22</v>
      </c>
      <c r="F1558" t="s">
        <v>42</v>
      </c>
      <c r="G1558" t="s">
        <v>32</v>
      </c>
      <c r="H1558">
        <v>6</v>
      </c>
      <c r="I1558" t="str">
        <f>VLOOKUP(D1558,Product_Lookup!$A$2:$C$27,3,FALSE)</f>
        <v>$133.37</v>
      </c>
      <c r="J1558" t="str">
        <f t="shared" si="195"/>
        <v>Sunday</v>
      </c>
      <c r="K1558" s="10" t="str">
        <f t="shared" si="196"/>
        <v>December</v>
      </c>
      <c r="L1558">
        <f t="shared" si="197"/>
        <v>2024</v>
      </c>
      <c r="M1558" t="b">
        <f t="shared" si="198"/>
        <v>1</v>
      </c>
      <c r="N1558" t="b">
        <f t="shared" si="192"/>
        <v>1</v>
      </c>
      <c r="O1558" t="str">
        <f t="shared" si="199"/>
        <v>Large Order</v>
      </c>
      <c r="P1558" s="7">
        <f t="shared" si="193"/>
        <v>6.6685000000000008</v>
      </c>
      <c r="Q1558" s="7" t="str">
        <f>VLOOKUP(D1559,Product_Lookup!$A$2:$C$27,2,FALSE)</f>
        <v>T-Shirt</v>
      </c>
      <c r="R1558" s="7">
        <f t="shared" si="194"/>
        <v>800.22</v>
      </c>
    </row>
    <row r="1559" spans="1:18" ht="21.75" customHeight="1">
      <c r="A1559" t="s">
        <v>1710</v>
      </c>
      <c r="B1559" s="6">
        <v>45650</v>
      </c>
      <c r="C1559" t="s">
        <v>541</v>
      </c>
      <c r="D1559" t="s">
        <v>45</v>
      </c>
      <c r="E1559" t="s">
        <v>17</v>
      </c>
      <c r="F1559" t="s">
        <v>306</v>
      </c>
      <c r="G1559" t="s">
        <v>28</v>
      </c>
      <c r="H1559">
        <v>4</v>
      </c>
      <c r="I1559" t="str">
        <f>VLOOKUP(D1559,Product_Lookup!$A$2:$C$27,3,FALSE)</f>
        <v>$107.34</v>
      </c>
      <c r="J1559" t="str">
        <f t="shared" si="195"/>
        <v>Tuesday</v>
      </c>
      <c r="K1559" s="10" t="str">
        <f t="shared" si="196"/>
        <v>December</v>
      </c>
      <c r="L1559">
        <f t="shared" si="197"/>
        <v>2024</v>
      </c>
      <c r="M1559" t="b">
        <f t="shared" si="198"/>
        <v>0</v>
      </c>
      <c r="N1559" t="b">
        <f t="shared" si="192"/>
        <v>0</v>
      </c>
      <c r="O1559" t="str">
        <f t="shared" si="199"/>
        <v>Standard order</v>
      </c>
      <c r="P1559" s="7">
        <f t="shared" si="193"/>
        <v>5.3670000000000009</v>
      </c>
      <c r="Q1559" s="7" t="str">
        <f>VLOOKUP(D1560,Product_Lookup!$A$2:$C$27,2,FALSE)</f>
        <v>Stapler</v>
      </c>
      <c r="R1559" s="7">
        <f t="shared" si="194"/>
        <v>429.36</v>
      </c>
    </row>
    <row r="1560" spans="1:18" ht="21.75" customHeight="1">
      <c r="A1560" t="s">
        <v>1711</v>
      </c>
      <c r="B1560" s="6">
        <v>45363</v>
      </c>
      <c r="C1560" t="s">
        <v>93</v>
      </c>
      <c r="D1560" t="s">
        <v>35</v>
      </c>
      <c r="E1560" t="s">
        <v>11</v>
      </c>
      <c r="F1560" t="s">
        <v>42</v>
      </c>
      <c r="G1560" t="s">
        <v>36</v>
      </c>
      <c r="H1560">
        <v>19</v>
      </c>
      <c r="I1560" t="str">
        <f>VLOOKUP(D1560,Product_Lookup!$A$2:$C$27,3,FALSE)</f>
        <v>$64.61</v>
      </c>
      <c r="J1560" t="str">
        <f t="shared" si="195"/>
        <v>Tuesday</v>
      </c>
      <c r="K1560" s="10" t="str">
        <f t="shared" si="196"/>
        <v>March</v>
      </c>
      <c r="L1560">
        <f t="shared" si="197"/>
        <v>2024</v>
      </c>
      <c r="M1560" t="b">
        <f t="shared" si="198"/>
        <v>0</v>
      </c>
      <c r="N1560" t="b">
        <f t="shared" si="192"/>
        <v>1</v>
      </c>
      <c r="O1560" t="str">
        <f t="shared" si="199"/>
        <v>Large Order</v>
      </c>
      <c r="P1560" s="7">
        <f t="shared" si="193"/>
        <v>3.2305000000000001</v>
      </c>
      <c r="Q1560" s="7" t="str">
        <f>VLOOKUP(D1561,Product_Lookup!$A$2:$C$27,2,FALSE)</f>
        <v>Paper Shredder</v>
      </c>
      <c r="R1560" s="7">
        <f t="shared" si="194"/>
        <v>1227.5899999999999</v>
      </c>
    </row>
    <row r="1561" spans="1:18" ht="21.75" customHeight="1">
      <c r="A1561" t="s">
        <v>1712</v>
      </c>
      <c r="B1561" s="6">
        <v>45574</v>
      </c>
      <c r="C1561" t="s">
        <v>34</v>
      </c>
      <c r="D1561" t="s">
        <v>109</v>
      </c>
      <c r="E1561" t="s">
        <v>11</v>
      </c>
      <c r="F1561" t="s">
        <v>12</v>
      </c>
      <c r="G1561" t="s">
        <v>32</v>
      </c>
      <c r="H1561">
        <v>13</v>
      </c>
      <c r="I1561" t="str">
        <f>VLOOKUP(D1561,Product_Lookup!$A$2:$C$27,3,FALSE)</f>
        <v>$81.02</v>
      </c>
      <c r="J1561" t="str">
        <f t="shared" si="195"/>
        <v>Wednesday</v>
      </c>
      <c r="K1561" s="10" t="str">
        <f t="shared" si="196"/>
        <v>October</v>
      </c>
      <c r="L1561">
        <f t="shared" si="197"/>
        <v>2024</v>
      </c>
      <c r="M1561" t="b">
        <f t="shared" si="198"/>
        <v>0</v>
      </c>
      <c r="N1561" t="b">
        <f t="shared" si="192"/>
        <v>1</v>
      </c>
      <c r="O1561" t="str">
        <f t="shared" si="199"/>
        <v>Large Order</v>
      </c>
      <c r="P1561" s="7">
        <f t="shared" si="193"/>
        <v>4.0510000000000002</v>
      </c>
      <c r="Q1561" s="7" t="str">
        <f>VLOOKUP(D1562,Product_Lookup!$A$2:$C$27,2,FALSE)</f>
        <v>Vacuum</v>
      </c>
      <c r="R1561" s="7">
        <f t="shared" si="194"/>
        <v>1053.26</v>
      </c>
    </row>
    <row r="1562" spans="1:18" ht="21.75" customHeight="1">
      <c r="A1562" t="s">
        <v>1713</v>
      </c>
      <c r="B1562" s="6">
        <v>45537</v>
      </c>
      <c r="C1562" t="s">
        <v>339</v>
      </c>
      <c r="D1562" t="s">
        <v>87</v>
      </c>
      <c r="E1562" t="s">
        <v>17</v>
      </c>
      <c r="F1562" t="s">
        <v>306</v>
      </c>
      <c r="G1562" t="s">
        <v>13</v>
      </c>
      <c r="H1562">
        <v>5</v>
      </c>
      <c r="I1562" t="str">
        <f>VLOOKUP(D1562,Product_Lookup!$A$2:$C$27,3,FALSE)</f>
        <v>$26.59</v>
      </c>
      <c r="J1562" t="str">
        <f t="shared" si="195"/>
        <v>Monday</v>
      </c>
      <c r="K1562" s="10" t="str">
        <f t="shared" si="196"/>
        <v>September</v>
      </c>
      <c r="L1562">
        <f t="shared" si="197"/>
        <v>2024</v>
      </c>
      <c r="M1562" t="b">
        <f t="shared" si="198"/>
        <v>0</v>
      </c>
      <c r="N1562" t="b">
        <f t="shared" si="192"/>
        <v>0</v>
      </c>
      <c r="O1562" t="str">
        <f t="shared" si="199"/>
        <v>Standard order</v>
      </c>
      <c r="P1562" s="7">
        <f t="shared" si="193"/>
        <v>1.3295000000000001</v>
      </c>
      <c r="Q1562" s="7" t="str">
        <f>VLOOKUP(D1563,Product_Lookup!$A$2:$C$27,2,FALSE)</f>
        <v>Air Fryer</v>
      </c>
      <c r="R1562" s="7">
        <f t="shared" si="194"/>
        <v>132.94999999999999</v>
      </c>
    </row>
    <row r="1563" spans="1:18" ht="21.75" customHeight="1">
      <c r="A1563" t="s">
        <v>1714</v>
      </c>
      <c r="B1563" s="6">
        <v>45620</v>
      </c>
      <c r="C1563" t="s">
        <v>208</v>
      </c>
      <c r="D1563" t="s">
        <v>70</v>
      </c>
      <c r="E1563" t="s">
        <v>17</v>
      </c>
      <c r="F1563" t="s">
        <v>306</v>
      </c>
      <c r="G1563" t="s">
        <v>32</v>
      </c>
      <c r="H1563">
        <v>5</v>
      </c>
      <c r="I1563" t="str">
        <f>VLOOKUP(D1563,Product_Lookup!$A$2:$C$27,3,FALSE)</f>
        <v>$211.9</v>
      </c>
      <c r="J1563" t="str">
        <f t="shared" si="195"/>
        <v>Sunday</v>
      </c>
      <c r="K1563" s="10" t="str">
        <f t="shared" si="196"/>
        <v>November</v>
      </c>
      <c r="L1563">
        <f t="shared" si="197"/>
        <v>2024</v>
      </c>
      <c r="M1563" t="b">
        <f t="shared" si="198"/>
        <v>1</v>
      </c>
      <c r="N1563" t="b">
        <f t="shared" si="192"/>
        <v>0</v>
      </c>
      <c r="O1563" t="str">
        <f t="shared" si="199"/>
        <v>Large Order</v>
      </c>
      <c r="P1563" s="7">
        <f t="shared" si="193"/>
        <v>10.595000000000001</v>
      </c>
      <c r="Q1563" s="7" t="str">
        <f>VLOOKUP(D1564,Product_Lookup!$A$2:$C$27,2,FALSE)</f>
        <v>Desk Lamp</v>
      </c>
      <c r="R1563" s="7">
        <f t="shared" si="194"/>
        <v>1059.5</v>
      </c>
    </row>
    <row r="1564" spans="1:18" ht="21.75" customHeight="1">
      <c r="A1564" t="s">
        <v>1715</v>
      </c>
      <c r="B1564" s="6">
        <v>45574</v>
      </c>
      <c r="C1564" t="s">
        <v>541</v>
      </c>
      <c r="D1564" t="s">
        <v>59</v>
      </c>
      <c r="E1564" t="s">
        <v>11</v>
      </c>
      <c r="F1564" t="s">
        <v>56</v>
      </c>
      <c r="G1564" t="s">
        <v>23</v>
      </c>
      <c r="H1564">
        <v>17</v>
      </c>
      <c r="I1564" t="str">
        <f>VLOOKUP(D1564,Product_Lookup!$A$2:$C$27,3,FALSE)</f>
        <v>$101.96</v>
      </c>
      <c r="J1564" t="str">
        <f t="shared" si="195"/>
        <v>Wednesday</v>
      </c>
      <c r="K1564" s="10" t="str">
        <f t="shared" si="196"/>
        <v>October</v>
      </c>
      <c r="L1564">
        <f t="shared" si="197"/>
        <v>2024</v>
      </c>
      <c r="M1564" t="b">
        <f t="shared" si="198"/>
        <v>0</v>
      </c>
      <c r="N1564" t="b">
        <f t="shared" si="192"/>
        <v>1</v>
      </c>
      <c r="O1564" t="str">
        <f t="shared" si="199"/>
        <v>Large Order</v>
      </c>
      <c r="P1564" s="7">
        <f t="shared" si="193"/>
        <v>5.0979999999999999</v>
      </c>
      <c r="Q1564" s="7" t="str">
        <f>VLOOKUP(D1565,Product_Lookup!$A$2:$C$27,2,FALSE)</f>
        <v>Notebook</v>
      </c>
      <c r="R1564" s="7">
        <f t="shared" si="194"/>
        <v>1733.32</v>
      </c>
    </row>
    <row r="1565" spans="1:18" ht="21.75" customHeight="1">
      <c r="A1565" t="s">
        <v>1716</v>
      </c>
      <c r="B1565" s="6">
        <v>45320</v>
      </c>
      <c r="C1565" t="s">
        <v>114</v>
      </c>
      <c r="D1565" t="s">
        <v>160</v>
      </c>
      <c r="E1565" t="s">
        <v>11</v>
      </c>
      <c r="F1565" t="s">
        <v>42</v>
      </c>
      <c r="G1565" t="s">
        <v>28</v>
      </c>
      <c r="H1565">
        <v>6</v>
      </c>
      <c r="I1565" t="str">
        <f>VLOOKUP(D1565,Product_Lookup!$A$2:$C$27,3,FALSE)</f>
        <v>$149.27</v>
      </c>
      <c r="J1565" t="str">
        <f t="shared" si="195"/>
        <v>Monday</v>
      </c>
      <c r="K1565" s="10" t="str">
        <f t="shared" si="196"/>
        <v>January</v>
      </c>
      <c r="L1565">
        <f t="shared" si="197"/>
        <v>2024</v>
      </c>
      <c r="M1565" t="b">
        <f t="shared" si="198"/>
        <v>0</v>
      </c>
      <c r="N1565" t="b">
        <f t="shared" si="192"/>
        <v>1</v>
      </c>
      <c r="O1565" t="str">
        <f t="shared" si="199"/>
        <v>Large Order</v>
      </c>
      <c r="P1565" s="7">
        <f t="shared" si="193"/>
        <v>7.4635000000000007</v>
      </c>
      <c r="Q1565" s="7" t="str">
        <f>VLOOKUP(D1566,Product_Lookup!$A$2:$C$27,2,FALSE)</f>
        <v>Toaster</v>
      </c>
      <c r="R1565" s="7">
        <f t="shared" si="194"/>
        <v>895.62000000000012</v>
      </c>
    </row>
    <row r="1566" spans="1:18" ht="21.75" customHeight="1">
      <c r="A1566" t="s">
        <v>1717</v>
      </c>
      <c r="B1566" s="6">
        <v>45655</v>
      </c>
      <c r="C1566" t="s">
        <v>240</v>
      </c>
      <c r="D1566" t="s">
        <v>48</v>
      </c>
      <c r="E1566" t="s">
        <v>22</v>
      </c>
      <c r="F1566" t="s">
        <v>42</v>
      </c>
      <c r="G1566" t="s">
        <v>13</v>
      </c>
      <c r="H1566">
        <v>9</v>
      </c>
      <c r="I1566" t="str">
        <f>VLOOKUP(D1566,Product_Lookup!$A$2:$C$27,3,FALSE)</f>
        <v>$208.85</v>
      </c>
      <c r="J1566" t="str">
        <f t="shared" si="195"/>
        <v>Sunday</v>
      </c>
      <c r="K1566" s="10" t="str">
        <f t="shared" si="196"/>
        <v>December</v>
      </c>
      <c r="L1566">
        <f t="shared" si="197"/>
        <v>2024</v>
      </c>
      <c r="M1566" t="b">
        <f t="shared" si="198"/>
        <v>1</v>
      </c>
      <c r="N1566" t="b">
        <f t="shared" si="192"/>
        <v>1</v>
      </c>
      <c r="O1566" t="str">
        <f t="shared" si="199"/>
        <v>Large Order</v>
      </c>
      <c r="P1566" s="7">
        <f t="shared" si="193"/>
        <v>10.442500000000001</v>
      </c>
      <c r="Q1566" s="7" t="str">
        <f>VLOOKUP(D1567,Product_Lookup!$A$2:$C$27,2,FALSE)</f>
        <v>Headphones</v>
      </c>
      <c r="R1566" s="7">
        <f t="shared" si="194"/>
        <v>1879.6499999999999</v>
      </c>
    </row>
    <row r="1567" spans="1:18" ht="21.75" customHeight="1">
      <c r="A1567" t="s">
        <v>1718</v>
      </c>
      <c r="B1567" s="6">
        <v>45574</v>
      </c>
      <c r="C1567" t="s">
        <v>89</v>
      </c>
      <c r="D1567" t="s">
        <v>16</v>
      </c>
      <c r="E1567" t="s">
        <v>22</v>
      </c>
      <c r="F1567" t="s">
        <v>42</v>
      </c>
      <c r="G1567" t="s">
        <v>36</v>
      </c>
      <c r="H1567">
        <v>18</v>
      </c>
      <c r="I1567" t="str">
        <f>VLOOKUP(D1567,Product_Lookup!$A$2:$C$27,3,FALSE)</f>
        <v>$178.83</v>
      </c>
      <c r="J1567" t="str">
        <f t="shared" si="195"/>
        <v>Wednesday</v>
      </c>
      <c r="K1567" s="10" t="str">
        <f t="shared" si="196"/>
        <v>October</v>
      </c>
      <c r="L1567">
        <f t="shared" si="197"/>
        <v>2024</v>
      </c>
      <c r="M1567" t="b">
        <f t="shared" si="198"/>
        <v>0</v>
      </c>
      <c r="N1567" t="b">
        <f t="shared" si="192"/>
        <v>1</v>
      </c>
      <c r="O1567" t="str">
        <f t="shared" si="199"/>
        <v>Large Order</v>
      </c>
      <c r="P1567" s="7">
        <f t="shared" si="193"/>
        <v>8.9415000000000013</v>
      </c>
      <c r="Q1567" s="7" t="str">
        <f>VLOOKUP(D1568,Product_Lookup!$A$2:$C$27,2,FALSE)</f>
        <v>Desk Lamp</v>
      </c>
      <c r="R1567" s="7">
        <f t="shared" si="194"/>
        <v>3218.94</v>
      </c>
    </row>
    <row r="1568" spans="1:18" ht="21.75" customHeight="1">
      <c r="A1568" t="s">
        <v>1719</v>
      </c>
      <c r="B1568" s="6">
        <v>45620</v>
      </c>
      <c r="C1568" t="s">
        <v>30</v>
      </c>
      <c r="D1568" t="s">
        <v>59</v>
      </c>
      <c r="E1568" t="s">
        <v>22</v>
      </c>
      <c r="F1568" t="s">
        <v>56</v>
      </c>
      <c r="G1568" t="s">
        <v>28</v>
      </c>
      <c r="H1568">
        <v>20</v>
      </c>
      <c r="I1568" t="str">
        <f>VLOOKUP(D1568,Product_Lookup!$A$2:$C$27,3,FALSE)</f>
        <v>$101.96</v>
      </c>
      <c r="J1568" t="str">
        <f t="shared" si="195"/>
        <v>Sunday</v>
      </c>
      <c r="K1568" s="10" t="str">
        <f t="shared" si="196"/>
        <v>November</v>
      </c>
      <c r="L1568">
        <f t="shared" si="197"/>
        <v>2024</v>
      </c>
      <c r="M1568" t="b">
        <f t="shared" si="198"/>
        <v>1</v>
      </c>
      <c r="N1568" t="b">
        <f t="shared" si="192"/>
        <v>1</v>
      </c>
      <c r="O1568" t="str">
        <f t="shared" si="199"/>
        <v>Large Order</v>
      </c>
      <c r="P1568" s="7">
        <f t="shared" si="193"/>
        <v>5.0979999999999999</v>
      </c>
      <c r="Q1568" s="7" t="str">
        <f>VLOOKUP(D1569,Product_Lookup!$A$2:$C$27,2,FALSE)</f>
        <v>Desk Lamp</v>
      </c>
      <c r="R1568" s="7">
        <f t="shared" si="194"/>
        <v>2039.1999999999998</v>
      </c>
    </row>
    <row r="1569" spans="1:18" ht="21.75" customHeight="1">
      <c r="A1569" t="s">
        <v>1720</v>
      </c>
      <c r="B1569" s="6">
        <v>45601</v>
      </c>
      <c r="C1569" t="s">
        <v>47</v>
      </c>
      <c r="D1569" t="s">
        <v>59</v>
      </c>
      <c r="E1569" t="s">
        <v>11</v>
      </c>
      <c r="F1569" t="s">
        <v>12</v>
      </c>
      <c r="G1569" t="s">
        <v>13</v>
      </c>
      <c r="H1569">
        <v>2</v>
      </c>
      <c r="I1569" t="str">
        <f>VLOOKUP(D1569,Product_Lookup!$A$2:$C$27,3,FALSE)</f>
        <v>$101.96</v>
      </c>
      <c r="J1569" t="str">
        <f t="shared" si="195"/>
        <v>Tuesday</v>
      </c>
      <c r="K1569" s="10" t="str">
        <f t="shared" si="196"/>
        <v>November</v>
      </c>
      <c r="L1569">
        <f t="shared" si="197"/>
        <v>2024</v>
      </c>
      <c r="M1569" t="b">
        <f t="shared" si="198"/>
        <v>0</v>
      </c>
      <c r="N1569" t="b">
        <f t="shared" si="192"/>
        <v>0</v>
      </c>
      <c r="O1569" t="str">
        <f t="shared" si="199"/>
        <v>Standard order</v>
      </c>
      <c r="P1569" s="7">
        <f t="shared" si="193"/>
        <v>5.0979999999999999</v>
      </c>
      <c r="Q1569" s="7" t="str">
        <f>VLOOKUP(D1570,Product_Lookup!$A$2:$C$27,2,FALSE)</f>
        <v>Action Figure</v>
      </c>
      <c r="R1569" s="7">
        <f t="shared" si="194"/>
        <v>203.92</v>
      </c>
    </row>
    <row r="1570" spans="1:18" ht="21.75" customHeight="1">
      <c r="A1570" t="s">
        <v>1721</v>
      </c>
      <c r="B1570" s="6">
        <v>45587</v>
      </c>
      <c r="C1570" t="s">
        <v>86</v>
      </c>
      <c r="D1570" t="s">
        <v>21</v>
      </c>
      <c r="E1570" t="s">
        <v>11</v>
      </c>
      <c r="F1570" t="s">
        <v>306</v>
      </c>
      <c r="G1570" t="s">
        <v>23</v>
      </c>
      <c r="H1570">
        <v>20</v>
      </c>
      <c r="I1570" t="str">
        <f>VLOOKUP(D1570,Product_Lookup!$A$2:$C$27,3,FALSE)</f>
        <v>$88.18</v>
      </c>
      <c r="J1570" t="str">
        <f t="shared" si="195"/>
        <v>Tuesday</v>
      </c>
      <c r="K1570" s="10" t="str">
        <f t="shared" si="196"/>
        <v>October</v>
      </c>
      <c r="L1570">
        <f t="shared" si="197"/>
        <v>2024</v>
      </c>
      <c r="M1570" t="b">
        <f t="shared" si="198"/>
        <v>0</v>
      </c>
      <c r="N1570" t="b">
        <f t="shared" si="192"/>
        <v>1</v>
      </c>
      <c r="O1570" t="str">
        <f t="shared" si="199"/>
        <v>Large Order</v>
      </c>
      <c r="P1570" s="7">
        <f t="shared" si="193"/>
        <v>4.4090000000000007</v>
      </c>
      <c r="Q1570" s="7" t="str">
        <f>VLOOKUP(D1571,Product_Lookup!$A$2:$C$27,2,FALSE)</f>
        <v>Pen Set</v>
      </c>
      <c r="R1570" s="7">
        <f t="shared" si="194"/>
        <v>1763.6000000000001</v>
      </c>
    </row>
    <row r="1571" spans="1:18" ht="21.75" customHeight="1">
      <c r="A1571" t="s">
        <v>1722</v>
      </c>
      <c r="B1571" s="6">
        <v>45546</v>
      </c>
      <c r="C1571" t="s">
        <v>451</v>
      </c>
      <c r="D1571" t="s">
        <v>174</v>
      </c>
      <c r="E1571" t="s">
        <v>17</v>
      </c>
      <c r="F1571" t="s">
        <v>42</v>
      </c>
      <c r="G1571" t="s">
        <v>23</v>
      </c>
      <c r="H1571">
        <v>8</v>
      </c>
      <c r="I1571" t="str">
        <f>VLOOKUP(D1571,Product_Lookup!$A$2:$C$27,3,FALSE)</f>
        <v>$133.37</v>
      </c>
      <c r="J1571" t="str">
        <f t="shared" si="195"/>
        <v>Wednesday</v>
      </c>
      <c r="K1571" s="10" t="str">
        <f t="shared" si="196"/>
        <v>September</v>
      </c>
      <c r="L1571">
        <f t="shared" si="197"/>
        <v>2024</v>
      </c>
      <c r="M1571" t="b">
        <f t="shared" si="198"/>
        <v>0</v>
      </c>
      <c r="N1571" t="b">
        <f t="shared" si="192"/>
        <v>1</v>
      </c>
      <c r="O1571" t="str">
        <f t="shared" si="199"/>
        <v>Large Order</v>
      </c>
      <c r="P1571" s="7">
        <f t="shared" si="193"/>
        <v>6.6685000000000008</v>
      </c>
      <c r="Q1571" s="7" t="str">
        <f>VLOOKUP(D1572,Product_Lookup!$A$2:$C$27,2,FALSE)</f>
        <v>Socks</v>
      </c>
      <c r="R1571" s="7">
        <f t="shared" si="194"/>
        <v>1066.96</v>
      </c>
    </row>
    <row r="1572" spans="1:18" ht="21.75" customHeight="1">
      <c r="A1572" t="s">
        <v>1723</v>
      </c>
      <c r="B1572" s="6">
        <v>45642</v>
      </c>
      <c r="C1572" t="s">
        <v>341</v>
      </c>
      <c r="D1572" t="s">
        <v>74</v>
      </c>
      <c r="E1572" t="s">
        <v>17</v>
      </c>
      <c r="F1572" t="s">
        <v>12</v>
      </c>
      <c r="G1572" t="s">
        <v>13</v>
      </c>
      <c r="H1572">
        <v>6</v>
      </c>
      <c r="I1572" t="str">
        <f>VLOOKUP(D1572,Product_Lookup!$A$2:$C$27,3,FALSE)</f>
        <v>$201.32</v>
      </c>
      <c r="J1572" t="str">
        <f t="shared" si="195"/>
        <v>Monday</v>
      </c>
      <c r="K1572" s="10" t="str">
        <f t="shared" si="196"/>
        <v>December</v>
      </c>
      <c r="L1572">
        <f t="shared" si="197"/>
        <v>2024</v>
      </c>
      <c r="M1572" t="b">
        <f t="shared" si="198"/>
        <v>0</v>
      </c>
      <c r="N1572" t="b">
        <f t="shared" si="192"/>
        <v>1</v>
      </c>
      <c r="O1572" t="str">
        <f t="shared" si="199"/>
        <v>Large Order</v>
      </c>
      <c r="P1572" s="7">
        <f t="shared" si="193"/>
        <v>10.066000000000001</v>
      </c>
      <c r="Q1572" s="7" t="str">
        <f>VLOOKUP(D1573,Product_Lookup!$A$2:$C$27,2,FALSE)</f>
        <v>Jeans</v>
      </c>
      <c r="R1572" s="7">
        <f t="shared" si="194"/>
        <v>1207.92</v>
      </c>
    </row>
    <row r="1573" spans="1:18" ht="21.75" customHeight="1">
      <c r="A1573" t="s">
        <v>1724</v>
      </c>
      <c r="B1573" s="6">
        <v>45539</v>
      </c>
      <c r="C1573" t="s">
        <v>319</v>
      </c>
      <c r="D1573" t="s">
        <v>65</v>
      </c>
      <c r="E1573" t="s">
        <v>17</v>
      </c>
      <c r="F1573" t="s">
        <v>306</v>
      </c>
      <c r="G1573" t="s">
        <v>28</v>
      </c>
      <c r="H1573">
        <v>11</v>
      </c>
      <c r="I1573" t="str">
        <f>VLOOKUP(D1573,Product_Lookup!$A$2:$C$27,3,FALSE)</f>
        <v>$33.22</v>
      </c>
      <c r="J1573" t="str">
        <f t="shared" si="195"/>
        <v>Wednesday</v>
      </c>
      <c r="K1573" s="10" t="str">
        <f t="shared" si="196"/>
        <v>September</v>
      </c>
      <c r="L1573">
        <f t="shared" si="197"/>
        <v>2024</v>
      </c>
      <c r="M1573" t="b">
        <f t="shared" si="198"/>
        <v>0</v>
      </c>
      <c r="N1573" t="b">
        <f t="shared" si="192"/>
        <v>0</v>
      </c>
      <c r="O1573" t="str">
        <f t="shared" si="199"/>
        <v>Standard order</v>
      </c>
      <c r="P1573" s="7">
        <f t="shared" si="193"/>
        <v>1.661</v>
      </c>
      <c r="Q1573" s="7" t="str">
        <f>VLOOKUP(D1574,Product_Lookup!$A$2:$C$27,2,FALSE)</f>
        <v>Toaster</v>
      </c>
      <c r="R1573" s="7">
        <f t="shared" si="194"/>
        <v>365.41999999999996</v>
      </c>
    </row>
    <row r="1574" spans="1:18" ht="21.75" customHeight="1">
      <c r="A1574" t="s">
        <v>1725</v>
      </c>
      <c r="B1574" s="6">
        <v>45455</v>
      </c>
      <c r="C1574" t="s">
        <v>388</v>
      </c>
      <c r="D1574" t="s">
        <v>48</v>
      </c>
      <c r="E1574" t="s">
        <v>17</v>
      </c>
      <c r="F1574" t="s">
        <v>56</v>
      </c>
      <c r="G1574" t="s">
        <v>32</v>
      </c>
      <c r="H1574">
        <v>17</v>
      </c>
      <c r="I1574" t="str">
        <f>VLOOKUP(D1574,Product_Lookup!$A$2:$C$27,3,FALSE)</f>
        <v>$208.85</v>
      </c>
      <c r="J1574" t="str">
        <f t="shared" si="195"/>
        <v>Wednesday</v>
      </c>
      <c r="K1574" s="10" t="str">
        <f t="shared" si="196"/>
        <v>June</v>
      </c>
      <c r="L1574">
        <f t="shared" si="197"/>
        <v>2024</v>
      </c>
      <c r="M1574" t="b">
        <f t="shared" si="198"/>
        <v>0</v>
      </c>
      <c r="N1574" t="b">
        <f t="shared" si="192"/>
        <v>1</v>
      </c>
      <c r="O1574" t="str">
        <f t="shared" si="199"/>
        <v>Large Order</v>
      </c>
      <c r="P1574" s="7">
        <f t="shared" si="193"/>
        <v>10.442500000000001</v>
      </c>
      <c r="Q1574" s="7" t="str">
        <f>VLOOKUP(D1575,Product_Lookup!$A$2:$C$27,2,FALSE)</f>
        <v>Air Fryer</v>
      </c>
      <c r="R1574" s="7">
        <f t="shared" si="194"/>
        <v>3550.45</v>
      </c>
    </row>
    <row r="1575" spans="1:18" ht="21.75" customHeight="1">
      <c r="A1575" t="s">
        <v>1726</v>
      </c>
      <c r="B1575" s="6">
        <v>45455</v>
      </c>
      <c r="C1575" t="s">
        <v>93</v>
      </c>
      <c r="D1575" t="s">
        <v>70</v>
      </c>
      <c r="E1575" t="s">
        <v>11</v>
      </c>
      <c r="F1575" t="s">
        <v>42</v>
      </c>
      <c r="G1575" t="s">
        <v>23</v>
      </c>
      <c r="H1575">
        <v>8</v>
      </c>
      <c r="I1575" t="str">
        <f>VLOOKUP(D1575,Product_Lookup!$A$2:$C$27,3,FALSE)</f>
        <v>$211.9</v>
      </c>
      <c r="J1575" t="str">
        <f t="shared" si="195"/>
        <v>Wednesday</v>
      </c>
      <c r="K1575" s="10" t="str">
        <f t="shared" si="196"/>
        <v>June</v>
      </c>
      <c r="L1575">
        <f t="shared" si="197"/>
        <v>2024</v>
      </c>
      <c r="M1575" t="b">
        <f t="shared" si="198"/>
        <v>0</v>
      </c>
      <c r="N1575" t="b">
        <f t="shared" si="192"/>
        <v>1</v>
      </c>
      <c r="O1575" t="str">
        <f t="shared" si="199"/>
        <v>Large Order</v>
      </c>
      <c r="P1575" s="7">
        <f t="shared" si="193"/>
        <v>10.595000000000001</v>
      </c>
      <c r="Q1575" s="7" t="str">
        <f>VLOOKUP(D1576,Product_Lookup!$A$2:$C$27,2,FALSE)</f>
        <v>Coffee Maker</v>
      </c>
      <c r="R1575" s="7">
        <f t="shared" si="194"/>
        <v>1695.2</v>
      </c>
    </row>
    <row r="1576" spans="1:18" ht="21.75" customHeight="1">
      <c r="A1576" t="s">
        <v>1727</v>
      </c>
      <c r="B1576" s="6">
        <v>45317</v>
      </c>
      <c r="C1576" t="s">
        <v>61</v>
      </c>
      <c r="D1576" t="s">
        <v>31</v>
      </c>
      <c r="E1576" t="s">
        <v>22</v>
      </c>
      <c r="F1576" t="s">
        <v>27</v>
      </c>
      <c r="G1576" t="s">
        <v>28</v>
      </c>
      <c r="H1576">
        <v>6</v>
      </c>
      <c r="I1576" t="str">
        <f>VLOOKUP(D1576,Product_Lookup!$A$2:$C$27,3,FALSE)</f>
        <v>$230.34</v>
      </c>
      <c r="J1576" t="str">
        <f t="shared" si="195"/>
        <v>Friday</v>
      </c>
      <c r="K1576" s="10" t="str">
        <f t="shared" si="196"/>
        <v>January</v>
      </c>
      <c r="L1576">
        <f t="shared" si="197"/>
        <v>2024</v>
      </c>
      <c r="M1576" t="b">
        <f t="shared" si="198"/>
        <v>0</v>
      </c>
      <c r="N1576" t="b">
        <f t="shared" si="192"/>
        <v>1</v>
      </c>
      <c r="O1576" t="str">
        <f t="shared" si="199"/>
        <v>Large Order</v>
      </c>
      <c r="P1576" s="7">
        <f t="shared" si="193"/>
        <v>11.517000000000001</v>
      </c>
      <c r="Q1576" s="7" t="str">
        <f>VLOOKUP(D1577,Product_Lookup!$A$2:$C$27,2,FALSE)</f>
        <v>Blender</v>
      </c>
      <c r="R1576" s="7">
        <f t="shared" si="194"/>
        <v>1382.04</v>
      </c>
    </row>
    <row r="1577" spans="1:18" ht="21.75" customHeight="1">
      <c r="A1577" t="s">
        <v>1728</v>
      </c>
      <c r="B1577" s="6">
        <v>45587</v>
      </c>
      <c r="C1577" t="s">
        <v>329</v>
      </c>
      <c r="D1577" t="s">
        <v>72</v>
      </c>
      <c r="E1577" t="s">
        <v>11</v>
      </c>
      <c r="F1577" t="s">
        <v>56</v>
      </c>
      <c r="G1577" t="s">
        <v>23</v>
      </c>
      <c r="H1577">
        <v>17</v>
      </c>
      <c r="I1577" t="str">
        <f>VLOOKUP(D1577,Product_Lookup!$A$2:$C$27,3,FALSE)</f>
        <v>$156.44</v>
      </c>
      <c r="J1577" t="str">
        <f t="shared" si="195"/>
        <v>Tuesday</v>
      </c>
      <c r="K1577" s="10" t="str">
        <f t="shared" si="196"/>
        <v>October</v>
      </c>
      <c r="L1577">
        <f t="shared" si="197"/>
        <v>2024</v>
      </c>
      <c r="M1577" t="b">
        <f t="shared" si="198"/>
        <v>0</v>
      </c>
      <c r="N1577" t="b">
        <f t="shared" si="192"/>
        <v>1</v>
      </c>
      <c r="O1577" t="str">
        <f t="shared" si="199"/>
        <v>Large Order</v>
      </c>
      <c r="P1577" s="7">
        <f t="shared" si="193"/>
        <v>7.8220000000000001</v>
      </c>
      <c r="Q1577" s="7" t="str">
        <f>VLOOKUP(D1578,Product_Lookup!$A$2:$C$27,2,FALSE)</f>
        <v>Laptop</v>
      </c>
      <c r="R1577" s="7">
        <f t="shared" si="194"/>
        <v>2659.48</v>
      </c>
    </row>
    <row r="1578" spans="1:18" ht="21.75" customHeight="1">
      <c r="A1578" t="s">
        <v>1729</v>
      </c>
      <c r="B1578" s="6">
        <v>45449</v>
      </c>
      <c r="C1578" t="s">
        <v>432</v>
      </c>
      <c r="D1578" t="s">
        <v>96</v>
      </c>
      <c r="E1578" t="s">
        <v>11</v>
      </c>
      <c r="F1578" t="s">
        <v>27</v>
      </c>
      <c r="G1578" t="s">
        <v>36</v>
      </c>
      <c r="H1578">
        <v>15</v>
      </c>
      <c r="I1578" t="str">
        <f>VLOOKUP(D1578,Product_Lookup!$A$2:$C$27,3,FALSE)</f>
        <v>$230.68</v>
      </c>
      <c r="J1578" t="str">
        <f t="shared" si="195"/>
        <v>Thursday</v>
      </c>
      <c r="K1578" s="10" t="str">
        <f t="shared" si="196"/>
        <v>June</v>
      </c>
      <c r="L1578">
        <f t="shared" si="197"/>
        <v>2024</v>
      </c>
      <c r="M1578" t="b">
        <f t="shared" si="198"/>
        <v>0</v>
      </c>
      <c r="N1578" t="b">
        <f t="shared" si="192"/>
        <v>1</v>
      </c>
      <c r="O1578" t="str">
        <f t="shared" si="199"/>
        <v>Large Order</v>
      </c>
      <c r="P1578" s="7">
        <f t="shared" si="193"/>
        <v>11.534000000000001</v>
      </c>
      <c r="Q1578" s="7" t="str">
        <f>VLOOKUP(D1579,Product_Lookup!$A$2:$C$27,2,FALSE)</f>
        <v>Toaster</v>
      </c>
      <c r="R1578" s="7">
        <f t="shared" si="194"/>
        <v>3460.2000000000003</v>
      </c>
    </row>
    <row r="1579" spans="1:18" ht="21.75" customHeight="1">
      <c r="A1579" t="s">
        <v>1730</v>
      </c>
      <c r="B1579" s="6">
        <v>45402</v>
      </c>
      <c r="C1579" t="s">
        <v>361</v>
      </c>
      <c r="D1579" t="s">
        <v>48</v>
      </c>
      <c r="E1579" t="s">
        <v>11</v>
      </c>
      <c r="F1579" t="s">
        <v>12</v>
      </c>
      <c r="G1579" t="s">
        <v>32</v>
      </c>
      <c r="H1579">
        <v>16</v>
      </c>
      <c r="I1579" t="str">
        <f>VLOOKUP(D1579,Product_Lookup!$A$2:$C$27,3,FALSE)</f>
        <v>$208.85</v>
      </c>
      <c r="J1579" t="str">
        <f t="shared" si="195"/>
        <v>Saturday</v>
      </c>
      <c r="K1579" s="10" t="str">
        <f t="shared" si="196"/>
        <v>April</v>
      </c>
      <c r="L1579">
        <f t="shared" si="197"/>
        <v>2024</v>
      </c>
      <c r="M1579" t="b">
        <f t="shared" si="198"/>
        <v>1</v>
      </c>
      <c r="N1579" t="b">
        <f t="shared" si="192"/>
        <v>1</v>
      </c>
      <c r="O1579" t="str">
        <f t="shared" si="199"/>
        <v>Large Order</v>
      </c>
      <c r="P1579" s="7">
        <f t="shared" si="193"/>
        <v>10.442500000000001</v>
      </c>
      <c r="Q1579" s="7" t="str">
        <f>VLOOKUP(D1580,Product_Lookup!$A$2:$C$27,2,FALSE)</f>
        <v>Stapler</v>
      </c>
      <c r="R1579" s="7">
        <f t="shared" si="194"/>
        <v>3341.6</v>
      </c>
    </row>
    <row r="1580" spans="1:18" ht="21.75" customHeight="1">
      <c r="A1580" t="s">
        <v>1731</v>
      </c>
      <c r="B1580" s="6">
        <v>45626</v>
      </c>
      <c r="C1580" t="s">
        <v>422</v>
      </c>
      <c r="D1580" t="s">
        <v>35</v>
      </c>
      <c r="E1580" t="s">
        <v>17</v>
      </c>
      <c r="F1580" t="s">
        <v>306</v>
      </c>
      <c r="G1580" t="s">
        <v>13</v>
      </c>
      <c r="H1580">
        <v>4</v>
      </c>
      <c r="I1580" t="str">
        <f>VLOOKUP(D1580,Product_Lookup!$A$2:$C$27,3,FALSE)</f>
        <v>$64.61</v>
      </c>
      <c r="J1580" t="str">
        <f t="shared" si="195"/>
        <v>Saturday</v>
      </c>
      <c r="K1580" s="10" t="str">
        <f t="shared" si="196"/>
        <v>November</v>
      </c>
      <c r="L1580">
        <f t="shared" si="197"/>
        <v>2024</v>
      </c>
      <c r="M1580" t="b">
        <f t="shared" si="198"/>
        <v>1</v>
      </c>
      <c r="N1580" t="b">
        <f t="shared" si="192"/>
        <v>0</v>
      </c>
      <c r="O1580" t="str">
        <f t="shared" si="199"/>
        <v>Standard order</v>
      </c>
      <c r="P1580" s="7">
        <f t="shared" si="193"/>
        <v>3.2305000000000001</v>
      </c>
      <c r="Q1580" s="7" t="str">
        <f>VLOOKUP(D1581,Product_Lookup!$A$2:$C$27,2,FALSE)</f>
        <v>Toaster</v>
      </c>
      <c r="R1580" s="7">
        <f t="shared" si="194"/>
        <v>258.44</v>
      </c>
    </row>
    <row r="1581" spans="1:18" ht="21.75" customHeight="1">
      <c r="A1581" t="s">
        <v>1732</v>
      </c>
      <c r="B1581" s="6">
        <v>45427</v>
      </c>
      <c r="C1581" t="s">
        <v>388</v>
      </c>
      <c r="D1581" t="s">
        <v>48</v>
      </c>
      <c r="E1581" t="s">
        <v>17</v>
      </c>
      <c r="F1581" t="s">
        <v>42</v>
      </c>
      <c r="G1581" t="s">
        <v>13</v>
      </c>
      <c r="H1581">
        <v>13</v>
      </c>
      <c r="I1581" t="str">
        <f>VLOOKUP(D1581,Product_Lookup!$A$2:$C$27,3,FALSE)</f>
        <v>$208.85</v>
      </c>
      <c r="J1581" t="str">
        <f t="shared" si="195"/>
        <v>Wednesday</v>
      </c>
      <c r="K1581" s="10" t="str">
        <f t="shared" si="196"/>
        <v>May</v>
      </c>
      <c r="L1581">
        <f t="shared" si="197"/>
        <v>2024</v>
      </c>
      <c r="M1581" t="b">
        <f t="shared" si="198"/>
        <v>0</v>
      </c>
      <c r="N1581" t="b">
        <f t="shared" si="192"/>
        <v>1</v>
      </c>
      <c r="O1581" t="str">
        <f t="shared" si="199"/>
        <v>Large Order</v>
      </c>
      <c r="P1581" s="7">
        <f t="shared" si="193"/>
        <v>10.442500000000001</v>
      </c>
      <c r="Q1581" s="7" t="str">
        <f>VLOOKUP(D1582,Product_Lookup!$A$2:$C$27,2,FALSE)</f>
        <v>Toaster</v>
      </c>
      <c r="R1581" s="7">
        <f t="shared" si="194"/>
        <v>2715.0499999999997</v>
      </c>
    </row>
    <row r="1582" spans="1:18" ht="21.75" customHeight="1">
      <c r="A1582" t="s">
        <v>1733</v>
      </c>
      <c r="B1582" s="6">
        <v>45579</v>
      </c>
      <c r="C1582" t="s">
        <v>150</v>
      </c>
      <c r="D1582" t="s">
        <v>48</v>
      </c>
      <c r="E1582" t="s">
        <v>22</v>
      </c>
      <c r="F1582" t="s">
        <v>42</v>
      </c>
      <c r="G1582" t="s">
        <v>13</v>
      </c>
      <c r="H1582">
        <v>13</v>
      </c>
      <c r="I1582" t="str">
        <f>VLOOKUP(D1582,Product_Lookup!$A$2:$C$27,3,FALSE)</f>
        <v>$208.85</v>
      </c>
      <c r="J1582" t="str">
        <f t="shared" si="195"/>
        <v>Monday</v>
      </c>
      <c r="K1582" s="10" t="str">
        <f t="shared" si="196"/>
        <v>October</v>
      </c>
      <c r="L1582">
        <f t="shared" si="197"/>
        <v>2024</v>
      </c>
      <c r="M1582" t="b">
        <f t="shared" si="198"/>
        <v>0</v>
      </c>
      <c r="N1582" t="b">
        <f t="shared" si="192"/>
        <v>1</v>
      </c>
      <c r="O1582" t="str">
        <f t="shared" si="199"/>
        <v>Large Order</v>
      </c>
      <c r="P1582" s="7">
        <f t="shared" si="193"/>
        <v>10.442500000000001</v>
      </c>
      <c r="Q1582" s="7" t="str">
        <f>VLOOKUP(D1583,Product_Lookup!$A$2:$C$27,2,FALSE)</f>
        <v>Paper Shredder</v>
      </c>
      <c r="R1582" s="7">
        <f t="shared" si="194"/>
        <v>2715.0499999999997</v>
      </c>
    </row>
    <row r="1583" spans="1:18" ht="21.75" customHeight="1">
      <c r="A1583" t="s">
        <v>1734</v>
      </c>
      <c r="B1583" s="6">
        <v>45573</v>
      </c>
      <c r="C1583" t="s">
        <v>89</v>
      </c>
      <c r="D1583" t="s">
        <v>109</v>
      </c>
      <c r="E1583" t="s">
        <v>22</v>
      </c>
      <c r="F1583" t="s">
        <v>306</v>
      </c>
      <c r="G1583" t="s">
        <v>13</v>
      </c>
      <c r="H1583">
        <v>5</v>
      </c>
      <c r="I1583" t="str">
        <f>VLOOKUP(D1583,Product_Lookup!$A$2:$C$27,3,FALSE)</f>
        <v>$81.02</v>
      </c>
      <c r="J1583" t="str">
        <f t="shared" si="195"/>
        <v>Tuesday</v>
      </c>
      <c r="K1583" s="10" t="str">
        <f t="shared" si="196"/>
        <v>October</v>
      </c>
      <c r="L1583">
        <f t="shared" si="197"/>
        <v>2024</v>
      </c>
      <c r="M1583" t="b">
        <f t="shared" si="198"/>
        <v>0</v>
      </c>
      <c r="N1583" t="b">
        <f t="shared" si="192"/>
        <v>0</v>
      </c>
      <c r="O1583" t="str">
        <f t="shared" si="199"/>
        <v>Standard order</v>
      </c>
      <c r="P1583" s="7">
        <f t="shared" si="193"/>
        <v>4.0510000000000002</v>
      </c>
      <c r="Q1583" s="7" t="str">
        <f>VLOOKUP(D1584,Product_Lookup!$A$2:$C$27,2,FALSE)</f>
        <v>Blender</v>
      </c>
      <c r="R1583" s="7">
        <f t="shared" si="194"/>
        <v>405.09999999999997</v>
      </c>
    </row>
    <row r="1584" spans="1:18" ht="21.75" customHeight="1">
      <c r="A1584" t="s">
        <v>1735</v>
      </c>
      <c r="B1584" s="6">
        <v>45493</v>
      </c>
      <c r="C1584" t="s">
        <v>200</v>
      </c>
      <c r="D1584" t="s">
        <v>72</v>
      </c>
      <c r="E1584" t="s">
        <v>22</v>
      </c>
      <c r="F1584" t="s">
        <v>42</v>
      </c>
      <c r="G1584" t="s">
        <v>28</v>
      </c>
      <c r="H1584">
        <v>7</v>
      </c>
      <c r="I1584" t="str">
        <f>VLOOKUP(D1584,Product_Lookup!$A$2:$C$27,3,FALSE)</f>
        <v>$156.44</v>
      </c>
      <c r="J1584" t="str">
        <f t="shared" si="195"/>
        <v>Saturday</v>
      </c>
      <c r="K1584" s="10" t="str">
        <f t="shared" si="196"/>
        <v>July</v>
      </c>
      <c r="L1584">
        <f t="shared" si="197"/>
        <v>2024</v>
      </c>
      <c r="M1584" t="b">
        <f t="shared" si="198"/>
        <v>1</v>
      </c>
      <c r="N1584" t="b">
        <f t="shared" si="192"/>
        <v>1</v>
      </c>
      <c r="O1584" t="str">
        <f t="shared" si="199"/>
        <v>Large Order</v>
      </c>
      <c r="P1584" s="7">
        <f t="shared" si="193"/>
        <v>7.8220000000000001</v>
      </c>
      <c r="Q1584" s="7" t="str">
        <f>VLOOKUP(D1585,Product_Lookup!$A$2:$C$27,2,FALSE)</f>
        <v>Smartphone</v>
      </c>
      <c r="R1584" s="7">
        <f t="shared" si="194"/>
        <v>1095.08</v>
      </c>
    </row>
    <row r="1585" spans="1:18" ht="21.75" customHeight="1">
      <c r="A1585" t="s">
        <v>1736</v>
      </c>
      <c r="B1585" s="6">
        <v>45497</v>
      </c>
      <c r="C1585" t="s">
        <v>358</v>
      </c>
      <c r="D1585" t="s">
        <v>79</v>
      </c>
      <c r="E1585" t="s">
        <v>11</v>
      </c>
      <c r="F1585" t="s">
        <v>12</v>
      </c>
      <c r="G1585" t="s">
        <v>28</v>
      </c>
      <c r="H1585">
        <v>11</v>
      </c>
      <c r="I1585" t="str">
        <f>VLOOKUP(D1585,Product_Lookup!$A$2:$C$27,3,FALSE)</f>
        <v>$216.22</v>
      </c>
      <c r="J1585" t="str">
        <f t="shared" si="195"/>
        <v>Wednesday</v>
      </c>
      <c r="K1585" s="10" t="str">
        <f t="shared" si="196"/>
        <v>July</v>
      </c>
      <c r="L1585">
        <f t="shared" si="197"/>
        <v>2024</v>
      </c>
      <c r="M1585" t="b">
        <f t="shared" si="198"/>
        <v>0</v>
      </c>
      <c r="N1585" t="b">
        <f t="shared" si="192"/>
        <v>1</v>
      </c>
      <c r="O1585" t="str">
        <f t="shared" si="199"/>
        <v>Large Order</v>
      </c>
      <c r="P1585" s="7">
        <f t="shared" si="193"/>
        <v>10.811</v>
      </c>
      <c r="Q1585" s="7" t="str">
        <f>VLOOKUP(D1586,Product_Lookup!$A$2:$C$27,2,FALSE)</f>
        <v>Headphones</v>
      </c>
      <c r="R1585" s="7">
        <f t="shared" si="194"/>
        <v>2378.42</v>
      </c>
    </row>
    <row r="1586" spans="1:18" ht="21.75" customHeight="1">
      <c r="A1586" t="s">
        <v>1737</v>
      </c>
      <c r="B1586" s="6">
        <v>45557</v>
      </c>
      <c r="C1586" t="s">
        <v>366</v>
      </c>
      <c r="D1586" t="s">
        <v>16</v>
      </c>
      <c r="E1586" t="s">
        <v>22</v>
      </c>
      <c r="F1586" t="s">
        <v>306</v>
      </c>
      <c r="G1586" t="s">
        <v>28</v>
      </c>
      <c r="H1586">
        <v>11</v>
      </c>
      <c r="I1586" t="str">
        <f>VLOOKUP(D1586,Product_Lookup!$A$2:$C$27,3,FALSE)</f>
        <v>$178.83</v>
      </c>
      <c r="J1586" t="str">
        <f t="shared" si="195"/>
        <v>Sunday</v>
      </c>
      <c r="K1586" s="10" t="str">
        <f t="shared" si="196"/>
        <v>September</v>
      </c>
      <c r="L1586">
        <f t="shared" si="197"/>
        <v>2024</v>
      </c>
      <c r="M1586" t="b">
        <f t="shared" si="198"/>
        <v>1</v>
      </c>
      <c r="N1586" t="b">
        <f t="shared" si="192"/>
        <v>1</v>
      </c>
      <c r="O1586" t="str">
        <f t="shared" si="199"/>
        <v>Large Order</v>
      </c>
      <c r="P1586" s="7">
        <f t="shared" si="193"/>
        <v>8.9415000000000013</v>
      </c>
      <c r="Q1586" s="7" t="str">
        <f>VLOOKUP(D1587,Product_Lookup!$A$2:$C$27,2,FALSE)</f>
        <v>Coffee Maker</v>
      </c>
      <c r="R1586" s="7">
        <f t="shared" si="194"/>
        <v>1967.13</v>
      </c>
    </row>
    <row r="1587" spans="1:18" ht="21.75" customHeight="1">
      <c r="A1587" t="s">
        <v>1738</v>
      </c>
      <c r="B1587" s="6">
        <v>45455</v>
      </c>
      <c r="C1587" t="s">
        <v>111</v>
      </c>
      <c r="D1587" t="s">
        <v>31</v>
      </c>
      <c r="E1587" t="s">
        <v>22</v>
      </c>
      <c r="F1587" t="s">
        <v>42</v>
      </c>
      <c r="G1587" t="s">
        <v>36</v>
      </c>
      <c r="H1587">
        <v>11</v>
      </c>
      <c r="I1587" t="str">
        <f>VLOOKUP(D1587,Product_Lookup!$A$2:$C$27,3,FALSE)</f>
        <v>$230.34</v>
      </c>
      <c r="J1587" t="str">
        <f t="shared" si="195"/>
        <v>Wednesday</v>
      </c>
      <c r="K1587" s="10" t="str">
        <f t="shared" si="196"/>
        <v>June</v>
      </c>
      <c r="L1587">
        <f t="shared" si="197"/>
        <v>2024</v>
      </c>
      <c r="M1587" t="b">
        <f t="shared" si="198"/>
        <v>0</v>
      </c>
      <c r="N1587" t="b">
        <f t="shared" si="192"/>
        <v>1</v>
      </c>
      <c r="O1587" t="str">
        <f t="shared" si="199"/>
        <v>Large Order</v>
      </c>
      <c r="P1587" s="7">
        <f t="shared" si="193"/>
        <v>11.517000000000001</v>
      </c>
      <c r="Q1587" s="7" t="str">
        <f>VLOOKUP(D1588,Product_Lookup!$A$2:$C$27,2,FALSE)</f>
        <v>Stapler</v>
      </c>
      <c r="R1587" s="7">
        <f t="shared" si="194"/>
        <v>2533.7400000000002</v>
      </c>
    </row>
    <row r="1588" spans="1:18" ht="21.75" customHeight="1">
      <c r="A1588" t="s">
        <v>1739</v>
      </c>
      <c r="B1588" s="6">
        <v>45552</v>
      </c>
      <c r="C1588" t="s">
        <v>312</v>
      </c>
      <c r="D1588" t="s">
        <v>35</v>
      </c>
      <c r="E1588" t="s">
        <v>22</v>
      </c>
      <c r="F1588" t="s">
        <v>306</v>
      </c>
      <c r="G1588" t="s">
        <v>32</v>
      </c>
      <c r="H1588">
        <v>16</v>
      </c>
      <c r="I1588" t="str">
        <f>VLOOKUP(D1588,Product_Lookup!$A$2:$C$27,3,FALSE)</f>
        <v>$64.61</v>
      </c>
      <c r="J1588" t="str">
        <f t="shared" si="195"/>
        <v>Tuesday</v>
      </c>
      <c r="K1588" s="10" t="str">
        <f t="shared" si="196"/>
        <v>September</v>
      </c>
      <c r="L1588">
        <f t="shared" si="197"/>
        <v>2024</v>
      </c>
      <c r="M1588" t="b">
        <f t="shared" si="198"/>
        <v>0</v>
      </c>
      <c r="N1588" t="b">
        <f t="shared" si="192"/>
        <v>1</v>
      </c>
      <c r="O1588" t="str">
        <f t="shared" si="199"/>
        <v>Large Order</v>
      </c>
      <c r="P1588" s="7">
        <f t="shared" si="193"/>
        <v>3.2305000000000001</v>
      </c>
      <c r="Q1588" s="7" t="str">
        <f>VLOOKUP(D1589,Product_Lookup!$A$2:$C$27,2,FALSE)</f>
        <v>Board Game</v>
      </c>
      <c r="R1588" s="7">
        <f t="shared" si="194"/>
        <v>1033.76</v>
      </c>
    </row>
    <row r="1589" spans="1:18" ht="21.75" customHeight="1">
      <c r="A1589" t="s">
        <v>1740</v>
      </c>
      <c r="B1589" s="6">
        <v>45480</v>
      </c>
      <c r="C1589" t="s">
        <v>118</v>
      </c>
      <c r="D1589" t="s">
        <v>41</v>
      </c>
      <c r="E1589" t="s">
        <v>11</v>
      </c>
      <c r="F1589" t="s">
        <v>27</v>
      </c>
      <c r="G1589" t="s">
        <v>36</v>
      </c>
      <c r="H1589">
        <v>10</v>
      </c>
      <c r="I1589" t="str">
        <f>VLOOKUP(D1589,Product_Lookup!$A$2:$C$27,3,FALSE)</f>
        <v>$86.6</v>
      </c>
      <c r="J1589" t="str">
        <f t="shared" si="195"/>
        <v>Sunday</v>
      </c>
      <c r="K1589" s="10" t="str">
        <f t="shared" si="196"/>
        <v>July</v>
      </c>
      <c r="L1589">
        <f t="shared" si="197"/>
        <v>2024</v>
      </c>
      <c r="M1589" t="b">
        <f t="shared" si="198"/>
        <v>1</v>
      </c>
      <c r="N1589" t="b">
        <f t="shared" si="192"/>
        <v>1</v>
      </c>
      <c r="O1589" t="str">
        <f t="shared" si="199"/>
        <v>Large Order</v>
      </c>
      <c r="P1589" s="7">
        <f t="shared" si="193"/>
        <v>4.33</v>
      </c>
      <c r="Q1589" s="7" t="str">
        <f>VLOOKUP(D1590,Product_Lookup!$A$2:$C$27,2,FALSE)</f>
        <v>Laptop</v>
      </c>
      <c r="R1589" s="7">
        <f t="shared" si="194"/>
        <v>866</v>
      </c>
    </row>
    <row r="1590" spans="1:18" ht="21.75" customHeight="1">
      <c r="A1590" t="s">
        <v>1741</v>
      </c>
      <c r="B1590" s="6">
        <v>45644</v>
      </c>
      <c r="C1590" t="s">
        <v>451</v>
      </c>
      <c r="D1590" t="s">
        <v>96</v>
      </c>
      <c r="E1590" t="s">
        <v>22</v>
      </c>
      <c r="F1590" t="s">
        <v>27</v>
      </c>
      <c r="G1590" t="s">
        <v>32</v>
      </c>
      <c r="H1590">
        <v>19</v>
      </c>
      <c r="I1590" t="str">
        <f>VLOOKUP(D1590,Product_Lookup!$A$2:$C$27,3,FALSE)</f>
        <v>$230.68</v>
      </c>
      <c r="J1590" t="str">
        <f t="shared" si="195"/>
        <v>Wednesday</v>
      </c>
      <c r="K1590" s="10" t="str">
        <f t="shared" si="196"/>
        <v>December</v>
      </c>
      <c r="L1590">
        <f t="shared" si="197"/>
        <v>2024</v>
      </c>
      <c r="M1590" t="b">
        <f t="shared" si="198"/>
        <v>0</v>
      </c>
      <c r="N1590" t="b">
        <f t="shared" si="192"/>
        <v>1</v>
      </c>
      <c r="O1590" t="str">
        <f t="shared" si="199"/>
        <v>Large Order</v>
      </c>
      <c r="P1590" s="7">
        <f t="shared" si="193"/>
        <v>11.534000000000001</v>
      </c>
      <c r="Q1590" s="7" t="str">
        <f>VLOOKUP(D1591,Product_Lookup!$A$2:$C$27,2,FALSE)</f>
        <v>Stapler</v>
      </c>
      <c r="R1590" s="7">
        <f t="shared" si="194"/>
        <v>4382.92</v>
      </c>
    </row>
    <row r="1591" spans="1:18" ht="21.75" customHeight="1">
      <c r="A1591" t="s">
        <v>1742</v>
      </c>
      <c r="B1591" s="6">
        <v>45318</v>
      </c>
      <c r="C1591" t="s">
        <v>361</v>
      </c>
      <c r="D1591" t="s">
        <v>35</v>
      </c>
      <c r="E1591" t="s">
        <v>11</v>
      </c>
      <c r="F1591" t="s">
        <v>306</v>
      </c>
      <c r="G1591" t="s">
        <v>36</v>
      </c>
      <c r="H1591">
        <v>13</v>
      </c>
      <c r="I1591" t="str">
        <f>VLOOKUP(D1591,Product_Lookup!$A$2:$C$27,3,FALSE)</f>
        <v>$64.61</v>
      </c>
      <c r="J1591" t="str">
        <f t="shared" si="195"/>
        <v>Saturday</v>
      </c>
      <c r="K1591" s="10" t="str">
        <f t="shared" si="196"/>
        <v>January</v>
      </c>
      <c r="L1591">
        <f t="shared" si="197"/>
        <v>2024</v>
      </c>
      <c r="M1591" t="b">
        <f t="shared" si="198"/>
        <v>1</v>
      </c>
      <c r="N1591" t="b">
        <f t="shared" si="192"/>
        <v>1</v>
      </c>
      <c r="O1591" t="str">
        <f t="shared" si="199"/>
        <v>Large Order</v>
      </c>
      <c r="P1591" s="7">
        <f t="shared" si="193"/>
        <v>3.2305000000000001</v>
      </c>
      <c r="Q1591" s="7" t="str">
        <f>VLOOKUP(D1592,Product_Lookup!$A$2:$C$27,2,FALSE)</f>
        <v>Smartphone</v>
      </c>
      <c r="R1591" s="7">
        <f t="shared" si="194"/>
        <v>839.93</v>
      </c>
    </row>
    <row r="1592" spans="1:18" ht="21.75" customHeight="1">
      <c r="A1592" t="s">
        <v>1743</v>
      </c>
      <c r="B1592" s="6">
        <v>45640</v>
      </c>
      <c r="C1592" t="s">
        <v>78</v>
      </c>
      <c r="D1592" t="s">
        <v>79</v>
      </c>
      <c r="E1592" t="s">
        <v>22</v>
      </c>
      <c r="F1592" t="s">
        <v>12</v>
      </c>
      <c r="G1592" t="s">
        <v>28</v>
      </c>
      <c r="H1592">
        <v>1</v>
      </c>
      <c r="I1592" t="str">
        <f>VLOOKUP(D1592,Product_Lookup!$A$2:$C$27,3,FALSE)</f>
        <v>$216.22</v>
      </c>
      <c r="J1592" t="str">
        <f t="shared" si="195"/>
        <v>Saturday</v>
      </c>
      <c r="K1592" s="10" t="str">
        <f t="shared" si="196"/>
        <v>December</v>
      </c>
      <c r="L1592">
        <f t="shared" si="197"/>
        <v>2024</v>
      </c>
      <c r="M1592" t="b">
        <f t="shared" si="198"/>
        <v>1</v>
      </c>
      <c r="N1592" t="b">
        <f t="shared" si="192"/>
        <v>0</v>
      </c>
      <c r="O1592" t="str">
        <f t="shared" si="199"/>
        <v>Standard order</v>
      </c>
      <c r="P1592" s="7">
        <f t="shared" si="193"/>
        <v>10.811</v>
      </c>
      <c r="Q1592" s="7" t="str">
        <f>VLOOKUP(D1593,Product_Lookup!$A$2:$C$27,2,FALSE)</f>
        <v>Vacuum</v>
      </c>
      <c r="R1592" s="7">
        <f t="shared" si="194"/>
        <v>216.22</v>
      </c>
    </row>
    <row r="1593" spans="1:18" ht="21.75" customHeight="1">
      <c r="A1593" t="s">
        <v>1744</v>
      </c>
      <c r="B1593" s="6">
        <v>45506</v>
      </c>
      <c r="C1593" t="s">
        <v>125</v>
      </c>
      <c r="D1593" t="s">
        <v>87</v>
      </c>
      <c r="E1593" t="s">
        <v>22</v>
      </c>
      <c r="F1593" t="s">
        <v>56</v>
      </c>
      <c r="G1593" t="s">
        <v>23</v>
      </c>
      <c r="H1593">
        <v>17</v>
      </c>
      <c r="I1593" t="str">
        <f>VLOOKUP(D1593,Product_Lookup!$A$2:$C$27,3,FALSE)</f>
        <v>$26.59</v>
      </c>
      <c r="J1593" t="str">
        <f t="shared" si="195"/>
        <v>Friday</v>
      </c>
      <c r="K1593" s="10" t="str">
        <f t="shared" si="196"/>
        <v>August</v>
      </c>
      <c r="L1593">
        <f t="shared" si="197"/>
        <v>2024</v>
      </c>
      <c r="M1593" t="b">
        <f t="shared" si="198"/>
        <v>0</v>
      </c>
      <c r="N1593" t="b">
        <f t="shared" si="192"/>
        <v>0</v>
      </c>
      <c r="O1593" t="str">
        <f t="shared" si="199"/>
        <v>Standard order</v>
      </c>
      <c r="P1593" s="7">
        <f t="shared" si="193"/>
        <v>1.3295000000000001</v>
      </c>
      <c r="Q1593" s="7" t="str">
        <f>VLOOKUP(D1594,Product_Lookup!$A$2:$C$27,2,FALSE)</f>
        <v>Lego Set</v>
      </c>
      <c r="R1593" s="7">
        <f t="shared" si="194"/>
        <v>452.03</v>
      </c>
    </row>
    <row r="1594" spans="1:18" ht="21.75" customHeight="1">
      <c r="A1594" t="s">
        <v>1745</v>
      </c>
      <c r="B1594" s="6">
        <v>45533</v>
      </c>
      <c r="C1594" t="s">
        <v>304</v>
      </c>
      <c r="D1594" t="s">
        <v>84</v>
      </c>
      <c r="E1594" t="s">
        <v>11</v>
      </c>
      <c r="F1594" t="s">
        <v>56</v>
      </c>
      <c r="G1594" t="s">
        <v>36</v>
      </c>
      <c r="H1594">
        <v>7</v>
      </c>
      <c r="I1594" t="str">
        <f>VLOOKUP(D1594,Product_Lookup!$A$2:$C$27,3,FALSE)</f>
        <v>$130.07</v>
      </c>
      <c r="J1594" t="str">
        <f t="shared" si="195"/>
        <v>Thursday</v>
      </c>
      <c r="K1594" s="10" t="str">
        <f t="shared" si="196"/>
        <v>August</v>
      </c>
      <c r="L1594">
        <f t="shared" si="197"/>
        <v>2024</v>
      </c>
      <c r="M1594" t="b">
        <f t="shared" si="198"/>
        <v>0</v>
      </c>
      <c r="N1594" t="b">
        <f t="shared" si="192"/>
        <v>1</v>
      </c>
      <c r="O1594" t="str">
        <f t="shared" si="199"/>
        <v>Large Order</v>
      </c>
      <c r="P1594" s="7">
        <f t="shared" si="193"/>
        <v>6.5034999999999998</v>
      </c>
      <c r="Q1594" s="7" t="str">
        <f>VLOOKUP(D1595,Product_Lookup!$A$2:$C$27,2,FALSE)</f>
        <v>Notebook</v>
      </c>
      <c r="R1594" s="7">
        <f t="shared" si="194"/>
        <v>910.49</v>
      </c>
    </row>
    <row r="1595" spans="1:18" ht="21.75" customHeight="1">
      <c r="A1595" t="s">
        <v>1746</v>
      </c>
      <c r="B1595" s="6">
        <v>45631</v>
      </c>
      <c r="C1595" t="s">
        <v>517</v>
      </c>
      <c r="D1595" t="s">
        <v>160</v>
      </c>
      <c r="E1595" t="s">
        <v>17</v>
      </c>
      <c r="F1595" t="s">
        <v>42</v>
      </c>
      <c r="G1595" t="s">
        <v>28</v>
      </c>
      <c r="H1595">
        <v>15</v>
      </c>
      <c r="I1595" t="str">
        <f>VLOOKUP(D1595,Product_Lookup!$A$2:$C$27,3,FALSE)</f>
        <v>$149.27</v>
      </c>
      <c r="J1595" t="str">
        <f t="shared" si="195"/>
        <v>Thursday</v>
      </c>
      <c r="K1595" s="10" t="str">
        <f t="shared" si="196"/>
        <v>December</v>
      </c>
      <c r="L1595">
        <f t="shared" si="197"/>
        <v>2024</v>
      </c>
      <c r="M1595" t="b">
        <f t="shared" si="198"/>
        <v>0</v>
      </c>
      <c r="N1595" t="b">
        <f t="shared" si="192"/>
        <v>1</v>
      </c>
      <c r="O1595" t="str">
        <f t="shared" si="199"/>
        <v>Large Order</v>
      </c>
      <c r="P1595" s="7">
        <f t="shared" si="193"/>
        <v>7.4635000000000007</v>
      </c>
      <c r="Q1595" s="7" t="str">
        <f>VLOOKUP(D1596,Product_Lookup!$A$2:$C$27,2,FALSE)</f>
        <v>Toaster</v>
      </c>
      <c r="R1595" s="7">
        <f t="shared" si="194"/>
        <v>2239.0500000000002</v>
      </c>
    </row>
    <row r="1596" spans="1:18" ht="21.75" customHeight="1">
      <c r="A1596" t="s">
        <v>1747</v>
      </c>
      <c r="B1596" s="6">
        <v>45467</v>
      </c>
      <c r="C1596" t="s">
        <v>591</v>
      </c>
      <c r="D1596" t="s">
        <v>48</v>
      </c>
      <c r="E1596" t="s">
        <v>22</v>
      </c>
      <c r="F1596" t="s">
        <v>42</v>
      </c>
      <c r="G1596" t="s">
        <v>36</v>
      </c>
      <c r="H1596">
        <v>16</v>
      </c>
      <c r="I1596" t="str">
        <f>VLOOKUP(D1596,Product_Lookup!$A$2:$C$27,3,FALSE)</f>
        <v>$208.85</v>
      </c>
      <c r="J1596" t="str">
        <f t="shared" si="195"/>
        <v>Monday</v>
      </c>
      <c r="K1596" s="10" t="str">
        <f t="shared" si="196"/>
        <v>June</v>
      </c>
      <c r="L1596">
        <f t="shared" si="197"/>
        <v>2024</v>
      </c>
      <c r="M1596" t="b">
        <f t="shared" si="198"/>
        <v>0</v>
      </c>
      <c r="N1596" t="b">
        <f t="shared" si="192"/>
        <v>1</v>
      </c>
      <c r="O1596" t="str">
        <f t="shared" si="199"/>
        <v>Large Order</v>
      </c>
      <c r="P1596" s="7">
        <f t="shared" si="193"/>
        <v>10.442500000000001</v>
      </c>
      <c r="Q1596" s="7" t="str">
        <f>VLOOKUP(D1597,Product_Lookup!$A$2:$C$27,2,FALSE)</f>
        <v>Pen Set</v>
      </c>
      <c r="R1596" s="7">
        <f t="shared" si="194"/>
        <v>3341.6</v>
      </c>
    </row>
    <row r="1597" spans="1:18" ht="21.75" customHeight="1">
      <c r="A1597" t="s">
        <v>1748</v>
      </c>
      <c r="B1597" s="6">
        <v>45418</v>
      </c>
      <c r="C1597" t="s">
        <v>89</v>
      </c>
      <c r="D1597" t="s">
        <v>174</v>
      </c>
      <c r="E1597" t="s">
        <v>17</v>
      </c>
      <c r="F1597" t="s">
        <v>56</v>
      </c>
      <c r="G1597" t="s">
        <v>32</v>
      </c>
      <c r="H1597">
        <v>10</v>
      </c>
      <c r="I1597" t="str">
        <f>VLOOKUP(D1597,Product_Lookup!$A$2:$C$27,3,FALSE)</f>
        <v>$133.37</v>
      </c>
      <c r="J1597" t="str">
        <f t="shared" si="195"/>
        <v>Monday</v>
      </c>
      <c r="K1597" s="10" t="str">
        <f t="shared" si="196"/>
        <v>May</v>
      </c>
      <c r="L1597">
        <f t="shared" si="197"/>
        <v>2024</v>
      </c>
      <c r="M1597" t="b">
        <f t="shared" si="198"/>
        <v>0</v>
      </c>
      <c r="N1597" t="b">
        <f t="shared" si="192"/>
        <v>1</v>
      </c>
      <c r="O1597" t="str">
        <f t="shared" si="199"/>
        <v>Large Order</v>
      </c>
      <c r="P1597" s="7">
        <f t="shared" si="193"/>
        <v>6.6685000000000008</v>
      </c>
      <c r="Q1597" s="7" t="str">
        <f>VLOOKUP(D1598,Product_Lookup!$A$2:$C$27,2,FALSE)</f>
        <v>Stapler</v>
      </c>
      <c r="R1597" s="7">
        <f t="shared" si="194"/>
        <v>1333.7</v>
      </c>
    </row>
    <row r="1598" spans="1:18" ht="21.75" customHeight="1">
      <c r="A1598" t="s">
        <v>1749</v>
      </c>
      <c r="B1598" s="6">
        <v>45645</v>
      </c>
      <c r="C1598" t="s">
        <v>369</v>
      </c>
      <c r="D1598" t="s">
        <v>35</v>
      </c>
      <c r="E1598" t="s">
        <v>17</v>
      </c>
      <c r="F1598" t="s">
        <v>27</v>
      </c>
      <c r="G1598" t="s">
        <v>32</v>
      </c>
      <c r="H1598">
        <v>18</v>
      </c>
      <c r="I1598" t="str">
        <f>VLOOKUP(D1598,Product_Lookup!$A$2:$C$27,3,FALSE)</f>
        <v>$64.61</v>
      </c>
      <c r="J1598" t="str">
        <f t="shared" si="195"/>
        <v>Thursday</v>
      </c>
      <c r="K1598" s="10" t="str">
        <f t="shared" si="196"/>
        <v>December</v>
      </c>
      <c r="L1598">
        <f t="shared" si="197"/>
        <v>2024</v>
      </c>
      <c r="M1598" t="b">
        <f t="shared" si="198"/>
        <v>0</v>
      </c>
      <c r="N1598" t="b">
        <f t="shared" si="192"/>
        <v>1</v>
      </c>
      <c r="O1598" t="str">
        <f t="shared" si="199"/>
        <v>Large Order</v>
      </c>
      <c r="P1598" s="7">
        <f t="shared" si="193"/>
        <v>3.2305000000000001</v>
      </c>
      <c r="Q1598" s="7" t="str">
        <f>VLOOKUP(D1599,Product_Lookup!$A$2:$C$27,2,FALSE)</f>
        <v>Monitor</v>
      </c>
      <c r="R1598" s="7">
        <f t="shared" si="194"/>
        <v>1162.98</v>
      </c>
    </row>
    <row r="1599" spans="1:18" ht="21.75" customHeight="1">
      <c r="A1599" t="s">
        <v>1750</v>
      </c>
      <c r="B1599" s="6">
        <v>45432</v>
      </c>
      <c r="C1599" t="s">
        <v>55</v>
      </c>
      <c r="D1599" t="s">
        <v>102</v>
      </c>
      <c r="E1599" t="s">
        <v>22</v>
      </c>
      <c r="F1599" t="s">
        <v>306</v>
      </c>
      <c r="G1599" t="s">
        <v>23</v>
      </c>
      <c r="H1599">
        <v>13</v>
      </c>
      <c r="I1599" t="str">
        <f>VLOOKUP(D1599,Product_Lookup!$A$2:$C$27,3,FALSE)</f>
        <v>$145.48</v>
      </c>
      <c r="J1599" t="str">
        <f t="shared" si="195"/>
        <v>Monday</v>
      </c>
      <c r="K1599" s="10" t="str">
        <f t="shared" si="196"/>
        <v>May</v>
      </c>
      <c r="L1599">
        <f t="shared" si="197"/>
        <v>2024</v>
      </c>
      <c r="M1599" t="b">
        <f t="shared" si="198"/>
        <v>0</v>
      </c>
      <c r="N1599" t="b">
        <f t="shared" si="192"/>
        <v>1</v>
      </c>
      <c r="O1599" t="str">
        <f t="shared" si="199"/>
        <v>Large Order</v>
      </c>
      <c r="P1599" s="7">
        <f t="shared" si="193"/>
        <v>7.274</v>
      </c>
      <c r="Q1599" s="7" t="str">
        <f>VLOOKUP(D1600,Product_Lookup!$A$2:$C$27,2,FALSE)</f>
        <v>Smartphone</v>
      </c>
      <c r="R1599" s="7">
        <f t="shared" si="194"/>
        <v>1891.2399999999998</v>
      </c>
    </row>
    <row r="1600" spans="1:18" ht="21.75" customHeight="1">
      <c r="A1600" t="s">
        <v>1751</v>
      </c>
      <c r="B1600" s="6">
        <v>45366</v>
      </c>
      <c r="C1600" t="s">
        <v>61</v>
      </c>
      <c r="D1600" t="s">
        <v>79</v>
      </c>
      <c r="E1600" t="s">
        <v>17</v>
      </c>
      <c r="F1600" t="s">
        <v>12</v>
      </c>
      <c r="G1600" t="s">
        <v>32</v>
      </c>
      <c r="H1600">
        <v>15</v>
      </c>
      <c r="I1600" t="str">
        <f>VLOOKUP(D1600,Product_Lookup!$A$2:$C$27,3,FALSE)</f>
        <v>$216.22</v>
      </c>
      <c r="J1600" t="str">
        <f t="shared" si="195"/>
        <v>Friday</v>
      </c>
      <c r="K1600" s="10" t="str">
        <f t="shared" si="196"/>
        <v>March</v>
      </c>
      <c r="L1600">
        <f t="shared" si="197"/>
        <v>2024</v>
      </c>
      <c r="M1600" t="b">
        <f t="shared" si="198"/>
        <v>0</v>
      </c>
      <c r="N1600" t="b">
        <f t="shared" si="192"/>
        <v>1</v>
      </c>
      <c r="O1600" t="str">
        <f t="shared" si="199"/>
        <v>Large Order</v>
      </c>
      <c r="P1600" s="7">
        <f t="shared" si="193"/>
        <v>10.811</v>
      </c>
      <c r="Q1600" s="7" t="str">
        <f>VLOOKUP(D1601,Product_Lookup!$A$2:$C$27,2,FALSE)</f>
        <v>Jeans</v>
      </c>
      <c r="R1600" s="7">
        <f t="shared" si="194"/>
        <v>3243.3</v>
      </c>
    </row>
    <row r="1601" spans="1:18" ht="21.75" customHeight="1">
      <c r="A1601" t="s">
        <v>1752</v>
      </c>
      <c r="B1601" s="6">
        <v>45537</v>
      </c>
      <c r="C1601" t="s">
        <v>133</v>
      </c>
      <c r="D1601" t="s">
        <v>65</v>
      </c>
      <c r="E1601" t="s">
        <v>22</v>
      </c>
      <c r="F1601" t="s">
        <v>42</v>
      </c>
      <c r="G1601" t="s">
        <v>36</v>
      </c>
      <c r="H1601">
        <v>9</v>
      </c>
      <c r="I1601" t="str">
        <f>VLOOKUP(D1601,Product_Lookup!$A$2:$C$27,3,FALSE)</f>
        <v>$33.22</v>
      </c>
      <c r="J1601" t="str">
        <f t="shared" si="195"/>
        <v>Monday</v>
      </c>
      <c r="K1601" s="10" t="str">
        <f t="shared" si="196"/>
        <v>September</v>
      </c>
      <c r="L1601">
        <f t="shared" si="197"/>
        <v>2024</v>
      </c>
      <c r="M1601" t="b">
        <f t="shared" si="198"/>
        <v>0</v>
      </c>
      <c r="N1601" t="b">
        <f t="shared" si="192"/>
        <v>0</v>
      </c>
      <c r="O1601" t="str">
        <f t="shared" si="199"/>
        <v>Standard order</v>
      </c>
      <c r="P1601" s="7">
        <f t="shared" si="193"/>
        <v>1.661</v>
      </c>
      <c r="Q1601" s="7" t="str">
        <f>VLOOKUP(D1602,Product_Lookup!$A$2:$C$27,2,FALSE)</f>
        <v>Desk Lamp</v>
      </c>
      <c r="R1601" s="7">
        <f t="shared" si="194"/>
        <v>298.98</v>
      </c>
    </row>
    <row r="1602" spans="1:18" ht="21.75" customHeight="1">
      <c r="A1602" t="s">
        <v>1753</v>
      </c>
      <c r="B1602" s="6">
        <v>45607</v>
      </c>
      <c r="C1602" t="s">
        <v>304</v>
      </c>
      <c r="D1602" t="s">
        <v>59</v>
      </c>
      <c r="E1602" t="s">
        <v>11</v>
      </c>
      <c r="F1602" t="s">
        <v>56</v>
      </c>
      <c r="G1602" t="s">
        <v>13</v>
      </c>
      <c r="H1602">
        <v>17</v>
      </c>
      <c r="I1602" t="str">
        <f>VLOOKUP(D1602,Product_Lookup!$A$2:$C$27,3,FALSE)</f>
        <v>$101.96</v>
      </c>
      <c r="J1602" t="str">
        <f t="shared" si="195"/>
        <v>Monday</v>
      </c>
      <c r="K1602" s="10" t="str">
        <f t="shared" si="196"/>
        <v>November</v>
      </c>
      <c r="L1602">
        <f t="shared" si="197"/>
        <v>2024</v>
      </c>
      <c r="M1602" t="b">
        <f t="shared" si="198"/>
        <v>0</v>
      </c>
      <c r="N1602" t="b">
        <f t="shared" ref="N1602:N1665" si="200">AND(R1602&gt;750, H1602&gt;5)</f>
        <v>1</v>
      </c>
      <c r="O1602" t="str">
        <f t="shared" si="199"/>
        <v>Large Order</v>
      </c>
      <c r="P1602" s="7">
        <f t="shared" ref="P1602:P1665" si="201">I1602*$S$2</f>
        <v>5.0979999999999999</v>
      </c>
      <c r="Q1602" s="7" t="str">
        <f>VLOOKUP(D1603,Product_Lookup!$A$2:$C$27,2,FALSE)</f>
        <v>Monitor</v>
      </c>
      <c r="R1602" s="7">
        <f t="shared" ref="R1602:R1665" si="202">H1602*I1602</f>
        <v>1733.32</v>
      </c>
    </row>
    <row r="1603" spans="1:18" ht="21.75" customHeight="1">
      <c r="A1603" t="s">
        <v>1754</v>
      </c>
      <c r="B1603" s="6">
        <v>45411</v>
      </c>
      <c r="C1603" t="s">
        <v>9</v>
      </c>
      <c r="D1603" t="s">
        <v>102</v>
      </c>
      <c r="E1603" t="s">
        <v>17</v>
      </c>
      <c r="F1603" t="s">
        <v>42</v>
      </c>
      <c r="G1603" t="s">
        <v>23</v>
      </c>
      <c r="H1603">
        <v>4</v>
      </c>
      <c r="I1603" t="str">
        <f>VLOOKUP(D1603,Product_Lookup!$A$2:$C$27,3,FALSE)</f>
        <v>$145.48</v>
      </c>
      <c r="J1603" t="str">
        <f t="shared" ref="J1603:J1666" si="203">TEXT(B1603, "dddd")</f>
        <v>Monday</v>
      </c>
      <c r="K1603" s="10" t="str">
        <f t="shared" ref="K1603:K1666" si="204">TEXT(B1603, "mmmm")</f>
        <v>April</v>
      </c>
      <c r="L1603">
        <f t="shared" ref="L1603:L1666" si="205">YEAR(B1603)</f>
        <v>2024</v>
      </c>
      <c r="M1603" t="b">
        <f t="shared" ref="M1603:M1666" si="206">OR(J1603="Saturday", J1603="Sunday")</f>
        <v>0</v>
      </c>
      <c r="N1603" t="b">
        <f t="shared" si="200"/>
        <v>0</v>
      </c>
      <c r="O1603" t="str">
        <f t="shared" ref="O1603:O1666" si="207">IF(R1603&gt;500,"Large Order","Standard order")</f>
        <v>Large Order</v>
      </c>
      <c r="P1603" s="7">
        <f t="shared" si="201"/>
        <v>7.274</v>
      </c>
      <c r="Q1603" s="7" t="str">
        <f>VLOOKUP(D1604,Product_Lookup!$A$2:$C$27,2,FALSE)</f>
        <v>Pen Set</v>
      </c>
      <c r="R1603" s="7">
        <f t="shared" si="202"/>
        <v>581.91999999999996</v>
      </c>
    </row>
    <row r="1604" spans="1:18" ht="21.75" customHeight="1">
      <c r="A1604" t="s">
        <v>1755</v>
      </c>
      <c r="B1604" s="6">
        <v>45362</v>
      </c>
      <c r="C1604" t="s">
        <v>25</v>
      </c>
      <c r="D1604" t="s">
        <v>174</v>
      </c>
      <c r="E1604" t="s">
        <v>11</v>
      </c>
      <c r="F1604" t="s">
        <v>27</v>
      </c>
      <c r="G1604" t="s">
        <v>23</v>
      </c>
      <c r="H1604">
        <v>16</v>
      </c>
      <c r="I1604" t="str">
        <f>VLOOKUP(D1604,Product_Lookup!$A$2:$C$27,3,FALSE)</f>
        <v>$133.37</v>
      </c>
      <c r="J1604" t="str">
        <f t="shared" si="203"/>
        <v>Monday</v>
      </c>
      <c r="K1604" s="10" t="str">
        <f t="shared" si="204"/>
        <v>March</v>
      </c>
      <c r="L1604">
        <f t="shared" si="205"/>
        <v>2024</v>
      </c>
      <c r="M1604" t="b">
        <f t="shared" si="206"/>
        <v>0</v>
      </c>
      <c r="N1604" t="b">
        <f t="shared" si="200"/>
        <v>1</v>
      </c>
      <c r="O1604" t="str">
        <f t="shared" si="207"/>
        <v>Large Order</v>
      </c>
      <c r="P1604" s="7">
        <f t="shared" si="201"/>
        <v>6.6685000000000008</v>
      </c>
      <c r="Q1604" s="7" t="str">
        <f>VLOOKUP(D1605,Product_Lookup!$A$2:$C$27,2,FALSE)</f>
        <v>Socks</v>
      </c>
      <c r="R1604" s="7">
        <f t="shared" si="202"/>
        <v>2133.92</v>
      </c>
    </row>
    <row r="1605" spans="1:18" ht="21.75" customHeight="1">
      <c r="A1605" t="s">
        <v>1756</v>
      </c>
      <c r="B1605" s="6">
        <v>45439</v>
      </c>
      <c r="C1605" t="s">
        <v>187</v>
      </c>
      <c r="D1605" t="s">
        <v>74</v>
      </c>
      <c r="E1605" t="s">
        <v>22</v>
      </c>
      <c r="F1605" t="s">
        <v>12</v>
      </c>
      <c r="G1605" t="s">
        <v>13</v>
      </c>
      <c r="H1605">
        <v>19</v>
      </c>
      <c r="I1605" t="str">
        <f>VLOOKUP(D1605,Product_Lookup!$A$2:$C$27,3,FALSE)</f>
        <v>$201.32</v>
      </c>
      <c r="J1605" t="str">
        <f t="shared" si="203"/>
        <v>Monday</v>
      </c>
      <c r="K1605" s="10" t="str">
        <f t="shared" si="204"/>
        <v>May</v>
      </c>
      <c r="L1605">
        <f t="shared" si="205"/>
        <v>2024</v>
      </c>
      <c r="M1605" t="b">
        <f t="shared" si="206"/>
        <v>0</v>
      </c>
      <c r="N1605" t="b">
        <f t="shared" si="200"/>
        <v>1</v>
      </c>
      <c r="O1605" t="str">
        <f t="shared" si="207"/>
        <v>Large Order</v>
      </c>
      <c r="P1605" s="7">
        <f t="shared" si="201"/>
        <v>10.066000000000001</v>
      </c>
      <c r="Q1605" s="7" t="str">
        <f>VLOOKUP(D1606,Product_Lookup!$A$2:$C$27,2,FALSE)</f>
        <v>Vacuum</v>
      </c>
      <c r="R1605" s="7">
        <f t="shared" si="202"/>
        <v>3825.08</v>
      </c>
    </row>
    <row r="1606" spans="1:18" ht="21.75" customHeight="1">
      <c r="A1606" t="s">
        <v>1757</v>
      </c>
      <c r="B1606" s="6">
        <v>45311</v>
      </c>
      <c r="C1606" t="s">
        <v>235</v>
      </c>
      <c r="D1606" t="s">
        <v>87</v>
      </c>
      <c r="E1606" t="s">
        <v>11</v>
      </c>
      <c r="F1606" t="s">
        <v>12</v>
      </c>
      <c r="G1606" t="s">
        <v>23</v>
      </c>
      <c r="H1606">
        <v>16</v>
      </c>
      <c r="I1606" t="str">
        <f>VLOOKUP(D1606,Product_Lookup!$A$2:$C$27,3,FALSE)</f>
        <v>$26.59</v>
      </c>
      <c r="J1606" t="str">
        <f t="shared" si="203"/>
        <v>Saturday</v>
      </c>
      <c r="K1606" s="10" t="str">
        <f t="shared" si="204"/>
        <v>January</v>
      </c>
      <c r="L1606">
        <f t="shared" si="205"/>
        <v>2024</v>
      </c>
      <c r="M1606" t="b">
        <f t="shared" si="206"/>
        <v>1</v>
      </c>
      <c r="N1606" t="b">
        <f t="shared" si="200"/>
        <v>0</v>
      </c>
      <c r="O1606" t="str">
        <f t="shared" si="207"/>
        <v>Standard order</v>
      </c>
      <c r="P1606" s="7">
        <f t="shared" si="201"/>
        <v>1.3295000000000001</v>
      </c>
      <c r="Q1606" s="7" t="str">
        <f>VLOOKUP(D1607,Product_Lookup!$A$2:$C$27,2,FALSE)</f>
        <v>Laptop</v>
      </c>
      <c r="R1606" s="7">
        <f t="shared" si="202"/>
        <v>425.44</v>
      </c>
    </row>
    <row r="1607" spans="1:18" ht="21.75" customHeight="1">
      <c r="A1607" t="s">
        <v>1758</v>
      </c>
      <c r="B1607" s="6">
        <v>45440</v>
      </c>
      <c r="C1607" t="s">
        <v>122</v>
      </c>
      <c r="D1607" t="s">
        <v>96</v>
      </c>
      <c r="E1607" t="s">
        <v>17</v>
      </c>
      <c r="F1607" t="s">
        <v>306</v>
      </c>
      <c r="G1607" t="s">
        <v>36</v>
      </c>
      <c r="H1607">
        <v>4</v>
      </c>
      <c r="I1607" t="str">
        <f>VLOOKUP(D1607,Product_Lookup!$A$2:$C$27,3,FALSE)</f>
        <v>$230.68</v>
      </c>
      <c r="J1607" t="str">
        <f t="shared" si="203"/>
        <v>Tuesday</v>
      </c>
      <c r="K1607" s="10" t="str">
        <f t="shared" si="204"/>
        <v>May</v>
      </c>
      <c r="L1607">
        <f t="shared" si="205"/>
        <v>2024</v>
      </c>
      <c r="M1607" t="b">
        <f t="shared" si="206"/>
        <v>0</v>
      </c>
      <c r="N1607" t="b">
        <f t="shared" si="200"/>
        <v>0</v>
      </c>
      <c r="O1607" t="str">
        <f t="shared" si="207"/>
        <v>Large Order</v>
      </c>
      <c r="P1607" s="7">
        <f t="shared" si="201"/>
        <v>11.534000000000001</v>
      </c>
      <c r="Q1607" s="7" t="str">
        <f>VLOOKUP(D1608,Product_Lookup!$A$2:$C$27,2,FALSE)</f>
        <v>Air Fryer</v>
      </c>
      <c r="R1607" s="7">
        <f t="shared" si="202"/>
        <v>922.72</v>
      </c>
    </row>
    <row r="1608" spans="1:18" ht="21.75" customHeight="1">
      <c r="A1608" t="s">
        <v>1759</v>
      </c>
      <c r="B1608" s="6">
        <v>45463</v>
      </c>
      <c r="C1608" t="s">
        <v>55</v>
      </c>
      <c r="D1608" t="s">
        <v>70</v>
      </c>
      <c r="E1608" t="s">
        <v>22</v>
      </c>
      <c r="F1608" t="s">
        <v>306</v>
      </c>
      <c r="G1608" t="s">
        <v>36</v>
      </c>
      <c r="H1608">
        <v>16</v>
      </c>
      <c r="I1608" t="str">
        <f>VLOOKUP(D1608,Product_Lookup!$A$2:$C$27,3,FALSE)</f>
        <v>$211.9</v>
      </c>
      <c r="J1608" t="str">
        <f t="shared" si="203"/>
        <v>Thursday</v>
      </c>
      <c r="K1608" s="10" t="str">
        <f t="shared" si="204"/>
        <v>June</v>
      </c>
      <c r="L1608">
        <f t="shared" si="205"/>
        <v>2024</v>
      </c>
      <c r="M1608" t="b">
        <f t="shared" si="206"/>
        <v>0</v>
      </c>
      <c r="N1608" t="b">
        <f t="shared" si="200"/>
        <v>1</v>
      </c>
      <c r="O1608" t="str">
        <f t="shared" si="207"/>
        <v>Large Order</v>
      </c>
      <c r="P1608" s="7">
        <f t="shared" si="201"/>
        <v>10.595000000000001</v>
      </c>
      <c r="Q1608" s="7" t="str">
        <f>VLOOKUP(D1609,Product_Lookup!$A$2:$C$27,2,FALSE)</f>
        <v>Air Fryer</v>
      </c>
      <c r="R1608" s="7">
        <f t="shared" si="202"/>
        <v>3390.4</v>
      </c>
    </row>
    <row r="1609" spans="1:18" ht="21.75" customHeight="1">
      <c r="A1609" t="s">
        <v>1760</v>
      </c>
      <c r="B1609" s="6">
        <v>45360</v>
      </c>
      <c r="C1609" t="s">
        <v>358</v>
      </c>
      <c r="D1609" t="s">
        <v>70</v>
      </c>
      <c r="E1609" t="s">
        <v>17</v>
      </c>
      <c r="F1609" t="s">
        <v>56</v>
      </c>
      <c r="G1609" t="s">
        <v>13</v>
      </c>
      <c r="H1609">
        <v>11</v>
      </c>
      <c r="I1609" t="str">
        <f>VLOOKUP(D1609,Product_Lookup!$A$2:$C$27,3,FALSE)</f>
        <v>$211.9</v>
      </c>
      <c r="J1609" t="str">
        <f t="shared" si="203"/>
        <v>Saturday</v>
      </c>
      <c r="K1609" s="10" t="str">
        <f t="shared" si="204"/>
        <v>March</v>
      </c>
      <c r="L1609">
        <f t="shared" si="205"/>
        <v>2024</v>
      </c>
      <c r="M1609" t="b">
        <f t="shared" si="206"/>
        <v>1</v>
      </c>
      <c r="N1609" t="b">
        <f t="shared" si="200"/>
        <v>1</v>
      </c>
      <c r="O1609" t="str">
        <f t="shared" si="207"/>
        <v>Large Order</v>
      </c>
      <c r="P1609" s="7">
        <f t="shared" si="201"/>
        <v>10.595000000000001</v>
      </c>
      <c r="Q1609" s="7" t="str">
        <f>VLOOKUP(D1610,Product_Lookup!$A$2:$C$27,2,FALSE)</f>
        <v>Sweater</v>
      </c>
      <c r="R1609" s="7">
        <f t="shared" si="202"/>
        <v>2330.9</v>
      </c>
    </row>
    <row r="1610" spans="1:18" ht="21.75" customHeight="1">
      <c r="A1610" t="s">
        <v>1761</v>
      </c>
      <c r="B1610" s="6">
        <v>45526</v>
      </c>
      <c r="C1610" t="s">
        <v>736</v>
      </c>
      <c r="D1610" t="s">
        <v>26</v>
      </c>
      <c r="E1610" t="s">
        <v>22</v>
      </c>
      <c r="F1610" t="s">
        <v>56</v>
      </c>
      <c r="G1610" t="s">
        <v>13</v>
      </c>
      <c r="H1610">
        <v>11</v>
      </c>
      <c r="I1610" t="str">
        <f>VLOOKUP(D1610,Product_Lookup!$A$2:$C$27,3,FALSE)</f>
        <v>$84.57</v>
      </c>
      <c r="J1610" t="str">
        <f t="shared" si="203"/>
        <v>Thursday</v>
      </c>
      <c r="K1610" s="10" t="str">
        <f t="shared" si="204"/>
        <v>August</v>
      </c>
      <c r="L1610">
        <f t="shared" si="205"/>
        <v>2024</v>
      </c>
      <c r="M1610" t="b">
        <f t="shared" si="206"/>
        <v>0</v>
      </c>
      <c r="N1610" t="b">
        <f t="shared" si="200"/>
        <v>1</v>
      </c>
      <c r="O1610" t="str">
        <f t="shared" si="207"/>
        <v>Large Order</v>
      </c>
      <c r="P1610" s="7">
        <f t="shared" si="201"/>
        <v>4.2284999999999995</v>
      </c>
      <c r="Q1610" s="7" t="str">
        <f>VLOOKUP(D1611,Product_Lookup!$A$2:$C$27,2,FALSE)</f>
        <v>Doll</v>
      </c>
      <c r="R1610" s="7">
        <f t="shared" si="202"/>
        <v>930.27</v>
      </c>
    </row>
    <row r="1611" spans="1:18" ht="21.75" customHeight="1">
      <c r="A1611" t="s">
        <v>1762</v>
      </c>
      <c r="B1611" s="6">
        <v>45582</v>
      </c>
      <c r="C1611" t="s">
        <v>422</v>
      </c>
      <c r="D1611" t="s">
        <v>119</v>
      </c>
      <c r="E1611" t="s">
        <v>11</v>
      </c>
      <c r="F1611" t="s">
        <v>56</v>
      </c>
      <c r="G1611" t="s">
        <v>36</v>
      </c>
      <c r="H1611">
        <v>13</v>
      </c>
      <c r="I1611" t="str">
        <f>VLOOKUP(D1611,Product_Lookup!$A$2:$C$27,3,FALSE)</f>
        <v>$32.94</v>
      </c>
      <c r="J1611" t="str">
        <f t="shared" si="203"/>
        <v>Thursday</v>
      </c>
      <c r="K1611" s="10" t="str">
        <f t="shared" si="204"/>
        <v>October</v>
      </c>
      <c r="L1611">
        <f t="shared" si="205"/>
        <v>2024</v>
      </c>
      <c r="M1611" t="b">
        <f t="shared" si="206"/>
        <v>0</v>
      </c>
      <c r="N1611" t="b">
        <f t="shared" si="200"/>
        <v>0</v>
      </c>
      <c r="O1611" t="str">
        <f t="shared" si="207"/>
        <v>Standard order</v>
      </c>
      <c r="P1611" s="7">
        <f t="shared" si="201"/>
        <v>1.647</v>
      </c>
      <c r="Q1611" s="7" t="str">
        <f>VLOOKUP(D1612,Product_Lookup!$A$2:$C$27,2,FALSE)</f>
        <v>Tablet</v>
      </c>
      <c r="R1611" s="7">
        <f t="shared" si="202"/>
        <v>428.21999999999997</v>
      </c>
    </row>
    <row r="1612" spans="1:18" ht="21.75" customHeight="1">
      <c r="A1612" t="s">
        <v>1763</v>
      </c>
      <c r="B1612" s="6">
        <v>45555</v>
      </c>
      <c r="C1612" t="s">
        <v>187</v>
      </c>
      <c r="D1612" t="s">
        <v>10</v>
      </c>
      <c r="E1612" t="s">
        <v>17</v>
      </c>
      <c r="F1612" t="s">
        <v>12</v>
      </c>
      <c r="G1612" t="s">
        <v>28</v>
      </c>
      <c r="H1612">
        <v>5</v>
      </c>
      <c r="I1612" t="str">
        <f>VLOOKUP(D1612,Product_Lookup!$A$2:$C$27,3,FALSE)</f>
        <v>$146.06</v>
      </c>
      <c r="J1612" t="str">
        <f t="shared" si="203"/>
        <v>Friday</v>
      </c>
      <c r="K1612" s="10" t="str">
        <f t="shared" si="204"/>
        <v>September</v>
      </c>
      <c r="L1612">
        <f t="shared" si="205"/>
        <v>2024</v>
      </c>
      <c r="M1612" t="b">
        <f t="shared" si="206"/>
        <v>0</v>
      </c>
      <c r="N1612" t="b">
        <f t="shared" si="200"/>
        <v>0</v>
      </c>
      <c r="O1612" t="str">
        <f t="shared" si="207"/>
        <v>Large Order</v>
      </c>
      <c r="P1612" s="7">
        <f t="shared" si="201"/>
        <v>7.3030000000000008</v>
      </c>
      <c r="Q1612" s="7" t="str">
        <f>VLOOKUP(D1613,Product_Lookup!$A$2:$C$27,2,FALSE)</f>
        <v>Sweater</v>
      </c>
      <c r="R1612" s="7">
        <f t="shared" si="202"/>
        <v>730.3</v>
      </c>
    </row>
    <row r="1613" spans="1:18" ht="21.75" customHeight="1">
      <c r="A1613" t="s">
        <v>1764</v>
      </c>
      <c r="B1613" s="6">
        <v>45419</v>
      </c>
      <c r="C1613" t="s">
        <v>25</v>
      </c>
      <c r="D1613" t="s">
        <v>26</v>
      </c>
      <c r="E1613" t="s">
        <v>17</v>
      </c>
      <c r="F1613" t="s">
        <v>56</v>
      </c>
      <c r="G1613" t="s">
        <v>23</v>
      </c>
      <c r="H1613">
        <v>9</v>
      </c>
      <c r="I1613" t="str">
        <f>VLOOKUP(D1613,Product_Lookup!$A$2:$C$27,3,FALSE)</f>
        <v>$84.57</v>
      </c>
      <c r="J1613" t="str">
        <f t="shared" si="203"/>
        <v>Tuesday</v>
      </c>
      <c r="K1613" s="10" t="str">
        <f t="shared" si="204"/>
        <v>May</v>
      </c>
      <c r="L1613">
        <f t="shared" si="205"/>
        <v>2024</v>
      </c>
      <c r="M1613" t="b">
        <f t="shared" si="206"/>
        <v>0</v>
      </c>
      <c r="N1613" t="b">
        <f t="shared" si="200"/>
        <v>1</v>
      </c>
      <c r="O1613" t="str">
        <f t="shared" si="207"/>
        <v>Large Order</v>
      </c>
      <c r="P1613" s="7">
        <f t="shared" si="201"/>
        <v>4.2284999999999995</v>
      </c>
      <c r="Q1613" s="7" t="str">
        <f>VLOOKUP(D1614,Product_Lookup!$A$2:$C$27,2,FALSE)</f>
        <v>Lego Set</v>
      </c>
      <c r="R1613" s="7">
        <f t="shared" si="202"/>
        <v>761.12999999999988</v>
      </c>
    </row>
    <row r="1614" spans="1:18" ht="21.75" customHeight="1">
      <c r="A1614" t="s">
        <v>1765</v>
      </c>
      <c r="B1614" s="6">
        <v>45446</v>
      </c>
      <c r="C1614" t="s">
        <v>361</v>
      </c>
      <c r="D1614" t="s">
        <v>84</v>
      </c>
      <c r="E1614" t="s">
        <v>22</v>
      </c>
      <c r="F1614" t="s">
        <v>12</v>
      </c>
      <c r="G1614" t="s">
        <v>32</v>
      </c>
      <c r="H1614">
        <v>12</v>
      </c>
      <c r="I1614" t="str">
        <f>VLOOKUP(D1614,Product_Lookup!$A$2:$C$27,3,FALSE)</f>
        <v>$130.07</v>
      </c>
      <c r="J1614" t="str">
        <f t="shared" si="203"/>
        <v>Monday</v>
      </c>
      <c r="K1614" s="10" t="str">
        <f t="shared" si="204"/>
        <v>June</v>
      </c>
      <c r="L1614">
        <f t="shared" si="205"/>
        <v>2024</v>
      </c>
      <c r="M1614" t="b">
        <f t="shared" si="206"/>
        <v>0</v>
      </c>
      <c r="N1614" t="b">
        <f t="shared" si="200"/>
        <v>1</v>
      </c>
      <c r="O1614" t="str">
        <f t="shared" si="207"/>
        <v>Large Order</v>
      </c>
      <c r="P1614" s="7">
        <f t="shared" si="201"/>
        <v>6.5034999999999998</v>
      </c>
      <c r="Q1614" s="7" t="str">
        <f>VLOOKUP(D1615,Product_Lookup!$A$2:$C$27,2,FALSE)</f>
        <v>Monitor</v>
      </c>
      <c r="R1614" s="7">
        <f t="shared" si="202"/>
        <v>1560.84</v>
      </c>
    </row>
    <row r="1615" spans="1:18" ht="21.75" customHeight="1">
      <c r="A1615" t="s">
        <v>1766</v>
      </c>
      <c r="B1615" s="6">
        <v>45323</v>
      </c>
      <c r="C1615" t="s">
        <v>317</v>
      </c>
      <c r="D1615" t="s">
        <v>102</v>
      </c>
      <c r="E1615" t="s">
        <v>17</v>
      </c>
      <c r="F1615" t="s">
        <v>42</v>
      </c>
      <c r="G1615" t="s">
        <v>28</v>
      </c>
      <c r="H1615">
        <v>13</v>
      </c>
      <c r="I1615" t="str">
        <f>VLOOKUP(D1615,Product_Lookup!$A$2:$C$27,3,FALSE)</f>
        <v>$145.48</v>
      </c>
      <c r="J1615" t="str">
        <f t="shared" si="203"/>
        <v>Thursday</v>
      </c>
      <c r="K1615" s="10" t="str">
        <f t="shared" si="204"/>
        <v>February</v>
      </c>
      <c r="L1615">
        <f t="shared" si="205"/>
        <v>2024</v>
      </c>
      <c r="M1615" t="b">
        <f t="shared" si="206"/>
        <v>0</v>
      </c>
      <c r="N1615" t="b">
        <f t="shared" si="200"/>
        <v>1</v>
      </c>
      <c r="O1615" t="str">
        <f t="shared" si="207"/>
        <v>Large Order</v>
      </c>
      <c r="P1615" s="7">
        <f t="shared" si="201"/>
        <v>7.274</v>
      </c>
      <c r="Q1615" s="7" t="str">
        <f>VLOOKUP(D1616,Product_Lookup!$A$2:$C$27,2,FALSE)</f>
        <v>Socks</v>
      </c>
      <c r="R1615" s="7">
        <f t="shared" si="202"/>
        <v>1891.2399999999998</v>
      </c>
    </row>
    <row r="1616" spans="1:18" ht="21.75" customHeight="1">
      <c r="A1616" t="s">
        <v>1767</v>
      </c>
      <c r="B1616" s="6">
        <v>45652</v>
      </c>
      <c r="C1616" t="s">
        <v>337</v>
      </c>
      <c r="D1616" t="s">
        <v>74</v>
      </c>
      <c r="E1616" t="s">
        <v>22</v>
      </c>
      <c r="F1616" t="s">
        <v>12</v>
      </c>
      <c r="G1616" t="s">
        <v>32</v>
      </c>
      <c r="H1616">
        <v>12</v>
      </c>
      <c r="I1616" t="str">
        <f>VLOOKUP(D1616,Product_Lookup!$A$2:$C$27,3,FALSE)</f>
        <v>$201.32</v>
      </c>
      <c r="J1616" t="str">
        <f t="shared" si="203"/>
        <v>Thursday</v>
      </c>
      <c r="K1616" s="10" t="str">
        <f t="shared" si="204"/>
        <v>December</v>
      </c>
      <c r="L1616">
        <f t="shared" si="205"/>
        <v>2024</v>
      </c>
      <c r="M1616" t="b">
        <f t="shared" si="206"/>
        <v>0</v>
      </c>
      <c r="N1616" t="b">
        <f t="shared" si="200"/>
        <v>1</v>
      </c>
      <c r="O1616" t="str">
        <f t="shared" si="207"/>
        <v>Large Order</v>
      </c>
      <c r="P1616" s="7">
        <f t="shared" si="201"/>
        <v>10.066000000000001</v>
      </c>
      <c r="Q1616" s="7" t="str">
        <f>VLOOKUP(D1617,Product_Lookup!$A$2:$C$27,2,FALSE)</f>
        <v>Stapler</v>
      </c>
      <c r="R1616" s="7">
        <f t="shared" si="202"/>
        <v>2415.84</v>
      </c>
    </row>
    <row r="1617" spans="1:18" ht="21.75" customHeight="1">
      <c r="A1617" t="s">
        <v>1768</v>
      </c>
      <c r="B1617" s="6">
        <v>45404</v>
      </c>
      <c r="C1617" t="s">
        <v>99</v>
      </c>
      <c r="D1617" t="s">
        <v>35</v>
      </c>
      <c r="E1617" t="s">
        <v>11</v>
      </c>
      <c r="F1617" t="s">
        <v>27</v>
      </c>
      <c r="G1617" t="s">
        <v>36</v>
      </c>
      <c r="H1617">
        <v>12</v>
      </c>
      <c r="I1617" t="str">
        <f>VLOOKUP(D1617,Product_Lookup!$A$2:$C$27,3,FALSE)</f>
        <v>$64.61</v>
      </c>
      <c r="J1617" t="str">
        <f t="shared" si="203"/>
        <v>Monday</v>
      </c>
      <c r="K1617" s="10" t="str">
        <f t="shared" si="204"/>
        <v>April</v>
      </c>
      <c r="L1617">
        <f t="shared" si="205"/>
        <v>2024</v>
      </c>
      <c r="M1617" t="b">
        <f t="shared" si="206"/>
        <v>0</v>
      </c>
      <c r="N1617" t="b">
        <f t="shared" si="200"/>
        <v>1</v>
      </c>
      <c r="O1617" t="str">
        <f t="shared" si="207"/>
        <v>Large Order</v>
      </c>
      <c r="P1617" s="7">
        <f t="shared" si="201"/>
        <v>3.2305000000000001</v>
      </c>
      <c r="Q1617" s="7" t="str">
        <f>VLOOKUP(D1618,Product_Lookup!$A$2:$C$27,2,FALSE)</f>
        <v>Doll</v>
      </c>
      <c r="R1617" s="7">
        <f t="shared" si="202"/>
        <v>775.31999999999994</v>
      </c>
    </row>
    <row r="1618" spans="1:18" ht="21.75" customHeight="1">
      <c r="A1618" t="s">
        <v>1769</v>
      </c>
      <c r="B1618" s="6">
        <v>45573</v>
      </c>
      <c r="C1618" t="s">
        <v>553</v>
      </c>
      <c r="D1618" t="s">
        <v>119</v>
      </c>
      <c r="E1618" t="s">
        <v>22</v>
      </c>
      <c r="F1618" t="s">
        <v>56</v>
      </c>
      <c r="G1618" t="s">
        <v>28</v>
      </c>
      <c r="H1618">
        <v>20</v>
      </c>
      <c r="I1618" t="str">
        <f>VLOOKUP(D1618,Product_Lookup!$A$2:$C$27,3,FALSE)</f>
        <v>$32.94</v>
      </c>
      <c r="J1618" t="str">
        <f t="shared" si="203"/>
        <v>Tuesday</v>
      </c>
      <c r="K1618" s="10" t="str">
        <f t="shared" si="204"/>
        <v>October</v>
      </c>
      <c r="L1618">
        <f t="shared" si="205"/>
        <v>2024</v>
      </c>
      <c r="M1618" t="b">
        <f t="shared" si="206"/>
        <v>0</v>
      </c>
      <c r="N1618" t="b">
        <f t="shared" si="200"/>
        <v>0</v>
      </c>
      <c r="O1618" t="str">
        <f t="shared" si="207"/>
        <v>Large Order</v>
      </c>
      <c r="P1618" s="7">
        <f t="shared" si="201"/>
        <v>1.647</v>
      </c>
      <c r="Q1618" s="7" t="str">
        <f>VLOOKUP(D1619,Product_Lookup!$A$2:$C$27,2,FALSE)</f>
        <v>Air Fryer</v>
      </c>
      <c r="R1618" s="7">
        <f t="shared" si="202"/>
        <v>658.8</v>
      </c>
    </row>
    <row r="1619" spans="1:18" ht="21.75" customHeight="1">
      <c r="A1619" t="s">
        <v>1770</v>
      </c>
      <c r="B1619" s="6">
        <v>45333</v>
      </c>
      <c r="C1619" t="s">
        <v>339</v>
      </c>
      <c r="D1619" t="s">
        <v>70</v>
      </c>
      <c r="E1619" t="s">
        <v>22</v>
      </c>
      <c r="F1619" t="s">
        <v>42</v>
      </c>
      <c r="G1619" t="s">
        <v>13</v>
      </c>
      <c r="H1619">
        <v>19</v>
      </c>
      <c r="I1619" t="str">
        <f>VLOOKUP(D1619,Product_Lookup!$A$2:$C$27,3,FALSE)</f>
        <v>$211.9</v>
      </c>
      <c r="J1619" t="str">
        <f t="shared" si="203"/>
        <v>Sunday</v>
      </c>
      <c r="K1619" s="10" t="str">
        <f t="shared" si="204"/>
        <v>February</v>
      </c>
      <c r="L1619">
        <f t="shared" si="205"/>
        <v>2024</v>
      </c>
      <c r="M1619" t="b">
        <f t="shared" si="206"/>
        <v>1</v>
      </c>
      <c r="N1619" t="b">
        <f t="shared" si="200"/>
        <v>1</v>
      </c>
      <c r="O1619" t="str">
        <f t="shared" si="207"/>
        <v>Large Order</v>
      </c>
      <c r="P1619" s="7">
        <f t="shared" si="201"/>
        <v>10.595000000000001</v>
      </c>
      <c r="Q1619" s="7" t="str">
        <f>VLOOKUP(D1620,Product_Lookup!$A$2:$C$27,2,FALSE)</f>
        <v>Jeans</v>
      </c>
      <c r="R1619" s="7">
        <f t="shared" si="202"/>
        <v>4026.1</v>
      </c>
    </row>
    <row r="1620" spans="1:18" ht="21.75" customHeight="1">
      <c r="A1620" t="s">
        <v>1771</v>
      </c>
      <c r="B1620" s="6">
        <v>45572</v>
      </c>
      <c r="C1620" t="s">
        <v>358</v>
      </c>
      <c r="D1620" t="s">
        <v>65</v>
      </c>
      <c r="E1620" t="s">
        <v>22</v>
      </c>
      <c r="F1620" t="s">
        <v>306</v>
      </c>
      <c r="G1620" t="s">
        <v>28</v>
      </c>
      <c r="H1620">
        <v>6</v>
      </c>
      <c r="I1620" t="str">
        <f>VLOOKUP(D1620,Product_Lookup!$A$2:$C$27,3,FALSE)</f>
        <v>$33.22</v>
      </c>
      <c r="J1620" t="str">
        <f t="shared" si="203"/>
        <v>Monday</v>
      </c>
      <c r="K1620" s="10" t="str">
        <f t="shared" si="204"/>
        <v>October</v>
      </c>
      <c r="L1620">
        <f t="shared" si="205"/>
        <v>2024</v>
      </c>
      <c r="M1620" t="b">
        <f t="shared" si="206"/>
        <v>0</v>
      </c>
      <c r="N1620" t="b">
        <f t="shared" si="200"/>
        <v>0</v>
      </c>
      <c r="O1620" t="str">
        <f t="shared" si="207"/>
        <v>Standard order</v>
      </c>
      <c r="P1620" s="7">
        <f t="shared" si="201"/>
        <v>1.661</v>
      </c>
      <c r="Q1620" s="7" t="str">
        <f>VLOOKUP(D1621,Product_Lookup!$A$2:$C$27,2,FALSE)</f>
        <v>Monitor</v>
      </c>
      <c r="R1620" s="7">
        <f t="shared" si="202"/>
        <v>199.32</v>
      </c>
    </row>
    <row r="1621" spans="1:18" ht="21.75" customHeight="1">
      <c r="A1621" t="s">
        <v>1772</v>
      </c>
      <c r="B1621" s="6">
        <v>45558</v>
      </c>
      <c r="C1621" t="s">
        <v>396</v>
      </c>
      <c r="D1621" t="s">
        <v>102</v>
      </c>
      <c r="E1621" t="s">
        <v>22</v>
      </c>
      <c r="F1621" t="s">
        <v>56</v>
      </c>
      <c r="G1621" t="s">
        <v>36</v>
      </c>
      <c r="H1621">
        <v>16</v>
      </c>
      <c r="I1621" t="str">
        <f>VLOOKUP(D1621,Product_Lookup!$A$2:$C$27,3,FALSE)</f>
        <v>$145.48</v>
      </c>
      <c r="J1621" t="str">
        <f t="shared" si="203"/>
        <v>Monday</v>
      </c>
      <c r="K1621" s="10" t="str">
        <f t="shared" si="204"/>
        <v>September</v>
      </c>
      <c r="L1621">
        <f t="shared" si="205"/>
        <v>2024</v>
      </c>
      <c r="M1621" t="b">
        <f t="shared" si="206"/>
        <v>0</v>
      </c>
      <c r="N1621" t="b">
        <f t="shared" si="200"/>
        <v>1</v>
      </c>
      <c r="O1621" t="str">
        <f t="shared" si="207"/>
        <v>Large Order</v>
      </c>
      <c r="P1621" s="7">
        <f t="shared" si="201"/>
        <v>7.274</v>
      </c>
      <c r="Q1621" s="7" t="str">
        <f>VLOOKUP(D1622,Product_Lookup!$A$2:$C$27,2,FALSE)</f>
        <v>Smartphone</v>
      </c>
      <c r="R1621" s="7">
        <f t="shared" si="202"/>
        <v>2327.6799999999998</v>
      </c>
    </row>
    <row r="1622" spans="1:18" ht="21.75" customHeight="1">
      <c r="A1622" t="s">
        <v>1773</v>
      </c>
      <c r="B1622" s="6">
        <v>45553</v>
      </c>
      <c r="C1622" t="s">
        <v>430</v>
      </c>
      <c r="D1622" t="s">
        <v>79</v>
      </c>
      <c r="E1622" t="s">
        <v>17</v>
      </c>
      <c r="F1622" t="s">
        <v>56</v>
      </c>
      <c r="G1622" t="s">
        <v>36</v>
      </c>
      <c r="H1622">
        <v>14</v>
      </c>
      <c r="I1622" t="str">
        <f>VLOOKUP(D1622,Product_Lookup!$A$2:$C$27,3,FALSE)</f>
        <v>$216.22</v>
      </c>
      <c r="J1622" t="str">
        <f t="shared" si="203"/>
        <v>Wednesday</v>
      </c>
      <c r="K1622" s="10" t="str">
        <f t="shared" si="204"/>
        <v>September</v>
      </c>
      <c r="L1622">
        <f t="shared" si="205"/>
        <v>2024</v>
      </c>
      <c r="M1622" t="b">
        <f t="shared" si="206"/>
        <v>0</v>
      </c>
      <c r="N1622" t="b">
        <f t="shared" si="200"/>
        <v>1</v>
      </c>
      <c r="O1622" t="str">
        <f t="shared" si="207"/>
        <v>Large Order</v>
      </c>
      <c r="P1622" s="7">
        <f t="shared" si="201"/>
        <v>10.811</v>
      </c>
      <c r="Q1622" s="7" t="str">
        <f>VLOOKUP(D1623,Product_Lookup!$A$2:$C$27,2,FALSE)</f>
        <v>Air Fryer</v>
      </c>
      <c r="R1622" s="7">
        <f t="shared" si="202"/>
        <v>3027.08</v>
      </c>
    </row>
    <row r="1623" spans="1:18" ht="21.75" customHeight="1">
      <c r="A1623" t="s">
        <v>1774</v>
      </c>
      <c r="B1623" s="6">
        <v>45321</v>
      </c>
      <c r="C1623" t="s">
        <v>642</v>
      </c>
      <c r="D1623" t="s">
        <v>70</v>
      </c>
      <c r="E1623" t="s">
        <v>22</v>
      </c>
      <c r="F1623" t="s">
        <v>42</v>
      </c>
      <c r="G1623" t="s">
        <v>13</v>
      </c>
      <c r="H1623">
        <v>13</v>
      </c>
      <c r="I1623" t="str">
        <f>VLOOKUP(D1623,Product_Lookup!$A$2:$C$27,3,FALSE)</f>
        <v>$211.9</v>
      </c>
      <c r="J1623" t="str">
        <f t="shared" si="203"/>
        <v>Tuesday</v>
      </c>
      <c r="K1623" s="10" t="str">
        <f t="shared" si="204"/>
        <v>January</v>
      </c>
      <c r="L1623">
        <f t="shared" si="205"/>
        <v>2024</v>
      </c>
      <c r="M1623" t="b">
        <f t="shared" si="206"/>
        <v>0</v>
      </c>
      <c r="N1623" t="b">
        <f t="shared" si="200"/>
        <v>1</v>
      </c>
      <c r="O1623" t="str">
        <f t="shared" si="207"/>
        <v>Large Order</v>
      </c>
      <c r="P1623" s="7">
        <f t="shared" si="201"/>
        <v>10.595000000000001</v>
      </c>
      <c r="Q1623" s="7" t="str">
        <f>VLOOKUP(D1624,Product_Lookup!$A$2:$C$27,2,FALSE)</f>
        <v>Jeans</v>
      </c>
      <c r="R1623" s="7">
        <f t="shared" si="202"/>
        <v>2754.7000000000003</v>
      </c>
    </row>
    <row r="1624" spans="1:18" ht="21.75" customHeight="1">
      <c r="A1624" t="s">
        <v>1775</v>
      </c>
      <c r="B1624" s="6">
        <v>45293</v>
      </c>
      <c r="C1624" t="s">
        <v>323</v>
      </c>
      <c r="D1624" t="s">
        <v>65</v>
      </c>
      <c r="E1624" t="s">
        <v>22</v>
      </c>
      <c r="F1624" t="s">
        <v>12</v>
      </c>
      <c r="G1624" t="s">
        <v>13</v>
      </c>
      <c r="H1624">
        <v>14</v>
      </c>
      <c r="I1624" t="str">
        <f>VLOOKUP(D1624,Product_Lookup!$A$2:$C$27,3,FALSE)</f>
        <v>$33.22</v>
      </c>
      <c r="J1624" t="str">
        <f t="shared" si="203"/>
        <v>Tuesday</v>
      </c>
      <c r="K1624" s="10" t="str">
        <f t="shared" si="204"/>
        <v>January</v>
      </c>
      <c r="L1624">
        <f t="shared" si="205"/>
        <v>2024</v>
      </c>
      <c r="M1624" t="b">
        <f t="shared" si="206"/>
        <v>0</v>
      </c>
      <c r="N1624" t="b">
        <f t="shared" si="200"/>
        <v>0</v>
      </c>
      <c r="O1624" t="str">
        <f t="shared" si="207"/>
        <v>Standard order</v>
      </c>
      <c r="P1624" s="7">
        <f t="shared" si="201"/>
        <v>1.661</v>
      </c>
      <c r="Q1624" s="7" t="str">
        <f>VLOOKUP(D1625,Product_Lookup!$A$2:$C$27,2,FALSE)</f>
        <v>Smartphone</v>
      </c>
      <c r="R1624" s="7">
        <f t="shared" si="202"/>
        <v>465.08</v>
      </c>
    </row>
    <row r="1625" spans="1:18" ht="21.75" customHeight="1">
      <c r="A1625" t="s">
        <v>1776</v>
      </c>
      <c r="B1625" s="6">
        <v>45324</v>
      </c>
      <c r="C1625" t="s">
        <v>591</v>
      </c>
      <c r="D1625" t="s">
        <v>79</v>
      </c>
      <c r="E1625" t="s">
        <v>11</v>
      </c>
      <c r="F1625" t="s">
        <v>27</v>
      </c>
      <c r="G1625" t="s">
        <v>13</v>
      </c>
      <c r="H1625">
        <v>10</v>
      </c>
      <c r="I1625" t="str">
        <f>VLOOKUP(D1625,Product_Lookup!$A$2:$C$27,3,FALSE)</f>
        <v>$216.22</v>
      </c>
      <c r="J1625" t="str">
        <f t="shared" si="203"/>
        <v>Friday</v>
      </c>
      <c r="K1625" s="10" t="str">
        <f t="shared" si="204"/>
        <v>February</v>
      </c>
      <c r="L1625">
        <f t="shared" si="205"/>
        <v>2024</v>
      </c>
      <c r="M1625" t="b">
        <f t="shared" si="206"/>
        <v>0</v>
      </c>
      <c r="N1625" t="b">
        <f t="shared" si="200"/>
        <v>1</v>
      </c>
      <c r="O1625" t="str">
        <f t="shared" si="207"/>
        <v>Large Order</v>
      </c>
      <c r="P1625" s="7">
        <f t="shared" si="201"/>
        <v>10.811</v>
      </c>
      <c r="Q1625" s="7" t="str">
        <f>VLOOKUP(D1626,Product_Lookup!$A$2:$C$27,2,FALSE)</f>
        <v>Action Figure</v>
      </c>
      <c r="R1625" s="7">
        <f t="shared" si="202"/>
        <v>2162.1999999999998</v>
      </c>
    </row>
    <row r="1626" spans="1:18" ht="21.75" customHeight="1">
      <c r="A1626" t="s">
        <v>1777</v>
      </c>
      <c r="B1626" s="6">
        <v>45361</v>
      </c>
      <c r="C1626" t="s">
        <v>337</v>
      </c>
      <c r="D1626" t="s">
        <v>21</v>
      </c>
      <c r="E1626" t="s">
        <v>22</v>
      </c>
      <c r="F1626" t="s">
        <v>27</v>
      </c>
      <c r="G1626" t="s">
        <v>32</v>
      </c>
      <c r="H1626">
        <v>13</v>
      </c>
      <c r="I1626" t="str">
        <f>VLOOKUP(D1626,Product_Lookup!$A$2:$C$27,3,FALSE)</f>
        <v>$88.18</v>
      </c>
      <c r="J1626" t="str">
        <f t="shared" si="203"/>
        <v>Sunday</v>
      </c>
      <c r="K1626" s="10" t="str">
        <f t="shared" si="204"/>
        <v>March</v>
      </c>
      <c r="L1626">
        <f t="shared" si="205"/>
        <v>2024</v>
      </c>
      <c r="M1626" t="b">
        <f t="shared" si="206"/>
        <v>1</v>
      </c>
      <c r="N1626" t="b">
        <f t="shared" si="200"/>
        <v>1</v>
      </c>
      <c r="O1626" t="str">
        <f t="shared" si="207"/>
        <v>Large Order</v>
      </c>
      <c r="P1626" s="7">
        <f t="shared" si="201"/>
        <v>4.4090000000000007</v>
      </c>
      <c r="Q1626" s="7" t="str">
        <f>VLOOKUP(D1627,Product_Lookup!$A$2:$C$27,2,FALSE)</f>
        <v>Tablet</v>
      </c>
      <c r="R1626" s="7">
        <f t="shared" si="202"/>
        <v>1146.3400000000001</v>
      </c>
    </row>
    <row r="1627" spans="1:18" ht="21.75" customHeight="1">
      <c r="A1627" t="s">
        <v>1778</v>
      </c>
      <c r="B1627" s="6">
        <v>45485</v>
      </c>
      <c r="C1627" t="s">
        <v>159</v>
      </c>
      <c r="D1627" t="s">
        <v>10</v>
      </c>
      <c r="E1627" t="s">
        <v>22</v>
      </c>
      <c r="F1627" t="s">
        <v>306</v>
      </c>
      <c r="G1627" t="s">
        <v>28</v>
      </c>
      <c r="H1627">
        <v>12</v>
      </c>
      <c r="I1627" t="str">
        <f>VLOOKUP(D1627,Product_Lookup!$A$2:$C$27,3,FALSE)</f>
        <v>$146.06</v>
      </c>
      <c r="J1627" t="str">
        <f t="shared" si="203"/>
        <v>Friday</v>
      </c>
      <c r="K1627" s="10" t="str">
        <f t="shared" si="204"/>
        <v>July</v>
      </c>
      <c r="L1627">
        <f t="shared" si="205"/>
        <v>2024</v>
      </c>
      <c r="M1627" t="b">
        <f t="shared" si="206"/>
        <v>0</v>
      </c>
      <c r="N1627" t="b">
        <f t="shared" si="200"/>
        <v>1</v>
      </c>
      <c r="O1627" t="str">
        <f t="shared" si="207"/>
        <v>Large Order</v>
      </c>
      <c r="P1627" s="7">
        <f t="shared" si="201"/>
        <v>7.3030000000000008</v>
      </c>
      <c r="Q1627" s="7" t="str">
        <f>VLOOKUP(D1628,Product_Lookup!$A$2:$C$27,2,FALSE)</f>
        <v>Notebook</v>
      </c>
      <c r="R1627" s="7">
        <f t="shared" si="202"/>
        <v>1752.72</v>
      </c>
    </row>
    <row r="1628" spans="1:18" ht="21.75" customHeight="1">
      <c r="A1628" t="s">
        <v>1779</v>
      </c>
      <c r="B1628" s="6">
        <v>45567</v>
      </c>
      <c r="C1628" t="s">
        <v>106</v>
      </c>
      <c r="D1628" t="s">
        <v>160</v>
      </c>
      <c r="E1628" t="s">
        <v>11</v>
      </c>
      <c r="F1628" t="s">
        <v>56</v>
      </c>
      <c r="G1628" t="s">
        <v>13</v>
      </c>
      <c r="H1628">
        <v>1</v>
      </c>
      <c r="I1628" t="str">
        <f>VLOOKUP(D1628,Product_Lookup!$A$2:$C$27,3,FALSE)</f>
        <v>$149.27</v>
      </c>
      <c r="J1628" t="str">
        <f t="shared" si="203"/>
        <v>Wednesday</v>
      </c>
      <c r="K1628" s="10" t="str">
        <f t="shared" si="204"/>
        <v>October</v>
      </c>
      <c r="L1628">
        <f t="shared" si="205"/>
        <v>2024</v>
      </c>
      <c r="M1628" t="b">
        <f t="shared" si="206"/>
        <v>0</v>
      </c>
      <c r="N1628" t="b">
        <f t="shared" si="200"/>
        <v>0</v>
      </c>
      <c r="O1628" t="str">
        <f t="shared" si="207"/>
        <v>Standard order</v>
      </c>
      <c r="P1628" s="7">
        <f t="shared" si="201"/>
        <v>7.4635000000000007</v>
      </c>
      <c r="Q1628" s="7" t="str">
        <f>VLOOKUP(D1629,Product_Lookup!$A$2:$C$27,2,FALSE)</f>
        <v>Lego Set</v>
      </c>
      <c r="R1628" s="7">
        <f t="shared" si="202"/>
        <v>149.27000000000001</v>
      </c>
    </row>
    <row r="1629" spans="1:18" ht="21.75" customHeight="1">
      <c r="A1629" t="s">
        <v>1780</v>
      </c>
      <c r="B1629" s="6">
        <v>45529</v>
      </c>
      <c r="C1629" t="s">
        <v>422</v>
      </c>
      <c r="D1629" t="s">
        <v>84</v>
      </c>
      <c r="E1629" t="s">
        <v>22</v>
      </c>
      <c r="F1629" t="s">
        <v>27</v>
      </c>
      <c r="G1629" t="s">
        <v>36</v>
      </c>
      <c r="H1629">
        <v>13</v>
      </c>
      <c r="I1629" t="str">
        <f>VLOOKUP(D1629,Product_Lookup!$A$2:$C$27,3,FALSE)</f>
        <v>$130.07</v>
      </c>
      <c r="J1629" t="str">
        <f t="shared" si="203"/>
        <v>Sunday</v>
      </c>
      <c r="K1629" s="10" t="str">
        <f t="shared" si="204"/>
        <v>August</v>
      </c>
      <c r="L1629">
        <f t="shared" si="205"/>
        <v>2024</v>
      </c>
      <c r="M1629" t="b">
        <f t="shared" si="206"/>
        <v>1</v>
      </c>
      <c r="N1629" t="b">
        <f t="shared" si="200"/>
        <v>1</v>
      </c>
      <c r="O1629" t="str">
        <f t="shared" si="207"/>
        <v>Large Order</v>
      </c>
      <c r="P1629" s="7">
        <f t="shared" si="201"/>
        <v>6.5034999999999998</v>
      </c>
      <c r="Q1629" s="7" t="str">
        <f>VLOOKUP(D1630,Product_Lookup!$A$2:$C$27,2,FALSE)</f>
        <v>Toaster</v>
      </c>
      <c r="R1629" s="7">
        <f t="shared" si="202"/>
        <v>1690.9099999999999</v>
      </c>
    </row>
    <row r="1630" spans="1:18" ht="21.75" customHeight="1">
      <c r="A1630" t="s">
        <v>1781</v>
      </c>
      <c r="B1630" s="6">
        <v>45418</v>
      </c>
      <c r="C1630" t="s">
        <v>366</v>
      </c>
      <c r="D1630" t="s">
        <v>48</v>
      </c>
      <c r="E1630" t="s">
        <v>11</v>
      </c>
      <c r="F1630" t="s">
        <v>42</v>
      </c>
      <c r="G1630" t="s">
        <v>28</v>
      </c>
      <c r="H1630">
        <v>4</v>
      </c>
      <c r="I1630" t="str">
        <f>VLOOKUP(D1630,Product_Lookup!$A$2:$C$27,3,FALSE)</f>
        <v>$208.85</v>
      </c>
      <c r="J1630" t="str">
        <f t="shared" si="203"/>
        <v>Monday</v>
      </c>
      <c r="K1630" s="10" t="str">
        <f t="shared" si="204"/>
        <v>May</v>
      </c>
      <c r="L1630">
        <f t="shared" si="205"/>
        <v>2024</v>
      </c>
      <c r="M1630" t="b">
        <f t="shared" si="206"/>
        <v>0</v>
      </c>
      <c r="N1630" t="b">
        <f t="shared" si="200"/>
        <v>0</v>
      </c>
      <c r="O1630" t="str">
        <f t="shared" si="207"/>
        <v>Large Order</v>
      </c>
      <c r="P1630" s="7">
        <f t="shared" si="201"/>
        <v>10.442500000000001</v>
      </c>
      <c r="Q1630" s="7" t="str">
        <f>VLOOKUP(D1631,Product_Lookup!$A$2:$C$27,2,FALSE)</f>
        <v>Paper Shredder</v>
      </c>
      <c r="R1630" s="7">
        <f t="shared" si="202"/>
        <v>835.4</v>
      </c>
    </row>
    <row r="1631" spans="1:18" ht="21.75" customHeight="1">
      <c r="A1631" t="s">
        <v>1782</v>
      </c>
      <c r="B1631" s="6">
        <v>45630</v>
      </c>
      <c r="C1631" t="s">
        <v>572</v>
      </c>
      <c r="D1631" t="s">
        <v>109</v>
      </c>
      <c r="E1631" t="s">
        <v>11</v>
      </c>
      <c r="F1631" t="s">
        <v>56</v>
      </c>
      <c r="G1631" t="s">
        <v>28</v>
      </c>
      <c r="H1631">
        <v>3</v>
      </c>
      <c r="I1631" t="str">
        <f>VLOOKUP(D1631,Product_Lookup!$A$2:$C$27,3,FALSE)</f>
        <v>$81.02</v>
      </c>
      <c r="J1631" t="str">
        <f t="shared" si="203"/>
        <v>Wednesday</v>
      </c>
      <c r="K1631" s="10" t="str">
        <f t="shared" si="204"/>
        <v>December</v>
      </c>
      <c r="L1631">
        <f t="shared" si="205"/>
        <v>2024</v>
      </c>
      <c r="M1631" t="b">
        <f t="shared" si="206"/>
        <v>0</v>
      </c>
      <c r="N1631" t="b">
        <f t="shared" si="200"/>
        <v>0</v>
      </c>
      <c r="O1631" t="str">
        <f t="shared" si="207"/>
        <v>Standard order</v>
      </c>
      <c r="P1631" s="7">
        <f t="shared" si="201"/>
        <v>4.0510000000000002</v>
      </c>
      <c r="Q1631" s="7" t="str">
        <f>VLOOKUP(D1632,Product_Lookup!$A$2:$C$27,2,FALSE)</f>
        <v>Paper Shredder</v>
      </c>
      <c r="R1631" s="7">
        <f t="shared" si="202"/>
        <v>243.06</v>
      </c>
    </row>
    <row r="1632" spans="1:18" ht="21.75" customHeight="1">
      <c r="A1632" t="s">
        <v>1783</v>
      </c>
      <c r="B1632" s="6">
        <v>45309</v>
      </c>
      <c r="C1632" t="s">
        <v>430</v>
      </c>
      <c r="D1632" t="s">
        <v>109</v>
      </c>
      <c r="E1632" t="s">
        <v>22</v>
      </c>
      <c r="F1632" t="s">
        <v>12</v>
      </c>
      <c r="G1632" t="s">
        <v>28</v>
      </c>
      <c r="H1632">
        <v>2</v>
      </c>
      <c r="I1632" t="str">
        <f>VLOOKUP(D1632,Product_Lookup!$A$2:$C$27,3,FALSE)</f>
        <v>$81.02</v>
      </c>
      <c r="J1632" t="str">
        <f t="shared" si="203"/>
        <v>Thursday</v>
      </c>
      <c r="K1632" s="10" t="str">
        <f t="shared" si="204"/>
        <v>January</v>
      </c>
      <c r="L1632">
        <f t="shared" si="205"/>
        <v>2024</v>
      </c>
      <c r="M1632" t="b">
        <f t="shared" si="206"/>
        <v>0</v>
      </c>
      <c r="N1632" t="b">
        <f t="shared" si="200"/>
        <v>0</v>
      </c>
      <c r="O1632" t="str">
        <f t="shared" si="207"/>
        <v>Standard order</v>
      </c>
      <c r="P1632" s="7">
        <f t="shared" si="201"/>
        <v>4.0510000000000002</v>
      </c>
      <c r="Q1632" s="7" t="str">
        <f>VLOOKUP(D1633,Product_Lookup!$A$2:$C$27,2,FALSE)</f>
        <v>Jeans</v>
      </c>
      <c r="R1632" s="7">
        <f t="shared" si="202"/>
        <v>162.04</v>
      </c>
    </row>
    <row r="1633" spans="1:18" ht="21.75" customHeight="1">
      <c r="A1633" t="s">
        <v>1784</v>
      </c>
      <c r="B1633" s="6">
        <v>45411</v>
      </c>
      <c r="C1633" t="s">
        <v>591</v>
      </c>
      <c r="D1633" t="s">
        <v>65</v>
      </c>
      <c r="E1633" t="s">
        <v>11</v>
      </c>
      <c r="F1633" t="s">
        <v>56</v>
      </c>
      <c r="G1633" t="s">
        <v>36</v>
      </c>
      <c r="H1633">
        <v>10</v>
      </c>
      <c r="I1633" t="str">
        <f>VLOOKUP(D1633,Product_Lookup!$A$2:$C$27,3,FALSE)</f>
        <v>$33.22</v>
      </c>
      <c r="J1633" t="str">
        <f t="shared" si="203"/>
        <v>Monday</v>
      </c>
      <c r="K1633" s="10" t="str">
        <f t="shared" si="204"/>
        <v>April</v>
      </c>
      <c r="L1633">
        <f t="shared" si="205"/>
        <v>2024</v>
      </c>
      <c r="M1633" t="b">
        <f t="shared" si="206"/>
        <v>0</v>
      </c>
      <c r="N1633" t="b">
        <f t="shared" si="200"/>
        <v>0</v>
      </c>
      <c r="O1633" t="str">
        <f t="shared" si="207"/>
        <v>Standard order</v>
      </c>
      <c r="P1633" s="7">
        <f t="shared" si="201"/>
        <v>1.661</v>
      </c>
      <c r="Q1633" s="7" t="str">
        <f>VLOOKUP(D1634,Product_Lookup!$A$2:$C$27,2,FALSE)</f>
        <v>Desk Lamp</v>
      </c>
      <c r="R1633" s="7">
        <f t="shared" si="202"/>
        <v>332.2</v>
      </c>
    </row>
    <row r="1634" spans="1:18" ht="21.75" customHeight="1">
      <c r="A1634" t="s">
        <v>1785</v>
      </c>
      <c r="B1634" s="6">
        <v>45586</v>
      </c>
      <c r="C1634" t="s">
        <v>38</v>
      </c>
      <c r="D1634" t="s">
        <v>59</v>
      </c>
      <c r="E1634" t="s">
        <v>22</v>
      </c>
      <c r="F1634" t="s">
        <v>42</v>
      </c>
      <c r="G1634" t="s">
        <v>28</v>
      </c>
      <c r="H1634">
        <v>10</v>
      </c>
      <c r="I1634" t="str">
        <f>VLOOKUP(D1634,Product_Lookup!$A$2:$C$27,3,FALSE)</f>
        <v>$101.96</v>
      </c>
      <c r="J1634" t="str">
        <f t="shared" si="203"/>
        <v>Monday</v>
      </c>
      <c r="K1634" s="10" t="str">
        <f t="shared" si="204"/>
        <v>October</v>
      </c>
      <c r="L1634">
        <f t="shared" si="205"/>
        <v>2024</v>
      </c>
      <c r="M1634" t="b">
        <f t="shared" si="206"/>
        <v>0</v>
      </c>
      <c r="N1634" t="b">
        <f t="shared" si="200"/>
        <v>1</v>
      </c>
      <c r="O1634" t="str">
        <f t="shared" si="207"/>
        <v>Large Order</v>
      </c>
      <c r="P1634" s="7">
        <f t="shared" si="201"/>
        <v>5.0979999999999999</v>
      </c>
      <c r="Q1634" s="7" t="str">
        <f>VLOOKUP(D1635,Product_Lookup!$A$2:$C$27,2,FALSE)</f>
        <v>Jacket</v>
      </c>
      <c r="R1634" s="7">
        <f t="shared" si="202"/>
        <v>1019.5999999999999</v>
      </c>
    </row>
    <row r="1635" spans="1:18" ht="21.75" customHeight="1">
      <c r="A1635" t="s">
        <v>1786</v>
      </c>
      <c r="B1635" s="6">
        <v>45630</v>
      </c>
      <c r="C1635" t="s">
        <v>363</v>
      </c>
      <c r="D1635" t="s">
        <v>197</v>
      </c>
      <c r="E1635" t="s">
        <v>17</v>
      </c>
      <c r="F1635" t="s">
        <v>42</v>
      </c>
      <c r="G1635" t="s">
        <v>32</v>
      </c>
      <c r="H1635">
        <v>2</v>
      </c>
      <c r="I1635" t="str">
        <f>VLOOKUP(D1635,Product_Lookup!$A$2:$C$27,3,FALSE)</f>
        <v>$10.11</v>
      </c>
      <c r="J1635" t="str">
        <f t="shared" si="203"/>
        <v>Wednesday</v>
      </c>
      <c r="K1635" s="10" t="str">
        <f t="shared" si="204"/>
        <v>December</v>
      </c>
      <c r="L1635">
        <f t="shared" si="205"/>
        <v>2024</v>
      </c>
      <c r="M1635" t="b">
        <f t="shared" si="206"/>
        <v>0</v>
      </c>
      <c r="N1635" t="b">
        <f t="shared" si="200"/>
        <v>0</v>
      </c>
      <c r="O1635" t="str">
        <f t="shared" si="207"/>
        <v>Standard order</v>
      </c>
      <c r="P1635" s="7">
        <f t="shared" si="201"/>
        <v>0.50549999999999995</v>
      </c>
      <c r="Q1635" s="7" t="str">
        <f>VLOOKUP(D1636,Product_Lookup!$A$2:$C$27,2,FALSE)</f>
        <v>T-Shirt</v>
      </c>
      <c r="R1635" s="7">
        <f t="shared" si="202"/>
        <v>20.22</v>
      </c>
    </row>
    <row r="1636" spans="1:18" ht="21.75" customHeight="1">
      <c r="A1636" t="s">
        <v>1787</v>
      </c>
      <c r="B1636" s="6">
        <v>45594</v>
      </c>
      <c r="C1636" t="s">
        <v>304</v>
      </c>
      <c r="D1636" t="s">
        <v>45</v>
      </c>
      <c r="E1636" t="s">
        <v>22</v>
      </c>
      <c r="F1636" t="s">
        <v>27</v>
      </c>
      <c r="G1636" t="s">
        <v>36</v>
      </c>
      <c r="H1636">
        <v>16</v>
      </c>
      <c r="I1636" t="str">
        <f>VLOOKUP(D1636,Product_Lookup!$A$2:$C$27,3,FALSE)</f>
        <v>$107.34</v>
      </c>
      <c r="J1636" t="str">
        <f t="shared" si="203"/>
        <v>Tuesday</v>
      </c>
      <c r="K1636" s="10" t="str">
        <f t="shared" si="204"/>
        <v>October</v>
      </c>
      <c r="L1636">
        <f t="shared" si="205"/>
        <v>2024</v>
      </c>
      <c r="M1636" t="b">
        <f t="shared" si="206"/>
        <v>0</v>
      </c>
      <c r="N1636" t="b">
        <f t="shared" si="200"/>
        <v>1</v>
      </c>
      <c r="O1636" t="str">
        <f t="shared" si="207"/>
        <v>Large Order</v>
      </c>
      <c r="P1636" s="7">
        <f t="shared" si="201"/>
        <v>5.3670000000000009</v>
      </c>
      <c r="Q1636" s="7" t="str">
        <f>VLOOKUP(D1637,Product_Lookup!$A$2:$C$27,2,FALSE)</f>
        <v>Board Game</v>
      </c>
      <c r="R1636" s="7">
        <f t="shared" si="202"/>
        <v>1717.44</v>
      </c>
    </row>
    <row r="1637" spans="1:18" ht="21.75" customHeight="1">
      <c r="A1637" t="s">
        <v>1788</v>
      </c>
      <c r="B1637" s="6">
        <v>45468</v>
      </c>
      <c r="C1637" t="s">
        <v>736</v>
      </c>
      <c r="D1637" t="s">
        <v>41</v>
      </c>
      <c r="E1637" t="s">
        <v>17</v>
      </c>
      <c r="F1637" t="s">
        <v>306</v>
      </c>
      <c r="G1637" t="s">
        <v>32</v>
      </c>
      <c r="H1637">
        <v>14</v>
      </c>
      <c r="I1637" t="str">
        <f>VLOOKUP(D1637,Product_Lookup!$A$2:$C$27,3,FALSE)</f>
        <v>$86.6</v>
      </c>
      <c r="J1637" t="str">
        <f t="shared" si="203"/>
        <v>Tuesday</v>
      </c>
      <c r="K1637" s="10" t="str">
        <f t="shared" si="204"/>
        <v>June</v>
      </c>
      <c r="L1637">
        <f t="shared" si="205"/>
        <v>2024</v>
      </c>
      <c r="M1637" t="b">
        <f t="shared" si="206"/>
        <v>0</v>
      </c>
      <c r="N1637" t="b">
        <f t="shared" si="200"/>
        <v>1</v>
      </c>
      <c r="O1637" t="str">
        <f t="shared" si="207"/>
        <v>Large Order</v>
      </c>
      <c r="P1637" s="7">
        <f t="shared" si="201"/>
        <v>4.33</v>
      </c>
      <c r="Q1637" s="7" t="str">
        <f>VLOOKUP(D1638,Product_Lookup!$A$2:$C$27,2,FALSE)</f>
        <v>T-Shirt</v>
      </c>
      <c r="R1637" s="7">
        <f t="shared" si="202"/>
        <v>1212.3999999999999</v>
      </c>
    </row>
    <row r="1638" spans="1:18" ht="21.75" customHeight="1">
      <c r="A1638" t="s">
        <v>1789</v>
      </c>
      <c r="B1638" s="6">
        <v>45445</v>
      </c>
      <c r="C1638" t="s">
        <v>159</v>
      </c>
      <c r="D1638" t="s">
        <v>45</v>
      </c>
      <c r="E1638" t="s">
        <v>22</v>
      </c>
      <c r="F1638" t="s">
        <v>27</v>
      </c>
      <c r="G1638" t="s">
        <v>28</v>
      </c>
      <c r="H1638">
        <v>8</v>
      </c>
      <c r="I1638" t="str">
        <f>VLOOKUP(D1638,Product_Lookup!$A$2:$C$27,3,FALSE)</f>
        <v>$107.34</v>
      </c>
      <c r="J1638" t="str">
        <f t="shared" si="203"/>
        <v>Sunday</v>
      </c>
      <c r="K1638" s="10" t="str">
        <f t="shared" si="204"/>
        <v>June</v>
      </c>
      <c r="L1638">
        <f t="shared" si="205"/>
        <v>2024</v>
      </c>
      <c r="M1638" t="b">
        <f t="shared" si="206"/>
        <v>1</v>
      </c>
      <c r="N1638" t="b">
        <f t="shared" si="200"/>
        <v>1</v>
      </c>
      <c r="O1638" t="str">
        <f t="shared" si="207"/>
        <v>Large Order</v>
      </c>
      <c r="P1638" s="7">
        <f t="shared" si="201"/>
        <v>5.3670000000000009</v>
      </c>
      <c r="Q1638" s="7" t="str">
        <f>VLOOKUP(D1639,Product_Lookup!$A$2:$C$27,2,FALSE)</f>
        <v>Air Fryer</v>
      </c>
      <c r="R1638" s="7">
        <f t="shared" si="202"/>
        <v>858.72</v>
      </c>
    </row>
    <row r="1639" spans="1:18" ht="21.75" customHeight="1">
      <c r="A1639" t="s">
        <v>1790</v>
      </c>
      <c r="B1639" s="6">
        <v>45654</v>
      </c>
      <c r="C1639" t="s">
        <v>167</v>
      </c>
      <c r="D1639" t="s">
        <v>70</v>
      </c>
      <c r="E1639" t="s">
        <v>11</v>
      </c>
      <c r="F1639" t="s">
        <v>306</v>
      </c>
      <c r="G1639" t="s">
        <v>23</v>
      </c>
      <c r="H1639">
        <v>14</v>
      </c>
      <c r="I1639" t="str">
        <f>VLOOKUP(D1639,Product_Lookup!$A$2:$C$27,3,FALSE)</f>
        <v>$211.9</v>
      </c>
      <c r="J1639" t="str">
        <f t="shared" si="203"/>
        <v>Saturday</v>
      </c>
      <c r="K1639" s="10" t="str">
        <f t="shared" si="204"/>
        <v>December</v>
      </c>
      <c r="L1639">
        <f t="shared" si="205"/>
        <v>2024</v>
      </c>
      <c r="M1639" t="b">
        <f t="shared" si="206"/>
        <v>1</v>
      </c>
      <c r="N1639" t="b">
        <f t="shared" si="200"/>
        <v>1</v>
      </c>
      <c r="O1639" t="str">
        <f t="shared" si="207"/>
        <v>Large Order</v>
      </c>
      <c r="P1639" s="7">
        <f t="shared" si="201"/>
        <v>10.595000000000001</v>
      </c>
      <c r="Q1639" s="7" t="str">
        <f>VLOOKUP(D1640,Product_Lookup!$A$2:$C$27,2,FALSE)</f>
        <v>Jacket</v>
      </c>
      <c r="R1639" s="7">
        <f t="shared" si="202"/>
        <v>2966.6</v>
      </c>
    </row>
    <row r="1640" spans="1:18" ht="21.75" customHeight="1">
      <c r="A1640" t="s">
        <v>1791</v>
      </c>
      <c r="B1640" s="6">
        <v>45360</v>
      </c>
      <c r="C1640" t="s">
        <v>53</v>
      </c>
      <c r="D1640" t="s">
        <v>197</v>
      </c>
      <c r="E1640" t="s">
        <v>17</v>
      </c>
      <c r="F1640" t="s">
        <v>56</v>
      </c>
      <c r="G1640" t="s">
        <v>32</v>
      </c>
      <c r="H1640">
        <v>3</v>
      </c>
      <c r="I1640" t="str">
        <f>VLOOKUP(D1640,Product_Lookup!$A$2:$C$27,3,FALSE)</f>
        <v>$10.11</v>
      </c>
      <c r="J1640" t="str">
        <f t="shared" si="203"/>
        <v>Saturday</v>
      </c>
      <c r="K1640" s="10" t="str">
        <f t="shared" si="204"/>
        <v>March</v>
      </c>
      <c r="L1640">
        <f t="shared" si="205"/>
        <v>2024</v>
      </c>
      <c r="M1640" t="b">
        <f t="shared" si="206"/>
        <v>1</v>
      </c>
      <c r="N1640" t="b">
        <f t="shared" si="200"/>
        <v>0</v>
      </c>
      <c r="O1640" t="str">
        <f t="shared" si="207"/>
        <v>Standard order</v>
      </c>
      <c r="P1640" s="7">
        <f t="shared" si="201"/>
        <v>0.50549999999999995</v>
      </c>
      <c r="Q1640" s="7" t="str">
        <f>VLOOKUP(D1641,Product_Lookup!$A$2:$C$27,2,FALSE)</f>
        <v>Pen Set</v>
      </c>
      <c r="R1640" s="7">
        <f t="shared" si="202"/>
        <v>30.33</v>
      </c>
    </row>
    <row r="1641" spans="1:18" ht="21.75" customHeight="1">
      <c r="A1641" t="s">
        <v>1792</v>
      </c>
      <c r="B1641" s="6">
        <v>45481</v>
      </c>
      <c r="C1641" t="s">
        <v>203</v>
      </c>
      <c r="D1641" t="s">
        <v>174</v>
      </c>
      <c r="E1641" t="s">
        <v>22</v>
      </c>
      <c r="F1641" t="s">
        <v>56</v>
      </c>
      <c r="G1641" t="s">
        <v>13</v>
      </c>
      <c r="H1641">
        <v>9</v>
      </c>
      <c r="I1641" t="str">
        <f>VLOOKUP(D1641,Product_Lookup!$A$2:$C$27,3,FALSE)</f>
        <v>$133.37</v>
      </c>
      <c r="J1641" t="str">
        <f t="shared" si="203"/>
        <v>Monday</v>
      </c>
      <c r="K1641" s="10" t="str">
        <f t="shared" si="204"/>
        <v>July</v>
      </c>
      <c r="L1641">
        <f t="shared" si="205"/>
        <v>2024</v>
      </c>
      <c r="M1641" t="b">
        <f t="shared" si="206"/>
        <v>0</v>
      </c>
      <c r="N1641" t="b">
        <f t="shared" si="200"/>
        <v>1</v>
      </c>
      <c r="O1641" t="str">
        <f t="shared" si="207"/>
        <v>Large Order</v>
      </c>
      <c r="P1641" s="7">
        <f t="shared" si="201"/>
        <v>6.6685000000000008</v>
      </c>
      <c r="Q1641" s="7" t="str">
        <f>VLOOKUP(D1642,Product_Lookup!$A$2:$C$27,2,FALSE)</f>
        <v>Smartphone</v>
      </c>
      <c r="R1641" s="7">
        <f t="shared" si="202"/>
        <v>1200.33</v>
      </c>
    </row>
    <row r="1642" spans="1:18" ht="21.75" customHeight="1">
      <c r="A1642" t="s">
        <v>1793</v>
      </c>
      <c r="B1642" s="6">
        <v>45601</v>
      </c>
      <c r="C1642" t="s">
        <v>493</v>
      </c>
      <c r="D1642" t="s">
        <v>79</v>
      </c>
      <c r="E1642" t="s">
        <v>11</v>
      </c>
      <c r="F1642" t="s">
        <v>56</v>
      </c>
      <c r="G1642" t="s">
        <v>36</v>
      </c>
      <c r="H1642">
        <v>18</v>
      </c>
      <c r="I1642" t="str">
        <f>VLOOKUP(D1642,Product_Lookup!$A$2:$C$27,3,FALSE)</f>
        <v>$216.22</v>
      </c>
      <c r="J1642" t="str">
        <f t="shared" si="203"/>
        <v>Tuesday</v>
      </c>
      <c r="K1642" s="10" t="str">
        <f t="shared" si="204"/>
        <v>November</v>
      </c>
      <c r="L1642">
        <f t="shared" si="205"/>
        <v>2024</v>
      </c>
      <c r="M1642" t="b">
        <f t="shared" si="206"/>
        <v>0</v>
      </c>
      <c r="N1642" t="b">
        <f t="shared" si="200"/>
        <v>1</v>
      </c>
      <c r="O1642" t="str">
        <f t="shared" si="207"/>
        <v>Large Order</v>
      </c>
      <c r="P1642" s="7">
        <f t="shared" si="201"/>
        <v>10.811</v>
      </c>
      <c r="Q1642" s="7" t="str">
        <f>VLOOKUP(D1643,Product_Lookup!$A$2:$C$27,2,FALSE)</f>
        <v>Socks</v>
      </c>
      <c r="R1642" s="7">
        <f t="shared" si="202"/>
        <v>3891.96</v>
      </c>
    </row>
    <row r="1643" spans="1:18" ht="21.75" customHeight="1">
      <c r="A1643" t="s">
        <v>1794</v>
      </c>
      <c r="B1643" s="6">
        <v>45398</v>
      </c>
      <c r="C1643" t="s">
        <v>118</v>
      </c>
      <c r="D1643" t="s">
        <v>74</v>
      </c>
      <c r="E1643" t="s">
        <v>11</v>
      </c>
      <c r="F1643" t="s">
        <v>56</v>
      </c>
      <c r="G1643" t="s">
        <v>28</v>
      </c>
      <c r="H1643">
        <v>4</v>
      </c>
      <c r="I1643" t="str">
        <f>VLOOKUP(D1643,Product_Lookup!$A$2:$C$27,3,FALSE)</f>
        <v>$201.32</v>
      </c>
      <c r="J1643" t="str">
        <f t="shared" si="203"/>
        <v>Tuesday</v>
      </c>
      <c r="K1643" s="10" t="str">
        <f t="shared" si="204"/>
        <v>April</v>
      </c>
      <c r="L1643">
        <f t="shared" si="205"/>
        <v>2024</v>
      </c>
      <c r="M1643" t="b">
        <f t="shared" si="206"/>
        <v>0</v>
      </c>
      <c r="N1643" t="b">
        <f t="shared" si="200"/>
        <v>0</v>
      </c>
      <c r="O1643" t="str">
        <f t="shared" si="207"/>
        <v>Large Order</v>
      </c>
      <c r="P1643" s="7">
        <f t="shared" si="201"/>
        <v>10.066000000000001</v>
      </c>
      <c r="Q1643" s="7" t="str">
        <f>VLOOKUP(D1644,Product_Lookup!$A$2:$C$27,2,FALSE)</f>
        <v>Puzzle</v>
      </c>
      <c r="R1643" s="7">
        <f t="shared" si="202"/>
        <v>805.28</v>
      </c>
    </row>
    <row r="1644" spans="1:18" ht="21.75" customHeight="1">
      <c r="A1644" t="s">
        <v>1795</v>
      </c>
      <c r="B1644" s="6">
        <v>45537</v>
      </c>
      <c r="C1644" t="s">
        <v>78</v>
      </c>
      <c r="D1644" t="s">
        <v>62</v>
      </c>
      <c r="E1644" t="s">
        <v>22</v>
      </c>
      <c r="F1644" t="s">
        <v>56</v>
      </c>
      <c r="G1644" t="s">
        <v>23</v>
      </c>
      <c r="H1644">
        <v>8</v>
      </c>
      <c r="I1644" t="str">
        <f>VLOOKUP(D1644,Product_Lookup!$A$2:$C$27,3,FALSE)</f>
        <v>$46.19</v>
      </c>
      <c r="J1644" t="str">
        <f t="shared" si="203"/>
        <v>Monday</v>
      </c>
      <c r="K1644" s="10" t="str">
        <f t="shared" si="204"/>
        <v>September</v>
      </c>
      <c r="L1644">
        <f t="shared" si="205"/>
        <v>2024</v>
      </c>
      <c r="M1644" t="b">
        <f t="shared" si="206"/>
        <v>0</v>
      </c>
      <c r="N1644" t="b">
        <f t="shared" si="200"/>
        <v>0</v>
      </c>
      <c r="O1644" t="str">
        <f t="shared" si="207"/>
        <v>Standard order</v>
      </c>
      <c r="P1644" s="7">
        <f t="shared" si="201"/>
        <v>2.3094999999999999</v>
      </c>
      <c r="Q1644" s="7" t="str">
        <f>VLOOKUP(D1645,Product_Lookup!$A$2:$C$27,2,FALSE)</f>
        <v>Air Fryer</v>
      </c>
      <c r="R1644" s="7">
        <f t="shared" si="202"/>
        <v>369.52</v>
      </c>
    </row>
    <row r="1645" spans="1:18" ht="21.75" customHeight="1">
      <c r="A1645" t="s">
        <v>1796</v>
      </c>
      <c r="B1645" s="6">
        <v>45436</v>
      </c>
      <c r="C1645" t="s">
        <v>159</v>
      </c>
      <c r="D1645" t="s">
        <v>70</v>
      </c>
      <c r="E1645" t="s">
        <v>22</v>
      </c>
      <c r="F1645" t="s">
        <v>42</v>
      </c>
      <c r="G1645" t="s">
        <v>32</v>
      </c>
      <c r="H1645">
        <v>9</v>
      </c>
      <c r="I1645" t="str">
        <f>VLOOKUP(D1645,Product_Lookup!$A$2:$C$27,3,FALSE)</f>
        <v>$211.9</v>
      </c>
      <c r="J1645" t="str">
        <f t="shared" si="203"/>
        <v>Friday</v>
      </c>
      <c r="K1645" s="10" t="str">
        <f t="shared" si="204"/>
        <v>May</v>
      </c>
      <c r="L1645">
        <f t="shared" si="205"/>
        <v>2024</v>
      </c>
      <c r="M1645" t="b">
        <f t="shared" si="206"/>
        <v>0</v>
      </c>
      <c r="N1645" t="b">
        <f t="shared" si="200"/>
        <v>1</v>
      </c>
      <c r="O1645" t="str">
        <f t="shared" si="207"/>
        <v>Large Order</v>
      </c>
      <c r="P1645" s="7">
        <f t="shared" si="201"/>
        <v>10.595000000000001</v>
      </c>
      <c r="Q1645" s="7" t="str">
        <f>VLOOKUP(D1646,Product_Lookup!$A$2:$C$27,2,FALSE)</f>
        <v>Monitor</v>
      </c>
      <c r="R1645" s="7">
        <f t="shared" si="202"/>
        <v>1907.1000000000001</v>
      </c>
    </row>
    <row r="1646" spans="1:18" ht="21.75" customHeight="1">
      <c r="A1646" t="s">
        <v>1797</v>
      </c>
      <c r="B1646" s="6">
        <v>45546</v>
      </c>
      <c r="C1646" t="s">
        <v>319</v>
      </c>
      <c r="D1646" t="s">
        <v>102</v>
      </c>
      <c r="E1646" t="s">
        <v>22</v>
      </c>
      <c r="F1646" t="s">
        <v>27</v>
      </c>
      <c r="G1646" t="s">
        <v>32</v>
      </c>
      <c r="H1646">
        <v>7</v>
      </c>
      <c r="I1646" t="str">
        <f>VLOOKUP(D1646,Product_Lookup!$A$2:$C$27,3,FALSE)</f>
        <v>$145.48</v>
      </c>
      <c r="J1646" t="str">
        <f t="shared" si="203"/>
        <v>Wednesday</v>
      </c>
      <c r="K1646" s="10" t="str">
        <f t="shared" si="204"/>
        <v>September</v>
      </c>
      <c r="L1646">
        <f t="shared" si="205"/>
        <v>2024</v>
      </c>
      <c r="M1646" t="b">
        <f t="shared" si="206"/>
        <v>0</v>
      </c>
      <c r="N1646" t="b">
        <f t="shared" si="200"/>
        <v>1</v>
      </c>
      <c r="O1646" t="str">
        <f t="shared" si="207"/>
        <v>Large Order</v>
      </c>
      <c r="P1646" s="7">
        <f t="shared" si="201"/>
        <v>7.274</v>
      </c>
      <c r="Q1646" s="7" t="str">
        <f>VLOOKUP(D1647,Product_Lookup!$A$2:$C$27,2,FALSE)</f>
        <v>Desk Lamp</v>
      </c>
      <c r="R1646" s="7">
        <f t="shared" si="202"/>
        <v>1018.3599999999999</v>
      </c>
    </row>
    <row r="1647" spans="1:18" ht="21.75" customHeight="1">
      <c r="A1647" t="s">
        <v>1798</v>
      </c>
      <c r="B1647" s="6">
        <v>45503</v>
      </c>
      <c r="C1647" t="s">
        <v>116</v>
      </c>
      <c r="D1647" t="s">
        <v>59</v>
      </c>
      <c r="E1647" t="s">
        <v>11</v>
      </c>
      <c r="F1647" t="s">
        <v>56</v>
      </c>
      <c r="G1647" t="s">
        <v>13</v>
      </c>
      <c r="H1647">
        <v>9</v>
      </c>
      <c r="I1647" t="str">
        <f>VLOOKUP(D1647,Product_Lookup!$A$2:$C$27,3,FALSE)</f>
        <v>$101.96</v>
      </c>
      <c r="J1647" t="str">
        <f t="shared" si="203"/>
        <v>Tuesday</v>
      </c>
      <c r="K1647" s="10" t="str">
        <f t="shared" si="204"/>
        <v>July</v>
      </c>
      <c r="L1647">
        <f t="shared" si="205"/>
        <v>2024</v>
      </c>
      <c r="M1647" t="b">
        <f t="shared" si="206"/>
        <v>0</v>
      </c>
      <c r="N1647" t="b">
        <f t="shared" si="200"/>
        <v>1</v>
      </c>
      <c r="O1647" t="str">
        <f t="shared" si="207"/>
        <v>Large Order</v>
      </c>
      <c r="P1647" s="7">
        <f t="shared" si="201"/>
        <v>5.0979999999999999</v>
      </c>
      <c r="Q1647" s="7" t="str">
        <f>VLOOKUP(D1648,Product_Lookup!$A$2:$C$27,2,FALSE)</f>
        <v>Lego Set</v>
      </c>
      <c r="R1647" s="7">
        <f t="shared" si="202"/>
        <v>917.64</v>
      </c>
    </row>
    <row r="1648" spans="1:18" ht="21.75" customHeight="1">
      <c r="A1648" t="s">
        <v>1799</v>
      </c>
      <c r="B1648" s="6">
        <v>45591</v>
      </c>
      <c r="C1648" t="s">
        <v>361</v>
      </c>
      <c r="D1648" t="s">
        <v>84</v>
      </c>
      <c r="E1648" t="s">
        <v>17</v>
      </c>
      <c r="F1648" t="s">
        <v>42</v>
      </c>
      <c r="G1648" t="s">
        <v>28</v>
      </c>
      <c r="H1648">
        <v>7</v>
      </c>
      <c r="I1648" t="str">
        <f>VLOOKUP(D1648,Product_Lookup!$A$2:$C$27,3,FALSE)</f>
        <v>$130.07</v>
      </c>
      <c r="J1648" t="str">
        <f t="shared" si="203"/>
        <v>Saturday</v>
      </c>
      <c r="K1648" s="10" t="str">
        <f t="shared" si="204"/>
        <v>October</v>
      </c>
      <c r="L1648">
        <f t="shared" si="205"/>
        <v>2024</v>
      </c>
      <c r="M1648" t="b">
        <f t="shared" si="206"/>
        <v>1</v>
      </c>
      <c r="N1648" t="b">
        <f t="shared" si="200"/>
        <v>1</v>
      </c>
      <c r="O1648" t="str">
        <f t="shared" si="207"/>
        <v>Large Order</v>
      </c>
      <c r="P1648" s="7">
        <f t="shared" si="201"/>
        <v>6.5034999999999998</v>
      </c>
      <c r="Q1648" s="7" t="str">
        <f>VLOOKUP(D1649,Product_Lookup!$A$2:$C$27,2,FALSE)</f>
        <v>Jacket</v>
      </c>
      <c r="R1648" s="7">
        <f t="shared" si="202"/>
        <v>910.49</v>
      </c>
    </row>
    <row r="1649" spans="1:18" ht="21.75" customHeight="1">
      <c r="A1649" t="s">
        <v>1800</v>
      </c>
      <c r="B1649" s="6">
        <v>45486</v>
      </c>
      <c r="C1649" t="s">
        <v>614</v>
      </c>
      <c r="D1649" t="s">
        <v>197</v>
      </c>
      <c r="E1649" t="s">
        <v>17</v>
      </c>
      <c r="F1649" t="s">
        <v>306</v>
      </c>
      <c r="G1649" t="s">
        <v>32</v>
      </c>
      <c r="H1649">
        <v>9</v>
      </c>
      <c r="I1649" t="str">
        <f>VLOOKUP(D1649,Product_Lookup!$A$2:$C$27,3,FALSE)</f>
        <v>$10.11</v>
      </c>
      <c r="J1649" t="str">
        <f t="shared" si="203"/>
        <v>Saturday</v>
      </c>
      <c r="K1649" s="10" t="str">
        <f t="shared" si="204"/>
        <v>July</v>
      </c>
      <c r="L1649">
        <f t="shared" si="205"/>
        <v>2024</v>
      </c>
      <c r="M1649" t="b">
        <f t="shared" si="206"/>
        <v>1</v>
      </c>
      <c r="N1649" t="b">
        <f t="shared" si="200"/>
        <v>0</v>
      </c>
      <c r="O1649" t="str">
        <f t="shared" si="207"/>
        <v>Standard order</v>
      </c>
      <c r="P1649" s="7">
        <f t="shared" si="201"/>
        <v>0.50549999999999995</v>
      </c>
      <c r="Q1649" s="7" t="str">
        <f>VLOOKUP(D1650,Product_Lookup!$A$2:$C$27,2,FALSE)</f>
        <v>Action Figure</v>
      </c>
      <c r="R1649" s="7">
        <f t="shared" si="202"/>
        <v>90.99</v>
      </c>
    </row>
    <row r="1650" spans="1:18" ht="21.75" customHeight="1">
      <c r="A1650" t="s">
        <v>1801</v>
      </c>
      <c r="B1650" s="6">
        <v>45542</v>
      </c>
      <c r="C1650" t="s">
        <v>329</v>
      </c>
      <c r="D1650" t="s">
        <v>21</v>
      </c>
      <c r="E1650" t="s">
        <v>22</v>
      </c>
      <c r="F1650" t="s">
        <v>27</v>
      </c>
      <c r="G1650" t="s">
        <v>23</v>
      </c>
      <c r="H1650">
        <v>6</v>
      </c>
      <c r="I1650" t="str">
        <f>VLOOKUP(D1650,Product_Lookup!$A$2:$C$27,3,FALSE)</f>
        <v>$88.18</v>
      </c>
      <c r="J1650" t="str">
        <f t="shared" si="203"/>
        <v>Saturday</v>
      </c>
      <c r="K1650" s="10" t="str">
        <f t="shared" si="204"/>
        <v>September</v>
      </c>
      <c r="L1650">
        <f t="shared" si="205"/>
        <v>2024</v>
      </c>
      <c r="M1650" t="b">
        <f t="shared" si="206"/>
        <v>1</v>
      </c>
      <c r="N1650" t="b">
        <f t="shared" si="200"/>
        <v>0</v>
      </c>
      <c r="O1650" t="str">
        <f t="shared" si="207"/>
        <v>Large Order</v>
      </c>
      <c r="P1650" s="7">
        <f t="shared" si="201"/>
        <v>4.4090000000000007</v>
      </c>
      <c r="Q1650" s="7" t="str">
        <f>VLOOKUP(D1651,Product_Lookup!$A$2:$C$27,2,FALSE)</f>
        <v>Headphones</v>
      </c>
      <c r="R1650" s="7">
        <f t="shared" si="202"/>
        <v>529.08000000000004</v>
      </c>
    </row>
    <row r="1651" spans="1:18" ht="21.75" customHeight="1">
      <c r="A1651" t="s">
        <v>1802</v>
      </c>
      <c r="B1651" s="6">
        <v>45472</v>
      </c>
      <c r="C1651" t="s">
        <v>30</v>
      </c>
      <c r="D1651" t="s">
        <v>16</v>
      </c>
      <c r="E1651" t="s">
        <v>22</v>
      </c>
      <c r="F1651" t="s">
        <v>306</v>
      </c>
      <c r="G1651" t="s">
        <v>23</v>
      </c>
      <c r="H1651">
        <v>6</v>
      </c>
      <c r="I1651" t="str">
        <f>VLOOKUP(D1651,Product_Lookup!$A$2:$C$27,3,FALSE)</f>
        <v>$178.83</v>
      </c>
      <c r="J1651" t="str">
        <f t="shared" si="203"/>
        <v>Saturday</v>
      </c>
      <c r="K1651" s="10" t="str">
        <f t="shared" si="204"/>
        <v>June</v>
      </c>
      <c r="L1651">
        <f t="shared" si="205"/>
        <v>2024</v>
      </c>
      <c r="M1651" t="b">
        <f t="shared" si="206"/>
        <v>1</v>
      </c>
      <c r="N1651" t="b">
        <f t="shared" si="200"/>
        <v>1</v>
      </c>
      <c r="O1651" t="str">
        <f t="shared" si="207"/>
        <v>Large Order</v>
      </c>
      <c r="P1651" s="7">
        <f t="shared" si="201"/>
        <v>8.9415000000000013</v>
      </c>
      <c r="Q1651" s="7" t="str">
        <f>VLOOKUP(D1652,Product_Lookup!$A$2:$C$27,2,FALSE)</f>
        <v>Smartphone</v>
      </c>
      <c r="R1651" s="7">
        <f t="shared" si="202"/>
        <v>1072.98</v>
      </c>
    </row>
    <row r="1652" spans="1:18" ht="21.75" customHeight="1">
      <c r="A1652" t="s">
        <v>1803</v>
      </c>
      <c r="B1652" s="6">
        <v>45569</v>
      </c>
      <c r="C1652" t="s">
        <v>736</v>
      </c>
      <c r="D1652" t="s">
        <v>79</v>
      </c>
      <c r="E1652" t="s">
        <v>22</v>
      </c>
      <c r="F1652" t="s">
        <v>12</v>
      </c>
      <c r="G1652" t="s">
        <v>13</v>
      </c>
      <c r="H1652">
        <v>2</v>
      </c>
      <c r="I1652" t="str">
        <f>VLOOKUP(D1652,Product_Lookup!$A$2:$C$27,3,FALSE)</f>
        <v>$216.22</v>
      </c>
      <c r="J1652" t="str">
        <f t="shared" si="203"/>
        <v>Friday</v>
      </c>
      <c r="K1652" s="10" t="str">
        <f t="shared" si="204"/>
        <v>October</v>
      </c>
      <c r="L1652">
        <f t="shared" si="205"/>
        <v>2024</v>
      </c>
      <c r="M1652" t="b">
        <f t="shared" si="206"/>
        <v>0</v>
      </c>
      <c r="N1652" t="b">
        <f t="shared" si="200"/>
        <v>0</v>
      </c>
      <c r="O1652" t="str">
        <f t="shared" si="207"/>
        <v>Standard order</v>
      </c>
      <c r="P1652" s="7">
        <f t="shared" si="201"/>
        <v>10.811</v>
      </c>
      <c r="Q1652" s="7" t="str">
        <f>VLOOKUP(D1653,Product_Lookup!$A$2:$C$27,2,FALSE)</f>
        <v>Action Figure</v>
      </c>
      <c r="R1652" s="7">
        <f t="shared" si="202"/>
        <v>432.44</v>
      </c>
    </row>
    <row r="1653" spans="1:18" ht="21.75" customHeight="1">
      <c r="A1653" t="s">
        <v>1804</v>
      </c>
      <c r="B1653" s="6">
        <v>45503</v>
      </c>
      <c r="C1653" t="s">
        <v>99</v>
      </c>
      <c r="D1653" t="s">
        <v>21</v>
      </c>
      <c r="E1653" t="s">
        <v>11</v>
      </c>
      <c r="F1653" t="s">
        <v>12</v>
      </c>
      <c r="G1653" t="s">
        <v>28</v>
      </c>
      <c r="H1653">
        <v>1</v>
      </c>
      <c r="I1653" t="str">
        <f>VLOOKUP(D1653,Product_Lookup!$A$2:$C$27,3,FALSE)</f>
        <v>$88.18</v>
      </c>
      <c r="J1653" t="str">
        <f t="shared" si="203"/>
        <v>Tuesday</v>
      </c>
      <c r="K1653" s="10" t="str">
        <f t="shared" si="204"/>
        <v>July</v>
      </c>
      <c r="L1653">
        <f t="shared" si="205"/>
        <v>2024</v>
      </c>
      <c r="M1653" t="b">
        <f t="shared" si="206"/>
        <v>0</v>
      </c>
      <c r="N1653" t="b">
        <f t="shared" si="200"/>
        <v>0</v>
      </c>
      <c r="O1653" t="str">
        <f t="shared" si="207"/>
        <v>Standard order</v>
      </c>
      <c r="P1653" s="7">
        <f t="shared" si="201"/>
        <v>4.4090000000000007</v>
      </c>
      <c r="Q1653" s="7" t="str">
        <f>VLOOKUP(D1654,Product_Lookup!$A$2:$C$27,2,FALSE)</f>
        <v>Smartphone</v>
      </c>
      <c r="R1653" s="7">
        <f t="shared" si="202"/>
        <v>88.18</v>
      </c>
    </row>
    <row r="1654" spans="1:18" ht="21.75" customHeight="1">
      <c r="A1654" t="s">
        <v>1805</v>
      </c>
      <c r="B1654" s="6">
        <v>45525</v>
      </c>
      <c r="C1654" t="s">
        <v>200</v>
      </c>
      <c r="D1654" t="s">
        <v>79</v>
      </c>
      <c r="E1654" t="s">
        <v>22</v>
      </c>
      <c r="F1654" t="s">
        <v>306</v>
      </c>
      <c r="G1654" t="s">
        <v>23</v>
      </c>
      <c r="H1654">
        <v>16</v>
      </c>
      <c r="I1654" t="str">
        <f>VLOOKUP(D1654,Product_Lookup!$A$2:$C$27,3,FALSE)</f>
        <v>$216.22</v>
      </c>
      <c r="J1654" t="str">
        <f t="shared" si="203"/>
        <v>Wednesday</v>
      </c>
      <c r="K1654" s="10" t="str">
        <f t="shared" si="204"/>
        <v>August</v>
      </c>
      <c r="L1654">
        <f t="shared" si="205"/>
        <v>2024</v>
      </c>
      <c r="M1654" t="b">
        <f t="shared" si="206"/>
        <v>0</v>
      </c>
      <c r="N1654" t="b">
        <f t="shared" si="200"/>
        <v>1</v>
      </c>
      <c r="O1654" t="str">
        <f t="shared" si="207"/>
        <v>Large Order</v>
      </c>
      <c r="P1654" s="7">
        <f t="shared" si="201"/>
        <v>10.811</v>
      </c>
      <c r="Q1654" s="7" t="str">
        <f>VLOOKUP(D1655,Product_Lookup!$A$2:$C$27,2,FALSE)</f>
        <v>Vacuum</v>
      </c>
      <c r="R1654" s="7">
        <f t="shared" si="202"/>
        <v>3459.52</v>
      </c>
    </row>
    <row r="1655" spans="1:18" ht="21.75" customHeight="1">
      <c r="A1655" t="s">
        <v>1806</v>
      </c>
      <c r="B1655" s="6">
        <v>45564</v>
      </c>
      <c r="C1655" t="s">
        <v>378</v>
      </c>
      <c r="D1655" t="s">
        <v>87</v>
      </c>
      <c r="E1655" t="s">
        <v>11</v>
      </c>
      <c r="F1655" t="s">
        <v>12</v>
      </c>
      <c r="G1655" t="s">
        <v>36</v>
      </c>
      <c r="H1655">
        <v>9</v>
      </c>
      <c r="I1655" t="str">
        <f>VLOOKUP(D1655,Product_Lookup!$A$2:$C$27,3,FALSE)</f>
        <v>$26.59</v>
      </c>
      <c r="J1655" t="str">
        <f t="shared" si="203"/>
        <v>Sunday</v>
      </c>
      <c r="K1655" s="10" t="str">
        <f t="shared" si="204"/>
        <v>September</v>
      </c>
      <c r="L1655">
        <f t="shared" si="205"/>
        <v>2024</v>
      </c>
      <c r="M1655" t="b">
        <f t="shared" si="206"/>
        <v>1</v>
      </c>
      <c r="N1655" t="b">
        <f t="shared" si="200"/>
        <v>0</v>
      </c>
      <c r="O1655" t="str">
        <f t="shared" si="207"/>
        <v>Standard order</v>
      </c>
      <c r="P1655" s="7">
        <f t="shared" si="201"/>
        <v>1.3295000000000001</v>
      </c>
      <c r="Q1655" s="7" t="str">
        <f>VLOOKUP(D1656,Product_Lookup!$A$2:$C$27,2,FALSE)</f>
        <v>Notebook</v>
      </c>
      <c r="R1655" s="7">
        <f t="shared" si="202"/>
        <v>239.31</v>
      </c>
    </row>
    <row r="1656" spans="1:18" ht="21.75" customHeight="1">
      <c r="A1656" t="s">
        <v>1807</v>
      </c>
      <c r="B1656" s="6">
        <v>45438</v>
      </c>
      <c r="C1656" t="s">
        <v>138</v>
      </c>
      <c r="D1656" t="s">
        <v>160</v>
      </c>
      <c r="E1656" t="s">
        <v>22</v>
      </c>
      <c r="F1656" t="s">
        <v>27</v>
      </c>
      <c r="G1656" t="s">
        <v>28</v>
      </c>
      <c r="H1656">
        <v>4</v>
      </c>
      <c r="I1656" t="str">
        <f>VLOOKUP(D1656,Product_Lookup!$A$2:$C$27,3,FALSE)</f>
        <v>$149.27</v>
      </c>
      <c r="J1656" t="str">
        <f t="shared" si="203"/>
        <v>Sunday</v>
      </c>
      <c r="K1656" s="10" t="str">
        <f t="shared" si="204"/>
        <v>May</v>
      </c>
      <c r="L1656">
        <f t="shared" si="205"/>
        <v>2024</v>
      </c>
      <c r="M1656" t="b">
        <f t="shared" si="206"/>
        <v>1</v>
      </c>
      <c r="N1656" t="b">
        <f t="shared" si="200"/>
        <v>0</v>
      </c>
      <c r="O1656" t="str">
        <f t="shared" si="207"/>
        <v>Large Order</v>
      </c>
      <c r="P1656" s="7">
        <f t="shared" si="201"/>
        <v>7.4635000000000007</v>
      </c>
      <c r="Q1656" s="7" t="str">
        <f>VLOOKUP(D1657,Product_Lookup!$A$2:$C$27,2,FALSE)</f>
        <v>Jacket</v>
      </c>
      <c r="R1656" s="7">
        <f t="shared" si="202"/>
        <v>597.08000000000004</v>
      </c>
    </row>
    <row r="1657" spans="1:18" ht="21.75" customHeight="1">
      <c r="A1657" t="s">
        <v>1808</v>
      </c>
      <c r="B1657" s="6">
        <v>45560</v>
      </c>
      <c r="C1657" t="s">
        <v>125</v>
      </c>
      <c r="D1657" t="s">
        <v>197</v>
      </c>
      <c r="E1657" t="s">
        <v>11</v>
      </c>
      <c r="F1657" t="s">
        <v>306</v>
      </c>
      <c r="G1657" t="s">
        <v>36</v>
      </c>
      <c r="H1657">
        <v>9</v>
      </c>
      <c r="I1657" t="str">
        <f>VLOOKUP(D1657,Product_Lookup!$A$2:$C$27,3,FALSE)</f>
        <v>$10.11</v>
      </c>
      <c r="J1657" t="str">
        <f t="shared" si="203"/>
        <v>Wednesday</v>
      </c>
      <c r="K1657" s="10" t="str">
        <f t="shared" si="204"/>
        <v>September</v>
      </c>
      <c r="L1657">
        <f t="shared" si="205"/>
        <v>2024</v>
      </c>
      <c r="M1657" t="b">
        <f t="shared" si="206"/>
        <v>0</v>
      </c>
      <c r="N1657" t="b">
        <f t="shared" si="200"/>
        <v>0</v>
      </c>
      <c r="O1657" t="str">
        <f t="shared" si="207"/>
        <v>Standard order</v>
      </c>
      <c r="P1657" s="7">
        <f t="shared" si="201"/>
        <v>0.50549999999999995</v>
      </c>
      <c r="Q1657" s="7" t="str">
        <f>VLOOKUP(D1658,Product_Lookup!$A$2:$C$27,2,FALSE)</f>
        <v>Tablet</v>
      </c>
      <c r="R1657" s="7">
        <f t="shared" si="202"/>
        <v>90.99</v>
      </c>
    </row>
    <row r="1658" spans="1:18" ht="21.75" customHeight="1">
      <c r="A1658" t="s">
        <v>1809</v>
      </c>
      <c r="B1658" s="6">
        <v>45428</v>
      </c>
      <c r="C1658" t="s">
        <v>106</v>
      </c>
      <c r="D1658" t="s">
        <v>10</v>
      </c>
      <c r="E1658" t="s">
        <v>17</v>
      </c>
      <c r="F1658" t="s">
        <v>27</v>
      </c>
      <c r="G1658" t="s">
        <v>23</v>
      </c>
      <c r="H1658">
        <v>19</v>
      </c>
      <c r="I1658" t="str">
        <f>VLOOKUP(D1658,Product_Lookup!$A$2:$C$27,3,FALSE)</f>
        <v>$146.06</v>
      </c>
      <c r="J1658" t="str">
        <f t="shared" si="203"/>
        <v>Thursday</v>
      </c>
      <c r="K1658" s="10" t="str">
        <f t="shared" si="204"/>
        <v>May</v>
      </c>
      <c r="L1658">
        <f t="shared" si="205"/>
        <v>2024</v>
      </c>
      <c r="M1658" t="b">
        <f t="shared" si="206"/>
        <v>0</v>
      </c>
      <c r="N1658" t="b">
        <f t="shared" si="200"/>
        <v>1</v>
      </c>
      <c r="O1658" t="str">
        <f t="shared" si="207"/>
        <v>Large Order</v>
      </c>
      <c r="P1658" s="7">
        <f t="shared" si="201"/>
        <v>7.3030000000000008</v>
      </c>
      <c r="Q1658" s="7" t="str">
        <f>VLOOKUP(D1659,Product_Lookup!$A$2:$C$27,2,FALSE)</f>
        <v>Socks</v>
      </c>
      <c r="R1658" s="7">
        <f t="shared" si="202"/>
        <v>2775.14</v>
      </c>
    </row>
    <row r="1659" spans="1:18" ht="21.75" customHeight="1">
      <c r="A1659" t="s">
        <v>1810</v>
      </c>
      <c r="B1659" s="6">
        <v>45648</v>
      </c>
      <c r="C1659" t="s">
        <v>240</v>
      </c>
      <c r="D1659" t="s">
        <v>74</v>
      </c>
      <c r="E1659" t="s">
        <v>22</v>
      </c>
      <c r="F1659" t="s">
        <v>12</v>
      </c>
      <c r="G1659" t="s">
        <v>13</v>
      </c>
      <c r="H1659">
        <v>3</v>
      </c>
      <c r="I1659" t="str">
        <f>VLOOKUP(D1659,Product_Lookup!$A$2:$C$27,3,FALSE)</f>
        <v>$201.32</v>
      </c>
      <c r="J1659" t="str">
        <f t="shared" si="203"/>
        <v>Sunday</v>
      </c>
      <c r="K1659" s="10" t="str">
        <f t="shared" si="204"/>
        <v>December</v>
      </c>
      <c r="L1659">
        <f t="shared" si="205"/>
        <v>2024</v>
      </c>
      <c r="M1659" t="b">
        <f t="shared" si="206"/>
        <v>1</v>
      </c>
      <c r="N1659" t="b">
        <f t="shared" si="200"/>
        <v>0</v>
      </c>
      <c r="O1659" t="str">
        <f t="shared" si="207"/>
        <v>Large Order</v>
      </c>
      <c r="P1659" s="7">
        <f t="shared" si="201"/>
        <v>10.066000000000001</v>
      </c>
      <c r="Q1659" s="7" t="str">
        <f>VLOOKUP(D1660,Product_Lookup!$A$2:$C$27,2,FALSE)</f>
        <v>Stapler</v>
      </c>
      <c r="R1659" s="7">
        <f t="shared" si="202"/>
        <v>603.96</v>
      </c>
    </row>
    <row r="1660" spans="1:18" ht="21.75" customHeight="1">
      <c r="A1660" t="s">
        <v>1811</v>
      </c>
      <c r="B1660" s="6">
        <v>45485</v>
      </c>
      <c r="C1660" t="s">
        <v>378</v>
      </c>
      <c r="D1660" t="s">
        <v>35</v>
      </c>
      <c r="E1660" t="s">
        <v>11</v>
      </c>
      <c r="F1660" t="s">
        <v>12</v>
      </c>
      <c r="G1660" t="s">
        <v>28</v>
      </c>
      <c r="H1660">
        <v>3</v>
      </c>
      <c r="I1660" t="str">
        <f>VLOOKUP(D1660,Product_Lookup!$A$2:$C$27,3,FALSE)</f>
        <v>$64.61</v>
      </c>
      <c r="J1660" t="str">
        <f t="shared" si="203"/>
        <v>Friday</v>
      </c>
      <c r="K1660" s="10" t="str">
        <f t="shared" si="204"/>
        <v>July</v>
      </c>
      <c r="L1660">
        <f t="shared" si="205"/>
        <v>2024</v>
      </c>
      <c r="M1660" t="b">
        <f t="shared" si="206"/>
        <v>0</v>
      </c>
      <c r="N1660" t="b">
        <f t="shared" si="200"/>
        <v>0</v>
      </c>
      <c r="O1660" t="str">
        <f t="shared" si="207"/>
        <v>Standard order</v>
      </c>
      <c r="P1660" s="7">
        <f t="shared" si="201"/>
        <v>3.2305000000000001</v>
      </c>
      <c r="Q1660" s="7" t="str">
        <f>VLOOKUP(D1661,Product_Lookup!$A$2:$C$27,2,FALSE)</f>
        <v>Blender</v>
      </c>
      <c r="R1660" s="7">
        <f t="shared" si="202"/>
        <v>193.82999999999998</v>
      </c>
    </row>
    <row r="1661" spans="1:18" ht="21.75" customHeight="1">
      <c r="A1661" t="s">
        <v>1812</v>
      </c>
      <c r="B1661" s="6">
        <v>45514</v>
      </c>
      <c r="C1661" t="s">
        <v>736</v>
      </c>
      <c r="D1661" t="s">
        <v>72</v>
      </c>
      <c r="E1661" t="s">
        <v>22</v>
      </c>
      <c r="F1661" t="s">
        <v>12</v>
      </c>
      <c r="G1661" t="s">
        <v>36</v>
      </c>
      <c r="H1661">
        <v>2</v>
      </c>
      <c r="I1661" t="str">
        <f>VLOOKUP(D1661,Product_Lookup!$A$2:$C$27,3,FALSE)</f>
        <v>$156.44</v>
      </c>
      <c r="J1661" t="str">
        <f t="shared" si="203"/>
        <v>Saturday</v>
      </c>
      <c r="K1661" s="10" t="str">
        <f t="shared" si="204"/>
        <v>August</v>
      </c>
      <c r="L1661">
        <f t="shared" si="205"/>
        <v>2024</v>
      </c>
      <c r="M1661" t="b">
        <f t="shared" si="206"/>
        <v>1</v>
      </c>
      <c r="N1661" t="b">
        <f t="shared" si="200"/>
        <v>0</v>
      </c>
      <c r="O1661" t="str">
        <f t="shared" si="207"/>
        <v>Standard order</v>
      </c>
      <c r="P1661" s="7">
        <f t="shared" si="201"/>
        <v>7.8220000000000001</v>
      </c>
      <c r="Q1661" s="7" t="str">
        <f>VLOOKUP(D1662,Product_Lookup!$A$2:$C$27,2,FALSE)</f>
        <v>Stapler</v>
      </c>
      <c r="R1661" s="7">
        <f t="shared" si="202"/>
        <v>312.88</v>
      </c>
    </row>
    <row r="1662" spans="1:18" ht="21.75" customHeight="1">
      <c r="A1662" t="s">
        <v>1813</v>
      </c>
      <c r="B1662" s="6">
        <v>45646</v>
      </c>
      <c r="C1662" t="s">
        <v>614</v>
      </c>
      <c r="D1662" t="s">
        <v>35</v>
      </c>
      <c r="E1662" t="s">
        <v>17</v>
      </c>
      <c r="F1662" t="s">
        <v>12</v>
      </c>
      <c r="G1662" t="s">
        <v>13</v>
      </c>
      <c r="H1662">
        <v>9</v>
      </c>
      <c r="I1662" t="str">
        <f>VLOOKUP(D1662,Product_Lookup!$A$2:$C$27,3,FALSE)</f>
        <v>$64.61</v>
      </c>
      <c r="J1662" t="str">
        <f t="shared" si="203"/>
        <v>Friday</v>
      </c>
      <c r="K1662" s="10" t="str">
        <f t="shared" si="204"/>
        <v>December</v>
      </c>
      <c r="L1662">
        <f t="shared" si="205"/>
        <v>2024</v>
      </c>
      <c r="M1662" t="b">
        <f t="shared" si="206"/>
        <v>0</v>
      </c>
      <c r="N1662" t="b">
        <f t="shared" si="200"/>
        <v>0</v>
      </c>
      <c r="O1662" t="str">
        <f t="shared" si="207"/>
        <v>Large Order</v>
      </c>
      <c r="P1662" s="7">
        <f t="shared" si="201"/>
        <v>3.2305000000000001</v>
      </c>
      <c r="Q1662" s="7" t="str">
        <f>VLOOKUP(D1663,Product_Lookup!$A$2:$C$27,2,FALSE)</f>
        <v>Smartphone</v>
      </c>
      <c r="R1662" s="7">
        <f t="shared" si="202"/>
        <v>581.49</v>
      </c>
    </row>
    <row r="1663" spans="1:18" ht="21.75" customHeight="1">
      <c r="A1663" t="s">
        <v>1814</v>
      </c>
      <c r="B1663" s="6">
        <v>45580</v>
      </c>
      <c r="C1663" t="s">
        <v>371</v>
      </c>
      <c r="D1663" t="s">
        <v>79</v>
      </c>
      <c r="E1663" t="s">
        <v>11</v>
      </c>
      <c r="F1663" t="s">
        <v>42</v>
      </c>
      <c r="G1663" t="s">
        <v>13</v>
      </c>
      <c r="H1663">
        <v>7</v>
      </c>
      <c r="I1663" t="str">
        <f>VLOOKUP(D1663,Product_Lookup!$A$2:$C$27,3,FALSE)</f>
        <v>$216.22</v>
      </c>
      <c r="J1663" t="str">
        <f t="shared" si="203"/>
        <v>Tuesday</v>
      </c>
      <c r="K1663" s="10" t="str">
        <f t="shared" si="204"/>
        <v>October</v>
      </c>
      <c r="L1663">
        <f t="shared" si="205"/>
        <v>2024</v>
      </c>
      <c r="M1663" t="b">
        <f t="shared" si="206"/>
        <v>0</v>
      </c>
      <c r="N1663" t="b">
        <f t="shared" si="200"/>
        <v>1</v>
      </c>
      <c r="O1663" t="str">
        <f t="shared" si="207"/>
        <v>Large Order</v>
      </c>
      <c r="P1663" s="7">
        <f t="shared" si="201"/>
        <v>10.811</v>
      </c>
      <c r="Q1663" s="7" t="str">
        <f>VLOOKUP(D1664,Product_Lookup!$A$2:$C$27,2,FALSE)</f>
        <v>Tablet</v>
      </c>
      <c r="R1663" s="7">
        <f t="shared" si="202"/>
        <v>1513.54</v>
      </c>
    </row>
    <row r="1664" spans="1:18" ht="21.75" customHeight="1">
      <c r="A1664" t="s">
        <v>1815</v>
      </c>
      <c r="B1664" s="6">
        <v>45656</v>
      </c>
      <c r="C1664" t="s">
        <v>106</v>
      </c>
      <c r="D1664" t="s">
        <v>10</v>
      </c>
      <c r="E1664" t="s">
        <v>17</v>
      </c>
      <c r="F1664" t="s">
        <v>56</v>
      </c>
      <c r="G1664" t="s">
        <v>36</v>
      </c>
      <c r="H1664">
        <v>8</v>
      </c>
      <c r="I1664" t="str">
        <f>VLOOKUP(D1664,Product_Lookup!$A$2:$C$27,3,FALSE)</f>
        <v>$146.06</v>
      </c>
      <c r="J1664" t="str">
        <f t="shared" si="203"/>
        <v>Monday</v>
      </c>
      <c r="K1664" s="10" t="str">
        <f t="shared" si="204"/>
        <v>December</v>
      </c>
      <c r="L1664">
        <f t="shared" si="205"/>
        <v>2024</v>
      </c>
      <c r="M1664" t="b">
        <f t="shared" si="206"/>
        <v>0</v>
      </c>
      <c r="N1664" t="b">
        <f t="shared" si="200"/>
        <v>1</v>
      </c>
      <c r="O1664" t="str">
        <f t="shared" si="207"/>
        <v>Large Order</v>
      </c>
      <c r="P1664" s="7">
        <f t="shared" si="201"/>
        <v>7.3030000000000008</v>
      </c>
      <c r="Q1664" s="7" t="str">
        <f>VLOOKUP(D1665,Product_Lookup!$A$2:$C$27,2,FALSE)</f>
        <v>Pen Set</v>
      </c>
      <c r="R1664" s="7">
        <f t="shared" si="202"/>
        <v>1168.48</v>
      </c>
    </row>
    <row r="1665" spans="1:18" ht="21.75" customHeight="1">
      <c r="A1665" t="s">
        <v>1816</v>
      </c>
      <c r="B1665" s="6">
        <v>45491</v>
      </c>
      <c r="C1665" t="s">
        <v>422</v>
      </c>
      <c r="D1665" t="s">
        <v>174</v>
      </c>
      <c r="E1665" t="s">
        <v>17</v>
      </c>
      <c r="F1665" t="s">
        <v>27</v>
      </c>
      <c r="G1665" t="s">
        <v>28</v>
      </c>
      <c r="H1665">
        <v>3</v>
      </c>
      <c r="I1665" t="str">
        <f>VLOOKUP(D1665,Product_Lookup!$A$2:$C$27,3,FALSE)</f>
        <v>$133.37</v>
      </c>
      <c r="J1665" t="str">
        <f t="shared" si="203"/>
        <v>Thursday</v>
      </c>
      <c r="K1665" s="10" t="str">
        <f t="shared" si="204"/>
        <v>July</v>
      </c>
      <c r="L1665">
        <f t="shared" si="205"/>
        <v>2024</v>
      </c>
      <c r="M1665" t="b">
        <f t="shared" si="206"/>
        <v>0</v>
      </c>
      <c r="N1665" t="b">
        <f t="shared" si="200"/>
        <v>0</v>
      </c>
      <c r="O1665" t="str">
        <f t="shared" si="207"/>
        <v>Standard order</v>
      </c>
      <c r="P1665" s="7">
        <f t="shared" si="201"/>
        <v>6.6685000000000008</v>
      </c>
      <c r="Q1665" s="7" t="str">
        <f>VLOOKUP(D1666,Product_Lookup!$A$2:$C$27,2,FALSE)</f>
        <v>Monitor</v>
      </c>
      <c r="R1665" s="7">
        <f t="shared" si="202"/>
        <v>400.11</v>
      </c>
    </row>
    <row r="1666" spans="1:18" ht="21.75" customHeight="1">
      <c r="A1666" t="s">
        <v>1817</v>
      </c>
      <c r="B1666" s="6">
        <v>45469</v>
      </c>
      <c r="C1666" t="s">
        <v>9</v>
      </c>
      <c r="D1666" t="s">
        <v>102</v>
      </c>
      <c r="E1666" t="s">
        <v>17</v>
      </c>
      <c r="F1666" t="s">
        <v>56</v>
      </c>
      <c r="G1666" t="s">
        <v>13</v>
      </c>
      <c r="H1666">
        <v>11</v>
      </c>
      <c r="I1666" t="str">
        <f>VLOOKUP(D1666,Product_Lookup!$A$2:$C$27,3,FALSE)</f>
        <v>$145.48</v>
      </c>
      <c r="J1666" t="str">
        <f t="shared" si="203"/>
        <v>Wednesday</v>
      </c>
      <c r="K1666" s="10" t="str">
        <f t="shared" si="204"/>
        <v>June</v>
      </c>
      <c r="L1666">
        <f t="shared" si="205"/>
        <v>2024</v>
      </c>
      <c r="M1666" t="b">
        <f t="shared" si="206"/>
        <v>0</v>
      </c>
      <c r="N1666" t="b">
        <f t="shared" ref="N1666:N1729" si="208">AND(R1666&gt;750, H1666&gt;5)</f>
        <v>1</v>
      </c>
      <c r="O1666" t="str">
        <f t="shared" si="207"/>
        <v>Large Order</v>
      </c>
      <c r="P1666" s="7">
        <f t="shared" ref="P1666:P1729" si="209">I1666*$S$2</f>
        <v>7.274</v>
      </c>
      <c r="Q1666" s="7" t="str">
        <f>VLOOKUP(D1667,Product_Lookup!$A$2:$C$27,2,FALSE)</f>
        <v>Coffee Maker</v>
      </c>
      <c r="R1666" s="7">
        <f t="shared" ref="R1666:R1729" si="210">H1666*I1666</f>
        <v>1600.28</v>
      </c>
    </row>
    <row r="1667" spans="1:18" ht="21.75" customHeight="1">
      <c r="A1667" t="s">
        <v>1818</v>
      </c>
      <c r="B1667" s="6">
        <v>45606</v>
      </c>
      <c r="C1667" t="s">
        <v>327</v>
      </c>
      <c r="D1667" t="s">
        <v>31</v>
      </c>
      <c r="E1667" t="s">
        <v>17</v>
      </c>
      <c r="F1667" t="s">
        <v>12</v>
      </c>
      <c r="G1667" t="s">
        <v>32</v>
      </c>
      <c r="H1667">
        <v>15</v>
      </c>
      <c r="I1667" t="str">
        <f>VLOOKUP(D1667,Product_Lookup!$A$2:$C$27,3,FALSE)</f>
        <v>$230.34</v>
      </c>
      <c r="J1667" t="str">
        <f t="shared" ref="J1667:J1730" si="211">TEXT(B1667, "dddd")</f>
        <v>Sunday</v>
      </c>
      <c r="K1667" s="10" t="str">
        <f t="shared" ref="K1667:K1730" si="212">TEXT(B1667, "mmmm")</f>
        <v>November</v>
      </c>
      <c r="L1667">
        <f t="shared" ref="L1667:L1730" si="213">YEAR(B1667)</f>
        <v>2024</v>
      </c>
      <c r="M1667" t="b">
        <f t="shared" ref="M1667:M1730" si="214">OR(J1667="Saturday", J1667="Sunday")</f>
        <v>1</v>
      </c>
      <c r="N1667" t="b">
        <f t="shared" si="208"/>
        <v>1</v>
      </c>
      <c r="O1667" t="str">
        <f t="shared" ref="O1667:O1730" si="215">IF(R1667&gt;500,"Large Order","Standard order")</f>
        <v>Large Order</v>
      </c>
      <c r="P1667" s="7">
        <f t="shared" si="209"/>
        <v>11.517000000000001</v>
      </c>
      <c r="Q1667" s="7" t="str">
        <f>VLOOKUP(D1668,Product_Lookup!$A$2:$C$27,2,FALSE)</f>
        <v>Coffee Maker</v>
      </c>
      <c r="R1667" s="7">
        <f t="shared" si="210"/>
        <v>3455.1</v>
      </c>
    </row>
    <row r="1668" spans="1:18" ht="21.75" customHeight="1">
      <c r="A1668" t="s">
        <v>1819</v>
      </c>
      <c r="B1668" s="6">
        <v>45474</v>
      </c>
      <c r="C1668" t="s">
        <v>378</v>
      </c>
      <c r="D1668" t="s">
        <v>31</v>
      </c>
      <c r="E1668" t="s">
        <v>17</v>
      </c>
      <c r="F1668" t="s">
        <v>56</v>
      </c>
      <c r="G1668" t="s">
        <v>36</v>
      </c>
      <c r="H1668">
        <v>13</v>
      </c>
      <c r="I1668" t="str">
        <f>VLOOKUP(D1668,Product_Lookup!$A$2:$C$27,3,FALSE)</f>
        <v>$230.34</v>
      </c>
      <c r="J1668" t="str">
        <f t="shared" si="211"/>
        <v>Monday</v>
      </c>
      <c r="K1668" s="10" t="str">
        <f t="shared" si="212"/>
        <v>July</v>
      </c>
      <c r="L1668">
        <f t="shared" si="213"/>
        <v>2024</v>
      </c>
      <c r="M1668" t="b">
        <f t="shared" si="214"/>
        <v>0</v>
      </c>
      <c r="N1668" t="b">
        <f t="shared" si="208"/>
        <v>1</v>
      </c>
      <c r="O1668" t="str">
        <f t="shared" si="215"/>
        <v>Large Order</v>
      </c>
      <c r="P1668" s="7">
        <f t="shared" si="209"/>
        <v>11.517000000000001</v>
      </c>
      <c r="Q1668" s="7" t="str">
        <f>VLOOKUP(D1669,Product_Lookup!$A$2:$C$27,2,FALSE)</f>
        <v>Jacket</v>
      </c>
      <c r="R1668" s="7">
        <f t="shared" si="210"/>
        <v>2994.42</v>
      </c>
    </row>
    <row r="1669" spans="1:18" ht="21.75" customHeight="1">
      <c r="A1669" t="s">
        <v>1820</v>
      </c>
      <c r="B1669" s="6">
        <v>45608</v>
      </c>
      <c r="C1669" t="s">
        <v>61</v>
      </c>
      <c r="D1669" t="s">
        <v>197</v>
      </c>
      <c r="E1669" t="s">
        <v>22</v>
      </c>
      <c r="F1669" t="s">
        <v>12</v>
      </c>
      <c r="G1669" t="s">
        <v>13</v>
      </c>
      <c r="H1669">
        <v>9</v>
      </c>
      <c r="I1669" t="str">
        <f>VLOOKUP(D1669,Product_Lookup!$A$2:$C$27,3,FALSE)</f>
        <v>$10.11</v>
      </c>
      <c r="J1669" t="str">
        <f t="shared" si="211"/>
        <v>Tuesday</v>
      </c>
      <c r="K1669" s="10" t="str">
        <f t="shared" si="212"/>
        <v>November</v>
      </c>
      <c r="L1669">
        <f t="shared" si="213"/>
        <v>2024</v>
      </c>
      <c r="M1669" t="b">
        <f t="shared" si="214"/>
        <v>0</v>
      </c>
      <c r="N1669" t="b">
        <f t="shared" si="208"/>
        <v>0</v>
      </c>
      <c r="O1669" t="str">
        <f t="shared" si="215"/>
        <v>Standard order</v>
      </c>
      <c r="P1669" s="7">
        <f t="shared" si="209"/>
        <v>0.50549999999999995</v>
      </c>
      <c r="Q1669" s="7" t="str">
        <f>VLOOKUP(D1670,Product_Lookup!$A$2:$C$27,2,FALSE)</f>
        <v>Action Figure</v>
      </c>
      <c r="R1669" s="7">
        <f t="shared" si="210"/>
        <v>90.99</v>
      </c>
    </row>
    <row r="1670" spans="1:18" ht="21.75" customHeight="1">
      <c r="A1670" t="s">
        <v>1821</v>
      </c>
      <c r="B1670" s="6">
        <v>45656</v>
      </c>
      <c r="C1670" t="s">
        <v>728</v>
      </c>
      <c r="D1670" t="s">
        <v>21</v>
      </c>
      <c r="E1670" t="s">
        <v>11</v>
      </c>
      <c r="F1670" t="s">
        <v>27</v>
      </c>
      <c r="G1670" t="s">
        <v>32</v>
      </c>
      <c r="H1670">
        <v>12</v>
      </c>
      <c r="I1670" t="str">
        <f>VLOOKUP(D1670,Product_Lookup!$A$2:$C$27,3,FALSE)</f>
        <v>$88.18</v>
      </c>
      <c r="J1670" t="str">
        <f t="shared" si="211"/>
        <v>Monday</v>
      </c>
      <c r="K1670" s="10" t="str">
        <f t="shared" si="212"/>
        <v>December</v>
      </c>
      <c r="L1670">
        <f t="shared" si="213"/>
        <v>2024</v>
      </c>
      <c r="M1670" t="b">
        <f t="shared" si="214"/>
        <v>0</v>
      </c>
      <c r="N1670" t="b">
        <f t="shared" si="208"/>
        <v>1</v>
      </c>
      <c r="O1670" t="str">
        <f t="shared" si="215"/>
        <v>Large Order</v>
      </c>
      <c r="P1670" s="7">
        <f t="shared" si="209"/>
        <v>4.4090000000000007</v>
      </c>
      <c r="Q1670" s="7" t="str">
        <f>VLOOKUP(D1671,Product_Lookup!$A$2:$C$27,2,FALSE)</f>
        <v>Air Fryer</v>
      </c>
      <c r="R1670" s="7">
        <f t="shared" si="210"/>
        <v>1058.1600000000001</v>
      </c>
    </row>
    <row r="1671" spans="1:18" ht="21.75" customHeight="1">
      <c r="A1671" t="s">
        <v>1822</v>
      </c>
      <c r="B1671" s="6">
        <v>45294</v>
      </c>
      <c r="C1671" t="s">
        <v>147</v>
      </c>
      <c r="D1671" t="s">
        <v>70</v>
      </c>
      <c r="E1671" t="s">
        <v>17</v>
      </c>
      <c r="F1671" t="s">
        <v>42</v>
      </c>
      <c r="G1671" t="s">
        <v>13</v>
      </c>
      <c r="H1671">
        <v>5</v>
      </c>
      <c r="I1671" t="str">
        <f>VLOOKUP(D1671,Product_Lookup!$A$2:$C$27,3,FALSE)</f>
        <v>$211.9</v>
      </c>
      <c r="J1671" t="str">
        <f t="shared" si="211"/>
        <v>Wednesday</v>
      </c>
      <c r="K1671" s="10" t="str">
        <f t="shared" si="212"/>
        <v>January</v>
      </c>
      <c r="L1671">
        <f t="shared" si="213"/>
        <v>2024</v>
      </c>
      <c r="M1671" t="b">
        <f t="shared" si="214"/>
        <v>0</v>
      </c>
      <c r="N1671" t="b">
        <f t="shared" si="208"/>
        <v>0</v>
      </c>
      <c r="O1671" t="str">
        <f t="shared" si="215"/>
        <v>Large Order</v>
      </c>
      <c r="P1671" s="7">
        <f t="shared" si="209"/>
        <v>10.595000000000001</v>
      </c>
      <c r="Q1671" s="7" t="str">
        <f>VLOOKUP(D1672,Product_Lookup!$A$2:$C$27,2,FALSE)</f>
        <v>Pen Set</v>
      </c>
      <c r="R1671" s="7">
        <f t="shared" si="210"/>
        <v>1059.5</v>
      </c>
    </row>
    <row r="1672" spans="1:18" ht="21.75" customHeight="1">
      <c r="A1672" t="s">
        <v>1823</v>
      </c>
      <c r="B1672" s="6">
        <v>45512</v>
      </c>
      <c r="C1672" t="s">
        <v>430</v>
      </c>
      <c r="D1672" t="s">
        <v>174</v>
      </c>
      <c r="E1672" t="s">
        <v>22</v>
      </c>
      <c r="F1672" t="s">
        <v>306</v>
      </c>
      <c r="G1672" t="s">
        <v>23</v>
      </c>
      <c r="H1672">
        <v>4</v>
      </c>
      <c r="I1672" t="str">
        <f>VLOOKUP(D1672,Product_Lookup!$A$2:$C$27,3,FALSE)</f>
        <v>$133.37</v>
      </c>
      <c r="J1672" t="str">
        <f t="shared" si="211"/>
        <v>Thursday</v>
      </c>
      <c r="K1672" s="10" t="str">
        <f t="shared" si="212"/>
        <v>August</v>
      </c>
      <c r="L1672">
        <f t="shared" si="213"/>
        <v>2024</v>
      </c>
      <c r="M1672" t="b">
        <f t="shared" si="214"/>
        <v>0</v>
      </c>
      <c r="N1672" t="b">
        <f t="shared" si="208"/>
        <v>0</v>
      </c>
      <c r="O1672" t="str">
        <f t="shared" si="215"/>
        <v>Large Order</v>
      </c>
      <c r="P1672" s="7">
        <f t="shared" si="209"/>
        <v>6.6685000000000008</v>
      </c>
      <c r="Q1672" s="7" t="str">
        <f>VLOOKUP(D1673,Product_Lookup!$A$2:$C$27,2,FALSE)</f>
        <v>Tablet</v>
      </c>
      <c r="R1672" s="7">
        <f t="shared" si="210"/>
        <v>533.48</v>
      </c>
    </row>
    <row r="1673" spans="1:18" ht="21.75" customHeight="1">
      <c r="A1673" t="s">
        <v>1824</v>
      </c>
      <c r="B1673" s="6">
        <v>45473</v>
      </c>
      <c r="C1673" t="s">
        <v>378</v>
      </c>
      <c r="D1673" t="s">
        <v>10</v>
      </c>
      <c r="E1673" t="s">
        <v>22</v>
      </c>
      <c r="F1673" t="s">
        <v>306</v>
      </c>
      <c r="G1673" t="s">
        <v>32</v>
      </c>
      <c r="H1673">
        <v>13</v>
      </c>
      <c r="I1673" t="str">
        <f>VLOOKUP(D1673,Product_Lookup!$A$2:$C$27,3,FALSE)</f>
        <v>$146.06</v>
      </c>
      <c r="J1673" t="str">
        <f t="shared" si="211"/>
        <v>Sunday</v>
      </c>
      <c r="K1673" s="10" t="str">
        <f t="shared" si="212"/>
        <v>June</v>
      </c>
      <c r="L1673">
        <f t="shared" si="213"/>
        <v>2024</v>
      </c>
      <c r="M1673" t="b">
        <f t="shared" si="214"/>
        <v>1</v>
      </c>
      <c r="N1673" t="b">
        <f t="shared" si="208"/>
        <v>1</v>
      </c>
      <c r="O1673" t="str">
        <f t="shared" si="215"/>
        <v>Large Order</v>
      </c>
      <c r="P1673" s="7">
        <f t="shared" si="209"/>
        <v>7.3030000000000008</v>
      </c>
      <c r="Q1673" s="7" t="str">
        <f>VLOOKUP(D1674,Product_Lookup!$A$2:$C$27,2,FALSE)</f>
        <v>Doll</v>
      </c>
      <c r="R1673" s="7">
        <f t="shared" si="210"/>
        <v>1898.78</v>
      </c>
    </row>
    <row r="1674" spans="1:18" ht="21.75" customHeight="1">
      <c r="A1674" t="s">
        <v>1825</v>
      </c>
      <c r="B1674" s="6">
        <v>45503</v>
      </c>
      <c r="C1674" t="s">
        <v>53</v>
      </c>
      <c r="D1674" t="s">
        <v>119</v>
      </c>
      <c r="E1674" t="s">
        <v>11</v>
      </c>
      <c r="F1674" t="s">
        <v>306</v>
      </c>
      <c r="G1674" t="s">
        <v>28</v>
      </c>
      <c r="H1674">
        <v>19</v>
      </c>
      <c r="I1674" t="str">
        <f>VLOOKUP(D1674,Product_Lookup!$A$2:$C$27,3,FALSE)</f>
        <v>$32.94</v>
      </c>
      <c r="J1674" t="str">
        <f t="shared" si="211"/>
        <v>Tuesday</v>
      </c>
      <c r="K1674" s="10" t="str">
        <f t="shared" si="212"/>
        <v>July</v>
      </c>
      <c r="L1674">
        <f t="shared" si="213"/>
        <v>2024</v>
      </c>
      <c r="M1674" t="b">
        <f t="shared" si="214"/>
        <v>0</v>
      </c>
      <c r="N1674" t="b">
        <f t="shared" si="208"/>
        <v>0</v>
      </c>
      <c r="O1674" t="str">
        <f t="shared" si="215"/>
        <v>Large Order</v>
      </c>
      <c r="P1674" s="7">
        <f t="shared" si="209"/>
        <v>1.647</v>
      </c>
      <c r="Q1674" s="7" t="str">
        <f>VLOOKUP(D1675,Product_Lookup!$A$2:$C$27,2,FALSE)</f>
        <v>T-Shirt</v>
      </c>
      <c r="R1674" s="7">
        <f t="shared" si="210"/>
        <v>625.8599999999999</v>
      </c>
    </row>
    <row r="1675" spans="1:18" ht="21.75" customHeight="1">
      <c r="A1675" t="s">
        <v>1826</v>
      </c>
      <c r="B1675" s="6">
        <v>45642</v>
      </c>
      <c r="C1675" t="s">
        <v>159</v>
      </c>
      <c r="D1675" t="s">
        <v>45</v>
      </c>
      <c r="E1675" t="s">
        <v>11</v>
      </c>
      <c r="F1675" t="s">
        <v>42</v>
      </c>
      <c r="G1675" t="s">
        <v>32</v>
      </c>
      <c r="H1675">
        <v>9</v>
      </c>
      <c r="I1675" t="str">
        <f>VLOOKUP(D1675,Product_Lookup!$A$2:$C$27,3,FALSE)</f>
        <v>$107.34</v>
      </c>
      <c r="J1675" t="str">
        <f t="shared" si="211"/>
        <v>Monday</v>
      </c>
      <c r="K1675" s="10" t="str">
        <f t="shared" si="212"/>
        <v>December</v>
      </c>
      <c r="L1675">
        <f t="shared" si="213"/>
        <v>2024</v>
      </c>
      <c r="M1675" t="b">
        <f t="shared" si="214"/>
        <v>0</v>
      </c>
      <c r="N1675" t="b">
        <f t="shared" si="208"/>
        <v>1</v>
      </c>
      <c r="O1675" t="str">
        <f t="shared" si="215"/>
        <v>Large Order</v>
      </c>
      <c r="P1675" s="7">
        <f t="shared" si="209"/>
        <v>5.3670000000000009</v>
      </c>
      <c r="Q1675" s="7" t="str">
        <f>VLOOKUP(D1676,Product_Lookup!$A$2:$C$27,2,FALSE)</f>
        <v>Vacuum</v>
      </c>
      <c r="R1675" s="7">
        <f t="shared" si="210"/>
        <v>966.06000000000006</v>
      </c>
    </row>
    <row r="1676" spans="1:18" ht="21.75" customHeight="1">
      <c r="A1676" t="s">
        <v>1827</v>
      </c>
      <c r="B1676" s="6">
        <v>45324</v>
      </c>
      <c r="C1676" t="s">
        <v>30</v>
      </c>
      <c r="D1676" t="s">
        <v>87</v>
      </c>
      <c r="E1676" t="s">
        <v>17</v>
      </c>
      <c r="F1676" t="s">
        <v>27</v>
      </c>
      <c r="G1676" t="s">
        <v>32</v>
      </c>
      <c r="H1676">
        <v>16</v>
      </c>
      <c r="I1676" t="str">
        <f>VLOOKUP(D1676,Product_Lookup!$A$2:$C$27,3,FALSE)</f>
        <v>$26.59</v>
      </c>
      <c r="J1676" t="str">
        <f t="shared" si="211"/>
        <v>Friday</v>
      </c>
      <c r="K1676" s="10" t="str">
        <f t="shared" si="212"/>
        <v>February</v>
      </c>
      <c r="L1676">
        <f t="shared" si="213"/>
        <v>2024</v>
      </c>
      <c r="M1676" t="b">
        <f t="shared" si="214"/>
        <v>0</v>
      </c>
      <c r="N1676" t="b">
        <f t="shared" si="208"/>
        <v>0</v>
      </c>
      <c r="O1676" t="str">
        <f t="shared" si="215"/>
        <v>Standard order</v>
      </c>
      <c r="P1676" s="7">
        <f t="shared" si="209"/>
        <v>1.3295000000000001</v>
      </c>
      <c r="Q1676" s="7" t="str">
        <f>VLOOKUP(D1677,Product_Lookup!$A$2:$C$27,2,FALSE)</f>
        <v>Jacket</v>
      </c>
      <c r="R1676" s="7">
        <f t="shared" si="210"/>
        <v>425.44</v>
      </c>
    </row>
    <row r="1677" spans="1:18" ht="21.75" customHeight="1">
      <c r="A1677" t="s">
        <v>1828</v>
      </c>
      <c r="B1677" s="6">
        <v>45476</v>
      </c>
      <c r="C1677" t="s">
        <v>230</v>
      </c>
      <c r="D1677" t="s">
        <v>197</v>
      </c>
      <c r="E1677" t="s">
        <v>22</v>
      </c>
      <c r="F1677" t="s">
        <v>27</v>
      </c>
      <c r="G1677" t="s">
        <v>36</v>
      </c>
      <c r="H1677">
        <v>20</v>
      </c>
      <c r="I1677" t="str">
        <f>VLOOKUP(D1677,Product_Lookup!$A$2:$C$27,3,FALSE)</f>
        <v>$10.11</v>
      </c>
      <c r="J1677" t="str">
        <f t="shared" si="211"/>
        <v>Wednesday</v>
      </c>
      <c r="K1677" s="10" t="str">
        <f t="shared" si="212"/>
        <v>July</v>
      </c>
      <c r="L1677">
        <f t="shared" si="213"/>
        <v>2024</v>
      </c>
      <c r="M1677" t="b">
        <f t="shared" si="214"/>
        <v>0</v>
      </c>
      <c r="N1677" t="b">
        <f t="shared" si="208"/>
        <v>0</v>
      </c>
      <c r="O1677" t="str">
        <f t="shared" si="215"/>
        <v>Standard order</v>
      </c>
      <c r="P1677" s="7">
        <f t="shared" si="209"/>
        <v>0.50549999999999995</v>
      </c>
      <c r="Q1677" s="7" t="str">
        <f>VLOOKUP(D1678,Product_Lookup!$A$2:$C$27,2,FALSE)</f>
        <v>Socks</v>
      </c>
      <c r="R1677" s="7">
        <f t="shared" si="210"/>
        <v>202.2</v>
      </c>
    </row>
    <row r="1678" spans="1:18" ht="21.75" customHeight="1">
      <c r="A1678" t="s">
        <v>1829</v>
      </c>
      <c r="B1678" s="6">
        <v>45346</v>
      </c>
      <c r="C1678" t="s">
        <v>99</v>
      </c>
      <c r="D1678" t="s">
        <v>74</v>
      </c>
      <c r="E1678" t="s">
        <v>11</v>
      </c>
      <c r="F1678" t="s">
        <v>27</v>
      </c>
      <c r="G1678" t="s">
        <v>32</v>
      </c>
      <c r="H1678">
        <v>20</v>
      </c>
      <c r="I1678" t="str">
        <f>VLOOKUP(D1678,Product_Lookup!$A$2:$C$27,3,FALSE)</f>
        <v>$201.32</v>
      </c>
      <c r="J1678" t="str">
        <f t="shared" si="211"/>
        <v>Saturday</v>
      </c>
      <c r="K1678" s="10" t="str">
        <f t="shared" si="212"/>
        <v>February</v>
      </c>
      <c r="L1678">
        <f t="shared" si="213"/>
        <v>2024</v>
      </c>
      <c r="M1678" t="b">
        <f t="shared" si="214"/>
        <v>1</v>
      </c>
      <c r="N1678" t="b">
        <f t="shared" si="208"/>
        <v>1</v>
      </c>
      <c r="O1678" t="str">
        <f t="shared" si="215"/>
        <v>Large Order</v>
      </c>
      <c r="P1678" s="7">
        <f t="shared" si="209"/>
        <v>10.066000000000001</v>
      </c>
      <c r="Q1678" s="7" t="str">
        <f>VLOOKUP(D1679,Product_Lookup!$A$2:$C$27,2,FALSE)</f>
        <v>Blender</v>
      </c>
      <c r="R1678" s="7">
        <f t="shared" si="210"/>
        <v>4026.3999999999996</v>
      </c>
    </row>
    <row r="1679" spans="1:18" ht="21.75" customHeight="1">
      <c r="A1679" t="s">
        <v>1830</v>
      </c>
      <c r="B1679" s="6">
        <v>45460</v>
      </c>
      <c r="C1679" t="s">
        <v>396</v>
      </c>
      <c r="D1679" t="s">
        <v>72</v>
      </c>
      <c r="E1679" t="s">
        <v>17</v>
      </c>
      <c r="F1679" t="s">
        <v>306</v>
      </c>
      <c r="G1679" t="s">
        <v>28</v>
      </c>
      <c r="H1679">
        <v>10</v>
      </c>
      <c r="I1679" t="str">
        <f>VLOOKUP(D1679,Product_Lookup!$A$2:$C$27,3,FALSE)</f>
        <v>$156.44</v>
      </c>
      <c r="J1679" t="str">
        <f t="shared" si="211"/>
        <v>Monday</v>
      </c>
      <c r="K1679" s="10" t="str">
        <f t="shared" si="212"/>
        <v>June</v>
      </c>
      <c r="L1679">
        <f t="shared" si="213"/>
        <v>2024</v>
      </c>
      <c r="M1679" t="b">
        <f t="shared" si="214"/>
        <v>0</v>
      </c>
      <c r="N1679" t="b">
        <f t="shared" si="208"/>
        <v>1</v>
      </c>
      <c r="O1679" t="str">
        <f t="shared" si="215"/>
        <v>Large Order</v>
      </c>
      <c r="P1679" s="7">
        <f t="shared" si="209"/>
        <v>7.8220000000000001</v>
      </c>
      <c r="Q1679" s="7" t="str">
        <f>VLOOKUP(D1680,Product_Lookup!$A$2:$C$27,2,FALSE)</f>
        <v>Stapler</v>
      </c>
      <c r="R1679" s="7">
        <f t="shared" si="210"/>
        <v>1564.4</v>
      </c>
    </row>
    <row r="1680" spans="1:18" ht="21.75" customHeight="1">
      <c r="A1680" t="s">
        <v>1831</v>
      </c>
      <c r="B1680" s="6">
        <v>45647</v>
      </c>
      <c r="C1680" t="s">
        <v>104</v>
      </c>
      <c r="D1680" t="s">
        <v>35</v>
      </c>
      <c r="E1680" t="s">
        <v>17</v>
      </c>
      <c r="F1680" t="s">
        <v>56</v>
      </c>
      <c r="G1680" t="s">
        <v>23</v>
      </c>
      <c r="H1680">
        <v>11</v>
      </c>
      <c r="I1680" t="str">
        <f>VLOOKUP(D1680,Product_Lookup!$A$2:$C$27,3,FALSE)</f>
        <v>$64.61</v>
      </c>
      <c r="J1680" t="str">
        <f t="shared" si="211"/>
        <v>Saturday</v>
      </c>
      <c r="K1680" s="10" t="str">
        <f t="shared" si="212"/>
        <v>December</v>
      </c>
      <c r="L1680">
        <f t="shared" si="213"/>
        <v>2024</v>
      </c>
      <c r="M1680" t="b">
        <f t="shared" si="214"/>
        <v>1</v>
      </c>
      <c r="N1680" t="b">
        <f t="shared" si="208"/>
        <v>0</v>
      </c>
      <c r="O1680" t="str">
        <f t="shared" si="215"/>
        <v>Large Order</v>
      </c>
      <c r="P1680" s="7">
        <f t="shared" si="209"/>
        <v>3.2305000000000001</v>
      </c>
      <c r="Q1680" s="7" t="str">
        <f>VLOOKUP(D1681,Product_Lookup!$A$2:$C$27,2,FALSE)</f>
        <v>Stapler</v>
      </c>
      <c r="R1680" s="7">
        <f t="shared" si="210"/>
        <v>710.71</v>
      </c>
    </row>
    <row r="1681" spans="1:18" ht="21.75" customHeight="1">
      <c r="A1681" t="s">
        <v>1832</v>
      </c>
      <c r="B1681" s="6">
        <v>45647</v>
      </c>
      <c r="C1681" t="s">
        <v>541</v>
      </c>
      <c r="D1681" t="s">
        <v>35</v>
      </c>
      <c r="E1681" t="s">
        <v>22</v>
      </c>
      <c r="F1681" t="s">
        <v>56</v>
      </c>
      <c r="G1681" t="s">
        <v>32</v>
      </c>
      <c r="H1681">
        <v>13</v>
      </c>
      <c r="I1681" t="str">
        <f>VLOOKUP(D1681,Product_Lookup!$A$2:$C$27,3,FALSE)</f>
        <v>$64.61</v>
      </c>
      <c r="J1681" t="str">
        <f t="shared" si="211"/>
        <v>Saturday</v>
      </c>
      <c r="K1681" s="10" t="str">
        <f t="shared" si="212"/>
        <v>December</v>
      </c>
      <c r="L1681">
        <f t="shared" si="213"/>
        <v>2024</v>
      </c>
      <c r="M1681" t="b">
        <f t="shared" si="214"/>
        <v>1</v>
      </c>
      <c r="N1681" t="b">
        <f t="shared" si="208"/>
        <v>1</v>
      </c>
      <c r="O1681" t="str">
        <f t="shared" si="215"/>
        <v>Large Order</v>
      </c>
      <c r="P1681" s="7">
        <f t="shared" si="209"/>
        <v>3.2305000000000001</v>
      </c>
      <c r="Q1681" s="7" t="str">
        <f>VLOOKUP(D1682,Product_Lookup!$A$2:$C$27,2,FALSE)</f>
        <v>Monitor</v>
      </c>
      <c r="R1681" s="7">
        <f t="shared" si="210"/>
        <v>839.93</v>
      </c>
    </row>
    <row r="1682" spans="1:18" ht="21.75" customHeight="1">
      <c r="A1682" t="s">
        <v>1833</v>
      </c>
      <c r="B1682" s="6">
        <v>45493</v>
      </c>
      <c r="C1682" t="s">
        <v>83</v>
      </c>
      <c r="D1682" t="s">
        <v>102</v>
      </c>
      <c r="E1682" t="s">
        <v>22</v>
      </c>
      <c r="F1682" t="s">
        <v>56</v>
      </c>
      <c r="G1682" t="s">
        <v>36</v>
      </c>
      <c r="H1682">
        <v>18</v>
      </c>
      <c r="I1682" t="str">
        <f>VLOOKUP(D1682,Product_Lookup!$A$2:$C$27,3,FALSE)</f>
        <v>$145.48</v>
      </c>
      <c r="J1682" t="str">
        <f t="shared" si="211"/>
        <v>Saturday</v>
      </c>
      <c r="K1682" s="10" t="str">
        <f t="shared" si="212"/>
        <v>July</v>
      </c>
      <c r="L1682">
        <f t="shared" si="213"/>
        <v>2024</v>
      </c>
      <c r="M1682" t="b">
        <f t="shared" si="214"/>
        <v>1</v>
      </c>
      <c r="N1682" t="b">
        <f t="shared" si="208"/>
        <v>1</v>
      </c>
      <c r="O1682" t="str">
        <f t="shared" si="215"/>
        <v>Large Order</v>
      </c>
      <c r="P1682" s="7">
        <f t="shared" si="209"/>
        <v>7.274</v>
      </c>
      <c r="Q1682" s="7" t="str">
        <f>VLOOKUP(D1683,Product_Lookup!$A$2:$C$27,2,FALSE)</f>
        <v>Lego Set</v>
      </c>
      <c r="R1682" s="7">
        <f t="shared" si="210"/>
        <v>2618.64</v>
      </c>
    </row>
    <row r="1683" spans="1:18" ht="21.75" customHeight="1">
      <c r="A1683" t="s">
        <v>1834</v>
      </c>
      <c r="B1683" s="6">
        <v>45573</v>
      </c>
      <c r="C1683" t="s">
        <v>64</v>
      </c>
      <c r="D1683" t="s">
        <v>84</v>
      </c>
      <c r="E1683" t="s">
        <v>17</v>
      </c>
      <c r="F1683" t="s">
        <v>56</v>
      </c>
      <c r="G1683" t="s">
        <v>23</v>
      </c>
      <c r="H1683">
        <v>10</v>
      </c>
      <c r="I1683" t="str">
        <f>VLOOKUP(D1683,Product_Lookup!$A$2:$C$27,3,FALSE)</f>
        <v>$130.07</v>
      </c>
      <c r="J1683" t="str">
        <f t="shared" si="211"/>
        <v>Tuesday</v>
      </c>
      <c r="K1683" s="10" t="str">
        <f t="shared" si="212"/>
        <v>October</v>
      </c>
      <c r="L1683">
        <f t="shared" si="213"/>
        <v>2024</v>
      </c>
      <c r="M1683" t="b">
        <f t="shared" si="214"/>
        <v>0</v>
      </c>
      <c r="N1683" t="b">
        <f t="shared" si="208"/>
        <v>1</v>
      </c>
      <c r="O1683" t="str">
        <f t="shared" si="215"/>
        <v>Large Order</v>
      </c>
      <c r="P1683" s="7">
        <f t="shared" si="209"/>
        <v>6.5034999999999998</v>
      </c>
      <c r="Q1683" s="7" t="str">
        <f>VLOOKUP(D1684,Product_Lookup!$A$2:$C$27,2,FALSE)</f>
        <v>Board Game</v>
      </c>
      <c r="R1683" s="7">
        <f t="shared" si="210"/>
        <v>1300.6999999999998</v>
      </c>
    </row>
    <row r="1684" spans="1:18" ht="21.75" customHeight="1">
      <c r="A1684" t="s">
        <v>1835</v>
      </c>
      <c r="B1684" s="6">
        <v>45327</v>
      </c>
      <c r="C1684" t="s">
        <v>408</v>
      </c>
      <c r="D1684" t="s">
        <v>41</v>
      </c>
      <c r="E1684" t="s">
        <v>17</v>
      </c>
      <c r="F1684" t="s">
        <v>56</v>
      </c>
      <c r="G1684" t="s">
        <v>32</v>
      </c>
      <c r="H1684">
        <v>8</v>
      </c>
      <c r="I1684" t="str">
        <f>VLOOKUP(D1684,Product_Lookup!$A$2:$C$27,3,FALSE)</f>
        <v>$86.6</v>
      </c>
      <c r="J1684" t="str">
        <f t="shared" si="211"/>
        <v>Monday</v>
      </c>
      <c r="K1684" s="10" t="str">
        <f t="shared" si="212"/>
        <v>February</v>
      </c>
      <c r="L1684">
        <f t="shared" si="213"/>
        <v>2024</v>
      </c>
      <c r="M1684" t="b">
        <f t="shared" si="214"/>
        <v>0</v>
      </c>
      <c r="N1684" t="b">
        <f t="shared" si="208"/>
        <v>0</v>
      </c>
      <c r="O1684" t="str">
        <f t="shared" si="215"/>
        <v>Large Order</v>
      </c>
      <c r="P1684" s="7">
        <f t="shared" si="209"/>
        <v>4.33</v>
      </c>
      <c r="Q1684" s="7" t="str">
        <f>VLOOKUP(D1685,Product_Lookup!$A$2:$C$27,2,FALSE)</f>
        <v>Vacuum</v>
      </c>
      <c r="R1684" s="7">
        <f t="shared" si="210"/>
        <v>692.8</v>
      </c>
    </row>
    <row r="1685" spans="1:18" ht="21.75" customHeight="1">
      <c r="A1685" t="s">
        <v>1836</v>
      </c>
      <c r="B1685" s="6">
        <v>45370</v>
      </c>
      <c r="C1685" t="s">
        <v>436</v>
      </c>
      <c r="D1685" t="s">
        <v>87</v>
      </c>
      <c r="E1685" t="s">
        <v>17</v>
      </c>
      <c r="F1685" t="s">
        <v>12</v>
      </c>
      <c r="G1685" t="s">
        <v>23</v>
      </c>
      <c r="H1685">
        <v>20</v>
      </c>
      <c r="I1685" t="str">
        <f>VLOOKUP(D1685,Product_Lookup!$A$2:$C$27,3,FALSE)</f>
        <v>$26.59</v>
      </c>
      <c r="J1685" t="str">
        <f t="shared" si="211"/>
        <v>Tuesday</v>
      </c>
      <c r="K1685" s="10" t="str">
        <f t="shared" si="212"/>
        <v>March</v>
      </c>
      <c r="L1685">
        <f t="shared" si="213"/>
        <v>2024</v>
      </c>
      <c r="M1685" t="b">
        <f t="shared" si="214"/>
        <v>0</v>
      </c>
      <c r="N1685" t="b">
        <f t="shared" si="208"/>
        <v>0</v>
      </c>
      <c r="O1685" t="str">
        <f t="shared" si="215"/>
        <v>Large Order</v>
      </c>
      <c r="P1685" s="7">
        <f t="shared" si="209"/>
        <v>1.3295000000000001</v>
      </c>
      <c r="Q1685" s="7" t="str">
        <f>VLOOKUP(D1686,Product_Lookup!$A$2:$C$27,2,FALSE)</f>
        <v>Notebook</v>
      </c>
      <c r="R1685" s="7">
        <f t="shared" si="210"/>
        <v>531.79999999999995</v>
      </c>
    </row>
    <row r="1686" spans="1:18" ht="21.75" customHeight="1">
      <c r="A1686" t="s">
        <v>1837</v>
      </c>
      <c r="B1686" s="6">
        <v>45497</v>
      </c>
      <c r="C1686" t="s">
        <v>312</v>
      </c>
      <c r="D1686" t="s">
        <v>160</v>
      </c>
      <c r="E1686" t="s">
        <v>22</v>
      </c>
      <c r="F1686" t="s">
        <v>27</v>
      </c>
      <c r="G1686" t="s">
        <v>36</v>
      </c>
      <c r="H1686">
        <v>2</v>
      </c>
      <c r="I1686" t="str">
        <f>VLOOKUP(D1686,Product_Lookup!$A$2:$C$27,3,FALSE)</f>
        <v>$149.27</v>
      </c>
      <c r="J1686" t="str">
        <f t="shared" si="211"/>
        <v>Wednesday</v>
      </c>
      <c r="K1686" s="10" t="str">
        <f t="shared" si="212"/>
        <v>July</v>
      </c>
      <c r="L1686">
        <f t="shared" si="213"/>
        <v>2024</v>
      </c>
      <c r="M1686" t="b">
        <f t="shared" si="214"/>
        <v>0</v>
      </c>
      <c r="N1686" t="b">
        <f t="shared" si="208"/>
        <v>0</v>
      </c>
      <c r="O1686" t="str">
        <f t="shared" si="215"/>
        <v>Standard order</v>
      </c>
      <c r="P1686" s="7">
        <f t="shared" si="209"/>
        <v>7.4635000000000007</v>
      </c>
      <c r="Q1686" s="7" t="str">
        <f>VLOOKUP(D1687,Product_Lookup!$A$2:$C$27,2,FALSE)</f>
        <v>Pen Set</v>
      </c>
      <c r="R1686" s="7">
        <f t="shared" si="210"/>
        <v>298.54000000000002</v>
      </c>
    </row>
    <row r="1687" spans="1:18" ht="21.75" customHeight="1">
      <c r="A1687" t="s">
        <v>1838</v>
      </c>
      <c r="B1687" s="6">
        <v>45476</v>
      </c>
      <c r="C1687" t="s">
        <v>424</v>
      </c>
      <c r="D1687" t="s">
        <v>174</v>
      </c>
      <c r="E1687" t="s">
        <v>22</v>
      </c>
      <c r="F1687" t="s">
        <v>12</v>
      </c>
      <c r="G1687" t="s">
        <v>13</v>
      </c>
      <c r="H1687">
        <v>8</v>
      </c>
      <c r="I1687" t="str">
        <f>VLOOKUP(D1687,Product_Lookup!$A$2:$C$27,3,FALSE)</f>
        <v>$133.37</v>
      </c>
      <c r="J1687" t="str">
        <f t="shared" si="211"/>
        <v>Wednesday</v>
      </c>
      <c r="K1687" s="10" t="str">
        <f t="shared" si="212"/>
        <v>July</v>
      </c>
      <c r="L1687">
        <f t="shared" si="213"/>
        <v>2024</v>
      </c>
      <c r="M1687" t="b">
        <f t="shared" si="214"/>
        <v>0</v>
      </c>
      <c r="N1687" t="b">
        <f t="shared" si="208"/>
        <v>1</v>
      </c>
      <c r="O1687" t="str">
        <f t="shared" si="215"/>
        <v>Large Order</v>
      </c>
      <c r="P1687" s="7">
        <f t="shared" si="209"/>
        <v>6.6685000000000008</v>
      </c>
      <c r="Q1687" s="7" t="str">
        <f>VLOOKUP(D1688,Product_Lookup!$A$2:$C$27,2,FALSE)</f>
        <v>Action Figure</v>
      </c>
      <c r="R1687" s="7">
        <f t="shared" si="210"/>
        <v>1066.96</v>
      </c>
    </row>
    <row r="1688" spans="1:18" ht="21.75" customHeight="1">
      <c r="A1688" t="s">
        <v>1839</v>
      </c>
      <c r="B1688" s="6">
        <v>45473</v>
      </c>
      <c r="C1688" t="s">
        <v>30</v>
      </c>
      <c r="D1688" t="s">
        <v>21</v>
      </c>
      <c r="E1688" t="s">
        <v>22</v>
      </c>
      <c r="F1688" t="s">
        <v>12</v>
      </c>
      <c r="G1688" t="s">
        <v>36</v>
      </c>
      <c r="H1688">
        <v>13</v>
      </c>
      <c r="I1688" t="str">
        <f>VLOOKUP(D1688,Product_Lookup!$A$2:$C$27,3,FALSE)</f>
        <v>$88.18</v>
      </c>
      <c r="J1688" t="str">
        <f t="shared" si="211"/>
        <v>Sunday</v>
      </c>
      <c r="K1688" s="10" t="str">
        <f t="shared" si="212"/>
        <v>June</v>
      </c>
      <c r="L1688">
        <f t="shared" si="213"/>
        <v>2024</v>
      </c>
      <c r="M1688" t="b">
        <f t="shared" si="214"/>
        <v>1</v>
      </c>
      <c r="N1688" t="b">
        <f t="shared" si="208"/>
        <v>1</v>
      </c>
      <c r="O1688" t="str">
        <f t="shared" si="215"/>
        <v>Large Order</v>
      </c>
      <c r="P1688" s="7">
        <f t="shared" si="209"/>
        <v>4.4090000000000007</v>
      </c>
      <c r="Q1688" s="7" t="str">
        <f>VLOOKUP(D1689,Product_Lookup!$A$2:$C$27,2,FALSE)</f>
        <v>Monitor</v>
      </c>
      <c r="R1688" s="7">
        <f t="shared" si="210"/>
        <v>1146.3400000000001</v>
      </c>
    </row>
    <row r="1689" spans="1:18" ht="21.75" customHeight="1">
      <c r="A1689" t="s">
        <v>1840</v>
      </c>
      <c r="B1689" s="6">
        <v>45461</v>
      </c>
      <c r="C1689" t="s">
        <v>348</v>
      </c>
      <c r="D1689" t="s">
        <v>102</v>
      </c>
      <c r="E1689" t="s">
        <v>11</v>
      </c>
      <c r="F1689" t="s">
        <v>12</v>
      </c>
      <c r="G1689" t="s">
        <v>32</v>
      </c>
      <c r="H1689">
        <v>8</v>
      </c>
      <c r="I1689" t="str">
        <f>VLOOKUP(D1689,Product_Lookup!$A$2:$C$27,3,FALSE)</f>
        <v>$145.48</v>
      </c>
      <c r="J1689" t="str">
        <f t="shared" si="211"/>
        <v>Tuesday</v>
      </c>
      <c r="K1689" s="10" t="str">
        <f t="shared" si="212"/>
        <v>June</v>
      </c>
      <c r="L1689">
        <f t="shared" si="213"/>
        <v>2024</v>
      </c>
      <c r="M1689" t="b">
        <f t="shared" si="214"/>
        <v>0</v>
      </c>
      <c r="N1689" t="b">
        <f t="shared" si="208"/>
        <v>1</v>
      </c>
      <c r="O1689" t="str">
        <f t="shared" si="215"/>
        <v>Large Order</v>
      </c>
      <c r="P1689" s="7">
        <f t="shared" si="209"/>
        <v>7.274</v>
      </c>
      <c r="Q1689" s="7" t="str">
        <f>VLOOKUP(D1690,Product_Lookup!$A$2:$C$27,2,FALSE)</f>
        <v>Desk Lamp</v>
      </c>
      <c r="R1689" s="7">
        <f t="shared" si="210"/>
        <v>1163.8399999999999</v>
      </c>
    </row>
    <row r="1690" spans="1:18" ht="21.75" customHeight="1">
      <c r="A1690" t="s">
        <v>1841</v>
      </c>
      <c r="B1690" s="6">
        <v>45557</v>
      </c>
      <c r="C1690" t="s">
        <v>642</v>
      </c>
      <c r="D1690" t="s">
        <v>59</v>
      </c>
      <c r="E1690" t="s">
        <v>22</v>
      </c>
      <c r="F1690" t="s">
        <v>306</v>
      </c>
      <c r="G1690" t="s">
        <v>28</v>
      </c>
      <c r="H1690">
        <v>15</v>
      </c>
      <c r="I1690" t="str">
        <f>VLOOKUP(D1690,Product_Lookup!$A$2:$C$27,3,FALSE)</f>
        <v>$101.96</v>
      </c>
      <c r="J1690" t="str">
        <f t="shared" si="211"/>
        <v>Sunday</v>
      </c>
      <c r="K1690" s="10" t="str">
        <f t="shared" si="212"/>
        <v>September</v>
      </c>
      <c r="L1690">
        <f t="shared" si="213"/>
        <v>2024</v>
      </c>
      <c r="M1690" t="b">
        <f t="shared" si="214"/>
        <v>1</v>
      </c>
      <c r="N1690" t="b">
        <f t="shared" si="208"/>
        <v>1</v>
      </c>
      <c r="O1690" t="str">
        <f t="shared" si="215"/>
        <v>Large Order</v>
      </c>
      <c r="P1690" s="7">
        <f t="shared" si="209"/>
        <v>5.0979999999999999</v>
      </c>
      <c r="Q1690" s="7" t="str">
        <f>VLOOKUP(D1691,Product_Lookup!$A$2:$C$27,2,FALSE)</f>
        <v>Board Game</v>
      </c>
      <c r="R1690" s="7">
        <f t="shared" si="210"/>
        <v>1529.3999999999999</v>
      </c>
    </row>
    <row r="1691" spans="1:18" ht="21.75" customHeight="1">
      <c r="A1691" t="s">
        <v>1842</v>
      </c>
      <c r="B1691" s="6">
        <v>45529</v>
      </c>
      <c r="C1691" t="s">
        <v>337</v>
      </c>
      <c r="D1691" t="s">
        <v>41</v>
      </c>
      <c r="E1691" t="s">
        <v>22</v>
      </c>
      <c r="F1691" t="s">
        <v>306</v>
      </c>
      <c r="G1691" t="s">
        <v>28</v>
      </c>
      <c r="H1691">
        <v>12</v>
      </c>
      <c r="I1691" t="str">
        <f>VLOOKUP(D1691,Product_Lookup!$A$2:$C$27,3,FALSE)</f>
        <v>$86.6</v>
      </c>
      <c r="J1691" t="str">
        <f t="shared" si="211"/>
        <v>Sunday</v>
      </c>
      <c r="K1691" s="10" t="str">
        <f t="shared" si="212"/>
        <v>August</v>
      </c>
      <c r="L1691">
        <f t="shared" si="213"/>
        <v>2024</v>
      </c>
      <c r="M1691" t="b">
        <f t="shared" si="214"/>
        <v>1</v>
      </c>
      <c r="N1691" t="b">
        <f t="shared" si="208"/>
        <v>1</v>
      </c>
      <c r="O1691" t="str">
        <f t="shared" si="215"/>
        <v>Large Order</v>
      </c>
      <c r="P1691" s="7">
        <f t="shared" si="209"/>
        <v>4.33</v>
      </c>
      <c r="Q1691" s="7" t="str">
        <f>VLOOKUP(D1692,Product_Lookup!$A$2:$C$27,2,FALSE)</f>
        <v>Socks</v>
      </c>
      <c r="R1691" s="7">
        <f t="shared" si="210"/>
        <v>1039.1999999999998</v>
      </c>
    </row>
    <row r="1692" spans="1:18" ht="21.75" customHeight="1">
      <c r="A1692" t="s">
        <v>1843</v>
      </c>
      <c r="B1692" s="6">
        <v>45539</v>
      </c>
      <c r="C1692" t="s">
        <v>15</v>
      </c>
      <c r="D1692" t="s">
        <v>74</v>
      </c>
      <c r="E1692" t="s">
        <v>17</v>
      </c>
      <c r="F1692" t="s">
        <v>12</v>
      </c>
      <c r="G1692" t="s">
        <v>13</v>
      </c>
      <c r="H1692">
        <v>5</v>
      </c>
      <c r="I1692" t="str">
        <f>VLOOKUP(D1692,Product_Lookup!$A$2:$C$27,3,FALSE)</f>
        <v>$201.32</v>
      </c>
      <c r="J1692" t="str">
        <f t="shared" si="211"/>
        <v>Wednesday</v>
      </c>
      <c r="K1692" s="10" t="str">
        <f t="shared" si="212"/>
        <v>September</v>
      </c>
      <c r="L1692">
        <f t="shared" si="213"/>
        <v>2024</v>
      </c>
      <c r="M1692" t="b">
        <f t="shared" si="214"/>
        <v>0</v>
      </c>
      <c r="N1692" t="b">
        <f t="shared" si="208"/>
        <v>0</v>
      </c>
      <c r="O1692" t="str">
        <f t="shared" si="215"/>
        <v>Large Order</v>
      </c>
      <c r="P1692" s="7">
        <f t="shared" si="209"/>
        <v>10.066000000000001</v>
      </c>
      <c r="Q1692" s="7" t="str">
        <f>VLOOKUP(D1693,Product_Lookup!$A$2:$C$27,2,FALSE)</f>
        <v>Jeans</v>
      </c>
      <c r="R1692" s="7">
        <f t="shared" si="210"/>
        <v>1006.5999999999999</v>
      </c>
    </row>
    <row r="1693" spans="1:18" ht="21.75" customHeight="1">
      <c r="A1693" t="s">
        <v>1844</v>
      </c>
      <c r="B1693" s="6">
        <v>45467</v>
      </c>
      <c r="C1693" t="s">
        <v>366</v>
      </c>
      <c r="D1693" t="s">
        <v>65</v>
      </c>
      <c r="E1693" t="s">
        <v>22</v>
      </c>
      <c r="F1693" t="s">
        <v>27</v>
      </c>
      <c r="G1693" t="s">
        <v>32</v>
      </c>
      <c r="H1693">
        <v>16</v>
      </c>
      <c r="I1693" t="str">
        <f>VLOOKUP(D1693,Product_Lookup!$A$2:$C$27,3,FALSE)</f>
        <v>$33.22</v>
      </c>
      <c r="J1693" t="str">
        <f t="shared" si="211"/>
        <v>Monday</v>
      </c>
      <c r="K1693" s="10" t="str">
        <f t="shared" si="212"/>
        <v>June</v>
      </c>
      <c r="L1693">
        <f t="shared" si="213"/>
        <v>2024</v>
      </c>
      <c r="M1693" t="b">
        <f t="shared" si="214"/>
        <v>0</v>
      </c>
      <c r="N1693" t="b">
        <f t="shared" si="208"/>
        <v>0</v>
      </c>
      <c r="O1693" t="str">
        <f t="shared" si="215"/>
        <v>Large Order</v>
      </c>
      <c r="P1693" s="7">
        <f t="shared" si="209"/>
        <v>1.661</v>
      </c>
      <c r="Q1693" s="7" t="str">
        <f>VLOOKUP(D1694,Product_Lookup!$A$2:$C$27,2,FALSE)</f>
        <v>Blender</v>
      </c>
      <c r="R1693" s="7">
        <f t="shared" si="210"/>
        <v>531.52</v>
      </c>
    </row>
    <row r="1694" spans="1:18" ht="21.75" customHeight="1">
      <c r="A1694" t="s">
        <v>1845</v>
      </c>
      <c r="B1694" s="6">
        <v>45648</v>
      </c>
      <c r="C1694" t="s">
        <v>430</v>
      </c>
      <c r="D1694" t="s">
        <v>72</v>
      </c>
      <c r="E1694" t="s">
        <v>11</v>
      </c>
      <c r="F1694" t="s">
        <v>42</v>
      </c>
      <c r="G1694" t="s">
        <v>13</v>
      </c>
      <c r="H1694">
        <v>4</v>
      </c>
      <c r="I1694" t="str">
        <f>VLOOKUP(D1694,Product_Lookup!$A$2:$C$27,3,FALSE)</f>
        <v>$156.44</v>
      </c>
      <c r="J1694" t="str">
        <f t="shared" si="211"/>
        <v>Sunday</v>
      </c>
      <c r="K1694" s="10" t="str">
        <f t="shared" si="212"/>
        <v>December</v>
      </c>
      <c r="L1694">
        <f t="shared" si="213"/>
        <v>2024</v>
      </c>
      <c r="M1694" t="b">
        <f t="shared" si="214"/>
        <v>1</v>
      </c>
      <c r="N1694" t="b">
        <f t="shared" si="208"/>
        <v>0</v>
      </c>
      <c r="O1694" t="str">
        <f t="shared" si="215"/>
        <v>Large Order</v>
      </c>
      <c r="P1694" s="7">
        <f t="shared" si="209"/>
        <v>7.8220000000000001</v>
      </c>
      <c r="Q1694" s="7" t="str">
        <f>VLOOKUP(D1695,Product_Lookup!$A$2:$C$27,2,FALSE)</f>
        <v>Monitor</v>
      </c>
      <c r="R1694" s="7">
        <f t="shared" si="210"/>
        <v>625.76</v>
      </c>
    </row>
    <row r="1695" spans="1:18" ht="21.75" customHeight="1">
      <c r="A1695" t="s">
        <v>1846</v>
      </c>
      <c r="B1695" s="6">
        <v>45467</v>
      </c>
      <c r="C1695" t="s">
        <v>736</v>
      </c>
      <c r="D1695" t="s">
        <v>102</v>
      </c>
      <c r="E1695" t="s">
        <v>22</v>
      </c>
      <c r="F1695" t="s">
        <v>56</v>
      </c>
      <c r="G1695" t="s">
        <v>28</v>
      </c>
      <c r="H1695">
        <v>17</v>
      </c>
      <c r="I1695" t="str">
        <f>VLOOKUP(D1695,Product_Lookup!$A$2:$C$27,3,FALSE)</f>
        <v>$145.48</v>
      </c>
      <c r="J1695" t="str">
        <f t="shared" si="211"/>
        <v>Monday</v>
      </c>
      <c r="K1695" s="10" t="str">
        <f t="shared" si="212"/>
        <v>June</v>
      </c>
      <c r="L1695">
        <f t="shared" si="213"/>
        <v>2024</v>
      </c>
      <c r="M1695" t="b">
        <f t="shared" si="214"/>
        <v>0</v>
      </c>
      <c r="N1695" t="b">
        <f t="shared" si="208"/>
        <v>1</v>
      </c>
      <c r="O1695" t="str">
        <f t="shared" si="215"/>
        <v>Large Order</v>
      </c>
      <c r="P1695" s="7">
        <f t="shared" si="209"/>
        <v>7.274</v>
      </c>
      <c r="Q1695" s="7" t="str">
        <f>VLOOKUP(D1696,Product_Lookup!$A$2:$C$27,2,FALSE)</f>
        <v>Pen Set</v>
      </c>
      <c r="R1695" s="7">
        <f t="shared" si="210"/>
        <v>2473.16</v>
      </c>
    </row>
    <row r="1696" spans="1:18" ht="21.75" customHeight="1">
      <c r="A1696" t="s">
        <v>1847</v>
      </c>
      <c r="B1696" s="6">
        <v>45373</v>
      </c>
      <c r="C1696" t="s">
        <v>118</v>
      </c>
      <c r="D1696" t="s">
        <v>174</v>
      </c>
      <c r="E1696" t="s">
        <v>17</v>
      </c>
      <c r="F1696" t="s">
        <v>27</v>
      </c>
      <c r="G1696" t="s">
        <v>28</v>
      </c>
      <c r="H1696">
        <v>13</v>
      </c>
      <c r="I1696" t="str">
        <f>VLOOKUP(D1696,Product_Lookup!$A$2:$C$27,3,FALSE)</f>
        <v>$133.37</v>
      </c>
      <c r="J1696" t="str">
        <f t="shared" si="211"/>
        <v>Friday</v>
      </c>
      <c r="K1696" s="10" t="str">
        <f t="shared" si="212"/>
        <v>March</v>
      </c>
      <c r="L1696">
        <f t="shared" si="213"/>
        <v>2024</v>
      </c>
      <c r="M1696" t="b">
        <f t="shared" si="214"/>
        <v>0</v>
      </c>
      <c r="N1696" t="b">
        <f t="shared" si="208"/>
        <v>1</v>
      </c>
      <c r="O1696" t="str">
        <f t="shared" si="215"/>
        <v>Large Order</v>
      </c>
      <c r="P1696" s="7">
        <f t="shared" si="209"/>
        <v>6.6685000000000008</v>
      </c>
      <c r="Q1696" s="7" t="str">
        <f>VLOOKUP(D1697,Product_Lookup!$A$2:$C$27,2,FALSE)</f>
        <v>Board Game</v>
      </c>
      <c r="R1696" s="7">
        <f t="shared" si="210"/>
        <v>1733.81</v>
      </c>
    </row>
    <row r="1697" spans="1:18" ht="21.75" customHeight="1">
      <c r="A1697" t="s">
        <v>1848</v>
      </c>
      <c r="B1697" s="6">
        <v>45387</v>
      </c>
      <c r="C1697" t="s">
        <v>541</v>
      </c>
      <c r="D1697" t="s">
        <v>41</v>
      </c>
      <c r="E1697" t="s">
        <v>17</v>
      </c>
      <c r="F1697" t="s">
        <v>27</v>
      </c>
      <c r="G1697" t="s">
        <v>13</v>
      </c>
      <c r="H1697">
        <v>20</v>
      </c>
      <c r="I1697" t="str">
        <f>VLOOKUP(D1697,Product_Lookup!$A$2:$C$27,3,FALSE)</f>
        <v>$86.6</v>
      </c>
      <c r="J1697" t="str">
        <f t="shared" si="211"/>
        <v>Friday</v>
      </c>
      <c r="K1697" s="10" t="str">
        <f t="shared" si="212"/>
        <v>April</v>
      </c>
      <c r="L1697">
        <f t="shared" si="213"/>
        <v>2024</v>
      </c>
      <c r="M1697" t="b">
        <f t="shared" si="214"/>
        <v>0</v>
      </c>
      <c r="N1697" t="b">
        <f t="shared" si="208"/>
        <v>1</v>
      </c>
      <c r="O1697" t="str">
        <f t="shared" si="215"/>
        <v>Large Order</v>
      </c>
      <c r="P1697" s="7">
        <f t="shared" si="209"/>
        <v>4.33</v>
      </c>
      <c r="Q1697" s="7" t="str">
        <f>VLOOKUP(D1698,Product_Lookup!$A$2:$C$27,2,FALSE)</f>
        <v>Vacuum</v>
      </c>
      <c r="R1697" s="7">
        <f t="shared" si="210"/>
        <v>1732</v>
      </c>
    </row>
    <row r="1698" spans="1:18" ht="21.75" customHeight="1">
      <c r="A1698" t="s">
        <v>1849</v>
      </c>
      <c r="B1698" s="6">
        <v>45522</v>
      </c>
      <c r="C1698" t="s">
        <v>449</v>
      </c>
      <c r="D1698" t="s">
        <v>87</v>
      </c>
      <c r="E1698" t="s">
        <v>17</v>
      </c>
      <c r="F1698" t="s">
        <v>12</v>
      </c>
      <c r="G1698" t="s">
        <v>28</v>
      </c>
      <c r="H1698">
        <v>7</v>
      </c>
      <c r="I1698" t="str">
        <f>VLOOKUP(D1698,Product_Lookup!$A$2:$C$27,3,FALSE)</f>
        <v>$26.59</v>
      </c>
      <c r="J1698" t="str">
        <f t="shared" si="211"/>
        <v>Sunday</v>
      </c>
      <c r="K1698" s="10" t="str">
        <f t="shared" si="212"/>
        <v>August</v>
      </c>
      <c r="L1698">
        <f t="shared" si="213"/>
        <v>2024</v>
      </c>
      <c r="M1698" t="b">
        <f t="shared" si="214"/>
        <v>1</v>
      </c>
      <c r="N1698" t="b">
        <f t="shared" si="208"/>
        <v>0</v>
      </c>
      <c r="O1698" t="str">
        <f t="shared" si="215"/>
        <v>Standard order</v>
      </c>
      <c r="P1698" s="7">
        <f t="shared" si="209"/>
        <v>1.3295000000000001</v>
      </c>
      <c r="Q1698" s="7" t="str">
        <f>VLOOKUP(D1699,Product_Lookup!$A$2:$C$27,2,FALSE)</f>
        <v>Desk Lamp</v>
      </c>
      <c r="R1698" s="7">
        <f t="shared" si="210"/>
        <v>186.13</v>
      </c>
    </row>
    <row r="1699" spans="1:18" ht="21.75" customHeight="1">
      <c r="A1699" t="s">
        <v>1850</v>
      </c>
      <c r="B1699" s="6">
        <v>45652</v>
      </c>
      <c r="C1699" t="s">
        <v>58</v>
      </c>
      <c r="D1699" t="s">
        <v>59</v>
      </c>
      <c r="E1699" t="s">
        <v>11</v>
      </c>
      <c r="F1699" t="s">
        <v>306</v>
      </c>
      <c r="G1699" t="s">
        <v>28</v>
      </c>
      <c r="H1699">
        <v>12</v>
      </c>
      <c r="I1699" t="str">
        <f>VLOOKUP(D1699,Product_Lookup!$A$2:$C$27,3,FALSE)</f>
        <v>$101.96</v>
      </c>
      <c r="J1699" t="str">
        <f t="shared" si="211"/>
        <v>Thursday</v>
      </c>
      <c r="K1699" s="10" t="str">
        <f t="shared" si="212"/>
        <v>December</v>
      </c>
      <c r="L1699">
        <f t="shared" si="213"/>
        <v>2024</v>
      </c>
      <c r="M1699" t="b">
        <f t="shared" si="214"/>
        <v>0</v>
      </c>
      <c r="N1699" t="b">
        <f t="shared" si="208"/>
        <v>1</v>
      </c>
      <c r="O1699" t="str">
        <f t="shared" si="215"/>
        <v>Large Order</v>
      </c>
      <c r="P1699" s="7">
        <f t="shared" si="209"/>
        <v>5.0979999999999999</v>
      </c>
      <c r="Q1699" s="7" t="str">
        <f>VLOOKUP(D1700,Product_Lookup!$A$2:$C$27,2,FALSE)</f>
        <v>Sweater</v>
      </c>
      <c r="R1699" s="7">
        <f t="shared" si="210"/>
        <v>1223.52</v>
      </c>
    </row>
    <row r="1700" spans="1:18" ht="21.75" customHeight="1">
      <c r="A1700" t="s">
        <v>1851</v>
      </c>
      <c r="B1700" s="6">
        <v>45526</v>
      </c>
      <c r="C1700" t="s">
        <v>40</v>
      </c>
      <c r="D1700" t="s">
        <v>26</v>
      </c>
      <c r="E1700" t="s">
        <v>22</v>
      </c>
      <c r="F1700" t="s">
        <v>27</v>
      </c>
      <c r="G1700" t="s">
        <v>36</v>
      </c>
      <c r="H1700">
        <v>11</v>
      </c>
      <c r="I1700" t="str">
        <f>VLOOKUP(D1700,Product_Lookup!$A$2:$C$27,3,FALSE)</f>
        <v>$84.57</v>
      </c>
      <c r="J1700" t="str">
        <f t="shared" si="211"/>
        <v>Thursday</v>
      </c>
      <c r="K1700" s="10" t="str">
        <f t="shared" si="212"/>
        <v>August</v>
      </c>
      <c r="L1700">
        <f t="shared" si="213"/>
        <v>2024</v>
      </c>
      <c r="M1700" t="b">
        <f t="shared" si="214"/>
        <v>0</v>
      </c>
      <c r="N1700" t="b">
        <f t="shared" si="208"/>
        <v>1</v>
      </c>
      <c r="O1700" t="str">
        <f t="shared" si="215"/>
        <v>Large Order</v>
      </c>
      <c r="P1700" s="7">
        <f t="shared" si="209"/>
        <v>4.2284999999999995</v>
      </c>
      <c r="Q1700" s="7" t="str">
        <f>VLOOKUP(D1701,Product_Lookup!$A$2:$C$27,2,FALSE)</f>
        <v>Desk Lamp</v>
      </c>
      <c r="R1700" s="7">
        <f t="shared" si="210"/>
        <v>930.27</v>
      </c>
    </row>
    <row r="1701" spans="1:18" ht="21.75" customHeight="1">
      <c r="A1701" t="s">
        <v>1852</v>
      </c>
      <c r="B1701" s="6">
        <v>45604</v>
      </c>
      <c r="C1701" t="s">
        <v>106</v>
      </c>
      <c r="D1701" t="s">
        <v>59</v>
      </c>
      <c r="E1701" t="s">
        <v>11</v>
      </c>
      <c r="F1701" t="s">
        <v>42</v>
      </c>
      <c r="G1701" t="s">
        <v>32</v>
      </c>
      <c r="H1701">
        <v>15</v>
      </c>
      <c r="I1701" t="str">
        <f>VLOOKUP(D1701,Product_Lookup!$A$2:$C$27,3,FALSE)</f>
        <v>$101.96</v>
      </c>
      <c r="J1701" t="str">
        <f t="shared" si="211"/>
        <v>Friday</v>
      </c>
      <c r="K1701" s="10" t="str">
        <f t="shared" si="212"/>
        <v>November</v>
      </c>
      <c r="L1701">
        <f t="shared" si="213"/>
        <v>2024</v>
      </c>
      <c r="M1701" t="b">
        <f t="shared" si="214"/>
        <v>0</v>
      </c>
      <c r="N1701" t="b">
        <f t="shared" si="208"/>
        <v>1</v>
      </c>
      <c r="O1701" t="str">
        <f t="shared" si="215"/>
        <v>Large Order</v>
      </c>
      <c r="P1701" s="7">
        <f t="shared" si="209"/>
        <v>5.0979999999999999</v>
      </c>
      <c r="Q1701" s="7" t="str">
        <f>VLOOKUP(D1702,Product_Lookup!$A$2:$C$27,2,FALSE)</f>
        <v>Socks</v>
      </c>
      <c r="R1701" s="7">
        <f t="shared" si="210"/>
        <v>1529.3999999999999</v>
      </c>
    </row>
    <row r="1702" spans="1:18" ht="21.75" customHeight="1">
      <c r="A1702" t="s">
        <v>1853</v>
      </c>
      <c r="B1702" s="6">
        <v>45636</v>
      </c>
      <c r="C1702" t="s">
        <v>369</v>
      </c>
      <c r="D1702" t="s">
        <v>74</v>
      </c>
      <c r="E1702" t="s">
        <v>22</v>
      </c>
      <c r="F1702" t="s">
        <v>306</v>
      </c>
      <c r="G1702" t="s">
        <v>13</v>
      </c>
      <c r="H1702">
        <v>5</v>
      </c>
      <c r="I1702" t="str">
        <f>VLOOKUP(D1702,Product_Lookup!$A$2:$C$27,3,FALSE)</f>
        <v>$201.32</v>
      </c>
      <c r="J1702" t="str">
        <f t="shared" si="211"/>
        <v>Tuesday</v>
      </c>
      <c r="K1702" s="10" t="str">
        <f t="shared" si="212"/>
        <v>December</v>
      </c>
      <c r="L1702">
        <f t="shared" si="213"/>
        <v>2024</v>
      </c>
      <c r="M1702" t="b">
        <f t="shared" si="214"/>
        <v>0</v>
      </c>
      <c r="N1702" t="b">
        <f t="shared" si="208"/>
        <v>0</v>
      </c>
      <c r="O1702" t="str">
        <f t="shared" si="215"/>
        <v>Large Order</v>
      </c>
      <c r="P1702" s="7">
        <f t="shared" si="209"/>
        <v>10.066000000000001</v>
      </c>
      <c r="Q1702" s="7" t="str">
        <f>VLOOKUP(D1703,Product_Lookup!$A$2:$C$27,2,FALSE)</f>
        <v>Monitor</v>
      </c>
      <c r="R1702" s="7">
        <f t="shared" si="210"/>
        <v>1006.5999999999999</v>
      </c>
    </row>
    <row r="1703" spans="1:18" ht="21.75" customHeight="1">
      <c r="A1703" t="s">
        <v>1854</v>
      </c>
      <c r="B1703" s="6">
        <v>45414</v>
      </c>
      <c r="C1703" t="s">
        <v>147</v>
      </c>
      <c r="D1703" t="s">
        <v>102</v>
      </c>
      <c r="E1703" t="s">
        <v>11</v>
      </c>
      <c r="F1703" t="s">
        <v>42</v>
      </c>
      <c r="G1703" t="s">
        <v>28</v>
      </c>
      <c r="H1703">
        <v>17</v>
      </c>
      <c r="I1703" t="str">
        <f>VLOOKUP(D1703,Product_Lookup!$A$2:$C$27,3,FALSE)</f>
        <v>$145.48</v>
      </c>
      <c r="J1703" t="str">
        <f t="shared" si="211"/>
        <v>Thursday</v>
      </c>
      <c r="K1703" s="10" t="str">
        <f t="shared" si="212"/>
        <v>May</v>
      </c>
      <c r="L1703">
        <f t="shared" si="213"/>
        <v>2024</v>
      </c>
      <c r="M1703" t="b">
        <f t="shared" si="214"/>
        <v>0</v>
      </c>
      <c r="N1703" t="b">
        <f t="shared" si="208"/>
        <v>1</v>
      </c>
      <c r="O1703" t="str">
        <f t="shared" si="215"/>
        <v>Large Order</v>
      </c>
      <c r="P1703" s="7">
        <f t="shared" si="209"/>
        <v>7.274</v>
      </c>
      <c r="Q1703" s="7" t="str">
        <f>VLOOKUP(D1704,Product_Lookup!$A$2:$C$27,2,FALSE)</f>
        <v>Desk Lamp</v>
      </c>
      <c r="R1703" s="7">
        <f t="shared" si="210"/>
        <v>2473.16</v>
      </c>
    </row>
    <row r="1704" spans="1:18" ht="21.75" customHeight="1">
      <c r="A1704" t="s">
        <v>1855</v>
      </c>
      <c r="B1704" s="6">
        <v>45597</v>
      </c>
      <c r="C1704" t="s">
        <v>99</v>
      </c>
      <c r="D1704" t="s">
        <v>59</v>
      </c>
      <c r="E1704" t="s">
        <v>17</v>
      </c>
      <c r="F1704" t="s">
        <v>27</v>
      </c>
      <c r="G1704" t="s">
        <v>28</v>
      </c>
      <c r="H1704">
        <v>16</v>
      </c>
      <c r="I1704" t="str">
        <f>VLOOKUP(D1704,Product_Lookup!$A$2:$C$27,3,FALSE)</f>
        <v>$101.96</v>
      </c>
      <c r="J1704" t="str">
        <f t="shared" si="211"/>
        <v>Friday</v>
      </c>
      <c r="K1704" s="10" t="str">
        <f t="shared" si="212"/>
        <v>November</v>
      </c>
      <c r="L1704">
        <f t="shared" si="213"/>
        <v>2024</v>
      </c>
      <c r="M1704" t="b">
        <f t="shared" si="214"/>
        <v>0</v>
      </c>
      <c r="N1704" t="b">
        <f t="shared" si="208"/>
        <v>1</v>
      </c>
      <c r="O1704" t="str">
        <f t="shared" si="215"/>
        <v>Large Order</v>
      </c>
      <c r="P1704" s="7">
        <f t="shared" si="209"/>
        <v>5.0979999999999999</v>
      </c>
      <c r="Q1704" s="7" t="str">
        <f>VLOOKUP(D1705,Product_Lookup!$A$2:$C$27,2,FALSE)</f>
        <v>T-Shirt</v>
      </c>
      <c r="R1704" s="7">
        <f t="shared" si="210"/>
        <v>1631.36</v>
      </c>
    </row>
    <row r="1705" spans="1:18" ht="21.75" customHeight="1">
      <c r="A1705" t="s">
        <v>1856</v>
      </c>
      <c r="B1705" s="6">
        <v>45647</v>
      </c>
      <c r="C1705" t="s">
        <v>736</v>
      </c>
      <c r="D1705" t="s">
        <v>45</v>
      </c>
      <c r="E1705" t="s">
        <v>22</v>
      </c>
      <c r="F1705" t="s">
        <v>56</v>
      </c>
      <c r="G1705" t="s">
        <v>23</v>
      </c>
      <c r="H1705">
        <v>10</v>
      </c>
      <c r="I1705" t="str">
        <f>VLOOKUP(D1705,Product_Lookup!$A$2:$C$27,3,FALSE)</f>
        <v>$107.34</v>
      </c>
      <c r="J1705" t="str">
        <f t="shared" si="211"/>
        <v>Saturday</v>
      </c>
      <c r="K1705" s="10" t="str">
        <f t="shared" si="212"/>
        <v>December</v>
      </c>
      <c r="L1705">
        <f t="shared" si="213"/>
        <v>2024</v>
      </c>
      <c r="M1705" t="b">
        <f t="shared" si="214"/>
        <v>1</v>
      </c>
      <c r="N1705" t="b">
        <f t="shared" si="208"/>
        <v>1</v>
      </c>
      <c r="O1705" t="str">
        <f t="shared" si="215"/>
        <v>Large Order</v>
      </c>
      <c r="P1705" s="7">
        <f t="shared" si="209"/>
        <v>5.3670000000000009</v>
      </c>
      <c r="Q1705" s="7" t="str">
        <f>VLOOKUP(D1706,Product_Lookup!$A$2:$C$27,2,FALSE)</f>
        <v>Paper Shredder</v>
      </c>
      <c r="R1705" s="7">
        <f t="shared" si="210"/>
        <v>1073.4000000000001</v>
      </c>
    </row>
    <row r="1706" spans="1:18" ht="21.75" customHeight="1">
      <c r="A1706" t="s">
        <v>1857</v>
      </c>
      <c r="B1706" s="6">
        <v>45453</v>
      </c>
      <c r="C1706" t="s">
        <v>430</v>
      </c>
      <c r="D1706" t="s">
        <v>109</v>
      </c>
      <c r="E1706" t="s">
        <v>11</v>
      </c>
      <c r="F1706" t="s">
        <v>42</v>
      </c>
      <c r="G1706" t="s">
        <v>13</v>
      </c>
      <c r="H1706">
        <v>16</v>
      </c>
      <c r="I1706" t="str">
        <f>VLOOKUP(D1706,Product_Lookup!$A$2:$C$27,3,FALSE)</f>
        <v>$81.02</v>
      </c>
      <c r="J1706" t="str">
        <f t="shared" si="211"/>
        <v>Monday</v>
      </c>
      <c r="K1706" s="10" t="str">
        <f t="shared" si="212"/>
        <v>June</v>
      </c>
      <c r="L1706">
        <f t="shared" si="213"/>
        <v>2024</v>
      </c>
      <c r="M1706" t="b">
        <f t="shared" si="214"/>
        <v>0</v>
      </c>
      <c r="N1706" t="b">
        <f t="shared" si="208"/>
        <v>1</v>
      </c>
      <c r="O1706" t="str">
        <f t="shared" si="215"/>
        <v>Large Order</v>
      </c>
      <c r="P1706" s="7">
        <f t="shared" si="209"/>
        <v>4.0510000000000002</v>
      </c>
      <c r="Q1706" s="7" t="str">
        <f>VLOOKUP(D1707,Product_Lookup!$A$2:$C$27,2,FALSE)</f>
        <v>Notebook</v>
      </c>
      <c r="R1706" s="7">
        <f t="shared" si="210"/>
        <v>1296.32</v>
      </c>
    </row>
    <row r="1707" spans="1:18" ht="21.75" customHeight="1">
      <c r="A1707" t="s">
        <v>1858</v>
      </c>
      <c r="B1707" s="6">
        <v>45488</v>
      </c>
      <c r="C1707" t="s">
        <v>642</v>
      </c>
      <c r="D1707" t="s">
        <v>160</v>
      </c>
      <c r="E1707" t="s">
        <v>22</v>
      </c>
      <c r="F1707" t="s">
        <v>27</v>
      </c>
      <c r="G1707" t="s">
        <v>23</v>
      </c>
      <c r="H1707">
        <v>16</v>
      </c>
      <c r="I1707" t="str">
        <f>VLOOKUP(D1707,Product_Lookup!$A$2:$C$27,3,FALSE)</f>
        <v>$149.27</v>
      </c>
      <c r="J1707" t="str">
        <f t="shared" si="211"/>
        <v>Monday</v>
      </c>
      <c r="K1707" s="10" t="str">
        <f t="shared" si="212"/>
        <v>July</v>
      </c>
      <c r="L1707">
        <f t="shared" si="213"/>
        <v>2024</v>
      </c>
      <c r="M1707" t="b">
        <f t="shared" si="214"/>
        <v>0</v>
      </c>
      <c r="N1707" t="b">
        <f t="shared" si="208"/>
        <v>1</v>
      </c>
      <c r="O1707" t="str">
        <f t="shared" si="215"/>
        <v>Large Order</v>
      </c>
      <c r="P1707" s="7">
        <f t="shared" si="209"/>
        <v>7.4635000000000007</v>
      </c>
      <c r="Q1707" s="7" t="str">
        <f>VLOOKUP(D1708,Product_Lookup!$A$2:$C$27,2,FALSE)</f>
        <v>T-Shirt</v>
      </c>
      <c r="R1707" s="7">
        <f t="shared" si="210"/>
        <v>2388.3200000000002</v>
      </c>
    </row>
    <row r="1708" spans="1:18" ht="21.75" customHeight="1">
      <c r="A1708" t="s">
        <v>1859</v>
      </c>
      <c r="B1708" s="6">
        <v>45519</v>
      </c>
      <c r="C1708" t="s">
        <v>374</v>
      </c>
      <c r="D1708" t="s">
        <v>45</v>
      </c>
      <c r="E1708" t="s">
        <v>11</v>
      </c>
      <c r="F1708" t="s">
        <v>306</v>
      </c>
      <c r="G1708" t="s">
        <v>13</v>
      </c>
      <c r="H1708">
        <v>8</v>
      </c>
      <c r="I1708" t="str">
        <f>VLOOKUP(D1708,Product_Lookup!$A$2:$C$27,3,FALSE)</f>
        <v>$107.34</v>
      </c>
      <c r="J1708" t="str">
        <f t="shared" si="211"/>
        <v>Thursday</v>
      </c>
      <c r="K1708" s="10" t="str">
        <f t="shared" si="212"/>
        <v>August</v>
      </c>
      <c r="L1708">
        <f t="shared" si="213"/>
        <v>2024</v>
      </c>
      <c r="M1708" t="b">
        <f t="shared" si="214"/>
        <v>0</v>
      </c>
      <c r="N1708" t="b">
        <f t="shared" si="208"/>
        <v>1</v>
      </c>
      <c r="O1708" t="str">
        <f t="shared" si="215"/>
        <v>Large Order</v>
      </c>
      <c r="P1708" s="7">
        <f t="shared" si="209"/>
        <v>5.3670000000000009</v>
      </c>
      <c r="Q1708" s="7" t="str">
        <f>VLOOKUP(D1709,Product_Lookup!$A$2:$C$27,2,FALSE)</f>
        <v>Pen Set</v>
      </c>
      <c r="R1708" s="7">
        <f t="shared" si="210"/>
        <v>858.72</v>
      </c>
    </row>
    <row r="1709" spans="1:18" ht="21.75" customHeight="1">
      <c r="A1709" t="s">
        <v>1860</v>
      </c>
      <c r="B1709" s="6">
        <v>45432</v>
      </c>
      <c r="C1709" t="s">
        <v>240</v>
      </c>
      <c r="D1709" t="s">
        <v>174</v>
      </c>
      <c r="E1709" t="s">
        <v>17</v>
      </c>
      <c r="F1709" t="s">
        <v>56</v>
      </c>
      <c r="G1709" t="s">
        <v>23</v>
      </c>
      <c r="H1709">
        <v>19</v>
      </c>
      <c r="I1709" t="str">
        <f>VLOOKUP(D1709,Product_Lookup!$A$2:$C$27,3,FALSE)</f>
        <v>$133.37</v>
      </c>
      <c r="J1709" t="str">
        <f t="shared" si="211"/>
        <v>Monday</v>
      </c>
      <c r="K1709" s="10" t="str">
        <f t="shared" si="212"/>
        <v>May</v>
      </c>
      <c r="L1709">
        <f t="shared" si="213"/>
        <v>2024</v>
      </c>
      <c r="M1709" t="b">
        <f t="shared" si="214"/>
        <v>0</v>
      </c>
      <c r="N1709" t="b">
        <f t="shared" si="208"/>
        <v>1</v>
      </c>
      <c r="O1709" t="str">
        <f t="shared" si="215"/>
        <v>Large Order</v>
      </c>
      <c r="P1709" s="7">
        <f t="shared" si="209"/>
        <v>6.6685000000000008</v>
      </c>
      <c r="Q1709" s="7" t="str">
        <f>VLOOKUP(D1710,Product_Lookup!$A$2:$C$27,2,FALSE)</f>
        <v>Notebook</v>
      </c>
      <c r="R1709" s="7">
        <f t="shared" si="210"/>
        <v>2534.0300000000002</v>
      </c>
    </row>
    <row r="1710" spans="1:18" ht="21.75" customHeight="1">
      <c r="A1710" t="s">
        <v>1861</v>
      </c>
      <c r="B1710" s="6">
        <v>45545</v>
      </c>
      <c r="C1710" t="s">
        <v>378</v>
      </c>
      <c r="D1710" t="s">
        <v>160</v>
      </c>
      <c r="E1710" t="s">
        <v>11</v>
      </c>
      <c r="F1710" t="s">
        <v>306</v>
      </c>
      <c r="G1710" t="s">
        <v>13</v>
      </c>
      <c r="H1710">
        <v>9</v>
      </c>
      <c r="I1710" t="str">
        <f>VLOOKUP(D1710,Product_Lookup!$A$2:$C$27,3,FALSE)</f>
        <v>$149.27</v>
      </c>
      <c r="J1710" t="str">
        <f t="shared" si="211"/>
        <v>Tuesday</v>
      </c>
      <c r="K1710" s="10" t="str">
        <f t="shared" si="212"/>
        <v>September</v>
      </c>
      <c r="L1710">
        <f t="shared" si="213"/>
        <v>2024</v>
      </c>
      <c r="M1710" t="b">
        <f t="shared" si="214"/>
        <v>0</v>
      </c>
      <c r="N1710" t="b">
        <f t="shared" si="208"/>
        <v>1</v>
      </c>
      <c r="O1710" t="str">
        <f t="shared" si="215"/>
        <v>Large Order</v>
      </c>
      <c r="P1710" s="7">
        <f t="shared" si="209"/>
        <v>7.4635000000000007</v>
      </c>
      <c r="Q1710" s="7" t="str">
        <f>VLOOKUP(D1711,Product_Lookup!$A$2:$C$27,2,FALSE)</f>
        <v>Doll</v>
      </c>
      <c r="R1710" s="7">
        <f t="shared" si="210"/>
        <v>1343.43</v>
      </c>
    </row>
    <row r="1711" spans="1:18" ht="21.75" customHeight="1">
      <c r="A1711" t="s">
        <v>1862</v>
      </c>
      <c r="B1711" s="6">
        <v>45479</v>
      </c>
      <c r="C1711" t="s">
        <v>591</v>
      </c>
      <c r="D1711" t="s">
        <v>119</v>
      </c>
      <c r="E1711" t="s">
        <v>11</v>
      </c>
      <c r="F1711" t="s">
        <v>27</v>
      </c>
      <c r="G1711" t="s">
        <v>36</v>
      </c>
      <c r="H1711">
        <v>7</v>
      </c>
      <c r="I1711" t="str">
        <f>VLOOKUP(D1711,Product_Lookup!$A$2:$C$27,3,FALSE)</f>
        <v>$32.94</v>
      </c>
      <c r="J1711" t="str">
        <f t="shared" si="211"/>
        <v>Saturday</v>
      </c>
      <c r="K1711" s="10" t="str">
        <f t="shared" si="212"/>
        <v>July</v>
      </c>
      <c r="L1711">
        <f t="shared" si="213"/>
        <v>2024</v>
      </c>
      <c r="M1711" t="b">
        <f t="shared" si="214"/>
        <v>1</v>
      </c>
      <c r="N1711" t="b">
        <f t="shared" si="208"/>
        <v>0</v>
      </c>
      <c r="O1711" t="str">
        <f t="shared" si="215"/>
        <v>Standard order</v>
      </c>
      <c r="P1711" s="7">
        <f t="shared" si="209"/>
        <v>1.647</v>
      </c>
      <c r="Q1711" s="7" t="str">
        <f>VLOOKUP(D1712,Product_Lookup!$A$2:$C$27,2,FALSE)</f>
        <v>Action Figure</v>
      </c>
      <c r="R1711" s="7">
        <f t="shared" si="210"/>
        <v>230.57999999999998</v>
      </c>
    </row>
    <row r="1712" spans="1:18" ht="21.75" customHeight="1">
      <c r="A1712" t="s">
        <v>1863</v>
      </c>
      <c r="B1712" s="6">
        <v>45344</v>
      </c>
      <c r="C1712" t="s">
        <v>304</v>
      </c>
      <c r="D1712" t="s">
        <v>21</v>
      </c>
      <c r="E1712" t="s">
        <v>11</v>
      </c>
      <c r="F1712" t="s">
        <v>42</v>
      </c>
      <c r="G1712" t="s">
        <v>13</v>
      </c>
      <c r="H1712">
        <v>15</v>
      </c>
      <c r="I1712" t="str">
        <f>VLOOKUP(D1712,Product_Lookup!$A$2:$C$27,3,FALSE)</f>
        <v>$88.18</v>
      </c>
      <c r="J1712" t="str">
        <f t="shared" si="211"/>
        <v>Thursday</v>
      </c>
      <c r="K1712" s="10" t="str">
        <f t="shared" si="212"/>
        <v>February</v>
      </c>
      <c r="L1712">
        <f t="shared" si="213"/>
        <v>2024</v>
      </c>
      <c r="M1712" t="b">
        <f t="shared" si="214"/>
        <v>0</v>
      </c>
      <c r="N1712" t="b">
        <f t="shared" si="208"/>
        <v>1</v>
      </c>
      <c r="O1712" t="str">
        <f t="shared" si="215"/>
        <v>Large Order</v>
      </c>
      <c r="P1712" s="7">
        <f t="shared" si="209"/>
        <v>4.4090000000000007</v>
      </c>
      <c r="Q1712" s="7" t="str">
        <f>VLOOKUP(D1713,Product_Lookup!$A$2:$C$27,2,FALSE)</f>
        <v>Monitor</v>
      </c>
      <c r="R1712" s="7">
        <f t="shared" si="210"/>
        <v>1322.7</v>
      </c>
    </row>
    <row r="1713" spans="1:18" ht="21.75" customHeight="1">
      <c r="A1713" t="s">
        <v>1864</v>
      </c>
      <c r="B1713" s="6">
        <v>45336</v>
      </c>
      <c r="C1713" t="s">
        <v>396</v>
      </c>
      <c r="D1713" t="s">
        <v>102</v>
      </c>
      <c r="E1713" t="s">
        <v>11</v>
      </c>
      <c r="F1713" t="s">
        <v>56</v>
      </c>
      <c r="G1713" t="s">
        <v>36</v>
      </c>
      <c r="H1713">
        <v>12</v>
      </c>
      <c r="I1713" t="str">
        <f>VLOOKUP(D1713,Product_Lookup!$A$2:$C$27,3,FALSE)</f>
        <v>$145.48</v>
      </c>
      <c r="J1713" t="str">
        <f t="shared" si="211"/>
        <v>Wednesday</v>
      </c>
      <c r="K1713" s="10" t="str">
        <f t="shared" si="212"/>
        <v>February</v>
      </c>
      <c r="L1713">
        <f t="shared" si="213"/>
        <v>2024</v>
      </c>
      <c r="M1713" t="b">
        <f t="shared" si="214"/>
        <v>0</v>
      </c>
      <c r="N1713" t="b">
        <f t="shared" si="208"/>
        <v>1</v>
      </c>
      <c r="O1713" t="str">
        <f t="shared" si="215"/>
        <v>Large Order</v>
      </c>
      <c r="P1713" s="7">
        <f t="shared" si="209"/>
        <v>7.274</v>
      </c>
      <c r="Q1713" s="7" t="str">
        <f>VLOOKUP(D1714,Product_Lookup!$A$2:$C$27,2,FALSE)</f>
        <v>Vacuum</v>
      </c>
      <c r="R1713" s="7">
        <f t="shared" si="210"/>
        <v>1745.7599999999998</v>
      </c>
    </row>
    <row r="1714" spans="1:18" ht="21.75" customHeight="1">
      <c r="A1714" t="s">
        <v>1865</v>
      </c>
      <c r="B1714" s="6">
        <v>45604</v>
      </c>
      <c r="C1714" t="s">
        <v>451</v>
      </c>
      <c r="D1714" t="s">
        <v>87</v>
      </c>
      <c r="E1714" t="s">
        <v>11</v>
      </c>
      <c r="F1714" t="s">
        <v>306</v>
      </c>
      <c r="G1714" t="s">
        <v>28</v>
      </c>
      <c r="H1714">
        <v>7</v>
      </c>
      <c r="I1714" t="str">
        <f>VLOOKUP(D1714,Product_Lookup!$A$2:$C$27,3,FALSE)</f>
        <v>$26.59</v>
      </c>
      <c r="J1714" t="str">
        <f t="shared" si="211"/>
        <v>Friday</v>
      </c>
      <c r="K1714" s="10" t="str">
        <f t="shared" si="212"/>
        <v>November</v>
      </c>
      <c r="L1714">
        <f t="shared" si="213"/>
        <v>2024</v>
      </c>
      <c r="M1714" t="b">
        <f t="shared" si="214"/>
        <v>0</v>
      </c>
      <c r="N1714" t="b">
        <f t="shared" si="208"/>
        <v>0</v>
      </c>
      <c r="O1714" t="str">
        <f t="shared" si="215"/>
        <v>Standard order</v>
      </c>
      <c r="P1714" s="7">
        <f t="shared" si="209"/>
        <v>1.3295000000000001</v>
      </c>
      <c r="Q1714" s="7" t="str">
        <f>VLOOKUP(D1715,Product_Lookup!$A$2:$C$27,2,FALSE)</f>
        <v>Toaster</v>
      </c>
      <c r="R1714" s="7">
        <f t="shared" si="210"/>
        <v>186.13</v>
      </c>
    </row>
    <row r="1715" spans="1:18" ht="21.75" customHeight="1">
      <c r="A1715" t="s">
        <v>1866</v>
      </c>
      <c r="B1715" s="6">
        <v>45322</v>
      </c>
      <c r="C1715" t="s">
        <v>614</v>
      </c>
      <c r="D1715" t="s">
        <v>48</v>
      </c>
      <c r="E1715" t="s">
        <v>22</v>
      </c>
      <c r="F1715" t="s">
        <v>42</v>
      </c>
      <c r="G1715" t="s">
        <v>36</v>
      </c>
      <c r="H1715">
        <v>18</v>
      </c>
      <c r="I1715" t="str">
        <f>VLOOKUP(D1715,Product_Lookup!$A$2:$C$27,3,FALSE)</f>
        <v>$208.85</v>
      </c>
      <c r="J1715" t="str">
        <f t="shared" si="211"/>
        <v>Wednesday</v>
      </c>
      <c r="K1715" s="10" t="str">
        <f t="shared" si="212"/>
        <v>January</v>
      </c>
      <c r="L1715">
        <f t="shared" si="213"/>
        <v>2024</v>
      </c>
      <c r="M1715" t="b">
        <f t="shared" si="214"/>
        <v>0</v>
      </c>
      <c r="N1715" t="b">
        <f t="shared" si="208"/>
        <v>1</v>
      </c>
      <c r="O1715" t="str">
        <f t="shared" si="215"/>
        <v>Large Order</v>
      </c>
      <c r="P1715" s="7">
        <f t="shared" si="209"/>
        <v>10.442500000000001</v>
      </c>
      <c r="Q1715" s="7" t="str">
        <f>VLOOKUP(D1716,Product_Lookup!$A$2:$C$27,2,FALSE)</f>
        <v>Socks</v>
      </c>
      <c r="R1715" s="7">
        <f t="shared" si="210"/>
        <v>3759.2999999999997</v>
      </c>
    </row>
    <row r="1716" spans="1:18" ht="21.75" customHeight="1">
      <c r="A1716" t="s">
        <v>1867</v>
      </c>
      <c r="B1716" s="6">
        <v>45652</v>
      </c>
      <c r="C1716" t="s">
        <v>61</v>
      </c>
      <c r="D1716" t="s">
        <v>74</v>
      </c>
      <c r="E1716" t="s">
        <v>22</v>
      </c>
      <c r="F1716" t="s">
        <v>42</v>
      </c>
      <c r="G1716" t="s">
        <v>36</v>
      </c>
      <c r="H1716">
        <v>4</v>
      </c>
      <c r="I1716" t="str">
        <f>VLOOKUP(D1716,Product_Lookup!$A$2:$C$27,3,FALSE)</f>
        <v>$201.32</v>
      </c>
      <c r="J1716" t="str">
        <f t="shared" si="211"/>
        <v>Thursday</v>
      </c>
      <c r="K1716" s="10" t="str">
        <f t="shared" si="212"/>
        <v>December</v>
      </c>
      <c r="L1716">
        <f t="shared" si="213"/>
        <v>2024</v>
      </c>
      <c r="M1716" t="b">
        <f t="shared" si="214"/>
        <v>0</v>
      </c>
      <c r="N1716" t="b">
        <f t="shared" si="208"/>
        <v>0</v>
      </c>
      <c r="O1716" t="str">
        <f t="shared" si="215"/>
        <v>Large Order</v>
      </c>
      <c r="P1716" s="7">
        <f t="shared" si="209"/>
        <v>10.066000000000001</v>
      </c>
      <c r="Q1716" s="7" t="str">
        <f>VLOOKUP(D1717,Product_Lookup!$A$2:$C$27,2,FALSE)</f>
        <v>Sweater</v>
      </c>
      <c r="R1716" s="7">
        <f t="shared" si="210"/>
        <v>805.28</v>
      </c>
    </row>
    <row r="1717" spans="1:18" ht="21.75" customHeight="1">
      <c r="A1717" t="s">
        <v>1868</v>
      </c>
      <c r="B1717" s="6">
        <v>45502</v>
      </c>
      <c r="C1717" t="s">
        <v>131</v>
      </c>
      <c r="D1717" t="s">
        <v>26</v>
      </c>
      <c r="E1717" t="s">
        <v>22</v>
      </c>
      <c r="F1717" t="s">
        <v>56</v>
      </c>
      <c r="G1717" t="s">
        <v>28</v>
      </c>
      <c r="H1717">
        <v>8</v>
      </c>
      <c r="I1717" t="str">
        <f>VLOOKUP(D1717,Product_Lookup!$A$2:$C$27,3,FALSE)</f>
        <v>$84.57</v>
      </c>
      <c r="J1717" t="str">
        <f t="shared" si="211"/>
        <v>Monday</v>
      </c>
      <c r="K1717" s="10" t="str">
        <f t="shared" si="212"/>
        <v>July</v>
      </c>
      <c r="L1717">
        <f t="shared" si="213"/>
        <v>2024</v>
      </c>
      <c r="M1717" t="b">
        <f t="shared" si="214"/>
        <v>0</v>
      </c>
      <c r="N1717" t="b">
        <f t="shared" si="208"/>
        <v>0</v>
      </c>
      <c r="O1717" t="str">
        <f t="shared" si="215"/>
        <v>Large Order</v>
      </c>
      <c r="P1717" s="7">
        <f t="shared" si="209"/>
        <v>4.2284999999999995</v>
      </c>
      <c r="Q1717" s="7" t="str">
        <f>VLOOKUP(D1718,Product_Lookup!$A$2:$C$27,2,FALSE)</f>
        <v>Doll</v>
      </c>
      <c r="R1717" s="7">
        <f t="shared" si="210"/>
        <v>676.56</v>
      </c>
    </row>
    <row r="1718" spans="1:18" ht="21.75" customHeight="1">
      <c r="A1718" t="s">
        <v>1869</v>
      </c>
      <c r="B1718" s="6">
        <v>45456</v>
      </c>
      <c r="C1718" t="s">
        <v>78</v>
      </c>
      <c r="D1718" t="s">
        <v>119</v>
      </c>
      <c r="E1718" t="s">
        <v>22</v>
      </c>
      <c r="F1718" t="s">
        <v>27</v>
      </c>
      <c r="G1718" t="s">
        <v>23</v>
      </c>
      <c r="H1718">
        <v>5</v>
      </c>
      <c r="I1718" t="str">
        <f>VLOOKUP(D1718,Product_Lookup!$A$2:$C$27,3,FALSE)</f>
        <v>$32.94</v>
      </c>
      <c r="J1718" t="str">
        <f t="shared" si="211"/>
        <v>Thursday</v>
      </c>
      <c r="K1718" s="10" t="str">
        <f t="shared" si="212"/>
        <v>June</v>
      </c>
      <c r="L1718">
        <f t="shared" si="213"/>
        <v>2024</v>
      </c>
      <c r="M1718" t="b">
        <f t="shared" si="214"/>
        <v>0</v>
      </c>
      <c r="N1718" t="b">
        <f t="shared" si="208"/>
        <v>0</v>
      </c>
      <c r="O1718" t="str">
        <f t="shared" si="215"/>
        <v>Standard order</v>
      </c>
      <c r="P1718" s="7">
        <f t="shared" si="209"/>
        <v>1.647</v>
      </c>
      <c r="Q1718" s="7" t="str">
        <f>VLOOKUP(D1719,Product_Lookup!$A$2:$C$27,2,FALSE)</f>
        <v>Vacuum</v>
      </c>
      <c r="R1718" s="7">
        <f t="shared" si="210"/>
        <v>164.7</v>
      </c>
    </row>
    <row r="1719" spans="1:18" ht="21.75" customHeight="1">
      <c r="A1719" t="s">
        <v>1870</v>
      </c>
      <c r="B1719" s="6">
        <v>45429</v>
      </c>
      <c r="C1719" t="s">
        <v>451</v>
      </c>
      <c r="D1719" t="s">
        <v>87</v>
      </c>
      <c r="E1719" t="s">
        <v>17</v>
      </c>
      <c r="F1719" t="s">
        <v>27</v>
      </c>
      <c r="G1719" t="s">
        <v>13</v>
      </c>
      <c r="H1719">
        <v>3</v>
      </c>
      <c r="I1719" t="str">
        <f>VLOOKUP(D1719,Product_Lookup!$A$2:$C$27,3,FALSE)</f>
        <v>$26.59</v>
      </c>
      <c r="J1719" t="str">
        <f t="shared" si="211"/>
        <v>Friday</v>
      </c>
      <c r="K1719" s="10" t="str">
        <f t="shared" si="212"/>
        <v>May</v>
      </c>
      <c r="L1719">
        <f t="shared" si="213"/>
        <v>2024</v>
      </c>
      <c r="M1719" t="b">
        <f t="shared" si="214"/>
        <v>0</v>
      </c>
      <c r="N1719" t="b">
        <f t="shared" si="208"/>
        <v>0</v>
      </c>
      <c r="O1719" t="str">
        <f t="shared" si="215"/>
        <v>Standard order</v>
      </c>
      <c r="P1719" s="7">
        <f t="shared" si="209"/>
        <v>1.3295000000000001</v>
      </c>
      <c r="Q1719" s="7" t="str">
        <f>VLOOKUP(D1720,Product_Lookup!$A$2:$C$27,2,FALSE)</f>
        <v>Toaster</v>
      </c>
      <c r="R1719" s="7">
        <f t="shared" si="210"/>
        <v>79.77</v>
      </c>
    </row>
    <row r="1720" spans="1:18" ht="21.75" customHeight="1">
      <c r="A1720" t="s">
        <v>1871</v>
      </c>
      <c r="B1720" s="6">
        <v>45434</v>
      </c>
      <c r="C1720" t="s">
        <v>465</v>
      </c>
      <c r="D1720" t="s">
        <v>48</v>
      </c>
      <c r="E1720" t="s">
        <v>17</v>
      </c>
      <c r="F1720" t="s">
        <v>27</v>
      </c>
      <c r="G1720" t="s">
        <v>32</v>
      </c>
      <c r="H1720">
        <v>19</v>
      </c>
      <c r="I1720" t="str">
        <f>VLOOKUP(D1720,Product_Lookup!$A$2:$C$27,3,FALSE)</f>
        <v>$208.85</v>
      </c>
      <c r="J1720" t="str">
        <f t="shared" si="211"/>
        <v>Wednesday</v>
      </c>
      <c r="K1720" s="10" t="str">
        <f t="shared" si="212"/>
        <v>May</v>
      </c>
      <c r="L1720">
        <f t="shared" si="213"/>
        <v>2024</v>
      </c>
      <c r="M1720" t="b">
        <f t="shared" si="214"/>
        <v>0</v>
      </c>
      <c r="N1720" t="b">
        <f t="shared" si="208"/>
        <v>1</v>
      </c>
      <c r="O1720" t="str">
        <f t="shared" si="215"/>
        <v>Large Order</v>
      </c>
      <c r="P1720" s="7">
        <f t="shared" si="209"/>
        <v>10.442500000000001</v>
      </c>
      <c r="Q1720" s="7" t="str">
        <f>VLOOKUP(D1721,Product_Lookup!$A$2:$C$27,2,FALSE)</f>
        <v>Air Fryer</v>
      </c>
      <c r="R1720" s="7">
        <f t="shared" si="210"/>
        <v>3968.15</v>
      </c>
    </row>
    <row r="1721" spans="1:18" ht="21.75" customHeight="1">
      <c r="A1721" t="s">
        <v>1872</v>
      </c>
      <c r="B1721" s="6">
        <v>45339</v>
      </c>
      <c r="C1721" t="s">
        <v>388</v>
      </c>
      <c r="D1721" t="s">
        <v>70</v>
      </c>
      <c r="E1721" t="s">
        <v>22</v>
      </c>
      <c r="F1721" t="s">
        <v>42</v>
      </c>
      <c r="G1721" t="s">
        <v>13</v>
      </c>
      <c r="H1721">
        <v>18</v>
      </c>
      <c r="I1721" t="str">
        <f>VLOOKUP(D1721,Product_Lookup!$A$2:$C$27,3,FALSE)</f>
        <v>$211.9</v>
      </c>
      <c r="J1721" t="str">
        <f t="shared" si="211"/>
        <v>Saturday</v>
      </c>
      <c r="K1721" s="10" t="str">
        <f t="shared" si="212"/>
        <v>February</v>
      </c>
      <c r="L1721">
        <f t="shared" si="213"/>
        <v>2024</v>
      </c>
      <c r="M1721" t="b">
        <f t="shared" si="214"/>
        <v>1</v>
      </c>
      <c r="N1721" t="b">
        <f t="shared" si="208"/>
        <v>1</v>
      </c>
      <c r="O1721" t="str">
        <f t="shared" si="215"/>
        <v>Large Order</v>
      </c>
      <c r="P1721" s="7">
        <f t="shared" si="209"/>
        <v>10.595000000000001</v>
      </c>
      <c r="Q1721" s="7" t="str">
        <f>VLOOKUP(D1722,Product_Lookup!$A$2:$C$27,2,FALSE)</f>
        <v>Stapler</v>
      </c>
      <c r="R1721" s="7">
        <f t="shared" si="210"/>
        <v>3814.2000000000003</v>
      </c>
    </row>
    <row r="1722" spans="1:18" ht="21.75" customHeight="1">
      <c r="A1722" t="s">
        <v>1873</v>
      </c>
      <c r="B1722" s="6">
        <v>45511</v>
      </c>
      <c r="C1722" t="s">
        <v>133</v>
      </c>
      <c r="D1722" t="s">
        <v>35</v>
      </c>
      <c r="E1722" t="s">
        <v>17</v>
      </c>
      <c r="F1722" t="s">
        <v>42</v>
      </c>
      <c r="G1722" t="s">
        <v>32</v>
      </c>
      <c r="H1722">
        <v>11</v>
      </c>
      <c r="I1722" t="str">
        <f>VLOOKUP(D1722,Product_Lookup!$A$2:$C$27,3,FALSE)</f>
        <v>$64.61</v>
      </c>
      <c r="J1722" t="str">
        <f t="shared" si="211"/>
        <v>Wednesday</v>
      </c>
      <c r="K1722" s="10" t="str">
        <f t="shared" si="212"/>
        <v>August</v>
      </c>
      <c r="L1722">
        <f t="shared" si="213"/>
        <v>2024</v>
      </c>
      <c r="M1722" t="b">
        <f t="shared" si="214"/>
        <v>0</v>
      </c>
      <c r="N1722" t="b">
        <f t="shared" si="208"/>
        <v>0</v>
      </c>
      <c r="O1722" t="str">
        <f t="shared" si="215"/>
        <v>Large Order</v>
      </c>
      <c r="P1722" s="7">
        <f t="shared" si="209"/>
        <v>3.2305000000000001</v>
      </c>
      <c r="Q1722" s="7" t="str">
        <f>VLOOKUP(D1723,Product_Lookup!$A$2:$C$27,2,FALSE)</f>
        <v>Stapler</v>
      </c>
      <c r="R1722" s="7">
        <f t="shared" si="210"/>
        <v>710.71</v>
      </c>
    </row>
    <row r="1723" spans="1:18" ht="21.75" customHeight="1">
      <c r="A1723" t="s">
        <v>1874</v>
      </c>
      <c r="B1723" s="6">
        <v>45358</v>
      </c>
      <c r="C1723" t="s">
        <v>614</v>
      </c>
      <c r="D1723" t="s">
        <v>35</v>
      </c>
      <c r="E1723" t="s">
        <v>17</v>
      </c>
      <c r="F1723" t="s">
        <v>12</v>
      </c>
      <c r="G1723" t="s">
        <v>13</v>
      </c>
      <c r="H1723">
        <v>4</v>
      </c>
      <c r="I1723" t="str">
        <f>VLOOKUP(D1723,Product_Lookup!$A$2:$C$27,3,FALSE)</f>
        <v>$64.61</v>
      </c>
      <c r="J1723" t="str">
        <f t="shared" si="211"/>
        <v>Thursday</v>
      </c>
      <c r="K1723" s="10" t="str">
        <f t="shared" si="212"/>
        <v>March</v>
      </c>
      <c r="L1723">
        <f t="shared" si="213"/>
        <v>2024</v>
      </c>
      <c r="M1723" t="b">
        <f t="shared" si="214"/>
        <v>0</v>
      </c>
      <c r="N1723" t="b">
        <f t="shared" si="208"/>
        <v>0</v>
      </c>
      <c r="O1723" t="str">
        <f t="shared" si="215"/>
        <v>Standard order</v>
      </c>
      <c r="P1723" s="7">
        <f t="shared" si="209"/>
        <v>3.2305000000000001</v>
      </c>
      <c r="Q1723" s="7" t="str">
        <f>VLOOKUP(D1724,Product_Lookup!$A$2:$C$27,2,FALSE)</f>
        <v>Monitor</v>
      </c>
      <c r="R1723" s="7">
        <f t="shared" si="210"/>
        <v>258.44</v>
      </c>
    </row>
    <row r="1724" spans="1:18" ht="21.75" customHeight="1">
      <c r="A1724" t="s">
        <v>1875</v>
      </c>
      <c r="B1724" s="6">
        <v>45527</v>
      </c>
      <c r="C1724" t="s">
        <v>138</v>
      </c>
      <c r="D1724" t="s">
        <v>102</v>
      </c>
      <c r="E1724" t="s">
        <v>11</v>
      </c>
      <c r="F1724" t="s">
        <v>27</v>
      </c>
      <c r="G1724" t="s">
        <v>23</v>
      </c>
      <c r="H1724">
        <v>1</v>
      </c>
      <c r="I1724" t="str">
        <f>VLOOKUP(D1724,Product_Lookup!$A$2:$C$27,3,FALSE)</f>
        <v>$145.48</v>
      </c>
      <c r="J1724" t="str">
        <f t="shared" si="211"/>
        <v>Friday</v>
      </c>
      <c r="K1724" s="10" t="str">
        <f t="shared" si="212"/>
        <v>August</v>
      </c>
      <c r="L1724">
        <f t="shared" si="213"/>
        <v>2024</v>
      </c>
      <c r="M1724" t="b">
        <f t="shared" si="214"/>
        <v>0</v>
      </c>
      <c r="N1724" t="b">
        <f t="shared" si="208"/>
        <v>0</v>
      </c>
      <c r="O1724" t="str">
        <f t="shared" si="215"/>
        <v>Standard order</v>
      </c>
      <c r="P1724" s="7">
        <f t="shared" si="209"/>
        <v>7.274</v>
      </c>
      <c r="Q1724" s="7" t="str">
        <f>VLOOKUP(D1725,Product_Lookup!$A$2:$C$27,2,FALSE)</f>
        <v>Puzzle</v>
      </c>
      <c r="R1724" s="7">
        <f t="shared" si="210"/>
        <v>145.47999999999999</v>
      </c>
    </row>
    <row r="1725" spans="1:18" ht="21.75" customHeight="1">
      <c r="A1725" t="s">
        <v>1876</v>
      </c>
      <c r="B1725" s="6">
        <v>45511</v>
      </c>
      <c r="C1725" t="s">
        <v>104</v>
      </c>
      <c r="D1725" t="s">
        <v>62</v>
      </c>
      <c r="E1725" t="s">
        <v>11</v>
      </c>
      <c r="F1725" t="s">
        <v>42</v>
      </c>
      <c r="G1725" t="s">
        <v>28</v>
      </c>
      <c r="H1725">
        <v>9</v>
      </c>
      <c r="I1725" t="str">
        <f>VLOOKUP(D1725,Product_Lookup!$A$2:$C$27,3,FALSE)</f>
        <v>$46.19</v>
      </c>
      <c r="J1725" t="str">
        <f t="shared" si="211"/>
        <v>Wednesday</v>
      </c>
      <c r="K1725" s="10" t="str">
        <f t="shared" si="212"/>
        <v>August</v>
      </c>
      <c r="L1725">
        <f t="shared" si="213"/>
        <v>2024</v>
      </c>
      <c r="M1725" t="b">
        <f t="shared" si="214"/>
        <v>0</v>
      </c>
      <c r="N1725" t="b">
        <f t="shared" si="208"/>
        <v>0</v>
      </c>
      <c r="O1725" t="str">
        <f t="shared" si="215"/>
        <v>Standard order</v>
      </c>
      <c r="P1725" s="7">
        <f t="shared" si="209"/>
        <v>2.3094999999999999</v>
      </c>
      <c r="Q1725" s="7" t="str">
        <f>VLOOKUP(D1726,Product_Lookup!$A$2:$C$27,2,FALSE)</f>
        <v>Tablet</v>
      </c>
      <c r="R1725" s="7">
        <f t="shared" si="210"/>
        <v>415.71</v>
      </c>
    </row>
    <row r="1726" spans="1:18" ht="21.75" customHeight="1">
      <c r="A1726" t="s">
        <v>1877</v>
      </c>
      <c r="B1726" s="6">
        <v>45476</v>
      </c>
      <c r="C1726" t="s">
        <v>230</v>
      </c>
      <c r="D1726" t="s">
        <v>10</v>
      </c>
      <c r="E1726" t="s">
        <v>17</v>
      </c>
      <c r="F1726" t="s">
        <v>56</v>
      </c>
      <c r="G1726" t="s">
        <v>13</v>
      </c>
      <c r="H1726">
        <v>13</v>
      </c>
      <c r="I1726" t="str">
        <f>VLOOKUP(D1726,Product_Lookup!$A$2:$C$27,3,FALSE)</f>
        <v>$146.06</v>
      </c>
      <c r="J1726" t="str">
        <f t="shared" si="211"/>
        <v>Wednesday</v>
      </c>
      <c r="K1726" s="10" t="str">
        <f t="shared" si="212"/>
        <v>July</v>
      </c>
      <c r="L1726">
        <f t="shared" si="213"/>
        <v>2024</v>
      </c>
      <c r="M1726" t="b">
        <f t="shared" si="214"/>
        <v>0</v>
      </c>
      <c r="N1726" t="b">
        <f t="shared" si="208"/>
        <v>1</v>
      </c>
      <c r="O1726" t="str">
        <f t="shared" si="215"/>
        <v>Large Order</v>
      </c>
      <c r="P1726" s="7">
        <f t="shared" si="209"/>
        <v>7.3030000000000008</v>
      </c>
      <c r="Q1726" s="7" t="str">
        <f>VLOOKUP(D1727,Product_Lookup!$A$2:$C$27,2,FALSE)</f>
        <v>Jacket</v>
      </c>
      <c r="R1726" s="7">
        <f t="shared" si="210"/>
        <v>1898.78</v>
      </c>
    </row>
    <row r="1727" spans="1:18" ht="21.75" customHeight="1">
      <c r="A1727" t="s">
        <v>1878</v>
      </c>
      <c r="B1727" s="6">
        <v>45650</v>
      </c>
      <c r="C1727" t="s">
        <v>664</v>
      </c>
      <c r="D1727" t="s">
        <v>197</v>
      </c>
      <c r="E1727" t="s">
        <v>17</v>
      </c>
      <c r="F1727" t="s">
        <v>12</v>
      </c>
      <c r="G1727" t="s">
        <v>13</v>
      </c>
      <c r="H1727">
        <v>1</v>
      </c>
      <c r="I1727" t="str">
        <f>VLOOKUP(D1727,Product_Lookup!$A$2:$C$27,3,FALSE)</f>
        <v>$10.11</v>
      </c>
      <c r="J1727" t="str">
        <f t="shared" si="211"/>
        <v>Tuesday</v>
      </c>
      <c r="K1727" s="10" t="str">
        <f t="shared" si="212"/>
        <v>December</v>
      </c>
      <c r="L1727">
        <f t="shared" si="213"/>
        <v>2024</v>
      </c>
      <c r="M1727" t="b">
        <f t="shared" si="214"/>
        <v>0</v>
      </c>
      <c r="N1727" t="b">
        <f t="shared" si="208"/>
        <v>0</v>
      </c>
      <c r="O1727" t="str">
        <f t="shared" si="215"/>
        <v>Standard order</v>
      </c>
      <c r="P1727" s="7">
        <f t="shared" si="209"/>
        <v>0.50549999999999995</v>
      </c>
      <c r="Q1727" s="7" t="str">
        <f>VLOOKUP(D1728,Product_Lookup!$A$2:$C$27,2,FALSE)</f>
        <v>Desk Lamp</v>
      </c>
      <c r="R1727" s="7">
        <f t="shared" si="210"/>
        <v>10.11</v>
      </c>
    </row>
    <row r="1728" spans="1:18" ht="21.75" customHeight="1">
      <c r="A1728" t="s">
        <v>1879</v>
      </c>
      <c r="B1728" s="6">
        <v>45331</v>
      </c>
      <c r="C1728" t="s">
        <v>34</v>
      </c>
      <c r="D1728" t="s">
        <v>59</v>
      </c>
      <c r="E1728" t="s">
        <v>11</v>
      </c>
      <c r="F1728" t="s">
        <v>306</v>
      </c>
      <c r="G1728" t="s">
        <v>23</v>
      </c>
      <c r="H1728">
        <v>1</v>
      </c>
      <c r="I1728" t="str">
        <f>VLOOKUP(D1728,Product_Lookup!$A$2:$C$27,3,FALSE)</f>
        <v>$101.96</v>
      </c>
      <c r="J1728" t="str">
        <f t="shared" si="211"/>
        <v>Friday</v>
      </c>
      <c r="K1728" s="10" t="str">
        <f t="shared" si="212"/>
        <v>February</v>
      </c>
      <c r="L1728">
        <f t="shared" si="213"/>
        <v>2024</v>
      </c>
      <c r="M1728" t="b">
        <f t="shared" si="214"/>
        <v>0</v>
      </c>
      <c r="N1728" t="b">
        <f t="shared" si="208"/>
        <v>0</v>
      </c>
      <c r="O1728" t="str">
        <f t="shared" si="215"/>
        <v>Standard order</v>
      </c>
      <c r="P1728" s="7">
        <f t="shared" si="209"/>
        <v>5.0979999999999999</v>
      </c>
      <c r="Q1728" s="7" t="str">
        <f>VLOOKUP(D1729,Product_Lookup!$A$2:$C$27,2,FALSE)</f>
        <v>Vacuum</v>
      </c>
      <c r="R1728" s="7">
        <f t="shared" si="210"/>
        <v>101.96</v>
      </c>
    </row>
    <row r="1729" spans="1:18" ht="21.75" customHeight="1">
      <c r="A1729" t="s">
        <v>1880</v>
      </c>
      <c r="B1729" s="6">
        <v>45467</v>
      </c>
      <c r="C1729" t="s">
        <v>114</v>
      </c>
      <c r="D1729" t="s">
        <v>87</v>
      </c>
      <c r="E1729" t="s">
        <v>22</v>
      </c>
      <c r="F1729" t="s">
        <v>56</v>
      </c>
      <c r="G1729" t="s">
        <v>23</v>
      </c>
      <c r="H1729">
        <v>3</v>
      </c>
      <c r="I1729" t="str">
        <f>VLOOKUP(D1729,Product_Lookup!$A$2:$C$27,3,FALSE)</f>
        <v>$26.59</v>
      </c>
      <c r="J1729" t="str">
        <f t="shared" si="211"/>
        <v>Monday</v>
      </c>
      <c r="K1729" s="10" t="str">
        <f t="shared" si="212"/>
        <v>June</v>
      </c>
      <c r="L1729">
        <f t="shared" si="213"/>
        <v>2024</v>
      </c>
      <c r="M1729" t="b">
        <f t="shared" si="214"/>
        <v>0</v>
      </c>
      <c r="N1729" t="b">
        <f t="shared" si="208"/>
        <v>0</v>
      </c>
      <c r="O1729" t="str">
        <f t="shared" si="215"/>
        <v>Standard order</v>
      </c>
      <c r="P1729" s="7">
        <f t="shared" si="209"/>
        <v>1.3295000000000001</v>
      </c>
      <c r="Q1729" s="7" t="str">
        <f>VLOOKUP(D1730,Product_Lookup!$A$2:$C$27,2,FALSE)</f>
        <v>Monitor</v>
      </c>
      <c r="R1729" s="7">
        <f t="shared" si="210"/>
        <v>79.77</v>
      </c>
    </row>
    <row r="1730" spans="1:18" ht="21.75" customHeight="1">
      <c r="A1730" t="s">
        <v>1881</v>
      </c>
      <c r="B1730" s="6">
        <v>45337</v>
      </c>
      <c r="C1730" t="s">
        <v>388</v>
      </c>
      <c r="D1730" t="s">
        <v>102</v>
      </c>
      <c r="E1730" t="s">
        <v>11</v>
      </c>
      <c r="F1730" t="s">
        <v>42</v>
      </c>
      <c r="G1730" t="s">
        <v>32</v>
      </c>
      <c r="H1730">
        <v>10</v>
      </c>
      <c r="I1730" t="str">
        <f>VLOOKUP(D1730,Product_Lookup!$A$2:$C$27,3,FALSE)</f>
        <v>$145.48</v>
      </c>
      <c r="J1730" t="str">
        <f t="shared" si="211"/>
        <v>Thursday</v>
      </c>
      <c r="K1730" s="10" t="str">
        <f t="shared" si="212"/>
        <v>February</v>
      </c>
      <c r="L1730">
        <f t="shared" si="213"/>
        <v>2024</v>
      </c>
      <c r="M1730" t="b">
        <f t="shared" si="214"/>
        <v>0</v>
      </c>
      <c r="N1730" t="b">
        <f t="shared" ref="N1730:N1793" si="216">AND(R1730&gt;750, H1730&gt;5)</f>
        <v>1</v>
      </c>
      <c r="O1730" t="str">
        <f t="shared" si="215"/>
        <v>Large Order</v>
      </c>
      <c r="P1730" s="7">
        <f t="shared" ref="P1730:P1793" si="217">I1730*$S$2</f>
        <v>7.274</v>
      </c>
      <c r="Q1730" s="7" t="str">
        <f>VLOOKUP(D1731,Product_Lookup!$A$2:$C$27,2,FALSE)</f>
        <v>Board Game</v>
      </c>
      <c r="R1730" s="7">
        <f t="shared" ref="R1730:R1793" si="218">H1730*I1730</f>
        <v>1454.8</v>
      </c>
    </row>
    <row r="1731" spans="1:18" ht="21.75" customHeight="1">
      <c r="A1731" t="s">
        <v>1882</v>
      </c>
      <c r="B1731" s="6">
        <v>45360</v>
      </c>
      <c r="C1731" t="s">
        <v>736</v>
      </c>
      <c r="D1731" t="s">
        <v>41</v>
      </c>
      <c r="E1731" t="s">
        <v>11</v>
      </c>
      <c r="F1731" t="s">
        <v>12</v>
      </c>
      <c r="G1731" t="s">
        <v>36</v>
      </c>
      <c r="H1731">
        <v>19</v>
      </c>
      <c r="I1731" t="str">
        <f>VLOOKUP(D1731,Product_Lookup!$A$2:$C$27,3,FALSE)</f>
        <v>$86.6</v>
      </c>
      <c r="J1731" t="str">
        <f t="shared" ref="J1731:J1794" si="219">TEXT(B1731, "dddd")</f>
        <v>Saturday</v>
      </c>
      <c r="K1731" s="10" t="str">
        <f t="shared" ref="K1731:K1794" si="220">TEXT(B1731, "mmmm")</f>
        <v>March</v>
      </c>
      <c r="L1731">
        <f t="shared" ref="L1731:L1794" si="221">YEAR(B1731)</f>
        <v>2024</v>
      </c>
      <c r="M1731" t="b">
        <f t="shared" ref="M1731:M1794" si="222">OR(J1731="Saturday", J1731="Sunday")</f>
        <v>1</v>
      </c>
      <c r="N1731" t="b">
        <f t="shared" si="216"/>
        <v>1</v>
      </c>
      <c r="O1731" t="str">
        <f t="shared" ref="O1731:O1794" si="223">IF(R1731&gt;500,"Large Order","Standard order")</f>
        <v>Large Order</v>
      </c>
      <c r="P1731" s="7">
        <f t="shared" si="217"/>
        <v>4.33</v>
      </c>
      <c r="Q1731" s="7" t="str">
        <f>VLOOKUP(D1732,Product_Lookup!$A$2:$C$27,2,FALSE)</f>
        <v>Air Fryer</v>
      </c>
      <c r="R1731" s="7">
        <f t="shared" si="218"/>
        <v>1645.3999999999999</v>
      </c>
    </row>
    <row r="1732" spans="1:18" ht="21.75" customHeight="1">
      <c r="A1732" t="s">
        <v>1883</v>
      </c>
      <c r="B1732" s="6">
        <v>45624</v>
      </c>
      <c r="C1732" t="s">
        <v>30</v>
      </c>
      <c r="D1732" t="s">
        <v>70</v>
      </c>
      <c r="E1732" t="s">
        <v>17</v>
      </c>
      <c r="F1732" t="s">
        <v>56</v>
      </c>
      <c r="G1732" t="s">
        <v>28</v>
      </c>
      <c r="H1732">
        <v>14</v>
      </c>
      <c r="I1732" t="str">
        <f>VLOOKUP(D1732,Product_Lookup!$A$2:$C$27,3,FALSE)</f>
        <v>$211.9</v>
      </c>
      <c r="J1732" t="str">
        <f t="shared" si="219"/>
        <v>Thursday</v>
      </c>
      <c r="K1732" s="10" t="str">
        <f t="shared" si="220"/>
        <v>November</v>
      </c>
      <c r="L1732">
        <f t="shared" si="221"/>
        <v>2024</v>
      </c>
      <c r="M1732" t="b">
        <f t="shared" si="222"/>
        <v>0</v>
      </c>
      <c r="N1732" t="b">
        <f t="shared" si="216"/>
        <v>1</v>
      </c>
      <c r="O1732" t="str">
        <f t="shared" si="223"/>
        <v>Large Order</v>
      </c>
      <c r="P1732" s="7">
        <f t="shared" si="217"/>
        <v>10.595000000000001</v>
      </c>
      <c r="Q1732" s="7" t="str">
        <f>VLOOKUP(D1733,Product_Lookup!$A$2:$C$27,2,FALSE)</f>
        <v>Tablet</v>
      </c>
      <c r="R1732" s="7">
        <f t="shared" si="218"/>
        <v>2966.6</v>
      </c>
    </row>
    <row r="1733" spans="1:18" ht="21.75" customHeight="1">
      <c r="A1733" t="s">
        <v>1884</v>
      </c>
      <c r="B1733" s="6">
        <v>45518</v>
      </c>
      <c r="C1733" t="s">
        <v>133</v>
      </c>
      <c r="D1733" t="s">
        <v>10</v>
      </c>
      <c r="E1733" t="s">
        <v>11</v>
      </c>
      <c r="F1733" t="s">
        <v>56</v>
      </c>
      <c r="G1733" t="s">
        <v>13</v>
      </c>
      <c r="H1733">
        <v>19</v>
      </c>
      <c r="I1733" t="str">
        <f>VLOOKUP(D1733,Product_Lookup!$A$2:$C$27,3,FALSE)</f>
        <v>$146.06</v>
      </c>
      <c r="J1733" t="str">
        <f t="shared" si="219"/>
        <v>Wednesday</v>
      </c>
      <c r="K1733" s="10" t="str">
        <f t="shared" si="220"/>
        <v>August</v>
      </c>
      <c r="L1733">
        <f t="shared" si="221"/>
        <v>2024</v>
      </c>
      <c r="M1733" t="b">
        <f t="shared" si="222"/>
        <v>0</v>
      </c>
      <c r="N1733" t="b">
        <f t="shared" si="216"/>
        <v>1</v>
      </c>
      <c r="O1733" t="str">
        <f t="shared" si="223"/>
        <v>Large Order</v>
      </c>
      <c r="P1733" s="7">
        <f t="shared" si="217"/>
        <v>7.3030000000000008</v>
      </c>
      <c r="Q1733" s="7" t="str">
        <f>VLOOKUP(D1734,Product_Lookup!$A$2:$C$27,2,FALSE)</f>
        <v>Blender</v>
      </c>
      <c r="R1733" s="7">
        <f t="shared" si="218"/>
        <v>2775.14</v>
      </c>
    </row>
    <row r="1734" spans="1:18" ht="21.75" customHeight="1">
      <c r="A1734" t="s">
        <v>1885</v>
      </c>
      <c r="B1734" s="6">
        <v>45471</v>
      </c>
      <c r="C1734" t="s">
        <v>309</v>
      </c>
      <c r="D1734" t="s">
        <v>72</v>
      </c>
      <c r="E1734" t="s">
        <v>11</v>
      </c>
      <c r="F1734" t="s">
        <v>56</v>
      </c>
      <c r="G1734" t="s">
        <v>32</v>
      </c>
      <c r="H1734">
        <v>3</v>
      </c>
      <c r="I1734" t="str">
        <f>VLOOKUP(D1734,Product_Lookup!$A$2:$C$27,3,FALSE)</f>
        <v>$156.44</v>
      </c>
      <c r="J1734" t="str">
        <f t="shared" si="219"/>
        <v>Friday</v>
      </c>
      <c r="K1734" s="10" t="str">
        <f t="shared" si="220"/>
        <v>June</v>
      </c>
      <c r="L1734">
        <f t="shared" si="221"/>
        <v>2024</v>
      </c>
      <c r="M1734" t="b">
        <f t="shared" si="222"/>
        <v>0</v>
      </c>
      <c r="N1734" t="b">
        <f t="shared" si="216"/>
        <v>0</v>
      </c>
      <c r="O1734" t="str">
        <f t="shared" si="223"/>
        <v>Standard order</v>
      </c>
      <c r="P1734" s="7">
        <f t="shared" si="217"/>
        <v>7.8220000000000001</v>
      </c>
      <c r="Q1734" s="7" t="str">
        <f>VLOOKUP(D1735,Product_Lookup!$A$2:$C$27,2,FALSE)</f>
        <v>Lego Set</v>
      </c>
      <c r="R1734" s="7">
        <f t="shared" si="218"/>
        <v>469.32</v>
      </c>
    </row>
    <row r="1735" spans="1:18" ht="21.75" customHeight="1">
      <c r="A1735" t="s">
        <v>1886</v>
      </c>
      <c r="B1735" s="6">
        <v>45599</v>
      </c>
      <c r="C1735" t="s">
        <v>327</v>
      </c>
      <c r="D1735" t="s">
        <v>84</v>
      </c>
      <c r="E1735" t="s">
        <v>22</v>
      </c>
      <c r="F1735" t="s">
        <v>42</v>
      </c>
      <c r="G1735" t="s">
        <v>13</v>
      </c>
      <c r="H1735">
        <v>10</v>
      </c>
      <c r="I1735" t="str">
        <f>VLOOKUP(D1735,Product_Lookup!$A$2:$C$27,3,FALSE)</f>
        <v>$130.07</v>
      </c>
      <c r="J1735" t="str">
        <f t="shared" si="219"/>
        <v>Sunday</v>
      </c>
      <c r="K1735" s="10" t="str">
        <f t="shared" si="220"/>
        <v>November</v>
      </c>
      <c r="L1735">
        <f t="shared" si="221"/>
        <v>2024</v>
      </c>
      <c r="M1735" t="b">
        <f t="shared" si="222"/>
        <v>1</v>
      </c>
      <c r="N1735" t="b">
        <f t="shared" si="216"/>
        <v>1</v>
      </c>
      <c r="O1735" t="str">
        <f t="shared" si="223"/>
        <v>Large Order</v>
      </c>
      <c r="P1735" s="7">
        <f t="shared" si="217"/>
        <v>6.5034999999999998</v>
      </c>
      <c r="Q1735" s="7" t="str">
        <f>VLOOKUP(D1736,Product_Lookup!$A$2:$C$27,2,FALSE)</f>
        <v>Jeans</v>
      </c>
      <c r="R1735" s="7">
        <f t="shared" si="218"/>
        <v>1300.6999999999998</v>
      </c>
    </row>
    <row r="1736" spans="1:18" ht="21.75" customHeight="1">
      <c r="A1736" t="s">
        <v>1887</v>
      </c>
      <c r="B1736" s="6">
        <v>45602</v>
      </c>
      <c r="C1736" t="s">
        <v>345</v>
      </c>
      <c r="D1736" t="s">
        <v>65</v>
      </c>
      <c r="E1736" t="s">
        <v>22</v>
      </c>
      <c r="F1736" t="s">
        <v>27</v>
      </c>
      <c r="G1736" t="s">
        <v>32</v>
      </c>
      <c r="H1736">
        <v>2</v>
      </c>
      <c r="I1736" t="str">
        <f>VLOOKUP(D1736,Product_Lookup!$A$2:$C$27,3,FALSE)</f>
        <v>$33.22</v>
      </c>
      <c r="J1736" t="str">
        <f t="shared" si="219"/>
        <v>Wednesday</v>
      </c>
      <c r="K1736" s="10" t="str">
        <f t="shared" si="220"/>
        <v>November</v>
      </c>
      <c r="L1736">
        <f t="shared" si="221"/>
        <v>2024</v>
      </c>
      <c r="M1736" t="b">
        <f t="shared" si="222"/>
        <v>0</v>
      </c>
      <c r="N1736" t="b">
        <f t="shared" si="216"/>
        <v>0</v>
      </c>
      <c r="O1736" t="str">
        <f t="shared" si="223"/>
        <v>Standard order</v>
      </c>
      <c r="P1736" s="7">
        <f t="shared" si="217"/>
        <v>1.661</v>
      </c>
      <c r="Q1736" s="7" t="str">
        <f>VLOOKUP(D1737,Product_Lookup!$A$2:$C$27,2,FALSE)</f>
        <v>Coffee Maker</v>
      </c>
      <c r="R1736" s="7">
        <f t="shared" si="218"/>
        <v>66.44</v>
      </c>
    </row>
    <row r="1737" spans="1:18" ht="21.75" customHeight="1">
      <c r="A1737" t="s">
        <v>1888</v>
      </c>
      <c r="B1737" s="6">
        <v>45414</v>
      </c>
      <c r="C1737" t="s">
        <v>432</v>
      </c>
      <c r="D1737" t="s">
        <v>31</v>
      </c>
      <c r="E1737" t="s">
        <v>11</v>
      </c>
      <c r="F1737" t="s">
        <v>56</v>
      </c>
      <c r="G1737" t="s">
        <v>23</v>
      </c>
      <c r="H1737">
        <v>20</v>
      </c>
      <c r="I1737" t="str">
        <f>VLOOKUP(D1737,Product_Lookup!$A$2:$C$27,3,FALSE)</f>
        <v>$230.34</v>
      </c>
      <c r="J1737" t="str">
        <f t="shared" si="219"/>
        <v>Thursday</v>
      </c>
      <c r="K1737" s="10" t="str">
        <f t="shared" si="220"/>
        <v>May</v>
      </c>
      <c r="L1737">
        <f t="shared" si="221"/>
        <v>2024</v>
      </c>
      <c r="M1737" t="b">
        <f t="shared" si="222"/>
        <v>0</v>
      </c>
      <c r="N1737" t="b">
        <f t="shared" si="216"/>
        <v>1</v>
      </c>
      <c r="O1737" t="str">
        <f t="shared" si="223"/>
        <v>Large Order</v>
      </c>
      <c r="P1737" s="7">
        <f t="shared" si="217"/>
        <v>11.517000000000001</v>
      </c>
      <c r="Q1737" s="7" t="str">
        <f>VLOOKUP(D1738,Product_Lookup!$A$2:$C$27,2,FALSE)</f>
        <v>Blender</v>
      </c>
      <c r="R1737" s="7">
        <f t="shared" si="218"/>
        <v>4606.8</v>
      </c>
    </row>
    <row r="1738" spans="1:18" ht="21.75" customHeight="1">
      <c r="A1738" t="s">
        <v>1889</v>
      </c>
      <c r="B1738" s="6">
        <v>45298</v>
      </c>
      <c r="C1738" t="s">
        <v>83</v>
      </c>
      <c r="D1738" t="s">
        <v>72</v>
      </c>
      <c r="E1738" t="s">
        <v>11</v>
      </c>
      <c r="F1738" t="s">
        <v>27</v>
      </c>
      <c r="G1738" t="s">
        <v>36</v>
      </c>
      <c r="H1738">
        <v>14</v>
      </c>
      <c r="I1738" t="str">
        <f>VLOOKUP(D1738,Product_Lookup!$A$2:$C$27,3,FALSE)</f>
        <v>$156.44</v>
      </c>
      <c r="J1738" t="str">
        <f t="shared" si="219"/>
        <v>Sunday</v>
      </c>
      <c r="K1738" s="10" t="str">
        <f t="shared" si="220"/>
        <v>January</v>
      </c>
      <c r="L1738">
        <f t="shared" si="221"/>
        <v>2024</v>
      </c>
      <c r="M1738" t="b">
        <f t="shared" si="222"/>
        <v>1</v>
      </c>
      <c r="N1738" t="b">
        <f t="shared" si="216"/>
        <v>1</v>
      </c>
      <c r="O1738" t="str">
        <f t="shared" si="223"/>
        <v>Large Order</v>
      </c>
      <c r="P1738" s="7">
        <f t="shared" si="217"/>
        <v>7.8220000000000001</v>
      </c>
      <c r="Q1738" s="7" t="str">
        <f>VLOOKUP(D1739,Product_Lookup!$A$2:$C$27,2,FALSE)</f>
        <v>Doll</v>
      </c>
      <c r="R1738" s="7">
        <f t="shared" si="218"/>
        <v>2190.16</v>
      </c>
    </row>
    <row r="1739" spans="1:18" ht="21.75" customHeight="1">
      <c r="A1739" t="s">
        <v>1890</v>
      </c>
      <c r="B1739" s="6">
        <v>45641</v>
      </c>
      <c r="C1739" t="s">
        <v>235</v>
      </c>
      <c r="D1739" t="s">
        <v>119</v>
      </c>
      <c r="E1739" t="s">
        <v>17</v>
      </c>
      <c r="F1739" t="s">
        <v>12</v>
      </c>
      <c r="G1739" t="s">
        <v>13</v>
      </c>
      <c r="H1739">
        <v>19</v>
      </c>
      <c r="I1739" t="str">
        <f>VLOOKUP(D1739,Product_Lookup!$A$2:$C$27,3,FALSE)</f>
        <v>$32.94</v>
      </c>
      <c r="J1739" t="str">
        <f t="shared" si="219"/>
        <v>Sunday</v>
      </c>
      <c r="K1739" s="10" t="str">
        <f t="shared" si="220"/>
        <v>December</v>
      </c>
      <c r="L1739">
        <f t="shared" si="221"/>
        <v>2024</v>
      </c>
      <c r="M1739" t="b">
        <f t="shared" si="222"/>
        <v>1</v>
      </c>
      <c r="N1739" t="b">
        <f t="shared" si="216"/>
        <v>0</v>
      </c>
      <c r="O1739" t="str">
        <f t="shared" si="223"/>
        <v>Large Order</v>
      </c>
      <c r="P1739" s="7">
        <f t="shared" si="217"/>
        <v>1.647</v>
      </c>
      <c r="Q1739" s="7" t="str">
        <f>VLOOKUP(D1740,Product_Lookup!$A$2:$C$27,2,FALSE)</f>
        <v>Smartphone</v>
      </c>
      <c r="R1739" s="7">
        <f t="shared" si="218"/>
        <v>625.8599999999999</v>
      </c>
    </row>
    <row r="1740" spans="1:18" ht="21.75" customHeight="1">
      <c r="A1740" t="s">
        <v>1891</v>
      </c>
      <c r="B1740" s="6">
        <v>45426</v>
      </c>
      <c r="C1740" t="s">
        <v>133</v>
      </c>
      <c r="D1740" t="s">
        <v>79</v>
      </c>
      <c r="E1740" t="s">
        <v>11</v>
      </c>
      <c r="F1740" t="s">
        <v>27</v>
      </c>
      <c r="G1740" t="s">
        <v>36</v>
      </c>
      <c r="H1740">
        <v>10</v>
      </c>
      <c r="I1740" t="str">
        <f>VLOOKUP(D1740,Product_Lookup!$A$2:$C$27,3,FALSE)</f>
        <v>$216.22</v>
      </c>
      <c r="J1740" t="str">
        <f t="shared" si="219"/>
        <v>Tuesday</v>
      </c>
      <c r="K1740" s="10" t="str">
        <f t="shared" si="220"/>
        <v>May</v>
      </c>
      <c r="L1740">
        <f t="shared" si="221"/>
        <v>2024</v>
      </c>
      <c r="M1740" t="b">
        <f t="shared" si="222"/>
        <v>0</v>
      </c>
      <c r="N1740" t="b">
        <f t="shared" si="216"/>
        <v>1</v>
      </c>
      <c r="O1740" t="str">
        <f t="shared" si="223"/>
        <v>Large Order</v>
      </c>
      <c r="P1740" s="7">
        <f t="shared" si="217"/>
        <v>10.811</v>
      </c>
      <c r="Q1740" s="7" t="str">
        <f>VLOOKUP(D1741,Product_Lookup!$A$2:$C$27,2,FALSE)</f>
        <v>Vacuum</v>
      </c>
      <c r="R1740" s="7">
        <f t="shared" si="218"/>
        <v>2162.1999999999998</v>
      </c>
    </row>
    <row r="1741" spans="1:18" ht="21.75" customHeight="1">
      <c r="A1741" t="s">
        <v>1892</v>
      </c>
      <c r="B1741" s="6">
        <v>45548</v>
      </c>
      <c r="C1741" t="s">
        <v>337</v>
      </c>
      <c r="D1741" t="s">
        <v>87</v>
      </c>
      <c r="E1741" t="s">
        <v>17</v>
      </c>
      <c r="F1741" t="s">
        <v>27</v>
      </c>
      <c r="G1741" t="s">
        <v>13</v>
      </c>
      <c r="H1741">
        <v>18</v>
      </c>
      <c r="I1741" t="str">
        <f>VLOOKUP(D1741,Product_Lookup!$A$2:$C$27,3,FALSE)</f>
        <v>$26.59</v>
      </c>
      <c r="J1741" t="str">
        <f t="shared" si="219"/>
        <v>Friday</v>
      </c>
      <c r="K1741" s="10" t="str">
        <f t="shared" si="220"/>
        <v>September</v>
      </c>
      <c r="L1741">
        <f t="shared" si="221"/>
        <v>2024</v>
      </c>
      <c r="M1741" t="b">
        <f t="shared" si="222"/>
        <v>0</v>
      </c>
      <c r="N1741" t="b">
        <f t="shared" si="216"/>
        <v>0</v>
      </c>
      <c r="O1741" t="str">
        <f t="shared" si="223"/>
        <v>Standard order</v>
      </c>
      <c r="P1741" s="7">
        <f t="shared" si="217"/>
        <v>1.3295000000000001</v>
      </c>
      <c r="Q1741" s="7" t="str">
        <f>VLOOKUP(D1742,Product_Lookup!$A$2:$C$27,2,FALSE)</f>
        <v>Tablet</v>
      </c>
      <c r="R1741" s="7">
        <f t="shared" si="218"/>
        <v>478.62</v>
      </c>
    </row>
    <row r="1742" spans="1:18" ht="21.75" customHeight="1">
      <c r="A1742" t="s">
        <v>1893</v>
      </c>
      <c r="B1742" s="6">
        <v>45370</v>
      </c>
      <c r="C1742" t="s">
        <v>89</v>
      </c>
      <c r="D1742" t="s">
        <v>10</v>
      </c>
      <c r="E1742" t="s">
        <v>17</v>
      </c>
      <c r="F1742" t="s">
        <v>12</v>
      </c>
      <c r="G1742" t="s">
        <v>36</v>
      </c>
      <c r="H1742">
        <v>7</v>
      </c>
      <c r="I1742" t="str">
        <f>VLOOKUP(D1742,Product_Lookup!$A$2:$C$27,3,FALSE)</f>
        <v>$146.06</v>
      </c>
      <c r="J1742" t="str">
        <f t="shared" si="219"/>
        <v>Tuesday</v>
      </c>
      <c r="K1742" s="10" t="str">
        <f t="shared" si="220"/>
        <v>March</v>
      </c>
      <c r="L1742">
        <f t="shared" si="221"/>
        <v>2024</v>
      </c>
      <c r="M1742" t="b">
        <f t="shared" si="222"/>
        <v>0</v>
      </c>
      <c r="N1742" t="b">
        <f t="shared" si="216"/>
        <v>1</v>
      </c>
      <c r="O1742" t="str">
        <f t="shared" si="223"/>
        <v>Large Order</v>
      </c>
      <c r="P1742" s="7">
        <f t="shared" si="217"/>
        <v>7.3030000000000008</v>
      </c>
      <c r="Q1742" s="7" t="str">
        <f>VLOOKUP(D1743,Product_Lookup!$A$2:$C$27,2,FALSE)</f>
        <v>Blender</v>
      </c>
      <c r="R1742" s="7">
        <f t="shared" si="218"/>
        <v>1022.4200000000001</v>
      </c>
    </row>
    <row r="1743" spans="1:18" ht="21.75" customHeight="1">
      <c r="A1743" t="s">
        <v>1894</v>
      </c>
      <c r="B1743" s="6">
        <v>45371</v>
      </c>
      <c r="C1743" t="s">
        <v>312</v>
      </c>
      <c r="D1743" t="s">
        <v>72</v>
      </c>
      <c r="E1743" t="s">
        <v>17</v>
      </c>
      <c r="F1743" t="s">
        <v>306</v>
      </c>
      <c r="G1743" t="s">
        <v>13</v>
      </c>
      <c r="H1743">
        <v>10</v>
      </c>
      <c r="I1743" t="str">
        <f>VLOOKUP(D1743,Product_Lookup!$A$2:$C$27,3,FALSE)</f>
        <v>$156.44</v>
      </c>
      <c r="J1743" t="str">
        <f t="shared" si="219"/>
        <v>Wednesday</v>
      </c>
      <c r="K1743" s="10" t="str">
        <f t="shared" si="220"/>
        <v>March</v>
      </c>
      <c r="L1743">
        <f t="shared" si="221"/>
        <v>2024</v>
      </c>
      <c r="M1743" t="b">
        <f t="shared" si="222"/>
        <v>0</v>
      </c>
      <c r="N1743" t="b">
        <f t="shared" si="216"/>
        <v>1</v>
      </c>
      <c r="O1743" t="str">
        <f t="shared" si="223"/>
        <v>Large Order</v>
      </c>
      <c r="P1743" s="7">
        <f t="shared" si="217"/>
        <v>7.8220000000000001</v>
      </c>
      <c r="Q1743" s="7" t="str">
        <f>VLOOKUP(D1744,Product_Lookup!$A$2:$C$27,2,FALSE)</f>
        <v>Jacket</v>
      </c>
      <c r="R1743" s="7">
        <f t="shared" si="218"/>
        <v>1564.4</v>
      </c>
    </row>
    <row r="1744" spans="1:18" ht="21.75" customHeight="1">
      <c r="A1744" t="s">
        <v>1895</v>
      </c>
      <c r="B1744" s="6">
        <v>45414</v>
      </c>
      <c r="C1744" t="s">
        <v>131</v>
      </c>
      <c r="D1744" t="s">
        <v>197</v>
      </c>
      <c r="E1744" t="s">
        <v>11</v>
      </c>
      <c r="F1744" t="s">
        <v>27</v>
      </c>
      <c r="G1744" t="s">
        <v>13</v>
      </c>
      <c r="H1744">
        <v>15</v>
      </c>
      <c r="I1744" t="str">
        <f>VLOOKUP(D1744,Product_Lookup!$A$2:$C$27,3,FALSE)</f>
        <v>$10.11</v>
      </c>
      <c r="J1744" t="str">
        <f t="shared" si="219"/>
        <v>Thursday</v>
      </c>
      <c r="K1744" s="10" t="str">
        <f t="shared" si="220"/>
        <v>May</v>
      </c>
      <c r="L1744">
        <f t="shared" si="221"/>
        <v>2024</v>
      </c>
      <c r="M1744" t="b">
        <f t="shared" si="222"/>
        <v>0</v>
      </c>
      <c r="N1744" t="b">
        <f t="shared" si="216"/>
        <v>0</v>
      </c>
      <c r="O1744" t="str">
        <f t="shared" si="223"/>
        <v>Standard order</v>
      </c>
      <c r="P1744" s="7">
        <f t="shared" si="217"/>
        <v>0.50549999999999995</v>
      </c>
      <c r="Q1744" s="7" t="str">
        <f>VLOOKUP(D1745,Product_Lookup!$A$2:$C$27,2,FALSE)</f>
        <v>Board Game</v>
      </c>
      <c r="R1744" s="7">
        <f t="shared" si="218"/>
        <v>151.64999999999998</v>
      </c>
    </row>
    <row r="1745" spans="1:18" ht="21.75" customHeight="1">
      <c r="A1745" t="s">
        <v>1896</v>
      </c>
      <c r="B1745" s="6">
        <v>45320</v>
      </c>
      <c r="C1745" t="s">
        <v>147</v>
      </c>
      <c r="D1745" t="s">
        <v>41</v>
      </c>
      <c r="E1745" t="s">
        <v>22</v>
      </c>
      <c r="F1745" t="s">
        <v>56</v>
      </c>
      <c r="G1745" t="s">
        <v>13</v>
      </c>
      <c r="H1745">
        <v>1</v>
      </c>
      <c r="I1745" t="str">
        <f>VLOOKUP(D1745,Product_Lookup!$A$2:$C$27,3,FALSE)</f>
        <v>$86.6</v>
      </c>
      <c r="J1745" t="str">
        <f t="shared" si="219"/>
        <v>Monday</v>
      </c>
      <c r="K1745" s="10" t="str">
        <f t="shared" si="220"/>
        <v>January</v>
      </c>
      <c r="L1745">
        <f t="shared" si="221"/>
        <v>2024</v>
      </c>
      <c r="M1745" t="b">
        <f t="shared" si="222"/>
        <v>0</v>
      </c>
      <c r="N1745" t="b">
        <f t="shared" si="216"/>
        <v>0</v>
      </c>
      <c r="O1745" t="str">
        <f t="shared" si="223"/>
        <v>Standard order</v>
      </c>
      <c r="P1745" s="7">
        <f t="shared" si="217"/>
        <v>4.33</v>
      </c>
      <c r="Q1745" s="7" t="str">
        <f>VLOOKUP(D1746,Product_Lookup!$A$2:$C$27,2,FALSE)</f>
        <v>T-Shirt</v>
      </c>
      <c r="R1745" s="7">
        <f t="shared" si="218"/>
        <v>86.6</v>
      </c>
    </row>
    <row r="1746" spans="1:18" ht="21.75" customHeight="1">
      <c r="A1746" t="s">
        <v>1897</v>
      </c>
      <c r="B1746" s="6">
        <v>45651</v>
      </c>
      <c r="C1746" t="s">
        <v>142</v>
      </c>
      <c r="D1746" t="s">
        <v>45</v>
      </c>
      <c r="E1746" t="s">
        <v>17</v>
      </c>
      <c r="F1746" t="s">
        <v>42</v>
      </c>
      <c r="G1746" t="s">
        <v>36</v>
      </c>
      <c r="H1746">
        <v>17</v>
      </c>
      <c r="I1746" t="str">
        <f>VLOOKUP(D1746,Product_Lookup!$A$2:$C$27,3,FALSE)</f>
        <v>$107.34</v>
      </c>
      <c r="J1746" t="str">
        <f t="shared" si="219"/>
        <v>Wednesday</v>
      </c>
      <c r="K1746" s="10" t="str">
        <f t="shared" si="220"/>
        <v>December</v>
      </c>
      <c r="L1746">
        <f t="shared" si="221"/>
        <v>2024</v>
      </c>
      <c r="M1746" t="b">
        <f t="shared" si="222"/>
        <v>0</v>
      </c>
      <c r="N1746" t="b">
        <f t="shared" si="216"/>
        <v>1</v>
      </c>
      <c r="O1746" t="str">
        <f t="shared" si="223"/>
        <v>Large Order</v>
      </c>
      <c r="P1746" s="7">
        <f t="shared" si="217"/>
        <v>5.3670000000000009</v>
      </c>
      <c r="Q1746" s="7" t="str">
        <f>VLOOKUP(D1747,Product_Lookup!$A$2:$C$27,2,FALSE)</f>
        <v>Toaster</v>
      </c>
      <c r="R1746" s="7">
        <f t="shared" si="218"/>
        <v>1824.78</v>
      </c>
    </row>
    <row r="1747" spans="1:18" ht="21.75" customHeight="1">
      <c r="A1747" t="s">
        <v>1898</v>
      </c>
      <c r="B1747" s="6">
        <v>45424</v>
      </c>
      <c r="C1747" t="s">
        <v>30</v>
      </c>
      <c r="D1747" t="s">
        <v>48</v>
      </c>
      <c r="E1747" t="s">
        <v>11</v>
      </c>
      <c r="F1747" t="s">
        <v>42</v>
      </c>
      <c r="G1747" t="s">
        <v>13</v>
      </c>
      <c r="H1747">
        <v>1</v>
      </c>
      <c r="I1747" t="str">
        <f>VLOOKUP(D1747,Product_Lookup!$A$2:$C$27,3,FALSE)</f>
        <v>$208.85</v>
      </c>
      <c r="J1747" t="str">
        <f t="shared" si="219"/>
        <v>Sunday</v>
      </c>
      <c r="K1747" s="10" t="str">
        <f t="shared" si="220"/>
        <v>May</v>
      </c>
      <c r="L1747">
        <f t="shared" si="221"/>
        <v>2024</v>
      </c>
      <c r="M1747" t="b">
        <f t="shared" si="222"/>
        <v>1</v>
      </c>
      <c r="N1747" t="b">
        <f t="shared" si="216"/>
        <v>0</v>
      </c>
      <c r="O1747" t="str">
        <f t="shared" si="223"/>
        <v>Standard order</v>
      </c>
      <c r="P1747" s="7">
        <f t="shared" si="217"/>
        <v>10.442500000000001</v>
      </c>
      <c r="Q1747" s="7" t="str">
        <f>VLOOKUP(D1748,Product_Lookup!$A$2:$C$27,2,FALSE)</f>
        <v>Notebook</v>
      </c>
      <c r="R1747" s="7">
        <f t="shared" si="218"/>
        <v>208.85</v>
      </c>
    </row>
    <row r="1748" spans="1:18" ht="21.75" customHeight="1">
      <c r="A1748" t="s">
        <v>1899</v>
      </c>
      <c r="B1748" s="6">
        <v>45511</v>
      </c>
      <c r="C1748" t="s">
        <v>101</v>
      </c>
      <c r="D1748" t="s">
        <v>160</v>
      </c>
      <c r="E1748" t="s">
        <v>11</v>
      </c>
      <c r="F1748" t="s">
        <v>42</v>
      </c>
      <c r="G1748" t="s">
        <v>36</v>
      </c>
      <c r="H1748">
        <v>3</v>
      </c>
      <c r="I1748" t="str">
        <f>VLOOKUP(D1748,Product_Lookup!$A$2:$C$27,3,FALSE)</f>
        <v>$149.27</v>
      </c>
      <c r="J1748" t="str">
        <f t="shared" si="219"/>
        <v>Wednesday</v>
      </c>
      <c r="K1748" s="10" t="str">
        <f t="shared" si="220"/>
        <v>August</v>
      </c>
      <c r="L1748">
        <f t="shared" si="221"/>
        <v>2024</v>
      </c>
      <c r="M1748" t="b">
        <f t="shared" si="222"/>
        <v>0</v>
      </c>
      <c r="N1748" t="b">
        <f t="shared" si="216"/>
        <v>0</v>
      </c>
      <c r="O1748" t="str">
        <f t="shared" si="223"/>
        <v>Standard order</v>
      </c>
      <c r="P1748" s="7">
        <f t="shared" si="217"/>
        <v>7.4635000000000007</v>
      </c>
      <c r="Q1748" s="7" t="str">
        <f>VLOOKUP(D1749,Product_Lookup!$A$2:$C$27,2,FALSE)</f>
        <v>Smartphone</v>
      </c>
      <c r="R1748" s="7">
        <f t="shared" si="218"/>
        <v>447.81000000000006</v>
      </c>
    </row>
    <row r="1749" spans="1:18" ht="21.75" customHeight="1">
      <c r="A1749" t="s">
        <v>1900</v>
      </c>
      <c r="B1749" s="6">
        <v>45553</v>
      </c>
      <c r="C1749" t="s">
        <v>83</v>
      </c>
      <c r="D1749" t="s">
        <v>79</v>
      </c>
      <c r="E1749" t="s">
        <v>17</v>
      </c>
      <c r="F1749" t="s">
        <v>306</v>
      </c>
      <c r="G1749" t="s">
        <v>28</v>
      </c>
      <c r="H1749">
        <v>12</v>
      </c>
      <c r="I1749" t="str">
        <f>VLOOKUP(D1749,Product_Lookup!$A$2:$C$27,3,FALSE)</f>
        <v>$216.22</v>
      </c>
      <c r="J1749" t="str">
        <f t="shared" si="219"/>
        <v>Wednesday</v>
      </c>
      <c r="K1749" s="10" t="str">
        <f t="shared" si="220"/>
        <v>September</v>
      </c>
      <c r="L1749">
        <f t="shared" si="221"/>
        <v>2024</v>
      </c>
      <c r="M1749" t="b">
        <f t="shared" si="222"/>
        <v>0</v>
      </c>
      <c r="N1749" t="b">
        <f t="shared" si="216"/>
        <v>1</v>
      </c>
      <c r="O1749" t="str">
        <f t="shared" si="223"/>
        <v>Large Order</v>
      </c>
      <c r="P1749" s="7">
        <f t="shared" si="217"/>
        <v>10.811</v>
      </c>
      <c r="Q1749" s="7" t="str">
        <f>VLOOKUP(D1750,Product_Lookup!$A$2:$C$27,2,FALSE)</f>
        <v>Board Game</v>
      </c>
      <c r="R1749" s="7">
        <f t="shared" si="218"/>
        <v>2594.64</v>
      </c>
    </row>
    <row r="1750" spans="1:18" ht="21.75" customHeight="1">
      <c r="A1750" t="s">
        <v>1901</v>
      </c>
      <c r="B1750" s="6">
        <v>45344</v>
      </c>
      <c r="C1750" t="s">
        <v>314</v>
      </c>
      <c r="D1750" t="s">
        <v>41</v>
      </c>
      <c r="E1750" t="s">
        <v>22</v>
      </c>
      <c r="F1750" t="s">
        <v>12</v>
      </c>
      <c r="G1750" t="s">
        <v>28</v>
      </c>
      <c r="H1750">
        <v>17</v>
      </c>
      <c r="I1750" t="str">
        <f>VLOOKUP(D1750,Product_Lookup!$A$2:$C$27,3,FALSE)</f>
        <v>$86.6</v>
      </c>
      <c r="J1750" t="str">
        <f t="shared" si="219"/>
        <v>Thursday</v>
      </c>
      <c r="K1750" s="10" t="str">
        <f t="shared" si="220"/>
        <v>February</v>
      </c>
      <c r="L1750">
        <f t="shared" si="221"/>
        <v>2024</v>
      </c>
      <c r="M1750" t="b">
        <f t="shared" si="222"/>
        <v>0</v>
      </c>
      <c r="N1750" t="b">
        <f t="shared" si="216"/>
        <v>1</v>
      </c>
      <c r="O1750" t="str">
        <f t="shared" si="223"/>
        <v>Large Order</v>
      </c>
      <c r="P1750" s="7">
        <f t="shared" si="217"/>
        <v>4.33</v>
      </c>
      <c r="Q1750" s="7" t="str">
        <f>VLOOKUP(D1751,Product_Lookup!$A$2:$C$27,2,FALSE)</f>
        <v>Smartphone</v>
      </c>
      <c r="R1750" s="7">
        <f t="shared" si="218"/>
        <v>1472.1999999999998</v>
      </c>
    </row>
    <row r="1751" spans="1:18" ht="21.75" customHeight="1">
      <c r="A1751" t="s">
        <v>1902</v>
      </c>
      <c r="B1751" s="6">
        <v>45298</v>
      </c>
      <c r="C1751" t="s">
        <v>78</v>
      </c>
      <c r="D1751" t="s">
        <v>79</v>
      </c>
      <c r="E1751" t="s">
        <v>17</v>
      </c>
      <c r="F1751" t="s">
        <v>42</v>
      </c>
      <c r="G1751" t="s">
        <v>23</v>
      </c>
      <c r="H1751">
        <v>5</v>
      </c>
      <c r="I1751" t="str">
        <f>VLOOKUP(D1751,Product_Lookup!$A$2:$C$27,3,FALSE)</f>
        <v>$216.22</v>
      </c>
      <c r="J1751" t="str">
        <f t="shared" si="219"/>
        <v>Sunday</v>
      </c>
      <c r="K1751" s="10" t="str">
        <f t="shared" si="220"/>
        <v>January</v>
      </c>
      <c r="L1751">
        <f t="shared" si="221"/>
        <v>2024</v>
      </c>
      <c r="M1751" t="b">
        <f t="shared" si="222"/>
        <v>1</v>
      </c>
      <c r="N1751" t="b">
        <f t="shared" si="216"/>
        <v>0</v>
      </c>
      <c r="O1751" t="str">
        <f t="shared" si="223"/>
        <v>Large Order</v>
      </c>
      <c r="P1751" s="7">
        <f t="shared" si="217"/>
        <v>10.811</v>
      </c>
      <c r="Q1751" s="7" t="str">
        <f>VLOOKUP(D1752,Product_Lookup!$A$2:$C$27,2,FALSE)</f>
        <v>Puzzle</v>
      </c>
      <c r="R1751" s="7">
        <f t="shared" si="218"/>
        <v>1081.0999999999999</v>
      </c>
    </row>
    <row r="1752" spans="1:18" ht="21.75" customHeight="1">
      <c r="A1752" t="s">
        <v>1903</v>
      </c>
      <c r="B1752" s="6">
        <v>45310</v>
      </c>
      <c r="C1752" t="s">
        <v>378</v>
      </c>
      <c r="D1752" t="s">
        <v>62</v>
      </c>
      <c r="E1752" t="s">
        <v>22</v>
      </c>
      <c r="F1752" t="s">
        <v>27</v>
      </c>
      <c r="G1752" t="s">
        <v>28</v>
      </c>
      <c r="H1752">
        <v>11</v>
      </c>
      <c r="I1752" t="str">
        <f>VLOOKUP(D1752,Product_Lookup!$A$2:$C$27,3,FALSE)</f>
        <v>$46.19</v>
      </c>
      <c r="J1752" t="str">
        <f t="shared" si="219"/>
        <v>Friday</v>
      </c>
      <c r="K1752" s="10" t="str">
        <f t="shared" si="220"/>
        <v>January</v>
      </c>
      <c r="L1752">
        <f t="shared" si="221"/>
        <v>2024</v>
      </c>
      <c r="M1752" t="b">
        <f t="shared" si="222"/>
        <v>0</v>
      </c>
      <c r="N1752" t="b">
        <f t="shared" si="216"/>
        <v>0</v>
      </c>
      <c r="O1752" t="str">
        <f t="shared" si="223"/>
        <v>Large Order</v>
      </c>
      <c r="P1752" s="7">
        <f t="shared" si="217"/>
        <v>2.3094999999999999</v>
      </c>
      <c r="Q1752" s="7" t="str">
        <f>VLOOKUP(D1753,Product_Lookup!$A$2:$C$27,2,FALSE)</f>
        <v>Tablet</v>
      </c>
      <c r="R1752" s="7">
        <f t="shared" si="218"/>
        <v>508.09</v>
      </c>
    </row>
    <row r="1753" spans="1:18" ht="21.75" customHeight="1">
      <c r="A1753" t="s">
        <v>1904</v>
      </c>
      <c r="B1753" s="6">
        <v>45455</v>
      </c>
      <c r="C1753" t="s">
        <v>101</v>
      </c>
      <c r="D1753" t="s">
        <v>10</v>
      </c>
      <c r="E1753" t="s">
        <v>22</v>
      </c>
      <c r="F1753" t="s">
        <v>42</v>
      </c>
      <c r="G1753" t="s">
        <v>13</v>
      </c>
      <c r="H1753">
        <v>17</v>
      </c>
      <c r="I1753" t="str">
        <f>VLOOKUP(D1753,Product_Lookup!$A$2:$C$27,3,FALSE)</f>
        <v>$146.06</v>
      </c>
      <c r="J1753" t="str">
        <f t="shared" si="219"/>
        <v>Wednesday</v>
      </c>
      <c r="K1753" s="10" t="str">
        <f t="shared" si="220"/>
        <v>June</v>
      </c>
      <c r="L1753">
        <f t="shared" si="221"/>
        <v>2024</v>
      </c>
      <c r="M1753" t="b">
        <f t="shared" si="222"/>
        <v>0</v>
      </c>
      <c r="N1753" t="b">
        <f t="shared" si="216"/>
        <v>1</v>
      </c>
      <c r="O1753" t="str">
        <f t="shared" si="223"/>
        <v>Large Order</v>
      </c>
      <c r="P1753" s="7">
        <f t="shared" si="217"/>
        <v>7.3030000000000008</v>
      </c>
      <c r="Q1753" s="7" t="str">
        <f>VLOOKUP(D1754,Product_Lookup!$A$2:$C$27,2,FALSE)</f>
        <v>Jacket</v>
      </c>
      <c r="R1753" s="7">
        <f t="shared" si="218"/>
        <v>2483.02</v>
      </c>
    </row>
    <row r="1754" spans="1:18" ht="21.75" customHeight="1">
      <c r="A1754" t="s">
        <v>1905</v>
      </c>
      <c r="B1754" s="6">
        <v>45318</v>
      </c>
      <c r="C1754" t="s">
        <v>235</v>
      </c>
      <c r="D1754" t="s">
        <v>197</v>
      </c>
      <c r="E1754" t="s">
        <v>22</v>
      </c>
      <c r="F1754" t="s">
        <v>12</v>
      </c>
      <c r="G1754" t="s">
        <v>23</v>
      </c>
      <c r="H1754">
        <v>3</v>
      </c>
      <c r="I1754" t="str">
        <f>VLOOKUP(D1754,Product_Lookup!$A$2:$C$27,3,FALSE)</f>
        <v>$10.11</v>
      </c>
      <c r="J1754" t="str">
        <f t="shared" si="219"/>
        <v>Saturday</v>
      </c>
      <c r="K1754" s="10" t="str">
        <f t="shared" si="220"/>
        <v>January</v>
      </c>
      <c r="L1754">
        <f t="shared" si="221"/>
        <v>2024</v>
      </c>
      <c r="M1754" t="b">
        <f t="shared" si="222"/>
        <v>1</v>
      </c>
      <c r="N1754" t="b">
        <f t="shared" si="216"/>
        <v>0</v>
      </c>
      <c r="O1754" t="str">
        <f t="shared" si="223"/>
        <v>Standard order</v>
      </c>
      <c r="P1754" s="7">
        <f t="shared" si="217"/>
        <v>0.50549999999999995</v>
      </c>
      <c r="Q1754" s="7" t="str">
        <f>VLOOKUP(D1755,Product_Lookup!$A$2:$C$27,2,FALSE)</f>
        <v>Socks</v>
      </c>
      <c r="R1754" s="7">
        <f t="shared" si="218"/>
        <v>30.33</v>
      </c>
    </row>
    <row r="1755" spans="1:18" ht="21.75" customHeight="1">
      <c r="A1755" t="s">
        <v>1906</v>
      </c>
      <c r="B1755" s="6">
        <v>45436</v>
      </c>
      <c r="C1755" t="s">
        <v>420</v>
      </c>
      <c r="D1755" t="s">
        <v>74</v>
      </c>
      <c r="E1755" t="s">
        <v>17</v>
      </c>
      <c r="F1755" t="s">
        <v>12</v>
      </c>
      <c r="G1755" t="s">
        <v>36</v>
      </c>
      <c r="H1755">
        <v>15</v>
      </c>
      <c r="I1755" t="str">
        <f>VLOOKUP(D1755,Product_Lookup!$A$2:$C$27,3,FALSE)</f>
        <v>$201.32</v>
      </c>
      <c r="J1755" t="str">
        <f t="shared" si="219"/>
        <v>Friday</v>
      </c>
      <c r="K1755" s="10" t="str">
        <f t="shared" si="220"/>
        <v>May</v>
      </c>
      <c r="L1755">
        <f t="shared" si="221"/>
        <v>2024</v>
      </c>
      <c r="M1755" t="b">
        <f t="shared" si="222"/>
        <v>0</v>
      </c>
      <c r="N1755" t="b">
        <f t="shared" si="216"/>
        <v>1</v>
      </c>
      <c r="O1755" t="str">
        <f t="shared" si="223"/>
        <v>Large Order</v>
      </c>
      <c r="P1755" s="7">
        <f t="shared" si="217"/>
        <v>10.066000000000001</v>
      </c>
      <c r="Q1755" s="7" t="str">
        <f>VLOOKUP(D1756,Product_Lookup!$A$2:$C$27,2,FALSE)</f>
        <v>Desk Lamp</v>
      </c>
      <c r="R1755" s="7">
        <f t="shared" si="218"/>
        <v>3019.7999999999997</v>
      </c>
    </row>
    <row r="1756" spans="1:18" ht="21.75" customHeight="1">
      <c r="A1756" t="s">
        <v>1907</v>
      </c>
      <c r="B1756" s="6">
        <v>45394</v>
      </c>
      <c r="C1756" t="s">
        <v>61</v>
      </c>
      <c r="D1756" t="s">
        <v>59</v>
      </c>
      <c r="E1756" t="s">
        <v>17</v>
      </c>
      <c r="F1756" t="s">
        <v>306</v>
      </c>
      <c r="G1756" t="s">
        <v>28</v>
      </c>
      <c r="H1756">
        <v>15</v>
      </c>
      <c r="I1756" t="str">
        <f>VLOOKUP(D1756,Product_Lookup!$A$2:$C$27,3,FALSE)</f>
        <v>$101.96</v>
      </c>
      <c r="J1756" t="str">
        <f t="shared" si="219"/>
        <v>Friday</v>
      </c>
      <c r="K1756" s="10" t="str">
        <f t="shared" si="220"/>
        <v>April</v>
      </c>
      <c r="L1756">
        <f t="shared" si="221"/>
        <v>2024</v>
      </c>
      <c r="M1756" t="b">
        <f t="shared" si="222"/>
        <v>0</v>
      </c>
      <c r="N1756" t="b">
        <f t="shared" si="216"/>
        <v>1</v>
      </c>
      <c r="O1756" t="str">
        <f t="shared" si="223"/>
        <v>Large Order</v>
      </c>
      <c r="P1756" s="7">
        <f t="shared" si="217"/>
        <v>5.0979999999999999</v>
      </c>
      <c r="Q1756" s="7" t="str">
        <f>VLOOKUP(D1757,Product_Lookup!$A$2:$C$27,2,FALSE)</f>
        <v>Doll</v>
      </c>
      <c r="R1756" s="7">
        <f t="shared" si="218"/>
        <v>1529.3999999999999</v>
      </c>
    </row>
    <row r="1757" spans="1:18" ht="21.75" customHeight="1">
      <c r="A1757" t="s">
        <v>1908</v>
      </c>
      <c r="B1757" s="6">
        <v>45544</v>
      </c>
      <c r="C1757" t="s">
        <v>337</v>
      </c>
      <c r="D1757" t="s">
        <v>119</v>
      </c>
      <c r="E1757" t="s">
        <v>11</v>
      </c>
      <c r="F1757" t="s">
        <v>306</v>
      </c>
      <c r="G1757" t="s">
        <v>28</v>
      </c>
      <c r="H1757">
        <v>5</v>
      </c>
      <c r="I1757" t="str">
        <f>VLOOKUP(D1757,Product_Lookup!$A$2:$C$27,3,FALSE)</f>
        <v>$32.94</v>
      </c>
      <c r="J1757" t="str">
        <f t="shared" si="219"/>
        <v>Monday</v>
      </c>
      <c r="K1757" s="10" t="str">
        <f t="shared" si="220"/>
        <v>September</v>
      </c>
      <c r="L1757">
        <f t="shared" si="221"/>
        <v>2024</v>
      </c>
      <c r="M1757" t="b">
        <f t="shared" si="222"/>
        <v>0</v>
      </c>
      <c r="N1757" t="b">
        <f t="shared" si="216"/>
        <v>0</v>
      </c>
      <c r="O1757" t="str">
        <f t="shared" si="223"/>
        <v>Standard order</v>
      </c>
      <c r="P1757" s="7">
        <f t="shared" si="217"/>
        <v>1.647</v>
      </c>
      <c r="Q1757" s="7" t="str">
        <f>VLOOKUP(D1758,Product_Lookup!$A$2:$C$27,2,FALSE)</f>
        <v>Jacket</v>
      </c>
      <c r="R1757" s="7">
        <f t="shared" si="218"/>
        <v>164.7</v>
      </c>
    </row>
    <row r="1758" spans="1:18" ht="21.75" customHeight="1">
      <c r="A1758" t="s">
        <v>1909</v>
      </c>
      <c r="B1758" s="6">
        <v>45501</v>
      </c>
      <c r="C1758" t="s">
        <v>64</v>
      </c>
      <c r="D1758" t="s">
        <v>197</v>
      </c>
      <c r="E1758" t="s">
        <v>22</v>
      </c>
      <c r="F1758" t="s">
        <v>42</v>
      </c>
      <c r="G1758" t="s">
        <v>13</v>
      </c>
      <c r="H1758">
        <v>11</v>
      </c>
      <c r="I1758" t="str">
        <f>VLOOKUP(D1758,Product_Lookup!$A$2:$C$27,3,FALSE)</f>
        <v>$10.11</v>
      </c>
      <c r="J1758" t="str">
        <f t="shared" si="219"/>
        <v>Sunday</v>
      </c>
      <c r="K1758" s="10" t="str">
        <f t="shared" si="220"/>
        <v>July</v>
      </c>
      <c r="L1758">
        <f t="shared" si="221"/>
        <v>2024</v>
      </c>
      <c r="M1758" t="b">
        <f t="shared" si="222"/>
        <v>1</v>
      </c>
      <c r="N1758" t="b">
        <f t="shared" si="216"/>
        <v>0</v>
      </c>
      <c r="O1758" t="str">
        <f t="shared" si="223"/>
        <v>Standard order</v>
      </c>
      <c r="P1758" s="7">
        <f t="shared" si="217"/>
        <v>0.50549999999999995</v>
      </c>
      <c r="Q1758" s="7" t="str">
        <f>VLOOKUP(D1759,Product_Lookup!$A$2:$C$27,2,FALSE)</f>
        <v>Lego Set</v>
      </c>
      <c r="R1758" s="7">
        <f t="shared" si="218"/>
        <v>111.21</v>
      </c>
    </row>
    <row r="1759" spans="1:18" ht="21.75" customHeight="1">
      <c r="A1759" t="s">
        <v>1910</v>
      </c>
      <c r="B1759" s="6">
        <v>45628</v>
      </c>
      <c r="C1759" t="s">
        <v>159</v>
      </c>
      <c r="D1759" t="s">
        <v>84</v>
      </c>
      <c r="E1759" t="s">
        <v>22</v>
      </c>
      <c r="F1759" t="s">
        <v>42</v>
      </c>
      <c r="G1759" t="s">
        <v>13</v>
      </c>
      <c r="H1759">
        <v>7</v>
      </c>
      <c r="I1759" t="str">
        <f>VLOOKUP(D1759,Product_Lookup!$A$2:$C$27,3,FALSE)</f>
        <v>$130.07</v>
      </c>
      <c r="J1759" t="str">
        <f t="shared" si="219"/>
        <v>Monday</v>
      </c>
      <c r="K1759" s="10" t="str">
        <f t="shared" si="220"/>
        <v>December</v>
      </c>
      <c r="L1759">
        <f t="shared" si="221"/>
        <v>2024</v>
      </c>
      <c r="M1759" t="b">
        <f t="shared" si="222"/>
        <v>0</v>
      </c>
      <c r="N1759" t="b">
        <f t="shared" si="216"/>
        <v>1</v>
      </c>
      <c r="O1759" t="str">
        <f t="shared" si="223"/>
        <v>Large Order</v>
      </c>
      <c r="P1759" s="7">
        <f t="shared" si="217"/>
        <v>6.5034999999999998</v>
      </c>
      <c r="Q1759" s="7" t="str">
        <f>VLOOKUP(D1760,Product_Lookup!$A$2:$C$27,2,FALSE)</f>
        <v>Stapler</v>
      </c>
      <c r="R1759" s="7">
        <f t="shared" si="218"/>
        <v>910.49</v>
      </c>
    </row>
    <row r="1760" spans="1:18" ht="21.75" customHeight="1">
      <c r="A1760" t="s">
        <v>1911</v>
      </c>
      <c r="B1760" s="6">
        <v>45413</v>
      </c>
      <c r="C1760" t="s">
        <v>572</v>
      </c>
      <c r="D1760" t="s">
        <v>35</v>
      </c>
      <c r="E1760" t="s">
        <v>11</v>
      </c>
      <c r="F1760" t="s">
        <v>56</v>
      </c>
      <c r="G1760" t="s">
        <v>32</v>
      </c>
      <c r="H1760">
        <v>3</v>
      </c>
      <c r="I1760" t="str">
        <f>VLOOKUP(D1760,Product_Lookup!$A$2:$C$27,3,FALSE)</f>
        <v>$64.61</v>
      </c>
      <c r="J1760" t="str">
        <f t="shared" si="219"/>
        <v>Wednesday</v>
      </c>
      <c r="K1760" s="10" t="str">
        <f t="shared" si="220"/>
        <v>May</v>
      </c>
      <c r="L1760">
        <f t="shared" si="221"/>
        <v>2024</v>
      </c>
      <c r="M1760" t="b">
        <f t="shared" si="222"/>
        <v>0</v>
      </c>
      <c r="N1760" t="b">
        <f t="shared" si="216"/>
        <v>0</v>
      </c>
      <c r="O1760" t="str">
        <f t="shared" si="223"/>
        <v>Standard order</v>
      </c>
      <c r="P1760" s="7">
        <f t="shared" si="217"/>
        <v>3.2305000000000001</v>
      </c>
      <c r="Q1760" s="7" t="str">
        <f>VLOOKUP(D1761,Product_Lookup!$A$2:$C$27,2,FALSE)</f>
        <v>Vacuum</v>
      </c>
      <c r="R1760" s="7">
        <f t="shared" si="218"/>
        <v>193.82999999999998</v>
      </c>
    </row>
    <row r="1761" spans="1:18" ht="21.75" customHeight="1">
      <c r="A1761" t="s">
        <v>1912</v>
      </c>
      <c r="B1761" s="6">
        <v>45410</v>
      </c>
      <c r="C1761" t="s">
        <v>363</v>
      </c>
      <c r="D1761" t="s">
        <v>87</v>
      </c>
      <c r="E1761" t="s">
        <v>22</v>
      </c>
      <c r="F1761" t="s">
        <v>42</v>
      </c>
      <c r="G1761" t="s">
        <v>23</v>
      </c>
      <c r="H1761">
        <v>3</v>
      </c>
      <c r="I1761" t="str">
        <f>VLOOKUP(D1761,Product_Lookup!$A$2:$C$27,3,FALSE)</f>
        <v>$26.59</v>
      </c>
      <c r="J1761" t="str">
        <f t="shared" si="219"/>
        <v>Sunday</v>
      </c>
      <c r="K1761" s="10" t="str">
        <f t="shared" si="220"/>
        <v>April</v>
      </c>
      <c r="L1761">
        <f t="shared" si="221"/>
        <v>2024</v>
      </c>
      <c r="M1761" t="b">
        <f t="shared" si="222"/>
        <v>1</v>
      </c>
      <c r="N1761" t="b">
        <f t="shared" si="216"/>
        <v>0</v>
      </c>
      <c r="O1761" t="str">
        <f t="shared" si="223"/>
        <v>Standard order</v>
      </c>
      <c r="P1761" s="7">
        <f t="shared" si="217"/>
        <v>1.3295000000000001</v>
      </c>
      <c r="Q1761" s="7" t="str">
        <f>VLOOKUP(D1762,Product_Lookup!$A$2:$C$27,2,FALSE)</f>
        <v>Action Figure</v>
      </c>
      <c r="R1761" s="7">
        <f t="shared" si="218"/>
        <v>79.77</v>
      </c>
    </row>
    <row r="1762" spans="1:18" ht="21.75" customHeight="1">
      <c r="A1762" t="s">
        <v>1913</v>
      </c>
      <c r="B1762" s="6">
        <v>45550</v>
      </c>
      <c r="C1762" t="s">
        <v>99</v>
      </c>
      <c r="D1762" t="s">
        <v>21</v>
      </c>
      <c r="E1762" t="s">
        <v>17</v>
      </c>
      <c r="F1762" t="s">
        <v>12</v>
      </c>
      <c r="G1762" t="s">
        <v>36</v>
      </c>
      <c r="H1762">
        <v>19</v>
      </c>
      <c r="I1762" t="str">
        <f>VLOOKUP(D1762,Product_Lookup!$A$2:$C$27,3,FALSE)</f>
        <v>$88.18</v>
      </c>
      <c r="J1762" t="str">
        <f t="shared" si="219"/>
        <v>Sunday</v>
      </c>
      <c r="K1762" s="10" t="str">
        <f t="shared" si="220"/>
        <v>September</v>
      </c>
      <c r="L1762">
        <f t="shared" si="221"/>
        <v>2024</v>
      </c>
      <c r="M1762" t="b">
        <f t="shared" si="222"/>
        <v>1</v>
      </c>
      <c r="N1762" t="b">
        <f t="shared" si="216"/>
        <v>1</v>
      </c>
      <c r="O1762" t="str">
        <f t="shared" si="223"/>
        <v>Large Order</v>
      </c>
      <c r="P1762" s="7">
        <f t="shared" si="217"/>
        <v>4.4090000000000007</v>
      </c>
      <c r="Q1762" s="7" t="str">
        <f>VLOOKUP(D1763,Product_Lookup!$A$2:$C$27,2,FALSE)</f>
        <v>Jacket</v>
      </c>
      <c r="R1762" s="7">
        <f t="shared" si="218"/>
        <v>1675.42</v>
      </c>
    </row>
    <row r="1763" spans="1:18" ht="21.75" customHeight="1">
      <c r="A1763" t="s">
        <v>1914</v>
      </c>
      <c r="B1763" s="6">
        <v>45631</v>
      </c>
      <c r="C1763" t="s">
        <v>34</v>
      </c>
      <c r="D1763" t="s">
        <v>197</v>
      </c>
      <c r="E1763" t="s">
        <v>17</v>
      </c>
      <c r="F1763" t="s">
        <v>42</v>
      </c>
      <c r="G1763" t="s">
        <v>32</v>
      </c>
      <c r="H1763">
        <v>13</v>
      </c>
      <c r="I1763" t="str">
        <f>VLOOKUP(D1763,Product_Lookup!$A$2:$C$27,3,FALSE)</f>
        <v>$10.11</v>
      </c>
      <c r="J1763" t="str">
        <f t="shared" si="219"/>
        <v>Thursday</v>
      </c>
      <c r="K1763" s="10" t="str">
        <f t="shared" si="220"/>
        <v>December</v>
      </c>
      <c r="L1763">
        <f t="shared" si="221"/>
        <v>2024</v>
      </c>
      <c r="M1763" t="b">
        <f t="shared" si="222"/>
        <v>0</v>
      </c>
      <c r="N1763" t="b">
        <f t="shared" si="216"/>
        <v>0</v>
      </c>
      <c r="O1763" t="str">
        <f t="shared" si="223"/>
        <v>Standard order</v>
      </c>
      <c r="P1763" s="7">
        <f t="shared" si="217"/>
        <v>0.50549999999999995</v>
      </c>
      <c r="Q1763" s="7" t="str">
        <f>VLOOKUP(D1764,Product_Lookup!$A$2:$C$27,2,FALSE)</f>
        <v>Air Fryer</v>
      </c>
      <c r="R1763" s="7">
        <f t="shared" si="218"/>
        <v>131.43</v>
      </c>
    </row>
    <row r="1764" spans="1:18" ht="21.75" customHeight="1">
      <c r="A1764" t="s">
        <v>1915</v>
      </c>
      <c r="B1764" s="6">
        <v>45459</v>
      </c>
      <c r="C1764" t="s">
        <v>38</v>
      </c>
      <c r="D1764" t="s">
        <v>70</v>
      </c>
      <c r="E1764" t="s">
        <v>17</v>
      </c>
      <c r="F1764" t="s">
        <v>56</v>
      </c>
      <c r="G1764" t="s">
        <v>13</v>
      </c>
      <c r="H1764">
        <v>7</v>
      </c>
      <c r="I1764" t="str">
        <f>VLOOKUP(D1764,Product_Lookup!$A$2:$C$27,3,FALSE)</f>
        <v>$211.9</v>
      </c>
      <c r="J1764" t="str">
        <f t="shared" si="219"/>
        <v>Sunday</v>
      </c>
      <c r="K1764" s="10" t="str">
        <f t="shared" si="220"/>
        <v>June</v>
      </c>
      <c r="L1764">
        <f t="shared" si="221"/>
        <v>2024</v>
      </c>
      <c r="M1764" t="b">
        <f t="shared" si="222"/>
        <v>1</v>
      </c>
      <c r="N1764" t="b">
        <f t="shared" si="216"/>
        <v>1</v>
      </c>
      <c r="O1764" t="str">
        <f t="shared" si="223"/>
        <v>Large Order</v>
      </c>
      <c r="P1764" s="7">
        <f t="shared" si="217"/>
        <v>10.595000000000001</v>
      </c>
      <c r="Q1764" s="7" t="str">
        <f>VLOOKUP(D1765,Product_Lookup!$A$2:$C$27,2,FALSE)</f>
        <v>Headphones</v>
      </c>
      <c r="R1764" s="7">
        <f t="shared" si="218"/>
        <v>1483.3</v>
      </c>
    </row>
    <row r="1765" spans="1:18" ht="21.75" customHeight="1">
      <c r="A1765" t="s">
        <v>1916</v>
      </c>
      <c r="B1765" s="6">
        <v>45591</v>
      </c>
      <c r="C1765" t="s">
        <v>15</v>
      </c>
      <c r="D1765" t="s">
        <v>16</v>
      </c>
      <c r="E1765" t="s">
        <v>11</v>
      </c>
      <c r="F1765" t="s">
        <v>56</v>
      </c>
      <c r="G1765" t="s">
        <v>23</v>
      </c>
      <c r="H1765">
        <v>15</v>
      </c>
      <c r="I1765" t="str">
        <f>VLOOKUP(D1765,Product_Lookup!$A$2:$C$27,3,FALSE)</f>
        <v>$178.83</v>
      </c>
      <c r="J1765" t="str">
        <f t="shared" si="219"/>
        <v>Saturday</v>
      </c>
      <c r="K1765" s="10" t="str">
        <f t="shared" si="220"/>
        <v>October</v>
      </c>
      <c r="L1765">
        <f t="shared" si="221"/>
        <v>2024</v>
      </c>
      <c r="M1765" t="b">
        <f t="shared" si="222"/>
        <v>1</v>
      </c>
      <c r="N1765" t="b">
        <f t="shared" si="216"/>
        <v>1</v>
      </c>
      <c r="O1765" t="str">
        <f t="shared" si="223"/>
        <v>Large Order</v>
      </c>
      <c r="P1765" s="7">
        <f t="shared" si="217"/>
        <v>8.9415000000000013</v>
      </c>
      <c r="Q1765" s="7" t="str">
        <f>VLOOKUP(D1766,Product_Lookup!$A$2:$C$27,2,FALSE)</f>
        <v>Toaster</v>
      </c>
      <c r="R1765" s="7">
        <f t="shared" si="218"/>
        <v>2682.4500000000003</v>
      </c>
    </row>
    <row r="1766" spans="1:18" ht="21.75" customHeight="1">
      <c r="A1766" t="s">
        <v>1917</v>
      </c>
      <c r="B1766" s="6">
        <v>45353</v>
      </c>
      <c r="C1766" t="s">
        <v>312</v>
      </c>
      <c r="D1766" t="s">
        <v>48</v>
      </c>
      <c r="E1766" t="s">
        <v>11</v>
      </c>
      <c r="F1766" t="s">
        <v>27</v>
      </c>
      <c r="G1766" t="s">
        <v>32</v>
      </c>
      <c r="H1766">
        <v>15</v>
      </c>
      <c r="I1766" t="str">
        <f>VLOOKUP(D1766,Product_Lookup!$A$2:$C$27,3,FALSE)</f>
        <v>$208.85</v>
      </c>
      <c r="J1766" t="str">
        <f t="shared" si="219"/>
        <v>Saturday</v>
      </c>
      <c r="K1766" s="10" t="str">
        <f t="shared" si="220"/>
        <v>March</v>
      </c>
      <c r="L1766">
        <f t="shared" si="221"/>
        <v>2024</v>
      </c>
      <c r="M1766" t="b">
        <f t="shared" si="222"/>
        <v>1</v>
      </c>
      <c r="N1766" t="b">
        <f t="shared" si="216"/>
        <v>1</v>
      </c>
      <c r="O1766" t="str">
        <f t="shared" si="223"/>
        <v>Large Order</v>
      </c>
      <c r="P1766" s="7">
        <f t="shared" si="217"/>
        <v>10.442500000000001</v>
      </c>
      <c r="Q1766" s="7" t="str">
        <f>VLOOKUP(D1767,Product_Lookup!$A$2:$C$27,2,FALSE)</f>
        <v>T-Shirt</v>
      </c>
      <c r="R1766" s="7">
        <f t="shared" si="218"/>
        <v>3132.75</v>
      </c>
    </row>
    <row r="1767" spans="1:18" ht="21.75" customHeight="1">
      <c r="A1767" t="s">
        <v>1918</v>
      </c>
      <c r="B1767" s="6">
        <v>45353</v>
      </c>
      <c r="C1767" t="s">
        <v>203</v>
      </c>
      <c r="D1767" t="s">
        <v>45</v>
      </c>
      <c r="E1767" t="s">
        <v>22</v>
      </c>
      <c r="F1767" t="s">
        <v>42</v>
      </c>
      <c r="G1767" t="s">
        <v>36</v>
      </c>
      <c r="H1767">
        <v>2</v>
      </c>
      <c r="I1767" t="str">
        <f>VLOOKUP(D1767,Product_Lookup!$A$2:$C$27,3,FALSE)</f>
        <v>$107.34</v>
      </c>
      <c r="J1767" t="str">
        <f t="shared" si="219"/>
        <v>Saturday</v>
      </c>
      <c r="K1767" s="10" t="str">
        <f t="shared" si="220"/>
        <v>March</v>
      </c>
      <c r="L1767">
        <f t="shared" si="221"/>
        <v>2024</v>
      </c>
      <c r="M1767" t="b">
        <f t="shared" si="222"/>
        <v>1</v>
      </c>
      <c r="N1767" t="b">
        <f t="shared" si="216"/>
        <v>0</v>
      </c>
      <c r="O1767" t="str">
        <f t="shared" si="223"/>
        <v>Standard order</v>
      </c>
      <c r="P1767" s="7">
        <f t="shared" si="217"/>
        <v>5.3670000000000009</v>
      </c>
      <c r="Q1767" s="7" t="str">
        <f>VLOOKUP(D1768,Product_Lookup!$A$2:$C$27,2,FALSE)</f>
        <v>Tablet</v>
      </c>
      <c r="R1767" s="7">
        <f t="shared" si="218"/>
        <v>214.68</v>
      </c>
    </row>
    <row r="1768" spans="1:18" ht="21.75" customHeight="1">
      <c r="A1768" t="s">
        <v>1919</v>
      </c>
      <c r="B1768" s="6">
        <v>45459</v>
      </c>
      <c r="C1768" t="s">
        <v>167</v>
      </c>
      <c r="D1768" t="s">
        <v>10</v>
      </c>
      <c r="E1768" t="s">
        <v>22</v>
      </c>
      <c r="F1768" t="s">
        <v>56</v>
      </c>
      <c r="G1768" t="s">
        <v>32</v>
      </c>
      <c r="H1768">
        <v>13</v>
      </c>
      <c r="I1768" t="str">
        <f>VLOOKUP(D1768,Product_Lookup!$A$2:$C$27,3,FALSE)</f>
        <v>$146.06</v>
      </c>
      <c r="J1768" t="str">
        <f t="shared" si="219"/>
        <v>Sunday</v>
      </c>
      <c r="K1768" s="10" t="str">
        <f t="shared" si="220"/>
        <v>June</v>
      </c>
      <c r="L1768">
        <f t="shared" si="221"/>
        <v>2024</v>
      </c>
      <c r="M1768" t="b">
        <f t="shared" si="222"/>
        <v>1</v>
      </c>
      <c r="N1768" t="b">
        <f t="shared" si="216"/>
        <v>1</v>
      </c>
      <c r="O1768" t="str">
        <f t="shared" si="223"/>
        <v>Large Order</v>
      </c>
      <c r="P1768" s="7">
        <f t="shared" si="217"/>
        <v>7.3030000000000008</v>
      </c>
      <c r="Q1768" s="7" t="str">
        <f>VLOOKUP(D1769,Product_Lookup!$A$2:$C$27,2,FALSE)</f>
        <v>Sweater</v>
      </c>
      <c r="R1768" s="7">
        <f t="shared" si="218"/>
        <v>1898.78</v>
      </c>
    </row>
    <row r="1769" spans="1:18" ht="21.75" customHeight="1">
      <c r="A1769" t="s">
        <v>1920</v>
      </c>
      <c r="B1769" s="6">
        <v>45638</v>
      </c>
      <c r="C1769" t="s">
        <v>68</v>
      </c>
      <c r="D1769" t="s">
        <v>26</v>
      </c>
      <c r="E1769" t="s">
        <v>11</v>
      </c>
      <c r="F1769" t="s">
        <v>12</v>
      </c>
      <c r="G1769" t="s">
        <v>23</v>
      </c>
      <c r="H1769">
        <v>15</v>
      </c>
      <c r="I1769" t="str">
        <f>VLOOKUP(D1769,Product_Lookup!$A$2:$C$27,3,FALSE)</f>
        <v>$84.57</v>
      </c>
      <c r="J1769" t="str">
        <f t="shared" si="219"/>
        <v>Thursday</v>
      </c>
      <c r="K1769" s="10" t="str">
        <f t="shared" si="220"/>
        <v>December</v>
      </c>
      <c r="L1769">
        <f t="shared" si="221"/>
        <v>2024</v>
      </c>
      <c r="M1769" t="b">
        <f t="shared" si="222"/>
        <v>0</v>
      </c>
      <c r="N1769" t="b">
        <f t="shared" si="216"/>
        <v>1</v>
      </c>
      <c r="O1769" t="str">
        <f t="shared" si="223"/>
        <v>Large Order</v>
      </c>
      <c r="P1769" s="7">
        <f t="shared" si="217"/>
        <v>4.2284999999999995</v>
      </c>
      <c r="Q1769" s="7" t="str">
        <f>VLOOKUP(D1770,Product_Lookup!$A$2:$C$27,2,FALSE)</f>
        <v>Monitor</v>
      </c>
      <c r="R1769" s="7">
        <f t="shared" si="218"/>
        <v>1268.55</v>
      </c>
    </row>
    <row r="1770" spans="1:18" ht="21.75" customHeight="1">
      <c r="A1770" t="s">
        <v>1921</v>
      </c>
      <c r="B1770" s="6">
        <v>45573</v>
      </c>
      <c r="C1770" t="s">
        <v>78</v>
      </c>
      <c r="D1770" t="s">
        <v>102</v>
      </c>
      <c r="E1770" t="s">
        <v>17</v>
      </c>
      <c r="F1770" t="s">
        <v>12</v>
      </c>
      <c r="G1770" t="s">
        <v>28</v>
      </c>
      <c r="H1770">
        <v>4</v>
      </c>
      <c r="I1770" t="str">
        <f>VLOOKUP(D1770,Product_Lookup!$A$2:$C$27,3,FALSE)</f>
        <v>$145.48</v>
      </c>
      <c r="J1770" t="str">
        <f t="shared" si="219"/>
        <v>Tuesday</v>
      </c>
      <c r="K1770" s="10" t="str">
        <f t="shared" si="220"/>
        <v>October</v>
      </c>
      <c r="L1770">
        <f t="shared" si="221"/>
        <v>2024</v>
      </c>
      <c r="M1770" t="b">
        <f t="shared" si="222"/>
        <v>0</v>
      </c>
      <c r="N1770" t="b">
        <f t="shared" si="216"/>
        <v>0</v>
      </c>
      <c r="O1770" t="str">
        <f t="shared" si="223"/>
        <v>Large Order</v>
      </c>
      <c r="P1770" s="7">
        <f t="shared" si="217"/>
        <v>7.274</v>
      </c>
      <c r="Q1770" s="7" t="str">
        <f>VLOOKUP(D1771,Product_Lookup!$A$2:$C$27,2,FALSE)</f>
        <v>Jeans</v>
      </c>
      <c r="R1770" s="7">
        <f t="shared" si="218"/>
        <v>581.91999999999996</v>
      </c>
    </row>
    <row r="1771" spans="1:18" ht="21.75" customHeight="1">
      <c r="A1771" t="s">
        <v>1922</v>
      </c>
      <c r="B1771" s="6">
        <v>45405</v>
      </c>
      <c r="C1771" t="s">
        <v>34</v>
      </c>
      <c r="D1771" t="s">
        <v>65</v>
      </c>
      <c r="E1771" t="s">
        <v>17</v>
      </c>
      <c r="F1771" t="s">
        <v>42</v>
      </c>
      <c r="G1771" t="s">
        <v>13</v>
      </c>
      <c r="H1771">
        <v>19</v>
      </c>
      <c r="I1771" t="str">
        <f>VLOOKUP(D1771,Product_Lookup!$A$2:$C$27,3,FALSE)</f>
        <v>$33.22</v>
      </c>
      <c r="J1771" t="str">
        <f t="shared" si="219"/>
        <v>Tuesday</v>
      </c>
      <c r="K1771" s="10" t="str">
        <f t="shared" si="220"/>
        <v>April</v>
      </c>
      <c r="L1771">
        <f t="shared" si="221"/>
        <v>2024</v>
      </c>
      <c r="M1771" t="b">
        <f t="shared" si="222"/>
        <v>0</v>
      </c>
      <c r="N1771" t="b">
        <f t="shared" si="216"/>
        <v>0</v>
      </c>
      <c r="O1771" t="str">
        <f t="shared" si="223"/>
        <v>Large Order</v>
      </c>
      <c r="P1771" s="7">
        <f t="shared" si="217"/>
        <v>1.661</v>
      </c>
      <c r="Q1771" s="7" t="str">
        <f>VLOOKUP(D1772,Product_Lookup!$A$2:$C$27,2,FALSE)</f>
        <v>Tablet</v>
      </c>
      <c r="R1771" s="7">
        <f t="shared" si="218"/>
        <v>631.17999999999995</v>
      </c>
    </row>
    <row r="1772" spans="1:18" ht="21.75" customHeight="1">
      <c r="A1772" t="s">
        <v>1923</v>
      </c>
      <c r="B1772" s="6">
        <v>45330</v>
      </c>
      <c r="C1772" t="s">
        <v>138</v>
      </c>
      <c r="D1772" t="s">
        <v>10</v>
      </c>
      <c r="E1772" t="s">
        <v>11</v>
      </c>
      <c r="F1772" t="s">
        <v>27</v>
      </c>
      <c r="G1772" t="s">
        <v>28</v>
      </c>
      <c r="H1772">
        <v>3</v>
      </c>
      <c r="I1772" t="str">
        <f>VLOOKUP(D1772,Product_Lookup!$A$2:$C$27,3,FALSE)</f>
        <v>$146.06</v>
      </c>
      <c r="J1772" t="str">
        <f t="shared" si="219"/>
        <v>Thursday</v>
      </c>
      <c r="K1772" s="10" t="str">
        <f t="shared" si="220"/>
        <v>February</v>
      </c>
      <c r="L1772">
        <f t="shared" si="221"/>
        <v>2024</v>
      </c>
      <c r="M1772" t="b">
        <f t="shared" si="222"/>
        <v>0</v>
      </c>
      <c r="N1772" t="b">
        <f t="shared" si="216"/>
        <v>0</v>
      </c>
      <c r="O1772" t="str">
        <f t="shared" si="223"/>
        <v>Standard order</v>
      </c>
      <c r="P1772" s="7">
        <f t="shared" si="217"/>
        <v>7.3030000000000008</v>
      </c>
      <c r="Q1772" s="7" t="str">
        <f>VLOOKUP(D1773,Product_Lookup!$A$2:$C$27,2,FALSE)</f>
        <v>Smartphone</v>
      </c>
      <c r="R1772" s="7">
        <f t="shared" si="218"/>
        <v>438.18</v>
      </c>
    </row>
    <row r="1773" spans="1:18" ht="21.75" customHeight="1">
      <c r="A1773" t="s">
        <v>1924</v>
      </c>
      <c r="B1773" s="6">
        <v>45461</v>
      </c>
      <c r="C1773" t="s">
        <v>114</v>
      </c>
      <c r="D1773" t="s">
        <v>79</v>
      </c>
      <c r="E1773" t="s">
        <v>17</v>
      </c>
      <c r="F1773" t="s">
        <v>12</v>
      </c>
      <c r="G1773" t="s">
        <v>28</v>
      </c>
      <c r="H1773">
        <v>19</v>
      </c>
      <c r="I1773" t="str">
        <f>VLOOKUP(D1773,Product_Lookup!$A$2:$C$27,3,FALSE)</f>
        <v>$216.22</v>
      </c>
      <c r="J1773" t="str">
        <f t="shared" si="219"/>
        <v>Tuesday</v>
      </c>
      <c r="K1773" s="10" t="str">
        <f t="shared" si="220"/>
        <v>June</v>
      </c>
      <c r="L1773">
        <f t="shared" si="221"/>
        <v>2024</v>
      </c>
      <c r="M1773" t="b">
        <f t="shared" si="222"/>
        <v>0</v>
      </c>
      <c r="N1773" t="b">
        <f t="shared" si="216"/>
        <v>1</v>
      </c>
      <c r="O1773" t="str">
        <f t="shared" si="223"/>
        <v>Large Order</v>
      </c>
      <c r="P1773" s="7">
        <f t="shared" si="217"/>
        <v>10.811</v>
      </c>
      <c r="Q1773" s="7" t="str">
        <f>VLOOKUP(D1774,Product_Lookup!$A$2:$C$27,2,FALSE)</f>
        <v>Laptop</v>
      </c>
      <c r="R1773" s="7">
        <f t="shared" si="218"/>
        <v>4108.18</v>
      </c>
    </row>
    <row r="1774" spans="1:18" ht="21.75" customHeight="1">
      <c r="A1774" t="s">
        <v>1925</v>
      </c>
      <c r="B1774" s="6">
        <v>45494</v>
      </c>
      <c r="C1774" t="s">
        <v>432</v>
      </c>
      <c r="D1774" t="s">
        <v>96</v>
      </c>
      <c r="E1774" t="s">
        <v>17</v>
      </c>
      <c r="F1774" t="s">
        <v>27</v>
      </c>
      <c r="G1774" t="s">
        <v>28</v>
      </c>
      <c r="H1774">
        <v>12</v>
      </c>
      <c r="I1774" t="str">
        <f>VLOOKUP(D1774,Product_Lookup!$A$2:$C$27,3,FALSE)</f>
        <v>$230.68</v>
      </c>
      <c r="J1774" t="str">
        <f t="shared" si="219"/>
        <v>Sunday</v>
      </c>
      <c r="K1774" s="10" t="str">
        <f t="shared" si="220"/>
        <v>July</v>
      </c>
      <c r="L1774">
        <f t="shared" si="221"/>
        <v>2024</v>
      </c>
      <c r="M1774" t="b">
        <f t="shared" si="222"/>
        <v>1</v>
      </c>
      <c r="N1774" t="b">
        <f t="shared" si="216"/>
        <v>1</v>
      </c>
      <c r="O1774" t="str">
        <f t="shared" si="223"/>
        <v>Large Order</v>
      </c>
      <c r="P1774" s="7">
        <f t="shared" si="217"/>
        <v>11.534000000000001</v>
      </c>
      <c r="Q1774" s="7" t="str">
        <f>VLOOKUP(D1775,Product_Lookup!$A$2:$C$27,2,FALSE)</f>
        <v>Sweater</v>
      </c>
      <c r="R1774" s="7">
        <f t="shared" si="218"/>
        <v>2768.16</v>
      </c>
    </row>
    <row r="1775" spans="1:18" ht="21.75" customHeight="1">
      <c r="A1775" t="s">
        <v>1926</v>
      </c>
      <c r="B1775" s="6">
        <v>45387</v>
      </c>
      <c r="C1775" t="s">
        <v>89</v>
      </c>
      <c r="D1775" t="s">
        <v>26</v>
      </c>
      <c r="E1775" t="s">
        <v>17</v>
      </c>
      <c r="F1775" t="s">
        <v>56</v>
      </c>
      <c r="G1775" t="s">
        <v>13</v>
      </c>
      <c r="H1775">
        <v>20</v>
      </c>
      <c r="I1775" t="str">
        <f>VLOOKUP(D1775,Product_Lookup!$A$2:$C$27,3,FALSE)</f>
        <v>$84.57</v>
      </c>
      <c r="J1775" t="str">
        <f t="shared" si="219"/>
        <v>Friday</v>
      </c>
      <c r="K1775" s="10" t="str">
        <f t="shared" si="220"/>
        <v>April</v>
      </c>
      <c r="L1775">
        <f t="shared" si="221"/>
        <v>2024</v>
      </c>
      <c r="M1775" t="b">
        <f t="shared" si="222"/>
        <v>0</v>
      </c>
      <c r="N1775" t="b">
        <f t="shared" si="216"/>
        <v>1</v>
      </c>
      <c r="O1775" t="str">
        <f t="shared" si="223"/>
        <v>Large Order</v>
      </c>
      <c r="P1775" s="7">
        <f t="shared" si="217"/>
        <v>4.2284999999999995</v>
      </c>
      <c r="Q1775" s="7" t="str">
        <f>VLOOKUP(D1776,Product_Lookup!$A$2:$C$27,2,FALSE)</f>
        <v>Socks</v>
      </c>
      <c r="R1775" s="7">
        <f t="shared" si="218"/>
        <v>1691.3999999999999</v>
      </c>
    </row>
    <row r="1776" spans="1:18" ht="21.75" customHeight="1">
      <c r="A1776" t="s">
        <v>1927</v>
      </c>
      <c r="B1776" s="6">
        <v>45417</v>
      </c>
      <c r="C1776" t="s">
        <v>736</v>
      </c>
      <c r="D1776" t="s">
        <v>74</v>
      </c>
      <c r="E1776" t="s">
        <v>17</v>
      </c>
      <c r="F1776" t="s">
        <v>27</v>
      </c>
      <c r="G1776" t="s">
        <v>36</v>
      </c>
      <c r="H1776">
        <v>16</v>
      </c>
      <c r="I1776" t="str">
        <f>VLOOKUP(D1776,Product_Lookup!$A$2:$C$27,3,FALSE)</f>
        <v>$201.32</v>
      </c>
      <c r="J1776" t="str">
        <f t="shared" si="219"/>
        <v>Sunday</v>
      </c>
      <c r="K1776" s="10" t="str">
        <f t="shared" si="220"/>
        <v>May</v>
      </c>
      <c r="L1776">
        <f t="shared" si="221"/>
        <v>2024</v>
      </c>
      <c r="M1776" t="b">
        <f t="shared" si="222"/>
        <v>1</v>
      </c>
      <c r="N1776" t="b">
        <f t="shared" si="216"/>
        <v>1</v>
      </c>
      <c r="O1776" t="str">
        <f t="shared" si="223"/>
        <v>Large Order</v>
      </c>
      <c r="P1776" s="7">
        <f t="shared" si="217"/>
        <v>10.066000000000001</v>
      </c>
      <c r="Q1776" s="7" t="str">
        <f>VLOOKUP(D1777,Product_Lookup!$A$2:$C$27,2,FALSE)</f>
        <v>Headphones</v>
      </c>
      <c r="R1776" s="7">
        <f t="shared" si="218"/>
        <v>3221.12</v>
      </c>
    </row>
    <row r="1777" spans="1:18" ht="21.75" customHeight="1">
      <c r="A1777" t="s">
        <v>1928</v>
      </c>
      <c r="B1777" s="6">
        <v>45435</v>
      </c>
      <c r="C1777" t="s">
        <v>53</v>
      </c>
      <c r="D1777" t="s">
        <v>16</v>
      </c>
      <c r="E1777" t="s">
        <v>17</v>
      </c>
      <c r="F1777" t="s">
        <v>56</v>
      </c>
      <c r="G1777" t="s">
        <v>36</v>
      </c>
      <c r="H1777">
        <v>8</v>
      </c>
      <c r="I1777" t="str">
        <f>VLOOKUP(D1777,Product_Lookup!$A$2:$C$27,3,FALSE)</f>
        <v>$178.83</v>
      </c>
      <c r="J1777" t="str">
        <f t="shared" si="219"/>
        <v>Thursday</v>
      </c>
      <c r="K1777" s="10" t="str">
        <f t="shared" si="220"/>
        <v>May</v>
      </c>
      <c r="L1777">
        <f t="shared" si="221"/>
        <v>2024</v>
      </c>
      <c r="M1777" t="b">
        <f t="shared" si="222"/>
        <v>0</v>
      </c>
      <c r="N1777" t="b">
        <f t="shared" si="216"/>
        <v>1</v>
      </c>
      <c r="O1777" t="str">
        <f t="shared" si="223"/>
        <v>Large Order</v>
      </c>
      <c r="P1777" s="7">
        <f t="shared" si="217"/>
        <v>8.9415000000000013</v>
      </c>
      <c r="Q1777" s="7" t="str">
        <f>VLOOKUP(D1778,Product_Lookup!$A$2:$C$27,2,FALSE)</f>
        <v>Coffee Maker</v>
      </c>
      <c r="R1777" s="7">
        <f t="shared" si="218"/>
        <v>1430.64</v>
      </c>
    </row>
    <row r="1778" spans="1:18" ht="21.75" customHeight="1">
      <c r="A1778" t="s">
        <v>1929</v>
      </c>
      <c r="B1778" s="6">
        <v>45570</v>
      </c>
      <c r="C1778" t="s">
        <v>138</v>
      </c>
      <c r="D1778" t="s">
        <v>31</v>
      </c>
      <c r="E1778" t="s">
        <v>22</v>
      </c>
      <c r="F1778" t="s">
        <v>42</v>
      </c>
      <c r="G1778" t="s">
        <v>23</v>
      </c>
      <c r="H1778">
        <v>18</v>
      </c>
      <c r="I1778" t="str">
        <f>VLOOKUP(D1778,Product_Lookup!$A$2:$C$27,3,FALSE)</f>
        <v>$230.34</v>
      </c>
      <c r="J1778" t="str">
        <f t="shared" si="219"/>
        <v>Saturday</v>
      </c>
      <c r="K1778" s="10" t="str">
        <f t="shared" si="220"/>
        <v>October</v>
      </c>
      <c r="L1778">
        <f t="shared" si="221"/>
        <v>2024</v>
      </c>
      <c r="M1778" t="b">
        <f t="shared" si="222"/>
        <v>1</v>
      </c>
      <c r="N1778" t="b">
        <f t="shared" si="216"/>
        <v>1</v>
      </c>
      <c r="O1778" t="str">
        <f t="shared" si="223"/>
        <v>Large Order</v>
      </c>
      <c r="P1778" s="7">
        <f t="shared" si="217"/>
        <v>11.517000000000001</v>
      </c>
      <c r="Q1778" s="7" t="str">
        <f>VLOOKUP(D1779,Product_Lookup!$A$2:$C$27,2,FALSE)</f>
        <v>Notebook</v>
      </c>
      <c r="R1778" s="7">
        <f t="shared" si="218"/>
        <v>4146.12</v>
      </c>
    </row>
    <row r="1779" spans="1:18" ht="21.75" customHeight="1">
      <c r="A1779" t="s">
        <v>1930</v>
      </c>
      <c r="B1779" s="6">
        <v>45468</v>
      </c>
      <c r="C1779" t="s">
        <v>614</v>
      </c>
      <c r="D1779" t="s">
        <v>160</v>
      </c>
      <c r="E1779" t="s">
        <v>17</v>
      </c>
      <c r="F1779" t="s">
        <v>27</v>
      </c>
      <c r="G1779" t="s">
        <v>32</v>
      </c>
      <c r="H1779">
        <v>6</v>
      </c>
      <c r="I1779" t="str">
        <f>VLOOKUP(D1779,Product_Lookup!$A$2:$C$27,3,FALSE)</f>
        <v>$149.27</v>
      </c>
      <c r="J1779" t="str">
        <f t="shared" si="219"/>
        <v>Tuesday</v>
      </c>
      <c r="K1779" s="10" t="str">
        <f t="shared" si="220"/>
        <v>June</v>
      </c>
      <c r="L1779">
        <f t="shared" si="221"/>
        <v>2024</v>
      </c>
      <c r="M1779" t="b">
        <f t="shared" si="222"/>
        <v>0</v>
      </c>
      <c r="N1779" t="b">
        <f t="shared" si="216"/>
        <v>1</v>
      </c>
      <c r="O1779" t="str">
        <f t="shared" si="223"/>
        <v>Large Order</v>
      </c>
      <c r="P1779" s="7">
        <f t="shared" si="217"/>
        <v>7.4635000000000007</v>
      </c>
      <c r="Q1779" s="7" t="str">
        <f>VLOOKUP(D1780,Product_Lookup!$A$2:$C$27,2,FALSE)</f>
        <v>Laptop</v>
      </c>
      <c r="R1779" s="7">
        <f t="shared" si="218"/>
        <v>895.62000000000012</v>
      </c>
    </row>
    <row r="1780" spans="1:18" ht="21.75" customHeight="1">
      <c r="A1780" t="s">
        <v>1931</v>
      </c>
      <c r="B1780" s="6">
        <v>45597</v>
      </c>
      <c r="C1780" t="s">
        <v>240</v>
      </c>
      <c r="D1780" t="s">
        <v>96</v>
      </c>
      <c r="E1780" t="s">
        <v>17</v>
      </c>
      <c r="F1780" t="s">
        <v>12</v>
      </c>
      <c r="G1780" t="s">
        <v>23</v>
      </c>
      <c r="H1780">
        <v>17</v>
      </c>
      <c r="I1780" t="str">
        <f>VLOOKUP(D1780,Product_Lookup!$A$2:$C$27,3,FALSE)</f>
        <v>$230.68</v>
      </c>
      <c r="J1780" t="str">
        <f t="shared" si="219"/>
        <v>Friday</v>
      </c>
      <c r="K1780" s="10" t="str">
        <f t="shared" si="220"/>
        <v>November</v>
      </c>
      <c r="L1780">
        <f t="shared" si="221"/>
        <v>2024</v>
      </c>
      <c r="M1780" t="b">
        <f t="shared" si="222"/>
        <v>0</v>
      </c>
      <c r="N1780" t="b">
        <f t="shared" si="216"/>
        <v>1</v>
      </c>
      <c r="O1780" t="str">
        <f t="shared" si="223"/>
        <v>Large Order</v>
      </c>
      <c r="P1780" s="7">
        <f t="shared" si="217"/>
        <v>11.534000000000001</v>
      </c>
      <c r="Q1780" s="7" t="str">
        <f>VLOOKUP(D1781,Product_Lookup!$A$2:$C$27,2,FALSE)</f>
        <v>T-Shirt</v>
      </c>
      <c r="R1780" s="7">
        <f t="shared" si="218"/>
        <v>3921.56</v>
      </c>
    </row>
    <row r="1781" spans="1:18" ht="21.75" customHeight="1">
      <c r="A1781" t="s">
        <v>1932</v>
      </c>
      <c r="B1781" s="6">
        <v>45591</v>
      </c>
      <c r="C1781" t="s">
        <v>51</v>
      </c>
      <c r="D1781" t="s">
        <v>45</v>
      </c>
      <c r="E1781" t="s">
        <v>11</v>
      </c>
      <c r="F1781" t="s">
        <v>56</v>
      </c>
      <c r="G1781" t="s">
        <v>28</v>
      </c>
      <c r="H1781">
        <v>9</v>
      </c>
      <c r="I1781" t="str">
        <f>VLOOKUP(D1781,Product_Lookup!$A$2:$C$27,3,FALSE)</f>
        <v>$107.34</v>
      </c>
      <c r="J1781" t="str">
        <f t="shared" si="219"/>
        <v>Saturday</v>
      </c>
      <c r="K1781" s="10" t="str">
        <f t="shared" si="220"/>
        <v>October</v>
      </c>
      <c r="L1781">
        <f t="shared" si="221"/>
        <v>2024</v>
      </c>
      <c r="M1781" t="b">
        <f t="shared" si="222"/>
        <v>1</v>
      </c>
      <c r="N1781" t="b">
        <f t="shared" si="216"/>
        <v>1</v>
      </c>
      <c r="O1781" t="str">
        <f t="shared" si="223"/>
        <v>Large Order</v>
      </c>
      <c r="P1781" s="7">
        <f t="shared" si="217"/>
        <v>5.3670000000000009</v>
      </c>
      <c r="Q1781" s="7" t="str">
        <f>VLOOKUP(D1782,Product_Lookup!$A$2:$C$27,2,FALSE)</f>
        <v>Jacket</v>
      </c>
      <c r="R1781" s="7">
        <f t="shared" si="218"/>
        <v>966.06000000000006</v>
      </c>
    </row>
    <row r="1782" spans="1:18" ht="21.75" customHeight="1">
      <c r="A1782" t="s">
        <v>1933</v>
      </c>
      <c r="B1782" s="6">
        <v>45320</v>
      </c>
      <c r="C1782" t="s">
        <v>332</v>
      </c>
      <c r="D1782" t="s">
        <v>197</v>
      </c>
      <c r="E1782" t="s">
        <v>22</v>
      </c>
      <c r="F1782" t="s">
        <v>27</v>
      </c>
      <c r="G1782" t="s">
        <v>32</v>
      </c>
      <c r="H1782">
        <v>6</v>
      </c>
      <c r="I1782" t="str">
        <f>VLOOKUP(D1782,Product_Lookup!$A$2:$C$27,3,FALSE)</f>
        <v>$10.11</v>
      </c>
      <c r="J1782" t="str">
        <f t="shared" si="219"/>
        <v>Monday</v>
      </c>
      <c r="K1782" s="10" t="str">
        <f t="shared" si="220"/>
        <v>January</v>
      </c>
      <c r="L1782">
        <f t="shared" si="221"/>
        <v>2024</v>
      </c>
      <c r="M1782" t="b">
        <f t="shared" si="222"/>
        <v>0</v>
      </c>
      <c r="N1782" t="b">
        <f t="shared" si="216"/>
        <v>0</v>
      </c>
      <c r="O1782" t="str">
        <f t="shared" si="223"/>
        <v>Standard order</v>
      </c>
      <c r="P1782" s="7">
        <f t="shared" si="217"/>
        <v>0.50549999999999995</v>
      </c>
      <c r="Q1782" s="7" t="str">
        <f>VLOOKUP(D1783,Product_Lookup!$A$2:$C$27,2,FALSE)</f>
        <v>Lego Set</v>
      </c>
      <c r="R1782" s="7">
        <f t="shared" si="218"/>
        <v>60.66</v>
      </c>
    </row>
    <row r="1783" spans="1:18" ht="21.75" customHeight="1">
      <c r="A1783" t="s">
        <v>1934</v>
      </c>
      <c r="B1783" s="6">
        <v>45595</v>
      </c>
      <c r="C1783" t="s">
        <v>38</v>
      </c>
      <c r="D1783" t="s">
        <v>84</v>
      </c>
      <c r="E1783" t="s">
        <v>22</v>
      </c>
      <c r="F1783" t="s">
        <v>42</v>
      </c>
      <c r="G1783" t="s">
        <v>36</v>
      </c>
      <c r="H1783">
        <v>1</v>
      </c>
      <c r="I1783" t="str">
        <f>VLOOKUP(D1783,Product_Lookup!$A$2:$C$27,3,FALSE)</f>
        <v>$130.07</v>
      </c>
      <c r="J1783" t="str">
        <f t="shared" si="219"/>
        <v>Wednesday</v>
      </c>
      <c r="K1783" s="10" t="str">
        <f t="shared" si="220"/>
        <v>October</v>
      </c>
      <c r="L1783">
        <f t="shared" si="221"/>
        <v>2024</v>
      </c>
      <c r="M1783" t="b">
        <f t="shared" si="222"/>
        <v>0</v>
      </c>
      <c r="N1783" t="b">
        <f t="shared" si="216"/>
        <v>0</v>
      </c>
      <c r="O1783" t="str">
        <f t="shared" si="223"/>
        <v>Standard order</v>
      </c>
      <c r="P1783" s="7">
        <f t="shared" si="217"/>
        <v>6.5034999999999998</v>
      </c>
      <c r="Q1783" s="7" t="str">
        <f>VLOOKUP(D1784,Product_Lookup!$A$2:$C$27,2,FALSE)</f>
        <v>Desk Lamp</v>
      </c>
      <c r="R1783" s="7">
        <f t="shared" si="218"/>
        <v>130.07</v>
      </c>
    </row>
    <row r="1784" spans="1:18" ht="21.75" customHeight="1">
      <c r="A1784" t="s">
        <v>1935</v>
      </c>
      <c r="B1784" s="6">
        <v>45472</v>
      </c>
      <c r="C1784" t="s">
        <v>614</v>
      </c>
      <c r="D1784" t="s">
        <v>59</v>
      </c>
      <c r="E1784" t="s">
        <v>11</v>
      </c>
      <c r="F1784" t="s">
        <v>306</v>
      </c>
      <c r="G1784" t="s">
        <v>28</v>
      </c>
      <c r="H1784">
        <v>16</v>
      </c>
      <c r="I1784" t="str">
        <f>VLOOKUP(D1784,Product_Lookup!$A$2:$C$27,3,FALSE)</f>
        <v>$101.96</v>
      </c>
      <c r="J1784" t="str">
        <f t="shared" si="219"/>
        <v>Saturday</v>
      </c>
      <c r="K1784" s="10" t="str">
        <f t="shared" si="220"/>
        <v>June</v>
      </c>
      <c r="L1784">
        <f t="shared" si="221"/>
        <v>2024</v>
      </c>
      <c r="M1784" t="b">
        <f t="shared" si="222"/>
        <v>1</v>
      </c>
      <c r="N1784" t="b">
        <f t="shared" si="216"/>
        <v>1</v>
      </c>
      <c r="O1784" t="str">
        <f t="shared" si="223"/>
        <v>Large Order</v>
      </c>
      <c r="P1784" s="7">
        <f t="shared" si="217"/>
        <v>5.0979999999999999</v>
      </c>
      <c r="Q1784" s="7" t="str">
        <f>VLOOKUP(D1785,Product_Lookup!$A$2:$C$27,2,FALSE)</f>
        <v>Smartphone</v>
      </c>
      <c r="R1784" s="7">
        <f t="shared" si="218"/>
        <v>1631.36</v>
      </c>
    </row>
    <row r="1785" spans="1:18" ht="21.75" customHeight="1">
      <c r="A1785" t="s">
        <v>1936</v>
      </c>
      <c r="B1785" s="6">
        <v>45381</v>
      </c>
      <c r="C1785" t="s">
        <v>374</v>
      </c>
      <c r="D1785" t="s">
        <v>79</v>
      </c>
      <c r="E1785" t="s">
        <v>11</v>
      </c>
      <c r="F1785" t="s">
        <v>12</v>
      </c>
      <c r="G1785" t="s">
        <v>28</v>
      </c>
      <c r="H1785">
        <v>20</v>
      </c>
      <c r="I1785" t="str">
        <f>VLOOKUP(D1785,Product_Lookup!$A$2:$C$27,3,FALSE)</f>
        <v>$216.22</v>
      </c>
      <c r="J1785" t="str">
        <f t="shared" si="219"/>
        <v>Saturday</v>
      </c>
      <c r="K1785" s="10" t="str">
        <f t="shared" si="220"/>
        <v>March</v>
      </c>
      <c r="L1785">
        <f t="shared" si="221"/>
        <v>2024</v>
      </c>
      <c r="M1785" t="b">
        <f t="shared" si="222"/>
        <v>1</v>
      </c>
      <c r="N1785" t="b">
        <f t="shared" si="216"/>
        <v>1</v>
      </c>
      <c r="O1785" t="str">
        <f t="shared" si="223"/>
        <v>Large Order</v>
      </c>
      <c r="P1785" s="7">
        <f t="shared" si="217"/>
        <v>10.811</v>
      </c>
      <c r="Q1785" s="7" t="str">
        <f>VLOOKUP(D1786,Product_Lookup!$A$2:$C$27,2,FALSE)</f>
        <v>Laptop</v>
      </c>
      <c r="R1785" s="7">
        <f t="shared" si="218"/>
        <v>4324.3999999999996</v>
      </c>
    </row>
    <row r="1786" spans="1:18" ht="21.75" customHeight="1">
      <c r="A1786" t="s">
        <v>1937</v>
      </c>
      <c r="B1786" s="6">
        <v>45561</v>
      </c>
      <c r="C1786" t="s">
        <v>517</v>
      </c>
      <c r="D1786" t="s">
        <v>96</v>
      </c>
      <c r="E1786" t="s">
        <v>17</v>
      </c>
      <c r="F1786" t="s">
        <v>306</v>
      </c>
      <c r="G1786" t="s">
        <v>28</v>
      </c>
      <c r="H1786">
        <v>5</v>
      </c>
      <c r="I1786" t="str">
        <f>VLOOKUP(D1786,Product_Lookup!$A$2:$C$27,3,FALSE)</f>
        <v>$230.68</v>
      </c>
      <c r="J1786" t="str">
        <f t="shared" si="219"/>
        <v>Thursday</v>
      </c>
      <c r="K1786" s="10" t="str">
        <f t="shared" si="220"/>
        <v>September</v>
      </c>
      <c r="L1786">
        <f t="shared" si="221"/>
        <v>2024</v>
      </c>
      <c r="M1786" t="b">
        <f t="shared" si="222"/>
        <v>0</v>
      </c>
      <c r="N1786" t="b">
        <f t="shared" si="216"/>
        <v>0</v>
      </c>
      <c r="O1786" t="str">
        <f t="shared" si="223"/>
        <v>Large Order</v>
      </c>
      <c r="P1786" s="7">
        <f t="shared" si="217"/>
        <v>11.534000000000001</v>
      </c>
      <c r="Q1786" s="7" t="str">
        <f>VLOOKUP(D1787,Product_Lookup!$A$2:$C$27,2,FALSE)</f>
        <v>Smartphone</v>
      </c>
      <c r="R1786" s="7">
        <f t="shared" si="218"/>
        <v>1153.4000000000001</v>
      </c>
    </row>
    <row r="1787" spans="1:18" ht="21.75" customHeight="1">
      <c r="A1787" t="s">
        <v>1938</v>
      </c>
      <c r="B1787" s="6">
        <v>45382</v>
      </c>
      <c r="C1787" t="s">
        <v>187</v>
      </c>
      <c r="D1787" t="s">
        <v>79</v>
      </c>
      <c r="E1787" t="s">
        <v>11</v>
      </c>
      <c r="F1787" t="s">
        <v>56</v>
      </c>
      <c r="G1787" t="s">
        <v>36</v>
      </c>
      <c r="H1787">
        <v>5</v>
      </c>
      <c r="I1787" t="str">
        <f>VLOOKUP(D1787,Product_Lookup!$A$2:$C$27,3,FALSE)</f>
        <v>$216.22</v>
      </c>
      <c r="J1787" t="str">
        <f t="shared" si="219"/>
        <v>Sunday</v>
      </c>
      <c r="K1787" s="10" t="str">
        <f t="shared" si="220"/>
        <v>March</v>
      </c>
      <c r="L1787">
        <f t="shared" si="221"/>
        <v>2024</v>
      </c>
      <c r="M1787" t="b">
        <f t="shared" si="222"/>
        <v>1</v>
      </c>
      <c r="N1787" t="b">
        <f t="shared" si="216"/>
        <v>0</v>
      </c>
      <c r="O1787" t="str">
        <f t="shared" si="223"/>
        <v>Large Order</v>
      </c>
      <c r="P1787" s="7">
        <f t="shared" si="217"/>
        <v>10.811</v>
      </c>
      <c r="Q1787" s="7" t="str">
        <f>VLOOKUP(D1788,Product_Lookup!$A$2:$C$27,2,FALSE)</f>
        <v>Tablet</v>
      </c>
      <c r="R1787" s="7">
        <f t="shared" si="218"/>
        <v>1081.0999999999999</v>
      </c>
    </row>
    <row r="1788" spans="1:18" ht="21.75" customHeight="1">
      <c r="A1788" t="s">
        <v>1939</v>
      </c>
      <c r="B1788" s="6">
        <v>45561</v>
      </c>
      <c r="C1788" t="s">
        <v>83</v>
      </c>
      <c r="D1788" t="s">
        <v>10</v>
      </c>
      <c r="E1788" t="s">
        <v>17</v>
      </c>
      <c r="F1788" t="s">
        <v>27</v>
      </c>
      <c r="G1788" t="s">
        <v>36</v>
      </c>
      <c r="H1788">
        <v>4</v>
      </c>
      <c r="I1788" t="str">
        <f>VLOOKUP(D1788,Product_Lookup!$A$2:$C$27,3,FALSE)</f>
        <v>$146.06</v>
      </c>
      <c r="J1788" t="str">
        <f t="shared" si="219"/>
        <v>Thursday</v>
      </c>
      <c r="K1788" s="10" t="str">
        <f t="shared" si="220"/>
        <v>September</v>
      </c>
      <c r="L1788">
        <f t="shared" si="221"/>
        <v>2024</v>
      </c>
      <c r="M1788" t="b">
        <f t="shared" si="222"/>
        <v>0</v>
      </c>
      <c r="N1788" t="b">
        <f t="shared" si="216"/>
        <v>0</v>
      </c>
      <c r="O1788" t="str">
        <f t="shared" si="223"/>
        <v>Large Order</v>
      </c>
      <c r="P1788" s="7">
        <f t="shared" si="217"/>
        <v>7.3030000000000008</v>
      </c>
      <c r="Q1788" s="7" t="str">
        <f>VLOOKUP(D1789,Product_Lookup!$A$2:$C$27,2,FALSE)</f>
        <v>T-Shirt</v>
      </c>
      <c r="R1788" s="7">
        <f t="shared" si="218"/>
        <v>584.24</v>
      </c>
    </row>
    <row r="1789" spans="1:18" ht="21.75" customHeight="1">
      <c r="A1789" t="s">
        <v>1940</v>
      </c>
      <c r="B1789" s="6">
        <v>45457</v>
      </c>
      <c r="C1789" t="s">
        <v>99</v>
      </c>
      <c r="D1789" t="s">
        <v>45</v>
      </c>
      <c r="E1789" t="s">
        <v>22</v>
      </c>
      <c r="F1789" t="s">
        <v>27</v>
      </c>
      <c r="G1789" t="s">
        <v>23</v>
      </c>
      <c r="H1789">
        <v>11</v>
      </c>
      <c r="I1789" t="str">
        <f>VLOOKUP(D1789,Product_Lookup!$A$2:$C$27,3,FALSE)</f>
        <v>$107.34</v>
      </c>
      <c r="J1789" t="str">
        <f t="shared" si="219"/>
        <v>Friday</v>
      </c>
      <c r="K1789" s="10" t="str">
        <f t="shared" si="220"/>
        <v>June</v>
      </c>
      <c r="L1789">
        <f t="shared" si="221"/>
        <v>2024</v>
      </c>
      <c r="M1789" t="b">
        <f t="shared" si="222"/>
        <v>0</v>
      </c>
      <c r="N1789" t="b">
        <f t="shared" si="216"/>
        <v>1</v>
      </c>
      <c r="O1789" t="str">
        <f t="shared" si="223"/>
        <v>Large Order</v>
      </c>
      <c r="P1789" s="7">
        <f t="shared" si="217"/>
        <v>5.3670000000000009</v>
      </c>
      <c r="Q1789" s="7" t="str">
        <f>VLOOKUP(D1790,Product_Lookup!$A$2:$C$27,2,FALSE)</f>
        <v>Paper Shredder</v>
      </c>
      <c r="R1789" s="7">
        <f t="shared" si="218"/>
        <v>1180.74</v>
      </c>
    </row>
    <row r="1790" spans="1:18" ht="21.75" customHeight="1">
      <c r="A1790" t="s">
        <v>1941</v>
      </c>
      <c r="B1790" s="6">
        <v>45579</v>
      </c>
      <c r="C1790" t="s">
        <v>465</v>
      </c>
      <c r="D1790" t="s">
        <v>109</v>
      </c>
      <c r="E1790" t="s">
        <v>17</v>
      </c>
      <c r="F1790" t="s">
        <v>56</v>
      </c>
      <c r="G1790" t="s">
        <v>36</v>
      </c>
      <c r="H1790">
        <v>6</v>
      </c>
      <c r="I1790" t="str">
        <f>VLOOKUP(D1790,Product_Lookup!$A$2:$C$27,3,FALSE)</f>
        <v>$81.02</v>
      </c>
      <c r="J1790" t="str">
        <f t="shared" si="219"/>
        <v>Monday</v>
      </c>
      <c r="K1790" s="10" t="str">
        <f t="shared" si="220"/>
        <v>October</v>
      </c>
      <c r="L1790">
        <f t="shared" si="221"/>
        <v>2024</v>
      </c>
      <c r="M1790" t="b">
        <f t="shared" si="222"/>
        <v>0</v>
      </c>
      <c r="N1790" t="b">
        <f t="shared" si="216"/>
        <v>0</v>
      </c>
      <c r="O1790" t="str">
        <f t="shared" si="223"/>
        <v>Standard order</v>
      </c>
      <c r="P1790" s="7">
        <f t="shared" si="217"/>
        <v>4.0510000000000002</v>
      </c>
      <c r="Q1790" s="7" t="str">
        <f>VLOOKUP(D1791,Product_Lookup!$A$2:$C$27,2,FALSE)</f>
        <v>Headphones</v>
      </c>
      <c r="R1790" s="7">
        <f t="shared" si="218"/>
        <v>486.12</v>
      </c>
    </row>
    <row r="1791" spans="1:18" ht="21.75" customHeight="1">
      <c r="A1791" t="s">
        <v>1942</v>
      </c>
      <c r="B1791" s="6">
        <v>45644</v>
      </c>
      <c r="C1791" t="s">
        <v>61</v>
      </c>
      <c r="D1791" t="s">
        <v>16</v>
      </c>
      <c r="E1791" t="s">
        <v>11</v>
      </c>
      <c r="F1791" t="s">
        <v>12</v>
      </c>
      <c r="G1791" t="s">
        <v>36</v>
      </c>
      <c r="H1791">
        <v>13</v>
      </c>
      <c r="I1791" t="str">
        <f>VLOOKUP(D1791,Product_Lookup!$A$2:$C$27,3,FALSE)</f>
        <v>$178.83</v>
      </c>
      <c r="J1791" t="str">
        <f t="shared" si="219"/>
        <v>Wednesday</v>
      </c>
      <c r="K1791" s="10" t="str">
        <f t="shared" si="220"/>
        <v>December</v>
      </c>
      <c r="L1791">
        <f t="shared" si="221"/>
        <v>2024</v>
      </c>
      <c r="M1791" t="b">
        <f t="shared" si="222"/>
        <v>0</v>
      </c>
      <c r="N1791" t="b">
        <f t="shared" si="216"/>
        <v>1</v>
      </c>
      <c r="O1791" t="str">
        <f t="shared" si="223"/>
        <v>Large Order</v>
      </c>
      <c r="P1791" s="7">
        <f t="shared" si="217"/>
        <v>8.9415000000000013</v>
      </c>
      <c r="Q1791" s="7" t="str">
        <f>VLOOKUP(D1792,Product_Lookup!$A$2:$C$27,2,FALSE)</f>
        <v>T-Shirt</v>
      </c>
      <c r="R1791" s="7">
        <f t="shared" si="218"/>
        <v>2324.79</v>
      </c>
    </row>
    <row r="1792" spans="1:18" ht="21.75" customHeight="1">
      <c r="A1792" t="s">
        <v>1943</v>
      </c>
      <c r="B1792" s="6">
        <v>45582</v>
      </c>
      <c r="C1792" t="s">
        <v>122</v>
      </c>
      <c r="D1792" t="s">
        <v>45</v>
      </c>
      <c r="E1792" t="s">
        <v>22</v>
      </c>
      <c r="F1792" t="s">
        <v>42</v>
      </c>
      <c r="G1792" t="s">
        <v>36</v>
      </c>
      <c r="H1792">
        <v>8</v>
      </c>
      <c r="I1792" t="str">
        <f>VLOOKUP(D1792,Product_Lookup!$A$2:$C$27,3,FALSE)</f>
        <v>$107.34</v>
      </c>
      <c r="J1792" t="str">
        <f t="shared" si="219"/>
        <v>Thursday</v>
      </c>
      <c r="K1792" s="10" t="str">
        <f t="shared" si="220"/>
        <v>October</v>
      </c>
      <c r="L1792">
        <f t="shared" si="221"/>
        <v>2024</v>
      </c>
      <c r="M1792" t="b">
        <f t="shared" si="222"/>
        <v>0</v>
      </c>
      <c r="N1792" t="b">
        <f t="shared" si="216"/>
        <v>1</v>
      </c>
      <c r="O1792" t="str">
        <f t="shared" si="223"/>
        <v>Large Order</v>
      </c>
      <c r="P1792" s="7">
        <f t="shared" si="217"/>
        <v>5.3670000000000009</v>
      </c>
      <c r="Q1792" s="7" t="str">
        <f>VLOOKUP(D1793,Product_Lookup!$A$2:$C$27,2,FALSE)</f>
        <v>Headphones</v>
      </c>
      <c r="R1792" s="7">
        <f t="shared" si="218"/>
        <v>858.72</v>
      </c>
    </row>
    <row r="1793" spans="1:18" ht="21.75" customHeight="1">
      <c r="A1793" t="s">
        <v>1944</v>
      </c>
      <c r="B1793" s="6">
        <v>45345</v>
      </c>
      <c r="C1793" t="s">
        <v>432</v>
      </c>
      <c r="D1793" t="s">
        <v>16</v>
      </c>
      <c r="E1793" t="s">
        <v>17</v>
      </c>
      <c r="F1793" t="s">
        <v>12</v>
      </c>
      <c r="G1793" t="s">
        <v>28</v>
      </c>
      <c r="H1793">
        <v>12</v>
      </c>
      <c r="I1793" t="str">
        <f>VLOOKUP(D1793,Product_Lookup!$A$2:$C$27,3,FALSE)</f>
        <v>$178.83</v>
      </c>
      <c r="J1793" t="str">
        <f t="shared" si="219"/>
        <v>Friday</v>
      </c>
      <c r="K1793" s="10" t="str">
        <f t="shared" si="220"/>
        <v>February</v>
      </c>
      <c r="L1793">
        <f t="shared" si="221"/>
        <v>2024</v>
      </c>
      <c r="M1793" t="b">
        <f t="shared" si="222"/>
        <v>0</v>
      </c>
      <c r="N1793" t="b">
        <f t="shared" si="216"/>
        <v>1</v>
      </c>
      <c r="O1793" t="str">
        <f t="shared" si="223"/>
        <v>Large Order</v>
      </c>
      <c r="P1793" s="7">
        <f t="shared" si="217"/>
        <v>8.9415000000000013</v>
      </c>
      <c r="Q1793" s="7" t="str">
        <f>VLOOKUP(D1794,Product_Lookup!$A$2:$C$27,2,FALSE)</f>
        <v>Tablet</v>
      </c>
      <c r="R1793" s="7">
        <f t="shared" si="218"/>
        <v>2145.96</v>
      </c>
    </row>
    <row r="1794" spans="1:18" ht="21.75" customHeight="1">
      <c r="A1794" t="s">
        <v>1945</v>
      </c>
      <c r="B1794" s="6">
        <v>45377</v>
      </c>
      <c r="C1794" t="s">
        <v>541</v>
      </c>
      <c r="D1794" t="s">
        <v>10</v>
      </c>
      <c r="E1794" t="s">
        <v>22</v>
      </c>
      <c r="F1794" t="s">
        <v>42</v>
      </c>
      <c r="G1794" t="s">
        <v>23</v>
      </c>
      <c r="H1794">
        <v>1</v>
      </c>
      <c r="I1794" t="str">
        <f>VLOOKUP(D1794,Product_Lookup!$A$2:$C$27,3,FALSE)</f>
        <v>$146.06</v>
      </c>
      <c r="J1794" t="str">
        <f t="shared" si="219"/>
        <v>Tuesday</v>
      </c>
      <c r="K1794" s="10" t="str">
        <f t="shared" si="220"/>
        <v>March</v>
      </c>
      <c r="L1794">
        <f t="shared" si="221"/>
        <v>2024</v>
      </c>
      <c r="M1794" t="b">
        <f t="shared" si="222"/>
        <v>0</v>
      </c>
      <c r="N1794" t="b">
        <f t="shared" ref="N1794:N1857" si="224">AND(R1794&gt;750, H1794&gt;5)</f>
        <v>0</v>
      </c>
      <c r="O1794" t="str">
        <f t="shared" si="223"/>
        <v>Standard order</v>
      </c>
      <c r="P1794" s="7">
        <f t="shared" ref="P1794:P1857" si="225">I1794*$S$2</f>
        <v>7.3030000000000008</v>
      </c>
      <c r="Q1794" s="7" t="str">
        <f>VLOOKUP(D1795,Product_Lookup!$A$2:$C$27,2,FALSE)</f>
        <v>Tablet</v>
      </c>
      <c r="R1794" s="7">
        <f t="shared" ref="R1794:R1857" si="226">H1794*I1794</f>
        <v>146.06</v>
      </c>
    </row>
    <row r="1795" spans="1:18" ht="21.75" customHeight="1">
      <c r="A1795" t="s">
        <v>1946</v>
      </c>
      <c r="B1795" s="6">
        <v>45419</v>
      </c>
      <c r="C1795" t="s">
        <v>465</v>
      </c>
      <c r="D1795" t="s">
        <v>10</v>
      </c>
      <c r="E1795" t="s">
        <v>17</v>
      </c>
      <c r="F1795" t="s">
        <v>42</v>
      </c>
      <c r="G1795" t="s">
        <v>13</v>
      </c>
      <c r="H1795">
        <v>1</v>
      </c>
      <c r="I1795" t="str">
        <f>VLOOKUP(D1795,Product_Lookup!$A$2:$C$27,3,FALSE)</f>
        <v>$146.06</v>
      </c>
      <c r="J1795" t="str">
        <f t="shared" ref="J1795:J1858" si="227">TEXT(B1795, "dddd")</f>
        <v>Tuesday</v>
      </c>
      <c r="K1795" s="10" t="str">
        <f t="shared" ref="K1795:K1858" si="228">TEXT(B1795, "mmmm")</f>
        <v>May</v>
      </c>
      <c r="L1795">
        <f t="shared" ref="L1795:L1858" si="229">YEAR(B1795)</f>
        <v>2024</v>
      </c>
      <c r="M1795" t="b">
        <f t="shared" ref="M1795:M1858" si="230">OR(J1795="Saturday", J1795="Sunday")</f>
        <v>0</v>
      </c>
      <c r="N1795" t="b">
        <f t="shared" si="224"/>
        <v>0</v>
      </c>
      <c r="O1795" t="str">
        <f t="shared" ref="O1795:O1858" si="231">IF(R1795&gt;500,"Large Order","Standard order")</f>
        <v>Standard order</v>
      </c>
      <c r="P1795" s="7">
        <f t="shared" si="225"/>
        <v>7.3030000000000008</v>
      </c>
      <c r="Q1795" s="7" t="str">
        <f>VLOOKUP(D1796,Product_Lookup!$A$2:$C$27,2,FALSE)</f>
        <v>Vacuum</v>
      </c>
      <c r="R1795" s="7">
        <f t="shared" si="226"/>
        <v>146.06</v>
      </c>
    </row>
    <row r="1796" spans="1:18" ht="21.75" customHeight="1">
      <c r="A1796" t="s">
        <v>1947</v>
      </c>
      <c r="B1796" s="6">
        <v>45516</v>
      </c>
      <c r="C1796" t="s">
        <v>388</v>
      </c>
      <c r="D1796" t="s">
        <v>87</v>
      </c>
      <c r="E1796" t="s">
        <v>11</v>
      </c>
      <c r="F1796" t="s">
        <v>27</v>
      </c>
      <c r="G1796" t="s">
        <v>23</v>
      </c>
      <c r="H1796">
        <v>13</v>
      </c>
      <c r="I1796" t="str">
        <f>VLOOKUP(D1796,Product_Lookup!$A$2:$C$27,3,FALSE)</f>
        <v>$26.59</v>
      </c>
      <c r="J1796" t="str">
        <f t="shared" si="227"/>
        <v>Monday</v>
      </c>
      <c r="K1796" s="10" t="str">
        <f t="shared" si="228"/>
        <v>August</v>
      </c>
      <c r="L1796">
        <f t="shared" si="229"/>
        <v>2024</v>
      </c>
      <c r="M1796" t="b">
        <f t="shared" si="230"/>
        <v>0</v>
      </c>
      <c r="N1796" t="b">
        <f t="shared" si="224"/>
        <v>0</v>
      </c>
      <c r="O1796" t="str">
        <f t="shared" si="231"/>
        <v>Standard order</v>
      </c>
      <c r="P1796" s="7">
        <f t="shared" si="225"/>
        <v>1.3295000000000001</v>
      </c>
      <c r="Q1796" s="7" t="str">
        <f>VLOOKUP(D1797,Product_Lookup!$A$2:$C$27,2,FALSE)</f>
        <v>Stapler</v>
      </c>
      <c r="R1796" s="7">
        <f t="shared" si="226"/>
        <v>345.67</v>
      </c>
    </row>
    <row r="1797" spans="1:18" ht="21.75" customHeight="1">
      <c r="A1797" t="s">
        <v>1948</v>
      </c>
      <c r="B1797" s="6">
        <v>45484</v>
      </c>
      <c r="C1797" t="s">
        <v>108</v>
      </c>
      <c r="D1797" t="s">
        <v>35</v>
      </c>
      <c r="E1797" t="s">
        <v>22</v>
      </c>
      <c r="F1797" t="s">
        <v>56</v>
      </c>
      <c r="G1797" t="s">
        <v>28</v>
      </c>
      <c r="H1797">
        <v>15</v>
      </c>
      <c r="I1797" t="str">
        <f>VLOOKUP(D1797,Product_Lookup!$A$2:$C$27,3,FALSE)</f>
        <v>$64.61</v>
      </c>
      <c r="J1797" t="str">
        <f t="shared" si="227"/>
        <v>Thursday</v>
      </c>
      <c r="K1797" s="10" t="str">
        <f t="shared" si="228"/>
        <v>July</v>
      </c>
      <c r="L1797">
        <f t="shared" si="229"/>
        <v>2024</v>
      </c>
      <c r="M1797" t="b">
        <f t="shared" si="230"/>
        <v>0</v>
      </c>
      <c r="N1797" t="b">
        <f t="shared" si="224"/>
        <v>1</v>
      </c>
      <c r="O1797" t="str">
        <f t="shared" si="231"/>
        <v>Large Order</v>
      </c>
      <c r="P1797" s="7">
        <f t="shared" si="225"/>
        <v>3.2305000000000001</v>
      </c>
      <c r="Q1797" s="7" t="str">
        <f>VLOOKUP(D1798,Product_Lookup!$A$2:$C$27,2,FALSE)</f>
        <v>Laptop</v>
      </c>
      <c r="R1797" s="7">
        <f t="shared" si="226"/>
        <v>969.15</v>
      </c>
    </row>
    <row r="1798" spans="1:18" ht="21.75" customHeight="1">
      <c r="A1798" t="s">
        <v>1949</v>
      </c>
      <c r="B1798" s="6">
        <v>45309</v>
      </c>
      <c r="C1798" t="s">
        <v>61</v>
      </c>
      <c r="D1798" t="s">
        <v>96</v>
      </c>
      <c r="E1798" t="s">
        <v>17</v>
      </c>
      <c r="F1798" t="s">
        <v>42</v>
      </c>
      <c r="G1798" t="s">
        <v>13</v>
      </c>
      <c r="H1798">
        <v>3</v>
      </c>
      <c r="I1798" t="str">
        <f>VLOOKUP(D1798,Product_Lookup!$A$2:$C$27,3,FALSE)</f>
        <v>$230.68</v>
      </c>
      <c r="J1798" t="str">
        <f t="shared" si="227"/>
        <v>Thursday</v>
      </c>
      <c r="K1798" s="10" t="str">
        <f t="shared" si="228"/>
        <v>January</v>
      </c>
      <c r="L1798">
        <f t="shared" si="229"/>
        <v>2024</v>
      </c>
      <c r="M1798" t="b">
        <f t="shared" si="230"/>
        <v>0</v>
      </c>
      <c r="N1798" t="b">
        <f t="shared" si="224"/>
        <v>0</v>
      </c>
      <c r="O1798" t="str">
        <f t="shared" si="231"/>
        <v>Large Order</v>
      </c>
      <c r="P1798" s="7">
        <f t="shared" si="225"/>
        <v>11.534000000000001</v>
      </c>
      <c r="Q1798" s="7" t="str">
        <f>VLOOKUP(D1799,Product_Lookup!$A$2:$C$27,2,FALSE)</f>
        <v>Lego Set</v>
      </c>
      <c r="R1798" s="7">
        <f t="shared" si="226"/>
        <v>692.04</v>
      </c>
    </row>
    <row r="1799" spans="1:18" ht="21.75" customHeight="1">
      <c r="A1799" t="s">
        <v>1950</v>
      </c>
      <c r="B1799" s="6">
        <v>45484</v>
      </c>
      <c r="C1799" t="s">
        <v>111</v>
      </c>
      <c r="D1799" t="s">
        <v>84</v>
      </c>
      <c r="E1799" t="s">
        <v>11</v>
      </c>
      <c r="F1799" t="s">
        <v>306</v>
      </c>
      <c r="G1799" t="s">
        <v>13</v>
      </c>
      <c r="H1799">
        <v>11</v>
      </c>
      <c r="I1799" t="str">
        <f>VLOOKUP(D1799,Product_Lookup!$A$2:$C$27,3,FALSE)</f>
        <v>$130.07</v>
      </c>
      <c r="J1799" t="str">
        <f t="shared" si="227"/>
        <v>Thursday</v>
      </c>
      <c r="K1799" s="10" t="str">
        <f t="shared" si="228"/>
        <v>July</v>
      </c>
      <c r="L1799">
        <f t="shared" si="229"/>
        <v>2024</v>
      </c>
      <c r="M1799" t="b">
        <f t="shared" si="230"/>
        <v>0</v>
      </c>
      <c r="N1799" t="b">
        <f t="shared" si="224"/>
        <v>1</v>
      </c>
      <c r="O1799" t="str">
        <f t="shared" si="231"/>
        <v>Large Order</v>
      </c>
      <c r="P1799" s="7">
        <f t="shared" si="225"/>
        <v>6.5034999999999998</v>
      </c>
      <c r="Q1799" s="7" t="str">
        <f>VLOOKUP(D1800,Product_Lookup!$A$2:$C$27,2,FALSE)</f>
        <v>Puzzle</v>
      </c>
      <c r="R1799" s="7">
        <f t="shared" si="226"/>
        <v>1430.77</v>
      </c>
    </row>
    <row r="1800" spans="1:18" ht="21.75" customHeight="1">
      <c r="A1800" t="s">
        <v>1951</v>
      </c>
      <c r="B1800" s="6">
        <v>45606</v>
      </c>
      <c r="C1800" t="s">
        <v>517</v>
      </c>
      <c r="D1800" t="s">
        <v>62</v>
      </c>
      <c r="E1800" t="s">
        <v>11</v>
      </c>
      <c r="F1800" t="s">
        <v>27</v>
      </c>
      <c r="G1800" t="s">
        <v>28</v>
      </c>
      <c r="H1800">
        <v>20</v>
      </c>
      <c r="I1800" t="str">
        <f>VLOOKUP(D1800,Product_Lookup!$A$2:$C$27,3,FALSE)</f>
        <v>$46.19</v>
      </c>
      <c r="J1800" t="str">
        <f t="shared" si="227"/>
        <v>Sunday</v>
      </c>
      <c r="K1800" s="10" t="str">
        <f t="shared" si="228"/>
        <v>November</v>
      </c>
      <c r="L1800">
        <f t="shared" si="229"/>
        <v>2024</v>
      </c>
      <c r="M1800" t="b">
        <f t="shared" si="230"/>
        <v>1</v>
      </c>
      <c r="N1800" t="b">
        <f t="shared" si="224"/>
        <v>1</v>
      </c>
      <c r="O1800" t="str">
        <f t="shared" si="231"/>
        <v>Large Order</v>
      </c>
      <c r="P1800" s="7">
        <f t="shared" si="225"/>
        <v>2.3094999999999999</v>
      </c>
      <c r="Q1800" s="7" t="str">
        <f>VLOOKUP(D1801,Product_Lookup!$A$2:$C$27,2,FALSE)</f>
        <v>Monitor</v>
      </c>
      <c r="R1800" s="7">
        <f t="shared" si="226"/>
        <v>923.8</v>
      </c>
    </row>
    <row r="1801" spans="1:18" ht="21.75" customHeight="1">
      <c r="A1801" t="s">
        <v>1952</v>
      </c>
      <c r="B1801" s="6">
        <v>45372</v>
      </c>
      <c r="C1801" t="s">
        <v>9</v>
      </c>
      <c r="D1801" t="s">
        <v>102</v>
      </c>
      <c r="E1801" t="s">
        <v>17</v>
      </c>
      <c r="F1801" t="s">
        <v>56</v>
      </c>
      <c r="G1801" t="s">
        <v>28</v>
      </c>
      <c r="H1801">
        <v>14</v>
      </c>
      <c r="I1801" t="str">
        <f>VLOOKUP(D1801,Product_Lookup!$A$2:$C$27,3,FALSE)</f>
        <v>$145.48</v>
      </c>
      <c r="J1801" t="str">
        <f t="shared" si="227"/>
        <v>Thursday</v>
      </c>
      <c r="K1801" s="10" t="str">
        <f t="shared" si="228"/>
        <v>March</v>
      </c>
      <c r="L1801">
        <f t="shared" si="229"/>
        <v>2024</v>
      </c>
      <c r="M1801" t="b">
        <f t="shared" si="230"/>
        <v>0</v>
      </c>
      <c r="N1801" t="b">
        <f t="shared" si="224"/>
        <v>1</v>
      </c>
      <c r="O1801" t="str">
        <f t="shared" si="231"/>
        <v>Large Order</v>
      </c>
      <c r="P1801" s="7">
        <f t="shared" si="225"/>
        <v>7.274</v>
      </c>
      <c r="Q1801" s="7" t="str">
        <f>VLOOKUP(D1802,Product_Lookup!$A$2:$C$27,2,FALSE)</f>
        <v>Board Game</v>
      </c>
      <c r="R1801" s="7">
        <f t="shared" si="226"/>
        <v>2036.7199999999998</v>
      </c>
    </row>
    <row r="1802" spans="1:18" ht="21.75" customHeight="1">
      <c r="A1802" t="s">
        <v>1953</v>
      </c>
      <c r="B1802" s="6">
        <v>45568</v>
      </c>
      <c r="C1802" t="s">
        <v>86</v>
      </c>
      <c r="D1802" t="s">
        <v>41</v>
      </c>
      <c r="E1802" t="s">
        <v>17</v>
      </c>
      <c r="F1802" t="s">
        <v>42</v>
      </c>
      <c r="G1802" t="s">
        <v>28</v>
      </c>
      <c r="H1802">
        <v>4</v>
      </c>
      <c r="I1802" t="str">
        <f>VLOOKUP(D1802,Product_Lookup!$A$2:$C$27,3,FALSE)</f>
        <v>$86.6</v>
      </c>
      <c r="J1802" t="str">
        <f t="shared" si="227"/>
        <v>Thursday</v>
      </c>
      <c r="K1802" s="10" t="str">
        <f t="shared" si="228"/>
        <v>October</v>
      </c>
      <c r="L1802">
        <f t="shared" si="229"/>
        <v>2024</v>
      </c>
      <c r="M1802" t="b">
        <f t="shared" si="230"/>
        <v>0</v>
      </c>
      <c r="N1802" t="b">
        <f t="shared" si="224"/>
        <v>0</v>
      </c>
      <c r="O1802" t="str">
        <f t="shared" si="231"/>
        <v>Standard order</v>
      </c>
      <c r="P1802" s="7">
        <f t="shared" si="225"/>
        <v>4.33</v>
      </c>
      <c r="Q1802" s="7" t="str">
        <f>VLOOKUP(D1803,Product_Lookup!$A$2:$C$27,2,FALSE)</f>
        <v>Stapler</v>
      </c>
      <c r="R1802" s="7">
        <f t="shared" si="226"/>
        <v>346.4</v>
      </c>
    </row>
    <row r="1803" spans="1:18" ht="21.75" customHeight="1">
      <c r="A1803" t="s">
        <v>1954</v>
      </c>
      <c r="B1803" s="6">
        <v>45584</v>
      </c>
      <c r="C1803" t="s">
        <v>378</v>
      </c>
      <c r="D1803" t="s">
        <v>35</v>
      </c>
      <c r="E1803" t="s">
        <v>11</v>
      </c>
      <c r="F1803" t="s">
        <v>12</v>
      </c>
      <c r="G1803" t="s">
        <v>32</v>
      </c>
      <c r="H1803">
        <v>1</v>
      </c>
      <c r="I1803" t="str">
        <f>VLOOKUP(D1803,Product_Lookup!$A$2:$C$27,3,FALSE)</f>
        <v>$64.61</v>
      </c>
      <c r="J1803" t="str">
        <f t="shared" si="227"/>
        <v>Saturday</v>
      </c>
      <c r="K1803" s="10" t="str">
        <f t="shared" si="228"/>
        <v>October</v>
      </c>
      <c r="L1803">
        <f t="shared" si="229"/>
        <v>2024</v>
      </c>
      <c r="M1803" t="b">
        <f t="shared" si="230"/>
        <v>1</v>
      </c>
      <c r="N1803" t="b">
        <f t="shared" si="224"/>
        <v>0</v>
      </c>
      <c r="O1803" t="str">
        <f t="shared" si="231"/>
        <v>Standard order</v>
      </c>
      <c r="P1803" s="7">
        <f t="shared" si="225"/>
        <v>3.2305000000000001</v>
      </c>
      <c r="Q1803" s="7" t="str">
        <f>VLOOKUP(D1804,Product_Lookup!$A$2:$C$27,2,FALSE)</f>
        <v>Action Figure</v>
      </c>
      <c r="R1803" s="7">
        <f t="shared" si="226"/>
        <v>64.61</v>
      </c>
    </row>
    <row r="1804" spans="1:18" ht="21.75" customHeight="1">
      <c r="A1804" t="s">
        <v>1955</v>
      </c>
      <c r="B1804" s="6">
        <v>45442</v>
      </c>
      <c r="C1804" t="s">
        <v>371</v>
      </c>
      <c r="D1804" t="s">
        <v>21</v>
      </c>
      <c r="E1804" t="s">
        <v>22</v>
      </c>
      <c r="F1804" t="s">
        <v>27</v>
      </c>
      <c r="G1804" t="s">
        <v>28</v>
      </c>
      <c r="H1804">
        <v>4</v>
      </c>
      <c r="I1804" t="str">
        <f>VLOOKUP(D1804,Product_Lookup!$A$2:$C$27,3,FALSE)</f>
        <v>$88.18</v>
      </c>
      <c r="J1804" t="str">
        <f t="shared" si="227"/>
        <v>Thursday</v>
      </c>
      <c r="K1804" s="10" t="str">
        <f t="shared" si="228"/>
        <v>May</v>
      </c>
      <c r="L1804">
        <f t="shared" si="229"/>
        <v>2024</v>
      </c>
      <c r="M1804" t="b">
        <f t="shared" si="230"/>
        <v>0</v>
      </c>
      <c r="N1804" t="b">
        <f t="shared" si="224"/>
        <v>0</v>
      </c>
      <c r="O1804" t="str">
        <f t="shared" si="231"/>
        <v>Standard order</v>
      </c>
      <c r="P1804" s="7">
        <f t="shared" si="225"/>
        <v>4.4090000000000007</v>
      </c>
      <c r="Q1804" s="7" t="str">
        <f>VLOOKUP(D1805,Product_Lookup!$A$2:$C$27,2,FALSE)</f>
        <v>Socks</v>
      </c>
      <c r="R1804" s="7">
        <f t="shared" si="226"/>
        <v>352.72</v>
      </c>
    </row>
    <row r="1805" spans="1:18" ht="21.75" customHeight="1">
      <c r="A1805" t="s">
        <v>1956</v>
      </c>
      <c r="B1805" s="6">
        <v>45379</v>
      </c>
      <c r="C1805" t="s">
        <v>541</v>
      </c>
      <c r="D1805" t="s">
        <v>74</v>
      </c>
      <c r="E1805" t="s">
        <v>11</v>
      </c>
      <c r="F1805" t="s">
        <v>27</v>
      </c>
      <c r="G1805" t="s">
        <v>13</v>
      </c>
      <c r="H1805">
        <v>10</v>
      </c>
      <c r="I1805" t="str">
        <f>VLOOKUP(D1805,Product_Lookup!$A$2:$C$27,3,FALSE)</f>
        <v>$201.32</v>
      </c>
      <c r="J1805" t="str">
        <f t="shared" si="227"/>
        <v>Thursday</v>
      </c>
      <c r="K1805" s="10" t="str">
        <f t="shared" si="228"/>
        <v>March</v>
      </c>
      <c r="L1805">
        <f t="shared" si="229"/>
        <v>2024</v>
      </c>
      <c r="M1805" t="b">
        <f t="shared" si="230"/>
        <v>0</v>
      </c>
      <c r="N1805" t="b">
        <f t="shared" si="224"/>
        <v>1</v>
      </c>
      <c r="O1805" t="str">
        <f t="shared" si="231"/>
        <v>Large Order</v>
      </c>
      <c r="P1805" s="7">
        <f t="shared" si="225"/>
        <v>10.066000000000001</v>
      </c>
      <c r="Q1805" s="7" t="str">
        <f>VLOOKUP(D1806,Product_Lookup!$A$2:$C$27,2,FALSE)</f>
        <v>Board Game</v>
      </c>
      <c r="R1805" s="7">
        <f t="shared" si="226"/>
        <v>2013.1999999999998</v>
      </c>
    </row>
    <row r="1806" spans="1:18" ht="21.75" customHeight="1">
      <c r="A1806" t="s">
        <v>1957</v>
      </c>
      <c r="B1806" s="6">
        <v>45533</v>
      </c>
      <c r="C1806" t="s">
        <v>374</v>
      </c>
      <c r="D1806" t="s">
        <v>41</v>
      </c>
      <c r="E1806" t="s">
        <v>17</v>
      </c>
      <c r="F1806" t="s">
        <v>12</v>
      </c>
      <c r="G1806" t="s">
        <v>36</v>
      </c>
      <c r="H1806">
        <v>13</v>
      </c>
      <c r="I1806" t="str">
        <f>VLOOKUP(D1806,Product_Lookup!$A$2:$C$27,3,FALSE)</f>
        <v>$86.6</v>
      </c>
      <c r="J1806" t="str">
        <f t="shared" si="227"/>
        <v>Thursday</v>
      </c>
      <c r="K1806" s="10" t="str">
        <f t="shared" si="228"/>
        <v>August</v>
      </c>
      <c r="L1806">
        <f t="shared" si="229"/>
        <v>2024</v>
      </c>
      <c r="M1806" t="b">
        <f t="shared" si="230"/>
        <v>0</v>
      </c>
      <c r="N1806" t="b">
        <f t="shared" si="224"/>
        <v>1</v>
      </c>
      <c r="O1806" t="str">
        <f t="shared" si="231"/>
        <v>Large Order</v>
      </c>
      <c r="P1806" s="7">
        <f t="shared" si="225"/>
        <v>4.33</v>
      </c>
      <c r="Q1806" s="7" t="str">
        <f>VLOOKUP(D1807,Product_Lookup!$A$2:$C$27,2,FALSE)</f>
        <v>T-Shirt</v>
      </c>
      <c r="R1806" s="7">
        <f t="shared" si="226"/>
        <v>1125.8</v>
      </c>
    </row>
    <row r="1807" spans="1:18" ht="21.75" customHeight="1">
      <c r="A1807" t="s">
        <v>1958</v>
      </c>
      <c r="B1807" s="6">
        <v>45487</v>
      </c>
      <c r="C1807" t="s">
        <v>200</v>
      </c>
      <c r="D1807" t="s">
        <v>45</v>
      </c>
      <c r="E1807" t="s">
        <v>17</v>
      </c>
      <c r="F1807" t="s">
        <v>12</v>
      </c>
      <c r="G1807" t="s">
        <v>32</v>
      </c>
      <c r="H1807">
        <v>15</v>
      </c>
      <c r="I1807" t="str">
        <f>VLOOKUP(D1807,Product_Lookup!$A$2:$C$27,3,FALSE)</f>
        <v>$107.34</v>
      </c>
      <c r="J1807" t="str">
        <f t="shared" si="227"/>
        <v>Sunday</v>
      </c>
      <c r="K1807" s="10" t="str">
        <f t="shared" si="228"/>
        <v>July</v>
      </c>
      <c r="L1807">
        <f t="shared" si="229"/>
        <v>2024</v>
      </c>
      <c r="M1807" t="b">
        <f t="shared" si="230"/>
        <v>1</v>
      </c>
      <c r="N1807" t="b">
        <f t="shared" si="224"/>
        <v>1</v>
      </c>
      <c r="O1807" t="str">
        <f t="shared" si="231"/>
        <v>Large Order</v>
      </c>
      <c r="P1807" s="7">
        <f t="shared" si="225"/>
        <v>5.3670000000000009</v>
      </c>
      <c r="Q1807" s="7" t="str">
        <f>VLOOKUP(D1808,Product_Lookup!$A$2:$C$27,2,FALSE)</f>
        <v>Desk Lamp</v>
      </c>
      <c r="R1807" s="7">
        <f t="shared" si="226"/>
        <v>1610.1000000000001</v>
      </c>
    </row>
    <row r="1808" spans="1:18" ht="21.75" customHeight="1">
      <c r="A1808" t="s">
        <v>1959</v>
      </c>
      <c r="B1808" s="6">
        <v>45407</v>
      </c>
      <c r="C1808" t="s">
        <v>101</v>
      </c>
      <c r="D1808" t="s">
        <v>59</v>
      </c>
      <c r="E1808" t="s">
        <v>11</v>
      </c>
      <c r="F1808" t="s">
        <v>56</v>
      </c>
      <c r="G1808" t="s">
        <v>13</v>
      </c>
      <c r="H1808">
        <v>3</v>
      </c>
      <c r="I1808" t="str">
        <f>VLOOKUP(D1808,Product_Lookup!$A$2:$C$27,3,FALSE)</f>
        <v>$101.96</v>
      </c>
      <c r="J1808" t="str">
        <f t="shared" si="227"/>
        <v>Thursday</v>
      </c>
      <c r="K1808" s="10" t="str">
        <f t="shared" si="228"/>
        <v>April</v>
      </c>
      <c r="L1808">
        <f t="shared" si="229"/>
        <v>2024</v>
      </c>
      <c r="M1808" t="b">
        <f t="shared" si="230"/>
        <v>0</v>
      </c>
      <c r="N1808" t="b">
        <f t="shared" si="224"/>
        <v>0</v>
      </c>
      <c r="O1808" t="str">
        <f t="shared" si="231"/>
        <v>Standard order</v>
      </c>
      <c r="P1808" s="7">
        <f t="shared" si="225"/>
        <v>5.0979999999999999</v>
      </c>
      <c r="Q1808" s="7" t="str">
        <f>VLOOKUP(D1809,Product_Lookup!$A$2:$C$27,2,FALSE)</f>
        <v>Doll</v>
      </c>
      <c r="R1808" s="7">
        <f t="shared" si="226"/>
        <v>305.88</v>
      </c>
    </row>
    <row r="1809" spans="1:18" ht="21.75" customHeight="1">
      <c r="A1809" t="s">
        <v>1960</v>
      </c>
      <c r="B1809" s="6">
        <v>45569</v>
      </c>
      <c r="C1809" t="s">
        <v>408</v>
      </c>
      <c r="D1809" t="s">
        <v>119</v>
      </c>
      <c r="E1809" t="s">
        <v>22</v>
      </c>
      <c r="F1809" t="s">
        <v>56</v>
      </c>
      <c r="G1809" t="s">
        <v>36</v>
      </c>
      <c r="H1809">
        <v>2</v>
      </c>
      <c r="I1809" t="str">
        <f>VLOOKUP(D1809,Product_Lookup!$A$2:$C$27,3,FALSE)</f>
        <v>$32.94</v>
      </c>
      <c r="J1809" t="str">
        <f t="shared" si="227"/>
        <v>Friday</v>
      </c>
      <c r="K1809" s="10" t="str">
        <f t="shared" si="228"/>
        <v>October</v>
      </c>
      <c r="L1809">
        <f t="shared" si="229"/>
        <v>2024</v>
      </c>
      <c r="M1809" t="b">
        <f t="shared" si="230"/>
        <v>0</v>
      </c>
      <c r="N1809" t="b">
        <f t="shared" si="224"/>
        <v>0</v>
      </c>
      <c r="O1809" t="str">
        <f t="shared" si="231"/>
        <v>Standard order</v>
      </c>
      <c r="P1809" s="7">
        <f t="shared" si="225"/>
        <v>1.647</v>
      </c>
      <c r="Q1809" s="7" t="str">
        <f>VLOOKUP(D1810,Product_Lookup!$A$2:$C$27,2,FALSE)</f>
        <v>Pen Set</v>
      </c>
      <c r="R1809" s="7">
        <f t="shared" si="226"/>
        <v>65.88</v>
      </c>
    </row>
    <row r="1810" spans="1:18" ht="21.75" customHeight="1">
      <c r="A1810" t="s">
        <v>1961</v>
      </c>
      <c r="B1810" s="6">
        <v>45559</v>
      </c>
      <c r="C1810" t="s">
        <v>572</v>
      </c>
      <c r="D1810" t="s">
        <v>174</v>
      </c>
      <c r="E1810" t="s">
        <v>22</v>
      </c>
      <c r="F1810" t="s">
        <v>27</v>
      </c>
      <c r="G1810" t="s">
        <v>36</v>
      </c>
      <c r="H1810">
        <v>8</v>
      </c>
      <c r="I1810" t="str">
        <f>VLOOKUP(D1810,Product_Lookup!$A$2:$C$27,3,FALSE)</f>
        <v>$133.37</v>
      </c>
      <c r="J1810" t="str">
        <f t="shared" si="227"/>
        <v>Tuesday</v>
      </c>
      <c r="K1810" s="10" t="str">
        <f t="shared" si="228"/>
        <v>September</v>
      </c>
      <c r="L1810">
        <f t="shared" si="229"/>
        <v>2024</v>
      </c>
      <c r="M1810" t="b">
        <f t="shared" si="230"/>
        <v>0</v>
      </c>
      <c r="N1810" t="b">
        <f t="shared" si="224"/>
        <v>1</v>
      </c>
      <c r="O1810" t="str">
        <f t="shared" si="231"/>
        <v>Large Order</v>
      </c>
      <c r="P1810" s="7">
        <f t="shared" si="225"/>
        <v>6.6685000000000008</v>
      </c>
      <c r="Q1810" s="7" t="str">
        <f>VLOOKUP(D1811,Product_Lookup!$A$2:$C$27,2,FALSE)</f>
        <v>Puzzle</v>
      </c>
      <c r="R1810" s="7">
        <f t="shared" si="226"/>
        <v>1066.96</v>
      </c>
    </row>
    <row r="1811" spans="1:18" ht="21.75" customHeight="1">
      <c r="A1811" t="s">
        <v>1962</v>
      </c>
      <c r="B1811" s="6">
        <v>45332</v>
      </c>
      <c r="C1811" t="s">
        <v>106</v>
      </c>
      <c r="D1811" t="s">
        <v>62</v>
      </c>
      <c r="E1811" t="s">
        <v>11</v>
      </c>
      <c r="F1811" t="s">
        <v>306</v>
      </c>
      <c r="G1811" t="s">
        <v>36</v>
      </c>
      <c r="H1811">
        <v>17</v>
      </c>
      <c r="I1811" t="str">
        <f>VLOOKUP(D1811,Product_Lookup!$A$2:$C$27,3,FALSE)</f>
        <v>$46.19</v>
      </c>
      <c r="J1811" t="str">
        <f t="shared" si="227"/>
        <v>Saturday</v>
      </c>
      <c r="K1811" s="10" t="str">
        <f t="shared" si="228"/>
        <v>February</v>
      </c>
      <c r="L1811">
        <f t="shared" si="229"/>
        <v>2024</v>
      </c>
      <c r="M1811" t="b">
        <f t="shared" si="230"/>
        <v>1</v>
      </c>
      <c r="N1811" t="b">
        <f t="shared" si="224"/>
        <v>1</v>
      </c>
      <c r="O1811" t="str">
        <f t="shared" si="231"/>
        <v>Large Order</v>
      </c>
      <c r="P1811" s="7">
        <f t="shared" si="225"/>
        <v>2.3094999999999999</v>
      </c>
      <c r="Q1811" s="7" t="str">
        <f>VLOOKUP(D1812,Product_Lookup!$A$2:$C$27,2,FALSE)</f>
        <v>Headphones</v>
      </c>
      <c r="R1811" s="7">
        <f t="shared" si="226"/>
        <v>785.23</v>
      </c>
    </row>
    <row r="1812" spans="1:18" ht="21.75" customHeight="1">
      <c r="A1812" t="s">
        <v>1963</v>
      </c>
      <c r="B1812" s="6">
        <v>45638</v>
      </c>
      <c r="C1812" t="s">
        <v>381</v>
      </c>
      <c r="D1812" t="s">
        <v>16</v>
      </c>
      <c r="E1812" t="s">
        <v>11</v>
      </c>
      <c r="F1812" t="s">
        <v>27</v>
      </c>
      <c r="G1812" t="s">
        <v>28</v>
      </c>
      <c r="H1812">
        <v>6</v>
      </c>
      <c r="I1812" t="str">
        <f>VLOOKUP(D1812,Product_Lookup!$A$2:$C$27,3,FALSE)</f>
        <v>$178.83</v>
      </c>
      <c r="J1812" t="str">
        <f t="shared" si="227"/>
        <v>Thursday</v>
      </c>
      <c r="K1812" s="10" t="str">
        <f t="shared" si="228"/>
        <v>December</v>
      </c>
      <c r="L1812">
        <f t="shared" si="229"/>
        <v>2024</v>
      </c>
      <c r="M1812" t="b">
        <f t="shared" si="230"/>
        <v>0</v>
      </c>
      <c r="N1812" t="b">
        <f t="shared" si="224"/>
        <v>1</v>
      </c>
      <c r="O1812" t="str">
        <f t="shared" si="231"/>
        <v>Large Order</v>
      </c>
      <c r="P1812" s="7">
        <f t="shared" si="225"/>
        <v>8.9415000000000013</v>
      </c>
      <c r="Q1812" s="7" t="str">
        <f>VLOOKUP(D1813,Product_Lookup!$A$2:$C$27,2,FALSE)</f>
        <v>Smartphone</v>
      </c>
      <c r="R1812" s="7">
        <f t="shared" si="226"/>
        <v>1072.98</v>
      </c>
    </row>
    <row r="1813" spans="1:18" ht="21.75" customHeight="1">
      <c r="A1813" t="s">
        <v>1964</v>
      </c>
      <c r="B1813" s="6">
        <v>45390</v>
      </c>
      <c r="C1813" t="s">
        <v>34</v>
      </c>
      <c r="D1813" t="s">
        <v>79</v>
      </c>
      <c r="E1813" t="s">
        <v>17</v>
      </c>
      <c r="F1813" t="s">
        <v>12</v>
      </c>
      <c r="G1813" t="s">
        <v>23</v>
      </c>
      <c r="H1813">
        <v>7</v>
      </c>
      <c r="I1813" t="str">
        <f>VLOOKUP(D1813,Product_Lookup!$A$2:$C$27,3,FALSE)</f>
        <v>$216.22</v>
      </c>
      <c r="J1813" t="str">
        <f t="shared" si="227"/>
        <v>Monday</v>
      </c>
      <c r="K1813" s="10" t="str">
        <f t="shared" si="228"/>
        <v>April</v>
      </c>
      <c r="L1813">
        <f t="shared" si="229"/>
        <v>2024</v>
      </c>
      <c r="M1813" t="b">
        <f t="shared" si="230"/>
        <v>0</v>
      </c>
      <c r="N1813" t="b">
        <f t="shared" si="224"/>
        <v>1</v>
      </c>
      <c r="O1813" t="str">
        <f t="shared" si="231"/>
        <v>Large Order</v>
      </c>
      <c r="P1813" s="7">
        <f t="shared" si="225"/>
        <v>10.811</v>
      </c>
      <c r="Q1813" s="7" t="str">
        <f>VLOOKUP(D1814,Product_Lookup!$A$2:$C$27,2,FALSE)</f>
        <v>Paper Shredder</v>
      </c>
      <c r="R1813" s="7">
        <f t="shared" si="226"/>
        <v>1513.54</v>
      </c>
    </row>
    <row r="1814" spans="1:18" ht="21.75" customHeight="1">
      <c r="A1814" t="s">
        <v>1965</v>
      </c>
      <c r="B1814" s="6">
        <v>45613</v>
      </c>
      <c r="C1814" t="s">
        <v>167</v>
      </c>
      <c r="D1814" t="s">
        <v>109</v>
      </c>
      <c r="E1814" t="s">
        <v>17</v>
      </c>
      <c r="F1814" t="s">
        <v>42</v>
      </c>
      <c r="G1814" t="s">
        <v>13</v>
      </c>
      <c r="H1814">
        <v>3</v>
      </c>
      <c r="I1814" t="str">
        <f>VLOOKUP(D1814,Product_Lookup!$A$2:$C$27,3,FALSE)</f>
        <v>$81.02</v>
      </c>
      <c r="J1814" t="str">
        <f t="shared" si="227"/>
        <v>Sunday</v>
      </c>
      <c r="K1814" s="10" t="str">
        <f t="shared" si="228"/>
        <v>November</v>
      </c>
      <c r="L1814">
        <f t="shared" si="229"/>
        <v>2024</v>
      </c>
      <c r="M1814" t="b">
        <f t="shared" si="230"/>
        <v>1</v>
      </c>
      <c r="N1814" t="b">
        <f t="shared" si="224"/>
        <v>0</v>
      </c>
      <c r="O1814" t="str">
        <f t="shared" si="231"/>
        <v>Standard order</v>
      </c>
      <c r="P1814" s="7">
        <f t="shared" si="225"/>
        <v>4.0510000000000002</v>
      </c>
      <c r="Q1814" s="7" t="str">
        <f>VLOOKUP(D1815,Product_Lookup!$A$2:$C$27,2,FALSE)</f>
        <v>Blender</v>
      </c>
      <c r="R1814" s="7">
        <f t="shared" si="226"/>
        <v>243.06</v>
      </c>
    </row>
    <row r="1815" spans="1:18" ht="21.75" customHeight="1">
      <c r="A1815" t="s">
        <v>1966</v>
      </c>
      <c r="B1815" s="6">
        <v>45495</v>
      </c>
      <c r="C1815" t="s">
        <v>378</v>
      </c>
      <c r="D1815" t="s">
        <v>72</v>
      </c>
      <c r="E1815" t="s">
        <v>17</v>
      </c>
      <c r="F1815" t="s">
        <v>306</v>
      </c>
      <c r="G1815" t="s">
        <v>23</v>
      </c>
      <c r="H1815">
        <v>1</v>
      </c>
      <c r="I1815" t="str">
        <f>VLOOKUP(D1815,Product_Lookup!$A$2:$C$27,3,FALSE)</f>
        <v>$156.44</v>
      </c>
      <c r="J1815" t="str">
        <f t="shared" si="227"/>
        <v>Monday</v>
      </c>
      <c r="K1815" s="10" t="str">
        <f t="shared" si="228"/>
        <v>July</v>
      </c>
      <c r="L1815">
        <f t="shared" si="229"/>
        <v>2024</v>
      </c>
      <c r="M1815" t="b">
        <f t="shared" si="230"/>
        <v>0</v>
      </c>
      <c r="N1815" t="b">
        <f t="shared" si="224"/>
        <v>0</v>
      </c>
      <c r="O1815" t="str">
        <f t="shared" si="231"/>
        <v>Standard order</v>
      </c>
      <c r="P1815" s="7">
        <f t="shared" si="225"/>
        <v>7.8220000000000001</v>
      </c>
      <c r="Q1815" s="7" t="str">
        <f>VLOOKUP(D1816,Product_Lookup!$A$2:$C$27,2,FALSE)</f>
        <v>Notebook</v>
      </c>
      <c r="R1815" s="7">
        <f t="shared" si="226"/>
        <v>156.44</v>
      </c>
    </row>
    <row r="1816" spans="1:18" ht="21.75" customHeight="1">
      <c r="A1816" t="s">
        <v>1967</v>
      </c>
      <c r="B1816" s="6">
        <v>45611</v>
      </c>
      <c r="C1816" t="s">
        <v>449</v>
      </c>
      <c r="D1816" t="s">
        <v>160</v>
      </c>
      <c r="E1816" t="s">
        <v>17</v>
      </c>
      <c r="F1816" t="s">
        <v>12</v>
      </c>
      <c r="G1816" t="s">
        <v>23</v>
      </c>
      <c r="H1816">
        <v>5</v>
      </c>
      <c r="I1816" t="str">
        <f>VLOOKUP(D1816,Product_Lookup!$A$2:$C$27,3,FALSE)</f>
        <v>$149.27</v>
      </c>
      <c r="J1816" t="str">
        <f t="shared" si="227"/>
        <v>Friday</v>
      </c>
      <c r="K1816" s="10" t="str">
        <f t="shared" si="228"/>
        <v>November</v>
      </c>
      <c r="L1816">
        <f t="shared" si="229"/>
        <v>2024</v>
      </c>
      <c r="M1816" t="b">
        <f t="shared" si="230"/>
        <v>0</v>
      </c>
      <c r="N1816" t="b">
        <f t="shared" si="224"/>
        <v>0</v>
      </c>
      <c r="O1816" t="str">
        <f t="shared" si="231"/>
        <v>Large Order</v>
      </c>
      <c r="P1816" s="7">
        <f t="shared" si="225"/>
        <v>7.4635000000000007</v>
      </c>
      <c r="Q1816" s="7" t="str">
        <f>VLOOKUP(D1817,Product_Lookup!$A$2:$C$27,2,FALSE)</f>
        <v>Doll</v>
      </c>
      <c r="R1816" s="7">
        <f t="shared" si="226"/>
        <v>746.35</v>
      </c>
    </row>
    <row r="1817" spans="1:18" ht="21.75" customHeight="1">
      <c r="A1817" t="s">
        <v>1968</v>
      </c>
      <c r="B1817" s="6">
        <v>45593</v>
      </c>
      <c r="C1817" t="s">
        <v>361</v>
      </c>
      <c r="D1817" t="s">
        <v>119</v>
      </c>
      <c r="E1817" t="s">
        <v>11</v>
      </c>
      <c r="F1817" t="s">
        <v>12</v>
      </c>
      <c r="G1817" t="s">
        <v>36</v>
      </c>
      <c r="H1817">
        <v>4</v>
      </c>
      <c r="I1817" t="str">
        <f>VLOOKUP(D1817,Product_Lookup!$A$2:$C$27,3,FALSE)</f>
        <v>$32.94</v>
      </c>
      <c r="J1817" t="str">
        <f t="shared" si="227"/>
        <v>Monday</v>
      </c>
      <c r="K1817" s="10" t="str">
        <f t="shared" si="228"/>
        <v>October</v>
      </c>
      <c r="L1817">
        <f t="shared" si="229"/>
        <v>2024</v>
      </c>
      <c r="M1817" t="b">
        <f t="shared" si="230"/>
        <v>0</v>
      </c>
      <c r="N1817" t="b">
        <f t="shared" si="224"/>
        <v>0</v>
      </c>
      <c r="O1817" t="str">
        <f t="shared" si="231"/>
        <v>Standard order</v>
      </c>
      <c r="P1817" s="7">
        <f t="shared" si="225"/>
        <v>1.647</v>
      </c>
      <c r="Q1817" s="7" t="str">
        <f>VLOOKUP(D1818,Product_Lookup!$A$2:$C$27,2,FALSE)</f>
        <v>Vacuum</v>
      </c>
      <c r="R1817" s="7">
        <f t="shared" si="226"/>
        <v>131.76</v>
      </c>
    </row>
    <row r="1818" spans="1:18" ht="21.75" customHeight="1">
      <c r="A1818" t="s">
        <v>1969</v>
      </c>
      <c r="B1818" s="6">
        <v>45566</v>
      </c>
      <c r="C1818" t="s">
        <v>20</v>
      </c>
      <c r="D1818" t="s">
        <v>87</v>
      </c>
      <c r="E1818" t="s">
        <v>17</v>
      </c>
      <c r="F1818" t="s">
        <v>27</v>
      </c>
      <c r="G1818" t="s">
        <v>23</v>
      </c>
      <c r="H1818">
        <v>19</v>
      </c>
      <c r="I1818" t="str">
        <f>VLOOKUP(D1818,Product_Lookup!$A$2:$C$27,3,FALSE)</f>
        <v>$26.59</v>
      </c>
      <c r="J1818" t="str">
        <f t="shared" si="227"/>
        <v>Tuesday</v>
      </c>
      <c r="K1818" s="10" t="str">
        <f t="shared" si="228"/>
        <v>October</v>
      </c>
      <c r="L1818">
        <f t="shared" si="229"/>
        <v>2024</v>
      </c>
      <c r="M1818" t="b">
        <f t="shared" si="230"/>
        <v>0</v>
      </c>
      <c r="N1818" t="b">
        <f t="shared" si="224"/>
        <v>0</v>
      </c>
      <c r="O1818" t="str">
        <f t="shared" si="231"/>
        <v>Large Order</v>
      </c>
      <c r="P1818" s="7">
        <f t="shared" si="225"/>
        <v>1.3295000000000001</v>
      </c>
      <c r="Q1818" s="7" t="str">
        <f>VLOOKUP(D1819,Product_Lookup!$A$2:$C$27,2,FALSE)</f>
        <v>Sweater</v>
      </c>
      <c r="R1818" s="7">
        <f t="shared" si="226"/>
        <v>505.21</v>
      </c>
    </row>
    <row r="1819" spans="1:18" ht="21.75" customHeight="1">
      <c r="A1819" t="s">
        <v>1970</v>
      </c>
      <c r="B1819" s="6">
        <v>45311</v>
      </c>
      <c r="C1819" t="s">
        <v>235</v>
      </c>
      <c r="D1819" t="s">
        <v>26</v>
      </c>
      <c r="E1819" t="s">
        <v>17</v>
      </c>
      <c r="F1819" t="s">
        <v>56</v>
      </c>
      <c r="G1819" t="s">
        <v>36</v>
      </c>
      <c r="H1819">
        <v>20</v>
      </c>
      <c r="I1819" t="str">
        <f>VLOOKUP(D1819,Product_Lookup!$A$2:$C$27,3,FALSE)</f>
        <v>$84.57</v>
      </c>
      <c r="J1819" t="str">
        <f t="shared" si="227"/>
        <v>Saturday</v>
      </c>
      <c r="K1819" s="10" t="str">
        <f t="shared" si="228"/>
        <v>January</v>
      </c>
      <c r="L1819">
        <f t="shared" si="229"/>
        <v>2024</v>
      </c>
      <c r="M1819" t="b">
        <f t="shared" si="230"/>
        <v>1</v>
      </c>
      <c r="N1819" t="b">
        <f t="shared" si="224"/>
        <v>1</v>
      </c>
      <c r="O1819" t="str">
        <f t="shared" si="231"/>
        <v>Large Order</v>
      </c>
      <c r="P1819" s="7">
        <f t="shared" si="225"/>
        <v>4.2284999999999995</v>
      </c>
      <c r="Q1819" s="7" t="str">
        <f>VLOOKUP(D1820,Product_Lookup!$A$2:$C$27,2,FALSE)</f>
        <v>Coffee Maker</v>
      </c>
      <c r="R1819" s="7">
        <f t="shared" si="226"/>
        <v>1691.3999999999999</v>
      </c>
    </row>
    <row r="1820" spans="1:18" ht="21.75" customHeight="1">
      <c r="A1820" t="s">
        <v>1971</v>
      </c>
      <c r="B1820" s="6">
        <v>45497</v>
      </c>
      <c r="C1820" t="s">
        <v>122</v>
      </c>
      <c r="D1820" t="s">
        <v>31</v>
      </c>
      <c r="E1820" t="s">
        <v>17</v>
      </c>
      <c r="F1820" t="s">
        <v>56</v>
      </c>
      <c r="G1820" t="s">
        <v>13</v>
      </c>
      <c r="H1820">
        <v>16</v>
      </c>
      <c r="I1820" t="str">
        <f>VLOOKUP(D1820,Product_Lookup!$A$2:$C$27,3,FALSE)</f>
        <v>$230.34</v>
      </c>
      <c r="J1820" t="str">
        <f t="shared" si="227"/>
        <v>Wednesday</v>
      </c>
      <c r="K1820" s="10" t="str">
        <f t="shared" si="228"/>
        <v>July</v>
      </c>
      <c r="L1820">
        <f t="shared" si="229"/>
        <v>2024</v>
      </c>
      <c r="M1820" t="b">
        <f t="shared" si="230"/>
        <v>0</v>
      </c>
      <c r="N1820" t="b">
        <f t="shared" si="224"/>
        <v>1</v>
      </c>
      <c r="O1820" t="str">
        <f t="shared" si="231"/>
        <v>Large Order</v>
      </c>
      <c r="P1820" s="7">
        <f t="shared" si="225"/>
        <v>11.517000000000001</v>
      </c>
      <c r="Q1820" s="7" t="str">
        <f>VLOOKUP(D1821,Product_Lookup!$A$2:$C$27,2,FALSE)</f>
        <v>Blender</v>
      </c>
      <c r="R1820" s="7">
        <f t="shared" si="226"/>
        <v>3685.44</v>
      </c>
    </row>
    <row r="1821" spans="1:18" ht="21.75" customHeight="1">
      <c r="A1821" t="s">
        <v>1972</v>
      </c>
      <c r="B1821" s="6">
        <v>45482</v>
      </c>
      <c r="C1821" t="s">
        <v>138</v>
      </c>
      <c r="D1821" t="s">
        <v>72</v>
      </c>
      <c r="E1821" t="s">
        <v>17</v>
      </c>
      <c r="F1821" t="s">
        <v>42</v>
      </c>
      <c r="G1821" t="s">
        <v>32</v>
      </c>
      <c r="H1821">
        <v>16</v>
      </c>
      <c r="I1821" t="str">
        <f>VLOOKUP(D1821,Product_Lookup!$A$2:$C$27,3,FALSE)</f>
        <v>$156.44</v>
      </c>
      <c r="J1821" t="str">
        <f t="shared" si="227"/>
        <v>Tuesday</v>
      </c>
      <c r="K1821" s="10" t="str">
        <f t="shared" si="228"/>
        <v>July</v>
      </c>
      <c r="L1821">
        <f t="shared" si="229"/>
        <v>2024</v>
      </c>
      <c r="M1821" t="b">
        <f t="shared" si="230"/>
        <v>0</v>
      </c>
      <c r="N1821" t="b">
        <f t="shared" si="224"/>
        <v>1</v>
      </c>
      <c r="O1821" t="str">
        <f t="shared" si="231"/>
        <v>Large Order</v>
      </c>
      <c r="P1821" s="7">
        <f t="shared" si="225"/>
        <v>7.8220000000000001</v>
      </c>
      <c r="Q1821" s="7" t="str">
        <f>VLOOKUP(D1822,Product_Lookup!$A$2:$C$27,2,FALSE)</f>
        <v>Jacket</v>
      </c>
      <c r="R1821" s="7">
        <f t="shared" si="226"/>
        <v>2503.04</v>
      </c>
    </row>
    <row r="1822" spans="1:18" ht="21.75" customHeight="1">
      <c r="A1822" t="s">
        <v>1973</v>
      </c>
      <c r="B1822" s="6">
        <v>45642</v>
      </c>
      <c r="C1822" t="s">
        <v>108</v>
      </c>
      <c r="D1822" t="s">
        <v>197</v>
      </c>
      <c r="E1822" t="s">
        <v>11</v>
      </c>
      <c r="F1822" t="s">
        <v>42</v>
      </c>
      <c r="G1822" t="s">
        <v>23</v>
      </c>
      <c r="H1822">
        <v>11</v>
      </c>
      <c r="I1822" t="str">
        <f>VLOOKUP(D1822,Product_Lookup!$A$2:$C$27,3,FALSE)</f>
        <v>$10.11</v>
      </c>
      <c r="J1822" t="str">
        <f t="shared" si="227"/>
        <v>Monday</v>
      </c>
      <c r="K1822" s="10" t="str">
        <f t="shared" si="228"/>
        <v>December</v>
      </c>
      <c r="L1822">
        <f t="shared" si="229"/>
        <v>2024</v>
      </c>
      <c r="M1822" t="b">
        <f t="shared" si="230"/>
        <v>0</v>
      </c>
      <c r="N1822" t="b">
        <f t="shared" si="224"/>
        <v>0</v>
      </c>
      <c r="O1822" t="str">
        <f t="shared" si="231"/>
        <v>Standard order</v>
      </c>
      <c r="P1822" s="7">
        <f t="shared" si="225"/>
        <v>0.50549999999999995</v>
      </c>
      <c r="Q1822" s="7" t="str">
        <f>VLOOKUP(D1823,Product_Lookup!$A$2:$C$27,2,FALSE)</f>
        <v>Action Figure</v>
      </c>
      <c r="R1822" s="7">
        <f t="shared" si="226"/>
        <v>111.21</v>
      </c>
    </row>
    <row r="1823" spans="1:18" ht="21.75" customHeight="1">
      <c r="A1823" t="s">
        <v>1974</v>
      </c>
      <c r="B1823" s="6">
        <v>45505</v>
      </c>
      <c r="C1823" t="s">
        <v>493</v>
      </c>
      <c r="D1823" t="s">
        <v>21</v>
      </c>
      <c r="E1823" t="s">
        <v>11</v>
      </c>
      <c r="F1823" t="s">
        <v>56</v>
      </c>
      <c r="G1823" t="s">
        <v>23</v>
      </c>
      <c r="H1823">
        <v>7</v>
      </c>
      <c r="I1823" t="str">
        <f>VLOOKUP(D1823,Product_Lookup!$A$2:$C$27,3,FALSE)</f>
        <v>$88.18</v>
      </c>
      <c r="J1823" t="str">
        <f t="shared" si="227"/>
        <v>Thursday</v>
      </c>
      <c r="K1823" s="10" t="str">
        <f t="shared" si="228"/>
        <v>August</v>
      </c>
      <c r="L1823">
        <f t="shared" si="229"/>
        <v>2024</v>
      </c>
      <c r="M1823" t="b">
        <f t="shared" si="230"/>
        <v>0</v>
      </c>
      <c r="N1823" t="b">
        <f t="shared" si="224"/>
        <v>0</v>
      </c>
      <c r="O1823" t="str">
        <f t="shared" si="231"/>
        <v>Large Order</v>
      </c>
      <c r="P1823" s="7">
        <f t="shared" si="225"/>
        <v>4.4090000000000007</v>
      </c>
      <c r="Q1823" s="7" t="str">
        <f>VLOOKUP(D1824,Product_Lookup!$A$2:$C$27,2,FALSE)</f>
        <v>Stapler</v>
      </c>
      <c r="R1823" s="7">
        <f t="shared" si="226"/>
        <v>617.26</v>
      </c>
    </row>
    <row r="1824" spans="1:18" ht="21.75" customHeight="1">
      <c r="A1824" t="s">
        <v>1975</v>
      </c>
      <c r="B1824" s="6">
        <v>45500</v>
      </c>
      <c r="C1824" t="s">
        <v>304</v>
      </c>
      <c r="D1824" t="s">
        <v>35</v>
      </c>
      <c r="E1824" t="s">
        <v>22</v>
      </c>
      <c r="F1824" t="s">
        <v>42</v>
      </c>
      <c r="G1824" t="s">
        <v>13</v>
      </c>
      <c r="H1824">
        <v>17</v>
      </c>
      <c r="I1824" t="str">
        <f>VLOOKUP(D1824,Product_Lookup!$A$2:$C$27,3,FALSE)</f>
        <v>$64.61</v>
      </c>
      <c r="J1824" t="str">
        <f t="shared" si="227"/>
        <v>Saturday</v>
      </c>
      <c r="K1824" s="10" t="str">
        <f t="shared" si="228"/>
        <v>July</v>
      </c>
      <c r="L1824">
        <f t="shared" si="229"/>
        <v>2024</v>
      </c>
      <c r="M1824" t="b">
        <f t="shared" si="230"/>
        <v>1</v>
      </c>
      <c r="N1824" t="b">
        <f t="shared" si="224"/>
        <v>1</v>
      </c>
      <c r="O1824" t="str">
        <f t="shared" si="231"/>
        <v>Large Order</v>
      </c>
      <c r="P1824" s="7">
        <f t="shared" si="225"/>
        <v>3.2305000000000001</v>
      </c>
      <c r="Q1824" s="7" t="str">
        <f>VLOOKUP(D1825,Product_Lookup!$A$2:$C$27,2,FALSE)</f>
        <v>Puzzle</v>
      </c>
      <c r="R1824" s="7">
        <f t="shared" si="226"/>
        <v>1098.3699999999999</v>
      </c>
    </row>
    <row r="1825" spans="1:18" ht="21.75" customHeight="1">
      <c r="A1825" t="s">
        <v>1976</v>
      </c>
      <c r="B1825" s="6">
        <v>45325</v>
      </c>
      <c r="C1825" t="s">
        <v>147</v>
      </c>
      <c r="D1825" t="s">
        <v>62</v>
      </c>
      <c r="E1825" t="s">
        <v>22</v>
      </c>
      <c r="F1825" t="s">
        <v>27</v>
      </c>
      <c r="G1825" t="s">
        <v>28</v>
      </c>
      <c r="H1825">
        <v>17</v>
      </c>
      <c r="I1825" t="str">
        <f>VLOOKUP(D1825,Product_Lookup!$A$2:$C$27,3,FALSE)</f>
        <v>$46.19</v>
      </c>
      <c r="J1825" t="str">
        <f t="shared" si="227"/>
        <v>Saturday</v>
      </c>
      <c r="K1825" s="10" t="str">
        <f t="shared" si="228"/>
        <v>February</v>
      </c>
      <c r="L1825">
        <f t="shared" si="229"/>
        <v>2024</v>
      </c>
      <c r="M1825" t="b">
        <f t="shared" si="230"/>
        <v>1</v>
      </c>
      <c r="N1825" t="b">
        <f t="shared" si="224"/>
        <v>1</v>
      </c>
      <c r="O1825" t="str">
        <f t="shared" si="231"/>
        <v>Large Order</v>
      </c>
      <c r="P1825" s="7">
        <f t="shared" si="225"/>
        <v>2.3094999999999999</v>
      </c>
      <c r="Q1825" s="7" t="str">
        <f>VLOOKUP(D1826,Product_Lookup!$A$2:$C$27,2,FALSE)</f>
        <v>Jeans</v>
      </c>
      <c r="R1825" s="7">
        <f t="shared" si="226"/>
        <v>785.23</v>
      </c>
    </row>
    <row r="1826" spans="1:18" ht="21.75" customHeight="1">
      <c r="A1826" t="s">
        <v>1977</v>
      </c>
      <c r="B1826" s="6">
        <v>45306</v>
      </c>
      <c r="C1826" t="s">
        <v>235</v>
      </c>
      <c r="D1826" t="s">
        <v>65</v>
      </c>
      <c r="E1826" t="s">
        <v>11</v>
      </c>
      <c r="F1826" t="s">
        <v>12</v>
      </c>
      <c r="G1826" t="s">
        <v>28</v>
      </c>
      <c r="H1826">
        <v>2</v>
      </c>
      <c r="I1826" t="str">
        <f>VLOOKUP(D1826,Product_Lookup!$A$2:$C$27,3,FALSE)</f>
        <v>$33.22</v>
      </c>
      <c r="J1826" t="str">
        <f t="shared" si="227"/>
        <v>Monday</v>
      </c>
      <c r="K1826" s="10" t="str">
        <f t="shared" si="228"/>
        <v>January</v>
      </c>
      <c r="L1826">
        <f t="shared" si="229"/>
        <v>2024</v>
      </c>
      <c r="M1826" t="b">
        <f t="shared" si="230"/>
        <v>0</v>
      </c>
      <c r="N1826" t="b">
        <f t="shared" si="224"/>
        <v>0</v>
      </c>
      <c r="O1826" t="str">
        <f t="shared" si="231"/>
        <v>Standard order</v>
      </c>
      <c r="P1826" s="7">
        <f t="shared" si="225"/>
        <v>1.661</v>
      </c>
      <c r="Q1826" s="7" t="str">
        <f>VLOOKUP(D1827,Product_Lookup!$A$2:$C$27,2,FALSE)</f>
        <v>Jeans</v>
      </c>
      <c r="R1826" s="7">
        <f t="shared" si="226"/>
        <v>66.44</v>
      </c>
    </row>
    <row r="1827" spans="1:18" ht="21.75" customHeight="1">
      <c r="A1827" t="s">
        <v>1978</v>
      </c>
      <c r="B1827" s="6">
        <v>45476</v>
      </c>
      <c r="C1827" t="s">
        <v>369</v>
      </c>
      <c r="D1827" t="s">
        <v>65</v>
      </c>
      <c r="E1827" t="s">
        <v>17</v>
      </c>
      <c r="F1827" t="s">
        <v>42</v>
      </c>
      <c r="G1827" t="s">
        <v>23</v>
      </c>
      <c r="H1827">
        <v>17</v>
      </c>
      <c r="I1827" t="str">
        <f>VLOOKUP(D1827,Product_Lookup!$A$2:$C$27,3,FALSE)</f>
        <v>$33.22</v>
      </c>
      <c r="J1827" t="str">
        <f t="shared" si="227"/>
        <v>Wednesday</v>
      </c>
      <c r="K1827" s="10" t="str">
        <f t="shared" si="228"/>
        <v>July</v>
      </c>
      <c r="L1827">
        <f t="shared" si="229"/>
        <v>2024</v>
      </c>
      <c r="M1827" t="b">
        <f t="shared" si="230"/>
        <v>0</v>
      </c>
      <c r="N1827" t="b">
        <f t="shared" si="224"/>
        <v>0</v>
      </c>
      <c r="O1827" t="str">
        <f t="shared" si="231"/>
        <v>Large Order</v>
      </c>
      <c r="P1827" s="7">
        <f t="shared" si="225"/>
        <v>1.661</v>
      </c>
      <c r="Q1827" s="7" t="str">
        <f>VLOOKUP(D1828,Product_Lookup!$A$2:$C$27,2,FALSE)</f>
        <v>Laptop</v>
      </c>
      <c r="R1827" s="7">
        <f t="shared" si="226"/>
        <v>564.74</v>
      </c>
    </row>
    <row r="1828" spans="1:18" ht="21.75" customHeight="1">
      <c r="A1828" t="s">
        <v>1979</v>
      </c>
      <c r="B1828" s="6">
        <v>45355</v>
      </c>
      <c r="C1828" t="s">
        <v>455</v>
      </c>
      <c r="D1828" t="s">
        <v>96</v>
      </c>
      <c r="E1828" t="s">
        <v>11</v>
      </c>
      <c r="F1828" t="s">
        <v>42</v>
      </c>
      <c r="G1828" t="s">
        <v>23</v>
      </c>
      <c r="H1828">
        <v>20</v>
      </c>
      <c r="I1828" t="str">
        <f>VLOOKUP(D1828,Product_Lookup!$A$2:$C$27,3,FALSE)</f>
        <v>$230.68</v>
      </c>
      <c r="J1828" t="str">
        <f t="shared" si="227"/>
        <v>Monday</v>
      </c>
      <c r="K1828" s="10" t="str">
        <f t="shared" si="228"/>
        <v>March</v>
      </c>
      <c r="L1828">
        <f t="shared" si="229"/>
        <v>2024</v>
      </c>
      <c r="M1828" t="b">
        <f t="shared" si="230"/>
        <v>0</v>
      </c>
      <c r="N1828" t="b">
        <f t="shared" si="224"/>
        <v>1</v>
      </c>
      <c r="O1828" t="str">
        <f t="shared" si="231"/>
        <v>Large Order</v>
      </c>
      <c r="P1828" s="7">
        <f t="shared" si="225"/>
        <v>11.534000000000001</v>
      </c>
      <c r="Q1828" s="7" t="str">
        <f>VLOOKUP(D1829,Product_Lookup!$A$2:$C$27,2,FALSE)</f>
        <v>Pen Set</v>
      </c>
      <c r="R1828" s="7">
        <f t="shared" si="226"/>
        <v>4613.6000000000004</v>
      </c>
    </row>
    <row r="1829" spans="1:18" ht="21.75" customHeight="1">
      <c r="A1829" t="s">
        <v>1980</v>
      </c>
      <c r="B1829" s="6">
        <v>45534</v>
      </c>
      <c r="C1829" t="s">
        <v>449</v>
      </c>
      <c r="D1829" t="s">
        <v>174</v>
      </c>
      <c r="E1829" t="s">
        <v>17</v>
      </c>
      <c r="F1829" t="s">
        <v>42</v>
      </c>
      <c r="G1829" t="s">
        <v>28</v>
      </c>
      <c r="H1829">
        <v>9</v>
      </c>
      <c r="I1829" t="str">
        <f>VLOOKUP(D1829,Product_Lookup!$A$2:$C$27,3,FALSE)</f>
        <v>$133.37</v>
      </c>
      <c r="J1829" t="str">
        <f t="shared" si="227"/>
        <v>Friday</v>
      </c>
      <c r="K1829" s="10" t="str">
        <f t="shared" si="228"/>
        <v>August</v>
      </c>
      <c r="L1829">
        <f t="shared" si="229"/>
        <v>2024</v>
      </c>
      <c r="M1829" t="b">
        <f t="shared" si="230"/>
        <v>0</v>
      </c>
      <c r="N1829" t="b">
        <f t="shared" si="224"/>
        <v>1</v>
      </c>
      <c r="O1829" t="str">
        <f t="shared" si="231"/>
        <v>Large Order</v>
      </c>
      <c r="P1829" s="7">
        <f t="shared" si="225"/>
        <v>6.6685000000000008</v>
      </c>
      <c r="Q1829" s="7" t="str">
        <f>VLOOKUP(D1830,Product_Lookup!$A$2:$C$27,2,FALSE)</f>
        <v>Socks</v>
      </c>
      <c r="R1829" s="7">
        <f t="shared" si="226"/>
        <v>1200.33</v>
      </c>
    </row>
    <row r="1830" spans="1:18" ht="21.75" customHeight="1">
      <c r="A1830" t="s">
        <v>1981</v>
      </c>
      <c r="B1830" s="6">
        <v>45644</v>
      </c>
      <c r="C1830" t="s">
        <v>203</v>
      </c>
      <c r="D1830" t="s">
        <v>74</v>
      </c>
      <c r="E1830" t="s">
        <v>11</v>
      </c>
      <c r="F1830" t="s">
        <v>27</v>
      </c>
      <c r="G1830" t="s">
        <v>13</v>
      </c>
      <c r="H1830">
        <v>6</v>
      </c>
      <c r="I1830" t="str">
        <f>VLOOKUP(D1830,Product_Lookup!$A$2:$C$27,3,FALSE)</f>
        <v>$201.32</v>
      </c>
      <c r="J1830" t="str">
        <f t="shared" si="227"/>
        <v>Wednesday</v>
      </c>
      <c r="K1830" s="10" t="str">
        <f t="shared" si="228"/>
        <v>December</v>
      </c>
      <c r="L1830">
        <f t="shared" si="229"/>
        <v>2024</v>
      </c>
      <c r="M1830" t="b">
        <f t="shared" si="230"/>
        <v>0</v>
      </c>
      <c r="N1830" t="b">
        <f t="shared" si="224"/>
        <v>1</v>
      </c>
      <c r="O1830" t="str">
        <f t="shared" si="231"/>
        <v>Large Order</v>
      </c>
      <c r="P1830" s="7">
        <f t="shared" si="225"/>
        <v>10.066000000000001</v>
      </c>
      <c r="Q1830" s="7" t="str">
        <f>VLOOKUP(D1831,Product_Lookup!$A$2:$C$27,2,FALSE)</f>
        <v>Action Figure</v>
      </c>
      <c r="R1830" s="7">
        <f t="shared" si="226"/>
        <v>1207.92</v>
      </c>
    </row>
    <row r="1831" spans="1:18" ht="21.75" customHeight="1">
      <c r="A1831" t="s">
        <v>1982</v>
      </c>
      <c r="B1831" s="6">
        <v>45401</v>
      </c>
      <c r="C1831" t="s">
        <v>240</v>
      </c>
      <c r="D1831" t="s">
        <v>21</v>
      </c>
      <c r="E1831" t="s">
        <v>11</v>
      </c>
      <c r="F1831" t="s">
        <v>56</v>
      </c>
      <c r="G1831" t="s">
        <v>32</v>
      </c>
      <c r="H1831">
        <v>14</v>
      </c>
      <c r="I1831" t="str">
        <f>VLOOKUP(D1831,Product_Lookup!$A$2:$C$27,3,FALSE)</f>
        <v>$88.18</v>
      </c>
      <c r="J1831" t="str">
        <f t="shared" si="227"/>
        <v>Friday</v>
      </c>
      <c r="K1831" s="10" t="str">
        <f t="shared" si="228"/>
        <v>April</v>
      </c>
      <c r="L1831">
        <f t="shared" si="229"/>
        <v>2024</v>
      </c>
      <c r="M1831" t="b">
        <f t="shared" si="230"/>
        <v>0</v>
      </c>
      <c r="N1831" t="b">
        <f t="shared" si="224"/>
        <v>1</v>
      </c>
      <c r="O1831" t="str">
        <f t="shared" si="231"/>
        <v>Large Order</v>
      </c>
      <c r="P1831" s="7">
        <f t="shared" si="225"/>
        <v>4.4090000000000007</v>
      </c>
      <c r="Q1831" s="7" t="str">
        <f>VLOOKUP(D1832,Product_Lookup!$A$2:$C$27,2,FALSE)</f>
        <v>Stapler</v>
      </c>
      <c r="R1831" s="7">
        <f t="shared" si="226"/>
        <v>1234.52</v>
      </c>
    </row>
    <row r="1832" spans="1:18" ht="21.75" customHeight="1">
      <c r="A1832" t="s">
        <v>1983</v>
      </c>
      <c r="B1832" s="6">
        <v>45641</v>
      </c>
      <c r="C1832" t="s">
        <v>142</v>
      </c>
      <c r="D1832" t="s">
        <v>35</v>
      </c>
      <c r="E1832" t="s">
        <v>11</v>
      </c>
      <c r="F1832" t="s">
        <v>56</v>
      </c>
      <c r="G1832" t="s">
        <v>36</v>
      </c>
      <c r="H1832">
        <v>1</v>
      </c>
      <c r="I1832" t="str">
        <f>VLOOKUP(D1832,Product_Lookup!$A$2:$C$27,3,FALSE)</f>
        <v>$64.61</v>
      </c>
      <c r="J1832" t="str">
        <f t="shared" si="227"/>
        <v>Sunday</v>
      </c>
      <c r="K1832" s="10" t="str">
        <f t="shared" si="228"/>
        <v>December</v>
      </c>
      <c r="L1832">
        <f t="shared" si="229"/>
        <v>2024</v>
      </c>
      <c r="M1832" t="b">
        <f t="shared" si="230"/>
        <v>1</v>
      </c>
      <c r="N1832" t="b">
        <f t="shared" si="224"/>
        <v>0</v>
      </c>
      <c r="O1832" t="str">
        <f t="shared" si="231"/>
        <v>Standard order</v>
      </c>
      <c r="P1832" s="7">
        <f t="shared" si="225"/>
        <v>3.2305000000000001</v>
      </c>
      <c r="Q1832" s="7" t="str">
        <f>VLOOKUP(D1833,Product_Lookup!$A$2:$C$27,2,FALSE)</f>
        <v>Puzzle</v>
      </c>
      <c r="R1832" s="7">
        <f t="shared" si="226"/>
        <v>64.61</v>
      </c>
    </row>
    <row r="1833" spans="1:18" ht="21.75" customHeight="1">
      <c r="A1833" t="s">
        <v>1984</v>
      </c>
      <c r="B1833" s="6">
        <v>45603</v>
      </c>
      <c r="C1833" t="s">
        <v>147</v>
      </c>
      <c r="D1833" t="s">
        <v>62</v>
      </c>
      <c r="E1833" t="s">
        <v>22</v>
      </c>
      <c r="F1833" t="s">
        <v>42</v>
      </c>
      <c r="G1833" t="s">
        <v>23</v>
      </c>
      <c r="H1833">
        <v>13</v>
      </c>
      <c r="I1833" t="str">
        <f>VLOOKUP(D1833,Product_Lookup!$A$2:$C$27,3,FALSE)</f>
        <v>$46.19</v>
      </c>
      <c r="J1833" t="str">
        <f t="shared" si="227"/>
        <v>Thursday</v>
      </c>
      <c r="K1833" s="10" t="str">
        <f t="shared" si="228"/>
        <v>November</v>
      </c>
      <c r="L1833">
        <f t="shared" si="229"/>
        <v>2024</v>
      </c>
      <c r="M1833" t="b">
        <f t="shared" si="230"/>
        <v>0</v>
      </c>
      <c r="N1833" t="b">
        <f t="shared" si="224"/>
        <v>0</v>
      </c>
      <c r="O1833" t="str">
        <f t="shared" si="231"/>
        <v>Large Order</v>
      </c>
      <c r="P1833" s="7">
        <f t="shared" si="225"/>
        <v>2.3094999999999999</v>
      </c>
      <c r="Q1833" s="7" t="str">
        <f>VLOOKUP(D1834,Product_Lookup!$A$2:$C$27,2,FALSE)</f>
        <v>Jeans</v>
      </c>
      <c r="R1833" s="7">
        <f t="shared" si="226"/>
        <v>600.47</v>
      </c>
    </row>
    <row r="1834" spans="1:18" ht="21.75" customHeight="1">
      <c r="A1834" t="s">
        <v>1985</v>
      </c>
      <c r="B1834" s="6">
        <v>45527</v>
      </c>
      <c r="C1834" t="s">
        <v>230</v>
      </c>
      <c r="D1834" t="s">
        <v>65</v>
      </c>
      <c r="E1834" t="s">
        <v>17</v>
      </c>
      <c r="F1834" t="s">
        <v>42</v>
      </c>
      <c r="G1834" t="s">
        <v>36</v>
      </c>
      <c r="H1834">
        <v>20</v>
      </c>
      <c r="I1834" t="str">
        <f>VLOOKUP(D1834,Product_Lookup!$A$2:$C$27,3,FALSE)</f>
        <v>$33.22</v>
      </c>
      <c r="J1834" t="str">
        <f t="shared" si="227"/>
        <v>Friday</v>
      </c>
      <c r="K1834" s="10" t="str">
        <f t="shared" si="228"/>
        <v>August</v>
      </c>
      <c r="L1834">
        <f t="shared" si="229"/>
        <v>2024</v>
      </c>
      <c r="M1834" t="b">
        <f t="shared" si="230"/>
        <v>0</v>
      </c>
      <c r="N1834" t="b">
        <f t="shared" si="224"/>
        <v>0</v>
      </c>
      <c r="O1834" t="str">
        <f t="shared" si="231"/>
        <v>Large Order</v>
      </c>
      <c r="P1834" s="7">
        <f t="shared" si="225"/>
        <v>1.661</v>
      </c>
      <c r="Q1834" s="7" t="str">
        <f>VLOOKUP(D1835,Product_Lookup!$A$2:$C$27,2,FALSE)</f>
        <v>Notebook</v>
      </c>
      <c r="R1834" s="7">
        <f t="shared" si="226"/>
        <v>664.4</v>
      </c>
    </row>
    <row r="1835" spans="1:18" ht="21.75" customHeight="1">
      <c r="A1835" t="s">
        <v>1986</v>
      </c>
      <c r="B1835" s="6">
        <v>45344</v>
      </c>
      <c r="C1835" t="s">
        <v>25</v>
      </c>
      <c r="D1835" t="s">
        <v>160</v>
      </c>
      <c r="E1835" t="s">
        <v>22</v>
      </c>
      <c r="F1835" t="s">
        <v>42</v>
      </c>
      <c r="G1835" t="s">
        <v>36</v>
      </c>
      <c r="H1835">
        <v>20</v>
      </c>
      <c r="I1835" t="str">
        <f>VLOOKUP(D1835,Product_Lookup!$A$2:$C$27,3,FALSE)</f>
        <v>$149.27</v>
      </c>
      <c r="J1835" t="str">
        <f t="shared" si="227"/>
        <v>Thursday</v>
      </c>
      <c r="K1835" s="10" t="str">
        <f t="shared" si="228"/>
        <v>February</v>
      </c>
      <c r="L1835">
        <f t="shared" si="229"/>
        <v>2024</v>
      </c>
      <c r="M1835" t="b">
        <f t="shared" si="230"/>
        <v>0</v>
      </c>
      <c r="N1835" t="b">
        <f t="shared" si="224"/>
        <v>1</v>
      </c>
      <c r="O1835" t="str">
        <f t="shared" si="231"/>
        <v>Large Order</v>
      </c>
      <c r="P1835" s="7">
        <f t="shared" si="225"/>
        <v>7.4635000000000007</v>
      </c>
      <c r="Q1835" s="7" t="str">
        <f>VLOOKUP(D1836,Product_Lookup!$A$2:$C$27,2,FALSE)</f>
        <v>Monitor</v>
      </c>
      <c r="R1835" s="7">
        <f t="shared" si="226"/>
        <v>2985.4</v>
      </c>
    </row>
    <row r="1836" spans="1:18" ht="21.75" customHeight="1">
      <c r="A1836" t="s">
        <v>1987</v>
      </c>
      <c r="B1836" s="6">
        <v>45444</v>
      </c>
      <c r="C1836" t="s">
        <v>455</v>
      </c>
      <c r="D1836" t="s">
        <v>102</v>
      </c>
      <c r="E1836" t="s">
        <v>17</v>
      </c>
      <c r="F1836" t="s">
        <v>12</v>
      </c>
      <c r="G1836" t="s">
        <v>32</v>
      </c>
      <c r="H1836">
        <v>9</v>
      </c>
      <c r="I1836" t="str">
        <f>VLOOKUP(D1836,Product_Lookup!$A$2:$C$27,3,FALSE)</f>
        <v>$145.48</v>
      </c>
      <c r="J1836" t="str">
        <f t="shared" si="227"/>
        <v>Saturday</v>
      </c>
      <c r="K1836" s="10" t="str">
        <f t="shared" si="228"/>
        <v>June</v>
      </c>
      <c r="L1836">
        <f t="shared" si="229"/>
        <v>2024</v>
      </c>
      <c r="M1836" t="b">
        <f t="shared" si="230"/>
        <v>1</v>
      </c>
      <c r="N1836" t="b">
        <f t="shared" si="224"/>
        <v>1</v>
      </c>
      <c r="O1836" t="str">
        <f t="shared" si="231"/>
        <v>Large Order</v>
      </c>
      <c r="P1836" s="7">
        <f t="shared" si="225"/>
        <v>7.274</v>
      </c>
      <c r="Q1836" s="7" t="str">
        <f>VLOOKUP(D1837,Product_Lookup!$A$2:$C$27,2,FALSE)</f>
        <v>Action Figure</v>
      </c>
      <c r="R1836" s="7">
        <f t="shared" si="226"/>
        <v>1309.32</v>
      </c>
    </row>
    <row r="1837" spans="1:18" ht="21.75" customHeight="1">
      <c r="A1837" t="s">
        <v>1988</v>
      </c>
      <c r="B1837" s="6">
        <v>45433</v>
      </c>
      <c r="C1837" t="s">
        <v>86</v>
      </c>
      <c r="D1837" t="s">
        <v>21</v>
      </c>
      <c r="E1837" t="s">
        <v>22</v>
      </c>
      <c r="F1837" t="s">
        <v>42</v>
      </c>
      <c r="G1837" t="s">
        <v>28</v>
      </c>
      <c r="H1837">
        <v>5</v>
      </c>
      <c r="I1837" t="str">
        <f>VLOOKUP(D1837,Product_Lookup!$A$2:$C$27,3,FALSE)</f>
        <v>$88.18</v>
      </c>
      <c r="J1837" t="str">
        <f t="shared" si="227"/>
        <v>Tuesday</v>
      </c>
      <c r="K1837" s="10" t="str">
        <f t="shared" si="228"/>
        <v>May</v>
      </c>
      <c r="L1837">
        <f t="shared" si="229"/>
        <v>2024</v>
      </c>
      <c r="M1837" t="b">
        <f t="shared" si="230"/>
        <v>0</v>
      </c>
      <c r="N1837" t="b">
        <f t="shared" si="224"/>
        <v>0</v>
      </c>
      <c r="O1837" t="str">
        <f t="shared" si="231"/>
        <v>Standard order</v>
      </c>
      <c r="P1837" s="7">
        <f t="shared" si="225"/>
        <v>4.4090000000000007</v>
      </c>
      <c r="Q1837" s="7" t="str">
        <f>VLOOKUP(D1838,Product_Lookup!$A$2:$C$27,2,FALSE)</f>
        <v>Paper Shredder</v>
      </c>
      <c r="R1837" s="7">
        <f t="shared" si="226"/>
        <v>440.90000000000003</v>
      </c>
    </row>
    <row r="1838" spans="1:18" ht="21.75" customHeight="1">
      <c r="A1838" t="s">
        <v>1989</v>
      </c>
      <c r="B1838" s="6">
        <v>45415</v>
      </c>
      <c r="C1838" t="s">
        <v>131</v>
      </c>
      <c r="D1838" t="s">
        <v>109</v>
      </c>
      <c r="E1838" t="s">
        <v>17</v>
      </c>
      <c r="F1838" t="s">
        <v>42</v>
      </c>
      <c r="G1838" t="s">
        <v>28</v>
      </c>
      <c r="H1838">
        <v>1</v>
      </c>
      <c r="I1838" t="str">
        <f>VLOOKUP(D1838,Product_Lookup!$A$2:$C$27,3,FALSE)</f>
        <v>$81.02</v>
      </c>
      <c r="J1838" t="str">
        <f t="shared" si="227"/>
        <v>Friday</v>
      </c>
      <c r="K1838" s="10" t="str">
        <f t="shared" si="228"/>
        <v>May</v>
      </c>
      <c r="L1838">
        <f t="shared" si="229"/>
        <v>2024</v>
      </c>
      <c r="M1838" t="b">
        <f t="shared" si="230"/>
        <v>0</v>
      </c>
      <c r="N1838" t="b">
        <f t="shared" si="224"/>
        <v>0</v>
      </c>
      <c r="O1838" t="str">
        <f t="shared" si="231"/>
        <v>Standard order</v>
      </c>
      <c r="P1838" s="7">
        <f t="shared" si="225"/>
        <v>4.0510000000000002</v>
      </c>
      <c r="Q1838" s="7" t="str">
        <f>VLOOKUP(D1839,Product_Lookup!$A$2:$C$27,2,FALSE)</f>
        <v>Vacuum</v>
      </c>
      <c r="R1838" s="7">
        <f t="shared" si="226"/>
        <v>81.02</v>
      </c>
    </row>
    <row r="1839" spans="1:18" ht="21.75" customHeight="1">
      <c r="A1839" t="s">
        <v>1990</v>
      </c>
      <c r="B1839" s="6">
        <v>45443</v>
      </c>
      <c r="C1839" t="s">
        <v>86</v>
      </c>
      <c r="D1839" t="s">
        <v>87</v>
      </c>
      <c r="E1839" t="s">
        <v>17</v>
      </c>
      <c r="F1839" t="s">
        <v>27</v>
      </c>
      <c r="G1839" t="s">
        <v>13</v>
      </c>
      <c r="H1839">
        <v>19</v>
      </c>
      <c r="I1839" t="str">
        <f>VLOOKUP(D1839,Product_Lookup!$A$2:$C$27,3,FALSE)</f>
        <v>$26.59</v>
      </c>
      <c r="J1839" t="str">
        <f t="shared" si="227"/>
        <v>Friday</v>
      </c>
      <c r="K1839" s="10" t="str">
        <f t="shared" si="228"/>
        <v>May</v>
      </c>
      <c r="L1839">
        <f t="shared" si="229"/>
        <v>2024</v>
      </c>
      <c r="M1839" t="b">
        <f t="shared" si="230"/>
        <v>0</v>
      </c>
      <c r="N1839" t="b">
        <f t="shared" si="224"/>
        <v>0</v>
      </c>
      <c r="O1839" t="str">
        <f t="shared" si="231"/>
        <v>Large Order</v>
      </c>
      <c r="P1839" s="7">
        <f t="shared" si="225"/>
        <v>1.3295000000000001</v>
      </c>
      <c r="Q1839" s="7" t="str">
        <f>VLOOKUP(D1840,Product_Lookup!$A$2:$C$27,2,FALSE)</f>
        <v>Blender</v>
      </c>
      <c r="R1839" s="7">
        <f t="shared" si="226"/>
        <v>505.21</v>
      </c>
    </row>
    <row r="1840" spans="1:18" ht="21.75" customHeight="1">
      <c r="A1840" t="s">
        <v>1991</v>
      </c>
      <c r="B1840" s="6">
        <v>45584</v>
      </c>
      <c r="C1840" t="s">
        <v>150</v>
      </c>
      <c r="D1840" t="s">
        <v>72</v>
      </c>
      <c r="E1840" t="s">
        <v>22</v>
      </c>
      <c r="F1840" t="s">
        <v>56</v>
      </c>
      <c r="G1840" t="s">
        <v>36</v>
      </c>
      <c r="H1840">
        <v>16</v>
      </c>
      <c r="I1840" t="str">
        <f>VLOOKUP(D1840,Product_Lookup!$A$2:$C$27,3,FALSE)</f>
        <v>$156.44</v>
      </c>
      <c r="J1840" t="str">
        <f t="shared" si="227"/>
        <v>Saturday</v>
      </c>
      <c r="K1840" s="10" t="str">
        <f t="shared" si="228"/>
        <v>October</v>
      </c>
      <c r="L1840">
        <f t="shared" si="229"/>
        <v>2024</v>
      </c>
      <c r="M1840" t="b">
        <f t="shared" si="230"/>
        <v>1</v>
      </c>
      <c r="N1840" t="b">
        <f t="shared" si="224"/>
        <v>1</v>
      </c>
      <c r="O1840" t="str">
        <f t="shared" si="231"/>
        <v>Large Order</v>
      </c>
      <c r="P1840" s="7">
        <f t="shared" si="225"/>
        <v>7.8220000000000001</v>
      </c>
      <c r="Q1840" s="7" t="str">
        <f>VLOOKUP(D1841,Product_Lookup!$A$2:$C$27,2,FALSE)</f>
        <v>Notebook</v>
      </c>
      <c r="R1840" s="7">
        <f t="shared" si="226"/>
        <v>2503.04</v>
      </c>
    </row>
    <row r="1841" spans="1:18" ht="21.75" customHeight="1">
      <c r="A1841" t="s">
        <v>1992</v>
      </c>
      <c r="B1841" s="6">
        <v>45635</v>
      </c>
      <c r="C1841" t="s">
        <v>182</v>
      </c>
      <c r="D1841" t="s">
        <v>160</v>
      </c>
      <c r="E1841" t="s">
        <v>17</v>
      </c>
      <c r="F1841" t="s">
        <v>56</v>
      </c>
      <c r="G1841" t="s">
        <v>36</v>
      </c>
      <c r="H1841">
        <v>6</v>
      </c>
      <c r="I1841" t="str">
        <f>VLOOKUP(D1841,Product_Lookup!$A$2:$C$27,3,FALSE)</f>
        <v>$149.27</v>
      </c>
      <c r="J1841" t="str">
        <f t="shared" si="227"/>
        <v>Monday</v>
      </c>
      <c r="K1841" s="10" t="str">
        <f t="shared" si="228"/>
        <v>December</v>
      </c>
      <c r="L1841">
        <f t="shared" si="229"/>
        <v>2024</v>
      </c>
      <c r="M1841" t="b">
        <f t="shared" si="230"/>
        <v>0</v>
      </c>
      <c r="N1841" t="b">
        <f t="shared" si="224"/>
        <v>1</v>
      </c>
      <c r="O1841" t="str">
        <f t="shared" si="231"/>
        <v>Large Order</v>
      </c>
      <c r="P1841" s="7">
        <f t="shared" si="225"/>
        <v>7.4635000000000007</v>
      </c>
      <c r="Q1841" s="7" t="str">
        <f>VLOOKUP(D1842,Product_Lookup!$A$2:$C$27,2,FALSE)</f>
        <v>Lego Set</v>
      </c>
      <c r="R1841" s="7">
        <f t="shared" si="226"/>
        <v>895.62000000000012</v>
      </c>
    </row>
    <row r="1842" spans="1:18" ht="21.75" customHeight="1">
      <c r="A1842" t="s">
        <v>1993</v>
      </c>
      <c r="B1842" s="6">
        <v>45533</v>
      </c>
      <c r="C1842" t="s">
        <v>34</v>
      </c>
      <c r="D1842" t="s">
        <v>84</v>
      </c>
      <c r="E1842" t="s">
        <v>17</v>
      </c>
      <c r="F1842" t="s">
        <v>306</v>
      </c>
      <c r="G1842" t="s">
        <v>28</v>
      </c>
      <c r="H1842">
        <v>11</v>
      </c>
      <c r="I1842" t="str">
        <f>VLOOKUP(D1842,Product_Lookup!$A$2:$C$27,3,FALSE)</f>
        <v>$130.07</v>
      </c>
      <c r="J1842" t="str">
        <f t="shared" si="227"/>
        <v>Thursday</v>
      </c>
      <c r="K1842" s="10" t="str">
        <f t="shared" si="228"/>
        <v>August</v>
      </c>
      <c r="L1842">
        <f t="shared" si="229"/>
        <v>2024</v>
      </c>
      <c r="M1842" t="b">
        <f t="shared" si="230"/>
        <v>0</v>
      </c>
      <c r="N1842" t="b">
        <f t="shared" si="224"/>
        <v>1</v>
      </c>
      <c r="O1842" t="str">
        <f t="shared" si="231"/>
        <v>Large Order</v>
      </c>
      <c r="P1842" s="7">
        <f t="shared" si="225"/>
        <v>6.5034999999999998</v>
      </c>
      <c r="Q1842" s="7" t="str">
        <f>VLOOKUP(D1843,Product_Lookup!$A$2:$C$27,2,FALSE)</f>
        <v>Jacket</v>
      </c>
      <c r="R1842" s="7">
        <f t="shared" si="226"/>
        <v>1430.77</v>
      </c>
    </row>
    <row r="1843" spans="1:18" ht="21.75" customHeight="1">
      <c r="A1843" t="s">
        <v>1994</v>
      </c>
      <c r="B1843" s="6">
        <v>45405</v>
      </c>
      <c r="C1843" t="s">
        <v>182</v>
      </c>
      <c r="D1843" t="s">
        <v>197</v>
      </c>
      <c r="E1843" t="s">
        <v>22</v>
      </c>
      <c r="F1843" t="s">
        <v>42</v>
      </c>
      <c r="G1843" t="s">
        <v>23</v>
      </c>
      <c r="H1843">
        <v>11</v>
      </c>
      <c r="I1843" t="str">
        <f>VLOOKUP(D1843,Product_Lookup!$A$2:$C$27,3,FALSE)</f>
        <v>$10.11</v>
      </c>
      <c r="J1843" t="str">
        <f t="shared" si="227"/>
        <v>Tuesday</v>
      </c>
      <c r="K1843" s="10" t="str">
        <f t="shared" si="228"/>
        <v>April</v>
      </c>
      <c r="L1843">
        <f t="shared" si="229"/>
        <v>2024</v>
      </c>
      <c r="M1843" t="b">
        <f t="shared" si="230"/>
        <v>0</v>
      </c>
      <c r="N1843" t="b">
        <f t="shared" si="224"/>
        <v>0</v>
      </c>
      <c r="O1843" t="str">
        <f t="shared" si="231"/>
        <v>Standard order</v>
      </c>
      <c r="P1843" s="7">
        <f t="shared" si="225"/>
        <v>0.50549999999999995</v>
      </c>
      <c r="Q1843" s="7" t="str">
        <f>VLOOKUP(D1844,Product_Lookup!$A$2:$C$27,2,FALSE)</f>
        <v>Air Fryer</v>
      </c>
      <c r="R1843" s="7">
        <f t="shared" si="226"/>
        <v>111.21</v>
      </c>
    </row>
    <row r="1844" spans="1:18" ht="21.75" customHeight="1">
      <c r="A1844" t="s">
        <v>1995</v>
      </c>
      <c r="B1844" s="6">
        <v>45591</v>
      </c>
      <c r="C1844" t="s">
        <v>61</v>
      </c>
      <c r="D1844" t="s">
        <v>70</v>
      </c>
      <c r="E1844" t="s">
        <v>11</v>
      </c>
      <c r="F1844" t="s">
        <v>27</v>
      </c>
      <c r="G1844" t="s">
        <v>13</v>
      </c>
      <c r="H1844">
        <v>19</v>
      </c>
      <c r="I1844" t="str">
        <f>VLOOKUP(D1844,Product_Lookup!$A$2:$C$27,3,FALSE)</f>
        <v>$211.9</v>
      </c>
      <c r="J1844" t="str">
        <f t="shared" si="227"/>
        <v>Saturday</v>
      </c>
      <c r="K1844" s="10" t="str">
        <f t="shared" si="228"/>
        <v>October</v>
      </c>
      <c r="L1844">
        <f t="shared" si="229"/>
        <v>2024</v>
      </c>
      <c r="M1844" t="b">
        <f t="shared" si="230"/>
        <v>1</v>
      </c>
      <c r="N1844" t="b">
        <f t="shared" si="224"/>
        <v>1</v>
      </c>
      <c r="O1844" t="str">
        <f t="shared" si="231"/>
        <v>Large Order</v>
      </c>
      <c r="P1844" s="7">
        <f t="shared" si="225"/>
        <v>10.595000000000001</v>
      </c>
      <c r="Q1844" s="7" t="str">
        <f>VLOOKUP(D1845,Product_Lookup!$A$2:$C$27,2,FALSE)</f>
        <v>Stapler</v>
      </c>
      <c r="R1844" s="7">
        <f t="shared" si="226"/>
        <v>4026.1</v>
      </c>
    </row>
    <row r="1845" spans="1:18" ht="21.75" customHeight="1">
      <c r="A1845" t="s">
        <v>1996</v>
      </c>
      <c r="B1845" s="6">
        <v>45609</v>
      </c>
      <c r="C1845" t="s">
        <v>208</v>
      </c>
      <c r="D1845" t="s">
        <v>35</v>
      </c>
      <c r="E1845" t="s">
        <v>11</v>
      </c>
      <c r="F1845" t="s">
        <v>306</v>
      </c>
      <c r="G1845" t="s">
        <v>13</v>
      </c>
      <c r="H1845">
        <v>13</v>
      </c>
      <c r="I1845" t="str">
        <f>VLOOKUP(D1845,Product_Lookup!$A$2:$C$27,3,FALSE)</f>
        <v>$64.61</v>
      </c>
      <c r="J1845" t="str">
        <f t="shared" si="227"/>
        <v>Wednesday</v>
      </c>
      <c r="K1845" s="10" t="str">
        <f t="shared" si="228"/>
        <v>November</v>
      </c>
      <c r="L1845">
        <f t="shared" si="229"/>
        <v>2024</v>
      </c>
      <c r="M1845" t="b">
        <f t="shared" si="230"/>
        <v>0</v>
      </c>
      <c r="N1845" t="b">
        <f t="shared" si="224"/>
        <v>1</v>
      </c>
      <c r="O1845" t="str">
        <f t="shared" si="231"/>
        <v>Large Order</v>
      </c>
      <c r="P1845" s="7">
        <f t="shared" si="225"/>
        <v>3.2305000000000001</v>
      </c>
      <c r="Q1845" s="7" t="str">
        <f>VLOOKUP(D1846,Product_Lookup!$A$2:$C$27,2,FALSE)</f>
        <v>Headphones</v>
      </c>
      <c r="R1845" s="7">
        <f t="shared" si="226"/>
        <v>839.93</v>
      </c>
    </row>
    <row r="1846" spans="1:18" ht="21.75" customHeight="1">
      <c r="A1846" t="s">
        <v>1997</v>
      </c>
      <c r="B1846" s="6">
        <v>45503</v>
      </c>
      <c r="C1846" t="s">
        <v>9</v>
      </c>
      <c r="D1846" t="s">
        <v>16</v>
      </c>
      <c r="E1846" t="s">
        <v>11</v>
      </c>
      <c r="F1846" t="s">
        <v>56</v>
      </c>
      <c r="G1846" t="s">
        <v>32</v>
      </c>
      <c r="H1846">
        <v>14</v>
      </c>
      <c r="I1846" t="str">
        <f>VLOOKUP(D1846,Product_Lookup!$A$2:$C$27,3,FALSE)</f>
        <v>$178.83</v>
      </c>
      <c r="J1846" t="str">
        <f t="shared" si="227"/>
        <v>Tuesday</v>
      </c>
      <c r="K1846" s="10" t="str">
        <f t="shared" si="228"/>
        <v>July</v>
      </c>
      <c r="L1846">
        <f t="shared" si="229"/>
        <v>2024</v>
      </c>
      <c r="M1846" t="b">
        <f t="shared" si="230"/>
        <v>0</v>
      </c>
      <c r="N1846" t="b">
        <f t="shared" si="224"/>
        <v>1</v>
      </c>
      <c r="O1846" t="str">
        <f t="shared" si="231"/>
        <v>Large Order</v>
      </c>
      <c r="P1846" s="7">
        <f t="shared" si="225"/>
        <v>8.9415000000000013</v>
      </c>
      <c r="Q1846" s="7" t="str">
        <f>VLOOKUP(D1847,Product_Lookup!$A$2:$C$27,2,FALSE)</f>
        <v>Blender</v>
      </c>
      <c r="R1846" s="7">
        <f t="shared" si="226"/>
        <v>2503.6200000000003</v>
      </c>
    </row>
    <row r="1847" spans="1:18" ht="21.75" customHeight="1">
      <c r="A1847" t="s">
        <v>1998</v>
      </c>
      <c r="B1847" s="6">
        <v>45526</v>
      </c>
      <c r="C1847" t="s">
        <v>167</v>
      </c>
      <c r="D1847" t="s">
        <v>72</v>
      </c>
      <c r="E1847" t="s">
        <v>22</v>
      </c>
      <c r="F1847" t="s">
        <v>56</v>
      </c>
      <c r="G1847" t="s">
        <v>13</v>
      </c>
      <c r="H1847">
        <v>16</v>
      </c>
      <c r="I1847" t="str">
        <f>VLOOKUP(D1847,Product_Lookup!$A$2:$C$27,3,FALSE)</f>
        <v>$156.44</v>
      </c>
      <c r="J1847" t="str">
        <f t="shared" si="227"/>
        <v>Thursday</v>
      </c>
      <c r="K1847" s="10" t="str">
        <f t="shared" si="228"/>
        <v>August</v>
      </c>
      <c r="L1847">
        <f t="shared" si="229"/>
        <v>2024</v>
      </c>
      <c r="M1847" t="b">
        <f t="shared" si="230"/>
        <v>0</v>
      </c>
      <c r="N1847" t="b">
        <f t="shared" si="224"/>
        <v>1</v>
      </c>
      <c r="O1847" t="str">
        <f t="shared" si="231"/>
        <v>Large Order</v>
      </c>
      <c r="P1847" s="7">
        <f t="shared" si="225"/>
        <v>7.8220000000000001</v>
      </c>
      <c r="Q1847" s="7" t="str">
        <f>VLOOKUP(D1848,Product_Lookup!$A$2:$C$27,2,FALSE)</f>
        <v>Action Figure</v>
      </c>
      <c r="R1847" s="7">
        <f t="shared" si="226"/>
        <v>2503.04</v>
      </c>
    </row>
    <row r="1848" spans="1:18" ht="21.75" customHeight="1">
      <c r="A1848" t="s">
        <v>1999</v>
      </c>
      <c r="B1848" s="6">
        <v>45382</v>
      </c>
      <c r="C1848" t="s">
        <v>38</v>
      </c>
      <c r="D1848" t="s">
        <v>21</v>
      </c>
      <c r="E1848" t="s">
        <v>11</v>
      </c>
      <c r="F1848" t="s">
        <v>12</v>
      </c>
      <c r="G1848" t="s">
        <v>23</v>
      </c>
      <c r="H1848">
        <v>9</v>
      </c>
      <c r="I1848" t="str">
        <f>VLOOKUP(D1848,Product_Lookup!$A$2:$C$27,3,FALSE)</f>
        <v>$88.18</v>
      </c>
      <c r="J1848" t="str">
        <f t="shared" si="227"/>
        <v>Sunday</v>
      </c>
      <c r="K1848" s="10" t="str">
        <f t="shared" si="228"/>
        <v>March</v>
      </c>
      <c r="L1848">
        <f t="shared" si="229"/>
        <v>2024</v>
      </c>
      <c r="M1848" t="b">
        <f t="shared" si="230"/>
        <v>1</v>
      </c>
      <c r="N1848" t="b">
        <f t="shared" si="224"/>
        <v>1</v>
      </c>
      <c r="O1848" t="str">
        <f t="shared" si="231"/>
        <v>Large Order</v>
      </c>
      <c r="P1848" s="7">
        <f t="shared" si="225"/>
        <v>4.4090000000000007</v>
      </c>
      <c r="Q1848" s="7" t="str">
        <f>VLOOKUP(D1849,Product_Lookup!$A$2:$C$27,2,FALSE)</f>
        <v>Doll</v>
      </c>
      <c r="R1848" s="7">
        <f t="shared" si="226"/>
        <v>793.62000000000012</v>
      </c>
    </row>
    <row r="1849" spans="1:18" ht="21.75" customHeight="1">
      <c r="A1849" t="s">
        <v>2000</v>
      </c>
      <c r="B1849" s="6">
        <v>45378</v>
      </c>
      <c r="C1849" t="s">
        <v>314</v>
      </c>
      <c r="D1849" t="s">
        <v>119</v>
      </c>
      <c r="E1849" t="s">
        <v>11</v>
      </c>
      <c r="F1849" t="s">
        <v>27</v>
      </c>
      <c r="G1849" t="s">
        <v>13</v>
      </c>
      <c r="H1849">
        <v>5</v>
      </c>
      <c r="I1849" t="str">
        <f>VLOOKUP(D1849,Product_Lookup!$A$2:$C$27,3,FALSE)</f>
        <v>$32.94</v>
      </c>
      <c r="J1849" t="str">
        <f t="shared" si="227"/>
        <v>Wednesday</v>
      </c>
      <c r="K1849" s="10" t="str">
        <f t="shared" si="228"/>
        <v>March</v>
      </c>
      <c r="L1849">
        <f t="shared" si="229"/>
        <v>2024</v>
      </c>
      <c r="M1849" t="b">
        <f t="shared" si="230"/>
        <v>0</v>
      </c>
      <c r="N1849" t="b">
        <f t="shared" si="224"/>
        <v>0</v>
      </c>
      <c r="O1849" t="str">
        <f t="shared" si="231"/>
        <v>Standard order</v>
      </c>
      <c r="P1849" s="7">
        <f t="shared" si="225"/>
        <v>1.647</v>
      </c>
      <c r="Q1849" s="7" t="str">
        <f>VLOOKUP(D1850,Product_Lookup!$A$2:$C$27,2,FALSE)</f>
        <v>Coffee Maker</v>
      </c>
      <c r="R1849" s="7">
        <f t="shared" si="226"/>
        <v>164.7</v>
      </c>
    </row>
    <row r="1850" spans="1:18" ht="21.75" customHeight="1">
      <c r="A1850" t="s">
        <v>2001</v>
      </c>
      <c r="B1850" s="6">
        <v>45616</v>
      </c>
      <c r="C1850" t="s">
        <v>309</v>
      </c>
      <c r="D1850" t="s">
        <v>31</v>
      </c>
      <c r="E1850" t="s">
        <v>17</v>
      </c>
      <c r="F1850" t="s">
        <v>27</v>
      </c>
      <c r="G1850" t="s">
        <v>23</v>
      </c>
      <c r="H1850">
        <v>1</v>
      </c>
      <c r="I1850" t="str">
        <f>VLOOKUP(D1850,Product_Lookup!$A$2:$C$27,3,FALSE)</f>
        <v>$230.34</v>
      </c>
      <c r="J1850" t="str">
        <f t="shared" si="227"/>
        <v>Wednesday</v>
      </c>
      <c r="K1850" s="10" t="str">
        <f t="shared" si="228"/>
        <v>November</v>
      </c>
      <c r="L1850">
        <f t="shared" si="229"/>
        <v>2024</v>
      </c>
      <c r="M1850" t="b">
        <f t="shared" si="230"/>
        <v>0</v>
      </c>
      <c r="N1850" t="b">
        <f t="shared" si="224"/>
        <v>0</v>
      </c>
      <c r="O1850" t="str">
        <f t="shared" si="231"/>
        <v>Standard order</v>
      </c>
      <c r="P1850" s="7">
        <f t="shared" si="225"/>
        <v>11.517000000000001</v>
      </c>
      <c r="Q1850" s="7" t="str">
        <f>VLOOKUP(D1851,Product_Lookup!$A$2:$C$27,2,FALSE)</f>
        <v>Toaster</v>
      </c>
      <c r="R1850" s="7">
        <f t="shared" si="226"/>
        <v>230.34</v>
      </c>
    </row>
    <row r="1851" spans="1:18" ht="21.75" customHeight="1">
      <c r="A1851" t="s">
        <v>2002</v>
      </c>
      <c r="B1851" s="6">
        <v>45394</v>
      </c>
      <c r="C1851" t="s">
        <v>388</v>
      </c>
      <c r="D1851" t="s">
        <v>48</v>
      </c>
      <c r="E1851" t="s">
        <v>11</v>
      </c>
      <c r="F1851" t="s">
        <v>42</v>
      </c>
      <c r="G1851" t="s">
        <v>36</v>
      </c>
      <c r="H1851">
        <v>7</v>
      </c>
      <c r="I1851" t="str">
        <f>VLOOKUP(D1851,Product_Lookup!$A$2:$C$27,3,FALSE)</f>
        <v>$208.85</v>
      </c>
      <c r="J1851" t="str">
        <f t="shared" si="227"/>
        <v>Friday</v>
      </c>
      <c r="K1851" s="10" t="str">
        <f t="shared" si="228"/>
        <v>April</v>
      </c>
      <c r="L1851">
        <f t="shared" si="229"/>
        <v>2024</v>
      </c>
      <c r="M1851" t="b">
        <f t="shared" si="230"/>
        <v>0</v>
      </c>
      <c r="N1851" t="b">
        <f t="shared" si="224"/>
        <v>1</v>
      </c>
      <c r="O1851" t="str">
        <f t="shared" si="231"/>
        <v>Large Order</v>
      </c>
      <c r="P1851" s="7">
        <f t="shared" si="225"/>
        <v>10.442500000000001</v>
      </c>
      <c r="Q1851" s="7" t="str">
        <f>VLOOKUP(D1852,Product_Lookup!$A$2:$C$27,2,FALSE)</f>
        <v>Lego Set</v>
      </c>
      <c r="R1851" s="7">
        <f t="shared" si="226"/>
        <v>1461.95</v>
      </c>
    </row>
    <row r="1852" spans="1:18" ht="21.75" customHeight="1">
      <c r="A1852" t="s">
        <v>2003</v>
      </c>
      <c r="B1852" s="6">
        <v>45294</v>
      </c>
      <c r="C1852" t="s">
        <v>451</v>
      </c>
      <c r="D1852" t="s">
        <v>84</v>
      </c>
      <c r="E1852" t="s">
        <v>11</v>
      </c>
      <c r="F1852" t="s">
        <v>56</v>
      </c>
      <c r="G1852" t="s">
        <v>32</v>
      </c>
      <c r="H1852">
        <v>10</v>
      </c>
      <c r="I1852" t="str">
        <f>VLOOKUP(D1852,Product_Lookup!$A$2:$C$27,3,FALSE)</f>
        <v>$130.07</v>
      </c>
      <c r="J1852" t="str">
        <f t="shared" si="227"/>
        <v>Wednesday</v>
      </c>
      <c r="K1852" s="10" t="str">
        <f t="shared" si="228"/>
        <v>January</v>
      </c>
      <c r="L1852">
        <f t="shared" si="229"/>
        <v>2024</v>
      </c>
      <c r="M1852" t="b">
        <f t="shared" si="230"/>
        <v>0</v>
      </c>
      <c r="N1852" t="b">
        <f t="shared" si="224"/>
        <v>1</v>
      </c>
      <c r="O1852" t="str">
        <f t="shared" si="231"/>
        <v>Large Order</v>
      </c>
      <c r="P1852" s="7">
        <f t="shared" si="225"/>
        <v>6.5034999999999998</v>
      </c>
      <c r="Q1852" s="7" t="str">
        <f>VLOOKUP(D1853,Product_Lookup!$A$2:$C$27,2,FALSE)</f>
        <v>Desk Lamp</v>
      </c>
      <c r="R1852" s="7">
        <f t="shared" si="226"/>
        <v>1300.6999999999998</v>
      </c>
    </row>
    <row r="1853" spans="1:18" ht="21.75" customHeight="1">
      <c r="A1853" t="s">
        <v>2004</v>
      </c>
      <c r="B1853" s="6">
        <v>45488</v>
      </c>
      <c r="C1853" t="s">
        <v>358</v>
      </c>
      <c r="D1853" t="s">
        <v>59</v>
      </c>
      <c r="E1853" t="s">
        <v>17</v>
      </c>
      <c r="F1853" t="s">
        <v>56</v>
      </c>
      <c r="G1853" t="s">
        <v>13</v>
      </c>
      <c r="H1853">
        <v>2</v>
      </c>
      <c r="I1853" t="str">
        <f>VLOOKUP(D1853,Product_Lookup!$A$2:$C$27,3,FALSE)</f>
        <v>$101.96</v>
      </c>
      <c r="J1853" t="str">
        <f t="shared" si="227"/>
        <v>Monday</v>
      </c>
      <c r="K1853" s="10" t="str">
        <f t="shared" si="228"/>
        <v>July</v>
      </c>
      <c r="L1853">
        <f t="shared" si="229"/>
        <v>2024</v>
      </c>
      <c r="M1853" t="b">
        <f t="shared" si="230"/>
        <v>0</v>
      </c>
      <c r="N1853" t="b">
        <f t="shared" si="224"/>
        <v>0</v>
      </c>
      <c r="O1853" t="str">
        <f t="shared" si="231"/>
        <v>Standard order</v>
      </c>
      <c r="P1853" s="7">
        <f t="shared" si="225"/>
        <v>5.0979999999999999</v>
      </c>
      <c r="Q1853" s="7" t="str">
        <f>VLOOKUP(D1854,Product_Lookup!$A$2:$C$27,2,FALSE)</f>
        <v>Lego Set</v>
      </c>
      <c r="R1853" s="7">
        <f t="shared" si="226"/>
        <v>203.92</v>
      </c>
    </row>
    <row r="1854" spans="1:18" ht="21.75" customHeight="1">
      <c r="A1854" t="s">
        <v>2005</v>
      </c>
      <c r="B1854" s="6">
        <v>45440</v>
      </c>
      <c r="C1854" t="s">
        <v>366</v>
      </c>
      <c r="D1854" t="s">
        <v>84</v>
      </c>
      <c r="E1854" t="s">
        <v>22</v>
      </c>
      <c r="F1854" t="s">
        <v>306</v>
      </c>
      <c r="G1854" t="s">
        <v>36</v>
      </c>
      <c r="H1854">
        <v>11</v>
      </c>
      <c r="I1854" t="str">
        <f>VLOOKUP(D1854,Product_Lookup!$A$2:$C$27,3,FALSE)</f>
        <v>$130.07</v>
      </c>
      <c r="J1854" t="str">
        <f t="shared" si="227"/>
        <v>Tuesday</v>
      </c>
      <c r="K1854" s="10" t="str">
        <f t="shared" si="228"/>
        <v>May</v>
      </c>
      <c r="L1854">
        <f t="shared" si="229"/>
        <v>2024</v>
      </c>
      <c r="M1854" t="b">
        <f t="shared" si="230"/>
        <v>0</v>
      </c>
      <c r="N1854" t="b">
        <f t="shared" si="224"/>
        <v>1</v>
      </c>
      <c r="O1854" t="str">
        <f t="shared" si="231"/>
        <v>Large Order</v>
      </c>
      <c r="P1854" s="7">
        <f t="shared" si="225"/>
        <v>6.5034999999999998</v>
      </c>
      <c r="Q1854" s="7" t="str">
        <f>VLOOKUP(D1855,Product_Lookup!$A$2:$C$27,2,FALSE)</f>
        <v>Blender</v>
      </c>
      <c r="R1854" s="7">
        <f t="shared" si="226"/>
        <v>1430.77</v>
      </c>
    </row>
    <row r="1855" spans="1:18" ht="21.75" customHeight="1">
      <c r="A1855" t="s">
        <v>2006</v>
      </c>
      <c r="B1855" s="6">
        <v>45643</v>
      </c>
      <c r="C1855" t="s">
        <v>99</v>
      </c>
      <c r="D1855" t="s">
        <v>72</v>
      </c>
      <c r="E1855" t="s">
        <v>17</v>
      </c>
      <c r="F1855" t="s">
        <v>42</v>
      </c>
      <c r="G1855" t="s">
        <v>28</v>
      </c>
      <c r="H1855">
        <v>6</v>
      </c>
      <c r="I1855" t="str">
        <f>VLOOKUP(D1855,Product_Lookup!$A$2:$C$27,3,FALSE)</f>
        <v>$156.44</v>
      </c>
      <c r="J1855" t="str">
        <f t="shared" si="227"/>
        <v>Tuesday</v>
      </c>
      <c r="K1855" s="10" t="str">
        <f t="shared" si="228"/>
        <v>December</v>
      </c>
      <c r="L1855">
        <f t="shared" si="229"/>
        <v>2024</v>
      </c>
      <c r="M1855" t="b">
        <f t="shared" si="230"/>
        <v>0</v>
      </c>
      <c r="N1855" t="b">
        <f t="shared" si="224"/>
        <v>1</v>
      </c>
      <c r="O1855" t="str">
        <f t="shared" si="231"/>
        <v>Large Order</v>
      </c>
      <c r="P1855" s="7">
        <f t="shared" si="225"/>
        <v>7.8220000000000001</v>
      </c>
      <c r="Q1855" s="7" t="str">
        <f>VLOOKUP(D1856,Product_Lookup!$A$2:$C$27,2,FALSE)</f>
        <v>Jacket</v>
      </c>
      <c r="R1855" s="7">
        <f t="shared" si="226"/>
        <v>938.64</v>
      </c>
    </row>
    <row r="1856" spans="1:18" ht="21.75" customHeight="1">
      <c r="A1856" t="s">
        <v>2007</v>
      </c>
      <c r="B1856" s="6">
        <v>45498</v>
      </c>
      <c r="C1856" t="s">
        <v>138</v>
      </c>
      <c r="D1856" t="s">
        <v>197</v>
      </c>
      <c r="E1856" t="s">
        <v>11</v>
      </c>
      <c r="F1856" t="s">
        <v>56</v>
      </c>
      <c r="G1856" t="s">
        <v>28</v>
      </c>
      <c r="H1856">
        <v>1</v>
      </c>
      <c r="I1856" t="str">
        <f>VLOOKUP(D1856,Product_Lookup!$A$2:$C$27,3,FALSE)</f>
        <v>$10.11</v>
      </c>
      <c r="J1856" t="str">
        <f t="shared" si="227"/>
        <v>Thursday</v>
      </c>
      <c r="K1856" s="10" t="str">
        <f t="shared" si="228"/>
        <v>July</v>
      </c>
      <c r="L1856">
        <f t="shared" si="229"/>
        <v>2024</v>
      </c>
      <c r="M1856" t="b">
        <f t="shared" si="230"/>
        <v>0</v>
      </c>
      <c r="N1856" t="b">
        <f t="shared" si="224"/>
        <v>0</v>
      </c>
      <c r="O1856" t="str">
        <f t="shared" si="231"/>
        <v>Standard order</v>
      </c>
      <c r="P1856" s="7">
        <f t="shared" si="225"/>
        <v>0.50549999999999995</v>
      </c>
      <c r="Q1856" s="7" t="str">
        <f>VLOOKUP(D1857,Product_Lookup!$A$2:$C$27,2,FALSE)</f>
        <v>Toaster</v>
      </c>
      <c r="R1856" s="7">
        <f t="shared" si="226"/>
        <v>10.11</v>
      </c>
    </row>
    <row r="1857" spans="1:18" ht="21.75" customHeight="1">
      <c r="A1857" t="s">
        <v>2008</v>
      </c>
      <c r="B1857" s="6">
        <v>45378</v>
      </c>
      <c r="C1857" t="s">
        <v>114</v>
      </c>
      <c r="D1857" t="s">
        <v>48</v>
      </c>
      <c r="E1857" t="s">
        <v>22</v>
      </c>
      <c r="F1857" t="s">
        <v>12</v>
      </c>
      <c r="G1857" t="s">
        <v>23</v>
      </c>
      <c r="H1857">
        <v>9</v>
      </c>
      <c r="I1857" t="str">
        <f>VLOOKUP(D1857,Product_Lookup!$A$2:$C$27,3,FALSE)</f>
        <v>$208.85</v>
      </c>
      <c r="J1857" t="str">
        <f t="shared" si="227"/>
        <v>Wednesday</v>
      </c>
      <c r="K1857" s="10" t="str">
        <f t="shared" si="228"/>
        <v>March</v>
      </c>
      <c r="L1857">
        <f t="shared" si="229"/>
        <v>2024</v>
      </c>
      <c r="M1857" t="b">
        <f t="shared" si="230"/>
        <v>0</v>
      </c>
      <c r="N1857" t="b">
        <f t="shared" si="224"/>
        <v>1</v>
      </c>
      <c r="O1857" t="str">
        <f t="shared" si="231"/>
        <v>Large Order</v>
      </c>
      <c r="P1857" s="7">
        <f t="shared" si="225"/>
        <v>10.442500000000001</v>
      </c>
      <c r="Q1857" s="7" t="str">
        <f>VLOOKUP(D1858,Product_Lookup!$A$2:$C$27,2,FALSE)</f>
        <v>Paper Shredder</v>
      </c>
      <c r="R1857" s="7">
        <f t="shared" si="226"/>
        <v>1879.6499999999999</v>
      </c>
    </row>
    <row r="1858" spans="1:18" ht="21.75" customHeight="1">
      <c r="A1858" t="s">
        <v>2009</v>
      </c>
      <c r="B1858" s="6">
        <v>45611</v>
      </c>
      <c r="C1858" t="s">
        <v>9</v>
      </c>
      <c r="D1858" t="s">
        <v>109</v>
      </c>
      <c r="E1858" t="s">
        <v>11</v>
      </c>
      <c r="F1858" t="s">
        <v>12</v>
      </c>
      <c r="G1858" t="s">
        <v>13</v>
      </c>
      <c r="H1858">
        <v>2</v>
      </c>
      <c r="I1858" t="str">
        <f>VLOOKUP(D1858,Product_Lookup!$A$2:$C$27,3,FALSE)</f>
        <v>$81.02</v>
      </c>
      <c r="J1858" t="str">
        <f t="shared" si="227"/>
        <v>Friday</v>
      </c>
      <c r="K1858" s="10" t="str">
        <f t="shared" si="228"/>
        <v>November</v>
      </c>
      <c r="L1858">
        <f t="shared" si="229"/>
        <v>2024</v>
      </c>
      <c r="M1858" t="b">
        <f t="shared" si="230"/>
        <v>0</v>
      </c>
      <c r="N1858" t="b">
        <f t="shared" ref="N1858:N1921" si="232">AND(R1858&gt;750, H1858&gt;5)</f>
        <v>0</v>
      </c>
      <c r="O1858" t="str">
        <f t="shared" si="231"/>
        <v>Standard order</v>
      </c>
      <c r="P1858" s="7">
        <f t="shared" ref="P1858:P1921" si="233">I1858*$S$2</f>
        <v>4.0510000000000002</v>
      </c>
      <c r="Q1858" s="7" t="str">
        <f>VLOOKUP(D1859,Product_Lookup!$A$2:$C$27,2,FALSE)</f>
        <v>Coffee Maker</v>
      </c>
      <c r="R1858" s="7">
        <f t="shared" ref="R1858:R1921" si="234">H1858*I1858</f>
        <v>162.04</v>
      </c>
    </row>
    <row r="1859" spans="1:18" ht="21.75" customHeight="1">
      <c r="A1859" t="s">
        <v>2010</v>
      </c>
      <c r="B1859" s="6">
        <v>45505</v>
      </c>
      <c r="C1859" t="s">
        <v>396</v>
      </c>
      <c r="D1859" t="s">
        <v>31</v>
      </c>
      <c r="E1859" t="s">
        <v>11</v>
      </c>
      <c r="F1859" t="s">
        <v>306</v>
      </c>
      <c r="G1859" t="s">
        <v>32</v>
      </c>
      <c r="H1859">
        <v>16</v>
      </c>
      <c r="I1859" t="str">
        <f>VLOOKUP(D1859,Product_Lookup!$A$2:$C$27,3,FALSE)</f>
        <v>$230.34</v>
      </c>
      <c r="J1859" t="str">
        <f t="shared" ref="J1859:J1922" si="235">TEXT(B1859, "dddd")</f>
        <v>Thursday</v>
      </c>
      <c r="K1859" s="10" t="str">
        <f t="shared" ref="K1859:K1922" si="236">TEXT(B1859, "mmmm")</f>
        <v>August</v>
      </c>
      <c r="L1859">
        <f t="shared" ref="L1859:L1922" si="237">YEAR(B1859)</f>
        <v>2024</v>
      </c>
      <c r="M1859" t="b">
        <f t="shared" ref="M1859:M1922" si="238">OR(J1859="Saturday", J1859="Sunday")</f>
        <v>0</v>
      </c>
      <c r="N1859" t="b">
        <f t="shared" si="232"/>
        <v>1</v>
      </c>
      <c r="O1859" t="str">
        <f t="shared" ref="O1859:O1922" si="239">IF(R1859&gt;500,"Large Order","Standard order")</f>
        <v>Large Order</v>
      </c>
      <c r="P1859" s="7">
        <f t="shared" si="233"/>
        <v>11.517000000000001</v>
      </c>
      <c r="Q1859" s="7" t="str">
        <f>VLOOKUP(D1860,Product_Lookup!$A$2:$C$27,2,FALSE)</f>
        <v>Board Game</v>
      </c>
      <c r="R1859" s="7">
        <f t="shared" si="234"/>
        <v>3685.44</v>
      </c>
    </row>
    <row r="1860" spans="1:18" ht="21.75" customHeight="1">
      <c r="A1860" t="s">
        <v>2011</v>
      </c>
      <c r="B1860" s="6">
        <v>45397</v>
      </c>
      <c r="C1860" t="s">
        <v>465</v>
      </c>
      <c r="D1860" t="s">
        <v>41</v>
      </c>
      <c r="E1860" t="s">
        <v>22</v>
      </c>
      <c r="F1860" t="s">
        <v>12</v>
      </c>
      <c r="G1860" t="s">
        <v>32</v>
      </c>
      <c r="H1860">
        <v>14</v>
      </c>
      <c r="I1860" t="str">
        <f>VLOOKUP(D1860,Product_Lookup!$A$2:$C$27,3,FALSE)</f>
        <v>$86.6</v>
      </c>
      <c r="J1860" t="str">
        <f t="shared" si="235"/>
        <v>Monday</v>
      </c>
      <c r="K1860" s="10" t="str">
        <f t="shared" si="236"/>
        <v>April</v>
      </c>
      <c r="L1860">
        <f t="shared" si="237"/>
        <v>2024</v>
      </c>
      <c r="M1860" t="b">
        <f t="shared" si="238"/>
        <v>0</v>
      </c>
      <c r="N1860" t="b">
        <f t="shared" si="232"/>
        <v>1</v>
      </c>
      <c r="O1860" t="str">
        <f t="shared" si="239"/>
        <v>Large Order</v>
      </c>
      <c r="P1860" s="7">
        <f t="shared" si="233"/>
        <v>4.33</v>
      </c>
      <c r="Q1860" s="7" t="str">
        <f>VLOOKUP(D1861,Product_Lookup!$A$2:$C$27,2,FALSE)</f>
        <v>Sweater</v>
      </c>
      <c r="R1860" s="7">
        <f t="shared" si="234"/>
        <v>1212.3999999999999</v>
      </c>
    </row>
    <row r="1861" spans="1:18" ht="21.75" customHeight="1">
      <c r="A1861" t="s">
        <v>2012</v>
      </c>
      <c r="B1861" s="6">
        <v>45631</v>
      </c>
      <c r="C1861" t="s">
        <v>363</v>
      </c>
      <c r="D1861" t="s">
        <v>26</v>
      </c>
      <c r="E1861" t="s">
        <v>22</v>
      </c>
      <c r="F1861" t="s">
        <v>306</v>
      </c>
      <c r="G1861" t="s">
        <v>28</v>
      </c>
      <c r="H1861">
        <v>14</v>
      </c>
      <c r="I1861" t="str">
        <f>VLOOKUP(D1861,Product_Lookup!$A$2:$C$27,3,FALSE)</f>
        <v>$84.57</v>
      </c>
      <c r="J1861" t="str">
        <f t="shared" si="235"/>
        <v>Thursday</v>
      </c>
      <c r="K1861" s="10" t="str">
        <f t="shared" si="236"/>
        <v>December</v>
      </c>
      <c r="L1861">
        <f t="shared" si="237"/>
        <v>2024</v>
      </c>
      <c r="M1861" t="b">
        <f t="shared" si="238"/>
        <v>0</v>
      </c>
      <c r="N1861" t="b">
        <f t="shared" si="232"/>
        <v>1</v>
      </c>
      <c r="O1861" t="str">
        <f t="shared" si="239"/>
        <v>Large Order</v>
      </c>
      <c r="P1861" s="7">
        <f t="shared" si="233"/>
        <v>4.2284999999999995</v>
      </c>
      <c r="Q1861" s="7" t="str">
        <f>VLOOKUP(D1862,Product_Lookup!$A$2:$C$27,2,FALSE)</f>
        <v>Lego Set</v>
      </c>
      <c r="R1861" s="7">
        <f t="shared" si="234"/>
        <v>1183.98</v>
      </c>
    </row>
    <row r="1862" spans="1:18" ht="21.75" customHeight="1">
      <c r="A1862" t="s">
        <v>2013</v>
      </c>
      <c r="B1862" s="6">
        <v>45345</v>
      </c>
      <c r="C1862" t="s">
        <v>345</v>
      </c>
      <c r="D1862" t="s">
        <v>84</v>
      </c>
      <c r="E1862" t="s">
        <v>22</v>
      </c>
      <c r="F1862" t="s">
        <v>12</v>
      </c>
      <c r="G1862" t="s">
        <v>32</v>
      </c>
      <c r="H1862">
        <v>4</v>
      </c>
      <c r="I1862" t="str">
        <f>VLOOKUP(D1862,Product_Lookup!$A$2:$C$27,3,FALSE)</f>
        <v>$130.07</v>
      </c>
      <c r="J1862" t="str">
        <f t="shared" si="235"/>
        <v>Friday</v>
      </c>
      <c r="K1862" s="10" t="str">
        <f t="shared" si="236"/>
        <v>February</v>
      </c>
      <c r="L1862">
        <f t="shared" si="237"/>
        <v>2024</v>
      </c>
      <c r="M1862" t="b">
        <f t="shared" si="238"/>
        <v>0</v>
      </c>
      <c r="N1862" t="b">
        <f t="shared" si="232"/>
        <v>0</v>
      </c>
      <c r="O1862" t="str">
        <f t="shared" si="239"/>
        <v>Large Order</v>
      </c>
      <c r="P1862" s="7">
        <f t="shared" si="233"/>
        <v>6.5034999999999998</v>
      </c>
      <c r="Q1862" s="7" t="str">
        <f>VLOOKUP(D1863,Product_Lookup!$A$2:$C$27,2,FALSE)</f>
        <v>Paper Shredder</v>
      </c>
      <c r="R1862" s="7">
        <f t="shared" si="234"/>
        <v>520.28</v>
      </c>
    </row>
    <row r="1863" spans="1:18" ht="21.75" customHeight="1">
      <c r="A1863" t="s">
        <v>2014</v>
      </c>
      <c r="B1863" s="6">
        <v>45546</v>
      </c>
      <c r="C1863" t="s">
        <v>104</v>
      </c>
      <c r="D1863" t="s">
        <v>109</v>
      </c>
      <c r="E1863" t="s">
        <v>11</v>
      </c>
      <c r="F1863" t="s">
        <v>42</v>
      </c>
      <c r="G1863" t="s">
        <v>36</v>
      </c>
      <c r="H1863">
        <v>7</v>
      </c>
      <c r="I1863" t="str">
        <f>VLOOKUP(D1863,Product_Lookup!$A$2:$C$27,3,FALSE)</f>
        <v>$81.02</v>
      </c>
      <c r="J1863" t="str">
        <f t="shared" si="235"/>
        <v>Wednesday</v>
      </c>
      <c r="K1863" s="10" t="str">
        <f t="shared" si="236"/>
        <v>September</v>
      </c>
      <c r="L1863">
        <f t="shared" si="237"/>
        <v>2024</v>
      </c>
      <c r="M1863" t="b">
        <f t="shared" si="238"/>
        <v>0</v>
      </c>
      <c r="N1863" t="b">
        <f t="shared" si="232"/>
        <v>0</v>
      </c>
      <c r="O1863" t="str">
        <f t="shared" si="239"/>
        <v>Large Order</v>
      </c>
      <c r="P1863" s="7">
        <f t="shared" si="233"/>
        <v>4.0510000000000002</v>
      </c>
      <c r="Q1863" s="7" t="str">
        <f>VLOOKUP(D1864,Product_Lookup!$A$2:$C$27,2,FALSE)</f>
        <v>T-Shirt</v>
      </c>
      <c r="R1863" s="7">
        <f t="shared" si="234"/>
        <v>567.14</v>
      </c>
    </row>
    <row r="1864" spans="1:18" ht="21.75" customHeight="1">
      <c r="A1864" t="s">
        <v>2015</v>
      </c>
      <c r="B1864" s="6">
        <v>45501</v>
      </c>
      <c r="C1864" t="s">
        <v>61</v>
      </c>
      <c r="D1864" t="s">
        <v>45</v>
      </c>
      <c r="E1864" t="s">
        <v>11</v>
      </c>
      <c r="F1864" t="s">
        <v>306</v>
      </c>
      <c r="G1864" t="s">
        <v>23</v>
      </c>
      <c r="H1864">
        <v>7</v>
      </c>
      <c r="I1864" t="str">
        <f>VLOOKUP(D1864,Product_Lookup!$A$2:$C$27,3,FALSE)</f>
        <v>$107.34</v>
      </c>
      <c r="J1864" t="str">
        <f t="shared" si="235"/>
        <v>Sunday</v>
      </c>
      <c r="K1864" s="10" t="str">
        <f t="shared" si="236"/>
        <v>July</v>
      </c>
      <c r="L1864">
        <f t="shared" si="237"/>
        <v>2024</v>
      </c>
      <c r="M1864" t="b">
        <f t="shared" si="238"/>
        <v>1</v>
      </c>
      <c r="N1864" t="b">
        <f t="shared" si="232"/>
        <v>1</v>
      </c>
      <c r="O1864" t="str">
        <f t="shared" si="239"/>
        <v>Large Order</v>
      </c>
      <c r="P1864" s="7">
        <f t="shared" si="233"/>
        <v>5.3670000000000009</v>
      </c>
      <c r="Q1864" s="7" t="str">
        <f>VLOOKUP(D1865,Product_Lookup!$A$2:$C$27,2,FALSE)</f>
        <v>Jacket</v>
      </c>
      <c r="R1864" s="7">
        <f t="shared" si="234"/>
        <v>751.38</v>
      </c>
    </row>
    <row r="1865" spans="1:18" ht="21.75" customHeight="1">
      <c r="A1865" t="s">
        <v>2016</v>
      </c>
      <c r="B1865" s="6">
        <v>45538</v>
      </c>
      <c r="C1865" t="s">
        <v>118</v>
      </c>
      <c r="D1865" t="s">
        <v>197</v>
      </c>
      <c r="E1865" t="s">
        <v>11</v>
      </c>
      <c r="F1865" t="s">
        <v>12</v>
      </c>
      <c r="G1865" t="s">
        <v>13</v>
      </c>
      <c r="H1865">
        <v>4</v>
      </c>
      <c r="I1865" t="str">
        <f>VLOOKUP(D1865,Product_Lookup!$A$2:$C$27,3,FALSE)</f>
        <v>$10.11</v>
      </c>
      <c r="J1865" t="str">
        <f t="shared" si="235"/>
        <v>Tuesday</v>
      </c>
      <c r="K1865" s="10" t="str">
        <f t="shared" si="236"/>
        <v>September</v>
      </c>
      <c r="L1865">
        <f t="shared" si="237"/>
        <v>2024</v>
      </c>
      <c r="M1865" t="b">
        <f t="shared" si="238"/>
        <v>0</v>
      </c>
      <c r="N1865" t="b">
        <f t="shared" si="232"/>
        <v>0</v>
      </c>
      <c r="O1865" t="str">
        <f t="shared" si="239"/>
        <v>Standard order</v>
      </c>
      <c r="P1865" s="7">
        <f t="shared" si="233"/>
        <v>0.50549999999999995</v>
      </c>
      <c r="Q1865" s="7" t="str">
        <f>VLOOKUP(D1866,Product_Lookup!$A$2:$C$27,2,FALSE)</f>
        <v>Headphones</v>
      </c>
      <c r="R1865" s="7">
        <f t="shared" si="234"/>
        <v>40.44</v>
      </c>
    </row>
    <row r="1866" spans="1:18" ht="21.75" customHeight="1">
      <c r="A1866" t="s">
        <v>2017</v>
      </c>
      <c r="B1866" s="6">
        <v>45634</v>
      </c>
      <c r="C1866" t="s">
        <v>432</v>
      </c>
      <c r="D1866" t="s">
        <v>16</v>
      </c>
      <c r="E1866" t="s">
        <v>11</v>
      </c>
      <c r="F1866" t="s">
        <v>306</v>
      </c>
      <c r="G1866" t="s">
        <v>13</v>
      </c>
      <c r="H1866">
        <v>4</v>
      </c>
      <c r="I1866" t="str">
        <f>VLOOKUP(D1866,Product_Lookup!$A$2:$C$27,3,FALSE)</f>
        <v>$178.83</v>
      </c>
      <c r="J1866" t="str">
        <f t="shared" si="235"/>
        <v>Sunday</v>
      </c>
      <c r="K1866" s="10" t="str">
        <f t="shared" si="236"/>
        <v>December</v>
      </c>
      <c r="L1866">
        <f t="shared" si="237"/>
        <v>2024</v>
      </c>
      <c r="M1866" t="b">
        <f t="shared" si="238"/>
        <v>1</v>
      </c>
      <c r="N1866" t="b">
        <f t="shared" si="232"/>
        <v>0</v>
      </c>
      <c r="O1866" t="str">
        <f t="shared" si="239"/>
        <v>Large Order</v>
      </c>
      <c r="P1866" s="7">
        <f t="shared" si="233"/>
        <v>8.9415000000000013</v>
      </c>
      <c r="Q1866" s="7" t="str">
        <f>VLOOKUP(D1867,Product_Lookup!$A$2:$C$27,2,FALSE)</f>
        <v>Air Fryer</v>
      </c>
      <c r="R1866" s="7">
        <f t="shared" si="234"/>
        <v>715.32</v>
      </c>
    </row>
    <row r="1867" spans="1:18" ht="21.75" customHeight="1">
      <c r="A1867" t="s">
        <v>2018</v>
      </c>
      <c r="B1867" s="6">
        <v>45621</v>
      </c>
      <c r="C1867" t="s">
        <v>51</v>
      </c>
      <c r="D1867" t="s">
        <v>70</v>
      </c>
      <c r="E1867" t="s">
        <v>17</v>
      </c>
      <c r="F1867" t="s">
        <v>42</v>
      </c>
      <c r="G1867" t="s">
        <v>23</v>
      </c>
      <c r="H1867">
        <v>2</v>
      </c>
      <c r="I1867" t="str">
        <f>VLOOKUP(D1867,Product_Lookup!$A$2:$C$27,3,FALSE)</f>
        <v>$211.9</v>
      </c>
      <c r="J1867" t="str">
        <f t="shared" si="235"/>
        <v>Monday</v>
      </c>
      <c r="K1867" s="10" t="str">
        <f t="shared" si="236"/>
        <v>November</v>
      </c>
      <c r="L1867">
        <f t="shared" si="237"/>
        <v>2024</v>
      </c>
      <c r="M1867" t="b">
        <f t="shared" si="238"/>
        <v>0</v>
      </c>
      <c r="N1867" t="b">
        <f t="shared" si="232"/>
        <v>0</v>
      </c>
      <c r="O1867" t="str">
        <f t="shared" si="239"/>
        <v>Standard order</v>
      </c>
      <c r="P1867" s="7">
        <f t="shared" si="233"/>
        <v>10.595000000000001</v>
      </c>
      <c r="Q1867" s="7" t="str">
        <f>VLOOKUP(D1868,Product_Lookup!$A$2:$C$27,2,FALSE)</f>
        <v>Socks</v>
      </c>
      <c r="R1867" s="7">
        <f t="shared" si="234"/>
        <v>423.8</v>
      </c>
    </row>
    <row r="1868" spans="1:18" ht="21.75" customHeight="1">
      <c r="A1868" t="s">
        <v>2019</v>
      </c>
      <c r="B1868" s="6">
        <v>45381</v>
      </c>
      <c r="C1868" t="s">
        <v>116</v>
      </c>
      <c r="D1868" t="s">
        <v>74</v>
      </c>
      <c r="E1868" t="s">
        <v>17</v>
      </c>
      <c r="F1868" t="s">
        <v>42</v>
      </c>
      <c r="G1868" t="s">
        <v>23</v>
      </c>
      <c r="H1868">
        <v>4</v>
      </c>
      <c r="I1868" t="str">
        <f>VLOOKUP(D1868,Product_Lookup!$A$2:$C$27,3,FALSE)</f>
        <v>$201.32</v>
      </c>
      <c r="J1868" t="str">
        <f t="shared" si="235"/>
        <v>Saturday</v>
      </c>
      <c r="K1868" s="10" t="str">
        <f t="shared" si="236"/>
        <v>March</v>
      </c>
      <c r="L1868">
        <f t="shared" si="237"/>
        <v>2024</v>
      </c>
      <c r="M1868" t="b">
        <f t="shared" si="238"/>
        <v>1</v>
      </c>
      <c r="N1868" t="b">
        <f t="shared" si="232"/>
        <v>0</v>
      </c>
      <c r="O1868" t="str">
        <f t="shared" si="239"/>
        <v>Large Order</v>
      </c>
      <c r="P1868" s="7">
        <f t="shared" si="233"/>
        <v>10.066000000000001</v>
      </c>
      <c r="Q1868" s="7" t="str">
        <f>VLOOKUP(D1869,Product_Lookup!$A$2:$C$27,2,FALSE)</f>
        <v>Headphones</v>
      </c>
      <c r="R1868" s="7">
        <f t="shared" si="234"/>
        <v>805.28</v>
      </c>
    </row>
    <row r="1869" spans="1:18" ht="21.75" customHeight="1">
      <c r="A1869" t="s">
        <v>2020</v>
      </c>
      <c r="B1869" s="6">
        <v>45315</v>
      </c>
      <c r="C1869" t="s">
        <v>142</v>
      </c>
      <c r="D1869" t="s">
        <v>16</v>
      </c>
      <c r="E1869" t="s">
        <v>22</v>
      </c>
      <c r="F1869" t="s">
        <v>56</v>
      </c>
      <c r="G1869" t="s">
        <v>32</v>
      </c>
      <c r="H1869">
        <v>12</v>
      </c>
      <c r="I1869" t="str">
        <f>VLOOKUP(D1869,Product_Lookup!$A$2:$C$27,3,FALSE)</f>
        <v>$178.83</v>
      </c>
      <c r="J1869" t="str">
        <f t="shared" si="235"/>
        <v>Wednesday</v>
      </c>
      <c r="K1869" s="10" t="str">
        <f t="shared" si="236"/>
        <v>January</v>
      </c>
      <c r="L1869">
        <f t="shared" si="237"/>
        <v>2024</v>
      </c>
      <c r="M1869" t="b">
        <f t="shared" si="238"/>
        <v>0</v>
      </c>
      <c r="N1869" t="b">
        <f t="shared" si="232"/>
        <v>1</v>
      </c>
      <c r="O1869" t="str">
        <f t="shared" si="239"/>
        <v>Large Order</v>
      </c>
      <c r="P1869" s="7">
        <f t="shared" si="233"/>
        <v>8.9415000000000013</v>
      </c>
      <c r="Q1869" s="7" t="str">
        <f>VLOOKUP(D1870,Product_Lookup!$A$2:$C$27,2,FALSE)</f>
        <v>Lego Set</v>
      </c>
      <c r="R1869" s="7">
        <f t="shared" si="234"/>
        <v>2145.96</v>
      </c>
    </row>
    <row r="1870" spans="1:18" ht="21.75" customHeight="1">
      <c r="A1870" t="s">
        <v>2021</v>
      </c>
      <c r="B1870" s="6">
        <v>45610</v>
      </c>
      <c r="C1870" t="s">
        <v>101</v>
      </c>
      <c r="D1870" t="s">
        <v>84</v>
      </c>
      <c r="E1870" t="s">
        <v>11</v>
      </c>
      <c r="F1870" t="s">
        <v>42</v>
      </c>
      <c r="G1870" t="s">
        <v>32</v>
      </c>
      <c r="H1870">
        <v>6</v>
      </c>
      <c r="I1870" t="str">
        <f>VLOOKUP(D1870,Product_Lookup!$A$2:$C$27,3,FALSE)</f>
        <v>$130.07</v>
      </c>
      <c r="J1870" t="str">
        <f t="shared" si="235"/>
        <v>Thursday</v>
      </c>
      <c r="K1870" s="10" t="str">
        <f t="shared" si="236"/>
        <v>November</v>
      </c>
      <c r="L1870">
        <f t="shared" si="237"/>
        <v>2024</v>
      </c>
      <c r="M1870" t="b">
        <f t="shared" si="238"/>
        <v>0</v>
      </c>
      <c r="N1870" t="b">
        <f t="shared" si="232"/>
        <v>1</v>
      </c>
      <c r="O1870" t="str">
        <f t="shared" si="239"/>
        <v>Large Order</v>
      </c>
      <c r="P1870" s="7">
        <f t="shared" si="233"/>
        <v>6.5034999999999998</v>
      </c>
      <c r="Q1870" s="7" t="str">
        <f>VLOOKUP(D1871,Product_Lookup!$A$2:$C$27,2,FALSE)</f>
        <v>Sweater</v>
      </c>
      <c r="R1870" s="7">
        <f t="shared" si="234"/>
        <v>780.42</v>
      </c>
    </row>
    <row r="1871" spans="1:18" ht="21.75" customHeight="1">
      <c r="A1871" t="s">
        <v>2022</v>
      </c>
      <c r="B1871" s="6">
        <v>45496</v>
      </c>
      <c r="C1871" t="s">
        <v>366</v>
      </c>
      <c r="D1871" t="s">
        <v>26</v>
      </c>
      <c r="E1871" t="s">
        <v>17</v>
      </c>
      <c r="F1871" t="s">
        <v>27</v>
      </c>
      <c r="G1871" t="s">
        <v>23</v>
      </c>
      <c r="H1871">
        <v>6</v>
      </c>
      <c r="I1871" t="str">
        <f>VLOOKUP(D1871,Product_Lookup!$A$2:$C$27,3,FALSE)</f>
        <v>$84.57</v>
      </c>
      <c r="J1871" t="str">
        <f t="shared" si="235"/>
        <v>Tuesday</v>
      </c>
      <c r="K1871" s="10" t="str">
        <f t="shared" si="236"/>
        <v>July</v>
      </c>
      <c r="L1871">
        <f t="shared" si="237"/>
        <v>2024</v>
      </c>
      <c r="M1871" t="b">
        <f t="shared" si="238"/>
        <v>0</v>
      </c>
      <c r="N1871" t="b">
        <f t="shared" si="232"/>
        <v>0</v>
      </c>
      <c r="O1871" t="str">
        <f t="shared" si="239"/>
        <v>Large Order</v>
      </c>
      <c r="P1871" s="7">
        <f t="shared" si="233"/>
        <v>4.2284999999999995</v>
      </c>
      <c r="Q1871" s="7" t="str">
        <f>VLOOKUP(D1872,Product_Lookup!$A$2:$C$27,2,FALSE)</f>
        <v>Smartphone</v>
      </c>
      <c r="R1871" s="7">
        <f t="shared" si="234"/>
        <v>507.41999999999996</v>
      </c>
    </row>
    <row r="1872" spans="1:18" ht="21.75" customHeight="1">
      <c r="A1872" t="s">
        <v>2023</v>
      </c>
      <c r="B1872" s="6">
        <v>45648</v>
      </c>
      <c r="C1872" t="s">
        <v>329</v>
      </c>
      <c r="D1872" t="s">
        <v>79</v>
      </c>
      <c r="E1872" t="s">
        <v>11</v>
      </c>
      <c r="F1872" t="s">
        <v>12</v>
      </c>
      <c r="G1872" t="s">
        <v>23</v>
      </c>
      <c r="H1872">
        <v>19</v>
      </c>
      <c r="I1872" t="str">
        <f>VLOOKUP(D1872,Product_Lookup!$A$2:$C$27,3,FALSE)</f>
        <v>$216.22</v>
      </c>
      <c r="J1872" t="str">
        <f t="shared" si="235"/>
        <v>Sunday</v>
      </c>
      <c r="K1872" s="10" t="str">
        <f t="shared" si="236"/>
        <v>December</v>
      </c>
      <c r="L1872">
        <f t="shared" si="237"/>
        <v>2024</v>
      </c>
      <c r="M1872" t="b">
        <f t="shared" si="238"/>
        <v>1</v>
      </c>
      <c r="N1872" t="b">
        <f t="shared" si="232"/>
        <v>1</v>
      </c>
      <c r="O1872" t="str">
        <f t="shared" si="239"/>
        <v>Large Order</v>
      </c>
      <c r="P1872" s="7">
        <f t="shared" si="233"/>
        <v>10.811</v>
      </c>
      <c r="Q1872" s="7" t="str">
        <f>VLOOKUP(D1873,Product_Lookup!$A$2:$C$27,2,FALSE)</f>
        <v>Air Fryer</v>
      </c>
      <c r="R1872" s="7">
        <f t="shared" si="234"/>
        <v>4108.18</v>
      </c>
    </row>
    <row r="1873" spans="1:18" ht="21.75" customHeight="1">
      <c r="A1873" t="s">
        <v>2024</v>
      </c>
      <c r="B1873" s="6">
        <v>45583</v>
      </c>
      <c r="C1873" t="s">
        <v>422</v>
      </c>
      <c r="D1873" t="s">
        <v>70</v>
      </c>
      <c r="E1873" t="s">
        <v>11</v>
      </c>
      <c r="F1873" t="s">
        <v>306</v>
      </c>
      <c r="G1873" t="s">
        <v>23</v>
      </c>
      <c r="H1873">
        <v>12</v>
      </c>
      <c r="I1873" t="str">
        <f>VLOOKUP(D1873,Product_Lookup!$A$2:$C$27,3,FALSE)</f>
        <v>$211.9</v>
      </c>
      <c r="J1873" t="str">
        <f t="shared" si="235"/>
        <v>Friday</v>
      </c>
      <c r="K1873" s="10" t="str">
        <f t="shared" si="236"/>
        <v>October</v>
      </c>
      <c r="L1873">
        <f t="shared" si="237"/>
        <v>2024</v>
      </c>
      <c r="M1873" t="b">
        <f t="shared" si="238"/>
        <v>0</v>
      </c>
      <c r="N1873" t="b">
        <f t="shared" si="232"/>
        <v>1</v>
      </c>
      <c r="O1873" t="str">
        <f t="shared" si="239"/>
        <v>Large Order</v>
      </c>
      <c r="P1873" s="7">
        <f t="shared" si="233"/>
        <v>10.595000000000001</v>
      </c>
      <c r="Q1873" s="7" t="str">
        <f>VLOOKUP(D1874,Product_Lookup!$A$2:$C$27,2,FALSE)</f>
        <v>Headphones</v>
      </c>
      <c r="R1873" s="7">
        <f t="shared" si="234"/>
        <v>2542.8000000000002</v>
      </c>
    </row>
    <row r="1874" spans="1:18" ht="21.75" customHeight="1">
      <c r="A1874" t="s">
        <v>2025</v>
      </c>
      <c r="B1874" s="6">
        <v>45642</v>
      </c>
      <c r="C1874" t="s">
        <v>388</v>
      </c>
      <c r="D1874" t="s">
        <v>16</v>
      </c>
      <c r="E1874" t="s">
        <v>17</v>
      </c>
      <c r="F1874" t="s">
        <v>27</v>
      </c>
      <c r="G1874" t="s">
        <v>13</v>
      </c>
      <c r="H1874">
        <v>14</v>
      </c>
      <c r="I1874" t="str">
        <f>VLOOKUP(D1874,Product_Lookup!$A$2:$C$27,3,FALSE)</f>
        <v>$178.83</v>
      </c>
      <c r="J1874" t="str">
        <f t="shared" si="235"/>
        <v>Monday</v>
      </c>
      <c r="K1874" s="10" t="str">
        <f t="shared" si="236"/>
        <v>December</v>
      </c>
      <c r="L1874">
        <f t="shared" si="237"/>
        <v>2024</v>
      </c>
      <c r="M1874" t="b">
        <f t="shared" si="238"/>
        <v>0</v>
      </c>
      <c r="N1874" t="b">
        <f t="shared" si="232"/>
        <v>1</v>
      </c>
      <c r="O1874" t="str">
        <f t="shared" si="239"/>
        <v>Large Order</v>
      </c>
      <c r="P1874" s="7">
        <f t="shared" si="233"/>
        <v>8.9415000000000013</v>
      </c>
      <c r="Q1874" s="7" t="str">
        <f>VLOOKUP(D1875,Product_Lookup!$A$2:$C$27,2,FALSE)</f>
        <v>Action Figure</v>
      </c>
      <c r="R1874" s="7">
        <f t="shared" si="234"/>
        <v>2503.6200000000003</v>
      </c>
    </row>
    <row r="1875" spans="1:18" ht="21.75" customHeight="1">
      <c r="A1875" t="s">
        <v>2026</v>
      </c>
      <c r="B1875" s="6">
        <v>45324</v>
      </c>
      <c r="C1875" t="s">
        <v>86</v>
      </c>
      <c r="D1875" t="s">
        <v>21</v>
      </c>
      <c r="E1875" t="s">
        <v>17</v>
      </c>
      <c r="F1875" t="s">
        <v>12</v>
      </c>
      <c r="G1875" t="s">
        <v>36</v>
      </c>
      <c r="H1875">
        <v>19</v>
      </c>
      <c r="I1875" t="str">
        <f>VLOOKUP(D1875,Product_Lookup!$A$2:$C$27,3,FALSE)</f>
        <v>$88.18</v>
      </c>
      <c r="J1875" t="str">
        <f t="shared" si="235"/>
        <v>Friday</v>
      </c>
      <c r="K1875" s="10" t="str">
        <f t="shared" si="236"/>
        <v>February</v>
      </c>
      <c r="L1875">
        <f t="shared" si="237"/>
        <v>2024</v>
      </c>
      <c r="M1875" t="b">
        <f t="shared" si="238"/>
        <v>0</v>
      </c>
      <c r="N1875" t="b">
        <f t="shared" si="232"/>
        <v>1</v>
      </c>
      <c r="O1875" t="str">
        <f t="shared" si="239"/>
        <v>Large Order</v>
      </c>
      <c r="P1875" s="7">
        <f t="shared" si="233"/>
        <v>4.4090000000000007</v>
      </c>
      <c r="Q1875" s="7" t="str">
        <f>VLOOKUP(D1876,Product_Lookup!$A$2:$C$27,2,FALSE)</f>
        <v>Blender</v>
      </c>
      <c r="R1875" s="7">
        <f t="shared" si="234"/>
        <v>1675.42</v>
      </c>
    </row>
    <row r="1876" spans="1:18" ht="21.75" customHeight="1">
      <c r="A1876" t="s">
        <v>2027</v>
      </c>
      <c r="B1876" s="6">
        <v>45406</v>
      </c>
      <c r="C1876" t="s">
        <v>317</v>
      </c>
      <c r="D1876" t="s">
        <v>72</v>
      </c>
      <c r="E1876" t="s">
        <v>22</v>
      </c>
      <c r="F1876" t="s">
        <v>306</v>
      </c>
      <c r="G1876" t="s">
        <v>36</v>
      </c>
      <c r="H1876">
        <v>4</v>
      </c>
      <c r="I1876" t="str">
        <f>VLOOKUP(D1876,Product_Lookup!$A$2:$C$27,3,FALSE)</f>
        <v>$156.44</v>
      </c>
      <c r="J1876" t="str">
        <f t="shared" si="235"/>
        <v>Wednesday</v>
      </c>
      <c r="K1876" s="10" t="str">
        <f t="shared" si="236"/>
        <v>April</v>
      </c>
      <c r="L1876">
        <f t="shared" si="237"/>
        <v>2024</v>
      </c>
      <c r="M1876" t="b">
        <f t="shared" si="238"/>
        <v>0</v>
      </c>
      <c r="N1876" t="b">
        <f t="shared" si="232"/>
        <v>0</v>
      </c>
      <c r="O1876" t="str">
        <f t="shared" si="239"/>
        <v>Large Order</v>
      </c>
      <c r="P1876" s="7">
        <f t="shared" si="233"/>
        <v>7.8220000000000001</v>
      </c>
      <c r="Q1876" s="7" t="str">
        <f>VLOOKUP(D1877,Product_Lookup!$A$2:$C$27,2,FALSE)</f>
        <v>Toaster</v>
      </c>
      <c r="R1876" s="7">
        <f t="shared" si="234"/>
        <v>625.76</v>
      </c>
    </row>
    <row r="1877" spans="1:18" ht="21.75" customHeight="1">
      <c r="A1877" t="s">
        <v>2028</v>
      </c>
      <c r="B1877" s="6">
        <v>45419</v>
      </c>
      <c r="C1877" t="s">
        <v>517</v>
      </c>
      <c r="D1877" t="s">
        <v>48</v>
      </c>
      <c r="E1877" t="s">
        <v>22</v>
      </c>
      <c r="F1877" t="s">
        <v>27</v>
      </c>
      <c r="G1877" t="s">
        <v>28</v>
      </c>
      <c r="H1877">
        <v>18</v>
      </c>
      <c r="I1877" t="str">
        <f>VLOOKUP(D1877,Product_Lookup!$A$2:$C$27,3,FALSE)</f>
        <v>$208.85</v>
      </c>
      <c r="J1877" t="str">
        <f t="shared" si="235"/>
        <v>Tuesday</v>
      </c>
      <c r="K1877" s="10" t="str">
        <f t="shared" si="236"/>
        <v>May</v>
      </c>
      <c r="L1877">
        <f t="shared" si="237"/>
        <v>2024</v>
      </c>
      <c r="M1877" t="b">
        <f t="shared" si="238"/>
        <v>0</v>
      </c>
      <c r="N1877" t="b">
        <f t="shared" si="232"/>
        <v>1</v>
      </c>
      <c r="O1877" t="str">
        <f t="shared" si="239"/>
        <v>Large Order</v>
      </c>
      <c r="P1877" s="7">
        <f t="shared" si="233"/>
        <v>10.442500000000001</v>
      </c>
      <c r="Q1877" s="7" t="str">
        <f>VLOOKUP(D1878,Product_Lookup!$A$2:$C$27,2,FALSE)</f>
        <v>Laptop</v>
      </c>
      <c r="R1877" s="7">
        <f t="shared" si="234"/>
        <v>3759.2999999999997</v>
      </c>
    </row>
    <row r="1878" spans="1:18" ht="21.75" customHeight="1">
      <c r="A1878" t="s">
        <v>2029</v>
      </c>
      <c r="B1878" s="6">
        <v>45605</v>
      </c>
      <c r="C1878" t="s">
        <v>9</v>
      </c>
      <c r="D1878" t="s">
        <v>96</v>
      </c>
      <c r="E1878" t="s">
        <v>22</v>
      </c>
      <c r="F1878" t="s">
        <v>56</v>
      </c>
      <c r="G1878" t="s">
        <v>36</v>
      </c>
      <c r="H1878">
        <v>16</v>
      </c>
      <c r="I1878" t="str">
        <f>VLOOKUP(D1878,Product_Lookup!$A$2:$C$27,3,FALSE)</f>
        <v>$230.68</v>
      </c>
      <c r="J1878" t="str">
        <f t="shared" si="235"/>
        <v>Saturday</v>
      </c>
      <c r="K1878" s="10" t="str">
        <f t="shared" si="236"/>
        <v>November</v>
      </c>
      <c r="L1878">
        <f t="shared" si="237"/>
        <v>2024</v>
      </c>
      <c r="M1878" t="b">
        <f t="shared" si="238"/>
        <v>1</v>
      </c>
      <c r="N1878" t="b">
        <f t="shared" si="232"/>
        <v>1</v>
      </c>
      <c r="O1878" t="str">
        <f t="shared" si="239"/>
        <v>Large Order</v>
      </c>
      <c r="P1878" s="7">
        <f t="shared" si="233"/>
        <v>11.534000000000001</v>
      </c>
      <c r="Q1878" s="7" t="str">
        <f>VLOOKUP(D1879,Product_Lookup!$A$2:$C$27,2,FALSE)</f>
        <v>Doll</v>
      </c>
      <c r="R1878" s="7">
        <f t="shared" si="234"/>
        <v>3690.88</v>
      </c>
    </row>
    <row r="1879" spans="1:18" ht="21.75" customHeight="1">
      <c r="A1879" t="s">
        <v>2030</v>
      </c>
      <c r="B1879" s="6">
        <v>45376</v>
      </c>
      <c r="C1879" t="s">
        <v>208</v>
      </c>
      <c r="D1879" t="s">
        <v>119</v>
      </c>
      <c r="E1879" t="s">
        <v>17</v>
      </c>
      <c r="F1879" t="s">
        <v>42</v>
      </c>
      <c r="G1879" t="s">
        <v>28</v>
      </c>
      <c r="H1879">
        <v>11</v>
      </c>
      <c r="I1879" t="str">
        <f>VLOOKUP(D1879,Product_Lookup!$A$2:$C$27,3,FALSE)</f>
        <v>$32.94</v>
      </c>
      <c r="J1879" t="str">
        <f t="shared" si="235"/>
        <v>Monday</v>
      </c>
      <c r="K1879" s="10" t="str">
        <f t="shared" si="236"/>
        <v>March</v>
      </c>
      <c r="L1879">
        <f t="shared" si="237"/>
        <v>2024</v>
      </c>
      <c r="M1879" t="b">
        <f t="shared" si="238"/>
        <v>0</v>
      </c>
      <c r="N1879" t="b">
        <f t="shared" si="232"/>
        <v>0</v>
      </c>
      <c r="O1879" t="str">
        <f t="shared" si="239"/>
        <v>Standard order</v>
      </c>
      <c r="P1879" s="7">
        <f t="shared" si="233"/>
        <v>1.647</v>
      </c>
      <c r="Q1879" s="7" t="str">
        <f>VLOOKUP(D1880,Product_Lookup!$A$2:$C$27,2,FALSE)</f>
        <v>Jacket</v>
      </c>
      <c r="R1879" s="7">
        <f t="shared" si="234"/>
        <v>362.34</v>
      </c>
    </row>
    <row r="1880" spans="1:18" ht="21.75" customHeight="1">
      <c r="A1880" t="s">
        <v>2031</v>
      </c>
      <c r="B1880" s="6">
        <v>45317</v>
      </c>
      <c r="C1880" t="s">
        <v>358</v>
      </c>
      <c r="D1880" t="s">
        <v>197</v>
      </c>
      <c r="E1880" t="s">
        <v>22</v>
      </c>
      <c r="F1880" t="s">
        <v>27</v>
      </c>
      <c r="G1880" t="s">
        <v>23</v>
      </c>
      <c r="H1880">
        <v>8</v>
      </c>
      <c r="I1880" t="str">
        <f>VLOOKUP(D1880,Product_Lookup!$A$2:$C$27,3,FALSE)</f>
        <v>$10.11</v>
      </c>
      <c r="J1880" t="str">
        <f t="shared" si="235"/>
        <v>Friday</v>
      </c>
      <c r="K1880" s="10" t="str">
        <f t="shared" si="236"/>
        <v>January</v>
      </c>
      <c r="L1880">
        <f t="shared" si="237"/>
        <v>2024</v>
      </c>
      <c r="M1880" t="b">
        <f t="shared" si="238"/>
        <v>0</v>
      </c>
      <c r="N1880" t="b">
        <f t="shared" si="232"/>
        <v>0</v>
      </c>
      <c r="O1880" t="str">
        <f t="shared" si="239"/>
        <v>Standard order</v>
      </c>
      <c r="P1880" s="7">
        <f t="shared" si="233"/>
        <v>0.50549999999999995</v>
      </c>
      <c r="Q1880" s="7" t="str">
        <f>VLOOKUP(D1881,Product_Lookup!$A$2:$C$27,2,FALSE)</f>
        <v>Air Fryer</v>
      </c>
      <c r="R1880" s="7">
        <f t="shared" si="234"/>
        <v>80.88</v>
      </c>
    </row>
    <row r="1881" spans="1:18" ht="21.75" customHeight="1">
      <c r="A1881" t="s">
        <v>2032</v>
      </c>
      <c r="B1881" s="6">
        <v>45519</v>
      </c>
      <c r="C1881" t="s">
        <v>314</v>
      </c>
      <c r="D1881" t="s">
        <v>70</v>
      </c>
      <c r="E1881" t="s">
        <v>11</v>
      </c>
      <c r="F1881" t="s">
        <v>27</v>
      </c>
      <c r="G1881" t="s">
        <v>23</v>
      </c>
      <c r="H1881">
        <v>11</v>
      </c>
      <c r="I1881" t="str">
        <f>VLOOKUP(D1881,Product_Lookup!$A$2:$C$27,3,FALSE)</f>
        <v>$211.9</v>
      </c>
      <c r="J1881" t="str">
        <f t="shared" si="235"/>
        <v>Thursday</v>
      </c>
      <c r="K1881" s="10" t="str">
        <f t="shared" si="236"/>
        <v>August</v>
      </c>
      <c r="L1881">
        <f t="shared" si="237"/>
        <v>2024</v>
      </c>
      <c r="M1881" t="b">
        <f t="shared" si="238"/>
        <v>0</v>
      </c>
      <c r="N1881" t="b">
        <f t="shared" si="232"/>
        <v>1</v>
      </c>
      <c r="O1881" t="str">
        <f t="shared" si="239"/>
        <v>Large Order</v>
      </c>
      <c r="P1881" s="7">
        <f t="shared" si="233"/>
        <v>10.595000000000001</v>
      </c>
      <c r="Q1881" s="7" t="str">
        <f>VLOOKUP(D1882,Product_Lookup!$A$2:$C$27,2,FALSE)</f>
        <v>Action Figure</v>
      </c>
      <c r="R1881" s="7">
        <f t="shared" si="234"/>
        <v>2330.9</v>
      </c>
    </row>
    <row r="1882" spans="1:18" ht="21.75" customHeight="1">
      <c r="A1882" t="s">
        <v>2033</v>
      </c>
      <c r="B1882" s="6">
        <v>45546</v>
      </c>
      <c r="C1882" t="s">
        <v>323</v>
      </c>
      <c r="D1882" t="s">
        <v>21</v>
      </c>
      <c r="E1882" t="s">
        <v>11</v>
      </c>
      <c r="F1882" t="s">
        <v>12</v>
      </c>
      <c r="G1882" t="s">
        <v>23</v>
      </c>
      <c r="H1882">
        <v>14</v>
      </c>
      <c r="I1882" t="str">
        <f>VLOOKUP(D1882,Product_Lookup!$A$2:$C$27,3,FALSE)</f>
        <v>$88.18</v>
      </c>
      <c r="J1882" t="str">
        <f t="shared" si="235"/>
        <v>Wednesday</v>
      </c>
      <c r="K1882" s="10" t="str">
        <f t="shared" si="236"/>
        <v>September</v>
      </c>
      <c r="L1882">
        <f t="shared" si="237"/>
        <v>2024</v>
      </c>
      <c r="M1882" t="b">
        <f t="shared" si="238"/>
        <v>0</v>
      </c>
      <c r="N1882" t="b">
        <f t="shared" si="232"/>
        <v>1</v>
      </c>
      <c r="O1882" t="str">
        <f t="shared" si="239"/>
        <v>Large Order</v>
      </c>
      <c r="P1882" s="7">
        <f t="shared" si="233"/>
        <v>4.4090000000000007</v>
      </c>
      <c r="Q1882" s="7" t="str">
        <f>VLOOKUP(D1883,Product_Lookup!$A$2:$C$27,2,FALSE)</f>
        <v>Tablet</v>
      </c>
      <c r="R1882" s="7">
        <f t="shared" si="234"/>
        <v>1234.52</v>
      </c>
    </row>
    <row r="1883" spans="1:18" ht="21.75" customHeight="1">
      <c r="A1883" t="s">
        <v>2034</v>
      </c>
      <c r="B1883" s="6">
        <v>45573</v>
      </c>
      <c r="C1883" t="s">
        <v>25</v>
      </c>
      <c r="D1883" t="s">
        <v>10</v>
      </c>
      <c r="E1883" t="s">
        <v>22</v>
      </c>
      <c r="F1883" t="s">
        <v>306</v>
      </c>
      <c r="G1883" t="s">
        <v>32</v>
      </c>
      <c r="H1883">
        <v>17</v>
      </c>
      <c r="I1883" t="str">
        <f>VLOOKUP(D1883,Product_Lookup!$A$2:$C$27,3,FALSE)</f>
        <v>$146.06</v>
      </c>
      <c r="J1883" t="str">
        <f t="shared" si="235"/>
        <v>Tuesday</v>
      </c>
      <c r="K1883" s="10" t="str">
        <f t="shared" si="236"/>
        <v>October</v>
      </c>
      <c r="L1883">
        <f t="shared" si="237"/>
        <v>2024</v>
      </c>
      <c r="M1883" t="b">
        <f t="shared" si="238"/>
        <v>0</v>
      </c>
      <c r="N1883" t="b">
        <f t="shared" si="232"/>
        <v>1</v>
      </c>
      <c r="O1883" t="str">
        <f t="shared" si="239"/>
        <v>Large Order</v>
      </c>
      <c r="P1883" s="7">
        <f t="shared" si="233"/>
        <v>7.3030000000000008</v>
      </c>
      <c r="Q1883" s="7" t="str">
        <f>VLOOKUP(D1884,Product_Lookup!$A$2:$C$27,2,FALSE)</f>
        <v>Air Fryer</v>
      </c>
      <c r="R1883" s="7">
        <f t="shared" si="234"/>
        <v>2483.02</v>
      </c>
    </row>
    <row r="1884" spans="1:18" ht="21.75" customHeight="1">
      <c r="A1884" t="s">
        <v>2035</v>
      </c>
      <c r="B1884" s="6">
        <v>45627</v>
      </c>
      <c r="C1884" t="s">
        <v>317</v>
      </c>
      <c r="D1884" t="s">
        <v>70</v>
      </c>
      <c r="E1884" t="s">
        <v>17</v>
      </c>
      <c r="F1884" t="s">
        <v>42</v>
      </c>
      <c r="G1884" t="s">
        <v>13</v>
      </c>
      <c r="H1884">
        <v>8</v>
      </c>
      <c r="I1884" t="str">
        <f>VLOOKUP(D1884,Product_Lookup!$A$2:$C$27,3,FALSE)</f>
        <v>$211.9</v>
      </c>
      <c r="J1884" t="str">
        <f t="shared" si="235"/>
        <v>Sunday</v>
      </c>
      <c r="K1884" s="10" t="str">
        <f t="shared" si="236"/>
        <v>December</v>
      </c>
      <c r="L1884">
        <f t="shared" si="237"/>
        <v>2024</v>
      </c>
      <c r="M1884" t="b">
        <f t="shared" si="238"/>
        <v>1</v>
      </c>
      <c r="N1884" t="b">
        <f t="shared" si="232"/>
        <v>1</v>
      </c>
      <c r="O1884" t="str">
        <f t="shared" si="239"/>
        <v>Large Order</v>
      </c>
      <c r="P1884" s="7">
        <f t="shared" si="233"/>
        <v>10.595000000000001</v>
      </c>
      <c r="Q1884" s="7" t="str">
        <f>VLOOKUP(D1885,Product_Lookup!$A$2:$C$27,2,FALSE)</f>
        <v>Doll</v>
      </c>
      <c r="R1884" s="7">
        <f t="shared" si="234"/>
        <v>1695.2</v>
      </c>
    </row>
    <row r="1885" spans="1:18" ht="21.75" customHeight="1">
      <c r="A1885" t="s">
        <v>2036</v>
      </c>
      <c r="B1885" s="6">
        <v>45461</v>
      </c>
      <c r="C1885" t="s">
        <v>642</v>
      </c>
      <c r="D1885" t="s">
        <v>119</v>
      </c>
      <c r="E1885" t="s">
        <v>22</v>
      </c>
      <c r="F1885" t="s">
        <v>306</v>
      </c>
      <c r="G1885" t="s">
        <v>23</v>
      </c>
      <c r="H1885">
        <v>12</v>
      </c>
      <c r="I1885" t="str">
        <f>VLOOKUP(D1885,Product_Lookup!$A$2:$C$27,3,FALSE)</f>
        <v>$32.94</v>
      </c>
      <c r="J1885" t="str">
        <f t="shared" si="235"/>
        <v>Tuesday</v>
      </c>
      <c r="K1885" s="10" t="str">
        <f t="shared" si="236"/>
        <v>June</v>
      </c>
      <c r="L1885">
        <f t="shared" si="237"/>
        <v>2024</v>
      </c>
      <c r="M1885" t="b">
        <f t="shared" si="238"/>
        <v>0</v>
      </c>
      <c r="N1885" t="b">
        <f t="shared" si="232"/>
        <v>0</v>
      </c>
      <c r="O1885" t="str">
        <f t="shared" si="239"/>
        <v>Standard order</v>
      </c>
      <c r="P1885" s="7">
        <f t="shared" si="233"/>
        <v>1.647</v>
      </c>
      <c r="Q1885" s="7" t="str">
        <f>VLOOKUP(D1886,Product_Lookup!$A$2:$C$27,2,FALSE)</f>
        <v>Doll</v>
      </c>
      <c r="R1885" s="7">
        <f t="shared" si="234"/>
        <v>395.28</v>
      </c>
    </row>
    <row r="1886" spans="1:18" ht="21.75" customHeight="1">
      <c r="A1886" t="s">
        <v>2037</v>
      </c>
      <c r="B1886" s="6">
        <v>45350</v>
      </c>
      <c r="C1886" t="s">
        <v>108</v>
      </c>
      <c r="D1886" t="s">
        <v>119</v>
      </c>
      <c r="E1886" t="s">
        <v>22</v>
      </c>
      <c r="F1886" t="s">
        <v>56</v>
      </c>
      <c r="G1886" t="s">
        <v>13</v>
      </c>
      <c r="H1886">
        <v>11</v>
      </c>
      <c r="I1886" t="str">
        <f>VLOOKUP(D1886,Product_Lookup!$A$2:$C$27,3,FALSE)</f>
        <v>$32.94</v>
      </c>
      <c r="J1886" t="str">
        <f t="shared" si="235"/>
        <v>Wednesday</v>
      </c>
      <c r="K1886" s="10" t="str">
        <f t="shared" si="236"/>
        <v>February</v>
      </c>
      <c r="L1886">
        <f t="shared" si="237"/>
        <v>2024</v>
      </c>
      <c r="M1886" t="b">
        <f t="shared" si="238"/>
        <v>0</v>
      </c>
      <c r="N1886" t="b">
        <f t="shared" si="232"/>
        <v>0</v>
      </c>
      <c r="O1886" t="str">
        <f t="shared" si="239"/>
        <v>Standard order</v>
      </c>
      <c r="P1886" s="7">
        <f t="shared" si="233"/>
        <v>1.647</v>
      </c>
      <c r="Q1886" s="7" t="str">
        <f>VLOOKUP(D1887,Product_Lookup!$A$2:$C$27,2,FALSE)</f>
        <v>Pen Set</v>
      </c>
      <c r="R1886" s="7">
        <f t="shared" si="234"/>
        <v>362.34</v>
      </c>
    </row>
    <row r="1887" spans="1:18" ht="21.75" customHeight="1">
      <c r="A1887" t="s">
        <v>2038</v>
      </c>
      <c r="B1887" s="6">
        <v>45616</v>
      </c>
      <c r="C1887" t="s">
        <v>61</v>
      </c>
      <c r="D1887" t="s">
        <v>174</v>
      </c>
      <c r="E1887" t="s">
        <v>22</v>
      </c>
      <c r="F1887" t="s">
        <v>42</v>
      </c>
      <c r="G1887" t="s">
        <v>13</v>
      </c>
      <c r="H1887">
        <v>2</v>
      </c>
      <c r="I1887" t="str">
        <f>VLOOKUP(D1887,Product_Lookup!$A$2:$C$27,3,FALSE)</f>
        <v>$133.37</v>
      </c>
      <c r="J1887" t="str">
        <f t="shared" si="235"/>
        <v>Wednesday</v>
      </c>
      <c r="K1887" s="10" t="str">
        <f t="shared" si="236"/>
        <v>November</v>
      </c>
      <c r="L1887">
        <f t="shared" si="237"/>
        <v>2024</v>
      </c>
      <c r="M1887" t="b">
        <f t="shared" si="238"/>
        <v>0</v>
      </c>
      <c r="N1887" t="b">
        <f t="shared" si="232"/>
        <v>0</v>
      </c>
      <c r="O1887" t="str">
        <f t="shared" si="239"/>
        <v>Standard order</v>
      </c>
      <c r="P1887" s="7">
        <f t="shared" si="233"/>
        <v>6.6685000000000008</v>
      </c>
      <c r="Q1887" s="7" t="str">
        <f>VLOOKUP(D1888,Product_Lookup!$A$2:$C$27,2,FALSE)</f>
        <v>Puzzle</v>
      </c>
      <c r="R1887" s="7">
        <f t="shared" si="234"/>
        <v>266.74</v>
      </c>
    </row>
    <row r="1888" spans="1:18" ht="21.75" customHeight="1">
      <c r="A1888" t="s">
        <v>2039</v>
      </c>
      <c r="B1888" s="6">
        <v>45544</v>
      </c>
      <c r="C1888" t="s">
        <v>99</v>
      </c>
      <c r="D1888" t="s">
        <v>62</v>
      </c>
      <c r="E1888" t="s">
        <v>22</v>
      </c>
      <c r="F1888" t="s">
        <v>27</v>
      </c>
      <c r="G1888" t="s">
        <v>13</v>
      </c>
      <c r="H1888">
        <v>9</v>
      </c>
      <c r="I1888" t="str">
        <f>VLOOKUP(D1888,Product_Lookup!$A$2:$C$27,3,FALSE)</f>
        <v>$46.19</v>
      </c>
      <c r="J1888" t="str">
        <f t="shared" si="235"/>
        <v>Monday</v>
      </c>
      <c r="K1888" s="10" t="str">
        <f t="shared" si="236"/>
        <v>September</v>
      </c>
      <c r="L1888">
        <f t="shared" si="237"/>
        <v>2024</v>
      </c>
      <c r="M1888" t="b">
        <f t="shared" si="238"/>
        <v>0</v>
      </c>
      <c r="N1888" t="b">
        <f t="shared" si="232"/>
        <v>0</v>
      </c>
      <c r="O1888" t="str">
        <f t="shared" si="239"/>
        <v>Standard order</v>
      </c>
      <c r="P1888" s="7">
        <f t="shared" si="233"/>
        <v>2.3094999999999999</v>
      </c>
      <c r="Q1888" s="7" t="str">
        <f>VLOOKUP(D1889,Product_Lookup!$A$2:$C$27,2,FALSE)</f>
        <v>Coffee Maker</v>
      </c>
      <c r="R1888" s="7">
        <f t="shared" si="234"/>
        <v>415.71</v>
      </c>
    </row>
    <row r="1889" spans="1:18" ht="21.75" customHeight="1">
      <c r="A1889" t="s">
        <v>2040</v>
      </c>
      <c r="B1889" s="6">
        <v>45388</v>
      </c>
      <c r="C1889" t="s">
        <v>114</v>
      </c>
      <c r="D1889" t="s">
        <v>31</v>
      </c>
      <c r="E1889" t="s">
        <v>11</v>
      </c>
      <c r="F1889" t="s">
        <v>27</v>
      </c>
      <c r="G1889" t="s">
        <v>28</v>
      </c>
      <c r="H1889">
        <v>11</v>
      </c>
      <c r="I1889" t="str">
        <f>VLOOKUP(D1889,Product_Lookup!$A$2:$C$27,3,FALSE)</f>
        <v>$230.34</v>
      </c>
      <c r="J1889" t="str">
        <f t="shared" si="235"/>
        <v>Saturday</v>
      </c>
      <c r="K1889" s="10" t="str">
        <f t="shared" si="236"/>
        <v>April</v>
      </c>
      <c r="L1889">
        <f t="shared" si="237"/>
        <v>2024</v>
      </c>
      <c r="M1889" t="b">
        <f t="shared" si="238"/>
        <v>1</v>
      </c>
      <c r="N1889" t="b">
        <f t="shared" si="232"/>
        <v>1</v>
      </c>
      <c r="O1889" t="str">
        <f t="shared" si="239"/>
        <v>Large Order</v>
      </c>
      <c r="P1889" s="7">
        <f t="shared" si="233"/>
        <v>11.517000000000001</v>
      </c>
      <c r="Q1889" s="7" t="str">
        <f>VLOOKUP(D1890,Product_Lookup!$A$2:$C$27,2,FALSE)</f>
        <v>Action Figure</v>
      </c>
      <c r="R1889" s="7">
        <f t="shared" si="234"/>
        <v>2533.7400000000002</v>
      </c>
    </row>
    <row r="1890" spans="1:18" ht="21.75" customHeight="1">
      <c r="A1890" t="s">
        <v>2041</v>
      </c>
      <c r="B1890" s="6">
        <v>45504</v>
      </c>
      <c r="C1890" t="s">
        <v>116</v>
      </c>
      <c r="D1890" t="s">
        <v>21</v>
      </c>
      <c r="E1890" t="s">
        <v>22</v>
      </c>
      <c r="F1890" t="s">
        <v>306</v>
      </c>
      <c r="G1890" t="s">
        <v>13</v>
      </c>
      <c r="H1890">
        <v>15</v>
      </c>
      <c r="I1890" t="str">
        <f>VLOOKUP(D1890,Product_Lookup!$A$2:$C$27,3,FALSE)</f>
        <v>$88.18</v>
      </c>
      <c r="J1890" t="str">
        <f t="shared" si="235"/>
        <v>Wednesday</v>
      </c>
      <c r="K1890" s="10" t="str">
        <f t="shared" si="236"/>
        <v>July</v>
      </c>
      <c r="L1890">
        <f t="shared" si="237"/>
        <v>2024</v>
      </c>
      <c r="M1890" t="b">
        <f t="shared" si="238"/>
        <v>0</v>
      </c>
      <c r="N1890" t="b">
        <f t="shared" si="232"/>
        <v>1</v>
      </c>
      <c r="O1890" t="str">
        <f t="shared" si="239"/>
        <v>Large Order</v>
      </c>
      <c r="P1890" s="7">
        <f t="shared" si="233"/>
        <v>4.4090000000000007</v>
      </c>
      <c r="Q1890" s="7" t="str">
        <f>VLOOKUP(D1891,Product_Lookup!$A$2:$C$27,2,FALSE)</f>
        <v>Headphones</v>
      </c>
      <c r="R1890" s="7">
        <f t="shared" si="234"/>
        <v>1322.7</v>
      </c>
    </row>
    <row r="1891" spans="1:18" ht="21.75" customHeight="1">
      <c r="A1891" t="s">
        <v>2042</v>
      </c>
      <c r="B1891" s="6">
        <v>45593</v>
      </c>
      <c r="C1891" t="s">
        <v>358</v>
      </c>
      <c r="D1891" t="s">
        <v>16</v>
      </c>
      <c r="E1891" t="s">
        <v>17</v>
      </c>
      <c r="F1891" t="s">
        <v>12</v>
      </c>
      <c r="G1891" t="s">
        <v>36</v>
      </c>
      <c r="H1891">
        <v>2</v>
      </c>
      <c r="I1891" t="str">
        <f>VLOOKUP(D1891,Product_Lookup!$A$2:$C$27,3,FALSE)</f>
        <v>$178.83</v>
      </c>
      <c r="J1891" t="str">
        <f t="shared" si="235"/>
        <v>Monday</v>
      </c>
      <c r="K1891" s="10" t="str">
        <f t="shared" si="236"/>
        <v>October</v>
      </c>
      <c r="L1891">
        <f t="shared" si="237"/>
        <v>2024</v>
      </c>
      <c r="M1891" t="b">
        <f t="shared" si="238"/>
        <v>0</v>
      </c>
      <c r="N1891" t="b">
        <f t="shared" si="232"/>
        <v>0</v>
      </c>
      <c r="O1891" t="str">
        <f t="shared" si="239"/>
        <v>Standard order</v>
      </c>
      <c r="P1891" s="7">
        <f t="shared" si="233"/>
        <v>8.9415000000000013</v>
      </c>
      <c r="Q1891" s="7" t="str">
        <f>VLOOKUP(D1892,Product_Lookup!$A$2:$C$27,2,FALSE)</f>
        <v>Stapler</v>
      </c>
      <c r="R1891" s="7">
        <f t="shared" si="234"/>
        <v>357.66</v>
      </c>
    </row>
    <row r="1892" spans="1:18" ht="21.75" customHeight="1">
      <c r="A1892" t="s">
        <v>2043</v>
      </c>
      <c r="B1892" s="6">
        <v>45513</v>
      </c>
      <c r="C1892" t="s">
        <v>361</v>
      </c>
      <c r="D1892" t="s">
        <v>35</v>
      </c>
      <c r="E1892" t="s">
        <v>22</v>
      </c>
      <c r="F1892" t="s">
        <v>56</v>
      </c>
      <c r="G1892" t="s">
        <v>36</v>
      </c>
      <c r="H1892">
        <v>6</v>
      </c>
      <c r="I1892" t="str">
        <f>VLOOKUP(D1892,Product_Lookup!$A$2:$C$27,3,FALSE)</f>
        <v>$64.61</v>
      </c>
      <c r="J1892" t="str">
        <f t="shared" si="235"/>
        <v>Friday</v>
      </c>
      <c r="K1892" s="10" t="str">
        <f t="shared" si="236"/>
        <v>August</v>
      </c>
      <c r="L1892">
        <f t="shared" si="237"/>
        <v>2024</v>
      </c>
      <c r="M1892" t="b">
        <f t="shared" si="238"/>
        <v>0</v>
      </c>
      <c r="N1892" t="b">
        <f t="shared" si="232"/>
        <v>0</v>
      </c>
      <c r="O1892" t="str">
        <f t="shared" si="239"/>
        <v>Standard order</v>
      </c>
      <c r="P1892" s="7">
        <f t="shared" si="233"/>
        <v>3.2305000000000001</v>
      </c>
      <c r="Q1892" s="7" t="str">
        <f>VLOOKUP(D1893,Product_Lookup!$A$2:$C$27,2,FALSE)</f>
        <v>Coffee Maker</v>
      </c>
      <c r="R1892" s="7">
        <f t="shared" si="234"/>
        <v>387.65999999999997</v>
      </c>
    </row>
    <row r="1893" spans="1:18" ht="21.75" customHeight="1">
      <c r="A1893" t="s">
        <v>2044</v>
      </c>
      <c r="B1893" s="6">
        <v>45357</v>
      </c>
      <c r="C1893" t="s">
        <v>15</v>
      </c>
      <c r="D1893" t="s">
        <v>31</v>
      </c>
      <c r="E1893" t="s">
        <v>22</v>
      </c>
      <c r="F1893" t="s">
        <v>306</v>
      </c>
      <c r="G1893" t="s">
        <v>36</v>
      </c>
      <c r="H1893">
        <v>11</v>
      </c>
      <c r="I1893" t="str">
        <f>VLOOKUP(D1893,Product_Lookup!$A$2:$C$27,3,FALSE)</f>
        <v>$230.34</v>
      </c>
      <c r="J1893" t="str">
        <f t="shared" si="235"/>
        <v>Wednesday</v>
      </c>
      <c r="K1893" s="10" t="str">
        <f t="shared" si="236"/>
        <v>March</v>
      </c>
      <c r="L1893">
        <f t="shared" si="237"/>
        <v>2024</v>
      </c>
      <c r="M1893" t="b">
        <f t="shared" si="238"/>
        <v>0</v>
      </c>
      <c r="N1893" t="b">
        <f t="shared" si="232"/>
        <v>1</v>
      </c>
      <c r="O1893" t="str">
        <f t="shared" si="239"/>
        <v>Large Order</v>
      </c>
      <c r="P1893" s="7">
        <f t="shared" si="233"/>
        <v>11.517000000000001</v>
      </c>
      <c r="Q1893" s="7" t="str">
        <f>VLOOKUP(D1894,Product_Lookup!$A$2:$C$27,2,FALSE)</f>
        <v>Paper Shredder</v>
      </c>
      <c r="R1893" s="7">
        <f t="shared" si="234"/>
        <v>2533.7400000000002</v>
      </c>
    </row>
    <row r="1894" spans="1:18" ht="21.75" customHeight="1">
      <c r="A1894" t="s">
        <v>2045</v>
      </c>
      <c r="B1894" s="6">
        <v>45488</v>
      </c>
      <c r="C1894" t="s">
        <v>572</v>
      </c>
      <c r="D1894" t="s">
        <v>109</v>
      </c>
      <c r="E1894" t="s">
        <v>22</v>
      </c>
      <c r="F1894" t="s">
        <v>56</v>
      </c>
      <c r="G1894" t="s">
        <v>32</v>
      </c>
      <c r="H1894">
        <v>13</v>
      </c>
      <c r="I1894" t="str">
        <f>VLOOKUP(D1894,Product_Lookup!$A$2:$C$27,3,FALSE)</f>
        <v>$81.02</v>
      </c>
      <c r="J1894" t="str">
        <f t="shared" si="235"/>
        <v>Monday</v>
      </c>
      <c r="K1894" s="10" t="str">
        <f t="shared" si="236"/>
        <v>July</v>
      </c>
      <c r="L1894">
        <f t="shared" si="237"/>
        <v>2024</v>
      </c>
      <c r="M1894" t="b">
        <f t="shared" si="238"/>
        <v>0</v>
      </c>
      <c r="N1894" t="b">
        <f t="shared" si="232"/>
        <v>1</v>
      </c>
      <c r="O1894" t="str">
        <f t="shared" si="239"/>
        <v>Large Order</v>
      </c>
      <c r="P1894" s="7">
        <f t="shared" si="233"/>
        <v>4.0510000000000002</v>
      </c>
      <c r="Q1894" s="7" t="str">
        <f>VLOOKUP(D1895,Product_Lookup!$A$2:$C$27,2,FALSE)</f>
        <v>Headphones</v>
      </c>
      <c r="R1894" s="7">
        <f t="shared" si="234"/>
        <v>1053.26</v>
      </c>
    </row>
    <row r="1895" spans="1:18" ht="21.75" customHeight="1">
      <c r="A1895" t="s">
        <v>2046</v>
      </c>
      <c r="B1895" s="6">
        <v>45442</v>
      </c>
      <c r="C1895" t="s">
        <v>430</v>
      </c>
      <c r="D1895" t="s">
        <v>16</v>
      </c>
      <c r="E1895" t="s">
        <v>11</v>
      </c>
      <c r="F1895" t="s">
        <v>27</v>
      </c>
      <c r="G1895" t="s">
        <v>36</v>
      </c>
      <c r="H1895">
        <v>17</v>
      </c>
      <c r="I1895" t="str">
        <f>VLOOKUP(D1895,Product_Lookup!$A$2:$C$27,3,FALSE)</f>
        <v>$178.83</v>
      </c>
      <c r="J1895" t="str">
        <f t="shared" si="235"/>
        <v>Thursday</v>
      </c>
      <c r="K1895" s="10" t="str">
        <f t="shared" si="236"/>
        <v>May</v>
      </c>
      <c r="L1895">
        <f t="shared" si="237"/>
        <v>2024</v>
      </c>
      <c r="M1895" t="b">
        <f t="shared" si="238"/>
        <v>0</v>
      </c>
      <c r="N1895" t="b">
        <f t="shared" si="232"/>
        <v>1</v>
      </c>
      <c r="O1895" t="str">
        <f t="shared" si="239"/>
        <v>Large Order</v>
      </c>
      <c r="P1895" s="7">
        <f t="shared" si="233"/>
        <v>8.9415000000000013</v>
      </c>
      <c r="Q1895" s="7" t="str">
        <f>VLOOKUP(D1896,Product_Lookup!$A$2:$C$27,2,FALSE)</f>
        <v>Blender</v>
      </c>
      <c r="R1895" s="7">
        <f t="shared" si="234"/>
        <v>3040.11</v>
      </c>
    </row>
    <row r="1896" spans="1:18" ht="21.75" customHeight="1">
      <c r="A1896" t="s">
        <v>2047</v>
      </c>
      <c r="B1896" s="6">
        <v>45651</v>
      </c>
      <c r="C1896" t="s">
        <v>378</v>
      </c>
      <c r="D1896" t="s">
        <v>72</v>
      </c>
      <c r="E1896" t="s">
        <v>22</v>
      </c>
      <c r="F1896" t="s">
        <v>306</v>
      </c>
      <c r="G1896" t="s">
        <v>28</v>
      </c>
      <c r="H1896">
        <v>7</v>
      </c>
      <c r="I1896" t="str">
        <f>VLOOKUP(D1896,Product_Lookup!$A$2:$C$27,3,FALSE)</f>
        <v>$156.44</v>
      </c>
      <c r="J1896" t="str">
        <f t="shared" si="235"/>
        <v>Wednesday</v>
      </c>
      <c r="K1896" s="10" t="str">
        <f t="shared" si="236"/>
        <v>December</v>
      </c>
      <c r="L1896">
        <f t="shared" si="237"/>
        <v>2024</v>
      </c>
      <c r="M1896" t="b">
        <f t="shared" si="238"/>
        <v>0</v>
      </c>
      <c r="N1896" t="b">
        <f t="shared" si="232"/>
        <v>1</v>
      </c>
      <c r="O1896" t="str">
        <f t="shared" si="239"/>
        <v>Large Order</v>
      </c>
      <c r="P1896" s="7">
        <f t="shared" si="233"/>
        <v>7.8220000000000001</v>
      </c>
      <c r="Q1896" s="7" t="str">
        <f>VLOOKUP(D1897,Product_Lookup!$A$2:$C$27,2,FALSE)</f>
        <v>Toaster</v>
      </c>
      <c r="R1896" s="7">
        <f t="shared" si="234"/>
        <v>1095.08</v>
      </c>
    </row>
    <row r="1897" spans="1:18" ht="21.75" customHeight="1">
      <c r="A1897" t="s">
        <v>2048</v>
      </c>
      <c r="B1897" s="6">
        <v>45440</v>
      </c>
      <c r="C1897" t="s">
        <v>455</v>
      </c>
      <c r="D1897" t="s">
        <v>48</v>
      </c>
      <c r="E1897" t="s">
        <v>22</v>
      </c>
      <c r="F1897" t="s">
        <v>56</v>
      </c>
      <c r="G1897" t="s">
        <v>28</v>
      </c>
      <c r="H1897">
        <v>17</v>
      </c>
      <c r="I1897" t="str">
        <f>VLOOKUP(D1897,Product_Lookup!$A$2:$C$27,3,FALSE)</f>
        <v>$208.85</v>
      </c>
      <c r="J1897" t="str">
        <f t="shared" si="235"/>
        <v>Tuesday</v>
      </c>
      <c r="K1897" s="10" t="str">
        <f t="shared" si="236"/>
        <v>May</v>
      </c>
      <c r="L1897">
        <f t="shared" si="237"/>
        <v>2024</v>
      </c>
      <c r="M1897" t="b">
        <f t="shared" si="238"/>
        <v>0</v>
      </c>
      <c r="N1897" t="b">
        <f t="shared" si="232"/>
        <v>1</v>
      </c>
      <c r="O1897" t="str">
        <f t="shared" si="239"/>
        <v>Large Order</v>
      </c>
      <c r="P1897" s="7">
        <f t="shared" si="233"/>
        <v>10.442500000000001</v>
      </c>
      <c r="Q1897" s="7" t="str">
        <f>VLOOKUP(D1898,Product_Lookup!$A$2:$C$27,2,FALSE)</f>
        <v>Puzzle</v>
      </c>
      <c r="R1897" s="7">
        <f t="shared" si="234"/>
        <v>3550.45</v>
      </c>
    </row>
    <row r="1898" spans="1:18" ht="21.75" customHeight="1">
      <c r="A1898" t="s">
        <v>2049</v>
      </c>
      <c r="B1898" s="6">
        <v>45618</v>
      </c>
      <c r="C1898" t="s">
        <v>187</v>
      </c>
      <c r="D1898" t="s">
        <v>62</v>
      </c>
      <c r="E1898" t="s">
        <v>11</v>
      </c>
      <c r="F1898" t="s">
        <v>42</v>
      </c>
      <c r="G1898" t="s">
        <v>36</v>
      </c>
      <c r="H1898">
        <v>16</v>
      </c>
      <c r="I1898" t="str">
        <f>VLOOKUP(D1898,Product_Lookup!$A$2:$C$27,3,FALSE)</f>
        <v>$46.19</v>
      </c>
      <c r="J1898" t="str">
        <f t="shared" si="235"/>
        <v>Friday</v>
      </c>
      <c r="K1898" s="10" t="str">
        <f t="shared" si="236"/>
        <v>November</v>
      </c>
      <c r="L1898">
        <f t="shared" si="237"/>
        <v>2024</v>
      </c>
      <c r="M1898" t="b">
        <f t="shared" si="238"/>
        <v>0</v>
      </c>
      <c r="N1898" t="b">
        <f t="shared" si="232"/>
        <v>0</v>
      </c>
      <c r="O1898" t="str">
        <f t="shared" si="239"/>
        <v>Large Order</v>
      </c>
      <c r="P1898" s="7">
        <f t="shared" si="233"/>
        <v>2.3094999999999999</v>
      </c>
      <c r="Q1898" s="7" t="str">
        <f>VLOOKUP(D1899,Product_Lookup!$A$2:$C$27,2,FALSE)</f>
        <v>Vacuum</v>
      </c>
      <c r="R1898" s="7">
        <f t="shared" si="234"/>
        <v>739.04</v>
      </c>
    </row>
    <row r="1899" spans="1:18" ht="21.75" customHeight="1">
      <c r="A1899" t="s">
        <v>2050</v>
      </c>
      <c r="B1899" s="6">
        <v>45633</v>
      </c>
      <c r="C1899" t="s">
        <v>369</v>
      </c>
      <c r="D1899" t="s">
        <v>87</v>
      </c>
      <c r="E1899" t="s">
        <v>22</v>
      </c>
      <c r="F1899" t="s">
        <v>306</v>
      </c>
      <c r="G1899" t="s">
        <v>32</v>
      </c>
      <c r="H1899">
        <v>14</v>
      </c>
      <c r="I1899" t="str">
        <f>VLOOKUP(D1899,Product_Lookup!$A$2:$C$27,3,FALSE)</f>
        <v>$26.59</v>
      </c>
      <c r="J1899" t="str">
        <f t="shared" si="235"/>
        <v>Saturday</v>
      </c>
      <c r="K1899" s="10" t="str">
        <f t="shared" si="236"/>
        <v>December</v>
      </c>
      <c r="L1899">
        <f t="shared" si="237"/>
        <v>2024</v>
      </c>
      <c r="M1899" t="b">
        <f t="shared" si="238"/>
        <v>1</v>
      </c>
      <c r="N1899" t="b">
        <f t="shared" si="232"/>
        <v>0</v>
      </c>
      <c r="O1899" t="str">
        <f t="shared" si="239"/>
        <v>Standard order</v>
      </c>
      <c r="P1899" s="7">
        <f t="shared" si="233"/>
        <v>1.3295000000000001</v>
      </c>
      <c r="Q1899" s="7" t="str">
        <f>VLOOKUP(D1900,Product_Lookup!$A$2:$C$27,2,FALSE)</f>
        <v>Laptop</v>
      </c>
      <c r="R1899" s="7">
        <f t="shared" si="234"/>
        <v>372.26</v>
      </c>
    </row>
    <row r="1900" spans="1:18" ht="21.75" customHeight="1">
      <c r="A1900" t="s">
        <v>2051</v>
      </c>
      <c r="B1900" s="6">
        <v>45559</v>
      </c>
      <c r="C1900" t="s">
        <v>15</v>
      </c>
      <c r="D1900" t="s">
        <v>96</v>
      </c>
      <c r="E1900" t="s">
        <v>17</v>
      </c>
      <c r="F1900" t="s">
        <v>56</v>
      </c>
      <c r="G1900" t="s">
        <v>13</v>
      </c>
      <c r="H1900">
        <v>2</v>
      </c>
      <c r="I1900" t="str">
        <f>VLOOKUP(D1900,Product_Lookup!$A$2:$C$27,3,FALSE)</f>
        <v>$230.68</v>
      </c>
      <c r="J1900" t="str">
        <f t="shared" si="235"/>
        <v>Tuesday</v>
      </c>
      <c r="K1900" s="10" t="str">
        <f t="shared" si="236"/>
        <v>September</v>
      </c>
      <c r="L1900">
        <f t="shared" si="237"/>
        <v>2024</v>
      </c>
      <c r="M1900" t="b">
        <f t="shared" si="238"/>
        <v>0</v>
      </c>
      <c r="N1900" t="b">
        <f t="shared" si="232"/>
        <v>0</v>
      </c>
      <c r="O1900" t="str">
        <f t="shared" si="239"/>
        <v>Standard order</v>
      </c>
      <c r="P1900" s="7">
        <f t="shared" si="233"/>
        <v>11.534000000000001</v>
      </c>
      <c r="Q1900" s="7" t="str">
        <f>VLOOKUP(D1901,Product_Lookup!$A$2:$C$27,2,FALSE)</f>
        <v>Board Game</v>
      </c>
      <c r="R1900" s="7">
        <f t="shared" si="234"/>
        <v>461.36</v>
      </c>
    </row>
    <row r="1901" spans="1:18" ht="21.75" customHeight="1">
      <c r="A1901" t="s">
        <v>2052</v>
      </c>
      <c r="B1901" s="6">
        <v>45374</v>
      </c>
      <c r="C1901" t="s">
        <v>55</v>
      </c>
      <c r="D1901" t="s">
        <v>41</v>
      </c>
      <c r="E1901" t="s">
        <v>17</v>
      </c>
      <c r="F1901" t="s">
        <v>56</v>
      </c>
      <c r="G1901" t="s">
        <v>13</v>
      </c>
      <c r="H1901">
        <v>10</v>
      </c>
      <c r="I1901" t="str">
        <f>VLOOKUP(D1901,Product_Lookup!$A$2:$C$27,3,FALSE)</f>
        <v>$86.6</v>
      </c>
      <c r="J1901" t="str">
        <f t="shared" si="235"/>
        <v>Saturday</v>
      </c>
      <c r="K1901" s="10" t="str">
        <f t="shared" si="236"/>
        <v>March</v>
      </c>
      <c r="L1901">
        <f t="shared" si="237"/>
        <v>2024</v>
      </c>
      <c r="M1901" t="b">
        <f t="shared" si="238"/>
        <v>1</v>
      </c>
      <c r="N1901" t="b">
        <f t="shared" si="232"/>
        <v>1</v>
      </c>
      <c r="O1901" t="str">
        <f t="shared" si="239"/>
        <v>Large Order</v>
      </c>
      <c r="P1901" s="7">
        <f t="shared" si="233"/>
        <v>4.33</v>
      </c>
      <c r="Q1901" s="7" t="str">
        <f>VLOOKUP(D1902,Product_Lookup!$A$2:$C$27,2,FALSE)</f>
        <v>Toaster</v>
      </c>
      <c r="R1901" s="7">
        <f t="shared" si="234"/>
        <v>866</v>
      </c>
    </row>
    <row r="1902" spans="1:18" ht="21.75" customHeight="1">
      <c r="A1902" t="s">
        <v>2053</v>
      </c>
      <c r="B1902" s="6">
        <v>45569</v>
      </c>
      <c r="C1902" t="s">
        <v>122</v>
      </c>
      <c r="D1902" t="s">
        <v>48</v>
      </c>
      <c r="E1902" t="s">
        <v>17</v>
      </c>
      <c r="F1902" t="s">
        <v>12</v>
      </c>
      <c r="G1902" t="s">
        <v>36</v>
      </c>
      <c r="H1902">
        <v>18</v>
      </c>
      <c r="I1902" t="str">
        <f>VLOOKUP(D1902,Product_Lookup!$A$2:$C$27,3,FALSE)</f>
        <v>$208.85</v>
      </c>
      <c r="J1902" t="str">
        <f t="shared" si="235"/>
        <v>Friday</v>
      </c>
      <c r="K1902" s="10" t="str">
        <f t="shared" si="236"/>
        <v>October</v>
      </c>
      <c r="L1902">
        <f t="shared" si="237"/>
        <v>2024</v>
      </c>
      <c r="M1902" t="b">
        <f t="shared" si="238"/>
        <v>0</v>
      </c>
      <c r="N1902" t="b">
        <f t="shared" si="232"/>
        <v>1</v>
      </c>
      <c r="O1902" t="str">
        <f t="shared" si="239"/>
        <v>Large Order</v>
      </c>
      <c r="P1902" s="7">
        <f t="shared" si="233"/>
        <v>10.442500000000001</v>
      </c>
      <c r="Q1902" s="7" t="str">
        <f>VLOOKUP(D1903,Product_Lookup!$A$2:$C$27,2,FALSE)</f>
        <v>Coffee Maker</v>
      </c>
      <c r="R1902" s="7">
        <f t="shared" si="234"/>
        <v>3759.2999999999997</v>
      </c>
    </row>
    <row r="1903" spans="1:18" ht="21.75" customHeight="1">
      <c r="A1903" t="s">
        <v>2054</v>
      </c>
      <c r="B1903" s="6">
        <v>45623</v>
      </c>
      <c r="C1903" t="s">
        <v>642</v>
      </c>
      <c r="D1903" t="s">
        <v>31</v>
      </c>
      <c r="E1903" t="s">
        <v>11</v>
      </c>
      <c r="F1903" t="s">
        <v>306</v>
      </c>
      <c r="G1903" t="s">
        <v>32</v>
      </c>
      <c r="H1903">
        <v>2</v>
      </c>
      <c r="I1903" t="str">
        <f>VLOOKUP(D1903,Product_Lookup!$A$2:$C$27,3,FALSE)</f>
        <v>$230.34</v>
      </c>
      <c r="J1903" t="str">
        <f t="shared" si="235"/>
        <v>Wednesday</v>
      </c>
      <c r="K1903" s="10" t="str">
        <f t="shared" si="236"/>
        <v>November</v>
      </c>
      <c r="L1903">
        <f t="shared" si="237"/>
        <v>2024</v>
      </c>
      <c r="M1903" t="b">
        <f t="shared" si="238"/>
        <v>0</v>
      </c>
      <c r="N1903" t="b">
        <f t="shared" si="232"/>
        <v>0</v>
      </c>
      <c r="O1903" t="str">
        <f t="shared" si="239"/>
        <v>Standard order</v>
      </c>
      <c r="P1903" s="7">
        <f t="shared" si="233"/>
        <v>11.517000000000001</v>
      </c>
      <c r="Q1903" s="7" t="str">
        <f>VLOOKUP(D1904,Product_Lookup!$A$2:$C$27,2,FALSE)</f>
        <v>Board Game</v>
      </c>
      <c r="R1903" s="7">
        <f t="shared" si="234"/>
        <v>460.68</v>
      </c>
    </row>
    <row r="1904" spans="1:18" ht="21.75" customHeight="1">
      <c r="A1904" t="s">
        <v>2055</v>
      </c>
      <c r="B1904" s="6">
        <v>45490</v>
      </c>
      <c r="C1904" t="s">
        <v>572</v>
      </c>
      <c r="D1904" t="s">
        <v>41</v>
      </c>
      <c r="E1904" t="s">
        <v>17</v>
      </c>
      <c r="F1904" t="s">
        <v>306</v>
      </c>
      <c r="G1904" t="s">
        <v>13</v>
      </c>
      <c r="H1904">
        <v>1</v>
      </c>
      <c r="I1904" t="str">
        <f>VLOOKUP(D1904,Product_Lookup!$A$2:$C$27,3,FALSE)</f>
        <v>$86.6</v>
      </c>
      <c r="J1904" t="str">
        <f t="shared" si="235"/>
        <v>Wednesday</v>
      </c>
      <c r="K1904" s="10" t="str">
        <f t="shared" si="236"/>
        <v>July</v>
      </c>
      <c r="L1904">
        <f t="shared" si="237"/>
        <v>2024</v>
      </c>
      <c r="M1904" t="b">
        <f t="shared" si="238"/>
        <v>0</v>
      </c>
      <c r="N1904" t="b">
        <f t="shared" si="232"/>
        <v>0</v>
      </c>
      <c r="O1904" t="str">
        <f t="shared" si="239"/>
        <v>Standard order</v>
      </c>
      <c r="P1904" s="7">
        <f t="shared" si="233"/>
        <v>4.33</v>
      </c>
      <c r="Q1904" s="7" t="str">
        <f>VLOOKUP(D1905,Product_Lookup!$A$2:$C$27,2,FALSE)</f>
        <v>Doll</v>
      </c>
      <c r="R1904" s="7">
        <f t="shared" si="234"/>
        <v>86.6</v>
      </c>
    </row>
    <row r="1905" spans="1:18" ht="21.75" customHeight="1">
      <c r="A1905" t="s">
        <v>2056</v>
      </c>
      <c r="B1905" s="6">
        <v>45395</v>
      </c>
      <c r="C1905" t="s">
        <v>381</v>
      </c>
      <c r="D1905" t="s">
        <v>119</v>
      </c>
      <c r="E1905" t="s">
        <v>17</v>
      </c>
      <c r="F1905" t="s">
        <v>56</v>
      </c>
      <c r="G1905" t="s">
        <v>32</v>
      </c>
      <c r="H1905">
        <v>19</v>
      </c>
      <c r="I1905" t="str">
        <f>VLOOKUP(D1905,Product_Lookup!$A$2:$C$27,3,FALSE)</f>
        <v>$32.94</v>
      </c>
      <c r="J1905" t="str">
        <f t="shared" si="235"/>
        <v>Saturday</v>
      </c>
      <c r="K1905" s="10" t="str">
        <f t="shared" si="236"/>
        <v>April</v>
      </c>
      <c r="L1905">
        <f t="shared" si="237"/>
        <v>2024</v>
      </c>
      <c r="M1905" t="b">
        <f t="shared" si="238"/>
        <v>1</v>
      </c>
      <c r="N1905" t="b">
        <f t="shared" si="232"/>
        <v>0</v>
      </c>
      <c r="O1905" t="str">
        <f t="shared" si="239"/>
        <v>Large Order</v>
      </c>
      <c r="P1905" s="7">
        <f t="shared" si="233"/>
        <v>1.647</v>
      </c>
      <c r="Q1905" s="7" t="str">
        <f>VLOOKUP(D1906,Product_Lookup!$A$2:$C$27,2,FALSE)</f>
        <v>Doll</v>
      </c>
      <c r="R1905" s="7">
        <f t="shared" si="234"/>
        <v>625.8599999999999</v>
      </c>
    </row>
    <row r="1906" spans="1:18" ht="21.75" customHeight="1">
      <c r="A1906" t="s">
        <v>2057</v>
      </c>
      <c r="B1906" s="6">
        <v>45600</v>
      </c>
      <c r="C1906" t="s">
        <v>104</v>
      </c>
      <c r="D1906" t="s">
        <v>119</v>
      </c>
      <c r="E1906" t="s">
        <v>22</v>
      </c>
      <c r="F1906" t="s">
        <v>56</v>
      </c>
      <c r="G1906" t="s">
        <v>32</v>
      </c>
      <c r="H1906">
        <v>15</v>
      </c>
      <c r="I1906" t="str">
        <f>VLOOKUP(D1906,Product_Lookup!$A$2:$C$27,3,FALSE)</f>
        <v>$32.94</v>
      </c>
      <c r="J1906" t="str">
        <f t="shared" si="235"/>
        <v>Monday</v>
      </c>
      <c r="K1906" s="10" t="str">
        <f t="shared" si="236"/>
        <v>November</v>
      </c>
      <c r="L1906">
        <f t="shared" si="237"/>
        <v>2024</v>
      </c>
      <c r="M1906" t="b">
        <f t="shared" si="238"/>
        <v>0</v>
      </c>
      <c r="N1906" t="b">
        <f t="shared" si="232"/>
        <v>0</v>
      </c>
      <c r="O1906" t="str">
        <f t="shared" si="239"/>
        <v>Standard order</v>
      </c>
      <c r="P1906" s="7">
        <f t="shared" si="233"/>
        <v>1.647</v>
      </c>
      <c r="Q1906" s="7" t="str">
        <f>VLOOKUP(D1907,Product_Lookup!$A$2:$C$27,2,FALSE)</f>
        <v>T-Shirt</v>
      </c>
      <c r="R1906" s="7">
        <f t="shared" si="234"/>
        <v>494.09999999999997</v>
      </c>
    </row>
    <row r="1907" spans="1:18" ht="21.75" customHeight="1">
      <c r="A1907" t="s">
        <v>2058</v>
      </c>
      <c r="B1907" s="6">
        <v>45641</v>
      </c>
      <c r="C1907" t="s">
        <v>208</v>
      </c>
      <c r="D1907" t="s">
        <v>45</v>
      </c>
      <c r="E1907" t="s">
        <v>11</v>
      </c>
      <c r="F1907" t="s">
        <v>306</v>
      </c>
      <c r="G1907" t="s">
        <v>13</v>
      </c>
      <c r="H1907">
        <v>13</v>
      </c>
      <c r="I1907" t="str">
        <f>VLOOKUP(D1907,Product_Lookup!$A$2:$C$27,3,FALSE)</f>
        <v>$107.34</v>
      </c>
      <c r="J1907" t="str">
        <f t="shared" si="235"/>
        <v>Sunday</v>
      </c>
      <c r="K1907" s="10" t="str">
        <f t="shared" si="236"/>
        <v>December</v>
      </c>
      <c r="L1907">
        <f t="shared" si="237"/>
        <v>2024</v>
      </c>
      <c r="M1907" t="b">
        <f t="shared" si="238"/>
        <v>1</v>
      </c>
      <c r="N1907" t="b">
        <f t="shared" si="232"/>
        <v>1</v>
      </c>
      <c r="O1907" t="str">
        <f t="shared" si="239"/>
        <v>Large Order</v>
      </c>
      <c r="P1907" s="7">
        <f t="shared" si="233"/>
        <v>5.3670000000000009</v>
      </c>
      <c r="Q1907" s="7" t="str">
        <f>VLOOKUP(D1908,Product_Lookup!$A$2:$C$27,2,FALSE)</f>
        <v>Sweater</v>
      </c>
      <c r="R1907" s="7">
        <f t="shared" si="234"/>
        <v>1395.42</v>
      </c>
    </row>
    <row r="1908" spans="1:18" ht="21.75" customHeight="1">
      <c r="A1908" t="s">
        <v>2059</v>
      </c>
      <c r="B1908" s="6">
        <v>45434</v>
      </c>
      <c r="C1908" t="s">
        <v>642</v>
      </c>
      <c r="D1908" t="s">
        <v>26</v>
      </c>
      <c r="E1908" t="s">
        <v>11</v>
      </c>
      <c r="F1908" t="s">
        <v>56</v>
      </c>
      <c r="G1908" t="s">
        <v>36</v>
      </c>
      <c r="H1908">
        <v>9</v>
      </c>
      <c r="I1908" t="str">
        <f>VLOOKUP(D1908,Product_Lookup!$A$2:$C$27,3,FALSE)</f>
        <v>$84.57</v>
      </c>
      <c r="J1908" t="str">
        <f t="shared" si="235"/>
        <v>Wednesday</v>
      </c>
      <c r="K1908" s="10" t="str">
        <f t="shared" si="236"/>
        <v>May</v>
      </c>
      <c r="L1908">
        <f t="shared" si="237"/>
        <v>2024</v>
      </c>
      <c r="M1908" t="b">
        <f t="shared" si="238"/>
        <v>0</v>
      </c>
      <c r="N1908" t="b">
        <f t="shared" si="232"/>
        <v>1</v>
      </c>
      <c r="O1908" t="str">
        <f t="shared" si="239"/>
        <v>Large Order</v>
      </c>
      <c r="P1908" s="7">
        <f t="shared" si="233"/>
        <v>4.2284999999999995</v>
      </c>
      <c r="Q1908" s="7" t="str">
        <f>VLOOKUP(D1909,Product_Lookup!$A$2:$C$27,2,FALSE)</f>
        <v>Headphones</v>
      </c>
      <c r="R1908" s="7">
        <f t="shared" si="234"/>
        <v>761.12999999999988</v>
      </c>
    </row>
    <row r="1909" spans="1:18" ht="21.75" customHeight="1">
      <c r="A1909" t="s">
        <v>2060</v>
      </c>
      <c r="B1909" s="6">
        <v>45530</v>
      </c>
      <c r="C1909" t="s">
        <v>369</v>
      </c>
      <c r="D1909" t="s">
        <v>16</v>
      </c>
      <c r="E1909" t="s">
        <v>11</v>
      </c>
      <c r="F1909" t="s">
        <v>56</v>
      </c>
      <c r="G1909" t="s">
        <v>32</v>
      </c>
      <c r="H1909">
        <v>20</v>
      </c>
      <c r="I1909" t="str">
        <f>VLOOKUP(D1909,Product_Lookup!$A$2:$C$27,3,FALSE)</f>
        <v>$178.83</v>
      </c>
      <c r="J1909" t="str">
        <f t="shared" si="235"/>
        <v>Monday</v>
      </c>
      <c r="K1909" s="10" t="str">
        <f t="shared" si="236"/>
        <v>August</v>
      </c>
      <c r="L1909">
        <f t="shared" si="237"/>
        <v>2024</v>
      </c>
      <c r="M1909" t="b">
        <f t="shared" si="238"/>
        <v>0</v>
      </c>
      <c r="N1909" t="b">
        <f t="shared" si="232"/>
        <v>1</v>
      </c>
      <c r="O1909" t="str">
        <f t="shared" si="239"/>
        <v>Large Order</v>
      </c>
      <c r="P1909" s="7">
        <f t="shared" si="233"/>
        <v>8.9415000000000013</v>
      </c>
      <c r="Q1909" s="7" t="str">
        <f>VLOOKUP(D1910,Product_Lookup!$A$2:$C$27,2,FALSE)</f>
        <v>Board Game</v>
      </c>
      <c r="R1909" s="7">
        <f t="shared" si="234"/>
        <v>3576.6000000000004</v>
      </c>
    </row>
    <row r="1910" spans="1:18" ht="21.75" customHeight="1">
      <c r="A1910" t="s">
        <v>2061</v>
      </c>
      <c r="B1910" s="6">
        <v>45612</v>
      </c>
      <c r="C1910" t="s">
        <v>594</v>
      </c>
      <c r="D1910" t="s">
        <v>41</v>
      </c>
      <c r="E1910" t="s">
        <v>17</v>
      </c>
      <c r="F1910" t="s">
        <v>27</v>
      </c>
      <c r="G1910" t="s">
        <v>36</v>
      </c>
      <c r="H1910">
        <v>18</v>
      </c>
      <c r="I1910" t="str">
        <f>VLOOKUP(D1910,Product_Lookup!$A$2:$C$27,3,FALSE)</f>
        <v>$86.6</v>
      </c>
      <c r="J1910" t="str">
        <f t="shared" si="235"/>
        <v>Saturday</v>
      </c>
      <c r="K1910" s="10" t="str">
        <f t="shared" si="236"/>
        <v>November</v>
      </c>
      <c r="L1910">
        <f t="shared" si="237"/>
        <v>2024</v>
      </c>
      <c r="M1910" t="b">
        <f t="shared" si="238"/>
        <v>1</v>
      </c>
      <c r="N1910" t="b">
        <f t="shared" si="232"/>
        <v>1</v>
      </c>
      <c r="O1910" t="str">
        <f t="shared" si="239"/>
        <v>Large Order</v>
      </c>
      <c r="P1910" s="7">
        <f t="shared" si="233"/>
        <v>4.33</v>
      </c>
      <c r="Q1910" s="7" t="str">
        <f>VLOOKUP(D1911,Product_Lookup!$A$2:$C$27,2,FALSE)</f>
        <v>Notebook</v>
      </c>
      <c r="R1910" s="7">
        <f t="shared" si="234"/>
        <v>1558.8</v>
      </c>
    </row>
    <row r="1911" spans="1:18" ht="21.75" customHeight="1">
      <c r="A1911" t="s">
        <v>2062</v>
      </c>
      <c r="B1911" s="6">
        <v>45654</v>
      </c>
      <c r="C1911" t="s">
        <v>38</v>
      </c>
      <c r="D1911" t="s">
        <v>160</v>
      </c>
      <c r="E1911" t="s">
        <v>11</v>
      </c>
      <c r="F1911" t="s">
        <v>56</v>
      </c>
      <c r="G1911" t="s">
        <v>36</v>
      </c>
      <c r="H1911">
        <v>3</v>
      </c>
      <c r="I1911" t="str">
        <f>VLOOKUP(D1911,Product_Lookup!$A$2:$C$27,3,FALSE)</f>
        <v>$149.27</v>
      </c>
      <c r="J1911" t="str">
        <f t="shared" si="235"/>
        <v>Saturday</v>
      </c>
      <c r="K1911" s="10" t="str">
        <f t="shared" si="236"/>
        <v>December</v>
      </c>
      <c r="L1911">
        <f t="shared" si="237"/>
        <v>2024</v>
      </c>
      <c r="M1911" t="b">
        <f t="shared" si="238"/>
        <v>1</v>
      </c>
      <c r="N1911" t="b">
        <f t="shared" si="232"/>
        <v>0</v>
      </c>
      <c r="O1911" t="str">
        <f t="shared" si="239"/>
        <v>Standard order</v>
      </c>
      <c r="P1911" s="7">
        <f t="shared" si="233"/>
        <v>7.4635000000000007</v>
      </c>
      <c r="Q1911" s="7" t="str">
        <f>VLOOKUP(D1912,Product_Lookup!$A$2:$C$27,2,FALSE)</f>
        <v>Pen Set</v>
      </c>
      <c r="R1911" s="7">
        <f t="shared" si="234"/>
        <v>447.81000000000006</v>
      </c>
    </row>
    <row r="1912" spans="1:18" ht="21.75" customHeight="1">
      <c r="A1912" t="s">
        <v>2063</v>
      </c>
      <c r="B1912" s="6">
        <v>45373</v>
      </c>
      <c r="C1912" t="s">
        <v>572</v>
      </c>
      <c r="D1912" t="s">
        <v>174</v>
      </c>
      <c r="E1912" t="s">
        <v>22</v>
      </c>
      <c r="F1912" t="s">
        <v>27</v>
      </c>
      <c r="G1912" t="s">
        <v>13</v>
      </c>
      <c r="H1912">
        <v>12</v>
      </c>
      <c r="I1912" t="str">
        <f>VLOOKUP(D1912,Product_Lookup!$A$2:$C$27,3,FALSE)</f>
        <v>$133.37</v>
      </c>
      <c r="J1912" t="str">
        <f t="shared" si="235"/>
        <v>Friday</v>
      </c>
      <c r="K1912" s="10" t="str">
        <f t="shared" si="236"/>
        <v>March</v>
      </c>
      <c r="L1912">
        <f t="shared" si="237"/>
        <v>2024</v>
      </c>
      <c r="M1912" t="b">
        <f t="shared" si="238"/>
        <v>0</v>
      </c>
      <c r="N1912" t="b">
        <f t="shared" si="232"/>
        <v>1</v>
      </c>
      <c r="O1912" t="str">
        <f t="shared" si="239"/>
        <v>Large Order</v>
      </c>
      <c r="P1912" s="7">
        <f t="shared" si="233"/>
        <v>6.6685000000000008</v>
      </c>
      <c r="Q1912" s="7" t="str">
        <f>VLOOKUP(D1913,Product_Lookup!$A$2:$C$27,2,FALSE)</f>
        <v>Blender</v>
      </c>
      <c r="R1912" s="7">
        <f t="shared" si="234"/>
        <v>1600.44</v>
      </c>
    </row>
    <row r="1913" spans="1:18" ht="21.75" customHeight="1">
      <c r="A1913" t="s">
        <v>2064</v>
      </c>
      <c r="B1913" s="6">
        <v>45401</v>
      </c>
      <c r="C1913" t="s">
        <v>371</v>
      </c>
      <c r="D1913" t="s">
        <v>72</v>
      </c>
      <c r="E1913" t="s">
        <v>17</v>
      </c>
      <c r="F1913" t="s">
        <v>42</v>
      </c>
      <c r="G1913" t="s">
        <v>32</v>
      </c>
      <c r="H1913">
        <v>7</v>
      </c>
      <c r="I1913" t="str">
        <f>VLOOKUP(D1913,Product_Lookup!$A$2:$C$27,3,FALSE)</f>
        <v>$156.44</v>
      </c>
      <c r="J1913" t="str">
        <f t="shared" si="235"/>
        <v>Friday</v>
      </c>
      <c r="K1913" s="10" t="str">
        <f t="shared" si="236"/>
        <v>April</v>
      </c>
      <c r="L1913">
        <f t="shared" si="237"/>
        <v>2024</v>
      </c>
      <c r="M1913" t="b">
        <f t="shared" si="238"/>
        <v>0</v>
      </c>
      <c r="N1913" t="b">
        <f t="shared" si="232"/>
        <v>1</v>
      </c>
      <c r="O1913" t="str">
        <f t="shared" si="239"/>
        <v>Large Order</v>
      </c>
      <c r="P1913" s="7">
        <f t="shared" si="233"/>
        <v>7.8220000000000001</v>
      </c>
      <c r="Q1913" s="7" t="str">
        <f>VLOOKUP(D1914,Product_Lookup!$A$2:$C$27,2,FALSE)</f>
        <v>Stapler</v>
      </c>
      <c r="R1913" s="7">
        <f t="shared" si="234"/>
        <v>1095.08</v>
      </c>
    </row>
    <row r="1914" spans="1:18" ht="21.75" customHeight="1">
      <c r="A1914" t="s">
        <v>2065</v>
      </c>
      <c r="B1914" s="6">
        <v>45608</v>
      </c>
      <c r="C1914" t="s">
        <v>339</v>
      </c>
      <c r="D1914" t="s">
        <v>35</v>
      </c>
      <c r="E1914" t="s">
        <v>22</v>
      </c>
      <c r="F1914" t="s">
        <v>12</v>
      </c>
      <c r="G1914" t="s">
        <v>13</v>
      </c>
      <c r="H1914">
        <v>12</v>
      </c>
      <c r="I1914" t="str">
        <f>VLOOKUP(D1914,Product_Lookup!$A$2:$C$27,3,FALSE)</f>
        <v>$64.61</v>
      </c>
      <c r="J1914" t="str">
        <f t="shared" si="235"/>
        <v>Tuesday</v>
      </c>
      <c r="K1914" s="10" t="str">
        <f t="shared" si="236"/>
        <v>November</v>
      </c>
      <c r="L1914">
        <f t="shared" si="237"/>
        <v>2024</v>
      </c>
      <c r="M1914" t="b">
        <f t="shared" si="238"/>
        <v>0</v>
      </c>
      <c r="N1914" t="b">
        <f t="shared" si="232"/>
        <v>1</v>
      </c>
      <c r="O1914" t="str">
        <f t="shared" si="239"/>
        <v>Large Order</v>
      </c>
      <c r="P1914" s="7">
        <f t="shared" si="233"/>
        <v>3.2305000000000001</v>
      </c>
      <c r="Q1914" s="7" t="str">
        <f>VLOOKUP(D1915,Product_Lookup!$A$2:$C$27,2,FALSE)</f>
        <v>Paper Shredder</v>
      </c>
      <c r="R1914" s="7">
        <f t="shared" si="234"/>
        <v>775.31999999999994</v>
      </c>
    </row>
    <row r="1915" spans="1:18" ht="21.75" customHeight="1">
      <c r="A1915" t="s">
        <v>2066</v>
      </c>
      <c r="B1915" s="6">
        <v>45620</v>
      </c>
      <c r="C1915" t="s">
        <v>594</v>
      </c>
      <c r="D1915" t="s">
        <v>109</v>
      </c>
      <c r="E1915" t="s">
        <v>11</v>
      </c>
      <c r="F1915" t="s">
        <v>12</v>
      </c>
      <c r="G1915" t="s">
        <v>32</v>
      </c>
      <c r="H1915">
        <v>13</v>
      </c>
      <c r="I1915" t="str">
        <f>VLOOKUP(D1915,Product_Lookup!$A$2:$C$27,3,FALSE)</f>
        <v>$81.02</v>
      </c>
      <c r="J1915" t="str">
        <f t="shared" si="235"/>
        <v>Sunday</v>
      </c>
      <c r="K1915" s="10" t="str">
        <f t="shared" si="236"/>
        <v>November</v>
      </c>
      <c r="L1915">
        <f t="shared" si="237"/>
        <v>2024</v>
      </c>
      <c r="M1915" t="b">
        <f t="shared" si="238"/>
        <v>1</v>
      </c>
      <c r="N1915" t="b">
        <f t="shared" si="232"/>
        <v>1</v>
      </c>
      <c r="O1915" t="str">
        <f t="shared" si="239"/>
        <v>Large Order</v>
      </c>
      <c r="P1915" s="7">
        <f t="shared" si="233"/>
        <v>4.0510000000000002</v>
      </c>
      <c r="Q1915" s="7" t="str">
        <f>VLOOKUP(D1916,Product_Lookup!$A$2:$C$27,2,FALSE)</f>
        <v>Sweater</v>
      </c>
      <c r="R1915" s="7">
        <f t="shared" si="234"/>
        <v>1053.26</v>
      </c>
    </row>
    <row r="1916" spans="1:18" ht="21.75" customHeight="1">
      <c r="A1916" t="s">
        <v>2067</v>
      </c>
      <c r="B1916" s="6">
        <v>45350</v>
      </c>
      <c r="C1916" t="s">
        <v>53</v>
      </c>
      <c r="D1916" t="s">
        <v>26</v>
      </c>
      <c r="E1916" t="s">
        <v>22</v>
      </c>
      <c r="F1916" t="s">
        <v>42</v>
      </c>
      <c r="G1916" t="s">
        <v>13</v>
      </c>
      <c r="H1916">
        <v>17</v>
      </c>
      <c r="I1916" t="str">
        <f>VLOOKUP(D1916,Product_Lookup!$A$2:$C$27,3,FALSE)</f>
        <v>$84.57</v>
      </c>
      <c r="J1916" t="str">
        <f t="shared" si="235"/>
        <v>Wednesday</v>
      </c>
      <c r="K1916" s="10" t="str">
        <f t="shared" si="236"/>
        <v>February</v>
      </c>
      <c r="L1916">
        <f t="shared" si="237"/>
        <v>2024</v>
      </c>
      <c r="M1916" t="b">
        <f t="shared" si="238"/>
        <v>0</v>
      </c>
      <c r="N1916" t="b">
        <f t="shared" si="232"/>
        <v>1</v>
      </c>
      <c r="O1916" t="str">
        <f t="shared" si="239"/>
        <v>Large Order</v>
      </c>
      <c r="P1916" s="7">
        <f t="shared" si="233"/>
        <v>4.2284999999999995</v>
      </c>
      <c r="Q1916" s="7" t="str">
        <f>VLOOKUP(D1917,Product_Lookup!$A$2:$C$27,2,FALSE)</f>
        <v>Notebook</v>
      </c>
      <c r="R1916" s="7">
        <f t="shared" si="234"/>
        <v>1437.6899999999998</v>
      </c>
    </row>
    <row r="1917" spans="1:18" ht="21.75" customHeight="1">
      <c r="A1917" t="s">
        <v>2068</v>
      </c>
      <c r="B1917" s="6">
        <v>45483</v>
      </c>
      <c r="C1917" t="s">
        <v>345</v>
      </c>
      <c r="D1917" t="s">
        <v>160</v>
      </c>
      <c r="E1917" t="s">
        <v>17</v>
      </c>
      <c r="F1917" t="s">
        <v>27</v>
      </c>
      <c r="G1917" t="s">
        <v>13</v>
      </c>
      <c r="H1917">
        <v>10</v>
      </c>
      <c r="I1917" t="str">
        <f>VLOOKUP(D1917,Product_Lookup!$A$2:$C$27,3,FALSE)</f>
        <v>$149.27</v>
      </c>
      <c r="J1917" t="str">
        <f t="shared" si="235"/>
        <v>Wednesday</v>
      </c>
      <c r="K1917" s="10" t="str">
        <f t="shared" si="236"/>
        <v>July</v>
      </c>
      <c r="L1917">
        <f t="shared" si="237"/>
        <v>2024</v>
      </c>
      <c r="M1917" t="b">
        <f t="shared" si="238"/>
        <v>0</v>
      </c>
      <c r="N1917" t="b">
        <f t="shared" si="232"/>
        <v>1</v>
      </c>
      <c r="O1917" t="str">
        <f t="shared" si="239"/>
        <v>Large Order</v>
      </c>
      <c r="P1917" s="7">
        <f t="shared" si="233"/>
        <v>7.4635000000000007</v>
      </c>
      <c r="Q1917" s="7" t="str">
        <f>VLOOKUP(D1918,Product_Lookup!$A$2:$C$27,2,FALSE)</f>
        <v>Notebook</v>
      </c>
      <c r="R1917" s="7">
        <f t="shared" si="234"/>
        <v>1492.7</v>
      </c>
    </row>
    <row r="1918" spans="1:18" ht="21.75" customHeight="1">
      <c r="A1918" t="s">
        <v>2069</v>
      </c>
      <c r="B1918" s="6">
        <v>45390</v>
      </c>
      <c r="C1918" t="s">
        <v>187</v>
      </c>
      <c r="D1918" t="s">
        <v>160</v>
      </c>
      <c r="E1918" t="s">
        <v>11</v>
      </c>
      <c r="F1918" t="s">
        <v>12</v>
      </c>
      <c r="G1918" t="s">
        <v>28</v>
      </c>
      <c r="H1918">
        <v>18</v>
      </c>
      <c r="I1918" t="str">
        <f>VLOOKUP(D1918,Product_Lookup!$A$2:$C$27,3,FALSE)</f>
        <v>$149.27</v>
      </c>
      <c r="J1918" t="str">
        <f t="shared" si="235"/>
        <v>Monday</v>
      </c>
      <c r="K1918" s="10" t="str">
        <f t="shared" si="236"/>
        <v>April</v>
      </c>
      <c r="L1918">
        <f t="shared" si="237"/>
        <v>2024</v>
      </c>
      <c r="M1918" t="b">
        <f t="shared" si="238"/>
        <v>0</v>
      </c>
      <c r="N1918" t="b">
        <f t="shared" si="232"/>
        <v>1</v>
      </c>
      <c r="O1918" t="str">
        <f t="shared" si="239"/>
        <v>Large Order</v>
      </c>
      <c r="P1918" s="7">
        <f t="shared" si="233"/>
        <v>7.4635000000000007</v>
      </c>
      <c r="Q1918" s="7" t="str">
        <f>VLOOKUP(D1919,Product_Lookup!$A$2:$C$27,2,FALSE)</f>
        <v>Jeans</v>
      </c>
      <c r="R1918" s="7">
        <f t="shared" si="234"/>
        <v>2686.86</v>
      </c>
    </row>
    <row r="1919" spans="1:18" ht="21.75" customHeight="1">
      <c r="A1919" t="s">
        <v>2070</v>
      </c>
      <c r="B1919" s="6">
        <v>45612</v>
      </c>
      <c r="C1919" t="s">
        <v>58</v>
      </c>
      <c r="D1919" t="s">
        <v>65</v>
      </c>
      <c r="E1919" t="s">
        <v>22</v>
      </c>
      <c r="F1919" t="s">
        <v>56</v>
      </c>
      <c r="G1919" t="s">
        <v>23</v>
      </c>
      <c r="H1919">
        <v>4</v>
      </c>
      <c r="I1919" t="str">
        <f>VLOOKUP(D1919,Product_Lookup!$A$2:$C$27,3,FALSE)</f>
        <v>$33.22</v>
      </c>
      <c r="J1919" t="str">
        <f t="shared" si="235"/>
        <v>Saturday</v>
      </c>
      <c r="K1919" s="10" t="str">
        <f t="shared" si="236"/>
        <v>November</v>
      </c>
      <c r="L1919">
        <f t="shared" si="237"/>
        <v>2024</v>
      </c>
      <c r="M1919" t="b">
        <f t="shared" si="238"/>
        <v>1</v>
      </c>
      <c r="N1919" t="b">
        <f t="shared" si="232"/>
        <v>0</v>
      </c>
      <c r="O1919" t="str">
        <f t="shared" si="239"/>
        <v>Standard order</v>
      </c>
      <c r="P1919" s="7">
        <f t="shared" si="233"/>
        <v>1.661</v>
      </c>
      <c r="Q1919" s="7" t="str">
        <f>VLOOKUP(D1920,Product_Lookup!$A$2:$C$27,2,FALSE)</f>
        <v>Doll</v>
      </c>
      <c r="R1919" s="7">
        <f t="shared" si="234"/>
        <v>132.88</v>
      </c>
    </row>
    <row r="1920" spans="1:18" ht="21.75" customHeight="1">
      <c r="A1920" t="s">
        <v>2071</v>
      </c>
      <c r="B1920" s="6">
        <v>45651</v>
      </c>
      <c r="C1920" t="s">
        <v>304</v>
      </c>
      <c r="D1920" t="s">
        <v>119</v>
      </c>
      <c r="E1920" t="s">
        <v>17</v>
      </c>
      <c r="F1920" t="s">
        <v>12</v>
      </c>
      <c r="G1920" t="s">
        <v>28</v>
      </c>
      <c r="H1920">
        <v>1</v>
      </c>
      <c r="I1920" t="str">
        <f>VLOOKUP(D1920,Product_Lookup!$A$2:$C$27,3,FALSE)</f>
        <v>$32.94</v>
      </c>
      <c r="J1920" t="str">
        <f t="shared" si="235"/>
        <v>Wednesday</v>
      </c>
      <c r="K1920" s="10" t="str">
        <f t="shared" si="236"/>
        <v>December</v>
      </c>
      <c r="L1920">
        <f t="shared" si="237"/>
        <v>2024</v>
      </c>
      <c r="M1920" t="b">
        <f t="shared" si="238"/>
        <v>0</v>
      </c>
      <c r="N1920" t="b">
        <f t="shared" si="232"/>
        <v>0</v>
      </c>
      <c r="O1920" t="str">
        <f t="shared" si="239"/>
        <v>Standard order</v>
      </c>
      <c r="P1920" s="7">
        <f t="shared" si="233"/>
        <v>1.647</v>
      </c>
      <c r="Q1920" s="7" t="str">
        <f>VLOOKUP(D1921,Product_Lookup!$A$2:$C$27,2,FALSE)</f>
        <v>Tablet</v>
      </c>
      <c r="R1920" s="7">
        <f t="shared" si="234"/>
        <v>32.94</v>
      </c>
    </row>
    <row r="1921" spans="1:18" ht="21.75" customHeight="1">
      <c r="A1921" t="s">
        <v>2072</v>
      </c>
      <c r="B1921" s="6">
        <v>45461</v>
      </c>
      <c r="C1921" t="s">
        <v>122</v>
      </c>
      <c r="D1921" t="s">
        <v>10</v>
      </c>
      <c r="E1921" t="s">
        <v>11</v>
      </c>
      <c r="F1921" t="s">
        <v>12</v>
      </c>
      <c r="G1921" t="s">
        <v>28</v>
      </c>
      <c r="H1921">
        <v>9</v>
      </c>
      <c r="I1921" t="str">
        <f>VLOOKUP(D1921,Product_Lookup!$A$2:$C$27,3,FALSE)</f>
        <v>$146.06</v>
      </c>
      <c r="J1921" t="str">
        <f t="shared" si="235"/>
        <v>Tuesday</v>
      </c>
      <c r="K1921" s="10" t="str">
        <f t="shared" si="236"/>
        <v>June</v>
      </c>
      <c r="L1921">
        <f t="shared" si="237"/>
        <v>2024</v>
      </c>
      <c r="M1921" t="b">
        <f t="shared" si="238"/>
        <v>0</v>
      </c>
      <c r="N1921" t="b">
        <f t="shared" si="232"/>
        <v>1</v>
      </c>
      <c r="O1921" t="str">
        <f t="shared" si="239"/>
        <v>Large Order</v>
      </c>
      <c r="P1921" s="7">
        <f t="shared" si="233"/>
        <v>7.3030000000000008</v>
      </c>
      <c r="Q1921" s="7" t="str">
        <f>VLOOKUP(D1922,Product_Lookup!$A$2:$C$27,2,FALSE)</f>
        <v>Sweater</v>
      </c>
      <c r="R1921" s="7">
        <f t="shared" si="234"/>
        <v>1314.54</v>
      </c>
    </row>
    <row r="1922" spans="1:18" ht="21.75" customHeight="1">
      <c r="A1922" t="s">
        <v>2073</v>
      </c>
      <c r="B1922" s="6">
        <v>45586</v>
      </c>
      <c r="C1922" t="s">
        <v>51</v>
      </c>
      <c r="D1922" t="s">
        <v>26</v>
      </c>
      <c r="E1922" t="s">
        <v>17</v>
      </c>
      <c r="F1922" t="s">
        <v>27</v>
      </c>
      <c r="G1922" t="s">
        <v>23</v>
      </c>
      <c r="H1922">
        <v>13</v>
      </c>
      <c r="I1922" t="str">
        <f>VLOOKUP(D1922,Product_Lookup!$A$2:$C$27,3,FALSE)</f>
        <v>$84.57</v>
      </c>
      <c r="J1922" t="str">
        <f t="shared" si="235"/>
        <v>Monday</v>
      </c>
      <c r="K1922" s="10" t="str">
        <f t="shared" si="236"/>
        <v>October</v>
      </c>
      <c r="L1922">
        <f t="shared" si="237"/>
        <v>2024</v>
      </c>
      <c r="M1922" t="b">
        <f t="shared" si="238"/>
        <v>0</v>
      </c>
      <c r="N1922" t="b">
        <f t="shared" ref="N1922:N1985" si="240">AND(R1922&gt;750, H1922&gt;5)</f>
        <v>1</v>
      </c>
      <c r="O1922" t="str">
        <f t="shared" si="239"/>
        <v>Large Order</v>
      </c>
      <c r="P1922" s="7">
        <f t="shared" ref="P1922:P1985" si="241">I1922*$S$2</f>
        <v>4.2284999999999995</v>
      </c>
      <c r="Q1922" s="7" t="str">
        <f>VLOOKUP(D1923,Product_Lookup!$A$2:$C$27,2,FALSE)</f>
        <v>Board Game</v>
      </c>
      <c r="R1922" s="7">
        <f t="shared" ref="R1922:R1985" si="242">H1922*I1922</f>
        <v>1099.4099999999999</v>
      </c>
    </row>
    <row r="1923" spans="1:18" ht="21.75" customHeight="1">
      <c r="A1923" t="s">
        <v>2074</v>
      </c>
      <c r="B1923" s="6">
        <v>45300</v>
      </c>
      <c r="C1923" t="s">
        <v>53</v>
      </c>
      <c r="D1923" t="s">
        <v>41</v>
      </c>
      <c r="E1923" t="s">
        <v>11</v>
      </c>
      <c r="F1923" t="s">
        <v>306</v>
      </c>
      <c r="G1923" t="s">
        <v>13</v>
      </c>
      <c r="H1923">
        <v>20</v>
      </c>
      <c r="I1923" t="str">
        <f>VLOOKUP(D1923,Product_Lookup!$A$2:$C$27,3,FALSE)</f>
        <v>$86.6</v>
      </c>
      <c r="J1923" t="str">
        <f t="shared" ref="J1923:J1986" si="243">TEXT(B1923, "dddd")</f>
        <v>Tuesday</v>
      </c>
      <c r="K1923" s="10" t="str">
        <f t="shared" ref="K1923:K1986" si="244">TEXT(B1923, "mmmm")</f>
        <v>January</v>
      </c>
      <c r="L1923">
        <f t="shared" ref="L1923:L1986" si="245">YEAR(B1923)</f>
        <v>2024</v>
      </c>
      <c r="M1923" t="b">
        <f t="shared" ref="M1923:M1986" si="246">OR(J1923="Saturday", J1923="Sunday")</f>
        <v>0</v>
      </c>
      <c r="N1923" t="b">
        <f t="shared" si="240"/>
        <v>1</v>
      </c>
      <c r="O1923" t="str">
        <f t="shared" ref="O1923:O1986" si="247">IF(R1923&gt;500,"Large Order","Standard order")</f>
        <v>Large Order</v>
      </c>
      <c r="P1923" s="7">
        <f t="shared" si="241"/>
        <v>4.33</v>
      </c>
      <c r="Q1923" s="7" t="str">
        <f>VLOOKUP(D1924,Product_Lookup!$A$2:$C$27,2,FALSE)</f>
        <v>Puzzle</v>
      </c>
      <c r="R1923" s="7">
        <f t="shared" si="242"/>
        <v>1732</v>
      </c>
    </row>
    <row r="1924" spans="1:18" ht="21.75" customHeight="1">
      <c r="A1924" t="s">
        <v>2075</v>
      </c>
      <c r="B1924" s="6">
        <v>45591</v>
      </c>
      <c r="C1924" t="s">
        <v>116</v>
      </c>
      <c r="D1924" t="s">
        <v>62</v>
      </c>
      <c r="E1924" t="s">
        <v>11</v>
      </c>
      <c r="F1924" t="s">
        <v>42</v>
      </c>
      <c r="G1924" t="s">
        <v>36</v>
      </c>
      <c r="H1924">
        <v>4</v>
      </c>
      <c r="I1924" t="str">
        <f>VLOOKUP(D1924,Product_Lookup!$A$2:$C$27,3,FALSE)</f>
        <v>$46.19</v>
      </c>
      <c r="J1924" t="str">
        <f t="shared" si="243"/>
        <v>Saturday</v>
      </c>
      <c r="K1924" s="10" t="str">
        <f t="shared" si="244"/>
        <v>October</v>
      </c>
      <c r="L1924">
        <f t="shared" si="245"/>
        <v>2024</v>
      </c>
      <c r="M1924" t="b">
        <f t="shared" si="246"/>
        <v>1</v>
      </c>
      <c r="N1924" t="b">
        <f t="shared" si="240"/>
        <v>0</v>
      </c>
      <c r="O1924" t="str">
        <f t="shared" si="247"/>
        <v>Standard order</v>
      </c>
      <c r="P1924" s="7">
        <f t="shared" si="241"/>
        <v>2.3094999999999999</v>
      </c>
      <c r="Q1924" s="7" t="str">
        <f>VLOOKUP(D1925,Product_Lookup!$A$2:$C$27,2,FALSE)</f>
        <v>Paper Shredder</v>
      </c>
      <c r="R1924" s="7">
        <f t="shared" si="242"/>
        <v>184.76</v>
      </c>
    </row>
    <row r="1925" spans="1:18" ht="21.75" customHeight="1">
      <c r="A1925" t="s">
        <v>2076</v>
      </c>
      <c r="B1925" s="6">
        <v>45643</v>
      </c>
      <c r="C1925" t="s">
        <v>68</v>
      </c>
      <c r="D1925" t="s">
        <v>109</v>
      </c>
      <c r="E1925" t="s">
        <v>11</v>
      </c>
      <c r="F1925" t="s">
        <v>42</v>
      </c>
      <c r="G1925" t="s">
        <v>23</v>
      </c>
      <c r="H1925">
        <v>13</v>
      </c>
      <c r="I1925" t="str">
        <f>VLOOKUP(D1925,Product_Lookup!$A$2:$C$27,3,FALSE)</f>
        <v>$81.02</v>
      </c>
      <c r="J1925" t="str">
        <f t="shared" si="243"/>
        <v>Tuesday</v>
      </c>
      <c r="K1925" s="10" t="str">
        <f t="shared" si="244"/>
        <v>December</v>
      </c>
      <c r="L1925">
        <f t="shared" si="245"/>
        <v>2024</v>
      </c>
      <c r="M1925" t="b">
        <f t="shared" si="246"/>
        <v>0</v>
      </c>
      <c r="N1925" t="b">
        <f t="shared" si="240"/>
        <v>1</v>
      </c>
      <c r="O1925" t="str">
        <f t="shared" si="247"/>
        <v>Large Order</v>
      </c>
      <c r="P1925" s="7">
        <f t="shared" si="241"/>
        <v>4.0510000000000002</v>
      </c>
      <c r="Q1925" s="7" t="str">
        <f>VLOOKUP(D1926,Product_Lookup!$A$2:$C$27,2,FALSE)</f>
        <v>Stapler</v>
      </c>
      <c r="R1925" s="7">
        <f t="shared" si="242"/>
        <v>1053.26</v>
      </c>
    </row>
    <row r="1926" spans="1:18" ht="21.75" customHeight="1">
      <c r="A1926" t="s">
        <v>2077</v>
      </c>
      <c r="B1926" s="6">
        <v>45630</v>
      </c>
      <c r="C1926" t="s">
        <v>64</v>
      </c>
      <c r="D1926" t="s">
        <v>35</v>
      </c>
      <c r="E1926" t="s">
        <v>11</v>
      </c>
      <c r="F1926" t="s">
        <v>306</v>
      </c>
      <c r="G1926" t="s">
        <v>28</v>
      </c>
      <c r="H1926">
        <v>5</v>
      </c>
      <c r="I1926" t="str">
        <f>VLOOKUP(D1926,Product_Lookup!$A$2:$C$27,3,FALSE)</f>
        <v>$64.61</v>
      </c>
      <c r="J1926" t="str">
        <f t="shared" si="243"/>
        <v>Wednesday</v>
      </c>
      <c r="K1926" s="10" t="str">
        <f t="shared" si="244"/>
        <v>December</v>
      </c>
      <c r="L1926">
        <f t="shared" si="245"/>
        <v>2024</v>
      </c>
      <c r="M1926" t="b">
        <f t="shared" si="246"/>
        <v>0</v>
      </c>
      <c r="N1926" t="b">
        <f t="shared" si="240"/>
        <v>0</v>
      </c>
      <c r="O1926" t="str">
        <f t="shared" si="247"/>
        <v>Standard order</v>
      </c>
      <c r="P1926" s="7">
        <f t="shared" si="241"/>
        <v>3.2305000000000001</v>
      </c>
      <c r="Q1926" s="7" t="str">
        <f>VLOOKUP(D1927,Product_Lookup!$A$2:$C$27,2,FALSE)</f>
        <v>Action Figure</v>
      </c>
      <c r="R1926" s="7">
        <f t="shared" si="242"/>
        <v>323.05</v>
      </c>
    </row>
    <row r="1927" spans="1:18" ht="21.75" customHeight="1">
      <c r="A1927" t="s">
        <v>2078</v>
      </c>
      <c r="B1927" s="6">
        <v>45571</v>
      </c>
      <c r="C1927" t="s">
        <v>61</v>
      </c>
      <c r="D1927" t="s">
        <v>21</v>
      </c>
      <c r="E1927" t="s">
        <v>11</v>
      </c>
      <c r="F1927" t="s">
        <v>42</v>
      </c>
      <c r="G1927" t="s">
        <v>32</v>
      </c>
      <c r="H1927">
        <v>1</v>
      </c>
      <c r="I1927" t="str">
        <f>VLOOKUP(D1927,Product_Lookup!$A$2:$C$27,3,FALSE)</f>
        <v>$88.18</v>
      </c>
      <c r="J1927" t="str">
        <f t="shared" si="243"/>
        <v>Sunday</v>
      </c>
      <c r="K1927" s="10" t="str">
        <f t="shared" si="244"/>
        <v>October</v>
      </c>
      <c r="L1927">
        <f t="shared" si="245"/>
        <v>2024</v>
      </c>
      <c r="M1927" t="b">
        <f t="shared" si="246"/>
        <v>1</v>
      </c>
      <c r="N1927" t="b">
        <f t="shared" si="240"/>
        <v>0</v>
      </c>
      <c r="O1927" t="str">
        <f t="shared" si="247"/>
        <v>Standard order</v>
      </c>
      <c r="P1927" s="7">
        <f t="shared" si="241"/>
        <v>4.4090000000000007</v>
      </c>
      <c r="Q1927" s="7" t="str">
        <f>VLOOKUP(D1928,Product_Lookup!$A$2:$C$27,2,FALSE)</f>
        <v>Monitor</v>
      </c>
      <c r="R1927" s="7">
        <f t="shared" si="242"/>
        <v>88.18</v>
      </c>
    </row>
    <row r="1928" spans="1:18" ht="21.75" customHeight="1">
      <c r="A1928" t="s">
        <v>2079</v>
      </c>
      <c r="B1928" s="6">
        <v>45576</v>
      </c>
      <c r="C1928" t="s">
        <v>167</v>
      </c>
      <c r="D1928" t="s">
        <v>102</v>
      </c>
      <c r="E1928" t="s">
        <v>11</v>
      </c>
      <c r="F1928" t="s">
        <v>12</v>
      </c>
      <c r="G1928" t="s">
        <v>36</v>
      </c>
      <c r="H1928">
        <v>20</v>
      </c>
      <c r="I1928" t="str">
        <f>VLOOKUP(D1928,Product_Lookup!$A$2:$C$27,3,FALSE)</f>
        <v>$145.48</v>
      </c>
      <c r="J1928" t="str">
        <f t="shared" si="243"/>
        <v>Friday</v>
      </c>
      <c r="K1928" s="10" t="str">
        <f t="shared" si="244"/>
        <v>October</v>
      </c>
      <c r="L1928">
        <f t="shared" si="245"/>
        <v>2024</v>
      </c>
      <c r="M1928" t="b">
        <f t="shared" si="246"/>
        <v>0</v>
      </c>
      <c r="N1928" t="b">
        <f t="shared" si="240"/>
        <v>1</v>
      </c>
      <c r="O1928" t="str">
        <f t="shared" si="247"/>
        <v>Large Order</v>
      </c>
      <c r="P1928" s="7">
        <f t="shared" si="241"/>
        <v>7.274</v>
      </c>
      <c r="Q1928" s="7" t="str">
        <f>VLOOKUP(D1929,Product_Lookup!$A$2:$C$27,2,FALSE)</f>
        <v>Socks</v>
      </c>
      <c r="R1928" s="7">
        <f t="shared" si="242"/>
        <v>2909.6</v>
      </c>
    </row>
    <row r="1929" spans="1:18" ht="21.75" customHeight="1">
      <c r="A1929" t="s">
        <v>2080</v>
      </c>
      <c r="B1929" s="6">
        <v>45572</v>
      </c>
      <c r="C1929" t="s">
        <v>81</v>
      </c>
      <c r="D1929" t="s">
        <v>74</v>
      </c>
      <c r="E1929" t="s">
        <v>11</v>
      </c>
      <c r="F1929" t="s">
        <v>42</v>
      </c>
      <c r="G1929" t="s">
        <v>28</v>
      </c>
      <c r="H1929">
        <v>14</v>
      </c>
      <c r="I1929" t="str">
        <f>VLOOKUP(D1929,Product_Lookup!$A$2:$C$27,3,FALSE)</f>
        <v>$201.32</v>
      </c>
      <c r="J1929" t="str">
        <f t="shared" si="243"/>
        <v>Monday</v>
      </c>
      <c r="K1929" s="10" t="str">
        <f t="shared" si="244"/>
        <v>October</v>
      </c>
      <c r="L1929">
        <f t="shared" si="245"/>
        <v>2024</v>
      </c>
      <c r="M1929" t="b">
        <f t="shared" si="246"/>
        <v>0</v>
      </c>
      <c r="N1929" t="b">
        <f t="shared" si="240"/>
        <v>1</v>
      </c>
      <c r="O1929" t="str">
        <f t="shared" si="247"/>
        <v>Large Order</v>
      </c>
      <c r="P1929" s="7">
        <f t="shared" si="241"/>
        <v>10.066000000000001</v>
      </c>
      <c r="Q1929" s="7" t="str">
        <f>VLOOKUP(D1930,Product_Lookup!$A$2:$C$27,2,FALSE)</f>
        <v>T-Shirt</v>
      </c>
      <c r="R1929" s="7">
        <f t="shared" si="242"/>
        <v>2818.48</v>
      </c>
    </row>
    <row r="1930" spans="1:18" ht="21.75" customHeight="1">
      <c r="A1930" t="s">
        <v>2081</v>
      </c>
      <c r="B1930" s="6">
        <v>45554</v>
      </c>
      <c r="C1930" t="s">
        <v>167</v>
      </c>
      <c r="D1930" t="s">
        <v>45</v>
      </c>
      <c r="E1930" t="s">
        <v>11</v>
      </c>
      <c r="F1930" t="s">
        <v>56</v>
      </c>
      <c r="G1930" t="s">
        <v>36</v>
      </c>
      <c r="H1930">
        <v>9</v>
      </c>
      <c r="I1930" t="str">
        <f>VLOOKUP(D1930,Product_Lookup!$A$2:$C$27,3,FALSE)</f>
        <v>$107.34</v>
      </c>
      <c r="J1930" t="str">
        <f t="shared" si="243"/>
        <v>Thursday</v>
      </c>
      <c r="K1930" s="10" t="str">
        <f t="shared" si="244"/>
        <v>September</v>
      </c>
      <c r="L1930">
        <f t="shared" si="245"/>
        <v>2024</v>
      </c>
      <c r="M1930" t="b">
        <f t="shared" si="246"/>
        <v>0</v>
      </c>
      <c r="N1930" t="b">
        <f t="shared" si="240"/>
        <v>1</v>
      </c>
      <c r="O1930" t="str">
        <f t="shared" si="247"/>
        <v>Large Order</v>
      </c>
      <c r="P1930" s="7">
        <f t="shared" si="241"/>
        <v>5.3670000000000009</v>
      </c>
      <c r="Q1930" s="7" t="str">
        <f>VLOOKUP(D1931,Product_Lookup!$A$2:$C$27,2,FALSE)</f>
        <v>Desk Lamp</v>
      </c>
      <c r="R1930" s="7">
        <f t="shared" si="242"/>
        <v>966.06000000000006</v>
      </c>
    </row>
    <row r="1931" spans="1:18" ht="21.75" customHeight="1">
      <c r="A1931" t="s">
        <v>2082</v>
      </c>
      <c r="B1931" s="6">
        <v>45384</v>
      </c>
      <c r="C1931" t="s">
        <v>317</v>
      </c>
      <c r="D1931" t="s">
        <v>59</v>
      </c>
      <c r="E1931" t="s">
        <v>11</v>
      </c>
      <c r="F1931" t="s">
        <v>306</v>
      </c>
      <c r="G1931" t="s">
        <v>23</v>
      </c>
      <c r="H1931">
        <v>18</v>
      </c>
      <c r="I1931" t="str">
        <f>VLOOKUP(D1931,Product_Lookup!$A$2:$C$27,3,FALSE)</f>
        <v>$101.96</v>
      </c>
      <c r="J1931" t="str">
        <f t="shared" si="243"/>
        <v>Tuesday</v>
      </c>
      <c r="K1931" s="10" t="str">
        <f t="shared" si="244"/>
        <v>April</v>
      </c>
      <c r="L1931">
        <f t="shared" si="245"/>
        <v>2024</v>
      </c>
      <c r="M1931" t="b">
        <f t="shared" si="246"/>
        <v>0</v>
      </c>
      <c r="N1931" t="b">
        <f t="shared" si="240"/>
        <v>1</v>
      </c>
      <c r="O1931" t="str">
        <f t="shared" si="247"/>
        <v>Large Order</v>
      </c>
      <c r="P1931" s="7">
        <f t="shared" si="241"/>
        <v>5.0979999999999999</v>
      </c>
      <c r="Q1931" s="7" t="str">
        <f>VLOOKUP(D1932,Product_Lookup!$A$2:$C$27,2,FALSE)</f>
        <v>Sweater</v>
      </c>
      <c r="R1931" s="7">
        <f t="shared" si="242"/>
        <v>1835.28</v>
      </c>
    </row>
    <row r="1932" spans="1:18" ht="21.75" customHeight="1">
      <c r="A1932" t="s">
        <v>2083</v>
      </c>
      <c r="B1932" s="6">
        <v>45635</v>
      </c>
      <c r="C1932" t="s">
        <v>58</v>
      </c>
      <c r="D1932" t="s">
        <v>26</v>
      </c>
      <c r="E1932" t="s">
        <v>11</v>
      </c>
      <c r="F1932" t="s">
        <v>56</v>
      </c>
      <c r="G1932" t="s">
        <v>36</v>
      </c>
      <c r="H1932">
        <v>16</v>
      </c>
      <c r="I1932" t="str">
        <f>VLOOKUP(D1932,Product_Lookup!$A$2:$C$27,3,FALSE)</f>
        <v>$84.57</v>
      </c>
      <c r="J1932" t="str">
        <f t="shared" si="243"/>
        <v>Monday</v>
      </c>
      <c r="K1932" s="10" t="str">
        <f t="shared" si="244"/>
        <v>December</v>
      </c>
      <c r="L1932">
        <f t="shared" si="245"/>
        <v>2024</v>
      </c>
      <c r="M1932" t="b">
        <f t="shared" si="246"/>
        <v>0</v>
      </c>
      <c r="N1932" t="b">
        <f t="shared" si="240"/>
        <v>1</v>
      </c>
      <c r="O1932" t="str">
        <f t="shared" si="247"/>
        <v>Large Order</v>
      </c>
      <c r="P1932" s="7">
        <f t="shared" si="241"/>
        <v>4.2284999999999995</v>
      </c>
      <c r="Q1932" s="7" t="str">
        <f>VLOOKUP(D1933,Product_Lookup!$A$2:$C$27,2,FALSE)</f>
        <v>Board Game</v>
      </c>
      <c r="R1932" s="7">
        <f t="shared" si="242"/>
        <v>1353.12</v>
      </c>
    </row>
    <row r="1933" spans="1:18" ht="21.75" customHeight="1">
      <c r="A1933" t="s">
        <v>2084</v>
      </c>
      <c r="B1933" s="6">
        <v>45474</v>
      </c>
      <c r="C1933" t="s">
        <v>34</v>
      </c>
      <c r="D1933" t="s">
        <v>41</v>
      </c>
      <c r="E1933" t="s">
        <v>22</v>
      </c>
      <c r="F1933" t="s">
        <v>56</v>
      </c>
      <c r="G1933" t="s">
        <v>13</v>
      </c>
      <c r="H1933">
        <v>10</v>
      </c>
      <c r="I1933" t="str">
        <f>VLOOKUP(D1933,Product_Lookup!$A$2:$C$27,3,FALSE)</f>
        <v>$86.6</v>
      </c>
      <c r="J1933" t="str">
        <f t="shared" si="243"/>
        <v>Monday</v>
      </c>
      <c r="K1933" s="10" t="str">
        <f t="shared" si="244"/>
        <v>July</v>
      </c>
      <c r="L1933">
        <f t="shared" si="245"/>
        <v>2024</v>
      </c>
      <c r="M1933" t="b">
        <f t="shared" si="246"/>
        <v>0</v>
      </c>
      <c r="N1933" t="b">
        <f t="shared" si="240"/>
        <v>1</v>
      </c>
      <c r="O1933" t="str">
        <f t="shared" si="247"/>
        <v>Large Order</v>
      </c>
      <c r="P1933" s="7">
        <f t="shared" si="241"/>
        <v>4.33</v>
      </c>
      <c r="Q1933" s="7" t="str">
        <f>VLOOKUP(D1934,Product_Lookup!$A$2:$C$27,2,FALSE)</f>
        <v>Stapler</v>
      </c>
      <c r="R1933" s="7">
        <f t="shared" si="242"/>
        <v>866</v>
      </c>
    </row>
    <row r="1934" spans="1:18" ht="21.75" customHeight="1">
      <c r="A1934" t="s">
        <v>2085</v>
      </c>
      <c r="B1934" s="6">
        <v>45391</v>
      </c>
      <c r="C1934" t="s">
        <v>38</v>
      </c>
      <c r="D1934" t="s">
        <v>35</v>
      </c>
      <c r="E1934" t="s">
        <v>17</v>
      </c>
      <c r="F1934" t="s">
        <v>42</v>
      </c>
      <c r="G1934" t="s">
        <v>36</v>
      </c>
      <c r="H1934">
        <v>10</v>
      </c>
      <c r="I1934" t="str">
        <f>VLOOKUP(D1934,Product_Lookup!$A$2:$C$27,3,FALSE)</f>
        <v>$64.61</v>
      </c>
      <c r="J1934" t="str">
        <f t="shared" si="243"/>
        <v>Tuesday</v>
      </c>
      <c r="K1934" s="10" t="str">
        <f t="shared" si="244"/>
        <v>April</v>
      </c>
      <c r="L1934">
        <f t="shared" si="245"/>
        <v>2024</v>
      </c>
      <c r="M1934" t="b">
        <f t="shared" si="246"/>
        <v>0</v>
      </c>
      <c r="N1934" t="b">
        <f t="shared" si="240"/>
        <v>0</v>
      </c>
      <c r="O1934" t="str">
        <f t="shared" si="247"/>
        <v>Large Order</v>
      </c>
      <c r="P1934" s="7">
        <f t="shared" si="241"/>
        <v>3.2305000000000001</v>
      </c>
      <c r="Q1934" s="7" t="str">
        <f>VLOOKUP(D1935,Product_Lookup!$A$2:$C$27,2,FALSE)</f>
        <v>Desk Lamp</v>
      </c>
      <c r="R1934" s="7">
        <f t="shared" si="242"/>
        <v>646.1</v>
      </c>
    </row>
    <row r="1935" spans="1:18" ht="21.75" customHeight="1">
      <c r="A1935" t="s">
        <v>2086</v>
      </c>
      <c r="B1935" s="6">
        <v>45370</v>
      </c>
      <c r="C1935" t="s">
        <v>614</v>
      </c>
      <c r="D1935" t="s">
        <v>59</v>
      </c>
      <c r="E1935" t="s">
        <v>17</v>
      </c>
      <c r="F1935" t="s">
        <v>42</v>
      </c>
      <c r="G1935" t="s">
        <v>23</v>
      </c>
      <c r="H1935">
        <v>6</v>
      </c>
      <c r="I1935" t="str">
        <f>VLOOKUP(D1935,Product_Lookup!$A$2:$C$27,3,FALSE)</f>
        <v>$101.96</v>
      </c>
      <c r="J1935" t="str">
        <f t="shared" si="243"/>
        <v>Tuesday</v>
      </c>
      <c r="K1935" s="10" t="str">
        <f t="shared" si="244"/>
        <v>March</v>
      </c>
      <c r="L1935">
        <f t="shared" si="245"/>
        <v>2024</v>
      </c>
      <c r="M1935" t="b">
        <f t="shared" si="246"/>
        <v>0</v>
      </c>
      <c r="N1935" t="b">
        <f t="shared" si="240"/>
        <v>0</v>
      </c>
      <c r="O1935" t="str">
        <f t="shared" si="247"/>
        <v>Large Order</v>
      </c>
      <c r="P1935" s="7">
        <f t="shared" si="241"/>
        <v>5.0979999999999999</v>
      </c>
      <c r="Q1935" s="7" t="str">
        <f>VLOOKUP(D1936,Product_Lookup!$A$2:$C$27,2,FALSE)</f>
        <v>Jacket</v>
      </c>
      <c r="R1935" s="7">
        <f t="shared" si="242"/>
        <v>611.76</v>
      </c>
    </row>
    <row r="1936" spans="1:18" ht="21.75" customHeight="1">
      <c r="A1936" t="s">
        <v>2087</v>
      </c>
      <c r="B1936" s="6">
        <v>45418</v>
      </c>
      <c r="C1936" t="s">
        <v>728</v>
      </c>
      <c r="D1936" t="s">
        <v>197</v>
      </c>
      <c r="E1936" t="s">
        <v>22</v>
      </c>
      <c r="F1936" t="s">
        <v>27</v>
      </c>
      <c r="G1936" t="s">
        <v>32</v>
      </c>
      <c r="H1936">
        <v>12</v>
      </c>
      <c r="I1936" t="str">
        <f>VLOOKUP(D1936,Product_Lookup!$A$2:$C$27,3,FALSE)</f>
        <v>$10.11</v>
      </c>
      <c r="J1936" t="str">
        <f t="shared" si="243"/>
        <v>Monday</v>
      </c>
      <c r="K1936" s="10" t="str">
        <f t="shared" si="244"/>
        <v>May</v>
      </c>
      <c r="L1936">
        <f t="shared" si="245"/>
        <v>2024</v>
      </c>
      <c r="M1936" t="b">
        <f t="shared" si="246"/>
        <v>0</v>
      </c>
      <c r="N1936" t="b">
        <f t="shared" si="240"/>
        <v>0</v>
      </c>
      <c r="O1936" t="str">
        <f t="shared" si="247"/>
        <v>Standard order</v>
      </c>
      <c r="P1936" s="7">
        <f t="shared" si="241"/>
        <v>0.50549999999999995</v>
      </c>
      <c r="Q1936" s="7" t="str">
        <f>VLOOKUP(D1937,Product_Lookup!$A$2:$C$27,2,FALSE)</f>
        <v>Air Fryer</v>
      </c>
      <c r="R1936" s="7">
        <f t="shared" si="242"/>
        <v>121.32</v>
      </c>
    </row>
    <row r="1937" spans="1:18" ht="21.75" customHeight="1">
      <c r="A1937" t="s">
        <v>2088</v>
      </c>
      <c r="B1937" s="6">
        <v>45461</v>
      </c>
      <c r="C1937" t="s">
        <v>517</v>
      </c>
      <c r="D1937" t="s">
        <v>70</v>
      </c>
      <c r="E1937" t="s">
        <v>17</v>
      </c>
      <c r="F1937" t="s">
        <v>42</v>
      </c>
      <c r="G1937" t="s">
        <v>32</v>
      </c>
      <c r="H1937">
        <v>16</v>
      </c>
      <c r="I1937" t="str">
        <f>VLOOKUP(D1937,Product_Lookup!$A$2:$C$27,3,FALSE)</f>
        <v>$211.9</v>
      </c>
      <c r="J1937" t="str">
        <f t="shared" si="243"/>
        <v>Tuesday</v>
      </c>
      <c r="K1937" s="10" t="str">
        <f t="shared" si="244"/>
        <v>June</v>
      </c>
      <c r="L1937">
        <f t="shared" si="245"/>
        <v>2024</v>
      </c>
      <c r="M1937" t="b">
        <f t="shared" si="246"/>
        <v>0</v>
      </c>
      <c r="N1937" t="b">
        <f t="shared" si="240"/>
        <v>1</v>
      </c>
      <c r="O1937" t="str">
        <f t="shared" si="247"/>
        <v>Large Order</v>
      </c>
      <c r="P1937" s="7">
        <f t="shared" si="241"/>
        <v>10.595000000000001</v>
      </c>
      <c r="Q1937" s="7" t="str">
        <f>VLOOKUP(D1938,Product_Lookup!$A$2:$C$27,2,FALSE)</f>
        <v>Paper Shredder</v>
      </c>
      <c r="R1937" s="7">
        <f t="shared" si="242"/>
        <v>3390.4</v>
      </c>
    </row>
    <row r="1938" spans="1:18" ht="21.75" customHeight="1">
      <c r="A1938" t="s">
        <v>2089</v>
      </c>
      <c r="B1938" s="6">
        <v>45381</v>
      </c>
      <c r="C1938" t="s">
        <v>736</v>
      </c>
      <c r="D1938" t="s">
        <v>109</v>
      </c>
      <c r="E1938" t="s">
        <v>11</v>
      </c>
      <c r="F1938" t="s">
        <v>42</v>
      </c>
      <c r="G1938" t="s">
        <v>28</v>
      </c>
      <c r="H1938">
        <v>18</v>
      </c>
      <c r="I1938" t="str">
        <f>VLOOKUP(D1938,Product_Lookup!$A$2:$C$27,3,FALSE)</f>
        <v>$81.02</v>
      </c>
      <c r="J1938" t="str">
        <f t="shared" si="243"/>
        <v>Saturday</v>
      </c>
      <c r="K1938" s="10" t="str">
        <f t="shared" si="244"/>
        <v>March</v>
      </c>
      <c r="L1938">
        <f t="shared" si="245"/>
        <v>2024</v>
      </c>
      <c r="M1938" t="b">
        <f t="shared" si="246"/>
        <v>1</v>
      </c>
      <c r="N1938" t="b">
        <f t="shared" si="240"/>
        <v>1</v>
      </c>
      <c r="O1938" t="str">
        <f t="shared" si="247"/>
        <v>Large Order</v>
      </c>
      <c r="P1938" s="7">
        <f t="shared" si="241"/>
        <v>4.0510000000000002</v>
      </c>
      <c r="Q1938" s="7" t="str">
        <f>VLOOKUP(D1939,Product_Lookup!$A$2:$C$27,2,FALSE)</f>
        <v>Lego Set</v>
      </c>
      <c r="R1938" s="7">
        <f t="shared" si="242"/>
        <v>1458.36</v>
      </c>
    </row>
    <row r="1939" spans="1:18" ht="21.75" customHeight="1">
      <c r="A1939" t="s">
        <v>2090</v>
      </c>
      <c r="B1939" s="6">
        <v>45612</v>
      </c>
      <c r="C1939" t="s">
        <v>208</v>
      </c>
      <c r="D1939" t="s">
        <v>84</v>
      </c>
      <c r="E1939" t="s">
        <v>11</v>
      </c>
      <c r="F1939" t="s">
        <v>12</v>
      </c>
      <c r="G1939" t="s">
        <v>36</v>
      </c>
      <c r="H1939">
        <v>1</v>
      </c>
      <c r="I1939" t="str">
        <f>VLOOKUP(D1939,Product_Lookup!$A$2:$C$27,3,FALSE)</f>
        <v>$130.07</v>
      </c>
      <c r="J1939" t="str">
        <f t="shared" si="243"/>
        <v>Saturday</v>
      </c>
      <c r="K1939" s="10" t="str">
        <f t="shared" si="244"/>
        <v>November</v>
      </c>
      <c r="L1939">
        <f t="shared" si="245"/>
        <v>2024</v>
      </c>
      <c r="M1939" t="b">
        <f t="shared" si="246"/>
        <v>1</v>
      </c>
      <c r="N1939" t="b">
        <f t="shared" si="240"/>
        <v>0</v>
      </c>
      <c r="O1939" t="str">
        <f t="shared" si="247"/>
        <v>Standard order</v>
      </c>
      <c r="P1939" s="7">
        <f t="shared" si="241"/>
        <v>6.5034999999999998</v>
      </c>
      <c r="Q1939" s="7" t="str">
        <f>VLOOKUP(D1940,Product_Lookup!$A$2:$C$27,2,FALSE)</f>
        <v>Doll</v>
      </c>
      <c r="R1939" s="7">
        <f t="shared" si="242"/>
        <v>130.07</v>
      </c>
    </row>
    <row r="1940" spans="1:18" ht="21.75" customHeight="1">
      <c r="A1940" t="s">
        <v>2091</v>
      </c>
      <c r="B1940" s="6">
        <v>45588</v>
      </c>
      <c r="C1940" t="s">
        <v>341</v>
      </c>
      <c r="D1940" t="s">
        <v>119</v>
      </c>
      <c r="E1940" t="s">
        <v>22</v>
      </c>
      <c r="F1940" t="s">
        <v>56</v>
      </c>
      <c r="G1940" t="s">
        <v>13</v>
      </c>
      <c r="H1940">
        <v>18</v>
      </c>
      <c r="I1940" t="str">
        <f>VLOOKUP(D1940,Product_Lookup!$A$2:$C$27,3,FALSE)</f>
        <v>$32.94</v>
      </c>
      <c r="J1940" t="str">
        <f t="shared" si="243"/>
        <v>Wednesday</v>
      </c>
      <c r="K1940" s="10" t="str">
        <f t="shared" si="244"/>
        <v>October</v>
      </c>
      <c r="L1940">
        <f t="shared" si="245"/>
        <v>2024</v>
      </c>
      <c r="M1940" t="b">
        <f t="shared" si="246"/>
        <v>0</v>
      </c>
      <c r="N1940" t="b">
        <f t="shared" si="240"/>
        <v>0</v>
      </c>
      <c r="O1940" t="str">
        <f t="shared" si="247"/>
        <v>Large Order</v>
      </c>
      <c r="P1940" s="7">
        <f t="shared" si="241"/>
        <v>1.647</v>
      </c>
      <c r="Q1940" s="7" t="str">
        <f>VLOOKUP(D1941,Product_Lookup!$A$2:$C$27,2,FALSE)</f>
        <v>Action Figure</v>
      </c>
      <c r="R1940" s="7">
        <f t="shared" si="242"/>
        <v>592.91999999999996</v>
      </c>
    </row>
    <row r="1941" spans="1:18" ht="21.75" customHeight="1">
      <c r="A1941" t="s">
        <v>2092</v>
      </c>
      <c r="B1941" s="6">
        <v>45568</v>
      </c>
      <c r="C1941" t="s">
        <v>553</v>
      </c>
      <c r="D1941" t="s">
        <v>21</v>
      </c>
      <c r="E1941" t="s">
        <v>11</v>
      </c>
      <c r="F1941" t="s">
        <v>42</v>
      </c>
      <c r="G1941" t="s">
        <v>23</v>
      </c>
      <c r="H1941">
        <v>8</v>
      </c>
      <c r="I1941" t="str">
        <f>VLOOKUP(D1941,Product_Lookup!$A$2:$C$27,3,FALSE)</f>
        <v>$88.18</v>
      </c>
      <c r="J1941" t="str">
        <f t="shared" si="243"/>
        <v>Thursday</v>
      </c>
      <c r="K1941" s="10" t="str">
        <f t="shared" si="244"/>
        <v>October</v>
      </c>
      <c r="L1941">
        <f t="shared" si="245"/>
        <v>2024</v>
      </c>
      <c r="M1941" t="b">
        <f t="shared" si="246"/>
        <v>0</v>
      </c>
      <c r="N1941" t="b">
        <f t="shared" si="240"/>
        <v>0</v>
      </c>
      <c r="O1941" t="str">
        <f t="shared" si="247"/>
        <v>Large Order</v>
      </c>
      <c r="P1941" s="7">
        <f t="shared" si="241"/>
        <v>4.4090000000000007</v>
      </c>
      <c r="Q1941" s="7" t="str">
        <f>VLOOKUP(D1942,Product_Lookup!$A$2:$C$27,2,FALSE)</f>
        <v>Socks</v>
      </c>
      <c r="R1941" s="7">
        <f t="shared" si="242"/>
        <v>705.44</v>
      </c>
    </row>
    <row r="1942" spans="1:18" ht="21.75" customHeight="1">
      <c r="A1942" t="s">
        <v>2093</v>
      </c>
      <c r="B1942" s="6">
        <v>45593</v>
      </c>
      <c r="C1942" t="s">
        <v>388</v>
      </c>
      <c r="D1942" t="s">
        <v>74</v>
      </c>
      <c r="E1942" t="s">
        <v>11</v>
      </c>
      <c r="F1942" t="s">
        <v>27</v>
      </c>
      <c r="G1942" t="s">
        <v>36</v>
      </c>
      <c r="H1942">
        <v>17</v>
      </c>
      <c r="I1942" t="str">
        <f>VLOOKUP(D1942,Product_Lookup!$A$2:$C$27,3,FALSE)</f>
        <v>$201.32</v>
      </c>
      <c r="J1942" t="str">
        <f t="shared" si="243"/>
        <v>Monday</v>
      </c>
      <c r="K1942" s="10" t="str">
        <f t="shared" si="244"/>
        <v>October</v>
      </c>
      <c r="L1942">
        <f t="shared" si="245"/>
        <v>2024</v>
      </c>
      <c r="M1942" t="b">
        <f t="shared" si="246"/>
        <v>0</v>
      </c>
      <c r="N1942" t="b">
        <f t="shared" si="240"/>
        <v>1</v>
      </c>
      <c r="O1942" t="str">
        <f t="shared" si="247"/>
        <v>Large Order</v>
      </c>
      <c r="P1942" s="7">
        <f t="shared" si="241"/>
        <v>10.066000000000001</v>
      </c>
      <c r="Q1942" s="7" t="str">
        <f>VLOOKUP(D1943,Product_Lookup!$A$2:$C$27,2,FALSE)</f>
        <v>Laptop</v>
      </c>
      <c r="R1942" s="7">
        <f t="shared" si="242"/>
        <v>3422.44</v>
      </c>
    </row>
    <row r="1943" spans="1:18" ht="21.75" customHeight="1">
      <c r="A1943" t="s">
        <v>2094</v>
      </c>
      <c r="B1943" s="6">
        <v>45478</v>
      </c>
      <c r="C1943" t="s">
        <v>358</v>
      </c>
      <c r="D1943" t="s">
        <v>96</v>
      </c>
      <c r="E1943" t="s">
        <v>22</v>
      </c>
      <c r="F1943" t="s">
        <v>56</v>
      </c>
      <c r="G1943" t="s">
        <v>36</v>
      </c>
      <c r="H1943">
        <v>6</v>
      </c>
      <c r="I1943" t="str">
        <f>VLOOKUP(D1943,Product_Lookup!$A$2:$C$27,3,FALSE)</f>
        <v>$230.68</v>
      </c>
      <c r="J1943" t="str">
        <f t="shared" si="243"/>
        <v>Friday</v>
      </c>
      <c r="K1943" s="10" t="str">
        <f t="shared" si="244"/>
        <v>July</v>
      </c>
      <c r="L1943">
        <f t="shared" si="245"/>
        <v>2024</v>
      </c>
      <c r="M1943" t="b">
        <f t="shared" si="246"/>
        <v>0</v>
      </c>
      <c r="N1943" t="b">
        <f t="shared" si="240"/>
        <v>1</v>
      </c>
      <c r="O1943" t="str">
        <f t="shared" si="247"/>
        <v>Large Order</v>
      </c>
      <c r="P1943" s="7">
        <f t="shared" si="241"/>
        <v>11.534000000000001</v>
      </c>
      <c r="Q1943" s="7" t="str">
        <f>VLOOKUP(D1944,Product_Lookup!$A$2:$C$27,2,FALSE)</f>
        <v>T-Shirt</v>
      </c>
      <c r="R1943" s="7">
        <f t="shared" si="242"/>
        <v>1384.08</v>
      </c>
    </row>
    <row r="1944" spans="1:18" ht="21.75" customHeight="1">
      <c r="A1944" t="s">
        <v>2095</v>
      </c>
      <c r="B1944" s="6">
        <v>45363</v>
      </c>
      <c r="C1944" t="s">
        <v>430</v>
      </c>
      <c r="D1944" t="s">
        <v>45</v>
      </c>
      <c r="E1944" t="s">
        <v>11</v>
      </c>
      <c r="F1944" t="s">
        <v>306</v>
      </c>
      <c r="G1944" t="s">
        <v>36</v>
      </c>
      <c r="H1944">
        <v>5</v>
      </c>
      <c r="I1944" t="str">
        <f>VLOOKUP(D1944,Product_Lookup!$A$2:$C$27,3,FALSE)</f>
        <v>$107.34</v>
      </c>
      <c r="J1944" t="str">
        <f t="shared" si="243"/>
        <v>Tuesday</v>
      </c>
      <c r="K1944" s="10" t="str">
        <f t="shared" si="244"/>
        <v>March</v>
      </c>
      <c r="L1944">
        <f t="shared" si="245"/>
        <v>2024</v>
      </c>
      <c r="M1944" t="b">
        <f t="shared" si="246"/>
        <v>0</v>
      </c>
      <c r="N1944" t="b">
        <f t="shared" si="240"/>
        <v>0</v>
      </c>
      <c r="O1944" t="str">
        <f t="shared" si="247"/>
        <v>Large Order</v>
      </c>
      <c r="P1944" s="7">
        <f t="shared" si="241"/>
        <v>5.3670000000000009</v>
      </c>
      <c r="Q1944" s="7" t="str">
        <f>VLOOKUP(D1945,Product_Lookup!$A$2:$C$27,2,FALSE)</f>
        <v>Smartphone</v>
      </c>
      <c r="R1944" s="7">
        <f t="shared" si="242"/>
        <v>536.70000000000005</v>
      </c>
    </row>
    <row r="1945" spans="1:18" ht="21.75" customHeight="1">
      <c r="A1945" t="s">
        <v>2096</v>
      </c>
      <c r="B1945" s="6">
        <v>45539</v>
      </c>
      <c r="C1945" t="s">
        <v>182</v>
      </c>
      <c r="D1945" t="s">
        <v>79</v>
      </c>
      <c r="E1945" t="s">
        <v>11</v>
      </c>
      <c r="F1945" t="s">
        <v>27</v>
      </c>
      <c r="G1945" t="s">
        <v>28</v>
      </c>
      <c r="H1945">
        <v>3</v>
      </c>
      <c r="I1945" t="str">
        <f>VLOOKUP(D1945,Product_Lookup!$A$2:$C$27,3,FALSE)</f>
        <v>$216.22</v>
      </c>
      <c r="J1945" t="str">
        <f t="shared" si="243"/>
        <v>Wednesday</v>
      </c>
      <c r="K1945" s="10" t="str">
        <f t="shared" si="244"/>
        <v>September</v>
      </c>
      <c r="L1945">
        <f t="shared" si="245"/>
        <v>2024</v>
      </c>
      <c r="M1945" t="b">
        <f t="shared" si="246"/>
        <v>0</v>
      </c>
      <c r="N1945" t="b">
        <f t="shared" si="240"/>
        <v>0</v>
      </c>
      <c r="O1945" t="str">
        <f t="shared" si="247"/>
        <v>Large Order</v>
      </c>
      <c r="P1945" s="7">
        <f t="shared" si="241"/>
        <v>10.811</v>
      </c>
      <c r="Q1945" s="7" t="str">
        <f>VLOOKUP(D1946,Product_Lookup!$A$2:$C$27,2,FALSE)</f>
        <v>Board Game</v>
      </c>
      <c r="R1945" s="7">
        <f t="shared" si="242"/>
        <v>648.66</v>
      </c>
    </row>
    <row r="1946" spans="1:18" ht="21.75" customHeight="1">
      <c r="A1946" t="s">
        <v>2097</v>
      </c>
      <c r="B1946" s="6">
        <v>45411</v>
      </c>
      <c r="C1946" t="s">
        <v>116</v>
      </c>
      <c r="D1946" t="s">
        <v>41</v>
      </c>
      <c r="E1946" t="s">
        <v>11</v>
      </c>
      <c r="F1946" t="s">
        <v>306</v>
      </c>
      <c r="G1946" t="s">
        <v>32</v>
      </c>
      <c r="H1946">
        <v>13</v>
      </c>
      <c r="I1946" t="str">
        <f>VLOOKUP(D1946,Product_Lookup!$A$2:$C$27,3,FALSE)</f>
        <v>$86.6</v>
      </c>
      <c r="J1946" t="str">
        <f t="shared" si="243"/>
        <v>Monday</v>
      </c>
      <c r="K1946" s="10" t="str">
        <f t="shared" si="244"/>
        <v>April</v>
      </c>
      <c r="L1946">
        <f t="shared" si="245"/>
        <v>2024</v>
      </c>
      <c r="M1946" t="b">
        <f t="shared" si="246"/>
        <v>0</v>
      </c>
      <c r="N1946" t="b">
        <f t="shared" si="240"/>
        <v>1</v>
      </c>
      <c r="O1946" t="str">
        <f t="shared" si="247"/>
        <v>Large Order</v>
      </c>
      <c r="P1946" s="7">
        <f t="shared" si="241"/>
        <v>4.33</v>
      </c>
      <c r="Q1946" s="7" t="str">
        <f>VLOOKUP(D1947,Product_Lookup!$A$2:$C$27,2,FALSE)</f>
        <v>Smartphone</v>
      </c>
      <c r="R1946" s="7">
        <f t="shared" si="242"/>
        <v>1125.8</v>
      </c>
    </row>
    <row r="1947" spans="1:18" ht="21.75" customHeight="1">
      <c r="A1947" t="s">
        <v>2098</v>
      </c>
      <c r="B1947" s="6">
        <v>45524</v>
      </c>
      <c r="C1947" t="s">
        <v>116</v>
      </c>
      <c r="D1947" t="s">
        <v>79</v>
      </c>
      <c r="E1947" t="s">
        <v>22</v>
      </c>
      <c r="F1947" t="s">
        <v>42</v>
      </c>
      <c r="G1947" t="s">
        <v>13</v>
      </c>
      <c r="H1947">
        <v>17</v>
      </c>
      <c r="I1947" t="str">
        <f>VLOOKUP(D1947,Product_Lookup!$A$2:$C$27,3,FALSE)</f>
        <v>$216.22</v>
      </c>
      <c r="J1947" t="str">
        <f t="shared" si="243"/>
        <v>Tuesday</v>
      </c>
      <c r="K1947" s="10" t="str">
        <f t="shared" si="244"/>
        <v>August</v>
      </c>
      <c r="L1947">
        <f t="shared" si="245"/>
        <v>2024</v>
      </c>
      <c r="M1947" t="b">
        <f t="shared" si="246"/>
        <v>0</v>
      </c>
      <c r="N1947" t="b">
        <f t="shared" si="240"/>
        <v>1</v>
      </c>
      <c r="O1947" t="str">
        <f t="shared" si="247"/>
        <v>Large Order</v>
      </c>
      <c r="P1947" s="7">
        <f t="shared" si="241"/>
        <v>10.811</v>
      </c>
      <c r="Q1947" s="7" t="str">
        <f>VLOOKUP(D1948,Product_Lookup!$A$2:$C$27,2,FALSE)</f>
        <v>Sweater</v>
      </c>
      <c r="R1947" s="7">
        <f t="shared" si="242"/>
        <v>3675.74</v>
      </c>
    </row>
    <row r="1948" spans="1:18" ht="21.75" customHeight="1">
      <c r="A1948" t="s">
        <v>2099</v>
      </c>
      <c r="B1948" s="6">
        <v>45432</v>
      </c>
      <c r="C1948" t="s">
        <v>304</v>
      </c>
      <c r="D1948" t="s">
        <v>26</v>
      </c>
      <c r="E1948" t="s">
        <v>22</v>
      </c>
      <c r="F1948" t="s">
        <v>306</v>
      </c>
      <c r="G1948" t="s">
        <v>36</v>
      </c>
      <c r="H1948">
        <v>6</v>
      </c>
      <c r="I1948" t="str">
        <f>VLOOKUP(D1948,Product_Lookup!$A$2:$C$27,3,FALSE)</f>
        <v>$84.57</v>
      </c>
      <c r="J1948" t="str">
        <f t="shared" si="243"/>
        <v>Monday</v>
      </c>
      <c r="K1948" s="10" t="str">
        <f t="shared" si="244"/>
        <v>May</v>
      </c>
      <c r="L1948">
        <f t="shared" si="245"/>
        <v>2024</v>
      </c>
      <c r="M1948" t="b">
        <f t="shared" si="246"/>
        <v>0</v>
      </c>
      <c r="N1948" t="b">
        <f t="shared" si="240"/>
        <v>0</v>
      </c>
      <c r="O1948" t="str">
        <f t="shared" si="247"/>
        <v>Large Order</v>
      </c>
      <c r="P1948" s="7">
        <f t="shared" si="241"/>
        <v>4.2284999999999995</v>
      </c>
      <c r="Q1948" s="7" t="str">
        <f>VLOOKUP(D1949,Product_Lookup!$A$2:$C$27,2,FALSE)</f>
        <v>Desk Lamp</v>
      </c>
      <c r="R1948" s="7">
        <f t="shared" si="242"/>
        <v>507.41999999999996</v>
      </c>
    </row>
    <row r="1949" spans="1:18" ht="21.75" customHeight="1">
      <c r="A1949" t="s">
        <v>2100</v>
      </c>
      <c r="B1949" s="6">
        <v>45485</v>
      </c>
      <c r="C1949" t="s">
        <v>83</v>
      </c>
      <c r="D1949" t="s">
        <v>59</v>
      </c>
      <c r="E1949" t="s">
        <v>22</v>
      </c>
      <c r="F1949" t="s">
        <v>12</v>
      </c>
      <c r="G1949" t="s">
        <v>36</v>
      </c>
      <c r="H1949">
        <v>9</v>
      </c>
      <c r="I1949" t="str">
        <f>VLOOKUP(D1949,Product_Lookup!$A$2:$C$27,3,FALSE)</f>
        <v>$101.96</v>
      </c>
      <c r="J1949" t="str">
        <f t="shared" si="243"/>
        <v>Friday</v>
      </c>
      <c r="K1949" s="10" t="str">
        <f t="shared" si="244"/>
        <v>July</v>
      </c>
      <c r="L1949">
        <f t="shared" si="245"/>
        <v>2024</v>
      </c>
      <c r="M1949" t="b">
        <f t="shared" si="246"/>
        <v>0</v>
      </c>
      <c r="N1949" t="b">
        <f t="shared" si="240"/>
        <v>1</v>
      </c>
      <c r="O1949" t="str">
        <f t="shared" si="247"/>
        <v>Large Order</v>
      </c>
      <c r="P1949" s="7">
        <f t="shared" si="241"/>
        <v>5.0979999999999999</v>
      </c>
      <c r="Q1949" s="7" t="str">
        <f>VLOOKUP(D1950,Product_Lookup!$A$2:$C$27,2,FALSE)</f>
        <v>Coffee Maker</v>
      </c>
      <c r="R1949" s="7">
        <f t="shared" si="242"/>
        <v>917.64</v>
      </c>
    </row>
    <row r="1950" spans="1:18" ht="21.75" customHeight="1">
      <c r="A1950" t="s">
        <v>2101</v>
      </c>
      <c r="B1950" s="6">
        <v>45406</v>
      </c>
      <c r="C1950" t="s">
        <v>363</v>
      </c>
      <c r="D1950" t="s">
        <v>31</v>
      </c>
      <c r="E1950" t="s">
        <v>17</v>
      </c>
      <c r="F1950" t="s">
        <v>42</v>
      </c>
      <c r="G1950" t="s">
        <v>23</v>
      </c>
      <c r="H1950">
        <v>16</v>
      </c>
      <c r="I1950" t="str">
        <f>VLOOKUP(D1950,Product_Lookup!$A$2:$C$27,3,FALSE)</f>
        <v>$230.34</v>
      </c>
      <c r="J1950" t="str">
        <f t="shared" si="243"/>
        <v>Wednesday</v>
      </c>
      <c r="K1950" s="10" t="str">
        <f t="shared" si="244"/>
        <v>April</v>
      </c>
      <c r="L1950">
        <f t="shared" si="245"/>
        <v>2024</v>
      </c>
      <c r="M1950" t="b">
        <f t="shared" si="246"/>
        <v>0</v>
      </c>
      <c r="N1950" t="b">
        <f t="shared" si="240"/>
        <v>1</v>
      </c>
      <c r="O1950" t="str">
        <f t="shared" si="247"/>
        <v>Large Order</v>
      </c>
      <c r="P1950" s="7">
        <f t="shared" si="241"/>
        <v>11.517000000000001</v>
      </c>
      <c r="Q1950" s="7" t="str">
        <f>VLOOKUP(D1951,Product_Lookup!$A$2:$C$27,2,FALSE)</f>
        <v>Headphones</v>
      </c>
      <c r="R1950" s="7">
        <f t="shared" si="242"/>
        <v>3685.44</v>
      </c>
    </row>
    <row r="1951" spans="1:18" ht="21.75" customHeight="1">
      <c r="A1951" t="s">
        <v>2102</v>
      </c>
      <c r="B1951" s="6">
        <v>45295</v>
      </c>
      <c r="C1951" t="s">
        <v>358</v>
      </c>
      <c r="D1951" t="s">
        <v>16</v>
      </c>
      <c r="E1951" t="s">
        <v>17</v>
      </c>
      <c r="F1951" t="s">
        <v>56</v>
      </c>
      <c r="G1951" t="s">
        <v>28</v>
      </c>
      <c r="H1951">
        <v>3</v>
      </c>
      <c r="I1951" t="str">
        <f>VLOOKUP(D1951,Product_Lookup!$A$2:$C$27,3,FALSE)</f>
        <v>$178.83</v>
      </c>
      <c r="J1951" t="str">
        <f t="shared" si="243"/>
        <v>Thursday</v>
      </c>
      <c r="K1951" s="10" t="str">
        <f t="shared" si="244"/>
        <v>January</v>
      </c>
      <c r="L1951">
        <f t="shared" si="245"/>
        <v>2024</v>
      </c>
      <c r="M1951" t="b">
        <f t="shared" si="246"/>
        <v>0</v>
      </c>
      <c r="N1951" t="b">
        <f t="shared" si="240"/>
        <v>0</v>
      </c>
      <c r="O1951" t="str">
        <f t="shared" si="247"/>
        <v>Large Order</v>
      </c>
      <c r="P1951" s="7">
        <f t="shared" si="241"/>
        <v>8.9415000000000013</v>
      </c>
      <c r="Q1951" s="7" t="str">
        <f>VLOOKUP(D1952,Product_Lookup!$A$2:$C$27,2,FALSE)</f>
        <v>Headphones</v>
      </c>
      <c r="R1951" s="7">
        <f t="shared" si="242"/>
        <v>536.49</v>
      </c>
    </row>
    <row r="1952" spans="1:18" ht="21.75" customHeight="1">
      <c r="A1952" t="s">
        <v>2103</v>
      </c>
      <c r="B1952" s="6">
        <v>45435</v>
      </c>
      <c r="C1952" t="s">
        <v>133</v>
      </c>
      <c r="D1952" t="s">
        <v>16</v>
      </c>
      <c r="E1952" t="s">
        <v>11</v>
      </c>
      <c r="F1952" t="s">
        <v>56</v>
      </c>
      <c r="G1952" t="s">
        <v>32</v>
      </c>
      <c r="H1952">
        <v>20</v>
      </c>
      <c r="I1952" t="str">
        <f>VLOOKUP(D1952,Product_Lookup!$A$2:$C$27,3,FALSE)</f>
        <v>$178.83</v>
      </c>
      <c r="J1952" t="str">
        <f t="shared" si="243"/>
        <v>Thursday</v>
      </c>
      <c r="K1952" s="10" t="str">
        <f t="shared" si="244"/>
        <v>May</v>
      </c>
      <c r="L1952">
        <f t="shared" si="245"/>
        <v>2024</v>
      </c>
      <c r="M1952" t="b">
        <f t="shared" si="246"/>
        <v>0</v>
      </c>
      <c r="N1952" t="b">
        <f t="shared" si="240"/>
        <v>1</v>
      </c>
      <c r="O1952" t="str">
        <f t="shared" si="247"/>
        <v>Large Order</v>
      </c>
      <c r="P1952" s="7">
        <f t="shared" si="241"/>
        <v>8.9415000000000013</v>
      </c>
      <c r="Q1952" s="7" t="str">
        <f>VLOOKUP(D1953,Product_Lookup!$A$2:$C$27,2,FALSE)</f>
        <v>Jacket</v>
      </c>
      <c r="R1952" s="7">
        <f t="shared" si="242"/>
        <v>3576.6000000000004</v>
      </c>
    </row>
    <row r="1953" spans="1:18" ht="21.75" customHeight="1">
      <c r="A1953" t="s">
        <v>2104</v>
      </c>
      <c r="B1953" s="6">
        <v>45352</v>
      </c>
      <c r="C1953" t="s">
        <v>371</v>
      </c>
      <c r="D1953" t="s">
        <v>197</v>
      </c>
      <c r="E1953" t="s">
        <v>17</v>
      </c>
      <c r="F1953" t="s">
        <v>42</v>
      </c>
      <c r="G1953" t="s">
        <v>13</v>
      </c>
      <c r="H1953">
        <v>16</v>
      </c>
      <c r="I1953" t="str">
        <f>VLOOKUP(D1953,Product_Lookup!$A$2:$C$27,3,FALSE)</f>
        <v>$10.11</v>
      </c>
      <c r="J1953" t="str">
        <f t="shared" si="243"/>
        <v>Friday</v>
      </c>
      <c r="K1953" s="10" t="str">
        <f t="shared" si="244"/>
        <v>March</v>
      </c>
      <c r="L1953">
        <f t="shared" si="245"/>
        <v>2024</v>
      </c>
      <c r="M1953" t="b">
        <f t="shared" si="246"/>
        <v>0</v>
      </c>
      <c r="N1953" t="b">
        <f t="shared" si="240"/>
        <v>0</v>
      </c>
      <c r="O1953" t="str">
        <f t="shared" si="247"/>
        <v>Standard order</v>
      </c>
      <c r="P1953" s="7">
        <f t="shared" si="241"/>
        <v>0.50549999999999995</v>
      </c>
      <c r="Q1953" s="7" t="str">
        <f>VLOOKUP(D1954,Product_Lookup!$A$2:$C$27,2,FALSE)</f>
        <v>Desk Lamp</v>
      </c>
      <c r="R1953" s="7">
        <f t="shared" si="242"/>
        <v>161.76</v>
      </c>
    </row>
    <row r="1954" spans="1:18" ht="21.75" customHeight="1">
      <c r="A1954" t="s">
        <v>2105</v>
      </c>
      <c r="B1954" s="6">
        <v>45537</v>
      </c>
      <c r="C1954" t="s">
        <v>95</v>
      </c>
      <c r="D1954" t="s">
        <v>59</v>
      </c>
      <c r="E1954" t="s">
        <v>11</v>
      </c>
      <c r="F1954" t="s">
        <v>27</v>
      </c>
      <c r="G1954" t="s">
        <v>13</v>
      </c>
      <c r="H1954">
        <v>8</v>
      </c>
      <c r="I1954" t="str">
        <f>VLOOKUP(D1954,Product_Lookup!$A$2:$C$27,3,FALSE)</f>
        <v>$101.96</v>
      </c>
      <c r="J1954" t="str">
        <f t="shared" si="243"/>
        <v>Monday</v>
      </c>
      <c r="K1954" s="10" t="str">
        <f t="shared" si="244"/>
        <v>September</v>
      </c>
      <c r="L1954">
        <f t="shared" si="245"/>
        <v>2024</v>
      </c>
      <c r="M1954" t="b">
        <f t="shared" si="246"/>
        <v>0</v>
      </c>
      <c r="N1954" t="b">
        <f t="shared" si="240"/>
        <v>1</v>
      </c>
      <c r="O1954" t="str">
        <f t="shared" si="247"/>
        <v>Large Order</v>
      </c>
      <c r="P1954" s="7">
        <f t="shared" si="241"/>
        <v>5.0979999999999999</v>
      </c>
      <c r="Q1954" s="7" t="str">
        <f>VLOOKUP(D1955,Product_Lookup!$A$2:$C$27,2,FALSE)</f>
        <v>T-Shirt</v>
      </c>
      <c r="R1954" s="7">
        <f t="shared" si="242"/>
        <v>815.68</v>
      </c>
    </row>
    <row r="1955" spans="1:18" ht="21.75" customHeight="1">
      <c r="A1955" t="s">
        <v>2106</v>
      </c>
      <c r="B1955" s="6">
        <v>45585</v>
      </c>
      <c r="C1955" t="s">
        <v>449</v>
      </c>
      <c r="D1955" t="s">
        <v>45</v>
      </c>
      <c r="E1955" t="s">
        <v>11</v>
      </c>
      <c r="F1955" t="s">
        <v>306</v>
      </c>
      <c r="G1955" t="s">
        <v>13</v>
      </c>
      <c r="H1955">
        <v>19</v>
      </c>
      <c r="I1955" t="str">
        <f>VLOOKUP(D1955,Product_Lookup!$A$2:$C$27,3,FALSE)</f>
        <v>$107.34</v>
      </c>
      <c r="J1955" t="str">
        <f t="shared" si="243"/>
        <v>Sunday</v>
      </c>
      <c r="K1955" s="10" t="str">
        <f t="shared" si="244"/>
        <v>October</v>
      </c>
      <c r="L1955">
        <f t="shared" si="245"/>
        <v>2024</v>
      </c>
      <c r="M1955" t="b">
        <f t="shared" si="246"/>
        <v>1</v>
      </c>
      <c r="N1955" t="b">
        <f t="shared" si="240"/>
        <v>1</v>
      </c>
      <c r="O1955" t="str">
        <f t="shared" si="247"/>
        <v>Large Order</v>
      </c>
      <c r="P1955" s="7">
        <f t="shared" si="241"/>
        <v>5.3670000000000009</v>
      </c>
      <c r="Q1955" s="7" t="str">
        <f>VLOOKUP(D1956,Product_Lookup!$A$2:$C$27,2,FALSE)</f>
        <v>T-Shirt</v>
      </c>
      <c r="R1955" s="7">
        <f t="shared" si="242"/>
        <v>2039.46</v>
      </c>
    </row>
    <row r="1956" spans="1:18" ht="21.75" customHeight="1">
      <c r="A1956" t="s">
        <v>2107</v>
      </c>
      <c r="B1956" s="6">
        <v>45377</v>
      </c>
      <c r="C1956" t="s">
        <v>86</v>
      </c>
      <c r="D1956" t="s">
        <v>45</v>
      </c>
      <c r="E1956" t="s">
        <v>22</v>
      </c>
      <c r="F1956" t="s">
        <v>27</v>
      </c>
      <c r="G1956" t="s">
        <v>36</v>
      </c>
      <c r="H1956">
        <v>19</v>
      </c>
      <c r="I1956" t="str">
        <f>VLOOKUP(D1956,Product_Lookup!$A$2:$C$27,3,FALSE)</f>
        <v>$107.34</v>
      </c>
      <c r="J1956" t="str">
        <f t="shared" si="243"/>
        <v>Tuesday</v>
      </c>
      <c r="K1956" s="10" t="str">
        <f t="shared" si="244"/>
        <v>March</v>
      </c>
      <c r="L1956">
        <f t="shared" si="245"/>
        <v>2024</v>
      </c>
      <c r="M1956" t="b">
        <f t="shared" si="246"/>
        <v>0</v>
      </c>
      <c r="N1956" t="b">
        <f t="shared" si="240"/>
        <v>1</v>
      </c>
      <c r="O1956" t="str">
        <f t="shared" si="247"/>
        <v>Large Order</v>
      </c>
      <c r="P1956" s="7">
        <f t="shared" si="241"/>
        <v>5.3670000000000009</v>
      </c>
      <c r="Q1956" s="7" t="str">
        <f>VLOOKUP(D1957,Product_Lookup!$A$2:$C$27,2,FALSE)</f>
        <v>Tablet</v>
      </c>
      <c r="R1956" s="7">
        <f t="shared" si="242"/>
        <v>2039.46</v>
      </c>
    </row>
    <row r="1957" spans="1:18" ht="21.75" customHeight="1">
      <c r="A1957" t="s">
        <v>2108</v>
      </c>
      <c r="B1957" s="6">
        <v>45630</v>
      </c>
      <c r="C1957" t="s">
        <v>55</v>
      </c>
      <c r="D1957" t="s">
        <v>10</v>
      </c>
      <c r="E1957" t="s">
        <v>11</v>
      </c>
      <c r="F1957" t="s">
        <v>27</v>
      </c>
      <c r="G1957" t="s">
        <v>36</v>
      </c>
      <c r="H1957">
        <v>16</v>
      </c>
      <c r="I1957" t="str">
        <f>VLOOKUP(D1957,Product_Lookup!$A$2:$C$27,3,FALSE)</f>
        <v>$146.06</v>
      </c>
      <c r="J1957" t="str">
        <f t="shared" si="243"/>
        <v>Wednesday</v>
      </c>
      <c r="K1957" s="10" t="str">
        <f t="shared" si="244"/>
        <v>December</v>
      </c>
      <c r="L1957">
        <f t="shared" si="245"/>
        <v>2024</v>
      </c>
      <c r="M1957" t="b">
        <f t="shared" si="246"/>
        <v>0</v>
      </c>
      <c r="N1957" t="b">
        <f t="shared" si="240"/>
        <v>1</v>
      </c>
      <c r="O1957" t="str">
        <f t="shared" si="247"/>
        <v>Large Order</v>
      </c>
      <c r="P1957" s="7">
        <f t="shared" si="241"/>
        <v>7.3030000000000008</v>
      </c>
      <c r="Q1957" s="7" t="str">
        <f>VLOOKUP(D1958,Product_Lookup!$A$2:$C$27,2,FALSE)</f>
        <v>Vacuum</v>
      </c>
      <c r="R1957" s="7">
        <f t="shared" si="242"/>
        <v>2336.96</v>
      </c>
    </row>
    <row r="1958" spans="1:18" ht="21.75" customHeight="1">
      <c r="A1958" t="s">
        <v>2109</v>
      </c>
      <c r="B1958" s="6">
        <v>45379</v>
      </c>
      <c r="C1958" t="s">
        <v>240</v>
      </c>
      <c r="D1958" t="s">
        <v>87</v>
      </c>
      <c r="E1958" t="s">
        <v>22</v>
      </c>
      <c r="F1958" t="s">
        <v>56</v>
      </c>
      <c r="G1958" t="s">
        <v>36</v>
      </c>
      <c r="H1958">
        <v>6</v>
      </c>
      <c r="I1958" t="str">
        <f>VLOOKUP(D1958,Product_Lookup!$A$2:$C$27,3,FALSE)</f>
        <v>$26.59</v>
      </c>
      <c r="J1958" t="str">
        <f t="shared" si="243"/>
        <v>Thursday</v>
      </c>
      <c r="K1958" s="10" t="str">
        <f t="shared" si="244"/>
        <v>March</v>
      </c>
      <c r="L1958">
        <f t="shared" si="245"/>
        <v>2024</v>
      </c>
      <c r="M1958" t="b">
        <f t="shared" si="246"/>
        <v>0</v>
      </c>
      <c r="N1958" t="b">
        <f t="shared" si="240"/>
        <v>0</v>
      </c>
      <c r="O1958" t="str">
        <f t="shared" si="247"/>
        <v>Standard order</v>
      </c>
      <c r="P1958" s="7">
        <f t="shared" si="241"/>
        <v>1.3295000000000001</v>
      </c>
      <c r="Q1958" s="7" t="str">
        <f>VLOOKUP(D1959,Product_Lookup!$A$2:$C$27,2,FALSE)</f>
        <v>T-Shirt</v>
      </c>
      <c r="R1958" s="7">
        <f t="shared" si="242"/>
        <v>159.54</v>
      </c>
    </row>
    <row r="1959" spans="1:18" ht="21.75" customHeight="1">
      <c r="A1959" t="s">
        <v>2110</v>
      </c>
      <c r="B1959" s="6">
        <v>45553</v>
      </c>
      <c r="C1959" t="s">
        <v>86</v>
      </c>
      <c r="D1959" t="s">
        <v>45</v>
      </c>
      <c r="E1959" t="s">
        <v>22</v>
      </c>
      <c r="F1959" t="s">
        <v>42</v>
      </c>
      <c r="G1959" t="s">
        <v>23</v>
      </c>
      <c r="H1959">
        <v>20</v>
      </c>
      <c r="I1959" t="str">
        <f>VLOOKUP(D1959,Product_Lookup!$A$2:$C$27,3,FALSE)</f>
        <v>$107.34</v>
      </c>
      <c r="J1959" t="str">
        <f t="shared" si="243"/>
        <v>Wednesday</v>
      </c>
      <c r="K1959" s="10" t="str">
        <f t="shared" si="244"/>
        <v>September</v>
      </c>
      <c r="L1959">
        <f t="shared" si="245"/>
        <v>2024</v>
      </c>
      <c r="M1959" t="b">
        <f t="shared" si="246"/>
        <v>0</v>
      </c>
      <c r="N1959" t="b">
        <f t="shared" si="240"/>
        <v>1</v>
      </c>
      <c r="O1959" t="str">
        <f t="shared" si="247"/>
        <v>Large Order</v>
      </c>
      <c r="P1959" s="7">
        <f t="shared" si="241"/>
        <v>5.3670000000000009</v>
      </c>
      <c r="Q1959" s="7" t="str">
        <f>VLOOKUP(D1960,Product_Lookup!$A$2:$C$27,2,FALSE)</f>
        <v>Coffee Maker</v>
      </c>
      <c r="R1959" s="7">
        <f t="shared" si="242"/>
        <v>2146.8000000000002</v>
      </c>
    </row>
    <row r="1960" spans="1:18" ht="21.75" customHeight="1">
      <c r="A1960" t="s">
        <v>2111</v>
      </c>
      <c r="B1960" s="6">
        <v>45409</v>
      </c>
      <c r="C1960" t="s">
        <v>159</v>
      </c>
      <c r="D1960" t="s">
        <v>31</v>
      </c>
      <c r="E1960" t="s">
        <v>11</v>
      </c>
      <c r="F1960" t="s">
        <v>12</v>
      </c>
      <c r="G1960" t="s">
        <v>13</v>
      </c>
      <c r="H1960">
        <v>7</v>
      </c>
      <c r="I1960" t="str">
        <f>VLOOKUP(D1960,Product_Lookup!$A$2:$C$27,3,FALSE)</f>
        <v>$230.34</v>
      </c>
      <c r="J1960" t="str">
        <f t="shared" si="243"/>
        <v>Saturday</v>
      </c>
      <c r="K1960" s="10" t="str">
        <f t="shared" si="244"/>
        <v>April</v>
      </c>
      <c r="L1960">
        <f t="shared" si="245"/>
        <v>2024</v>
      </c>
      <c r="M1960" t="b">
        <f t="shared" si="246"/>
        <v>1</v>
      </c>
      <c r="N1960" t="b">
        <f t="shared" si="240"/>
        <v>1</v>
      </c>
      <c r="O1960" t="str">
        <f t="shared" si="247"/>
        <v>Large Order</v>
      </c>
      <c r="P1960" s="7">
        <f t="shared" si="241"/>
        <v>11.517000000000001</v>
      </c>
      <c r="Q1960" s="7" t="str">
        <f>VLOOKUP(D1961,Product_Lookup!$A$2:$C$27,2,FALSE)</f>
        <v>Vacuum</v>
      </c>
      <c r="R1960" s="7">
        <f t="shared" si="242"/>
        <v>1612.38</v>
      </c>
    </row>
    <row r="1961" spans="1:18" ht="21.75" customHeight="1">
      <c r="A1961" t="s">
        <v>2112</v>
      </c>
      <c r="B1961" s="6">
        <v>45550</v>
      </c>
      <c r="C1961" t="s">
        <v>455</v>
      </c>
      <c r="D1961" t="s">
        <v>87</v>
      </c>
      <c r="E1961" t="s">
        <v>11</v>
      </c>
      <c r="F1961" t="s">
        <v>306</v>
      </c>
      <c r="G1961" t="s">
        <v>13</v>
      </c>
      <c r="H1961">
        <v>6</v>
      </c>
      <c r="I1961" t="str">
        <f>VLOOKUP(D1961,Product_Lookup!$A$2:$C$27,3,FALSE)</f>
        <v>$26.59</v>
      </c>
      <c r="J1961" t="str">
        <f t="shared" si="243"/>
        <v>Sunday</v>
      </c>
      <c r="K1961" s="10" t="str">
        <f t="shared" si="244"/>
        <v>September</v>
      </c>
      <c r="L1961">
        <f t="shared" si="245"/>
        <v>2024</v>
      </c>
      <c r="M1961" t="b">
        <f t="shared" si="246"/>
        <v>1</v>
      </c>
      <c r="N1961" t="b">
        <f t="shared" si="240"/>
        <v>0</v>
      </c>
      <c r="O1961" t="str">
        <f t="shared" si="247"/>
        <v>Standard order</v>
      </c>
      <c r="P1961" s="7">
        <f t="shared" si="241"/>
        <v>1.3295000000000001</v>
      </c>
      <c r="Q1961" s="7" t="str">
        <f>VLOOKUP(D1962,Product_Lookup!$A$2:$C$27,2,FALSE)</f>
        <v>Smartphone</v>
      </c>
      <c r="R1961" s="7">
        <f t="shared" si="242"/>
        <v>159.54</v>
      </c>
    </row>
    <row r="1962" spans="1:18" ht="21.75" customHeight="1">
      <c r="A1962" t="s">
        <v>2113</v>
      </c>
      <c r="B1962" s="6">
        <v>45606</v>
      </c>
      <c r="C1962" t="s">
        <v>327</v>
      </c>
      <c r="D1962" t="s">
        <v>79</v>
      </c>
      <c r="E1962" t="s">
        <v>22</v>
      </c>
      <c r="F1962" t="s">
        <v>306</v>
      </c>
      <c r="G1962" t="s">
        <v>13</v>
      </c>
      <c r="H1962">
        <v>3</v>
      </c>
      <c r="I1962" t="str">
        <f>VLOOKUP(D1962,Product_Lookup!$A$2:$C$27,3,FALSE)</f>
        <v>$216.22</v>
      </c>
      <c r="J1962" t="str">
        <f t="shared" si="243"/>
        <v>Sunday</v>
      </c>
      <c r="K1962" s="10" t="str">
        <f t="shared" si="244"/>
        <v>November</v>
      </c>
      <c r="L1962">
        <f t="shared" si="245"/>
        <v>2024</v>
      </c>
      <c r="M1962" t="b">
        <f t="shared" si="246"/>
        <v>1</v>
      </c>
      <c r="N1962" t="b">
        <f t="shared" si="240"/>
        <v>0</v>
      </c>
      <c r="O1962" t="str">
        <f t="shared" si="247"/>
        <v>Large Order</v>
      </c>
      <c r="P1962" s="7">
        <f t="shared" si="241"/>
        <v>10.811</v>
      </c>
      <c r="Q1962" s="7" t="str">
        <f>VLOOKUP(D1963,Product_Lookup!$A$2:$C$27,2,FALSE)</f>
        <v>Pen Set</v>
      </c>
      <c r="R1962" s="7">
        <f t="shared" si="242"/>
        <v>648.66</v>
      </c>
    </row>
    <row r="1963" spans="1:18" ht="21.75" customHeight="1">
      <c r="A1963" t="s">
        <v>2114</v>
      </c>
      <c r="B1963" s="6">
        <v>45358</v>
      </c>
      <c r="C1963" t="s">
        <v>493</v>
      </c>
      <c r="D1963" t="s">
        <v>174</v>
      </c>
      <c r="E1963" t="s">
        <v>11</v>
      </c>
      <c r="F1963" t="s">
        <v>27</v>
      </c>
      <c r="G1963" t="s">
        <v>36</v>
      </c>
      <c r="H1963">
        <v>14</v>
      </c>
      <c r="I1963" t="str">
        <f>VLOOKUP(D1963,Product_Lookup!$A$2:$C$27,3,FALSE)</f>
        <v>$133.37</v>
      </c>
      <c r="J1963" t="str">
        <f t="shared" si="243"/>
        <v>Thursday</v>
      </c>
      <c r="K1963" s="10" t="str">
        <f t="shared" si="244"/>
        <v>March</v>
      </c>
      <c r="L1963">
        <f t="shared" si="245"/>
        <v>2024</v>
      </c>
      <c r="M1963" t="b">
        <f t="shared" si="246"/>
        <v>0</v>
      </c>
      <c r="N1963" t="b">
        <f t="shared" si="240"/>
        <v>1</v>
      </c>
      <c r="O1963" t="str">
        <f t="shared" si="247"/>
        <v>Large Order</v>
      </c>
      <c r="P1963" s="7">
        <f t="shared" si="241"/>
        <v>6.6685000000000008</v>
      </c>
      <c r="Q1963" s="7" t="str">
        <f>VLOOKUP(D1964,Product_Lookup!$A$2:$C$27,2,FALSE)</f>
        <v>Notebook</v>
      </c>
      <c r="R1963" s="7">
        <f t="shared" si="242"/>
        <v>1867.18</v>
      </c>
    </row>
    <row r="1964" spans="1:18" ht="21.75" customHeight="1">
      <c r="A1964" t="s">
        <v>2115</v>
      </c>
      <c r="B1964" s="6">
        <v>45314</v>
      </c>
      <c r="C1964" t="s">
        <v>424</v>
      </c>
      <c r="D1964" t="s">
        <v>160</v>
      </c>
      <c r="E1964" t="s">
        <v>17</v>
      </c>
      <c r="F1964" t="s">
        <v>56</v>
      </c>
      <c r="G1964" t="s">
        <v>23</v>
      </c>
      <c r="H1964">
        <v>13</v>
      </c>
      <c r="I1964" t="str">
        <f>VLOOKUP(D1964,Product_Lookup!$A$2:$C$27,3,FALSE)</f>
        <v>$149.27</v>
      </c>
      <c r="J1964" t="str">
        <f t="shared" si="243"/>
        <v>Tuesday</v>
      </c>
      <c r="K1964" s="10" t="str">
        <f t="shared" si="244"/>
        <v>January</v>
      </c>
      <c r="L1964">
        <f t="shared" si="245"/>
        <v>2024</v>
      </c>
      <c r="M1964" t="b">
        <f t="shared" si="246"/>
        <v>0</v>
      </c>
      <c r="N1964" t="b">
        <f t="shared" si="240"/>
        <v>1</v>
      </c>
      <c r="O1964" t="str">
        <f t="shared" si="247"/>
        <v>Large Order</v>
      </c>
      <c r="P1964" s="7">
        <f t="shared" si="241"/>
        <v>7.4635000000000007</v>
      </c>
      <c r="Q1964" s="7" t="str">
        <f>VLOOKUP(D1965,Product_Lookup!$A$2:$C$27,2,FALSE)</f>
        <v>Monitor</v>
      </c>
      <c r="R1964" s="7">
        <f t="shared" si="242"/>
        <v>1940.5100000000002</v>
      </c>
    </row>
    <row r="1965" spans="1:18" ht="21.75" customHeight="1">
      <c r="A1965" t="s">
        <v>2116</v>
      </c>
      <c r="B1965" s="6">
        <v>45648</v>
      </c>
      <c r="C1965" t="s">
        <v>314</v>
      </c>
      <c r="D1965" t="s">
        <v>102</v>
      </c>
      <c r="E1965" t="s">
        <v>17</v>
      </c>
      <c r="F1965" t="s">
        <v>56</v>
      </c>
      <c r="G1965" t="s">
        <v>32</v>
      </c>
      <c r="H1965">
        <v>16</v>
      </c>
      <c r="I1965" t="str">
        <f>VLOOKUP(D1965,Product_Lookup!$A$2:$C$27,3,FALSE)</f>
        <v>$145.48</v>
      </c>
      <c r="J1965" t="str">
        <f t="shared" si="243"/>
        <v>Sunday</v>
      </c>
      <c r="K1965" s="10" t="str">
        <f t="shared" si="244"/>
        <v>December</v>
      </c>
      <c r="L1965">
        <f t="shared" si="245"/>
        <v>2024</v>
      </c>
      <c r="M1965" t="b">
        <f t="shared" si="246"/>
        <v>1</v>
      </c>
      <c r="N1965" t="b">
        <f t="shared" si="240"/>
        <v>1</v>
      </c>
      <c r="O1965" t="str">
        <f t="shared" si="247"/>
        <v>Large Order</v>
      </c>
      <c r="P1965" s="7">
        <f t="shared" si="241"/>
        <v>7.274</v>
      </c>
      <c r="Q1965" s="7" t="str">
        <f>VLOOKUP(D1966,Product_Lookup!$A$2:$C$27,2,FALSE)</f>
        <v>Paper Shredder</v>
      </c>
      <c r="R1965" s="7">
        <f t="shared" si="242"/>
        <v>2327.6799999999998</v>
      </c>
    </row>
    <row r="1966" spans="1:18" ht="21.75" customHeight="1">
      <c r="A1966" t="s">
        <v>2117</v>
      </c>
      <c r="B1966" s="6">
        <v>45334</v>
      </c>
      <c r="C1966" t="s">
        <v>55</v>
      </c>
      <c r="D1966" t="s">
        <v>109</v>
      </c>
      <c r="E1966" t="s">
        <v>22</v>
      </c>
      <c r="F1966" t="s">
        <v>27</v>
      </c>
      <c r="G1966" t="s">
        <v>32</v>
      </c>
      <c r="H1966">
        <v>7</v>
      </c>
      <c r="I1966" t="str">
        <f>VLOOKUP(D1966,Product_Lookup!$A$2:$C$27,3,FALSE)</f>
        <v>$81.02</v>
      </c>
      <c r="J1966" t="str">
        <f t="shared" si="243"/>
        <v>Monday</v>
      </c>
      <c r="K1966" s="10" t="str">
        <f t="shared" si="244"/>
        <v>February</v>
      </c>
      <c r="L1966">
        <f t="shared" si="245"/>
        <v>2024</v>
      </c>
      <c r="M1966" t="b">
        <f t="shared" si="246"/>
        <v>0</v>
      </c>
      <c r="N1966" t="b">
        <f t="shared" si="240"/>
        <v>0</v>
      </c>
      <c r="O1966" t="str">
        <f t="shared" si="247"/>
        <v>Large Order</v>
      </c>
      <c r="P1966" s="7">
        <f t="shared" si="241"/>
        <v>4.0510000000000002</v>
      </c>
      <c r="Q1966" s="7" t="str">
        <f>VLOOKUP(D1967,Product_Lookup!$A$2:$C$27,2,FALSE)</f>
        <v>Notebook</v>
      </c>
      <c r="R1966" s="7">
        <f t="shared" si="242"/>
        <v>567.14</v>
      </c>
    </row>
    <row r="1967" spans="1:18" ht="21.75" customHeight="1">
      <c r="A1967" t="s">
        <v>2118</v>
      </c>
      <c r="B1967" s="6">
        <v>45295</v>
      </c>
      <c r="C1967" t="s">
        <v>314</v>
      </c>
      <c r="D1967" t="s">
        <v>160</v>
      </c>
      <c r="E1967" t="s">
        <v>11</v>
      </c>
      <c r="F1967" t="s">
        <v>306</v>
      </c>
      <c r="G1967" t="s">
        <v>13</v>
      </c>
      <c r="H1967">
        <v>13</v>
      </c>
      <c r="I1967" t="str">
        <f>VLOOKUP(D1967,Product_Lookup!$A$2:$C$27,3,FALSE)</f>
        <v>$149.27</v>
      </c>
      <c r="J1967" t="str">
        <f t="shared" si="243"/>
        <v>Thursday</v>
      </c>
      <c r="K1967" s="10" t="str">
        <f t="shared" si="244"/>
        <v>January</v>
      </c>
      <c r="L1967">
        <f t="shared" si="245"/>
        <v>2024</v>
      </c>
      <c r="M1967" t="b">
        <f t="shared" si="246"/>
        <v>0</v>
      </c>
      <c r="N1967" t="b">
        <f t="shared" si="240"/>
        <v>1</v>
      </c>
      <c r="O1967" t="str">
        <f t="shared" si="247"/>
        <v>Large Order</v>
      </c>
      <c r="P1967" s="7">
        <f t="shared" si="241"/>
        <v>7.4635000000000007</v>
      </c>
      <c r="Q1967" s="7" t="str">
        <f>VLOOKUP(D1968,Product_Lookup!$A$2:$C$27,2,FALSE)</f>
        <v>Vacuum</v>
      </c>
      <c r="R1967" s="7">
        <f t="shared" si="242"/>
        <v>1940.5100000000002</v>
      </c>
    </row>
    <row r="1968" spans="1:18" ht="21.75" customHeight="1">
      <c r="A1968" t="s">
        <v>2119</v>
      </c>
      <c r="B1968" s="6">
        <v>45644</v>
      </c>
      <c r="C1968" t="s">
        <v>38</v>
      </c>
      <c r="D1968" t="s">
        <v>87</v>
      </c>
      <c r="E1968" t="s">
        <v>17</v>
      </c>
      <c r="F1968" t="s">
        <v>12</v>
      </c>
      <c r="G1968" t="s">
        <v>28</v>
      </c>
      <c r="H1968">
        <v>14</v>
      </c>
      <c r="I1968" t="str">
        <f>VLOOKUP(D1968,Product_Lookup!$A$2:$C$27,3,FALSE)</f>
        <v>$26.59</v>
      </c>
      <c r="J1968" t="str">
        <f t="shared" si="243"/>
        <v>Wednesday</v>
      </c>
      <c r="K1968" s="10" t="str">
        <f t="shared" si="244"/>
        <v>December</v>
      </c>
      <c r="L1968">
        <f t="shared" si="245"/>
        <v>2024</v>
      </c>
      <c r="M1968" t="b">
        <f t="shared" si="246"/>
        <v>0</v>
      </c>
      <c r="N1968" t="b">
        <f t="shared" si="240"/>
        <v>0</v>
      </c>
      <c r="O1968" t="str">
        <f t="shared" si="247"/>
        <v>Standard order</v>
      </c>
      <c r="P1968" s="7">
        <f t="shared" si="241"/>
        <v>1.3295000000000001</v>
      </c>
      <c r="Q1968" s="7" t="str">
        <f>VLOOKUP(D1969,Product_Lookup!$A$2:$C$27,2,FALSE)</f>
        <v>Pen Set</v>
      </c>
      <c r="R1968" s="7">
        <f t="shared" si="242"/>
        <v>372.26</v>
      </c>
    </row>
    <row r="1969" spans="1:18" ht="21.75" customHeight="1">
      <c r="A1969" t="s">
        <v>2120</v>
      </c>
      <c r="B1969" s="6">
        <v>45421</v>
      </c>
      <c r="C1969" t="s">
        <v>86</v>
      </c>
      <c r="D1969" t="s">
        <v>174</v>
      </c>
      <c r="E1969" t="s">
        <v>17</v>
      </c>
      <c r="F1969" t="s">
        <v>306</v>
      </c>
      <c r="G1969" t="s">
        <v>32</v>
      </c>
      <c r="H1969">
        <v>20</v>
      </c>
      <c r="I1969" t="str">
        <f>VLOOKUP(D1969,Product_Lookup!$A$2:$C$27,3,FALSE)</f>
        <v>$133.37</v>
      </c>
      <c r="J1969" t="str">
        <f t="shared" si="243"/>
        <v>Thursday</v>
      </c>
      <c r="K1969" s="10" t="str">
        <f t="shared" si="244"/>
        <v>May</v>
      </c>
      <c r="L1969">
        <f t="shared" si="245"/>
        <v>2024</v>
      </c>
      <c r="M1969" t="b">
        <f t="shared" si="246"/>
        <v>0</v>
      </c>
      <c r="N1969" t="b">
        <f t="shared" si="240"/>
        <v>1</v>
      </c>
      <c r="O1969" t="str">
        <f t="shared" si="247"/>
        <v>Large Order</v>
      </c>
      <c r="P1969" s="7">
        <f t="shared" si="241"/>
        <v>6.6685000000000008</v>
      </c>
      <c r="Q1969" s="7" t="str">
        <f>VLOOKUP(D1970,Product_Lookup!$A$2:$C$27,2,FALSE)</f>
        <v>Doll</v>
      </c>
      <c r="R1969" s="7">
        <f t="shared" si="242"/>
        <v>2667.4</v>
      </c>
    </row>
    <row r="1970" spans="1:18" ht="21.75" customHeight="1">
      <c r="A1970" t="s">
        <v>2121</v>
      </c>
      <c r="B1970" s="6">
        <v>45640</v>
      </c>
      <c r="C1970" t="s">
        <v>106</v>
      </c>
      <c r="D1970" t="s">
        <v>119</v>
      </c>
      <c r="E1970" t="s">
        <v>11</v>
      </c>
      <c r="F1970" t="s">
        <v>27</v>
      </c>
      <c r="G1970" t="s">
        <v>36</v>
      </c>
      <c r="H1970">
        <v>18</v>
      </c>
      <c r="I1970" t="str">
        <f>VLOOKUP(D1970,Product_Lookup!$A$2:$C$27,3,FALSE)</f>
        <v>$32.94</v>
      </c>
      <c r="J1970" t="str">
        <f t="shared" si="243"/>
        <v>Saturday</v>
      </c>
      <c r="K1970" s="10" t="str">
        <f t="shared" si="244"/>
        <v>December</v>
      </c>
      <c r="L1970">
        <f t="shared" si="245"/>
        <v>2024</v>
      </c>
      <c r="M1970" t="b">
        <f t="shared" si="246"/>
        <v>1</v>
      </c>
      <c r="N1970" t="b">
        <f t="shared" si="240"/>
        <v>0</v>
      </c>
      <c r="O1970" t="str">
        <f t="shared" si="247"/>
        <v>Large Order</v>
      </c>
      <c r="P1970" s="7">
        <f t="shared" si="241"/>
        <v>1.647</v>
      </c>
      <c r="Q1970" s="7" t="str">
        <f>VLOOKUP(D1971,Product_Lookup!$A$2:$C$27,2,FALSE)</f>
        <v>Pen Set</v>
      </c>
      <c r="R1970" s="7">
        <f t="shared" si="242"/>
        <v>592.91999999999996</v>
      </c>
    </row>
    <row r="1971" spans="1:18" ht="21.75" customHeight="1">
      <c r="A1971" t="s">
        <v>2122</v>
      </c>
      <c r="B1971" s="6">
        <v>45481</v>
      </c>
      <c r="C1971" t="s">
        <v>642</v>
      </c>
      <c r="D1971" t="s">
        <v>174</v>
      </c>
      <c r="E1971" t="s">
        <v>17</v>
      </c>
      <c r="F1971" t="s">
        <v>42</v>
      </c>
      <c r="G1971" t="s">
        <v>32</v>
      </c>
      <c r="H1971">
        <v>19</v>
      </c>
      <c r="I1971" t="str">
        <f>VLOOKUP(D1971,Product_Lookup!$A$2:$C$27,3,FALSE)</f>
        <v>$133.37</v>
      </c>
      <c r="J1971" t="str">
        <f t="shared" si="243"/>
        <v>Monday</v>
      </c>
      <c r="K1971" s="10" t="str">
        <f t="shared" si="244"/>
        <v>July</v>
      </c>
      <c r="L1971">
        <f t="shared" si="245"/>
        <v>2024</v>
      </c>
      <c r="M1971" t="b">
        <f t="shared" si="246"/>
        <v>0</v>
      </c>
      <c r="N1971" t="b">
        <f t="shared" si="240"/>
        <v>1</v>
      </c>
      <c r="O1971" t="str">
        <f t="shared" si="247"/>
        <v>Large Order</v>
      </c>
      <c r="P1971" s="7">
        <f t="shared" si="241"/>
        <v>6.6685000000000008</v>
      </c>
      <c r="Q1971" s="7" t="str">
        <f>VLOOKUP(D1972,Product_Lookup!$A$2:$C$27,2,FALSE)</f>
        <v>Lego Set</v>
      </c>
      <c r="R1971" s="7">
        <f t="shared" si="242"/>
        <v>2534.0300000000002</v>
      </c>
    </row>
    <row r="1972" spans="1:18" ht="21.75" customHeight="1">
      <c r="A1972" t="s">
        <v>2123</v>
      </c>
      <c r="B1972" s="6">
        <v>45653</v>
      </c>
      <c r="C1972" t="s">
        <v>106</v>
      </c>
      <c r="D1972" t="s">
        <v>84</v>
      </c>
      <c r="E1972" t="s">
        <v>11</v>
      </c>
      <c r="F1972" t="s">
        <v>12</v>
      </c>
      <c r="G1972" t="s">
        <v>28</v>
      </c>
      <c r="H1972">
        <v>15</v>
      </c>
      <c r="I1972" t="str">
        <f>VLOOKUP(D1972,Product_Lookup!$A$2:$C$27,3,FALSE)</f>
        <v>$130.07</v>
      </c>
      <c r="J1972" t="str">
        <f t="shared" si="243"/>
        <v>Friday</v>
      </c>
      <c r="K1972" s="10" t="str">
        <f t="shared" si="244"/>
        <v>December</v>
      </c>
      <c r="L1972">
        <f t="shared" si="245"/>
        <v>2024</v>
      </c>
      <c r="M1972" t="b">
        <f t="shared" si="246"/>
        <v>0</v>
      </c>
      <c r="N1972" t="b">
        <f t="shared" si="240"/>
        <v>1</v>
      </c>
      <c r="O1972" t="str">
        <f t="shared" si="247"/>
        <v>Large Order</v>
      </c>
      <c r="P1972" s="7">
        <f t="shared" si="241"/>
        <v>6.5034999999999998</v>
      </c>
      <c r="Q1972" s="7" t="str">
        <f>VLOOKUP(D1973,Product_Lookup!$A$2:$C$27,2,FALSE)</f>
        <v>Jeans</v>
      </c>
      <c r="R1972" s="7">
        <f t="shared" si="242"/>
        <v>1951.05</v>
      </c>
    </row>
    <row r="1973" spans="1:18" ht="21.75" customHeight="1">
      <c r="A1973" t="s">
        <v>2124</v>
      </c>
      <c r="B1973" s="6">
        <v>45374</v>
      </c>
      <c r="C1973" t="s">
        <v>108</v>
      </c>
      <c r="D1973" t="s">
        <v>65</v>
      </c>
      <c r="E1973" t="s">
        <v>22</v>
      </c>
      <c r="F1973" t="s">
        <v>27</v>
      </c>
      <c r="G1973" t="s">
        <v>32</v>
      </c>
      <c r="H1973">
        <v>18</v>
      </c>
      <c r="I1973" t="str">
        <f>VLOOKUP(D1973,Product_Lookup!$A$2:$C$27,3,FALSE)</f>
        <v>$33.22</v>
      </c>
      <c r="J1973" t="str">
        <f t="shared" si="243"/>
        <v>Saturday</v>
      </c>
      <c r="K1973" s="10" t="str">
        <f t="shared" si="244"/>
        <v>March</v>
      </c>
      <c r="L1973">
        <f t="shared" si="245"/>
        <v>2024</v>
      </c>
      <c r="M1973" t="b">
        <f t="shared" si="246"/>
        <v>1</v>
      </c>
      <c r="N1973" t="b">
        <f t="shared" si="240"/>
        <v>0</v>
      </c>
      <c r="O1973" t="str">
        <f t="shared" si="247"/>
        <v>Large Order</v>
      </c>
      <c r="P1973" s="7">
        <f t="shared" si="241"/>
        <v>1.661</v>
      </c>
      <c r="Q1973" s="7" t="str">
        <f>VLOOKUP(D1974,Product_Lookup!$A$2:$C$27,2,FALSE)</f>
        <v>Smartphone</v>
      </c>
      <c r="R1973" s="7">
        <f t="shared" si="242"/>
        <v>597.96</v>
      </c>
    </row>
    <row r="1974" spans="1:18" ht="21.75" customHeight="1">
      <c r="A1974" t="s">
        <v>2125</v>
      </c>
      <c r="B1974" s="6">
        <v>45642</v>
      </c>
      <c r="C1974" t="s">
        <v>369</v>
      </c>
      <c r="D1974" t="s">
        <v>79</v>
      </c>
      <c r="E1974" t="s">
        <v>11</v>
      </c>
      <c r="F1974" t="s">
        <v>27</v>
      </c>
      <c r="G1974" t="s">
        <v>13</v>
      </c>
      <c r="H1974">
        <v>3</v>
      </c>
      <c r="I1974" t="str">
        <f>VLOOKUP(D1974,Product_Lookup!$A$2:$C$27,3,FALSE)</f>
        <v>$216.22</v>
      </c>
      <c r="J1974" t="str">
        <f t="shared" si="243"/>
        <v>Monday</v>
      </c>
      <c r="K1974" s="10" t="str">
        <f t="shared" si="244"/>
        <v>December</v>
      </c>
      <c r="L1974">
        <f t="shared" si="245"/>
        <v>2024</v>
      </c>
      <c r="M1974" t="b">
        <f t="shared" si="246"/>
        <v>0</v>
      </c>
      <c r="N1974" t="b">
        <f t="shared" si="240"/>
        <v>0</v>
      </c>
      <c r="O1974" t="str">
        <f t="shared" si="247"/>
        <v>Large Order</v>
      </c>
      <c r="P1974" s="7">
        <f t="shared" si="241"/>
        <v>10.811</v>
      </c>
      <c r="Q1974" s="7" t="str">
        <f>VLOOKUP(D1975,Product_Lookup!$A$2:$C$27,2,FALSE)</f>
        <v>Vacuum</v>
      </c>
      <c r="R1974" s="7">
        <f t="shared" si="242"/>
        <v>648.66</v>
      </c>
    </row>
    <row r="1975" spans="1:18" ht="21.75" customHeight="1">
      <c r="A1975" t="s">
        <v>2126</v>
      </c>
      <c r="B1975" s="6">
        <v>45533</v>
      </c>
      <c r="C1975" t="s">
        <v>327</v>
      </c>
      <c r="D1975" t="s">
        <v>87</v>
      </c>
      <c r="E1975" t="s">
        <v>11</v>
      </c>
      <c r="F1975" t="s">
        <v>12</v>
      </c>
      <c r="G1975" t="s">
        <v>32</v>
      </c>
      <c r="H1975">
        <v>8</v>
      </c>
      <c r="I1975" t="str">
        <f>VLOOKUP(D1975,Product_Lookup!$A$2:$C$27,3,FALSE)</f>
        <v>$26.59</v>
      </c>
      <c r="J1975" t="str">
        <f t="shared" si="243"/>
        <v>Thursday</v>
      </c>
      <c r="K1975" s="10" t="str">
        <f t="shared" si="244"/>
        <v>August</v>
      </c>
      <c r="L1975">
        <f t="shared" si="245"/>
        <v>2024</v>
      </c>
      <c r="M1975" t="b">
        <f t="shared" si="246"/>
        <v>0</v>
      </c>
      <c r="N1975" t="b">
        <f t="shared" si="240"/>
        <v>0</v>
      </c>
      <c r="O1975" t="str">
        <f t="shared" si="247"/>
        <v>Standard order</v>
      </c>
      <c r="P1975" s="7">
        <f t="shared" si="241"/>
        <v>1.3295000000000001</v>
      </c>
      <c r="Q1975" s="7" t="str">
        <f>VLOOKUP(D1976,Product_Lookup!$A$2:$C$27,2,FALSE)</f>
        <v>Lego Set</v>
      </c>
      <c r="R1975" s="7">
        <f t="shared" si="242"/>
        <v>212.72</v>
      </c>
    </row>
    <row r="1976" spans="1:18" ht="21.75" customHeight="1">
      <c r="A1976" t="s">
        <v>2127</v>
      </c>
      <c r="B1976" s="6">
        <v>45603</v>
      </c>
      <c r="C1976" t="s">
        <v>122</v>
      </c>
      <c r="D1976" t="s">
        <v>84</v>
      </c>
      <c r="E1976" t="s">
        <v>17</v>
      </c>
      <c r="F1976" t="s">
        <v>27</v>
      </c>
      <c r="G1976" t="s">
        <v>36</v>
      </c>
      <c r="H1976">
        <v>17</v>
      </c>
      <c r="I1976" t="str">
        <f>VLOOKUP(D1976,Product_Lookup!$A$2:$C$27,3,FALSE)</f>
        <v>$130.07</v>
      </c>
      <c r="J1976" t="str">
        <f t="shared" si="243"/>
        <v>Thursday</v>
      </c>
      <c r="K1976" s="10" t="str">
        <f t="shared" si="244"/>
        <v>November</v>
      </c>
      <c r="L1976">
        <f t="shared" si="245"/>
        <v>2024</v>
      </c>
      <c r="M1976" t="b">
        <f t="shared" si="246"/>
        <v>0</v>
      </c>
      <c r="N1976" t="b">
        <f t="shared" si="240"/>
        <v>1</v>
      </c>
      <c r="O1976" t="str">
        <f t="shared" si="247"/>
        <v>Large Order</v>
      </c>
      <c r="P1976" s="7">
        <f t="shared" si="241"/>
        <v>6.5034999999999998</v>
      </c>
      <c r="Q1976" s="7" t="str">
        <f>VLOOKUP(D1977,Product_Lookup!$A$2:$C$27,2,FALSE)</f>
        <v>Doll</v>
      </c>
      <c r="R1976" s="7">
        <f t="shared" si="242"/>
        <v>2211.19</v>
      </c>
    </row>
    <row r="1977" spans="1:18" ht="21.75" customHeight="1">
      <c r="A1977" t="s">
        <v>2128</v>
      </c>
      <c r="B1977" s="6">
        <v>45597</v>
      </c>
      <c r="C1977" t="s">
        <v>131</v>
      </c>
      <c r="D1977" t="s">
        <v>119</v>
      </c>
      <c r="E1977" t="s">
        <v>11</v>
      </c>
      <c r="F1977" t="s">
        <v>27</v>
      </c>
      <c r="G1977" t="s">
        <v>23</v>
      </c>
      <c r="H1977">
        <v>1</v>
      </c>
      <c r="I1977" t="str">
        <f>VLOOKUP(D1977,Product_Lookup!$A$2:$C$27,3,FALSE)</f>
        <v>$32.94</v>
      </c>
      <c r="J1977" t="str">
        <f t="shared" si="243"/>
        <v>Friday</v>
      </c>
      <c r="K1977" s="10" t="str">
        <f t="shared" si="244"/>
        <v>November</v>
      </c>
      <c r="L1977">
        <f t="shared" si="245"/>
        <v>2024</v>
      </c>
      <c r="M1977" t="b">
        <f t="shared" si="246"/>
        <v>0</v>
      </c>
      <c r="N1977" t="b">
        <f t="shared" si="240"/>
        <v>0</v>
      </c>
      <c r="O1977" t="str">
        <f t="shared" si="247"/>
        <v>Standard order</v>
      </c>
      <c r="P1977" s="7">
        <f t="shared" si="241"/>
        <v>1.647</v>
      </c>
      <c r="Q1977" s="7" t="str">
        <f>VLOOKUP(D1978,Product_Lookup!$A$2:$C$27,2,FALSE)</f>
        <v>Socks</v>
      </c>
      <c r="R1977" s="7">
        <f t="shared" si="242"/>
        <v>32.94</v>
      </c>
    </row>
    <row r="1978" spans="1:18" ht="21.75" customHeight="1">
      <c r="A1978" t="s">
        <v>2129</v>
      </c>
      <c r="B1978" s="6">
        <v>45628</v>
      </c>
      <c r="C1978" t="s">
        <v>363</v>
      </c>
      <c r="D1978" t="s">
        <v>74</v>
      </c>
      <c r="E1978" t="s">
        <v>11</v>
      </c>
      <c r="F1978" t="s">
        <v>12</v>
      </c>
      <c r="G1978" t="s">
        <v>36</v>
      </c>
      <c r="H1978">
        <v>17</v>
      </c>
      <c r="I1978" t="str">
        <f>VLOOKUP(D1978,Product_Lookup!$A$2:$C$27,3,FALSE)</f>
        <v>$201.32</v>
      </c>
      <c r="J1978" t="str">
        <f t="shared" si="243"/>
        <v>Monday</v>
      </c>
      <c r="K1978" s="10" t="str">
        <f t="shared" si="244"/>
        <v>December</v>
      </c>
      <c r="L1978">
        <f t="shared" si="245"/>
        <v>2024</v>
      </c>
      <c r="M1978" t="b">
        <f t="shared" si="246"/>
        <v>0</v>
      </c>
      <c r="N1978" t="b">
        <f t="shared" si="240"/>
        <v>1</v>
      </c>
      <c r="O1978" t="str">
        <f t="shared" si="247"/>
        <v>Large Order</v>
      </c>
      <c r="P1978" s="7">
        <f t="shared" si="241"/>
        <v>10.066000000000001</v>
      </c>
      <c r="Q1978" s="7" t="str">
        <f>VLOOKUP(D1979,Product_Lookup!$A$2:$C$27,2,FALSE)</f>
        <v>T-Shirt</v>
      </c>
      <c r="R1978" s="7">
        <f t="shared" si="242"/>
        <v>3422.44</v>
      </c>
    </row>
    <row r="1979" spans="1:18" ht="21.75" customHeight="1">
      <c r="A1979" t="s">
        <v>2130</v>
      </c>
      <c r="B1979" s="6">
        <v>45410</v>
      </c>
      <c r="C1979" t="s">
        <v>594</v>
      </c>
      <c r="D1979" t="s">
        <v>45</v>
      </c>
      <c r="E1979" t="s">
        <v>22</v>
      </c>
      <c r="F1979" t="s">
        <v>12</v>
      </c>
      <c r="G1979" t="s">
        <v>32</v>
      </c>
      <c r="H1979">
        <v>8</v>
      </c>
      <c r="I1979" t="str">
        <f>VLOOKUP(D1979,Product_Lookup!$A$2:$C$27,3,FALSE)</f>
        <v>$107.34</v>
      </c>
      <c r="J1979" t="str">
        <f t="shared" si="243"/>
        <v>Sunday</v>
      </c>
      <c r="K1979" s="10" t="str">
        <f t="shared" si="244"/>
        <v>April</v>
      </c>
      <c r="L1979">
        <f t="shared" si="245"/>
        <v>2024</v>
      </c>
      <c r="M1979" t="b">
        <f t="shared" si="246"/>
        <v>1</v>
      </c>
      <c r="N1979" t="b">
        <f t="shared" si="240"/>
        <v>1</v>
      </c>
      <c r="O1979" t="str">
        <f t="shared" si="247"/>
        <v>Large Order</v>
      </c>
      <c r="P1979" s="7">
        <f t="shared" si="241"/>
        <v>5.3670000000000009</v>
      </c>
      <c r="Q1979" s="7" t="str">
        <f>VLOOKUP(D1980,Product_Lookup!$A$2:$C$27,2,FALSE)</f>
        <v>Sweater</v>
      </c>
      <c r="R1979" s="7">
        <f t="shared" si="242"/>
        <v>858.72</v>
      </c>
    </row>
    <row r="1980" spans="1:18" ht="21.75" customHeight="1">
      <c r="A1980" t="s">
        <v>2131</v>
      </c>
      <c r="B1980" s="6">
        <v>45372</v>
      </c>
      <c r="C1980" t="s">
        <v>203</v>
      </c>
      <c r="D1980" t="s">
        <v>26</v>
      </c>
      <c r="E1980" t="s">
        <v>17</v>
      </c>
      <c r="F1980" t="s">
        <v>42</v>
      </c>
      <c r="G1980" t="s">
        <v>23</v>
      </c>
      <c r="H1980">
        <v>13</v>
      </c>
      <c r="I1980" t="str">
        <f>VLOOKUP(D1980,Product_Lookup!$A$2:$C$27,3,FALSE)</f>
        <v>$84.57</v>
      </c>
      <c r="J1980" t="str">
        <f t="shared" si="243"/>
        <v>Thursday</v>
      </c>
      <c r="K1980" s="10" t="str">
        <f t="shared" si="244"/>
        <v>March</v>
      </c>
      <c r="L1980">
        <f t="shared" si="245"/>
        <v>2024</v>
      </c>
      <c r="M1980" t="b">
        <f t="shared" si="246"/>
        <v>0</v>
      </c>
      <c r="N1980" t="b">
        <f t="shared" si="240"/>
        <v>1</v>
      </c>
      <c r="O1980" t="str">
        <f t="shared" si="247"/>
        <v>Large Order</v>
      </c>
      <c r="P1980" s="7">
        <f t="shared" si="241"/>
        <v>4.2284999999999995</v>
      </c>
      <c r="Q1980" s="7" t="str">
        <f>VLOOKUP(D1981,Product_Lookup!$A$2:$C$27,2,FALSE)</f>
        <v>Lego Set</v>
      </c>
      <c r="R1980" s="7">
        <f t="shared" si="242"/>
        <v>1099.4099999999999</v>
      </c>
    </row>
    <row r="1981" spans="1:18" ht="21.75" customHeight="1">
      <c r="A1981" t="s">
        <v>2132</v>
      </c>
      <c r="B1981" s="6">
        <v>45557</v>
      </c>
      <c r="C1981" t="s">
        <v>142</v>
      </c>
      <c r="D1981" t="s">
        <v>84</v>
      </c>
      <c r="E1981" t="s">
        <v>22</v>
      </c>
      <c r="F1981" t="s">
        <v>12</v>
      </c>
      <c r="G1981" t="s">
        <v>13</v>
      </c>
      <c r="H1981">
        <v>18</v>
      </c>
      <c r="I1981" t="str">
        <f>VLOOKUP(D1981,Product_Lookup!$A$2:$C$27,3,FALSE)</f>
        <v>$130.07</v>
      </c>
      <c r="J1981" t="str">
        <f t="shared" si="243"/>
        <v>Sunday</v>
      </c>
      <c r="K1981" s="10" t="str">
        <f t="shared" si="244"/>
        <v>September</v>
      </c>
      <c r="L1981">
        <f t="shared" si="245"/>
        <v>2024</v>
      </c>
      <c r="M1981" t="b">
        <f t="shared" si="246"/>
        <v>1</v>
      </c>
      <c r="N1981" t="b">
        <f t="shared" si="240"/>
        <v>1</v>
      </c>
      <c r="O1981" t="str">
        <f t="shared" si="247"/>
        <v>Large Order</v>
      </c>
      <c r="P1981" s="7">
        <f t="shared" si="241"/>
        <v>6.5034999999999998</v>
      </c>
      <c r="Q1981" s="7" t="str">
        <f>VLOOKUP(D1982,Product_Lookup!$A$2:$C$27,2,FALSE)</f>
        <v>Toaster</v>
      </c>
      <c r="R1981" s="7">
        <f t="shared" si="242"/>
        <v>2341.2599999999998</v>
      </c>
    </row>
    <row r="1982" spans="1:18" ht="21.75" customHeight="1">
      <c r="A1982" t="s">
        <v>2133</v>
      </c>
      <c r="B1982" s="6">
        <v>45578</v>
      </c>
      <c r="C1982" t="s">
        <v>361</v>
      </c>
      <c r="D1982" t="s">
        <v>48</v>
      </c>
      <c r="E1982" t="s">
        <v>17</v>
      </c>
      <c r="F1982" t="s">
        <v>42</v>
      </c>
      <c r="G1982" t="s">
        <v>28</v>
      </c>
      <c r="H1982">
        <v>20</v>
      </c>
      <c r="I1982" t="str">
        <f>VLOOKUP(D1982,Product_Lookup!$A$2:$C$27,3,FALSE)</f>
        <v>$208.85</v>
      </c>
      <c r="J1982" t="str">
        <f t="shared" si="243"/>
        <v>Sunday</v>
      </c>
      <c r="K1982" s="10" t="str">
        <f t="shared" si="244"/>
        <v>October</v>
      </c>
      <c r="L1982">
        <f t="shared" si="245"/>
        <v>2024</v>
      </c>
      <c r="M1982" t="b">
        <f t="shared" si="246"/>
        <v>1</v>
      </c>
      <c r="N1982" t="b">
        <f t="shared" si="240"/>
        <v>1</v>
      </c>
      <c r="O1982" t="str">
        <f t="shared" si="247"/>
        <v>Large Order</v>
      </c>
      <c r="P1982" s="7">
        <f t="shared" si="241"/>
        <v>10.442500000000001</v>
      </c>
      <c r="Q1982" s="7" t="str">
        <f>VLOOKUP(D1983,Product_Lookup!$A$2:$C$27,2,FALSE)</f>
        <v>Desk Lamp</v>
      </c>
      <c r="R1982" s="7">
        <f t="shared" si="242"/>
        <v>4177</v>
      </c>
    </row>
    <row r="1983" spans="1:18" ht="21.75" customHeight="1">
      <c r="A1983" t="s">
        <v>2134</v>
      </c>
      <c r="B1983" s="6">
        <v>45524</v>
      </c>
      <c r="C1983" t="s">
        <v>341</v>
      </c>
      <c r="D1983" t="s">
        <v>59</v>
      </c>
      <c r="E1983" t="s">
        <v>11</v>
      </c>
      <c r="F1983" t="s">
        <v>42</v>
      </c>
      <c r="G1983" t="s">
        <v>28</v>
      </c>
      <c r="H1983">
        <v>14</v>
      </c>
      <c r="I1983" t="str">
        <f>VLOOKUP(D1983,Product_Lookup!$A$2:$C$27,3,FALSE)</f>
        <v>$101.96</v>
      </c>
      <c r="J1983" t="str">
        <f t="shared" si="243"/>
        <v>Tuesday</v>
      </c>
      <c r="K1983" s="10" t="str">
        <f t="shared" si="244"/>
        <v>August</v>
      </c>
      <c r="L1983">
        <f t="shared" si="245"/>
        <v>2024</v>
      </c>
      <c r="M1983" t="b">
        <f t="shared" si="246"/>
        <v>0</v>
      </c>
      <c r="N1983" t="b">
        <f t="shared" si="240"/>
        <v>1</v>
      </c>
      <c r="O1983" t="str">
        <f t="shared" si="247"/>
        <v>Large Order</v>
      </c>
      <c r="P1983" s="7">
        <f t="shared" si="241"/>
        <v>5.0979999999999999</v>
      </c>
      <c r="Q1983" s="7" t="str">
        <f>VLOOKUP(D1984,Product_Lookup!$A$2:$C$27,2,FALSE)</f>
        <v>Notebook</v>
      </c>
      <c r="R1983" s="7">
        <f t="shared" si="242"/>
        <v>1427.4399999999998</v>
      </c>
    </row>
    <row r="1984" spans="1:18" ht="21.75" customHeight="1">
      <c r="A1984" t="s">
        <v>2135</v>
      </c>
      <c r="B1984" s="6">
        <v>45578</v>
      </c>
      <c r="C1984" t="s">
        <v>208</v>
      </c>
      <c r="D1984" t="s">
        <v>160</v>
      </c>
      <c r="E1984" t="s">
        <v>17</v>
      </c>
      <c r="F1984" t="s">
        <v>42</v>
      </c>
      <c r="G1984" t="s">
        <v>13</v>
      </c>
      <c r="H1984">
        <v>17</v>
      </c>
      <c r="I1984" t="str">
        <f>VLOOKUP(D1984,Product_Lookup!$A$2:$C$27,3,FALSE)</f>
        <v>$149.27</v>
      </c>
      <c r="J1984" t="str">
        <f t="shared" si="243"/>
        <v>Sunday</v>
      </c>
      <c r="K1984" s="10" t="str">
        <f t="shared" si="244"/>
        <v>October</v>
      </c>
      <c r="L1984">
        <f t="shared" si="245"/>
        <v>2024</v>
      </c>
      <c r="M1984" t="b">
        <f t="shared" si="246"/>
        <v>1</v>
      </c>
      <c r="N1984" t="b">
        <f t="shared" si="240"/>
        <v>1</v>
      </c>
      <c r="O1984" t="str">
        <f t="shared" si="247"/>
        <v>Large Order</v>
      </c>
      <c r="P1984" s="7">
        <f t="shared" si="241"/>
        <v>7.4635000000000007</v>
      </c>
      <c r="Q1984" s="7" t="str">
        <f>VLOOKUP(D1985,Product_Lookup!$A$2:$C$27,2,FALSE)</f>
        <v>Sweater</v>
      </c>
      <c r="R1984" s="7">
        <f t="shared" si="242"/>
        <v>2537.59</v>
      </c>
    </row>
    <row r="1985" spans="1:18" ht="21.75" customHeight="1">
      <c r="A1985" t="s">
        <v>2136</v>
      </c>
      <c r="B1985" s="6">
        <v>45567</v>
      </c>
      <c r="C1985" t="s">
        <v>314</v>
      </c>
      <c r="D1985" t="s">
        <v>26</v>
      </c>
      <c r="E1985" t="s">
        <v>22</v>
      </c>
      <c r="F1985" t="s">
        <v>27</v>
      </c>
      <c r="G1985" t="s">
        <v>23</v>
      </c>
      <c r="H1985">
        <v>19</v>
      </c>
      <c r="I1985" t="str">
        <f>VLOOKUP(D1985,Product_Lookup!$A$2:$C$27,3,FALSE)</f>
        <v>$84.57</v>
      </c>
      <c r="J1985" t="str">
        <f t="shared" si="243"/>
        <v>Wednesday</v>
      </c>
      <c r="K1985" s="10" t="str">
        <f t="shared" si="244"/>
        <v>October</v>
      </c>
      <c r="L1985">
        <f t="shared" si="245"/>
        <v>2024</v>
      </c>
      <c r="M1985" t="b">
        <f t="shared" si="246"/>
        <v>0</v>
      </c>
      <c r="N1985" t="b">
        <f t="shared" si="240"/>
        <v>1</v>
      </c>
      <c r="O1985" t="str">
        <f t="shared" si="247"/>
        <v>Large Order</v>
      </c>
      <c r="P1985" s="7">
        <f t="shared" si="241"/>
        <v>4.2284999999999995</v>
      </c>
      <c r="Q1985" s="7" t="str">
        <f>VLOOKUP(D1986,Product_Lookup!$A$2:$C$27,2,FALSE)</f>
        <v>Blender</v>
      </c>
      <c r="R1985" s="7">
        <f t="shared" si="242"/>
        <v>1606.83</v>
      </c>
    </row>
    <row r="1986" spans="1:18" ht="21.75" customHeight="1">
      <c r="A1986" t="s">
        <v>2137</v>
      </c>
      <c r="B1986" s="6">
        <v>45416</v>
      </c>
      <c r="C1986" t="s">
        <v>664</v>
      </c>
      <c r="D1986" t="s">
        <v>72</v>
      </c>
      <c r="E1986" t="s">
        <v>17</v>
      </c>
      <c r="F1986" t="s">
        <v>27</v>
      </c>
      <c r="G1986" t="s">
        <v>36</v>
      </c>
      <c r="H1986">
        <v>1</v>
      </c>
      <c r="I1986" t="str">
        <f>VLOOKUP(D1986,Product_Lookup!$A$2:$C$27,3,FALSE)</f>
        <v>$156.44</v>
      </c>
      <c r="J1986" t="str">
        <f t="shared" si="243"/>
        <v>Saturday</v>
      </c>
      <c r="K1986" s="10" t="str">
        <f t="shared" si="244"/>
        <v>May</v>
      </c>
      <c r="L1986">
        <f t="shared" si="245"/>
        <v>2024</v>
      </c>
      <c r="M1986" t="b">
        <f t="shared" si="246"/>
        <v>1</v>
      </c>
      <c r="N1986" t="b">
        <f t="shared" ref="N1986:N2049" si="248">AND(R1986&gt;750, H1986&gt;5)</f>
        <v>0</v>
      </c>
      <c r="O1986" t="str">
        <f t="shared" si="247"/>
        <v>Standard order</v>
      </c>
      <c r="P1986" s="7">
        <f t="shared" ref="P1986:P2049" si="249">I1986*$S$2</f>
        <v>7.8220000000000001</v>
      </c>
      <c r="Q1986" s="7" t="str">
        <f>VLOOKUP(D1987,Product_Lookup!$A$2:$C$27,2,FALSE)</f>
        <v>Coffee Maker</v>
      </c>
      <c r="R1986" s="7">
        <f t="shared" ref="R1986:R2049" si="250">H1986*I1986</f>
        <v>156.44</v>
      </c>
    </row>
    <row r="1987" spans="1:18" ht="21.75" customHeight="1">
      <c r="A1987" t="s">
        <v>2138</v>
      </c>
      <c r="B1987" s="6">
        <v>45424</v>
      </c>
      <c r="C1987" t="s">
        <v>58</v>
      </c>
      <c r="D1987" t="s">
        <v>31</v>
      </c>
      <c r="E1987" t="s">
        <v>22</v>
      </c>
      <c r="F1987" t="s">
        <v>56</v>
      </c>
      <c r="G1987" t="s">
        <v>28</v>
      </c>
      <c r="H1987">
        <v>11</v>
      </c>
      <c r="I1987" t="str">
        <f>VLOOKUP(D1987,Product_Lookup!$A$2:$C$27,3,FALSE)</f>
        <v>$230.34</v>
      </c>
      <c r="J1987" t="str">
        <f t="shared" ref="J1987:J2050" si="251">TEXT(B1987, "dddd")</f>
        <v>Sunday</v>
      </c>
      <c r="K1987" s="10" t="str">
        <f t="shared" ref="K1987:K2050" si="252">TEXT(B1987, "mmmm")</f>
        <v>May</v>
      </c>
      <c r="L1987">
        <f t="shared" ref="L1987:L2050" si="253">YEAR(B1987)</f>
        <v>2024</v>
      </c>
      <c r="M1987" t="b">
        <f t="shared" ref="M1987:M2050" si="254">OR(J1987="Saturday", J1987="Sunday")</f>
        <v>1</v>
      </c>
      <c r="N1987" t="b">
        <f t="shared" si="248"/>
        <v>1</v>
      </c>
      <c r="O1987" t="str">
        <f t="shared" ref="O1987:O2050" si="255">IF(R1987&gt;500,"Large Order","Standard order")</f>
        <v>Large Order</v>
      </c>
      <c r="P1987" s="7">
        <f t="shared" si="249"/>
        <v>11.517000000000001</v>
      </c>
      <c r="Q1987" s="7" t="str">
        <f>VLOOKUP(D1988,Product_Lookup!$A$2:$C$27,2,FALSE)</f>
        <v>Pen Set</v>
      </c>
      <c r="R1987" s="7">
        <f t="shared" si="250"/>
        <v>2533.7400000000002</v>
      </c>
    </row>
    <row r="1988" spans="1:18" ht="21.75" customHeight="1">
      <c r="A1988" t="s">
        <v>2139</v>
      </c>
      <c r="B1988" s="6">
        <v>45472</v>
      </c>
      <c r="C1988" t="s">
        <v>363</v>
      </c>
      <c r="D1988" t="s">
        <v>174</v>
      </c>
      <c r="E1988" t="s">
        <v>11</v>
      </c>
      <c r="F1988" t="s">
        <v>42</v>
      </c>
      <c r="G1988" t="s">
        <v>28</v>
      </c>
      <c r="H1988">
        <v>10</v>
      </c>
      <c r="I1988" t="str">
        <f>VLOOKUP(D1988,Product_Lookup!$A$2:$C$27,3,FALSE)</f>
        <v>$133.37</v>
      </c>
      <c r="J1988" t="str">
        <f t="shared" si="251"/>
        <v>Saturday</v>
      </c>
      <c r="K1988" s="10" t="str">
        <f t="shared" si="252"/>
        <v>June</v>
      </c>
      <c r="L1988">
        <f t="shared" si="253"/>
        <v>2024</v>
      </c>
      <c r="M1988" t="b">
        <f t="shared" si="254"/>
        <v>1</v>
      </c>
      <c r="N1988" t="b">
        <f t="shared" si="248"/>
        <v>1</v>
      </c>
      <c r="O1988" t="str">
        <f t="shared" si="255"/>
        <v>Large Order</v>
      </c>
      <c r="P1988" s="7">
        <f t="shared" si="249"/>
        <v>6.6685000000000008</v>
      </c>
      <c r="Q1988" s="7" t="str">
        <f>VLOOKUP(D1989,Product_Lookup!$A$2:$C$27,2,FALSE)</f>
        <v>Blender</v>
      </c>
      <c r="R1988" s="7">
        <f t="shared" si="250"/>
        <v>1333.7</v>
      </c>
    </row>
    <row r="1989" spans="1:18" ht="21.75" customHeight="1">
      <c r="A1989" t="s">
        <v>2140</v>
      </c>
      <c r="B1989" s="6">
        <v>45636</v>
      </c>
      <c r="C1989" t="s">
        <v>323</v>
      </c>
      <c r="D1989" t="s">
        <v>72</v>
      </c>
      <c r="E1989" t="s">
        <v>11</v>
      </c>
      <c r="F1989" t="s">
        <v>306</v>
      </c>
      <c r="G1989" t="s">
        <v>28</v>
      </c>
      <c r="H1989">
        <v>16</v>
      </c>
      <c r="I1989" t="str">
        <f>VLOOKUP(D1989,Product_Lookup!$A$2:$C$27,3,FALSE)</f>
        <v>$156.44</v>
      </c>
      <c r="J1989" t="str">
        <f t="shared" si="251"/>
        <v>Tuesday</v>
      </c>
      <c r="K1989" s="10" t="str">
        <f t="shared" si="252"/>
        <v>December</v>
      </c>
      <c r="L1989">
        <f t="shared" si="253"/>
        <v>2024</v>
      </c>
      <c r="M1989" t="b">
        <f t="shared" si="254"/>
        <v>0</v>
      </c>
      <c r="N1989" t="b">
        <f t="shared" si="248"/>
        <v>1</v>
      </c>
      <c r="O1989" t="str">
        <f t="shared" si="255"/>
        <v>Large Order</v>
      </c>
      <c r="P1989" s="7">
        <f t="shared" si="249"/>
        <v>7.8220000000000001</v>
      </c>
      <c r="Q1989" s="7" t="str">
        <f>VLOOKUP(D1990,Product_Lookup!$A$2:$C$27,2,FALSE)</f>
        <v>Sweater</v>
      </c>
      <c r="R1989" s="7">
        <f t="shared" si="250"/>
        <v>2503.04</v>
      </c>
    </row>
    <row r="1990" spans="1:18" ht="21.75" customHeight="1">
      <c r="A1990" t="s">
        <v>2141</v>
      </c>
      <c r="B1990" s="6">
        <v>45403</v>
      </c>
      <c r="C1990" t="s">
        <v>314</v>
      </c>
      <c r="D1990" t="s">
        <v>26</v>
      </c>
      <c r="E1990" t="s">
        <v>11</v>
      </c>
      <c r="F1990" t="s">
        <v>56</v>
      </c>
      <c r="G1990" t="s">
        <v>23</v>
      </c>
      <c r="H1990">
        <v>7</v>
      </c>
      <c r="I1990" t="str">
        <f>VLOOKUP(D1990,Product_Lookup!$A$2:$C$27,3,FALSE)</f>
        <v>$84.57</v>
      </c>
      <c r="J1990" t="str">
        <f t="shared" si="251"/>
        <v>Sunday</v>
      </c>
      <c r="K1990" s="10" t="str">
        <f t="shared" si="252"/>
        <v>April</v>
      </c>
      <c r="L1990">
        <f t="shared" si="253"/>
        <v>2024</v>
      </c>
      <c r="M1990" t="b">
        <f t="shared" si="254"/>
        <v>1</v>
      </c>
      <c r="N1990" t="b">
        <f t="shared" si="248"/>
        <v>0</v>
      </c>
      <c r="O1990" t="str">
        <f t="shared" si="255"/>
        <v>Large Order</v>
      </c>
      <c r="P1990" s="7">
        <f t="shared" si="249"/>
        <v>4.2284999999999995</v>
      </c>
      <c r="Q1990" s="7" t="str">
        <f>VLOOKUP(D1991,Product_Lookup!$A$2:$C$27,2,FALSE)</f>
        <v>Jeans</v>
      </c>
      <c r="R1990" s="7">
        <f t="shared" si="250"/>
        <v>591.99</v>
      </c>
    </row>
    <row r="1991" spans="1:18" ht="21.75" customHeight="1">
      <c r="A1991" t="s">
        <v>2142</v>
      </c>
      <c r="B1991" s="6">
        <v>45415</v>
      </c>
      <c r="C1991" t="s">
        <v>86</v>
      </c>
      <c r="D1991" t="s">
        <v>65</v>
      </c>
      <c r="E1991" t="s">
        <v>11</v>
      </c>
      <c r="F1991" t="s">
        <v>56</v>
      </c>
      <c r="G1991" t="s">
        <v>28</v>
      </c>
      <c r="H1991">
        <v>20</v>
      </c>
      <c r="I1991" t="str">
        <f>VLOOKUP(D1991,Product_Lookup!$A$2:$C$27,3,FALSE)</f>
        <v>$33.22</v>
      </c>
      <c r="J1991" t="str">
        <f t="shared" si="251"/>
        <v>Friday</v>
      </c>
      <c r="K1991" s="10" t="str">
        <f t="shared" si="252"/>
        <v>May</v>
      </c>
      <c r="L1991">
        <f t="shared" si="253"/>
        <v>2024</v>
      </c>
      <c r="M1991" t="b">
        <f t="shared" si="254"/>
        <v>0</v>
      </c>
      <c r="N1991" t="b">
        <f t="shared" si="248"/>
        <v>0</v>
      </c>
      <c r="O1991" t="str">
        <f t="shared" si="255"/>
        <v>Large Order</v>
      </c>
      <c r="P1991" s="7">
        <f t="shared" si="249"/>
        <v>1.661</v>
      </c>
      <c r="Q1991" s="7" t="str">
        <f>VLOOKUP(D1992,Product_Lookup!$A$2:$C$27,2,FALSE)</f>
        <v>Tablet</v>
      </c>
      <c r="R1991" s="7">
        <f t="shared" si="250"/>
        <v>664.4</v>
      </c>
    </row>
    <row r="1992" spans="1:18" ht="21.75" customHeight="1">
      <c r="A1992" t="s">
        <v>2143</v>
      </c>
      <c r="B1992" s="6">
        <v>45346</v>
      </c>
      <c r="C1992" t="s">
        <v>114</v>
      </c>
      <c r="D1992" t="s">
        <v>10</v>
      </c>
      <c r="E1992" t="s">
        <v>22</v>
      </c>
      <c r="F1992" t="s">
        <v>27</v>
      </c>
      <c r="G1992" t="s">
        <v>36</v>
      </c>
      <c r="H1992">
        <v>1</v>
      </c>
      <c r="I1992" t="str">
        <f>VLOOKUP(D1992,Product_Lookup!$A$2:$C$27,3,FALSE)</f>
        <v>$146.06</v>
      </c>
      <c r="J1992" t="str">
        <f t="shared" si="251"/>
        <v>Saturday</v>
      </c>
      <c r="K1992" s="10" t="str">
        <f t="shared" si="252"/>
        <v>February</v>
      </c>
      <c r="L1992">
        <f t="shared" si="253"/>
        <v>2024</v>
      </c>
      <c r="M1992" t="b">
        <f t="shared" si="254"/>
        <v>1</v>
      </c>
      <c r="N1992" t="b">
        <f t="shared" si="248"/>
        <v>0</v>
      </c>
      <c r="O1992" t="str">
        <f t="shared" si="255"/>
        <v>Standard order</v>
      </c>
      <c r="P1992" s="7">
        <f t="shared" si="249"/>
        <v>7.3030000000000008</v>
      </c>
      <c r="Q1992" s="7" t="str">
        <f>VLOOKUP(D1993,Product_Lookup!$A$2:$C$27,2,FALSE)</f>
        <v>Stapler</v>
      </c>
      <c r="R1992" s="7">
        <f t="shared" si="250"/>
        <v>146.06</v>
      </c>
    </row>
    <row r="1993" spans="1:18" ht="21.75" customHeight="1">
      <c r="A1993" t="s">
        <v>2144</v>
      </c>
      <c r="B1993" s="6">
        <v>45569</v>
      </c>
      <c r="C1993" t="s">
        <v>116</v>
      </c>
      <c r="D1993" t="s">
        <v>35</v>
      </c>
      <c r="E1993" t="s">
        <v>17</v>
      </c>
      <c r="F1993" t="s">
        <v>306</v>
      </c>
      <c r="G1993" t="s">
        <v>32</v>
      </c>
      <c r="H1993">
        <v>16</v>
      </c>
      <c r="I1993" t="str">
        <f>VLOOKUP(D1993,Product_Lookup!$A$2:$C$27,3,FALSE)</f>
        <v>$64.61</v>
      </c>
      <c r="J1993" t="str">
        <f t="shared" si="251"/>
        <v>Friday</v>
      </c>
      <c r="K1993" s="10" t="str">
        <f t="shared" si="252"/>
        <v>October</v>
      </c>
      <c r="L1993">
        <f t="shared" si="253"/>
        <v>2024</v>
      </c>
      <c r="M1993" t="b">
        <f t="shared" si="254"/>
        <v>0</v>
      </c>
      <c r="N1993" t="b">
        <f t="shared" si="248"/>
        <v>1</v>
      </c>
      <c r="O1993" t="str">
        <f t="shared" si="255"/>
        <v>Large Order</v>
      </c>
      <c r="P1993" s="7">
        <f t="shared" si="249"/>
        <v>3.2305000000000001</v>
      </c>
      <c r="Q1993" s="7" t="str">
        <f>VLOOKUP(D1994,Product_Lookup!$A$2:$C$27,2,FALSE)</f>
        <v>Stapler</v>
      </c>
      <c r="R1993" s="7">
        <f t="shared" si="250"/>
        <v>1033.76</v>
      </c>
    </row>
    <row r="1994" spans="1:18" ht="21.75" customHeight="1">
      <c r="A1994" t="s">
        <v>2145</v>
      </c>
      <c r="B1994" s="6">
        <v>45586</v>
      </c>
      <c r="C1994" t="s">
        <v>89</v>
      </c>
      <c r="D1994" t="s">
        <v>35</v>
      </c>
      <c r="E1994" t="s">
        <v>11</v>
      </c>
      <c r="F1994" t="s">
        <v>306</v>
      </c>
      <c r="G1994" t="s">
        <v>32</v>
      </c>
      <c r="H1994">
        <v>13</v>
      </c>
      <c r="I1994" t="str">
        <f>VLOOKUP(D1994,Product_Lookup!$A$2:$C$27,3,FALSE)</f>
        <v>$64.61</v>
      </c>
      <c r="J1994" t="str">
        <f t="shared" si="251"/>
        <v>Monday</v>
      </c>
      <c r="K1994" s="10" t="str">
        <f t="shared" si="252"/>
        <v>October</v>
      </c>
      <c r="L1994">
        <f t="shared" si="253"/>
        <v>2024</v>
      </c>
      <c r="M1994" t="b">
        <f t="shared" si="254"/>
        <v>0</v>
      </c>
      <c r="N1994" t="b">
        <f t="shared" si="248"/>
        <v>1</v>
      </c>
      <c r="O1994" t="str">
        <f t="shared" si="255"/>
        <v>Large Order</v>
      </c>
      <c r="P1994" s="7">
        <f t="shared" si="249"/>
        <v>3.2305000000000001</v>
      </c>
      <c r="Q1994" s="7" t="str">
        <f>VLOOKUP(D1995,Product_Lookup!$A$2:$C$27,2,FALSE)</f>
        <v>Smartphone</v>
      </c>
      <c r="R1994" s="7">
        <f t="shared" si="250"/>
        <v>839.93</v>
      </c>
    </row>
    <row r="1995" spans="1:18" ht="21.75" customHeight="1">
      <c r="A1995" t="s">
        <v>2146</v>
      </c>
      <c r="B1995" s="6">
        <v>45587</v>
      </c>
      <c r="C1995" t="s">
        <v>34</v>
      </c>
      <c r="D1995" t="s">
        <v>79</v>
      </c>
      <c r="E1995" t="s">
        <v>22</v>
      </c>
      <c r="F1995" t="s">
        <v>27</v>
      </c>
      <c r="G1995" t="s">
        <v>23</v>
      </c>
      <c r="H1995">
        <v>18</v>
      </c>
      <c r="I1995" t="str">
        <f>VLOOKUP(D1995,Product_Lookup!$A$2:$C$27,3,FALSE)</f>
        <v>$216.22</v>
      </c>
      <c r="J1995" t="str">
        <f t="shared" si="251"/>
        <v>Tuesday</v>
      </c>
      <c r="K1995" s="10" t="str">
        <f t="shared" si="252"/>
        <v>October</v>
      </c>
      <c r="L1995">
        <f t="shared" si="253"/>
        <v>2024</v>
      </c>
      <c r="M1995" t="b">
        <f t="shared" si="254"/>
        <v>0</v>
      </c>
      <c r="N1995" t="b">
        <f t="shared" si="248"/>
        <v>1</v>
      </c>
      <c r="O1995" t="str">
        <f t="shared" si="255"/>
        <v>Large Order</v>
      </c>
      <c r="P1995" s="7">
        <f t="shared" si="249"/>
        <v>10.811</v>
      </c>
      <c r="Q1995" s="7" t="str">
        <f>VLOOKUP(D1996,Product_Lookup!$A$2:$C$27,2,FALSE)</f>
        <v>Board Game</v>
      </c>
      <c r="R1995" s="7">
        <f t="shared" si="250"/>
        <v>3891.96</v>
      </c>
    </row>
    <row r="1996" spans="1:18" ht="21.75" customHeight="1">
      <c r="A1996" t="s">
        <v>2147</v>
      </c>
      <c r="B1996" s="6">
        <v>45469</v>
      </c>
      <c r="C1996" t="s">
        <v>106</v>
      </c>
      <c r="D1996" t="s">
        <v>41</v>
      </c>
      <c r="E1996" t="s">
        <v>11</v>
      </c>
      <c r="F1996" t="s">
        <v>27</v>
      </c>
      <c r="G1996" t="s">
        <v>13</v>
      </c>
      <c r="H1996">
        <v>17</v>
      </c>
      <c r="I1996" t="str">
        <f>VLOOKUP(D1996,Product_Lookup!$A$2:$C$27,3,FALSE)</f>
        <v>$86.6</v>
      </c>
      <c r="J1996" t="str">
        <f t="shared" si="251"/>
        <v>Wednesday</v>
      </c>
      <c r="K1996" s="10" t="str">
        <f t="shared" si="252"/>
        <v>June</v>
      </c>
      <c r="L1996">
        <f t="shared" si="253"/>
        <v>2024</v>
      </c>
      <c r="M1996" t="b">
        <f t="shared" si="254"/>
        <v>0</v>
      </c>
      <c r="N1996" t="b">
        <f t="shared" si="248"/>
        <v>1</v>
      </c>
      <c r="O1996" t="str">
        <f t="shared" si="255"/>
        <v>Large Order</v>
      </c>
      <c r="P1996" s="7">
        <f t="shared" si="249"/>
        <v>4.33</v>
      </c>
      <c r="Q1996" s="7" t="str">
        <f>VLOOKUP(D1997,Product_Lookup!$A$2:$C$27,2,FALSE)</f>
        <v>Laptop</v>
      </c>
      <c r="R1996" s="7">
        <f t="shared" si="250"/>
        <v>1472.1999999999998</v>
      </c>
    </row>
    <row r="1997" spans="1:18" ht="21.75" customHeight="1">
      <c r="A1997" t="s">
        <v>2148</v>
      </c>
      <c r="B1997" s="6">
        <v>45644</v>
      </c>
      <c r="C1997" t="s">
        <v>142</v>
      </c>
      <c r="D1997" t="s">
        <v>96</v>
      </c>
      <c r="E1997" t="s">
        <v>22</v>
      </c>
      <c r="F1997" t="s">
        <v>56</v>
      </c>
      <c r="G1997" t="s">
        <v>23</v>
      </c>
      <c r="H1997">
        <v>19</v>
      </c>
      <c r="I1997" t="str">
        <f>VLOOKUP(D1997,Product_Lookup!$A$2:$C$27,3,FALSE)</f>
        <v>$230.68</v>
      </c>
      <c r="J1997" t="str">
        <f t="shared" si="251"/>
        <v>Wednesday</v>
      </c>
      <c r="K1997" s="10" t="str">
        <f t="shared" si="252"/>
        <v>December</v>
      </c>
      <c r="L1997">
        <f t="shared" si="253"/>
        <v>2024</v>
      </c>
      <c r="M1997" t="b">
        <f t="shared" si="254"/>
        <v>0</v>
      </c>
      <c r="N1997" t="b">
        <f t="shared" si="248"/>
        <v>1</v>
      </c>
      <c r="O1997" t="str">
        <f t="shared" si="255"/>
        <v>Large Order</v>
      </c>
      <c r="P1997" s="7">
        <f t="shared" si="249"/>
        <v>11.534000000000001</v>
      </c>
      <c r="Q1997" s="7" t="str">
        <f>VLOOKUP(D1998,Product_Lookup!$A$2:$C$27,2,FALSE)</f>
        <v>Sweater</v>
      </c>
      <c r="R1997" s="7">
        <f t="shared" si="250"/>
        <v>4382.92</v>
      </c>
    </row>
    <row r="1998" spans="1:18" ht="21.75" customHeight="1">
      <c r="A1998" t="s">
        <v>2149</v>
      </c>
      <c r="B1998" s="6">
        <v>45477</v>
      </c>
      <c r="C1998" t="s">
        <v>594</v>
      </c>
      <c r="D1998" t="s">
        <v>26</v>
      </c>
      <c r="E1998" t="s">
        <v>11</v>
      </c>
      <c r="F1998" t="s">
        <v>306</v>
      </c>
      <c r="G1998" t="s">
        <v>32</v>
      </c>
      <c r="H1998">
        <v>8</v>
      </c>
      <c r="I1998" t="str">
        <f>VLOOKUP(D1998,Product_Lookup!$A$2:$C$27,3,FALSE)</f>
        <v>$84.57</v>
      </c>
      <c r="J1998" t="str">
        <f t="shared" si="251"/>
        <v>Thursday</v>
      </c>
      <c r="K1998" s="10" t="str">
        <f t="shared" si="252"/>
        <v>July</v>
      </c>
      <c r="L1998">
        <f t="shared" si="253"/>
        <v>2024</v>
      </c>
      <c r="M1998" t="b">
        <f t="shared" si="254"/>
        <v>0</v>
      </c>
      <c r="N1998" t="b">
        <f t="shared" si="248"/>
        <v>0</v>
      </c>
      <c r="O1998" t="str">
        <f t="shared" si="255"/>
        <v>Large Order</v>
      </c>
      <c r="P1998" s="7">
        <f t="shared" si="249"/>
        <v>4.2284999999999995</v>
      </c>
      <c r="Q1998" s="7" t="str">
        <f>VLOOKUP(D1999,Product_Lookup!$A$2:$C$27,2,FALSE)</f>
        <v>Toaster</v>
      </c>
      <c r="R1998" s="7">
        <f t="shared" si="250"/>
        <v>676.56</v>
      </c>
    </row>
    <row r="1999" spans="1:18" ht="21.75" customHeight="1">
      <c r="A1999" t="s">
        <v>2150</v>
      </c>
      <c r="B1999" s="6">
        <v>45605</v>
      </c>
      <c r="C1999" t="s">
        <v>47</v>
      </c>
      <c r="D1999" t="s">
        <v>48</v>
      </c>
      <c r="E1999" t="s">
        <v>11</v>
      </c>
      <c r="F1999" t="s">
        <v>27</v>
      </c>
      <c r="G1999" t="s">
        <v>23</v>
      </c>
      <c r="H1999">
        <v>7</v>
      </c>
      <c r="I1999" t="str">
        <f>VLOOKUP(D1999,Product_Lookup!$A$2:$C$27,3,FALSE)</f>
        <v>$208.85</v>
      </c>
      <c r="J1999" t="str">
        <f t="shared" si="251"/>
        <v>Saturday</v>
      </c>
      <c r="K1999" s="10" t="str">
        <f t="shared" si="252"/>
        <v>November</v>
      </c>
      <c r="L1999">
        <f t="shared" si="253"/>
        <v>2024</v>
      </c>
      <c r="M1999" t="b">
        <f t="shared" si="254"/>
        <v>1</v>
      </c>
      <c r="N1999" t="b">
        <f t="shared" si="248"/>
        <v>1</v>
      </c>
      <c r="O1999" t="str">
        <f t="shared" si="255"/>
        <v>Large Order</v>
      </c>
      <c r="P1999" s="7">
        <f t="shared" si="249"/>
        <v>10.442500000000001</v>
      </c>
      <c r="Q1999" s="7" t="str">
        <f>VLOOKUP(D2000,Product_Lookup!$A$2:$C$27,2,FALSE)</f>
        <v>Coffee Maker</v>
      </c>
      <c r="R1999" s="7">
        <f t="shared" si="250"/>
        <v>1461.95</v>
      </c>
    </row>
    <row r="2000" spans="1:18" ht="21.75" customHeight="1">
      <c r="A2000" t="s">
        <v>2151</v>
      </c>
      <c r="B2000" s="6">
        <v>45482</v>
      </c>
      <c r="C2000" t="s">
        <v>83</v>
      </c>
      <c r="D2000" t="s">
        <v>31</v>
      </c>
      <c r="E2000" t="s">
        <v>17</v>
      </c>
      <c r="F2000" t="s">
        <v>27</v>
      </c>
      <c r="G2000" t="s">
        <v>28</v>
      </c>
      <c r="H2000">
        <v>19</v>
      </c>
      <c r="I2000" t="str">
        <f>VLOOKUP(D2000,Product_Lookup!$A$2:$C$27,3,FALSE)</f>
        <v>$230.34</v>
      </c>
      <c r="J2000" t="str">
        <f t="shared" si="251"/>
        <v>Tuesday</v>
      </c>
      <c r="K2000" s="10" t="str">
        <f t="shared" si="252"/>
        <v>July</v>
      </c>
      <c r="L2000">
        <f t="shared" si="253"/>
        <v>2024</v>
      </c>
      <c r="M2000" t="b">
        <f t="shared" si="254"/>
        <v>0</v>
      </c>
      <c r="N2000" t="b">
        <f t="shared" si="248"/>
        <v>1</v>
      </c>
      <c r="O2000" t="str">
        <f t="shared" si="255"/>
        <v>Large Order</v>
      </c>
      <c r="P2000" s="7">
        <f t="shared" si="249"/>
        <v>11.517000000000001</v>
      </c>
      <c r="Q2000" s="7" t="str">
        <f>VLOOKUP(D2001,Product_Lookup!$A$2:$C$27,2,FALSE)</f>
        <v>Jacket</v>
      </c>
      <c r="R2000" s="7">
        <f t="shared" si="250"/>
        <v>4376.46</v>
      </c>
    </row>
    <row r="2001" spans="1:18" ht="21.75" customHeight="1">
      <c r="A2001" t="s">
        <v>2152</v>
      </c>
      <c r="B2001" s="6">
        <v>45586</v>
      </c>
      <c r="C2001" t="s">
        <v>455</v>
      </c>
      <c r="D2001" t="s">
        <v>197</v>
      </c>
      <c r="E2001" t="s">
        <v>11</v>
      </c>
      <c r="F2001" t="s">
        <v>42</v>
      </c>
      <c r="G2001" t="s">
        <v>28</v>
      </c>
      <c r="H2001">
        <v>18</v>
      </c>
      <c r="I2001" t="str">
        <f>VLOOKUP(D2001,Product_Lookup!$A$2:$C$27,3,FALSE)</f>
        <v>$10.11</v>
      </c>
      <c r="J2001" t="str">
        <f t="shared" si="251"/>
        <v>Monday</v>
      </c>
      <c r="K2001" s="10" t="str">
        <f t="shared" si="252"/>
        <v>October</v>
      </c>
      <c r="L2001">
        <f t="shared" si="253"/>
        <v>2024</v>
      </c>
      <c r="M2001" t="b">
        <f t="shared" si="254"/>
        <v>0</v>
      </c>
      <c r="N2001" t="b">
        <f t="shared" si="248"/>
        <v>0</v>
      </c>
      <c r="O2001" t="str">
        <f t="shared" si="255"/>
        <v>Standard order</v>
      </c>
      <c r="P2001" s="7">
        <f t="shared" si="249"/>
        <v>0.50549999999999995</v>
      </c>
      <c r="Q2001" s="7" t="str">
        <f>VLOOKUP(D2002,Product_Lookup!$A$2:$C$27,2,FALSE)</f>
        <v>Headphones</v>
      </c>
      <c r="R2001" s="7">
        <f t="shared" si="250"/>
        <v>181.98</v>
      </c>
    </row>
    <row r="2002" spans="1:18" ht="21.75" customHeight="1">
      <c r="A2002" t="s">
        <v>2153</v>
      </c>
      <c r="B2002" s="6">
        <v>45487</v>
      </c>
      <c r="C2002" t="s">
        <v>104</v>
      </c>
      <c r="D2002" t="s">
        <v>16</v>
      </c>
      <c r="E2002" t="s">
        <v>22</v>
      </c>
      <c r="F2002" t="s">
        <v>56</v>
      </c>
      <c r="G2002" t="s">
        <v>23</v>
      </c>
      <c r="H2002">
        <v>1</v>
      </c>
      <c r="I2002" t="str">
        <f>VLOOKUP(D2002,Product_Lookup!$A$2:$C$27,3,FALSE)</f>
        <v>$178.83</v>
      </c>
      <c r="J2002" t="str">
        <f t="shared" si="251"/>
        <v>Sunday</v>
      </c>
      <c r="K2002" s="10" t="str">
        <f t="shared" si="252"/>
        <v>July</v>
      </c>
      <c r="L2002">
        <f t="shared" si="253"/>
        <v>2024</v>
      </c>
      <c r="M2002" t="b">
        <f t="shared" si="254"/>
        <v>1</v>
      </c>
      <c r="N2002" t="b">
        <f t="shared" si="248"/>
        <v>0</v>
      </c>
      <c r="O2002" t="str">
        <f t="shared" si="255"/>
        <v>Standard order</v>
      </c>
      <c r="P2002" s="7">
        <f t="shared" si="249"/>
        <v>8.9415000000000013</v>
      </c>
      <c r="Q2002" s="7" t="str">
        <f>VLOOKUP(D2003,Product_Lookup!$A$2:$C$27,2,FALSE)</f>
        <v>Action Figure</v>
      </c>
      <c r="R2002" s="7">
        <f t="shared" si="250"/>
        <v>178.83</v>
      </c>
    </row>
    <row r="2003" spans="1:18" ht="21.75" customHeight="1">
      <c r="A2003" t="s">
        <v>2154</v>
      </c>
      <c r="B2003" s="6">
        <v>45547</v>
      </c>
      <c r="C2003" t="s">
        <v>99</v>
      </c>
      <c r="D2003" t="s">
        <v>21</v>
      </c>
      <c r="E2003" t="s">
        <v>22</v>
      </c>
      <c r="F2003" t="s">
        <v>306</v>
      </c>
      <c r="G2003" t="s">
        <v>32</v>
      </c>
      <c r="H2003">
        <v>16</v>
      </c>
      <c r="I2003" t="str">
        <f>VLOOKUP(D2003,Product_Lookup!$A$2:$C$27,3,FALSE)</f>
        <v>$88.18</v>
      </c>
      <c r="J2003" t="str">
        <f t="shared" si="251"/>
        <v>Thursday</v>
      </c>
      <c r="K2003" s="10" t="str">
        <f t="shared" si="252"/>
        <v>September</v>
      </c>
      <c r="L2003">
        <f t="shared" si="253"/>
        <v>2024</v>
      </c>
      <c r="M2003" t="b">
        <f t="shared" si="254"/>
        <v>0</v>
      </c>
      <c r="N2003" t="b">
        <f t="shared" si="248"/>
        <v>1</v>
      </c>
      <c r="O2003" t="str">
        <f t="shared" si="255"/>
        <v>Large Order</v>
      </c>
      <c r="P2003" s="7">
        <f t="shared" si="249"/>
        <v>4.4090000000000007</v>
      </c>
      <c r="Q2003" s="7" t="str">
        <f>VLOOKUP(D2004,Product_Lookup!$A$2:$C$27,2,FALSE)</f>
        <v>Smartphone</v>
      </c>
      <c r="R2003" s="7">
        <f t="shared" si="250"/>
        <v>1410.88</v>
      </c>
    </row>
    <row r="2004" spans="1:18" ht="21.75" customHeight="1">
      <c r="A2004" t="s">
        <v>2155</v>
      </c>
      <c r="B2004" s="6">
        <v>45579</v>
      </c>
      <c r="C2004" t="s">
        <v>614</v>
      </c>
      <c r="D2004" t="s">
        <v>79</v>
      </c>
      <c r="E2004" t="s">
        <v>17</v>
      </c>
      <c r="F2004" t="s">
        <v>12</v>
      </c>
      <c r="G2004" t="s">
        <v>28</v>
      </c>
      <c r="H2004">
        <v>2</v>
      </c>
      <c r="I2004" t="str">
        <f>VLOOKUP(D2004,Product_Lookup!$A$2:$C$27,3,FALSE)</f>
        <v>$216.22</v>
      </c>
      <c r="J2004" t="str">
        <f t="shared" si="251"/>
        <v>Monday</v>
      </c>
      <c r="K2004" s="10" t="str">
        <f t="shared" si="252"/>
        <v>October</v>
      </c>
      <c r="L2004">
        <f t="shared" si="253"/>
        <v>2024</v>
      </c>
      <c r="M2004" t="b">
        <f t="shared" si="254"/>
        <v>0</v>
      </c>
      <c r="N2004" t="b">
        <f t="shared" si="248"/>
        <v>0</v>
      </c>
      <c r="O2004" t="str">
        <f t="shared" si="255"/>
        <v>Standard order</v>
      </c>
      <c r="P2004" s="7">
        <f t="shared" si="249"/>
        <v>10.811</v>
      </c>
      <c r="Q2004" s="7" t="str">
        <f>VLOOKUP(D2005,Product_Lookup!$A$2:$C$27,2,FALSE)</f>
        <v>Action Figure</v>
      </c>
      <c r="R2004" s="7">
        <f t="shared" si="250"/>
        <v>432.44</v>
      </c>
    </row>
    <row r="2005" spans="1:18" ht="21.75" customHeight="1">
      <c r="A2005" t="s">
        <v>2156</v>
      </c>
      <c r="B2005" s="6">
        <v>45422</v>
      </c>
      <c r="C2005" t="s">
        <v>553</v>
      </c>
      <c r="D2005" t="s">
        <v>21</v>
      </c>
      <c r="E2005" t="s">
        <v>11</v>
      </c>
      <c r="F2005" t="s">
        <v>27</v>
      </c>
      <c r="G2005" t="s">
        <v>32</v>
      </c>
      <c r="H2005">
        <v>9</v>
      </c>
      <c r="I2005" t="str">
        <f>VLOOKUP(D2005,Product_Lookup!$A$2:$C$27,3,FALSE)</f>
        <v>$88.18</v>
      </c>
      <c r="J2005" t="str">
        <f t="shared" si="251"/>
        <v>Friday</v>
      </c>
      <c r="K2005" s="10" t="str">
        <f t="shared" si="252"/>
        <v>May</v>
      </c>
      <c r="L2005">
        <f t="shared" si="253"/>
        <v>2024</v>
      </c>
      <c r="M2005" t="b">
        <f t="shared" si="254"/>
        <v>0</v>
      </c>
      <c r="N2005" t="b">
        <f t="shared" si="248"/>
        <v>1</v>
      </c>
      <c r="O2005" t="str">
        <f t="shared" si="255"/>
        <v>Large Order</v>
      </c>
      <c r="P2005" s="7">
        <f t="shared" si="249"/>
        <v>4.4090000000000007</v>
      </c>
      <c r="Q2005" s="7" t="str">
        <f>VLOOKUP(D2006,Product_Lookup!$A$2:$C$27,2,FALSE)</f>
        <v>Sweater</v>
      </c>
      <c r="R2005" s="7">
        <f t="shared" si="250"/>
        <v>793.62000000000012</v>
      </c>
    </row>
    <row r="2006" spans="1:18" ht="21.75" customHeight="1">
      <c r="A2006" t="s">
        <v>2157</v>
      </c>
      <c r="B2006" s="6">
        <v>45578</v>
      </c>
      <c r="C2006" t="s">
        <v>642</v>
      </c>
      <c r="D2006" t="s">
        <v>26</v>
      </c>
      <c r="E2006" t="s">
        <v>17</v>
      </c>
      <c r="F2006" t="s">
        <v>12</v>
      </c>
      <c r="G2006" t="s">
        <v>23</v>
      </c>
      <c r="H2006">
        <v>4</v>
      </c>
      <c r="I2006" t="str">
        <f>VLOOKUP(D2006,Product_Lookup!$A$2:$C$27,3,FALSE)</f>
        <v>$84.57</v>
      </c>
      <c r="J2006" t="str">
        <f t="shared" si="251"/>
        <v>Sunday</v>
      </c>
      <c r="K2006" s="10" t="str">
        <f t="shared" si="252"/>
        <v>October</v>
      </c>
      <c r="L2006">
        <f t="shared" si="253"/>
        <v>2024</v>
      </c>
      <c r="M2006" t="b">
        <f t="shared" si="254"/>
        <v>1</v>
      </c>
      <c r="N2006" t="b">
        <f t="shared" si="248"/>
        <v>0</v>
      </c>
      <c r="O2006" t="str">
        <f t="shared" si="255"/>
        <v>Standard order</v>
      </c>
      <c r="P2006" s="7">
        <f t="shared" si="249"/>
        <v>4.2284999999999995</v>
      </c>
      <c r="Q2006" s="7" t="str">
        <f>VLOOKUP(D2007,Product_Lookup!$A$2:$C$27,2,FALSE)</f>
        <v>Jeans</v>
      </c>
      <c r="R2006" s="7">
        <f t="shared" si="250"/>
        <v>338.28</v>
      </c>
    </row>
    <row r="2007" spans="1:18" ht="21.75" customHeight="1">
      <c r="A2007" t="s">
        <v>2158</v>
      </c>
      <c r="B2007" s="6">
        <v>45639</v>
      </c>
      <c r="C2007" t="s">
        <v>493</v>
      </c>
      <c r="D2007" t="s">
        <v>65</v>
      </c>
      <c r="E2007" t="s">
        <v>22</v>
      </c>
      <c r="F2007" t="s">
        <v>306</v>
      </c>
      <c r="G2007" t="s">
        <v>36</v>
      </c>
      <c r="H2007">
        <v>6</v>
      </c>
      <c r="I2007" t="str">
        <f>VLOOKUP(D2007,Product_Lookup!$A$2:$C$27,3,FALSE)</f>
        <v>$33.22</v>
      </c>
      <c r="J2007" t="str">
        <f t="shared" si="251"/>
        <v>Friday</v>
      </c>
      <c r="K2007" s="10" t="str">
        <f t="shared" si="252"/>
        <v>December</v>
      </c>
      <c r="L2007">
        <f t="shared" si="253"/>
        <v>2024</v>
      </c>
      <c r="M2007" t="b">
        <f t="shared" si="254"/>
        <v>0</v>
      </c>
      <c r="N2007" t="b">
        <f t="shared" si="248"/>
        <v>0</v>
      </c>
      <c r="O2007" t="str">
        <f t="shared" si="255"/>
        <v>Standard order</v>
      </c>
      <c r="P2007" s="7">
        <f t="shared" si="249"/>
        <v>1.661</v>
      </c>
      <c r="Q2007" s="7" t="str">
        <f>VLOOKUP(D2008,Product_Lookup!$A$2:$C$27,2,FALSE)</f>
        <v>Blender</v>
      </c>
      <c r="R2007" s="7">
        <f t="shared" si="250"/>
        <v>199.32</v>
      </c>
    </row>
    <row r="2008" spans="1:18" ht="21.75" customHeight="1">
      <c r="A2008" t="s">
        <v>2159</v>
      </c>
      <c r="B2008" s="6">
        <v>45437</v>
      </c>
      <c r="C2008" t="s">
        <v>182</v>
      </c>
      <c r="D2008" t="s">
        <v>72</v>
      </c>
      <c r="E2008" t="s">
        <v>22</v>
      </c>
      <c r="F2008" t="s">
        <v>306</v>
      </c>
      <c r="G2008" t="s">
        <v>23</v>
      </c>
      <c r="H2008">
        <v>15</v>
      </c>
      <c r="I2008" t="str">
        <f>VLOOKUP(D2008,Product_Lookup!$A$2:$C$27,3,FALSE)</f>
        <v>$156.44</v>
      </c>
      <c r="J2008" t="str">
        <f t="shared" si="251"/>
        <v>Saturday</v>
      </c>
      <c r="K2008" s="10" t="str">
        <f t="shared" si="252"/>
        <v>May</v>
      </c>
      <c r="L2008">
        <f t="shared" si="253"/>
        <v>2024</v>
      </c>
      <c r="M2008" t="b">
        <f t="shared" si="254"/>
        <v>1</v>
      </c>
      <c r="N2008" t="b">
        <f t="shared" si="248"/>
        <v>1</v>
      </c>
      <c r="O2008" t="str">
        <f t="shared" si="255"/>
        <v>Large Order</v>
      </c>
      <c r="P2008" s="7">
        <f t="shared" si="249"/>
        <v>7.8220000000000001</v>
      </c>
      <c r="Q2008" s="7" t="str">
        <f>VLOOKUP(D2009,Product_Lookup!$A$2:$C$27,2,FALSE)</f>
        <v>Socks</v>
      </c>
      <c r="R2008" s="7">
        <f t="shared" si="250"/>
        <v>2346.6</v>
      </c>
    </row>
    <row r="2009" spans="1:18" ht="21.75" customHeight="1">
      <c r="A2009" t="s">
        <v>2160</v>
      </c>
      <c r="B2009" s="6">
        <v>45487</v>
      </c>
      <c r="C2009" t="s">
        <v>594</v>
      </c>
      <c r="D2009" t="s">
        <v>74</v>
      </c>
      <c r="E2009" t="s">
        <v>17</v>
      </c>
      <c r="F2009" t="s">
        <v>56</v>
      </c>
      <c r="G2009" t="s">
        <v>28</v>
      </c>
      <c r="H2009">
        <v>11</v>
      </c>
      <c r="I2009" t="str">
        <f>VLOOKUP(D2009,Product_Lookup!$A$2:$C$27,3,FALSE)</f>
        <v>$201.32</v>
      </c>
      <c r="J2009" t="str">
        <f t="shared" si="251"/>
        <v>Sunday</v>
      </c>
      <c r="K2009" s="10" t="str">
        <f t="shared" si="252"/>
        <v>July</v>
      </c>
      <c r="L2009">
        <f t="shared" si="253"/>
        <v>2024</v>
      </c>
      <c r="M2009" t="b">
        <f t="shared" si="254"/>
        <v>1</v>
      </c>
      <c r="N2009" t="b">
        <f t="shared" si="248"/>
        <v>1</v>
      </c>
      <c r="O2009" t="str">
        <f t="shared" si="255"/>
        <v>Large Order</v>
      </c>
      <c r="P2009" s="7">
        <f t="shared" si="249"/>
        <v>10.066000000000001</v>
      </c>
      <c r="Q2009" s="7" t="str">
        <f>VLOOKUP(D2010,Product_Lookup!$A$2:$C$27,2,FALSE)</f>
        <v>Coffee Maker</v>
      </c>
      <c r="R2009" s="7">
        <f t="shared" si="250"/>
        <v>2214.52</v>
      </c>
    </row>
    <row r="2010" spans="1:18" ht="21.75" customHeight="1">
      <c r="A2010" t="s">
        <v>2161</v>
      </c>
      <c r="B2010" s="6">
        <v>45605</v>
      </c>
      <c r="C2010" t="s">
        <v>314</v>
      </c>
      <c r="D2010" t="s">
        <v>31</v>
      </c>
      <c r="E2010" t="s">
        <v>11</v>
      </c>
      <c r="F2010" t="s">
        <v>12</v>
      </c>
      <c r="G2010" t="s">
        <v>28</v>
      </c>
      <c r="H2010">
        <v>11</v>
      </c>
      <c r="I2010" t="str">
        <f>VLOOKUP(D2010,Product_Lookup!$A$2:$C$27,3,FALSE)</f>
        <v>$230.34</v>
      </c>
      <c r="J2010" t="str">
        <f t="shared" si="251"/>
        <v>Saturday</v>
      </c>
      <c r="K2010" s="10" t="str">
        <f t="shared" si="252"/>
        <v>November</v>
      </c>
      <c r="L2010">
        <f t="shared" si="253"/>
        <v>2024</v>
      </c>
      <c r="M2010" t="b">
        <f t="shared" si="254"/>
        <v>1</v>
      </c>
      <c r="N2010" t="b">
        <f t="shared" si="248"/>
        <v>1</v>
      </c>
      <c r="O2010" t="str">
        <f t="shared" si="255"/>
        <v>Large Order</v>
      </c>
      <c r="P2010" s="7">
        <f t="shared" si="249"/>
        <v>11.517000000000001</v>
      </c>
      <c r="Q2010" s="7" t="str">
        <f>VLOOKUP(D2011,Product_Lookup!$A$2:$C$27,2,FALSE)</f>
        <v>Socks</v>
      </c>
      <c r="R2010" s="7">
        <f t="shared" si="250"/>
        <v>2533.7400000000002</v>
      </c>
    </row>
    <row r="2011" spans="1:18" ht="21.75" customHeight="1">
      <c r="A2011" t="s">
        <v>2162</v>
      </c>
      <c r="B2011" s="6">
        <v>45454</v>
      </c>
      <c r="C2011" t="s">
        <v>350</v>
      </c>
      <c r="D2011" t="s">
        <v>74</v>
      </c>
      <c r="E2011" t="s">
        <v>22</v>
      </c>
      <c r="F2011" t="s">
        <v>42</v>
      </c>
      <c r="G2011" t="s">
        <v>36</v>
      </c>
      <c r="H2011">
        <v>13</v>
      </c>
      <c r="I2011" t="str">
        <f>VLOOKUP(D2011,Product_Lookup!$A$2:$C$27,3,FALSE)</f>
        <v>$201.32</v>
      </c>
      <c r="J2011" t="str">
        <f t="shared" si="251"/>
        <v>Tuesday</v>
      </c>
      <c r="K2011" s="10" t="str">
        <f t="shared" si="252"/>
        <v>June</v>
      </c>
      <c r="L2011">
        <f t="shared" si="253"/>
        <v>2024</v>
      </c>
      <c r="M2011" t="b">
        <f t="shared" si="254"/>
        <v>0</v>
      </c>
      <c r="N2011" t="b">
        <f t="shared" si="248"/>
        <v>1</v>
      </c>
      <c r="O2011" t="str">
        <f t="shared" si="255"/>
        <v>Large Order</v>
      </c>
      <c r="P2011" s="7">
        <f t="shared" si="249"/>
        <v>10.066000000000001</v>
      </c>
      <c r="Q2011" s="7" t="str">
        <f>VLOOKUP(D2012,Product_Lookup!$A$2:$C$27,2,FALSE)</f>
        <v>Toaster</v>
      </c>
      <c r="R2011" s="7">
        <f t="shared" si="250"/>
        <v>2617.16</v>
      </c>
    </row>
    <row r="2012" spans="1:18" ht="21.75" customHeight="1">
      <c r="A2012" t="s">
        <v>2163</v>
      </c>
      <c r="B2012" s="6">
        <v>45519</v>
      </c>
      <c r="C2012" t="s">
        <v>420</v>
      </c>
      <c r="D2012" t="s">
        <v>48</v>
      </c>
      <c r="E2012" t="s">
        <v>22</v>
      </c>
      <c r="F2012" t="s">
        <v>306</v>
      </c>
      <c r="G2012" t="s">
        <v>36</v>
      </c>
      <c r="H2012">
        <v>15</v>
      </c>
      <c r="I2012" t="str">
        <f>VLOOKUP(D2012,Product_Lookup!$A$2:$C$27,3,FALSE)</f>
        <v>$208.85</v>
      </c>
      <c r="J2012" t="str">
        <f t="shared" si="251"/>
        <v>Thursday</v>
      </c>
      <c r="K2012" s="10" t="str">
        <f t="shared" si="252"/>
        <v>August</v>
      </c>
      <c r="L2012">
        <f t="shared" si="253"/>
        <v>2024</v>
      </c>
      <c r="M2012" t="b">
        <f t="shared" si="254"/>
        <v>0</v>
      </c>
      <c r="N2012" t="b">
        <f t="shared" si="248"/>
        <v>1</v>
      </c>
      <c r="O2012" t="str">
        <f t="shared" si="255"/>
        <v>Large Order</v>
      </c>
      <c r="P2012" s="7">
        <f t="shared" si="249"/>
        <v>10.442500000000001</v>
      </c>
      <c r="Q2012" s="7" t="str">
        <f>VLOOKUP(D2013,Product_Lookup!$A$2:$C$27,2,FALSE)</f>
        <v>Headphones</v>
      </c>
      <c r="R2012" s="7">
        <f t="shared" si="250"/>
        <v>3132.75</v>
      </c>
    </row>
    <row r="2013" spans="1:18" ht="21.75" customHeight="1">
      <c r="A2013" t="s">
        <v>2164</v>
      </c>
      <c r="B2013" s="6">
        <v>45386</v>
      </c>
      <c r="C2013" t="s">
        <v>138</v>
      </c>
      <c r="D2013" t="s">
        <v>16</v>
      </c>
      <c r="E2013" t="s">
        <v>22</v>
      </c>
      <c r="F2013" t="s">
        <v>56</v>
      </c>
      <c r="G2013" t="s">
        <v>32</v>
      </c>
      <c r="H2013">
        <v>3</v>
      </c>
      <c r="I2013" t="str">
        <f>VLOOKUP(D2013,Product_Lookup!$A$2:$C$27,3,FALSE)</f>
        <v>$178.83</v>
      </c>
      <c r="J2013" t="str">
        <f t="shared" si="251"/>
        <v>Thursday</v>
      </c>
      <c r="K2013" s="10" t="str">
        <f t="shared" si="252"/>
        <v>April</v>
      </c>
      <c r="L2013">
        <f t="shared" si="253"/>
        <v>2024</v>
      </c>
      <c r="M2013" t="b">
        <f t="shared" si="254"/>
        <v>0</v>
      </c>
      <c r="N2013" t="b">
        <f t="shared" si="248"/>
        <v>0</v>
      </c>
      <c r="O2013" t="str">
        <f t="shared" si="255"/>
        <v>Large Order</v>
      </c>
      <c r="P2013" s="7">
        <f t="shared" si="249"/>
        <v>8.9415000000000013</v>
      </c>
      <c r="Q2013" s="7" t="str">
        <f>VLOOKUP(D2014,Product_Lookup!$A$2:$C$27,2,FALSE)</f>
        <v>Monitor</v>
      </c>
      <c r="R2013" s="7">
        <f t="shared" si="250"/>
        <v>536.49</v>
      </c>
    </row>
    <row r="2014" spans="1:18" ht="21.75" customHeight="1">
      <c r="A2014" t="s">
        <v>2165</v>
      </c>
      <c r="B2014" s="6">
        <v>45495</v>
      </c>
      <c r="C2014" t="s">
        <v>15</v>
      </c>
      <c r="D2014" t="s">
        <v>102</v>
      </c>
      <c r="E2014" t="s">
        <v>11</v>
      </c>
      <c r="F2014" t="s">
        <v>27</v>
      </c>
      <c r="G2014" t="s">
        <v>36</v>
      </c>
      <c r="H2014">
        <v>2</v>
      </c>
      <c r="I2014" t="str">
        <f>VLOOKUP(D2014,Product_Lookup!$A$2:$C$27,3,FALSE)</f>
        <v>$145.48</v>
      </c>
      <c r="J2014" t="str">
        <f t="shared" si="251"/>
        <v>Monday</v>
      </c>
      <c r="K2014" s="10" t="str">
        <f t="shared" si="252"/>
        <v>July</v>
      </c>
      <c r="L2014">
        <f t="shared" si="253"/>
        <v>2024</v>
      </c>
      <c r="M2014" t="b">
        <f t="shared" si="254"/>
        <v>0</v>
      </c>
      <c r="N2014" t="b">
        <f t="shared" si="248"/>
        <v>0</v>
      </c>
      <c r="O2014" t="str">
        <f t="shared" si="255"/>
        <v>Standard order</v>
      </c>
      <c r="P2014" s="7">
        <f t="shared" si="249"/>
        <v>7.274</v>
      </c>
      <c r="Q2014" s="7" t="str">
        <f>VLOOKUP(D2015,Product_Lookup!$A$2:$C$27,2,FALSE)</f>
        <v>Doll</v>
      </c>
      <c r="R2014" s="7">
        <f t="shared" si="250"/>
        <v>290.95999999999998</v>
      </c>
    </row>
    <row r="2015" spans="1:18" ht="21.75" customHeight="1">
      <c r="A2015" t="s">
        <v>2166</v>
      </c>
      <c r="B2015" s="6">
        <v>45495</v>
      </c>
      <c r="C2015" t="s">
        <v>339</v>
      </c>
      <c r="D2015" t="s">
        <v>119</v>
      </c>
      <c r="E2015" t="s">
        <v>11</v>
      </c>
      <c r="F2015" t="s">
        <v>12</v>
      </c>
      <c r="G2015" t="s">
        <v>32</v>
      </c>
      <c r="H2015">
        <v>20</v>
      </c>
      <c r="I2015" t="str">
        <f>VLOOKUP(D2015,Product_Lookup!$A$2:$C$27,3,FALSE)</f>
        <v>$32.94</v>
      </c>
      <c r="J2015" t="str">
        <f t="shared" si="251"/>
        <v>Monday</v>
      </c>
      <c r="K2015" s="10" t="str">
        <f t="shared" si="252"/>
        <v>July</v>
      </c>
      <c r="L2015">
        <f t="shared" si="253"/>
        <v>2024</v>
      </c>
      <c r="M2015" t="b">
        <f t="shared" si="254"/>
        <v>0</v>
      </c>
      <c r="N2015" t="b">
        <f t="shared" si="248"/>
        <v>0</v>
      </c>
      <c r="O2015" t="str">
        <f t="shared" si="255"/>
        <v>Large Order</v>
      </c>
      <c r="P2015" s="7">
        <f t="shared" si="249"/>
        <v>1.647</v>
      </c>
      <c r="Q2015" s="7" t="str">
        <f>VLOOKUP(D2016,Product_Lookup!$A$2:$C$27,2,FALSE)</f>
        <v>Socks</v>
      </c>
      <c r="R2015" s="7">
        <f t="shared" si="250"/>
        <v>658.8</v>
      </c>
    </row>
    <row r="2016" spans="1:18" ht="21.75" customHeight="1">
      <c r="A2016" t="s">
        <v>2167</v>
      </c>
      <c r="B2016" s="6">
        <v>45627</v>
      </c>
      <c r="C2016" t="s">
        <v>53</v>
      </c>
      <c r="D2016" t="s">
        <v>74</v>
      </c>
      <c r="E2016" t="s">
        <v>11</v>
      </c>
      <c r="F2016" t="s">
        <v>56</v>
      </c>
      <c r="G2016" t="s">
        <v>32</v>
      </c>
      <c r="H2016">
        <v>15</v>
      </c>
      <c r="I2016" t="str">
        <f>VLOOKUP(D2016,Product_Lookup!$A$2:$C$27,3,FALSE)</f>
        <v>$201.32</v>
      </c>
      <c r="J2016" t="str">
        <f t="shared" si="251"/>
        <v>Sunday</v>
      </c>
      <c r="K2016" s="10" t="str">
        <f t="shared" si="252"/>
        <v>December</v>
      </c>
      <c r="L2016">
        <f t="shared" si="253"/>
        <v>2024</v>
      </c>
      <c r="M2016" t="b">
        <f t="shared" si="254"/>
        <v>1</v>
      </c>
      <c r="N2016" t="b">
        <f t="shared" si="248"/>
        <v>1</v>
      </c>
      <c r="O2016" t="str">
        <f t="shared" si="255"/>
        <v>Large Order</v>
      </c>
      <c r="P2016" s="7">
        <f t="shared" si="249"/>
        <v>10.066000000000001</v>
      </c>
      <c r="Q2016" s="7" t="str">
        <f>VLOOKUP(D2017,Product_Lookup!$A$2:$C$27,2,FALSE)</f>
        <v>T-Shirt</v>
      </c>
      <c r="R2016" s="7">
        <f t="shared" si="250"/>
        <v>3019.7999999999997</v>
      </c>
    </row>
    <row r="2017" spans="1:18" ht="21.75" customHeight="1">
      <c r="A2017" t="s">
        <v>2168</v>
      </c>
      <c r="B2017" s="6">
        <v>45359</v>
      </c>
      <c r="C2017" t="s">
        <v>339</v>
      </c>
      <c r="D2017" t="s">
        <v>45</v>
      </c>
      <c r="E2017" t="s">
        <v>11</v>
      </c>
      <c r="F2017" t="s">
        <v>12</v>
      </c>
      <c r="G2017" t="s">
        <v>32</v>
      </c>
      <c r="H2017">
        <v>11</v>
      </c>
      <c r="I2017" t="str">
        <f>VLOOKUP(D2017,Product_Lookup!$A$2:$C$27,3,FALSE)</f>
        <v>$107.34</v>
      </c>
      <c r="J2017" t="str">
        <f t="shared" si="251"/>
        <v>Friday</v>
      </c>
      <c r="K2017" s="10" t="str">
        <f t="shared" si="252"/>
        <v>March</v>
      </c>
      <c r="L2017">
        <f t="shared" si="253"/>
        <v>2024</v>
      </c>
      <c r="M2017" t="b">
        <f t="shared" si="254"/>
        <v>0</v>
      </c>
      <c r="N2017" t="b">
        <f t="shared" si="248"/>
        <v>1</v>
      </c>
      <c r="O2017" t="str">
        <f t="shared" si="255"/>
        <v>Large Order</v>
      </c>
      <c r="P2017" s="7">
        <f t="shared" si="249"/>
        <v>5.3670000000000009</v>
      </c>
      <c r="Q2017" s="7" t="str">
        <f>VLOOKUP(D2018,Product_Lookup!$A$2:$C$27,2,FALSE)</f>
        <v>Sweater</v>
      </c>
      <c r="R2017" s="7">
        <f t="shared" si="250"/>
        <v>1180.74</v>
      </c>
    </row>
    <row r="2018" spans="1:18" ht="21.75" customHeight="1">
      <c r="A2018" t="s">
        <v>2169</v>
      </c>
      <c r="B2018" s="6">
        <v>45531</v>
      </c>
      <c r="C2018" t="s">
        <v>591</v>
      </c>
      <c r="D2018" t="s">
        <v>26</v>
      </c>
      <c r="E2018" t="s">
        <v>22</v>
      </c>
      <c r="F2018" t="s">
        <v>27</v>
      </c>
      <c r="G2018" t="s">
        <v>28</v>
      </c>
      <c r="H2018">
        <v>18</v>
      </c>
      <c r="I2018" t="str">
        <f>VLOOKUP(D2018,Product_Lookup!$A$2:$C$27,3,FALSE)</f>
        <v>$84.57</v>
      </c>
      <c r="J2018" t="str">
        <f t="shared" si="251"/>
        <v>Tuesday</v>
      </c>
      <c r="K2018" s="10" t="str">
        <f t="shared" si="252"/>
        <v>August</v>
      </c>
      <c r="L2018">
        <f t="shared" si="253"/>
        <v>2024</v>
      </c>
      <c r="M2018" t="b">
        <f t="shared" si="254"/>
        <v>0</v>
      </c>
      <c r="N2018" t="b">
        <f t="shared" si="248"/>
        <v>1</v>
      </c>
      <c r="O2018" t="str">
        <f t="shared" si="255"/>
        <v>Large Order</v>
      </c>
      <c r="P2018" s="7">
        <f t="shared" si="249"/>
        <v>4.2284999999999995</v>
      </c>
      <c r="Q2018" s="7" t="str">
        <f>VLOOKUP(D2019,Product_Lookup!$A$2:$C$27,2,FALSE)</f>
        <v>Action Figure</v>
      </c>
      <c r="R2018" s="7">
        <f t="shared" si="250"/>
        <v>1522.2599999999998</v>
      </c>
    </row>
    <row r="2019" spans="1:18" ht="21.75" customHeight="1">
      <c r="A2019" t="s">
        <v>2170</v>
      </c>
      <c r="B2019" s="6">
        <v>45597</v>
      </c>
      <c r="C2019" t="s">
        <v>366</v>
      </c>
      <c r="D2019" t="s">
        <v>21</v>
      </c>
      <c r="E2019" t="s">
        <v>22</v>
      </c>
      <c r="F2019" t="s">
        <v>306</v>
      </c>
      <c r="G2019" t="s">
        <v>23</v>
      </c>
      <c r="H2019">
        <v>17</v>
      </c>
      <c r="I2019" t="str">
        <f>VLOOKUP(D2019,Product_Lookup!$A$2:$C$27,3,FALSE)</f>
        <v>$88.18</v>
      </c>
      <c r="J2019" t="str">
        <f t="shared" si="251"/>
        <v>Friday</v>
      </c>
      <c r="K2019" s="10" t="str">
        <f t="shared" si="252"/>
        <v>November</v>
      </c>
      <c r="L2019">
        <f t="shared" si="253"/>
        <v>2024</v>
      </c>
      <c r="M2019" t="b">
        <f t="shared" si="254"/>
        <v>0</v>
      </c>
      <c r="N2019" t="b">
        <f t="shared" si="248"/>
        <v>1</v>
      </c>
      <c r="O2019" t="str">
        <f t="shared" si="255"/>
        <v>Large Order</v>
      </c>
      <c r="P2019" s="7">
        <f t="shared" si="249"/>
        <v>4.4090000000000007</v>
      </c>
      <c r="Q2019" s="7" t="str">
        <f>VLOOKUP(D2020,Product_Lookup!$A$2:$C$27,2,FALSE)</f>
        <v>Toaster</v>
      </c>
      <c r="R2019" s="7">
        <f t="shared" si="250"/>
        <v>1499.0600000000002</v>
      </c>
    </row>
    <row r="2020" spans="1:18" ht="21.75" customHeight="1">
      <c r="A2020" t="s">
        <v>2171</v>
      </c>
      <c r="B2020" s="6">
        <v>45565</v>
      </c>
      <c r="C2020" t="s">
        <v>147</v>
      </c>
      <c r="D2020" t="s">
        <v>48</v>
      </c>
      <c r="E2020" t="s">
        <v>17</v>
      </c>
      <c r="F2020" t="s">
        <v>306</v>
      </c>
      <c r="G2020" t="s">
        <v>28</v>
      </c>
      <c r="H2020">
        <v>3</v>
      </c>
      <c r="I2020" t="str">
        <f>VLOOKUP(D2020,Product_Lookup!$A$2:$C$27,3,FALSE)</f>
        <v>$208.85</v>
      </c>
      <c r="J2020" t="str">
        <f t="shared" si="251"/>
        <v>Monday</v>
      </c>
      <c r="K2020" s="10" t="str">
        <f t="shared" si="252"/>
        <v>September</v>
      </c>
      <c r="L2020">
        <f t="shared" si="253"/>
        <v>2024</v>
      </c>
      <c r="M2020" t="b">
        <f t="shared" si="254"/>
        <v>0</v>
      </c>
      <c r="N2020" t="b">
        <f t="shared" si="248"/>
        <v>0</v>
      </c>
      <c r="O2020" t="str">
        <f t="shared" si="255"/>
        <v>Large Order</v>
      </c>
      <c r="P2020" s="7">
        <f t="shared" si="249"/>
        <v>10.442500000000001</v>
      </c>
      <c r="Q2020" s="7" t="str">
        <f>VLOOKUP(D2021,Product_Lookup!$A$2:$C$27,2,FALSE)</f>
        <v>Sweater</v>
      </c>
      <c r="R2020" s="7">
        <f t="shared" si="250"/>
        <v>626.54999999999995</v>
      </c>
    </row>
    <row r="2021" spans="1:18" ht="21.75" customHeight="1">
      <c r="A2021" t="s">
        <v>2172</v>
      </c>
      <c r="B2021" s="6">
        <v>45479</v>
      </c>
      <c r="C2021" t="s">
        <v>408</v>
      </c>
      <c r="D2021" t="s">
        <v>26</v>
      </c>
      <c r="E2021" t="s">
        <v>11</v>
      </c>
      <c r="F2021" t="s">
        <v>42</v>
      </c>
      <c r="G2021" t="s">
        <v>13</v>
      </c>
      <c r="H2021">
        <v>1</v>
      </c>
      <c r="I2021" t="str">
        <f>VLOOKUP(D2021,Product_Lookup!$A$2:$C$27,3,FALSE)</f>
        <v>$84.57</v>
      </c>
      <c r="J2021" t="str">
        <f t="shared" si="251"/>
        <v>Saturday</v>
      </c>
      <c r="K2021" s="10" t="str">
        <f t="shared" si="252"/>
        <v>July</v>
      </c>
      <c r="L2021">
        <f t="shared" si="253"/>
        <v>2024</v>
      </c>
      <c r="M2021" t="b">
        <f t="shared" si="254"/>
        <v>1</v>
      </c>
      <c r="N2021" t="b">
        <f t="shared" si="248"/>
        <v>0</v>
      </c>
      <c r="O2021" t="str">
        <f t="shared" si="255"/>
        <v>Standard order</v>
      </c>
      <c r="P2021" s="7">
        <f t="shared" si="249"/>
        <v>4.2284999999999995</v>
      </c>
      <c r="Q2021" s="7" t="str">
        <f>VLOOKUP(D2022,Product_Lookup!$A$2:$C$27,2,FALSE)</f>
        <v>Socks</v>
      </c>
      <c r="R2021" s="7">
        <f t="shared" si="250"/>
        <v>84.57</v>
      </c>
    </row>
    <row r="2022" spans="1:18" ht="21.75" customHeight="1">
      <c r="A2022" t="s">
        <v>2173</v>
      </c>
      <c r="B2022" s="6">
        <v>45361</v>
      </c>
      <c r="C2022" t="s">
        <v>20</v>
      </c>
      <c r="D2022" t="s">
        <v>74</v>
      </c>
      <c r="E2022" t="s">
        <v>17</v>
      </c>
      <c r="F2022" t="s">
        <v>306</v>
      </c>
      <c r="G2022" t="s">
        <v>13</v>
      </c>
      <c r="H2022">
        <v>16</v>
      </c>
      <c r="I2022" t="str">
        <f>VLOOKUP(D2022,Product_Lookup!$A$2:$C$27,3,FALSE)</f>
        <v>$201.32</v>
      </c>
      <c r="J2022" t="str">
        <f t="shared" si="251"/>
        <v>Sunday</v>
      </c>
      <c r="K2022" s="10" t="str">
        <f t="shared" si="252"/>
        <v>March</v>
      </c>
      <c r="L2022">
        <f t="shared" si="253"/>
        <v>2024</v>
      </c>
      <c r="M2022" t="b">
        <f t="shared" si="254"/>
        <v>1</v>
      </c>
      <c r="N2022" t="b">
        <f t="shared" si="248"/>
        <v>1</v>
      </c>
      <c r="O2022" t="str">
        <f t="shared" si="255"/>
        <v>Large Order</v>
      </c>
      <c r="P2022" s="7">
        <f t="shared" si="249"/>
        <v>10.066000000000001</v>
      </c>
      <c r="Q2022" s="7" t="str">
        <f>VLOOKUP(D2023,Product_Lookup!$A$2:$C$27,2,FALSE)</f>
        <v>Laptop</v>
      </c>
      <c r="R2022" s="7">
        <f t="shared" si="250"/>
        <v>3221.12</v>
      </c>
    </row>
    <row r="2023" spans="1:18" ht="21.75" customHeight="1">
      <c r="A2023" t="s">
        <v>2174</v>
      </c>
      <c r="B2023" s="6">
        <v>45536</v>
      </c>
      <c r="C2023" t="s">
        <v>68</v>
      </c>
      <c r="D2023" t="s">
        <v>96</v>
      </c>
      <c r="E2023" t="s">
        <v>17</v>
      </c>
      <c r="F2023" t="s">
        <v>42</v>
      </c>
      <c r="G2023" t="s">
        <v>36</v>
      </c>
      <c r="H2023">
        <v>8</v>
      </c>
      <c r="I2023" t="str">
        <f>VLOOKUP(D2023,Product_Lookup!$A$2:$C$27,3,FALSE)</f>
        <v>$230.68</v>
      </c>
      <c r="J2023" t="str">
        <f t="shared" si="251"/>
        <v>Sunday</v>
      </c>
      <c r="K2023" s="10" t="str">
        <f t="shared" si="252"/>
        <v>September</v>
      </c>
      <c r="L2023">
        <f t="shared" si="253"/>
        <v>2024</v>
      </c>
      <c r="M2023" t="b">
        <f t="shared" si="254"/>
        <v>1</v>
      </c>
      <c r="N2023" t="b">
        <f t="shared" si="248"/>
        <v>1</v>
      </c>
      <c r="O2023" t="str">
        <f t="shared" si="255"/>
        <v>Large Order</v>
      </c>
      <c r="P2023" s="7">
        <f t="shared" si="249"/>
        <v>11.534000000000001</v>
      </c>
      <c r="Q2023" s="7" t="str">
        <f>VLOOKUP(D2024,Product_Lookup!$A$2:$C$27,2,FALSE)</f>
        <v>Jeans</v>
      </c>
      <c r="R2023" s="7">
        <f t="shared" si="250"/>
        <v>1845.44</v>
      </c>
    </row>
    <row r="2024" spans="1:18" ht="21.75" customHeight="1">
      <c r="A2024" t="s">
        <v>2175</v>
      </c>
      <c r="B2024" s="6">
        <v>45572</v>
      </c>
      <c r="C2024" t="s">
        <v>200</v>
      </c>
      <c r="D2024" t="s">
        <v>65</v>
      </c>
      <c r="E2024" t="s">
        <v>17</v>
      </c>
      <c r="F2024" t="s">
        <v>306</v>
      </c>
      <c r="G2024" t="s">
        <v>23</v>
      </c>
      <c r="H2024">
        <v>13</v>
      </c>
      <c r="I2024" t="str">
        <f>VLOOKUP(D2024,Product_Lookup!$A$2:$C$27,3,FALSE)</f>
        <v>$33.22</v>
      </c>
      <c r="J2024" t="str">
        <f t="shared" si="251"/>
        <v>Monday</v>
      </c>
      <c r="K2024" s="10" t="str">
        <f t="shared" si="252"/>
        <v>October</v>
      </c>
      <c r="L2024">
        <f t="shared" si="253"/>
        <v>2024</v>
      </c>
      <c r="M2024" t="b">
        <f t="shared" si="254"/>
        <v>0</v>
      </c>
      <c r="N2024" t="b">
        <f t="shared" si="248"/>
        <v>0</v>
      </c>
      <c r="O2024" t="str">
        <f t="shared" si="255"/>
        <v>Standard order</v>
      </c>
      <c r="P2024" s="7">
        <f t="shared" si="249"/>
        <v>1.661</v>
      </c>
      <c r="Q2024" s="7" t="str">
        <f>VLOOKUP(D2025,Product_Lookup!$A$2:$C$27,2,FALSE)</f>
        <v>Coffee Maker</v>
      </c>
      <c r="R2024" s="7">
        <f t="shared" si="250"/>
        <v>431.86</v>
      </c>
    </row>
    <row r="2025" spans="1:18" ht="21.75" customHeight="1">
      <c r="A2025" t="s">
        <v>2176</v>
      </c>
      <c r="B2025" s="6">
        <v>45622</v>
      </c>
      <c r="C2025" t="s">
        <v>53</v>
      </c>
      <c r="D2025" t="s">
        <v>31</v>
      </c>
      <c r="E2025" t="s">
        <v>11</v>
      </c>
      <c r="F2025" t="s">
        <v>42</v>
      </c>
      <c r="G2025" t="s">
        <v>13</v>
      </c>
      <c r="H2025">
        <v>14</v>
      </c>
      <c r="I2025" t="str">
        <f>VLOOKUP(D2025,Product_Lookup!$A$2:$C$27,3,FALSE)</f>
        <v>$230.34</v>
      </c>
      <c r="J2025" t="str">
        <f t="shared" si="251"/>
        <v>Tuesday</v>
      </c>
      <c r="K2025" s="10" t="str">
        <f t="shared" si="252"/>
        <v>November</v>
      </c>
      <c r="L2025">
        <f t="shared" si="253"/>
        <v>2024</v>
      </c>
      <c r="M2025" t="b">
        <f t="shared" si="254"/>
        <v>0</v>
      </c>
      <c r="N2025" t="b">
        <f t="shared" si="248"/>
        <v>1</v>
      </c>
      <c r="O2025" t="str">
        <f t="shared" si="255"/>
        <v>Large Order</v>
      </c>
      <c r="P2025" s="7">
        <f t="shared" si="249"/>
        <v>11.517000000000001</v>
      </c>
      <c r="Q2025" s="7" t="str">
        <f>VLOOKUP(D2026,Product_Lookup!$A$2:$C$27,2,FALSE)</f>
        <v>Paper Shredder</v>
      </c>
      <c r="R2025" s="7">
        <f t="shared" si="250"/>
        <v>3224.76</v>
      </c>
    </row>
    <row r="2026" spans="1:18" ht="21.75" customHeight="1">
      <c r="A2026" t="s">
        <v>2177</v>
      </c>
      <c r="B2026" s="6">
        <v>45556</v>
      </c>
      <c r="C2026" t="s">
        <v>332</v>
      </c>
      <c r="D2026" t="s">
        <v>109</v>
      </c>
      <c r="E2026" t="s">
        <v>22</v>
      </c>
      <c r="F2026" t="s">
        <v>42</v>
      </c>
      <c r="G2026" t="s">
        <v>32</v>
      </c>
      <c r="H2026">
        <v>18</v>
      </c>
      <c r="I2026" t="str">
        <f>VLOOKUP(D2026,Product_Lookup!$A$2:$C$27,3,FALSE)</f>
        <v>$81.02</v>
      </c>
      <c r="J2026" t="str">
        <f t="shared" si="251"/>
        <v>Saturday</v>
      </c>
      <c r="K2026" s="10" t="str">
        <f t="shared" si="252"/>
        <v>September</v>
      </c>
      <c r="L2026">
        <f t="shared" si="253"/>
        <v>2024</v>
      </c>
      <c r="M2026" t="b">
        <f t="shared" si="254"/>
        <v>1</v>
      </c>
      <c r="N2026" t="b">
        <f t="shared" si="248"/>
        <v>1</v>
      </c>
      <c r="O2026" t="str">
        <f t="shared" si="255"/>
        <v>Large Order</v>
      </c>
      <c r="P2026" s="7">
        <f t="shared" si="249"/>
        <v>4.0510000000000002</v>
      </c>
      <c r="Q2026" s="7" t="str">
        <f>VLOOKUP(D2027,Product_Lookup!$A$2:$C$27,2,FALSE)</f>
        <v>Tablet</v>
      </c>
      <c r="R2026" s="7">
        <f t="shared" si="250"/>
        <v>1458.36</v>
      </c>
    </row>
    <row r="2027" spans="1:18" ht="21.75" customHeight="1">
      <c r="A2027" t="s">
        <v>2178</v>
      </c>
      <c r="B2027" s="6">
        <v>45503</v>
      </c>
      <c r="C2027" t="s">
        <v>150</v>
      </c>
      <c r="D2027" t="s">
        <v>10</v>
      </c>
      <c r="E2027" t="s">
        <v>11</v>
      </c>
      <c r="F2027" t="s">
        <v>56</v>
      </c>
      <c r="G2027" t="s">
        <v>32</v>
      </c>
      <c r="H2027">
        <v>4</v>
      </c>
      <c r="I2027" t="str">
        <f>VLOOKUP(D2027,Product_Lookup!$A$2:$C$27,3,FALSE)</f>
        <v>$146.06</v>
      </c>
      <c r="J2027" t="str">
        <f t="shared" si="251"/>
        <v>Tuesday</v>
      </c>
      <c r="K2027" s="10" t="str">
        <f t="shared" si="252"/>
        <v>July</v>
      </c>
      <c r="L2027">
        <f t="shared" si="253"/>
        <v>2024</v>
      </c>
      <c r="M2027" t="b">
        <f t="shared" si="254"/>
        <v>0</v>
      </c>
      <c r="N2027" t="b">
        <f t="shared" si="248"/>
        <v>0</v>
      </c>
      <c r="O2027" t="str">
        <f t="shared" si="255"/>
        <v>Large Order</v>
      </c>
      <c r="P2027" s="7">
        <f t="shared" si="249"/>
        <v>7.3030000000000008</v>
      </c>
      <c r="Q2027" s="7" t="str">
        <f>VLOOKUP(D2028,Product_Lookup!$A$2:$C$27,2,FALSE)</f>
        <v>Sweater</v>
      </c>
      <c r="R2027" s="7">
        <f t="shared" si="250"/>
        <v>584.24</v>
      </c>
    </row>
    <row r="2028" spans="1:18" ht="21.75" customHeight="1">
      <c r="A2028" t="s">
        <v>2179</v>
      </c>
      <c r="B2028" s="6">
        <v>45608</v>
      </c>
      <c r="C2028" t="s">
        <v>430</v>
      </c>
      <c r="D2028" t="s">
        <v>26</v>
      </c>
      <c r="E2028" t="s">
        <v>22</v>
      </c>
      <c r="F2028" t="s">
        <v>306</v>
      </c>
      <c r="G2028" t="s">
        <v>23</v>
      </c>
      <c r="H2028">
        <v>7</v>
      </c>
      <c r="I2028" t="str">
        <f>VLOOKUP(D2028,Product_Lookup!$A$2:$C$27,3,FALSE)</f>
        <v>$84.57</v>
      </c>
      <c r="J2028" t="str">
        <f t="shared" si="251"/>
        <v>Tuesday</v>
      </c>
      <c r="K2028" s="10" t="str">
        <f t="shared" si="252"/>
        <v>November</v>
      </c>
      <c r="L2028">
        <f t="shared" si="253"/>
        <v>2024</v>
      </c>
      <c r="M2028" t="b">
        <f t="shared" si="254"/>
        <v>0</v>
      </c>
      <c r="N2028" t="b">
        <f t="shared" si="248"/>
        <v>0</v>
      </c>
      <c r="O2028" t="str">
        <f t="shared" si="255"/>
        <v>Large Order</v>
      </c>
      <c r="P2028" s="7">
        <f t="shared" si="249"/>
        <v>4.2284999999999995</v>
      </c>
      <c r="Q2028" s="7" t="str">
        <f>VLOOKUP(D2029,Product_Lookup!$A$2:$C$27,2,FALSE)</f>
        <v>Pen Set</v>
      </c>
      <c r="R2028" s="7">
        <f t="shared" si="250"/>
        <v>591.99</v>
      </c>
    </row>
    <row r="2029" spans="1:18" ht="21.75" customHeight="1">
      <c r="A2029" t="s">
        <v>2180</v>
      </c>
      <c r="B2029" s="6">
        <v>45369</v>
      </c>
      <c r="C2029" t="s">
        <v>9</v>
      </c>
      <c r="D2029" t="s">
        <v>174</v>
      </c>
      <c r="E2029" t="s">
        <v>11</v>
      </c>
      <c r="F2029" t="s">
        <v>56</v>
      </c>
      <c r="G2029" t="s">
        <v>13</v>
      </c>
      <c r="H2029">
        <v>10</v>
      </c>
      <c r="I2029" t="str">
        <f>VLOOKUP(D2029,Product_Lookup!$A$2:$C$27,3,FALSE)</f>
        <v>$133.37</v>
      </c>
      <c r="J2029" t="str">
        <f t="shared" si="251"/>
        <v>Monday</v>
      </c>
      <c r="K2029" s="10" t="str">
        <f t="shared" si="252"/>
        <v>March</v>
      </c>
      <c r="L2029">
        <f t="shared" si="253"/>
        <v>2024</v>
      </c>
      <c r="M2029" t="b">
        <f t="shared" si="254"/>
        <v>0</v>
      </c>
      <c r="N2029" t="b">
        <f t="shared" si="248"/>
        <v>1</v>
      </c>
      <c r="O2029" t="str">
        <f t="shared" si="255"/>
        <v>Large Order</v>
      </c>
      <c r="P2029" s="7">
        <f t="shared" si="249"/>
        <v>6.6685000000000008</v>
      </c>
      <c r="Q2029" s="7" t="str">
        <f>VLOOKUP(D2030,Product_Lookup!$A$2:$C$27,2,FALSE)</f>
        <v>Laptop</v>
      </c>
      <c r="R2029" s="7">
        <f t="shared" si="250"/>
        <v>1333.7</v>
      </c>
    </row>
    <row r="2030" spans="1:18" ht="21.75" customHeight="1">
      <c r="A2030" t="s">
        <v>2181</v>
      </c>
      <c r="B2030" s="6">
        <v>45516</v>
      </c>
      <c r="C2030" t="s">
        <v>388</v>
      </c>
      <c r="D2030" t="s">
        <v>96</v>
      </c>
      <c r="E2030" t="s">
        <v>11</v>
      </c>
      <c r="F2030" t="s">
        <v>12</v>
      </c>
      <c r="G2030" t="s">
        <v>28</v>
      </c>
      <c r="H2030">
        <v>1</v>
      </c>
      <c r="I2030" t="str">
        <f>VLOOKUP(D2030,Product_Lookup!$A$2:$C$27,3,FALSE)</f>
        <v>$230.68</v>
      </c>
      <c r="J2030" t="str">
        <f t="shared" si="251"/>
        <v>Monday</v>
      </c>
      <c r="K2030" s="10" t="str">
        <f t="shared" si="252"/>
        <v>August</v>
      </c>
      <c r="L2030">
        <f t="shared" si="253"/>
        <v>2024</v>
      </c>
      <c r="M2030" t="b">
        <f t="shared" si="254"/>
        <v>0</v>
      </c>
      <c r="N2030" t="b">
        <f t="shared" si="248"/>
        <v>0</v>
      </c>
      <c r="O2030" t="str">
        <f t="shared" si="255"/>
        <v>Standard order</v>
      </c>
      <c r="P2030" s="7">
        <f t="shared" si="249"/>
        <v>11.534000000000001</v>
      </c>
      <c r="Q2030" s="7" t="str">
        <f>VLOOKUP(D2031,Product_Lookup!$A$2:$C$27,2,FALSE)</f>
        <v>Socks</v>
      </c>
      <c r="R2030" s="7">
        <f t="shared" si="250"/>
        <v>230.68</v>
      </c>
    </row>
    <row r="2031" spans="1:18" ht="21.75" customHeight="1">
      <c r="A2031" t="s">
        <v>2182</v>
      </c>
      <c r="B2031" s="6">
        <v>45467</v>
      </c>
      <c r="C2031" t="s">
        <v>572</v>
      </c>
      <c r="D2031" t="s">
        <v>74</v>
      </c>
      <c r="E2031" t="s">
        <v>17</v>
      </c>
      <c r="F2031" t="s">
        <v>42</v>
      </c>
      <c r="G2031" t="s">
        <v>23</v>
      </c>
      <c r="H2031">
        <v>2</v>
      </c>
      <c r="I2031" t="str">
        <f>VLOOKUP(D2031,Product_Lookup!$A$2:$C$27,3,FALSE)</f>
        <v>$201.32</v>
      </c>
      <c r="J2031" t="str">
        <f t="shared" si="251"/>
        <v>Monday</v>
      </c>
      <c r="K2031" s="10" t="str">
        <f t="shared" si="252"/>
        <v>June</v>
      </c>
      <c r="L2031">
        <f t="shared" si="253"/>
        <v>2024</v>
      </c>
      <c r="M2031" t="b">
        <f t="shared" si="254"/>
        <v>0</v>
      </c>
      <c r="N2031" t="b">
        <f t="shared" si="248"/>
        <v>0</v>
      </c>
      <c r="O2031" t="str">
        <f t="shared" si="255"/>
        <v>Standard order</v>
      </c>
      <c r="P2031" s="7">
        <f t="shared" si="249"/>
        <v>10.066000000000001</v>
      </c>
      <c r="Q2031" s="7" t="str">
        <f>VLOOKUP(D2032,Product_Lookup!$A$2:$C$27,2,FALSE)</f>
        <v>Sweater</v>
      </c>
      <c r="R2031" s="7">
        <f t="shared" si="250"/>
        <v>402.64</v>
      </c>
    </row>
    <row r="2032" spans="1:18" ht="21.75" customHeight="1">
      <c r="A2032" t="s">
        <v>2183</v>
      </c>
      <c r="B2032" s="6">
        <v>45366</v>
      </c>
      <c r="C2032" t="s">
        <v>131</v>
      </c>
      <c r="D2032" t="s">
        <v>26</v>
      </c>
      <c r="E2032" t="s">
        <v>17</v>
      </c>
      <c r="F2032" t="s">
        <v>12</v>
      </c>
      <c r="G2032" t="s">
        <v>36</v>
      </c>
      <c r="H2032">
        <v>16</v>
      </c>
      <c r="I2032" t="str">
        <f>VLOOKUP(D2032,Product_Lookup!$A$2:$C$27,3,FALSE)</f>
        <v>$84.57</v>
      </c>
      <c r="J2032" t="str">
        <f t="shared" si="251"/>
        <v>Friday</v>
      </c>
      <c r="K2032" s="10" t="str">
        <f t="shared" si="252"/>
        <v>March</v>
      </c>
      <c r="L2032">
        <f t="shared" si="253"/>
        <v>2024</v>
      </c>
      <c r="M2032" t="b">
        <f t="shared" si="254"/>
        <v>0</v>
      </c>
      <c r="N2032" t="b">
        <f t="shared" si="248"/>
        <v>1</v>
      </c>
      <c r="O2032" t="str">
        <f t="shared" si="255"/>
        <v>Large Order</v>
      </c>
      <c r="P2032" s="7">
        <f t="shared" si="249"/>
        <v>4.2284999999999995</v>
      </c>
      <c r="Q2032" s="7" t="str">
        <f>VLOOKUP(D2033,Product_Lookup!$A$2:$C$27,2,FALSE)</f>
        <v>Laptop</v>
      </c>
      <c r="R2032" s="7">
        <f t="shared" si="250"/>
        <v>1353.12</v>
      </c>
    </row>
    <row r="2033" spans="1:18" ht="21.75" customHeight="1">
      <c r="A2033" t="s">
        <v>2184</v>
      </c>
      <c r="B2033" s="6">
        <v>45420</v>
      </c>
      <c r="C2033" t="s">
        <v>159</v>
      </c>
      <c r="D2033" t="s">
        <v>96</v>
      </c>
      <c r="E2033" t="s">
        <v>11</v>
      </c>
      <c r="F2033" t="s">
        <v>56</v>
      </c>
      <c r="G2033" t="s">
        <v>23</v>
      </c>
      <c r="H2033">
        <v>15</v>
      </c>
      <c r="I2033" t="str">
        <f>VLOOKUP(D2033,Product_Lookup!$A$2:$C$27,3,FALSE)</f>
        <v>$230.68</v>
      </c>
      <c r="J2033" t="str">
        <f t="shared" si="251"/>
        <v>Wednesday</v>
      </c>
      <c r="K2033" s="10" t="str">
        <f t="shared" si="252"/>
        <v>May</v>
      </c>
      <c r="L2033">
        <f t="shared" si="253"/>
        <v>2024</v>
      </c>
      <c r="M2033" t="b">
        <f t="shared" si="254"/>
        <v>0</v>
      </c>
      <c r="N2033" t="b">
        <f t="shared" si="248"/>
        <v>1</v>
      </c>
      <c r="O2033" t="str">
        <f t="shared" si="255"/>
        <v>Large Order</v>
      </c>
      <c r="P2033" s="7">
        <f t="shared" si="249"/>
        <v>11.534000000000001</v>
      </c>
      <c r="Q2033" s="7" t="str">
        <f>VLOOKUP(D2034,Product_Lookup!$A$2:$C$27,2,FALSE)</f>
        <v>Air Fryer</v>
      </c>
      <c r="R2033" s="7">
        <f t="shared" si="250"/>
        <v>3460.2000000000003</v>
      </c>
    </row>
    <row r="2034" spans="1:18" ht="21.75" customHeight="1">
      <c r="A2034" t="s">
        <v>2185</v>
      </c>
      <c r="B2034" s="6">
        <v>45309</v>
      </c>
      <c r="C2034" t="s">
        <v>104</v>
      </c>
      <c r="D2034" t="s">
        <v>70</v>
      </c>
      <c r="E2034" t="s">
        <v>22</v>
      </c>
      <c r="F2034" t="s">
        <v>12</v>
      </c>
      <c r="G2034" t="s">
        <v>36</v>
      </c>
      <c r="H2034">
        <v>7</v>
      </c>
      <c r="I2034" t="str">
        <f>VLOOKUP(D2034,Product_Lookup!$A$2:$C$27,3,FALSE)</f>
        <v>$211.9</v>
      </c>
      <c r="J2034" t="str">
        <f t="shared" si="251"/>
        <v>Thursday</v>
      </c>
      <c r="K2034" s="10" t="str">
        <f t="shared" si="252"/>
        <v>January</v>
      </c>
      <c r="L2034">
        <f t="shared" si="253"/>
        <v>2024</v>
      </c>
      <c r="M2034" t="b">
        <f t="shared" si="254"/>
        <v>0</v>
      </c>
      <c r="N2034" t="b">
        <f t="shared" si="248"/>
        <v>1</v>
      </c>
      <c r="O2034" t="str">
        <f t="shared" si="255"/>
        <v>Large Order</v>
      </c>
      <c r="P2034" s="7">
        <f t="shared" si="249"/>
        <v>10.595000000000001</v>
      </c>
      <c r="Q2034" s="7" t="str">
        <f>VLOOKUP(D2035,Product_Lookup!$A$2:$C$27,2,FALSE)</f>
        <v>Blender</v>
      </c>
      <c r="R2034" s="7">
        <f t="shared" si="250"/>
        <v>1483.3</v>
      </c>
    </row>
    <row r="2035" spans="1:18" ht="21.75" customHeight="1">
      <c r="A2035" t="s">
        <v>2186</v>
      </c>
      <c r="B2035" s="6">
        <v>45640</v>
      </c>
      <c r="C2035" t="s">
        <v>147</v>
      </c>
      <c r="D2035" t="s">
        <v>72</v>
      </c>
      <c r="E2035" t="s">
        <v>11</v>
      </c>
      <c r="F2035" t="s">
        <v>12</v>
      </c>
      <c r="G2035" t="s">
        <v>36</v>
      </c>
      <c r="H2035">
        <v>17</v>
      </c>
      <c r="I2035" t="str">
        <f>VLOOKUP(D2035,Product_Lookup!$A$2:$C$27,3,FALSE)</f>
        <v>$156.44</v>
      </c>
      <c r="J2035" t="str">
        <f t="shared" si="251"/>
        <v>Saturday</v>
      </c>
      <c r="K2035" s="10" t="str">
        <f t="shared" si="252"/>
        <v>December</v>
      </c>
      <c r="L2035">
        <f t="shared" si="253"/>
        <v>2024</v>
      </c>
      <c r="M2035" t="b">
        <f t="shared" si="254"/>
        <v>1</v>
      </c>
      <c r="N2035" t="b">
        <f t="shared" si="248"/>
        <v>1</v>
      </c>
      <c r="O2035" t="str">
        <f t="shared" si="255"/>
        <v>Large Order</v>
      </c>
      <c r="P2035" s="7">
        <f t="shared" si="249"/>
        <v>7.8220000000000001</v>
      </c>
      <c r="Q2035" s="7" t="str">
        <f>VLOOKUP(D2036,Product_Lookup!$A$2:$C$27,2,FALSE)</f>
        <v>Socks</v>
      </c>
      <c r="R2035" s="7">
        <f t="shared" si="250"/>
        <v>2659.48</v>
      </c>
    </row>
    <row r="2036" spans="1:18" ht="21.75" customHeight="1">
      <c r="A2036" t="s">
        <v>2187</v>
      </c>
      <c r="B2036" s="6">
        <v>45538</v>
      </c>
      <c r="C2036" t="s">
        <v>541</v>
      </c>
      <c r="D2036" t="s">
        <v>74</v>
      </c>
      <c r="E2036" t="s">
        <v>11</v>
      </c>
      <c r="F2036" t="s">
        <v>42</v>
      </c>
      <c r="G2036" t="s">
        <v>13</v>
      </c>
      <c r="H2036">
        <v>7</v>
      </c>
      <c r="I2036" t="str">
        <f>VLOOKUP(D2036,Product_Lookup!$A$2:$C$27,3,FALSE)</f>
        <v>$201.32</v>
      </c>
      <c r="J2036" t="str">
        <f t="shared" si="251"/>
        <v>Tuesday</v>
      </c>
      <c r="K2036" s="10" t="str">
        <f t="shared" si="252"/>
        <v>September</v>
      </c>
      <c r="L2036">
        <f t="shared" si="253"/>
        <v>2024</v>
      </c>
      <c r="M2036" t="b">
        <f t="shared" si="254"/>
        <v>0</v>
      </c>
      <c r="N2036" t="b">
        <f t="shared" si="248"/>
        <v>1</v>
      </c>
      <c r="O2036" t="str">
        <f t="shared" si="255"/>
        <v>Large Order</v>
      </c>
      <c r="P2036" s="7">
        <f t="shared" si="249"/>
        <v>10.066000000000001</v>
      </c>
      <c r="Q2036" s="7" t="str">
        <f>VLOOKUP(D2037,Product_Lookup!$A$2:$C$27,2,FALSE)</f>
        <v>Vacuum</v>
      </c>
      <c r="R2036" s="7">
        <f t="shared" si="250"/>
        <v>1409.24</v>
      </c>
    </row>
    <row r="2037" spans="1:18" ht="21.75" customHeight="1">
      <c r="A2037" t="s">
        <v>2188</v>
      </c>
      <c r="B2037" s="6">
        <v>45412</v>
      </c>
      <c r="C2037" t="s">
        <v>541</v>
      </c>
      <c r="D2037" t="s">
        <v>87</v>
      </c>
      <c r="E2037" t="s">
        <v>17</v>
      </c>
      <c r="F2037" t="s">
        <v>12</v>
      </c>
      <c r="G2037" t="s">
        <v>28</v>
      </c>
      <c r="H2037">
        <v>9</v>
      </c>
      <c r="I2037" t="str">
        <f>VLOOKUP(D2037,Product_Lookup!$A$2:$C$27,3,FALSE)</f>
        <v>$26.59</v>
      </c>
      <c r="J2037" t="str">
        <f t="shared" si="251"/>
        <v>Tuesday</v>
      </c>
      <c r="K2037" s="10" t="str">
        <f t="shared" si="252"/>
        <v>April</v>
      </c>
      <c r="L2037">
        <f t="shared" si="253"/>
        <v>2024</v>
      </c>
      <c r="M2037" t="b">
        <f t="shared" si="254"/>
        <v>0</v>
      </c>
      <c r="N2037" t="b">
        <f t="shared" si="248"/>
        <v>0</v>
      </c>
      <c r="O2037" t="str">
        <f t="shared" si="255"/>
        <v>Standard order</v>
      </c>
      <c r="P2037" s="7">
        <f t="shared" si="249"/>
        <v>1.3295000000000001</v>
      </c>
      <c r="Q2037" s="7" t="str">
        <f>VLOOKUP(D2038,Product_Lookup!$A$2:$C$27,2,FALSE)</f>
        <v>Laptop</v>
      </c>
      <c r="R2037" s="7">
        <f t="shared" si="250"/>
        <v>239.31</v>
      </c>
    </row>
    <row r="2038" spans="1:18" ht="21.75" customHeight="1">
      <c r="A2038" t="s">
        <v>2189</v>
      </c>
      <c r="B2038" s="6">
        <v>45494</v>
      </c>
      <c r="C2038" t="s">
        <v>78</v>
      </c>
      <c r="D2038" t="s">
        <v>96</v>
      </c>
      <c r="E2038" t="s">
        <v>11</v>
      </c>
      <c r="F2038" t="s">
        <v>306</v>
      </c>
      <c r="G2038" t="s">
        <v>23</v>
      </c>
      <c r="H2038">
        <v>20</v>
      </c>
      <c r="I2038" t="str">
        <f>VLOOKUP(D2038,Product_Lookup!$A$2:$C$27,3,FALSE)</f>
        <v>$230.68</v>
      </c>
      <c r="J2038" t="str">
        <f t="shared" si="251"/>
        <v>Sunday</v>
      </c>
      <c r="K2038" s="10" t="str">
        <f t="shared" si="252"/>
        <v>July</v>
      </c>
      <c r="L2038">
        <f t="shared" si="253"/>
        <v>2024</v>
      </c>
      <c r="M2038" t="b">
        <f t="shared" si="254"/>
        <v>1</v>
      </c>
      <c r="N2038" t="b">
        <f t="shared" si="248"/>
        <v>1</v>
      </c>
      <c r="O2038" t="str">
        <f t="shared" si="255"/>
        <v>Large Order</v>
      </c>
      <c r="P2038" s="7">
        <f t="shared" si="249"/>
        <v>11.534000000000001</v>
      </c>
      <c r="Q2038" s="7" t="str">
        <f>VLOOKUP(D2039,Product_Lookup!$A$2:$C$27,2,FALSE)</f>
        <v>T-Shirt</v>
      </c>
      <c r="R2038" s="7">
        <f t="shared" si="250"/>
        <v>4613.6000000000004</v>
      </c>
    </row>
    <row r="2039" spans="1:18" ht="21.75" customHeight="1">
      <c r="A2039" t="s">
        <v>2190</v>
      </c>
      <c r="B2039" s="6">
        <v>45337</v>
      </c>
      <c r="C2039" t="s">
        <v>78</v>
      </c>
      <c r="D2039" t="s">
        <v>45</v>
      </c>
      <c r="E2039" t="s">
        <v>17</v>
      </c>
      <c r="F2039" t="s">
        <v>12</v>
      </c>
      <c r="G2039" t="s">
        <v>36</v>
      </c>
      <c r="H2039">
        <v>11</v>
      </c>
      <c r="I2039" t="str">
        <f>VLOOKUP(D2039,Product_Lookup!$A$2:$C$27,3,FALSE)</f>
        <v>$107.34</v>
      </c>
      <c r="J2039" t="str">
        <f t="shared" si="251"/>
        <v>Thursday</v>
      </c>
      <c r="K2039" s="10" t="str">
        <f t="shared" si="252"/>
        <v>February</v>
      </c>
      <c r="L2039">
        <f t="shared" si="253"/>
        <v>2024</v>
      </c>
      <c r="M2039" t="b">
        <f t="shared" si="254"/>
        <v>0</v>
      </c>
      <c r="N2039" t="b">
        <f t="shared" si="248"/>
        <v>1</v>
      </c>
      <c r="O2039" t="str">
        <f t="shared" si="255"/>
        <v>Large Order</v>
      </c>
      <c r="P2039" s="7">
        <f t="shared" si="249"/>
        <v>5.3670000000000009</v>
      </c>
      <c r="Q2039" s="7" t="str">
        <f>VLOOKUP(D2040,Product_Lookup!$A$2:$C$27,2,FALSE)</f>
        <v>Smartphone</v>
      </c>
      <c r="R2039" s="7">
        <f t="shared" si="250"/>
        <v>1180.74</v>
      </c>
    </row>
    <row r="2040" spans="1:18" ht="21.75" customHeight="1">
      <c r="A2040" t="s">
        <v>2191</v>
      </c>
      <c r="B2040" s="6">
        <v>45612</v>
      </c>
      <c r="C2040" t="s">
        <v>131</v>
      </c>
      <c r="D2040" t="s">
        <v>79</v>
      </c>
      <c r="E2040" t="s">
        <v>17</v>
      </c>
      <c r="F2040" t="s">
        <v>56</v>
      </c>
      <c r="G2040" t="s">
        <v>36</v>
      </c>
      <c r="H2040">
        <v>4</v>
      </c>
      <c r="I2040" t="str">
        <f>VLOOKUP(D2040,Product_Lookup!$A$2:$C$27,3,FALSE)</f>
        <v>$216.22</v>
      </c>
      <c r="J2040" t="str">
        <f t="shared" si="251"/>
        <v>Saturday</v>
      </c>
      <c r="K2040" s="10" t="str">
        <f t="shared" si="252"/>
        <v>November</v>
      </c>
      <c r="L2040">
        <f t="shared" si="253"/>
        <v>2024</v>
      </c>
      <c r="M2040" t="b">
        <f t="shared" si="254"/>
        <v>1</v>
      </c>
      <c r="N2040" t="b">
        <f t="shared" si="248"/>
        <v>0</v>
      </c>
      <c r="O2040" t="str">
        <f t="shared" si="255"/>
        <v>Large Order</v>
      </c>
      <c r="P2040" s="7">
        <f t="shared" si="249"/>
        <v>10.811</v>
      </c>
      <c r="Q2040" s="7" t="str">
        <f>VLOOKUP(D2041,Product_Lookup!$A$2:$C$27,2,FALSE)</f>
        <v>Pen Set</v>
      </c>
      <c r="R2040" s="7">
        <f t="shared" si="250"/>
        <v>864.88</v>
      </c>
    </row>
    <row r="2041" spans="1:18" ht="21.75" customHeight="1">
      <c r="A2041" t="s">
        <v>2192</v>
      </c>
      <c r="B2041" s="6">
        <v>45411</v>
      </c>
      <c r="C2041" t="s">
        <v>38</v>
      </c>
      <c r="D2041" t="s">
        <v>174</v>
      </c>
      <c r="E2041" t="s">
        <v>22</v>
      </c>
      <c r="F2041" t="s">
        <v>42</v>
      </c>
      <c r="G2041" t="s">
        <v>23</v>
      </c>
      <c r="H2041">
        <v>7</v>
      </c>
      <c r="I2041" t="str">
        <f>VLOOKUP(D2041,Product_Lookup!$A$2:$C$27,3,FALSE)</f>
        <v>$133.37</v>
      </c>
      <c r="J2041" t="str">
        <f t="shared" si="251"/>
        <v>Monday</v>
      </c>
      <c r="K2041" s="10" t="str">
        <f t="shared" si="252"/>
        <v>April</v>
      </c>
      <c r="L2041">
        <f t="shared" si="253"/>
        <v>2024</v>
      </c>
      <c r="M2041" t="b">
        <f t="shared" si="254"/>
        <v>0</v>
      </c>
      <c r="N2041" t="b">
        <f t="shared" si="248"/>
        <v>1</v>
      </c>
      <c r="O2041" t="str">
        <f t="shared" si="255"/>
        <v>Large Order</v>
      </c>
      <c r="P2041" s="7">
        <f t="shared" si="249"/>
        <v>6.6685000000000008</v>
      </c>
      <c r="Q2041" s="7" t="str">
        <f>VLOOKUP(D2042,Product_Lookup!$A$2:$C$27,2,FALSE)</f>
        <v>Lego Set</v>
      </c>
      <c r="R2041" s="7">
        <f t="shared" si="250"/>
        <v>933.59</v>
      </c>
    </row>
    <row r="2042" spans="1:18" ht="21.75" customHeight="1">
      <c r="A2042" t="s">
        <v>2193</v>
      </c>
      <c r="B2042" s="6">
        <v>45485</v>
      </c>
      <c r="C2042" t="s">
        <v>182</v>
      </c>
      <c r="D2042" t="s">
        <v>84</v>
      </c>
      <c r="E2042" t="s">
        <v>11</v>
      </c>
      <c r="F2042" t="s">
        <v>42</v>
      </c>
      <c r="G2042" t="s">
        <v>13</v>
      </c>
      <c r="H2042">
        <v>16</v>
      </c>
      <c r="I2042" t="str">
        <f>VLOOKUP(D2042,Product_Lookup!$A$2:$C$27,3,FALSE)</f>
        <v>$130.07</v>
      </c>
      <c r="J2042" t="str">
        <f t="shared" si="251"/>
        <v>Friday</v>
      </c>
      <c r="K2042" s="10" t="str">
        <f t="shared" si="252"/>
        <v>July</v>
      </c>
      <c r="L2042">
        <f t="shared" si="253"/>
        <v>2024</v>
      </c>
      <c r="M2042" t="b">
        <f t="shared" si="254"/>
        <v>0</v>
      </c>
      <c r="N2042" t="b">
        <f t="shared" si="248"/>
        <v>1</v>
      </c>
      <c r="O2042" t="str">
        <f t="shared" si="255"/>
        <v>Large Order</v>
      </c>
      <c r="P2042" s="7">
        <f t="shared" si="249"/>
        <v>6.5034999999999998</v>
      </c>
      <c r="Q2042" s="7" t="str">
        <f>VLOOKUP(D2043,Product_Lookup!$A$2:$C$27,2,FALSE)</f>
        <v>Pen Set</v>
      </c>
      <c r="R2042" s="7">
        <f t="shared" si="250"/>
        <v>2081.12</v>
      </c>
    </row>
    <row r="2043" spans="1:18" ht="21.75" customHeight="1">
      <c r="A2043" t="s">
        <v>2194</v>
      </c>
      <c r="B2043" s="6">
        <v>45578</v>
      </c>
      <c r="C2043" t="s">
        <v>61</v>
      </c>
      <c r="D2043" t="s">
        <v>174</v>
      </c>
      <c r="E2043" t="s">
        <v>22</v>
      </c>
      <c r="F2043" t="s">
        <v>27</v>
      </c>
      <c r="G2043" t="s">
        <v>28</v>
      </c>
      <c r="H2043">
        <v>19</v>
      </c>
      <c r="I2043" t="str">
        <f>VLOOKUP(D2043,Product_Lookup!$A$2:$C$27,3,FALSE)</f>
        <v>$133.37</v>
      </c>
      <c r="J2043" t="str">
        <f t="shared" si="251"/>
        <v>Sunday</v>
      </c>
      <c r="K2043" s="10" t="str">
        <f t="shared" si="252"/>
        <v>October</v>
      </c>
      <c r="L2043">
        <f t="shared" si="253"/>
        <v>2024</v>
      </c>
      <c r="M2043" t="b">
        <f t="shared" si="254"/>
        <v>1</v>
      </c>
      <c r="N2043" t="b">
        <f t="shared" si="248"/>
        <v>1</v>
      </c>
      <c r="O2043" t="str">
        <f t="shared" si="255"/>
        <v>Large Order</v>
      </c>
      <c r="P2043" s="7">
        <f t="shared" si="249"/>
        <v>6.6685000000000008</v>
      </c>
      <c r="Q2043" s="7" t="str">
        <f>VLOOKUP(D2044,Product_Lookup!$A$2:$C$27,2,FALSE)</f>
        <v>Lego Set</v>
      </c>
      <c r="R2043" s="7">
        <f t="shared" si="250"/>
        <v>2534.0300000000002</v>
      </c>
    </row>
    <row r="2044" spans="1:18" ht="21.75" customHeight="1">
      <c r="A2044" t="s">
        <v>2195</v>
      </c>
      <c r="B2044" s="6">
        <v>45470</v>
      </c>
      <c r="C2044" t="s">
        <v>187</v>
      </c>
      <c r="D2044" t="s">
        <v>84</v>
      </c>
      <c r="E2044" t="s">
        <v>17</v>
      </c>
      <c r="F2044" t="s">
        <v>42</v>
      </c>
      <c r="G2044" t="s">
        <v>36</v>
      </c>
      <c r="H2044">
        <v>18</v>
      </c>
      <c r="I2044" t="str">
        <f>VLOOKUP(D2044,Product_Lookup!$A$2:$C$27,3,FALSE)</f>
        <v>$130.07</v>
      </c>
      <c r="J2044" t="str">
        <f t="shared" si="251"/>
        <v>Thursday</v>
      </c>
      <c r="K2044" s="10" t="str">
        <f t="shared" si="252"/>
        <v>June</v>
      </c>
      <c r="L2044">
        <f t="shared" si="253"/>
        <v>2024</v>
      </c>
      <c r="M2044" t="b">
        <f t="shared" si="254"/>
        <v>0</v>
      </c>
      <c r="N2044" t="b">
        <f t="shared" si="248"/>
        <v>1</v>
      </c>
      <c r="O2044" t="str">
        <f t="shared" si="255"/>
        <v>Large Order</v>
      </c>
      <c r="P2044" s="7">
        <f t="shared" si="249"/>
        <v>6.5034999999999998</v>
      </c>
      <c r="Q2044" s="7" t="str">
        <f>VLOOKUP(D2045,Product_Lookup!$A$2:$C$27,2,FALSE)</f>
        <v>Air Fryer</v>
      </c>
      <c r="R2044" s="7">
        <f t="shared" si="250"/>
        <v>2341.2599999999998</v>
      </c>
    </row>
    <row r="2045" spans="1:18" ht="21.75" customHeight="1">
      <c r="A2045" t="s">
        <v>2196</v>
      </c>
      <c r="B2045" s="6">
        <v>45563</v>
      </c>
      <c r="C2045" t="s">
        <v>125</v>
      </c>
      <c r="D2045" t="s">
        <v>70</v>
      </c>
      <c r="E2045" t="s">
        <v>17</v>
      </c>
      <c r="F2045" t="s">
        <v>42</v>
      </c>
      <c r="G2045" t="s">
        <v>36</v>
      </c>
      <c r="H2045">
        <v>12</v>
      </c>
      <c r="I2045" t="str">
        <f>VLOOKUP(D2045,Product_Lookup!$A$2:$C$27,3,FALSE)</f>
        <v>$211.9</v>
      </c>
      <c r="J2045" t="str">
        <f t="shared" si="251"/>
        <v>Saturday</v>
      </c>
      <c r="K2045" s="10" t="str">
        <f t="shared" si="252"/>
        <v>September</v>
      </c>
      <c r="L2045">
        <f t="shared" si="253"/>
        <v>2024</v>
      </c>
      <c r="M2045" t="b">
        <f t="shared" si="254"/>
        <v>1</v>
      </c>
      <c r="N2045" t="b">
        <f t="shared" si="248"/>
        <v>1</v>
      </c>
      <c r="O2045" t="str">
        <f t="shared" si="255"/>
        <v>Large Order</v>
      </c>
      <c r="P2045" s="7">
        <f t="shared" si="249"/>
        <v>10.595000000000001</v>
      </c>
      <c r="Q2045" s="7" t="str">
        <f>VLOOKUP(D2046,Product_Lookup!$A$2:$C$27,2,FALSE)</f>
        <v>Coffee Maker</v>
      </c>
      <c r="R2045" s="7">
        <f t="shared" si="250"/>
        <v>2542.8000000000002</v>
      </c>
    </row>
    <row r="2046" spans="1:18" ht="21.75" customHeight="1">
      <c r="A2046" t="s">
        <v>2197</v>
      </c>
      <c r="B2046" s="6">
        <v>45618</v>
      </c>
      <c r="C2046" t="s">
        <v>358</v>
      </c>
      <c r="D2046" t="s">
        <v>31</v>
      </c>
      <c r="E2046" t="s">
        <v>22</v>
      </c>
      <c r="F2046" t="s">
        <v>56</v>
      </c>
      <c r="G2046" t="s">
        <v>13</v>
      </c>
      <c r="H2046">
        <v>20</v>
      </c>
      <c r="I2046" t="str">
        <f>VLOOKUP(D2046,Product_Lookup!$A$2:$C$27,3,FALSE)</f>
        <v>$230.34</v>
      </c>
      <c r="J2046" t="str">
        <f t="shared" si="251"/>
        <v>Friday</v>
      </c>
      <c r="K2046" s="10" t="str">
        <f t="shared" si="252"/>
        <v>November</v>
      </c>
      <c r="L2046">
        <f t="shared" si="253"/>
        <v>2024</v>
      </c>
      <c r="M2046" t="b">
        <f t="shared" si="254"/>
        <v>0</v>
      </c>
      <c r="N2046" t="b">
        <f t="shared" si="248"/>
        <v>1</v>
      </c>
      <c r="O2046" t="str">
        <f t="shared" si="255"/>
        <v>Large Order</v>
      </c>
      <c r="P2046" s="7">
        <f t="shared" si="249"/>
        <v>11.517000000000001</v>
      </c>
      <c r="Q2046" s="7" t="str">
        <f>VLOOKUP(D2047,Product_Lookup!$A$2:$C$27,2,FALSE)</f>
        <v>Blender</v>
      </c>
      <c r="R2046" s="7">
        <f t="shared" si="250"/>
        <v>4606.8</v>
      </c>
    </row>
    <row r="2047" spans="1:18" ht="21.75" customHeight="1">
      <c r="A2047" t="s">
        <v>2198</v>
      </c>
      <c r="B2047" s="6">
        <v>45609</v>
      </c>
      <c r="C2047" t="s">
        <v>93</v>
      </c>
      <c r="D2047" t="s">
        <v>72</v>
      </c>
      <c r="E2047" t="s">
        <v>22</v>
      </c>
      <c r="F2047" t="s">
        <v>12</v>
      </c>
      <c r="G2047" t="s">
        <v>36</v>
      </c>
      <c r="H2047">
        <v>13</v>
      </c>
      <c r="I2047" t="str">
        <f>VLOOKUP(D2047,Product_Lookup!$A$2:$C$27,3,FALSE)</f>
        <v>$156.44</v>
      </c>
      <c r="J2047" t="str">
        <f t="shared" si="251"/>
        <v>Wednesday</v>
      </c>
      <c r="K2047" s="10" t="str">
        <f t="shared" si="252"/>
        <v>November</v>
      </c>
      <c r="L2047">
        <f t="shared" si="253"/>
        <v>2024</v>
      </c>
      <c r="M2047" t="b">
        <f t="shared" si="254"/>
        <v>0</v>
      </c>
      <c r="N2047" t="b">
        <f t="shared" si="248"/>
        <v>1</v>
      </c>
      <c r="O2047" t="str">
        <f t="shared" si="255"/>
        <v>Large Order</v>
      </c>
      <c r="P2047" s="7">
        <f t="shared" si="249"/>
        <v>7.8220000000000001</v>
      </c>
      <c r="Q2047" s="7" t="str">
        <f>VLOOKUP(D2048,Product_Lookup!$A$2:$C$27,2,FALSE)</f>
        <v>Doll</v>
      </c>
      <c r="R2047" s="7">
        <f t="shared" si="250"/>
        <v>2033.72</v>
      </c>
    </row>
    <row r="2048" spans="1:18" ht="21.75" customHeight="1">
      <c r="A2048" t="s">
        <v>2199</v>
      </c>
      <c r="B2048" s="6">
        <v>45641</v>
      </c>
      <c r="C2048" t="s">
        <v>432</v>
      </c>
      <c r="D2048" t="s">
        <v>119</v>
      </c>
      <c r="E2048" t="s">
        <v>22</v>
      </c>
      <c r="F2048" t="s">
        <v>56</v>
      </c>
      <c r="G2048" t="s">
        <v>36</v>
      </c>
      <c r="H2048">
        <v>10</v>
      </c>
      <c r="I2048" t="str">
        <f>VLOOKUP(D2048,Product_Lookup!$A$2:$C$27,3,FALSE)</f>
        <v>$32.94</v>
      </c>
      <c r="J2048" t="str">
        <f t="shared" si="251"/>
        <v>Sunday</v>
      </c>
      <c r="K2048" s="10" t="str">
        <f t="shared" si="252"/>
        <v>December</v>
      </c>
      <c r="L2048">
        <f t="shared" si="253"/>
        <v>2024</v>
      </c>
      <c r="M2048" t="b">
        <f t="shared" si="254"/>
        <v>1</v>
      </c>
      <c r="N2048" t="b">
        <f t="shared" si="248"/>
        <v>0</v>
      </c>
      <c r="O2048" t="str">
        <f t="shared" si="255"/>
        <v>Standard order</v>
      </c>
      <c r="P2048" s="7">
        <f t="shared" si="249"/>
        <v>1.647</v>
      </c>
      <c r="Q2048" s="7" t="str">
        <f>VLOOKUP(D2049,Product_Lookup!$A$2:$C$27,2,FALSE)</f>
        <v>Monitor</v>
      </c>
      <c r="R2048" s="7">
        <f t="shared" si="250"/>
        <v>329.4</v>
      </c>
    </row>
    <row r="2049" spans="1:18" ht="21.75" customHeight="1">
      <c r="A2049" t="s">
        <v>2200</v>
      </c>
      <c r="B2049" s="6">
        <v>45620</v>
      </c>
      <c r="C2049" t="s">
        <v>187</v>
      </c>
      <c r="D2049" t="s">
        <v>102</v>
      </c>
      <c r="E2049" t="s">
        <v>11</v>
      </c>
      <c r="F2049" t="s">
        <v>306</v>
      </c>
      <c r="G2049" t="s">
        <v>13</v>
      </c>
      <c r="H2049">
        <v>2</v>
      </c>
      <c r="I2049" t="str">
        <f>VLOOKUP(D2049,Product_Lookup!$A$2:$C$27,3,FALSE)</f>
        <v>$145.48</v>
      </c>
      <c r="J2049" t="str">
        <f t="shared" si="251"/>
        <v>Sunday</v>
      </c>
      <c r="K2049" s="10" t="str">
        <f t="shared" si="252"/>
        <v>November</v>
      </c>
      <c r="L2049">
        <f t="shared" si="253"/>
        <v>2024</v>
      </c>
      <c r="M2049" t="b">
        <f t="shared" si="254"/>
        <v>1</v>
      </c>
      <c r="N2049" t="b">
        <f t="shared" si="248"/>
        <v>0</v>
      </c>
      <c r="O2049" t="str">
        <f t="shared" si="255"/>
        <v>Standard order</v>
      </c>
      <c r="P2049" s="7">
        <f t="shared" si="249"/>
        <v>7.274</v>
      </c>
      <c r="Q2049" s="7" t="str">
        <f>VLOOKUP(D2050,Product_Lookup!$A$2:$C$27,2,FALSE)</f>
        <v>Smartphone</v>
      </c>
      <c r="R2049" s="7">
        <f t="shared" si="250"/>
        <v>290.95999999999998</v>
      </c>
    </row>
    <row r="2050" spans="1:18" ht="21.75" customHeight="1">
      <c r="A2050" t="s">
        <v>2201</v>
      </c>
      <c r="B2050" s="6">
        <v>45358</v>
      </c>
      <c r="C2050" t="s">
        <v>235</v>
      </c>
      <c r="D2050" t="s">
        <v>79</v>
      </c>
      <c r="E2050" t="s">
        <v>11</v>
      </c>
      <c r="F2050" t="s">
        <v>12</v>
      </c>
      <c r="G2050" t="s">
        <v>23</v>
      </c>
      <c r="H2050">
        <v>7</v>
      </c>
      <c r="I2050" t="str">
        <f>VLOOKUP(D2050,Product_Lookup!$A$2:$C$27,3,FALSE)</f>
        <v>$216.22</v>
      </c>
      <c r="J2050" t="str">
        <f t="shared" si="251"/>
        <v>Thursday</v>
      </c>
      <c r="K2050" s="10" t="str">
        <f t="shared" si="252"/>
        <v>March</v>
      </c>
      <c r="L2050">
        <f t="shared" si="253"/>
        <v>2024</v>
      </c>
      <c r="M2050" t="b">
        <f t="shared" si="254"/>
        <v>0</v>
      </c>
      <c r="N2050" t="b">
        <f t="shared" ref="N2050:N2113" si="256">AND(R2050&gt;750, H2050&gt;5)</f>
        <v>1</v>
      </c>
      <c r="O2050" t="str">
        <f t="shared" si="255"/>
        <v>Large Order</v>
      </c>
      <c r="P2050" s="7">
        <f t="shared" ref="P2050:P2113" si="257">I2050*$S$2</f>
        <v>10.811</v>
      </c>
      <c r="Q2050" s="7" t="str">
        <f>VLOOKUP(D2051,Product_Lookup!$A$2:$C$27,2,FALSE)</f>
        <v>Coffee Maker</v>
      </c>
      <c r="R2050" s="7">
        <f t="shared" ref="R2050:R2113" si="258">H2050*I2050</f>
        <v>1513.54</v>
      </c>
    </row>
    <row r="2051" spans="1:18" ht="21.75" customHeight="1">
      <c r="A2051" t="s">
        <v>2202</v>
      </c>
      <c r="B2051" s="6">
        <v>45584</v>
      </c>
      <c r="C2051" t="s">
        <v>736</v>
      </c>
      <c r="D2051" t="s">
        <v>31</v>
      </c>
      <c r="E2051" t="s">
        <v>22</v>
      </c>
      <c r="F2051" t="s">
        <v>27</v>
      </c>
      <c r="G2051" t="s">
        <v>36</v>
      </c>
      <c r="H2051">
        <v>20</v>
      </c>
      <c r="I2051" t="str">
        <f>VLOOKUP(D2051,Product_Lookup!$A$2:$C$27,3,FALSE)</f>
        <v>$230.34</v>
      </c>
      <c r="J2051" t="str">
        <f t="shared" ref="J2051:J2114" si="259">TEXT(B2051, "dddd")</f>
        <v>Saturday</v>
      </c>
      <c r="K2051" s="10" t="str">
        <f t="shared" ref="K2051:K2114" si="260">TEXT(B2051, "mmmm")</f>
        <v>October</v>
      </c>
      <c r="L2051">
        <f t="shared" ref="L2051:L2114" si="261">YEAR(B2051)</f>
        <v>2024</v>
      </c>
      <c r="M2051" t="b">
        <f t="shared" ref="M2051:M2114" si="262">OR(J2051="Saturday", J2051="Sunday")</f>
        <v>1</v>
      </c>
      <c r="N2051" t="b">
        <f t="shared" si="256"/>
        <v>1</v>
      </c>
      <c r="O2051" t="str">
        <f t="shared" ref="O2051:O2114" si="263">IF(R2051&gt;500,"Large Order","Standard order")</f>
        <v>Large Order</v>
      </c>
      <c r="P2051" s="7">
        <f t="shared" si="257"/>
        <v>11.517000000000001</v>
      </c>
      <c r="Q2051" s="7" t="str">
        <f>VLOOKUP(D2052,Product_Lookup!$A$2:$C$27,2,FALSE)</f>
        <v>Toaster</v>
      </c>
      <c r="R2051" s="7">
        <f t="shared" si="258"/>
        <v>4606.8</v>
      </c>
    </row>
    <row r="2052" spans="1:18" ht="21.75" customHeight="1">
      <c r="A2052" t="s">
        <v>2203</v>
      </c>
      <c r="B2052" s="6">
        <v>45423</v>
      </c>
      <c r="C2052" t="s">
        <v>9</v>
      </c>
      <c r="D2052" t="s">
        <v>48</v>
      </c>
      <c r="E2052" t="s">
        <v>11</v>
      </c>
      <c r="F2052" t="s">
        <v>306</v>
      </c>
      <c r="G2052" t="s">
        <v>13</v>
      </c>
      <c r="H2052">
        <v>1</v>
      </c>
      <c r="I2052" t="str">
        <f>VLOOKUP(D2052,Product_Lookup!$A$2:$C$27,3,FALSE)</f>
        <v>$208.85</v>
      </c>
      <c r="J2052" t="str">
        <f t="shared" si="259"/>
        <v>Saturday</v>
      </c>
      <c r="K2052" s="10" t="str">
        <f t="shared" si="260"/>
        <v>May</v>
      </c>
      <c r="L2052">
        <f t="shared" si="261"/>
        <v>2024</v>
      </c>
      <c r="M2052" t="b">
        <f t="shared" si="262"/>
        <v>1</v>
      </c>
      <c r="N2052" t="b">
        <f t="shared" si="256"/>
        <v>0</v>
      </c>
      <c r="O2052" t="str">
        <f t="shared" si="263"/>
        <v>Standard order</v>
      </c>
      <c r="P2052" s="7">
        <f t="shared" si="257"/>
        <v>10.442500000000001</v>
      </c>
      <c r="Q2052" s="7" t="str">
        <f>VLOOKUP(D2053,Product_Lookup!$A$2:$C$27,2,FALSE)</f>
        <v>Stapler</v>
      </c>
      <c r="R2052" s="7">
        <f t="shared" si="258"/>
        <v>208.85</v>
      </c>
    </row>
    <row r="2053" spans="1:18" ht="21.75" customHeight="1">
      <c r="A2053" t="s">
        <v>2204</v>
      </c>
      <c r="B2053" s="6">
        <v>45398</v>
      </c>
      <c r="C2053" t="s">
        <v>350</v>
      </c>
      <c r="D2053" t="s">
        <v>35</v>
      </c>
      <c r="E2053" t="s">
        <v>11</v>
      </c>
      <c r="F2053" t="s">
        <v>27</v>
      </c>
      <c r="G2053" t="s">
        <v>13</v>
      </c>
      <c r="H2053">
        <v>12</v>
      </c>
      <c r="I2053" t="str">
        <f>VLOOKUP(D2053,Product_Lookup!$A$2:$C$27,3,FALSE)</f>
        <v>$64.61</v>
      </c>
      <c r="J2053" t="str">
        <f t="shared" si="259"/>
        <v>Tuesday</v>
      </c>
      <c r="K2053" s="10" t="str">
        <f t="shared" si="260"/>
        <v>April</v>
      </c>
      <c r="L2053">
        <f t="shared" si="261"/>
        <v>2024</v>
      </c>
      <c r="M2053" t="b">
        <f t="shared" si="262"/>
        <v>0</v>
      </c>
      <c r="N2053" t="b">
        <f t="shared" si="256"/>
        <v>1</v>
      </c>
      <c r="O2053" t="str">
        <f t="shared" si="263"/>
        <v>Large Order</v>
      </c>
      <c r="P2053" s="7">
        <f t="shared" si="257"/>
        <v>3.2305000000000001</v>
      </c>
      <c r="Q2053" s="7" t="str">
        <f>VLOOKUP(D2054,Product_Lookup!$A$2:$C$27,2,FALSE)</f>
        <v>Puzzle</v>
      </c>
      <c r="R2053" s="7">
        <f t="shared" si="258"/>
        <v>775.31999999999994</v>
      </c>
    </row>
    <row r="2054" spans="1:18" ht="21.75" customHeight="1">
      <c r="A2054" t="s">
        <v>2205</v>
      </c>
      <c r="B2054" s="6">
        <v>45504</v>
      </c>
      <c r="C2054" t="s">
        <v>200</v>
      </c>
      <c r="D2054" t="s">
        <v>62</v>
      </c>
      <c r="E2054" t="s">
        <v>11</v>
      </c>
      <c r="F2054" t="s">
        <v>306</v>
      </c>
      <c r="G2054" t="s">
        <v>32</v>
      </c>
      <c r="H2054">
        <v>17</v>
      </c>
      <c r="I2054" t="str">
        <f>VLOOKUP(D2054,Product_Lookup!$A$2:$C$27,3,FALSE)</f>
        <v>$46.19</v>
      </c>
      <c r="J2054" t="str">
        <f t="shared" si="259"/>
        <v>Wednesday</v>
      </c>
      <c r="K2054" s="10" t="str">
        <f t="shared" si="260"/>
        <v>July</v>
      </c>
      <c r="L2054">
        <f t="shared" si="261"/>
        <v>2024</v>
      </c>
      <c r="M2054" t="b">
        <f t="shared" si="262"/>
        <v>0</v>
      </c>
      <c r="N2054" t="b">
        <f t="shared" si="256"/>
        <v>1</v>
      </c>
      <c r="O2054" t="str">
        <f t="shared" si="263"/>
        <v>Large Order</v>
      </c>
      <c r="P2054" s="7">
        <f t="shared" si="257"/>
        <v>2.3094999999999999</v>
      </c>
      <c r="Q2054" s="7" t="str">
        <f>VLOOKUP(D2055,Product_Lookup!$A$2:$C$27,2,FALSE)</f>
        <v>Tablet</v>
      </c>
      <c r="R2054" s="7">
        <f t="shared" si="258"/>
        <v>785.23</v>
      </c>
    </row>
    <row r="2055" spans="1:18" ht="21.75" customHeight="1">
      <c r="A2055" t="s">
        <v>2206</v>
      </c>
      <c r="B2055" s="6">
        <v>45328</v>
      </c>
      <c r="C2055" t="s">
        <v>68</v>
      </c>
      <c r="D2055" t="s">
        <v>10</v>
      </c>
      <c r="E2055" t="s">
        <v>11</v>
      </c>
      <c r="F2055" t="s">
        <v>306</v>
      </c>
      <c r="G2055" t="s">
        <v>13</v>
      </c>
      <c r="H2055">
        <v>4</v>
      </c>
      <c r="I2055" t="str">
        <f>VLOOKUP(D2055,Product_Lookup!$A$2:$C$27,3,FALSE)</f>
        <v>$146.06</v>
      </c>
      <c r="J2055" t="str">
        <f t="shared" si="259"/>
        <v>Tuesday</v>
      </c>
      <c r="K2055" s="10" t="str">
        <f t="shared" si="260"/>
        <v>February</v>
      </c>
      <c r="L2055">
        <f t="shared" si="261"/>
        <v>2024</v>
      </c>
      <c r="M2055" t="b">
        <f t="shared" si="262"/>
        <v>0</v>
      </c>
      <c r="N2055" t="b">
        <f t="shared" si="256"/>
        <v>0</v>
      </c>
      <c r="O2055" t="str">
        <f t="shared" si="263"/>
        <v>Large Order</v>
      </c>
      <c r="P2055" s="7">
        <f t="shared" si="257"/>
        <v>7.3030000000000008</v>
      </c>
      <c r="Q2055" s="7" t="str">
        <f>VLOOKUP(D2056,Product_Lookup!$A$2:$C$27,2,FALSE)</f>
        <v>Jeans</v>
      </c>
      <c r="R2055" s="7">
        <f t="shared" si="258"/>
        <v>584.24</v>
      </c>
    </row>
    <row r="2056" spans="1:18" ht="21.75" customHeight="1">
      <c r="A2056" t="s">
        <v>2207</v>
      </c>
      <c r="B2056" s="6">
        <v>45564</v>
      </c>
      <c r="C2056" t="s">
        <v>53</v>
      </c>
      <c r="D2056" t="s">
        <v>65</v>
      </c>
      <c r="E2056" t="s">
        <v>11</v>
      </c>
      <c r="F2056" t="s">
        <v>306</v>
      </c>
      <c r="G2056" t="s">
        <v>28</v>
      </c>
      <c r="H2056">
        <v>19</v>
      </c>
      <c r="I2056" t="str">
        <f>VLOOKUP(D2056,Product_Lookup!$A$2:$C$27,3,FALSE)</f>
        <v>$33.22</v>
      </c>
      <c r="J2056" t="str">
        <f t="shared" si="259"/>
        <v>Sunday</v>
      </c>
      <c r="K2056" s="10" t="str">
        <f t="shared" si="260"/>
        <v>September</v>
      </c>
      <c r="L2056">
        <f t="shared" si="261"/>
        <v>2024</v>
      </c>
      <c r="M2056" t="b">
        <f t="shared" si="262"/>
        <v>1</v>
      </c>
      <c r="N2056" t="b">
        <f t="shared" si="256"/>
        <v>0</v>
      </c>
      <c r="O2056" t="str">
        <f t="shared" si="263"/>
        <v>Large Order</v>
      </c>
      <c r="P2056" s="7">
        <f t="shared" si="257"/>
        <v>1.661</v>
      </c>
      <c r="Q2056" s="7" t="str">
        <f>VLOOKUP(D2057,Product_Lookup!$A$2:$C$27,2,FALSE)</f>
        <v>Lego Set</v>
      </c>
      <c r="R2056" s="7">
        <f t="shared" si="258"/>
        <v>631.17999999999995</v>
      </c>
    </row>
    <row r="2057" spans="1:18" ht="21.75" customHeight="1">
      <c r="A2057" t="s">
        <v>2208</v>
      </c>
      <c r="B2057" s="6">
        <v>45383</v>
      </c>
      <c r="C2057" t="s">
        <v>642</v>
      </c>
      <c r="D2057" t="s">
        <v>84</v>
      </c>
      <c r="E2057" t="s">
        <v>22</v>
      </c>
      <c r="F2057" t="s">
        <v>27</v>
      </c>
      <c r="G2057" t="s">
        <v>13</v>
      </c>
      <c r="H2057">
        <v>19</v>
      </c>
      <c r="I2057" t="str">
        <f>VLOOKUP(D2057,Product_Lookup!$A$2:$C$27,3,FALSE)</f>
        <v>$130.07</v>
      </c>
      <c r="J2057" t="str">
        <f t="shared" si="259"/>
        <v>Monday</v>
      </c>
      <c r="K2057" s="10" t="str">
        <f t="shared" si="260"/>
        <v>April</v>
      </c>
      <c r="L2057">
        <f t="shared" si="261"/>
        <v>2024</v>
      </c>
      <c r="M2057" t="b">
        <f t="shared" si="262"/>
        <v>0</v>
      </c>
      <c r="N2057" t="b">
        <f t="shared" si="256"/>
        <v>1</v>
      </c>
      <c r="O2057" t="str">
        <f t="shared" si="263"/>
        <v>Large Order</v>
      </c>
      <c r="P2057" s="7">
        <f t="shared" si="257"/>
        <v>6.5034999999999998</v>
      </c>
      <c r="Q2057" s="7" t="str">
        <f>VLOOKUP(D2058,Product_Lookup!$A$2:$C$27,2,FALSE)</f>
        <v>Board Game</v>
      </c>
      <c r="R2057" s="7">
        <f t="shared" si="258"/>
        <v>2471.33</v>
      </c>
    </row>
    <row r="2058" spans="1:18" ht="21.75" customHeight="1">
      <c r="A2058" t="s">
        <v>2209</v>
      </c>
      <c r="B2058" s="6">
        <v>45526</v>
      </c>
      <c r="C2058" t="s">
        <v>424</v>
      </c>
      <c r="D2058" t="s">
        <v>41</v>
      </c>
      <c r="E2058" t="s">
        <v>17</v>
      </c>
      <c r="F2058" t="s">
        <v>12</v>
      </c>
      <c r="G2058" t="s">
        <v>28</v>
      </c>
      <c r="H2058">
        <v>6</v>
      </c>
      <c r="I2058" t="str">
        <f>VLOOKUP(D2058,Product_Lookup!$A$2:$C$27,3,FALSE)</f>
        <v>$86.6</v>
      </c>
      <c r="J2058" t="str">
        <f t="shared" si="259"/>
        <v>Thursday</v>
      </c>
      <c r="K2058" s="10" t="str">
        <f t="shared" si="260"/>
        <v>August</v>
      </c>
      <c r="L2058">
        <f t="shared" si="261"/>
        <v>2024</v>
      </c>
      <c r="M2058" t="b">
        <f t="shared" si="262"/>
        <v>0</v>
      </c>
      <c r="N2058" t="b">
        <f t="shared" si="256"/>
        <v>0</v>
      </c>
      <c r="O2058" t="str">
        <f t="shared" si="263"/>
        <v>Large Order</v>
      </c>
      <c r="P2058" s="7">
        <f t="shared" si="257"/>
        <v>4.33</v>
      </c>
      <c r="Q2058" s="7" t="str">
        <f>VLOOKUP(D2059,Product_Lookup!$A$2:$C$27,2,FALSE)</f>
        <v>Board Game</v>
      </c>
      <c r="R2058" s="7">
        <f t="shared" si="258"/>
        <v>519.59999999999991</v>
      </c>
    </row>
    <row r="2059" spans="1:18" ht="21.75" customHeight="1">
      <c r="A2059" t="s">
        <v>2210</v>
      </c>
      <c r="B2059" s="6">
        <v>45550</v>
      </c>
      <c r="C2059" t="s">
        <v>47</v>
      </c>
      <c r="D2059" t="s">
        <v>41</v>
      </c>
      <c r="E2059" t="s">
        <v>11</v>
      </c>
      <c r="F2059" t="s">
        <v>306</v>
      </c>
      <c r="G2059" t="s">
        <v>36</v>
      </c>
      <c r="H2059">
        <v>15</v>
      </c>
      <c r="I2059" t="str">
        <f>VLOOKUP(D2059,Product_Lookup!$A$2:$C$27,3,FALSE)</f>
        <v>$86.6</v>
      </c>
      <c r="J2059" t="str">
        <f t="shared" si="259"/>
        <v>Sunday</v>
      </c>
      <c r="K2059" s="10" t="str">
        <f t="shared" si="260"/>
        <v>September</v>
      </c>
      <c r="L2059">
        <f t="shared" si="261"/>
        <v>2024</v>
      </c>
      <c r="M2059" t="b">
        <f t="shared" si="262"/>
        <v>1</v>
      </c>
      <c r="N2059" t="b">
        <f t="shared" si="256"/>
        <v>1</v>
      </c>
      <c r="O2059" t="str">
        <f t="shared" si="263"/>
        <v>Large Order</v>
      </c>
      <c r="P2059" s="7">
        <f t="shared" si="257"/>
        <v>4.33</v>
      </c>
      <c r="Q2059" s="7" t="str">
        <f>VLOOKUP(D2060,Product_Lookup!$A$2:$C$27,2,FALSE)</f>
        <v>Blender</v>
      </c>
      <c r="R2059" s="7">
        <f t="shared" si="258"/>
        <v>1299</v>
      </c>
    </row>
    <row r="2060" spans="1:18" ht="21.75" customHeight="1">
      <c r="A2060" t="s">
        <v>2211</v>
      </c>
      <c r="B2060" s="6">
        <v>45453</v>
      </c>
      <c r="C2060" t="s">
        <v>378</v>
      </c>
      <c r="D2060" t="s">
        <v>72</v>
      </c>
      <c r="E2060" t="s">
        <v>17</v>
      </c>
      <c r="F2060" t="s">
        <v>27</v>
      </c>
      <c r="G2060" t="s">
        <v>23</v>
      </c>
      <c r="H2060">
        <v>11</v>
      </c>
      <c r="I2060" t="str">
        <f>VLOOKUP(D2060,Product_Lookup!$A$2:$C$27,3,FALSE)</f>
        <v>$156.44</v>
      </c>
      <c r="J2060" t="str">
        <f t="shared" si="259"/>
        <v>Monday</v>
      </c>
      <c r="K2060" s="10" t="str">
        <f t="shared" si="260"/>
        <v>June</v>
      </c>
      <c r="L2060">
        <f t="shared" si="261"/>
        <v>2024</v>
      </c>
      <c r="M2060" t="b">
        <f t="shared" si="262"/>
        <v>0</v>
      </c>
      <c r="N2060" t="b">
        <f t="shared" si="256"/>
        <v>1</v>
      </c>
      <c r="O2060" t="str">
        <f t="shared" si="263"/>
        <v>Large Order</v>
      </c>
      <c r="P2060" s="7">
        <f t="shared" si="257"/>
        <v>7.8220000000000001</v>
      </c>
      <c r="Q2060" s="7" t="str">
        <f>VLOOKUP(D2061,Product_Lookup!$A$2:$C$27,2,FALSE)</f>
        <v>Jeans</v>
      </c>
      <c r="R2060" s="7">
        <f t="shared" si="258"/>
        <v>1720.84</v>
      </c>
    </row>
    <row r="2061" spans="1:18" ht="21.75" customHeight="1">
      <c r="A2061" t="s">
        <v>2212</v>
      </c>
      <c r="B2061" s="6">
        <v>45580</v>
      </c>
      <c r="C2061" t="s">
        <v>591</v>
      </c>
      <c r="D2061" t="s">
        <v>65</v>
      </c>
      <c r="E2061" t="s">
        <v>17</v>
      </c>
      <c r="F2061" t="s">
        <v>306</v>
      </c>
      <c r="G2061" t="s">
        <v>32</v>
      </c>
      <c r="H2061">
        <v>12</v>
      </c>
      <c r="I2061" t="str">
        <f>VLOOKUP(D2061,Product_Lookup!$A$2:$C$27,3,FALSE)</f>
        <v>$33.22</v>
      </c>
      <c r="J2061" t="str">
        <f t="shared" si="259"/>
        <v>Tuesday</v>
      </c>
      <c r="K2061" s="10" t="str">
        <f t="shared" si="260"/>
        <v>October</v>
      </c>
      <c r="L2061">
        <f t="shared" si="261"/>
        <v>2024</v>
      </c>
      <c r="M2061" t="b">
        <f t="shared" si="262"/>
        <v>0</v>
      </c>
      <c r="N2061" t="b">
        <f t="shared" si="256"/>
        <v>0</v>
      </c>
      <c r="O2061" t="str">
        <f t="shared" si="263"/>
        <v>Standard order</v>
      </c>
      <c r="P2061" s="7">
        <f t="shared" si="257"/>
        <v>1.661</v>
      </c>
      <c r="Q2061" s="7" t="str">
        <f>VLOOKUP(D2062,Product_Lookup!$A$2:$C$27,2,FALSE)</f>
        <v>Laptop</v>
      </c>
      <c r="R2061" s="7">
        <f t="shared" si="258"/>
        <v>398.64</v>
      </c>
    </row>
    <row r="2062" spans="1:18" ht="21.75" customHeight="1">
      <c r="A2062" t="s">
        <v>2213</v>
      </c>
      <c r="B2062" s="6">
        <v>45521</v>
      </c>
      <c r="C2062" t="s">
        <v>106</v>
      </c>
      <c r="D2062" t="s">
        <v>96</v>
      </c>
      <c r="E2062" t="s">
        <v>22</v>
      </c>
      <c r="F2062" t="s">
        <v>12</v>
      </c>
      <c r="G2062" t="s">
        <v>32</v>
      </c>
      <c r="H2062">
        <v>20</v>
      </c>
      <c r="I2062" t="str">
        <f>VLOOKUP(D2062,Product_Lookup!$A$2:$C$27,3,FALSE)</f>
        <v>$230.68</v>
      </c>
      <c r="J2062" t="str">
        <f t="shared" si="259"/>
        <v>Saturday</v>
      </c>
      <c r="K2062" s="10" t="str">
        <f t="shared" si="260"/>
        <v>August</v>
      </c>
      <c r="L2062">
        <f t="shared" si="261"/>
        <v>2024</v>
      </c>
      <c r="M2062" t="b">
        <f t="shared" si="262"/>
        <v>1</v>
      </c>
      <c r="N2062" t="b">
        <f t="shared" si="256"/>
        <v>1</v>
      </c>
      <c r="O2062" t="str">
        <f t="shared" si="263"/>
        <v>Large Order</v>
      </c>
      <c r="P2062" s="7">
        <f t="shared" si="257"/>
        <v>11.534000000000001</v>
      </c>
      <c r="Q2062" s="7" t="str">
        <f>VLOOKUP(D2063,Product_Lookup!$A$2:$C$27,2,FALSE)</f>
        <v>Laptop</v>
      </c>
      <c r="R2062" s="7">
        <f t="shared" si="258"/>
        <v>4613.6000000000004</v>
      </c>
    </row>
    <row r="2063" spans="1:18" ht="21.75" customHeight="1">
      <c r="A2063" t="s">
        <v>2214</v>
      </c>
      <c r="B2063" s="6">
        <v>45361</v>
      </c>
      <c r="C2063" t="s">
        <v>68</v>
      </c>
      <c r="D2063" t="s">
        <v>96</v>
      </c>
      <c r="E2063" t="s">
        <v>17</v>
      </c>
      <c r="F2063" t="s">
        <v>56</v>
      </c>
      <c r="G2063" t="s">
        <v>28</v>
      </c>
      <c r="H2063">
        <v>11</v>
      </c>
      <c r="I2063" t="str">
        <f>VLOOKUP(D2063,Product_Lookup!$A$2:$C$27,3,FALSE)</f>
        <v>$230.68</v>
      </c>
      <c r="J2063" t="str">
        <f t="shared" si="259"/>
        <v>Sunday</v>
      </c>
      <c r="K2063" s="10" t="str">
        <f t="shared" si="260"/>
        <v>March</v>
      </c>
      <c r="L2063">
        <f t="shared" si="261"/>
        <v>2024</v>
      </c>
      <c r="M2063" t="b">
        <f t="shared" si="262"/>
        <v>1</v>
      </c>
      <c r="N2063" t="b">
        <f t="shared" si="256"/>
        <v>1</v>
      </c>
      <c r="O2063" t="str">
        <f t="shared" si="263"/>
        <v>Large Order</v>
      </c>
      <c r="P2063" s="7">
        <f t="shared" si="257"/>
        <v>11.534000000000001</v>
      </c>
      <c r="Q2063" s="7" t="str">
        <f>VLOOKUP(D2064,Product_Lookup!$A$2:$C$27,2,FALSE)</f>
        <v>Pen Set</v>
      </c>
      <c r="R2063" s="7">
        <f t="shared" si="258"/>
        <v>2537.48</v>
      </c>
    </row>
    <row r="2064" spans="1:18" ht="21.75" customHeight="1">
      <c r="A2064" t="s">
        <v>2215</v>
      </c>
      <c r="B2064" s="6">
        <v>45645</v>
      </c>
      <c r="C2064" t="s">
        <v>89</v>
      </c>
      <c r="D2064" t="s">
        <v>174</v>
      </c>
      <c r="E2064" t="s">
        <v>22</v>
      </c>
      <c r="F2064" t="s">
        <v>306</v>
      </c>
      <c r="G2064" t="s">
        <v>36</v>
      </c>
      <c r="H2064">
        <v>19</v>
      </c>
      <c r="I2064" t="str">
        <f>VLOOKUP(D2064,Product_Lookup!$A$2:$C$27,3,FALSE)</f>
        <v>$133.37</v>
      </c>
      <c r="J2064" t="str">
        <f t="shared" si="259"/>
        <v>Thursday</v>
      </c>
      <c r="K2064" s="10" t="str">
        <f t="shared" si="260"/>
        <v>December</v>
      </c>
      <c r="L2064">
        <f t="shared" si="261"/>
        <v>2024</v>
      </c>
      <c r="M2064" t="b">
        <f t="shared" si="262"/>
        <v>0</v>
      </c>
      <c r="N2064" t="b">
        <f t="shared" si="256"/>
        <v>1</v>
      </c>
      <c r="O2064" t="str">
        <f t="shared" si="263"/>
        <v>Large Order</v>
      </c>
      <c r="P2064" s="7">
        <f t="shared" si="257"/>
        <v>6.6685000000000008</v>
      </c>
      <c r="Q2064" s="7" t="str">
        <f>VLOOKUP(D2065,Product_Lookup!$A$2:$C$27,2,FALSE)</f>
        <v>Toaster</v>
      </c>
      <c r="R2064" s="7">
        <f t="shared" si="258"/>
        <v>2534.0300000000002</v>
      </c>
    </row>
    <row r="2065" spans="1:18" ht="21.75" customHeight="1">
      <c r="A2065" t="s">
        <v>2216</v>
      </c>
      <c r="B2065" s="6">
        <v>45311</v>
      </c>
      <c r="C2065" t="s">
        <v>366</v>
      </c>
      <c r="D2065" t="s">
        <v>48</v>
      </c>
      <c r="E2065" t="s">
        <v>11</v>
      </c>
      <c r="F2065" t="s">
        <v>56</v>
      </c>
      <c r="G2065" t="s">
        <v>32</v>
      </c>
      <c r="H2065">
        <v>12</v>
      </c>
      <c r="I2065" t="str">
        <f>VLOOKUP(D2065,Product_Lookup!$A$2:$C$27,3,FALSE)</f>
        <v>$208.85</v>
      </c>
      <c r="J2065" t="str">
        <f t="shared" si="259"/>
        <v>Saturday</v>
      </c>
      <c r="K2065" s="10" t="str">
        <f t="shared" si="260"/>
        <v>January</v>
      </c>
      <c r="L2065">
        <f t="shared" si="261"/>
        <v>2024</v>
      </c>
      <c r="M2065" t="b">
        <f t="shared" si="262"/>
        <v>1</v>
      </c>
      <c r="N2065" t="b">
        <f t="shared" si="256"/>
        <v>1</v>
      </c>
      <c r="O2065" t="str">
        <f t="shared" si="263"/>
        <v>Large Order</v>
      </c>
      <c r="P2065" s="7">
        <f t="shared" si="257"/>
        <v>10.442500000000001</v>
      </c>
      <c r="Q2065" s="7" t="str">
        <f>VLOOKUP(D2066,Product_Lookup!$A$2:$C$27,2,FALSE)</f>
        <v>Sweater</v>
      </c>
      <c r="R2065" s="7">
        <f t="shared" si="258"/>
        <v>2506.1999999999998</v>
      </c>
    </row>
    <row r="2066" spans="1:18" ht="21.75" customHeight="1">
      <c r="A2066" t="s">
        <v>2217</v>
      </c>
      <c r="B2066" s="6">
        <v>45419</v>
      </c>
      <c r="C2066" t="s">
        <v>51</v>
      </c>
      <c r="D2066" t="s">
        <v>26</v>
      </c>
      <c r="E2066" t="s">
        <v>17</v>
      </c>
      <c r="F2066" t="s">
        <v>12</v>
      </c>
      <c r="G2066" t="s">
        <v>36</v>
      </c>
      <c r="H2066">
        <v>13</v>
      </c>
      <c r="I2066" t="str">
        <f>VLOOKUP(D2066,Product_Lookup!$A$2:$C$27,3,FALSE)</f>
        <v>$84.57</v>
      </c>
      <c r="J2066" t="str">
        <f t="shared" si="259"/>
        <v>Tuesday</v>
      </c>
      <c r="K2066" s="10" t="str">
        <f t="shared" si="260"/>
        <v>May</v>
      </c>
      <c r="L2066">
        <f t="shared" si="261"/>
        <v>2024</v>
      </c>
      <c r="M2066" t="b">
        <f t="shared" si="262"/>
        <v>0</v>
      </c>
      <c r="N2066" t="b">
        <f t="shared" si="256"/>
        <v>1</v>
      </c>
      <c r="O2066" t="str">
        <f t="shared" si="263"/>
        <v>Large Order</v>
      </c>
      <c r="P2066" s="7">
        <f t="shared" si="257"/>
        <v>4.2284999999999995</v>
      </c>
      <c r="Q2066" s="7" t="str">
        <f>VLOOKUP(D2067,Product_Lookup!$A$2:$C$27,2,FALSE)</f>
        <v>Tablet</v>
      </c>
      <c r="R2066" s="7">
        <f t="shared" si="258"/>
        <v>1099.4099999999999</v>
      </c>
    </row>
    <row r="2067" spans="1:18" ht="21.75" customHeight="1">
      <c r="A2067" t="s">
        <v>2218</v>
      </c>
      <c r="B2067" s="6">
        <v>45403</v>
      </c>
      <c r="C2067" t="s">
        <v>388</v>
      </c>
      <c r="D2067" t="s">
        <v>10</v>
      </c>
      <c r="E2067" t="s">
        <v>22</v>
      </c>
      <c r="F2067" t="s">
        <v>42</v>
      </c>
      <c r="G2067" t="s">
        <v>23</v>
      </c>
      <c r="H2067">
        <v>6</v>
      </c>
      <c r="I2067" t="str">
        <f>VLOOKUP(D2067,Product_Lookup!$A$2:$C$27,3,FALSE)</f>
        <v>$146.06</v>
      </c>
      <c r="J2067" t="str">
        <f t="shared" si="259"/>
        <v>Sunday</v>
      </c>
      <c r="K2067" s="10" t="str">
        <f t="shared" si="260"/>
        <v>April</v>
      </c>
      <c r="L2067">
        <f t="shared" si="261"/>
        <v>2024</v>
      </c>
      <c r="M2067" t="b">
        <f t="shared" si="262"/>
        <v>1</v>
      </c>
      <c r="N2067" t="b">
        <f t="shared" si="256"/>
        <v>1</v>
      </c>
      <c r="O2067" t="str">
        <f t="shared" si="263"/>
        <v>Large Order</v>
      </c>
      <c r="P2067" s="7">
        <f t="shared" si="257"/>
        <v>7.3030000000000008</v>
      </c>
      <c r="Q2067" s="7" t="str">
        <f>VLOOKUP(D2068,Product_Lookup!$A$2:$C$27,2,FALSE)</f>
        <v>Desk Lamp</v>
      </c>
      <c r="R2067" s="7">
        <f t="shared" si="258"/>
        <v>876.36</v>
      </c>
    </row>
    <row r="2068" spans="1:18" ht="21.75" customHeight="1">
      <c r="A2068" t="s">
        <v>2219</v>
      </c>
      <c r="B2068" s="6">
        <v>45645</v>
      </c>
      <c r="C2068" t="s">
        <v>424</v>
      </c>
      <c r="D2068" t="s">
        <v>59</v>
      </c>
      <c r="E2068" t="s">
        <v>11</v>
      </c>
      <c r="F2068" t="s">
        <v>306</v>
      </c>
      <c r="G2068" t="s">
        <v>32</v>
      </c>
      <c r="H2068">
        <v>2</v>
      </c>
      <c r="I2068" t="str">
        <f>VLOOKUP(D2068,Product_Lookup!$A$2:$C$27,3,FALSE)</f>
        <v>$101.96</v>
      </c>
      <c r="J2068" t="str">
        <f t="shared" si="259"/>
        <v>Thursday</v>
      </c>
      <c r="K2068" s="10" t="str">
        <f t="shared" si="260"/>
        <v>December</v>
      </c>
      <c r="L2068">
        <f t="shared" si="261"/>
        <v>2024</v>
      </c>
      <c r="M2068" t="b">
        <f t="shared" si="262"/>
        <v>0</v>
      </c>
      <c r="N2068" t="b">
        <f t="shared" si="256"/>
        <v>0</v>
      </c>
      <c r="O2068" t="str">
        <f t="shared" si="263"/>
        <v>Standard order</v>
      </c>
      <c r="P2068" s="7">
        <f t="shared" si="257"/>
        <v>5.0979999999999999</v>
      </c>
      <c r="Q2068" s="7" t="str">
        <f>VLOOKUP(D2069,Product_Lookup!$A$2:$C$27,2,FALSE)</f>
        <v>Tablet</v>
      </c>
      <c r="R2068" s="7">
        <f t="shared" si="258"/>
        <v>203.92</v>
      </c>
    </row>
    <row r="2069" spans="1:18" ht="21.75" customHeight="1">
      <c r="A2069" t="s">
        <v>2220</v>
      </c>
      <c r="B2069" s="6">
        <v>45587</v>
      </c>
      <c r="C2069" t="s">
        <v>159</v>
      </c>
      <c r="D2069" t="s">
        <v>10</v>
      </c>
      <c r="E2069" t="s">
        <v>11</v>
      </c>
      <c r="F2069" t="s">
        <v>42</v>
      </c>
      <c r="G2069" t="s">
        <v>32</v>
      </c>
      <c r="H2069">
        <v>14</v>
      </c>
      <c r="I2069" t="str">
        <f>VLOOKUP(D2069,Product_Lookup!$A$2:$C$27,3,FALSE)</f>
        <v>$146.06</v>
      </c>
      <c r="J2069" t="str">
        <f t="shared" si="259"/>
        <v>Tuesday</v>
      </c>
      <c r="K2069" s="10" t="str">
        <f t="shared" si="260"/>
        <v>October</v>
      </c>
      <c r="L2069">
        <f t="shared" si="261"/>
        <v>2024</v>
      </c>
      <c r="M2069" t="b">
        <f t="shared" si="262"/>
        <v>0</v>
      </c>
      <c r="N2069" t="b">
        <f t="shared" si="256"/>
        <v>1</v>
      </c>
      <c r="O2069" t="str">
        <f t="shared" si="263"/>
        <v>Large Order</v>
      </c>
      <c r="P2069" s="7">
        <f t="shared" si="257"/>
        <v>7.3030000000000008</v>
      </c>
      <c r="Q2069" s="7" t="str">
        <f>VLOOKUP(D2070,Product_Lookup!$A$2:$C$27,2,FALSE)</f>
        <v>Jacket</v>
      </c>
      <c r="R2069" s="7">
        <f t="shared" si="258"/>
        <v>2044.8400000000001</v>
      </c>
    </row>
    <row r="2070" spans="1:18" ht="21.75" customHeight="1">
      <c r="A2070" t="s">
        <v>2221</v>
      </c>
      <c r="B2070" s="6">
        <v>45353</v>
      </c>
      <c r="C2070" t="s">
        <v>337</v>
      </c>
      <c r="D2070" t="s">
        <v>197</v>
      </c>
      <c r="E2070" t="s">
        <v>22</v>
      </c>
      <c r="F2070" t="s">
        <v>306</v>
      </c>
      <c r="G2070" t="s">
        <v>13</v>
      </c>
      <c r="H2070">
        <v>13</v>
      </c>
      <c r="I2070" t="str">
        <f>VLOOKUP(D2070,Product_Lookup!$A$2:$C$27,3,FALSE)</f>
        <v>$10.11</v>
      </c>
      <c r="J2070" t="str">
        <f t="shared" si="259"/>
        <v>Saturday</v>
      </c>
      <c r="K2070" s="10" t="str">
        <f t="shared" si="260"/>
        <v>March</v>
      </c>
      <c r="L2070">
        <f t="shared" si="261"/>
        <v>2024</v>
      </c>
      <c r="M2070" t="b">
        <f t="shared" si="262"/>
        <v>1</v>
      </c>
      <c r="N2070" t="b">
        <f t="shared" si="256"/>
        <v>0</v>
      </c>
      <c r="O2070" t="str">
        <f t="shared" si="263"/>
        <v>Standard order</v>
      </c>
      <c r="P2070" s="7">
        <f t="shared" si="257"/>
        <v>0.50549999999999995</v>
      </c>
      <c r="Q2070" s="7" t="str">
        <f>VLOOKUP(D2071,Product_Lookup!$A$2:$C$27,2,FALSE)</f>
        <v>Blender</v>
      </c>
      <c r="R2070" s="7">
        <f t="shared" si="258"/>
        <v>131.43</v>
      </c>
    </row>
    <row r="2071" spans="1:18" ht="21.75" customHeight="1">
      <c r="A2071" t="s">
        <v>2222</v>
      </c>
      <c r="B2071" s="6">
        <v>45560</v>
      </c>
      <c r="C2071" t="s">
        <v>116</v>
      </c>
      <c r="D2071" t="s">
        <v>72</v>
      </c>
      <c r="E2071" t="s">
        <v>22</v>
      </c>
      <c r="F2071" t="s">
        <v>306</v>
      </c>
      <c r="G2071" t="s">
        <v>28</v>
      </c>
      <c r="H2071">
        <v>11</v>
      </c>
      <c r="I2071" t="str">
        <f>VLOOKUP(D2071,Product_Lookup!$A$2:$C$27,3,FALSE)</f>
        <v>$156.44</v>
      </c>
      <c r="J2071" t="str">
        <f t="shared" si="259"/>
        <v>Wednesday</v>
      </c>
      <c r="K2071" s="10" t="str">
        <f t="shared" si="260"/>
        <v>September</v>
      </c>
      <c r="L2071">
        <f t="shared" si="261"/>
        <v>2024</v>
      </c>
      <c r="M2071" t="b">
        <f t="shared" si="262"/>
        <v>0</v>
      </c>
      <c r="N2071" t="b">
        <f t="shared" si="256"/>
        <v>1</v>
      </c>
      <c r="O2071" t="str">
        <f t="shared" si="263"/>
        <v>Large Order</v>
      </c>
      <c r="P2071" s="7">
        <f t="shared" si="257"/>
        <v>7.8220000000000001</v>
      </c>
      <c r="Q2071" s="7" t="str">
        <f>VLOOKUP(D2072,Product_Lookup!$A$2:$C$27,2,FALSE)</f>
        <v>Smartphone</v>
      </c>
      <c r="R2071" s="7">
        <f t="shared" si="258"/>
        <v>1720.84</v>
      </c>
    </row>
    <row r="2072" spans="1:18" ht="21.75" customHeight="1">
      <c r="A2072" t="s">
        <v>2223</v>
      </c>
      <c r="B2072" s="6">
        <v>45405</v>
      </c>
      <c r="C2072" t="s">
        <v>125</v>
      </c>
      <c r="D2072" t="s">
        <v>79</v>
      </c>
      <c r="E2072" t="s">
        <v>22</v>
      </c>
      <c r="F2072" t="s">
        <v>27</v>
      </c>
      <c r="G2072" t="s">
        <v>23</v>
      </c>
      <c r="H2072">
        <v>20</v>
      </c>
      <c r="I2072" t="str">
        <f>VLOOKUP(D2072,Product_Lookup!$A$2:$C$27,3,FALSE)</f>
        <v>$216.22</v>
      </c>
      <c r="J2072" t="str">
        <f t="shared" si="259"/>
        <v>Tuesday</v>
      </c>
      <c r="K2072" s="10" t="str">
        <f t="shared" si="260"/>
        <v>April</v>
      </c>
      <c r="L2072">
        <f t="shared" si="261"/>
        <v>2024</v>
      </c>
      <c r="M2072" t="b">
        <f t="shared" si="262"/>
        <v>0</v>
      </c>
      <c r="N2072" t="b">
        <f t="shared" si="256"/>
        <v>1</v>
      </c>
      <c r="O2072" t="str">
        <f t="shared" si="263"/>
        <v>Large Order</v>
      </c>
      <c r="P2072" s="7">
        <f t="shared" si="257"/>
        <v>10.811</v>
      </c>
      <c r="Q2072" s="7" t="str">
        <f>VLOOKUP(D2073,Product_Lookup!$A$2:$C$27,2,FALSE)</f>
        <v>Vacuum</v>
      </c>
      <c r="R2072" s="7">
        <f t="shared" si="258"/>
        <v>4324.3999999999996</v>
      </c>
    </row>
    <row r="2073" spans="1:18" ht="21.75" customHeight="1">
      <c r="A2073" t="s">
        <v>2224</v>
      </c>
      <c r="B2073" s="6">
        <v>45338</v>
      </c>
      <c r="C2073" t="s">
        <v>240</v>
      </c>
      <c r="D2073" t="s">
        <v>87</v>
      </c>
      <c r="E2073" t="s">
        <v>17</v>
      </c>
      <c r="F2073" t="s">
        <v>27</v>
      </c>
      <c r="G2073" t="s">
        <v>28</v>
      </c>
      <c r="H2073">
        <v>5</v>
      </c>
      <c r="I2073" t="str">
        <f>VLOOKUP(D2073,Product_Lookup!$A$2:$C$27,3,FALSE)</f>
        <v>$26.59</v>
      </c>
      <c r="J2073" t="str">
        <f t="shared" si="259"/>
        <v>Friday</v>
      </c>
      <c r="K2073" s="10" t="str">
        <f t="shared" si="260"/>
        <v>February</v>
      </c>
      <c r="L2073">
        <f t="shared" si="261"/>
        <v>2024</v>
      </c>
      <c r="M2073" t="b">
        <f t="shared" si="262"/>
        <v>0</v>
      </c>
      <c r="N2073" t="b">
        <f t="shared" si="256"/>
        <v>0</v>
      </c>
      <c r="O2073" t="str">
        <f t="shared" si="263"/>
        <v>Standard order</v>
      </c>
      <c r="P2073" s="7">
        <f t="shared" si="257"/>
        <v>1.3295000000000001</v>
      </c>
      <c r="Q2073" s="7" t="str">
        <f>VLOOKUP(D2074,Product_Lookup!$A$2:$C$27,2,FALSE)</f>
        <v>Lego Set</v>
      </c>
      <c r="R2073" s="7">
        <f t="shared" si="258"/>
        <v>132.94999999999999</v>
      </c>
    </row>
    <row r="2074" spans="1:18" ht="21.75" customHeight="1">
      <c r="A2074" t="s">
        <v>2225</v>
      </c>
      <c r="B2074" s="6">
        <v>45535</v>
      </c>
      <c r="C2074" t="s">
        <v>314</v>
      </c>
      <c r="D2074" t="s">
        <v>84</v>
      </c>
      <c r="E2074" t="s">
        <v>11</v>
      </c>
      <c r="F2074" t="s">
        <v>306</v>
      </c>
      <c r="G2074" t="s">
        <v>23</v>
      </c>
      <c r="H2074">
        <v>9</v>
      </c>
      <c r="I2074" t="str">
        <f>VLOOKUP(D2074,Product_Lookup!$A$2:$C$27,3,FALSE)</f>
        <v>$130.07</v>
      </c>
      <c r="J2074" t="str">
        <f t="shared" si="259"/>
        <v>Saturday</v>
      </c>
      <c r="K2074" s="10" t="str">
        <f t="shared" si="260"/>
        <v>August</v>
      </c>
      <c r="L2074">
        <f t="shared" si="261"/>
        <v>2024</v>
      </c>
      <c r="M2074" t="b">
        <f t="shared" si="262"/>
        <v>1</v>
      </c>
      <c r="N2074" t="b">
        <f t="shared" si="256"/>
        <v>1</v>
      </c>
      <c r="O2074" t="str">
        <f t="shared" si="263"/>
        <v>Large Order</v>
      </c>
      <c r="P2074" s="7">
        <f t="shared" si="257"/>
        <v>6.5034999999999998</v>
      </c>
      <c r="Q2074" s="7" t="str">
        <f>VLOOKUP(D2075,Product_Lookup!$A$2:$C$27,2,FALSE)</f>
        <v>Doll</v>
      </c>
      <c r="R2074" s="7">
        <f t="shared" si="258"/>
        <v>1170.6299999999999</v>
      </c>
    </row>
    <row r="2075" spans="1:18" ht="21.75" customHeight="1">
      <c r="A2075" t="s">
        <v>2226</v>
      </c>
      <c r="B2075" s="6">
        <v>45548</v>
      </c>
      <c r="C2075" t="s">
        <v>348</v>
      </c>
      <c r="D2075" t="s">
        <v>119</v>
      </c>
      <c r="E2075" t="s">
        <v>22</v>
      </c>
      <c r="F2075" t="s">
        <v>56</v>
      </c>
      <c r="G2075" t="s">
        <v>28</v>
      </c>
      <c r="H2075">
        <v>16</v>
      </c>
      <c r="I2075" t="str">
        <f>VLOOKUP(D2075,Product_Lookup!$A$2:$C$27,3,FALSE)</f>
        <v>$32.94</v>
      </c>
      <c r="J2075" t="str">
        <f t="shared" si="259"/>
        <v>Friday</v>
      </c>
      <c r="K2075" s="10" t="str">
        <f t="shared" si="260"/>
        <v>September</v>
      </c>
      <c r="L2075">
        <f t="shared" si="261"/>
        <v>2024</v>
      </c>
      <c r="M2075" t="b">
        <f t="shared" si="262"/>
        <v>0</v>
      </c>
      <c r="N2075" t="b">
        <f t="shared" si="256"/>
        <v>0</v>
      </c>
      <c r="O2075" t="str">
        <f t="shared" si="263"/>
        <v>Large Order</v>
      </c>
      <c r="P2075" s="7">
        <f t="shared" si="257"/>
        <v>1.647</v>
      </c>
      <c r="Q2075" s="7" t="str">
        <f>VLOOKUP(D2076,Product_Lookup!$A$2:$C$27,2,FALSE)</f>
        <v>Action Figure</v>
      </c>
      <c r="R2075" s="7">
        <f t="shared" si="258"/>
        <v>527.04</v>
      </c>
    </row>
    <row r="2076" spans="1:18" ht="21.75" customHeight="1">
      <c r="A2076" t="s">
        <v>2227</v>
      </c>
      <c r="B2076" s="6">
        <v>45541</v>
      </c>
      <c r="C2076" t="s">
        <v>106</v>
      </c>
      <c r="D2076" t="s">
        <v>21</v>
      </c>
      <c r="E2076" t="s">
        <v>22</v>
      </c>
      <c r="F2076" t="s">
        <v>56</v>
      </c>
      <c r="G2076" t="s">
        <v>36</v>
      </c>
      <c r="H2076">
        <v>20</v>
      </c>
      <c r="I2076" t="str">
        <f>VLOOKUP(D2076,Product_Lookup!$A$2:$C$27,3,FALSE)</f>
        <v>$88.18</v>
      </c>
      <c r="J2076" t="str">
        <f t="shared" si="259"/>
        <v>Friday</v>
      </c>
      <c r="K2076" s="10" t="str">
        <f t="shared" si="260"/>
        <v>September</v>
      </c>
      <c r="L2076">
        <f t="shared" si="261"/>
        <v>2024</v>
      </c>
      <c r="M2076" t="b">
        <f t="shared" si="262"/>
        <v>0</v>
      </c>
      <c r="N2076" t="b">
        <f t="shared" si="256"/>
        <v>1</v>
      </c>
      <c r="O2076" t="str">
        <f t="shared" si="263"/>
        <v>Large Order</v>
      </c>
      <c r="P2076" s="7">
        <f t="shared" si="257"/>
        <v>4.4090000000000007</v>
      </c>
      <c r="Q2076" s="7" t="str">
        <f>VLOOKUP(D2077,Product_Lookup!$A$2:$C$27,2,FALSE)</f>
        <v>Jacket</v>
      </c>
      <c r="R2076" s="7">
        <f t="shared" si="258"/>
        <v>1763.6000000000001</v>
      </c>
    </row>
    <row r="2077" spans="1:18" ht="21.75" customHeight="1">
      <c r="A2077" t="s">
        <v>2228</v>
      </c>
      <c r="B2077" s="6">
        <v>45560</v>
      </c>
      <c r="C2077" t="s">
        <v>78</v>
      </c>
      <c r="D2077" t="s">
        <v>197</v>
      </c>
      <c r="E2077" t="s">
        <v>11</v>
      </c>
      <c r="F2077" t="s">
        <v>42</v>
      </c>
      <c r="G2077" t="s">
        <v>23</v>
      </c>
      <c r="H2077">
        <v>11</v>
      </c>
      <c r="I2077" t="str">
        <f>VLOOKUP(D2077,Product_Lookup!$A$2:$C$27,3,FALSE)</f>
        <v>$10.11</v>
      </c>
      <c r="J2077" t="str">
        <f t="shared" si="259"/>
        <v>Wednesday</v>
      </c>
      <c r="K2077" s="10" t="str">
        <f t="shared" si="260"/>
        <v>September</v>
      </c>
      <c r="L2077">
        <f t="shared" si="261"/>
        <v>2024</v>
      </c>
      <c r="M2077" t="b">
        <f t="shared" si="262"/>
        <v>0</v>
      </c>
      <c r="N2077" t="b">
        <f t="shared" si="256"/>
        <v>0</v>
      </c>
      <c r="O2077" t="str">
        <f t="shared" si="263"/>
        <v>Standard order</v>
      </c>
      <c r="P2077" s="7">
        <f t="shared" si="257"/>
        <v>0.50549999999999995</v>
      </c>
      <c r="Q2077" s="7" t="str">
        <f>VLOOKUP(D2078,Product_Lookup!$A$2:$C$27,2,FALSE)</f>
        <v>Monitor</v>
      </c>
      <c r="R2077" s="7">
        <f t="shared" si="258"/>
        <v>111.21</v>
      </c>
    </row>
    <row r="2078" spans="1:18" ht="21.75" customHeight="1">
      <c r="A2078" t="s">
        <v>2229</v>
      </c>
      <c r="B2078" s="6">
        <v>45586</v>
      </c>
      <c r="C2078" t="s">
        <v>203</v>
      </c>
      <c r="D2078" t="s">
        <v>102</v>
      </c>
      <c r="E2078" t="s">
        <v>22</v>
      </c>
      <c r="F2078" t="s">
        <v>27</v>
      </c>
      <c r="G2078" t="s">
        <v>23</v>
      </c>
      <c r="H2078">
        <v>12</v>
      </c>
      <c r="I2078" t="str">
        <f>VLOOKUP(D2078,Product_Lookup!$A$2:$C$27,3,FALSE)</f>
        <v>$145.48</v>
      </c>
      <c r="J2078" t="str">
        <f t="shared" si="259"/>
        <v>Monday</v>
      </c>
      <c r="K2078" s="10" t="str">
        <f t="shared" si="260"/>
        <v>October</v>
      </c>
      <c r="L2078">
        <f t="shared" si="261"/>
        <v>2024</v>
      </c>
      <c r="M2078" t="b">
        <f t="shared" si="262"/>
        <v>0</v>
      </c>
      <c r="N2078" t="b">
        <f t="shared" si="256"/>
        <v>1</v>
      </c>
      <c r="O2078" t="str">
        <f t="shared" si="263"/>
        <v>Large Order</v>
      </c>
      <c r="P2078" s="7">
        <f t="shared" si="257"/>
        <v>7.274</v>
      </c>
      <c r="Q2078" s="7" t="str">
        <f>VLOOKUP(D2079,Product_Lookup!$A$2:$C$27,2,FALSE)</f>
        <v>Paper Shredder</v>
      </c>
      <c r="R2078" s="7">
        <f t="shared" si="258"/>
        <v>1745.7599999999998</v>
      </c>
    </row>
    <row r="2079" spans="1:18" ht="21.75" customHeight="1">
      <c r="A2079" t="s">
        <v>2230</v>
      </c>
      <c r="B2079" s="6">
        <v>45456</v>
      </c>
      <c r="C2079" t="s">
        <v>20</v>
      </c>
      <c r="D2079" t="s">
        <v>109</v>
      </c>
      <c r="E2079" t="s">
        <v>22</v>
      </c>
      <c r="F2079" t="s">
        <v>12</v>
      </c>
      <c r="G2079" t="s">
        <v>32</v>
      </c>
      <c r="H2079">
        <v>6</v>
      </c>
      <c r="I2079" t="str">
        <f>VLOOKUP(D2079,Product_Lookup!$A$2:$C$27,3,FALSE)</f>
        <v>$81.02</v>
      </c>
      <c r="J2079" t="str">
        <f t="shared" si="259"/>
        <v>Thursday</v>
      </c>
      <c r="K2079" s="10" t="str">
        <f t="shared" si="260"/>
        <v>June</v>
      </c>
      <c r="L2079">
        <f t="shared" si="261"/>
        <v>2024</v>
      </c>
      <c r="M2079" t="b">
        <f t="shared" si="262"/>
        <v>0</v>
      </c>
      <c r="N2079" t="b">
        <f t="shared" si="256"/>
        <v>0</v>
      </c>
      <c r="O2079" t="str">
        <f t="shared" si="263"/>
        <v>Standard order</v>
      </c>
      <c r="P2079" s="7">
        <f t="shared" si="257"/>
        <v>4.0510000000000002</v>
      </c>
      <c r="Q2079" s="7" t="str">
        <f>VLOOKUP(D2080,Product_Lookup!$A$2:$C$27,2,FALSE)</f>
        <v>Paper Shredder</v>
      </c>
      <c r="R2079" s="7">
        <f t="shared" si="258"/>
        <v>486.12</v>
      </c>
    </row>
    <row r="2080" spans="1:18" ht="21.75" customHeight="1">
      <c r="A2080" t="s">
        <v>2231</v>
      </c>
      <c r="B2080" s="6">
        <v>45607</v>
      </c>
      <c r="C2080" t="s">
        <v>396</v>
      </c>
      <c r="D2080" t="s">
        <v>109</v>
      </c>
      <c r="E2080" t="s">
        <v>11</v>
      </c>
      <c r="F2080" t="s">
        <v>27</v>
      </c>
      <c r="G2080" t="s">
        <v>13</v>
      </c>
      <c r="H2080">
        <v>8</v>
      </c>
      <c r="I2080" t="str">
        <f>VLOOKUP(D2080,Product_Lookup!$A$2:$C$27,3,FALSE)</f>
        <v>$81.02</v>
      </c>
      <c r="J2080" t="str">
        <f t="shared" si="259"/>
        <v>Monday</v>
      </c>
      <c r="K2080" s="10" t="str">
        <f t="shared" si="260"/>
        <v>November</v>
      </c>
      <c r="L2080">
        <f t="shared" si="261"/>
        <v>2024</v>
      </c>
      <c r="M2080" t="b">
        <f t="shared" si="262"/>
        <v>0</v>
      </c>
      <c r="N2080" t="b">
        <f t="shared" si="256"/>
        <v>0</v>
      </c>
      <c r="O2080" t="str">
        <f t="shared" si="263"/>
        <v>Large Order</v>
      </c>
      <c r="P2080" s="7">
        <f t="shared" si="257"/>
        <v>4.0510000000000002</v>
      </c>
      <c r="Q2080" s="7" t="str">
        <f>VLOOKUP(D2081,Product_Lookup!$A$2:$C$27,2,FALSE)</f>
        <v>Doll</v>
      </c>
      <c r="R2080" s="7">
        <f t="shared" si="258"/>
        <v>648.16</v>
      </c>
    </row>
    <row r="2081" spans="1:18" ht="21.75" customHeight="1">
      <c r="A2081" t="s">
        <v>2232</v>
      </c>
      <c r="B2081" s="6">
        <v>45483</v>
      </c>
      <c r="C2081" t="s">
        <v>125</v>
      </c>
      <c r="D2081" t="s">
        <v>119</v>
      </c>
      <c r="E2081" t="s">
        <v>22</v>
      </c>
      <c r="F2081" t="s">
        <v>12</v>
      </c>
      <c r="G2081" t="s">
        <v>13</v>
      </c>
      <c r="H2081">
        <v>2</v>
      </c>
      <c r="I2081" t="str">
        <f>VLOOKUP(D2081,Product_Lookup!$A$2:$C$27,3,FALSE)</f>
        <v>$32.94</v>
      </c>
      <c r="J2081" t="str">
        <f t="shared" si="259"/>
        <v>Wednesday</v>
      </c>
      <c r="K2081" s="10" t="str">
        <f t="shared" si="260"/>
        <v>July</v>
      </c>
      <c r="L2081">
        <f t="shared" si="261"/>
        <v>2024</v>
      </c>
      <c r="M2081" t="b">
        <f t="shared" si="262"/>
        <v>0</v>
      </c>
      <c r="N2081" t="b">
        <f t="shared" si="256"/>
        <v>0</v>
      </c>
      <c r="O2081" t="str">
        <f t="shared" si="263"/>
        <v>Standard order</v>
      </c>
      <c r="P2081" s="7">
        <f t="shared" si="257"/>
        <v>1.647</v>
      </c>
      <c r="Q2081" s="7" t="str">
        <f>VLOOKUP(D2082,Product_Lookup!$A$2:$C$27,2,FALSE)</f>
        <v>Socks</v>
      </c>
      <c r="R2081" s="7">
        <f t="shared" si="258"/>
        <v>65.88</v>
      </c>
    </row>
    <row r="2082" spans="1:18" ht="21.75" customHeight="1">
      <c r="A2082" t="s">
        <v>2233</v>
      </c>
      <c r="B2082" s="6">
        <v>45609</v>
      </c>
      <c r="C2082" t="s">
        <v>167</v>
      </c>
      <c r="D2082" t="s">
        <v>74</v>
      </c>
      <c r="E2082" t="s">
        <v>11</v>
      </c>
      <c r="F2082" t="s">
        <v>42</v>
      </c>
      <c r="G2082" t="s">
        <v>13</v>
      </c>
      <c r="H2082">
        <v>10</v>
      </c>
      <c r="I2082" t="str">
        <f>VLOOKUP(D2082,Product_Lookup!$A$2:$C$27,3,FALSE)</f>
        <v>$201.32</v>
      </c>
      <c r="J2082" t="str">
        <f t="shared" si="259"/>
        <v>Wednesday</v>
      </c>
      <c r="K2082" s="10" t="str">
        <f t="shared" si="260"/>
        <v>November</v>
      </c>
      <c r="L2082">
        <f t="shared" si="261"/>
        <v>2024</v>
      </c>
      <c r="M2082" t="b">
        <f t="shared" si="262"/>
        <v>0</v>
      </c>
      <c r="N2082" t="b">
        <f t="shared" si="256"/>
        <v>1</v>
      </c>
      <c r="O2082" t="str">
        <f t="shared" si="263"/>
        <v>Large Order</v>
      </c>
      <c r="P2082" s="7">
        <f t="shared" si="257"/>
        <v>10.066000000000001</v>
      </c>
      <c r="Q2082" s="7" t="str">
        <f>VLOOKUP(D2083,Product_Lookup!$A$2:$C$27,2,FALSE)</f>
        <v>Jeans</v>
      </c>
      <c r="R2082" s="7">
        <f t="shared" si="258"/>
        <v>2013.1999999999998</v>
      </c>
    </row>
    <row r="2083" spans="1:18" ht="21.75" customHeight="1">
      <c r="A2083" t="s">
        <v>2234</v>
      </c>
      <c r="B2083" s="6">
        <v>45303</v>
      </c>
      <c r="C2083" t="s">
        <v>118</v>
      </c>
      <c r="D2083" t="s">
        <v>65</v>
      </c>
      <c r="E2083" t="s">
        <v>22</v>
      </c>
      <c r="F2083" t="s">
        <v>306</v>
      </c>
      <c r="G2083" t="s">
        <v>28</v>
      </c>
      <c r="H2083">
        <v>7</v>
      </c>
      <c r="I2083" t="str">
        <f>VLOOKUP(D2083,Product_Lookup!$A$2:$C$27,3,FALSE)</f>
        <v>$33.22</v>
      </c>
      <c r="J2083" t="str">
        <f t="shared" si="259"/>
        <v>Friday</v>
      </c>
      <c r="K2083" s="10" t="str">
        <f t="shared" si="260"/>
        <v>January</v>
      </c>
      <c r="L2083">
        <f t="shared" si="261"/>
        <v>2024</v>
      </c>
      <c r="M2083" t="b">
        <f t="shared" si="262"/>
        <v>0</v>
      </c>
      <c r="N2083" t="b">
        <f t="shared" si="256"/>
        <v>0</v>
      </c>
      <c r="O2083" t="str">
        <f t="shared" si="263"/>
        <v>Standard order</v>
      </c>
      <c r="P2083" s="7">
        <f t="shared" si="257"/>
        <v>1.661</v>
      </c>
      <c r="Q2083" s="7" t="str">
        <f>VLOOKUP(D2084,Product_Lookup!$A$2:$C$27,2,FALSE)</f>
        <v>Stapler</v>
      </c>
      <c r="R2083" s="7">
        <f t="shared" si="258"/>
        <v>232.54</v>
      </c>
    </row>
    <row r="2084" spans="1:18" ht="21.75" customHeight="1">
      <c r="A2084" t="s">
        <v>2235</v>
      </c>
      <c r="B2084" s="6">
        <v>45424</v>
      </c>
      <c r="C2084" t="s">
        <v>378</v>
      </c>
      <c r="D2084" t="s">
        <v>35</v>
      </c>
      <c r="E2084" t="s">
        <v>22</v>
      </c>
      <c r="F2084" t="s">
        <v>56</v>
      </c>
      <c r="G2084" t="s">
        <v>13</v>
      </c>
      <c r="H2084">
        <v>13</v>
      </c>
      <c r="I2084" t="str">
        <f>VLOOKUP(D2084,Product_Lookup!$A$2:$C$27,3,FALSE)</f>
        <v>$64.61</v>
      </c>
      <c r="J2084" t="str">
        <f t="shared" si="259"/>
        <v>Sunday</v>
      </c>
      <c r="K2084" s="10" t="str">
        <f t="shared" si="260"/>
        <v>May</v>
      </c>
      <c r="L2084">
        <f t="shared" si="261"/>
        <v>2024</v>
      </c>
      <c r="M2084" t="b">
        <f t="shared" si="262"/>
        <v>1</v>
      </c>
      <c r="N2084" t="b">
        <f t="shared" si="256"/>
        <v>1</v>
      </c>
      <c r="O2084" t="str">
        <f t="shared" si="263"/>
        <v>Large Order</v>
      </c>
      <c r="P2084" s="7">
        <f t="shared" si="257"/>
        <v>3.2305000000000001</v>
      </c>
      <c r="Q2084" s="7" t="str">
        <f>VLOOKUP(D2085,Product_Lookup!$A$2:$C$27,2,FALSE)</f>
        <v>Smartphone</v>
      </c>
      <c r="R2084" s="7">
        <f t="shared" si="258"/>
        <v>839.93</v>
      </c>
    </row>
    <row r="2085" spans="1:18" ht="21.75" customHeight="1">
      <c r="A2085" t="s">
        <v>2236</v>
      </c>
      <c r="B2085" s="6">
        <v>45631</v>
      </c>
      <c r="C2085" t="s">
        <v>339</v>
      </c>
      <c r="D2085" t="s">
        <v>79</v>
      </c>
      <c r="E2085" t="s">
        <v>17</v>
      </c>
      <c r="F2085" t="s">
        <v>56</v>
      </c>
      <c r="G2085" t="s">
        <v>13</v>
      </c>
      <c r="H2085">
        <v>10</v>
      </c>
      <c r="I2085" t="str">
        <f>VLOOKUP(D2085,Product_Lookup!$A$2:$C$27,3,FALSE)</f>
        <v>$216.22</v>
      </c>
      <c r="J2085" t="str">
        <f t="shared" si="259"/>
        <v>Thursday</v>
      </c>
      <c r="K2085" s="10" t="str">
        <f t="shared" si="260"/>
        <v>December</v>
      </c>
      <c r="L2085">
        <f t="shared" si="261"/>
        <v>2024</v>
      </c>
      <c r="M2085" t="b">
        <f t="shared" si="262"/>
        <v>0</v>
      </c>
      <c r="N2085" t="b">
        <f t="shared" si="256"/>
        <v>1</v>
      </c>
      <c r="O2085" t="str">
        <f t="shared" si="263"/>
        <v>Large Order</v>
      </c>
      <c r="P2085" s="7">
        <f t="shared" si="257"/>
        <v>10.811</v>
      </c>
      <c r="Q2085" s="7" t="str">
        <f>VLOOKUP(D2086,Product_Lookup!$A$2:$C$27,2,FALSE)</f>
        <v>Sweater</v>
      </c>
      <c r="R2085" s="7">
        <f t="shared" si="258"/>
        <v>2162.1999999999998</v>
      </c>
    </row>
    <row r="2086" spans="1:18" ht="21.75" customHeight="1">
      <c r="A2086" t="s">
        <v>2237</v>
      </c>
      <c r="B2086" s="6">
        <v>45648</v>
      </c>
      <c r="C2086" t="s">
        <v>381</v>
      </c>
      <c r="D2086" t="s">
        <v>26</v>
      </c>
      <c r="E2086" t="s">
        <v>11</v>
      </c>
      <c r="F2086" t="s">
        <v>27</v>
      </c>
      <c r="G2086" t="s">
        <v>13</v>
      </c>
      <c r="H2086">
        <v>3</v>
      </c>
      <c r="I2086" t="str">
        <f>VLOOKUP(D2086,Product_Lookup!$A$2:$C$27,3,FALSE)</f>
        <v>$84.57</v>
      </c>
      <c r="J2086" t="str">
        <f t="shared" si="259"/>
        <v>Sunday</v>
      </c>
      <c r="K2086" s="10" t="str">
        <f t="shared" si="260"/>
        <v>December</v>
      </c>
      <c r="L2086">
        <f t="shared" si="261"/>
        <v>2024</v>
      </c>
      <c r="M2086" t="b">
        <f t="shared" si="262"/>
        <v>1</v>
      </c>
      <c r="N2086" t="b">
        <f t="shared" si="256"/>
        <v>0</v>
      </c>
      <c r="O2086" t="str">
        <f t="shared" si="263"/>
        <v>Standard order</v>
      </c>
      <c r="P2086" s="7">
        <f t="shared" si="257"/>
        <v>4.2284999999999995</v>
      </c>
      <c r="Q2086" s="7" t="str">
        <f>VLOOKUP(D2087,Product_Lookup!$A$2:$C$27,2,FALSE)</f>
        <v>Board Game</v>
      </c>
      <c r="R2086" s="7">
        <f t="shared" si="258"/>
        <v>253.70999999999998</v>
      </c>
    </row>
    <row r="2087" spans="1:18" ht="21.75" customHeight="1">
      <c r="A2087" t="s">
        <v>2238</v>
      </c>
      <c r="B2087" s="6">
        <v>45430</v>
      </c>
      <c r="C2087" t="s">
        <v>371</v>
      </c>
      <c r="D2087" t="s">
        <v>41</v>
      </c>
      <c r="E2087" t="s">
        <v>17</v>
      </c>
      <c r="F2087" t="s">
        <v>12</v>
      </c>
      <c r="G2087" t="s">
        <v>13</v>
      </c>
      <c r="H2087">
        <v>10</v>
      </c>
      <c r="I2087" t="str">
        <f>VLOOKUP(D2087,Product_Lookup!$A$2:$C$27,3,FALSE)</f>
        <v>$86.6</v>
      </c>
      <c r="J2087" t="str">
        <f t="shared" si="259"/>
        <v>Saturday</v>
      </c>
      <c r="K2087" s="10" t="str">
        <f t="shared" si="260"/>
        <v>May</v>
      </c>
      <c r="L2087">
        <f t="shared" si="261"/>
        <v>2024</v>
      </c>
      <c r="M2087" t="b">
        <f t="shared" si="262"/>
        <v>1</v>
      </c>
      <c r="N2087" t="b">
        <f t="shared" si="256"/>
        <v>1</v>
      </c>
      <c r="O2087" t="str">
        <f t="shared" si="263"/>
        <v>Large Order</v>
      </c>
      <c r="P2087" s="7">
        <f t="shared" si="257"/>
        <v>4.33</v>
      </c>
      <c r="Q2087" s="7" t="str">
        <f>VLOOKUP(D2088,Product_Lookup!$A$2:$C$27,2,FALSE)</f>
        <v>Jacket</v>
      </c>
      <c r="R2087" s="7">
        <f t="shared" si="258"/>
        <v>866</v>
      </c>
    </row>
    <row r="2088" spans="1:18" ht="21.75" customHeight="1">
      <c r="A2088" t="s">
        <v>2239</v>
      </c>
      <c r="B2088" s="6">
        <v>45624</v>
      </c>
      <c r="C2088" t="s">
        <v>53</v>
      </c>
      <c r="D2088" t="s">
        <v>197</v>
      </c>
      <c r="E2088" t="s">
        <v>17</v>
      </c>
      <c r="F2088" t="s">
        <v>306</v>
      </c>
      <c r="G2088" t="s">
        <v>13</v>
      </c>
      <c r="H2088">
        <v>11</v>
      </c>
      <c r="I2088" t="str">
        <f>VLOOKUP(D2088,Product_Lookup!$A$2:$C$27,3,FALSE)</f>
        <v>$10.11</v>
      </c>
      <c r="J2088" t="str">
        <f t="shared" si="259"/>
        <v>Thursday</v>
      </c>
      <c r="K2088" s="10" t="str">
        <f t="shared" si="260"/>
        <v>November</v>
      </c>
      <c r="L2088">
        <f t="shared" si="261"/>
        <v>2024</v>
      </c>
      <c r="M2088" t="b">
        <f t="shared" si="262"/>
        <v>0</v>
      </c>
      <c r="N2088" t="b">
        <f t="shared" si="256"/>
        <v>0</v>
      </c>
      <c r="O2088" t="str">
        <f t="shared" si="263"/>
        <v>Standard order</v>
      </c>
      <c r="P2088" s="7">
        <f t="shared" si="257"/>
        <v>0.50549999999999995</v>
      </c>
      <c r="Q2088" s="7" t="str">
        <f>VLOOKUP(D2089,Product_Lookup!$A$2:$C$27,2,FALSE)</f>
        <v>Tablet</v>
      </c>
      <c r="R2088" s="7">
        <f t="shared" si="258"/>
        <v>111.21</v>
      </c>
    </row>
    <row r="2089" spans="1:18" ht="21.75" customHeight="1">
      <c r="A2089" t="s">
        <v>2240</v>
      </c>
      <c r="B2089" s="6">
        <v>45597</v>
      </c>
      <c r="C2089" t="s">
        <v>312</v>
      </c>
      <c r="D2089" t="s">
        <v>10</v>
      </c>
      <c r="E2089" t="s">
        <v>11</v>
      </c>
      <c r="F2089" t="s">
        <v>56</v>
      </c>
      <c r="G2089" t="s">
        <v>36</v>
      </c>
      <c r="H2089">
        <v>15</v>
      </c>
      <c r="I2089" t="str">
        <f>VLOOKUP(D2089,Product_Lookup!$A$2:$C$27,3,FALSE)</f>
        <v>$146.06</v>
      </c>
      <c r="J2089" t="str">
        <f t="shared" si="259"/>
        <v>Friday</v>
      </c>
      <c r="K2089" s="10" t="str">
        <f t="shared" si="260"/>
        <v>November</v>
      </c>
      <c r="L2089">
        <f t="shared" si="261"/>
        <v>2024</v>
      </c>
      <c r="M2089" t="b">
        <f t="shared" si="262"/>
        <v>0</v>
      </c>
      <c r="N2089" t="b">
        <f t="shared" si="256"/>
        <v>1</v>
      </c>
      <c r="O2089" t="str">
        <f t="shared" si="263"/>
        <v>Large Order</v>
      </c>
      <c r="P2089" s="7">
        <f t="shared" si="257"/>
        <v>7.3030000000000008</v>
      </c>
      <c r="Q2089" s="7" t="str">
        <f>VLOOKUP(D2090,Product_Lookup!$A$2:$C$27,2,FALSE)</f>
        <v>Smartphone</v>
      </c>
      <c r="R2089" s="7">
        <f t="shared" si="258"/>
        <v>2190.9</v>
      </c>
    </row>
    <row r="2090" spans="1:18" ht="21.75" customHeight="1">
      <c r="A2090" t="s">
        <v>2241</v>
      </c>
      <c r="B2090" s="6">
        <v>45656</v>
      </c>
      <c r="C2090" t="s">
        <v>138</v>
      </c>
      <c r="D2090" t="s">
        <v>79</v>
      </c>
      <c r="E2090" t="s">
        <v>11</v>
      </c>
      <c r="F2090" t="s">
        <v>306</v>
      </c>
      <c r="G2090" t="s">
        <v>32</v>
      </c>
      <c r="H2090">
        <v>11</v>
      </c>
      <c r="I2090" t="str">
        <f>VLOOKUP(D2090,Product_Lookup!$A$2:$C$27,3,FALSE)</f>
        <v>$216.22</v>
      </c>
      <c r="J2090" t="str">
        <f t="shared" si="259"/>
        <v>Monday</v>
      </c>
      <c r="K2090" s="10" t="str">
        <f t="shared" si="260"/>
        <v>December</v>
      </c>
      <c r="L2090">
        <f t="shared" si="261"/>
        <v>2024</v>
      </c>
      <c r="M2090" t="b">
        <f t="shared" si="262"/>
        <v>0</v>
      </c>
      <c r="N2090" t="b">
        <f t="shared" si="256"/>
        <v>1</v>
      </c>
      <c r="O2090" t="str">
        <f t="shared" si="263"/>
        <v>Large Order</v>
      </c>
      <c r="P2090" s="7">
        <f t="shared" si="257"/>
        <v>10.811</v>
      </c>
      <c r="Q2090" s="7" t="str">
        <f>VLOOKUP(D2091,Product_Lookup!$A$2:$C$27,2,FALSE)</f>
        <v>Toaster</v>
      </c>
      <c r="R2090" s="7">
        <f t="shared" si="258"/>
        <v>2378.42</v>
      </c>
    </row>
    <row r="2091" spans="1:18" ht="21.75" customHeight="1">
      <c r="A2091" t="s">
        <v>2242</v>
      </c>
      <c r="B2091" s="6">
        <v>45372</v>
      </c>
      <c r="C2091" t="s">
        <v>138</v>
      </c>
      <c r="D2091" t="s">
        <v>48</v>
      </c>
      <c r="E2091" t="s">
        <v>22</v>
      </c>
      <c r="F2091" t="s">
        <v>42</v>
      </c>
      <c r="G2091" t="s">
        <v>32</v>
      </c>
      <c r="H2091">
        <v>10</v>
      </c>
      <c r="I2091" t="str">
        <f>VLOOKUP(D2091,Product_Lookup!$A$2:$C$27,3,FALSE)</f>
        <v>$208.85</v>
      </c>
      <c r="J2091" t="str">
        <f t="shared" si="259"/>
        <v>Thursday</v>
      </c>
      <c r="K2091" s="10" t="str">
        <f t="shared" si="260"/>
        <v>March</v>
      </c>
      <c r="L2091">
        <f t="shared" si="261"/>
        <v>2024</v>
      </c>
      <c r="M2091" t="b">
        <f t="shared" si="262"/>
        <v>0</v>
      </c>
      <c r="N2091" t="b">
        <f t="shared" si="256"/>
        <v>1</v>
      </c>
      <c r="O2091" t="str">
        <f t="shared" si="263"/>
        <v>Large Order</v>
      </c>
      <c r="P2091" s="7">
        <f t="shared" si="257"/>
        <v>10.442500000000001</v>
      </c>
      <c r="Q2091" s="7" t="str">
        <f>VLOOKUP(D2092,Product_Lookup!$A$2:$C$27,2,FALSE)</f>
        <v>Smartphone</v>
      </c>
      <c r="R2091" s="7">
        <f t="shared" si="258"/>
        <v>2088.5</v>
      </c>
    </row>
    <row r="2092" spans="1:18" ht="21.75" customHeight="1">
      <c r="A2092" t="s">
        <v>2243</v>
      </c>
      <c r="B2092" s="6">
        <v>45548</v>
      </c>
      <c r="C2092" t="s">
        <v>89</v>
      </c>
      <c r="D2092" t="s">
        <v>79</v>
      </c>
      <c r="E2092" t="s">
        <v>22</v>
      </c>
      <c r="F2092" t="s">
        <v>42</v>
      </c>
      <c r="G2092" t="s">
        <v>23</v>
      </c>
      <c r="H2092">
        <v>1</v>
      </c>
      <c r="I2092" t="str">
        <f>VLOOKUP(D2092,Product_Lookup!$A$2:$C$27,3,FALSE)</f>
        <v>$216.22</v>
      </c>
      <c r="J2092" t="str">
        <f t="shared" si="259"/>
        <v>Friday</v>
      </c>
      <c r="K2092" s="10" t="str">
        <f t="shared" si="260"/>
        <v>September</v>
      </c>
      <c r="L2092">
        <f t="shared" si="261"/>
        <v>2024</v>
      </c>
      <c r="M2092" t="b">
        <f t="shared" si="262"/>
        <v>0</v>
      </c>
      <c r="N2092" t="b">
        <f t="shared" si="256"/>
        <v>0</v>
      </c>
      <c r="O2092" t="str">
        <f t="shared" si="263"/>
        <v>Standard order</v>
      </c>
      <c r="P2092" s="7">
        <f t="shared" si="257"/>
        <v>10.811</v>
      </c>
      <c r="Q2092" s="7" t="str">
        <f>VLOOKUP(D2093,Product_Lookup!$A$2:$C$27,2,FALSE)</f>
        <v>Headphones</v>
      </c>
      <c r="R2092" s="7">
        <f t="shared" si="258"/>
        <v>216.22</v>
      </c>
    </row>
    <row r="2093" spans="1:18" ht="21.75" customHeight="1">
      <c r="A2093" t="s">
        <v>2244</v>
      </c>
      <c r="B2093" s="6">
        <v>45435</v>
      </c>
      <c r="C2093" t="s">
        <v>240</v>
      </c>
      <c r="D2093" t="s">
        <v>16</v>
      </c>
      <c r="E2093" t="s">
        <v>17</v>
      </c>
      <c r="F2093" t="s">
        <v>27</v>
      </c>
      <c r="G2093" t="s">
        <v>28</v>
      </c>
      <c r="H2093">
        <v>3</v>
      </c>
      <c r="I2093" t="str">
        <f>VLOOKUP(D2093,Product_Lookup!$A$2:$C$27,3,FALSE)</f>
        <v>$178.83</v>
      </c>
      <c r="J2093" t="str">
        <f t="shared" si="259"/>
        <v>Thursday</v>
      </c>
      <c r="K2093" s="10" t="str">
        <f t="shared" si="260"/>
        <v>May</v>
      </c>
      <c r="L2093">
        <f t="shared" si="261"/>
        <v>2024</v>
      </c>
      <c r="M2093" t="b">
        <f t="shared" si="262"/>
        <v>0</v>
      </c>
      <c r="N2093" t="b">
        <f t="shared" si="256"/>
        <v>0</v>
      </c>
      <c r="O2093" t="str">
        <f t="shared" si="263"/>
        <v>Large Order</v>
      </c>
      <c r="P2093" s="7">
        <f t="shared" si="257"/>
        <v>8.9415000000000013</v>
      </c>
      <c r="Q2093" s="7" t="str">
        <f>VLOOKUP(D2094,Product_Lookup!$A$2:$C$27,2,FALSE)</f>
        <v>Paper Shredder</v>
      </c>
      <c r="R2093" s="7">
        <f t="shared" si="258"/>
        <v>536.49</v>
      </c>
    </row>
    <row r="2094" spans="1:18" ht="21.75" customHeight="1">
      <c r="A2094" t="s">
        <v>2245</v>
      </c>
      <c r="B2094" s="6">
        <v>45558</v>
      </c>
      <c r="C2094" t="s">
        <v>422</v>
      </c>
      <c r="D2094" t="s">
        <v>109</v>
      </c>
      <c r="E2094" t="s">
        <v>22</v>
      </c>
      <c r="F2094" t="s">
        <v>56</v>
      </c>
      <c r="G2094" t="s">
        <v>23</v>
      </c>
      <c r="H2094">
        <v>8</v>
      </c>
      <c r="I2094" t="str">
        <f>VLOOKUP(D2094,Product_Lookup!$A$2:$C$27,3,FALSE)</f>
        <v>$81.02</v>
      </c>
      <c r="J2094" t="str">
        <f t="shared" si="259"/>
        <v>Monday</v>
      </c>
      <c r="K2094" s="10" t="str">
        <f t="shared" si="260"/>
        <v>September</v>
      </c>
      <c r="L2094">
        <f t="shared" si="261"/>
        <v>2024</v>
      </c>
      <c r="M2094" t="b">
        <f t="shared" si="262"/>
        <v>0</v>
      </c>
      <c r="N2094" t="b">
        <f t="shared" si="256"/>
        <v>0</v>
      </c>
      <c r="O2094" t="str">
        <f t="shared" si="263"/>
        <v>Large Order</v>
      </c>
      <c r="P2094" s="7">
        <f t="shared" si="257"/>
        <v>4.0510000000000002</v>
      </c>
      <c r="Q2094" s="7" t="str">
        <f>VLOOKUP(D2095,Product_Lookup!$A$2:$C$27,2,FALSE)</f>
        <v>Paper Shredder</v>
      </c>
      <c r="R2094" s="7">
        <f t="shared" si="258"/>
        <v>648.16</v>
      </c>
    </row>
    <row r="2095" spans="1:18" ht="21.75" customHeight="1">
      <c r="A2095" t="s">
        <v>2246</v>
      </c>
      <c r="B2095" s="6">
        <v>45510</v>
      </c>
      <c r="C2095" t="s">
        <v>147</v>
      </c>
      <c r="D2095" t="s">
        <v>109</v>
      </c>
      <c r="E2095" t="s">
        <v>17</v>
      </c>
      <c r="F2095" t="s">
        <v>27</v>
      </c>
      <c r="G2095" t="s">
        <v>36</v>
      </c>
      <c r="H2095">
        <v>5</v>
      </c>
      <c r="I2095" t="str">
        <f>VLOOKUP(D2095,Product_Lookup!$A$2:$C$27,3,FALSE)</f>
        <v>$81.02</v>
      </c>
      <c r="J2095" t="str">
        <f t="shared" si="259"/>
        <v>Tuesday</v>
      </c>
      <c r="K2095" s="10" t="str">
        <f t="shared" si="260"/>
        <v>August</v>
      </c>
      <c r="L2095">
        <f t="shared" si="261"/>
        <v>2024</v>
      </c>
      <c r="M2095" t="b">
        <f t="shared" si="262"/>
        <v>0</v>
      </c>
      <c r="N2095" t="b">
        <f t="shared" si="256"/>
        <v>0</v>
      </c>
      <c r="O2095" t="str">
        <f t="shared" si="263"/>
        <v>Standard order</v>
      </c>
      <c r="P2095" s="7">
        <f t="shared" si="257"/>
        <v>4.0510000000000002</v>
      </c>
      <c r="Q2095" s="7" t="str">
        <f>VLOOKUP(D2096,Product_Lookup!$A$2:$C$27,2,FALSE)</f>
        <v>Pen Set</v>
      </c>
      <c r="R2095" s="7">
        <f t="shared" si="258"/>
        <v>405.09999999999997</v>
      </c>
    </row>
    <row r="2096" spans="1:18" ht="21.75" customHeight="1">
      <c r="A2096" t="s">
        <v>2247</v>
      </c>
      <c r="B2096" s="6">
        <v>45362</v>
      </c>
      <c r="C2096" t="s">
        <v>361</v>
      </c>
      <c r="D2096" t="s">
        <v>174</v>
      </c>
      <c r="E2096" t="s">
        <v>22</v>
      </c>
      <c r="F2096" t="s">
        <v>56</v>
      </c>
      <c r="G2096" t="s">
        <v>28</v>
      </c>
      <c r="H2096">
        <v>10</v>
      </c>
      <c r="I2096" t="str">
        <f>VLOOKUP(D2096,Product_Lookup!$A$2:$C$27,3,FALSE)</f>
        <v>$133.37</v>
      </c>
      <c r="J2096" t="str">
        <f t="shared" si="259"/>
        <v>Monday</v>
      </c>
      <c r="K2096" s="10" t="str">
        <f t="shared" si="260"/>
        <v>March</v>
      </c>
      <c r="L2096">
        <f t="shared" si="261"/>
        <v>2024</v>
      </c>
      <c r="M2096" t="b">
        <f t="shared" si="262"/>
        <v>0</v>
      </c>
      <c r="N2096" t="b">
        <f t="shared" si="256"/>
        <v>1</v>
      </c>
      <c r="O2096" t="str">
        <f t="shared" si="263"/>
        <v>Large Order</v>
      </c>
      <c r="P2096" s="7">
        <f t="shared" si="257"/>
        <v>6.6685000000000008</v>
      </c>
      <c r="Q2096" s="7" t="str">
        <f>VLOOKUP(D2097,Product_Lookup!$A$2:$C$27,2,FALSE)</f>
        <v>Vacuum</v>
      </c>
      <c r="R2096" s="7">
        <f t="shared" si="258"/>
        <v>1333.7</v>
      </c>
    </row>
    <row r="2097" spans="1:18" ht="21.75" customHeight="1">
      <c r="A2097" t="s">
        <v>2248</v>
      </c>
      <c r="B2097" s="6">
        <v>45560</v>
      </c>
      <c r="C2097" t="s">
        <v>99</v>
      </c>
      <c r="D2097" t="s">
        <v>87</v>
      </c>
      <c r="E2097" t="s">
        <v>11</v>
      </c>
      <c r="F2097" t="s">
        <v>306</v>
      </c>
      <c r="G2097" t="s">
        <v>28</v>
      </c>
      <c r="H2097">
        <v>11</v>
      </c>
      <c r="I2097" t="str">
        <f>VLOOKUP(D2097,Product_Lookup!$A$2:$C$27,3,FALSE)</f>
        <v>$26.59</v>
      </c>
      <c r="J2097" t="str">
        <f t="shared" si="259"/>
        <v>Wednesday</v>
      </c>
      <c r="K2097" s="10" t="str">
        <f t="shared" si="260"/>
        <v>September</v>
      </c>
      <c r="L2097">
        <f t="shared" si="261"/>
        <v>2024</v>
      </c>
      <c r="M2097" t="b">
        <f t="shared" si="262"/>
        <v>0</v>
      </c>
      <c r="N2097" t="b">
        <f t="shared" si="256"/>
        <v>0</v>
      </c>
      <c r="O2097" t="str">
        <f t="shared" si="263"/>
        <v>Standard order</v>
      </c>
      <c r="P2097" s="7">
        <f t="shared" si="257"/>
        <v>1.3295000000000001</v>
      </c>
      <c r="Q2097" s="7" t="str">
        <f>VLOOKUP(D2098,Product_Lookup!$A$2:$C$27,2,FALSE)</f>
        <v>Monitor</v>
      </c>
      <c r="R2097" s="7">
        <f t="shared" si="258"/>
        <v>292.49</v>
      </c>
    </row>
    <row r="2098" spans="1:18" ht="21.75" customHeight="1">
      <c r="A2098" t="s">
        <v>2249</v>
      </c>
      <c r="B2098" s="6">
        <v>45564</v>
      </c>
      <c r="C2098" t="s">
        <v>329</v>
      </c>
      <c r="D2098" t="s">
        <v>102</v>
      </c>
      <c r="E2098" t="s">
        <v>11</v>
      </c>
      <c r="F2098" t="s">
        <v>42</v>
      </c>
      <c r="G2098" t="s">
        <v>28</v>
      </c>
      <c r="H2098">
        <v>1</v>
      </c>
      <c r="I2098" t="str">
        <f>VLOOKUP(D2098,Product_Lookup!$A$2:$C$27,3,FALSE)</f>
        <v>$145.48</v>
      </c>
      <c r="J2098" t="str">
        <f t="shared" si="259"/>
        <v>Sunday</v>
      </c>
      <c r="K2098" s="10" t="str">
        <f t="shared" si="260"/>
        <v>September</v>
      </c>
      <c r="L2098">
        <f t="shared" si="261"/>
        <v>2024</v>
      </c>
      <c r="M2098" t="b">
        <f t="shared" si="262"/>
        <v>1</v>
      </c>
      <c r="N2098" t="b">
        <f t="shared" si="256"/>
        <v>0</v>
      </c>
      <c r="O2098" t="str">
        <f t="shared" si="263"/>
        <v>Standard order</v>
      </c>
      <c r="P2098" s="7">
        <f t="shared" si="257"/>
        <v>7.274</v>
      </c>
      <c r="Q2098" s="7" t="str">
        <f>VLOOKUP(D2099,Product_Lookup!$A$2:$C$27,2,FALSE)</f>
        <v>Socks</v>
      </c>
      <c r="R2098" s="7">
        <f t="shared" si="258"/>
        <v>145.47999999999999</v>
      </c>
    </row>
    <row r="2099" spans="1:18" ht="21.75" customHeight="1">
      <c r="A2099" t="s">
        <v>2250</v>
      </c>
      <c r="B2099" s="6">
        <v>45503</v>
      </c>
      <c r="C2099" t="s">
        <v>408</v>
      </c>
      <c r="D2099" t="s">
        <v>74</v>
      </c>
      <c r="E2099" t="s">
        <v>17</v>
      </c>
      <c r="F2099" t="s">
        <v>42</v>
      </c>
      <c r="G2099" t="s">
        <v>28</v>
      </c>
      <c r="H2099">
        <v>7</v>
      </c>
      <c r="I2099" t="str">
        <f>VLOOKUP(D2099,Product_Lookup!$A$2:$C$27,3,FALSE)</f>
        <v>$201.32</v>
      </c>
      <c r="J2099" t="str">
        <f t="shared" si="259"/>
        <v>Tuesday</v>
      </c>
      <c r="K2099" s="10" t="str">
        <f t="shared" si="260"/>
        <v>July</v>
      </c>
      <c r="L2099">
        <f t="shared" si="261"/>
        <v>2024</v>
      </c>
      <c r="M2099" t="b">
        <f t="shared" si="262"/>
        <v>0</v>
      </c>
      <c r="N2099" t="b">
        <f t="shared" si="256"/>
        <v>1</v>
      </c>
      <c r="O2099" t="str">
        <f t="shared" si="263"/>
        <v>Large Order</v>
      </c>
      <c r="P2099" s="7">
        <f t="shared" si="257"/>
        <v>10.066000000000001</v>
      </c>
      <c r="Q2099" s="7" t="str">
        <f>VLOOKUP(D2100,Product_Lookup!$A$2:$C$27,2,FALSE)</f>
        <v>Doll</v>
      </c>
      <c r="R2099" s="7">
        <f t="shared" si="258"/>
        <v>1409.24</v>
      </c>
    </row>
    <row r="2100" spans="1:18" ht="21.75" customHeight="1">
      <c r="A2100" t="s">
        <v>2251</v>
      </c>
      <c r="B2100" s="6">
        <v>45386</v>
      </c>
      <c r="C2100" t="s">
        <v>64</v>
      </c>
      <c r="D2100" t="s">
        <v>119</v>
      </c>
      <c r="E2100" t="s">
        <v>22</v>
      </c>
      <c r="F2100" t="s">
        <v>306</v>
      </c>
      <c r="G2100" t="s">
        <v>32</v>
      </c>
      <c r="H2100">
        <v>20</v>
      </c>
      <c r="I2100" t="str">
        <f>VLOOKUP(D2100,Product_Lookup!$A$2:$C$27,3,FALSE)</f>
        <v>$32.94</v>
      </c>
      <c r="J2100" t="str">
        <f t="shared" si="259"/>
        <v>Thursday</v>
      </c>
      <c r="K2100" s="10" t="str">
        <f t="shared" si="260"/>
        <v>April</v>
      </c>
      <c r="L2100">
        <f t="shared" si="261"/>
        <v>2024</v>
      </c>
      <c r="M2100" t="b">
        <f t="shared" si="262"/>
        <v>0</v>
      </c>
      <c r="N2100" t="b">
        <f t="shared" si="256"/>
        <v>0</v>
      </c>
      <c r="O2100" t="str">
        <f t="shared" si="263"/>
        <v>Large Order</v>
      </c>
      <c r="P2100" s="7">
        <f t="shared" si="257"/>
        <v>1.647</v>
      </c>
      <c r="Q2100" s="7" t="str">
        <f>VLOOKUP(D2101,Product_Lookup!$A$2:$C$27,2,FALSE)</f>
        <v>Jacket</v>
      </c>
      <c r="R2100" s="7">
        <f t="shared" si="258"/>
        <v>658.8</v>
      </c>
    </row>
    <row r="2101" spans="1:18" ht="21.75" customHeight="1">
      <c r="A2101" t="s">
        <v>2252</v>
      </c>
      <c r="B2101" s="6">
        <v>45410</v>
      </c>
      <c r="C2101" t="s">
        <v>327</v>
      </c>
      <c r="D2101" t="s">
        <v>197</v>
      </c>
      <c r="E2101" t="s">
        <v>11</v>
      </c>
      <c r="F2101" t="s">
        <v>12</v>
      </c>
      <c r="G2101" t="s">
        <v>32</v>
      </c>
      <c r="H2101">
        <v>3</v>
      </c>
      <c r="I2101" t="str">
        <f>VLOOKUP(D2101,Product_Lookup!$A$2:$C$27,3,FALSE)</f>
        <v>$10.11</v>
      </c>
      <c r="J2101" t="str">
        <f t="shared" si="259"/>
        <v>Sunday</v>
      </c>
      <c r="K2101" s="10" t="str">
        <f t="shared" si="260"/>
        <v>April</v>
      </c>
      <c r="L2101">
        <f t="shared" si="261"/>
        <v>2024</v>
      </c>
      <c r="M2101" t="b">
        <f t="shared" si="262"/>
        <v>1</v>
      </c>
      <c r="N2101" t="b">
        <f t="shared" si="256"/>
        <v>0</v>
      </c>
      <c r="O2101" t="str">
        <f t="shared" si="263"/>
        <v>Standard order</v>
      </c>
      <c r="P2101" s="7">
        <f t="shared" si="257"/>
        <v>0.50549999999999995</v>
      </c>
      <c r="Q2101" s="7" t="str">
        <f>VLOOKUP(D2102,Product_Lookup!$A$2:$C$27,2,FALSE)</f>
        <v>Notebook</v>
      </c>
      <c r="R2101" s="7">
        <f t="shared" si="258"/>
        <v>30.33</v>
      </c>
    </row>
    <row r="2102" spans="1:18" ht="21.75" customHeight="1">
      <c r="A2102" t="s">
        <v>2253</v>
      </c>
      <c r="B2102" s="6">
        <v>45536</v>
      </c>
      <c r="C2102" t="s">
        <v>99</v>
      </c>
      <c r="D2102" t="s">
        <v>160</v>
      </c>
      <c r="E2102" t="s">
        <v>22</v>
      </c>
      <c r="F2102" t="s">
        <v>27</v>
      </c>
      <c r="G2102" t="s">
        <v>32</v>
      </c>
      <c r="H2102">
        <v>6</v>
      </c>
      <c r="I2102" t="str">
        <f>VLOOKUP(D2102,Product_Lookup!$A$2:$C$27,3,FALSE)</f>
        <v>$149.27</v>
      </c>
      <c r="J2102" t="str">
        <f t="shared" si="259"/>
        <v>Sunday</v>
      </c>
      <c r="K2102" s="10" t="str">
        <f t="shared" si="260"/>
        <v>September</v>
      </c>
      <c r="L2102">
        <f t="shared" si="261"/>
        <v>2024</v>
      </c>
      <c r="M2102" t="b">
        <f t="shared" si="262"/>
        <v>1</v>
      </c>
      <c r="N2102" t="b">
        <f t="shared" si="256"/>
        <v>1</v>
      </c>
      <c r="O2102" t="str">
        <f t="shared" si="263"/>
        <v>Large Order</v>
      </c>
      <c r="P2102" s="7">
        <f t="shared" si="257"/>
        <v>7.4635000000000007</v>
      </c>
      <c r="Q2102" s="7" t="str">
        <f>VLOOKUP(D2103,Product_Lookup!$A$2:$C$27,2,FALSE)</f>
        <v>Headphones</v>
      </c>
      <c r="R2102" s="7">
        <f t="shared" si="258"/>
        <v>895.62000000000012</v>
      </c>
    </row>
    <row r="2103" spans="1:18" ht="21.75" customHeight="1">
      <c r="A2103" t="s">
        <v>2254</v>
      </c>
      <c r="B2103" s="6">
        <v>45543</v>
      </c>
      <c r="C2103" t="s">
        <v>553</v>
      </c>
      <c r="D2103" t="s">
        <v>16</v>
      </c>
      <c r="E2103" t="s">
        <v>11</v>
      </c>
      <c r="F2103" t="s">
        <v>56</v>
      </c>
      <c r="G2103" t="s">
        <v>28</v>
      </c>
      <c r="H2103">
        <v>2</v>
      </c>
      <c r="I2103" t="str">
        <f>VLOOKUP(D2103,Product_Lookup!$A$2:$C$27,3,FALSE)</f>
        <v>$178.83</v>
      </c>
      <c r="J2103" t="str">
        <f t="shared" si="259"/>
        <v>Sunday</v>
      </c>
      <c r="K2103" s="10" t="str">
        <f t="shared" si="260"/>
        <v>September</v>
      </c>
      <c r="L2103">
        <f t="shared" si="261"/>
        <v>2024</v>
      </c>
      <c r="M2103" t="b">
        <f t="shared" si="262"/>
        <v>1</v>
      </c>
      <c r="N2103" t="b">
        <f t="shared" si="256"/>
        <v>0</v>
      </c>
      <c r="O2103" t="str">
        <f t="shared" si="263"/>
        <v>Standard order</v>
      </c>
      <c r="P2103" s="7">
        <f t="shared" si="257"/>
        <v>8.9415000000000013</v>
      </c>
      <c r="Q2103" s="7" t="str">
        <f>VLOOKUP(D2104,Product_Lookup!$A$2:$C$27,2,FALSE)</f>
        <v>Vacuum</v>
      </c>
      <c r="R2103" s="7">
        <f t="shared" si="258"/>
        <v>357.66</v>
      </c>
    </row>
    <row r="2104" spans="1:18" ht="21.75" customHeight="1">
      <c r="A2104" t="s">
        <v>2255</v>
      </c>
      <c r="B2104" s="6">
        <v>45299</v>
      </c>
      <c r="C2104" t="s">
        <v>101</v>
      </c>
      <c r="D2104" t="s">
        <v>87</v>
      </c>
      <c r="E2104" t="s">
        <v>11</v>
      </c>
      <c r="F2104" t="s">
        <v>56</v>
      </c>
      <c r="G2104" t="s">
        <v>28</v>
      </c>
      <c r="H2104">
        <v>3</v>
      </c>
      <c r="I2104" t="str">
        <f>VLOOKUP(D2104,Product_Lookup!$A$2:$C$27,3,FALSE)</f>
        <v>$26.59</v>
      </c>
      <c r="J2104" t="str">
        <f t="shared" si="259"/>
        <v>Monday</v>
      </c>
      <c r="K2104" s="10" t="str">
        <f t="shared" si="260"/>
        <v>January</v>
      </c>
      <c r="L2104">
        <f t="shared" si="261"/>
        <v>2024</v>
      </c>
      <c r="M2104" t="b">
        <f t="shared" si="262"/>
        <v>0</v>
      </c>
      <c r="N2104" t="b">
        <f t="shared" si="256"/>
        <v>0</v>
      </c>
      <c r="O2104" t="str">
        <f t="shared" si="263"/>
        <v>Standard order</v>
      </c>
      <c r="P2104" s="7">
        <f t="shared" si="257"/>
        <v>1.3295000000000001</v>
      </c>
      <c r="Q2104" s="7" t="str">
        <f>VLOOKUP(D2105,Product_Lookup!$A$2:$C$27,2,FALSE)</f>
        <v>Stapler</v>
      </c>
      <c r="R2104" s="7">
        <f t="shared" si="258"/>
        <v>79.77</v>
      </c>
    </row>
    <row r="2105" spans="1:18" ht="21.75" customHeight="1">
      <c r="A2105" t="s">
        <v>2256</v>
      </c>
      <c r="B2105" s="6">
        <v>45516</v>
      </c>
      <c r="C2105" t="s">
        <v>594</v>
      </c>
      <c r="D2105" t="s">
        <v>35</v>
      </c>
      <c r="E2105" t="s">
        <v>22</v>
      </c>
      <c r="F2105" t="s">
        <v>42</v>
      </c>
      <c r="G2105" t="s">
        <v>23</v>
      </c>
      <c r="H2105">
        <v>8</v>
      </c>
      <c r="I2105" t="str">
        <f>VLOOKUP(D2105,Product_Lookup!$A$2:$C$27,3,FALSE)</f>
        <v>$64.61</v>
      </c>
      <c r="J2105" t="str">
        <f t="shared" si="259"/>
        <v>Monday</v>
      </c>
      <c r="K2105" s="10" t="str">
        <f t="shared" si="260"/>
        <v>August</v>
      </c>
      <c r="L2105">
        <f t="shared" si="261"/>
        <v>2024</v>
      </c>
      <c r="M2105" t="b">
        <f t="shared" si="262"/>
        <v>0</v>
      </c>
      <c r="N2105" t="b">
        <f t="shared" si="256"/>
        <v>0</v>
      </c>
      <c r="O2105" t="str">
        <f t="shared" si="263"/>
        <v>Large Order</v>
      </c>
      <c r="P2105" s="7">
        <f t="shared" si="257"/>
        <v>3.2305000000000001</v>
      </c>
      <c r="Q2105" s="7" t="str">
        <f>VLOOKUP(D2106,Product_Lookup!$A$2:$C$27,2,FALSE)</f>
        <v>Lego Set</v>
      </c>
      <c r="R2105" s="7">
        <f t="shared" si="258"/>
        <v>516.88</v>
      </c>
    </row>
    <row r="2106" spans="1:18" ht="21.75" customHeight="1">
      <c r="A2106" t="s">
        <v>2257</v>
      </c>
      <c r="B2106" s="6">
        <v>45313</v>
      </c>
      <c r="C2106" t="s">
        <v>493</v>
      </c>
      <c r="D2106" t="s">
        <v>84</v>
      </c>
      <c r="E2106" t="s">
        <v>17</v>
      </c>
      <c r="F2106" t="s">
        <v>42</v>
      </c>
      <c r="G2106" t="s">
        <v>23</v>
      </c>
      <c r="H2106">
        <v>20</v>
      </c>
      <c r="I2106" t="str">
        <f>VLOOKUP(D2106,Product_Lookup!$A$2:$C$27,3,FALSE)</f>
        <v>$130.07</v>
      </c>
      <c r="J2106" t="str">
        <f t="shared" si="259"/>
        <v>Monday</v>
      </c>
      <c r="K2106" s="10" t="str">
        <f t="shared" si="260"/>
        <v>January</v>
      </c>
      <c r="L2106">
        <f t="shared" si="261"/>
        <v>2024</v>
      </c>
      <c r="M2106" t="b">
        <f t="shared" si="262"/>
        <v>0</v>
      </c>
      <c r="N2106" t="b">
        <f t="shared" si="256"/>
        <v>1</v>
      </c>
      <c r="O2106" t="str">
        <f t="shared" si="263"/>
        <v>Large Order</v>
      </c>
      <c r="P2106" s="7">
        <f t="shared" si="257"/>
        <v>6.5034999999999998</v>
      </c>
      <c r="Q2106" s="7" t="str">
        <f>VLOOKUP(D2107,Product_Lookup!$A$2:$C$27,2,FALSE)</f>
        <v>Pen Set</v>
      </c>
      <c r="R2106" s="7">
        <f t="shared" si="258"/>
        <v>2601.3999999999996</v>
      </c>
    </row>
    <row r="2107" spans="1:18" ht="21.75" customHeight="1">
      <c r="A2107" t="s">
        <v>2258</v>
      </c>
      <c r="B2107" s="6">
        <v>45584</v>
      </c>
      <c r="C2107" t="s">
        <v>327</v>
      </c>
      <c r="D2107" t="s">
        <v>174</v>
      </c>
      <c r="E2107" t="s">
        <v>22</v>
      </c>
      <c r="F2107" t="s">
        <v>12</v>
      </c>
      <c r="G2107" t="s">
        <v>36</v>
      </c>
      <c r="H2107">
        <v>4</v>
      </c>
      <c r="I2107" t="str">
        <f>VLOOKUP(D2107,Product_Lookup!$A$2:$C$27,3,FALSE)</f>
        <v>$133.37</v>
      </c>
      <c r="J2107" t="str">
        <f t="shared" si="259"/>
        <v>Saturday</v>
      </c>
      <c r="K2107" s="10" t="str">
        <f t="shared" si="260"/>
        <v>October</v>
      </c>
      <c r="L2107">
        <f t="shared" si="261"/>
        <v>2024</v>
      </c>
      <c r="M2107" t="b">
        <f t="shared" si="262"/>
        <v>1</v>
      </c>
      <c r="N2107" t="b">
        <f t="shared" si="256"/>
        <v>0</v>
      </c>
      <c r="O2107" t="str">
        <f t="shared" si="263"/>
        <v>Large Order</v>
      </c>
      <c r="P2107" s="7">
        <f t="shared" si="257"/>
        <v>6.6685000000000008</v>
      </c>
      <c r="Q2107" s="7" t="str">
        <f>VLOOKUP(D2108,Product_Lookup!$A$2:$C$27,2,FALSE)</f>
        <v>Notebook</v>
      </c>
      <c r="R2107" s="7">
        <f t="shared" si="258"/>
        <v>533.48</v>
      </c>
    </row>
    <row r="2108" spans="1:18" ht="21.75" customHeight="1">
      <c r="A2108" t="s">
        <v>2259</v>
      </c>
      <c r="B2108" s="6">
        <v>45313</v>
      </c>
      <c r="C2108" t="s">
        <v>78</v>
      </c>
      <c r="D2108" t="s">
        <v>160</v>
      </c>
      <c r="E2108" t="s">
        <v>22</v>
      </c>
      <c r="F2108" t="s">
        <v>27</v>
      </c>
      <c r="G2108" t="s">
        <v>13</v>
      </c>
      <c r="H2108">
        <v>18</v>
      </c>
      <c r="I2108" t="str">
        <f>VLOOKUP(D2108,Product_Lookup!$A$2:$C$27,3,FALSE)</f>
        <v>$149.27</v>
      </c>
      <c r="J2108" t="str">
        <f t="shared" si="259"/>
        <v>Monday</v>
      </c>
      <c r="K2108" s="10" t="str">
        <f t="shared" si="260"/>
        <v>January</v>
      </c>
      <c r="L2108">
        <f t="shared" si="261"/>
        <v>2024</v>
      </c>
      <c r="M2108" t="b">
        <f t="shared" si="262"/>
        <v>0</v>
      </c>
      <c r="N2108" t="b">
        <f t="shared" si="256"/>
        <v>1</v>
      </c>
      <c r="O2108" t="str">
        <f t="shared" si="263"/>
        <v>Large Order</v>
      </c>
      <c r="P2108" s="7">
        <f t="shared" si="257"/>
        <v>7.4635000000000007</v>
      </c>
      <c r="Q2108" s="7" t="str">
        <f>VLOOKUP(D2109,Product_Lookup!$A$2:$C$27,2,FALSE)</f>
        <v>Jeans</v>
      </c>
      <c r="R2108" s="7">
        <f t="shared" si="258"/>
        <v>2686.86</v>
      </c>
    </row>
    <row r="2109" spans="1:18" ht="21.75" customHeight="1">
      <c r="A2109" t="s">
        <v>2260</v>
      </c>
      <c r="B2109" s="6">
        <v>45614</v>
      </c>
      <c r="C2109" t="s">
        <v>9</v>
      </c>
      <c r="D2109" t="s">
        <v>65</v>
      </c>
      <c r="E2109" t="s">
        <v>17</v>
      </c>
      <c r="F2109" t="s">
        <v>27</v>
      </c>
      <c r="G2109" t="s">
        <v>23</v>
      </c>
      <c r="H2109">
        <v>10</v>
      </c>
      <c r="I2109" t="str">
        <f>VLOOKUP(D2109,Product_Lookup!$A$2:$C$27,3,FALSE)</f>
        <v>$33.22</v>
      </c>
      <c r="J2109" t="str">
        <f t="shared" si="259"/>
        <v>Monday</v>
      </c>
      <c r="K2109" s="10" t="str">
        <f t="shared" si="260"/>
        <v>November</v>
      </c>
      <c r="L2109">
        <f t="shared" si="261"/>
        <v>2024</v>
      </c>
      <c r="M2109" t="b">
        <f t="shared" si="262"/>
        <v>0</v>
      </c>
      <c r="N2109" t="b">
        <f t="shared" si="256"/>
        <v>0</v>
      </c>
      <c r="O2109" t="str">
        <f t="shared" si="263"/>
        <v>Standard order</v>
      </c>
      <c r="P2109" s="7">
        <f t="shared" si="257"/>
        <v>1.661</v>
      </c>
      <c r="Q2109" s="7" t="str">
        <f>VLOOKUP(D2110,Product_Lookup!$A$2:$C$27,2,FALSE)</f>
        <v>T-Shirt</v>
      </c>
      <c r="R2109" s="7">
        <f t="shared" si="258"/>
        <v>332.2</v>
      </c>
    </row>
    <row r="2110" spans="1:18" ht="21.75" customHeight="1">
      <c r="A2110" t="s">
        <v>2261</v>
      </c>
      <c r="B2110" s="6">
        <v>45438</v>
      </c>
      <c r="C2110" t="s">
        <v>319</v>
      </c>
      <c r="D2110" t="s">
        <v>45</v>
      </c>
      <c r="E2110" t="s">
        <v>17</v>
      </c>
      <c r="F2110" t="s">
        <v>42</v>
      </c>
      <c r="G2110" t="s">
        <v>36</v>
      </c>
      <c r="H2110">
        <v>2</v>
      </c>
      <c r="I2110" t="str">
        <f>VLOOKUP(D2110,Product_Lookup!$A$2:$C$27,3,FALSE)</f>
        <v>$107.34</v>
      </c>
      <c r="J2110" t="str">
        <f t="shared" si="259"/>
        <v>Sunday</v>
      </c>
      <c r="K2110" s="10" t="str">
        <f t="shared" si="260"/>
        <v>May</v>
      </c>
      <c r="L2110">
        <f t="shared" si="261"/>
        <v>2024</v>
      </c>
      <c r="M2110" t="b">
        <f t="shared" si="262"/>
        <v>1</v>
      </c>
      <c r="N2110" t="b">
        <f t="shared" si="256"/>
        <v>0</v>
      </c>
      <c r="O2110" t="str">
        <f t="shared" si="263"/>
        <v>Standard order</v>
      </c>
      <c r="P2110" s="7">
        <f t="shared" si="257"/>
        <v>5.3670000000000009</v>
      </c>
      <c r="Q2110" s="7" t="str">
        <f>VLOOKUP(D2111,Product_Lookup!$A$2:$C$27,2,FALSE)</f>
        <v>Action Figure</v>
      </c>
      <c r="R2110" s="7">
        <f t="shared" si="258"/>
        <v>214.68</v>
      </c>
    </row>
    <row r="2111" spans="1:18" ht="21.75" customHeight="1">
      <c r="A2111" t="s">
        <v>2262</v>
      </c>
      <c r="B2111" s="6">
        <v>45364</v>
      </c>
      <c r="C2111" t="s">
        <v>319</v>
      </c>
      <c r="D2111" t="s">
        <v>21</v>
      </c>
      <c r="E2111" t="s">
        <v>17</v>
      </c>
      <c r="F2111" t="s">
        <v>12</v>
      </c>
      <c r="G2111" t="s">
        <v>36</v>
      </c>
      <c r="H2111">
        <v>4</v>
      </c>
      <c r="I2111" t="str">
        <f>VLOOKUP(D2111,Product_Lookup!$A$2:$C$27,3,FALSE)</f>
        <v>$88.18</v>
      </c>
      <c r="J2111" t="str">
        <f t="shared" si="259"/>
        <v>Wednesday</v>
      </c>
      <c r="K2111" s="10" t="str">
        <f t="shared" si="260"/>
        <v>March</v>
      </c>
      <c r="L2111">
        <f t="shared" si="261"/>
        <v>2024</v>
      </c>
      <c r="M2111" t="b">
        <f t="shared" si="262"/>
        <v>0</v>
      </c>
      <c r="N2111" t="b">
        <f t="shared" si="256"/>
        <v>0</v>
      </c>
      <c r="O2111" t="str">
        <f t="shared" si="263"/>
        <v>Standard order</v>
      </c>
      <c r="P2111" s="7">
        <f t="shared" si="257"/>
        <v>4.4090000000000007</v>
      </c>
      <c r="Q2111" s="7" t="str">
        <f>VLOOKUP(D2112,Product_Lookup!$A$2:$C$27,2,FALSE)</f>
        <v>Pen Set</v>
      </c>
      <c r="R2111" s="7">
        <f t="shared" si="258"/>
        <v>352.72</v>
      </c>
    </row>
    <row r="2112" spans="1:18" ht="21.75" customHeight="1">
      <c r="A2112" t="s">
        <v>2263</v>
      </c>
      <c r="B2112" s="6">
        <v>45591</v>
      </c>
      <c r="C2112" t="s">
        <v>424</v>
      </c>
      <c r="D2112" t="s">
        <v>174</v>
      </c>
      <c r="E2112" t="s">
        <v>11</v>
      </c>
      <c r="F2112" t="s">
        <v>27</v>
      </c>
      <c r="G2112" t="s">
        <v>23</v>
      </c>
      <c r="H2112">
        <v>11</v>
      </c>
      <c r="I2112" t="str">
        <f>VLOOKUP(D2112,Product_Lookup!$A$2:$C$27,3,FALSE)</f>
        <v>$133.37</v>
      </c>
      <c r="J2112" t="str">
        <f t="shared" si="259"/>
        <v>Saturday</v>
      </c>
      <c r="K2112" s="10" t="str">
        <f t="shared" si="260"/>
        <v>October</v>
      </c>
      <c r="L2112">
        <f t="shared" si="261"/>
        <v>2024</v>
      </c>
      <c r="M2112" t="b">
        <f t="shared" si="262"/>
        <v>1</v>
      </c>
      <c r="N2112" t="b">
        <f t="shared" si="256"/>
        <v>1</v>
      </c>
      <c r="O2112" t="str">
        <f t="shared" si="263"/>
        <v>Large Order</v>
      </c>
      <c r="P2112" s="7">
        <f t="shared" si="257"/>
        <v>6.6685000000000008</v>
      </c>
      <c r="Q2112" s="7" t="str">
        <f>VLOOKUP(D2113,Product_Lookup!$A$2:$C$27,2,FALSE)</f>
        <v>Desk Lamp</v>
      </c>
      <c r="R2112" s="7">
        <f t="shared" si="258"/>
        <v>1467.0700000000002</v>
      </c>
    </row>
    <row r="2113" spans="1:18" ht="21.75" customHeight="1">
      <c r="A2113" t="s">
        <v>2264</v>
      </c>
      <c r="B2113" s="6">
        <v>45383</v>
      </c>
      <c r="C2113" t="s">
        <v>366</v>
      </c>
      <c r="D2113" t="s">
        <v>59</v>
      </c>
      <c r="E2113" t="s">
        <v>22</v>
      </c>
      <c r="F2113" t="s">
        <v>56</v>
      </c>
      <c r="G2113" t="s">
        <v>23</v>
      </c>
      <c r="H2113">
        <v>3</v>
      </c>
      <c r="I2113" t="str">
        <f>VLOOKUP(D2113,Product_Lookup!$A$2:$C$27,3,FALSE)</f>
        <v>$101.96</v>
      </c>
      <c r="J2113" t="str">
        <f t="shared" si="259"/>
        <v>Monday</v>
      </c>
      <c r="K2113" s="10" t="str">
        <f t="shared" si="260"/>
        <v>April</v>
      </c>
      <c r="L2113">
        <f t="shared" si="261"/>
        <v>2024</v>
      </c>
      <c r="M2113" t="b">
        <f t="shared" si="262"/>
        <v>0</v>
      </c>
      <c r="N2113" t="b">
        <f t="shared" si="256"/>
        <v>0</v>
      </c>
      <c r="O2113" t="str">
        <f t="shared" si="263"/>
        <v>Standard order</v>
      </c>
      <c r="P2113" s="7">
        <f t="shared" si="257"/>
        <v>5.0979999999999999</v>
      </c>
      <c r="Q2113" s="7" t="str">
        <f>VLOOKUP(D2114,Product_Lookup!$A$2:$C$27,2,FALSE)</f>
        <v>Puzzle</v>
      </c>
      <c r="R2113" s="7">
        <f t="shared" si="258"/>
        <v>305.88</v>
      </c>
    </row>
    <row r="2114" spans="1:18" ht="21.75" customHeight="1">
      <c r="A2114" t="s">
        <v>2265</v>
      </c>
      <c r="B2114" s="6">
        <v>45646</v>
      </c>
      <c r="C2114" t="s">
        <v>350</v>
      </c>
      <c r="D2114" t="s">
        <v>62</v>
      </c>
      <c r="E2114" t="s">
        <v>11</v>
      </c>
      <c r="F2114" t="s">
        <v>12</v>
      </c>
      <c r="G2114" t="s">
        <v>13</v>
      </c>
      <c r="H2114">
        <v>4</v>
      </c>
      <c r="I2114" t="str">
        <f>VLOOKUP(D2114,Product_Lookup!$A$2:$C$27,3,FALSE)</f>
        <v>$46.19</v>
      </c>
      <c r="J2114" t="str">
        <f t="shared" si="259"/>
        <v>Friday</v>
      </c>
      <c r="K2114" s="10" t="str">
        <f t="shared" si="260"/>
        <v>December</v>
      </c>
      <c r="L2114">
        <f t="shared" si="261"/>
        <v>2024</v>
      </c>
      <c r="M2114" t="b">
        <f t="shared" si="262"/>
        <v>0</v>
      </c>
      <c r="N2114" t="b">
        <f t="shared" ref="N2114:N2177" si="264">AND(R2114&gt;750, H2114&gt;5)</f>
        <v>0</v>
      </c>
      <c r="O2114" t="str">
        <f t="shared" si="263"/>
        <v>Standard order</v>
      </c>
      <c r="P2114" s="7">
        <f t="shared" ref="P2114:P2177" si="265">I2114*$S$2</f>
        <v>2.3094999999999999</v>
      </c>
      <c r="Q2114" s="7" t="str">
        <f>VLOOKUP(D2115,Product_Lookup!$A$2:$C$27,2,FALSE)</f>
        <v>Tablet</v>
      </c>
      <c r="R2114" s="7">
        <f t="shared" ref="R2114:R2177" si="266">H2114*I2114</f>
        <v>184.76</v>
      </c>
    </row>
    <row r="2115" spans="1:18" ht="21.75" customHeight="1">
      <c r="A2115" t="s">
        <v>2266</v>
      </c>
      <c r="B2115" s="6">
        <v>45616</v>
      </c>
      <c r="C2115" t="s">
        <v>83</v>
      </c>
      <c r="D2115" t="s">
        <v>10</v>
      </c>
      <c r="E2115" t="s">
        <v>22</v>
      </c>
      <c r="F2115" t="s">
        <v>27</v>
      </c>
      <c r="G2115" t="s">
        <v>36</v>
      </c>
      <c r="H2115">
        <v>20</v>
      </c>
      <c r="I2115" t="str">
        <f>VLOOKUP(D2115,Product_Lookup!$A$2:$C$27,3,FALSE)</f>
        <v>$146.06</v>
      </c>
      <c r="J2115" t="str">
        <f t="shared" ref="J2115:J2178" si="267">TEXT(B2115, "dddd")</f>
        <v>Wednesday</v>
      </c>
      <c r="K2115" s="10" t="str">
        <f t="shared" ref="K2115:K2178" si="268">TEXT(B2115, "mmmm")</f>
        <v>November</v>
      </c>
      <c r="L2115">
        <f t="shared" ref="L2115:L2178" si="269">YEAR(B2115)</f>
        <v>2024</v>
      </c>
      <c r="M2115" t="b">
        <f t="shared" ref="M2115:M2178" si="270">OR(J2115="Saturday", J2115="Sunday")</f>
        <v>0</v>
      </c>
      <c r="N2115" t="b">
        <f t="shared" si="264"/>
        <v>1</v>
      </c>
      <c r="O2115" t="str">
        <f t="shared" ref="O2115:O2178" si="271">IF(R2115&gt;500,"Large Order","Standard order")</f>
        <v>Large Order</v>
      </c>
      <c r="P2115" s="7">
        <f t="shared" si="265"/>
        <v>7.3030000000000008</v>
      </c>
      <c r="Q2115" s="7" t="str">
        <f>VLOOKUP(D2116,Product_Lookup!$A$2:$C$27,2,FALSE)</f>
        <v>Coffee Maker</v>
      </c>
      <c r="R2115" s="7">
        <f t="shared" si="266"/>
        <v>2921.2</v>
      </c>
    </row>
    <row r="2116" spans="1:18" ht="21.75" customHeight="1">
      <c r="A2116" t="s">
        <v>2267</v>
      </c>
      <c r="B2116" s="6">
        <v>45485</v>
      </c>
      <c r="C2116" t="s">
        <v>378</v>
      </c>
      <c r="D2116" t="s">
        <v>31</v>
      </c>
      <c r="E2116" t="s">
        <v>11</v>
      </c>
      <c r="F2116" t="s">
        <v>56</v>
      </c>
      <c r="G2116" t="s">
        <v>32</v>
      </c>
      <c r="H2116">
        <v>19</v>
      </c>
      <c r="I2116" t="str">
        <f>VLOOKUP(D2116,Product_Lookup!$A$2:$C$27,3,FALSE)</f>
        <v>$230.34</v>
      </c>
      <c r="J2116" t="str">
        <f t="shared" si="267"/>
        <v>Friday</v>
      </c>
      <c r="K2116" s="10" t="str">
        <f t="shared" si="268"/>
        <v>July</v>
      </c>
      <c r="L2116">
        <f t="shared" si="269"/>
        <v>2024</v>
      </c>
      <c r="M2116" t="b">
        <f t="shared" si="270"/>
        <v>0</v>
      </c>
      <c r="N2116" t="b">
        <f t="shared" si="264"/>
        <v>1</v>
      </c>
      <c r="O2116" t="str">
        <f t="shared" si="271"/>
        <v>Large Order</v>
      </c>
      <c r="P2116" s="7">
        <f t="shared" si="265"/>
        <v>11.517000000000001</v>
      </c>
      <c r="Q2116" s="7" t="str">
        <f>VLOOKUP(D2117,Product_Lookup!$A$2:$C$27,2,FALSE)</f>
        <v>Headphones</v>
      </c>
      <c r="R2116" s="7">
        <f t="shared" si="266"/>
        <v>4376.46</v>
      </c>
    </row>
    <row r="2117" spans="1:18" ht="21.75" customHeight="1">
      <c r="A2117" t="s">
        <v>2268</v>
      </c>
      <c r="B2117" s="6">
        <v>45368</v>
      </c>
      <c r="C2117" t="s">
        <v>111</v>
      </c>
      <c r="D2117" t="s">
        <v>16</v>
      </c>
      <c r="E2117" t="s">
        <v>11</v>
      </c>
      <c r="F2117" t="s">
        <v>12</v>
      </c>
      <c r="G2117" t="s">
        <v>23</v>
      </c>
      <c r="H2117">
        <v>10</v>
      </c>
      <c r="I2117" t="str">
        <f>VLOOKUP(D2117,Product_Lookup!$A$2:$C$27,3,FALSE)</f>
        <v>$178.83</v>
      </c>
      <c r="J2117" t="str">
        <f t="shared" si="267"/>
        <v>Sunday</v>
      </c>
      <c r="K2117" s="10" t="str">
        <f t="shared" si="268"/>
        <v>March</v>
      </c>
      <c r="L2117">
        <f t="shared" si="269"/>
        <v>2024</v>
      </c>
      <c r="M2117" t="b">
        <f t="shared" si="270"/>
        <v>1</v>
      </c>
      <c r="N2117" t="b">
        <f t="shared" si="264"/>
        <v>1</v>
      </c>
      <c r="O2117" t="str">
        <f t="shared" si="271"/>
        <v>Large Order</v>
      </c>
      <c r="P2117" s="7">
        <f t="shared" si="265"/>
        <v>8.9415000000000013</v>
      </c>
      <c r="Q2117" s="7" t="str">
        <f>VLOOKUP(D2118,Product_Lookup!$A$2:$C$27,2,FALSE)</f>
        <v>Action Figure</v>
      </c>
      <c r="R2117" s="7">
        <f t="shared" si="266"/>
        <v>1788.3000000000002</v>
      </c>
    </row>
    <row r="2118" spans="1:18" ht="21.75" customHeight="1">
      <c r="A2118" t="s">
        <v>2269</v>
      </c>
      <c r="B2118" s="6">
        <v>45520</v>
      </c>
      <c r="C2118" t="s">
        <v>55</v>
      </c>
      <c r="D2118" t="s">
        <v>21</v>
      </c>
      <c r="E2118" t="s">
        <v>11</v>
      </c>
      <c r="F2118" t="s">
        <v>12</v>
      </c>
      <c r="G2118" t="s">
        <v>28</v>
      </c>
      <c r="H2118">
        <v>7</v>
      </c>
      <c r="I2118" t="str">
        <f>VLOOKUP(D2118,Product_Lookup!$A$2:$C$27,3,FALSE)</f>
        <v>$88.18</v>
      </c>
      <c r="J2118" t="str">
        <f t="shared" si="267"/>
        <v>Friday</v>
      </c>
      <c r="K2118" s="10" t="str">
        <f t="shared" si="268"/>
        <v>August</v>
      </c>
      <c r="L2118">
        <f t="shared" si="269"/>
        <v>2024</v>
      </c>
      <c r="M2118" t="b">
        <f t="shared" si="270"/>
        <v>0</v>
      </c>
      <c r="N2118" t="b">
        <f t="shared" si="264"/>
        <v>0</v>
      </c>
      <c r="O2118" t="str">
        <f t="shared" si="271"/>
        <v>Large Order</v>
      </c>
      <c r="P2118" s="7">
        <f t="shared" si="265"/>
        <v>4.4090000000000007</v>
      </c>
      <c r="Q2118" s="7" t="str">
        <f>VLOOKUP(D2119,Product_Lookup!$A$2:$C$27,2,FALSE)</f>
        <v>Air Fryer</v>
      </c>
      <c r="R2118" s="7">
        <f t="shared" si="266"/>
        <v>617.26</v>
      </c>
    </row>
    <row r="2119" spans="1:18" ht="21.75" customHeight="1">
      <c r="A2119" t="s">
        <v>2270</v>
      </c>
      <c r="B2119" s="6">
        <v>45421</v>
      </c>
      <c r="C2119" t="s">
        <v>142</v>
      </c>
      <c r="D2119" t="s">
        <v>70</v>
      </c>
      <c r="E2119" t="s">
        <v>17</v>
      </c>
      <c r="F2119" t="s">
        <v>27</v>
      </c>
      <c r="G2119" t="s">
        <v>36</v>
      </c>
      <c r="H2119">
        <v>1</v>
      </c>
      <c r="I2119" t="str">
        <f>VLOOKUP(D2119,Product_Lookup!$A$2:$C$27,3,FALSE)</f>
        <v>$211.9</v>
      </c>
      <c r="J2119" t="str">
        <f t="shared" si="267"/>
        <v>Thursday</v>
      </c>
      <c r="K2119" s="10" t="str">
        <f t="shared" si="268"/>
        <v>May</v>
      </c>
      <c r="L2119">
        <f t="shared" si="269"/>
        <v>2024</v>
      </c>
      <c r="M2119" t="b">
        <f t="shared" si="270"/>
        <v>0</v>
      </c>
      <c r="N2119" t="b">
        <f t="shared" si="264"/>
        <v>0</v>
      </c>
      <c r="O2119" t="str">
        <f t="shared" si="271"/>
        <v>Standard order</v>
      </c>
      <c r="P2119" s="7">
        <f t="shared" si="265"/>
        <v>10.595000000000001</v>
      </c>
      <c r="Q2119" s="7" t="str">
        <f>VLOOKUP(D2120,Product_Lookup!$A$2:$C$27,2,FALSE)</f>
        <v>Jeans</v>
      </c>
      <c r="R2119" s="7">
        <f t="shared" si="266"/>
        <v>211.9</v>
      </c>
    </row>
    <row r="2120" spans="1:18" ht="21.75" customHeight="1">
      <c r="A2120" t="s">
        <v>2271</v>
      </c>
      <c r="B2120" s="6">
        <v>45544</v>
      </c>
      <c r="C2120" t="s">
        <v>93</v>
      </c>
      <c r="D2120" t="s">
        <v>65</v>
      </c>
      <c r="E2120" t="s">
        <v>22</v>
      </c>
      <c r="F2120" t="s">
        <v>27</v>
      </c>
      <c r="G2120" t="s">
        <v>23</v>
      </c>
      <c r="H2120">
        <v>14</v>
      </c>
      <c r="I2120" t="str">
        <f>VLOOKUP(D2120,Product_Lookup!$A$2:$C$27,3,FALSE)</f>
        <v>$33.22</v>
      </c>
      <c r="J2120" t="str">
        <f t="shared" si="267"/>
        <v>Monday</v>
      </c>
      <c r="K2120" s="10" t="str">
        <f t="shared" si="268"/>
        <v>September</v>
      </c>
      <c r="L2120">
        <f t="shared" si="269"/>
        <v>2024</v>
      </c>
      <c r="M2120" t="b">
        <f t="shared" si="270"/>
        <v>0</v>
      </c>
      <c r="N2120" t="b">
        <f t="shared" si="264"/>
        <v>0</v>
      </c>
      <c r="O2120" t="str">
        <f t="shared" si="271"/>
        <v>Standard order</v>
      </c>
      <c r="P2120" s="7">
        <f t="shared" si="265"/>
        <v>1.661</v>
      </c>
      <c r="Q2120" s="7" t="str">
        <f>VLOOKUP(D2121,Product_Lookup!$A$2:$C$27,2,FALSE)</f>
        <v>Laptop</v>
      </c>
      <c r="R2120" s="7">
        <f t="shared" si="266"/>
        <v>465.08</v>
      </c>
    </row>
    <row r="2121" spans="1:18" ht="21.75" customHeight="1">
      <c r="A2121" t="s">
        <v>2272</v>
      </c>
      <c r="B2121" s="6">
        <v>45599</v>
      </c>
      <c r="C2121" t="s">
        <v>327</v>
      </c>
      <c r="D2121" t="s">
        <v>96</v>
      </c>
      <c r="E2121" t="s">
        <v>11</v>
      </c>
      <c r="F2121" t="s">
        <v>306</v>
      </c>
      <c r="G2121" t="s">
        <v>32</v>
      </c>
      <c r="H2121">
        <v>20</v>
      </c>
      <c r="I2121" t="str">
        <f>VLOOKUP(D2121,Product_Lookup!$A$2:$C$27,3,FALSE)</f>
        <v>$230.68</v>
      </c>
      <c r="J2121" t="str">
        <f t="shared" si="267"/>
        <v>Sunday</v>
      </c>
      <c r="K2121" s="10" t="str">
        <f t="shared" si="268"/>
        <v>November</v>
      </c>
      <c r="L2121">
        <f t="shared" si="269"/>
        <v>2024</v>
      </c>
      <c r="M2121" t="b">
        <f t="shared" si="270"/>
        <v>1</v>
      </c>
      <c r="N2121" t="b">
        <f t="shared" si="264"/>
        <v>1</v>
      </c>
      <c r="O2121" t="str">
        <f t="shared" si="271"/>
        <v>Large Order</v>
      </c>
      <c r="P2121" s="7">
        <f t="shared" si="265"/>
        <v>11.534000000000001</v>
      </c>
      <c r="Q2121" s="7" t="str">
        <f>VLOOKUP(D2122,Product_Lookup!$A$2:$C$27,2,FALSE)</f>
        <v>T-Shirt</v>
      </c>
      <c r="R2121" s="7">
        <f t="shared" si="266"/>
        <v>4613.6000000000004</v>
      </c>
    </row>
    <row r="2122" spans="1:18" ht="21.75" customHeight="1">
      <c r="A2122" t="s">
        <v>2273</v>
      </c>
      <c r="B2122" s="6">
        <v>45398</v>
      </c>
      <c r="C2122" t="s">
        <v>9</v>
      </c>
      <c r="D2122" t="s">
        <v>45</v>
      </c>
      <c r="E2122" t="s">
        <v>11</v>
      </c>
      <c r="F2122" t="s">
        <v>12</v>
      </c>
      <c r="G2122" t="s">
        <v>32</v>
      </c>
      <c r="H2122">
        <v>2</v>
      </c>
      <c r="I2122" t="str">
        <f>VLOOKUP(D2122,Product_Lookup!$A$2:$C$27,3,FALSE)</f>
        <v>$107.34</v>
      </c>
      <c r="J2122" t="str">
        <f t="shared" si="267"/>
        <v>Tuesday</v>
      </c>
      <c r="K2122" s="10" t="str">
        <f t="shared" si="268"/>
        <v>April</v>
      </c>
      <c r="L2122">
        <f t="shared" si="269"/>
        <v>2024</v>
      </c>
      <c r="M2122" t="b">
        <f t="shared" si="270"/>
        <v>0</v>
      </c>
      <c r="N2122" t="b">
        <f t="shared" si="264"/>
        <v>0</v>
      </c>
      <c r="O2122" t="str">
        <f t="shared" si="271"/>
        <v>Standard order</v>
      </c>
      <c r="P2122" s="7">
        <f t="shared" si="265"/>
        <v>5.3670000000000009</v>
      </c>
      <c r="Q2122" s="7" t="str">
        <f>VLOOKUP(D2123,Product_Lookup!$A$2:$C$27,2,FALSE)</f>
        <v>Desk Lamp</v>
      </c>
      <c r="R2122" s="7">
        <f t="shared" si="266"/>
        <v>214.68</v>
      </c>
    </row>
    <row r="2123" spans="1:18" ht="21.75" customHeight="1">
      <c r="A2123" t="s">
        <v>2274</v>
      </c>
      <c r="B2123" s="6">
        <v>45308</v>
      </c>
      <c r="C2123" t="s">
        <v>317</v>
      </c>
      <c r="D2123" t="s">
        <v>59</v>
      </c>
      <c r="E2123" t="s">
        <v>22</v>
      </c>
      <c r="F2123" t="s">
        <v>42</v>
      </c>
      <c r="G2123" t="s">
        <v>32</v>
      </c>
      <c r="H2123">
        <v>3</v>
      </c>
      <c r="I2123" t="str">
        <f>VLOOKUP(D2123,Product_Lookup!$A$2:$C$27,3,FALSE)</f>
        <v>$101.96</v>
      </c>
      <c r="J2123" t="str">
        <f t="shared" si="267"/>
        <v>Wednesday</v>
      </c>
      <c r="K2123" s="10" t="str">
        <f t="shared" si="268"/>
        <v>January</v>
      </c>
      <c r="L2123">
        <f t="shared" si="269"/>
        <v>2024</v>
      </c>
      <c r="M2123" t="b">
        <f t="shared" si="270"/>
        <v>0</v>
      </c>
      <c r="N2123" t="b">
        <f t="shared" si="264"/>
        <v>0</v>
      </c>
      <c r="O2123" t="str">
        <f t="shared" si="271"/>
        <v>Standard order</v>
      </c>
      <c r="P2123" s="7">
        <f t="shared" si="265"/>
        <v>5.0979999999999999</v>
      </c>
      <c r="Q2123" s="7" t="str">
        <f>VLOOKUP(D2124,Product_Lookup!$A$2:$C$27,2,FALSE)</f>
        <v>T-Shirt</v>
      </c>
      <c r="R2123" s="7">
        <f t="shared" si="266"/>
        <v>305.88</v>
      </c>
    </row>
    <row r="2124" spans="1:18" ht="21.75" customHeight="1">
      <c r="A2124" t="s">
        <v>2275</v>
      </c>
      <c r="B2124" s="6">
        <v>45505</v>
      </c>
      <c r="C2124" t="s">
        <v>235</v>
      </c>
      <c r="D2124" t="s">
        <v>45</v>
      </c>
      <c r="E2124" t="s">
        <v>22</v>
      </c>
      <c r="F2124" t="s">
        <v>42</v>
      </c>
      <c r="G2124" t="s">
        <v>36</v>
      </c>
      <c r="H2124">
        <v>20</v>
      </c>
      <c r="I2124" t="str">
        <f>VLOOKUP(D2124,Product_Lookup!$A$2:$C$27,3,FALSE)</f>
        <v>$107.34</v>
      </c>
      <c r="J2124" t="str">
        <f t="shared" si="267"/>
        <v>Thursday</v>
      </c>
      <c r="K2124" s="10" t="str">
        <f t="shared" si="268"/>
        <v>August</v>
      </c>
      <c r="L2124">
        <f t="shared" si="269"/>
        <v>2024</v>
      </c>
      <c r="M2124" t="b">
        <f t="shared" si="270"/>
        <v>0</v>
      </c>
      <c r="N2124" t="b">
        <f t="shared" si="264"/>
        <v>1</v>
      </c>
      <c r="O2124" t="str">
        <f t="shared" si="271"/>
        <v>Large Order</v>
      </c>
      <c r="P2124" s="7">
        <f t="shared" si="265"/>
        <v>5.3670000000000009</v>
      </c>
      <c r="Q2124" s="7" t="str">
        <f>VLOOKUP(D2125,Product_Lookup!$A$2:$C$27,2,FALSE)</f>
        <v>Air Fryer</v>
      </c>
      <c r="R2124" s="7">
        <f t="shared" si="266"/>
        <v>2146.8000000000002</v>
      </c>
    </row>
    <row r="2125" spans="1:18" ht="21.75" customHeight="1">
      <c r="A2125" t="s">
        <v>2276</v>
      </c>
      <c r="B2125" s="6">
        <v>45579</v>
      </c>
      <c r="C2125" t="s">
        <v>235</v>
      </c>
      <c r="D2125" t="s">
        <v>70</v>
      </c>
      <c r="E2125" t="s">
        <v>22</v>
      </c>
      <c r="F2125" t="s">
        <v>306</v>
      </c>
      <c r="G2125" t="s">
        <v>32</v>
      </c>
      <c r="H2125">
        <v>2</v>
      </c>
      <c r="I2125" t="str">
        <f>VLOOKUP(D2125,Product_Lookup!$A$2:$C$27,3,FALSE)</f>
        <v>$211.9</v>
      </c>
      <c r="J2125" t="str">
        <f t="shared" si="267"/>
        <v>Monday</v>
      </c>
      <c r="K2125" s="10" t="str">
        <f t="shared" si="268"/>
        <v>October</v>
      </c>
      <c r="L2125">
        <f t="shared" si="269"/>
        <v>2024</v>
      </c>
      <c r="M2125" t="b">
        <f t="shared" si="270"/>
        <v>0</v>
      </c>
      <c r="N2125" t="b">
        <f t="shared" si="264"/>
        <v>0</v>
      </c>
      <c r="O2125" t="str">
        <f t="shared" si="271"/>
        <v>Standard order</v>
      </c>
      <c r="P2125" s="7">
        <f t="shared" si="265"/>
        <v>10.595000000000001</v>
      </c>
      <c r="Q2125" s="7" t="str">
        <f>VLOOKUP(D2126,Product_Lookup!$A$2:$C$27,2,FALSE)</f>
        <v>Toaster</v>
      </c>
      <c r="R2125" s="7">
        <f t="shared" si="266"/>
        <v>423.8</v>
      </c>
    </row>
    <row r="2126" spans="1:18" ht="21.75" customHeight="1">
      <c r="A2126" t="s">
        <v>2277</v>
      </c>
      <c r="B2126" s="6">
        <v>45445</v>
      </c>
      <c r="C2126" t="s">
        <v>187</v>
      </c>
      <c r="D2126" t="s">
        <v>48</v>
      </c>
      <c r="E2126" t="s">
        <v>17</v>
      </c>
      <c r="F2126" t="s">
        <v>12</v>
      </c>
      <c r="G2126" t="s">
        <v>23</v>
      </c>
      <c r="H2126">
        <v>18</v>
      </c>
      <c r="I2126" t="str">
        <f>VLOOKUP(D2126,Product_Lookup!$A$2:$C$27,3,FALSE)</f>
        <v>$208.85</v>
      </c>
      <c r="J2126" t="str">
        <f t="shared" si="267"/>
        <v>Sunday</v>
      </c>
      <c r="K2126" s="10" t="str">
        <f t="shared" si="268"/>
        <v>June</v>
      </c>
      <c r="L2126">
        <f t="shared" si="269"/>
        <v>2024</v>
      </c>
      <c r="M2126" t="b">
        <f t="shared" si="270"/>
        <v>1</v>
      </c>
      <c r="N2126" t="b">
        <f t="shared" si="264"/>
        <v>1</v>
      </c>
      <c r="O2126" t="str">
        <f t="shared" si="271"/>
        <v>Large Order</v>
      </c>
      <c r="P2126" s="7">
        <f t="shared" si="265"/>
        <v>10.442500000000001</v>
      </c>
      <c r="Q2126" s="7" t="str">
        <f>VLOOKUP(D2127,Product_Lookup!$A$2:$C$27,2,FALSE)</f>
        <v>Monitor</v>
      </c>
      <c r="R2126" s="7">
        <f t="shared" si="266"/>
        <v>3759.2999999999997</v>
      </c>
    </row>
    <row r="2127" spans="1:18" ht="21.75" customHeight="1">
      <c r="A2127" t="s">
        <v>2278</v>
      </c>
      <c r="B2127" s="6">
        <v>45533</v>
      </c>
      <c r="C2127" t="s">
        <v>99</v>
      </c>
      <c r="D2127" t="s">
        <v>102</v>
      </c>
      <c r="E2127" t="s">
        <v>22</v>
      </c>
      <c r="F2127" t="s">
        <v>42</v>
      </c>
      <c r="G2127" t="s">
        <v>32</v>
      </c>
      <c r="H2127">
        <v>17</v>
      </c>
      <c r="I2127" t="str">
        <f>VLOOKUP(D2127,Product_Lookup!$A$2:$C$27,3,FALSE)</f>
        <v>$145.48</v>
      </c>
      <c r="J2127" t="str">
        <f t="shared" si="267"/>
        <v>Thursday</v>
      </c>
      <c r="K2127" s="10" t="str">
        <f t="shared" si="268"/>
        <v>August</v>
      </c>
      <c r="L2127">
        <f t="shared" si="269"/>
        <v>2024</v>
      </c>
      <c r="M2127" t="b">
        <f t="shared" si="270"/>
        <v>0</v>
      </c>
      <c r="N2127" t="b">
        <f t="shared" si="264"/>
        <v>1</v>
      </c>
      <c r="O2127" t="str">
        <f t="shared" si="271"/>
        <v>Large Order</v>
      </c>
      <c r="P2127" s="7">
        <f t="shared" si="265"/>
        <v>7.274</v>
      </c>
      <c r="Q2127" s="7" t="str">
        <f>VLOOKUP(D2128,Product_Lookup!$A$2:$C$27,2,FALSE)</f>
        <v>Jeans</v>
      </c>
      <c r="R2127" s="7">
        <f t="shared" si="266"/>
        <v>2473.16</v>
      </c>
    </row>
    <row r="2128" spans="1:18" ht="21.75" customHeight="1">
      <c r="A2128" t="s">
        <v>2279</v>
      </c>
      <c r="B2128" s="6">
        <v>45399</v>
      </c>
      <c r="C2128" t="s">
        <v>424</v>
      </c>
      <c r="D2128" t="s">
        <v>65</v>
      </c>
      <c r="E2128" t="s">
        <v>22</v>
      </c>
      <c r="F2128" t="s">
        <v>12</v>
      </c>
      <c r="G2128" t="s">
        <v>13</v>
      </c>
      <c r="H2128">
        <v>19</v>
      </c>
      <c r="I2128" t="str">
        <f>VLOOKUP(D2128,Product_Lookup!$A$2:$C$27,3,FALSE)</f>
        <v>$33.22</v>
      </c>
      <c r="J2128" t="str">
        <f t="shared" si="267"/>
        <v>Wednesday</v>
      </c>
      <c r="K2128" s="10" t="str">
        <f t="shared" si="268"/>
        <v>April</v>
      </c>
      <c r="L2128">
        <f t="shared" si="269"/>
        <v>2024</v>
      </c>
      <c r="M2128" t="b">
        <f t="shared" si="270"/>
        <v>0</v>
      </c>
      <c r="N2128" t="b">
        <f t="shared" si="264"/>
        <v>0</v>
      </c>
      <c r="O2128" t="str">
        <f t="shared" si="271"/>
        <v>Large Order</v>
      </c>
      <c r="P2128" s="7">
        <f t="shared" si="265"/>
        <v>1.661</v>
      </c>
      <c r="Q2128" s="7" t="str">
        <f>VLOOKUP(D2129,Product_Lookup!$A$2:$C$27,2,FALSE)</f>
        <v>Tablet</v>
      </c>
      <c r="R2128" s="7">
        <f t="shared" si="266"/>
        <v>631.17999999999995</v>
      </c>
    </row>
    <row r="2129" spans="1:18" ht="21.75" customHeight="1">
      <c r="A2129" t="s">
        <v>2280</v>
      </c>
      <c r="B2129" s="6">
        <v>45614</v>
      </c>
      <c r="C2129" t="s">
        <v>339</v>
      </c>
      <c r="D2129" t="s">
        <v>10</v>
      </c>
      <c r="E2129" t="s">
        <v>17</v>
      </c>
      <c r="F2129" t="s">
        <v>306</v>
      </c>
      <c r="G2129" t="s">
        <v>32</v>
      </c>
      <c r="H2129">
        <v>14</v>
      </c>
      <c r="I2129" t="str">
        <f>VLOOKUP(D2129,Product_Lookup!$A$2:$C$27,3,FALSE)</f>
        <v>$146.06</v>
      </c>
      <c r="J2129" t="str">
        <f t="shared" si="267"/>
        <v>Monday</v>
      </c>
      <c r="K2129" s="10" t="str">
        <f t="shared" si="268"/>
        <v>November</v>
      </c>
      <c r="L2129">
        <f t="shared" si="269"/>
        <v>2024</v>
      </c>
      <c r="M2129" t="b">
        <f t="shared" si="270"/>
        <v>0</v>
      </c>
      <c r="N2129" t="b">
        <f t="shared" si="264"/>
        <v>1</v>
      </c>
      <c r="O2129" t="str">
        <f t="shared" si="271"/>
        <v>Large Order</v>
      </c>
      <c r="P2129" s="7">
        <f t="shared" si="265"/>
        <v>7.3030000000000008</v>
      </c>
      <c r="Q2129" s="7" t="str">
        <f>VLOOKUP(D2130,Product_Lookup!$A$2:$C$27,2,FALSE)</f>
        <v>Notebook</v>
      </c>
      <c r="R2129" s="7">
        <f t="shared" si="266"/>
        <v>2044.8400000000001</v>
      </c>
    </row>
    <row r="2130" spans="1:18" ht="21.75" customHeight="1">
      <c r="A2130" t="s">
        <v>2281</v>
      </c>
      <c r="B2130" s="6">
        <v>45454</v>
      </c>
      <c r="C2130" t="s">
        <v>86</v>
      </c>
      <c r="D2130" t="s">
        <v>160</v>
      </c>
      <c r="E2130" t="s">
        <v>22</v>
      </c>
      <c r="F2130" t="s">
        <v>306</v>
      </c>
      <c r="G2130" t="s">
        <v>32</v>
      </c>
      <c r="H2130">
        <v>5</v>
      </c>
      <c r="I2130" t="str">
        <f>VLOOKUP(D2130,Product_Lookup!$A$2:$C$27,3,FALSE)</f>
        <v>$149.27</v>
      </c>
      <c r="J2130" t="str">
        <f t="shared" si="267"/>
        <v>Tuesday</v>
      </c>
      <c r="K2130" s="10" t="str">
        <f t="shared" si="268"/>
        <v>June</v>
      </c>
      <c r="L2130">
        <f t="shared" si="269"/>
        <v>2024</v>
      </c>
      <c r="M2130" t="b">
        <f t="shared" si="270"/>
        <v>0</v>
      </c>
      <c r="N2130" t="b">
        <f t="shared" si="264"/>
        <v>0</v>
      </c>
      <c r="O2130" t="str">
        <f t="shared" si="271"/>
        <v>Large Order</v>
      </c>
      <c r="P2130" s="7">
        <f t="shared" si="265"/>
        <v>7.4635000000000007</v>
      </c>
      <c r="Q2130" s="7" t="str">
        <f>VLOOKUP(D2131,Product_Lookup!$A$2:$C$27,2,FALSE)</f>
        <v>Lego Set</v>
      </c>
      <c r="R2130" s="7">
        <f t="shared" si="266"/>
        <v>746.35</v>
      </c>
    </row>
    <row r="2131" spans="1:18" ht="21.75" customHeight="1">
      <c r="A2131" t="s">
        <v>2282</v>
      </c>
      <c r="B2131" s="6">
        <v>45546</v>
      </c>
      <c r="C2131" t="s">
        <v>363</v>
      </c>
      <c r="D2131" t="s">
        <v>84</v>
      </c>
      <c r="E2131" t="s">
        <v>22</v>
      </c>
      <c r="F2131" t="s">
        <v>27</v>
      </c>
      <c r="G2131" t="s">
        <v>23</v>
      </c>
      <c r="H2131">
        <v>6</v>
      </c>
      <c r="I2131" t="str">
        <f>VLOOKUP(D2131,Product_Lookup!$A$2:$C$27,3,FALSE)</f>
        <v>$130.07</v>
      </c>
      <c r="J2131" t="str">
        <f t="shared" si="267"/>
        <v>Wednesday</v>
      </c>
      <c r="K2131" s="10" t="str">
        <f t="shared" si="268"/>
        <v>September</v>
      </c>
      <c r="L2131">
        <f t="shared" si="269"/>
        <v>2024</v>
      </c>
      <c r="M2131" t="b">
        <f t="shared" si="270"/>
        <v>0</v>
      </c>
      <c r="N2131" t="b">
        <f t="shared" si="264"/>
        <v>1</v>
      </c>
      <c r="O2131" t="str">
        <f t="shared" si="271"/>
        <v>Large Order</v>
      </c>
      <c r="P2131" s="7">
        <f t="shared" si="265"/>
        <v>6.5034999999999998</v>
      </c>
      <c r="Q2131" s="7" t="str">
        <f>VLOOKUP(D2132,Product_Lookup!$A$2:$C$27,2,FALSE)</f>
        <v>Socks</v>
      </c>
      <c r="R2131" s="7">
        <f t="shared" si="266"/>
        <v>780.42</v>
      </c>
    </row>
    <row r="2132" spans="1:18" ht="21.75" customHeight="1">
      <c r="A2132" t="s">
        <v>2283</v>
      </c>
      <c r="B2132" s="6">
        <v>45411</v>
      </c>
      <c r="C2132" t="s">
        <v>369</v>
      </c>
      <c r="D2132" t="s">
        <v>74</v>
      </c>
      <c r="E2132" t="s">
        <v>11</v>
      </c>
      <c r="F2132" t="s">
        <v>12</v>
      </c>
      <c r="G2132" t="s">
        <v>13</v>
      </c>
      <c r="H2132">
        <v>1</v>
      </c>
      <c r="I2132" t="str">
        <f>VLOOKUP(D2132,Product_Lookup!$A$2:$C$27,3,FALSE)</f>
        <v>$201.32</v>
      </c>
      <c r="J2132" t="str">
        <f t="shared" si="267"/>
        <v>Monday</v>
      </c>
      <c r="K2132" s="10" t="str">
        <f t="shared" si="268"/>
        <v>April</v>
      </c>
      <c r="L2132">
        <f t="shared" si="269"/>
        <v>2024</v>
      </c>
      <c r="M2132" t="b">
        <f t="shared" si="270"/>
        <v>0</v>
      </c>
      <c r="N2132" t="b">
        <f t="shared" si="264"/>
        <v>0</v>
      </c>
      <c r="O2132" t="str">
        <f t="shared" si="271"/>
        <v>Standard order</v>
      </c>
      <c r="P2132" s="7">
        <f t="shared" si="265"/>
        <v>10.066000000000001</v>
      </c>
      <c r="Q2132" s="7" t="str">
        <f>VLOOKUP(D2133,Product_Lookup!$A$2:$C$27,2,FALSE)</f>
        <v>Jeans</v>
      </c>
      <c r="R2132" s="7">
        <f t="shared" si="266"/>
        <v>201.32</v>
      </c>
    </row>
    <row r="2133" spans="1:18" ht="21.75" customHeight="1">
      <c r="A2133" t="s">
        <v>2284</v>
      </c>
      <c r="B2133" s="6">
        <v>45352</v>
      </c>
      <c r="C2133" t="s">
        <v>304</v>
      </c>
      <c r="D2133" t="s">
        <v>65</v>
      </c>
      <c r="E2133" t="s">
        <v>22</v>
      </c>
      <c r="F2133" t="s">
        <v>27</v>
      </c>
      <c r="G2133" t="s">
        <v>23</v>
      </c>
      <c r="H2133">
        <v>2</v>
      </c>
      <c r="I2133" t="str">
        <f>VLOOKUP(D2133,Product_Lookup!$A$2:$C$27,3,FALSE)</f>
        <v>$33.22</v>
      </c>
      <c r="J2133" t="str">
        <f t="shared" si="267"/>
        <v>Friday</v>
      </c>
      <c r="K2133" s="10" t="str">
        <f t="shared" si="268"/>
        <v>March</v>
      </c>
      <c r="L2133">
        <f t="shared" si="269"/>
        <v>2024</v>
      </c>
      <c r="M2133" t="b">
        <f t="shared" si="270"/>
        <v>0</v>
      </c>
      <c r="N2133" t="b">
        <f t="shared" si="264"/>
        <v>0</v>
      </c>
      <c r="O2133" t="str">
        <f t="shared" si="271"/>
        <v>Standard order</v>
      </c>
      <c r="P2133" s="7">
        <f t="shared" si="265"/>
        <v>1.661</v>
      </c>
      <c r="Q2133" s="7" t="str">
        <f>VLOOKUP(D2134,Product_Lookup!$A$2:$C$27,2,FALSE)</f>
        <v>Jeans</v>
      </c>
      <c r="R2133" s="7">
        <f t="shared" si="266"/>
        <v>66.44</v>
      </c>
    </row>
    <row r="2134" spans="1:18" ht="21.75" customHeight="1">
      <c r="A2134" t="s">
        <v>2285</v>
      </c>
      <c r="B2134" s="6">
        <v>45578</v>
      </c>
      <c r="C2134" t="s">
        <v>541</v>
      </c>
      <c r="D2134" t="s">
        <v>65</v>
      </c>
      <c r="E2134" t="s">
        <v>11</v>
      </c>
      <c r="F2134" t="s">
        <v>56</v>
      </c>
      <c r="G2134" t="s">
        <v>32</v>
      </c>
      <c r="H2134">
        <v>9</v>
      </c>
      <c r="I2134" t="str">
        <f>VLOOKUP(D2134,Product_Lookup!$A$2:$C$27,3,FALSE)</f>
        <v>$33.22</v>
      </c>
      <c r="J2134" t="str">
        <f t="shared" si="267"/>
        <v>Sunday</v>
      </c>
      <c r="K2134" s="10" t="str">
        <f t="shared" si="268"/>
        <v>October</v>
      </c>
      <c r="L2134">
        <f t="shared" si="269"/>
        <v>2024</v>
      </c>
      <c r="M2134" t="b">
        <f t="shared" si="270"/>
        <v>1</v>
      </c>
      <c r="N2134" t="b">
        <f t="shared" si="264"/>
        <v>0</v>
      </c>
      <c r="O2134" t="str">
        <f t="shared" si="271"/>
        <v>Standard order</v>
      </c>
      <c r="P2134" s="7">
        <f t="shared" si="265"/>
        <v>1.661</v>
      </c>
      <c r="Q2134" s="7" t="str">
        <f>VLOOKUP(D2135,Product_Lookup!$A$2:$C$27,2,FALSE)</f>
        <v>Notebook</v>
      </c>
      <c r="R2134" s="7">
        <f t="shared" si="266"/>
        <v>298.98</v>
      </c>
    </row>
    <row r="2135" spans="1:18" ht="21.75" customHeight="1">
      <c r="A2135" t="s">
        <v>2286</v>
      </c>
      <c r="B2135" s="6">
        <v>45449</v>
      </c>
      <c r="C2135" t="s">
        <v>68</v>
      </c>
      <c r="D2135" t="s">
        <v>160</v>
      </c>
      <c r="E2135" t="s">
        <v>22</v>
      </c>
      <c r="F2135" t="s">
        <v>42</v>
      </c>
      <c r="G2135" t="s">
        <v>13</v>
      </c>
      <c r="H2135">
        <v>4</v>
      </c>
      <c r="I2135" t="str">
        <f>VLOOKUP(D2135,Product_Lookup!$A$2:$C$27,3,FALSE)</f>
        <v>$149.27</v>
      </c>
      <c r="J2135" t="str">
        <f t="shared" si="267"/>
        <v>Thursday</v>
      </c>
      <c r="K2135" s="10" t="str">
        <f t="shared" si="268"/>
        <v>June</v>
      </c>
      <c r="L2135">
        <f t="shared" si="269"/>
        <v>2024</v>
      </c>
      <c r="M2135" t="b">
        <f t="shared" si="270"/>
        <v>0</v>
      </c>
      <c r="N2135" t="b">
        <f t="shared" si="264"/>
        <v>0</v>
      </c>
      <c r="O2135" t="str">
        <f t="shared" si="271"/>
        <v>Large Order</v>
      </c>
      <c r="P2135" s="7">
        <f t="shared" si="265"/>
        <v>7.4635000000000007</v>
      </c>
      <c r="Q2135" s="7" t="str">
        <f>VLOOKUP(D2136,Product_Lookup!$A$2:$C$27,2,FALSE)</f>
        <v>Lego Set</v>
      </c>
      <c r="R2135" s="7">
        <f t="shared" si="266"/>
        <v>597.08000000000004</v>
      </c>
    </row>
    <row r="2136" spans="1:18" ht="21.75" customHeight="1">
      <c r="A2136" t="s">
        <v>2287</v>
      </c>
      <c r="B2136" s="6">
        <v>45466</v>
      </c>
      <c r="C2136" t="s">
        <v>106</v>
      </c>
      <c r="D2136" t="s">
        <v>84</v>
      </c>
      <c r="E2136" t="s">
        <v>22</v>
      </c>
      <c r="F2136" t="s">
        <v>306</v>
      </c>
      <c r="G2136" t="s">
        <v>13</v>
      </c>
      <c r="H2136">
        <v>6</v>
      </c>
      <c r="I2136" t="str">
        <f>VLOOKUP(D2136,Product_Lookup!$A$2:$C$27,3,FALSE)</f>
        <v>$130.07</v>
      </c>
      <c r="J2136" t="str">
        <f t="shared" si="267"/>
        <v>Sunday</v>
      </c>
      <c r="K2136" s="10" t="str">
        <f t="shared" si="268"/>
        <v>June</v>
      </c>
      <c r="L2136">
        <f t="shared" si="269"/>
        <v>2024</v>
      </c>
      <c r="M2136" t="b">
        <f t="shared" si="270"/>
        <v>1</v>
      </c>
      <c r="N2136" t="b">
        <f t="shared" si="264"/>
        <v>1</v>
      </c>
      <c r="O2136" t="str">
        <f t="shared" si="271"/>
        <v>Large Order</v>
      </c>
      <c r="P2136" s="7">
        <f t="shared" si="265"/>
        <v>6.5034999999999998</v>
      </c>
      <c r="Q2136" s="7" t="str">
        <f>VLOOKUP(D2137,Product_Lookup!$A$2:$C$27,2,FALSE)</f>
        <v>Stapler</v>
      </c>
      <c r="R2136" s="7">
        <f t="shared" si="266"/>
        <v>780.42</v>
      </c>
    </row>
    <row r="2137" spans="1:18" ht="21.75" customHeight="1">
      <c r="A2137" t="s">
        <v>2288</v>
      </c>
      <c r="B2137" s="6">
        <v>45465</v>
      </c>
      <c r="C2137" t="s">
        <v>422</v>
      </c>
      <c r="D2137" t="s">
        <v>35</v>
      </c>
      <c r="E2137" t="s">
        <v>17</v>
      </c>
      <c r="F2137" t="s">
        <v>12</v>
      </c>
      <c r="G2137" t="s">
        <v>28</v>
      </c>
      <c r="H2137">
        <v>16</v>
      </c>
      <c r="I2137" t="str">
        <f>VLOOKUP(D2137,Product_Lookup!$A$2:$C$27,3,FALSE)</f>
        <v>$64.61</v>
      </c>
      <c r="J2137" t="str">
        <f t="shared" si="267"/>
        <v>Saturday</v>
      </c>
      <c r="K2137" s="10" t="str">
        <f t="shared" si="268"/>
        <v>June</v>
      </c>
      <c r="L2137">
        <f t="shared" si="269"/>
        <v>2024</v>
      </c>
      <c r="M2137" t="b">
        <f t="shared" si="270"/>
        <v>1</v>
      </c>
      <c r="N2137" t="b">
        <f t="shared" si="264"/>
        <v>1</v>
      </c>
      <c r="O2137" t="str">
        <f t="shared" si="271"/>
        <v>Large Order</v>
      </c>
      <c r="P2137" s="7">
        <f t="shared" si="265"/>
        <v>3.2305000000000001</v>
      </c>
      <c r="Q2137" s="7" t="str">
        <f>VLOOKUP(D2138,Product_Lookup!$A$2:$C$27,2,FALSE)</f>
        <v>Blender</v>
      </c>
      <c r="R2137" s="7">
        <f t="shared" si="266"/>
        <v>1033.76</v>
      </c>
    </row>
    <row r="2138" spans="1:18" ht="21.75" customHeight="1">
      <c r="A2138" t="s">
        <v>2289</v>
      </c>
      <c r="B2138" s="6">
        <v>45527</v>
      </c>
      <c r="C2138" t="s">
        <v>312</v>
      </c>
      <c r="D2138" t="s">
        <v>72</v>
      </c>
      <c r="E2138" t="s">
        <v>17</v>
      </c>
      <c r="F2138" t="s">
        <v>27</v>
      </c>
      <c r="G2138" t="s">
        <v>13</v>
      </c>
      <c r="H2138">
        <v>17</v>
      </c>
      <c r="I2138" t="str">
        <f>VLOOKUP(D2138,Product_Lookup!$A$2:$C$27,3,FALSE)</f>
        <v>$156.44</v>
      </c>
      <c r="J2138" t="str">
        <f t="shared" si="267"/>
        <v>Friday</v>
      </c>
      <c r="K2138" s="10" t="str">
        <f t="shared" si="268"/>
        <v>August</v>
      </c>
      <c r="L2138">
        <f t="shared" si="269"/>
        <v>2024</v>
      </c>
      <c r="M2138" t="b">
        <f t="shared" si="270"/>
        <v>0</v>
      </c>
      <c r="N2138" t="b">
        <f t="shared" si="264"/>
        <v>1</v>
      </c>
      <c r="O2138" t="str">
        <f t="shared" si="271"/>
        <v>Large Order</v>
      </c>
      <c r="P2138" s="7">
        <f t="shared" si="265"/>
        <v>7.8220000000000001</v>
      </c>
      <c r="Q2138" s="7" t="str">
        <f>VLOOKUP(D2139,Product_Lookup!$A$2:$C$27,2,FALSE)</f>
        <v>Pen Set</v>
      </c>
      <c r="R2138" s="7">
        <f t="shared" si="266"/>
        <v>2659.48</v>
      </c>
    </row>
    <row r="2139" spans="1:18" ht="21.75" customHeight="1">
      <c r="A2139" t="s">
        <v>2290</v>
      </c>
      <c r="B2139" s="6">
        <v>45639</v>
      </c>
      <c r="C2139" t="s">
        <v>38</v>
      </c>
      <c r="D2139" t="s">
        <v>174</v>
      </c>
      <c r="E2139" t="s">
        <v>22</v>
      </c>
      <c r="F2139" t="s">
        <v>12</v>
      </c>
      <c r="G2139" t="s">
        <v>28</v>
      </c>
      <c r="H2139">
        <v>19</v>
      </c>
      <c r="I2139" t="str">
        <f>VLOOKUP(D2139,Product_Lookup!$A$2:$C$27,3,FALSE)</f>
        <v>$133.37</v>
      </c>
      <c r="J2139" t="str">
        <f t="shared" si="267"/>
        <v>Friday</v>
      </c>
      <c r="K2139" s="10" t="str">
        <f t="shared" si="268"/>
        <v>December</v>
      </c>
      <c r="L2139">
        <f t="shared" si="269"/>
        <v>2024</v>
      </c>
      <c r="M2139" t="b">
        <f t="shared" si="270"/>
        <v>0</v>
      </c>
      <c r="N2139" t="b">
        <f t="shared" si="264"/>
        <v>1</v>
      </c>
      <c r="O2139" t="str">
        <f t="shared" si="271"/>
        <v>Large Order</v>
      </c>
      <c r="P2139" s="7">
        <f t="shared" si="265"/>
        <v>6.6685000000000008</v>
      </c>
      <c r="Q2139" s="7" t="str">
        <f>VLOOKUP(D2140,Product_Lookup!$A$2:$C$27,2,FALSE)</f>
        <v>Headphones</v>
      </c>
      <c r="R2139" s="7">
        <f t="shared" si="266"/>
        <v>2534.0300000000002</v>
      </c>
    </row>
    <row r="2140" spans="1:18" ht="21.75" customHeight="1">
      <c r="A2140" t="s">
        <v>2291</v>
      </c>
      <c r="B2140" s="6">
        <v>45473</v>
      </c>
      <c r="C2140" t="s">
        <v>58</v>
      </c>
      <c r="D2140" t="s">
        <v>16</v>
      </c>
      <c r="E2140" t="s">
        <v>17</v>
      </c>
      <c r="F2140" t="s">
        <v>12</v>
      </c>
      <c r="G2140" t="s">
        <v>32</v>
      </c>
      <c r="H2140">
        <v>13</v>
      </c>
      <c r="I2140" t="str">
        <f>VLOOKUP(D2140,Product_Lookup!$A$2:$C$27,3,FALSE)</f>
        <v>$178.83</v>
      </c>
      <c r="J2140" t="str">
        <f t="shared" si="267"/>
        <v>Sunday</v>
      </c>
      <c r="K2140" s="10" t="str">
        <f t="shared" si="268"/>
        <v>June</v>
      </c>
      <c r="L2140">
        <f t="shared" si="269"/>
        <v>2024</v>
      </c>
      <c r="M2140" t="b">
        <f t="shared" si="270"/>
        <v>1</v>
      </c>
      <c r="N2140" t="b">
        <f t="shared" si="264"/>
        <v>1</v>
      </c>
      <c r="O2140" t="str">
        <f t="shared" si="271"/>
        <v>Large Order</v>
      </c>
      <c r="P2140" s="7">
        <f t="shared" si="265"/>
        <v>8.9415000000000013</v>
      </c>
      <c r="Q2140" s="7" t="str">
        <f>VLOOKUP(D2141,Product_Lookup!$A$2:$C$27,2,FALSE)</f>
        <v>Paper Shredder</v>
      </c>
      <c r="R2140" s="7">
        <f t="shared" si="266"/>
        <v>2324.79</v>
      </c>
    </row>
    <row r="2141" spans="1:18" ht="21.75" customHeight="1">
      <c r="A2141" t="s">
        <v>2292</v>
      </c>
      <c r="B2141" s="6">
        <v>45376</v>
      </c>
      <c r="C2141" t="s">
        <v>314</v>
      </c>
      <c r="D2141" t="s">
        <v>109</v>
      </c>
      <c r="E2141" t="s">
        <v>17</v>
      </c>
      <c r="F2141" t="s">
        <v>56</v>
      </c>
      <c r="G2141" t="s">
        <v>36</v>
      </c>
      <c r="H2141">
        <v>4</v>
      </c>
      <c r="I2141" t="str">
        <f>VLOOKUP(D2141,Product_Lookup!$A$2:$C$27,3,FALSE)</f>
        <v>$81.02</v>
      </c>
      <c r="J2141" t="str">
        <f t="shared" si="267"/>
        <v>Monday</v>
      </c>
      <c r="K2141" s="10" t="str">
        <f t="shared" si="268"/>
        <v>March</v>
      </c>
      <c r="L2141">
        <f t="shared" si="269"/>
        <v>2024</v>
      </c>
      <c r="M2141" t="b">
        <f t="shared" si="270"/>
        <v>0</v>
      </c>
      <c r="N2141" t="b">
        <f t="shared" si="264"/>
        <v>0</v>
      </c>
      <c r="O2141" t="str">
        <f t="shared" si="271"/>
        <v>Standard order</v>
      </c>
      <c r="P2141" s="7">
        <f t="shared" si="265"/>
        <v>4.0510000000000002</v>
      </c>
      <c r="Q2141" s="7" t="str">
        <f>VLOOKUP(D2142,Product_Lookup!$A$2:$C$27,2,FALSE)</f>
        <v>Blender</v>
      </c>
      <c r="R2141" s="7">
        <f t="shared" si="266"/>
        <v>324.08</v>
      </c>
    </row>
    <row r="2142" spans="1:18" ht="21.75" customHeight="1">
      <c r="A2142" t="s">
        <v>2293</v>
      </c>
      <c r="B2142" s="6">
        <v>45449</v>
      </c>
      <c r="C2142" t="s">
        <v>369</v>
      </c>
      <c r="D2142" t="s">
        <v>72</v>
      </c>
      <c r="E2142" t="s">
        <v>22</v>
      </c>
      <c r="F2142" t="s">
        <v>12</v>
      </c>
      <c r="G2142" t="s">
        <v>32</v>
      </c>
      <c r="H2142">
        <v>14</v>
      </c>
      <c r="I2142" t="str">
        <f>VLOOKUP(D2142,Product_Lookup!$A$2:$C$27,3,FALSE)</f>
        <v>$156.44</v>
      </c>
      <c r="J2142" t="str">
        <f t="shared" si="267"/>
        <v>Thursday</v>
      </c>
      <c r="K2142" s="10" t="str">
        <f t="shared" si="268"/>
        <v>June</v>
      </c>
      <c r="L2142">
        <f t="shared" si="269"/>
        <v>2024</v>
      </c>
      <c r="M2142" t="b">
        <f t="shared" si="270"/>
        <v>0</v>
      </c>
      <c r="N2142" t="b">
        <f t="shared" si="264"/>
        <v>1</v>
      </c>
      <c r="O2142" t="str">
        <f t="shared" si="271"/>
        <v>Large Order</v>
      </c>
      <c r="P2142" s="7">
        <f t="shared" si="265"/>
        <v>7.8220000000000001</v>
      </c>
      <c r="Q2142" s="7" t="str">
        <f>VLOOKUP(D2143,Product_Lookup!$A$2:$C$27,2,FALSE)</f>
        <v>Air Fryer</v>
      </c>
      <c r="R2142" s="7">
        <f t="shared" si="266"/>
        <v>2190.16</v>
      </c>
    </row>
    <row r="2143" spans="1:18" ht="21.75" customHeight="1">
      <c r="A2143" t="s">
        <v>2294</v>
      </c>
      <c r="B2143" s="6">
        <v>45413</v>
      </c>
      <c r="C2143" t="s">
        <v>200</v>
      </c>
      <c r="D2143" t="s">
        <v>70</v>
      </c>
      <c r="E2143" t="s">
        <v>17</v>
      </c>
      <c r="F2143" t="s">
        <v>56</v>
      </c>
      <c r="G2143" t="s">
        <v>36</v>
      </c>
      <c r="H2143">
        <v>10</v>
      </c>
      <c r="I2143" t="str">
        <f>VLOOKUP(D2143,Product_Lookup!$A$2:$C$27,3,FALSE)</f>
        <v>$211.9</v>
      </c>
      <c r="J2143" t="str">
        <f t="shared" si="267"/>
        <v>Wednesday</v>
      </c>
      <c r="K2143" s="10" t="str">
        <f t="shared" si="268"/>
        <v>May</v>
      </c>
      <c r="L2143">
        <f t="shared" si="269"/>
        <v>2024</v>
      </c>
      <c r="M2143" t="b">
        <f t="shared" si="270"/>
        <v>0</v>
      </c>
      <c r="N2143" t="b">
        <f t="shared" si="264"/>
        <v>1</v>
      </c>
      <c r="O2143" t="str">
        <f t="shared" si="271"/>
        <v>Large Order</v>
      </c>
      <c r="P2143" s="7">
        <f t="shared" si="265"/>
        <v>10.595000000000001</v>
      </c>
      <c r="Q2143" s="7" t="str">
        <f>VLOOKUP(D2144,Product_Lookup!$A$2:$C$27,2,FALSE)</f>
        <v>Smartphone</v>
      </c>
      <c r="R2143" s="7">
        <f t="shared" si="266"/>
        <v>2119</v>
      </c>
    </row>
    <row r="2144" spans="1:18" ht="21.75" customHeight="1">
      <c r="A2144" t="s">
        <v>2295</v>
      </c>
      <c r="B2144" s="6">
        <v>45483</v>
      </c>
      <c r="C2144" t="s">
        <v>728</v>
      </c>
      <c r="D2144" t="s">
        <v>79</v>
      </c>
      <c r="E2144" t="s">
        <v>11</v>
      </c>
      <c r="F2144" t="s">
        <v>12</v>
      </c>
      <c r="G2144" t="s">
        <v>23</v>
      </c>
      <c r="H2144">
        <v>17</v>
      </c>
      <c r="I2144" t="str">
        <f>VLOOKUP(D2144,Product_Lookup!$A$2:$C$27,3,FALSE)</f>
        <v>$216.22</v>
      </c>
      <c r="J2144" t="str">
        <f t="shared" si="267"/>
        <v>Wednesday</v>
      </c>
      <c r="K2144" s="10" t="str">
        <f t="shared" si="268"/>
        <v>July</v>
      </c>
      <c r="L2144">
        <f t="shared" si="269"/>
        <v>2024</v>
      </c>
      <c r="M2144" t="b">
        <f t="shared" si="270"/>
        <v>0</v>
      </c>
      <c r="N2144" t="b">
        <f t="shared" si="264"/>
        <v>1</v>
      </c>
      <c r="O2144" t="str">
        <f t="shared" si="271"/>
        <v>Large Order</v>
      </c>
      <c r="P2144" s="7">
        <f t="shared" si="265"/>
        <v>10.811</v>
      </c>
      <c r="Q2144" s="7" t="str">
        <f>VLOOKUP(D2145,Product_Lookup!$A$2:$C$27,2,FALSE)</f>
        <v>Headphones</v>
      </c>
      <c r="R2144" s="7">
        <f t="shared" si="266"/>
        <v>3675.74</v>
      </c>
    </row>
    <row r="2145" spans="1:18" ht="21.75" customHeight="1">
      <c r="A2145" t="s">
        <v>2296</v>
      </c>
      <c r="B2145" s="6">
        <v>45539</v>
      </c>
      <c r="C2145" t="s">
        <v>358</v>
      </c>
      <c r="D2145" t="s">
        <v>16</v>
      </c>
      <c r="E2145" t="s">
        <v>11</v>
      </c>
      <c r="F2145" t="s">
        <v>42</v>
      </c>
      <c r="G2145" t="s">
        <v>23</v>
      </c>
      <c r="H2145">
        <v>17</v>
      </c>
      <c r="I2145" t="str">
        <f>VLOOKUP(D2145,Product_Lookup!$A$2:$C$27,3,FALSE)</f>
        <v>$178.83</v>
      </c>
      <c r="J2145" t="str">
        <f t="shared" si="267"/>
        <v>Wednesday</v>
      </c>
      <c r="K2145" s="10" t="str">
        <f t="shared" si="268"/>
        <v>September</v>
      </c>
      <c r="L2145">
        <f t="shared" si="269"/>
        <v>2024</v>
      </c>
      <c r="M2145" t="b">
        <f t="shared" si="270"/>
        <v>0</v>
      </c>
      <c r="N2145" t="b">
        <f t="shared" si="264"/>
        <v>1</v>
      </c>
      <c r="O2145" t="str">
        <f t="shared" si="271"/>
        <v>Large Order</v>
      </c>
      <c r="P2145" s="7">
        <f t="shared" si="265"/>
        <v>8.9415000000000013</v>
      </c>
      <c r="Q2145" s="7" t="str">
        <f>VLOOKUP(D2146,Product_Lookup!$A$2:$C$27,2,FALSE)</f>
        <v>Doll</v>
      </c>
      <c r="R2145" s="7">
        <f t="shared" si="266"/>
        <v>3040.11</v>
      </c>
    </row>
    <row r="2146" spans="1:18" ht="21.75" customHeight="1">
      <c r="A2146" t="s">
        <v>2297</v>
      </c>
      <c r="B2146" s="6">
        <v>45459</v>
      </c>
      <c r="C2146" t="s">
        <v>167</v>
      </c>
      <c r="D2146" t="s">
        <v>119</v>
      </c>
      <c r="E2146" t="s">
        <v>11</v>
      </c>
      <c r="F2146" t="s">
        <v>306</v>
      </c>
      <c r="G2146" t="s">
        <v>28</v>
      </c>
      <c r="H2146">
        <v>7</v>
      </c>
      <c r="I2146" t="str">
        <f>VLOOKUP(D2146,Product_Lookup!$A$2:$C$27,3,FALSE)</f>
        <v>$32.94</v>
      </c>
      <c r="J2146" t="str">
        <f t="shared" si="267"/>
        <v>Sunday</v>
      </c>
      <c r="K2146" s="10" t="str">
        <f t="shared" si="268"/>
        <v>June</v>
      </c>
      <c r="L2146">
        <f t="shared" si="269"/>
        <v>2024</v>
      </c>
      <c r="M2146" t="b">
        <f t="shared" si="270"/>
        <v>1</v>
      </c>
      <c r="N2146" t="b">
        <f t="shared" si="264"/>
        <v>0</v>
      </c>
      <c r="O2146" t="str">
        <f t="shared" si="271"/>
        <v>Standard order</v>
      </c>
      <c r="P2146" s="7">
        <f t="shared" si="265"/>
        <v>1.647</v>
      </c>
      <c r="Q2146" s="7" t="str">
        <f>VLOOKUP(D2147,Product_Lookup!$A$2:$C$27,2,FALSE)</f>
        <v>Puzzle</v>
      </c>
      <c r="R2146" s="7">
        <f t="shared" si="266"/>
        <v>230.57999999999998</v>
      </c>
    </row>
    <row r="2147" spans="1:18" ht="21.75" customHeight="1">
      <c r="A2147" t="s">
        <v>2298</v>
      </c>
      <c r="B2147" s="6">
        <v>45527</v>
      </c>
      <c r="C2147" t="s">
        <v>53</v>
      </c>
      <c r="D2147" t="s">
        <v>62</v>
      </c>
      <c r="E2147" t="s">
        <v>22</v>
      </c>
      <c r="F2147" t="s">
        <v>12</v>
      </c>
      <c r="G2147" t="s">
        <v>13</v>
      </c>
      <c r="H2147">
        <v>10</v>
      </c>
      <c r="I2147" t="str">
        <f>VLOOKUP(D2147,Product_Lookup!$A$2:$C$27,3,FALSE)</f>
        <v>$46.19</v>
      </c>
      <c r="J2147" t="str">
        <f t="shared" si="267"/>
        <v>Friday</v>
      </c>
      <c r="K2147" s="10" t="str">
        <f t="shared" si="268"/>
        <v>August</v>
      </c>
      <c r="L2147">
        <f t="shared" si="269"/>
        <v>2024</v>
      </c>
      <c r="M2147" t="b">
        <f t="shared" si="270"/>
        <v>0</v>
      </c>
      <c r="N2147" t="b">
        <f t="shared" si="264"/>
        <v>0</v>
      </c>
      <c r="O2147" t="str">
        <f t="shared" si="271"/>
        <v>Standard order</v>
      </c>
      <c r="P2147" s="7">
        <f t="shared" si="265"/>
        <v>2.3094999999999999</v>
      </c>
      <c r="Q2147" s="7" t="str">
        <f>VLOOKUP(D2148,Product_Lookup!$A$2:$C$27,2,FALSE)</f>
        <v>Tablet</v>
      </c>
      <c r="R2147" s="7">
        <f t="shared" si="266"/>
        <v>461.9</v>
      </c>
    </row>
    <row r="2148" spans="1:18" ht="21.75" customHeight="1">
      <c r="A2148" t="s">
        <v>2299</v>
      </c>
      <c r="B2148" s="6">
        <v>45643</v>
      </c>
      <c r="C2148" t="s">
        <v>327</v>
      </c>
      <c r="D2148" t="s">
        <v>10</v>
      </c>
      <c r="E2148" t="s">
        <v>17</v>
      </c>
      <c r="F2148" t="s">
        <v>27</v>
      </c>
      <c r="G2148" t="s">
        <v>13</v>
      </c>
      <c r="H2148">
        <v>4</v>
      </c>
      <c r="I2148" t="str">
        <f>VLOOKUP(D2148,Product_Lookup!$A$2:$C$27,3,FALSE)</f>
        <v>$146.06</v>
      </c>
      <c r="J2148" t="str">
        <f t="shared" si="267"/>
        <v>Tuesday</v>
      </c>
      <c r="K2148" s="10" t="str">
        <f t="shared" si="268"/>
        <v>December</v>
      </c>
      <c r="L2148">
        <f t="shared" si="269"/>
        <v>2024</v>
      </c>
      <c r="M2148" t="b">
        <f t="shared" si="270"/>
        <v>0</v>
      </c>
      <c r="N2148" t="b">
        <f t="shared" si="264"/>
        <v>0</v>
      </c>
      <c r="O2148" t="str">
        <f t="shared" si="271"/>
        <v>Large Order</v>
      </c>
      <c r="P2148" s="7">
        <f t="shared" si="265"/>
        <v>7.3030000000000008</v>
      </c>
      <c r="Q2148" s="7" t="str">
        <f>VLOOKUP(D2149,Product_Lookup!$A$2:$C$27,2,FALSE)</f>
        <v>Socks</v>
      </c>
      <c r="R2148" s="7">
        <f t="shared" si="266"/>
        <v>584.24</v>
      </c>
    </row>
    <row r="2149" spans="1:18" ht="21.75" customHeight="1">
      <c r="A2149" t="s">
        <v>2300</v>
      </c>
      <c r="B2149" s="6">
        <v>45629</v>
      </c>
      <c r="C2149" t="s">
        <v>323</v>
      </c>
      <c r="D2149" t="s">
        <v>74</v>
      </c>
      <c r="E2149" t="s">
        <v>11</v>
      </c>
      <c r="F2149" t="s">
        <v>306</v>
      </c>
      <c r="G2149" t="s">
        <v>32</v>
      </c>
      <c r="H2149">
        <v>7</v>
      </c>
      <c r="I2149" t="str">
        <f>VLOOKUP(D2149,Product_Lookup!$A$2:$C$27,3,FALSE)</f>
        <v>$201.32</v>
      </c>
      <c r="J2149" t="str">
        <f t="shared" si="267"/>
        <v>Tuesday</v>
      </c>
      <c r="K2149" s="10" t="str">
        <f t="shared" si="268"/>
        <v>December</v>
      </c>
      <c r="L2149">
        <f t="shared" si="269"/>
        <v>2024</v>
      </c>
      <c r="M2149" t="b">
        <f t="shared" si="270"/>
        <v>0</v>
      </c>
      <c r="N2149" t="b">
        <f t="shared" si="264"/>
        <v>1</v>
      </c>
      <c r="O2149" t="str">
        <f t="shared" si="271"/>
        <v>Large Order</v>
      </c>
      <c r="P2149" s="7">
        <f t="shared" si="265"/>
        <v>10.066000000000001</v>
      </c>
      <c r="Q2149" s="7" t="str">
        <f>VLOOKUP(D2150,Product_Lookup!$A$2:$C$27,2,FALSE)</f>
        <v>Sweater</v>
      </c>
      <c r="R2149" s="7">
        <f t="shared" si="266"/>
        <v>1409.24</v>
      </c>
    </row>
    <row r="2150" spans="1:18" ht="21.75" customHeight="1">
      <c r="A2150" t="s">
        <v>2301</v>
      </c>
      <c r="B2150" s="6">
        <v>45390</v>
      </c>
      <c r="C2150" t="s">
        <v>55</v>
      </c>
      <c r="D2150" t="s">
        <v>26</v>
      </c>
      <c r="E2150" t="s">
        <v>22</v>
      </c>
      <c r="F2150" t="s">
        <v>42</v>
      </c>
      <c r="G2150" t="s">
        <v>23</v>
      </c>
      <c r="H2150">
        <v>4</v>
      </c>
      <c r="I2150" t="str">
        <f>VLOOKUP(D2150,Product_Lookup!$A$2:$C$27,3,FALSE)</f>
        <v>$84.57</v>
      </c>
      <c r="J2150" t="str">
        <f t="shared" si="267"/>
        <v>Monday</v>
      </c>
      <c r="K2150" s="10" t="str">
        <f t="shared" si="268"/>
        <v>April</v>
      </c>
      <c r="L2150">
        <f t="shared" si="269"/>
        <v>2024</v>
      </c>
      <c r="M2150" t="b">
        <f t="shared" si="270"/>
        <v>0</v>
      </c>
      <c r="N2150" t="b">
        <f t="shared" si="264"/>
        <v>0</v>
      </c>
      <c r="O2150" t="str">
        <f t="shared" si="271"/>
        <v>Standard order</v>
      </c>
      <c r="P2150" s="7">
        <f t="shared" si="265"/>
        <v>4.2284999999999995</v>
      </c>
      <c r="Q2150" s="7" t="str">
        <f>VLOOKUP(D2151,Product_Lookup!$A$2:$C$27,2,FALSE)</f>
        <v>Monitor</v>
      </c>
      <c r="R2150" s="7">
        <f t="shared" si="266"/>
        <v>338.28</v>
      </c>
    </row>
    <row r="2151" spans="1:18" ht="21.75" customHeight="1">
      <c r="A2151" t="s">
        <v>2302</v>
      </c>
      <c r="B2151" s="6">
        <v>45372</v>
      </c>
      <c r="C2151" t="s">
        <v>89</v>
      </c>
      <c r="D2151" t="s">
        <v>102</v>
      </c>
      <c r="E2151" t="s">
        <v>11</v>
      </c>
      <c r="F2151" t="s">
        <v>306</v>
      </c>
      <c r="G2151" t="s">
        <v>36</v>
      </c>
      <c r="H2151">
        <v>17</v>
      </c>
      <c r="I2151" t="str">
        <f>VLOOKUP(D2151,Product_Lookup!$A$2:$C$27,3,FALSE)</f>
        <v>$145.48</v>
      </c>
      <c r="J2151" t="str">
        <f t="shared" si="267"/>
        <v>Thursday</v>
      </c>
      <c r="K2151" s="10" t="str">
        <f t="shared" si="268"/>
        <v>March</v>
      </c>
      <c r="L2151">
        <f t="shared" si="269"/>
        <v>2024</v>
      </c>
      <c r="M2151" t="b">
        <f t="shared" si="270"/>
        <v>0</v>
      </c>
      <c r="N2151" t="b">
        <f t="shared" si="264"/>
        <v>1</v>
      </c>
      <c r="O2151" t="str">
        <f t="shared" si="271"/>
        <v>Large Order</v>
      </c>
      <c r="P2151" s="7">
        <f t="shared" si="265"/>
        <v>7.274</v>
      </c>
      <c r="Q2151" s="7" t="str">
        <f>VLOOKUP(D2152,Product_Lookup!$A$2:$C$27,2,FALSE)</f>
        <v>Pen Set</v>
      </c>
      <c r="R2151" s="7">
        <f t="shared" si="266"/>
        <v>2473.16</v>
      </c>
    </row>
    <row r="2152" spans="1:18" ht="21.75" customHeight="1">
      <c r="A2152" t="s">
        <v>2303</v>
      </c>
      <c r="B2152" s="6">
        <v>45569</v>
      </c>
      <c r="C2152" t="s">
        <v>20</v>
      </c>
      <c r="D2152" t="s">
        <v>174</v>
      </c>
      <c r="E2152" t="s">
        <v>17</v>
      </c>
      <c r="F2152" t="s">
        <v>42</v>
      </c>
      <c r="G2152" t="s">
        <v>28</v>
      </c>
      <c r="H2152">
        <v>10</v>
      </c>
      <c r="I2152" t="str">
        <f>VLOOKUP(D2152,Product_Lookup!$A$2:$C$27,3,FALSE)</f>
        <v>$133.37</v>
      </c>
      <c r="J2152" t="str">
        <f t="shared" si="267"/>
        <v>Friday</v>
      </c>
      <c r="K2152" s="10" t="str">
        <f t="shared" si="268"/>
        <v>October</v>
      </c>
      <c r="L2152">
        <f t="shared" si="269"/>
        <v>2024</v>
      </c>
      <c r="M2152" t="b">
        <f t="shared" si="270"/>
        <v>0</v>
      </c>
      <c r="N2152" t="b">
        <f t="shared" si="264"/>
        <v>1</v>
      </c>
      <c r="O2152" t="str">
        <f t="shared" si="271"/>
        <v>Large Order</v>
      </c>
      <c r="P2152" s="7">
        <f t="shared" si="265"/>
        <v>6.6685000000000008</v>
      </c>
      <c r="Q2152" s="7" t="str">
        <f>VLOOKUP(D2153,Product_Lookup!$A$2:$C$27,2,FALSE)</f>
        <v>Socks</v>
      </c>
      <c r="R2152" s="7">
        <f t="shared" si="266"/>
        <v>1333.7</v>
      </c>
    </row>
    <row r="2153" spans="1:18" ht="21.75" customHeight="1">
      <c r="A2153" t="s">
        <v>2304</v>
      </c>
      <c r="B2153" s="6">
        <v>45379</v>
      </c>
      <c r="C2153" t="s">
        <v>208</v>
      </c>
      <c r="D2153" t="s">
        <v>74</v>
      </c>
      <c r="E2153" t="s">
        <v>22</v>
      </c>
      <c r="F2153" t="s">
        <v>42</v>
      </c>
      <c r="G2153" t="s">
        <v>36</v>
      </c>
      <c r="H2153">
        <v>15</v>
      </c>
      <c r="I2153" t="str">
        <f>VLOOKUP(D2153,Product_Lookup!$A$2:$C$27,3,FALSE)</f>
        <v>$201.32</v>
      </c>
      <c r="J2153" t="str">
        <f t="shared" si="267"/>
        <v>Thursday</v>
      </c>
      <c r="K2153" s="10" t="str">
        <f t="shared" si="268"/>
        <v>March</v>
      </c>
      <c r="L2153">
        <f t="shared" si="269"/>
        <v>2024</v>
      </c>
      <c r="M2153" t="b">
        <f t="shared" si="270"/>
        <v>0</v>
      </c>
      <c r="N2153" t="b">
        <f t="shared" si="264"/>
        <v>1</v>
      </c>
      <c r="O2153" t="str">
        <f t="shared" si="271"/>
        <v>Large Order</v>
      </c>
      <c r="P2153" s="7">
        <f t="shared" si="265"/>
        <v>10.066000000000001</v>
      </c>
      <c r="Q2153" s="7" t="str">
        <f>VLOOKUP(D2154,Product_Lookup!$A$2:$C$27,2,FALSE)</f>
        <v>Board Game</v>
      </c>
      <c r="R2153" s="7">
        <f t="shared" si="266"/>
        <v>3019.7999999999997</v>
      </c>
    </row>
    <row r="2154" spans="1:18" ht="21.75" customHeight="1">
      <c r="A2154" t="s">
        <v>2305</v>
      </c>
      <c r="B2154" s="6">
        <v>45306</v>
      </c>
      <c r="C2154" t="s">
        <v>553</v>
      </c>
      <c r="D2154" t="s">
        <v>41</v>
      </c>
      <c r="E2154" t="s">
        <v>11</v>
      </c>
      <c r="F2154" t="s">
        <v>12</v>
      </c>
      <c r="G2154" t="s">
        <v>23</v>
      </c>
      <c r="H2154">
        <v>2</v>
      </c>
      <c r="I2154" t="str">
        <f>VLOOKUP(D2154,Product_Lookup!$A$2:$C$27,3,FALSE)</f>
        <v>$86.6</v>
      </c>
      <c r="J2154" t="str">
        <f t="shared" si="267"/>
        <v>Monday</v>
      </c>
      <c r="K2154" s="10" t="str">
        <f t="shared" si="268"/>
        <v>January</v>
      </c>
      <c r="L2154">
        <f t="shared" si="269"/>
        <v>2024</v>
      </c>
      <c r="M2154" t="b">
        <f t="shared" si="270"/>
        <v>0</v>
      </c>
      <c r="N2154" t="b">
        <f t="shared" si="264"/>
        <v>0</v>
      </c>
      <c r="O2154" t="str">
        <f t="shared" si="271"/>
        <v>Standard order</v>
      </c>
      <c r="P2154" s="7">
        <f t="shared" si="265"/>
        <v>4.33</v>
      </c>
      <c r="Q2154" s="7" t="str">
        <f>VLOOKUP(D2155,Product_Lookup!$A$2:$C$27,2,FALSE)</f>
        <v>Puzzle</v>
      </c>
      <c r="R2154" s="7">
        <f t="shared" si="266"/>
        <v>173.2</v>
      </c>
    </row>
    <row r="2155" spans="1:18" ht="21.75" customHeight="1">
      <c r="A2155" t="s">
        <v>2306</v>
      </c>
      <c r="B2155" s="6">
        <v>45492</v>
      </c>
      <c r="C2155" t="s">
        <v>235</v>
      </c>
      <c r="D2155" t="s">
        <v>62</v>
      </c>
      <c r="E2155" t="s">
        <v>22</v>
      </c>
      <c r="F2155" t="s">
        <v>306</v>
      </c>
      <c r="G2155" t="s">
        <v>23</v>
      </c>
      <c r="H2155">
        <v>20</v>
      </c>
      <c r="I2155" t="str">
        <f>VLOOKUP(D2155,Product_Lookup!$A$2:$C$27,3,FALSE)</f>
        <v>$46.19</v>
      </c>
      <c r="J2155" t="str">
        <f t="shared" si="267"/>
        <v>Friday</v>
      </c>
      <c r="K2155" s="10" t="str">
        <f t="shared" si="268"/>
        <v>July</v>
      </c>
      <c r="L2155">
        <f t="shared" si="269"/>
        <v>2024</v>
      </c>
      <c r="M2155" t="b">
        <f t="shared" si="270"/>
        <v>0</v>
      </c>
      <c r="N2155" t="b">
        <f t="shared" si="264"/>
        <v>1</v>
      </c>
      <c r="O2155" t="str">
        <f t="shared" si="271"/>
        <v>Large Order</v>
      </c>
      <c r="P2155" s="7">
        <f t="shared" si="265"/>
        <v>2.3094999999999999</v>
      </c>
      <c r="Q2155" s="7" t="str">
        <f>VLOOKUP(D2156,Product_Lookup!$A$2:$C$27,2,FALSE)</f>
        <v>Puzzle</v>
      </c>
      <c r="R2155" s="7">
        <f t="shared" si="266"/>
        <v>923.8</v>
      </c>
    </row>
    <row r="2156" spans="1:18" ht="21.75" customHeight="1">
      <c r="A2156" t="s">
        <v>2307</v>
      </c>
      <c r="B2156" s="6">
        <v>45462</v>
      </c>
      <c r="C2156" t="s">
        <v>104</v>
      </c>
      <c r="D2156" t="s">
        <v>62</v>
      </c>
      <c r="E2156" t="s">
        <v>22</v>
      </c>
      <c r="F2156" t="s">
        <v>306</v>
      </c>
      <c r="G2156" t="s">
        <v>13</v>
      </c>
      <c r="H2156">
        <v>15</v>
      </c>
      <c r="I2156" t="str">
        <f>VLOOKUP(D2156,Product_Lookup!$A$2:$C$27,3,FALSE)</f>
        <v>$46.19</v>
      </c>
      <c r="J2156" t="str">
        <f t="shared" si="267"/>
        <v>Wednesday</v>
      </c>
      <c r="K2156" s="10" t="str">
        <f t="shared" si="268"/>
        <v>June</v>
      </c>
      <c r="L2156">
        <f t="shared" si="269"/>
        <v>2024</v>
      </c>
      <c r="M2156" t="b">
        <f t="shared" si="270"/>
        <v>0</v>
      </c>
      <c r="N2156" t="b">
        <f t="shared" si="264"/>
        <v>0</v>
      </c>
      <c r="O2156" t="str">
        <f t="shared" si="271"/>
        <v>Large Order</v>
      </c>
      <c r="P2156" s="7">
        <f t="shared" si="265"/>
        <v>2.3094999999999999</v>
      </c>
      <c r="Q2156" s="7" t="str">
        <f>VLOOKUP(D2157,Product_Lookup!$A$2:$C$27,2,FALSE)</f>
        <v>Air Fryer</v>
      </c>
      <c r="R2156" s="7">
        <f t="shared" si="266"/>
        <v>692.84999999999991</v>
      </c>
    </row>
    <row r="2157" spans="1:18" ht="21.75" customHeight="1">
      <c r="A2157" t="s">
        <v>2308</v>
      </c>
      <c r="B2157" s="6">
        <v>45339</v>
      </c>
      <c r="C2157" t="s">
        <v>424</v>
      </c>
      <c r="D2157" t="s">
        <v>70</v>
      </c>
      <c r="E2157" t="s">
        <v>11</v>
      </c>
      <c r="F2157" t="s">
        <v>27</v>
      </c>
      <c r="G2157" t="s">
        <v>32</v>
      </c>
      <c r="H2157">
        <v>15</v>
      </c>
      <c r="I2157" t="str">
        <f>VLOOKUP(D2157,Product_Lookup!$A$2:$C$27,3,FALSE)</f>
        <v>$211.9</v>
      </c>
      <c r="J2157" t="str">
        <f t="shared" si="267"/>
        <v>Saturday</v>
      </c>
      <c r="K2157" s="10" t="str">
        <f t="shared" si="268"/>
        <v>February</v>
      </c>
      <c r="L2157">
        <f t="shared" si="269"/>
        <v>2024</v>
      </c>
      <c r="M2157" t="b">
        <f t="shared" si="270"/>
        <v>1</v>
      </c>
      <c r="N2157" t="b">
        <f t="shared" si="264"/>
        <v>1</v>
      </c>
      <c r="O2157" t="str">
        <f t="shared" si="271"/>
        <v>Large Order</v>
      </c>
      <c r="P2157" s="7">
        <f t="shared" si="265"/>
        <v>10.595000000000001</v>
      </c>
      <c r="Q2157" s="7" t="str">
        <f>VLOOKUP(D2158,Product_Lookup!$A$2:$C$27,2,FALSE)</f>
        <v>Paper Shredder</v>
      </c>
      <c r="R2157" s="7">
        <f t="shared" si="266"/>
        <v>3178.5</v>
      </c>
    </row>
    <row r="2158" spans="1:18" ht="21.75" customHeight="1">
      <c r="A2158" t="s">
        <v>2309</v>
      </c>
      <c r="B2158" s="6">
        <v>45406</v>
      </c>
      <c r="C2158" t="s">
        <v>167</v>
      </c>
      <c r="D2158" t="s">
        <v>109</v>
      </c>
      <c r="E2158" t="s">
        <v>17</v>
      </c>
      <c r="F2158" t="s">
        <v>42</v>
      </c>
      <c r="G2158" t="s">
        <v>23</v>
      </c>
      <c r="H2158">
        <v>6</v>
      </c>
      <c r="I2158" t="str">
        <f>VLOOKUP(D2158,Product_Lookup!$A$2:$C$27,3,FALSE)</f>
        <v>$81.02</v>
      </c>
      <c r="J2158" t="str">
        <f t="shared" si="267"/>
        <v>Wednesday</v>
      </c>
      <c r="K2158" s="10" t="str">
        <f t="shared" si="268"/>
        <v>April</v>
      </c>
      <c r="L2158">
        <f t="shared" si="269"/>
        <v>2024</v>
      </c>
      <c r="M2158" t="b">
        <f t="shared" si="270"/>
        <v>0</v>
      </c>
      <c r="N2158" t="b">
        <f t="shared" si="264"/>
        <v>0</v>
      </c>
      <c r="O2158" t="str">
        <f t="shared" si="271"/>
        <v>Standard order</v>
      </c>
      <c r="P2158" s="7">
        <f t="shared" si="265"/>
        <v>4.0510000000000002</v>
      </c>
      <c r="Q2158" s="7" t="str">
        <f>VLOOKUP(D2159,Product_Lookup!$A$2:$C$27,2,FALSE)</f>
        <v>Blender</v>
      </c>
      <c r="R2158" s="7">
        <f t="shared" si="266"/>
        <v>486.12</v>
      </c>
    </row>
    <row r="2159" spans="1:18" ht="21.75" customHeight="1">
      <c r="A2159" t="s">
        <v>2310</v>
      </c>
      <c r="B2159" s="6">
        <v>45632</v>
      </c>
      <c r="C2159" t="s">
        <v>118</v>
      </c>
      <c r="D2159" t="s">
        <v>72</v>
      </c>
      <c r="E2159" t="s">
        <v>17</v>
      </c>
      <c r="F2159" t="s">
        <v>27</v>
      </c>
      <c r="G2159" t="s">
        <v>13</v>
      </c>
      <c r="H2159">
        <v>3</v>
      </c>
      <c r="I2159" t="str">
        <f>VLOOKUP(D2159,Product_Lookup!$A$2:$C$27,3,FALSE)</f>
        <v>$156.44</v>
      </c>
      <c r="J2159" t="str">
        <f t="shared" si="267"/>
        <v>Friday</v>
      </c>
      <c r="K2159" s="10" t="str">
        <f t="shared" si="268"/>
        <v>December</v>
      </c>
      <c r="L2159">
        <f t="shared" si="269"/>
        <v>2024</v>
      </c>
      <c r="M2159" t="b">
        <f t="shared" si="270"/>
        <v>0</v>
      </c>
      <c r="N2159" t="b">
        <f t="shared" si="264"/>
        <v>0</v>
      </c>
      <c r="O2159" t="str">
        <f t="shared" si="271"/>
        <v>Standard order</v>
      </c>
      <c r="P2159" s="7">
        <f t="shared" si="265"/>
        <v>7.8220000000000001</v>
      </c>
      <c r="Q2159" s="7" t="str">
        <f>VLOOKUP(D2160,Product_Lookup!$A$2:$C$27,2,FALSE)</f>
        <v>Air Fryer</v>
      </c>
      <c r="R2159" s="7">
        <f t="shared" si="266"/>
        <v>469.32</v>
      </c>
    </row>
    <row r="2160" spans="1:18" ht="21.75" customHeight="1">
      <c r="A2160" t="s">
        <v>2311</v>
      </c>
      <c r="B2160" s="6">
        <v>45471</v>
      </c>
      <c r="C2160" t="s">
        <v>517</v>
      </c>
      <c r="D2160" t="s">
        <v>70</v>
      </c>
      <c r="E2160" t="s">
        <v>11</v>
      </c>
      <c r="F2160" t="s">
        <v>42</v>
      </c>
      <c r="G2160" t="s">
        <v>32</v>
      </c>
      <c r="H2160">
        <v>20</v>
      </c>
      <c r="I2160" t="str">
        <f>VLOOKUP(D2160,Product_Lookup!$A$2:$C$27,3,FALSE)</f>
        <v>$211.9</v>
      </c>
      <c r="J2160" t="str">
        <f t="shared" si="267"/>
        <v>Friday</v>
      </c>
      <c r="K2160" s="10" t="str">
        <f t="shared" si="268"/>
        <v>June</v>
      </c>
      <c r="L2160">
        <f t="shared" si="269"/>
        <v>2024</v>
      </c>
      <c r="M2160" t="b">
        <f t="shared" si="270"/>
        <v>0</v>
      </c>
      <c r="N2160" t="b">
        <f t="shared" si="264"/>
        <v>1</v>
      </c>
      <c r="O2160" t="str">
        <f t="shared" si="271"/>
        <v>Large Order</v>
      </c>
      <c r="P2160" s="7">
        <f t="shared" si="265"/>
        <v>10.595000000000001</v>
      </c>
      <c r="Q2160" s="7" t="str">
        <f>VLOOKUP(D2161,Product_Lookup!$A$2:$C$27,2,FALSE)</f>
        <v>Coffee Maker</v>
      </c>
      <c r="R2160" s="7">
        <f t="shared" si="266"/>
        <v>4238</v>
      </c>
    </row>
    <row r="2161" spans="1:18" ht="21.75" customHeight="1">
      <c r="A2161" t="s">
        <v>2312</v>
      </c>
      <c r="B2161" s="6">
        <v>45552</v>
      </c>
      <c r="C2161" t="s">
        <v>15</v>
      </c>
      <c r="D2161" t="s">
        <v>31</v>
      </c>
      <c r="E2161" t="s">
        <v>22</v>
      </c>
      <c r="F2161" t="s">
        <v>12</v>
      </c>
      <c r="G2161" t="s">
        <v>32</v>
      </c>
      <c r="H2161">
        <v>18</v>
      </c>
      <c r="I2161" t="str">
        <f>VLOOKUP(D2161,Product_Lookup!$A$2:$C$27,3,FALSE)</f>
        <v>$230.34</v>
      </c>
      <c r="J2161" t="str">
        <f t="shared" si="267"/>
        <v>Tuesday</v>
      </c>
      <c r="K2161" s="10" t="str">
        <f t="shared" si="268"/>
        <v>September</v>
      </c>
      <c r="L2161">
        <f t="shared" si="269"/>
        <v>2024</v>
      </c>
      <c r="M2161" t="b">
        <f t="shared" si="270"/>
        <v>0</v>
      </c>
      <c r="N2161" t="b">
        <f t="shared" si="264"/>
        <v>1</v>
      </c>
      <c r="O2161" t="str">
        <f t="shared" si="271"/>
        <v>Large Order</v>
      </c>
      <c r="P2161" s="7">
        <f t="shared" si="265"/>
        <v>11.517000000000001</v>
      </c>
      <c r="Q2161" s="7" t="str">
        <f>VLOOKUP(D2162,Product_Lookup!$A$2:$C$27,2,FALSE)</f>
        <v>Air Fryer</v>
      </c>
      <c r="R2161" s="7">
        <f t="shared" si="266"/>
        <v>4146.12</v>
      </c>
    </row>
    <row r="2162" spans="1:18" ht="21.75" customHeight="1">
      <c r="A2162" t="s">
        <v>2313</v>
      </c>
      <c r="B2162" s="6">
        <v>45446</v>
      </c>
      <c r="C2162" t="s">
        <v>312</v>
      </c>
      <c r="D2162" t="s">
        <v>70</v>
      </c>
      <c r="E2162" t="s">
        <v>17</v>
      </c>
      <c r="F2162" t="s">
        <v>306</v>
      </c>
      <c r="G2162" t="s">
        <v>23</v>
      </c>
      <c r="H2162">
        <v>8</v>
      </c>
      <c r="I2162" t="str">
        <f>VLOOKUP(D2162,Product_Lookup!$A$2:$C$27,3,FALSE)</f>
        <v>$211.9</v>
      </c>
      <c r="J2162" t="str">
        <f t="shared" si="267"/>
        <v>Monday</v>
      </c>
      <c r="K2162" s="10" t="str">
        <f t="shared" si="268"/>
        <v>June</v>
      </c>
      <c r="L2162">
        <f t="shared" si="269"/>
        <v>2024</v>
      </c>
      <c r="M2162" t="b">
        <f t="shared" si="270"/>
        <v>0</v>
      </c>
      <c r="N2162" t="b">
        <f t="shared" si="264"/>
        <v>1</v>
      </c>
      <c r="O2162" t="str">
        <f t="shared" si="271"/>
        <v>Large Order</v>
      </c>
      <c r="P2162" s="7">
        <f t="shared" si="265"/>
        <v>10.595000000000001</v>
      </c>
      <c r="Q2162" s="7" t="str">
        <f>VLOOKUP(D2163,Product_Lookup!$A$2:$C$27,2,FALSE)</f>
        <v>Stapler</v>
      </c>
      <c r="R2162" s="7">
        <f t="shared" si="266"/>
        <v>1695.2</v>
      </c>
    </row>
    <row r="2163" spans="1:18" ht="21.75" customHeight="1">
      <c r="A2163" t="s">
        <v>2314</v>
      </c>
      <c r="B2163" s="6">
        <v>45572</v>
      </c>
      <c r="C2163" t="s">
        <v>111</v>
      </c>
      <c r="D2163" t="s">
        <v>35</v>
      </c>
      <c r="E2163" t="s">
        <v>17</v>
      </c>
      <c r="F2163" t="s">
        <v>12</v>
      </c>
      <c r="G2163" t="s">
        <v>32</v>
      </c>
      <c r="H2163">
        <v>7</v>
      </c>
      <c r="I2163" t="str">
        <f>VLOOKUP(D2163,Product_Lookup!$A$2:$C$27,3,FALSE)</f>
        <v>$64.61</v>
      </c>
      <c r="J2163" t="str">
        <f t="shared" si="267"/>
        <v>Monday</v>
      </c>
      <c r="K2163" s="10" t="str">
        <f t="shared" si="268"/>
        <v>October</v>
      </c>
      <c r="L2163">
        <f t="shared" si="269"/>
        <v>2024</v>
      </c>
      <c r="M2163" t="b">
        <f t="shared" si="270"/>
        <v>0</v>
      </c>
      <c r="N2163" t="b">
        <f t="shared" si="264"/>
        <v>0</v>
      </c>
      <c r="O2163" t="str">
        <f t="shared" si="271"/>
        <v>Standard order</v>
      </c>
      <c r="P2163" s="7">
        <f t="shared" si="265"/>
        <v>3.2305000000000001</v>
      </c>
      <c r="Q2163" s="7" t="str">
        <f>VLOOKUP(D2164,Product_Lookup!$A$2:$C$27,2,FALSE)</f>
        <v>Vacuum</v>
      </c>
      <c r="R2163" s="7">
        <f t="shared" si="266"/>
        <v>452.27</v>
      </c>
    </row>
    <row r="2164" spans="1:18" ht="21.75" customHeight="1">
      <c r="A2164" t="s">
        <v>2315</v>
      </c>
      <c r="B2164" s="6">
        <v>45594</v>
      </c>
      <c r="C2164" t="s">
        <v>348</v>
      </c>
      <c r="D2164" t="s">
        <v>87</v>
      </c>
      <c r="E2164" t="s">
        <v>22</v>
      </c>
      <c r="F2164" t="s">
        <v>42</v>
      </c>
      <c r="G2164" t="s">
        <v>36</v>
      </c>
      <c r="H2164">
        <v>8</v>
      </c>
      <c r="I2164" t="str">
        <f>VLOOKUP(D2164,Product_Lookup!$A$2:$C$27,3,FALSE)</f>
        <v>$26.59</v>
      </c>
      <c r="J2164" t="str">
        <f t="shared" si="267"/>
        <v>Tuesday</v>
      </c>
      <c r="K2164" s="10" t="str">
        <f t="shared" si="268"/>
        <v>October</v>
      </c>
      <c r="L2164">
        <f t="shared" si="269"/>
        <v>2024</v>
      </c>
      <c r="M2164" t="b">
        <f t="shared" si="270"/>
        <v>0</v>
      </c>
      <c r="N2164" t="b">
        <f t="shared" si="264"/>
        <v>0</v>
      </c>
      <c r="O2164" t="str">
        <f t="shared" si="271"/>
        <v>Standard order</v>
      </c>
      <c r="P2164" s="7">
        <f t="shared" si="265"/>
        <v>1.3295000000000001</v>
      </c>
      <c r="Q2164" s="7" t="str">
        <f>VLOOKUP(D2165,Product_Lookup!$A$2:$C$27,2,FALSE)</f>
        <v>Lego Set</v>
      </c>
      <c r="R2164" s="7">
        <f t="shared" si="266"/>
        <v>212.72</v>
      </c>
    </row>
    <row r="2165" spans="1:18" ht="21.75" customHeight="1">
      <c r="A2165" t="s">
        <v>2316</v>
      </c>
      <c r="B2165" s="6">
        <v>45634</v>
      </c>
      <c r="C2165" t="s">
        <v>208</v>
      </c>
      <c r="D2165" t="s">
        <v>84</v>
      </c>
      <c r="E2165" t="s">
        <v>22</v>
      </c>
      <c r="F2165" t="s">
        <v>306</v>
      </c>
      <c r="G2165" t="s">
        <v>23</v>
      </c>
      <c r="H2165">
        <v>4</v>
      </c>
      <c r="I2165" t="str">
        <f>VLOOKUP(D2165,Product_Lookup!$A$2:$C$27,3,FALSE)</f>
        <v>$130.07</v>
      </c>
      <c r="J2165" t="str">
        <f t="shared" si="267"/>
        <v>Sunday</v>
      </c>
      <c r="K2165" s="10" t="str">
        <f t="shared" si="268"/>
        <v>December</v>
      </c>
      <c r="L2165">
        <f t="shared" si="269"/>
        <v>2024</v>
      </c>
      <c r="M2165" t="b">
        <f t="shared" si="270"/>
        <v>1</v>
      </c>
      <c r="N2165" t="b">
        <f t="shared" si="264"/>
        <v>0</v>
      </c>
      <c r="O2165" t="str">
        <f t="shared" si="271"/>
        <v>Large Order</v>
      </c>
      <c r="P2165" s="7">
        <f t="shared" si="265"/>
        <v>6.5034999999999998</v>
      </c>
      <c r="Q2165" s="7" t="str">
        <f>VLOOKUP(D2166,Product_Lookup!$A$2:$C$27,2,FALSE)</f>
        <v>Pen Set</v>
      </c>
      <c r="R2165" s="7">
        <f t="shared" si="266"/>
        <v>520.28</v>
      </c>
    </row>
    <row r="2166" spans="1:18" ht="21.75" customHeight="1">
      <c r="A2166" t="s">
        <v>2317</v>
      </c>
      <c r="B2166" s="6">
        <v>45529</v>
      </c>
      <c r="C2166" t="s">
        <v>187</v>
      </c>
      <c r="D2166" t="s">
        <v>174</v>
      </c>
      <c r="E2166" t="s">
        <v>11</v>
      </c>
      <c r="F2166" t="s">
        <v>27</v>
      </c>
      <c r="G2166" t="s">
        <v>28</v>
      </c>
      <c r="H2166">
        <v>10</v>
      </c>
      <c r="I2166" t="str">
        <f>VLOOKUP(D2166,Product_Lookup!$A$2:$C$27,3,FALSE)</f>
        <v>$133.37</v>
      </c>
      <c r="J2166" t="str">
        <f t="shared" si="267"/>
        <v>Sunday</v>
      </c>
      <c r="K2166" s="10" t="str">
        <f t="shared" si="268"/>
        <v>August</v>
      </c>
      <c r="L2166">
        <f t="shared" si="269"/>
        <v>2024</v>
      </c>
      <c r="M2166" t="b">
        <f t="shared" si="270"/>
        <v>1</v>
      </c>
      <c r="N2166" t="b">
        <f t="shared" si="264"/>
        <v>1</v>
      </c>
      <c r="O2166" t="str">
        <f t="shared" si="271"/>
        <v>Large Order</v>
      </c>
      <c r="P2166" s="7">
        <f t="shared" si="265"/>
        <v>6.6685000000000008</v>
      </c>
      <c r="Q2166" s="7" t="str">
        <f>VLOOKUP(D2167,Product_Lookup!$A$2:$C$27,2,FALSE)</f>
        <v>Monitor</v>
      </c>
      <c r="R2166" s="7">
        <f t="shared" si="266"/>
        <v>1333.7</v>
      </c>
    </row>
    <row r="2167" spans="1:18" ht="21.75" customHeight="1">
      <c r="A2167" t="s">
        <v>2318</v>
      </c>
      <c r="B2167" s="6">
        <v>45327</v>
      </c>
      <c r="C2167" t="s">
        <v>327</v>
      </c>
      <c r="D2167" t="s">
        <v>102</v>
      </c>
      <c r="E2167" t="s">
        <v>22</v>
      </c>
      <c r="F2167" t="s">
        <v>306</v>
      </c>
      <c r="G2167" t="s">
        <v>23</v>
      </c>
      <c r="H2167">
        <v>11</v>
      </c>
      <c r="I2167" t="str">
        <f>VLOOKUP(D2167,Product_Lookup!$A$2:$C$27,3,FALSE)</f>
        <v>$145.48</v>
      </c>
      <c r="J2167" t="str">
        <f t="shared" si="267"/>
        <v>Monday</v>
      </c>
      <c r="K2167" s="10" t="str">
        <f t="shared" si="268"/>
        <v>February</v>
      </c>
      <c r="L2167">
        <f t="shared" si="269"/>
        <v>2024</v>
      </c>
      <c r="M2167" t="b">
        <f t="shared" si="270"/>
        <v>0</v>
      </c>
      <c r="N2167" t="b">
        <f t="shared" si="264"/>
        <v>1</v>
      </c>
      <c r="O2167" t="str">
        <f t="shared" si="271"/>
        <v>Large Order</v>
      </c>
      <c r="P2167" s="7">
        <f t="shared" si="265"/>
        <v>7.274</v>
      </c>
      <c r="Q2167" s="7" t="str">
        <f>VLOOKUP(D2168,Product_Lookup!$A$2:$C$27,2,FALSE)</f>
        <v>Tablet</v>
      </c>
      <c r="R2167" s="7">
        <f t="shared" si="266"/>
        <v>1600.28</v>
      </c>
    </row>
    <row r="2168" spans="1:18" ht="21.75" customHeight="1">
      <c r="A2168" t="s">
        <v>2319</v>
      </c>
      <c r="B2168" s="6">
        <v>45630</v>
      </c>
      <c r="C2168" t="s">
        <v>131</v>
      </c>
      <c r="D2168" t="s">
        <v>10</v>
      </c>
      <c r="E2168" t="s">
        <v>11</v>
      </c>
      <c r="F2168" t="s">
        <v>56</v>
      </c>
      <c r="G2168" t="s">
        <v>36</v>
      </c>
      <c r="H2168">
        <v>1</v>
      </c>
      <c r="I2168" t="str">
        <f>VLOOKUP(D2168,Product_Lookup!$A$2:$C$27,3,FALSE)</f>
        <v>$146.06</v>
      </c>
      <c r="J2168" t="str">
        <f t="shared" si="267"/>
        <v>Wednesday</v>
      </c>
      <c r="K2168" s="10" t="str">
        <f t="shared" si="268"/>
        <v>December</v>
      </c>
      <c r="L2168">
        <f t="shared" si="269"/>
        <v>2024</v>
      </c>
      <c r="M2168" t="b">
        <f t="shared" si="270"/>
        <v>0</v>
      </c>
      <c r="N2168" t="b">
        <f t="shared" si="264"/>
        <v>0</v>
      </c>
      <c r="O2168" t="str">
        <f t="shared" si="271"/>
        <v>Standard order</v>
      </c>
      <c r="P2168" s="7">
        <f t="shared" si="265"/>
        <v>7.3030000000000008</v>
      </c>
      <c r="Q2168" s="7" t="str">
        <f>VLOOKUP(D2169,Product_Lookup!$A$2:$C$27,2,FALSE)</f>
        <v>Air Fryer</v>
      </c>
      <c r="R2168" s="7">
        <f t="shared" si="266"/>
        <v>146.06</v>
      </c>
    </row>
    <row r="2169" spans="1:18" ht="21.75" customHeight="1">
      <c r="A2169" t="s">
        <v>2320</v>
      </c>
      <c r="B2169" s="6">
        <v>45630</v>
      </c>
      <c r="C2169" t="s">
        <v>125</v>
      </c>
      <c r="D2169" t="s">
        <v>70</v>
      </c>
      <c r="E2169" t="s">
        <v>22</v>
      </c>
      <c r="F2169" t="s">
        <v>42</v>
      </c>
      <c r="G2169" t="s">
        <v>23</v>
      </c>
      <c r="H2169">
        <v>20</v>
      </c>
      <c r="I2169" t="str">
        <f>VLOOKUP(D2169,Product_Lookup!$A$2:$C$27,3,FALSE)</f>
        <v>$211.9</v>
      </c>
      <c r="J2169" t="str">
        <f t="shared" si="267"/>
        <v>Wednesday</v>
      </c>
      <c r="K2169" s="10" t="str">
        <f t="shared" si="268"/>
        <v>December</v>
      </c>
      <c r="L2169">
        <f t="shared" si="269"/>
        <v>2024</v>
      </c>
      <c r="M2169" t="b">
        <f t="shared" si="270"/>
        <v>0</v>
      </c>
      <c r="N2169" t="b">
        <f t="shared" si="264"/>
        <v>1</v>
      </c>
      <c r="O2169" t="str">
        <f t="shared" si="271"/>
        <v>Large Order</v>
      </c>
      <c r="P2169" s="7">
        <f t="shared" si="265"/>
        <v>10.595000000000001</v>
      </c>
      <c r="Q2169" s="7" t="str">
        <f>VLOOKUP(D2170,Product_Lookup!$A$2:$C$27,2,FALSE)</f>
        <v>Board Game</v>
      </c>
      <c r="R2169" s="7">
        <f t="shared" si="266"/>
        <v>4238</v>
      </c>
    </row>
    <row r="2170" spans="1:18" ht="21.75" customHeight="1">
      <c r="A2170" t="s">
        <v>2321</v>
      </c>
      <c r="B2170" s="6">
        <v>45392</v>
      </c>
      <c r="C2170" t="s">
        <v>95</v>
      </c>
      <c r="D2170" t="s">
        <v>41</v>
      </c>
      <c r="E2170" t="s">
        <v>17</v>
      </c>
      <c r="F2170" t="s">
        <v>42</v>
      </c>
      <c r="G2170" t="s">
        <v>36</v>
      </c>
      <c r="H2170">
        <v>10</v>
      </c>
      <c r="I2170" t="str">
        <f>VLOOKUP(D2170,Product_Lookup!$A$2:$C$27,3,FALSE)</f>
        <v>$86.6</v>
      </c>
      <c r="J2170" t="str">
        <f t="shared" si="267"/>
        <v>Wednesday</v>
      </c>
      <c r="K2170" s="10" t="str">
        <f t="shared" si="268"/>
        <v>April</v>
      </c>
      <c r="L2170">
        <f t="shared" si="269"/>
        <v>2024</v>
      </c>
      <c r="M2170" t="b">
        <f t="shared" si="270"/>
        <v>0</v>
      </c>
      <c r="N2170" t="b">
        <f t="shared" si="264"/>
        <v>1</v>
      </c>
      <c r="O2170" t="str">
        <f t="shared" si="271"/>
        <v>Large Order</v>
      </c>
      <c r="P2170" s="7">
        <f t="shared" si="265"/>
        <v>4.33</v>
      </c>
      <c r="Q2170" s="7" t="str">
        <f>VLOOKUP(D2171,Product_Lookup!$A$2:$C$27,2,FALSE)</f>
        <v>Toaster</v>
      </c>
      <c r="R2170" s="7">
        <f t="shared" si="266"/>
        <v>866</v>
      </c>
    </row>
    <row r="2171" spans="1:18" ht="21.75" customHeight="1">
      <c r="A2171" t="s">
        <v>2322</v>
      </c>
      <c r="B2171" s="6">
        <v>45514</v>
      </c>
      <c r="C2171" t="s">
        <v>436</v>
      </c>
      <c r="D2171" t="s">
        <v>48</v>
      </c>
      <c r="E2171" t="s">
        <v>11</v>
      </c>
      <c r="F2171" t="s">
        <v>306</v>
      </c>
      <c r="G2171" t="s">
        <v>13</v>
      </c>
      <c r="H2171">
        <v>20</v>
      </c>
      <c r="I2171" t="str">
        <f>VLOOKUP(D2171,Product_Lookup!$A$2:$C$27,3,FALSE)</f>
        <v>$208.85</v>
      </c>
      <c r="J2171" t="str">
        <f t="shared" si="267"/>
        <v>Saturday</v>
      </c>
      <c r="K2171" s="10" t="str">
        <f t="shared" si="268"/>
        <v>August</v>
      </c>
      <c r="L2171">
        <f t="shared" si="269"/>
        <v>2024</v>
      </c>
      <c r="M2171" t="b">
        <f t="shared" si="270"/>
        <v>1</v>
      </c>
      <c r="N2171" t="b">
        <f t="shared" si="264"/>
        <v>1</v>
      </c>
      <c r="O2171" t="str">
        <f t="shared" si="271"/>
        <v>Large Order</v>
      </c>
      <c r="P2171" s="7">
        <f t="shared" si="265"/>
        <v>10.442500000000001</v>
      </c>
      <c r="Q2171" s="7" t="str">
        <f>VLOOKUP(D2172,Product_Lookup!$A$2:$C$27,2,FALSE)</f>
        <v>Socks</v>
      </c>
      <c r="R2171" s="7">
        <f t="shared" si="266"/>
        <v>4177</v>
      </c>
    </row>
    <row r="2172" spans="1:18" ht="21.75" customHeight="1">
      <c r="A2172" t="s">
        <v>2323</v>
      </c>
      <c r="B2172" s="6">
        <v>45498</v>
      </c>
      <c r="C2172" t="s">
        <v>34</v>
      </c>
      <c r="D2172" t="s">
        <v>74</v>
      </c>
      <c r="E2172" t="s">
        <v>11</v>
      </c>
      <c r="F2172" t="s">
        <v>42</v>
      </c>
      <c r="G2172" t="s">
        <v>36</v>
      </c>
      <c r="H2172">
        <v>2</v>
      </c>
      <c r="I2172" t="str">
        <f>VLOOKUP(D2172,Product_Lookup!$A$2:$C$27,3,FALSE)</f>
        <v>$201.32</v>
      </c>
      <c r="J2172" t="str">
        <f t="shared" si="267"/>
        <v>Thursday</v>
      </c>
      <c r="K2172" s="10" t="str">
        <f t="shared" si="268"/>
        <v>July</v>
      </c>
      <c r="L2172">
        <f t="shared" si="269"/>
        <v>2024</v>
      </c>
      <c r="M2172" t="b">
        <f t="shared" si="270"/>
        <v>0</v>
      </c>
      <c r="N2172" t="b">
        <f t="shared" si="264"/>
        <v>0</v>
      </c>
      <c r="O2172" t="str">
        <f t="shared" si="271"/>
        <v>Standard order</v>
      </c>
      <c r="P2172" s="7">
        <f t="shared" si="265"/>
        <v>10.066000000000001</v>
      </c>
      <c r="Q2172" s="7" t="str">
        <f>VLOOKUP(D2173,Product_Lookup!$A$2:$C$27,2,FALSE)</f>
        <v>Monitor</v>
      </c>
      <c r="R2172" s="7">
        <f t="shared" si="266"/>
        <v>402.64</v>
      </c>
    </row>
    <row r="2173" spans="1:18" ht="21.75" customHeight="1">
      <c r="A2173" t="s">
        <v>2324</v>
      </c>
      <c r="B2173" s="6">
        <v>45578</v>
      </c>
      <c r="C2173" t="s">
        <v>182</v>
      </c>
      <c r="D2173" t="s">
        <v>102</v>
      </c>
      <c r="E2173" t="s">
        <v>17</v>
      </c>
      <c r="F2173" t="s">
        <v>12</v>
      </c>
      <c r="G2173" t="s">
        <v>28</v>
      </c>
      <c r="H2173">
        <v>14</v>
      </c>
      <c r="I2173" t="str">
        <f>VLOOKUP(D2173,Product_Lookup!$A$2:$C$27,3,FALSE)</f>
        <v>$145.48</v>
      </c>
      <c r="J2173" t="str">
        <f t="shared" si="267"/>
        <v>Sunday</v>
      </c>
      <c r="K2173" s="10" t="str">
        <f t="shared" si="268"/>
        <v>October</v>
      </c>
      <c r="L2173">
        <f t="shared" si="269"/>
        <v>2024</v>
      </c>
      <c r="M2173" t="b">
        <f t="shared" si="270"/>
        <v>1</v>
      </c>
      <c r="N2173" t="b">
        <f t="shared" si="264"/>
        <v>1</v>
      </c>
      <c r="O2173" t="str">
        <f t="shared" si="271"/>
        <v>Large Order</v>
      </c>
      <c r="P2173" s="7">
        <f t="shared" si="265"/>
        <v>7.274</v>
      </c>
      <c r="Q2173" s="7" t="str">
        <f>VLOOKUP(D2174,Product_Lookup!$A$2:$C$27,2,FALSE)</f>
        <v>Blender</v>
      </c>
      <c r="R2173" s="7">
        <f t="shared" si="266"/>
        <v>2036.7199999999998</v>
      </c>
    </row>
    <row r="2174" spans="1:18" ht="21.75" customHeight="1">
      <c r="A2174" t="s">
        <v>2325</v>
      </c>
      <c r="B2174" s="6">
        <v>45493</v>
      </c>
      <c r="C2174" t="s">
        <v>451</v>
      </c>
      <c r="D2174" t="s">
        <v>72</v>
      </c>
      <c r="E2174" t="s">
        <v>22</v>
      </c>
      <c r="F2174" t="s">
        <v>27</v>
      </c>
      <c r="G2174" t="s">
        <v>23</v>
      </c>
      <c r="H2174">
        <v>13</v>
      </c>
      <c r="I2174" t="str">
        <f>VLOOKUP(D2174,Product_Lookup!$A$2:$C$27,3,FALSE)</f>
        <v>$156.44</v>
      </c>
      <c r="J2174" t="str">
        <f t="shared" si="267"/>
        <v>Saturday</v>
      </c>
      <c r="K2174" s="10" t="str">
        <f t="shared" si="268"/>
        <v>July</v>
      </c>
      <c r="L2174">
        <f t="shared" si="269"/>
        <v>2024</v>
      </c>
      <c r="M2174" t="b">
        <f t="shared" si="270"/>
        <v>1</v>
      </c>
      <c r="N2174" t="b">
        <f t="shared" si="264"/>
        <v>1</v>
      </c>
      <c r="O2174" t="str">
        <f t="shared" si="271"/>
        <v>Large Order</v>
      </c>
      <c r="P2174" s="7">
        <f t="shared" si="265"/>
        <v>7.8220000000000001</v>
      </c>
      <c r="Q2174" s="7" t="str">
        <f>VLOOKUP(D2175,Product_Lookup!$A$2:$C$27,2,FALSE)</f>
        <v>T-Shirt</v>
      </c>
      <c r="R2174" s="7">
        <f t="shared" si="266"/>
        <v>2033.72</v>
      </c>
    </row>
    <row r="2175" spans="1:18" ht="21.75" customHeight="1">
      <c r="A2175" t="s">
        <v>2326</v>
      </c>
      <c r="B2175" s="6">
        <v>45400</v>
      </c>
      <c r="C2175" t="s">
        <v>371</v>
      </c>
      <c r="D2175" t="s">
        <v>45</v>
      </c>
      <c r="E2175" t="s">
        <v>17</v>
      </c>
      <c r="F2175" t="s">
        <v>56</v>
      </c>
      <c r="G2175" t="s">
        <v>28</v>
      </c>
      <c r="H2175">
        <v>18</v>
      </c>
      <c r="I2175" t="str">
        <f>VLOOKUP(D2175,Product_Lookup!$A$2:$C$27,3,FALSE)</f>
        <v>$107.34</v>
      </c>
      <c r="J2175" t="str">
        <f t="shared" si="267"/>
        <v>Thursday</v>
      </c>
      <c r="K2175" s="10" t="str">
        <f t="shared" si="268"/>
        <v>April</v>
      </c>
      <c r="L2175">
        <f t="shared" si="269"/>
        <v>2024</v>
      </c>
      <c r="M2175" t="b">
        <f t="shared" si="270"/>
        <v>0</v>
      </c>
      <c r="N2175" t="b">
        <f t="shared" si="264"/>
        <v>1</v>
      </c>
      <c r="O2175" t="str">
        <f t="shared" si="271"/>
        <v>Large Order</v>
      </c>
      <c r="P2175" s="7">
        <f t="shared" si="265"/>
        <v>5.3670000000000009</v>
      </c>
      <c r="Q2175" s="7" t="str">
        <f>VLOOKUP(D2176,Product_Lookup!$A$2:$C$27,2,FALSE)</f>
        <v>Headphones</v>
      </c>
      <c r="R2175" s="7">
        <f t="shared" si="266"/>
        <v>1932.1200000000001</v>
      </c>
    </row>
    <row r="2176" spans="1:18" ht="21.75" customHeight="1">
      <c r="A2176" t="s">
        <v>2327</v>
      </c>
      <c r="B2176" s="6">
        <v>45476</v>
      </c>
      <c r="C2176" t="s">
        <v>572</v>
      </c>
      <c r="D2176" t="s">
        <v>16</v>
      </c>
      <c r="E2176" t="s">
        <v>17</v>
      </c>
      <c r="F2176" t="s">
        <v>56</v>
      </c>
      <c r="G2176" t="s">
        <v>28</v>
      </c>
      <c r="H2176">
        <v>1</v>
      </c>
      <c r="I2176" t="str">
        <f>VLOOKUP(D2176,Product_Lookup!$A$2:$C$27,3,FALSE)</f>
        <v>$178.83</v>
      </c>
      <c r="J2176" t="str">
        <f t="shared" si="267"/>
        <v>Wednesday</v>
      </c>
      <c r="K2176" s="10" t="str">
        <f t="shared" si="268"/>
        <v>July</v>
      </c>
      <c r="L2176">
        <f t="shared" si="269"/>
        <v>2024</v>
      </c>
      <c r="M2176" t="b">
        <f t="shared" si="270"/>
        <v>0</v>
      </c>
      <c r="N2176" t="b">
        <f t="shared" si="264"/>
        <v>0</v>
      </c>
      <c r="O2176" t="str">
        <f t="shared" si="271"/>
        <v>Standard order</v>
      </c>
      <c r="P2176" s="7">
        <f t="shared" si="265"/>
        <v>8.9415000000000013</v>
      </c>
      <c r="Q2176" s="7" t="str">
        <f>VLOOKUP(D2177,Product_Lookup!$A$2:$C$27,2,FALSE)</f>
        <v>Lego Set</v>
      </c>
      <c r="R2176" s="7">
        <f t="shared" si="266"/>
        <v>178.83</v>
      </c>
    </row>
    <row r="2177" spans="1:18" ht="21.75" customHeight="1">
      <c r="A2177" t="s">
        <v>2328</v>
      </c>
      <c r="B2177" s="6">
        <v>45300</v>
      </c>
      <c r="C2177" t="s">
        <v>167</v>
      </c>
      <c r="D2177" t="s">
        <v>84</v>
      </c>
      <c r="E2177" t="s">
        <v>17</v>
      </c>
      <c r="F2177" t="s">
        <v>27</v>
      </c>
      <c r="G2177" t="s">
        <v>28</v>
      </c>
      <c r="H2177">
        <v>3</v>
      </c>
      <c r="I2177" t="str">
        <f>VLOOKUP(D2177,Product_Lookup!$A$2:$C$27,3,FALSE)</f>
        <v>$130.07</v>
      </c>
      <c r="J2177" t="str">
        <f t="shared" si="267"/>
        <v>Tuesday</v>
      </c>
      <c r="K2177" s="10" t="str">
        <f t="shared" si="268"/>
        <v>January</v>
      </c>
      <c r="L2177">
        <f t="shared" si="269"/>
        <v>2024</v>
      </c>
      <c r="M2177" t="b">
        <f t="shared" si="270"/>
        <v>0</v>
      </c>
      <c r="N2177" t="b">
        <f t="shared" si="264"/>
        <v>0</v>
      </c>
      <c r="O2177" t="str">
        <f t="shared" si="271"/>
        <v>Standard order</v>
      </c>
      <c r="P2177" s="7">
        <f t="shared" si="265"/>
        <v>6.5034999999999998</v>
      </c>
      <c r="Q2177" s="7" t="str">
        <f>VLOOKUP(D2178,Product_Lookup!$A$2:$C$27,2,FALSE)</f>
        <v>Puzzle</v>
      </c>
      <c r="R2177" s="7">
        <f t="shared" si="266"/>
        <v>390.21</v>
      </c>
    </row>
    <row r="2178" spans="1:18" ht="21.75" customHeight="1">
      <c r="A2178" t="s">
        <v>2329</v>
      </c>
      <c r="B2178" s="6">
        <v>45504</v>
      </c>
      <c r="C2178" t="s">
        <v>366</v>
      </c>
      <c r="D2178" t="s">
        <v>62</v>
      </c>
      <c r="E2178" t="s">
        <v>22</v>
      </c>
      <c r="F2178" t="s">
        <v>27</v>
      </c>
      <c r="G2178" t="s">
        <v>36</v>
      </c>
      <c r="H2178">
        <v>6</v>
      </c>
      <c r="I2178" t="str">
        <f>VLOOKUP(D2178,Product_Lookup!$A$2:$C$27,3,FALSE)</f>
        <v>$46.19</v>
      </c>
      <c r="J2178" t="str">
        <f t="shared" si="267"/>
        <v>Wednesday</v>
      </c>
      <c r="K2178" s="10" t="str">
        <f t="shared" si="268"/>
        <v>July</v>
      </c>
      <c r="L2178">
        <f t="shared" si="269"/>
        <v>2024</v>
      </c>
      <c r="M2178" t="b">
        <f t="shared" si="270"/>
        <v>0</v>
      </c>
      <c r="N2178" t="b">
        <f t="shared" ref="N2178:N2241" si="272">AND(R2178&gt;750, H2178&gt;5)</f>
        <v>0</v>
      </c>
      <c r="O2178" t="str">
        <f t="shared" si="271"/>
        <v>Standard order</v>
      </c>
      <c r="P2178" s="7">
        <f t="shared" ref="P2178:P2241" si="273">I2178*$S$2</f>
        <v>2.3094999999999999</v>
      </c>
      <c r="Q2178" s="7" t="str">
        <f>VLOOKUP(D2179,Product_Lookup!$A$2:$C$27,2,FALSE)</f>
        <v>Air Fryer</v>
      </c>
      <c r="R2178" s="7">
        <f t="shared" ref="R2178:R2241" si="274">H2178*I2178</f>
        <v>277.14</v>
      </c>
    </row>
    <row r="2179" spans="1:18" ht="21.75" customHeight="1">
      <c r="A2179" t="s">
        <v>2330</v>
      </c>
      <c r="B2179" s="6">
        <v>45509</v>
      </c>
      <c r="C2179" t="s">
        <v>378</v>
      </c>
      <c r="D2179" t="s">
        <v>70</v>
      </c>
      <c r="E2179" t="s">
        <v>17</v>
      </c>
      <c r="F2179" t="s">
        <v>42</v>
      </c>
      <c r="G2179" t="s">
        <v>28</v>
      </c>
      <c r="H2179">
        <v>6</v>
      </c>
      <c r="I2179" t="str">
        <f>VLOOKUP(D2179,Product_Lookup!$A$2:$C$27,3,FALSE)</f>
        <v>$211.9</v>
      </c>
      <c r="J2179" t="str">
        <f t="shared" ref="J2179:J2242" si="275">TEXT(B2179, "dddd")</f>
        <v>Monday</v>
      </c>
      <c r="K2179" s="10" t="str">
        <f t="shared" ref="K2179:K2242" si="276">TEXT(B2179, "mmmm")</f>
        <v>August</v>
      </c>
      <c r="L2179">
        <f t="shared" ref="L2179:L2242" si="277">YEAR(B2179)</f>
        <v>2024</v>
      </c>
      <c r="M2179" t="b">
        <f t="shared" ref="M2179:M2242" si="278">OR(J2179="Saturday", J2179="Sunday")</f>
        <v>0</v>
      </c>
      <c r="N2179" t="b">
        <f t="shared" si="272"/>
        <v>1</v>
      </c>
      <c r="O2179" t="str">
        <f t="shared" ref="O2179:O2242" si="279">IF(R2179&gt;500,"Large Order","Standard order")</f>
        <v>Large Order</v>
      </c>
      <c r="P2179" s="7">
        <f t="shared" si="273"/>
        <v>10.595000000000001</v>
      </c>
      <c r="Q2179" s="7" t="str">
        <f>VLOOKUP(D2180,Product_Lookup!$A$2:$C$27,2,FALSE)</f>
        <v>Stapler</v>
      </c>
      <c r="R2179" s="7">
        <f t="shared" si="274"/>
        <v>1271.4000000000001</v>
      </c>
    </row>
    <row r="2180" spans="1:18" ht="21.75" customHeight="1">
      <c r="A2180" t="s">
        <v>2331</v>
      </c>
      <c r="B2180" s="6">
        <v>45295</v>
      </c>
      <c r="C2180" t="s">
        <v>314</v>
      </c>
      <c r="D2180" t="s">
        <v>35</v>
      </c>
      <c r="E2180" t="s">
        <v>22</v>
      </c>
      <c r="F2180" t="s">
        <v>56</v>
      </c>
      <c r="G2180" t="s">
        <v>36</v>
      </c>
      <c r="H2180">
        <v>9</v>
      </c>
      <c r="I2180" t="str">
        <f>VLOOKUP(D2180,Product_Lookup!$A$2:$C$27,3,FALSE)</f>
        <v>$64.61</v>
      </c>
      <c r="J2180" t="str">
        <f t="shared" si="275"/>
        <v>Thursday</v>
      </c>
      <c r="K2180" s="10" t="str">
        <f t="shared" si="276"/>
        <v>January</v>
      </c>
      <c r="L2180">
        <f t="shared" si="277"/>
        <v>2024</v>
      </c>
      <c r="M2180" t="b">
        <f t="shared" si="278"/>
        <v>0</v>
      </c>
      <c r="N2180" t="b">
        <f t="shared" si="272"/>
        <v>0</v>
      </c>
      <c r="O2180" t="str">
        <f t="shared" si="279"/>
        <v>Large Order</v>
      </c>
      <c r="P2180" s="7">
        <f t="shared" si="273"/>
        <v>3.2305000000000001</v>
      </c>
      <c r="Q2180" s="7" t="str">
        <f>VLOOKUP(D2181,Product_Lookup!$A$2:$C$27,2,FALSE)</f>
        <v>Toaster</v>
      </c>
      <c r="R2180" s="7">
        <f t="shared" si="274"/>
        <v>581.49</v>
      </c>
    </row>
    <row r="2181" spans="1:18" ht="21.75" customHeight="1">
      <c r="A2181" t="s">
        <v>2332</v>
      </c>
      <c r="B2181" s="6">
        <v>45571</v>
      </c>
      <c r="C2181" t="s">
        <v>314</v>
      </c>
      <c r="D2181" t="s">
        <v>48</v>
      </c>
      <c r="E2181" t="s">
        <v>11</v>
      </c>
      <c r="F2181" t="s">
        <v>12</v>
      </c>
      <c r="G2181" t="s">
        <v>36</v>
      </c>
      <c r="H2181">
        <v>16</v>
      </c>
      <c r="I2181" t="str">
        <f>VLOOKUP(D2181,Product_Lookup!$A$2:$C$27,3,FALSE)</f>
        <v>$208.85</v>
      </c>
      <c r="J2181" t="str">
        <f t="shared" si="275"/>
        <v>Sunday</v>
      </c>
      <c r="K2181" s="10" t="str">
        <f t="shared" si="276"/>
        <v>October</v>
      </c>
      <c r="L2181">
        <f t="shared" si="277"/>
        <v>2024</v>
      </c>
      <c r="M2181" t="b">
        <f t="shared" si="278"/>
        <v>1</v>
      </c>
      <c r="N2181" t="b">
        <f t="shared" si="272"/>
        <v>1</v>
      </c>
      <c r="O2181" t="str">
        <f t="shared" si="279"/>
        <v>Large Order</v>
      </c>
      <c r="P2181" s="7">
        <f t="shared" si="273"/>
        <v>10.442500000000001</v>
      </c>
      <c r="Q2181" s="7" t="str">
        <f>VLOOKUP(D2182,Product_Lookup!$A$2:$C$27,2,FALSE)</f>
        <v>Stapler</v>
      </c>
      <c r="R2181" s="7">
        <f t="shared" si="274"/>
        <v>3341.6</v>
      </c>
    </row>
    <row r="2182" spans="1:18" ht="21.75" customHeight="1">
      <c r="A2182" t="s">
        <v>2333</v>
      </c>
      <c r="B2182" s="6">
        <v>45349</v>
      </c>
      <c r="C2182" t="s">
        <v>361</v>
      </c>
      <c r="D2182" t="s">
        <v>35</v>
      </c>
      <c r="E2182" t="s">
        <v>22</v>
      </c>
      <c r="F2182" t="s">
        <v>12</v>
      </c>
      <c r="G2182" t="s">
        <v>28</v>
      </c>
      <c r="H2182">
        <v>17</v>
      </c>
      <c r="I2182" t="str">
        <f>VLOOKUP(D2182,Product_Lookup!$A$2:$C$27,3,FALSE)</f>
        <v>$64.61</v>
      </c>
      <c r="J2182" t="str">
        <f t="shared" si="275"/>
        <v>Tuesday</v>
      </c>
      <c r="K2182" s="10" t="str">
        <f t="shared" si="276"/>
        <v>February</v>
      </c>
      <c r="L2182">
        <f t="shared" si="277"/>
        <v>2024</v>
      </c>
      <c r="M2182" t="b">
        <f t="shared" si="278"/>
        <v>0</v>
      </c>
      <c r="N2182" t="b">
        <f t="shared" si="272"/>
        <v>1</v>
      </c>
      <c r="O2182" t="str">
        <f t="shared" si="279"/>
        <v>Large Order</v>
      </c>
      <c r="P2182" s="7">
        <f t="shared" si="273"/>
        <v>3.2305000000000001</v>
      </c>
      <c r="Q2182" s="7" t="str">
        <f>VLOOKUP(D2183,Product_Lookup!$A$2:$C$27,2,FALSE)</f>
        <v>Notebook</v>
      </c>
      <c r="R2182" s="7">
        <f t="shared" si="274"/>
        <v>1098.3699999999999</v>
      </c>
    </row>
    <row r="2183" spans="1:18" ht="21.75" customHeight="1">
      <c r="A2183" t="s">
        <v>2334</v>
      </c>
      <c r="B2183" s="6">
        <v>45435</v>
      </c>
      <c r="C2183" t="s">
        <v>319</v>
      </c>
      <c r="D2183" t="s">
        <v>160</v>
      </c>
      <c r="E2183" t="s">
        <v>11</v>
      </c>
      <c r="F2183" t="s">
        <v>306</v>
      </c>
      <c r="G2183" t="s">
        <v>36</v>
      </c>
      <c r="H2183">
        <v>3</v>
      </c>
      <c r="I2183" t="str">
        <f>VLOOKUP(D2183,Product_Lookup!$A$2:$C$27,3,FALSE)</f>
        <v>$149.27</v>
      </c>
      <c r="J2183" t="str">
        <f t="shared" si="275"/>
        <v>Thursday</v>
      </c>
      <c r="K2183" s="10" t="str">
        <f t="shared" si="276"/>
        <v>May</v>
      </c>
      <c r="L2183">
        <f t="shared" si="277"/>
        <v>2024</v>
      </c>
      <c r="M2183" t="b">
        <f t="shared" si="278"/>
        <v>0</v>
      </c>
      <c r="N2183" t="b">
        <f t="shared" si="272"/>
        <v>0</v>
      </c>
      <c r="O2183" t="str">
        <f t="shared" si="279"/>
        <v>Standard order</v>
      </c>
      <c r="P2183" s="7">
        <f t="shared" si="273"/>
        <v>7.4635000000000007</v>
      </c>
      <c r="Q2183" s="7" t="str">
        <f>VLOOKUP(D2184,Product_Lookup!$A$2:$C$27,2,FALSE)</f>
        <v>Board Game</v>
      </c>
      <c r="R2183" s="7">
        <f t="shared" si="274"/>
        <v>447.81000000000006</v>
      </c>
    </row>
    <row r="2184" spans="1:18" ht="21.75" customHeight="1">
      <c r="A2184" t="s">
        <v>2335</v>
      </c>
      <c r="B2184" s="6">
        <v>45614</v>
      </c>
      <c r="C2184" t="s">
        <v>304</v>
      </c>
      <c r="D2184" t="s">
        <v>41</v>
      </c>
      <c r="E2184" t="s">
        <v>22</v>
      </c>
      <c r="F2184" t="s">
        <v>12</v>
      </c>
      <c r="G2184" t="s">
        <v>36</v>
      </c>
      <c r="H2184">
        <v>19</v>
      </c>
      <c r="I2184" t="str">
        <f>VLOOKUP(D2184,Product_Lookup!$A$2:$C$27,3,FALSE)</f>
        <v>$86.6</v>
      </c>
      <c r="J2184" t="str">
        <f t="shared" si="275"/>
        <v>Monday</v>
      </c>
      <c r="K2184" s="10" t="str">
        <f t="shared" si="276"/>
        <v>November</v>
      </c>
      <c r="L2184">
        <f t="shared" si="277"/>
        <v>2024</v>
      </c>
      <c r="M2184" t="b">
        <f t="shared" si="278"/>
        <v>0</v>
      </c>
      <c r="N2184" t="b">
        <f t="shared" si="272"/>
        <v>1</v>
      </c>
      <c r="O2184" t="str">
        <f t="shared" si="279"/>
        <v>Large Order</v>
      </c>
      <c r="P2184" s="7">
        <f t="shared" si="273"/>
        <v>4.33</v>
      </c>
      <c r="Q2184" s="7" t="str">
        <f>VLOOKUP(D2185,Product_Lookup!$A$2:$C$27,2,FALSE)</f>
        <v>Pen Set</v>
      </c>
      <c r="R2184" s="7">
        <f t="shared" si="274"/>
        <v>1645.3999999999999</v>
      </c>
    </row>
    <row r="2185" spans="1:18" ht="21.75" customHeight="1">
      <c r="A2185" t="s">
        <v>2336</v>
      </c>
      <c r="B2185" s="6">
        <v>45319</v>
      </c>
      <c r="C2185" t="s">
        <v>47</v>
      </c>
      <c r="D2185" t="s">
        <v>174</v>
      </c>
      <c r="E2185" t="s">
        <v>11</v>
      </c>
      <c r="F2185" t="s">
        <v>27</v>
      </c>
      <c r="G2185" t="s">
        <v>23</v>
      </c>
      <c r="H2185">
        <v>17</v>
      </c>
      <c r="I2185" t="str">
        <f>VLOOKUP(D2185,Product_Lookup!$A$2:$C$27,3,FALSE)</f>
        <v>$133.37</v>
      </c>
      <c r="J2185" t="str">
        <f t="shared" si="275"/>
        <v>Sunday</v>
      </c>
      <c r="K2185" s="10" t="str">
        <f t="shared" si="276"/>
        <v>January</v>
      </c>
      <c r="L2185">
        <f t="shared" si="277"/>
        <v>2024</v>
      </c>
      <c r="M2185" t="b">
        <f t="shared" si="278"/>
        <v>1</v>
      </c>
      <c r="N2185" t="b">
        <f t="shared" si="272"/>
        <v>1</v>
      </c>
      <c r="O2185" t="str">
        <f t="shared" si="279"/>
        <v>Large Order</v>
      </c>
      <c r="P2185" s="7">
        <f t="shared" si="273"/>
        <v>6.6685000000000008</v>
      </c>
      <c r="Q2185" s="7" t="str">
        <f>VLOOKUP(D2186,Product_Lookup!$A$2:$C$27,2,FALSE)</f>
        <v>Blender</v>
      </c>
      <c r="R2185" s="7">
        <f t="shared" si="274"/>
        <v>2267.29</v>
      </c>
    </row>
    <row r="2186" spans="1:18" ht="21.75" customHeight="1">
      <c r="A2186" t="s">
        <v>2337</v>
      </c>
      <c r="B2186" s="6">
        <v>45585</v>
      </c>
      <c r="C2186" t="s">
        <v>388</v>
      </c>
      <c r="D2186" t="s">
        <v>72</v>
      </c>
      <c r="E2186" t="s">
        <v>17</v>
      </c>
      <c r="F2186" t="s">
        <v>42</v>
      </c>
      <c r="G2186" t="s">
        <v>32</v>
      </c>
      <c r="H2186">
        <v>10</v>
      </c>
      <c r="I2186" t="str">
        <f>VLOOKUP(D2186,Product_Lookup!$A$2:$C$27,3,FALSE)</f>
        <v>$156.44</v>
      </c>
      <c r="J2186" t="str">
        <f t="shared" si="275"/>
        <v>Sunday</v>
      </c>
      <c r="K2186" s="10" t="str">
        <f t="shared" si="276"/>
        <v>October</v>
      </c>
      <c r="L2186">
        <f t="shared" si="277"/>
        <v>2024</v>
      </c>
      <c r="M2186" t="b">
        <f t="shared" si="278"/>
        <v>1</v>
      </c>
      <c r="N2186" t="b">
        <f t="shared" si="272"/>
        <v>1</v>
      </c>
      <c r="O2186" t="str">
        <f t="shared" si="279"/>
        <v>Large Order</v>
      </c>
      <c r="P2186" s="7">
        <f t="shared" si="273"/>
        <v>7.8220000000000001</v>
      </c>
      <c r="Q2186" s="7" t="str">
        <f>VLOOKUP(D2187,Product_Lookup!$A$2:$C$27,2,FALSE)</f>
        <v>Lego Set</v>
      </c>
      <c r="R2186" s="7">
        <f t="shared" si="274"/>
        <v>1564.4</v>
      </c>
    </row>
    <row r="2187" spans="1:18" ht="21.75" customHeight="1">
      <c r="A2187" t="s">
        <v>2338</v>
      </c>
      <c r="B2187" s="6">
        <v>45647</v>
      </c>
      <c r="C2187" t="s">
        <v>327</v>
      </c>
      <c r="D2187" t="s">
        <v>84</v>
      </c>
      <c r="E2187" t="s">
        <v>17</v>
      </c>
      <c r="F2187" t="s">
        <v>306</v>
      </c>
      <c r="G2187" t="s">
        <v>32</v>
      </c>
      <c r="H2187">
        <v>2</v>
      </c>
      <c r="I2187" t="str">
        <f>VLOOKUP(D2187,Product_Lookup!$A$2:$C$27,3,FALSE)</f>
        <v>$130.07</v>
      </c>
      <c r="J2187" t="str">
        <f t="shared" si="275"/>
        <v>Saturday</v>
      </c>
      <c r="K2187" s="10" t="str">
        <f t="shared" si="276"/>
        <v>December</v>
      </c>
      <c r="L2187">
        <f t="shared" si="277"/>
        <v>2024</v>
      </c>
      <c r="M2187" t="b">
        <f t="shared" si="278"/>
        <v>1</v>
      </c>
      <c r="N2187" t="b">
        <f t="shared" si="272"/>
        <v>0</v>
      </c>
      <c r="O2187" t="str">
        <f t="shared" si="279"/>
        <v>Standard order</v>
      </c>
      <c r="P2187" s="7">
        <f t="shared" si="273"/>
        <v>6.5034999999999998</v>
      </c>
      <c r="Q2187" s="7" t="str">
        <f>VLOOKUP(D2188,Product_Lookup!$A$2:$C$27,2,FALSE)</f>
        <v>Desk Lamp</v>
      </c>
      <c r="R2187" s="7">
        <f t="shared" si="274"/>
        <v>260.14</v>
      </c>
    </row>
    <row r="2188" spans="1:18" ht="21.75" customHeight="1">
      <c r="A2188" t="s">
        <v>2339</v>
      </c>
      <c r="B2188" s="6">
        <v>45588</v>
      </c>
      <c r="C2188" t="s">
        <v>30</v>
      </c>
      <c r="D2188" t="s">
        <v>59</v>
      </c>
      <c r="E2188" t="s">
        <v>11</v>
      </c>
      <c r="F2188" t="s">
        <v>42</v>
      </c>
      <c r="G2188" t="s">
        <v>36</v>
      </c>
      <c r="H2188">
        <v>1</v>
      </c>
      <c r="I2188" t="str">
        <f>VLOOKUP(D2188,Product_Lookup!$A$2:$C$27,3,FALSE)</f>
        <v>$101.96</v>
      </c>
      <c r="J2188" t="str">
        <f t="shared" si="275"/>
        <v>Wednesday</v>
      </c>
      <c r="K2188" s="10" t="str">
        <f t="shared" si="276"/>
        <v>October</v>
      </c>
      <c r="L2188">
        <f t="shared" si="277"/>
        <v>2024</v>
      </c>
      <c r="M2188" t="b">
        <f t="shared" si="278"/>
        <v>0</v>
      </c>
      <c r="N2188" t="b">
        <f t="shared" si="272"/>
        <v>0</v>
      </c>
      <c r="O2188" t="str">
        <f t="shared" si="279"/>
        <v>Standard order</v>
      </c>
      <c r="P2188" s="7">
        <f t="shared" si="273"/>
        <v>5.0979999999999999</v>
      </c>
      <c r="Q2188" s="7" t="str">
        <f>VLOOKUP(D2189,Product_Lookup!$A$2:$C$27,2,FALSE)</f>
        <v>Notebook</v>
      </c>
      <c r="R2188" s="7">
        <f t="shared" si="274"/>
        <v>101.96</v>
      </c>
    </row>
    <row r="2189" spans="1:18" ht="21.75" customHeight="1">
      <c r="A2189" t="s">
        <v>2340</v>
      </c>
      <c r="B2189" s="6">
        <v>45334</v>
      </c>
      <c r="C2189" t="s">
        <v>34</v>
      </c>
      <c r="D2189" t="s">
        <v>160</v>
      </c>
      <c r="E2189" t="s">
        <v>11</v>
      </c>
      <c r="F2189" t="s">
        <v>42</v>
      </c>
      <c r="G2189" t="s">
        <v>32</v>
      </c>
      <c r="H2189">
        <v>5</v>
      </c>
      <c r="I2189" t="str">
        <f>VLOOKUP(D2189,Product_Lookup!$A$2:$C$27,3,FALSE)</f>
        <v>$149.27</v>
      </c>
      <c r="J2189" t="str">
        <f t="shared" si="275"/>
        <v>Monday</v>
      </c>
      <c r="K2189" s="10" t="str">
        <f t="shared" si="276"/>
        <v>February</v>
      </c>
      <c r="L2189">
        <f t="shared" si="277"/>
        <v>2024</v>
      </c>
      <c r="M2189" t="b">
        <f t="shared" si="278"/>
        <v>0</v>
      </c>
      <c r="N2189" t="b">
        <f t="shared" si="272"/>
        <v>0</v>
      </c>
      <c r="O2189" t="str">
        <f t="shared" si="279"/>
        <v>Large Order</v>
      </c>
      <c r="P2189" s="7">
        <f t="shared" si="273"/>
        <v>7.4635000000000007</v>
      </c>
      <c r="Q2189" s="7" t="str">
        <f>VLOOKUP(D2190,Product_Lookup!$A$2:$C$27,2,FALSE)</f>
        <v>Laptop</v>
      </c>
      <c r="R2189" s="7">
        <f t="shared" si="274"/>
        <v>746.35</v>
      </c>
    </row>
    <row r="2190" spans="1:18" ht="21.75" customHeight="1">
      <c r="A2190" t="s">
        <v>2341</v>
      </c>
      <c r="B2190" s="6">
        <v>45432</v>
      </c>
      <c r="C2190" t="s">
        <v>230</v>
      </c>
      <c r="D2190" t="s">
        <v>96</v>
      </c>
      <c r="E2190" t="s">
        <v>22</v>
      </c>
      <c r="F2190" t="s">
        <v>12</v>
      </c>
      <c r="G2190" t="s">
        <v>36</v>
      </c>
      <c r="H2190">
        <v>6</v>
      </c>
      <c r="I2190" t="str">
        <f>VLOOKUP(D2190,Product_Lookup!$A$2:$C$27,3,FALSE)</f>
        <v>$230.68</v>
      </c>
      <c r="J2190" t="str">
        <f t="shared" si="275"/>
        <v>Monday</v>
      </c>
      <c r="K2190" s="10" t="str">
        <f t="shared" si="276"/>
        <v>May</v>
      </c>
      <c r="L2190">
        <f t="shared" si="277"/>
        <v>2024</v>
      </c>
      <c r="M2190" t="b">
        <f t="shared" si="278"/>
        <v>0</v>
      </c>
      <c r="N2190" t="b">
        <f t="shared" si="272"/>
        <v>1</v>
      </c>
      <c r="O2190" t="str">
        <f t="shared" si="279"/>
        <v>Large Order</v>
      </c>
      <c r="P2190" s="7">
        <f t="shared" si="273"/>
        <v>11.534000000000001</v>
      </c>
      <c r="Q2190" s="7" t="str">
        <f>VLOOKUP(D2191,Product_Lookup!$A$2:$C$27,2,FALSE)</f>
        <v>Air Fryer</v>
      </c>
      <c r="R2190" s="7">
        <f t="shared" si="274"/>
        <v>1384.08</v>
      </c>
    </row>
    <row r="2191" spans="1:18" ht="21.75" customHeight="1">
      <c r="A2191" t="s">
        <v>2342</v>
      </c>
      <c r="B2191" s="6">
        <v>45369</v>
      </c>
      <c r="C2191" t="s">
        <v>371</v>
      </c>
      <c r="D2191" t="s">
        <v>70</v>
      </c>
      <c r="E2191" t="s">
        <v>17</v>
      </c>
      <c r="F2191" t="s">
        <v>56</v>
      </c>
      <c r="G2191" t="s">
        <v>32</v>
      </c>
      <c r="H2191">
        <v>8</v>
      </c>
      <c r="I2191" t="str">
        <f>VLOOKUP(D2191,Product_Lookup!$A$2:$C$27,3,FALSE)</f>
        <v>$211.9</v>
      </c>
      <c r="J2191" t="str">
        <f t="shared" si="275"/>
        <v>Monday</v>
      </c>
      <c r="K2191" s="10" t="str">
        <f t="shared" si="276"/>
        <v>March</v>
      </c>
      <c r="L2191">
        <f t="shared" si="277"/>
        <v>2024</v>
      </c>
      <c r="M2191" t="b">
        <f t="shared" si="278"/>
        <v>0</v>
      </c>
      <c r="N2191" t="b">
        <f t="shared" si="272"/>
        <v>1</v>
      </c>
      <c r="O2191" t="str">
        <f t="shared" si="279"/>
        <v>Large Order</v>
      </c>
      <c r="P2191" s="7">
        <f t="shared" si="273"/>
        <v>10.595000000000001</v>
      </c>
      <c r="Q2191" s="7" t="str">
        <f>VLOOKUP(D2192,Product_Lookup!$A$2:$C$27,2,FALSE)</f>
        <v>Blender</v>
      </c>
      <c r="R2191" s="7">
        <f t="shared" si="274"/>
        <v>1695.2</v>
      </c>
    </row>
    <row r="2192" spans="1:18" ht="21.75" customHeight="1">
      <c r="A2192" t="s">
        <v>2343</v>
      </c>
      <c r="B2192" s="6">
        <v>45562</v>
      </c>
      <c r="C2192" t="s">
        <v>122</v>
      </c>
      <c r="D2192" t="s">
        <v>72</v>
      </c>
      <c r="E2192" t="s">
        <v>11</v>
      </c>
      <c r="F2192" t="s">
        <v>56</v>
      </c>
      <c r="G2192" t="s">
        <v>36</v>
      </c>
      <c r="H2192">
        <v>5</v>
      </c>
      <c r="I2192" t="str">
        <f>VLOOKUP(D2192,Product_Lookup!$A$2:$C$27,3,FALSE)</f>
        <v>$156.44</v>
      </c>
      <c r="J2192" t="str">
        <f t="shared" si="275"/>
        <v>Friday</v>
      </c>
      <c r="K2192" s="10" t="str">
        <f t="shared" si="276"/>
        <v>September</v>
      </c>
      <c r="L2192">
        <f t="shared" si="277"/>
        <v>2024</v>
      </c>
      <c r="M2192" t="b">
        <f t="shared" si="278"/>
        <v>0</v>
      </c>
      <c r="N2192" t="b">
        <f t="shared" si="272"/>
        <v>0</v>
      </c>
      <c r="O2192" t="str">
        <f t="shared" si="279"/>
        <v>Large Order</v>
      </c>
      <c r="P2192" s="7">
        <f t="shared" si="273"/>
        <v>7.8220000000000001</v>
      </c>
      <c r="Q2192" s="7" t="str">
        <f>VLOOKUP(D2193,Product_Lookup!$A$2:$C$27,2,FALSE)</f>
        <v>Coffee Maker</v>
      </c>
      <c r="R2192" s="7">
        <f t="shared" si="274"/>
        <v>782.2</v>
      </c>
    </row>
    <row r="2193" spans="1:18" ht="21.75" customHeight="1">
      <c r="A2193" t="s">
        <v>2344</v>
      </c>
      <c r="B2193" s="6">
        <v>45503</v>
      </c>
      <c r="C2193" t="s">
        <v>337</v>
      </c>
      <c r="D2193" t="s">
        <v>31</v>
      </c>
      <c r="E2193" t="s">
        <v>11</v>
      </c>
      <c r="F2193" t="s">
        <v>27</v>
      </c>
      <c r="G2193" t="s">
        <v>28</v>
      </c>
      <c r="H2193">
        <v>7</v>
      </c>
      <c r="I2193" t="str">
        <f>VLOOKUP(D2193,Product_Lookup!$A$2:$C$27,3,FALSE)</f>
        <v>$230.34</v>
      </c>
      <c r="J2193" t="str">
        <f t="shared" si="275"/>
        <v>Tuesday</v>
      </c>
      <c r="K2193" s="10" t="str">
        <f t="shared" si="276"/>
        <v>July</v>
      </c>
      <c r="L2193">
        <f t="shared" si="277"/>
        <v>2024</v>
      </c>
      <c r="M2193" t="b">
        <f t="shared" si="278"/>
        <v>0</v>
      </c>
      <c r="N2193" t="b">
        <f t="shared" si="272"/>
        <v>1</v>
      </c>
      <c r="O2193" t="str">
        <f t="shared" si="279"/>
        <v>Large Order</v>
      </c>
      <c r="P2193" s="7">
        <f t="shared" si="273"/>
        <v>11.517000000000001</v>
      </c>
      <c r="Q2193" s="7" t="str">
        <f>VLOOKUP(D2194,Product_Lookup!$A$2:$C$27,2,FALSE)</f>
        <v>Action Figure</v>
      </c>
      <c r="R2193" s="7">
        <f t="shared" si="274"/>
        <v>1612.38</v>
      </c>
    </row>
    <row r="2194" spans="1:18" ht="21.75" customHeight="1">
      <c r="A2194" t="s">
        <v>2345</v>
      </c>
      <c r="B2194" s="6">
        <v>45468</v>
      </c>
      <c r="C2194" t="s">
        <v>9</v>
      </c>
      <c r="D2194" t="s">
        <v>21</v>
      </c>
      <c r="E2194" t="s">
        <v>17</v>
      </c>
      <c r="F2194" t="s">
        <v>12</v>
      </c>
      <c r="G2194" t="s">
        <v>13</v>
      </c>
      <c r="H2194">
        <v>6</v>
      </c>
      <c r="I2194" t="str">
        <f>VLOOKUP(D2194,Product_Lookup!$A$2:$C$27,3,FALSE)</f>
        <v>$88.18</v>
      </c>
      <c r="J2194" t="str">
        <f t="shared" si="275"/>
        <v>Tuesday</v>
      </c>
      <c r="K2194" s="10" t="str">
        <f t="shared" si="276"/>
        <v>June</v>
      </c>
      <c r="L2194">
        <f t="shared" si="277"/>
        <v>2024</v>
      </c>
      <c r="M2194" t="b">
        <f t="shared" si="278"/>
        <v>0</v>
      </c>
      <c r="N2194" t="b">
        <f t="shared" si="272"/>
        <v>0</v>
      </c>
      <c r="O2194" t="str">
        <f t="shared" si="279"/>
        <v>Large Order</v>
      </c>
      <c r="P2194" s="7">
        <f t="shared" si="273"/>
        <v>4.4090000000000007</v>
      </c>
      <c r="Q2194" s="7" t="str">
        <f>VLOOKUP(D2195,Product_Lookup!$A$2:$C$27,2,FALSE)</f>
        <v>Stapler</v>
      </c>
      <c r="R2194" s="7">
        <f t="shared" si="274"/>
        <v>529.08000000000004</v>
      </c>
    </row>
    <row r="2195" spans="1:18" ht="21.75" customHeight="1">
      <c r="A2195" t="s">
        <v>2346</v>
      </c>
      <c r="B2195" s="6">
        <v>45535</v>
      </c>
      <c r="C2195" t="s">
        <v>68</v>
      </c>
      <c r="D2195" t="s">
        <v>35</v>
      </c>
      <c r="E2195" t="s">
        <v>22</v>
      </c>
      <c r="F2195" t="s">
        <v>306</v>
      </c>
      <c r="G2195" t="s">
        <v>28</v>
      </c>
      <c r="H2195">
        <v>13</v>
      </c>
      <c r="I2195" t="str">
        <f>VLOOKUP(D2195,Product_Lookup!$A$2:$C$27,3,FALSE)</f>
        <v>$64.61</v>
      </c>
      <c r="J2195" t="str">
        <f t="shared" si="275"/>
        <v>Saturday</v>
      </c>
      <c r="K2195" s="10" t="str">
        <f t="shared" si="276"/>
        <v>August</v>
      </c>
      <c r="L2195">
        <f t="shared" si="277"/>
        <v>2024</v>
      </c>
      <c r="M2195" t="b">
        <f t="shared" si="278"/>
        <v>1</v>
      </c>
      <c r="N2195" t="b">
        <f t="shared" si="272"/>
        <v>1</v>
      </c>
      <c r="O2195" t="str">
        <f t="shared" si="279"/>
        <v>Large Order</v>
      </c>
      <c r="P2195" s="7">
        <f t="shared" si="273"/>
        <v>3.2305000000000001</v>
      </c>
      <c r="Q2195" s="7" t="str">
        <f>VLOOKUP(D2196,Product_Lookup!$A$2:$C$27,2,FALSE)</f>
        <v>Sweater</v>
      </c>
      <c r="R2195" s="7">
        <f t="shared" si="274"/>
        <v>839.93</v>
      </c>
    </row>
    <row r="2196" spans="1:18" ht="21.75" customHeight="1">
      <c r="A2196" t="s">
        <v>2347</v>
      </c>
      <c r="B2196" s="6">
        <v>45491</v>
      </c>
      <c r="C2196" t="s">
        <v>553</v>
      </c>
      <c r="D2196" t="s">
        <v>26</v>
      </c>
      <c r="E2196" t="s">
        <v>11</v>
      </c>
      <c r="F2196" t="s">
        <v>306</v>
      </c>
      <c r="G2196" t="s">
        <v>23</v>
      </c>
      <c r="H2196">
        <v>1</v>
      </c>
      <c r="I2196" t="str">
        <f>VLOOKUP(D2196,Product_Lookup!$A$2:$C$27,3,FALSE)</f>
        <v>$84.57</v>
      </c>
      <c r="J2196" t="str">
        <f t="shared" si="275"/>
        <v>Thursday</v>
      </c>
      <c r="K2196" s="10" t="str">
        <f t="shared" si="276"/>
        <v>July</v>
      </c>
      <c r="L2196">
        <f t="shared" si="277"/>
        <v>2024</v>
      </c>
      <c r="M2196" t="b">
        <f t="shared" si="278"/>
        <v>0</v>
      </c>
      <c r="N2196" t="b">
        <f t="shared" si="272"/>
        <v>0</v>
      </c>
      <c r="O2196" t="str">
        <f t="shared" si="279"/>
        <v>Standard order</v>
      </c>
      <c r="P2196" s="7">
        <f t="shared" si="273"/>
        <v>4.2284999999999995</v>
      </c>
      <c r="Q2196" s="7" t="str">
        <f>VLOOKUP(D2197,Product_Lookup!$A$2:$C$27,2,FALSE)</f>
        <v>Board Game</v>
      </c>
      <c r="R2196" s="7">
        <f t="shared" si="274"/>
        <v>84.57</v>
      </c>
    </row>
    <row r="2197" spans="1:18" ht="21.75" customHeight="1">
      <c r="A2197" t="s">
        <v>2348</v>
      </c>
      <c r="B2197" s="6">
        <v>45521</v>
      </c>
      <c r="C2197" t="s">
        <v>159</v>
      </c>
      <c r="D2197" t="s">
        <v>41</v>
      </c>
      <c r="E2197" t="s">
        <v>17</v>
      </c>
      <c r="F2197" t="s">
        <v>306</v>
      </c>
      <c r="G2197" t="s">
        <v>13</v>
      </c>
      <c r="H2197">
        <v>4</v>
      </c>
      <c r="I2197" t="str">
        <f>VLOOKUP(D2197,Product_Lookup!$A$2:$C$27,3,FALSE)</f>
        <v>$86.6</v>
      </c>
      <c r="J2197" t="str">
        <f t="shared" si="275"/>
        <v>Saturday</v>
      </c>
      <c r="K2197" s="10" t="str">
        <f t="shared" si="276"/>
        <v>August</v>
      </c>
      <c r="L2197">
        <f t="shared" si="277"/>
        <v>2024</v>
      </c>
      <c r="M2197" t="b">
        <f t="shared" si="278"/>
        <v>1</v>
      </c>
      <c r="N2197" t="b">
        <f t="shared" si="272"/>
        <v>0</v>
      </c>
      <c r="O2197" t="str">
        <f t="shared" si="279"/>
        <v>Standard order</v>
      </c>
      <c r="P2197" s="7">
        <f t="shared" si="273"/>
        <v>4.33</v>
      </c>
      <c r="Q2197" s="7" t="str">
        <f>VLOOKUP(D2198,Product_Lookup!$A$2:$C$27,2,FALSE)</f>
        <v>Vacuum</v>
      </c>
      <c r="R2197" s="7">
        <f t="shared" si="274"/>
        <v>346.4</v>
      </c>
    </row>
    <row r="2198" spans="1:18" ht="21.75" customHeight="1">
      <c r="A2198" t="s">
        <v>2349</v>
      </c>
      <c r="B2198" s="6">
        <v>45618</v>
      </c>
      <c r="C2198" t="s">
        <v>182</v>
      </c>
      <c r="D2198" t="s">
        <v>87</v>
      </c>
      <c r="E2198" t="s">
        <v>22</v>
      </c>
      <c r="F2198" t="s">
        <v>42</v>
      </c>
      <c r="G2198" t="s">
        <v>32</v>
      </c>
      <c r="H2198">
        <v>9</v>
      </c>
      <c r="I2198" t="str">
        <f>VLOOKUP(D2198,Product_Lookup!$A$2:$C$27,3,FALSE)</f>
        <v>$26.59</v>
      </c>
      <c r="J2198" t="str">
        <f t="shared" si="275"/>
        <v>Friday</v>
      </c>
      <c r="K2198" s="10" t="str">
        <f t="shared" si="276"/>
        <v>November</v>
      </c>
      <c r="L2198">
        <f t="shared" si="277"/>
        <v>2024</v>
      </c>
      <c r="M2198" t="b">
        <f t="shared" si="278"/>
        <v>0</v>
      </c>
      <c r="N2198" t="b">
        <f t="shared" si="272"/>
        <v>0</v>
      </c>
      <c r="O2198" t="str">
        <f t="shared" si="279"/>
        <v>Standard order</v>
      </c>
      <c r="P2198" s="7">
        <f t="shared" si="273"/>
        <v>1.3295000000000001</v>
      </c>
      <c r="Q2198" s="7" t="str">
        <f>VLOOKUP(D2199,Product_Lookup!$A$2:$C$27,2,FALSE)</f>
        <v>Action Figure</v>
      </c>
      <c r="R2198" s="7">
        <f t="shared" si="274"/>
        <v>239.31</v>
      </c>
    </row>
    <row r="2199" spans="1:18" ht="21.75" customHeight="1">
      <c r="A2199" t="s">
        <v>2350</v>
      </c>
      <c r="B2199" s="6">
        <v>45342</v>
      </c>
      <c r="C2199" t="s">
        <v>230</v>
      </c>
      <c r="D2199" t="s">
        <v>21</v>
      </c>
      <c r="E2199" t="s">
        <v>22</v>
      </c>
      <c r="F2199" t="s">
        <v>27</v>
      </c>
      <c r="G2199" t="s">
        <v>23</v>
      </c>
      <c r="H2199">
        <v>8</v>
      </c>
      <c r="I2199" t="str">
        <f>VLOOKUP(D2199,Product_Lookup!$A$2:$C$27,3,FALSE)</f>
        <v>$88.18</v>
      </c>
      <c r="J2199" t="str">
        <f t="shared" si="275"/>
        <v>Tuesday</v>
      </c>
      <c r="K2199" s="10" t="str">
        <f t="shared" si="276"/>
        <v>February</v>
      </c>
      <c r="L2199">
        <f t="shared" si="277"/>
        <v>2024</v>
      </c>
      <c r="M2199" t="b">
        <f t="shared" si="278"/>
        <v>0</v>
      </c>
      <c r="N2199" t="b">
        <f t="shared" si="272"/>
        <v>0</v>
      </c>
      <c r="O2199" t="str">
        <f t="shared" si="279"/>
        <v>Large Order</v>
      </c>
      <c r="P2199" s="7">
        <f t="shared" si="273"/>
        <v>4.4090000000000007</v>
      </c>
      <c r="Q2199" s="7" t="str">
        <f>VLOOKUP(D2200,Product_Lookup!$A$2:$C$27,2,FALSE)</f>
        <v>Jeans</v>
      </c>
      <c r="R2199" s="7">
        <f t="shared" si="274"/>
        <v>705.44</v>
      </c>
    </row>
    <row r="2200" spans="1:18" ht="21.75" customHeight="1">
      <c r="A2200" t="s">
        <v>2351</v>
      </c>
      <c r="B2200" s="6">
        <v>45593</v>
      </c>
      <c r="C2200" t="s">
        <v>337</v>
      </c>
      <c r="D2200" t="s">
        <v>65</v>
      </c>
      <c r="E2200" t="s">
        <v>22</v>
      </c>
      <c r="F2200" t="s">
        <v>42</v>
      </c>
      <c r="G2200" t="s">
        <v>28</v>
      </c>
      <c r="H2200">
        <v>11</v>
      </c>
      <c r="I2200" t="str">
        <f>VLOOKUP(D2200,Product_Lookup!$A$2:$C$27,3,FALSE)</f>
        <v>$33.22</v>
      </c>
      <c r="J2200" t="str">
        <f t="shared" si="275"/>
        <v>Monday</v>
      </c>
      <c r="K2200" s="10" t="str">
        <f t="shared" si="276"/>
        <v>October</v>
      </c>
      <c r="L2200">
        <f t="shared" si="277"/>
        <v>2024</v>
      </c>
      <c r="M2200" t="b">
        <f t="shared" si="278"/>
        <v>0</v>
      </c>
      <c r="N2200" t="b">
        <f t="shared" si="272"/>
        <v>0</v>
      </c>
      <c r="O2200" t="str">
        <f t="shared" si="279"/>
        <v>Standard order</v>
      </c>
      <c r="P2200" s="7">
        <f t="shared" si="273"/>
        <v>1.661</v>
      </c>
      <c r="Q2200" s="7" t="str">
        <f>VLOOKUP(D2201,Product_Lookup!$A$2:$C$27,2,FALSE)</f>
        <v>Tablet</v>
      </c>
      <c r="R2200" s="7">
        <f t="shared" si="274"/>
        <v>365.41999999999996</v>
      </c>
    </row>
    <row r="2201" spans="1:18" ht="21.75" customHeight="1">
      <c r="A2201" t="s">
        <v>2352</v>
      </c>
      <c r="B2201" s="6">
        <v>45636</v>
      </c>
      <c r="C2201" t="s">
        <v>142</v>
      </c>
      <c r="D2201" t="s">
        <v>10</v>
      </c>
      <c r="E2201" t="s">
        <v>11</v>
      </c>
      <c r="F2201" t="s">
        <v>27</v>
      </c>
      <c r="G2201" t="s">
        <v>13</v>
      </c>
      <c r="H2201">
        <v>17</v>
      </c>
      <c r="I2201" t="str">
        <f>VLOOKUP(D2201,Product_Lookup!$A$2:$C$27,3,FALSE)</f>
        <v>$146.06</v>
      </c>
      <c r="J2201" t="str">
        <f t="shared" si="275"/>
        <v>Tuesday</v>
      </c>
      <c r="K2201" s="10" t="str">
        <f t="shared" si="276"/>
        <v>December</v>
      </c>
      <c r="L2201">
        <f t="shared" si="277"/>
        <v>2024</v>
      </c>
      <c r="M2201" t="b">
        <f t="shared" si="278"/>
        <v>0</v>
      </c>
      <c r="N2201" t="b">
        <f t="shared" si="272"/>
        <v>1</v>
      </c>
      <c r="O2201" t="str">
        <f t="shared" si="279"/>
        <v>Large Order</v>
      </c>
      <c r="P2201" s="7">
        <f t="shared" si="273"/>
        <v>7.3030000000000008</v>
      </c>
      <c r="Q2201" s="7" t="str">
        <f>VLOOKUP(D2202,Product_Lookup!$A$2:$C$27,2,FALSE)</f>
        <v>Jacket</v>
      </c>
      <c r="R2201" s="7">
        <f t="shared" si="274"/>
        <v>2483.02</v>
      </c>
    </row>
    <row r="2202" spans="1:18" ht="21.75" customHeight="1">
      <c r="A2202" t="s">
        <v>2353</v>
      </c>
      <c r="B2202" s="6">
        <v>45520</v>
      </c>
      <c r="C2202" t="s">
        <v>20</v>
      </c>
      <c r="D2202" t="s">
        <v>197</v>
      </c>
      <c r="E2202" t="s">
        <v>22</v>
      </c>
      <c r="F2202" t="s">
        <v>42</v>
      </c>
      <c r="G2202" t="s">
        <v>32</v>
      </c>
      <c r="H2202">
        <v>7</v>
      </c>
      <c r="I2202" t="str">
        <f>VLOOKUP(D2202,Product_Lookup!$A$2:$C$27,3,FALSE)</f>
        <v>$10.11</v>
      </c>
      <c r="J2202" t="str">
        <f t="shared" si="275"/>
        <v>Friday</v>
      </c>
      <c r="K2202" s="10" t="str">
        <f t="shared" si="276"/>
        <v>August</v>
      </c>
      <c r="L2202">
        <f t="shared" si="277"/>
        <v>2024</v>
      </c>
      <c r="M2202" t="b">
        <f t="shared" si="278"/>
        <v>0</v>
      </c>
      <c r="N2202" t="b">
        <f t="shared" si="272"/>
        <v>0</v>
      </c>
      <c r="O2202" t="str">
        <f t="shared" si="279"/>
        <v>Standard order</v>
      </c>
      <c r="P2202" s="7">
        <f t="shared" si="273"/>
        <v>0.50549999999999995</v>
      </c>
      <c r="Q2202" s="7" t="str">
        <f>VLOOKUP(D2203,Product_Lookup!$A$2:$C$27,2,FALSE)</f>
        <v>Smartphone</v>
      </c>
      <c r="R2202" s="7">
        <f t="shared" si="274"/>
        <v>70.77</v>
      </c>
    </row>
    <row r="2203" spans="1:18" ht="21.75" customHeight="1">
      <c r="A2203" t="s">
        <v>2354</v>
      </c>
      <c r="B2203" s="6">
        <v>45609</v>
      </c>
      <c r="C2203" t="s">
        <v>203</v>
      </c>
      <c r="D2203" t="s">
        <v>79</v>
      </c>
      <c r="E2203" t="s">
        <v>22</v>
      </c>
      <c r="F2203" t="s">
        <v>56</v>
      </c>
      <c r="G2203" t="s">
        <v>36</v>
      </c>
      <c r="H2203">
        <v>4</v>
      </c>
      <c r="I2203" t="str">
        <f>VLOOKUP(D2203,Product_Lookup!$A$2:$C$27,3,FALSE)</f>
        <v>$216.22</v>
      </c>
      <c r="J2203" t="str">
        <f t="shared" si="275"/>
        <v>Wednesday</v>
      </c>
      <c r="K2203" s="10" t="str">
        <f t="shared" si="276"/>
        <v>November</v>
      </c>
      <c r="L2203">
        <f t="shared" si="277"/>
        <v>2024</v>
      </c>
      <c r="M2203" t="b">
        <f t="shared" si="278"/>
        <v>0</v>
      </c>
      <c r="N2203" t="b">
        <f t="shared" si="272"/>
        <v>0</v>
      </c>
      <c r="O2203" t="str">
        <f t="shared" si="279"/>
        <v>Large Order</v>
      </c>
      <c r="P2203" s="7">
        <f t="shared" si="273"/>
        <v>10.811</v>
      </c>
      <c r="Q2203" s="7" t="str">
        <f>VLOOKUP(D2204,Product_Lookup!$A$2:$C$27,2,FALSE)</f>
        <v>Paper Shredder</v>
      </c>
      <c r="R2203" s="7">
        <f t="shared" si="274"/>
        <v>864.88</v>
      </c>
    </row>
    <row r="2204" spans="1:18" ht="21.75" customHeight="1">
      <c r="A2204" t="s">
        <v>2355</v>
      </c>
      <c r="B2204" s="6">
        <v>45353</v>
      </c>
      <c r="C2204" t="s">
        <v>203</v>
      </c>
      <c r="D2204" t="s">
        <v>109</v>
      </c>
      <c r="E2204" t="s">
        <v>11</v>
      </c>
      <c r="F2204" t="s">
        <v>27</v>
      </c>
      <c r="G2204" t="s">
        <v>36</v>
      </c>
      <c r="H2204">
        <v>6</v>
      </c>
      <c r="I2204" t="str">
        <f>VLOOKUP(D2204,Product_Lookup!$A$2:$C$27,3,FALSE)</f>
        <v>$81.02</v>
      </c>
      <c r="J2204" t="str">
        <f t="shared" si="275"/>
        <v>Saturday</v>
      </c>
      <c r="K2204" s="10" t="str">
        <f t="shared" si="276"/>
        <v>March</v>
      </c>
      <c r="L2204">
        <f t="shared" si="277"/>
        <v>2024</v>
      </c>
      <c r="M2204" t="b">
        <f t="shared" si="278"/>
        <v>1</v>
      </c>
      <c r="N2204" t="b">
        <f t="shared" si="272"/>
        <v>0</v>
      </c>
      <c r="O2204" t="str">
        <f t="shared" si="279"/>
        <v>Standard order</v>
      </c>
      <c r="P2204" s="7">
        <f t="shared" si="273"/>
        <v>4.0510000000000002</v>
      </c>
      <c r="Q2204" s="7" t="str">
        <f>VLOOKUP(D2205,Product_Lookup!$A$2:$C$27,2,FALSE)</f>
        <v>Sweater</v>
      </c>
      <c r="R2204" s="7">
        <f t="shared" si="274"/>
        <v>486.12</v>
      </c>
    </row>
    <row r="2205" spans="1:18" ht="21.75" customHeight="1">
      <c r="A2205" t="s">
        <v>2356</v>
      </c>
      <c r="B2205" s="6">
        <v>45648</v>
      </c>
      <c r="C2205" t="s">
        <v>44</v>
      </c>
      <c r="D2205" t="s">
        <v>26</v>
      </c>
      <c r="E2205" t="s">
        <v>17</v>
      </c>
      <c r="F2205" t="s">
        <v>27</v>
      </c>
      <c r="G2205" t="s">
        <v>13</v>
      </c>
      <c r="H2205">
        <v>15</v>
      </c>
      <c r="I2205" t="str">
        <f>VLOOKUP(D2205,Product_Lookup!$A$2:$C$27,3,FALSE)</f>
        <v>$84.57</v>
      </c>
      <c r="J2205" t="str">
        <f t="shared" si="275"/>
        <v>Sunday</v>
      </c>
      <c r="K2205" s="10" t="str">
        <f t="shared" si="276"/>
        <v>December</v>
      </c>
      <c r="L2205">
        <f t="shared" si="277"/>
        <v>2024</v>
      </c>
      <c r="M2205" t="b">
        <f t="shared" si="278"/>
        <v>1</v>
      </c>
      <c r="N2205" t="b">
        <f t="shared" si="272"/>
        <v>1</v>
      </c>
      <c r="O2205" t="str">
        <f t="shared" si="279"/>
        <v>Large Order</v>
      </c>
      <c r="P2205" s="7">
        <f t="shared" si="273"/>
        <v>4.2284999999999995</v>
      </c>
      <c r="Q2205" s="7" t="str">
        <f>VLOOKUP(D2206,Product_Lookup!$A$2:$C$27,2,FALSE)</f>
        <v>Vacuum</v>
      </c>
      <c r="R2205" s="7">
        <f t="shared" si="274"/>
        <v>1268.55</v>
      </c>
    </row>
    <row r="2206" spans="1:18" ht="21.75" customHeight="1">
      <c r="A2206" t="s">
        <v>2357</v>
      </c>
      <c r="B2206" s="6">
        <v>45433</v>
      </c>
      <c r="C2206" t="s">
        <v>337</v>
      </c>
      <c r="D2206" t="s">
        <v>87</v>
      </c>
      <c r="E2206" t="s">
        <v>22</v>
      </c>
      <c r="F2206" t="s">
        <v>42</v>
      </c>
      <c r="G2206" t="s">
        <v>32</v>
      </c>
      <c r="H2206">
        <v>6</v>
      </c>
      <c r="I2206" t="str">
        <f>VLOOKUP(D2206,Product_Lookup!$A$2:$C$27,3,FALSE)</f>
        <v>$26.59</v>
      </c>
      <c r="J2206" t="str">
        <f t="shared" si="275"/>
        <v>Tuesday</v>
      </c>
      <c r="K2206" s="10" t="str">
        <f t="shared" si="276"/>
        <v>May</v>
      </c>
      <c r="L2206">
        <f t="shared" si="277"/>
        <v>2024</v>
      </c>
      <c r="M2206" t="b">
        <f t="shared" si="278"/>
        <v>0</v>
      </c>
      <c r="N2206" t="b">
        <f t="shared" si="272"/>
        <v>0</v>
      </c>
      <c r="O2206" t="str">
        <f t="shared" si="279"/>
        <v>Standard order</v>
      </c>
      <c r="P2206" s="7">
        <f t="shared" si="273"/>
        <v>1.3295000000000001</v>
      </c>
      <c r="Q2206" s="7" t="str">
        <f>VLOOKUP(D2207,Product_Lookup!$A$2:$C$27,2,FALSE)</f>
        <v>Smartphone</v>
      </c>
      <c r="R2206" s="7">
        <f t="shared" si="274"/>
        <v>159.54</v>
      </c>
    </row>
    <row r="2207" spans="1:18" ht="21.75" customHeight="1">
      <c r="A2207" t="s">
        <v>2358</v>
      </c>
      <c r="B2207" s="6">
        <v>45433</v>
      </c>
      <c r="C2207" t="s">
        <v>420</v>
      </c>
      <c r="D2207" t="s">
        <v>79</v>
      </c>
      <c r="E2207" t="s">
        <v>17</v>
      </c>
      <c r="F2207" t="s">
        <v>27</v>
      </c>
      <c r="G2207" t="s">
        <v>32</v>
      </c>
      <c r="H2207">
        <v>2</v>
      </c>
      <c r="I2207" t="str">
        <f>VLOOKUP(D2207,Product_Lookup!$A$2:$C$27,3,FALSE)</f>
        <v>$216.22</v>
      </c>
      <c r="J2207" t="str">
        <f t="shared" si="275"/>
        <v>Tuesday</v>
      </c>
      <c r="K2207" s="10" t="str">
        <f t="shared" si="276"/>
        <v>May</v>
      </c>
      <c r="L2207">
        <f t="shared" si="277"/>
        <v>2024</v>
      </c>
      <c r="M2207" t="b">
        <f t="shared" si="278"/>
        <v>0</v>
      </c>
      <c r="N2207" t="b">
        <f t="shared" si="272"/>
        <v>0</v>
      </c>
      <c r="O2207" t="str">
        <f t="shared" si="279"/>
        <v>Standard order</v>
      </c>
      <c r="P2207" s="7">
        <f t="shared" si="273"/>
        <v>10.811</v>
      </c>
      <c r="Q2207" s="7" t="str">
        <f>VLOOKUP(D2208,Product_Lookup!$A$2:$C$27,2,FALSE)</f>
        <v>Air Fryer</v>
      </c>
      <c r="R2207" s="7">
        <f t="shared" si="274"/>
        <v>432.44</v>
      </c>
    </row>
    <row r="2208" spans="1:18" ht="21.75" customHeight="1">
      <c r="A2208" t="s">
        <v>2359</v>
      </c>
      <c r="B2208" s="6">
        <v>45427</v>
      </c>
      <c r="C2208" t="s">
        <v>235</v>
      </c>
      <c r="D2208" t="s">
        <v>70</v>
      </c>
      <c r="E2208" t="s">
        <v>11</v>
      </c>
      <c r="F2208" t="s">
        <v>27</v>
      </c>
      <c r="G2208" t="s">
        <v>28</v>
      </c>
      <c r="H2208">
        <v>20</v>
      </c>
      <c r="I2208" t="str">
        <f>VLOOKUP(D2208,Product_Lookup!$A$2:$C$27,3,FALSE)</f>
        <v>$211.9</v>
      </c>
      <c r="J2208" t="str">
        <f t="shared" si="275"/>
        <v>Wednesday</v>
      </c>
      <c r="K2208" s="10" t="str">
        <f t="shared" si="276"/>
        <v>May</v>
      </c>
      <c r="L2208">
        <f t="shared" si="277"/>
        <v>2024</v>
      </c>
      <c r="M2208" t="b">
        <f t="shared" si="278"/>
        <v>0</v>
      </c>
      <c r="N2208" t="b">
        <f t="shared" si="272"/>
        <v>1</v>
      </c>
      <c r="O2208" t="str">
        <f t="shared" si="279"/>
        <v>Large Order</v>
      </c>
      <c r="P2208" s="7">
        <f t="shared" si="273"/>
        <v>10.595000000000001</v>
      </c>
      <c r="Q2208" s="7" t="str">
        <f>VLOOKUP(D2209,Product_Lookup!$A$2:$C$27,2,FALSE)</f>
        <v>Monitor</v>
      </c>
      <c r="R2208" s="7">
        <f t="shared" si="274"/>
        <v>4238</v>
      </c>
    </row>
    <row r="2209" spans="1:18" ht="21.75" customHeight="1">
      <c r="A2209" t="s">
        <v>2360</v>
      </c>
      <c r="B2209" s="6">
        <v>45622</v>
      </c>
      <c r="C2209" t="s">
        <v>374</v>
      </c>
      <c r="D2209" t="s">
        <v>102</v>
      </c>
      <c r="E2209" t="s">
        <v>11</v>
      </c>
      <c r="F2209" t="s">
        <v>306</v>
      </c>
      <c r="G2209" t="s">
        <v>23</v>
      </c>
      <c r="H2209">
        <v>7</v>
      </c>
      <c r="I2209" t="str">
        <f>VLOOKUP(D2209,Product_Lookup!$A$2:$C$27,3,FALSE)</f>
        <v>$145.48</v>
      </c>
      <c r="J2209" t="str">
        <f t="shared" si="275"/>
        <v>Tuesday</v>
      </c>
      <c r="K2209" s="10" t="str">
        <f t="shared" si="276"/>
        <v>November</v>
      </c>
      <c r="L2209">
        <f t="shared" si="277"/>
        <v>2024</v>
      </c>
      <c r="M2209" t="b">
        <f t="shared" si="278"/>
        <v>0</v>
      </c>
      <c r="N2209" t="b">
        <f t="shared" si="272"/>
        <v>1</v>
      </c>
      <c r="O2209" t="str">
        <f t="shared" si="279"/>
        <v>Large Order</v>
      </c>
      <c r="P2209" s="7">
        <f t="shared" si="273"/>
        <v>7.274</v>
      </c>
      <c r="Q2209" s="7" t="str">
        <f>VLOOKUP(D2210,Product_Lookup!$A$2:$C$27,2,FALSE)</f>
        <v>Puzzle</v>
      </c>
      <c r="R2209" s="7">
        <f t="shared" si="274"/>
        <v>1018.3599999999999</v>
      </c>
    </row>
    <row r="2210" spans="1:18" ht="21.75" customHeight="1">
      <c r="A2210" t="s">
        <v>2361</v>
      </c>
      <c r="B2210" s="6">
        <v>45346</v>
      </c>
      <c r="C2210" t="s">
        <v>396</v>
      </c>
      <c r="D2210" t="s">
        <v>62</v>
      </c>
      <c r="E2210" t="s">
        <v>17</v>
      </c>
      <c r="F2210" t="s">
        <v>12</v>
      </c>
      <c r="G2210" t="s">
        <v>13</v>
      </c>
      <c r="H2210">
        <v>3</v>
      </c>
      <c r="I2210" t="str">
        <f>VLOOKUP(D2210,Product_Lookup!$A$2:$C$27,3,FALSE)</f>
        <v>$46.19</v>
      </c>
      <c r="J2210" t="str">
        <f t="shared" si="275"/>
        <v>Saturday</v>
      </c>
      <c r="K2210" s="10" t="str">
        <f t="shared" si="276"/>
        <v>February</v>
      </c>
      <c r="L2210">
        <f t="shared" si="277"/>
        <v>2024</v>
      </c>
      <c r="M2210" t="b">
        <f t="shared" si="278"/>
        <v>1</v>
      </c>
      <c r="N2210" t="b">
        <f t="shared" si="272"/>
        <v>0</v>
      </c>
      <c r="O2210" t="str">
        <f t="shared" si="279"/>
        <v>Standard order</v>
      </c>
      <c r="P2210" s="7">
        <f t="shared" si="273"/>
        <v>2.3094999999999999</v>
      </c>
      <c r="Q2210" s="7" t="str">
        <f>VLOOKUP(D2211,Product_Lookup!$A$2:$C$27,2,FALSE)</f>
        <v>Air Fryer</v>
      </c>
      <c r="R2210" s="7">
        <f t="shared" si="274"/>
        <v>138.57</v>
      </c>
    </row>
    <row r="2211" spans="1:18" ht="21.75" customHeight="1">
      <c r="A2211" t="s">
        <v>2362</v>
      </c>
      <c r="B2211" s="6">
        <v>45420</v>
      </c>
      <c r="C2211" t="s">
        <v>420</v>
      </c>
      <c r="D2211" t="s">
        <v>70</v>
      </c>
      <c r="E2211" t="s">
        <v>11</v>
      </c>
      <c r="F2211" t="s">
        <v>27</v>
      </c>
      <c r="G2211" t="s">
        <v>28</v>
      </c>
      <c r="H2211">
        <v>1</v>
      </c>
      <c r="I2211" t="str">
        <f>VLOOKUP(D2211,Product_Lookup!$A$2:$C$27,3,FALSE)</f>
        <v>$211.9</v>
      </c>
      <c r="J2211" t="str">
        <f t="shared" si="275"/>
        <v>Wednesday</v>
      </c>
      <c r="K2211" s="10" t="str">
        <f t="shared" si="276"/>
        <v>May</v>
      </c>
      <c r="L2211">
        <f t="shared" si="277"/>
        <v>2024</v>
      </c>
      <c r="M2211" t="b">
        <f t="shared" si="278"/>
        <v>0</v>
      </c>
      <c r="N2211" t="b">
        <f t="shared" si="272"/>
        <v>0</v>
      </c>
      <c r="O2211" t="str">
        <f t="shared" si="279"/>
        <v>Standard order</v>
      </c>
      <c r="P2211" s="7">
        <f t="shared" si="273"/>
        <v>10.595000000000001</v>
      </c>
      <c r="Q2211" s="7" t="str">
        <f>VLOOKUP(D2212,Product_Lookup!$A$2:$C$27,2,FALSE)</f>
        <v>Sweater</v>
      </c>
      <c r="R2211" s="7">
        <f t="shared" si="274"/>
        <v>211.9</v>
      </c>
    </row>
    <row r="2212" spans="1:18" ht="21.75" customHeight="1">
      <c r="A2212" t="s">
        <v>2363</v>
      </c>
      <c r="B2212" s="6">
        <v>45632</v>
      </c>
      <c r="C2212" t="s">
        <v>53</v>
      </c>
      <c r="D2212" t="s">
        <v>26</v>
      </c>
      <c r="E2212" t="s">
        <v>11</v>
      </c>
      <c r="F2212" t="s">
        <v>42</v>
      </c>
      <c r="G2212" t="s">
        <v>23</v>
      </c>
      <c r="H2212">
        <v>19</v>
      </c>
      <c r="I2212" t="str">
        <f>VLOOKUP(D2212,Product_Lookup!$A$2:$C$27,3,FALSE)</f>
        <v>$84.57</v>
      </c>
      <c r="J2212" t="str">
        <f t="shared" si="275"/>
        <v>Friday</v>
      </c>
      <c r="K2212" s="10" t="str">
        <f t="shared" si="276"/>
        <v>December</v>
      </c>
      <c r="L2212">
        <f t="shared" si="277"/>
        <v>2024</v>
      </c>
      <c r="M2212" t="b">
        <f t="shared" si="278"/>
        <v>0</v>
      </c>
      <c r="N2212" t="b">
        <f t="shared" si="272"/>
        <v>1</v>
      </c>
      <c r="O2212" t="str">
        <f t="shared" si="279"/>
        <v>Large Order</v>
      </c>
      <c r="P2212" s="7">
        <f t="shared" si="273"/>
        <v>4.2284999999999995</v>
      </c>
      <c r="Q2212" s="7" t="str">
        <f>VLOOKUP(D2213,Product_Lookup!$A$2:$C$27,2,FALSE)</f>
        <v>Stapler</v>
      </c>
      <c r="R2212" s="7">
        <f t="shared" si="274"/>
        <v>1606.83</v>
      </c>
    </row>
    <row r="2213" spans="1:18" ht="21.75" customHeight="1">
      <c r="A2213" t="s">
        <v>2364</v>
      </c>
      <c r="B2213" s="6">
        <v>45654</v>
      </c>
      <c r="C2213" t="s">
        <v>337</v>
      </c>
      <c r="D2213" t="s">
        <v>35</v>
      </c>
      <c r="E2213" t="s">
        <v>17</v>
      </c>
      <c r="F2213" t="s">
        <v>27</v>
      </c>
      <c r="G2213" t="s">
        <v>23</v>
      </c>
      <c r="H2213">
        <v>3</v>
      </c>
      <c r="I2213" t="str">
        <f>VLOOKUP(D2213,Product_Lookup!$A$2:$C$27,3,FALSE)</f>
        <v>$64.61</v>
      </c>
      <c r="J2213" t="str">
        <f t="shared" si="275"/>
        <v>Saturday</v>
      </c>
      <c r="K2213" s="10" t="str">
        <f t="shared" si="276"/>
        <v>December</v>
      </c>
      <c r="L2213">
        <f t="shared" si="277"/>
        <v>2024</v>
      </c>
      <c r="M2213" t="b">
        <f t="shared" si="278"/>
        <v>1</v>
      </c>
      <c r="N2213" t="b">
        <f t="shared" si="272"/>
        <v>0</v>
      </c>
      <c r="O2213" t="str">
        <f t="shared" si="279"/>
        <v>Standard order</v>
      </c>
      <c r="P2213" s="7">
        <f t="shared" si="273"/>
        <v>3.2305000000000001</v>
      </c>
      <c r="Q2213" s="7" t="str">
        <f>VLOOKUP(D2214,Product_Lookup!$A$2:$C$27,2,FALSE)</f>
        <v>Puzzle</v>
      </c>
      <c r="R2213" s="7">
        <f t="shared" si="274"/>
        <v>193.82999999999998</v>
      </c>
    </row>
    <row r="2214" spans="1:18" ht="21.75" customHeight="1">
      <c r="A2214" t="s">
        <v>2365</v>
      </c>
      <c r="B2214" s="6">
        <v>45293</v>
      </c>
      <c r="C2214" t="s">
        <v>53</v>
      </c>
      <c r="D2214" t="s">
        <v>62</v>
      </c>
      <c r="E2214" t="s">
        <v>17</v>
      </c>
      <c r="F2214" t="s">
        <v>12</v>
      </c>
      <c r="G2214" t="s">
        <v>36</v>
      </c>
      <c r="H2214">
        <v>18</v>
      </c>
      <c r="I2214" t="str">
        <f>VLOOKUP(D2214,Product_Lookup!$A$2:$C$27,3,FALSE)</f>
        <v>$46.19</v>
      </c>
      <c r="J2214" t="str">
        <f t="shared" si="275"/>
        <v>Tuesday</v>
      </c>
      <c r="K2214" s="10" t="str">
        <f t="shared" si="276"/>
        <v>January</v>
      </c>
      <c r="L2214">
        <f t="shared" si="277"/>
        <v>2024</v>
      </c>
      <c r="M2214" t="b">
        <f t="shared" si="278"/>
        <v>0</v>
      </c>
      <c r="N2214" t="b">
        <f t="shared" si="272"/>
        <v>1</v>
      </c>
      <c r="O2214" t="str">
        <f t="shared" si="279"/>
        <v>Large Order</v>
      </c>
      <c r="P2214" s="7">
        <f t="shared" si="273"/>
        <v>2.3094999999999999</v>
      </c>
      <c r="Q2214" s="7" t="str">
        <f>VLOOKUP(D2215,Product_Lookup!$A$2:$C$27,2,FALSE)</f>
        <v>Board Game</v>
      </c>
      <c r="R2214" s="7">
        <f t="shared" si="274"/>
        <v>831.42</v>
      </c>
    </row>
    <row r="2215" spans="1:18" ht="21.75" customHeight="1">
      <c r="A2215" t="s">
        <v>2366</v>
      </c>
      <c r="B2215" s="6">
        <v>45475</v>
      </c>
      <c r="C2215" t="s">
        <v>118</v>
      </c>
      <c r="D2215" t="s">
        <v>41</v>
      </c>
      <c r="E2215" t="s">
        <v>17</v>
      </c>
      <c r="F2215" t="s">
        <v>27</v>
      </c>
      <c r="G2215" t="s">
        <v>13</v>
      </c>
      <c r="H2215">
        <v>3</v>
      </c>
      <c r="I2215" t="str">
        <f>VLOOKUP(D2215,Product_Lookup!$A$2:$C$27,3,FALSE)</f>
        <v>$86.6</v>
      </c>
      <c r="J2215" t="str">
        <f t="shared" si="275"/>
        <v>Tuesday</v>
      </c>
      <c r="K2215" s="10" t="str">
        <f t="shared" si="276"/>
        <v>July</v>
      </c>
      <c r="L2215">
        <f t="shared" si="277"/>
        <v>2024</v>
      </c>
      <c r="M2215" t="b">
        <f t="shared" si="278"/>
        <v>0</v>
      </c>
      <c r="N2215" t="b">
        <f t="shared" si="272"/>
        <v>0</v>
      </c>
      <c r="O2215" t="str">
        <f t="shared" si="279"/>
        <v>Standard order</v>
      </c>
      <c r="P2215" s="7">
        <f t="shared" si="273"/>
        <v>4.33</v>
      </c>
      <c r="Q2215" s="7" t="str">
        <f>VLOOKUP(D2216,Product_Lookup!$A$2:$C$27,2,FALSE)</f>
        <v>Air Fryer</v>
      </c>
      <c r="R2215" s="7">
        <f t="shared" si="274"/>
        <v>259.79999999999995</v>
      </c>
    </row>
    <row r="2216" spans="1:18" ht="21.75" customHeight="1">
      <c r="A2216" t="s">
        <v>2367</v>
      </c>
      <c r="B2216" s="6">
        <v>45466</v>
      </c>
      <c r="C2216" t="s">
        <v>81</v>
      </c>
      <c r="D2216" t="s">
        <v>70</v>
      </c>
      <c r="E2216" t="s">
        <v>17</v>
      </c>
      <c r="F2216" t="s">
        <v>56</v>
      </c>
      <c r="G2216" t="s">
        <v>28</v>
      </c>
      <c r="H2216">
        <v>18</v>
      </c>
      <c r="I2216" t="str">
        <f>VLOOKUP(D2216,Product_Lookup!$A$2:$C$27,3,FALSE)</f>
        <v>$211.9</v>
      </c>
      <c r="J2216" t="str">
        <f t="shared" si="275"/>
        <v>Sunday</v>
      </c>
      <c r="K2216" s="10" t="str">
        <f t="shared" si="276"/>
        <v>June</v>
      </c>
      <c r="L2216">
        <f t="shared" si="277"/>
        <v>2024</v>
      </c>
      <c r="M2216" t="b">
        <f t="shared" si="278"/>
        <v>1</v>
      </c>
      <c r="N2216" t="b">
        <f t="shared" si="272"/>
        <v>1</v>
      </c>
      <c r="O2216" t="str">
        <f t="shared" si="279"/>
        <v>Large Order</v>
      </c>
      <c r="P2216" s="7">
        <f t="shared" si="273"/>
        <v>10.595000000000001</v>
      </c>
      <c r="Q2216" s="7" t="str">
        <f>VLOOKUP(D2217,Product_Lookup!$A$2:$C$27,2,FALSE)</f>
        <v>Jeans</v>
      </c>
      <c r="R2216" s="7">
        <f t="shared" si="274"/>
        <v>3814.2000000000003</v>
      </c>
    </row>
    <row r="2217" spans="1:18" ht="21.75" customHeight="1">
      <c r="A2217" t="s">
        <v>2368</v>
      </c>
      <c r="B2217" s="6">
        <v>45488</v>
      </c>
      <c r="C2217" t="s">
        <v>371</v>
      </c>
      <c r="D2217" t="s">
        <v>65</v>
      </c>
      <c r="E2217" t="s">
        <v>17</v>
      </c>
      <c r="F2217" t="s">
        <v>27</v>
      </c>
      <c r="G2217" t="s">
        <v>13</v>
      </c>
      <c r="H2217">
        <v>12</v>
      </c>
      <c r="I2217" t="str">
        <f>VLOOKUP(D2217,Product_Lookup!$A$2:$C$27,3,FALSE)</f>
        <v>$33.22</v>
      </c>
      <c r="J2217" t="str">
        <f t="shared" si="275"/>
        <v>Monday</v>
      </c>
      <c r="K2217" s="10" t="str">
        <f t="shared" si="276"/>
        <v>July</v>
      </c>
      <c r="L2217">
        <f t="shared" si="277"/>
        <v>2024</v>
      </c>
      <c r="M2217" t="b">
        <f t="shared" si="278"/>
        <v>0</v>
      </c>
      <c r="N2217" t="b">
        <f t="shared" si="272"/>
        <v>0</v>
      </c>
      <c r="O2217" t="str">
        <f t="shared" si="279"/>
        <v>Standard order</v>
      </c>
      <c r="P2217" s="7">
        <f t="shared" si="273"/>
        <v>1.661</v>
      </c>
      <c r="Q2217" s="7" t="str">
        <f>VLOOKUP(D2218,Product_Lookup!$A$2:$C$27,2,FALSE)</f>
        <v>Lego Set</v>
      </c>
      <c r="R2217" s="7">
        <f t="shared" si="274"/>
        <v>398.64</v>
      </c>
    </row>
    <row r="2218" spans="1:18" ht="21.75" customHeight="1">
      <c r="A2218" t="s">
        <v>2369</v>
      </c>
      <c r="B2218" s="6">
        <v>45615</v>
      </c>
      <c r="C2218" t="s">
        <v>396</v>
      </c>
      <c r="D2218" t="s">
        <v>84</v>
      </c>
      <c r="E2218" t="s">
        <v>11</v>
      </c>
      <c r="F2218" t="s">
        <v>56</v>
      </c>
      <c r="G2218" t="s">
        <v>13</v>
      </c>
      <c r="H2218">
        <v>7</v>
      </c>
      <c r="I2218" t="str">
        <f>VLOOKUP(D2218,Product_Lookup!$A$2:$C$27,3,FALSE)</f>
        <v>$130.07</v>
      </c>
      <c r="J2218" t="str">
        <f t="shared" si="275"/>
        <v>Tuesday</v>
      </c>
      <c r="K2218" s="10" t="str">
        <f t="shared" si="276"/>
        <v>November</v>
      </c>
      <c r="L2218">
        <f t="shared" si="277"/>
        <v>2024</v>
      </c>
      <c r="M2218" t="b">
        <f t="shared" si="278"/>
        <v>0</v>
      </c>
      <c r="N2218" t="b">
        <f t="shared" si="272"/>
        <v>1</v>
      </c>
      <c r="O2218" t="str">
        <f t="shared" si="279"/>
        <v>Large Order</v>
      </c>
      <c r="P2218" s="7">
        <f t="shared" si="273"/>
        <v>6.5034999999999998</v>
      </c>
      <c r="Q2218" s="7" t="str">
        <f>VLOOKUP(D2219,Product_Lookup!$A$2:$C$27,2,FALSE)</f>
        <v>Stapler</v>
      </c>
      <c r="R2218" s="7">
        <f t="shared" si="274"/>
        <v>910.49</v>
      </c>
    </row>
    <row r="2219" spans="1:18" ht="21.75" customHeight="1">
      <c r="A2219" t="s">
        <v>2370</v>
      </c>
      <c r="B2219" s="6">
        <v>45595</v>
      </c>
      <c r="C2219" t="s">
        <v>93</v>
      </c>
      <c r="D2219" t="s">
        <v>35</v>
      </c>
      <c r="E2219" t="s">
        <v>17</v>
      </c>
      <c r="F2219" t="s">
        <v>12</v>
      </c>
      <c r="G2219" t="s">
        <v>36</v>
      </c>
      <c r="H2219">
        <v>10</v>
      </c>
      <c r="I2219" t="str">
        <f>VLOOKUP(D2219,Product_Lookup!$A$2:$C$27,3,FALSE)</f>
        <v>$64.61</v>
      </c>
      <c r="J2219" t="str">
        <f t="shared" si="275"/>
        <v>Wednesday</v>
      </c>
      <c r="K2219" s="10" t="str">
        <f t="shared" si="276"/>
        <v>October</v>
      </c>
      <c r="L2219">
        <f t="shared" si="277"/>
        <v>2024</v>
      </c>
      <c r="M2219" t="b">
        <f t="shared" si="278"/>
        <v>0</v>
      </c>
      <c r="N2219" t="b">
        <f t="shared" si="272"/>
        <v>0</v>
      </c>
      <c r="O2219" t="str">
        <f t="shared" si="279"/>
        <v>Large Order</v>
      </c>
      <c r="P2219" s="7">
        <f t="shared" si="273"/>
        <v>3.2305000000000001</v>
      </c>
      <c r="Q2219" s="7" t="str">
        <f>VLOOKUP(D2220,Product_Lookup!$A$2:$C$27,2,FALSE)</f>
        <v>Smartphone</v>
      </c>
      <c r="R2219" s="7">
        <f t="shared" si="274"/>
        <v>646.1</v>
      </c>
    </row>
    <row r="2220" spans="1:18" ht="21.75" customHeight="1">
      <c r="A2220" t="s">
        <v>2371</v>
      </c>
      <c r="B2220" s="6">
        <v>45522</v>
      </c>
      <c r="C2220" t="s">
        <v>138</v>
      </c>
      <c r="D2220" t="s">
        <v>79</v>
      </c>
      <c r="E2220" t="s">
        <v>17</v>
      </c>
      <c r="F2220" t="s">
        <v>12</v>
      </c>
      <c r="G2220" t="s">
        <v>32</v>
      </c>
      <c r="H2220">
        <v>2</v>
      </c>
      <c r="I2220" t="str">
        <f>VLOOKUP(D2220,Product_Lookup!$A$2:$C$27,3,FALSE)</f>
        <v>$216.22</v>
      </c>
      <c r="J2220" t="str">
        <f t="shared" si="275"/>
        <v>Sunday</v>
      </c>
      <c r="K2220" s="10" t="str">
        <f t="shared" si="276"/>
        <v>August</v>
      </c>
      <c r="L2220">
        <f t="shared" si="277"/>
        <v>2024</v>
      </c>
      <c r="M2220" t="b">
        <f t="shared" si="278"/>
        <v>1</v>
      </c>
      <c r="N2220" t="b">
        <f t="shared" si="272"/>
        <v>0</v>
      </c>
      <c r="O2220" t="str">
        <f t="shared" si="279"/>
        <v>Standard order</v>
      </c>
      <c r="P2220" s="7">
        <f t="shared" si="273"/>
        <v>10.811</v>
      </c>
      <c r="Q2220" s="7" t="str">
        <f>VLOOKUP(D2221,Product_Lookup!$A$2:$C$27,2,FALSE)</f>
        <v>Board Game</v>
      </c>
      <c r="R2220" s="7">
        <f t="shared" si="274"/>
        <v>432.44</v>
      </c>
    </row>
    <row r="2221" spans="1:18" ht="21.75" customHeight="1">
      <c r="A2221" t="s">
        <v>2372</v>
      </c>
      <c r="B2221" s="6">
        <v>45400</v>
      </c>
      <c r="C2221" t="s">
        <v>350</v>
      </c>
      <c r="D2221" t="s">
        <v>41</v>
      </c>
      <c r="E2221" t="s">
        <v>22</v>
      </c>
      <c r="F2221" t="s">
        <v>27</v>
      </c>
      <c r="G2221" t="s">
        <v>36</v>
      </c>
      <c r="H2221">
        <v>5</v>
      </c>
      <c r="I2221" t="str">
        <f>VLOOKUP(D2221,Product_Lookup!$A$2:$C$27,3,FALSE)</f>
        <v>$86.6</v>
      </c>
      <c r="J2221" t="str">
        <f t="shared" si="275"/>
        <v>Thursday</v>
      </c>
      <c r="K2221" s="10" t="str">
        <f t="shared" si="276"/>
        <v>April</v>
      </c>
      <c r="L2221">
        <f t="shared" si="277"/>
        <v>2024</v>
      </c>
      <c r="M2221" t="b">
        <f t="shared" si="278"/>
        <v>0</v>
      </c>
      <c r="N2221" t="b">
        <f t="shared" si="272"/>
        <v>0</v>
      </c>
      <c r="O2221" t="str">
        <f t="shared" si="279"/>
        <v>Standard order</v>
      </c>
      <c r="P2221" s="7">
        <f t="shared" si="273"/>
        <v>4.33</v>
      </c>
      <c r="Q2221" s="7" t="str">
        <f>VLOOKUP(D2222,Product_Lookup!$A$2:$C$27,2,FALSE)</f>
        <v>Smartphone</v>
      </c>
      <c r="R2221" s="7">
        <f t="shared" si="274"/>
        <v>433</v>
      </c>
    </row>
    <row r="2222" spans="1:18" ht="21.75" customHeight="1">
      <c r="A2222" t="s">
        <v>2373</v>
      </c>
      <c r="B2222" s="6">
        <v>45411</v>
      </c>
      <c r="C2222" t="s">
        <v>208</v>
      </c>
      <c r="D2222" t="s">
        <v>79</v>
      </c>
      <c r="E2222" t="s">
        <v>22</v>
      </c>
      <c r="F2222" t="s">
        <v>56</v>
      </c>
      <c r="G2222" t="s">
        <v>23</v>
      </c>
      <c r="H2222">
        <v>1</v>
      </c>
      <c r="I2222" t="str">
        <f>VLOOKUP(D2222,Product_Lookup!$A$2:$C$27,3,FALSE)</f>
        <v>$216.22</v>
      </c>
      <c r="J2222" t="str">
        <f t="shared" si="275"/>
        <v>Monday</v>
      </c>
      <c r="K2222" s="10" t="str">
        <f t="shared" si="276"/>
        <v>April</v>
      </c>
      <c r="L2222">
        <f t="shared" si="277"/>
        <v>2024</v>
      </c>
      <c r="M2222" t="b">
        <f t="shared" si="278"/>
        <v>0</v>
      </c>
      <c r="N2222" t="b">
        <f t="shared" si="272"/>
        <v>0</v>
      </c>
      <c r="O2222" t="str">
        <f t="shared" si="279"/>
        <v>Standard order</v>
      </c>
      <c r="P2222" s="7">
        <f t="shared" si="273"/>
        <v>10.811</v>
      </c>
      <c r="Q2222" s="7" t="str">
        <f>VLOOKUP(D2223,Product_Lookup!$A$2:$C$27,2,FALSE)</f>
        <v>Jacket</v>
      </c>
      <c r="R2222" s="7">
        <f t="shared" si="274"/>
        <v>216.22</v>
      </c>
    </row>
    <row r="2223" spans="1:18" ht="21.75" customHeight="1">
      <c r="A2223" t="s">
        <v>2374</v>
      </c>
      <c r="B2223" s="6">
        <v>45608</v>
      </c>
      <c r="C2223" t="s">
        <v>116</v>
      </c>
      <c r="D2223" t="s">
        <v>197</v>
      </c>
      <c r="E2223" t="s">
        <v>22</v>
      </c>
      <c r="F2223" t="s">
        <v>56</v>
      </c>
      <c r="G2223" t="s">
        <v>13</v>
      </c>
      <c r="H2223">
        <v>6</v>
      </c>
      <c r="I2223" t="str">
        <f>VLOOKUP(D2223,Product_Lookup!$A$2:$C$27,3,FALSE)</f>
        <v>$10.11</v>
      </c>
      <c r="J2223" t="str">
        <f t="shared" si="275"/>
        <v>Tuesday</v>
      </c>
      <c r="K2223" s="10" t="str">
        <f t="shared" si="276"/>
        <v>November</v>
      </c>
      <c r="L2223">
        <f t="shared" si="277"/>
        <v>2024</v>
      </c>
      <c r="M2223" t="b">
        <f t="shared" si="278"/>
        <v>0</v>
      </c>
      <c r="N2223" t="b">
        <f t="shared" si="272"/>
        <v>0</v>
      </c>
      <c r="O2223" t="str">
        <f t="shared" si="279"/>
        <v>Standard order</v>
      </c>
      <c r="P2223" s="7">
        <f t="shared" si="273"/>
        <v>0.50549999999999995</v>
      </c>
      <c r="Q2223" s="7" t="str">
        <f>VLOOKUP(D2224,Product_Lookup!$A$2:$C$27,2,FALSE)</f>
        <v>Air Fryer</v>
      </c>
      <c r="R2223" s="7">
        <f t="shared" si="274"/>
        <v>60.66</v>
      </c>
    </row>
    <row r="2224" spans="1:18" ht="21.75" customHeight="1">
      <c r="A2224" t="s">
        <v>2375</v>
      </c>
      <c r="B2224" s="6">
        <v>45449</v>
      </c>
      <c r="C2224" t="s">
        <v>108</v>
      </c>
      <c r="D2224" t="s">
        <v>70</v>
      </c>
      <c r="E2224" t="s">
        <v>22</v>
      </c>
      <c r="F2224" t="s">
        <v>56</v>
      </c>
      <c r="G2224" t="s">
        <v>36</v>
      </c>
      <c r="H2224">
        <v>3</v>
      </c>
      <c r="I2224" t="str">
        <f>VLOOKUP(D2224,Product_Lookup!$A$2:$C$27,3,FALSE)</f>
        <v>$211.9</v>
      </c>
      <c r="J2224" t="str">
        <f t="shared" si="275"/>
        <v>Thursday</v>
      </c>
      <c r="K2224" s="10" t="str">
        <f t="shared" si="276"/>
        <v>June</v>
      </c>
      <c r="L2224">
        <f t="shared" si="277"/>
        <v>2024</v>
      </c>
      <c r="M2224" t="b">
        <f t="shared" si="278"/>
        <v>0</v>
      </c>
      <c r="N2224" t="b">
        <f t="shared" si="272"/>
        <v>0</v>
      </c>
      <c r="O2224" t="str">
        <f t="shared" si="279"/>
        <v>Large Order</v>
      </c>
      <c r="P2224" s="7">
        <f t="shared" si="273"/>
        <v>10.595000000000001</v>
      </c>
      <c r="Q2224" s="7" t="str">
        <f>VLOOKUP(D2225,Product_Lookup!$A$2:$C$27,2,FALSE)</f>
        <v>Stapler</v>
      </c>
      <c r="R2224" s="7">
        <f t="shared" si="274"/>
        <v>635.70000000000005</v>
      </c>
    </row>
    <row r="2225" spans="1:18" ht="21.75" customHeight="1">
      <c r="A2225" t="s">
        <v>2376</v>
      </c>
      <c r="B2225" s="6">
        <v>45346</v>
      </c>
      <c r="C2225" t="s">
        <v>40</v>
      </c>
      <c r="D2225" t="s">
        <v>35</v>
      </c>
      <c r="E2225" t="s">
        <v>22</v>
      </c>
      <c r="F2225" t="s">
        <v>306</v>
      </c>
      <c r="G2225" t="s">
        <v>28</v>
      </c>
      <c r="H2225">
        <v>3</v>
      </c>
      <c r="I2225" t="str">
        <f>VLOOKUP(D2225,Product_Lookup!$A$2:$C$27,3,FALSE)</f>
        <v>$64.61</v>
      </c>
      <c r="J2225" t="str">
        <f t="shared" si="275"/>
        <v>Saturday</v>
      </c>
      <c r="K2225" s="10" t="str">
        <f t="shared" si="276"/>
        <v>February</v>
      </c>
      <c r="L2225">
        <f t="shared" si="277"/>
        <v>2024</v>
      </c>
      <c r="M2225" t="b">
        <f t="shared" si="278"/>
        <v>1</v>
      </c>
      <c r="N2225" t="b">
        <f t="shared" si="272"/>
        <v>0</v>
      </c>
      <c r="O2225" t="str">
        <f t="shared" si="279"/>
        <v>Standard order</v>
      </c>
      <c r="P2225" s="7">
        <f t="shared" si="273"/>
        <v>3.2305000000000001</v>
      </c>
      <c r="Q2225" s="7" t="str">
        <f>VLOOKUP(D2226,Product_Lookup!$A$2:$C$27,2,FALSE)</f>
        <v>Lego Set</v>
      </c>
      <c r="R2225" s="7">
        <f t="shared" si="274"/>
        <v>193.82999999999998</v>
      </c>
    </row>
    <row r="2226" spans="1:18" ht="21.75" customHeight="1">
      <c r="A2226" t="s">
        <v>2377</v>
      </c>
      <c r="B2226" s="6">
        <v>45510</v>
      </c>
      <c r="C2226" t="s">
        <v>47</v>
      </c>
      <c r="D2226" t="s">
        <v>84</v>
      </c>
      <c r="E2226" t="s">
        <v>22</v>
      </c>
      <c r="F2226" t="s">
        <v>27</v>
      </c>
      <c r="G2226" t="s">
        <v>32</v>
      </c>
      <c r="H2226">
        <v>4</v>
      </c>
      <c r="I2226" t="str">
        <f>VLOOKUP(D2226,Product_Lookup!$A$2:$C$27,3,FALSE)</f>
        <v>$130.07</v>
      </c>
      <c r="J2226" t="str">
        <f t="shared" si="275"/>
        <v>Tuesday</v>
      </c>
      <c r="K2226" s="10" t="str">
        <f t="shared" si="276"/>
        <v>August</v>
      </c>
      <c r="L2226">
        <f t="shared" si="277"/>
        <v>2024</v>
      </c>
      <c r="M2226" t="b">
        <f t="shared" si="278"/>
        <v>0</v>
      </c>
      <c r="N2226" t="b">
        <f t="shared" si="272"/>
        <v>0</v>
      </c>
      <c r="O2226" t="str">
        <f t="shared" si="279"/>
        <v>Large Order</v>
      </c>
      <c r="P2226" s="7">
        <f t="shared" si="273"/>
        <v>6.5034999999999998</v>
      </c>
      <c r="Q2226" s="7" t="str">
        <f>VLOOKUP(D2227,Product_Lookup!$A$2:$C$27,2,FALSE)</f>
        <v>Headphones</v>
      </c>
      <c r="R2226" s="7">
        <f t="shared" si="274"/>
        <v>520.28</v>
      </c>
    </row>
    <row r="2227" spans="1:18" ht="21.75" customHeight="1">
      <c r="A2227" t="s">
        <v>2378</v>
      </c>
      <c r="B2227" s="6">
        <v>45586</v>
      </c>
      <c r="C2227" t="s">
        <v>591</v>
      </c>
      <c r="D2227" t="s">
        <v>16</v>
      </c>
      <c r="E2227" t="s">
        <v>17</v>
      </c>
      <c r="F2227" t="s">
        <v>56</v>
      </c>
      <c r="G2227" t="s">
        <v>13</v>
      </c>
      <c r="H2227">
        <v>19</v>
      </c>
      <c r="I2227" t="str">
        <f>VLOOKUP(D2227,Product_Lookup!$A$2:$C$27,3,FALSE)</f>
        <v>$178.83</v>
      </c>
      <c r="J2227" t="str">
        <f t="shared" si="275"/>
        <v>Monday</v>
      </c>
      <c r="K2227" s="10" t="str">
        <f t="shared" si="276"/>
        <v>October</v>
      </c>
      <c r="L2227">
        <f t="shared" si="277"/>
        <v>2024</v>
      </c>
      <c r="M2227" t="b">
        <f t="shared" si="278"/>
        <v>0</v>
      </c>
      <c r="N2227" t="b">
        <f t="shared" si="272"/>
        <v>1</v>
      </c>
      <c r="O2227" t="str">
        <f t="shared" si="279"/>
        <v>Large Order</v>
      </c>
      <c r="P2227" s="7">
        <f t="shared" si="273"/>
        <v>8.9415000000000013</v>
      </c>
      <c r="Q2227" s="7" t="str">
        <f>VLOOKUP(D2228,Product_Lookup!$A$2:$C$27,2,FALSE)</f>
        <v>Sweater</v>
      </c>
      <c r="R2227" s="7">
        <f t="shared" si="274"/>
        <v>3397.7700000000004</v>
      </c>
    </row>
    <row r="2228" spans="1:18" ht="21.75" customHeight="1">
      <c r="A2228" t="s">
        <v>2379</v>
      </c>
      <c r="B2228" s="6">
        <v>45324</v>
      </c>
      <c r="C2228" t="s">
        <v>114</v>
      </c>
      <c r="D2228" t="s">
        <v>26</v>
      </c>
      <c r="E2228" t="s">
        <v>11</v>
      </c>
      <c r="F2228" t="s">
        <v>27</v>
      </c>
      <c r="G2228" t="s">
        <v>28</v>
      </c>
      <c r="H2228">
        <v>12</v>
      </c>
      <c r="I2228" t="str">
        <f>VLOOKUP(D2228,Product_Lookup!$A$2:$C$27,3,FALSE)</f>
        <v>$84.57</v>
      </c>
      <c r="J2228" t="str">
        <f t="shared" si="275"/>
        <v>Friday</v>
      </c>
      <c r="K2228" s="10" t="str">
        <f t="shared" si="276"/>
        <v>February</v>
      </c>
      <c r="L2228">
        <f t="shared" si="277"/>
        <v>2024</v>
      </c>
      <c r="M2228" t="b">
        <f t="shared" si="278"/>
        <v>0</v>
      </c>
      <c r="N2228" t="b">
        <f t="shared" si="272"/>
        <v>1</v>
      </c>
      <c r="O2228" t="str">
        <f t="shared" si="279"/>
        <v>Large Order</v>
      </c>
      <c r="P2228" s="7">
        <f t="shared" si="273"/>
        <v>4.2284999999999995</v>
      </c>
      <c r="Q2228" s="7" t="str">
        <f>VLOOKUP(D2229,Product_Lookup!$A$2:$C$27,2,FALSE)</f>
        <v>Desk Lamp</v>
      </c>
      <c r="R2228" s="7">
        <f t="shared" si="274"/>
        <v>1014.8399999999999</v>
      </c>
    </row>
    <row r="2229" spans="1:18" ht="21.75" customHeight="1">
      <c r="A2229" t="s">
        <v>2380</v>
      </c>
      <c r="B2229" s="6">
        <v>45516</v>
      </c>
      <c r="C2229" t="s">
        <v>78</v>
      </c>
      <c r="D2229" t="s">
        <v>59</v>
      </c>
      <c r="E2229" t="s">
        <v>11</v>
      </c>
      <c r="F2229" t="s">
        <v>56</v>
      </c>
      <c r="G2229" t="s">
        <v>13</v>
      </c>
      <c r="H2229">
        <v>20</v>
      </c>
      <c r="I2229" t="str">
        <f>VLOOKUP(D2229,Product_Lookup!$A$2:$C$27,3,FALSE)</f>
        <v>$101.96</v>
      </c>
      <c r="J2229" t="str">
        <f t="shared" si="275"/>
        <v>Monday</v>
      </c>
      <c r="K2229" s="10" t="str">
        <f t="shared" si="276"/>
        <v>August</v>
      </c>
      <c r="L2229">
        <f t="shared" si="277"/>
        <v>2024</v>
      </c>
      <c r="M2229" t="b">
        <f t="shared" si="278"/>
        <v>0</v>
      </c>
      <c r="N2229" t="b">
        <f t="shared" si="272"/>
        <v>1</v>
      </c>
      <c r="O2229" t="str">
        <f t="shared" si="279"/>
        <v>Large Order</v>
      </c>
      <c r="P2229" s="7">
        <f t="shared" si="273"/>
        <v>5.0979999999999999</v>
      </c>
      <c r="Q2229" s="7" t="str">
        <f>VLOOKUP(D2230,Product_Lookup!$A$2:$C$27,2,FALSE)</f>
        <v>Stapler</v>
      </c>
      <c r="R2229" s="7">
        <f t="shared" si="274"/>
        <v>2039.1999999999998</v>
      </c>
    </row>
    <row r="2230" spans="1:18" ht="21.75" customHeight="1">
      <c r="A2230" t="s">
        <v>2381</v>
      </c>
      <c r="B2230" s="6">
        <v>45372</v>
      </c>
      <c r="C2230" t="s">
        <v>138</v>
      </c>
      <c r="D2230" t="s">
        <v>35</v>
      </c>
      <c r="E2230" t="s">
        <v>11</v>
      </c>
      <c r="F2230" t="s">
        <v>12</v>
      </c>
      <c r="G2230" t="s">
        <v>13</v>
      </c>
      <c r="H2230">
        <v>6</v>
      </c>
      <c r="I2230" t="str">
        <f>VLOOKUP(D2230,Product_Lookup!$A$2:$C$27,3,FALSE)</f>
        <v>$64.61</v>
      </c>
      <c r="J2230" t="str">
        <f t="shared" si="275"/>
        <v>Thursday</v>
      </c>
      <c r="K2230" s="10" t="str">
        <f t="shared" si="276"/>
        <v>March</v>
      </c>
      <c r="L2230">
        <f t="shared" si="277"/>
        <v>2024</v>
      </c>
      <c r="M2230" t="b">
        <f t="shared" si="278"/>
        <v>0</v>
      </c>
      <c r="N2230" t="b">
        <f t="shared" si="272"/>
        <v>0</v>
      </c>
      <c r="O2230" t="str">
        <f t="shared" si="279"/>
        <v>Standard order</v>
      </c>
      <c r="P2230" s="7">
        <f t="shared" si="273"/>
        <v>3.2305000000000001</v>
      </c>
      <c r="Q2230" s="7" t="str">
        <f>VLOOKUP(D2231,Product_Lookup!$A$2:$C$27,2,FALSE)</f>
        <v>Desk Lamp</v>
      </c>
      <c r="R2230" s="7">
        <f t="shared" si="274"/>
        <v>387.65999999999997</v>
      </c>
    </row>
    <row r="2231" spans="1:18" ht="21.75" customHeight="1">
      <c r="A2231" t="s">
        <v>2382</v>
      </c>
      <c r="B2231" s="6">
        <v>45653</v>
      </c>
      <c r="C2231" t="s">
        <v>350</v>
      </c>
      <c r="D2231" t="s">
        <v>59</v>
      </c>
      <c r="E2231" t="s">
        <v>17</v>
      </c>
      <c r="F2231" t="s">
        <v>27</v>
      </c>
      <c r="G2231" t="s">
        <v>23</v>
      </c>
      <c r="H2231">
        <v>5</v>
      </c>
      <c r="I2231" t="str">
        <f>VLOOKUP(D2231,Product_Lookup!$A$2:$C$27,3,FALSE)</f>
        <v>$101.96</v>
      </c>
      <c r="J2231" t="str">
        <f t="shared" si="275"/>
        <v>Friday</v>
      </c>
      <c r="K2231" s="10" t="str">
        <f t="shared" si="276"/>
        <v>December</v>
      </c>
      <c r="L2231">
        <f t="shared" si="277"/>
        <v>2024</v>
      </c>
      <c r="M2231" t="b">
        <f t="shared" si="278"/>
        <v>0</v>
      </c>
      <c r="N2231" t="b">
        <f t="shared" si="272"/>
        <v>0</v>
      </c>
      <c r="O2231" t="str">
        <f t="shared" si="279"/>
        <v>Large Order</v>
      </c>
      <c r="P2231" s="7">
        <f t="shared" si="273"/>
        <v>5.0979999999999999</v>
      </c>
      <c r="Q2231" s="7" t="str">
        <f>VLOOKUP(D2232,Product_Lookup!$A$2:$C$27,2,FALSE)</f>
        <v>Notebook</v>
      </c>
      <c r="R2231" s="7">
        <f t="shared" si="274"/>
        <v>509.79999999999995</v>
      </c>
    </row>
    <row r="2232" spans="1:18" ht="21.75" customHeight="1">
      <c r="A2232" t="s">
        <v>2383</v>
      </c>
      <c r="B2232" s="6">
        <v>45619</v>
      </c>
      <c r="C2232" t="s">
        <v>101</v>
      </c>
      <c r="D2232" t="s">
        <v>160</v>
      </c>
      <c r="E2232" t="s">
        <v>17</v>
      </c>
      <c r="F2232" t="s">
        <v>27</v>
      </c>
      <c r="G2232" t="s">
        <v>28</v>
      </c>
      <c r="H2232">
        <v>6</v>
      </c>
      <c r="I2232" t="str">
        <f>VLOOKUP(D2232,Product_Lookup!$A$2:$C$27,3,FALSE)</f>
        <v>$149.27</v>
      </c>
      <c r="J2232" t="str">
        <f t="shared" si="275"/>
        <v>Saturday</v>
      </c>
      <c r="K2232" s="10" t="str">
        <f t="shared" si="276"/>
        <v>November</v>
      </c>
      <c r="L2232">
        <f t="shared" si="277"/>
        <v>2024</v>
      </c>
      <c r="M2232" t="b">
        <f t="shared" si="278"/>
        <v>1</v>
      </c>
      <c r="N2232" t="b">
        <f t="shared" si="272"/>
        <v>1</v>
      </c>
      <c r="O2232" t="str">
        <f t="shared" si="279"/>
        <v>Large Order</v>
      </c>
      <c r="P2232" s="7">
        <f t="shared" si="273"/>
        <v>7.4635000000000007</v>
      </c>
      <c r="Q2232" s="7" t="str">
        <f>VLOOKUP(D2233,Product_Lookup!$A$2:$C$27,2,FALSE)</f>
        <v>T-Shirt</v>
      </c>
      <c r="R2232" s="7">
        <f t="shared" si="274"/>
        <v>895.62000000000012</v>
      </c>
    </row>
    <row r="2233" spans="1:18" ht="21.75" customHeight="1">
      <c r="A2233" t="s">
        <v>2384</v>
      </c>
      <c r="B2233" s="6">
        <v>45311</v>
      </c>
      <c r="C2233" t="s">
        <v>327</v>
      </c>
      <c r="D2233" t="s">
        <v>45</v>
      </c>
      <c r="E2233" t="s">
        <v>22</v>
      </c>
      <c r="F2233" t="s">
        <v>27</v>
      </c>
      <c r="G2233" t="s">
        <v>36</v>
      </c>
      <c r="H2233">
        <v>3</v>
      </c>
      <c r="I2233" t="str">
        <f>VLOOKUP(D2233,Product_Lookup!$A$2:$C$27,3,FALSE)</f>
        <v>$107.34</v>
      </c>
      <c r="J2233" t="str">
        <f t="shared" si="275"/>
        <v>Saturday</v>
      </c>
      <c r="K2233" s="10" t="str">
        <f t="shared" si="276"/>
        <v>January</v>
      </c>
      <c r="L2233">
        <f t="shared" si="277"/>
        <v>2024</v>
      </c>
      <c r="M2233" t="b">
        <f t="shared" si="278"/>
        <v>1</v>
      </c>
      <c r="N2233" t="b">
        <f t="shared" si="272"/>
        <v>0</v>
      </c>
      <c r="O2233" t="str">
        <f t="shared" si="279"/>
        <v>Standard order</v>
      </c>
      <c r="P2233" s="7">
        <f t="shared" si="273"/>
        <v>5.3670000000000009</v>
      </c>
      <c r="Q2233" s="7" t="str">
        <f>VLOOKUP(D2234,Product_Lookup!$A$2:$C$27,2,FALSE)</f>
        <v>Vacuum</v>
      </c>
      <c r="R2233" s="7">
        <f t="shared" si="274"/>
        <v>322.02</v>
      </c>
    </row>
    <row r="2234" spans="1:18" ht="21.75" customHeight="1">
      <c r="A2234" t="s">
        <v>2385</v>
      </c>
      <c r="B2234" s="6">
        <v>45446</v>
      </c>
      <c r="C2234" t="s">
        <v>20</v>
      </c>
      <c r="D2234" t="s">
        <v>87</v>
      </c>
      <c r="E2234" t="s">
        <v>11</v>
      </c>
      <c r="F2234" t="s">
        <v>306</v>
      </c>
      <c r="G2234" t="s">
        <v>28</v>
      </c>
      <c r="H2234">
        <v>7</v>
      </c>
      <c r="I2234" t="str">
        <f>VLOOKUP(D2234,Product_Lookup!$A$2:$C$27,3,FALSE)</f>
        <v>$26.59</v>
      </c>
      <c r="J2234" t="str">
        <f t="shared" si="275"/>
        <v>Monday</v>
      </c>
      <c r="K2234" s="10" t="str">
        <f t="shared" si="276"/>
        <v>June</v>
      </c>
      <c r="L2234">
        <f t="shared" si="277"/>
        <v>2024</v>
      </c>
      <c r="M2234" t="b">
        <f t="shared" si="278"/>
        <v>0</v>
      </c>
      <c r="N2234" t="b">
        <f t="shared" si="272"/>
        <v>0</v>
      </c>
      <c r="O2234" t="str">
        <f t="shared" si="279"/>
        <v>Standard order</v>
      </c>
      <c r="P2234" s="7">
        <f t="shared" si="273"/>
        <v>1.3295000000000001</v>
      </c>
      <c r="Q2234" s="7" t="str">
        <f>VLOOKUP(D2235,Product_Lookup!$A$2:$C$27,2,FALSE)</f>
        <v>Paper Shredder</v>
      </c>
      <c r="R2234" s="7">
        <f t="shared" si="274"/>
        <v>186.13</v>
      </c>
    </row>
    <row r="2235" spans="1:18" ht="21.75" customHeight="1">
      <c r="A2235" t="s">
        <v>2386</v>
      </c>
      <c r="B2235" s="6">
        <v>45563</v>
      </c>
      <c r="C2235" t="s">
        <v>108</v>
      </c>
      <c r="D2235" t="s">
        <v>109</v>
      </c>
      <c r="E2235" t="s">
        <v>17</v>
      </c>
      <c r="F2235" t="s">
        <v>306</v>
      </c>
      <c r="G2235" t="s">
        <v>36</v>
      </c>
      <c r="H2235">
        <v>8</v>
      </c>
      <c r="I2235" t="str">
        <f>VLOOKUP(D2235,Product_Lookup!$A$2:$C$27,3,FALSE)</f>
        <v>$81.02</v>
      </c>
      <c r="J2235" t="str">
        <f t="shared" si="275"/>
        <v>Saturday</v>
      </c>
      <c r="K2235" s="10" t="str">
        <f t="shared" si="276"/>
        <v>September</v>
      </c>
      <c r="L2235">
        <f t="shared" si="277"/>
        <v>2024</v>
      </c>
      <c r="M2235" t="b">
        <f t="shared" si="278"/>
        <v>1</v>
      </c>
      <c r="N2235" t="b">
        <f t="shared" si="272"/>
        <v>0</v>
      </c>
      <c r="O2235" t="str">
        <f t="shared" si="279"/>
        <v>Large Order</v>
      </c>
      <c r="P2235" s="7">
        <f t="shared" si="273"/>
        <v>4.0510000000000002</v>
      </c>
      <c r="Q2235" s="7" t="str">
        <f>VLOOKUP(D2236,Product_Lookup!$A$2:$C$27,2,FALSE)</f>
        <v>Jeans</v>
      </c>
      <c r="R2235" s="7">
        <f t="shared" si="274"/>
        <v>648.16</v>
      </c>
    </row>
    <row r="2236" spans="1:18" ht="21.75" customHeight="1">
      <c r="A2236" t="s">
        <v>2387</v>
      </c>
      <c r="B2236" s="6">
        <v>45612</v>
      </c>
      <c r="C2236" t="s">
        <v>371</v>
      </c>
      <c r="D2236" t="s">
        <v>65</v>
      </c>
      <c r="E2236" t="s">
        <v>17</v>
      </c>
      <c r="F2236" t="s">
        <v>12</v>
      </c>
      <c r="G2236" t="s">
        <v>28</v>
      </c>
      <c r="H2236">
        <v>4</v>
      </c>
      <c r="I2236" t="str">
        <f>VLOOKUP(D2236,Product_Lookup!$A$2:$C$27,3,FALSE)</f>
        <v>$33.22</v>
      </c>
      <c r="J2236" t="str">
        <f t="shared" si="275"/>
        <v>Saturday</v>
      </c>
      <c r="K2236" s="10" t="str">
        <f t="shared" si="276"/>
        <v>November</v>
      </c>
      <c r="L2236">
        <f t="shared" si="277"/>
        <v>2024</v>
      </c>
      <c r="M2236" t="b">
        <f t="shared" si="278"/>
        <v>1</v>
      </c>
      <c r="N2236" t="b">
        <f t="shared" si="272"/>
        <v>0</v>
      </c>
      <c r="O2236" t="str">
        <f t="shared" si="279"/>
        <v>Standard order</v>
      </c>
      <c r="P2236" s="7">
        <f t="shared" si="273"/>
        <v>1.661</v>
      </c>
      <c r="Q2236" s="7" t="str">
        <f>VLOOKUP(D2237,Product_Lookup!$A$2:$C$27,2,FALSE)</f>
        <v>Stapler</v>
      </c>
      <c r="R2236" s="7">
        <f t="shared" si="274"/>
        <v>132.88</v>
      </c>
    </row>
    <row r="2237" spans="1:18" ht="21.75" customHeight="1">
      <c r="A2237" t="s">
        <v>2388</v>
      </c>
      <c r="B2237" s="6">
        <v>45642</v>
      </c>
      <c r="C2237" t="s">
        <v>553</v>
      </c>
      <c r="D2237" t="s">
        <v>35</v>
      </c>
      <c r="E2237" t="s">
        <v>11</v>
      </c>
      <c r="F2237" t="s">
        <v>56</v>
      </c>
      <c r="G2237" t="s">
        <v>13</v>
      </c>
      <c r="H2237">
        <v>2</v>
      </c>
      <c r="I2237" t="str">
        <f>VLOOKUP(D2237,Product_Lookup!$A$2:$C$27,3,FALSE)</f>
        <v>$64.61</v>
      </c>
      <c r="J2237" t="str">
        <f t="shared" si="275"/>
        <v>Monday</v>
      </c>
      <c r="K2237" s="10" t="str">
        <f t="shared" si="276"/>
        <v>December</v>
      </c>
      <c r="L2237">
        <f t="shared" si="277"/>
        <v>2024</v>
      </c>
      <c r="M2237" t="b">
        <f t="shared" si="278"/>
        <v>0</v>
      </c>
      <c r="N2237" t="b">
        <f t="shared" si="272"/>
        <v>0</v>
      </c>
      <c r="O2237" t="str">
        <f t="shared" si="279"/>
        <v>Standard order</v>
      </c>
      <c r="P2237" s="7">
        <f t="shared" si="273"/>
        <v>3.2305000000000001</v>
      </c>
      <c r="Q2237" s="7" t="str">
        <f>VLOOKUP(D2238,Product_Lookup!$A$2:$C$27,2,FALSE)</f>
        <v>Vacuum</v>
      </c>
      <c r="R2237" s="7">
        <f t="shared" si="274"/>
        <v>129.22</v>
      </c>
    </row>
    <row r="2238" spans="1:18" ht="21.75" customHeight="1">
      <c r="A2238" t="s">
        <v>2389</v>
      </c>
      <c r="B2238" s="6">
        <v>45437</v>
      </c>
      <c r="C2238" t="s">
        <v>95</v>
      </c>
      <c r="D2238" t="s">
        <v>87</v>
      </c>
      <c r="E2238" t="s">
        <v>17</v>
      </c>
      <c r="F2238" t="s">
        <v>42</v>
      </c>
      <c r="G2238" t="s">
        <v>36</v>
      </c>
      <c r="H2238">
        <v>15</v>
      </c>
      <c r="I2238" t="str">
        <f>VLOOKUP(D2238,Product_Lookup!$A$2:$C$27,3,FALSE)</f>
        <v>$26.59</v>
      </c>
      <c r="J2238" t="str">
        <f t="shared" si="275"/>
        <v>Saturday</v>
      </c>
      <c r="K2238" s="10" t="str">
        <f t="shared" si="276"/>
        <v>May</v>
      </c>
      <c r="L2238">
        <f t="shared" si="277"/>
        <v>2024</v>
      </c>
      <c r="M2238" t="b">
        <f t="shared" si="278"/>
        <v>1</v>
      </c>
      <c r="N2238" t="b">
        <f t="shared" si="272"/>
        <v>0</v>
      </c>
      <c r="O2238" t="str">
        <f t="shared" si="279"/>
        <v>Standard order</v>
      </c>
      <c r="P2238" s="7">
        <f t="shared" si="273"/>
        <v>1.3295000000000001</v>
      </c>
      <c r="Q2238" s="7" t="str">
        <f>VLOOKUP(D2239,Product_Lookup!$A$2:$C$27,2,FALSE)</f>
        <v>T-Shirt</v>
      </c>
      <c r="R2238" s="7">
        <f t="shared" si="274"/>
        <v>398.85</v>
      </c>
    </row>
    <row r="2239" spans="1:18" ht="21.75" customHeight="1">
      <c r="A2239" t="s">
        <v>2390</v>
      </c>
      <c r="B2239" s="6">
        <v>45318</v>
      </c>
      <c r="C2239" t="s">
        <v>312</v>
      </c>
      <c r="D2239" t="s">
        <v>45</v>
      </c>
      <c r="E2239" t="s">
        <v>11</v>
      </c>
      <c r="F2239" t="s">
        <v>12</v>
      </c>
      <c r="G2239" t="s">
        <v>23</v>
      </c>
      <c r="H2239">
        <v>17</v>
      </c>
      <c r="I2239" t="str">
        <f>VLOOKUP(D2239,Product_Lookup!$A$2:$C$27,3,FALSE)</f>
        <v>$107.34</v>
      </c>
      <c r="J2239" t="str">
        <f t="shared" si="275"/>
        <v>Saturday</v>
      </c>
      <c r="K2239" s="10" t="str">
        <f t="shared" si="276"/>
        <v>January</v>
      </c>
      <c r="L2239">
        <f t="shared" si="277"/>
        <v>2024</v>
      </c>
      <c r="M2239" t="b">
        <f t="shared" si="278"/>
        <v>1</v>
      </c>
      <c r="N2239" t="b">
        <f t="shared" si="272"/>
        <v>1</v>
      </c>
      <c r="O2239" t="str">
        <f t="shared" si="279"/>
        <v>Large Order</v>
      </c>
      <c r="P2239" s="7">
        <f t="shared" si="273"/>
        <v>5.3670000000000009</v>
      </c>
      <c r="Q2239" s="7" t="str">
        <f>VLOOKUP(D2240,Product_Lookup!$A$2:$C$27,2,FALSE)</f>
        <v>Air Fryer</v>
      </c>
      <c r="R2239" s="7">
        <f t="shared" si="274"/>
        <v>1824.78</v>
      </c>
    </row>
    <row r="2240" spans="1:18" ht="21.75" customHeight="1">
      <c r="A2240" t="s">
        <v>2391</v>
      </c>
      <c r="B2240" s="6">
        <v>45412</v>
      </c>
      <c r="C2240" t="s">
        <v>329</v>
      </c>
      <c r="D2240" t="s">
        <v>70</v>
      </c>
      <c r="E2240" t="s">
        <v>22</v>
      </c>
      <c r="F2240" t="s">
        <v>306</v>
      </c>
      <c r="G2240" t="s">
        <v>32</v>
      </c>
      <c r="H2240">
        <v>14</v>
      </c>
      <c r="I2240" t="str">
        <f>VLOOKUP(D2240,Product_Lookup!$A$2:$C$27,3,FALSE)</f>
        <v>$211.9</v>
      </c>
      <c r="J2240" t="str">
        <f t="shared" si="275"/>
        <v>Tuesday</v>
      </c>
      <c r="K2240" s="10" t="str">
        <f t="shared" si="276"/>
        <v>April</v>
      </c>
      <c r="L2240">
        <f t="shared" si="277"/>
        <v>2024</v>
      </c>
      <c r="M2240" t="b">
        <f t="shared" si="278"/>
        <v>0</v>
      </c>
      <c r="N2240" t="b">
        <f t="shared" si="272"/>
        <v>1</v>
      </c>
      <c r="O2240" t="str">
        <f t="shared" si="279"/>
        <v>Large Order</v>
      </c>
      <c r="P2240" s="7">
        <f t="shared" si="273"/>
        <v>10.595000000000001</v>
      </c>
      <c r="Q2240" s="7" t="str">
        <f>VLOOKUP(D2241,Product_Lookup!$A$2:$C$27,2,FALSE)</f>
        <v>Jacket</v>
      </c>
      <c r="R2240" s="7">
        <f t="shared" si="274"/>
        <v>2966.6</v>
      </c>
    </row>
    <row r="2241" spans="1:18" ht="21.75" customHeight="1">
      <c r="A2241" t="s">
        <v>2392</v>
      </c>
      <c r="B2241" s="6">
        <v>45638</v>
      </c>
      <c r="C2241" t="s">
        <v>187</v>
      </c>
      <c r="D2241" t="s">
        <v>197</v>
      </c>
      <c r="E2241" t="s">
        <v>11</v>
      </c>
      <c r="F2241" t="s">
        <v>42</v>
      </c>
      <c r="G2241" t="s">
        <v>28</v>
      </c>
      <c r="H2241">
        <v>4</v>
      </c>
      <c r="I2241" t="str">
        <f>VLOOKUP(D2241,Product_Lookup!$A$2:$C$27,3,FALSE)</f>
        <v>$10.11</v>
      </c>
      <c r="J2241" t="str">
        <f t="shared" si="275"/>
        <v>Thursday</v>
      </c>
      <c r="K2241" s="10" t="str">
        <f t="shared" si="276"/>
        <v>December</v>
      </c>
      <c r="L2241">
        <f t="shared" si="277"/>
        <v>2024</v>
      </c>
      <c r="M2241" t="b">
        <f t="shared" si="278"/>
        <v>0</v>
      </c>
      <c r="N2241" t="b">
        <f t="shared" si="272"/>
        <v>0</v>
      </c>
      <c r="O2241" t="str">
        <f t="shared" si="279"/>
        <v>Standard order</v>
      </c>
      <c r="P2241" s="7">
        <f t="shared" si="273"/>
        <v>0.50549999999999995</v>
      </c>
      <c r="Q2241" s="7" t="str">
        <f>VLOOKUP(D2242,Product_Lookup!$A$2:$C$27,2,FALSE)</f>
        <v>Coffee Maker</v>
      </c>
      <c r="R2241" s="7">
        <f t="shared" si="274"/>
        <v>40.44</v>
      </c>
    </row>
    <row r="2242" spans="1:18" ht="21.75" customHeight="1">
      <c r="A2242" t="s">
        <v>2393</v>
      </c>
      <c r="B2242" s="6">
        <v>45503</v>
      </c>
      <c r="C2242" t="s">
        <v>104</v>
      </c>
      <c r="D2242" t="s">
        <v>31</v>
      </c>
      <c r="E2242" t="s">
        <v>11</v>
      </c>
      <c r="F2242" t="s">
        <v>12</v>
      </c>
      <c r="G2242" t="s">
        <v>23</v>
      </c>
      <c r="H2242">
        <v>19</v>
      </c>
      <c r="I2242" t="str">
        <f>VLOOKUP(D2242,Product_Lookup!$A$2:$C$27,3,FALSE)</f>
        <v>$230.34</v>
      </c>
      <c r="J2242" t="str">
        <f t="shared" si="275"/>
        <v>Tuesday</v>
      </c>
      <c r="K2242" s="10" t="str">
        <f t="shared" si="276"/>
        <v>July</v>
      </c>
      <c r="L2242">
        <f t="shared" si="277"/>
        <v>2024</v>
      </c>
      <c r="M2242" t="b">
        <f t="shared" si="278"/>
        <v>0</v>
      </c>
      <c r="N2242" t="b">
        <f t="shared" ref="N2242:N2305" si="280">AND(R2242&gt;750, H2242&gt;5)</f>
        <v>1</v>
      </c>
      <c r="O2242" t="str">
        <f t="shared" si="279"/>
        <v>Large Order</v>
      </c>
      <c r="P2242" s="7">
        <f t="shared" ref="P2242:P2305" si="281">I2242*$S$2</f>
        <v>11.517000000000001</v>
      </c>
      <c r="Q2242" s="7" t="str">
        <f>VLOOKUP(D2243,Product_Lookup!$A$2:$C$27,2,FALSE)</f>
        <v>Jeans</v>
      </c>
      <c r="R2242" s="7">
        <f t="shared" ref="R2242:R2305" si="282">H2242*I2242</f>
        <v>4376.46</v>
      </c>
    </row>
    <row r="2243" spans="1:18" ht="21.75" customHeight="1">
      <c r="A2243" t="s">
        <v>2394</v>
      </c>
      <c r="B2243" s="6">
        <v>45515</v>
      </c>
      <c r="C2243" t="s">
        <v>167</v>
      </c>
      <c r="D2243" t="s">
        <v>65</v>
      </c>
      <c r="E2243" t="s">
        <v>22</v>
      </c>
      <c r="F2243" t="s">
        <v>27</v>
      </c>
      <c r="G2243" t="s">
        <v>28</v>
      </c>
      <c r="H2243">
        <v>13</v>
      </c>
      <c r="I2243" t="str">
        <f>VLOOKUP(D2243,Product_Lookup!$A$2:$C$27,3,FALSE)</f>
        <v>$33.22</v>
      </c>
      <c r="J2243" t="str">
        <f t="shared" ref="J2243:J2306" si="283">TEXT(B2243, "dddd")</f>
        <v>Sunday</v>
      </c>
      <c r="K2243" s="10" t="str">
        <f t="shared" ref="K2243:K2306" si="284">TEXT(B2243, "mmmm")</f>
        <v>August</v>
      </c>
      <c r="L2243">
        <f t="shared" ref="L2243:L2306" si="285">YEAR(B2243)</f>
        <v>2024</v>
      </c>
      <c r="M2243" t="b">
        <f t="shared" ref="M2243:M2306" si="286">OR(J2243="Saturday", J2243="Sunday")</f>
        <v>1</v>
      </c>
      <c r="N2243" t="b">
        <f t="shared" si="280"/>
        <v>0</v>
      </c>
      <c r="O2243" t="str">
        <f t="shared" ref="O2243:O2306" si="287">IF(R2243&gt;500,"Large Order","Standard order")</f>
        <v>Standard order</v>
      </c>
      <c r="P2243" s="7">
        <f t="shared" si="281"/>
        <v>1.661</v>
      </c>
      <c r="Q2243" s="7" t="str">
        <f>VLOOKUP(D2244,Product_Lookup!$A$2:$C$27,2,FALSE)</f>
        <v>Jeans</v>
      </c>
      <c r="R2243" s="7">
        <f t="shared" si="282"/>
        <v>431.86</v>
      </c>
    </row>
    <row r="2244" spans="1:18" ht="21.75" customHeight="1">
      <c r="A2244" t="s">
        <v>2395</v>
      </c>
      <c r="B2244" s="6">
        <v>45526</v>
      </c>
      <c r="C2244" t="s">
        <v>329</v>
      </c>
      <c r="D2244" t="s">
        <v>65</v>
      </c>
      <c r="E2244" t="s">
        <v>22</v>
      </c>
      <c r="F2244" t="s">
        <v>42</v>
      </c>
      <c r="G2244" t="s">
        <v>32</v>
      </c>
      <c r="H2244">
        <v>7</v>
      </c>
      <c r="I2244" t="str">
        <f>VLOOKUP(D2244,Product_Lookup!$A$2:$C$27,3,FALSE)</f>
        <v>$33.22</v>
      </c>
      <c r="J2244" t="str">
        <f t="shared" si="283"/>
        <v>Thursday</v>
      </c>
      <c r="K2244" s="10" t="str">
        <f t="shared" si="284"/>
        <v>August</v>
      </c>
      <c r="L2244">
        <f t="shared" si="285"/>
        <v>2024</v>
      </c>
      <c r="M2244" t="b">
        <f t="shared" si="286"/>
        <v>0</v>
      </c>
      <c r="N2244" t="b">
        <f t="shared" si="280"/>
        <v>0</v>
      </c>
      <c r="O2244" t="str">
        <f t="shared" si="287"/>
        <v>Standard order</v>
      </c>
      <c r="P2244" s="7">
        <f t="shared" si="281"/>
        <v>1.661</v>
      </c>
      <c r="Q2244" s="7" t="str">
        <f>VLOOKUP(D2245,Product_Lookup!$A$2:$C$27,2,FALSE)</f>
        <v>Desk Lamp</v>
      </c>
      <c r="R2244" s="7">
        <f t="shared" si="282"/>
        <v>232.54</v>
      </c>
    </row>
    <row r="2245" spans="1:18" ht="21.75" customHeight="1">
      <c r="A2245" t="s">
        <v>2396</v>
      </c>
      <c r="B2245" s="6">
        <v>45308</v>
      </c>
      <c r="C2245" t="s">
        <v>465</v>
      </c>
      <c r="D2245" t="s">
        <v>59</v>
      </c>
      <c r="E2245" t="s">
        <v>11</v>
      </c>
      <c r="F2245" t="s">
        <v>42</v>
      </c>
      <c r="G2245" t="s">
        <v>28</v>
      </c>
      <c r="H2245">
        <v>4</v>
      </c>
      <c r="I2245" t="str">
        <f>VLOOKUP(D2245,Product_Lookup!$A$2:$C$27,3,FALSE)</f>
        <v>$101.96</v>
      </c>
      <c r="J2245" t="str">
        <f t="shared" si="283"/>
        <v>Wednesday</v>
      </c>
      <c r="K2245" s="10" t="str">
        <f t="shared" si="284"/>
        <v>January</v>
      </c>
      <c r="L2245">
        <f t="shared" si="285"/>
        <v>2024</v>
      </c>
      <c r="M2245" t="b">
        <f t="shared" si="286"/>
        <v>0</v>
      </c>
      <c r="N2245" t="b">
        <f t="shared" si="280"/>
        <v>0</v>
      </c>
      <c r="O2245" t="str">
        <f t="shared" si="287"/>
        <v>Standard order</v>
      </c>
      <c r="P2245" s="7">
        <f t="shared" si="281"/>
        <v>5.0979999999999999</v>
      </c>
      <c r="Q2245" s="7" t="str">
        <f>VLOOKUP(D2246,Product_Lookup!$A$2:$C$27,2,FALSE)</f>
        <v>T-Shirt</v>
      </c>
      <c r="R2245" s="7">
        <f t="shared" si="282"/>
        <v>407.84</v>
      </c>
    </row>
    <row r="2246" spans="1:18" ht="21.75" customHeight="1">
      <c r="A2246" t="s">
        <v>2397</v>
      </c>
      <c r="B2246" s="6">
        <v>45526</v>
      </c>
      <c r="C2246" t="s">
        <v>572</v>
      </c>
      <c r="D2246" t="s">
        <v>45</v>
      </c>
      <c r="E2246" t="s">
        <v>17</v>
      </c>
      <c r="F2246" t="s">
        <v>56</v>
      </c>
      <c r="G2246" t="s">
        <v>32</v>
      </c>
      <c r="H2246">
        <v>20</v>
      </c>
      <c r="I2246" t="str">
        <f>VLOOKUP(D2246,Product_Lookup!$A$2:$C$27,3,FALSE)</f>
        <v>$107.34</v>
      </c>
      <c r="J2246" t="str">
        <f t="shared" si="283"/>
        <v>Thursday</v>
      </c>
      <c r="K2246" s="10" t="str">
        <f t="shared" si="284"/>
        <v>August</v>
      </c>
      <c r="L2246">
        <f t="shared" si="285"/>
        <v>2024</v>
      </c>
      <c r="M2246" t="b">
        <f t="shared" si="286"/>
        <v>0</v>
      </c>
      <c r="N2246" t="b">
        <f t="shared" si="280"/>
        <v>1</v>
      </c>
      <c r="O2246" t="str">
        <f t="shared" si="287"/>
        <v>Large Order</v>
      </c>
      <c r="P2246" s="7">
        <f t="shared" si="281"/>
        <v>5.3670000000000009</v>
      </c>
      <c r="Q2246" s="7" t="str">
        <f>VLOOKUP(D2247,Product_Lookup!$A$2:$C$27,2,FALSE)</f>
        <v>T-Shirt</v>
      </c>
      <c r="R2246" s="7">
        <f t="shared" si="282"/>
        <v>2146.8000000000002</v>
      </c>
    </row>
    <row r="2247" spans="1:18" ht="21.75" customHeight="1">
      <c r="A2247" t="s">
        <v>2398</v>
      </c>
      <c r="B2247" s="6">
        <v>45618</v>
      </c>
      <c r="C2247" t="s">
        <v>594</v>
      </c>
      <c r="D2247" t="s">
        <v>45</v>
      </c>
      <c r="E2247" t="s">
        <v>22</v>
      </c>
      <c r="F2247" t="s">
        <v>306</v>
      </c>
      <c r="G2247" t="s">
        <v>28</v>
      </c>
      <c r="H2247">
        <v>3</v>
      </c>
      <c r="I2247" t="str">
        <f>VLOOKUP(D2247,Product_Lookup!$A$2:$C$27,3,FALSE)</f>
        <v>$107.34</v>
      </c>
      <c r="J2247" t="str">
        <f t="shared" si="283"/>
        <v>Friday</v>
      </c>
      <c r="K2247" s="10" t="str">
        <f t="shared" si="284"/>
        <v>November</v>
      </c>
      <c r="L2247">
        <f t="shared" si="285"/>
        <v>2024</v>
      </c>
      <c r="M2247" t="b">
        <f t="shared" si="286"/>
        <v>0</v>
      </c>
      <c r="N2247" t="b">
        <f t="shared" si="280"/>
        <v>0</v>
      </c>
      <c r="O2247" t="str">
        <f t="shared" si="287"/>
        <v>Standard order</v>
      </c>
      <c r="P2247" s="7">
        <f t="shared" si="281"/>
        <v>5.3670000000000009</v>
      </c>
      <c r="Q2247" s="7" t="str">
        <f>VLOOKUP(D2248,Product_Lookup!$A$2:$C$27,2,FALSE)</f>
        <v>Jeans</v>
      </c>
      <c r="R2247" s="7">
        <f t="shared" si="282"/>
        <v>322.02</v>
      </c>
    </row>
    <row r="2248" spans="1:18" ht="21.75" customHeight="1">
      <c r="A2248" t="s">
        <v>2399</v>
      </c>
      <c r="B2248" s="6">
        <v>45559</v>
      </c>
      <c r="C2248" t="s">
        <v>374</v>
      </c>
      <c r="D2248" t="s">
        <v>65</v>
      </c>
      <c r="E2248" t="s">
        <v>22</v>
      </c>
      <c r="F2248" t="s">
        <v>27</v>
      </c>
      <c r="G2248" t="s">
        <v>23</v>
      </c>
      <c r="H2248">
        <v>9</v>
      </c>
      <c r="I2248" t="str">
        <f>VLOOKUP(D2248,Product_Lookup!$A$2:$C$27,3,FALSE)</f>
        <v>$33.22</v>
      </c>
      <c r="J2248" t="str">
        <f t="shared" si="283"/>
        <v>Tuesday</v>
      </c>
      <c r="K2248" s="10" t="str">
        <f t="shared" si="284"/>
        <v>September</v>
      </c>
      <c r="L2248">
        <f t="shared" si="285"/>
        <v>2024</v>
      </c>
      <c r="M2248" t="b">
        <f t="shared" si="286"/>
        <v>0</v>
      </c>
      <c r="N2248" t="b">
        <f t="shared" si="280"/>
        <v>0</v>
      </c>
      <c r="O2248" t="str">
        <f t="shared" si="287"/>
        <v>Standard order</v>
      </c>
      <c r="P2248" s="7">
        <f t="shared" si="281"/>
        <v>1.661</v>
      </c>
      <c r="Q2248" s="7" t="str">
        <f>VLOOKUP(D2249,Product_Lookup!$A$2:$C$27,2,FALSE)</f>
        <v>Jacket</v>
      </c>
      <c r="R2248" s="7">
        <f t="shared" si="282"/>
        <v>298.98</v>
      </c>
    </row>
    <row r="2249" spans="1:18" ht="21.75" customHeight="1">
      <c r="A2249" t="s">
        <v>2400</v>
      </c>
      <c r="B2249" s="6">
        <v>45511</v>
      </c>
      <c r="C2249" t="s">
        <v>304</v>
      </c>
      <c r="D2249" t="s">
        <v>197</v>
      </c>
      <c r="E2249" t="s">
        <v>11</v>
      </c>
      <c r="F2249" t="s">
        <v>42</v>
      </c>
      <c r="G2249" t="s">
        <v>23</v>
      </c>
      <c r="H2249">
        <v>19</v>
      </c>
      <c r="I2249" t="str">
        <f>VLOOKUP(D2249,Product_Lookup!$A$2:$C$27,3,FALSE)</f>
        <v>$10.11</v>
      </c>
      <c r="J2249" t="str">
        <f t="shared" si="283"/>
        <v>Wednesday</v>
      </c>
      <c r="K2249" s="10" t="str">
        <f t="shared" si="284"/>
        <v>August</v>
      </c>
      <c r="L2249">
        <f t="shared" si="285"/>
        <v>2024</v>
      </c>
      <c r="M2249" t="b">
        <f t="shared" si="286"/>
        <v>0</v>
      </c>
      <c r="N2249" t="b">
        <f t="shared" si="280"/>
        <v>0</v>
      </c>
      <c r="O2249" t="str">
        <f t="shared" si="287"/>
        <v>Standard order</v>
      </c>
      <c r="P2249" s="7">
        <f t="shared" si="281"/>
        <v>0.50549999999999995</v>
      </c>
      <c r="Q2249" s="7" t="str">
        <f>VLOOKUP(D2250,Product_Lookup!$A$2:$C$27,2,FALSE)</f>
        <v>Desk Lamp</v>
      </c>
      <c r="R2249" s="7">
        <f t="shared" si="282"/>
        <v>192.08999999999997</v>
      </c>
    </row>
    <row r="2250" spans="1:18" ht="21.75" customHeight="1">
      <c r="A2250" t="s">
        <v>2401</v>
      </c>
      <c r="B2250" s="6">
        <v>45594</v>
      </c>
      <c r="C2250" t="s">
        <v>125</v>
      </c>
      <c r="D2250" t="s">
        <v>59</v>
      </c>
      <c r="E2250" t="s">
        <v>11</v>
      </c>
      <c r="F2250" t="s">
        <v>27</v>
      </c>
      <c r="G2250" t="s">
        <v>13</v>
      </c>
      <c r="H2250">
        <v>2</v>
      </c>
      <c r="I2250" t="str">
        <f>VLOOKUP(D2250,Product_Lookup!$A$2:$C$27,3,FALSE)</f>
        <v>$101.96</v>
      </c>
      <c r="J2250" t="str">
        <f t="shared" si="283"/>
        <v>Tuesday</v>
      </c>
      <c r="K2250" s="10" t="str">
        <f t="shared" si="284"/>
        <v>October</v>
      </c>
      <c r="L2250">
        <f t="shared" si="285"/>
        <v>2024</v>
      </c>
      <c r="M2250" t="b">
        <f t="shared" si="286"/>
        <v>0</v>
      </c>
      <c r="N2250" t="b">
        <f t="shared" si="280"/>
        <v>0</v>
      </c>
      <c r="O2250" t="str">
        <f t="shared" si="287"/>
        <v>Standard order</v>
      </c>
      <c r="P2250" s="7">
        <f t="shared" si="281"/>
        <v>5.0979999999999999</v>
      </c>
      <c r="Q2250" s="7" t="str">
        <f>VLOOKUP(D2251,Product_Lookup!$A$2:$C$27,2,FALSE)</f>
        <v>Vacuum</v>
      </c>
      <c r="R2250" s="7">
        <f t="shared" si="282"/>
        <v>203.92</v>
      </c>
    </row>
    <row r="2251" spans="1:18" ht="21.75" customHeight="1">
      <c r="A2251" t="s">
        <v>2402</v>
      </c>
      <c r="B2251" s="6">
        <v>45550</v>
      </c>
      <c r="C2251" t="s">
        <v>122</v>
      </c>
      <c r="D2251" t="s">
        <v>87</v>
      </c>
      <c r="E2251" t="s">
        <v>22</v>
      </c>
      <c r="F2251" t="s">
        <v>27</v>
      </c>
      <c r="G2251" t="s">
        <v>23</v>
      </c>
      <c r="H2251">
        <v>4</v>
      </c>
      <c r="I2251" t="str">
        <f>VLOOKUP(D2251,Product_Lookup!$A$2:$C$27,3,FALSE)</f>
        <v>$26.59</v>
      </c>
      <c r="J2251" t="str">
        <f t="shared" si="283"/>
        <v>Sunday</v>
      </c>
      <c r="K2251" s="10" t="str">
        <f t="shared" si="284"/>
        <v>September</v>
      </c>
      <c r="L2251">
        <f t="shared" si="285"/>
        <v>2024</v>
      </c>
      <c r="M2251" t="b">
        <f t="shared" si="286"/>
        <v>1</v>
      </c>
      <c r="N2251" t="b">
        <f t="shared" si="280"/>
        <v>0</v>
      </c>
      <c r="O2251" t="str">
        <f t="shared" si="287"/>
        <v>Standard order</v>
      </c>
      <c r="P2251" s="7">
        <f t="shared" si="281"/>
        <v>1.3295000000000001</v>
      </c>
      <c r="Q2251" s="7" t="str">
        <f>VLOOKUP(D2252,Product_Lookup!$A$2:$C$27,2,FALSE)</f>
        <v>Pen Set</v>
      </c>
      <c r="R2251" s="7">
        <f t="shared" si="282"/>
        <v>106.36</v>
      </c>
    </row>
    <row r="2252" spans="1:18" ht="21.75" customHeight="1">
      <c r="A2252" t="s">
        <v>2403</v>
      </c>
      <c r="B2252" s="6">
        <v>45415</v>
      </c>
      <c r="C2252" t="s">
        <v>81</v>
      </c>
      <c r="D2252" t="s">
        <v>174</v>
      </c>
      <c r="E2252" t="s">
        <v>11</v>
      </c>
      <c r="F2252" t="s">
        <v>27</v>
      </c>
      <c r="G2252" t="s">
        <v>28</v>
      </c>
      <c r="H2252">
        <v>5</v>
      </c>
      <c r="I2252" t="str">
        <f>VLOOKUP(D2252,Product_Lookup!$A$2:$C$27,3,FALSE)</f>
        <v>$133.37</v>
      </c>
      <c r="J2252" t="str">
        <f t="shared" si="283"/>
        <v>Friday</v>
      </c>
      <c r="K2252" s="10" t="str">
        <f t="shared" si="284"/>
        <v>May</v>
      </c>
      <c r="L2252">
        <f t="shared" si="285"/>
        <v>2024</v>
      </c>
      <c r="M2252" t="b">
        <f t="shared" si="286"/>
        <v>0</v>
      </c>
      <c r="N2252" t="b">
        <f t="shared" si="280"/>
        <v>0</v>
      </c>
      <c r="O2252" t="str">
        <f t="shared" si="287"/>
        <v>Large Order</v>
      </c>
      <c r="P2252" s="7">
        <f t="shared" si="281"/>
        <v>6.6685000000000008</v>
      </c>
      <c r="Q2252" s="7" t="str">
        <f>VLOOKUP(D2253,Product_Lookup!$A$2:$C$27,2,FALSE)</f>
        <v>Tablet</v>
      </c>
      <c r="R2252" s="7">
        <f t="shared" si="282"/>
        <v>666.85</v>
      </c>
    </row>
    <row r="2253" spans="1:18" ht="21.75" customHeight="1">
      <c r="A2253" t="s">
        <v>2404</v>
      </c>
      <c r="B2253" s="6">
        <v>45414</v>
      </c>
      <c r="C2253" t="s">
        <v>736</v>
      </c>
      <c r="D2253" t="s">
        <v>10</v>
      </c>
      <c r="E2253" t="s">
        <v>11</v>
      </c>
      <c r="F2253" t="s">
        <v>27</v>
      </c>
      <c r="G2253" t="s">
        <v>32</v>
      </c>
      <c r="H2253">
        <v>6</v>
      </c>
      <c r="I2253" t="str">
        <f>VLOOKUP(D2253,Product_Lookup!$A$2:$C$27,3,FALSE)</f>
        <v>$146.06</v>
      </c>
      <c r="J2253" t="str">
        <f t="shared" si="283"/>
        <v>Thursday</v>
      </c>
      <c r="K2253" s="10" t="str">
        <f t="shared" si="284"/>
        <v>May</v>
      </c>
      <c r="L2253">
        <f t="shared" si="285"/>
        <v>2024</v>
      </c>
      <c r="M2253" t="b">
        <f t="shared" si="286"/>
        <v>0</v>
      </c>
      <c r="N2253" t="b">
        <f t="shared" si="280"/>
        <v>1</v>
      </c>
      <c r="O2253" t="str">
        <f t="shared" si="287"/>
        <v>Large Order</v>
      </c>
      <c r="P2253" s="7">
        <f t="shared" si="281"/>
        <v>7.3030000000000008</v>
      </c>
      <c r="Q2253" s="7" t="str">
        <f>VLOOKUP(D2254,Product_Lookup!$A$2:$C$27,2,FALSE)</f>
        <v>Desk Lamp</v>
      </c>
      <c r="R2253" s="7">
        <f t="shared" si="282"/>
        <v>876.36</v>
      </c>
    </row>
    <row r="2254" spans="1:18" ht="21.75" customHeight="1">
      <c r="A2254" t="s">
        <v>2405</v>
      </c>
      <c r="B2254" s="6">
        <v>45584</v>
      </c>
      <c r="C2254" t="s">
        <v>323</v>
      </c>
      <c r="D2254" t="s">
        <v>59</v>
      </c>
      <c r="E2254" t="s">
        <v>11</v>
      </c>
      <c r="F2254" t="s">
        <v>27</v>
      </c>
      <c r="G2254" t="s">
        <v>23</v>
      </c>
      <c r="H2254">
        <v>5</v>
      </c>
      <c r="I2254" t="str">
        <f>VLOOKUP(D2254,Product_Lookup!$A$2:$C$27,3,FALSE)</f>
        <v>$101.96</v>
      </c>
      <c r="J2254" t="str">
        <f t="shared" si="283"/>
        <v>Saturday</v>
      </c>
      <c r="K2254" s="10" t="str">
        <f t="shared" si="284"/>
        <v>October</v>
      </c>
      <c r="L2254">
        <f t="shared" si="285"/>
        <v>2024</v>
      </c>
      <c r="M2254" t="b">
        <f t="shared" si="286"/>
        <v>1</v>
      </c>
      <c r="N2254" t="b">
        <f t="shared" si="280"/>
        <v>0</v>
      </c>
      <c r="O2254" t="str">
        <f t="shared" si="287"/>
        <v>Large Order</v>
      </c>
      <c r="P2254" s="7">
        <f t="shared" si="281"/>
        <v>5.0979999999999999</v>
      </c>
      <c r="Q2254" s="7" t="str">
        <f>VLOOKUP(D2255,Product_Lookup!$A$2:$C$27,2,FALSE)</f>
        <v>Toaster</v>
      </c>
      <c r="R2254" s="7">
        <f t="shared" si="282"/>
        <v>509.79999999999995</v>
      </c>
    </row>
    <row r="2255" spans="1:18" ht="21.75" customHeight="1">
      <c r="A2255" t="s">
        <v>2406</v>
      </c>
      <c r="B2255" s="6">
        <v>45499</v>
      </c>
      <c r="C2255" t="s">
        <v>44</v>
      </c>
      <c r="D2255" t="s">
        <v>48</v>
      </c>
      <c r="E2255" t="s">
        <v>22</v>
      </c>
      <c r="F2255" t="s">
        <v>27</v>
      </c>
      <c r="G2255" t="s">
        <v>13</v>
      </c>
      <c r="H2255">
        <v>3</v>
      </c>
      <c r="I2255" t="str">
        <f>VLOOKUP(D2255,Product_Lookup!$A$2:$C$27,3,FALSE)</f>
        <v>$208.85</v>
      </c>
      <c r="J2255" t="str">
        <f t="shared" si="283"/>
        <v>Friday</v>
      </c>
      <c r="K2255" s="10" t="str">
        <f t="shared" si="284"/>
        <v>July</v>
      </c>
      <c r="L2255">
        <f t="shared" si="285"/>
        <v>2024</v>
      </c>
      <c r="M2255" t="b">
        <f t="shared" si="286"/>
        <v>0</v>
      </c>
      <c r="N2255" t="b">
        <f t="shared" si="280"/>
        <v>0</v>
      </c>
      <c r="O2255" t="str">
        <f t="shared" si="287"/>
        <v>Large Order</v>
      </c>
      <c r="P2255" s="7">
        <f t="shared" si="281"/>
        <v>10.442500000000001</v>
      </c>
      <c r="Q2255" s="7" t="str">
        <f>VLOOKUP(D2256,Product_Lookup!$A$2:$C$27,2,FALSE)</f>
        <v>Notebook</v>
      </c>
      <c r="R2255" s="7">
        <f t="shared" si="282"/>
        <v>626.54999999999995</v>
      </c>
    </row>
    <row r="2256" spans="1:18" ht="21.75" customHeight="1">
      <c r="A2256" t="s">
        <v>2407</v>
      </c>
      <c r="B2256" s="6">
        <v>45645</v>
      </c>
      <c r="C2256" t="s">
        <v>118</v>
      </c>
      <c r="D2256" t="s">
        <v>160</v>
      </c>
      <c r="E2256" t="s">
        <v>11</v>
      </c>
      <c r="F2256" t="s">
        <v>42</v>
      </c>
      <c r="G2256" t="s">
        <v>23</v>
      </c>
      <c r="H2256">
        <v>9</v>
      </c>
      <c r="I2256" t="str">
        <f>VLOOKUP(D2256,Product_Lookup!$A$2:$C$27,3,FALSE)</f>
        <v>$149.27</v>
      </c>
      <c r="J2256" t="str">
        <f t="shared" si="283"/>
        <v>Thursday</v>
      </c>
      <c r="K2256" s="10" t="str">
        <f t="shared" si="284"/>
        <v>December</v>
      </c>
      <c r="L2256">
        <f t="shared" si="285"/>
        <v>2024</v>
      </c>
      <c r="M2256" t="b">
        <f t="shared" si="286"/>
        <v>0</v>
      </c>
      <c r="N2256" t="b">
        <f t="shared" si="280"/>
        <v>1</v>
      </c>
      <c r="O2256" t="str">
        <f t="shared" si="287"/>
        <v>Large Order</v>
      </c>
      <c r="P2256" s="7">
        <f t="shared" si="281"/>
        <v>7.4635000000000007</v>
      </c>
      <c r="Q2256" s="7" t="str">
        <f>VLOOKUP(D2257,Product_Lookup!$A$2:$C$27,2,FALSE)</f>
        <v>Desk Lamp</v>
      </c>
      <c r="R2256" s="7">
        <f t="shared" si="282"/>
        <v>1343.43</v>
      </c>
    </row>
    <row r="2257" spans="1:18" ht="21.75" customHeight="1">
      <c r="A2257" t="s">
        <v>2408</v>
      </c>
      <c r="B2257" s="6">
        <v>45605</v>
      </c>
      <c r="C2257" t="s">
        <v>591</v>
      </c>
      <c r="D2257" t="s">
        <v>59</v>
      </c>
      <c r="E2257" t="s">
        <v>11</v>
      </c>
      <c r="F2257" t="s">
        <v>12</v>
      </c>
      <c r="G2257" t="s">
        <v>36</v>
      </c>
      <c r="H2257">
        <v>11</v>
      </c>
      <c r="I2257" t="str">
        <f>VLOOKUP(D2257,Product_Lookup!$A$2:$C$27,3,FALSE)</f>
        <v>$101.96</v>
      </c>
      <c r="J2257" t="str">
        <f t="shared" si="283"/>
        <v>Saturday</v>
      </c>
      <c r="K2257" s="10" t="str">
        <f t="shared" si="284"/>
        <v>November</v>
      </c>
      <c r="L2257">
        <f t="shared" si="285"/>
        <v>2024</v>
      </c>
      <c r="M2257" t="b">
        <f t="shared" si="286"/>
        <v>1</v>
      </c>
      <c r="N2257" t="b">
        <f t="shared" si="280"/>
        <v>1</v>
      </c>
      <c r="O2257" t="str">
        <f t="shared" si="287"/>
        <v>Large Order</v>
      </c>
      <c r="P2257" s="7">
        <f t="shared" si="281"/>
        <v>5.0979999999999999</v>
      </c>
      <c r="Q2257" s="7" t="str">
        <f>VLOOKUP(D2258,Product_Lookup!$A$2:$C$27,2,FALSE)</f>
        <v>Board Game</v>
      </c>
      <c r="R2257" s="7">
        <f t="shared" si="282"/>
        <v>1121.56</v>
      </c>
    </row>
    <row r="2258" spans="1:18" ht="21.75" customHeight="1">
      <c r="A2258" t="s">
        <v>2409</v>
      </c>
      <c r="B2258" s="6">
        <v>45320</v>
      </c>
      <c r="C2258" t="s">
        <v>345</v>
      </c>
      <c r="D2258" t="s">
        <v>41</v>
      </c>
      <c r="E2258" t="s">
        <v>17</v>
      </c>
      <c r="F2258" t="s">
        <v>12</v>
      </c>
      <c r="G2258" t="s">
        <v>13</v>
      </c>
      <c r="H2258">
        <v>13</v>
      </c>
      <c r="I2258" t="str">
        <f>VLOOKUP(D2258,Product_Lookup!$A$2:$C$27,3,FALSE)</f>
        <v>$86.6</v>
      </c>
      <c r="J2258" t="str">
        <f t="shared" si="283"/>
        <v>Monday</v>
      </c>
      <c r="K2258" s="10" t="str">
        <f t="shared" si="284"/>
        <v>January</v>
      </c>
      <c r="L2258">
        <f t="shared" si="285"/>
        <v>2024</v>
      </c>
      <c r="M2258" t="b">
        <f t="shared" si="286"/>
        <v>0</v>
      </c>
      <c r="N2258" t="b">
        <f t="shared" si="280"/>
        <v>1</v>
      </c>
      <c r="O2258" t="str">
        <f t="shared" si="287"/>
        <v>Large Order</v>
      </c>
      <c r="P2258" s="7">
        <f t="shared" si="281"/>
        <v>4.33</v>
      </c>
      <c r="Q2258" s="7" t="str">
        <f>VLOOKUP(D2259,Product_Lookup!$A$2:$C$27,2,FALSE)</f>
        <v>Toaster</v>
      </c>
      <c r="R2258" s="7">
        <f t="shared" si="282"/>
        <v>1125.8</v>
      </c>
    </row>
    <row r="2259" spans="1:18" ht="21.75" customHeight="1">
      <c r="A2259" t="s">
        <v>2410</v>
      </c>
      <c r="B2259" s="6">
        <v>45608</v>
      </c>
      <c r="C2259" t="s">
        <v>116</v>
      </c>
      <c r="D2259" t="s">
        <v>48</v>
      </c>
      <c r="E2259" t="s">
        <v>17</v>
      </c>
      <c r="F2259" t="s">
        <v>56</v>
      </c>
      <c r="G2259" t="s">
        <v>36</v>
      </c>
      <c r="H2259">
        <v>3</v>
      </c>
      <c r="I2259" t="str">
        <f>VLOOKUP(D2259,Product_Lookup!$A$2:$C$27,3,FALSE)</f>
        <v>$208.85</v>
      </c>
      <c r="J2259" t="str">
        <f t="shared" si="283"/>
        <v>Tuesday</v>
      </c>
      <c r="K2259" s="10" t="str">
        <f t="shared" si="284"/>
        <v>November</v>
      </c>
      <c r="L2259">
        <f t="shared" si="285"/>
        <v>2024</v>
      </c>
      <c r="M2259" t="b">
        <f t="shared" si="286"/>
        <v>0</v>
      </c>
      <c r="N2259" t="b">
        <f t="shared" si="280"/>
        <v>0</v>
      </c>
      <c r="O2259" t="str">
        <f t="shared" si="287"/>
        <v>Large Order</v>
      </c>
      <c r="P2259" s="7">
        <f t="shared" si="281"/>
        <v>10.442500000000001</v>
      </c>
      <c r="Q2259" s="7" t="str">
        <f>VLOOKUP(D2260,Product_Lookup!$A$2:$C$27,2,FALSE)</f>
        <v>Blender</v>
      </c>
      <c r="R2259" s="7">
        <f t="shared" si="282"/>
        <v>626.54999999999995</v>
      </c>
    </row>
    <row r="2260" spans="1:18" ht="21.75" customHeight="1">
      <c r="A2260" t="s">
        <v>2411</v>
      </c>
      <c r="B2260" s="6">
        <v>45396</v>
      </c>
      <c r="C2260" t="s">
        <v>99</v>
      </c>
      <c r="D2260" t="s">
        <v>72</v>
      </c>
      <c r="E2260" t="s">
        <v>11</v>
      </c>
      <c r="F2260" t="s">
        <v>306</v>
      </c>
      <c r="G2260" t="s">
        <v>13</v>
      </c>
      <c r="H2260">
        <v>16</v>
      </c>
      <c r="I2260" t="str">
        <f>VLOOKUP(D2260,Product_Lookup!$A$2:$C$27,3,FALSE)</f>
        <v>$156.44</v>
      </c>
      <c r="J2260" t="str">
        <f t="shared" si="283"/>
        <v>Sunday</v>
      </c>
      <c r="K2260" s="10" t="str">
        <f t="shared" si="284"/>
        <v>April</v>
      </c>
      <c r="L2260">
        <f t="shared" si="285"/>
        <v>2024</v>
      </c>
      <c r="M2260" t="b">
        <f t="shared" si="286"/>
        <v>1</v>
      </c>
      <c r="N2260" t="b">
        <f t="shared" si="280"/>
        <v>1</v>
      </c>
      <c r="O2260" t="str">
        <f t="shared" si="287"/>
        <v>Large Order</v>
      </c>
      <c r="P2260" s="7">
        <f t="shared" si="281"/>
        <v>7.8220000000000001</v>
      </c>
      <c r="Q2260" s="7" t="str">
        <f>VLOOKUP(D2261,Product_Lookup!$A$2:$C$27,2,FALSE)</f>
        <v>Jeans</v>
      </c>
      <c r="R2260" s="7">
        <f t="shared" si="282"/>
        <v>2503.04</v>
      </c>
    </row>
    <row r="2261" spans="1:18" ht="21.75" customHeight="1">
      <c r="A2261" t="s">
        <v>2412</v>
      </c>
      <c r="B2261" s="6">
        <v>45589</v>
      </c>
      <c r="C2261" t="s">
        <v>424</v>
      </c>
      <c r="D2261" t="s">
        <v>65</v>
      </c>
      <c r="E2261" t="s">
        <v>22</v>
      </c>
      <c r="F2261" t="s">
        <v>56</v>
      </c>
      <c r="G2261" t="s">
        <v>32</v>
      </c>
      <c r="H2261">
        <v>12</v>
      </c>
      <c r="I2261" t="str">
        <f>VLOOKUP(D2261,Product_Lookup!$A$2:$C$27,3,FALSE)</f>
        <v>$33.22</v>
      </c>
      <c r="J2261" t="str">
        <f t="shared" si="283"/>
        <v>Thursday</v>
      </c>
      <c r="K2261" s="10" t="str">
        <f t="shared" si="284"/>
        <v>October</v>
      </c>
      <c r="L2261">
        <f t="shared" si="285"/>
        <v>2024</v>
      </c>
      <c r="M2261" t="b">
        <f t="shared" si="286"/>
        <v>0</v>
      </c>
      <c r="N2261" t="b">
        <f t="shared" si="280"/>
        <v>0</v>
      </c>
      <c r="O2261" t="str">
        <f t="shared" si="287"/>
        <v>Standard order</v>
      </c>
      <c r="P2261" s="7">
        <f t="shared" si="281"/>
        <v>1.661</v>
      </c>
      <c r="Q2261" s="7" t="str">
        <f>VLOOKUP(D2262,Product_Lookup!$A$2:$C$27,2,FALSE)</f>
        <v>Vacuum</v>
      </c>
      <c r="R2261" s="7">
        <f t="shared" si="282"/>
        <v>398.64</v>
      </c>
    </row>
    <row r="2262" spans="1:18" ht="21.75" customHeight="1">
      <c r="A2262" t="s">
        <v>2413</v>
      </c>
      <c r="B2262" s="6">
        <v>45549</v>
      </c>
      <c r="C2262" t="s">
        <v>455</v>
      </c>
      <c r="D2262" t="s">
        <v>87</v>
      </c>
      <c r="E2262" t="s">
        <v>17</v>
      </c>
      <c r="F2262" t="s">
        <v>12</v>
      </c>
      <c r="G2262" t="s">
        <v>13</v>
      </c>
      <c r="H2262">
        <v>12</v>
      </c>
      <c r="I2262" t="str">
        <f>VLOOKUP(D2262,Product_Lookup!$A$2:$C$27,3,FALSE)</f>
        <v>$26.59</v>
      </c>
      <c r="J2262" t="str">
        <f t="shared" si="283"/>
        <v>Saturday</v>
      </c>
      <c r="K2262" s="10" t="str">
        <f t="shared" si="284"/>
        <v>September</v>
      </c>
      <c r="L2262">
        <f t="shared" si="285"/>
        <v>2024</v>
      </c>
      <c r="M2262" t="b">
        <f t="shared" si="286"/>
        <v>1</v>
      </c>
      <c r="N2262" t="b">
        <f t="shared" si="280"/>
        <v>0</v>
      </c>
      <c r="O2262" t="str">
        <f t="shared" si="287"/>
        <v>Standard order</v>
      </c>
      <c r="P2262" s="7">
        <f t="shared" si="281"/>
        <v>1.3295000000000001</v>
      </c>
      <c r="Q2262" s="7" t="str">
        <f>VLOOKUP(D2263,Product_Lookup!$A$2:$C$27,2,FALSE)</f>
        <v>Notebook</v>
      </c>
      <c r="R2262" s="7">
        <f t="shared" si="282"/>
        <v>319.08</v>
      </c>
    </row>
    <row r="2263" spans="1:18" ht="21.75" customHeight="1">
      <c r="A2263" t="s">
        <v>2414</v>
      </c>
      <c r="B2263" s="6">
        <v>45540</v>
      </c>
      <c r="C2263" t="s">
        <v>358</v>
      </c>
      <c r="D2263" t="s">
        <v>160</v>
      </c>
      <c r="E2263" t="s">
        <v>11</v>
      </c>
      <c r="F2263" t="s">
        <v>27</v>
      </c>
      <c r="G2263" t="s">
        <v>36</v>
      </c>
      <c r="H2263">
        <v>18</v>
      </c>
      <c r="I2263" t="str">
        <f>VLOOKUP(D2263,Product_Lookup!$A$2:$C$27,3,FALSE)</f>
        <v>$149.27</v>
      </c>
      <c r="J2263" t="str">
        <f t="shared" si="283"/>
        <v>Thursday</v>
      </c>
      <c r="K2263" s="10" t="str">
        <f t="shared" si="284"/>
        <v>September</v>
      </c>
      <c r="L2263">
        <f t="shared" si="285"/>
        <v>2024</v>
      </c>
      <c r="M2263" t="b">
        <f t="shared" si="286"/>
        <v>0</v>
      </c>
      <c r="N2263" t="b">
        <f t="shared" si="280"/>
        <v>1</v>
      </c>
      <c r="O2263" t="str">
        <f t="shared" si="287"/>
        <v>Large Order</v>
      </c>
      <c r="P2263" s="7">
        <f t="shared" si="281"/>
        <v>7.4635000000000007</v>
      </c>
      <c r="Q2263" s="7" t="str">
        <f>VLOOKUP(D2264,Product_Lookup!$A$2:$C$27,2,FALSE)</f>
        <v>Toaster</v>
      </c>
      <c r="R2263" s="7">
        <f t="shared" si="282"/>
        <v>2686.86</v>
      </c>
    </row>
    <row r="2264" spans="1:18" ht="21.75" customHeight="1">
      <c r="A2264" t="s">
        <v>2415</v>
      </c>
      <c r="B2264" s="6">
        <v>45523</v>
      </c>
      <c r="C2264" t="s">
        <v>381</v>
      </c>
      <c r="D2264" t="s">
        <v>48</v>
      </c>
      <c r="E2264" t="s">
        <v>22</v>
      </c>
      <c r="F2264" t="s">
        <v>12</v>
      </c>
      <c r="G2264" t="s">
        <v>28</v>
      </c>
      <c r="H2264">
        <v>15</v>
      </c>
      <c r="I2264" t="str">
        <f>VLOOKUP(D2264,Product_Lookup!$A$2:$C$27,3,FALSE)</f>
        <v>$208.85</v>
      </c>
      <c r="J2264" t="str">
        <f t="shared" si="283"/>
        <v>Monday</v>
      </c>
      <c r="K2264" s="10" t="str">
        <f t="shared" si="284"/>
        <v>August</v>
      </c>
      <c r="L2264">
        <f t="shared" si="285"/>
        <v>2024</v>
      </c>
      <c r="M2264" t="b">
        <f t="shared" si="286"/>
        <v>0</v>
      </c>
      <c r="N2264" t="b">
        <f t="shared" si="280"/>
        <v>1</v>
      </c>
      <c r="O2264" t="str">
        <f t="shared" si="287"/>
        <v>Large Order</v>
      </c>
      <c r="P2264" s="7">
        <f t="shared" si="281"/>
        <v>10.442500000000001</v>
      </c>
      <c r="Q2264" s="7" t="str">
        <f>VLOOKUP(D2265,Product_Lookup!$A$2:$C$27,2,FALSE)</f>
        <v>Socks</v>
      </c>
      <c r="R2264" s="7">
        <f t="shared" si="282"/>
        <v>3132.75</v>
      </c>
    </row>
    <row r="2265" spans="1:18" ht="21.75" customHeight="1">
      <c r="A2265" t="s">
        <v>2416</v>
      </c>
      <c r="B2265" s="6">
        <v>45492</v>
      </c>
      <c r="C2265" t="s">
        <v>235</v>
      </c>
      <c r="D2265" t="s">
        <v>74</v>
      </c>
      <c r="E2265" t="s">
        <v>11</v>
      </c>
      <c r="F2265" t="s">
        <v>12</v>
      </c>
      <c r="G2265" t="s">
        <v>28</v>
      </c>
      <c r="H2265">
        <v>9</v>
      </c>
      <c r="I2265" t="str">
        <f>VLOOKUP(D2265,Product_Lookup!$A$2:$C$27,3,FALSE)</f>
        <v>$201.32</v>
      </c>
      <c r="J2265" t="str">
        <f t="shared" si="283"/>
        <v>Friday</v>
      </c>
      <c r="K2265" s="10" t="str">
        <f t="shared" si="284"/>
        <v>July</v>
      </c>
      <c r="L2265">
        <f t="shared" si="285"/>
        <v>2024</v>
      </c>
      <c r="M2265" t="b">
        <f t="shared" si="286"/>
        <v>0</v>
      </c>
      <c r="N2265" t="b">
        <f t="shared" si="280"/>
        <v>1</v>
      </c>
      <c r="O2265" t="str">
        <f t="shared" si="287"/>
        <v>Large Order</v>
      </c>
      <c r="P2265" s="7">
        <f t="shared" si="281"/>
        <v>10.066000000000001</v>
      </c>
      <c r="Q2265" s="7" t="str">
        <f>VLOOKUP(D2266,Product_Lookup!$A$2:$C$27,2,FALSE)</f>
        <v>Headphones</v>
      </c>
      <c r="R2265" s="7">
        <f t="shared" si="282"/>
        <v>1811.8799999999999</v>
      </c>
    </row>
    <row r="2266" spans="1:18" ht="21.75" customHeight="1">
      <c r="A2266" t="s">
        <v>2417</v>
      </c>
      <c r="B2266" s="6">
        <v>45367</v>
      </c>
      <c r="C2266" t="s">
        <v>432</v>
      </c>
      <c r="D2266" t="s">
        <v>16</v>
      </c>
      <c r="E2266" t="s">
        <v>11</v>
      </c>
      <c r="F2266" t="s">
        <v>306</v>
      </c>
      <c r="G2266" t="s">
        <v>13</v>
      </c>
      <c r="H2266">
        <v>10</v>
      </c>
      <c r="I2266" t="str">
        <f>VLOOKUP(D2266,Product_Lookup!$A$2:$C$27,3,FALSE)</f>
        <v>$178.83</v>
      </c>
      <c r="J2266" t="str">
        <f t="shared" si="283"/>
        <v>Saturday</v>
      </c>
      <c r="K2266" s="10" t="str">
        <f t="shared" si="284"/>
        <v>March</v>
      </c>
      <c r="L2266">
        <f t="shared" si="285"/>
        <v>2024</v>
      </c>
      <c r="M2266" t="b">
        <f t="shared" si="286"/>
        <v>1</v>
      </c>
      <c r="N2266" t="b">
        <f t="shared" si="280"/>
        <v>1</v>
      </c>
      <c r="O2266" t="str">
        <f t="shared" si="287"/>
        <v>Large Order</v>
      </c>
      <c r="P2266" s="7">
        <f t="shared" si="281"/>
        <v>8.9415000000000013</v>
      </c>
      <c r="Q2266" s="7" t="str">
        <f>VLOOKUP(D2267,Product_Lookup!$A$2:$C$27,2,FALSE)</f>
        <v>Headphones</v>
      </c>
      <c r="R2266" s="7">
        <f t="shared" si="282"/>
        <v>1788.3000000000002</v>
      </c>
    </row>
    <row r="2267" spans="1:18" ht="21.75" customHeight="1">
      <c r="A2267" t="s">
        <v>2418</v>
      </c>
      <c r="B2267" s="6">
        <v>45641</v>
      </c>
      <c r="C2267" t="s">
        <v>591</v>
      </c>
      <c r="D2267" t="s">
        <v>16</v>
      </c>
      <c r="E2267" t="s">
        <v>17</v>
      </c>
      <c r="F2267" t="s">
        <v>42</v>
      </c>
      <c r="G2267" t="s">
        <v>23</v>
      </c>
      <c r="H2267">
        <v>15</v>
      </c>
      <c r="I2267" t="str">
        <f>VLOOKUP(D2267,Product_Lookup!$A$2:$C$27,3,FALSE)</f>
        <v>$178.83</v>
      </c>
      <c r="J2267" t="str">
        <f t="shared" si="283"/>
        <v>Sunday</v>
      </c>
      <c r="K2267" s="10" t="str">
        <f t="shared" si="284"/>
        <v>December</v>
      </c>
      <c r="L2267">
        <f t="shared" si="285"/>
        <v>2024</v>
      </c>
      <c r="M2267" t="b">
        <f t="shared" si="286"/>
        <v>1</v>
      </c>
      <c r="N2267" t="b">
        <f t="shared" si="280"/>
        <v>1</v>
      </c>
      <c r="O2267" t="str">
        <f t="shared" si="287"/>
        <v>Large Order</v>
      </c>
      <c r="P2267" s="7">
        <f t="shared" si="281"/>
        <v>8.9415000000000013</v>
      </c>
      <c r="Q2267" s="7" t="str">
        <f>VLOOKUP(D2268,Product_Lookup!$A$2:$C$27,2,FALSE)</f>
        <v>Jeans</v>
      </c>
      <c r="R2267" s="7">
        <f t="shared" si="282"/>
        <v>2682.4500000000003</v>
      </c>
    </row>
    <row r="2268" spans="1:18" ht="21.75" customHeight="1">
      <c r="A2268" t="s">
        <v>2419</v>
      </c>
      <c r="B2268" s="6">
        <v>45302</v>
      </c>
      <c r="C2268" t="s">
        <v>61</v>
      </c>
      <c r="D2268" t="s">
        <v>65</v>
      </c>
      <c r="E2268" t="s">
        <v>11</v>
      </c>
      <c r="F2268" t="s">
        <v>12</v>
      </c>
      <c r="G2268" t="s">
        <v>28</v>
      </c>
      <c r="H2268">
        <v>17</v>
      </c>
      <c r="I2268" t="str">
        <f>VLOOKUP(D2268,Product_Lookup!$A$2:$C$27,3,FALSE)</f>
        <v>$33.22</v>
      </c>
      <c r="J2268" t="str">
        <f t="shared" si="283"/>
        <v>Thursday</v>
      </c>
      <c r="K2268" s="10" t="str">
        <f t="shared" si="284"/>
        <v>January</v>
      </c>
      <c r="L2268">
        <f t="shared" si="285"/>
        <v>2024</v>
      </c>
      <c r="M2268" t="b">
        <f t="shared" si="286"/>
        <v>0</v>
      </c>
      <c r="N2268" t="b">
        <f t="shared" si="280"/>
        <v>0</v>
      </c>
      <c r="O2268" t="str">
        <f t="shared" si="287"/>
        <v>Large Order</v>
      </c>
      <c r="P2268" s="7">
        <f t="shared" si="281"/>
        <v>1.661</v>
      </c>
      <c r="Q2268" s="7" t="str">
        <f>VLOOKUP(D2269,Product_Lookup!$A$2:$C$27,2,FALSE)</f>
        <v>Blender</v>
      </c>
      <c r="R2268" s="7">
        <f t="shared" si="282"/>
        <v>564.74</v>
      </c>
    </row>
    <row r="2269" spans="1:18" ht="21.75" customHeight="1">
      <c r="A2269" t="s">
        <v>2420</v>
      </c>
      <c r="B2269" s="6">
        <v>45502</v>
      </c>
      <c r="C2269" t="s">
        <v>361</v>
      </c>
      <c r="D2269" t="s">
        <v>72</v>
      </c>
      <c r="E2269" t="s">
        <v>22</v>
      </c>
      <c r="F2269" t="s">
        <v>42</v>
      </c>
      <c r="G2269" t="s">
        <v>23</v>
      </c>
      <c r="H2269">
        <v>19</v>
      </c>
      <c r="I2269" t="str">
        <f>VLOOKUP(D2269,Product_Lookup!$A$2:$C$27,3,FALSE)</f>
        <v>$156.44</v>
      </c>
      <c r="J2269" t="str">
        <f t="shared" si="283"/>
        <v>Monday</v>
      </c>
      <c r="K2269" s="10" t="str">
        <f t="shared" si="284"/>
        <v>July</v>
      </c>
      <c r="L2269">
        <f t="shared" si="285"/>
        <v>2024</v>
      </c>
      <c r="M2269" t="b">
        <f t="shared" si="286"/>
        <v>0</v>
      </c>
      <c r="N2269" t="b">
        <f t="shared" si="280"/>
        <v>1</v>
      </c>
      <c r="O2269" t="str">
        <f t="shared" si="287"/>
        <v>Large Order</v>
      </c>
      <c r="P2269" s="7">
        <f t="shared" si="281"/>
        <v>7.8220000000000001</v>
      </c>
      <c r="Q2269" s="7" t="str">
        <f>VLOOKUP(D2270,Product_Lookup!$A$2:$C$27,2,FALSE)</f>
        <v>Air Fryer</v>
      </c>
      <c r="R2269" s="7">
        <f t="shared" si="282"/>
        <v>2972.36</v>
      </c>
    </row>
    <row r="2270" spans="1:18" ht="21.75" customHeight="1">
      <c r="A2270" t="s">
        <v>2421</v>
      </c>
      <c r="B2270" s="6">
        <v>45563</v>
      </c>
      <c r="C2270" t="s">
        <v>378</v>
      </c>
      <c r="D2270" t="s">
        <v>70</v>
      </c>
      <c r="E2270" t="s">
        <v>17</v>
      </c>
      <c r="F2270" t="s">
        <v>42</v>
      </c>
      <c r="G2270" t="s">
        <v>36</v>
      </c>
      <c r="H2270">
        <v>5</v>
      </c>
      <c r="I2270" t="str">
        <f>VLOOKUP(D2270,Product_Lookup!$A$2:$C$27,3,FALSE)</f>
        <v>$211.9</v>
      </c>
      <c r="J2270" t="str">
        <f t="shared" si="283"/>
        <v>Saturday</v>
      </c>
      <c r="K2270" s="10" t="str">
        <f t="shared" si="284"/>
        <v>September</v>
      </c>
      <c r="L2270">
        <f t="shared" si="285"/>
        <v>2024</v>
      </c>
      <c r="M2270" t="b">
        <f t="shared" si="286"/>
        <v>1</v>
      </c>
      <c r="N2270" t="b">
        <f t="shared" si="280"/>
        <v>0</v>
      </c>
      <c r="O2270" t="str">
        <f t="shared" si="287"/>
        <v>Large Order</v>
      </c>
      <c r="P2270" s="7">
        <f t="shared" si="281"/>
        <v>10.595000000000001</v>
      </c>
      <c r="Q2270" s="7" t="str">
        <f>VLOOKUP(D2271,Product_Lookup!$A$2:$C$27,2,FALSE)</f>
        <v>Sweater</v>
      </c>
      <c r="R2270" s="7">
        <f t="shared" si="282"/>
        <v>1059.5</v>
      </c>
    </row>
    <row r="2271" spans="1:18" ht="21.75" customHeight="1">
      <c r="A2271" t="s">
        <v>2422</v>
      </c>
      <c r="B2271" s="6">
        <v>45448</v>
      </c>
      <c r="C2271" t="s">
        <v>30</v>
      </c>
      <c r="D2271" t="s">
        <v>26</v>
      </c>
      <c r="E2271" t="s">
        <v>11</v>
      </c>
      <c r="F2271" t="s">
        <v>27</v>
      </c>
      <c r="G2271" t="s">
        <v>32</v>
      </c>
      <c r="H2271">
        <v>10</v>
      </c>
      <c r="I2271" t="str">
        <f>VLOOKUP(D2271,Product_Lookup!$A$2:$C$27,3,FALSE)</f>
        <v>$84.57</v>
      </c>
      <c r="J2271" t="str">
        <f t="shared" si="283"/>
        <v>Wednesday</v>
      </c>
      <c r="K2271" s="10" t="str">
        <f t="shared" si="284"/>
        <v>June</v>
      </c>
      <c r="L2271">
        <f t="shared" si="285"/>
        <v>2024</v>
      </c>
      <c r="M2271" t="b">
        <f t="shared" si="286"/>
        <v>0</v>
      </c>
      <c r="N2271" t="b">
        <f t="shared" si="280"/>
        <v>1</v>
      </c>
      <c r="O2271" t="str">
        <f t="shared" si="287"/>
        <v>Large Order</v>
      </c>
      <c r="P2271" s="7">
        <f t="shared" si="281"/>
        <v>4.2284999999999995</v>
      </c>
      <c r="Q2271" s="7" t="str">
        <f>VLOOKUP(D2272,Product_Lookup!$A$2:$C$27,2,FALSE)</f>
        <v>Toaster</v>
      </c>
      <c r="R2271" s="7">
        <f t="shared" si="282"/>
        <v>845.69999999999993</v>
      </c>
    </row>
    <row r="2272" spans="1:18" ht="21.75" customHeight="1">
      <c r="A2272" t="s">
        <v>2423</v>
      </c>
      <c r="B2272" s="6">
        <v>45316</v>
      </c>
      <c r="C2272" t="s">
        <v>167</v>
      </c>
      <c r="D2272" t="s">
        <v>48</v>
      </c>
      <c r="E2272" t="s">
        <v>17</v>
      </c>
      <c r="F2272" t="s">
        <v>27</v>
      </c>
      <c r="G2272" t="s">
        <v>28</v>
      </c>
      <c r="H2272">
        <v>20</v>
      </c>
      <c r="I2272" t="str">
        <f>VLOOKUP(D2272,Product_Lookup!$A$2:$C$27,3,FALSE)</f>
        <v>$208.85</v>
      </c>
      <c r="J2272" t="str">
        <f t="shared" si="283"/>
        <v>Thursday</v>
      </c>
      <c r="K2272" s="10" t="str">
        <f t="shared" si="284"/>
        <v>January</v>
      </c>
      <c r="L2272">
        <f t="shared" si="285"/>
        <v>2024</v>
      </c>
      <c r="M2272" t="b">
        <f t="shared" si="286"/>
        <v>0</v>
      </c>
      <c r="N2272" t="b">
        <f t="shared" si="280"/>
        <v>1</v>
      </c>
      <c r="O2272" t="str">
        <f t="shared" si="287"/>
        <v>Large Order</v>
      </c>
      <c r="P2272" s="7">
        <f t="shared" si="281"/>
        <v>10.442500000000001</v>
      </c>
      <c r="Q2272" s="7" t="str">
        <f>VLOOKUP(D2273,Product_Lookup!$A$2:$C$27,2,FALSE)</f>
        <v>Socks</v>
      </c>
      <c r="R2272" s="7">
        <f t="shared" si="282"/>
        <v>4177</v>
      </c>
    </row>
    <row r="2273" spans="1:18" ht="21.75" customHeight="1">
      <c r="A2273" t="s">
        <v>2424</v>
      </c>
      <c r="B2273" s="6">
        <v>45656</v>
      </c>
      <c r="C2273" t="s">
        <v>312</v>
      </c>
      <c r="D2273" t="s">
        <v>74</v>
      </c>
      <c r="E2273" t="s">
        <v>11</v>
      </c>
      <c r="F2273" t="s">
        <v>56</v>
      </c>
      <c r="G2273" t="s">
        <v>28</v>
      </c>
      <c r="H2273">
        <v>6</v>
      </c>
      <c r="I2273" t="str">
        <f>VLOOKUP(D2273,Product_Lookup!$A$2:$C$27,3,FALSE)</f>
        <v>$201.32</v>
      </c>
      <c r="J2273" t="str">
        <f t="shared" si="283"/>
        <v>Monday</v>
      </c>
      <c r="K2273" s="10" t="str">
        <f t="shared" si="284"/>
        <v>December</v>
      </c>
      <c r="L2273">
        <f t="shared" si="285"/>
        <v>2024</v>
      </c>
      <c r="M2273" t="b">
        <f t="shared" si="286"/>
        <v>0</v>
      </c>
      <c r="N2273" t="b">
        <f t="shared" si="280"/>
        <v>1</v>
      </c>
      <c r="O2273" t="str">
        <f t="shared" si="287"/>
        <v>Large Order</v>
      </c>
      <c r="P2273" s="7">
        <f t="shared" si="281"/>
        <v>10.066000000000001</v>
      </c>
      <c r="Q2273" s="7" t="str">
        <f>VLOOKUP(D2274,Product_Lookup!$A$2:$C$27,2,FALSE)</f>
        <v>Desk Lamp</v>
      </c>
      <c r="R2273" s="7">
        <f t="shared" si="282"/>
        <v>1207.92</v>
      </c>
    </row>
    <row r="2274" spans="1:18" ht="21.75" customHeight="1">
      <c r="A2274" t="s">
        <v>2425</v>
      </c>
      <c r="B2274" s="6">
        <v>45313</v>
      </c>
      <c r="C2274" t="s">
        <v>38</v>
      </c>
      <c r="D2274" t="s">
        <v>59</v>
      </c>
      <c r="E2274" t="s">
        <v>11</v>
      </c>
      <c r="F2274" t="s">
        <v>27</v>
      </c>
      <c r="G2274" t="s">
        <v>32</v>
      </c>
      <c r="H2274">
        <v>12</v>
      </c>
      <c r="I2274" t="str">
        <f>VLOOKUP(D2274,Product_Lookup!$A$2:$C$27,3,FALSE)</f>
        <v>$101.96</v>
      </c>
      <c r="J2274" t="str">
        <f t="shared" si="283"/>
        <v>Monday</v>
      </c>
      <c r="K2274" s="10" t="str">
        <f t="shared" si="284"/>
        <v>January</v>
      </c>
      <c r="L2274">
        <f t="shared" si="285"/>
        <v>2024</v>
      </c>
      <c r="M2274" t="b">
        <f t="shared" si="286"/>
        <v>0</v>
      </c>
      <c r="N2274" t="b">
        <f t="shared" si="280"/>
        <v>1</v>
      </c>
      <c r="O2274" t="str">
        <f t="shared" si="287"/>
        <v>Large Order</v>
      </c>
      <c r="P2274" s="7">
        <f t="shared" si="281"/>
        <v>5.0979999999999999</v>
      </c>
      <c r="Q2274" s="7" t="str">
        <f>VLOOKUP(D2275,Product_Lookup!$A$2:$C$27,2,FALSE)</f>
        <v>Smartphone</v>
      </c>
      <c r="R2274" s="7">
        <f t="shared" si="282"/>
        <v>1223.52</v>
      </c>
    </row>
    <row r="2275" spans="1:18" ht="21.75" customHeight="1">
      <c r="A2275" t="s">
        <v>2426</v>
      </c>
      <c r="B2275" s="6">
        <v>45579</v>
      </c>
      <c r="C2275" t="s">
        <v>369</v>
      </c>
      <c r="D2275" t="s">
        <v>79</v>
      </c>
      <c r="E2275" t="s">
        <v>22</v>
      </c>
      <c r="F2275" t="s">
        <v>42</v>
      </c>
      <c r="G2275" t="s">
        <v>32</v>
      </c>
      <c r="H2275">
        <v>5</v>
      </c>
      <c r="I2275" t="str">
        <f>VLOOKUP(D2275,Product_Lookup!$A$2:$C$27,3,FALSE)</f>
        <v>$216.22</v>
      </c>
      <c r="J2275" t="str">
        <f t="shared" si="283"/>
        <v>Monday</v>
      </c>
      <c r="K2275" s="10" t="str">
        <f t="shared" si="284"/>
        <v>October</v>
      </c>
      <c r="L2275">
        <f t="shared" si="285"/>
        <v>2024</v>
      </c>
      <c r="M2275" t="b">
        <f t="shared" si="286"/>
        <v>0</v>
      </c>
      <c r="N2275" t="b">
        <f t="shared" si="280"/>
        <v>0</v>
      </c>
      <c r="O2275" t="str">
        <f t="shared" si="287"/>
        <v>Large Order</v>
      </c>
      <c r="P2275" s="7">
        <f t="shared" si="281"/>
        <v>10.811</v>
      </c>
      <c r="Q2275" s="7" t="str">
        <f>VLOOKUP(D2276,Product_Lookup!$A$2:$C$27,2,FALSE)</f>
        <v>Pen Set</v>
      </c>
      <c r="R2275" s="7">
        <f t="shared" si="282"/>
        <v>1081.0999999999999</v>
      </c>
    </row>
    <row r="2276" spans="1:18" ht="21.75" customHeight="1">
      <c r="A2276" t="s">
        <v>2427</v>
      </c>
      <c r="B2276" s="6">
        <v>45568</v>
      </c>
      <c r="C2276" t="s">
        <v>111</v>
      </c>
      <c r="D2276" t="s">
        <v>174</v>
      </c>
      <c r="E2276" t="s">
        <v>17</v>
      </c>
      <c r="F2276" t="s">
        <v>12</v>
      </c>
      <c r="G2276" t="s">
        <v>13</v>
      </c>
      <c r="H2276">
        <v>13</v>
      </c>
      <c r="I2276" t="str">
        <f>VLOOKUP(D2276,Product_Lookup!$A$2:$C$27,3,FALSE)</f>
        <v>$133.37</v>
      </c>
      <c r="J2276" t="str">
        <f t="shared" si="283"/>
        <v>Thursday</v>
      </c>
      <c r="K2276" s="10" t="str">
        <f t="shared" si="284"/>
        <v>October</v>
      </c>
      <c r="L2276">
        <f t="shared" si="285"/>
        <v>2024</v>
      </c>
      <c r="M2276" t="b">
        <f t="shared" si="286"/>
        <v>0</v>
      </c>
      <c r="N2276" t="b">
        <f t="shared" si="280"/>
        <v>1</v>
      </c>
      <c r="O2276" t="str">
        <f t="shared" si="287"/>
        <v>Large Order</v>
      </c>
      <c r="P2276" s="7">
        <f t="shared" si="281"/>
        <v>6.6685000000000008</v>
      </c>
      <c r="Q2276" s="7" t="str">
        <f>VLOOKUP(D2277,Product_Lookup!$A$2:$C$27,2,FALSE)</f>
        <v>Blender</v>
      </c>
      <c r="R2276" s="7">
        <f t="shared" si="282"/>
        <v>1733.81</v>
      </c>
    </row>
    <row r="2277" spans="1:18" ht="21.75" customHeight="1">
      <c r="A2277" t="s">
        <v>2428</v>
      </c>
      <c r="B2277" s="6">
        <v>45366</v>
      </c>
      <c r="C2277" t="s">
        <v>366</v>
      </c>
      <c r="D2277" t="s">
        <v>72</v>
      </c>
      <c r="E2277" t="s">
        <v>11</v>
      </c>
      <c r="F2277" t="s">
        <v>12</v>
      </c>
      <c r="G2277" t="s">
        <v>36</v>
      </c>
      <c r="H2277">
        <v>17</v>
      </c>
      <c r="I2277" t="str">
        <f>VLOOKUP(D2277,Product_Lookup!$A$2:$C$27,3,FALSE)</f>
        <v>$156.44</v>
      </c>
      <c r="J2277" t="str">
        <f t="shared" si="283"/>
        <v>Friday</v>
      </c>
      <c r="K2277" s="10" t="str">
        <f t="shared" si="284"/>
        <v>March</v>
      </c>
      <c r="L2277">
        <f t="shared" si="285"/>
        <v>2024</v>
      </c>
      <c r="M2277" t="b">
        <f t="shared" si="286"/>
        <v>0</v>
      </c>
      <c r="N2277" t="b">
        <f t="shared" si="280"/>
        <v>1</v>
      </c>
      <c r="O2277" t="str">
        <f t="shared" si="287"/>
        <v>Large Order</v>
      </c>
      <c r="P2277" s="7">
        <f t="shared" si="281"/>
        <v>7.8220000000000001</v>
      </c>
      <c r="Q2277" s="7" t="str">
        <f>VLOOKUP(D2278,Product_Lookup!$A$2:$C$27,2,FALSE)</f>
        <v>Stapler</v>
      </c>
      <c r="R2277" s="7">
        <f t="shared" si="282"/>
        <v>2659.48</v>
      </c>
    </row>
    <row r="2278" spans="1:18" ht="21.75" customHeight="1">
      <c r="A2278" t="s">
        <v>2429</v>
      </c>
      <c r="B2278" s="6">
        <v>45653</v>
      </c>
      <c r="C2278" t="s">
        <v>61</v>
      </c>
      <c r="D2278" t="s">
        <v>35</v>
      </c>
      <c r="E2278" t="s">
        <v>17</v>
      </c>
      <c r="F2278" t="s">
        <v>306</v>
      </c>
      <c r="G2278" t="s">
        <v>28</v>
      </c>
      <c r="H2278">
        <v>19</v>
      </c>
      <c r="I2278" t="str">
        <f>VLOOKUP(D2278,Product_Lookup!$A$2:$C$27,3,FALSE)</f>
        <v>$64.61</v>
      </c>
      <c r="J2278" t="str">
        <f t="shared" si="283"/>
        <v>Friday</v>
      </c>
      <c r="K2278" s="10" t="str">
        <f t="shared" si="284"/>
        <v>December</v>
      </c>
      <c r="L2278">
        <f t="shared" si="285"/>
        <v>2024</v>
      </c>
      <c r="M2278" t="b">
        <f t="shared" si="286"/>
        <v>0</v>
      </c>
      <c r="N2278" t="b">
        <f t="shared" si="280"/>
        <v>1</v>
      </c>
      <c r="O2278" t="str">
        <f t="shared" si="287"/>
        <v>Large Order</v>
      </c>
      <c r="P2278" s="7">
        <f t="shared" si="281"/>
        <v>3.2305000000000001</v>
      </c>
      <c r="Q2278" s="7" t="str">
        <f>VLOOKUP(D2279,Product_Lookup!$A$2:$C$27,2,FALSE)</f>
        <v>Puzzle</v>
      </c>
      <c r="R2278" s="7">
        <f t="shared" si="282"/>
        <v>1227.5899999999999</v>
      </c>
    </row>
    <row r="2279" spans="1:18" ht="21.75" customHeight="1">
      <c r="A2279" t="s">
        <v>2430</v>
      </c>
      <c r="B2279" s="6">
        <v>45518</v>
      </c>
      <c r="C2279" t="s">
        <v>47</v>
      </c>
      <c r="D2279" t="s">
        <v>62</v>
      </c>
      <c r="E2279" t="s">
        <v>11</v>
      </c>
      <c r="F2279" t="s">
        <v>27</v>
      </c>
      <c r="G2279" t="s">
        <v>13</v>
      </c>
      <c r="H2279">
        <v>5</v>
      </c>
      <c r="I2279" t="str">
        <f>VLOOKUP(D2279,Product_Lookup!$A$2:$C$27,3,FALSE)</f>
        <v>$46.19</v>
      </c>
      <c r="J2279" t="str">
        <f t="shared" si="283"/>
        <v>Wednesday</v>
      </c>
      <c r="K2279" s="10" t="str">
        <f t="shared" si="284"/>
        <v>August</v>
      </c>
      <c r="L2279">
        <f t="shared" si="285"/>
        <v>2024</v>
      </c>
      <c r="M2279" t="b">
        <f t="shared" si="286"/>
        <v>0</v>
      </c>
      <c r="N2279" t="b">
        <f t="shared" si="280"/>
        <v>0</v>
      </c>
      <c r="O2279" t="str">
        <f t="shared" si="287"/>
        <v>Standard order</v>
      </c>
      <c r="P2279" s="7">
        <f t="shared" si="281"/>
        <v>2.3094999999999999</v>
      </c>
      <c r="Q2279" s="7" t="str">
        <f>VLOOKUP(D2280,Product_Lookup!$A$2:$C$27,2,FALSE)</f>
        <v>Laptop</v>
      </c>
      <c r="R2279" s="7">
        <f t="shared" si="282"/>
        <v>230.95</v>
      </c>
    </row>
    <row r="2280" spans="1:18" ht="21.75" customHeight="1">
      <c r="A2280" t="s">
        <v>2431</v>
      </c>
      <c r="B2280" s="6">
        <v>45351</v>
      </c>
      <c r="C2280" t="s">
        <v>147</v>
      </c>
      <c r="D2280" t="s">
        <v>96</v>
      </c>
      <c r="E2280" t="s">
        <v>17</v>
      </c>
      <c r="F2280" t="s">
        <v>306</v>
      </c>
      <c r="G2280" t="s">
        <v>28</v>
      </c>
      <c r="H2280">
        <v>15</v>
      </c>
      <c r="I2280" t="str">
        <f>VLOOKUP(D2280,Product_Lookup!$A$2:$C$27,3,FALSE)</f>
        <v>$230.68</v>
      </c>
      <c r="J2280" t="str">
        <f t="shared" si="283"/>
        <v>Thursday</v>
      </c>
      <c r="K2280" s="10" t="str">
        <f t="shared" si="284"/>
        <v>February</v>
      </c>
      <c r="L2280">
        <f t="shared" si="285"/>
        <v>2024</v>
      </c>
      <c r="M2280" t="b">
        <f t="shared" si="286"/>
        <v>0</v>
      </c>
      <c r="N2280" t="b">
        <f t="shared" si="280"/>
        <v>1</v>
      </c>
      <c r="O2280" t="str">
        <f t="shared" si="287"/>
        <v>Large Order</v>
      </c>
      <c r="P2280" s="7">
        <f t="shared" si="281"/>
        <v>11.534000000000001</v>
      </c>
      <c r="Q2280" s="7" t="str">
        <f>VLOOKUP(D2281,Product_Lookup!$A$2:$C$27,2,FALSE)</f>
        <v>Paper Shredder</v>
      </c>
      <c r="R2280" s="7">
        <f t="shared" si="282"/>
        <v>3460.2000000000003</v>
      </c>
    </row>
    <row r="2281" spans="1:18" ht="21.75" customHeight="1">
      <c r="A2281" t="s">
        <v>2432</v>
      </c>
      <c r="B2281" s="6">
        <v>45459</v>
      </c>
      <c r="C2281" t="s">
        <v>131</v>
      </c>
      <c r="D2281" t="s">
        <v>109</v>
      </c>
      <c r="E2281" t="s">
        <v>22</v>
      </c>
      <c r="F2281" t="s">
        <v>56</v>
      </c>
      <c r="G2281" t="s">
        <v>36</v>
      </c>
      <c r="H2281">
        <v>17</v>
      </c>
      <c r="I2281" t="str">
        <f>VLOOKUP(D2281,Product_Lookup!$A$2:$C$27,3,FALSE)</f>
        <v>$81.02</v>
      </c>
      <c r="J2281" t="str">
        <f t="shared" si="283"/>
        <v>Sunday</v>
      </c>
      <c r="K2281" s="10" t="str">
        <f t="shared" si="284"/>
        <v>June</v>
      </c>
      <c r="L2281">
        <f t="shared" si="285"/>
        <v>2024</v>
      </c>
      <c r="M2281" t="b">
        <f t="shared" si="286"/>
        <v>1</v>
      </c>
      <c r="N2281" t="b">
        <f t="shared" si="280"/>
        <v>1</v>
      </c>
      <c r="O2281" t="str">
        <f t="shared" si="287"/>
        <v>Large Order</v>
      </c>
      <c r="P2281" s="7">
        <f t="shared" si="281"/>
        <v>4.0510000000000002</v>
      </c>
      <c r="Q2281" s="7" t="str">
        <f>VLOOKUP(D2282,Product_Lookup!$A$2:$C$27,2,FALSE)</f>
        <v>Laptop</v>
      </c>
      <c r="R2281" s="7">
        <f t="shared" si="282"/>
        <v>1377.34</v>
      </c>
    </row>
    <row r="2282" spans="1:18" ht="21.75" customHeight="1">
      <c r="A2282" t="s">
        <v>2433</v>
      </c>
      <c r="B2282" s="6">
        <v>45434</v>
      </c>
      <c r="C2282" t="s">
        <v>104</v>
      </c>
      <c r="D2282" t="s">
        <v>96</v>
      </c>
      <c r="E2282" t="s">
        <v>11</v>
      </c>
      <c r="F2282" t="s">
        <v>306</v>
      </c>
      <c r="G2282" t="s">
        <v>23</v>
      </c>
      <c r="H2282">
        <v>3</v>
      </c>
      <c r="I2282" t="str">
        <f>VLOOKUP(D2282,Product_Lookup!$A$2:$C$27,3,FALSE)</f>
        <v>$230.68</v>
      </c>
      <c r="J2282" t="str">
        <f t="shared" si="283"/>
        <v>Wednesday</v>
      </c>
      <c r="K2282" s="10" t="str">
        <f t="shared" si="284"/>
        <v>May</v>
      </c>
      <c r="L2282">
        <f t="shared" si="285"/>
        <v>2024</v>
      </c>
      <c r="M2282" t="b">
        <f t="shared" si="286"/>
        <v>0</v>
      </c>
      <c r="N2282" t="b">
        <f t="shared" si="280"/>
        <v>0</v>
      </c>
      <c r="O2282" t="str">
        <f t="shared" si="287"/>
        <v>Large Order</v>
      </c>
      <c r="P2282" s="7">
        <f t="shared" si="281"/>
        <v>11.534000000000001</v>
      </c>
      <c r="Q2282" s="7" t="str">
        <f>VLOOKUP(D2283,Product_Lookup!$A$2:$C$27,2,FALSE)</f>
        <v>Stapler</v>
      </c>
      <c r="R2282" s="7">
        <f t="shared" si="282"/>
        <v>692.04</v>
      </c>
    </row>
    <row r="2283" spans="1:18" ht="21.75" customHeight="1">
      <c r="A2283" t="s">
        <v>2434</v>
      </c>
      <c r="B2283" s="6">
        <v>45493</v>
      </c>
      <c r="C2283" t="s">
        <v>150</v>
      </c>
      <c r="D2283" t="s">
        <v>35</v>
      </c>
      <c r="E2283" t="s">
        <v>17</v>
      </c>
      <c r="F2283" t="s">
        <v>306</v>
      </c>
      <c r="G2283" t="s">
        <v>36</v>
      </c>
      <c r="H2283">
        <v>17</v>
      </c>
      <c r="I2283" t="str">
        <f>VLOOKUP(D2283,Product_Lookup!$A$2:$C$27,3,FALSE)</f>
        <v>$64.61</v>
      </c>
      <c r="J2283" t="str">
        <f t="shared" si="283"/>
        <v>Saturday</v>
      </c>
      <c r="K2283" s="10" t="str">
        <f t="shared" si="284"/>
        <v>July</v>
      </c>
      <c r="L2283">
        <f t="shared" si="285"/>
        <v>2024</v>
      </c>
      <c r="M2283" t="b">
        <f t="shared" si="286"/>
        <v>1</v>
      </c>
      <c r="N2283" t="b">
        <f t="shared" si="280"/>
        <v>1</v>
      </c>
      <c r="O2283" t="str">
        <f t="shared" si="287"/>
        <v>Large Order</v>
      </c>
      <c r="P2283" s="7">
        <f t="shared" si="281"/>
        <v>3.2305000000000001</v>
      </c>
      <c r="Q2283" s="7" t="str">
        <f>VLOOKUP(D2284,Product_Lookup!$A$2:$C$27,2,FALSE)</f>
        <v>Coffee Maker</v>
      </c>
      <c r="R2283" s="7">
        <f t="shared" si="282"/>
        <v>1098.3699999999999</v>
      </c>
    </row>
    <row r="2284" spans="1:18" ht="21.75" customHeight="1">
      <c r="A2284" t="s">
        <v>2435</v>
      </c>
      <c r="B2284" s="6">
        <v>45633</v>
      </c>
      <c r="C2284" t="s">
        <v>83</v>
      </c>
      <c r="D2284" t="s">
        <v>31</v>
      </c>
      <c r="E2284" t="s">
        <v>11</v>
      </c>
      <c r="F2284" t="s">
        <v>27</v>
      </c>
      <c r="G2284" t="s">
        <v>32</v>
      </c>
      <c r="H2284">
        <v>13</v>
      </c>
      <c r="I2284" t="str">
        <f>VLOOKUP(D2284,Product_Lookup!$A$2:$C$27,3,FALSE)</f>
        <v>$230.34</v>
      </c>
      <c r="J2284" t="str">
        <f t="shared" si="283"/>
        <v>Saturday</v>
      </c>
      <c r="K2284" s="10" t="str">
        <f t="shared" si="284"/>
        <v>December</v>
      </c>
      <c r="L2284">
        <f t="shared" si="285"/>
        <v>2024</v>
      </c>
      <c r="M2284" t="b">
        <f t="shared" si="286"/>
        <v>1</v>
      </c>
      <c r="N2284" t="b">
        <f t="shared" si="280"/>
        <v>1</v>
      </c>
      <c r="O2284" t="str">
        <f t="shared" si="287"/>
        <v>Large Order</v>
      </c>
      <c r="P2284" s="7">
        <f t="shared" si="281"/>
        <v>11.517000000000001</v>
      </c>
      <c r="Q2284" s="7" t="str">
        <f>VLOOKUP(D2285,Product_Lookup!$A$2:$C$27,2,FALSE)</f>
        <v>Toaster</v>
      </c>
      <c r="R2284" s="7">
        <f t="shared" si="282"/>
        <v>2994.42</v>
      </c>
    </row>
    <row r="2285" spans="1:18" ht="21.75" customHeight="1">
      <c r="A2285" t="s">
        <v>2436</v>
      </c>
      <c r="B2285" s="6">
        <v>45437</v>
      </c>
      <c r="C2285" t="s">
        <v>20</v>
      </c>
      <c r="D2285" t="s">
        <v>48</v>
      </c>
      <c r="E2285" t="s">
        <v>17</v>
      </c>
      <c r="F2285" t="s">
        <v>27</v>
      </c>
      <c r="G2285" t="s">
        <v>36</v>
      </c>
      <c r="H2285">
        <v>3</v>
      </c>
      <c r="I2285" t="str">
        <f>VLOOKUP(D2285,Product_Lookup!$A$2:$C$27,3,FALSE)</f>
        <v>$208.85</v>
      </c>
      <c r="J2285" t="str">
        <f t="shared" si="283"/>
        <v>Saturday</v>
      </c>
      <c r="K2285" s="10" t="str">
        <f t="shared" si="284"/>
        <v>May</v>
      </c>
      <c r="L2285">
        <f t="shared" si="285"/>
        <v>2024</v>
      </c>
      <c r="M2285" t="b">
        <f t="shared" si="286"/>
        <v>1</v>
      </c>
      <c r="N2285" t="b">
        <f t="shared" si="280"/>
        <v>0</v>
      </c>
      <c r="O2285" t="str">
        <f t="shared" si="287"/>
        <v>Large Order</v>
      </c>
      <c r="P2285" s="7">
        <f t="shared" si="281"/>
        <v>10.442500000000001</v>
      </c>
      <c r="Q2285" s="7" t="str">
        <f>VLOOKUP(D2286,Product_Lookup!$A$2:$C$27,2,FALSE)</f>
        <v>Vacuum</v>
      </c>
      <c r="R2285" s="7">
        <f t="shared" si="282"/>
        <v>626.54999999999995</v>
      </c>
    </row>
    <row r="2286" spans="1:18" ht="21.75" customHeight="1">
      <c r="A2286" t="s">
        <v>2437</v>
      </c>
      <c r="B2286" s="6">
        <v>45519</v>
      </c>
      <c r="C2286" t="s">
        <v>304</v>
      </c>
      <c r="D2286" t="s">
        <v>87</v>
      </c>
      <c r="E2286" t="s">
        <v>17</v>
      </c>
      <c r="F2286" t="s">
        <v>42</v>
      </c>
      <c r="G2286" t="s">
        <v>28</v>
      </c>
      <c r="H2286">
        <v>14</v>
      </c>
      <c r="I2286" t="str">
        <f>VLOOKUP(D2286,Product_Lookup!$A$2:$C$27,3,FALSE)</f>
        <v>$26.59</v>
      </c>
      <c r="J2286" t="str">
        <f t="shared" si="283"/>
        <v>Thursday</v>
      </c>
      <c r="K2286" s="10" t="str">
        <f t="shared" si="284"/>
        <v>August</v>
      </c>
      <c r="L2286">
        <f t="shared" si="285"/>
        <v>2024</v>
      </c>
      <c r="M2286" t="b">
        <f t="shared" si="286"/>
        <v>0</v>
      </c>
      <c r="N2286" t="b">
        <f t="shared" si="280"/>
        <v>0</v>
      </c>
      <c r="O2286" t="str">
        <f t="shared" si="287"/>
        <v>Standard order</v>
      </c>
      <c r="P2286" s="7">
        <f t="shared" si="281"/>
        <v>1.3295000000000001</v>
      </c>
      <c r="Q2286" s="7" t="str">
        <f>VLOOKUP(D2287,Product_Lookup!$A$2:$C$27,2,FALSE)</f>
        <v>Desk Lamp</v>
      </c>
      <c r="R2286" s="7">
        <f t="shared" si="282"/>
        <v>372.26</v>
      </c>
    </row>
    <row r="2287" spans="1:18" ht="21.75" customHeight="1">
      <c r="A2287" t="s">
        <v>2438</v>
      </c>
      <c r="B2287" s="6">
        <v>45504</v>
      </c>
      <c r="C2287" t="s">
        <v>99</v>
      </c>
      <c r="D2287" t="s">
        <v>59</v>
      </c>
      <c r="E2287" t="s">
        <v>22</v>
      </c>
      <c r="F2287" t="s">
        <v>12</v>
      </c>
      <c r="G2287" t="s">
        <v>28</v>
      </c>
      <c r="H2287">
        <v>7</v>
      </c>
      <c r="I2287" t="str">
        <f>VLOOKUP(D2287,Product_Lookup!$A$2:$C$27,3,FALSE)</f>
        <v>$101.96</v>
      </c>
      <c r="J2287" t="str">
        <f t="shared" si="283"/>
        <v>Wednesday</v>
      </c>
      <c r="K2287" s="10" t="str">
        <f t="shared" si="284"/>
        <v>July</v>
      </c>
      <c r="L2287">
        <f t="shared" si="285"/>
        <v>2024</v>
      </c>
      <c r="M2287" t="b">
        <f t="shared" si="286"/>
        <v>0</v>
      </c>
      <c r="N2287" t="b">
        <f t="shared" si="280"/>
        <v>0</v>
      </c>
      <c r="O2287" t="str">
        <f t="shared" si="287"/>
        <v>Large Order</v>
      </c>
      <c r="P2287" s="7">
        <f t="shared" si="281"/>
        <v>5.0979999999999999</v>
      </c>
      <c r="Q2287" s="7" t="str">
        <f>VLOOKUP(D2288,Product_Lookup!$A$2:$C$27,2,FALSE)</f>
        <v>Tablet</v>
      </c>
      <c r="R2287" s="7">
        <f t="shared" si="282"/>
        <v>713.71999999999991</v>
      </c>
    </row>
    <row r="2288" spans="1:18" ht="21.75" customHeight="1">
      <c r="A2288" t="s">
        <v>2439</v>
      </c>
      <c r="B2288" s="6">
        <v>45560</v>
      </c>
      <c r="C2288" t="s">
        <v>118</v>
      </c>
      <c r="D2288" t="s">
        <v>10</v>
      </c>
      <c r="E2288" t="s">
        <v>22</v>
      </c>
      <c r="F2288" t="s">
        <v>27</v>
      </c>
      <c r="G2288" t="s">
        <v>13</v>
      </c>
      <c r="H2288">
        <v>1</v>
      </c>
      <c r="I2288" t="str">
        <f>VLOOKUP(D2288,Product_Lookup!$A$2:$C$27,3,FALSE)</f>
        <v>$146.06</v>
      </c>
      <c r="J2288" t="str">
        <f t="shared" si="283"/>
        <v>Wednesday</v>
      </c>
      <c r="K2288" s="10" t="str">
        <f t="shared" si="284"/>
        <v>September</v>
      </c>
      <c r="L2288">
        <f t="shared" si="285"/>
        <v>2024</v>
      </c>
      <c r="M2288" t="b">
        <f t="shared" si="286"/>
        <v>0</v>
      </c>
      <c r="N2288" t="b">
        <f t="shared" si="280"/>
        <v>0</v>
      </c>
      <c r="O2288" t="str">
        <f t="shared" si="287"/>
        <v>Standard order</v>
      </c>
      <c r="P2288" s="7">
        <f t="shared" si="281"/>
        <v>7.3030000000000008</v>
      </c>
      <c r="Q2288" s="7" t="str">
        <f>VLOOKUP(D2289,Product_Lookup!$A$2:$C$27,2,FALSE)</f>
        <v>T-Shirt</v>
      </c>
      <c r="R2288" s="7">
        <f t="shared" si="282"/>
        <v>146.06</v>
      </c>
    </row>
    <row r="2289" spans="1:18" ht="21.75" customHeight="1">
      <c r="A2289" t="s">
        <v>2440</v>
      </c>
      <c r="B2289" s="6">
        <v>45431</v>
      </c>
      <c r="C2289" t="s">
        <v>572</v>
      </c>
      <c r="D2289" t="s">
        <v>45</v>
      </c>
      <c r="E2289" t="s">
        <v>22</v>
      </c>
      <c r="F2289" t="s">
        <v>27</v>
      </c>
      <c r="G2289" t="s">
        <v>36</v>
      </c>
      <c r="H2289">
        <v>5</v>
      </c>
      <c r="I2289" t="str">
        <f>VLOOKUP(D2289,Product_Lookup!$A$2:$C$27,3,FALSE)</f>
        <v>$107.34</v>
      </c>
      <c r="J2289" t="str">
        <f t="shared" si="283"/>
        <v>Sunday</v>
      </c>
      <c r="K2289" s="10" t="str">
        <f t="shared" si="284"/>
        <v>May</v>
      </c>
      <c r="L2289">
        <f t="shared" si="285"/>
        <v>2024</v>
      </c>
      <c r="M2289" t="b">
        <f t="shared" si="286"/>
        <v>1</v>
      </c>
      <c r="N2289" t="b">
        <f t="shared" si="280"/>
        <v>0</v>
      </c>
      <c r="O2289" t="str">
        <f t="shared" si="287"/>
        <v>Large Order</v>
      </c>
      <c r="P2289" s="7">
        <f t="shared" si="281"/>
        <v>5.3670000000000009</v>
      </c>
      <c r="Q2289" s="7" t="str">
        <f>VLOOKUP(D2290,Product_Lookup!$A$2:$C$27,2,FALSE)</f>
        <v>Pen Set</v>
      </c>
      <c r="R2289" s="7">
        <f t="shared" si="282"/>
        <v>536.70000000000005</v>
      </c>
    </row>
    <row r="2290" spans="1:18" ht="21.75" customHeight="1">
      <c r="A2290" t="s">
        <v>2441</v>
      </c>
      <c r="B2290" s="6">
        <v>45487</v>
      </c>
      <c r="C2290" t="s">
        <v>61</v>
      </c>
      <c r="D2290" t="s">
        <v>174</v>
      </c>
      <c r="E2290" t="s">
        <v>17</v>
      </c>
      <c r="F2290" t="s">
        <v>12</v>
      </c>
      <c r="G2290" t="s">
        <v>32</v>
      </c>
      <c r="H2290">
        <v>19</v>
      </c>
      <c r="I2290" t="str">
        <f>VLOOKUP(D2290,Product_Lookup!$A$2:$C$27,3,FALSE)</f>
        <v>$133.37</v>
      </c>
      <c r="J2290" t="str">
        <f t="shared" si="283"/>
        <v>Sunday</v>
      </c>
      <c r="K2290" s="10" t="str">
        <f t="shared" si="284"/>
        <v>July</v>
      </c>
      <c r="L2290">
        <f t="shared" si="285"/>
        <v>2024</v>
      </c>
      <c r="M2290" t="b">
        <f t="shared" si="286"/>
        <v>1</v>
      </c>
      <c r="N2290" t="b">
        <f t="shared" si="280"/>
        <v>1</v>
      </c>
      <c r="O2290" t="str">
        <f t="shared" si="287"/>
        <v>Large Order</v>
      </c>
      <c r="P2290" s="7">
        <f t="shared" si="281"/>
        <v>6.6685000000000008</v>
      </c>
      <c r="Q2290" s="7" t="str">
        <f>VLOOKUP(D2291,Product_Lookup!$A$2:$C$27,2,FALSE)</f>
        <v>Air Fryer</v>
      </c>
      <c r="R2290" s="7">
        <f t="shared" si="282"/>
        <v>2534.0300000000002</v>
      </c>
    </row>
    <row r="2291" spans="1:18" ht="21.75" customHeight="1">
      <c r="A2291" t="s">
        <v>2442</v>
      </c>
      <c r="B2291" s="6">
        <v>45578</v>
      </c>
      <c r="C2291" t="s">
        <v>304</v>
      </c>
      <c r="D2291" t="s">
        <v>70</v>
      </c>
      <c r="E2291" t="s">
        <v>11</v>
      </c>
      <c r="F2291" t="s">
        <v>12</v>
      </c>
      <c r="G2291" t="s">
        <v>13</v>
      </c>
      <c r="H2291">
        <v>5</v>
      </c>
      <c r="I2291" t="str">
        <f>VLOOKUP(D2291,Product_Lookup!$A$2:$C$27,3,FALSE)</f>
        <v>$211.9</v>
      </c>
      <c r="J2291" t="str">
        <f t="shared" si="283"/>
        <v>Sunday</v>
      </c>
      <c r="K2291" s="10" t="str">
        <f t="shared" si="284"/>
        <v>October</v>
      </c>
      <c r="L2291">
        <f t="shared" si="285"/>
        <v>2024</v>
      </c>
      <c r="M2291" t="b">
        <f t="shared" si="286"/>
        <v>1</v>
      </c>
      <c r="N2291" t="b">
        <f t="shared" si="280"/>
        <v>0</v>
      </c>
      <c r="O2291" t="str">
        <f t="shared" si="287"/>
        <v>Large Order</v>
      </c>
      <c r="P2291" s="7">
        <f t="shared" si="281"/>
        <v>10.595000000000001</v>
      </c>
      <c r="Q2291" s="7" t="str">
        <f>VLOOKUP(D2292,Product_Lookup!$A$2:$C$27,2,FALSE)</f>
        <v>Stapler</v>
      </c>
      <c r="R2291" s="7">
        <f t="shared" si="282"/>
        <v>1059.5</v>
      </c>
    </row>
    <row r="2292" spans="1:18" ht="21.75" customHeight="1">
      <c r="A2292" t="s">
        <v>2443</v>
      </c>
      <c r="B2292" s="6">
        <v>45619</v>
      </c>
      <c r="C2292" t="s">
        <v>541</v>
      </c>
      <c r="D2292" t="s">
        <v>35</v>
      </c>
      <c r="E2292" t="s">
        <v>11</v>
      </c>
      <c r="F2292" t="s">
        <v>42</v>
      </c>
      <c r="G2292" t="s">
        <v>23</v>
      </c>
      <c r="H2292">
        <v>6</v>
      </c>
      <c r="I2292" t="str">
        <f>VLOOKUP(D2292,Product_Lookup!$A$2:$C$27,3,FALSE)</f>
        <v>$64.61</v>
      </c>
      <c r="J2292" t="str">
        <f t="shared" si="283"/>
        <v>Saturday</v>
      </c>
      <c r="K2292" s="10" t="str">
        <f t="shared" si="284"/>
        <v>November</v>
      </c>
      <c r="L2292">
        <f t="shared" si="285"/>
        <v>2024</v>
      </c>
      <c r="M2292" t="b">
        <f t="shared" si="286"/>
        <v>1</v>
      </c>
      <c r="N2292" t="b">
        <f t="shared" si="280"/>
        <v>0</v>
      </c>
      <c r="O2292" t="str">
        <f t="shared" si="287"/>
        <v>Standard order</v>
      </c>
      <c r="P2292" s="7">
        <f t="shared" si="281"/>
        <v>3.2305000000000001</v>
      </c>
      <c r="Q2292" s="7" t="str">
        <f>VLOOKUP(D2293,Product_Lookup!$A$2:$C$27,2,FALSE)</f>
        <v>Jacket</v>
      </c>
      <c r="R2292" s="7">
        <f t="shared" si="282"/>
        <v>387.65999999999997</v>
      </c>
    </row>
    <row r="2293" spans="1:18" ht="21.75" customHeight="1">
      <c r="A2293" t="s">
        <v>2444</v>
      </c>
      <c r="B2293" s="6">
        <v>45644</v>
      </c>
      <c r="C2293" t="s">
        <v>736</v>
      </c>
      <c r="D2293" t="s">
        <v>197</v>
      </c>
      <c r="E2293" t="s">
        <v>11</v>
      </c>
      <c r="F2293" t="s">
        <v>12</v>
      </c>
      <c r="G2293" t="s">
        <v>32</v>
      </c>
      <c r="H2293">
        <v>16</v>
      </c>
      <c r="I2293" t="str">
        <f>VLOOKUP(D2293,Product_Lookup!$A$2:$C$27,3,FALSE)</f>
        <v>$10.11</v>
      </c>
      <c r="J2293" t="str">
        <f t="shared" si="283"/>
        <v>Wednesday</v>
      </c>
      <c r="K2293" s="10" t="str">
        <f t="shared" si="284"/>
        <v>December</v>
      </c>
      <c r="L2293">
        <f t="shared" si="285"/>
        <v>2024</v>
      </c>
      <c r="M2293" t="b">
        <f t="shared" si="286"/>
        <v>0</v>
      </c>
      <c r="N2293" t="b">
        <f t="shared" si="280"/>
        <v>0</v>
      </c>
      <c r="O2293" t="str">
        <f t="shared" si="287"/>
        <v>Standard order</v>
      </c>
      <c r="P2293" s="7">
        <f t="shared" si="281"/>
        <v>0.50549999999999995</v>
      </c>
      <c r="Q2293" s="7" t="str">
        <f>VLOOKUP(D2294,Product_Lookup!$A$2:$C$27,2,FALSE)</f>
        <v>Lego Set</v>
      </c>
      <c r="R2293" s="7">
        <f t="shared" si="282"/>
        <v>161.76</v>
      </c>
    </row>
    <row r="2294" spans="1:18" ht="21.75" customHeight="1">
      <c r="A2294" t="s">
        <v>2445</v>
      </c>
      <c r="B2294" s="6">
        <v>45326</v>
      </c>
      <c r="C2294" t="s">
        <v>327</v>
      </c>
      <c r="D2294" t="s">
        <v>84</v>
      </c>
      <c r="E2294" t="s">
        <v>17</v>
      </c>
      <c r="F2294" t="s">
        <v>306</v>
      </c>
      <c r="G2294" t="s">
        <v>23</v>
      </c>
      <c r="H2294">
        <v>19</v>
      </c>
      <c r="I2294" t="str">
        <f>VLOOKUP(D2294,Product_Lookup!$A$2:$C$27,3,FALSE)</f>
        <v>$130.07</v>
      </c>
      <c r="J2294" t="str">
        <f t="shared" si="283"/>
        <v>Sunday</v>
      </c>
      <c r="K2294" s="10" t="str">
        <f t="shared" si="284"/>
        <v>February</v>
      </c>
      <c r="L2294">
        <f t="shared" si="285"/>
        <v>2024</v>
      </c>
      <c r="M2294" t="b">
        <f t="shared" si="286"/>
        <v>1</v>
      </c>
      <c r="N2294" t="b">
        <f t="shared" si="280"/>
        <v>1</v>
      </c>
      <c r="O2294" t="str">
        <f t="shared" si="287"/>
        <v>Large Order</v>
      </c>
      <c r="P2294" s="7">
        <f t="shared" si="281"/>
        <v>6.5034999999999998</v>
      </c>
      <c r="Q2294" s="7" t="str">
        <f>VLOOKUP(D2295,Product_Lookup!$A$2:$C$27,2,FALSE)</f>
        <v>Board Game</v>
      </c>
      <c r="R2294" s="7">
        <f t="shared" si="282"/>
        <v>2471.33</v>
      </c>
    </row>
    <row r="2295" spans="1:18" ht="21.75" customHeight="1">
      <c r="A2295" t="s">
        <v>2446</v>
      </c>
      <c r="B2295" s="6">
        <v>45424</v>
      </c>
      <c r="C2295" t="s">
        <v>451</v>
      </c>
      <c r="D2295" t="s">
        <v>41</v>
      </c>
      <c r="E2295" t="s">
        <v>17</v>
      </c>
      <c r="F2295" t="s">
        <v>12</v>
      </c>
      <c r="G2295" t="s">
        <v>32</v>
      </c>
      <c r="H2295">
        <v>17</v>
      </c>
      <c r="I2295" t="str">
        <f>VLOOKUP(D2295,Product_Lookup!$A$2:$C$27,3,FALSE)</f>
        <v>$86.6</v>
      </c>
      <c r="J2295" t="str">
        <f t="shared" si="283"/>
        <v>Sunday</v>
      </c>
      <c r="K2295" s="10" t="str">
        <f t="shared" si="284"/>
        <v>May</v>
      </c>
      <c r="L2295">
        <f t="shared" si="285"/>
        <v>2024</v>
      </c>
      <c r="M2295" t="b">
        <f t="shared" si="286"/>
        <v>1</v>
      </c>
      <c r="N2295" t="b">
        <f t="shared" si="280"/>
        <v>1</v>
      </c>
      <c r="O2295" t="str">
        <f t="shared" si="287"/>
        <v>Large Order</v>
      </c>
      <c r="P2295" s="7">
        <f t="shared" si="281"/>
        <v>4.33</v>
      </c>
      <c r="Q2295" s="7" t="str">
        <f>VLOOKUP(D2296,Product_Lookup!$A$2:$C$27,2,FALSE)</f>
        <v>T-Shirt</v>
      </c>
      <c r="R2295" s="7">
        <f t="shared" si="282"/>
        <v>1472.1999999999998</v>
      </c>
    </row>
    <row r="2296" spans="1:18" ht="21.75" customHeight="1">
      <c r="A2296" t="s">
        <v>2447</v>
      </c>
      <c r="B2296" s="6">
        <v>45300</v>
      </c>
      <c r="C2296" t="s">
        <v>86</v>
      </c>
      <c r="D2296" t="s">
        <v>45</v>
      </c>
      <c r="E2296" t="s">
        <v>22</v>
      </c>
      <c r="F2296" t="s">
        <v>12</v>
      </c>
      <c r="G2296" t="s">
        <v>28</v>
      </c>
      <c r="H2296">
        <v>11</v>
      </c>
      <c r="I2296" t="str">
        <f>VLOOKUP(D2296,Product_Lookup!$A$2:$C$27,3,FALSE)</f>
        <v>$107.34</v>
      </c>
      <c r="J2296" t="str">
        <f t="shared" si="283"/>
        <v>Tuesday</v>
      </c>
      <c r="K2296" s="10" t="str">
        <f t="shared" si="284"/>
        <v>January</v>
      </c>
      <c r="L2296">
        <f t="shared" si="285"/>
        <v>2024</v>
      </c>
      <c r="M2296" t="b">
        <f t="shared" si="286"/>
        <v>0</v>
      </c>
      <c r="N2296" t="b">
        <f t="shared" si="280"/>
        <v>1</v>
      </c>
      <c r="O2296" t="str">
        <f t="shared" si="287"/>
        <v>Large Order</v>
      </c>
      <c r="P2296" s="7">
        <f t="shared" si="281"/>
        <v>5.3670000000000009</v>
      </c>
      <c r="Q2296" s="7" t="str">
        <f>VLOOKUP(D2297,Product_Lookup!$A$2:$C$27,2,FALSE)</f>
        <v>Toaster</v>
      </c>
      <c r="R2296" s="7">
        <f t="shared" si="282"/>
        <v>1180.74</v>
      </c>
    </row>
    <row r="2297" spans="1:18" ht="21.75" customHeight="1">
      <c r="A2297" t="s">
        <v>2448</v>
      </c>
      <c r="B2297" s="6">
        <v>45646</v>
      </c>
      <c r="C2297" t="s">
        <v>99</v>
      </c>
      <c r="D2297" t="s">
        <v>48</v>
      </c>
      <c r="E2297" t="s">
        <v>11</v>
      </c>
      <c r="F2297" t="s">
        <v>12</v>
      </c>
      <c r="G2297" t="s">
        <v>32</v>
      </c>
      <c r="H2297">
        <v>12</v>
      </c>
      <c r="I2297" t="str">
        <f>VLOOKUP(D2297,Product_Lookup!$A$2:$C$27,3,FALSE)</f>
        <v>$208.85</v>
      </c>
      <c r="J2297" t="str">
        <f t="shared" si="283"/>
        <v>Friday</v>
      </c>
      <c r="K2297" s="10" t="str">
        <f t="shared" si="284"/>
        <v>December</v>
      </c>
      <c r="L2297">
        <f t="shared" si="285"/>
        <v>2024</v>
      </c>
      <c r="M2297" t="b">
        <f t="shared" si="286"/>
        <v>0</v>
      </c>
      <c r="N2297" t="b">
        <f t="shared" si="280"/>
        <v>1</v>
      </c>
      <c r="O2297" t="str">
        <f t="shared" si="287"/>
        <v>Large Order</v>
      </c>
      <c r="P2297" s="7">
        <f t="shared" si="281"/>
        <v>10.442500000000001</v>
      </c>
      <c r="Q2297" s="7" t="str">
        <f>VLOOKUP(D2298,Product_Lookup!$A$2:$C$27,2,FALSE)</f>
        <v>Socks</v>
      </c>
      <c r="R2297" s="7">
        <f t="shared" si="282"/>
        <v>2506.1999999999998</v>
      </c>
    </row>
    <row r="2298" spans="1:18" ht="21.75" customHeight="1">
      <c r="A2298" t="s">
        <v>2449</v>
      </c>
      <c r="B2298" s="6">
        <v>45474</v>
      </c>
      <c r="C2298" t="s">
        <v>9</v>
      </c>
      <c r="D2298" t="s">
        <v>74</v>
      </c>
      <c r="E2298" t="s">
        <v>17</v>
      </c>
      <c r="F2298" t="s">
        <v>306</v>
      </c>
      <c r="G2298" t="s">
        <v>13</v>
      </c>
      <c r="H2298">
        <v>17</v>
      </c>
      <c r="I2298" t="str">
        <f>VLOOKUP(D2298,Product_Lookup!$A$2:$C$27,3,FALSE)</f>
        <v>$201.32</v>
      </c>
      <c r="J2298" t="str">
        <f t="shared" si="283"/>
        <v>Monday</v>
      </c>
      <c r="K2298" s="10" t="str">
        <f t="shared" si="284"/>
        <v>July</v>
      </c>
      <c r="L2298">
        <f t="shared" si="285"/>
        <v>2024</v>
      </c>
      <c r="M2298" t="b">
        <f t="shared" si="286"/>
        <v>0</v>
      </c>
      <c r="N2298" t="b">
        <f t="shared" si="280"/>
        <v>1</v>
      </c>
      <c r="O2298" t="str">
        <f t="shared" si="287"/>
        <v>Large Order</v>
      </c>
      <c r="P2298" s="7">
        <f t="shared" si="281"/>
        <v>10.066000000000001</v>
      </c>
      <c r="Q2298" s="7" t="str">
        <f>VLOOKUP(D2299,Product_Lookup!$A$2:$C$27,2,FALSE)</f>
        <v>Doll</v>
      </c>
      <c r="R2298" s="7">
        <f t="shared" si="282"/>
        <v>3422.44</v>
      </c>
    </row>
    <row r="2299" spans="1:18" ht="21.75" customHeight="1">
      <c r="A2299" t="s">
        <v>2450</v>
      </c>
      <c r="B2299" s="6">
        <v>45613</v>
      </c>
      <c r="C2299" t="s">
        <v>44</v>
      </c>
      <c r="D2299" t="s">
        <v>119</v>
      </c>
      <c r="E2299" t="s">
        <v>11</v>
      </c>
      <c r="F2299" t="s">
        <v>306</v>
      </c>
      <c r="G2299" t="s">
        <v>28</v>
      </c>
      <c r="H2299">
        <v>18</v>
      </c>
      <c r="I2299" t="str">
        <f>VLOOKUP(D2299,Product_Lookup!$A$2:$C$27,3,FALSE)</f>
        <v>$32.94</v>
      </c>
      <c r="J2299" t="str">
        <f t="shared" si="283"/>
        <v>Sunday</v>
      </c>
      <c r="K2299" s="10" t="str">
        <f t="shared" si="284"/>
        <v>November</v>
      </c>
      <c r="L2299">
        <f t="shared" si="285"/>
        <v>2024</v>
      </c>
      <c r="M2299" t="b">
        <f t="shared" si="286"/>
        <v>1</v>
      </c>
      <c r="N2299" t="b">
        <f t="shared" si="280"/>
        <v>0</v>
      </c>
      <c r="O2299" t="str">
        <f t="shared" si="287"/>
        <v>Large Order</v>
      </c>
      <c r="P2299" s="7">
        <f t="shared" si="281"/>
        <v>1.647</v>
      </c>
      <c r="Q2299" s="7" t="str">
        <f>VLOOKUP(D2300,Product_Lookup!$A$2:$C$27,2,FALSE)</f>
        <v>Socks</v>
      </c>
      <c r="R2299" s="7">
        <f t="shared" si="282"/>
        <v>592.91999999999996</v>
      </c>
    </row>
    <row r="2300" spans="1:18" ht="21.75" customHeight="1">
      <c r="A2300" t="s">
        <v>2451</v>
      </c>
      <c r="B2300" s="6">
        <v>45453</v>
      </c>
      <c r="C2300" t="s">
        <v>455</v>
      </c>
      <c r="D2300" t="s">
        <v>74</v>
      </c>
      <c r="E2300" t="s">
        <v>17</v>
      </c>
      <c r="F2300" t="s">
        <v>42</v>
      </c>
      <c r="G2300" t="s">
        <v>13</v>
      </c>
      <c r="H2300">
        <v>18</v>
      </c>
      <c r="I2300" t="str">
        <f>VLOOKUP(D2300,Product_Lookup!$A$2:$C$27,3,FALSE)</f>
        <v>$201.32</v>
      </c>
      <c r="J2300" t="str">
        <f t="shared" si="283"/>
        <v>Monday</v>
      </c>
      <c r="K2300" s="10" t="str">
        <f t="shared" si="284"/>
        <v>June</v>
      </c>
      <c r="L2300">
        <f t="shared" si="285"/>
        <v>2024</v>
      </c>
      <c r="M2300" t="b">
        <f t="shared" si="286"/>
        <v>0</v>
      </c>
      <c r="N2300" t="b">
        <f t="shared" si="280"/>
        <v>1</v>
      </c>
      <c r="O2300" t="str">
        <f t="shared" si="287"/>
        <v>Large Order</v>
      </c>
      <c r="P2300" s="7">
        <f t="shared" si="281"/>
        <v>10.066000000000001</v>
      </c>
      <c r="Q2300" s="7" t="str">
        <f>VLOOKUP(D2301,Product_Lookup!$A$2:$C$27,2,FALSE)</f>
        <v>Headphones</v>
      </c>
      <c r="R2300" s="7">
        <f t="shared" si="282"/>
        <v>3623.7599999999998</v>
      </c>
    </row>
    <row r="2301" spans="1:18" ht="21.75" customHeight="1">
      <c r="A2301" t="s">
        <v>2452</v>
      </c>
      <c r="B2301" s="6">
        <v>45365</v>
      </c>
      <c r="C2301" t="s">
        <v>142</v>
      </c>
      <c r="D2301" t="s">
        <v>16</v>
      </c>
      <c r="E2301" t="s">
        <v>22</v>
      </c>
      <c r="F2301" t="s">
        <v>42</v>
      </c>
      <c r="G2301" t="s">
        <v>32</v>
      </c>
      <c r="H2301">
        <v>16</v>
      </c>
      <c r="I2301" t="str">
        <f>VLOOKUP(D2301,Product_Lookup!$A$2:$C$27,3,FALSE)</f>
        <v>$178.83</v>
      </c>
      <c r="J2301" t="str">
        <f t="shared" si="283"/>
        <v>Thursday</v>
      </c>
      <c r="K2301" s="10" t="str">
        <f t="shared" si="284"/>
        <v>March</v>
      </c>
      <c r="L2301">
        <f t="shared" si="285"/>
        <v>2024</v>
      </c>
      <c r="M2301" t="b">
        <f t="shared" si="286"/>
        <v>0</v>
      </c>
      <c r="N2301" t="b">
        <f t="shared" si="280"/>
        <v>1</v>
      </c>
      <c r="O2301" t="str">
        <f t="shared" si="287"/>
        <v>Large Order</v>
      </c>
      <c r="P2301" s="7">
        <f t="shared" si="281"/>
        <v>8.9415000000000013</v>
      </c>
      <c r="Q2301" s="7" t="str">
        <f>VLOOKUP(D2302,Product_Lookup!$A$2:$C$27,2,FALSE)</f>
        <v>Jeans</v>
      </c>
      <c r="R2301" s="7">
        <f t="shared" si="282"/>
        <v>2861.28</v>
      </c>
    </row>
    <row r="2302" spans="1:18" ht="21.75" customHeight="1">
      <c r="A2302" t="s">
        <v>2453</v>
      </c>
      <c r="B2302" s="6">
        <v>45375</v>
      </c>
      <c r="C2302" t="s">
        <v>15</v>
      </c>
      <c r="D2302" t="s">
        <v>65</v>
      </c>
      <c r="E2302" t="s">
        <v>11</v>
      </c>
      <c r="F2302" t="s">
        <v>306</v>
      </c>
      <c r="G2302" t="s">
        <v>28</v>
      </c>
      <c r="H2302">
        <v>7</v>
      </c>
      <c r="I2302" t="str">
        <f>VLOOKUP(D2302,Product_Lookup!$A$2:$C$27,3,FALSE)</f>
        <v>$33.22</v>
      </c>
      <c r="J2302" t="str">
        <f t="shared" si="283"/>
        <v>Sunday</v>
      </c>
      <c r="K2302" s="10" t="str">
        <f t="shared" si="284"/>
        <v>March</v>
      </c>
      <c r="L2302">
        <f t="shared" si="285"/>
        <v>2024</v>
      </c>
      <c r="M2302" t="b">
        <f t="shared" si="286"/>
        <v>1</v>
      </c>
      <c r="N2302" t="b">
        <f t="shared" si="280"/>
        <v>0</v>
      </c>
      <c r="O2302" t="str">
        <f t="shared" si="287"/>
        <v>Standard order</v>
      </c>
      <c r="P2302" s="7">
        <f t="shared" si="281"/>
        <v>1.661</v>
      </c>
      <c r="Q2302" s="7" t="str">
        <f>VLOOKUP(D2303,Product_Lookup!$A$2:$C$27,2,FALSE)</f>
        <v>Puzzle</v>
      </c>
      <c r="R2302" s="7">
        <f t="shared" si="282"/>
        <v>232.54</v>
      </c>
    </row>
    <row r="2303" spans="1:18" ht="21.75" customHeight="1">
      <c r="A2303" t="s">
        <v>2454</v>
      </c>
      <c r="B2303" s="6">
        <v>45578</v>
      </c>
      <c r="C2303" t="s">
        <v>594</v>
      </c>
      <c r="D2303" t="s">
        <v>62</v>
      </c>
      <c r="E2303" t="s">
        <v>22</v>
      </c>
      <c r="F2303" t="s">
        <v>306</v>
      </c>
      <c r="G2303" t="s">
        <v>36</v>
      </c>
      <c r="H2303">
        <v>4</v>
      </c>
      <c r="I2303" t="str">
        <f>VLOOKUP(D2303,Product_Lookup!$A$2:$C$27,3,FALSE)</f>
        <v>$46.19</v>
      </c>
      <c r="J2303" t="str">
        <f t="shared" si="283"/>
        <v>Sunday</v>
      </c>
      <c r="K2303" s="10" t="str">
        <f t="shared" si="284"/>
        <v>October</v>
      </c>
      <c r="L2303">
        <f t="shared" si="285"/>
        <v>2024</v>
      </c>
      <c r="M2303" t="b">
        <f t="shared" si="286"/>
        <v>1</v>
      </c>
      <c r="N2303" t="b">
        <f t="shared" si="280"/>
        <v>0</v>
      </c>
      <c r="O2303" t="str">
        <f t="shared" si="287"/>
        <v>Standard order</v>
      </c>
      <c r="P2303" s="7">
        <f t="shared" si="281"/>
        <v>2.3094999999999999</v>
      </c>
      <c r="Q2303" s="7" t="str">
        <f>VLOOKUP(D2304,Product_Lookup!$A$2:$C$27,2,FALSE)</f>
        <v>Headphones</v>
      </c>
      <c r="R2303" s="7">
        <f t="shared" si="282"/>
        <v>184.76</v>
      </c>
    </row>
    <row r="2304" spans="1:18" ht="21.75" customHeight="1">
      <c r="A2304" t="s">
        <v>2455</v>
      </c>
      <c r="B2304" s="6">
        <v>45331</v>
      </c>
      <c r="C2304" t="s">
        <v>40</v>
      </c>
      <c r="D2304" t="s">
        <v>16</v>
      </c>
      <c r="E2304" t="s">
        <v>11</v>
      </c>
      <c r="F2304" t="s">
        <v>27</v>
      </c>
      <c r="G2304" t="s">
        <v>32</v>
      </c>
      <c r="H2304">
        <v>10</v>
      </c>
      <c r="I2304" t="str">
        <f>VLOOKUP(D2304,Product_Lookup!$A$2:$C$27,3,FALSE)</f>
        <v>$178.83</v>
      </c>
      <c r="J2304" t="str">
        <f t="shared" si="283"/>
        <v>Friday</v>
      </c>
      <c r="K2304" s="10" t="str">
        <f t="shared" si="284"/>
        <v>February</v>
      </c>
      <c r="L2304">
        <f t="shared" si="285"/>
        <v>2024</v>
      </c>
      <c r="M2304" t="b">
        <f t="shared" si="286"/>
        <v>0</v>
      </c>
      <c r="N2304" t="b">
        <f t="shared" si="280"/>
        <v>1</v>
      </c>
      <c r="O2304" t="str">
        <f t="shared" si="287"/>
        <v>Large Order</v>
      </c>
      <c r="P2304" s="7">
        <f t="shared" si="281"/>
        <v>8.9415000000000013</v>
      </c>
      <c r="Q2304" s="7" t="str">
        <f>VLOOKUP(D2305,Product_Lookup!$A$2:$C$27,2,FALSE)</f>
        <v>Paper Shredder</v>
      </c>
      <c r="R2304" s="7">
        <f t="shared" si="282"/>
        <v>1788.3000000000002</v>
      </c>
    </row>
    <row r="2305" spans="1:18" ht="21.75" customHeight="1">
      <c r="A2305" t="s">
        <v>2456</v>
      </c>
      <c r="B2305" s="6">
        <v>45363</v>
      </c>
      <c r="C2305" t="s">
        <v>396</v>
      </c>
      <c r="D2305" t="s">
        <v>109</v>
      </c>
      <c r="E2305" t="s">
        <v>22</v>
      </c>
      <c r="F2305" t="s">
        <v>42</v>
      </c>
      <c r="G2305" t="s">
        <v>28</v>
      </c>
      <c r="H2305">
        <v>10</v>
      </c>
      <c r="I2305" t="str">
        <f>VLOOKUP(D2305,Product_Lookup!$A$2:$C$27,3,FALSE)</f>
        <v>$81.02</v>
      </c>
      <c r="J2305" t="str">
        <f t="shared" si="283"/>
        <v>Tuesday</v>
      </c>
      <c r="K2305" s="10" t="str">
        <f t="shared" si="284"/>
        <v>March</v>
      </c>
      <c r="L2305">
        <f t="shared" si="285"/>
        <v>2024</v>
      </c>
      <c r="M2305" t="b">
        <f t="shared" si="286"/>
        <v>0</v>
      </c>
      <c r="N2305" t="b">
        <f t="shared" si="280"/>
        <v>1</v>
      </c>
      <c r="O2305" t="str">
        <f t="shared" si="287"/>
        <v>Large Order</v>
      </c>
      <c r="P2305" s="7">
        <f t="shared" si="281"/>
        <v>4.0510000000000002</v>
      </c>
      <c r="Q2305" s="7" t="str">
        <f>VLOOKUP(D2306,Product_Lookup!$A$2:$C$27,2,FALSE)</f>
        <v>Headphones</v>
      </c>
      <c r="R2305" s="7">
        <f t="shared" si="282"/>
        <v>810.19999999999993</v>
      </c>
    </row>
    <row r="2306" spans="1:18" ht="21.75" customHeight="1">
      <c r="A2306" t="s">
        <v>2457</v>
      </c>
      <c r="B2306" s="6">
        <v>45352</v>
      </c>
      <c r="C2306" t="s">
        <v>240</v>
      </c>
      <c r="D2306" t="s">
        <v>16</v>
      </c>
      <c r="E2306" t="s">
        <v>22</v>
      </c>
      <c r="F2306" t="s">
        <v>56</v>
      </c>
      <c r="G2306" t="s">
        <v>28</v>
      </c>
      <c r="H2306">
        <v>10</v>
      </c>
      <c r="I2306" t="str">
        <f>VLOOKUP(D2306,Product_Lookup!$A$2:$C$27,3,FALSE)</f>
        <v>$178.83</v>
      </c>
      <c r="J2306" t="str">
        <f t="shared" si="283"/>
        <v>Friday</v>
      </c>
      <c r="K2306" s="10" t="str">
        <f t="shared" si="284"/>
        <v>March</v>
      </c>
      <c r="L2306">
        <f t="shared" si="285"/>
        <v>2024</v>
      </c>
      <c r="M2306" t="b">
        <f t="shared" si="286"/>
        <v>0</v>
      </c>
      <c r="N2306" t="b">
        <f t="shared" ref="N2306:N2369" si="288">AND(R2306&gt;750, H2306&gt;5)</f>
        <v>1</v>
      </c>
      <c r="O2306" t="str">
        <f t="shared" si="287"/>
        <v>Large Order</v>
      </c>
      <c r="P2306" s="7">
        <f t="shared" ref="P2306:P2369" si="289">I2306*$S$2</f>
        <v>8.9415000000000013</v>
      </c>
      <c r="Q2306" s="7" t="str">
        <f>VLOOKUP(D2307,Product_Lookup!$A$2:$C$27,2,FALSE)</f>
        <v>Vacuum</v>
      </c>
      <c r="R2306" s="7">
        <f t="shared" ref="R2306:R2369" si="290">H2306*I2306</f>
        <v>1788.3000000000002</v>
      </c>
    </row>
    <row r="2307" spans="1:18" ht="21.75" customHeight="1">
      <c r="A2307" t="s">
        <v>2458</v>
      </c>
      <c r="B2307" s="6">
        <v>45358</v>
      </c>
      <c r="C2307" t="s">
        <v>81</v>
      </c>
      <c r="D2307" t="s">
        <v>87</v>
      </c>
      <c r="E2307" t="s">
        <v>22</v>
      </c>
      <c r="F2307" t="s">
        <v>12</v>
      </c>
      <c r="G2307" t="s">
        <v>13</v>
      </c>
      <c r="H2307">
        <v>1</v>
      </c>
      <c r="I2307" t="str">
        <f>VLOOKUP(D2307,Product_Lookup!$A$2:$C$27,3,FALSE)</f>
        <v>$26.59</v>
      </c>
      <c r="J2307" t="str">
        <f t="shared" ref="J2307:J2370" si="291">TEXT(B2307, "dddd")</f>
        <v>Thursday</v>
      </c>
      <c r="K2307" s="10" t="str">
        <f t="shared" ref="K2307:K2370" si="292">TEXT(B2307, "mmmm")</f>
        <v>March</v>
      </c>
      <c r="L2307">
        <f t="shared" ref="L2307:L2370" si="293">YEAR(B2307)</f>
        <v>2024</v>
      </c>
      <c r="M2307" t="b">
        <f t="shared" ref="M2307:M2370" si="294">OR(J2307="Saturday", J2307="Sunday")</f>
        <v>0</v>
      </c>
      <c r="N2307" t="b">
        <f t="shared" si="288"/>
        <v>0</v>
      </c>
      <c r="O2307" t="str">
        <f t="shared" ref="O2307:O2370" si="295">IF(R2307&gt;500,"Large Order","Standard order")</f>
        <v>Standard order</v>
      </c>
      <c r="P2307" s="7">
        <f t="shared" si="289"/>
        <v>1.3295000000000001</v>
      </c>
      <c r="Q2307" s="7" t="str">
        <f>VLOOKUP(D2308,Product_Lookup!$A$2:$C$27,2,FALSE)</f>
        <v>Jeans</v>
      </c>
      <c r="R2307" s="7">
        <f t="shared" si="290"/>
        <v>26.59</v>
      </c>
    </row>
    <row r="2308" spans="1:18" ht="21.75" customHeight="1">
      <c r="A2308" t="s">
        <v>2459</v>
      </c>
      <c r="B2308" s="6">
        <v>45512</v>
      </c>
      <c r="C2308" t="s">
        <v>116</v>
      </c>
      <c r="D2308" t="s">
        <v>65</v>
      </c>
      <c r="E2308" t="s">
        <v>11</v>
      </c>
      <c r="F2308" t="s">
        <v>12</v>
      </c>
      <c r="G2308" t="s">
        <v>36</v>
      </c>
      <c r="H2308">
        <v>19</v>
      </c>
      <c r="I2308" t="str">
        <f>VLOOKUP(D2308,Product_Lookup!$A$2:$C$27,3,FALSE)</f>
        <v>$33.22</v>
      </c>
      <c r="J2308" t="str">
        <f t="shared" si="291"/>
        <v>Thursday</v>
      </c>
      <c r="K2308" s="10" t="str">
        <f t="shared" si="292"/>
        <v>August</v>
      </c>
      <c r="L2308">
        <f t="shared" si="293"/>
        <v>2024</v>
      </c>
      <c r="M2308" t="b">
        <f t="shared" si="294"/>
        <v>0</v>
      </c>
      <c r="N2308" t="b">
        <f t="shared" si="288"/>
        <v>0</v>
      </c>
      <c r="O2308" t="str">
        <f t="shared" si="295"/>
        <v>Large Order</v>
      </c>
      <c r="P2308" s="7">
        <f t="shared" si="289"/>
        <v>1.661</v>
      </c>
      <c r="Q2308" s="7" t="str">
        <f>VLOOKUP(D2309,Product_Lookup!$A$2:$C$27,2,FALSE)</f>
        <v>Smartphone</v>
      </c>
      <c r="R2308" s="7">
        <f t="shared" si="290"/>
        <v>631.17999999999995</v>
      </c>
    </row>
    <row r="2309" spans="1:18" ht="21.75" customHeight="1">
      <c r="A2309" t="s">
        <v>2460</v>
      </c>
      <c r="B2309" s="6">
        <v>45352</v>
      </c>
      <c r="C2309" t="s">
        <v>230</v>
      </c>
      <c r="D2309" t="s">
        <v>79</v>
      </c>
      <c r="E2309" t="s">
        <v>11</v>
      </c>
      <c r="F2309" t="s">
        <v>42</v>
      </c>
      <c r="G2309" t="s">
        <v>13</v>
      </c>
      <c r="H2309">
        <v>4</v>
      </c>
      <c r="I2309" t="str">
        <f>VLOOKUP(D2309,Product_Lookup!$A$2:$C$27,3,FALSE)</f>
        <v>$216.22</v>
      </c>
      <c r="J2309" t="str">
        <f t="shared" si="291"/>
        <v>Friday</v>
      </c>
      <c r="K2309" s="10" t="str">
        <f t="shared" si="292"/>
        <v>March</v>
      </c>
      <c r="L2309">
        <f t="shared" si="293"/>
        <v>2024</v>
      </c>
      <c r="M2309" t="b">
        <f t="shared" si="294"/>
        <v>0</v>
      </c>
      <c r="N2309" t="b">
        <f t="shared" si="288"/>
        <v>0</v>
      </c>
      <c r="O2309" t="str">
        <f t="shared" si="295"/>
        <v>Large Order</v>
      </c>
      <c r="P2309" s="7">
        <f t="shared" si="289"/>
        <v>10.811</v>
      </c>
      <c r="Q2309" s="7" t="str">
        <f>VLOOKUP(D2310,Product_Lookup!$A$2:$C$27,2,FALSE)</f>
        <v>Desk Lamp</v>
      </c>
      <c r="R2309" s="7">
        <f t="shared" si="290"/>
        <v>864.88</v>
      </c>
    </row>
    <row r="2310" spans="1:18" ht="21.75" customHeight="1">
      <c r="A2310" t="s">
        <v>2461</v>
      </c>
      <c r="B2310" s="6">
        <v>45600</v>
      </c>
      <c r="C2310" t="s">
        <v>95</v>
      </c>
      <c r="D2310" t="s">
        <v>59</v>
      </c>
      <c r="E2310" t="s">
        <v>11</v>
      </c>
      <c r="F2310" t="s">
        <v>56</v>
      </c>
      <c r="G2310" t="s">
        <v>32</v>
      </c>
      <c r="H2310">
        <v>1</v>
      </c>
      <c r="I2310" t="str">
        <f>VLOOKUP(D2310,Product_Lookup!$A$2:$C$27,3,FALSE)</f>
        <v>$101.96</v>
      </c>
      <c r="J2310" t="str">
        <f t="shared" si="291"/>
        <v>Monday</v>
      </c>
      <c r="K2310" s="10" t="str">
        <f t="shared" si="292"/>
        <v>November</v>
      </c>
      <c r="L2310">
        <f t="shared" si="293"/>
        <v>2024</v>
      </c>
      <c r="M2310" t="b">
        <f t="shared" si="294"/>
        <v>0</v>
      </c>
      <c r="N2310" t="b">
        <f t="shared" si="288"/>
        <v>0</v>
      </c>
      <c r="O2310" t="str">
        <f t="shared" si="295"/>
        <v>Standard order</v>
      </c>
      <c r="P2310" s="7">
        <f t="shared" si="289"/>
        <v>5.0979999999999999</v>
      </c>
      <c r="Q2310" s="7" t="str">
        <f>VLOOKUP(D2311,Product_Lookup!$A$2:$C$27,2,FALSE)</f>
        <v>Toaster</v>
      </c>
      <c r="R2310" s="7">
        <f t="shared" si="290"/>
        <v>101.96</v>
      </c>
    </row>
    <row r="2311" spans="1:18" ht="21.75" customHeight="1">
      <c r="A2311" t="s">
        <v>2462</v>
      </c>
      <c r="B2311" s="6">
        <v>45434</v>
      </c>
      <c r="C2311" t="s">
        <v>361</v>
      </c>
      <c r="D2311" t="s">
        <v>48</v>
      </c>
      <c r="E2311" t="s">
        <v>17</v>
      </c>
      <c r="F2311" t="s">
        <v>56</v>
      </c>
      <c r="G2311" t="s">
        <v>36</v>
      </c>
      <c r="H2311">
        <v>20</v>
      </c>
      <c r="I2311" t="str">
        <f>VLOOKUP(D2311,Product_Lookup!$A$2:$C$27,3,FALSE)</f>
        <v>$208.85</v>
      </c>
      <c r="J2311" t="str">
        <f t="shared" si="291"/>
        <v>Wednesday</v>
      </c>
      <c r="K2311" s="10" t="str">
        <f t="shared" si="292"/>
        <v>May</v>
      </c>
      <c r="L2311">
        <f t="shared" si="293"/>
        <v>2024</v>
      </c>
      <c r="M2311" t="b">
        <f t="shared" si="294"/>
        <v>0</v>
      </c>
      <c r="N2311" t="b">
        <f t="shared" si="288"/>
        <v>1</v>
      </c>
      <c r="O2311" t="str">
        <f t="shared" si="295"/>
        <v>Large Order</v>
      </c>
      <c r="P2311" s="7">
        <f t="shared" si="289"/>
        <v>10.442500000000001</v>
      </c>
      <c r="Q2311" s="7" t="str">
        <f>VLOOKUP(D2312,Product_Lookup!$A$2:$C$27,2,FALSE)</f>
        <v>Monitor</v>
      </c>
      <c r="R2311" s="7">
        <f t="shared" si="290"/>
        <v>4177</v>
      </c>
    </row>
    <row r="2312" spans="1:18" ht="21.75" customHeight="1">
      <c r="A2312" t="s">
        <v>2463</v>
      </c>
      <c r="B2312" s="6">
        <v>45583</v>
      </c>
      <c r="C2312" t="s">
        <v>58</v>
      </c>
      <c r="D2312" t="s">
        <v>102</v>
      </c>
      <c r="E2312" t="s">
        <v>22</v>
      </c>
      <c r="F2312" t="s">
        <v>12</v>
      </c>
      <c r="G2312" t="s">
        <v>36</v>
      </c>
      <c r="H2312">
        <v>7</v>
      </c>
      <c r="I2312" t="str">
        <f>VLOOKUP(D2312,Product_Lookup!$A$2:$C$27,3,FALSE)</f>
        <v>$145.48</v>
      </c>
      <c r="J2312" t="str">
        <f t="shared" si="291"/>
        <v>Friday</v>
      </c>
      <c r="K2312" s="10" t="str">
        <f t="shared" si="292"/>
        <v>October</v>
      </c>
      <c r="L2312">
        <f t="shared" si="293"/>
        <v>2024</v>
      </c>
      <c r="M2312" t="b">
        <f t="shared" si="294"/>
        <v>0</v>
      </c>
      <c r="N2312" t="b">
        <f t="shared" si="288"/>
        <v>1</v>
      </c>
      <c r="O2312" t="str">
        <f t="shared" si="295"/>
        <v>Large Order</v>
      </c>
      <c r="P2312" s="7">
        <f t="shared" si="289"/>
        <v>7.274</v>
      </c>
      <c r="Q2312" s="7" t="str">
        <f>VLOOKUP(D2313,Product_Lookup!$A$2:$C$27,2,FALSE)</f>
        <v>Doll</v>
      </c>
      <c r="R2312" s="7">
        <f t="shared" si="290"/>
        <v>1018.3599999999999</v>
      </c>
    </row>
    <row r="2313" spans="1:18" ht="21.75" customHeight="1">
      <c r="A2313" t="s">
        <v>2464</v>
      </c>
      <c r="B2313" s="6">
        <v>45436</v>
      </c>
      <c r="C2313" t="s">
        <v>30</v>
      </c>
      <c r="D2313" t="s">
        <v>119</v>
      </c>
      <c r="E2313" t="s">
        <v>22</v>
      </c>
      <c r="F2313" t="s">
        <v>12</v>
      </c>
      <c r="G2313" t="s">
        <v>13</v>
      </c>
      <c r="H2313">
        <v>7</v>
      </c>
      <c r="I2313" t="str">
        <f>VLOOKUP(D2313,Product_Lookup!$A$2:$C$27,3,FALSE)</f>
        <v>$32.94</v>
      </c>
      <c r="J2313" t="str">
        <f t="shared" si="291"/>
        <v>Friday</v>
      </c>
      <c r="K2313" s="10" t="str">
        <f t="shared" si="292"/>
        <v>May</v>
      </c>
      <c r="L2313">
        <f t="shared" si="293"/>
        <v>2024</v>
      </c>
      <c r="M2313" t="b">
        <f t="shared" si="294"/>
        <v>0</v>
      </c>
      <c r="N2313" t="b">
        <f t="shared" si="288"/>
        <v>0</v>
      </c>
      <c r="O2313" t="str">
        <f t="shared" si="295"/>
        <v>Standard order</v>
      </c>
      <c r="P2313" s="7">
        <f t="shared" si="289"/>
        <v>1.647</v>
      </c>
      <c r="Q2313" s="7" t="str">
        <f>VLOOKUP(D2314,Product_Lookup!$A$2:$C$27,2,FALSE)</f>
        <v>Toaster</v>
      </c>
      <c r="R2313" s="7">
        <f t="shared" si="290"/>
        <v>230.57999999999998</v>
      </c>
    </row>
    <row r="2314" spans="1:18" ht="21.75" customHeight="1">
      <c r="A2314" t="s">
        <v>2465</v>
      </c>
      <c r="B2314" s="6">
        <v>45654</v>
      </c>
      <c r="C2314" t="s">
        <v>553</v>
      </c>
      <c r="D2314" t="s">
        <v>48</v>
      </c>
      <c r="E2314" t="s">
        <v>22</v>
      </c>
      <c r="F2314" t="s">
        <v>306</v>
      </c>
      <c r="G2314" t="s">
        <v>28</v>
      </c>
      <c r="H2314">
        <v>15</v>
      </c>
      <c r="I2314" t="str">
        <f>VLOOKUP(D2314,Product_Lookup!$A$2:$C$27,3,FALSE)</f>
        <v>$208.85</v>
      </c>
      <c r="J2314" t="str">
        <f t="shared" si="291"/>
        <v>Saturday</v>
      </c>
      <c r="K2314" s="10" t="str">
        <f t="shared" si="292"/>
        <v>December</v>
      </c>
      <c r="L2314">
        <f t="shared" si="293"/>
        <v>2024</v>
      </c>
      <c r="M2314" t="b">
        <f t="shared" si="294"/>
        <v>1</v>
      </c>
      <c r="N2314" t="b">
        <f t="shared" si="288"/>
        <v>1</v>
      </c>
      <c r="O2314" t="str">
        <f t="shared" si="295"/>
        <v>Large Order</v>
      </c>
      <c r="P2314" s="7">
        <f t="shared" si="289"/>
        <v>10.442500000000001</v>
      </c>
      <c r="Q2314" s="7" t="str">
        <f>VLOOKUP(D2315,Product_Lookup!$A$2:$C$27,2,FALSE)</f>
        <v>Toaster</v>
      </c>
      <c r="R2314" s="7">
        <f t="shared" si="290"/>
        <v>3132.75</v>
      </c>
    </row>
    <row r="2315" spans="1:18" ht="21.75" customHeight="1">
      <c r="A2315" t="s">
        <v>2466</v>
      </c>
      <c r="B2315" s="6">
        <v>45346</v>
      </c>
      <c r="C2315" t="s">
        <v>44</v>
      </c>
      <c r="D2315" t="s">
        <v>48</v>
      </c>
      <c r="E2315" t="s">
        <v>17</v>
      </c>
      <c r="F2315" t="s">
        <v>27</v>
      </c>
      <c r="G2315" t="s">
        <v>28</v>
      </c>
      <c r="H2315">
        <v>17</v>
      </c>
      <c r="I2315" t="str">
        <f>VLOOKUP(D2315,Product_Lookup!$A$2:$C$27,3,FALSE)</f>
        <v>$208.85</v>
      </c>
      <c r="J2315" t="str">
        <f t="shared" si="291"/>
        <v>Saturday</v>
      </c>
      <c r="K2315" s="10" t="str">
        <f t="shared" si="292"/>
        <v>February</v>
      </c>
      <c r="L2315">
        <f t="shared" si="293"/>
        <v>2024</v>
      </c>
      <c r="M2315" t="b">
        <f t="shared" si="294"/>
        <v>1</v>
      </c>
      <c r="N2315" t="b">
        <f t="shared" si="288"/>
        <v>1</v>
      </c>
      <c r="O2315" t="str">
        <f t="shared" si="295"/>
        <v>Large Order</v>
      </c>
      <c r="P2315" s="7">
        <f t="shared" si="289"/>
        <v>10.442500000000001</v>
      </c>
      <c r="Q2315" s="7" t="str">
        <f>VLOOKUP(D2316,Product_Lookup!$A$2:$C$27,2,FALSE)</f>
        <v>Blender</v>
      </c>
      <c r="R2315" s="7">
        <f t="shared" si="290"/>
        <v>3550.45</v>
      </c>
    </row>
    <row r="2316" spans="1:18" ht="21.75" customHeight="1">
      <c r="A2316" t="s">
        <v>2467</v>
      </c>
      <c r="B2316" s="6">
        <v>45349</v>
      </c>
      <c r="C2316" t="s">
        <v>332</v>
      </c>
      <c r="D2316" t="s">
        <v>72</v>
      </c>
      <c r="E2316" t="s">
        <v>11</v>
      </c>
      <c r="F2316" t="s">
        <v>27</v>
      </c>
      <c r="G2316" t="s">
        <v>13</v>
      </c>
      <c r="H2316">
        <v>17</v>
      </c>
      <c r="I2316" t="str">
        <f>VLOOKUP(D2316,Product_Lookup!$A$2:$C$27,3,FALSE)</f>
        <v>$156.44</v>
      </c>
      <c r="J2316" t="str">
        <f t="shared" si="291"/>
        <v>Tuesday</v>
      </c>
      <c r="K2316" s="10" t="str">
        <f t="shared" si="292"/>
        <v>February</v>
      </c>
      <c r="L2316">
        <f t="shared" si="293"/>
        <v>2024</v>
      </c>
      <c r="M2316" t="b">
        <f t="shared" si="294"/>
        <v>0</v>
      </c>
      <c r="N2316" t="b">
        <f t="shared" si="288"/>
        <v>1</v>
      </c>
      <c r="O2316" t="str">
        <f t="shared" si="295"/>
        <v>Large Order</v>
      </c>
      <c r="P2316" s="7">
        <f t="shared" si="289"/>
        <v>7.8220000000000001</v>
      </c>
      <c r="Q2316" s="7" t="str">
        <f>VLOOKUP(D2317,Product_Lookup!$A$2:$C$27,2,FALSE)</f>
        <v>Socks</v>
      </c>
      <c r="R2316" s="7">
        <f t="shared" si="290"/>
        <v>2659.48</v>
      </c>
    </row>
    <row r="2317" spans="1:18" ht="21.75" customHeight="1">
      <c r="A2317" t="s">
        <v>2468</v>
      </c>
      <c r="B2317" s="6">
        <v>45476</v>
      </c>
      <c r="C2317" t="s">
        <v>369</v>
      </c>
      <c r="D2317" t="s">
        <v>74</v>
      </c>
      <c r="E2317" t="s">
        <v>22</v>
      </c>
      <c r="F2317" t="s">
        <v>12</v>
      </c>
      <c r="G2317" t="s">
        <v>13</v>
      </c>
      <c r="H2317">
        <v>11</v>
      </c>
      <c r="I2317" t="str">
        <f>VLOOKUP(D2317,Product_Lookup!$A$2:$C$27,3,FALSE)</f>
        <v>$201.32</v>
      </c>
      <c r="J2317" t="str">
        <f t="shared" si="291"/>
        <v>Wednesday</v>
      </c>
      <c r="K2317" s="10" t="str">
        <f t="shared" si="292"/>
        <v>July</v>
      </c>
      <c r="L2317">
        <f t="shared" si="293"/>
        <v>2024</v>
      </c>
      <c r="M2317" t="b">
        <f t="shared" si="294"/>
        <v>0</v>
      </c>
      <c r="N2317" t="b">
        <f t="shared" si="288"/>
        <v>1</v>
      </c>
      <c r="O2317" t="str">
        <f t="shared" si="295"/>
        <v>Large Order</v>
      </c>
      <c r="P2317" s="7">
        <f t="shared" si="289"/>
        <v>10.066000000000001</v>
      </c>
      <c r="Q2317" s="7" t="str">
        <f>VLOOKUP(D2318,Product_Lookup!$A$2:$C$27,2,FALSE)</f>
        <v>Air Fryer</v>
      </c>
      <c r="R2317" s="7">
        <f t="shared" si="290"/>
        <v>2214.52</v>
      </c>
    </row>
    <row r="2318" spans="1:18" ht="21.75" customHeight="1">
      <c r="A2318" t="s">
        <v>2469</v>
      </c>
      <c r="B2318" s="6">
        <v>45489</v>
      </c>
      <c r="C2318" t="s">
        <v>55</v>
      </c>
      <c r="D2318" t="s">
        <v>70</v>
      </c>
      <c r="E2318" t="s">
        <v>22</v>
      </c>
      <c r="F2318" t="s">
        <v>42</v>
      </c>
      <c r="G2318" t="s">
        <v>23</v>
      </c>
      <c r="H2318">
        <v>8</v>
      </c>
      <c r="I2318" t="str">
        <f>VLOOKUP(D2318,Product_Lookup!$A$2:$C$27,3,FALSE)</f>
        <v>$211.9</v>
      </c>
      <c r="J2318" t="str">
        <f t="shared" si="291"/>
        <v>Tuesday</v>
      </c>
      <c r="K2318" s="10" t="str">
        <f t="shared" si="292"/>
        <v>July</v>
      </c>
      <c r="L2318">
        <f t="shared" si="293"/>
        <v>2024</v>
      </c>
      <c r="M2318" t="b">
        <f t="shared" si="294"/>
        <v>0</v>
      </c>
      <c r="N2318" t="b">
        <f t="shared" si="288"/>
        <v>1</v>
      </c>
      <c r="O2318" t="str">
        <f t="shared" si="295"/>
        <v>Large Order</v>
      </c>
      <c r="P2318" s="7">
        <f t="shared" si="289"/>
        <v>10.595000000000001</v>
      </c>
      <c r="Q2318" s="7" t="str">
        <f>VLOOKUP(D2319,Product_Lookup!$A$2:$C$27,2,FALSE)</f>
        <v>Jeans</v>
      </c>
      <c r="R2318" s="7">
        <f t="shared" si="290"/>
        <v>1695.2</v>
      </c>
    </row>
    <row r="2319" spans="1:18" ht="21.75" customHeight="1">
      <c r="A2319" t="s">
        <v>2470</v>
      </c>
      <c r="B2319" s="6">
        <v>45440</v>
      </c>
      <c r="C2319" t="s">
        <v>309</v>
      </c>
      <c r="D2319" t="s">
        <v>65</v>
      </c>
      <c r="E2319" t="s">
        <v>11</v>
      </c>
      <c r="F2319" t="s">
        <v>27</v>
      </c>
      <c r="G2319" t="s">
        <v>32</v>
      </c>
      <c r="H2319">
        <v>6</v>
      </c>
      <c r="I2319" t="str">
        <f>VLOOKUP(D2319,Product_Lookup!$A$2:$C$27,3,FALSE)</f>
        <v>$33.22</v>
      </c>
      <c r="J2319" t="str">
        <f t="shared" si="291"/>
        <v>Tuesday</v>
      </c>
      <c r="K2319" s="10" t="str">
        <f t="shared" si="292"/>
        <v>May</v>
      </c>
      <c r="L2319">
        <f t="shared" si="293"/>
        <v>2024</v>
      </c>
      <c r="M2319" t="b">
        <f t="shared" si="294"/>
        <v>0</v>
      </c>
      <c r="N2319" t="b">
        <f t="shared" si="288"/>
        <v>0</v>
      </c>
      <c r="O2319" t="str">
        <f t="shared" si="295"/>
        <v>Standard order</v>
      </c>
      <c r="P2319" s="7">
        <f t="shared" si="289"/>
        <v>1.661</v>
      </c>
      <c r="Q2319" s="7" t="str">
        <f>VLOOKUP(D2320,Product_Lookup!$A$2:$C$27,2,FALSE)</f>
        <v>Board Game</v>
      </c>
      <c r="R2319" s="7">
        <f t="shared" si="290"/>
        <v>199.32</v>
      </c>
    </row>
    <row r="2320" spans="1:18" ht="21.75" customHeight="1">
      <c r="A2320" t="s">
        <v>2471</v>
      </c>
      <c r="B2320" s="6">
        <v>45637</v>
      </c>
      <c r="C2320" t="s">
        <v>374</v>
      </c>
      <c r="D2320" t="s">
        <v>41</v>
      </c>
      <c r="E2320" t="s">
        <v>11</v>
      </c>
      <c r="F2320" t="s">
        <v>27</v>
      </c>
      <c r="G2320" t="s">
        <v>23</v>
      </c>
      <c r="H2320">
        <v>17</v>
      </c>
      <c r="I2320" t="str">
        <f>VLOOKUP(D2320,Product_Lookup!$A$2:$C$27,3,FALSE)</f>
        <v>$86.6</v>
      </c>
      <c r="J2320" t="str">
        <f t="shared" si="291"/>
        <v>Wednesday</v>
      </c>
      <c r="K2320" s="10" t="str">
        <f t="shared" si="292"/>
        <v>December</v>
      </c>
      <c r="L2320">
        <f t="shared" si="293"/>
        <v>2024</v>
      </c>
      <c r="M2320" t="b">
        <f t="shared" si="294"/>
        <v>0</v>
      </c>
      <c r="N2320" t="b">
        <f t="shared" si="288"/>
        <v>1</v>
      </c>
      <c r="O2320" t="str">
        <f t="shared" si="295"/>
        <v>Large Order</v>
      </c>
      <c r="P2320" s="7">
        <f t="shared" si="289"/>
        <v>4.33</v>
      </c>
      <c r="Q2320" s="7" t="str">
        <f>VLOOKUP(D2321,Product_Lookup!$A$2:$C$27,2,FALSE)</f>
        <v>Headphones</v>
      </c>
      <c r="R2320" s="7">
        <f t="shared" si="290"/>
        <v>1472.1999999999998</v>
      </c>
    </row>
    <row r="2321" spans="1:18" ht="21.75" customHeight="1">
      <c r="A2321" t="s">
        <v>2472</v>
      </c>
      <c r="B2321" s="6">
        <v>45335</v>
      </c>
      <c r="C2321" t="s">
        <v>114</v>
      </c>
      <c r="D2321" t="s">
        <v>16</v>
      </c>
      <c r="E2321" t="s">
        <v>17</v>
      </c>
      <c r="F2321" t="s">
        <v>27</v>
      </c>
      <c r="G2321" t="s">
        <v>36</v>
      </c>
      <c r="H2321">
        <v>4</v>
      </c>
      <c r="I2321" t="str">
        <f>VLOOKUP(D2321,Product_Lookup!$A$2:$C$27,3,FALSE)</f>
        <v>$178.83</v>
      </c>
      <c r="J2321" t="str">
        <f t="shared" si="291"/>
        <v>Tuesday</v>
      </c>
      <c r="K2321" s="10" t="str">
        <f t="shared" si="292"/>
        <v>February</v>
      </c>
      <c r="L2321">
        <f t="shared" si="293"/>
        <v>2024</v>
      </c>
      <c r="M2321" t="b">
        <f t="shared" si="294"/>
        <v>0</v>
      </c>
      <c r="N2321" t="b">
        <f t="shared" si="288"/>
        <v>0</v>
      </c>
      <c r="O2321" t="str">
        <f t="shared" si="295"/>
        <v>Large Order</v>
      </c>
      <c r="P2321" s="7">
        <f t="shared" si="289"/>
        <v>8.9415000000000013</v>
      </c>
      <c r="Q2321" s="7" t="str">
        <f>VLOOKUP(D2322,Product_Lookup!$A$2:$C$27,2,FALSE)</f>
        <v>Toaster</v>
      </c>
      <c r="R2321" s="7">
        <f t="shared" si="290"/>
        <v>715.32</v>
      </c>
    </row>
    <row r="2322" spans="1:18" ht="21.75" customHeight="1">
      <c r="A2322" t="s">
        <v>2473</v>
      </c>
      <c r="B2322" s="6">
        <v>45378</v>
      </c>
      <c r="C2322" t="s">
        <v>58</v>
      </c>
      <c r="D2322" t="s">
        <v>48</v>
      </c>
      <c r="E2322" t="s">
        <v>11</v>
      </c>
      <c r="F2322" t="s">
        <v>42</v>
      </c>
      <c r="G2322" t="s">
        <v>28</v>
      </c>
      <c r="H2322">
        <v>20</v>
      </c>
      <c r="I2322" t="str">
        <f>VLOOKUP(D2322,Product_Lookup!$A$2:$C$27,3,FALSE)</f>
        <v>$208.85</v>
      </c>
      <c r="J2322" t="str">
        <f t="shared" si="291"/>
        <v>Wednesday</v>
      </c>
      <c r="K2322" s="10" t="str">
        <f t="shared" si="292"/>
        <v>March</v>
      </c>
      <c r="L2322">
        <f t="shared" si="293"/>
        <v>2024</v>
      </c>
      <c r="M2322" t="b">
        <f t="shared" si="294"/>
        <v>0</v>
      </c>
      <c r="N2322" t="b">
        <f t="shared" si="288"/>
        <v>1</v>
      </c>
      <c r="O2322" t="str">
        <f t="shared" si="295"/>
        <v>Large Order</v>
      </c>
      <c r="P2322" s="7">
        <f t="shared" si="289"/>
        <v>10.442500000000001</v>
      </c>
      <c r="Q2322" s="7" t="str">
        <f>VLOOKUP(D2323,Product_Lookup!$A$2:$C$27,2,FALSE)</f>
        <v>Jacket</v>
      </c>
      <c r="R2322" s="7">
        <f t="shared" si="290"/>
        <v>4177</v>
      </c>
    </row>
    <row r="2323" spans="1:18" ht="21.75" customHeight="1">
      <c r="A2323" t="s">
        <v>2474</v>
      </c>
      <c r="B2323" s="6">
        <v>45498</v>
      </c>
      <c r="C2323" t="s">
        <v>114</v>
      </c>
      <c r="D2323" t="s">
        <v>197</v>
      </c>
      <c r="E2323" t="s">
        <v>17</v>
      </c>
      <c r="F2323" t="s">
        <v>27</v>
      </c>
      <c r="G2323" t="s">
        <v>32</v>
      </c>
      <c r="H2323">
        <v>19</v>
      </c>
      <c r="I2323" t="str">
        <f>VLOOKUP(D2323,Product_Lookup!$A$2:$C$27,3,FALSE)</f>
        <v>$10.11</v>
      </c>
      <c r="J2323" t="str">
        <f t="shared" si="291"/>
        <v>Thursday</v>
      </c>
      <c r="K2323" s="10" t="str">
        <f t="shared" si="292"/>
        <v>July</v>
      </c>
      <c r="L2323">
        <f t="shared" si="293"/>
        <v>2024</v>
      </c>
      <c r="M2323" t="b">
        <f t="shared" si="294"/>
        <v>0</v>
      </c>
      <c r="N2323" t="b">
        <f t="shared" si="288"/>
        <v>0</v>
      </c>
      <c r="O2323" t="str">
        <f t="shared" si="295"/>
        <v>Standard order</v>
      </c>
      <c r="P2323" s="7">
        <f t="shared" si="289"/>
        <v>0.50549999999999995</v>
      </c>
      <c r="Q2323" s="7" t="str">
        <f>VLOOKUP(D2324,Product_Lookup!$A$2:$C$27,2,FALSE)</f>
        <v>Toaster</v>
      </c>
      <c r="R2323" s="7">
        <f t="shared" si="290"/>
        <v>192.08999999999997</v>
      </c>
    </row>
    <row r="2324" spans="1:18" ht="21.75" customHeight="1">
      <c r="A2324" t="s">
        <v>2475</v>
      </c>
      <c r="B2324" s="6">
        <v>45621</v>
      </c>
      <c r="C2324" t="s">
        <v>341</v>
      </c>
      <c r="D2324" t="s">
        <v>48</v>
      </c>
      <c r="E2324" t="s">
        <v>17</v>
      </c>
      <c r="F2324" t="s">
        <v>306</v>
      </c>
      <c r="G2324" t="s">
        <v>23</v>
      </c>
      <c r="H2324">
        <v>16</v>
      </c>
      <c r="I2324" t="str">
        <f>VLOOKUP(D2324,Product_Lookup!$A$2:$C$27,3,FALSE)</f>
        <v>$208.85</v>
      </c>
      <c r="J2324" t="str">
        <f t="shared" si="291"/>
        <v>Monday</v>
      </c>
      <c r="K2324" s="10" t="str">
        <f t="shared" si="292"/>
        <v>November</v>
      </c>
      <c r="L2324">
        <f t="shared" si="293"/>
        <v>2024</v>
      </c>
      <c r="M2324" t="b">
        <f t="shared" si="294"/>
        <v>0</v>
      </c>
      <c r="N2324" t="b">
        <f t="shared" si="288"/>
        <v>1</v>
      </c>
      <c r="O2324" t="str">
        <f t="shared" si="295"/>
        <v>Large Order</v>
      </c>
      <c r="P2324" s="7">
        <f t="shared" si="289"/>
        <v>10.442500000000001</v>
      </c>
      <c r="Q2324" s="7" t="str">
        <f>VLOOKUP(D2325,Product_Lookup!$A$2:$C$27,2,FALSE)</f>
        <v>Air Fryer</v>
      </c>
      <c r="R2324" s="7">
        <f t="shared" si="290"/>
        <v>3341.6</v>
      </c>
    </row>
    <row r="2325" spans="1:18" ht="21.75" customHeight="1">
      <c r="A2325" t="s">
        <v>2476</v>
      </c>
      <c r="B2325" s="6">
        <v>45367</v>
      </c>
      <c r="C2325" t="s">
        <v>337</v>
      </c>
      <c r="D2325" t="s">
        <v>70</v>
      </c>
      <c r="E2325" t="s">
        <v>11</v>
      </c>
      <c r="F2325" t="s">
        <v>12</v>
      </c>
      <c r="G2325" t="s">
        <v>32</v>
      </c>
      <c r="H2325">
        <v>16</v>
      </c>
      <c r="I2325" t="str">
        <f>VLOOKUP(D2325,Product_Lookup!$A$2:$C$27,3,FALSE)</f>
        <v>$211.9</v>
      </c>
      <c r="J2325" t="str">
        <f t="shared" si="291"/>
        <v>Saturday</v>
      </c>
      <c r="K2325" s="10" t="str">
        <f t="shared" si="292"/>
        <v>March</v>
      </c>
      <c r="L2325">
        <f t="shared" si="293"/>
        <v>2024</v>
      </c>
      <c r="M2325" t="b">
        <f t="shared" si="294"/>
        <v>1</v>
      </c>
      <c r="N2325" t="b">
        <f t="shared" si="288"/>
        <v>1</v>
      </c>
      <c r="O2325" t="str">
        <f t="shared" si="295"/>
        <v>Large Order</v>
      </c>
      <c r="P2325" s="7">
        <f t="shared" si="289"/>
        <v>10.595000000000001</v>
      </c>
      <c r="Q2325" s="7" t="str">
        <f>VLOOKUP(D2326,Product_Lookup!$A$2:$C$27,2,FALSE)</f>
        <v>Laptop</v>
      </c>
      <c r="R2325" s="7">
        <f t="shared" si="290"/>
        <v>3390.4</v>
      </c>
    </row>
    <row r="2326" spans="1:18" ht="21.75" customHeight="1">
      <c r="A2326" t="s">
        <v>2477</v>
      </c>
      <c r="B2326" s="6">
        <v>45613</v>
      </c>
      <c r="C2326" t="s">
        <v>99</v>
      </c>
      <c r="D2326" t="s">
        <v>96</v>
      </c>
      <c r="E2326" t="s">
        <v>11</v>
      </c>
      <c r="F2326" t="s">
        <v>12</v>
      </c>
      <c r="G2326" t="s">
        <v>13</v>
      </c>
      <c r="H2326">
        <v>16</v>
      </c>
      <c r="I2326" t="str">
        <f>VLOOKUP(D2326,Product_Lookup!$A$2:$C$27,3,FALSE)</f>
        <v>$230.68</v>
      </c>
      <c r="J2326" t="str">
        <f t="shared" si="291"/>
        <v>Sunday</v>
      </c>
      <c r="K2326" s="10" t="str">
        <f t="shared" si="292"/>
        <v>November</v>
      </c>
      <c r="L2326">
        <f t="shared" si="293"/>
        <v>2024</v>
      </c>
      <c r="M2326" t="b">
        <f t="shared" si="294"/>
        <v>1</v>
      </c>
      <c r="N2326" t="b">
        <f t="shared" si="288"/>
        <v>1</v>
      </c>
      <c r="O2326" t="str">
        <f t="shared" si="295"/>
        <v>Large Order</v>
      </c>
      <c r="P2326" s="7">
        <f t="shared" si="289"/>
        <v>11.534000000000001</v>
      </c>
      <c r="Q2326" s="7" t="str">
        <f>VLOOKUP(D2327,Product_Lookup!$A$2:$C$27,2,FALSE)</f>
        <v>Paper Shredder</v>
      </c>
      <c r="R2326" s="7">
        <f t="shared" si="290"/>
        <v>3690.88</v>
      </c>
    </row>
    <row r="2327" spans="1:18" ht="21.75" customHeight="1">
      <c r="A2327" t="s">
        <v>2478</v>
      </c>
      <c r="B2327" s="6">
        <v>45383</v>
      </c>
      <c r="C2327" t="s">
        <v>159</v>
      </c>
      <c r="D2327" t="s">
        <v>109</v>
      </c>
      <c r="E2327" t="s">
        <v>22</v>
      </c>
      <c r="F2327" t="s">
        <v>42</v>
      </c>
      <c r="G2327" t="s">
        <v>28</v>
      </c>
      <c r="H2327">
        <v>10</v>
      </c>
      <c r="I2327" t="str">
        <f>VLOOKUP(D2327,Product_Lookup!$A$2:$C$27,3,FALSE)</f>
        <v>$81.02</v>
      </c>
      <c r="J2327" t="str">
        <f t="shared" si="291"/>
        <v>Monday</v>
      </c>
      <c r="K2327" s="10" t="str">
        <f t="shared" si="292"/>
        <v>April</v>
      </c>
      <c r="L2327">
        <f t="shared" si="293"/>
        <v>2024</v>
      </c>
      <c r="M2327" t="b">
        <f t="shared" si="294"/>
        <v>0</v>
      </c>
      <c r="N2327" t="b">
        <f t="shared" si="288"/>
        <v>1</v>
      </c>
      <c r="O2327" t="str">
        <f t="shared" si="295"/>
        <v>Large Order</v>
      </c>
      <c r="P2327" s="7">
        <f t="shared" si="289"/>
        <v>4.0510000000000002</v>
      </c>
      <c r="Q2327" s="7" t="str">
        <f>VLOOKUP(D2328,Product_Lookup!$A$2:$C$27,2,FALSE)</f>
        <v>Tablet</v>
      </c>
      <c r="R2327" s="7">
        <f t="shared" si="290"/>
        <v>810.19999999999993</v>
      </c>
    </row>
    <row r="2328" spans="1:18" ht="21.75" customHeight="1">
      <c r="A2328" t="s">
        <v>2479</v>
      </c>
      <c r="B2328" s="6">
        <v>45341</v>
      </c>
      <c r="C2328" t="s">
        <v>332</v>
      </c>
      <c r="D2328" t="s">
        <v>10</v>
      </c>
      <c r="E2328" t="s">
        <v>22</v>
      </c>
      <c r="F2328" t="s">
        <v>306</v>
      </c>
      <c r="G2328" t="s">
        <v>23</v>
      </c>
      <c r="H2328">
        <v>15</v>
      </c>
      <c r="I2328" t="str">
        <f>VLOOKUP(D2328,Product_Lookup!$A$2:$C$27,3,FALSE)</f>
        <v>$146.06</v>
      </c>
      <c r="J2328" t="str">
        <f t="shared" si="291"/>
        <v>Monday</v>
      </c>
      <c r="K2328" s="10" t="str">
        <f t="shared" si="292"/>
        <v>February</v>
      </c>
      <c r="L2328">
        <f t="shared" si="293"/>
        <v>2024</v>
      </c>
      <c r="M2328" t="b">
        <f t="shared" si="294"/>
        <v>0</v>
      </c>
      <c r="N2328" t="b">
        <f t="shared" si="288"/>
        <v>1</v>
      </c>
      <c r="O2328" t="str">
        <f t="shared" si="295"/>
        <v>Large Order</v>
      </c>
      <c r="P2328" s="7">
        <f t="shared" si="289"/>
        <v>7.3030000000000008</v>
      </c>
      <c r="Q2328" s="7" t="str">
        <f>VLOOKUP(D2329,Product_Lookup!$A$2:$C$27,2,FALSE)</f>
        <v>Stapler</v>
      </c>
      <c r="R2328" s="7">
        <f t="shared" si="290"/>
        <v>2190.9</v>
      </c>
    </row>
    <row r="2329" spans="1:18" ht="21.75" customHeight="1">
      <c r="A2329" t="s">
        <v>2480</v>
      </c>
      <c r="B2329" s="6">
        <v>45630</v>
      </c>
      <c r="C2329" t="s">
        <v>432</v>
      </c>
      <c r="D2329" t="s">
        <v>35</v>
      </c>
      <c r="E2329" t="s">
        <v>22</v>
      </c>
      <c r="F2329" t="s">
        <v>42</v>
      </c>
      <c r="G2329" t="s">
        <v>36</v>
      </c>
      <c r="H2329">
        <v>11</v>
      </c>
      <c r="I2329" t="str">
        <f>VLOOKUP(D2329,Product_Lookup!$A$2:$C$27,3,FALSE)</f>
        <v>$64.61</v>
      </c>
      <c r="J2329" t="str">
        <f t="shared" si="291"/>
        <v>Wednesday</v>
      </c>
      <c r="K2329" s="10" t="str">
        <f t="shared" si="292"/>
        <v>December</v>
      </c>
      <c r="L2329">
        <f t="shared" si="293"/>
        <v>2024</v>
      </c>
      <c r="M2329" t="b">
        <f t="shared" si="294"/>
        <v>0</v>
      </c>
      <c r="N2329" t="b">
        <f t="shared" si="288"/>
        <v>0</v>
      </c>
      <c r="O2329" t="str">
        <f t="shared" si="295"/>
        <v>Large Order</v>
      </c>
      <c r="P2329" s="7">
        <f t="shared" si="289"/>
        <v>3.2305000000000001</v>
      </c>
      <c r="Q2329" s="7" t="str">
        <f>VLOOKUP(D2330,Product_Lookup!$A$2:$C$27,2,FALSE)</f>
        <v>Laptop</v>
      </c>
      <c r="R2329" s="7">
        <f t="shared" si="290"/>
        <v>710.71</v>
      </c>
    </row>
    <row r="2330" spans="1:18" ht="21.75" customHeight="1">
      <c r="A2330" t="s">
        <v>2481</v>
      </c>
      <c r="B2330" s="6">
        <v>45568</v>
      </c>
      <c r="C2330" t="s">
        <v>591</v>
      </c>
      <c r="D2330" t="s">
        <v>96</v>
      </c>
      <c r="E2330" t="s">
        <v>11</v>
      </c>
      <c r="F2330" t="s">
        <v>27</v>
      </c>
      <c r="G2330" t="s">
        <v>13</v>
      </c>
      <c r="H2330">
        <v>13</v>
      </c>
      <c r="I2330" t="str">
        <f>VLOOKUP(D2330,Product_Lookup!$A$2:$C$27,3,FALSE)</f>
        <v>$230.68</v>
      </c>
      <c r="J2330" t="str">
        <f t="shared" si="291"/>
        <v>Thursday</v>
      </c>
      <c r="K2330" s="10" t="str">
        <f t="shared" si="292"/>
        <v>October</v>
      </c>
      <c r="L2330">
        <f t="shared" si="293"/>
        <v>2024</v>
      </c>
      <c r="M2330" t="b">
        <f t="shared" si="294"/>
        <v>0</v>
      </c>
      <c r="N2330" t="b">
        <f t="shared" si="288"/>
        <v>1</v>
      </c>
      <c r="O2330" t="str">
        <f t="shared" si="295"/>
        <v>Large Order</v>
      </c>
      <c r="P2330" s="7">
        <f t="shared" si="289"/>
        <v>11.534000000000001</v>
      </c>
      <c r="Q2330" s="7" t="str">
        <f>VLOOKUP(D2331,Product_Lookup!$A$2:$C$27,2,FALSE)</f>
        <v>Air Fryer</v>
      </c>
      <c r="R2330" s="7">
        <f t="shared" si="290"/>
        <v>2998.84</v>
      </c>
    </row>
    <row r="2331" spans="1:18" ht="21.75" customHeight="1">
      <c r="A2331" t="s">
        <v>2482</v>
      </c>
      <c r="B2331" s="6">
        <v>45484</v>
      </c>
      <c r="C2331" t="s">
        <v>396</v>
      </c>
      <c r="D2331" t="s">
        <v>70</v>
      </c>
      <c r="E2331" t="s">
        <v>11</v>
      </c>
      <c r="F2331" t="s">
        <v>12</v>
      </c>
      <c r="G2331" t="s">
        <v>28</v>
      </c>
      <c r="H2331">
        <v>18</v>
      </c>
      <c r="I2331" t="str">
        <f>VLOOKUP(D2331,Product_Lookup!$A$2:$C$27,3,FALSE)</f>
        <v>$211.9</v>
      </c>
      <c r="J2331" t="str">
        <f t="shared" si="291"/>
        <v>Thursday</v>
      </c>
      <c r="K2331" s="10" t="str">
        <f t="shared" si="292"/>
        <v>July</v>
      </c>
      <c r="L2331">
        <f t="shared" si="293"/>
        <v>2024</v>
      </c>
      <c r="M2331" t="b">
        <f t="shared" si="294"/>
        <v>0</v>
      </c>
      <c r="N2331" t="b">
        <f t="shared" si="288"/>
        <v>1</v>
      </c>
      <c r="O2331" t="str">
        <f t="shared" si="295"/>
        <v>Large Order</v>
      </c>
      <c r="P2331" s="7">
        <f t="shared" si="289"/>
        <v>10.595000000000001</v>
      </c>
      <c r="Q2331" s="7" t="str">
        <f>VLOOKUP(D2332,Product_Lookup!$A$2:$C$27,2,FALSE)</f>
        <v>T-Shirt</v>
      </c>
      <c r="R2331" s="7">
        <f t="shared" si="290"/>
        <v>3814.2000000000003</v>
      </c>
    </row>
    <row r="2332" spans="1:18" ht="21.75" customHeight="1">
      <c r="A2332" t="s">
        <v>2483</v>
      </c>
      <c r="B2332" s="6">
        <v>45447</v>
      </c>
      <c r="C2332" t="s">
        <v>369</v>
      </c>
      <c r="D2332" t="s">
        <v>45</v>
      </c>
      <c r="E2332" t="s">
        <v>17</v>
      </c>
      <c r="F2332" t="s">
        <v>27</v>
      </c>
      <c r="G2332" t="s">
        <v>28</v>
      </c>
      <c r="H2332">
        <v>10</v>
      </c>
      <c r="I2332" t="str">
        <f>VLOOKUP(D2332,Product_Lookup!$A$2:$C$27,3,FALSE)</f>
        <v>$107.34</v>
      </c>
      <c r="J2332" t="str">
        <f t="shared" si="291"/>
        <v>Tuesday</v>
      </c>
      <c r="K2332" s="10" t="str">
        <f t="shared" si="292"/>
        <v>June</v>
      </c>
      <c r="L2332">
        <f t="shared" si="293"/>
        <v>2024</v>
      </c>
      <c r="M2332" t="b">
        <f t="shared" si="294"/>
        <v>0</v>
      </c>
      <c r="N2332" t="b">
        <f t="shared" si="288"/>
        <v>1</v>
      </c>
      <c r="O2332" t="str">
        <f t="shared" si="295"/>
        <v>Large Order</v>
      </c>
      <c r="P2332" s="7">
        <f t="shared" si="289"/>
        <v>5.3670000000000009</v>
      </c>
      <c r="Q2332" s="7" t="str">
        <f>VLOOKUP(D2333,Product_Lookup!$A$2:$C$27,2,FALSE)</f>
        <v>Monitor</v>
      </c>
      <c r="R2332" s="7">
        <f t="shared" si="290"/>
        <v>1073.4000000000001</v>
      </c>
    </row>
    <row r="2333" spans="1:18" ht="21.75" customHeight="1">
      <c r="A2333" t="s">
        <v>2484</v>
      </c>
      <c r="B2333" s="6">
        <v>45541</v>
      </c>
      <c r="C2333" t="s">
        <v>332</v>
      </c>
      <c r="D2333" t="s">
        <v>102</v>
      </c>
      <c r="E2333" t="s">
        <v>22</v>
      </c>
      <c r="F2333" t="s">
        <v>27</v>
      </c>
      <c r="G2333" t="s">
        <v>36</v>
      </c>
      <c r="H2333">
        <v>18</v>
      </c>
      <c r="I2333" t="str">
        <f>VLOOKUP(D2333,Product_Lookup!$A$2:$C$27,3,FALSE)</f>
        <v>$145.48</v>
      </c>
      <c r="J2333" t="str">
        <f t="shared" si="291"/>
        <v>Friday</v>
      </c>
      <c r="K2333" s="10" t="str">
        <f t="shared" si="292"/>
        <v>September</v>
      </c>
      <c r="L2333">
        <f t="shared" si="293"/>
        <v>2024</v>
      </c>
      <c r="M2333" t="b">
        <f t="shared" si="294"/>
        <v>0</v>
      </c>
      <c r="N2333" t="b">
        <f t="shared" si="288"/>
        <v>1</v>
      </c>
      <c r="O2333" t="str">
        <f t="shared" si="295"/>
        <v>Large Order</v>
      </c>
      <c r="P2333" s="7">
        <f t="shared" si="289"/>
        <v>7.274</v>
      </c>
      <c r="Q2333" s="7" t="str">
        <f>VLOOKUP(D2334,Product_Lookup!$A$2:$C$27,2,FALSE)</f>
        <v>T-Shirt</v>
      </c>
      <c r="R2333" s="7">
        <f t="shared" si="290"/>
        <v>2618.64</v>
      </c>
    </row>
    <row r="2334" spans="1:18" ht="21.75" customHeight="1">
      <c r="A2334" t="s">
        <v>2485</v>
      </c>
      <c r="B2334" s="6">
        <v>45535</v>
      </c>
      <c r="C2334" t="s">
        <v>642</v>
      </c>
      <c r="D2334" t="s">
        <v>45</v>
      </c>
      <c r="E2334" t="s">
        <v>22</v>
      </c>
      <c r="F2334" t="s">
        <v>12</v>
      </c>
      <c r="G2334" t="s">
        <v>23</v>
      </c>
      <c r="H2334">
        <v>9</v>
      </c>
      <c r="I2334" t="str">
        <f>VLOOKUP(D2334,Product_Lookup!$A$2:$C$27,3,FALSE)</f>
        <v>$107.34</v>
      </c>
      <c r="J2334" t="str">
        <f t="shared" si="291"/>
        <v>Saturday</v>
      </c>
      <c r="K2334" s="10" t="str">
        <f t="shared" si="292"/>
        <v>August</v>
      </c>
      <c r="L2334">
        <f t="shared" si="293"/>
        <v>2024</v>
      </c>
      <c r="M2334" t="b">
        <f t="shared" si="294"/>
        <v>1</v>
      </c>
      <c r="N2334" t="b">
        <f t="shared" si="288"/>
        <v>1</v>
      </c>
      <c r="O2334" t="str">
        <f t="shared" si="295"/>
        <v>Large Order</v>
      </c>
      <c r="P2334" s="7">
        <f t="shared" si="289"/>
        <v>5.3670000000000009</v>
      </c>
      <c r="Q2334" s="7" t="str">
        <f>VLOOKUP(D2335,Product_Lookup!$A$2:$C$27,2,FALSE)</f>
        <v>Board Game</v>
      </c>
      <c r="R2334" s="7">
        <f t="shared" si="290"/>
        <v>966.06000000000006</v>
      </c>
    </row>
    <row r="2335" spans="1:18" ht="21.75" customHeight="1">
      <c r="A2335" t="s">
        <v>2486</v>
      </c>
      <c r="B2335" s="6">
        <v>45485</v>
      </c>
      <c r="C2335" t="s">
        <v>594</v>
      </c>
      <c r="D2335" t="s">
        <v>41</v>
      </c>
      <c r="E2335" t="s">
        <v>17</v>
      </c>
      <c r="F2335" t="s">
        <v>42</v>
      </c>
      <c r="G2335" t="s">
        <v>32</v>
      </c>
      <c r="H2335">
        <v>2</v>
      </c>
      <c r="I2335" t="str">
        <f>VLOOKUP(D2335,Product_Lookup!$A$2:$C$27,3,FALSE)</f>
        <v>$86.6</v>
      </c>
      <c r="J2335" t="str">
        <f t="shared" si="291"/>
        <v>Friday</v>
      </c>
      <c r="K2335" s="10" t="str">
        <f t="shared" si="292"/>
        <v>July</v>
      </c>
      <c r="L2335">
        <f t="shared" si="293"/>
        <v>2024</v>
      </c>
      <c r="M2335" t="b">
        <f t="shared" si="294"/>
        <v>0</v>
      </c>
      <c r="N2335" t="b">
        <f t="shared" si="288"/>
        <v>0</v>
      </c>
      <c r="O2335" t="str">
        <f t="shared" si="295"/>
        <v>Standard order</v>
      </c>
      <c r="P2335" s="7">
        <f t="shared" si="289"/>
        <v>4.33</v>
      </c>
      <c r="Q2335" s="7" t="str">
        <f>VLOOKUP(D2336,Product_Lookup!$A$2:$C$27,2,FALSE)</f>
        <v>Toaster</v>
      </c>
      <c r="R2335" s="7">
        <f t="shared" si="290"/>
        <v>173.2</v>
      </c>
    </row>
    <row r="2336" spans="1:18" ht="21.75" customHeight="1">
      <c r="A2336" t="s">
        <v>2487</v>
      </c>
      <c r="B2336" s="6">
        <v>45315</v>
      </c>
      <c r="C2336" t="s">
        <v>34</v>
      </c>
      <c r="D2336" t="s">
        <v>48</v>
      </c>
      <c r="E2336" t="s">
        <v>17</v>
      </c>
      <c r="F2336" t="s">
        <v>306</v>
      </c>
      <c r="G2336" t="s">
        <v>13</v>
      </c>
      <c r="H2336">
        <v>11</v>
      </c>
      <c r="I2336" t="str">
        <f>VLOOKUP(D2336,Product_Lookup!$A$2:$C$27,3,FALSE)</f>
        <v>$208.85</v>
      </c>
      <c r="J2336" t="str">
        <f t="shared" si="291"/>
        <v>Wednesday</v>
      </c>
      <c r="K2336" s="10" t="str">
        <f t="shared" si="292"/>
        <v>January</v>
      </c>
      <c r="L2336">
        <f t="shared" si="293"/>
        <v>2024</v>
      </c>
      <c r="M2336" t="b">
        <f t="shared" si="294"/>
        <v>0</v>
      </c>
      <c r="N2336" t="b">
        <f t="shared" si="288"/>
        <v>1</v>
      </c>
      <c r="O2336" t="str">
        <f t="shared" si="295"/>
        <v>Large Order</v>
      </c>
      <c r="P2336" s="7">
        <f t="shared" si="289"/>
        <v>10.442500000000001</v>
      </c>
      <c r="Q2336" s="7" t="str">
        <f>VLOOKUP(D2337,Product_Lookup!$A$2:$C$27,2,FALSE)</f>
        <v>Toaster</v>
      </c>
      <c r="R2336" s="7">
        <f t="shared" si="290"/>
        <v>2297.35</v>
      </c>
    </row>
    <row r="2337" spans="1:18" ht="21.75" customHeight="1">
      <c r="A2337" t="s">
        <v>2488</v>
      </c>
      <c r="B2337" s="6">
        <v>45511</v>
      </c>
      <c r="C2337" t="s">
        <v>20</v>
      </c>
      <c r="D2337" t="s">
        <v>48</v>
      </c>
      <c r="E2337" t="s">
        <v>17</v>
      </c>
      <c r="F2337" t="s">
        <v>42</v>
      </c>
      <c r="G2337" t="s">
        <v>13</v>
      </c>
      <c r="H2337">
        <v>8</v>
      </c>
      <c r="I2337" t="str">
        <f>VLOOKUP(D2337,Product_Lookup!$A$2:$C$27,3,FALSE)</f>
        <v>$208.85</v>
      </c>
      <c r="J2337" t="str">
        <f t="shared" si="291"/>
        <v>Wednesday</v>
      </c>
      <c r="K2337" s="10" t="str">
        <f t="shared" si="292"/>
        <v>August</v>
      </c>
      <c r="L2337">
        <f t="shared" si="293"/>
        <v>2024</v>
      </c>
      <c r="M2337" t="b">
        <f t="shared" si="294"/>
        <v>0</v>
      </c>
      <c r="N2337" t="b">
        <f t="shared" si="288"/>
        <v>1</v>
      </c>
      <c r="O2337" t="str">
        <f t="shared" si="295"/>
        <v>Large Order</v>
      </c>
      <c r="P2337" s="7">
        <f t="shared" si="289"/>
        <v>10.442500000000001</v>
      </c>
      <c r="Q2337" s="7" t="str">
        <f>VLOOKUP(D2338,Product_Lookup!$A$2:$C$27,2,FALSE)</f>
        <v>Desk Lamp</v>
      </c>
      <c r="R2337" s="7">
        <f t="shared" si="290"/>
        <v>1670.8</v>
      </c>
    </row>
    <row r="2338" spans="1:18" ht="21.75" customHeight="1">
      <c r="A2338" t="s">
        <v>2489</v>
      </c>
      <c r="B2338" s="6">
        <v>45623</v>
      </c>
      <c r="C2338" t="s">
        <v>147</v>
      </c>
      <c r="D2338" t="s">
        <v>59</v>
      </c>
      <c r="E2338" t="s">
        <v>11</v>
      </c>
      <c r="F2338" t="s">
        <v>12</v>
      </c>
      <c r="G2338" t="s">
        <v>32</v>
      </c>
      <c r="H2338">
        <v>4</v>
      </c>
      <c r="I2338" t="str">
        <f>VLOOKUP(D2338,Product_Lookup!$A$2:$C$27,3,FALSE)</f>
        <v>$101.96</v>
      </c>
      <c r="J2338" t="str">
        <f t="shared" si="291"/>
        <v>Wednesday</v>
      </c>
      <c r="K2338" s="10" t="str">
        <f t="shared" si="292"/>
        <v>November</v>
      </c>
      <c r="L2338">
        <f t="shared" si="293"/>
        <v>2024</v>
      </c>
      <c r="M2338" t="b">
        <f t="shared" si="294"/>
        <v>0</v>
      </c>
      <c r="N2338" t="b">
        <f t="shared" si="288"/>
        <v>0</v>
      </c>
      <c r="O2338" t="str">
        <f t="shared" si="295"/>
        <v>Standard order</v>
      </c>
      <c r="P2338" s="7">
        <f t="shared" si="289"/>
        <v>5.0979999999999999</v>
      </c>
      <c r="Q2338" s="7" t="str">
        <f>VLOOKUP(D2339,Product_Lookup!$A$2:$C$27,2,FALSE)</f>
        <v>Blender</v>
      </c>
      <c r="R2338" s="7">
        <f t="shared" si="290"/>
        <v>407.84</v>
      </c>
    </row>
    <row r="2339" spans="1:18" ht="21.75" customHeight="1">
      <c r="A2339" t="s">
        <v>2490</v>
      </c>
      <c r="B2339" s="6">
        <v>45302</v>
      </c>
      <c r="C2339" t="s">
        <v>312</v>
      </c>
      <c r="D2339" t="s">
        <v>72</v>
      </c>
      <c r="E2339" t="s">
        <v>11</v>
      </c>
      <c r="F2339" t="s">
        <v>27</v>
      </c>
      <c r="G2339" t="s">
        <v>23</v>
      </c>
      <c r="H2339">
        <v>19</v>
      </c>
      <c r="I2339" t="str">
        <f>VLOOKUP(D2339,Product_Lookup!$A$2:$C$27,3,FALSE)</f>
        <v>$156.44</v>
      </c>
      <c r="J2339" t="str">
        <f t="shared" si="291"/>
        <v>Thursday</v>
      </c>
      <c r="K2339" s="10" t="str">
        <f t="shared" si="292"/>
        <v>January</v>
      </c>
      <c r="L2339">
        <f t="shared" si="293"/>
        <v>2024</v>
      </c>
      <c r="M2339" t="b">
        <f t="shared" si="294"/>
        <v>0</v>
      </c>
      <c r="N2339" t="b">
        <f t="shared" si="288"/>
        <v>1</v>
      </c>
      <c r="O2339" t="str">
        <f t="shared" si="295"/>
        <v>Large Order</v>
      </c>
      <c r="P2339" s="7">
        <f t="shared" si="289"/>
        <v>7.8220000000000001</v>
      </c>
      <c r="Q2339" s="7" t="str">
        <f>VLOOKUP(D2340,Product_Lookup!$A$2:$C$27,2,FALSE)</f>
        <v>Laptop</v>
      </c>
      <c r="R2339" s="7">
        <f t="shared" si="290"/>
        <v>2972.36</v>
      </c>
    </row>
    <row r="2340" spans="1:18" ht="21.75" customHeight="1">
      <c r="A2340" t="s">
        <v>2491</v>
      </c>
      <c r="B2340" s="6">
        <v>45507</v>
      </c>
      <c r="C2340" t="s">
        <v>101</v>
      </c>
      <c r="D2340" t="s">
        <v>96</v>
      </c>
      <c r="E2340" t="s">
        <v>22</v>
      </c>
      <c r="F2340" t="s">
        <v>27</v>
      </c>
      <c r="G2340" t="s">
        <v>36</v>
      </c>
      <c r="H2340">
        <v>1</v>
      </c>
      <c r="I2340" t="str">
        <f>VLOOKUP(D2340,Product_Lookup!$A$2:$C$27,3,FALSE)</f>
        <v>$230.68</v>
      </c>
      <c r="J2340" t="str">
        <f t="shared" si="291"/>
        <v>Saturday</v>
      </c>
      <c r="K2340" s="10" t="str">
        <f t="shared" si="292"/>
        <v>August</v>
      </c>
      <c r="L2340">
        <f t="shared" si="293"/>
        <v>2024</v>
      </c>
      <c r="M2340" t="b">
        <f t="shared" si="294"/>
        <v>1</v>
      </c>
      <c r="N2340" t="b">
        <f t="shared" si="288"/>
        <v>0</v>
      </c>
      <c r="O2340" t="str">
        <f t="shared" si="295"/>
        <v>Standard order</v>
      </c>
      <c r="P2340" s="7">
        <f t="shared" si="289"/>
        <v>11.534000000000001</v>
      </c>
      <c r="Q2340" s="7" t="str">
        <f>VLOOKUP(D2341,Product_Lookup!$A$2:$C$27,2,FALSE)</f>
        <v>Coffee Maker</v>
      </c>
      <c r="R2340" s="7">
        <f t="shared" si="290"/>
        <v>230.68</v>
      </c>
    </row>
    <row r="2341" spans="1:18" ht="21.75" customHeight="1">
      <c r="A2341" t="s">
        <v>2492</v>
      </c>
      <c r="B2341" s="6">
        <v>45485</v>
      </c>
      <c r="C2341" t="s">
        <v>314</v>
      </c>
      <c r="D2341" t="s">
        <v>31</v>
      </c>
      <c r="E2341" t="s">
        <v>17</v>
      </c>
      <c r="F2341" t="s">
        <v>306</v>
      </c>
      <c r="G2341" t="s">
        <v>13</v>
      </c>
      <c r="H2341">
        <v>16</v>
      </c>
      <c r="I2341" t="str">
        <f>VLOOKUP(D2341,Product_Lookup!$A$2:$C$27,3,FALSE)</f>
        <v>$230.34</v>
      </c>
      <c r="J2341" t="str">
        <f t="shared" si="291"/>
        <v>Friday</v>
      </c>
      <c r="K2341" s="10" t="str">
        <f t="shared" si="292"/>
        <v>July</v>
      </c>
      <c r="L2341">
        <f t="shared" si="293"/>
        <v>2024</v>
      </c>
      <c r="M2341" t="b">
        <f t="shared" si="294"/>
        <v>0</v>
      </c>
      <c r="N2341" t="b">
        <f t="shared" si="288"/>
        <v>1</v>
      </c>
      <c r="O2341" t="str">
        <f t="shared" si="295"/>
        <v>Large Order</v>
      </c>
      <c r="P2341" s="7">
        <f t="shared" si="289"/>
        <v>11.517000000000001</v>
      </c>
      <c r="Q2341" s="7" t="str">
        <f>VLOOKUP(D2342,Product_Lookup!$A$2:$C$27,2,FALSE)</f>
        <v>Blender</v>
      </c>
      <c r="R2341" s="7">
        <f t="shared" si="290"/>
        <v>3685.44</v>
      </c>
    </row>
    <row r="2342" spans="1:18" ht="21.75" customHeight="1">
      <c r="A2342" t="s">
        <v>2493</v>
      </c>
      <c r="B2342" s="6">
        <v>45637</v>
      </c>
      <c r="C2342" t="s">
        <v>95</v>
      </c>
      <c r="D2342" t="s">
        <v>72</v>
      </c>
      <c r="E2342" t="s">
        <v>17</v>
      </c>
      <c r="F2342" t="s">
        <v>306</v>
      </c>
      <c r="G2342" t="s">
        <v>32</v>
      </c>
      <c r="H2342">
        <v>6</v>
      </c>
      <c r="I2342" t="str">
        <f>VLOOKUP(D2342,Product_Lookup!$A$2:$C$27,3,FALSE)</f>
        <v>$156.44</v>
      </c>
      <c r="J2342" t="str">
        <f t="shared" si="291"/>
        <v>Wednesday</v>
      </c>
      <c r="K2342" s="10" t="str">
        <f t="shared" si="292"/>
        <v>December</v>
      </c>
      <c r="L2342">
        <f t="shared" si="293"/>
        <v>2024</v>
      </c>
      <c r="M2342" t="b">
        <f t="shared" si="294"/>
        <v>0</v>
      </c>
      <c r="N2342" t="b">
        <f t="shared" si="288"/>
        <v>1</v>
      </c>
      <c r="O2342" t="str">
        <f t="shared" si="295"/>
        <v>Large Order</v>
      </c>
      <c r="P2342" s="7">
        <f t="shared" si="289"/>
        <v>7.8220000000000001</v>
      </c>
      <c r="Q2342" s="7" t="str">
        <f>VLOOKUP(D2343,Product_Lookup!$A$2:$C$27,2,FALSE)</f>
        <v>Jeans</v>
      </c>
      <c r="R2342" s="7">
        <f t="shared" si="290"/>
        <v>938.64</v>
      </c>
    </row>
    <row r="2343" spans="1:18" ht="21.75" customHeight="1">
      <c r="A2343" t="s">
        <v>2494</v>
      </c>
      <c r="B2343" s="6">
        <v>45478</v>
      </c>
      <c r="C2343" t="s">
        <v>348</v>
      </c>
      <c r="D2343" t="s">
        <v>65</v>
      </c>
      <c r="E2343" t="s">
        <v>17</v>
      </c>
      <c r="F2343" t="s">
        <v>12</v>
      </c>
      <c r="G2343" t="s">
        <v>36</v>
      </c>
      <c r="H2343">
        <v>7</v>
      </c>
      <c r="I2343" t="str">
        <f>VLOOKUP(D2343,Product_Lookup!$A$2:$C$27,3,FALSE)</f>
        <v>$33.22</v>
      </c>
      <c r="J2343" t="str">
        <f t="shared" si="291"/>
        <v>Friday</v>
      </c>
      <c r="K2343" s="10" t="str">
        <f t="shared" si="292"/>
        <v>July</v>
      </c>
      <c r="L2343">
        <f t="shared" si="293"/>
        <v>2024</v>
      </c>
      <c r="M2343" t="b">
        <f t="shared" si="294"/>
        <v>0</v>
      </c>
      <c r="N2343" t="b">
        <f t="shared" si="288"/>
        <v>0</v>
      </c>
      <c r="O2343" t="str">
        <f t="shared" si="295"/>
        <v>Standard order</v>
      </c>
      <c r="P2343" s="7">
        <f t="shared" si="289"/>
        <v>1.661</v>
      </c>
      <c r="Q2343" s="7" t="str">
        <f>VLOOKUP(D2344,Product_Lookup!$A$2:$C$27,2,FALSE)</f>
        <v>Desk Lamp</v>
      </c>
      <c r="R2343" s="7">
        <f t="shared" si="290"/>
        <v>232.54</v>
      </c>
    </row>
    <row r="2344" spans="1:18" ht="21.75" customHeight="1">
      <c r="A2344" t="s">
        <v>2495</v>
      </c>
      <c r="B2344" s="6">
        <v>45316</v>
      </c>
      <c r="C2344" t="s">
        <v>68</v>
      </c>
      <c r="D2344" t="s">
        <v>59</v>
      </c>
      <c r="E2344" t="s">
        <v>17</v>
      </c>
      <c r="F2344" t="s">
        <v>56</v>
      </c>
      <c r="G2344" t="s">
        <v>36</v>
      </c>
      <c r="H2344">
        <v>3</v>
      </c>
      <c r="I2344" t="str">
        <f>VLOOKUP(D2344,Product_Lookup!$A$2:$C$27,3,FALSE)</f>
        <v>$101.96</v>
      </c>
      <c r="J2344" t="str">
        <f t="shared" si="291"/>
        <v>Thursday</v>
      </c>
      <c r="K2344" s="10" t="str">
        <f t="shared" si="292"/>
        <v>January</v>
      </c>
      <c r="L2344">
        <f t="shared" si="293"/>
        <v>2024</v>
      </c>
      <c r="M2344" t="b">
        <f t="shared" si="294"/>
        <v>0</v>
      </c>
      <c r="N2344" t="b">
        <f t="shared" si="288"/>
        <v>0</v>
      </c>
      <c r="O2344" t="str">
        <f t="shared" si="295"/>
        <v>Standard order</v>
      </c>
      <c r="P2344" s="7">
        <f t="shared" si="289"/>
        <v>5.0979999999999999</v>
      </c>
      <c r="Q2344" s="7" t="str">
        <f>VLOOKUP(D2345,Product_Lookup!$A$2:$C$27,2,FALSE)</f>
        <v>Desk Lamp</v>
      </c>
      <c r="R2344" s="7">
        <f t="shared" si="290"/>
        <v>305.88</v>
      </c>
    </row>
    <row r="2345" spans="1:18" ht="21.75" customHeight="1">
      <c r="A2345" t="s">
        <v>2496</v>
      </c>
      <c r="B2345" s="6">
        <v>45588</v>
      </c>
      <c r="C2345" t="s">
        <v>108</v>
      </c>
      <c r="D2345" t="s">
        <v>59</v>
      </c>
      <c r="E2345" t="s">
        <v>17</v>
      </c>
      <c r="F2345" t="s">
        <v>42</v>
      </c>
      <c r="G2345" t="s">
        <v>13</v>
      </c>
      <c r="H2345">
        <v>19</v>
      </c>
      <c r="I2345" t="str">
        <f>VLOOKUP(D2345,Product_Lookup!$A$2:$C$27,3,FALSE)</f>
        <v>$101.96</v>
      </c>
      <c r="J2345" t="str">
        <f t="shared" si="291"/>
        <v>Wednesday</v>
      </c>
      <c r="K2345" s="10" t="str">
        <f t="shared" si="292"/>
        <v>October</v>
      </c>
      <c r="L2345">
        <f t="shared" si="293"/>
        <v>2024</v>
      </c>
      <c r="M2345" t="b">
        <f t="shared" si="294"/>
        <v>0</v>
      </c>
      <c r="N2345" t="b">
        <f t="shared" si="288"/>
        <v>1</v>
      </c>
      <c r="O2345" t="str">
        <f t="shared" si="295"/>
        <v>Large Order</v>
      </c>
      <c r="P2345" s="7">
        <f t="shared" si="289"/>
        <v>5.0979999999999999</v>
      </c>
      <c r="Q2345" s="7" t="str">
        <f>VLOOKUP(D2346,Product_Lookup!$A$2:$C$27,2,FALSE)</f>
        <v>Jeans</v>
      </c>
      <c r="R2345" s="7">
        <f t="shared" si="290"/>
        <v>1937.2399999999998</v>
      </c>
    </row>
    <row r="2346" spans="1:18" ht="21.75" customHeight="1">
      <c r="A2346" t="s">
        <v>2497</v>
      </c>
      <c r="B2346" s="6">
        <v>45535</v>
      </c>
      <c r="C2346" t="s">
        <v>309</v>
      </c>
      <c r="D2346" t="s">
        <v>65</v>
      </c>
      <c r="E2346" t="s">
        <v>17</v>
      </c>
      <c r="F2346" t="s">
        <v>12</v>
      </c>
      <c r="G2346" t="s">
        <v>32</v>
      </c>
      <c r="H2346">
        <v>17</v>
      </c>
      <c r="I2346" t="str">
        <f>VLOOKUP(D2346,Product_Lookup!$A$2:$C$27,3,FALSE)</f>
        <v>$33.22</v>
      </c>
      <c r="J2346" t="str">
        <f t="shared" si="291"/>
        <v>Saturday</v>
      </c>
      <c r="K2346" s="10" t="str">
        <f t="shared" si="292"/>
        <v>August</v>
      </c>
      <c r="L2346">
        <f t="shared" si="293"/>
        <v>2024</v>
      </c>
      <c r="M2346" t="b">
        <f t="shared" si="294"/>
        <v>1</v>
      </c>
      <c r="N2346" t="b">
        <f t="shared" si="288"/>
        <v>0</v>
      </c>
      <c r="O2346" t="str">
        <f t="shared" si="295"/>
        <v>Large Order</v>
      </c>
      <c r="P2346" s="7">
        <f t="shared" si="289"/>
        <v>1.661</v>
      </c>
      <c r="Q2346" s="7" t="str">
        <f>VLOOKUP(D2347,Product_Lookup!$A$2:$C$27,2,FALSE)</f>
        <v>Pen Set</v>
      </c>
      <c r="R2346" s="7">
        <f t="shared" si="290"/>
        <v>564.74</v>
      </c>
    </row>
    <row r="2347" spans="1:18" ht="21.75" customHeight="1">
      <c r="A2347" t="s">
        <v>2498</v>
      </c>
      <c r="B2347" s="6">
        <v>45513</v>
      </c>
      <c r="C2347" t="s">
        <v>371</v>
      </c>
      <c r="D2347" t="s">
        <v>174</v>
      </c>
      <c r="E2347" t="s">
        <v>17</v>
      </c>
      <c r="F2347" t="s">
        <v>56</v>
      </c>
      <c r="G2347" t="s">
        <v>23</v>
      </c>
      <c r="H2347">
        <v>13</v>
      </c>
      <c r="I2347" t="str">
        <f>VLOOKUP(D2347,Product_Lookup!$A$2:$C$27,3,FALSE)</f>
        <v>$133.37</v>
      </c>
      <c r="J2347" t="str">
        <f t="shared" si="291"/>
        <v>Friday</v>
      </c>
      <c r="K2347" s="10" t="str">
        <f t="shared" si="292"/>
        <v>August</v>
      </c>
      <c r="L2347">
        <f t="shared" si="293"/>
        <v>2024</v>
      </c>
      <c r="M2347" t="b">
        <f t="shared" si="294"/>
        <v>0</v>
      </c>
      <c r="N2347" t="b">
        <f t="shared" si="288"/>
        <v>1</v>
      </c>
      <c r="O2347" t="str">
        <f t="shared" si="295"/>
        <v>Large Order</v>
      </c>
      <c r="P2347" s="7">
        <f t="shared" si="289"/>
        <v>6.6685000000000008</v>
      </c>
      <c r="Q2347" s="7" t="str">
        <f>VLOOKUP(D2348,Product_Lookup!$A$2:$C$27,2,FALSE)</f>
        <v>Board Game</v>
      </c>
      <c r="R2347" s="7">
        <f t="shared" si="290"/>
        <v>1733.81</v>
      </c>
    </row>
    <row r="2348" spans="1:18" ht="21.75" customHeight="1">
      <c r="A2348" t="s">
        <v>2499</v>
      </c>
      <c r="B2348" s="6">
        <v>45555</v>
      </c>
      <c r="C2348" t="s">
        <v>366</v>
      </c>
      <c r="D2348" t="s">
        <v>41</v>
      </c>
      <c r="E2348" t="s">
        <v>22</v>
      </c>
      <c r="F2348" t="s">
        <v>56</v>
      </c>
      <c r="G2348" t="s">
        <v>13</v>
      </c>
      <c r="H2348">
        <v>17</v>
      </c>
      <c r="I2348" t="str">
        <f>VLOOKUP(D2348,Product_Lookup!$A$2:$C$27,3,FALSE)</f>
        <v>$86.6</v>
      </c>
      <c r="J2348" t="str">
        <f t="shared" si="291"/>
        <v>Friday</v>
      </c>
      <c r="K2348" s="10" t="str">
        <f t="shared" si="292"/>
        <v>September</v>
      </c>
      <c r="L2348">
        <f t="shared" si="293"/>
        <v>2024</v>
      </c>
      <c r="M2348" t="b">
        <f t="shared" si="294"/>
        <v>0</v>
      </c>
      <c r="N2348" t="b">
        <f t="shared" si="288"/>
        <v>1</v>
      </c>
      <c r="O2348" t="str">
        <f t="shared" si="295"/>
        <v>Large Order</v>
      </c>
      <c r="P2348" s="7">
        <f t="shared" si="289"/>
        <v>4.33</v>
      </c>
      <c r="Q2348" s="7" t="str">
        <f>VLOOKUP(D2349,Product_Lookup!$A$2:$C$27,2,FALSE)</f>
        <v>Jeans</v>
      </c>
      <c r="R2348" s="7">
        <f t="shared" si="290"/>
        <v>1472.1999999999998</v>
      </c>
    </row>
    <row r="2349" spans="1:18" ht="21.75" customHeight="1">
      <c r="A2349" t="s">
        <v>2500</v>
      </c>
      <c r="B2349" s="6">
        <v>45587</v>
      </c>
      <c r="C2349" t="s">
        <v>432</v>
      </c>
      <c r="D2349" t="s">
        <v>65</v>
      </c>
      <c r="E2349" t="s">
        <v>22</v>
      </c>
      <c r="F2349" t="s">
        <v>27</v>
      </c>
      <c r="G2349" t="s">
        <v>32</v>
      </c>
      <c r="H2349">
        <v>18</v>
      </c>
      <c r="I2349" t="str">
        <f>VLOOKUP(D2349,Product_Lookup!$A$2:$C$27,3,FALSE)</f>
        <v>$33.22</v>
      </c>
      <c r="J2349" t="str">
        <f t="shared" si="291"/>
        <v>Tuesday</v>
      </c>
      <c r="K2349" s="10" t="str">
        <f t="shared" si="292"/>
        <v>October</v>
      </c>
      <c r="L2349">
        <f t="shared" si="293"/>
        <v>2024</v>
      </c>
      <c r="M2349" t="b">
        <f t="shared" si="294"/>
        <v>0</v>
      </c>
      <c r="N2349" t="b">
        <f t="shared" si="288"/>
        <v>0</v>
      </c>
      <c r="O2349" t="str">
        <f t="shared" si="295"/>
        <v>Large Order</v>
      </c>
      <c r="P2349" s="7">
        <f t="shared" si="289"/>
        <v>1.661</v>
      </c>
      <c r="Q2349" s="7" t="str">
        <f>VLOOKUP(D2350,Product_Lookup!$A$2:$C$27,2,FALSE)</f>
        <v>Lego Set</v>
      </c>
      <c r="R2349" s="7">
        <f t="shared" si="290"/>
        <v>597.96</v>
      </c>
    </row>
    <row r="2350" spans="1:18" ht="21.75" customHeight="1">
      <c r="A2350" t="s">
        <v>2501</v>
      </c>
      <c r="B2350" s="6">
        <v>45514</v>
      </c>
      <c r="C2350" t="s">
        <v>614</v>
      </c>
      <c r="D2350" t="s">
        <v>84</v>
      </c>
      <c r="E2350" t="s">
        <v>22</v>
      </c>
      <c r="F2350" t="s">
        <v>12</v>
      </c>
      <c r="G2350" t="s">
        <v>36</v>
      </c>
      <c r="H2350">
        <v>7</v>
      </c>
      <c r="I2350" t="str">
        <f>VLOOKUP(D2350,Product_Lookup!$A$2:$C$27,3,FALSE)</f>
        <v>$130.07</v>
      </c>
      <c r="J2350" t="str">
        <f t="shared" si="291"/>
        <v>Saturday</v>
      </c>
      <c r="K2350" s="10" t="str">
        <f t="shared" si="292"/>
        <v>August</v>
      </c>
      <c r="L2350">
        <f t="shared" si="293"/>
        <v>2024</v>
      </c>
      <c r="M2350" t="b">
        <f t="shared" si="294"/>
        <v>1</v>
      </c>
      <c r="N2350" t="b">
        <f t="shared" si="288"/>
        <v>1</v>
      </c>
      <c r="O2350" t="str">
        <f t="shared" si="295"/>
        <v>Large Order</v>
      </c>
      <c r="P2350" s="7">
        <f t="shared" si="289"/>
        <v>6.5034999999999998</v>
      </c>
      <c r="Q2350" s="7" t="str">
        <f>VLOOKUP(D2351,Product_Lookup!$A$2:$C$27,2,FALSE)</f>
        <v>Headphones</v>
      </c>
      <c r="R2350" s="7">
        <f t="shared" si="290"/>
        <v>910.49</v>
      </c>
    </row>
    <row r="2351" spans="1:18" ht="21.75" customHeight="1">
      <c r="A2351" t="s">
        <v>2502</v>
      </c>
      <c r="B2351" s="6">
        <v>45367</v>
      </c>
      <c r="C2351" t="s">
        <v>93</v>
      </c>
      <c r="D2351" t="s">
        <v>16</v>
      </c>
      <c r="E2351" t="s">
        <v>22</v>
      </c>
      <c r="F2351" t="s">
        <v>42</v>
      </c>
      <c r="G2351" t="s">
        <v>23</v>
      </c>
      <c r="H2351">
        <v>14</v>
      </c>
      <c r="I2351" t="str">
        <f>VLOOKUP(D2351,Product_Lookup!$A$2:$C$27,3,FALSE)</f>
        <v>$178.83</v>
      </c>
      <c r="J2351" t="str">
        <f t="shared" si="291"/>
        <v>Saturday</v>
      </c>
      <c r="K2351" s="10" t="str">
        <f t="shared" si="292"/>
        <v>March</v>
      </c>
      <c r="L2351">
        <f t="shared" si="293"/>
        <v>2024</v>
      </c>
      <c r="M2351" t="b">
        <f t="shared" si="294"/>
        <v>1</v>
      </c>
      <c r="N2351" t="b">
        <f t="shared" si="288"/>
        <v>1</v>
      </c>
      <c r="O2351" t="str">
        <f t="shared" si="295"/>
        <v>Large Order</v>
      </c>
      <c r="P2351" s="7">
        <f t="shared" si="289"/>
        <v>8.9415000000000013</v>
      </c>
      <c r="Q2351" s="7" t="str">
        <f>VLOOKUP(D2352,Product_Lookup!$A$2:$C$27,2,FALSE)</f>
        <v>Jeans</v>
      </c>
      <c r="R2351" s="7">
        <f t="shared" si="290"/>
        <v>2503.6200000000003</v>
      </c>
    </row>
    <row r="2352" spans="1:18" ht="21.75" customHeight="1">
      <c r="A2352" t="s">
        <v>2503</v>
      </c>
      <c r="B2352" s="6">
        <v>45324</v>
      </c>
      <c r="C2352" t="s">
        <v>541</v>
      </c>
      <c r="D2352" t="s">
        <v>65</v>
      </c>
      <c r="E2352" t="s">
        <v>17</v>
      </c>
      <c r="F2352" t="s">
        <v>42</v>
      </c>
      <c r="G2352" t="s">
        <v>32</v>
      </c>
      <c r="H2352">
        <v>6</v>
      </c>
      <c r="I2352" t="str">
        <f>VLOOKUP(D2352,Product_Lookup!$A$2:$C$27,3,FALSE)</f>
        <v>$33.22</v>
      </c>
      <c r="J2352" t="str">
        <f t="shared" si="291"/>
        <v>Friday</v>
      </c>
      <c r="K2352" s="10" t="str">
        <f t="shared" si="292"/>
        <v>February</v>
      </c>
      <c r="L2352">
        <f t="shared" si="293"/>
        <v>2024</v>
      </c>
      <c r="M2352" t="b">
        <f t="shared" si="294"/>
        <v>0</v>
      </c>
      <c r="N2352" t="b">
        <f t="shared" si="288"/>
        <v>0</v>
      </c>
      <c r="O2352" t="str">
        <f t="shared" si="295"/>
        <v>Standard order</v>
      </c>
      <c r="P2352" s="7">
        <f t="shared" si="289"/>
        <v>1.661</v>
      </c>
      <c r="Q2352" s="7" t="str">
        <f>VLOOKUP(D2353,Product_Lookup!$A$2:$C$27,2,FALSE)</f>
        <v>Coffee Maker</v>
      </c>
      <c r="R2352" s="7">
        <f t="shared" si="290"/>
        <v>199.32</v>
      </c>
    </row>
    <row r="2353" spans="1:18" ht="21.75" customHeight="1">
      <c r="A2353" t="s">
        <v>2504</v>
      </c>
      <c r="B2353" s="6">
        <v>45599</v>
      </c>
      <c r="C2353" t="s">
        <v>93</v>
      </c>
      <c r="D2353" t="s">
        <v>31</v>
      </c>
      <c r="E2353" t="s">
        <v>11</v>
      </c>
      <c r="F2353" t="s">
        <v>12</v>
      </c>
      <c r="G2353" t="s">
        <v>28</v>
      </c>
      <c r="H2353">
        <v>7</v>
      </c>
      <c r="I2353" t="str">
        <f>VLOOKUP(D2353,Product_Lookup!$A$2:$C$27,3,FALSE)</f>
        <v>$230.34</v>
      </c>
      <c r="J2353" t="str">
        <f t="shared" si="291"/>
        <v>Sunday</v>
      </c>
      <c r="K2353" s="10" t="str">
        <f t="shared" si="292"/>
        <v>November</v>
      </c>
      <c r="L2353">
        <f t="shared" si="293"/>
        <v>2024</v>
      </c>
      <c r="M2353" t="b">
        <f t="shared" si="294"/>
        <v>1</v>
      </c>
      <c r="N2353" t="b">
        <f t="shared" si="288"/>
        <v>1</v>
      </c>
      <c r="O2353" t="str">
        <f t="shared" si="295"/>
        <v>Large Order</v>
      </c>
      <c r="P2353" s="7">
        <f t="shared" si="289"/>
        <v>11.517000000000001</v>
      </c>
      <c r="Q2353" s="7" t="str">
        <f>VLOOKUP(D2354,Product_Lookup!$A$2:$C$27,2,FALSE)</f>
        <v>Stapler</v>
      </c>
      <c r="R2353" s="7">
        <f t="shared" si="290"/>
        <v>1612.38</v>
      </c>
    </row>
    <row r="2354" spans="1:18" ht="21.75" customHeight="1">
      <c r="A2354" t="s">
        <v>2505</v>
      </c>
      <c r="B2354" s="6">
        <v>45450</v>
      </c>
      <c r="C2354" t="s">
        <v>319</v>
      </c>
      <c r="D2354" t="s">
        <v>35</v>
      </c>
      <c r="E2354" t="s">
        <v>22</v>
      </c>
      <c r="F2354" t="s">
        <v>27</v>
      </c>
      <c r="G2354" t="s">
        <v>23</v>
      </c>
      <c r="H2354">
        <v>2</v>
      </c>
      <c r="I2354" t="str">
        <f>VLOOKUP(D2354,Product_Lookup!$A$2:$C$27,3,FALSE)</f>
        <v>$64.61</v>
      </c>
      <c r="J2354" t="str">
        <f t="shared" si="291"/>
        <v>Friday</v>
      </c>
      <c r="K2354" s="10" t="str">
        <f t="shared" si="292"/>
        <v>June</v>
      </c>
      <c r="L2354">
        <f t="shared" si="293"/>
        <v>2024</v>
      </c>
      <c r="M2354" t="b">
        <f t="shared" si="294"/>
        <v>0</v>
      </c>
      <c r="N2354" t="b">
        <f t="shared" si="288"/>
        <v>0</v>
      </c>
      <c r="O2354" t="str">
        <f t="shared" si="295"/>
        <v>Standard order</v>
      </c>
      <c r="P2354" s="7">
        <f t="shared" si="289"/>
        <v>3.2305000000000001</v>
      </c>
      <c r="Q2354" s="7" t="str">
        <f>VLOOKUP(D2355,Product_Lookup!$A$2:$C$27,2,FALSE)</f>
        <v>Laptop</v>
      </c>
      <c r="R2354" s="7">
        <f t="shared" si="290"/>
        <v>129.22</v>
      </c>
    </row>
    <row r="2355" spans="1:18" ht="21.75" customHeight="1">
      <c r="A2355" t="s">
        <v>2506</v>
      </c>
      <c r="B2355" s="6">
        <v>45431</v>
      </c>
      <c r="C2355" t="s">
        <v>99</v>
      </c>
      <c r="D2355" t="s">
        <v>96</v>
      </c>
      <c r="E2355" t="s">
        <v>17</v>
      </c>
      <c r="F2355" t="s">
        <v>42</v>
      </c>
      <c r="G2355" t="s">
        <v>36</v>
      </c>
      <c r="H2355">
        <v>6</v>
      </c>
      <c r="I2355" t="str">
        <f>VLOOKUP(D2355,Product_Lookup!$A$2:$C$27,3,FALSE)</f>
        <v>$230.68</v>
      </c>
      <c r="J2355" t="str">
        <f t="shared" si="291"/>
        <v>Sunday</v>
      </c>
      <c r="K2355" s="10" t="str">
        <f t="shared" si="292"/>
        <v>May</v>
      </c>
      <c r="L2355">
        <f t="shared" si="293"/>
        <v>2024</v>
      </c>
      <c r="M2355" t="b">
        <f t="shared" si="294"/>
        <v>1</v>
      </c>
      <c r="N2355" t="b">
        <f t="shared" si="288"/>
        <v>1</v>
      </c>
      <c r="O2355" t="str">
        <f t="shared" si="295"/>
        <v>Large Order</v>
      </c>
      <c r="P2355" s="7">
        <f t="shared" si="289"/>
        <v>11.534000000000001</v>
      </c>
      <c r="Q2355" s="7" t="str">
        <f>VLOOKUP(D2356,Product_Lookup!$A$2:$C$27,2,FALSE)</f>
        <v>Stapler</v>
      </c>
      <c r="R2355" s="7">
        <f t="shared" si="290"/>
        <v>1384.08</v>
      </c>
    </row>
    <row r="2356" spans="1:18" ht="21.75" customHeight="1">
      <c r="A2356" t="s">
        <v>2507</v>
      </c>
      <c r="B2356" s="6">
        <v>45313</v>
      </c>
      <c r="C2356" t="s">
        <v>329</v>
      </c>
      <c r="D2356" t="s">
        <v>35</v>
      </c>
      <c r="E2356" t="s">
        <v>11</v>
      </c>
      <c r="F2356" t="s">
        <v>12</v>
      </c>
      <c r="G2356" t="s">
        <v>13</v>
      </c>
      <c r="H2356">
        <v>11</v>
      </c>
      <c r="I2356" t="str">
        <f>VLOOKUP(D2356,Product_Lookup!$A$2:$C$27,3,FALSE)</f>
        <v>$64.61</v>
      </c>
      <c r="J2356" t="str">
        <f t="shared" si="291"/>
        <v>Monday</v>
      </c>
      <c r="K2356" s="10" t="str">
        <f t="shared" si="292"/>
        <v>January</v>
      </c>
      <c r="L2356">
        <f t="shared" si="293"/>
        <v>2024</v>
      </c>
      <c r="M2356" t="b">
        <f t="shared" si="294"/>
        <v>0</v>
      </c>
      <c r="N2356" t="b">
        <f t="shared" si="288"/>
        <v>0</v>
      </c>
      <c r="O2356" t="str">
        <f t="shared" si="295"/>
        <v>Large Order</v>
      </c>
      <c r="P2356" s="7">
        <f t="shared" si="289"/>
        <v>3.2305000000000001</v>
      </c>
      <c r="Q2356" s="7" t="str">
        <f>VLOOKUP(D2357,Product_Lookup!$A$2:$C$27,2,FALSE)</f>
        <v>Toaster</v>
      </c>
      <c r="R2356" s="7">
        <f t="shared" si="290"/>
        <v>710.71</v>
      </c>
    </row>
    <row r="2357" spans="1:18" ht="21.75" customHeight="1">
      <c r="A2357" t="s">
        <v>2508</v>
      </c>
      <c r="B2357" s="6">
        <v>45324</v>
      </c>
      <c r="C2357" t="s">
        <v>408</v>
      </c>
      <c r="D2357" t="s">
        <v>48</v>
      </c>
      <c r="E2357" t="s">
        <v>22</v>
      </c>
      <c r="F2357" t="s">
        <v>12</v>
      </c>
      <c r="G2357" t="s">
        <v>23</v>
      </c>
      <c r="H2357">
        <v>5</v>
      </c>
      <c r="I2357" t="str">
        <f>VLOOKUP(D2357,Product_Lookup!$A$2:$C$27,3,FALSE)</f>
        <v>$208.85</v>
      </c>
      <c r="J2357" t="str">
        <f t="shared" si="291"/>
        <v>Friday</v>
      </c>
      <c r="K2357" s="10" t="str">
        <f t="shared" si="292"/>
        <v>February</v>
      </c>
      <c r="L2357">
        <f t="shared" si="293"/>
        <v>2024</v>
      </c>
      <c r="M2357" t="b">
        <f t="shared" si="294"/>
        <v>0</v>
      </c>
      <c r="N2357" t="b">
        <f t="shared" si="288"/>
        <v>0</v>
      </c>
      <c r="O2357" t="str">
        <f t="shared" si="295"/>
        <v>Large Order</v>
      </c>
      <c r="P2357" s="7">
        <f t="shared" si="289"/>
        <v>10.442500000000001</v>
      </c>
      <c r="Q2357" s="7" t="str">
        <f>VLOOKUP(D2358,Product_Lookup!$A$2:$C$27,2,FALSE)</f>
        <v>Notebook</v>
      </c>
      <c r="R2357" s="7">
        <f t="shared" si="290"/>
        <v>1044.25</v>
      </c>
    </row>
    <row r="2358" spans="1:18" ht="21.75" customHeight="1">
      <c r="A2358" t="s">
        <v>2509</v>
      </c>
      <c r="B2358" s="6">
        <v>45584</v>
      </c>
      <c r="C2358" t="s">
        <v>304</v>
      </c>
      <c r="D2358" t="s">
        <v>160</v>
      </c>
      <c r="E2358" t="s">
        <v>11</v>
      </c>
      <c r="F2358" t="s">
        <v>306</v>
      </c>
      <c r="G2358" t="s">
        <v>36</v>
      </c>
      <c r="H2358">
        <v>17</v>
      </c>
      <c r="I2358" t="str">
        <f>VLOOKUP(D2358,Product_Lookup!$A$2:$C$27,3,FALSE)</f>
        <v>$149.27</v>
      </c>
      <c r="J2358" t="str">
        <f t="shared" si="291"/>
        <v>Saturday</v>
      </c>
      <c r="K2358" s="10" t="str">
        <f t="shared" si="292"/>
        <v>October</v>
      </c>
      <c r="L2358">
        <f t="shared" si="293"/>
        <v>2024</v>
      </c>
      <c r="M2358" t="b">
        <f t="shared" si="294"/>
        <v>1</v>
      </c>
      <c r="N2358" t="b">
        <f t="shared" si="288"/>
        <v>1</v>
      </c>
      <c r="O2358" t="str">
        <f t="shared" si="295"/>
        <v>Large Order</v>
      </c>
      <c r="P2358" s="7">
        <f t="shared" si="289"/>
        <v>7.4635000000000007</v>
      </c>
      <c r="Q2358" s="7" t="str">
        <f>VLOOKUP(D2359,Product_Lookup!$A$2:$C$27,2,FALSE)</f>
        <v>Paper Shredder</v>
      </c>
      <c r="R2358" s="7">
        <f t="shared" si="290"/>
        <v>2537.59</v>
      </c>
    </row>
    <row r="2359" spans="1:18" ht="21.75" customHeight="1">
      <c r="A2359" t="s">
        <v>2510</v>
      </c>
      <c r="B2359" s="6">
        <v>45338</v>
      </c>
      <c r="C2359" t="s">
        <v>93</v>
      </c>
      <c r="D2359" t="s">
        <v>109</v>
      </c>
      <c r="E2359" t="s">
        <v>11</v>
      </c>
      <c r="F2359" t="s">
        <v>42</v>
      </c>
      <c r="G2359" t="s">
        <v>32</v>
      </c>
      <c r="H2359">
        <v>19</v>
      </c>
      <c r="I2359" t="str">
        <f>VLOOKUP(D2359,Product_Lookup!$A$2:$C$27,3,FALSE)</f>
        <v>$81.02</v>
      </c>
      <c r="J2359" t="str">
        <f t="shared" si="291"/>
        <v>Friday</v>
      </c>
      <c r="K2359" s="10" t="str">
        <f t="shared" si="292"/>
        <v>February</v>
      </c>
      <c r="L2359">
        <f t="shared" si="293"/>
        <v>2024</v>
      </c>
      <c r="M2359" t="b">
        <f t="shared" si="294"/>
        <v>0</v>
      </c>
      <c r="N2359" t="b">
        <f t="shared" si="288"/>
        <v>1</v>
      </c>
      <c r="O2359" t="str">
        <f t="shared" si="295"/>
        <v>Large Order</v>
      </c>
      <c r="P2359" s="7">
        <f t="shared" si="289"/>
        <v>4.0510000000000002</v>
      </c>
      <c r="Q2359" s="7" t="str">
        <f>VLOOKUP(D2360,Product_Lookup!$A$2:$C$27,2,FALSE)</f>
        <v>Jeans</v>
      </c>
      <c r="R2359" s="7">
        <f t="shared" si="290"/>
        <v>1539.3799999999999</v>
      </c>
    </row>
    <row r="2360" spans="1:18" ht="21.75" customHeight="1">
      <c r="A2360" t="s">
        <v>2511</v>
      </c>
      <c r="B2360" s="6">
        <v>45412</v>
      </c>
      <c r="C2360" t="s">
        <v>309</v>
      </c>
      <c r="D2360" t="s">
        <v>65</v>
      </c>
      <c r="E2360" t="s">
        <v>11</v>
      </c>
      <c r="F2360" t="s">
        <v>12</v>
      </c>
      <c r="G2360" t="s">
        <v>28</v>
      </c>
      <c r="H2360">
        <v>7</v>
      </c>
      <c r="I2360" t="str">
        <f>VLOOKUP(D2360,Product_Lookup!$A$2:$C$27,3,FALSE)</f>
        <v>$33.22</v>
      </c>
      <c r="J2360" t="str">
        <f t="shared" si="291"/>
        <v>Tuesday</v>
      </c>
      <c r="K2360" s="10" t="str">
        <f t="shared" si="292"/>
        <v>April</v>
      </c>
      <c r="L2360">
        <f t="shared" si="293"/>
        <v>2024</v>
      </c>
      <c r="M2360" t="b">
        <f t="shared" si="294"/>
        <v>0</v>
      </c>
      <c r="N2360" t="b">
        <f t="shared" si="288"/>
        <v>0</v>
      </c>
      <c r="O2360" t="str">
        <f t="shared" si="295"/>
        <v>Standard order</v>
      </c>
      <c r="P2360" s="7">
        <f t="shared" si="289"/>
        <v>1.661</v>
      </c>
      <c r="Q2360" s="7" t="str">
        <f>VLOOKUP(D2361,Product_Lookup!$A$2:$C$27,2,FALSE)</f>
        <v>Sweater</v>
      </c>
      <c r="R2360" s="7">
        <f t="shared" si="290"/>
        <v>232.54</v>
      </c>
    </row>
    <row r="2361" spans="1:18" ht="21.75" customHeight="1">
      <c r="A2361" t="s">
        <v>2512</v>
      </c>
      <c r="B2361" s="6">
        <v>45517</v>
      </c>
      <c r="C2361" t="s">
        <v>408</v>
      </c>
      <c r="D2361" t="s">
        <v>26</v>
      </c>
      <c r="E2361" t="s">
        <v>22</v>
      </c>
      <c r="F2361" t="s">
        <v>12</v>
      </c>
      <c r="G2361" t="s">
        <v>23</v>
      </c>
      <c r="H2361">
        <v>18</v>
      </c>
      <c r="I2361" t="str">
        <f>VLOOKUP(D2361,Product_Lookup!$A$2:$C$27,3,FALSE)</f>
        <v>$84.57</v>
      </c>
      <c r="J2361" t="str">
        <f t="shared" si="291"/>
        <v>Tuesday</v>
      </c>
      <c r="K2361" s="10" t="str">
        <f t="shared" si="292"/>
        <v>August</v>
      </c>
      <c r="L2361">
        <f t="shared" si="293"/>
        <v>2024</v>
      </c>
      <c r="M2361" t="b">
        <f t="shared" si="294"/>
        <v>0</v>
      </c>
      <c r="N2361" t="b">
        <f t="shared" si="288"/>
        <v>1</v>
      </c>
      <c r="O2361" t="str">
        <f t="shared" si="295"/>
        <v>Large Order</v>
      </c>
      <c r="P2361" s="7">
        <f t="shared" si="289"/>
        <v>4.2284999999999995</v>
      </c>
      <c r="Q2361" s="7" t="str">
        <f>VLOOKUP(D2362,Product_Lookup!$A$2:$C$27,2,FALSE)</f>
        <v>Pen Set</v>
      </c>
      <c r="R2361" s="7">
        <f t="shared" si="290"/>
        <v>1522.2599999999998</v>
      </c>
    </row>
    <row r="2362" spans="1:18" ht="21.75" customHeight="1">
      <c r="A2362" t="s">
        <v>2513</v>
      </c>
      <c r="B2362" s="6">
        <v>45349</v>
      </c>
      <c r="C2362" t="s">
        <v>38</v>
      </c>
      <c r="D2362" t="s">
        <v>174</v>
      </c>
      <c r="E2362" t="s">
        <v>17</v>
      </c>
      <c r="F2362" t="s">
        <v>27</v>
      </c>
      <c r="G2362" t="s">
        <v>28</v>
      </c>
      <c r="H2362">
        <v>9</v>
      </c>
      <c r="I2362" t="str">
        <f>VLOOKUP(D2362,Product_Lookup!$A$2:$C$27,3,FALSE)</f>
        <v>$133.37</v>
      </c>
      <c r="J2362" t="str">
        <f t="shared" si="291"/>
        <v>Tuesday</v>
      </c>
      <c r="K2362" s="10" t="str">
        <f t="shared" si="292"/>
        <v>February</v>
      </c>
      <c r="L2362">
        <f t="shared" si="293"/>
        <v>2024</v>
      </c>
      <c r="M2362" t="b">
        <f t="shared" si="294"/>
        <v>0</v>
      </c>
      <c r="N2362" t="b">
        <f t="shared" si="288"/>
        <v>1</v>
      </c>
      <c r="O2362" t="str">
        <f t="shared" si="295"/>
        <v>Large Order</v>
      </c>
      <c r="P2362" s="7">
        <f t="shared" si="289"/>
        <v>6.6685000000000008</v>
      </c>
      <c r="Q2362" s="7" t="str">
        <f>VLOOKUP(D2363,Product_Lookup!$A$2:$C$27,2,FALSE)</f>
        <v>Stapler</v>
      </c>
      <c r="R2362" s="7">
        <f t="shared" si="290"/>
        <v>1200.33</v>
      </c>
    </row>
    <row r="2363" spans="1:18" ht="21.75" customHeight="1">
      <c r="A2363" t="s">
        <v>2514</v>
      </c>
      <c r="B2363" s="6">
        <v>45366</v>
      </c>
      <c r="C2363" t="s">
        <v>83</v>
      </c>
      <c r="D2363" t="s">
        <v>35</v>
      </c>
      <c r="E2363" t="s">
        <v>22</v>
      </c>
      <c r="F2363" t="s">
        <v>42</v>
      </c>
      <c r="G2363" t="s">
        <v>32</v>
      </c>
      <c r="H2363">
        <v>1</v>
      </c>
      <c r="I2363" t="str">
        <f>VLOOKUP(D2363,Product_Lookup!$A$2:$C$27,3,FALSE)</f>
        <v>$64.61</v>
      </c>
      <c r="J2363" t="str">
        <f t="shared" si="291"/>
        <v>Friday</v>
      </c>
      <c r="K2363" s="10" t="str">
        <f t="shared" si="292"/>
        <v>March</v>
      </c>
      <c r="L2363">
        <f t="shared" si="293"/>
        <v>2024</v>
      </c>
      <c r="M2363" t="b">
        <f t="shared" si="294"/>
        <v>0</v>
      </c>
      <c r="N2363" t="b">
        <f t="shared" si="288"/>
        <v>0</v>
      </c>
      <c r="O2363" t="str">
        <f t="shared" si="295"/>
        <v>Standard order</v>
      </c>
      <c r="P2363" s="7">
        <f t="shared" si="289"/>
        <v>3.2305000000000001</v>
      </c>
      <c r="Q2363" s="7" t="str">
        <f>VLOOKUP(D2364,Product_Lookup!$A$2:$C$27,2,FALSE)</f>
        <v>Lego Set</v>
      </c>
      <c r="R2363" s="7">
        <f t="shared" si="290"/>
        <v>64.61</v>
      </c>
    </row>
    <row r="2364" spans="1:18" ht="21.75" customHeight="1">
      <c r="A2364" t="s">
        <v>2515</v>
      </c>
      <c r="B2364" s="6">
        <v>45602</v>
      </c>
      <c r="C2364" t="s">
        <v>122</v>
      </c>
      <c r="D2364" t="s">
        <v>84</v>
      </c>
      <c r="E2364" t="s">
        <v>22</v>
      </c>
      <c r="F2364" t="s">
        <v>12</v>
      </c>
      <c r="G2364" t="s">
        <v>28</v>
      </c>
      <c r="H2364">
        <v>9</v>
      </c>
      <c r="I2364" t="str">
        <f>VLOOKUP(D2364,Product_Lookup!$A$2:$C$27,3,FALSE)</f>
        <v>$130.07</v>
      </c>
      <c r="J2364" t="str">
        <f t="shared" si="291"/>
        <v>Wednesday</v>
      </c>
      <c r="K2364" s="10" t="str">
        <f t="shared" si="292"/>
        <v>November</v>
      </c>
      <c r="L2364">
        <f t="shared" si="293"/>
        <v>2024</v>
      </c>
      <c r="M2364" t="b">
        <f t="shared" si="294"/>
        <v>0</v>
      </c>
      <c r="N2364" t="b">
        <f t="shared" si="288"/>
        <v>1</v>
      </c>
      <c r="O2364" t="str">
        <f t="shared" si="295"/>
        <v>Large Order</v>
      </c>
      <c r="P2364" s="7">
        <f t="shared" si="289"/>
        <v>6.5034999999999998</v>
      </c>
      <c r="Q2364" s="7" t="str">
        <f>VLOOKUP(D2365,Product_Lookup!$A$2:$C$27,2,FALSE)</f>
        <v>Puzzle</v>
      </c>
      <c r="R2364" s="7">
        <f t="shared" si="290"/>
        <v>1170.6299999999999</v>
      </c>
    </row>
    <row r="2365" spans="1:18" ht="21.75" customHeight="1">
      <c r="A2365" t="s">
        <v>2516</v>
      </c>
      <c r="B2365" s="6">
        <v>45450</v>
      </c>
      <c r="C2365" t="s">
        <v>541</v>
      </c>
      <c r="D2365" t="s">
        <v>62</v>
      </c>
      <c r="E2365" t="s">
        <v>17</v>
      </c>
      <c r="F2365" t="s">
        <v>12</v>
      </c>
      <c r="G2365" t="s">
        <v>36</v>
      </c>
      <c r="H2365">
        <v>8</v>
      </c>
      <c r="I2365" t="str">
        <f>VLOOKUP(D2365,Product_Lookup!$A$2:$C$27,3,FALSE)</f>
        <v>$46.19</v>
      </c>
      <c r="J2365" t="str">
        <f t="shared" si="291"/>
        <v>Friday</v>
      </c>
      <c r="K2365" s="10" t="str">
        <f t="shared" si="292"/>
        <v>June</v>
      </c>
      <c r="L2365">
        <f t="shared" si="293"/>
        <v>2024</v>
      </c>
      <c r="M2365" t="b">
        <f t="shared" si="294"/>
        <v>0</v>
      </c>
      <c r="N2365" t="b">
        <f t="shared" si="288"/>
        <v>0</v>
      </c>
      <c r="O2365" t="str">
        <f t="shared" si="295"/>
        <v>Standard order</v>
      </c>
      <c r="P2365" s="7">
        <f t="shared" si="289"/>
        <v>2.3094999999999999</v>
      </c>
      <c r="Q2365" s="7" t="str">
        <f>VLOOKUP(D2366,Product_Lookup!$A$2:$C$27,2,FALSE)</f>
        <v>Coffee Maker</v>
      </c>
      <c r="R2365" s="7">
        <f t="shared" si="290"/>
        <v>369.52</v>
      </c>
    </row>
    <row r="2366" spans="1:18" ht="21.75" customHeight="1">
      <c r="A2366" t="s">
        <v>2517</v>
      </c>
      <c r="B2366" s="6">
        <v>45490</v>
      </c>
      <c r="C2366" t="s">
        <v>142</v>
      </c>
      <c r="D2366" t="s">
        <v>31</v>
      </c>
      <c r="E2366" t="s">
        <v>17</v>
      </c>
      <c r="F2366" t="s">
        <v>42</v>
      </c>
      <c r="G2366" t="s">
        <v>13</v>
      </c>
      <c r="H2366">
        <v>8</v>
      </c>
      <c r="I2366" t="str">
        <f>VLOOKUP(D2366,Product_Lookup!$A$2:$C$27,3,FALSE)</f>
        <v>$230.34</v>
      </c>
      <c r="J2366" t="str">
        <f t="shared" si="291"/>
        <v>Wednesday</v>
      </c>
      <c r="K2366" s="10" t="str">
        <f t="shared" si="292"/>
        <v>July</v>
      </c>
      <c r="L2366">
        <f t="shared" si="293"/>
        <v>2024</v>
      </c>
      <c r="M2366" t="b">
        <f t="shared" si="294"/>
        <v>0</v>
      </c>
      <c r="N2366" t="b">
        <f t="shared" si="288"/>
        <v>1</v>
      </c>
      <c r="O2366" t="str">
        <f t="shared" si="295"/>
        <v>Large Order</v>
      </c>
      <c r="P2366" s="7">
        <f t="shared" si="289"/>
        <v>11.517000000000001</v>
      </c>
      <c r="Q2366" s="7" t="str">
        <f>VLOOKUP(D2367,Product_Lookup!$A$2:$C$27,2,FALSE)</f>
        <v>Action Figure</v>
      </c>
      <c r="R2366" s="7">
        <f t="shared" si="290"/>
        <v>1842.72</v>
      </c>
    </row>
    <row r="2367" spans="1:18" ht="21.75" customHeight="1">
      <c r="A2367" t="s">
        <v>2518</v>
      </c>
      <c r="B2367" s="6">
        <v>45374</v>
      </c>
      <c r="C2367" t="s">
        <v>396</v>
      </c>
      <c r="D2367" t="s">
        <v>21</v>
      </c>
      <c r="E2367" t="s">
        <v>17</v>
      </c>
      <c r="F2367" t="s">
        <v>27</v>
      </c>
      <c r="G2367" t="s">
        <v>13</v>
      </c>
      <c r="H2367">
        <v>9</v>
      </c>
      <c r="I2367" t="str">
        <f>VLOOKUP(D2367,Product_Lookup!$A$2:$C$27,3,FALSE)</f>
        <v>$88.18</v>
      </c>
      <c r="J2367" t="str">
        <f t="shared" si="291"/>
        <v>Saturday</v>
      </c>
      <c r="K2367" s="10" t="str">
        <f t="shared" si="292"/>
        <v>March</v>
      </c>
      <c r="L2367">
        <f t="shared" si="293"/>
        <v>2024</v>
      </c>
      <c r="M2367" t="b">
        <f t="shared" si="294"/>
        <v>1</v>
      </c>
      <c r="N2367" t="b">
        <f t="shared" si="288"/>
        <v>1</v>
      </c>
      <c r="O2367" t="str">
        <f t="shared" si="295"/>
        <v>Large Order</v>
      </c>
      <c r="P2367" s="7">
        <f t="shared" si="289"/>
        <v>4.4090000000000007</v>
      </c>
      <c r="Q2367" s="7" t="str">
        <f>VLOOKUP(D2368,Product_Lookup!$A$2:$C$27,2,FALSE)</f>
        <v>Lego Set</v>
      </c>
      <c r="R2367" s="7">
        <f t="shared" si="290"/>
        <v>793.62000000000012</v>
      </c>
    </row>
    <row r="2368" spans="1:18" ht="21.75" customHeight="1">
      <c r="A2368" t="s">
        <v>2519</v>
      </c>
      <c r="B2368" s="6">
        <v>45543</v>
      </c>
      <c r="C2368" t="s">
        <v>553</v>
      </c>
      <c r="D2368" t="s">
        <v>84</v>
      </c>
      <c r="E2368" t="s">
        <v>17</v>
      </c>
      <c r="F2368" t="s">
        <v>42</v>
      </c>
      <c r="G2368" t="s">
        <v>23</v>
      </c>
      <c r="H2368">
        <v>4</v>
      </c>
      <c r="I2368" t="str">
        <f>VLOOKUP(D2368,Product_Lookup!$A$2:$C$27,3,FALSE)</f>
        <v>$130.07</v>
      </c>
      <c r="J2368" t="str">
        <f t="shared" si="291"/>
        <v>Sunday</v>
      </c>
      <c r="K2368" s="10" t="str">
        <f t="shared" si="292"/>
        <v>September</v>
      </c>
      <c r="L2368">
        <f t="shared" si="293"/>
        <v>2024</v>
      </c>
      <c r="M2368" t="b">
        <f t="shared" si="294"/>
        <v>1</v>
      </c>
      <c r="N2368" t="b">
        <f t="shared" si="288"/>
        <v>0</v>
      </c>
      <c r="O2368" t="str">
        <f t="shared" si="295"/>
        <v>Large Order</v>
      </c>
      <c r="P2368" s="7">
        <f t="shared" si="289"/>
        <v>6.5034999999999998</v>
      </c>
      <c r="Q2368" s="7" t="str">
        <f>VLOOKUP(D2369,Product_Lookup!$A$2:$C$27,2,FALSE)</f>
        <v>Notebook</v>
      </c>
      <c r="R2368" s="7">
        <f t="shared" si="290"/>
        <v>520.28</v>
      </c>
    </row>
    <row r="2369" spans="1:18" ht="21.75" customHeight="1">
      <c r="A2369" t="s">
        <v>2520</v>
      </c>
      <c r="B2369" s="6">
        <v>45649</v>
      </c>
      <c r="C2369" t="s">
        <v>86</v>
      </c>
      <c r="D2369" t="s">
        <v>160</v>
      </c>
      <c r="E2369" t="s">
        <v>11</v>
      </c>
      <c r="F2369" t="s">
        <v>42</v>
      </c>
      <c r="G2369" t="s">
        <v>23</v>
      </c>
      <c r="H2369">
        <v>20</v>
      </c>
      <c r="I2369" t="str">
        <f>VLOOKUP(D2369,Product_Lookup!$A$2:$C$27,3,FALSE)</f>
        <v>$149.27</v>
      </c>
      <c r="J2369" t="str">
        <f t="shared" si="291"/>
        <v>Monday</v>
      </c>
      <c r="K2369" s="10" t="str">
        <f t="shared" si="292"/>
        <v>December</v>
      </c>
      <c r="L2369">
        <f t="shared" si="293"/>
        <v>2024</v>
      </c>
      <c r="M2369" t="b">
        <f t="shared" si="294"/>
        <v>0</v>
      </c>
      <c r="N2369" t="b">
        <f t="shared" si="288"/>
        <v>1</v>
      </c>
      <c r="O2369" t="str">
        <f t="shared" si="295"/>
        <v>Large Order</v>
      </c>
      <c r="P2369" s="7">
        <f t="shared" si="289"/>
        <v>7.4635000000000007</v>
      </c>
      <c r="Q2369" s="7" t="str">
        <f>VLOOKUP(D2370,Product_Lookup!$A$2:$C$27,2,FALSE)</f>
        <v>Blender</v>
      </c>
      <c r="R2369" s="7">
        <f t="shared" si="290"/>
        <v>2985.4</v>
      </c>
    </row>
    <row r="2370" spans="1:18" ht="21.75" customHeight="1">
      <c r="A2370" t="s">
        <v>2521</v>
      </c>
      <c r="B2370" s="6">
        <v>45572</v>
      </c>
      <c r="C2370" t="s">
        <v>304</v>
      </c>
      <c r="D2370" t="s">
        <v>72</v>
      </c>
      <c r="E2370" t="s">
        <v>17</v>
      </c>
      <c r="F2370" t="s">
        <v>12</v>
      </c>
      <c r="G2370" t="s">
        <v>13</v>
      </c>
      <c r="H2370">
        <v>6</v>
      </c>
      <c r="I2370" t="str">
        <f>VLOOKUP(D2370,Product_Lookup!$A$2:$C$27,3,FALSE)</f>
        <v>$156.44</v>
      </c>
      <c r="J2370" t="str">
        <f t="shared" si="291"/>
        <v>Monday</v>
      </c>
      <c r="K2370" s="10" t="str">
        <f t="shared" si="292"/>
        <v>October</v>
      </c>
      <c r="L2370">
        <f t="shared" si="293"/>
        <v>2024</v>
      </c>
      <c r="M2370" t="b">
        <f t="shared" si="294"/>
        <v>0</v>
      </c>
      <c r="N2370" t="b">
        <f t="shared" ref="N2370:N2433" si="296">AND(R2370&gt;750, H2370&gt;5)</f>
        <v>1</v>
      </c>
      <c r="O2370" t="str">
        <f t="shared" si="295"/>
        <v>Large Order</v>
      </c>
      <c r="P2370" s="7">
        <f t="shared" ref="P2370:P2433" si="297">I2370*$S$2</f>
        <v>7.8220000000000001</v>
      </c>
      <c r="Q2370" s="7" t="str">
        <f>VLOOKUP(D2371,Product_Lookup!$A$2:$C$27,2,FALSE)</f>
        <v>Laptop</v>
      </c>
      <c r="R2370" s="7">
        <f t="shared" ref="R2370:R2433" si="298">H2370*I2370</f>
        <v>938.64</v>
      </c>
    </row>
    <row r="2371" spans="1:18" ht="21.75" customHeight="1">
      <c r="A2371" t="s">
        <v>2522</v>
      </c>
      <c r="B2371" s="6">
        <v>45620</v>
      </c>
      <c r="C2371" t="s">
        <v>99</v>
      </c>
      <c r="D2371" t="s">
        <v>96</v>
      </c>
      <c r="E2371" t="s">
        <v>17</v>
      </c>
      <c r="F2371" t="s">
        <v>56</v>
      </c>
      <c r="G2371" t="s">
        <v>32</v>
      </c>
      <c r="H2371">
        <v>11</v>
      </c>
      <c r="I2371" t="str">
        <f>VLOOKUP(D2371,Product_Lookup!$A$2:$C$27,3,FALSE)</f>
        <v>$230.68</v>
      </c>
      <c r="J2371" t="str">
        <f t="shared" ref="J2371:J2434" si="299">TEXT(B2371, "dddd")</f>
        <v>Sunday</v>
      </c>
      <c r="K2371" s="10" t="str">
        <f t="shared" ref="K2371:K2434" si="300">TEXT(B2371, "mmmm")</f>
        <v>November</v>
      </c>
      <c r="L2371">
        <f t="shared" ref="L2371:L2434" si="301">YEAR(B2371)</f>
        <v>2024</v>
      </c>
      <c r="M2371" t="b">
        <f t="shared" ref="M2371:M2434" si="302">OR(J2371="Saturday", J2371="Sunday")</f>
        <v>1</v>
      </c>
      <c r="N2371" t="b">
        <f t="shared" si="296"/>
        <v>1</v>
      </c>
      <c r="O2371" t="str">
        <f t="shared" ref="O2371:O2434" si="303">IF(R2371&gt;500,"Large Order","Standard order")</f>
        <v>Large Order</v>
      </c>
      <c r="P2371" s="7">
        <f t="shared" si="297"/>
        <v>11.534000000000001</v>
      </c>
      <c r="Q2371" s="7" t="str">
        <f>VLOOKUP(D2372,Product_Lookup!$A$2:$C$27,2,FALSE)</f>
        <v>Jacket</v>
      </c>
      <c r="R2371" s="7">
        <f t="shared" si="298"/>
        <v>2537.48</v>
      </c>
    </row>
    <row r="2372" spans="1:18" ht="21.75" customHeight="1">
      <c r="A2372" t="s">
        <v>2523</v>
      </c>
      <c r="B2372" s="6">
        <v>45348</v>
      </c>
      <c r="C2372" t="s">
        <v>111</v>
      </c>
      <c r="D2372" t="s">
        <v>197</v>
      </c>
      <c r="E2372" t="s">
        <v>22</v>
      </c>
      <c r="F2372" t="s">
        <v>56</v>
      </c>
      <c r="G2372" t="s">
        <v>36</v>
      </c>
      <c r="H2372">
        <v>14</v>
      </c>
      <c r="I2372" t="str">
        <f>VLOOKUP(D2372,Product_Lookup!$A$2:$C$27,3,FALSE)</f>
        <v>$10.11</v>
      </c>
      <c r="J2372" t="str">
        <f t="shared" si="299"/>
        <v>Monday</v>
      </c>
      <c r="K2372" s="10" t="str">
        <f t="shared" si="300"/>
        <v>February</v>
      </c>
      <c r="L2372">
        <f t="shared" si="301"/>
        <v>2024</v>
      </c>
      <c r="M2372" t="b">
        <f t="shared" si="302"/>
        <v>0</v>
      </c>
      <c r="N2372" t="b">
        <f t="shared" si="296"/>
        <v>0</v>
      </c>
      <c r="O2372" t="str">
        <f t="shared" si="303"/>
        <v>Standard order</v>
      </c>
      <c r="P2372" s="7">
        <f t="shared" si="297"/>
        <v>0.50549999999999995</v>
      </c>
      <c r="Q2372" s="7" t="str">
        <f>VLOOKUP(D2373,Product_Lookup!$A$2:$C$27,2,FALSE)</f>
        <v>Stapler</v>
      </c>
      <c r="R2372" s="7">
        <f t="shared" si="298"/>
        <v>141.54</v>
      </c>
    </row>
    <row r="2373" spans="1:18" ht="21.75" customHeight="1">
      <c r="A2373" t="s">
        <v>2524</v>
      </c>
      <c r="B2373" s="6">
        <v>45455</v>
      </c>
      <c r="C2373" t="s">
        <v>430</v>
      </c>
      <c r="D2373" t="s">
        <v>35</v>
      </c>
      <c r="E2373" t="s">
        <v>22</v>
      </c>
      <c r="F2373" t="s">
        <v>56</v>
      </c>
      <c r="G2373" t="s">
        <v>32</v>
      </c>
      <c r="H2373">
        <v>6</v>
      </c>
      <c r="I2373" t="str">
        <f>VLOOKUP(D2373,Product_Lookup!$A$2:$C$27,3,FALSE)</f>
        <v>$64.61</v>
      </c>
      <c r="J2373" t="str">
        <f t="shared" si="299"/>
        <v>Wednesday</v>
      </c>
      <c r="K2373" s="10" t="str">
        <f t="shared" si="300"/>
        <v>June</v>
      </c>
      <c r="L2373">
        <f t="shared" si="301"/>
        <v>2024</v>
      </c>
      <c r="M2373" t="b">
        <f t="shared" si="302"/>
        <v>0</v>
      </c>
      <c r="N2373" t="b">
        <f t="shared" si="296"/>
        <v>0</v>
      </c>
      <c r="O2373" t="str">
        <f t="shared" si="303"/>
        <v>Standard order</v>
      </c>
      <c r="P2373" s="7">
        <f t="shared" si="297"/>
        <v>3.2305000000000001</v>
      </c>
      <c r="Q2373" s="7" t="str">
        <f>VLOOKUP(D2374,Product_Lookup!$A$2:$C$27,2,FALSE)</f>
        <v>Jeans</v>
      </c>
      <c r="R2373" s="7">
        <f t="shared" si="298"/>
        <v>387.65999999999997</v>
      </c>
    </row>
    <row r="2374" spans="1:18" ht="21.75" customHeight="1">
      <c r="A2374" t="s">
        <v>2525</v>
      </c>
      <c r="B2374" s="6">
        <v>45459</v>
      </c>
      <c r="C2374" t="s">
        <v>55</v>
      </c>
      <c r="D2374" t="s">
        <v>65</v>
      </c>
      <c r="E2374" t="s">
        <v>11</v>
      </c>
      <c r="F2374" t="s">
        <v>27</v>
      </c>
      <c r="G2374" t="s">
        <v>32</v>
      </c>
      <c r="H2374">
        <v>6</v>
      </c>
      <c r="I2374" t="str">
        <f>VLOOKUP(D2374,Product_Lookup!$A$2:$C$27,3,FALSE)</f>
        <v>$33.22</v>
      </c>
      <c r="J2374" t="str">
        <f t="shared" si="299"/>
        <v>Sunday</v>
      </c>
      <c r="K2374" s="10" t="str">
        <f t="shared" si="300"/>
        <v>June</v>
      </c>
      <c r="L2374">
        <f t="shared" si="301"/>
        <v>2024</v>
      </c>
      <c r="M2374" t="b">
        <f t="shared" si="302"/>
        <v>1</v>
      </c>
      <c r="N2374" t="b">
        <f t="shared" si="296"/>
        <v>0</v>
      </c>
      <c r="O2374" t="str">
        <f t="shared" si="303"/>
        <v>Standard order</v>
      </c>
      <c r="P2374" s="7">
        <f t="shared" si="297"/>
        <v>1.661</v>
      </c>
      <c r="Q2374" s="7" t="str">
        <f>VLOOKUP(D2375,Product_Lookup!$A$2:$C$27,2,FALSE)</f>
        <v>Jacket</v>
      </c>
      <c r="R2374" s="7">
        <f t="shared" si="298"/>
        <v>199.32</v>
      </c>
    </row>
    <row r="2375" spans="1:18" ht="21.75" customHeight="1">
      <c r="A2375" t="s">
        <v>2526</v>
      </c>
      <c r="B2375" s="6">
        <v>45485</v>
      </c>
      <c r="C2375" t="s">
        <v>314</v>
      </c>
      <c r="D2375" t="s">
        <v>197</v>
      </c>
      <c r="E2375" t="s">
        <v>11</v>
      </c>
      <c r="F2375" t="s">
        <v>12</v>
      </c>
      <c r="G2375" t="s">
        <v>36</v>
      </c>
      <c r="H2375">
        <v>20</v>
      </c>
      <c r="I2375" t="str">
        <f>VLOOKUP(D2375,Product_Lookup!$A$2:$C$27,3,FALSE)</f>
        <v>$10.11</v>
      </c>
      <c r="J2375" t="str">
        <f t="shared" si="299"/>
        <v>Friday</v>
      </c>
      <c r="K2375" s="10" t="str">
        <f t="shared" si="300"/>
        <v>July</v>
      </c>
      <c r="L2375">
        <f t="shared" si="301"/>
        <v>2024</v>
      </c>
      <c r="M2375" t="b">
        <f t="shared" si="302"/>
        <v>0</v>
      </c>
      <c r="N2375" t="b">
        <f t="shared" si="296"/>
        <v>0</v>
      </c>
      <c r="O2375" t="str">
        <f t="shared" si="303"/>
        <v>Standard order</v>
      </c>
      <c r="P2375" s="7">
        <f t="shared" si="297"/>
        <v>0.50549999999999995</v>
      </c>
      <c r="Q2375" s="7" t="str">
        <f>VLOOKUP(D2376,Product_Lookup!$A$2:$C$27,2,FALSE)</f>
        <v>Jeans</v>
      </c>
      <c r="R2375" s="7">
        <f t="shared" si="298"/>
        <v>202.2</v>
      </c>
    </row>
    <row r="2376" spans="1:18" ht="21.75" customHeight="1">
      <c r="A2376" t="s">
        <v>2527</v>
      </c>
      <c r="B2376" s="6">
        <v>45337</v>
      </c>
      <c r="C2376" t="s">
        <v>319</v>
      </c>
      <c r="D2376" t="s">
        <v>65</v>
      </c>
      <c r="E2376" t="s">
        <v>17</v>
      </c>
      <c r="F2376" t="s">
        <v>56</v>
      </c>
      <c r="G2376" t="s">
        <v>13</v>
      </c>
      <c r="H2376">
        <v>13</v>
      </c>
      <c r="I2376" t="str">
        <f>VLOOKUP(D2376,Product_Lookup!$A$2:$C$27,3,FALSE)</f>
        <v>$33.22</v>
      </c>
      <c r="J2376" t="str">
        <f t="shared" si="299"/>
        <v>Thursday</v>
      </c>
      <c r="K2376" s="10" t="str">
        <f t="shared" si="300"/>
        <v>February</v>
      </c>
      <c r="L2376">
        <f t="shared" si="301"/>
        <v>2024</v>
      </c>
      <c r="M2376" t="b">
        <f t="shared" si="302"/>
        <v>0</v>
      </c>
      <c r="N2376" t="b">
        <f t="shared" si="296"/>
        <v>0</v>
      </c>
      <c r="O2376" t="str">
        <f t="shared" si="303"/>
        <v>Standard order</v>
      </c>
      <c r="P2376" s="7">
        <f t="shared" si="297"/>
        <v>1.661</v>
      </c>
      <c r="Q2376" s="7" t="str">
        <f>VLOOKUP(D2377,Product_Lookup!$A$2:$C$27,2,FALSE)</f>
        <v>Headphones</v>
      </c>
      <c r="R2376" s="7">
        <f t="shared" si="298"/>
        <v>431.86</v>
      </c>
    </row>
    <row r="2377" spans="1:18" ht="21.75" customHeight="1">
      <c r="A2377" t="s">
        <v>2528</v>
      </c>
      <c r="B2377" s="6">
        <v>45599</v>
      </c>
      <c r="C2377" t="s">
        <v>86</v>
      </c>
      <c r="D2377" t="s">
        <v>16</v>
      </c>
      <c r="E2377" t="s">
        <v>11</v>
      </c>
      <c r="F2377" t="s">
        <v>42</v>
      </c>
      <c r="G2377" t="s">
        <v>28</v>
      </c>
      <c r="H2377">
        <v>19</v>
      </c>
      <c r="I2377" t="str">
        <f>VLOOKUP(D2377,Product_Lookup!$A$2:$C$27,3,FALSE)</f>
        <v>$178.83</v>
      </c>
      <c r="J2377" t="str">
        <f t="shared" si="299"/>
        <v>Sunday</v>
      </c>
      <c r="K2377" s="10" t="str">
        <f t="shared" si="300"/>
        <v>November</v>
      </c>
      <c r="L2377">
        <f t="shared" si="301"/>
        <v>2024</v>
      </c>
      <c r="M2377" t="b">
        <f t="shared" si="302"/>
        <v>1</v>
      </c>
      <c r="N2377" t="b">
        <f t="shared" si="296"/>
        <v>1</v>
      </c>
      <c r="O2377" t="str">
        <f t="shared" si="303"/>
        <v>Large Order</v>
      </c>
      <c r="P2377" s="7">
        <f t="shared" si="297"/>
        <v>8.9415000000000013</v>
      </c>
      <c r="Q2377" s="7" t="str">
        <f>VLOOKUP(D2378,Product_Lookup!$A$2:$C$27,2,FALSE)</f>
        <v>Doll</v>
      </c>
      <c r="R2377" s="7">
        <f t="shared" si="298"/>
        <v>3397.7700000000004</v>
      </c>
    </row>
    <row r="2378" spans="1:18" ht="21.75" customHeight="1">
      <c r="A2378" t="s">
        <v>2529</v>
      </c>
      <c r="B2378" s="6">
        <v>45561</v>
      </c>
      <c r="C2378" t="s">
        <v>348</v>
      </c>
      <c r="D2378" t="s">
        <v>119</v>
      </c>
      <c r="E2378" t="s">
        <v>17</v>
      </c>
      <c r="F2378" t="s">
        <v>27</v>
      </c>
      <c r="G2378" t="s">
        <v>13</v>
      </c>
      <c r="H2378">
        <v>8</v>
      </c>
      <c r="I2378" t="str">
        <f>VLOOKUP(D2378,Product_Lookup!$A$2:$C$27,3,FALSE)</f>
        <v>$32.94</v>
      </c>
      <c r="J2378" t="str">
        <f t="shared" si="299"/>
        <v>Thursday</v>
      </c>
      <c r="K2378" s="10" t="str">
        <f t="shared" si="300"/>
        <v>September</v>
      </c>
      <c r="L2378">
        <f t="shared" si="301"/>
        <v>2024</v>
      </c>
      <c r="M2378" t="b">
        <f t="shared" si="302"/>
        <v>0</v>
      </c>
      <c r="N2378" t="b">
        <f t="shared" si="296"/>
        <v>0</v>
      </c>
      <c r="O2378" t="str">
        <f t="shared" si="303"/>
        <v>Standard order</v>
      </c>
      <c r="P2378" s="7">
        <f t="shared" si="297"/>
        <v>1.647</v>
      </c>
      <c r="Q2378" s="7" t="str">
        <f>VLOOKUP(D2379,Product_Lookup!$A$2:$C$27,2,FALSE)</f>
        <v>Sweater</v>
      </c>
      <c r="R2378" s="7">
        <f t="shared" si="298"/>
        <v>263.52</v>
      </c>
    </row>
    <row r="2379" spans="1:18" ht="21.75" customHeight="1">
      <c r="A2379" t="s">
        <v>2530</v>
      </c>
      <c r="B2379" s="6">
        <v>45389</v>
      </c>
      <c r="C2379" t="s">
        <v>728</v>
      </c>
      <c r="D2379" t="s">
        <v>26</v>
      </c>
      <c r="E2379" t="s">
        <v>17</v>
      </c>
      <c r="F2379" t="s">
        <v>27</v>
      </c>
      <c r="G2379" t="s">
        <v>23</v>
      </c>
      <c r="H2379">
        <v>5</v>
      </c>
      <c r="I2379" t="str">
        <f>VLOOKUP(D2379,Product_Lookup!$A$2:$C$27,3,FALSE)</f>
        <v>$84.57</v>
      </c>
      <c r="J2379" t="str">
        <f t="shared" si="299"/>
        <v>Sunday</v>
      </c>
      <c r="K2379" s="10" t="str">
        <f t="shared" si="300"/>
        <v>April</v>
      </c>
      <c r="L2379">
        <f t="shared" si="301"/>
        <v>2024</v>
      </c>
      <c r="M2379" t="b">
        <f t="shared" si="302"/>
        <v>1</v>
      </c>
      <c r="N2379" t="b">
        <f t="shared" si="296"/>
        <v>0</v>
      </c>
      <c r="O2379" t="str">
        <f t="shared" si="303"/>
        <v>Standard order</v>
      </c>
      <c r="P2379" s="7">
        <f t="shared" si="297"/>
        <v>4.2284999999999995</v>
      </c>
      <c r="Q2379" s="7" t="str">
        <f>VLOOKUP(D2380,Product_Lookup!$A$2:$C$27,2,FALSE)</f>
        <v>Jeans</v>
      </c>
      <c r="R2379" s="7">
        <f t="shared" si="298"/>
        <v>422.84999999999997</v>
      </c>
    </row>
    <row r="2380" spans="1:18" ht="21.75" customHeight="1">
      <c r="A2380" t="s">
        <v>2531</v>
      </c>
      <c r="B2380" s="6">
        <v>45397</v>
      </c>
      <c r="C2380" t="s">
        <v>327</v>
      </c>
      <c r="D2380" t="s">
        <v>65</v>
      </c>
      <c r="E2380" t="s">
        <v>17</v>
      </c>
      <c r="F2380" t="s">
        <v>56</v>
      </c>
      <c r="G2380" t="s">
        <v>23</v>
      </c>
      <c r="H2380">
        <v>6</v>
      </c>
      <c r="I2380" t="str">
        <f>VLOOKUP(D2380,Product_Lookup!$A$2:$C$27,3,FALSE)</f>
        <v>$33.22</v>
      </c>
      <c r="J2380" t="str">
        <f t="shared" si="299"/>
        <v>Monday</v>
      </c>
      <c r="K2380" s="10" t="str">
        <f t="shared" si="300"/>
        <v>April</v>
      </c>
      <c r="L2380">
        <f t="shared" si="301"/>
        <v>2024</v>
      </c>
      <c r="M2380" t="b">
        <f t="shared" si="302"/>
        <v>0</v>
      </c>
      <c r="N2380" t="b">
        <f t="shared" si="296"/>
        <v>0</v>
      </c>
      <c r="O2380" t="str">
        <f t="shared" si="303"/>
        <v>Standard order</v>
      </c>
      <c r="P2380" s="7">
        <f t="shared" si="297"/>
        <v>1.661</v>
      </c>
      <c r="Q2380" s="7" t="str">
        <f>VLOOKUP(D2381,Product_Lookup!$A$2:$C$27,2,FALSE)</f>
        <v>Socks</v>
      </c>
      <c r="R2380" s="7">
        <f t="shared" si="298"/>
        <v>199.32</v>
      </c>
    </row>
    <row r="2381" spans="1:18" ht="21.75" customHeight="1">
      <c r="A2381" t="s">
        <v>2532</v>
      </c>
      <c r="B2381" s="6">
        <v>45366</v>
      </c>
      <c r="C2381" t="s">
        <v>64</v>
      </c>
      <c r="D2381" t="s">
        <v>74</v>
      </c>
      <c r="E2381" t="s">
        <v>17</v>
      </c>
      <c r="F2381" t="s">
        <v>56</v>
      </c>
      <c r="G2381" t="s">
        <v>36</v>
      </c>
      <c r="H2381">
        <v>15</v>
      </c>
      <c r="I2381" t="str">
        <f>VLOOKUP(D2381,Product_Lookup!$A$2:$C$27,3,FALSE)</f>
        <v>$201.32</v>
      </c>
      <c r="J2381" t="str">
        <f t="shared" si="299"/>
        <v>Friday</v>
      </c>
      <c r="K2381" s="10" t="str">
        <f t="shared" si="300"/>
        <v>March</v>
      </c>
      <c r="L2381">
        <f t="shared" si="301"/>
        <v>2024</v>
      </c>
      <c r="M2381" t="b">
        <f t="shared" si="302"/>
        <v>0</v>
      </c>
      <c r="N2381" t="b">
        <f t="shared" si="296"/>
        <v>1</v>
      </c>
      <c r="O2381" t="str">
        <f t="shared" si="303"/>
        <v>Large Order</v>
      </c>
      <c r="P2381" s="7">
        <f t="shared" si="297"/>
        <v>10.066000000000001</v>
      </c>
      <c r="Q2381" s="7" t="str">
        <f>VLOOKUP(D2382,Product_Lookup!$A$2:$C$27,2,FALSE)</f>
        <v>Board Game</v>
      </c>
      <c r="R2381" s="7">
        <f t="shared" si="298"/>
        <v>3019.7999999999997</v>
      </c>
    </row>
    <row r="2382" spans="1:18" ht="21.75" customHeight="1">
      <c r="A2382" t="s">
        <v>2533</v>
      </c>
      <c r="B2382" s="6">
        <v>45481</v>
      </c>
      <c r="C2382" t="s">
        <v>361</v>
      </c>
      <c r="D2382" t="s">
        <v>41</v>
      </c>
      <c r="E2382" t="s">
        <v>22</v>
      </c>
      <c r="F2382" t="s">
        <v>27</v>
      </c>
      <c r="G2382" t="s">
        <v>13</v>
      </c>
      <c r="H2382">
        <v>1</v>
      </c>
      <c r="I2382" t="str">
        <f>VLOOKUP(D2382,Product_Lookup!$A$2:$C$27,3,FALSE)</f>
        <v>$86.6</v>
      </c>
      <c r="J2382" t="str">
        <f t="shared" si="299"/>
        <v>Monday</v>
      </c>
      <c r="K2382" s="10" t="str">
        <f t="shared" si="300"/>
        <v>July</v>
      </c>
      <c r="L2382">
        <f t="shared" si="301"/>
        <v>2024</v>
      </c>
      <c r="M2382" t="b">
        <f t="shared" si="302"/>
        <v>0</v>
      </c>
      <c r="N2382" t="b">
        <f t="shared" si="296"/>
        <v>0</v>
      </c>
      <c r="O2382" t="str">
        <f t="shared" si="303"/>
        <v>Standard order</v>
      </c>
      <c r="P2382" s="7">
        <f t="shared" si="297"/>
        <v>4.33</v>
      </c>
      <c r="Q2382" s="7" t="str">
        <f>VLOOKUP(D2383,Product_Lookup!$A$2:$C$27,2,FALSE)</f>
        <v>Coffee Maker</v>
      </c>
      <c r="R2382" s="7">
        <f t="shared" si="298"/>
        <v>86.6</v>
      </c>
    </row>
    <row r="2383" spans="1:18" ht="21.75" customHeight="1">
      <c r="A2383" t="s">
        <v>2534</v>
      </c>
      <c r="B2383" s="6">
        <v>45457</v>
      </c>
      <c r="C2383" t="s">
        <v>465</v>
      </c>
      <c r="D2383" t="s">
        <v>31</v>
      </c>
      <c r="E2383" t="s">
        <v>22</v>
      </c>
      <c r="F2383" t="s">
        <v>56</v>
      </c>
      <c r="G2383" t="s">
        <v>23</v>
      </c>
      <c r="H2383">
        <v>14</v>
      </c>
      <c r="I2383" t="str">
        <f>VLOOKUP(D2383,Product_Lookup!$A$2:$C$27,3,FALSE)</f>
        <v>$230.34</v>
      </c>
      <c r="J2383" t="str">
        <f t="shared" si="299"/>
        <v>Friday</v>
      </c>
      <c r="K2383" s="10" t="str">
        <f t="shared" si="300"/>
        <v>June</v>
      </c>
      <c r="L2383">
        <f t="shared" si="301"/>
        <v>2024</v>
      </c>
      <c r="M2383" t="b">
        <f t="shared" si="302"/>
        <v>0</v>
      </c>
      <c r="N2383" t="b">
        <f t="shared" si="296"/>
        <v>1</v>
      </c>
      <c r="O2383" t="str">
        <f t="shared" si="303"/>
        <v>Large Order</v>
      </c>
      <c r="P2383" s="7">
        <f t="shared" si="297"/>
        <v>11.517000000000001</v>
      </c>
      <c r="Q2383" s="7" t="str">
        <f>VLOOKUP(D2384,Product_Lookup!$A$2:$C$27,2,FALSE)</f>
        <v>Monitor</v>
      </c>
      <c r="R2383" s="7">
        <f t="shared" si="298"/>
        <v>3224.76</v>
      </c>
    </row>
    <row r="2384" spans="1:18" ht="21.75" customHeight="1">
      <c r="A2384" t="s">
        <v>2535</v>
      </c>
      <c r="B2384" s="6">
        <v>45423</v>
      </c>
      <c r="C2384" t="s">
        <v>208</v>
      </c>
      <c r="D2384" t="s">
        <v>102</v>
      </c>
      <c r="E2384" t="s">
        <v>22</v>
      </c>
      <c r="F2384" t="s">
        <v>12</v>
      </c>
      <c r="G2384" t="s">
        <v>13</v>
      </c>
      <c r="H2384">
        <v>11</v>
      </c>
      <c r="I2384" t="str">
        <f>VLOOKUP(D2384,Product_Lookup!$A$2:$C$27,3,FALSE)</f>
        <v>$145.48</v>
      </c>
      <c r="J2384" t="str">
        <f t="shared" si="299"/>
        <v>Saturday</v>
      </c>
      <c r="K2384" s="10" t="str">
        <f t="shared" si="300"/>
        <v>May</v>
      </c>
      <c r="L2384">
        <f t="shared" si="301"/>
        <v>2024</v>
      </c>
      <c r="M2384" t="b">
        <f t="shared" si="302"/>
        <v>1</v>
      </c>
      <c r="N2384" t="b">
        <f t="shared" si="296"/>
        <v>1</v>
      </c>
      <c r="O2384" t="str">
        <f t="shared" si="303"/>
        <v>Large Order</v>
      </c>
      <c r="P2384" s="7">
        <f t="shared" si="297"/>
        <v>7.274</v>
      </c>
      <c r="Q2384" s="7" t="str">
        <f>VLOOKUP(D2385,Product_Lookup!$A$2:$C$27,2,FALSE)</f>
        <v>Paper Shredder</v>
      </c>
      <c r="R2384" s="7">
        <f t="shared" si="298"/>
        <v>1600.28</v>
      </c>
    </row>
    <row r="2385" spans="1:18" ht="21.75" customHeight="1">
      <c r="A2385" t="s">
        <v>2536</v>
      </c>
      <c r="B2385" s="6">
        <v>45533</v>
      </c>
      <c r="C2385" t="s">
        <v>182</v>
      </c>
      <c r="D2385" t="s">
        <v>109</v>
      </c>
      <c r="E2385" t="s">
        <v>22</v>
      </c>
      <c r="F2385" t="s">
        <v>306</v>
      </c>
      <c r="G2385" t="s">
        <v>13</v>
      </c>
      <c r="H2385">
        <v>1</v>
      </c>
      <c r="I2385" t="str">
        <f>VLOOKUP(D2385,Product_Lookup!$A$2:$C$27,3,FALSE)</f>
        <v>$81.02</v>
      </c>
      <c r="J2385" t="str">
        <f t="shared" si="299"/>
        <v>Thursday</v>
      </c>
      <c r="K2385" s="10" t="str">
        <f t="shared" si="300"/>
        <v>August</v>
      </c>
      <c r="L2385">
        <f t="shared" si="301"/>
        <v>2024</v>
      </c>
      <c r="M2385" t="b">
        <f t="shared" si="302"/>
        <v>0</v>
      </c>
      <c r="N2385" t="b">
        <f t="shared" si="296"/>
        <v>0</v>
      </c>
      <c r="O2385" t="str">
        <f t="shared" si="303"/>
        <v>Standard order</v>
      </c>
      <c r="P2385" s="7">
        <f t="shared" si="297"/>
        <v>4.0510000000000002</v>
      </c>
      <c r="Q2385" s="7" t="str">
        <f>VLOOKUP(D2386,Product_Lookup!$A$2:$C$27,2,FALSE)</f>
        <v>Socks</v>
      </c>
      <c r="R2385" s="7">
        <f t="shared" si="298"/>
        <v>81.02</v>
      </c>
    </row>
    <row r="2386" spans="1:18" ht="21.75" customHeight="1">
      <c r="A2386" t="s">
        <v>2537</v>
      </c>
      <c r="B2386" s="6">
        <v>45609</v>
      </c>
      <c r="C2386" t="s">
        <v>159</v>
      </c>
      <c r="D2386" t="s">
        <v>74</v>
      </c>
      <c r="E2386" t="s">
        <v>17</v>
      </c>
      <c r="F2386" t="s">
        <v>42</v>
      </c>
      <c r="G2386" t="s">
        <v>28</v>
      </c>
      <c r="H2386">
        <v>18</v>
      </c>
      <c r="I2386" t="str">
        <f>VLOOKUP(D2386,Product_Lookup!$A$2:$C$27,3,FALSE)</f>
        <v>$201.32</v>
      </c>
      <c r="J2386" t="str">
        <f t="shared" si="299"/>
        <v>Wednesday</v>
      </c>
      <c r="K2386" s="10" t="str">
        <f t="shared" si="300"/>
        <v>November</v>
      </c>
      <c r="L2386">
        <f t="shared" si="301"/>
        <v>2024</v>
      </c>
      <c r="M2386" t="b">
        <f t="shared" si="302"/>
        <v>0</v>
      </c>
      <c r="N2386" t="b">
        <f t="shared" si="296"/>
        <v>1</v>
      </c>
      <c r="O2386" t="str">
        <f t="shared" si="303"/>
        <v>Large Order</v>
      </c>
      <c r="P2386" s="7">
        <f t="shared" si="297"/>
        <v>10.066000000000001</v>
      </c>
      <c r="Q2386" s="7" t="str">
        <f>VLOOKUP(D2387,Product_Lookup!$A$2:$C$27,2,FALSE)</f>
        <v>T-Shirt</v>
      </c>
      <c r="R2386" s="7">
        <f t="shared" si="298"/>
        <v>3623.7599999999998</v>
      </c>
    </row>
    <row r="2387" spans="1:18" ht="21.75" customHeight="1">
      <c r="A2387" t="s">
        <v>2538</v>
      </c>
      <c r="B2387" s="6">
        <v>45383</v>
      </c>
      <c r="C2387" t="s">
        <v>86</v>
      </c>
      <c r="D2387" t="s">
        <v>45</v>
      </c>
      <c r="E2387" t="s">
        <v>22</v>
      </c>
      <c r="F2387" t="s">
        <v>27</v>
      </c>
      <c r="G2387" t="s">
        <v>32</v>
      </c>
      <c r="H2387">
        <v>15</v>
      </c>
      <c r="I2387" t="str">
        <f>VLOOKUP(D2387,Product_Lookup!$A$2:$C$27,3,FALSE)</f>
        <v>$107.34</v>
      </c>
      <c r="J2387" t="str">
        <f t="shared" si="299"/>
        <v>Monday</v>
      </c>
      <c r="K2387" s="10" t="str">
        <f t="shared" si="300"/>
        <v>April</v>
      </c>
      <c r="L2387">
        <f t="shared" si="301"/>
        <v>2024</v>
      </c>
      <c r="M2387" t="b">
        <f t="shared" si="302"/>
        <v>0</v>
      </c>
      <c r="N2387" t="b">
        <f t="shared" si="296"/>
        <v>1</v>
      </c>
      <c r="O2387" t="str">
        <f t="shared" si="303"/>
        <v>Large Order</v>
      </c>
      <c r="P2387" s="7">
        <f t="shared" si="297"/>
        <v>5.3670000000000009</v>
      </c>
      <c r="Q2387" s="7" t="str">
        <f>VLOOKUP(D2388,Product_Lookup!$A$2:$C$27,2,FALSE)</f>
        <v>Notebook</v>
      </c>
      <c r="R2387" s="7">
        <f t="shared" si="298"/>
        <v>1610.1000000000001</v>
      </c>
    </row>
    <row r="2388" spans="1:18" ht="21.75" customHeight="1">
      <c r="A2388" t="s">
        <v>2539</v>
      </c>
      <c r="B2388" s="6">
        <v>45454</v>
      </c>
      <c r="C2388" t="s">
        <v>369</v>
      </c>
      <c r="D2388" t="s">
        <v>160</v>
      </c>
      <c r="E2388" t="s">
        <v>17</v>
      </c>
      <c r="F2388" t="s">
        <v>56</v>
      </c>
      <c r="G2388" t="s">
        <v>32</v>
      </c>
      <c r="H2388">
        <v>4</v>
      </c>
      <c r="I2388" t="str">
        <f>VLOOKUP(D2388,Product_Lookup!$A$2:$C$27,3,FALSE)</f>
        <v>$149.27</v>
      </c>
      <c r="J2388" t="str">
        <f t="shared" si="299"/>
        <v>Tuesday</v>
      </c>
      <c r="K2388" s="10" t="str">
        <f t="shared" si="300"/>
        <v>June</v>
      </c>
      <c r="L2388">
        <f t="shared" si="301"/>
        <v>2024</v>
      </c>
      <c r="M2388" t="b">
        <f t="shared" si="302"/>
        <v>0</v>
      </c>
      <c r="N2388" t="b">
        <f t="shared" si="296"/>
        <v>0</v>
      </c>
      <c r="O2388" t="str">
        <f t="shared" si="303"/>
        <v>Large Order</v>
      </c>
      <c r="P2388" s="7">
        <f t="shared" si="297"/>
        <v>7.4635000000000007</v>
      </c>
      <c r="Q2388" s="7" t="str">
        <f>VLOOKUP(D2389,Product_Lookup!$A$2:$C$27,2,FALSE)</f>
        <v>Sweater</v>
      </c>
      <c r="R2388" s="7">
        <f t="shared" si="298"/>
        <v>597.08000000000004</v>
      </c>
    </row>
    <row r="2389" spans="1:18" ht="21.75" customHeight="1">
      <c r="A2389" t="s">
        <v>2540</v>
      </c>
      <c r="B2389" s="6">
        <v>45357</v>
      </c>
      <c r="C2389" t="s">
        <v>432</v>
      </c>
      <c r="D2389" t="s">
        <v>26</v>
      </c>
      <c r="E2389" t="s">
        <v>22</v>
      </c>
      <c r="F2389" t="s">
        <v>42</v>
      </c>
      <c r="G2389" t="s">
        <v>23</v>
      </c>
      <c r="H2389">
        <v>10</v>
      </c>
      <c r="I2389" t="str">
        <f>VLOOKUP(D2389,Product_Lookup!$A$2:$C$27,3,FALSE)</f>
        <v>$84.57</v>
      </c>
      <c r="J2389" t="str">
        <f t="shared" si="299"/>
        <v>Wednesday</v>
      </c>
      <c r="K2389" s="10" t="str">
        <f t="shared" si="300"/>
        <v>March</v>
      </c>
      <c r="L2389">
        <f t="shared" si="301"/>
        <v>2024</v>
      </c>
      <c r="M2389" t="b">
        <f t="shared" si="302"/>
        <v>0</v>
      </c>
      <c r="N2389" t="b">
        <f t="shared" si="296"/>
        <v>1</v>
      </c>
      <c r="O2389" t="str">
        <f t="shared" si="303"/>
        <v>Large Order</v>
      </c>
      <c r="P2389" s="7">
        <f t="shared" si="297"/>
        <v>4.2284999999999995</v>
      </c>
      <c r="Q2389" s="7" t="str">
        <f>VLOOKUP(D2390,Product_Lookup!$A$2:$C$27,2,FALSE)</f>
        <v>Doll</v>
      </c>
      <c r="R2389" s="7">
        <f t="shared" si="298"/>
        <v>845.69999999999993</v>
      </c>
    </row>
    <row r="2390" spans="1:18" ht="21.75" customHeight="1">
      <c r="A2390" t="s">
        <v>2541</v>
      </c>
      <c r="B2390" s="6">
        <v>45426</v>
      </c>
      <c r="C2390" t="s">
        <v>594</v>
      </c>
      <c r="D2390" t="s">
        <v>119</v>
      </c>
      <c r="E2390" t="s">
        <v>17</v>
      </c>
      <c r="F2390" t="s">
        <v>306</v>
      </c>
      <c r="G2390" t="s">
        <v>32</v>
      </c>
      <c r="H2390">
        <v>14</v>
      </c>
      <c r="I2390" t="str">
        <f>VLOOKUP(D2390,Product_Lookup!$A$2:$C$27,3,FALSE)</f>
        <v>$32.94</v>
      </c>
      <c r="J2390" t="str">
        <f t="shared" si="299"/>
        <v>Tuesday</v>
      </c>
      <c r="K2390" s="10" t="str">
        <f t="shared" si="300"/>
        <v>May</v>
      </c>
      <c r="L2390">
        <f t="shared" si="301"/>
        <v>2024</v>
      </c>
      <c r="M2390" t="b">
        <f t="shared" si="302"/>
        <v>0</v>
      </c>
      <c r="N2390" t="b">
        <f t="shared" si="296"/>
        <v>0</v>
      </c>
      <c r="O2390" t="str">
        <f t="shared" si="303"/>
        <v>Standard order</v>
      </c>
      <c r="P2390" s="7">
        <f t="shared" si="297"/>
        <v>1.647</v>
      </c>
      <c r="Q2390" s="7" t="str">
        <f>VLOOKUP(D2391,Product_Lookup!$A$2:$C$27,2,FALSE)</f>
        <v>Stapler</v>
      </c>
      <c r="R2390" s="7">
        <f t="shared" si="298"/>
        <v>461.15999999999997</v>
      </c>
    </row>
    <row r="2391" spans="1:18" ht="21.75" customHeight="1">
      <c r="A2391" t="s">
        <v>2542</v>
      </c>
      <c r="B2391" s="6">
        <v>45453</v>
      </c>
      <c r="C2391" t="s">
        <v>304</v>
      </c>
      <c r="D2391" t="s">
        <v>35</v>
      </c>
      <c r="E2391" t="s">
        <v>11</v>
      </c>
      <c r="F2391" t="s">
        <v>306</v>
      </c>
      <c r="G2391" t="s">
        <v>23</v>
      </c>
      <c r="H2391">
        <v>2</v>
      </c>
      <c r="I2391" t="str">
        <f>VLOOKUP(D2391,Product_Lookup!$A$2:$C$27,3,FALSE)</f>
        <v>$64.61</v>
      </c>
      <c r="J2391" t="str">
        <f t="shared" si="299"/>
        <v>Monday</v>
      </c>
      <c r="K2391" s="10" t="str">
        <f t="shared" si="300"/>
        <v>June</v>
      </c>
      <c r="L2391">
        <f t="shared" si="301"/>
        <v>2024</v>
      </c>
      <c r="M2391" t="b">
        <f t="shared" si="302"/>
        <v>0</v>
      </c>
      <c r="N2391" t="b">
        <f t="shared" si="296"/>
        <v>0</v>
      </c>
      <c r="O2391" t="str">
        <f t="shared" si="303"/>
        <v>Standard order</v>
      </c>
      <c r="P2391" s="7">
        <f t="shared" si="297"/>
        <v>3.2305000000000001</v>
      </c>
      <c r="Q2391" s="7" t="str">
        <f>VLOOKUP(D2392,Product_Lookup!$A$2:$C$27,2,FALSE)</f>
        <v>T-Shirt</v>
      </c>
      <c r="R2391" s="7">
        <f t="shared" si="298"/>
        <v>129.22</v>
      </c>
    </row>
    <row r="2392" spans="1:18" ht="21.75" customHeight="1">
      <c r="A2392" t="s">
        <v>2543</v>
      </c>
      <c r="B2392" s="6">
        <v>45319</v>
      </c>
      <c r="C2392" t="s">
        <v>51</v>
      </c>
      <c r="D2392" t="s">
        <v>45</v>
      </c>
      <c r="E2392" t="s">
        <v>11</v>
      </c>
      <c r="F2392" t="s">
        <v>27</v>
      </c>
      <c r="G2392" t="s">
        <v>32</v>
      </c>
      <c r="H2392">
        <v>6</v>
      </c>
      <c r="I2392" t="str">
        <f>VLOOKUP(D2392,Product_Lookup!$A$2:$C$27,3,FALSE)</f>
        <v>$107.34</v>
      </c>
      <c r="J2392" t="str">
        <f t="shared" si="299"/>
        <v>Sunday</v>
      </c>
      <c r="K2392" s="10" t="str">
        <f t="shared" si="300"/>
        <v>January</v>
      </c>
      <c r="L2392">
        <f t="shared" si="301"/>
        <v>2024</v>
      </c>
      <c r="M2392" t="b">
        <f t="shared" si="302"/>
        <v>1</v>
      </c>
      <c r="N2392" t="b">
        <f t="shared" si="296"/>
        <v>0</v>
      </c>
      <c r="O2392" t="str">
        <f t="shared" si="303"/>
        <v>Large Order</v>
      </c>
      <c r="P2392" s="7">
        <f t="shared" si="297"/>
        <v>5.3670000000000009</v>
      </c>
      <c r="Q2392" s="7" t="str">
        <f>VLOOKUP(D2393,Product_Lookup!$A$2:$C$27,2,FALSE)</f>
        <v>Stapler</v>
      </c>
      <c r="R2392" s="7">
        <f t="shared" si="298"/>
        <v>644.04</v>
      </c>
    </row>
    <row r="2393" spans="1:18" ht="21.75" customHeight="1">
      <c r="A2393" t="s">
        <v>2544</v>
      </c>
      <c r="B2393" s="6">
        <v>45515</v>
      </c>
      <c r="C2393" t="s">
        <v>40</v>
      </c>
      <c r="D2393" t="s">
        <v>35</v>
      </c>
      <c r="E2393" t="s">
        <v>11</v>
      </c>
      <c r="F2393" t="s">
        <v>27</v>
      </c>
      <c r="G2393" t="s">
        <v>32</v>
      </c>
      <c r="H2393">
        <v>18</v>
      </c>
      <c r="I2393" t="str">
        <f>VLOOKUP(D2393,Product_Lookup!$A$2:$C$27,3,FALSE)</f>
        <v>$64.61</v>
      </c>
      <c r="J2393" t="str">
        <f t="shared" si="299"/>
        <v>Sunday</v>
      </c>
      <c r="K2393" s="10" t="str">
        <f t="shared" si="300"/>
        <v>August</v>
      </c>
      <c r="L2393">
        <f t="shared" si="301"/>
        <v>2024</v>
      </c>
      <c r="M2393" t="b">
        <f t="shared" si="302"/>
        <v>1</v>
      </c>
      <c r="N2393" t="b">
        <f t="shared" si="296"/>
        <v>1</v>
      </c>
      <c r="O2393" t="str">
        <f t="shared" si="303"/>
        <v>Large Order</v>
      </c>
      <c r="P2393" s="7">
        <f t="shared" si="297"/>
        <v>3.2305000000000001</v>
      </c>
      <c r="Q2393" s="7" t="str">
        <f>VLOOKUP(D2394,Product_Lookup!$A$2:$C$27,2,FALSE)</f>
        <v>Lego Set</v>
      </c>
      <c r="R2393" s="7">
        <f t="shared" si="298"/>
        <v>1162.98</v>
      </c>
    </row>
    <row r="2394" spans="1:18" ht="21.75" customHeight="1">
      <c r="A2394" t="s">
        <v>2545</v>
      </c>
      <c r="B2394" s="6">
        <v>45544</v>
      </c>
      <c r="C2394" t="s">
        <v>40</v>
      </c>
      <c r="D2394" t="s">
        <v>84</v>
      </c>
      <c r="E2394" t="s">
        <v>11</v>
      </c>
      <c r="F2394" t="s">
        <v>12</v>
      </c>
      <c r="G2394" t="s">
        <v>32</v>
      </c>
      <c r="H2394">
        <v>3</v>
      </c>
      <c r="I2394" t="str">
        <f>VLOOKUP(D2394,Product_Lookup!$A$2:$C$27,3,FALSE)</f>
        <v>$130.07</v>
      </c>
      <c r="J2394" t="str">
        <f t="shared" si="299"/>
        <v>Monday</v>
      </c>
      <c r="K2394" s="10" t="str">
        <f t="shared" si="300"/>
        <v>September</v>
      </c>
      <c r="L2394">
        <f t="shared" si="301"/>
        <v>2024</v>
      </c>
      <c r="M2394" t="b">
        <f t="shared" si="302"/>
        <v>0</v>
      </c>
      <c r="N2394" t="b">
        <f t="shared" si="296"/>
        <v>0</v>
      </c>
      <c r="O2394" t="str">
        <f t="shared" si="303"/>
        <v>Standard order</v>
      </c>
      <c r="P2394" s="7">
        <f t="shared" si="297"/>
        <v>6.5034999999999998</v>
      </c>
      <c r="Q2394" s="7" t="str">
        <f>VLOOKUP(D2395,Product_Lookup!$A$2:$C$27,2,FALSE)</f>
        <v>T-Shirt</v>
      </c>
      <c r="R2394" s="7">
        <f t="shared" si="298"/>
        <v>390.21</v>
      </c>
    </row>
    <row r="2395" spans="1:18" ht="21.75" customHeight="1">
      <c r="A2395" t="s">
        <v>2546</v>
      </c>
      <c r="B2395" s="6">
        <v>45437</v>
      </c>
      <c r="C2395" t="s">
        <v>44</v>
      </c>
      <c r="D2395" t="s">
        <v>45</v>
      </c>
      <c r="E2395" t="s">
        <v>22</v>
      </c>
      <c r="F2395" t="s">
        <v>306</v>
      </c>
      <c r="G2395" t="s">
        <v>32</v>
      </c>
      <c r="H2395">
        <v>19</v>
      </c>
      <c r="I2395" t="str">
        <f>VLOOKUP(D2395,Product_Lookup!$A$2:$C$27,3,FALSE)</f>
        <v>$107.34</v>
      </c>
      <c r="J2395" t="str">
        <f t="shared" si="299"/>
        <v>Saturday</v>
      </c>
      <c r="K2395" s="10" t="str">
        <f t="shared" si="300"/>
        <v>May</v>
      </c>
      <c r="L2395">
        <f t="shared" si="301"/>
        <v>2024</v>
      </c>
      <c r="M2395" t="b">
        <f t="shared" si="302"/>
        <v>1</v>
      </c>
      <c r="N2395" t="b">
        <f t="shared" si="296"/>
        <v>1</v>
      </c>
      <c r="O2395" t="str">
        <f t="shared" si="303"/>
        <v>Large Order</v>
      </c>
      <c r="P2395" s="7">
        <f t="shared" si="297"/>
        <v>5.3670000000000009</v>
      </c>
      <c r="Q2395" s="7" t="str">
        <f>VLOOKUP(D2396,Product_Lookup!$A$2:$C$27,2,FALSE)</f>
        <v>Desk Lamp</v>
      </c>
      <c r="R2395" s="7">
        <f t="shared" si="298"/>
        <v>2039.46</v>
      </c>
    </row>
    <row r="2396" spans="1:18" ht="21.75" customHeight="1">
      <c r="A2396" t="s">
        <v>2547</v>
      </c>
      <c r="B2396" s="6">
        <v>45591</v>
      </c>
      <c r="C2396" t="s">
        <v>133</v>
      </c>
      <c r="D2396" t="s">
        <v>59</v>
      </c>
      <c r="E2396" t="s">
        <v>11</v>
      </c>
      <c r="F2396" t="s">
        <v>306</v>
      </c>
      <c r="G2396" t="s">
        <v>36</v>
      </c>
      <c r="H2396">
        <v>6</v>
      </c>
      <c r="I2396" t="str">
        <f>VLOOKUP(D2396,Product_Lookup!$A$2:$C$27,3,FALSE)</f>
        <v>$101.96</v>
      </c>
      <c r="J2396" t="str">
        <f t="shared" si="299"/>
        <v>Saturday</v>
      </c>
      <c r="K2396" s="10" t="str">
        <f t="shared" si="300"/>
        <v>October</v>
      </c>
      <c r="L2396">
        <f t="shared" si="301"/>
        <v>2024</v>
      </c>
      <c r="M2396" t="b">
        <f t="shared" si="302"/>
        <v>1</v>
      </c>
      <c r="N2396" t="b">
        <f t="shared" si="296"/>
        <v>0</v>
      </c>
      <c r="O2396" t="str">
        <f t="shared" si="303"/>
        <v>Large Order</v>
      </c>
      <c r="P2396" s="7">
        <f t="shared" si="297"/>
        <v>5.0979999999999999</v>
      </c>
      <c r="Q2396" s="7" t="str">
        <f>VLOOKUP(D2397,Product_Lookup!$A$2:$C$27,2,FALSE)</f>
        <v>Doll</v>
      </c>
      <c r="R2396" s="7">
        <f t="shared" si="298"/>
        <v>611.76</v>
      </c>
    </row>
    <row r="2397" spans="1:18" ht="21.75" customHeight="1">
      <c r="A2397" t="s">
        <v>2548</v>
      </c>
      <c r="B2397" s="6">
        <v>45331</v>
      </c>
      <c r="C2397" t="s">
        <v>78</v>
      </c>
      <c r="D2397" t="s">
        <v>119</v>
      </c>
      <c r="E2397" t="s">
        <v>17</v>
      </c>
      <c r="F2397" t="s">
        <v>12</v>
      </c>
      <c r="G2397" t="s">
        <v>32</v>
      </c>
      <c r="H2397">
        <v>1</v>
      </c>
      <c r="I2397" t="str">
        <f>VLOOKUP(D2397,Product_Lookup!$A$2:$C$27,3,FALSE)</f>
        <v>$32.94</v>
      </c>
      <c r="J2397" t="str">
        <f t="shared" si="299"/>
        <v>Friday</v>
      </c>
      <c r="K2397" s="10" t="str">
        <f t="shared" si="300"/>
        <v>February</v>
      </c>
      <c r="L2397">
        <f t="shared" si="301"/>
        <v>2024</v>
      </c>
      <c r="M2397" t="b">
        <f t="shared" si="302"/>
        <v>0</v>
      </c>
      <c r="N2397" t="b">
        <f t="shared" si="296"/>
        <v>0</v>
      </c>
      <c r="O2397" t="str">
        <f t="shared" si="303"/>
        <v>Standard order</v>
      </c>
      <c r="P2397" s="7">
        <f t="shared" si="297"/>
        <v>1.647</v>
      </c>
      <c r="Q2397" s="7" t="str">
        <f>VLOOKUP(D2398,Product_Lookup!$A$2:$C$27,2,FALSE)</f>
        <v>Coffee Maker</v>
      </c>
      <c r="R2397" s="7">
        <f t="shared" si="298"/>
        <v>32.94</v>
      </c>
    </row>
    <row r="2398" spans="1:18" ht="21.75" customHeight="1">
      <c r="A2398" t="s">
        <v>2549</v>
      </c>
      <c r="B2398" s="6">
        <v>45640</v>
      </c>
      <c r="C2398" t="s">
        <v>114</v>
      </c>
      <c r="D2398" t="s">
        <v>31</v>
      </c>
      <c r="E2398" t="s">
        <v>17</v>
      </c>
      <c r="F2398" t="s">
        <v>306</v>
      </c>
      <c r="G2398" t="s">
        <v>13</v>
      </c>
      <c r="H2398">
        <v>11</v>
      </c>
      <c r="I2398" t="str">
        <f>VLOOKUP(D2398,Product_Lookup!$A$2:$C$27,3,FALSE)</f>
        <v>$230.34</v>
      </c>
      <c r="J2398" t="str">
        <f t="shared" si="299"/>
        <v>Saturday</v>
      </c>
      <c r="K2398" s="10" t="str">
        <f t="shared" si="300"/>
        <v>December</v>
      </c>
      <c r="L2398">
        <f t="shared" si="301"/>
        <v>2024</v>
      </c>
      <c r="M2398" t="b">
        <f t="shared" si="302"/>
        <v>1</v>
      </c>
      <c r="N2398" t="b">
        <f t="shared" si="296"/>
        <v>1</v>
      </c>
      <c r="O2398" t="str">
        <f t="shared" si="303"/>
        <v>Large Order</v>
      </c>
      <c r="P2398" s="7">
        <f t="shared" si="297"/>
        <v>11.517000000000001</v>
      </c>
      <c r="Q2398" s="7" t="str">
        <f>VLOOKUP(D2399,Product_Lookup!$A$2:$C$27,2,FALSE)</f>
        <v>Puzzle</v>
      </c>
      <c r="R2398" s="7">
        <f t="shared" si="298"/>
        <v>2533.7400000000002</v>
      </c>
    </row>
    <row r="2399" spans="1:18" ht="21.75" customHeight="1">
      <c r="A2399" t="s">
        <v>2550</v>
      </c>
      <c r="B2399" s="6">
        <v>45333</v>
      </c>
      <c r="C2399" t="s">
        <v>366</v>
      </c>
      <c r="D2399" t="s">
        <v>62</v>
      </c>
      <c r="E2399" t="s">
        <v>22</v>
      </c>
      <c r="F2399" t="s">
        <v>27</v>
      </c>
      <c r="G2399" t="s">
        <v>23</v>
      </c>
      <c r="H2399">
        <v>9</v>
      </c>
      <c r="I2399" t="str">
        <f>VLOOKUP(D2399,Product_Lookup!$A$2:$C$27,3,FALSE)</f>
        <v>$46.19</v>
      </c>
      <c r="J2399" t="str">
        <f t="shared" si="299"/>
        <v>Sunday</v>
      </c>
      <c r="K2399" s="10" t="str">
        <f t="shared" si="300"/>
        <v>February</v>
      </c>
      <c r="L2399">
        <f t="shared" si="301"/>
        <v>2024</v>
      </c>
      <c r="M2399" t="b">
        <f t="shared" si="302"/>
        <v>1</v>
      </c>
      <c r="N2399" t="b">
        <f t="shared" si="296"/>
        <v>0</v>
      </c>
      <c r="O2399" t="str">
        <f t="shared" si="303"/>
        <v>Standard order</v>
      </c>
      <c r="P2399" s="7">
        <f t="shared" si="297"/>
        <v>2.3094999999999999</v>
      </c>
      <c r="Q2399" s="7" t="str">
        <f>VLOOKUP(D2400,Product_Lookup!$A$2:$C$27,2,FALSE)</f>
        <v>Smartphone</v>
      </c>
      <c r="R2399" s="7">
        <f t="shared" si="298"/>
        <v>415.71</v>
      </c>
    </row>
    <row r="2400" spans="1:18" ht="21.75" customHeight="1">
      <c r="A2400" t="s">
        <v>2551</v>
      </c>
      <c r="B2400" s="6">
        <v>45294</v>
      </c>
      <c r="C2400" t="s">
        <v>118</v>
      </c>
      <c r="D2400" t="s">
        <v>79</v>
      </c>
      <c r="E2400" t="s">
        <v>22</v>
      </c>
      <c r="F2400" t="s">
        <v>306</v>
      </c>
      <c r="G2400" t="s">
        <v>23</v>
      </c>
      <c r="H2400">
        <v>11</v>
      </c>
      <c r="I2400" t="str">
        <f>VLOOKUP(D2400,Product_Lookup!$A$2:$C$27,3,FALSE)</f>
        <v>$216.22</v>
      </c>
      <c r="J2400" t="str">
        <f t="shared" si="299"/>
        <v>Wednesday</v>
      </c>
      <c r="K2400" s="10" t="str">
        <f t="shared" si="300"/>
        <v>January</v>
      </c>
      <c r="L2400">
        <f t="shared" si="301"/>
        <v>2024</v>
      </c>
      <c r="M2400" t="b">
        <f t="shared" si="302"/>
        <v>0</v>
      </c>
      <c r="N2400" t="b">
        <f t="shared" si="296"/>
        <v>1</v>
      </c>
      <c r="O2400" t="str">
        <f t="shared" si="303"/>
        <v>Large Order</v>
      </c>
      <c r="P2400" s="7">
        <f t="shared" si="297"/>
        <v>10.811</v>
      </c>
      <c r="Q2400" s="7" t="str">
        <f>VLOOKUP(D2401,Product_Lookup!$A$2:$C$27,2,FALSE)</f>
        <v>Jeans</v>
      </c>
      <c r="R2400" s="7">
        <f t="shared" si="298"/>
        <v>2378.42</v>
      </c>
    </row>
    <row r="2401" spans="1:18" ht="21.75" customHeight="1">
      <c r="A2401" t="s">
        <v>2552</v>
      </c>
      <c r="B2401" s="6">
        <v>45583</v>
      </c>
      <c r="C2401" t="s">
        <v>34</v>
      </c>
      <c r="D2401" t="s">
        <v>65</v>
      </c>
      <c r="E2401" t="s">
        <v>11</v>
      </c>
      <c r="F2401" t="s">
        <v>42</v>
      </c>
      <c r="G2401" t="s">
        <v>32</v>
      </c>
      <c r="H2401">
        <v>2</v>
      </c>
      <c r="I2401" t="str">
        <f>VLOOKUP(D2401,Product_Lookup!$A$2:$C$27,3,FALSE)</f>
        <v>$33.22</v>
      </c>
      <c r="J2401" t="str">
        <f t="shared" si="299"/>
        <v>Friday</v>
      </c>
      <c r="K2401" s="10" t="str">
        <f t="shared" si="300"/>
        <v>October</v>
      </c>
      <c r="L2401">
        <f t="shared" si="301"/>
        <v>2024</v>
      </c>
      <c r="M2401" t="b">
        <f t="shared" si="302"/>
        <v>0</v>
      </c>
      <c r="N2401" t="b">
        <f t="shared" si="296"/>
        <v>0</v>
      </c>
      <c r="O2401" t="str">
        <f t="shared" si="303"/>
        <v>Standard order</v>
      </c>
      <c r="P2401" s="7">
        <f t="shared" si="297"/>
        <v>1.661</v>
      </c>
      <c r="Q2401" s="7" t="str">
        <f>VLOOKUP(D2402,Product_Lookup!$A$2:$C$27,2,FALSE)</f>
        <v>Coffee Maker</v>
      </c>
      <c r="R2401" s="7">
        <f t="shared" si="298"/>
        <v>66.44</v>
      </c>
    </row>
    <row r="2402" spans="1:18" ht="21.75" customHeight="1">
      <c r="A2402" t="s">
        <v>2553</v>
      </c>
      <c r="B2402" s="6">
        <v>45572</v>
      </c>
      <c r="C2402" t="s">
        <v>493</v>
      </c>
      <c r="D2402" t="s">
        <v>31</v>
      </c>
      <c r="E2402" t="s">
        <v>11</v>
      </c>
      <c r="F2402" t="s">
        <v>27</v>
      </c>
      <c r="G2402" t="s">
        <v>32</v>
      </c>
      <c r="H2402">
        <v>6</v>
      </c>
      <c r="I2402" t="str">
        <f>VLOOKUP(D2402,Product_Lookup!$A$2:$C$27,3,FALSE)</f>
        <v>$230.34</v>
      </c>
      <c r="J2402" t="str">
        <f t="shared" si="299"/>
        <v>Monday</v>
      </c>
      <c r="K2402" s="10" t="str">
        <f t="shared" si="300"/>
        <v>October</v>
      </c>
      <c r="L2402">
        <f t="shared" si="301"/>
        <v>2024</v>
      </c>
      <c r="M2402" t="b">
        <f t="shared" si="302"/>
        <v>0</v>
      </c>
      <c r="N2402" t="b">
        <f t="shared" si="296"/>
        <v>1</v>
      </c>
      <c r="O2402" t="str">
        <f t="shared" si="303"/>
        <v>Large Order</v>
      </c>
      <c r="P2402" s="7">
        <f t="shared" si="297"/>
        <v>11.517000000000001</v>
      </c>
      <c r="Q2402" s="7" t="str">
        <f>VLOOKUP(D2403,Product_Lookup!$A$2:$C$27,2,FALSE)</f>
        <v>Laptop</v>
      </c>
      <c r="R2402" s="7">
        <f t="shared" si="298"/>
        <v>1382.04</v>
      </c>
    </row>
    <row r="2403" spans="1:18" ht="21.75" customHeight="1">
      <c r="A2403" t="s">
        <v>2554</v>
      </c>
      <c r="B2403" s="6">
        <v>45496</v>
      </c>
      <c r="C2403" t="s">
        <v>203</v>
      </c>
      <c r="D2403" t="s">
        <v>96</v>
      </c>
      <c r="E2403" t="s">
        <v>11</v>
      </c>
      <c r="F2403" t="s">
        <v>56</v>
      </c>
      <c r="G2403" t="s">
        <v>23</v>
      </c>
      <c r="H2403">
        <v>13</v>
      </c>
      <c r="I2403" t="str">
        <f>VLOOKUP(D2403,Product_Lookup!$A$2:$C$27,3,FALSE)</f>
        <v>$230.68</v>
      </c>
      <c r="J2403" t="str">
        <f t="shared" si="299"/>
        <v>Tuesday</v>
      </c>
      <c r="K2403" s="10" t="str">
        <f t="shared" si="300"/>
        <v>July</v>
      </c>
      <c r="L2403">
        <f t="shared" si="301"/>
        <v>2024</v>
      </c>
      <c r="M2403" t="b">
        <f t="shared" si="302"/>
        <v>0</v>
      </c>
      <c r="N2403" t="b">
        <f t="shared" si="296"/>
        <v>1</v>
      </c>
      <c r="O2403" t="str">
        <f t="shared" si="303"/>
        <v>Large Order</v>
      </c>
      <c r="P2403" s="7">
        <f t="shared" si="297"/>
        <v>11.534000000000001</v>
      </c>
      <c r="Q2403" s="7" t="str">
        <f>VLOOKUP(D2404,Product_Lookup!$A$2:$C$27,2,FALSE)</f>
        <v>Monitor</v>
      </c>
      <c r="R2403" s="7">
        <f t="shared" si="298"/>
        <v>2998.84</v>
      </c>
    </row>
    <row r="2404" spans="1:18" ht="21.75" customHeight="1">
      <c r="A2404" t="s">
        <v>2555</v>
      </c>
      <c r="B2404" s="6">
        <v>45626</v>
      </c>
      <c r="C2404" t="s">
        <v>125</v>
      </c>
      <c r="D2404" t="s">
        <v>102</v>
      </c>
      <c r="E2404" t="s">
        <v>17</v>
      </c>
      <c r="F2404" t="s">
        <v>27</v>
      </c>
      <c r="G2404" t="s">
        <v>23</v>
      </c>
      <c r="H2404">
        <v>10</v>
      </c>
      <c r="I2404" t="str">
        <f>VLOOKUP(D2404,Product_Lookup!$A$2:$C$27,3,FALSE)</f>
        <v>$145.48</v>
      </c>
      <c r="J2404" t="str">
        <f t="shared" si="299"/>
        <v>Saturday</v>
      </c>
      <c r="K2404" s="10" t="str">
        <f t="shared" si="300"/>
        <v>November</v>
      </c>
      <c r="L2404">
        <f t="shared" si="301"/>
        <v>2024</v>
      </c>
      <c r="M2404" t="b">
        <f t="shared" si="302"/>
        <v>1</v>
      </c>
      <c r="N2404" t="b">
        <f t="shared" si="296"/>
        <v>1</v>
      </c>
      <c r="O2404" t="str">
        <f t="shared" si="303"/>
        <v>Large Order</v>
      </c>
      <c r="P2404" s="7">
        <f t="shared" si="297"/>
        <v>7.274</v>
      </c>
      <c r="Q2404" s="7" t="str">
        <f>VLOOKUP(D2405,Product_Lookup!$A$2:$C$27,2,FALSE)</f>
        <v>Toaster</v>
      </c>
      <c r="R2404" s="7">
        <f t="shared" si="298"/>
        <v>1454.8</v>
      </c>
    </row>
    <row r="2405" spans="1:18" ht="21.75" customHeight="1">
      <c r="A2405" t="s">
        <v>2556</v>
      </c>
      <c r="B2405" s="6">
        <v>45600</v>
      </c>
      <c r="C2405" t="s">
        <v>34</v>
      </c>
      <c r="D2405" t="s">
        <v>48</v>
      </c>
      <c r="E2405" t="s">
        <v>22</v>
      </c>
      <c r="F2405" t="s">
        <v>12</v>
      </c>
      <c r="G2405" t="s">
        <v>32</v>
      </c>
      <c r="H2405">
        <v>17</v>
      </c>
      <c r="I2405" t="str">
        <f>VLOOKUP(D2405,Product_Lookup!$A$2:$C$27,3,FALSE)</f>
        <v>$208.85</v>
      </c>
      <c r="J2405" t="str">
        <f t="shared" si="299"/>
        <v>Monday</v>
      </c>
      <c r="K2405" s="10" t="str">
        <f t="shared" si="300"/>
        <v>November</v>
      </c>
      <c r="L2405">
        <f t="shared" si="301"/>
        <v>2024</v>
      </c>
      <c r="M2405" t="b">
        <f t="shared" si="302"/>
        <v>0</v>
      </c>
      <c r="N2405" t="b">
        <f t="shared" si="296"/>
        <v>1</v>
      </c>
      <c r="O2405" t="str">
        <f t="shared" si="303"/>
        <v>Large Order</v>
      </c>
      <c r="P2405" s="7">
        <f t="shared" si="297"/>
        <v>10.442500000000001</v>
      </c>
      <c r="Q2405" s="7" t="str">
        <f>VLOOKUP(D2406,Product_Lookup!$A$2:$C$27,2,FALSE)</f>
        <v>Stapler</v>
      </c>
      <c r="R2405" s="7">
        <f t="shared" si="298"/>
        <v>3550.45</v>
      </c>
    </row>
    <row r="2406" spans="1:18" ht="21.75" customHeight="1">
      <c r="A2406" t="s">
        <v>2557</v>
      </c>
      <c r="B2406" s="6">
        <v>45520</v>
      </c>
      <c r="C2406" t="s">
        <v>53</v>
      </c>
      <c r="D2406" t="s">
        <v>35</v>
      </c>
      <c r="E2406" t="s">
        <v>17</v>
      </c>
      <c r="F2406" t="s">
        <v>306</v>
      </c>
      <c r="G2406" t="s">
        <v>36</v>
      </c>
      <c r="H2406">
        <v>14</v>
      </c>
      <c r="I2406" t="str">
        <f>VLOOKUP(D2406,Product_Lookup!$A$2:$C$27,3,FALSE)</f>
        <v>$64.61</v>
      </c>
      <c r="J2406" t="str">
        <f t="shared" si="299"/>
        <v>Friday</v>
      </c>
      <c r="K2406" s="10" t="str">
        <f t="shared" si="300"/>
        <v>August</v>
      </c>
      <c r="L2406">
        <f t="shared" si="301"/>
        <v>2024</v>
      </c>
      <c r="M2406" t="b">
        <f t="shared" si="302"/>
        <v>0</v>
      </c>
      <c r="N2406" t="b">
        <f t="shared" si="296"/>
        <v>1</v>
      </c>
      <c r="O2406" t="str">
        <f t="shared" si="303"/>
        <v>Large Order</v>
      </c>
      <c r="P2406" s="7">
        <f t="shared" si="297"/>
        <v>3.2305000000000001</v>
      </c>
      <c r="Q2406" s="7" t="str">
        <f>VLOOKUP(D2407,Product_Lookup!$A$2:$C$27,2,FALSE)</f>
        <v>Paper Shredder</v>
      </c>
      <c r="R2406" s="7">
        <f t="shared" si="298"/>
        <v>904.54</v>
      </c>
    </row>
    <row r="2407" spans="1:18" ht="21.75" customHeight="1">
      <c r="A2407" t="s">
        <v>2558</v>
      </c>
      <c r="B2407" s="6">
        <v>45508</v>
      </c>
      <c r="C2407" t="s">
        <v>200</v>
      </c>
      <c r="D2407" t="s">
        <v>109</v>
      </c>
      <c r="E2407" t="s">
        <v>11</v>
      </c>
      <c r="F2407" t="s">
        <v>27</v>
      </c>
      <c r="G2407" t="s">
        <v>23</v>
      </c>
      <c r="H2407">
        <v>3</v>
      </c>
      <c r="I2407" t="str">
        <f>VLOOKUP(D2407,Product_Lookup!$A$2:$C$27,3,FALSE)</f>
        <v>$81.02</v>
      </c>
      <c r="J2407" t="str">
        <f t="shared" si="299"/>
        <v>Sunday</v>
      </c>
      <c r="K2407" s="10" t="str">
        <f t="shared" si="300"/>
        <v>August</v>
      </c>
      <c r="L2407">
        <f t="shared" si="301"/>
        <v>2024</v>
      </c>
      <c r="M2407" t="b">
        <f t="shared" si="302"/>
        <v>1</v>
      </c>
      <c r="N2407" t="b">
        <f t="shared" si="296"/>
        <v>0</v>
      </c>
      <c r="O2407" t="str">
        <f t="shared" si="303"/>
        <v>Standard order</v>
      </c>
      <c r="P2407" s="7">
        <f t="shared" si="297"/>
        <v>4.0510000000000002</v>
      </c>
      <c r="Q2407" s="7" t="str">
        <f>VLOOKUP(D2408,Product_Lookup!$A$2:$C$27,2,FALSE)</f>
        <v>Board Game</v>
      </c>
      <c r="R2407" s="7">
        <f t="shared" si="298"/>
        <v>243.06</v>
      </c>
    </row>
    <row r="2408" spans="1:18" ht="21.75" customHeight="1">
      <c r="A2408" t="s">
        <v>2559</v>
      </c>
      <c r="B2408" s="6">
        <v>45466</v>
      </c>
      <c r="C2408" t="s">
        <v>319</v>
      </c>
      <c r="D2408" t="s">
        <v>41</v>
      </c>
      <c r="E2408" t="s">
        <v>11</v>
      </c>
      <c r="F2408" t="s">
        <v>56</v>
      </c>
      <c r="G2408" t="s">
        <v>23</v>
      </c>
      <c r="H2408">
        <v>17</v>
      </c>
      <c r="I2408" t="str">
        <f>VLOOKUP(D2408,Product_Lookup!$A$2:$C$27,3,FALSE)</f>
        <v>$86.6</v>
      </c>
      <c r="J2408" t="str">
        <f t="shared" si="299"/>
        <v>Sunday</v>
      </c>
      <c r="K2408" s="10" t="str">
        <f t="shared" si="300"/>
        <v>June</v>
      </c>
      <c r="L2408">
        <f t="shared" si="301"/>
        <v>2024</v>
      </c>
      <c r="M2408" t="b">
        <f t="shared" si="302"/>
        <v>1</v>
      </c>
      <c r="N2408" t="b">
        <f t="shared" si="296"/>
        <v>1</v>
      </c>
      <c r="O2408" t="str">
        <f t="shared" si="303"/>
        <v>Large Order</v>
      </c>
      <c r="P2408" s="7">
        <f t="shared" si="297"/>
        <v>4.33</v>
      </c>
      <c r="Q2408" s="7" t="str">
        <f>VLOOKUP(D2409,Product_Lookup!$A$2:$C$27,2,FALSE)</f>
        <v>Socks</v>
      </c>
      <c r="R2408" s="7">
        <f t="shared" si="298"/>
        <v>1472.1999999999998</v>
      </c>
    </row>
    <row r="2409" spans="1:18" ht="21.75" customHeight="1">
      <c r="A2409" t="s">
        <v>2560</v>
      </c>
      <c r="B2409" s="6">
        <v>45560</v>
      </c>
      <c r="C2409" t="s">
        <v>81</v>
      </c>
      <c r="D2409" t="s">
        <v>74</v>
      </c>
      <c r="E2409" t="s">
        <v>17</v>
      </c>
      <c r="F2409" t="s">
        <v>27</v>
      </c>
      <c r="G2409" t="s">
        <v>13</v>
      </c>
      <c r="H2409">
        <v>16</v>
      </c>
      <c r="I2409" t="str">
        <f>VLOOKUP(D2409,Product_Lookup!$A$2:$C$27,3,FALSE)</f>
        <v>$201.32</v>
      </c>
      <c r="J2409" t="str">
        <f t="shared" si="299"/>
        <v>Wednesday</v>
      </c>
      <c r="K2409" s="10" t="str">
        <f t="shared" si="300"/>
        <v>September</v>
      </c>
      <c r="L2409">
        <f t="shared" si="301"/>
        <v>2024</v>
      </c>
      <c r="M2409" t="b">
        <f t="shared" si="302"/>
        <v>0</v>
      </c>
      <c r="N2409" t="b">
        <f t="shared" si="296"/>
        <v>1</v>
      </c>
      <c r="O2409" t="str">
        <f t="shared" si="303"/>
        <v>Large Order</v>
      </c>
      <c r="P2409" s="7">
        <f t="shared" si="297"/>
        <v>10.066000000000001</v>
      </c>
      <c r="Q2409" s="7" t="str">
        <f>VLOOKUP(D2410,Product_Lookup!$A$2:$C$27,2,FALSE)</f>
        <v>Socks</v>
      </c>
      <c r="R2409" s="7">
        <f t="shared" si="298"/>
        <v>3221.12</v>
      </c>
    </row>
    <row r="2410" spans="1:18" ht="21.75" customHeight="1">
      <c r="A2410" t="s">
        <v>2561</v>
      </c>
      <c r="B2410" s="6">
        <v>45357</v>
      </c>
      <c r="C2410" t="s">
        <v>455</v>
      </c>
      <c r="D2410" t="s">
        <v>74</v>
      </c>
      <c r="E2410" t="s">
        <v>11</v>
      </c>
      <c r="F2410" t="s">
        <v>306</v>
      </c>
      <c r="G2410" t="s">
        <v>23</v>
      </c>
      <c r="H2410">
        <v>10</v>
      </c>
      <c r="I2410" t="str">
        <f>VLOOKUP(D2410,Product_Lookup!$A$2:$C$27,3,FALSE)</f>
        <v>$201.32</v>
      </c>
      <c r="J2410" t="str">
        <f t="shared" si="299"/>
        <v>Wednesday</v>
      </c>
      <c r="K2410" s="10" t="str">
        <f t="shared" si="300"/>
        <v>March</v>
      </c>
      <c r="L2410">
        <f t="shared" si="301"/>
        <v>2024</v>
      </c>
      <c r="M2410" t="b">
        <f t="shared" si="302"/>
        <v>0</v>
      </c>
      <c r="N2410" t="b">
        <f t="shared" si="296"/>
        <v>1</v>
      </c>
      <c r="O2410" t="str">
        <f t="shared" si="303"/>
        <v>Large Order</v>
      </c>
      <c r="P2410" s="7">
        <f t="shared" si="297"/>
        <v>10.066000000000001</v>
      </c>
      <c r="Q2410" s="7" t="str">
        <f>VLOOKUP(D2411,Product_Lookup!$A$2:$C$27,2,FALSE)</f>
        <v>Smartphone</v>
      </c>
      <c r="R2410" s="7">
        <f t="shared" si="298"/>
        <v>2013.1999999999998</v>
      </c>
    </row>
    <row r="2411" spans="1:18" ht="21.75" customHeight="1">
      <c r="A2411" t="s">
        <v>2562</v>
      </c>
      <c r="B2411" s="6">
        <v>45574</v>
      </c>
      <c r="C2411" t="s">
        <v>208</v>
      </c>
      <c r="D2411" t="s">
        <v>79</v>
      </c>
      <c r="E2411" t="s">
        <v>22</v>
      </c>
      <c r="F2411" t="s">
        <v>12</v>
      </c>
      <c r="G2411" t="s">
        <v>36</v>
      </c>
      <c r="H2411">
        <v>14</v>
      </c>
      <c r="I2411" t="str">
        <f>VLOOKUP(D2411,Product_Lookup!$A$2:$C$27,3,FALSE)</f>
        <v>$216.22</v>
      </c>
      <c r="J2411" t="str">
        <f t="shared" si="299"/>
        <v>Wednesday</v>
      </c>
      <c r="K2411" s="10" t="str">
        <f t="shared" si="300"/>
        <v>October</v>
      </c>
      <c r="L2411">
        <f t="shared" si="301"/>
        <v>2024</v>
      </c>
      <c r="M2411" t="b">
        <f t="shared" si="302"/>
        <v>0</v>
      </c>
      <c r="N2411" t="b">
        <f t="shared" si="296"/>
        <v>1</v>
      </c>
      <c r="O2411" t="str">
        <f t="shared" si="303"/>
        <v>Large Order</v>
      </c>
      <c r="P2411" s="7">
        <f t="shared" si="297"/>
        <v>10.811</v>
      </c>
      <c r="Q2411" s="7" t="str">
        <f>VLOOKUP(D2412,Product_Lookup!$A$2:$C$27,2,FALSE)</f>
        <v>Lego Set</v>
      </c>
      <c r="R2411" s="7">
        <f t="shared" si="298"/>
        <v>3027.08</v>
      </c>
    </row>
    <row r="2412" spans="1:18" ht="21.75" customHeight="1">
      <c r="A2412" t="s">
        <v>2563</v>
      </c>
      <c r="B2412" s="6">
        <v>45529</v>
      </c>
      <c r="C2412" t="s">
        <v>371</v>
      </c>
      <c r="D2412" t="s">
        <v>84</v>
      </c>
      <c r="E2412" t="s">
        <v>22</v>
      </c>
      <c r="F2412" t="s">
        <v>42</v>
      </c>
      <c r="G2412" t="s">
        <v>32</v>
      </c>
      <c r="H2412">
        <v>9</v>
      </c>
      <c r="I2412" t="str">
        <f>VLOOKUP(D2412,Product_Lookup!$A$2:$C$27,3,FALSE)</f>
        <v>$130.07</v>
      </c>
      <c r="J2412" t="str">
        <f t="shared" si="299"/>
        <v>Sunday</v>
      </c>
      <c r="K2412" s="10" t="str">
        <f t="shared" si="300"/>
        <v>August</v>
      </c>
      <c r="L2412">
        <f t="shared" si="301"/>
        <v>2024</v>
      </c>
      <c r="M2412" t="b">
        <f t="shared" si="302"/>
        <v>1</v>
      </c>
      <c r="N2412" t="b">
        <f t="shared" si="296"/>
        <v>1</v>
      </c>
      <c r="O2412" t="str">
        <f t="shared" si="303"/>
        <v>Large Order</v>
      </c>
      <c r="P2412" s="7">
        <f t="shared" si="297"/>
        <v>6.5034999999999998</v>
      </c>
      <c r="Q2412" s="7" t="str">
        <f>VLOOKUP(D2413,Product_Lookup!$A$2:$C$27,2,FALSE)</f>
        <v>Monitor</v>
      </c>
      <c r="R2412" s="7">
        <f t="shared" si="298"/>
        <v>1170.6299999999999</v>
      </c>
    </row>
    <row r="2413" spans="1:18" ht="21.75" customHeight="1">
      <c r="A2413" t="s">
        <v>2564</v>
      </c>
      <c r="B2413" s="6">
        <v>45549</v>
      </c>
      <c r="C2413" t="s">
        <v>138</v>
      </c>
      <c r="D2413" t="s">
        <v>102</v>
      </c>
      <c r="E2413" t="s">
        <v>22</v>
      </c>
      <c r="F2413" t="s">
        <v>27</v>
      </c>
      <c r="G2413" t="s">
        <v>28</v>
      </c>
      <c r="H2413">
        <v>6</v>
      </c>
      <c r="I2413" t="str">
        <f>VLOOKUP(D2413,Product_Lookup!$A$2:$C$27,3,FALSE)</f>
        <v>$145.48</v>
      </c>
      <c r="J2413" t="str">
        <f t="shared" si="299"/>
        <v>Saturday</v>
      </c>
      <c r="K2413" s="10" t="str">
        <f t="shared" si="300"/>
        <v>September</v>
      </c>
      <c r="L2413">
        <f t="shared" si="301"/>
        <v>2024</v>
      </c>
      <c r="M2413" t="b">
        <f t="shared" si="302"/>
        <v>1</v>
      </c>
      <c r="N2413" t="b">
        <f t="shared" si="296"/>
        <v>1</v>
      </c>
      <c r="O2413" t="str">
        <f t="shared" si="303"/>
        <v>Large Order</v>
      </c>
      <c r="P2413" s="7">
        <f t="shared" si="297"/>
        <v>7.274</v>
      </c>
      <c r="Q2413" s="7" t="str">
        <f>VLOOKUP(D2414,Product_Lookup!$A$2:$C$27,2,FALSE)</f>
        <v>Vacuum</v>
      </c>
      <c r="R2413" s="7">
        <f t="shared" si="298"/>
        <v>872.87999999999988</v>
      </c>
    </row>
    <row r="2414" spans="1:18" ht="21.75" customHeight="1">
      <c r="A2414" t="s">
        <v>2565</v>
      </c>
      <c r="B2414" s="6">
        <v>45315</v>
      </c>
      <c r="C2414" t="s">
        <v>81</v>
      </c>
      <c r="D2414" t="s">
        <v>87</v>
      </c>
      <c r="E2414" t="s">
        <v>22</v>
      </c>
      <c r="F2414" t="s">
        <v>42</v>
      </c>
      <c r="G2414" t="s">
        <v>32</v>
      </c>
      <c r="H2414">
        <v>19</v>
      </c>
      <c r="I2414" t="str">
        <f>VLOOKUP(D2414,Product_Lookup!$A$2:$C$27,3,FALSE)</f>
        <v>$26.59</v>
      </c>
      <c r="J2414" t="str">
        <f t="shared" si="299"/>
        <v>Wednesday</v>
      </c>
      <c r="K2414" s="10" t="str">
        <f t="shared" si="300"/>
        <v>January</v>
      </c>
      <c r="L2414">
        <f t="shared" si="301"/>
        <v>2024</v>
      </c>
      <c r="M2414" t="b">
        <f t="shared" si="302"/>
        <v>0</v>
      </c>
      <c r="N2414" t="b">
        <f t="shared" si="296"/>
        <v>0</v>
      </c>
      <c r="O2414" t="str">
        <f t="shared" si="303"/>
        <v>Large Order</v>
      </c>
      <c r="P2414" s="7">
        <f t="shared" si="297"/>
        <v>1.3295000000000001</v>
      </c>
      <c r="Q2414" s="7" t="str">
        <f>VLOOKUP(D2415,Product_Lookup!$A$2:$C$27,2,FALSE)</f>
        <v>Paper Shredder</v>
      </c>
      <c r="R2414" s="7">
        <f t="shared" si="298"/>
        <v>505.21</v>
      </c>
    </row>
    <row r="2415" spans="1:18" ht="21.75" customHeight="1">
      <c r="A2415" t="s">
        <v>2566</v>
      </c>
      <c r="B2415" s="6">
        <v>45635</v>
      </c>
      <c r="C2415" t="s">
        <v>430</v>
      </c>
      <c r="D2415" t="s">
        <v>109</v>
      </c>
      <c r="E2415" t="s">
        <v>17</v>
      </c>
      <c r="F2415" t="s">
        <v>42</v>
      </c>
      <c r="G2415" t="s">
        <v>28</v>
      </c>
      <c r="H2415">
        <v>7</v>
      </c>
      <c r="I2415" t="str">
        <f>VLOOKUP(D2415,Product_Lookup!$A$2:$C$27,3,FALSE)</f>
        <v>$81.02</v>
      </c>
      <c r="J2415" t="str">
        <f t="shared" si="299"/>
        <v>Monday</v>
      </c>
      <c r="K2415" s="10" t="str">
        <f t="shared" si="300"/>
        <v>December</v>
      </c>
      <c r="L2415">
        <f t="shared" si="301"/>
        <v>2024</v>
      </c>
      <c r="M2415" t="b">
        <f t="shared" si="302"/>
        <v>0</v>
      </c>
      <c r="N2415" t="b">
        <f t="shared" si="296"/>
        <v>0</v>
      </c>
      <c r="O2415" t="str">
        <f t="shared" si="303"/>
        <v>Large Order</v>
      </c>
      <c r="P2415" s="7">
        <f t="shared" si="297"/>
        <v>4.0510000000000002</v>
      </c>
      <c r="Q2415" s="7" t="str">
        <f>VLOOKUP(D2416,Product_Lookup!$A$2:$C$27,2,FALSE)</f>
        <v>Board Game</v>
      </c>
      <c r="R2415" s="7">
        <f t="shared" si="298"/>
        <v>567.14</v>
      </c>
    </row>
    <row r="2416" spans="1:18" ht="21.75" customHeight="1">
      <c r="A2416" t="s">
        <v>2567</v>
      </c>
      <c r="B2416" s="6">
        <v>45601</v>
      </c>
      <c r="C2416" t="s">
        <v>86</v>
      </c>
      <c r="D2416" t="s">
        <v>41</v>
      </c>
      <c r="E2416" t="s">
        <v>11</v>
      </c>
      <c r="F2416" t="s">
        <v>27</v>
      </c>
      <c r="G2416" t="s">
        <v>36</v>
      </c>
      <c r="H2416">
        <v>1</v>
      </c>
      <c r="I2416" t="str">
        <f>VLOOKUP(D2416,Product_Lookup!$A$2:$C$27,3,FALSE)</f>
        <v>$86.6</v>
      </c>
      <c r="J2416" t="str">
        <f t="shared" si="299"/>
        <v>Tuesday</v>
      </c>
      <c r="K2416" s="10" t="str">
        <f t="shared" si="300"/>
        <v>November</v>
      </c>
      <c r="L2416">
        <f t="shared" si="301"/>
        <v>2024</v>
      </c>
      <c r="M2416" t="b">
        <f t="shared" si="302"/>
        <v>0</v>
      </c>
      <c r="N2416" t="b">
        <f t="shared" si="296"/>
        <v>0</v>
      </c>
      <c r="O2416" t="str">
        <f t="shared" si="303"/>
        <v>Standard order</v>
      </c>
      <c r="P2416" s="7">
        <f t="shared" si="297"/>
        <v>4.33</v>
      </c>
      <c r="Q2416" s="7" t="str">
        <f>VLOOKUP(D2417,Product_Lookup!$A$2:$C$27,2,FALSE)</f>
        <v>T-Shirt</v>
      </c>
      <c r="R2416" s="7">
        <f t="shared" si="298"/>
        <v>86.6</v>
      </c>
    </row>
    <row r="2417" spans="1:18" ht="21.75" customHeight="1">
      <c r="A2417" t="s">
        <v>2568</v>
      </c>
      <c r="B2417" s="6">
        <v>45351</v>
      </c>
      <c r="C2417" t="s">
        <v>142</v>
      </c>
      <c r="D2417" t="s">
        <v>45</v>
      </c>
      <c r="E2417" t="s">
        <v>22</v>
      </c>
      <c r="F2417" t="s">
        <v>27</v>
      </c>
      <c r="G2417" t="s">
        <v>23</v>
      </c>
      <c r="H2417">
        <v>13</v>
      </c>
      <c r="I2417" t="str">
        <f>VLOOKUP(D2417,Product_Lookup!$A$2:$C$27,3,FALSE)</f>
        <v>$107.34</v>
      </c>
      <c r="J2417" t="str">
        <f t="shared" si="299"/>
        <v>Thursday</v>
      </c>
      <c r="K2417" s="10" t="str">
        <f t="shared" si="300"/>
        <v>February</v>
      </c>
      <c r="L2417">
        <f t="shared" si="301"/>
        <v>2024</v>
      </c>
      <c r="M2417" t="b">
        <f t="shared" si="302"/>
        <v>0</v>
      </c>
      <c r="N2417" t="b">
        <f t="shared" si="296"/>
        <v>1</v>
      </c>
      <c r="O2417" t="str">
        <f t="shared" si="303"/>
        <v>Large Order</v>
      </c>
      <c r="P2417" s="7">
        <f t="shared" si="297"/>
        <v>5.3670000000000009</v>
      </c>
      <c r="Q2417" s="7" t="str">
        <f>VLOOKUP(D2418,Product_Lookup!$A$2:$C$27,2,FALSE)</f>
        <v>Stapler</v>
      </c>
      <c r="R2417" s="7">
        <f t="shared" si="298"/>
        <v>1395.42</v>
      </c>
    </row>
    <row r="2418" spans="1:18" ht="21.75" customHeight="1">
      <c r="A2418" t="s">
        <v>2569</v>
      </c>
      <c r="B2418" s="6">
        <v>45600</v>
      </c>
      <c r="C2418" t="s">
        <v>329</v>
      </c>
      <c r="D2418" t="s">
        <v>35</v>
      </c>
      <c r="E2418" t="s">
        <v>17</v>
      </c>
      <c r="F2418" t="s">
        <v>306</v>
      </c>
      <c r="G2418" t="s">
        <v>36</v>
      </c>
      <c r="H2418">
        <v>12</v>
      </c>
      <c r="I2418" t="str">
        <f>VLOOKUP(D2418,Product_Lookup!$A$2:$C$27,3,FALSE)</f>
        <v>$64.61</v>
      </c>
      <c r="J2418" t="str">
        <f t="shared" si="299"/>
        <v>Monday</v>
      </c>
      <c r="K2418" s="10" t="str">
        <f t="shared" si="300"/>
        <v>November</v>
      </c>
      <c r="L2418">
        <f t="shared" si="301"/>
        <v>2024</v>
      </c>
      <c r="M2418" t="b">
        <f t="shared" si="302"/>
        <v>0</v>
      </c>
      <c r="N2418" t="b">
        <f t="shared" si="296"/>
        <v>1</v>
      </c>
      <c r="O2418" t="str">
        <f t="shared" si="303"/>
        <v>Large Order</v>
      </c>
      <c r="P2418" s="7">
        <f t="shared" si="297"/>
        <v>3.2305000000000001</v>
      </c>
      <c r="Q2418" s="7" t="str">
        <f>VLOOKUP(D2419,Product_Lookup!$A$2:$C$27,2,FALSE)</f>
        <v>Coffee Maker</v>
      </c>
      <c r="R2418" s="7">
        <f t="shared" si="298"/>
        <v>775.31999999999994</v>
      </c>
    </row>
    <row r="2419" spans="1:18" ht="21.75" customHeight="1">
      <c r="A2419" t="s">
        <v>2570</v>
      </c>
      <c r="B2419" s="6">
        <v>45645</v>
      </c>
      <c r="C2419" t="s">
        <v>422</v>
      </c>
      <c r="D2419" t="s">
        <v>31</v>
      </c>
      <c r="E2419" t="s">
        <v>17</v>
      </c>
      <c r="F2419" t="s">
        <v>12</v>
      </c>
      <c r="G2419" t="s">
        <v>28</v>
      </c>
      <c r="H2419">
        <v>5</v>
      </c>
      <c r="I2419" t="str">
        <f>VLOOKUP(D2419,Product_Lookup!$A$2:$C$27,3,FALSE)</f>
        <v>$230.34</v>
      </c>
      <c r="J2419" t="str">
        <f t="shared" si="299"/>
        <v>Thursday</v>
      </c>
      <c r="K2419" s="10" t="str">
        <f t="shared" si="300"/>
        <v>December</v>
      </c>
      <c r="L2419">
        <f t="shared" si="301"/>
        <v>2024</v>
      </c>
      <c r="M2419" t="b">
        <f t="shared" si="302"/>
        <v>0</v>
      </c>
      <c r="N2419" t="b">
        <f t="shared" si="296"/>
        <v>0</v>
      </c>
      <c r="O2419" t="str">
        <f t="shared" si="303"/>
        <v>Large Order</v>
      </c>
      <c r="P2419" s="7">
        <f t="shared" si="297"/>
        <v>11.517000000000001</v>
      </c>
      <c r="Q2419" s="7" t="str">
        <f>VLOOKUP(D2420,Product_Lookup!$A$2:$C$27,2,FALSE)</f>
        <v>Puzzle</v>
      </c>
      <c r="R2419" s="7">
        <f t="shared" si="298"/>
        <v>1151.7</v>
      </c>
    </row>
    <row r="2420" spans="1:18" ht="21.75" customHeight="1">
      <c r="A2420" t="s">
        <v>2571</v>
      </c>
      <c r="B2420" s="6">
        <v>45349</v>
      </c>
      <c r="C2420" t="s">
        <v>138</v>
      </c>
      <c r="D2420" t="s">
        <v>62</v>
      </c>
      <c r="E2420" t="s">
        <v>11</v>
      </c>
      <c r="F2420" t="s">
        <v>12</v>
      </c>
      <c r="G2420" t="s">
        <v>28</v>
      </c>
      <c r="H2420">
        <v>16</v>
      </c>
      <c r="I2420" t="str">
        <f>VLOOKUP(D2420,Product_Lookup!$A$2:$C$27,3,FALSE)</f>
        <v>$46.19</v>
      </c>
      <c r="J2420" t="str">
        <f t="shared" si="299"/>
        <v>Tuesday</v>
      </c>
      <c r="K2420" s="10" t="str">
        <f t="shared" si="300"/>
        <v>February</v>
      </c>
      <c r="L2420">
        <f t="shared" si="301"/>
        <v>2024</v>
      </c>
      <c r="M2420" t="b">
        <f t="shared" si="302"/>
        <v>0</v>
      </c>
      <c r="N2420" t="b">
        <f t="shared" si="296"/>
        <v>0</v>
      </c>
      <c r="O2420" t="str">
        <f t="shared" si="303"/>
        <v>Large Order</v>
      </c>
      <c r="P2420" s="7">
        <f t="shared" si="297"/>
        <v>2.3094999999999999</v>
      </c>
      <c r="Q2420" s="7" t="str">
        <f>VLOOKUP(D2421,Product_Lookup!$A$2:$C$27,2,FALSE)</f>
        <v>Vacuum</v>
      </c>
      <c r="R2420" s="7">
        <f t="shared" si="298"/>
        <v>739.04</v>
      </c>
    </row>
    <row r="2421" spans="1:18" ht="21.75" customHeight="1">
      <c r="A2421" t="s">
        <v>2572</v>
      </c>
      <c r="B2421" s="6">
        <v>45624</v>
      </c>
      <c r="C2421" t="s">
        <v>93</v>
      </c>
      <c r="D2421" t="s">
        <v>87</v>
      </c>
      <c r="E2421" t="s">
        <v>22</v>
      </c>
      <c r="F2421" t="s">
        <v>306</v>
      </c>
      <c r="G2421" t="s">
        <v>28</v>
      </c>
      <c r="H2421">
        <v>3</v>
      </c>
      <c r="I2421" t="str">
        <f>VLOOKUP(D2421,Product_Lookup!$A$2:$C$27,3,FALSE)</f>
        <v>$26.59</v>
      </c>
      <c r="J2421" t="str">
        <f t="shared" si="299"/>
        <v>Thursday</v>
      </c>
      <c r="K2421" s="10" t="str">
        <f t="shared" si="300"/>
        <v>November</v>
      </c>
      <c r="L2421">
        <f t="shared" si="301"/>
        <v>2024</v>
      </c>
      <c r="M2421" t="b">
        <f t="shared" si="302"/>
        <v>0</v>
      </c>
      <c r="N2421" t="b">
        <f t="shared" si="296"/>
        <v>0</v>
      </c>
      <c r="O2421" t="str">
        <f t="shared" si="303"/>
        <v>Standard order</v>
      </c>
      <c r="P2421" s="7">
        <f t="shared" si="297"/>
        <v>1.3295000000000001</v>
      </c>
      <c r="Q2421" s="7" t="str">
        <f>VLOOKUP(D2422,Product_Lookup!$A$2:$C$27,2,FALSE)</f>
        <v>Stapler</v>
      </c>
      <c r="R2421" s="7">
        <f t="shared" si="298"/>
        <v>79.77</v>
      </c>
    </row>
    <row r="2422" spans="1:18" ht="21.75" customHeight="1">
      <c r="A2422" t="s">
        <v>2573</v>
      </c>
      <c r="B2422" s="6">
        <v>45529</v>
      </c>
      <c r="C2422" t="s">
        <v>167</v>
      </c>
      <c r="D2422" t="s">
        <v>35</v>
      </c>
      <c r="E2422" t="s">
        <v>17</v>
      </c>
      <c r="F2422" t="s">
        <v>12</v>
      </c>
      <c r="G2422" t="s">
        <v>13</v>
      </c>
      <c r="H2422">
        <v>6</v>
      </c>
      <c r="I2422" t="str">
        <f>VLOOKUP(D2422,Product_Lookup!$A$2:$C$27,3,FALSE)</f>
        <v>$64.61</v>
      </c>
      <c r="J2422" t="str">
        <f t="shared" si="299"/>
        <v>Sunday</v>
      </c>
      <c r="K2422" s="10" t="str">
        <f t="shared" si="300"/>
        <v>August</v>
      </c>
      <c r="L2422">
        <f t="shared" si="301"/>
        <v>2024</v>
      </c>
      <c r="M2422" t="b">
        <f t="shared" si="302"/>
        <v>1</v>
      </c>
      <c r="N2422" t="b">
        <f t="shared" si="296"/>
        <v>0</v>
      </c>
      <c r="O2422" t="str">
        <f t="shared" si="303"/>
        <v>Standard order</v>
      </c>
      <c r="P2422" s="7">
        <f t="shared" si="297"/>
        <v>3.2305000000000001</v>
      </c>
      <c r="Q2422" s="7" t="str">
        <f>VLOOKUP(D2423,Product_Lookup!$A$2:$C$27,2,FALSE)</f>
        <v>Stapler</v>
      </c>
      <c r="R2422" s="7">
        <f t="shared" si="298"/>
        <v>387.65999999999997</v>
      </c>
    </row>
    <row r="2423" spans="1:18" ht="21.75" customHeight="1">
      <c r="A2423" t="s">
        <v>2574</v>
      </c>
      <c r="B2423" s="6">
        <v>45651</v>
      </c>
      <c r="C2423" t="s">
        <v>396</v>
      </c>
      <c r="D2423" t="s">
        <v>35</v>
      </c>
      <c r="E2423" t="s">
        <v>17</v>
      </c>
      <c r="F2423" t="s">
        <v>12</v>
      </c>
      <c r="G2423" t="s">
        <v>23</v>
      </c>
      <c r="H2423">
        <v>19</v>
      </c>
      <c r="I2423" t="str">
        <f>VLOOKUP(D2423,Product_Lookup!$A$2:$C$27,3,FALSE)</f>
        <v>$64.61</v>
      </c>
      <c r="J2423" t="str">
        <f t="shared" si="299"/>
        <v>Wednesday</v>
      </c>
      <c r="K2423" s="10" t="str">
        <f t="shared" si="300"/>
        <v>December</v>
      </c>
      <c r="L2423">
        <f t="shared" si="301"/>
        <v>2024</v>
      </c>
      <c r="M2423" t="b">
        <f t="shared" si="302"/>
        <v>0</v>
      </c>
      <c r="N2423" t="b">
        <f t="shared" si="296"/>
        <v>1</v>
      </c>
      <c r="O2423" t="str">
        <f t="shared" si="303"/>
        <v>Large Order</v>
      </c>
      <c r="P2423" s="7">
        <f t="shared" si="297"/>
        <v>3.2305000000000001</v>
      </c>
      <c r="Q2423" s="7" t="str">
        <f>VLOOKUP(D2424,Product_Lookup!$A$2:$C$27,2,FALSE)</f>
        <v>Coffee Maker</v>
      </c>
      <c r="R2423" s="7">
        <f t="shared" si="298"/>
        <v>1227.5899999999999</v>
      </c>
    </row>
    <row r="2424" spans="1:18" ht="21.75" customHeight="1">
      <c r="A2424" t="s">
        <v>2575</v>
      </c>
      <c r="B2424" s="6">
        <v>45442</v>
      </c>
      <c r="C2424" t="s">
        <v>614</v>
      </c>
      <c r="D2424" t="s">
        <v>31</v>
      </c>
      <c r="E2424" t="s">
        <v>11</v>
      </c>
      <c r="F2424" t="s">
        <v>42</v>
      </c>
      <c r="G2424" t="s">
        <v>13</v>
      </c>
      <c r="H2424">
        <v>4</v>
      </c>
      <c r="I2424" t="str">
        <f>VLOOKUP(D2424,Product_Lookup!$A$2:$C$27,3,FALSE)</f>
        <v>$230.34</v>
      </c>
      <c r="J2424" t="str">
        <f t="shared" si="299"/>
        <v>Thursday</v>
      </c>
      <c r="K2424" s="10" t="str">
        <f t="shared" si="300"/>
        <v>May</v>
      </c>
      <c r="L2424">
        <f t="shared" si="301"/>
        <v>2024</v>
      </c>
      <c r="M2424" t="b">
        <f t="shared" si="302"/>
        <v>0</v>
      </c>
      <c r="N2424" t="b">
        <f t="shared" si="296"/>
        <v>0</v>
      </c>
      <c r="O2424" t="str">
        <f t="shared" si="303"/>
        <v>Large Order</v>
      </c>
      <c r="P2424" s="7">
        <f t="shared" si="297"/>
        <v>11.517000000000001</v>
      </c>
      <c r="Q2424" s="7" t="str">
        <f>VLOOKUP(D2425,Product_Lookup!$A$2:$C$27,2,FALSE)</f>
        <v>Stapler</v>
      </c>
      <c r="R2424" s="7">
        <f t="shared" si="298"/>
        <v>921.36</v>
      </c>
    </row>
    <row r="2425" spans="1:18" ht="21.75" customHeight="1">
      <c r="A2425" t="s">
        <v>2576</v>
      </c>
      <c r="B2425" s="6">
        <v>45513</v>
      </c>
      <c r="C2425" t="s">
        <v>572</v>
      </c>
      <c r="D2425" t="s">
        <v>35</v>
      </c>
      <c r="E2425" t="s">
        <v>22</v>
      </c>
      <c r="F2425" t="s">
        <v>306</v>
      </c>
      <c r="G2425" t="s">
        <v>36</v>
      </c>
      <c r="H2425">
        <v>18</v>
      </c>
      <c r="I2425" t="str">
        <f>VLOOKUP(D2425,Product_Lookup!$A$2:$C$27,3,FALSE)</f>
        <v>$64.61</v>
      </c>
      <c r="J2425" t="str">
        <f t="shared" si="299"/>
        <v>Friday</v>
      </c>
      <c r="K2425" s="10" t="str">
        <f t="shared" si="300"/>
        <v>August</v>
      </c>
      <c r="L2425">
        <f t="shared" si="301"/>
        <v>2024</v>
      </c>
      <c r="M2425" t="b">
        <f t="shared" si="302"/>
        <v>0</v>
      </c>
      <c r="N2425" t="b">
        <f t="shared" si="296"/>
        <v>1</v>
      </c>
      <c r="O2425" t="str">
        <f t="shared" si="303"/>
        <v>Large Order</v>
      </c>
      <c r="P2425" s="7">
        <f t="shared" si="297"/>
        <v>3.2305000000000001</v>
      </c>
      <c r="Q2425" s="7" t="str">
        <f>VLOOKUP(D2426,Product_Lookup!$A$2:$C$27,2,FALSE)</f>
        <v>Coffee Maker</v>
      </c>
      <c r="R2425" s="7">
        <f t="shared" si="298"/>
        <v>1162.98</v>
      </c>
    </row>
    <row r="2426" spans="1:18" ht="21.75" customHeight="1">
      <c r="A2426" t="s">
        <v>2577</v>
      </c>
      <c r="B2426" s="6">
        <v>45310</v>
      </c>
      <c r="C2426" t="s">
        <v>374</v>
      </c>
      <c r="D2426" t="s">
        <v>31</v>
      </c>
      <c r="E2426" t="s">
        <v>17</v>
      </c>
      <c r="F2426" t="s">
        <v>306</v>
      </c>
      <c r="G2426" t="s">
        <v>36</v>
      </c>
      <c r="H2426">
        <v>20</v>
      </c>
      <c r="I2426" t="str">
        <f>VLOOKUP(D2426,Product_Lookup!$A$2:$C$27,3,FALSE)</f>
        <v>$230.34</v>
      </c>
      <c r="J2426" t="str">
        <f t="shared" si="299"/>
        <v>Friday</v>
      </c>
      <c r="K2426" s="10" t="str">
        <f t="shared" si="300"/>
        <v>January</v>
      </c>
      <c r="L2426">
        <f t="shared" si="301"/>
        <v>2024</v>
      </c>
      <c r="M2426" t="b">
        <f t="shared" si="302"/>
        <v>0</v>
      </c>
      <c r="N2426" t="b">
        <f t="shared" si="296"/>
        <v>1</v>
      </c>
      <c r="O2426" t="str">
        <f t="shared" si="303"/>
        <v>Large Order</v>
      </c>
      <c r="P2426" s="7">
        <f t="shared" si="297"/>
        <v>11.517000000000001</v>
      </c>
      <c r="Q2426" s="7" t="str">
        <f>VLOOKUP(D2427,Product_Lookup!$A$2:$C$27,2,FALSE)</f>
        <v>Puzzle</v>
      </c>
      <c r="R2426" s="7">
        <f t="shared" si="298"/>
        <v>4606.8</v>
      </c>
    </row>
    <row r="2427" spans="1:18" ht="21.75" customHeight="1">
      <c r="A2427" t="s">
        <v>2578</v>
      </c>
      <c r="B2427" s="6">
        <v>45541</v>
      </c>
      <c r="C2427" t="s">
        <v>51</v>
      </c>
      <c r="D2427" t="s">
        <v>62</v>
      </c>
      <c r="E2427" t="s">
        <v>11</v>
      </c>
      <c r="F2427" t="s">
        <v>306</v>
      </c>
      <c r="G2427" t="s">
        <v>13</v>
      </c>
      <c r="H2427">
        <v>14</v>
      </c>
      <c r="I2427" t="str">
        <f>VLOOKUP(D2427,Product_Lookup!$A$2:$C$27,3,FALSE)</f>
        <v>$46.19</v>
      </c>
      <c r="J2427" t="str">
        <f t="shared" si="299"/>
        <v>Friday</v>
      </c>
      <c r="K2427" s="10" t="str">
        <f t="shared" si="300"/>
        <v>September</v>
      </c>
      <c r="L2427">
        <f t="shared" si="301"/>
        <v>2024</v>
      </c>
      <c r="M2427" t="b">
        <f t="shared" si="302"/>
        <v>0</v>
      </c>
      <c r="N2427" t="b">
        <f t="shared" si="296"/>
        <v>0</v>
      </c>
      <c r="O2427" t="str">
        <f t="shared" si="303"/>
        <v>Large Order</v>
      </c>
      <c r="P2427" s="7">
        <f t="shared" si="297"/>
        <v>2.3094999999999999</v>
      </c>
      <c r="Q2427" s="7" t="str">
        <f>VLOOKUP(D2428,Product_Lookup!$A$2:$C$27,2,FALSE)</f>
        <v>Sweater</v>
      </c>
      <c r="R2427" s="7">
        <f t="shared" si="298"/>
        <v>646.66</v>
      </c>
    </row>
    <row r="2428" spans="1:18" ht="21.75" customHeight="1">
      <c r="A2428" t="s">
        <v>2579</v>
      </c>
      <c r="B2428" s="6">
        <v>45575</v>
      </c>
      <c r="C2428" t="s">
        <v>58</v>
      </c>
      <c r="D2428" t="s">
        <v>26</v>
      </c>
      <c r="E2428" t="s">
        <v>22</v>
      </c>
      <c r="F2428" t="s">
        <v>27</v>
      </c>
      <c r="G2428" t="s">
        <v>23</v>
      </c>
      <c r="H2428">
        <v>4</v>
      </c>
      <c r="I2428" t="str">
        <f>VLOOKUP(D2428,Product_Lookup!$A$2:$C$27,3,FALSE)</f>
        <v>$84.57</v>
      </c>
      <c r="J2428" t="str">
        <f t="shared" si="299"/>
        <v>Thursday</v>
      </c>
      <c r="K2428" s="10" t="str">
        <f t="shared" si="300"/>
        <v>October</v>
      </c>
      <c r="L2428">
        <f t="shared" si="301"/>
        <v>2024</v>
      </c>
      <c r="M2428" t="b">
        <f t="shared" si="302"/>
        <v>0</v>
      </c>
      <c r="N2428" t="b">
        <f t="shared" si="296"/>
        <v>0</v>
      </c>
      <c r="O2428" t="str">
        <f t="shared" si="303"/>
        <v>Standard order</v>
      </c>
      <c r="P2428" s="7">
        <f t="shared" si="297"/>
        <v>4.2284999999999995</v>
      </c>
      <c r="Q2428" s="7" t="str">
        <f>VLOOKUP(D2429,Product_Lookup!$A$2:$C$27,2,FALSE)</f>
        <v>Air Fryer</v>
      </c>
      <c r="R2428" s="7">
        <f t="shared" si="298"/>
        <v>338.28</v>
      </c>
    </row>
    <row r="2429" spans="1:18" ht="21.75" customHeight="1">
      <c r="A2429" t="s">
        <v>2580</v>
      </c>
      <c r="B2429" s="6">
        <v>45622</v>
      </c>
      <c r="C2429" t="s">
        <v>20</v>
      </c>
      <c r="D2429" t="s">
        <v>70</v>
      </c>
      <c r="E2429" t="s">
        <v>22</v>
      </c>
      <c r="F2429" t="s">
        <v>27</v>
      </c>
      <c r="G2429" t="s">
        <v>13</v>
      </c>
      <c r="H2429">
        <v>6</v>
      </c>
      <c r="I2429" t="str">
        <f>VLOOKUP(D2429,Product_Lookup!$A$2:$C$27,3,FALSE)</f>
        <v>$211.9</v>
      </c>
      <c r="J2429" t="str">
        <f t="shared" si="299"/>
        <v>Tuesday</v>
      </c>
      <c r="K2429" s="10" t="str">
        <f t="shared" si="300"/>
        <v>November</v>
      </c>
      <c r="L2429">
        <f t="shared" si="301"/>
        <v>2024</v>
      </c>
      <c r="M2429" t="b">
        <f t="shared" si="302"/>
        <v>0</v>
      </c>
      <c r="N2429" t="b">
        <f t="shared" si="296"/>
        <v>1</v>
      </c>
      <c r="O2429" t="str">
        <f t="shared" si="303"/>
        <v>Large Order</v>
      </c>
      <c r="P2429" s="7">
        <f t="shared" si="297"/>
        <v>10.595000000000001</v>
      </c>
      <c r="Q2429" s="7" t="str">
        <f>VLOOKUP(D2430,Product_Lookup!$A$2:$C$27,2,FALSE)</f>
        <v>Toaster</v>
      </c>
      <c r="R2429" s="7">
        <f t="shared" si="298"/>
        <v>1271.4000000000001</v>
      </c>
    </row>
    <row r="2430" spans="1:18" ht="21.75" customHeight="1">
      <c r="A2430" t="s">
        <v>2581</v>
      </c>
      <c r="B2430" s="6">
        <v>45390</v>
      </c>
      <c r="C2430" t="s">
        <v>553</v>
      </c>
      <c r="D2430" t="s">
        <v>48</v>
      </c>
      <c r="E2430" t="s">
        <v>17</v>
      </c>
      <c r="F2430" t="s">
        <v>56</v>
      </c>
      <c r="G2430" t="s">
        <v>36</v>
      </c>
      <c r="H2430">
        <v>8</v>
      </c>
      <c r="I2430" t="str">
        <f>VLOOKUP(D2430,Product_Lookup!$A$2:$C$27,3,FALSE)</f>
        <v>$208.85</v>
      </c>
      <c r="J2430" t="str">
        <f t="shared" si="299"/>
        <v>Monday</v>
      </c>
      <c r="K2430" s="10" t="str">
        <f t="shared" si="300"/>
        <v>April</v>
      </c>
      <c r="L2430">
        <f t="shared" si="301"/>
        <v>2024</v>
      </c>
      <c r="M2430" t="b">
        <f t="shared" si="302"/>
        <v>0</v>
      </c>
      <c r="N2430" t="b">
        <f t="shared" si="296"/>
        <v>1</v>
      </c>
      <c r="O2430" t="str">
        <f t="shared" si="303"/>
        <v>Large Order</v>
      </c>
      <c r="P2430" s="7">
        <f t="shared" si="297"/>
        <v>10.442500000000001</v>
      </c>
      <c r="Q2430" s="7" t="str">
        <f>VLOOKUP(D2431,Product_Lookup!$A$2:$C$27,2,FALSE)</f>
        <v>Paper Shredder</v>
      </c>
      <c r="R2430" s="7">
        <f t="shared" si="298"/>
        <v>1670.8</v>
      </c>
    </row>
    <row r="2431" spans="1:18" ht="21.75" customHeight="1">
      <c r="A2431" t="s">
        <v>2582</v>
      </c>
      <c r="B2431" s="6">
        <v>45642</v>
      </c>
      <c r="C2431" t="s">
        <v>47</v>
      </c>
      <c r="D2431" t="s">
        <v>109</v>
      </c>
      <c r="E2431" t="s">
        <v>22</v>
      </c>
      <c r="F2431" t="s">
        <v>27</v>
      </c>
      <c r="G2431" t="s">
        <v>28</v>
      </c>
      <c r="H2431">
        <v>10</v>
      </c>
      <c r="I2431" t="str">
        <f>VLOOKUP(D2431,Product_Lookup!$A$2:$C$27,3,FALSE)</f>
        <v>$81.02</v>
      </c>
      <c r="J2431" t="str">
        <f t="shared" si="299"/>
        <v>Monday</v>
      </c>
      <c r="K2431" s="10" t="str">
        <f t="shared" si="300"/>
        <v>December</v>
      </c>
      <c r="L2431">
        <f t="shared" si="301"/>
        <v>2024</v>
      </c>
      <c r="M2431" t="b">
        <f t="shared" si="302"/>
        <v>0</v>
      </c>
      <c r="N2431" t="b">
        <f t="shared" si="296"/>
        <v>1</v>
      </c>
      <c r="O2431" t="str">
        <f t="shared" si="303"/>
        <v>Large Order</v>
      </c>
      <c r="P2431" s="7">
        <f t="shared" si="297"/>
        <v>4.0510000000000002</v>
      </c>
      <c r="Q2431" s="7" t="str">
        <f>VLOOKUP(D2432,Product_Lookup!$A$2:$C$27,2,FALSE)</f>
        <v>Board Game</v>
      </c>
      <c r="R2431" s="7">
        <f t="shared" si="298"/>
        <v>810.19999999999993</v>
      </c>
    </row>
    <row r="2432" spans="1:18" ht="21.75" customHeight="1">
      <c r="A2432" t="s">
        <v>2583</v>
      </c>
      <c r="B2432" s="6">
        <v>45491</v>
      </c>
      <c r="C2432" t="s">
        <v>572</v>
      </c>
      <c r="D2432" t="s">
        <v>41</v>
      </c>
      <c r="E2432" t="s">
        <v>22</v>
      </c>
      <c r="F2432" t="s">
        <v>42</v>
      </c>
      <c r="G2432" t="s">
        <v>23</v>
      </c>
      <c r="H2432">
        <v>6</v>
      </c>
      <c r="I2432" t="str">
        <f>VLOOKUP(D2432,Product_Lookup!$A$2:$C$27,3,FALSE)</f>
        <v>$86.6</v>
      </c>
      <c r="J2432" t="str">
        <f t="shared" si="299"/>
        <v>Thursday</v>
      </c>
      <c r="K2432" s="10" t="str">
        <f t="shared" si="300"/>
        <v>July</v>
      </c>
      <c r="L2432">
        <f t="shared" si="301"/>
        <v>2024</v>
      </c>
      <c r="M2432" t="b">
        <f t="shared" si="302"/>
        <v>0</v>
      </c>
      <c r="N2432" t="b">
        <f t="shared" si="296"/>
        <v>0</v>
      </c>
      <c r="O2432" t="str">
        <f t="shared" si="303"/>
        <v>Large Order</v>
      </c>
      <c r="P2432" s="7">
        <f t="shared" si="297"/>
        <v>4.33</v>
      </c>
      <c r="Q2432" s="7" t="str">
        <f>VLOOKUP(D2433,Product_Lookup!$A$2:$C$27,2,FALSE)</f>
        <v>Lego Set</v>
      </c>
      <c r="R2432" s="7">
        <f t="shared" si="298"/>
        <v>519.59999999999991</v>
      </c>
    </row>
    <row r="2433" spans="1:18" ht="21.75" customHeight="1">
      <c r="A2433" t="s">
        <v>2584</v>
      </c>
      <c r="B2433" s="6">
        <v>45436</v>
      </c>
      <c r="C2433" t="s">
        <v>465</v>
      </c>
      <c r="D2433" t="s">
        <v>84</v>
      </c>
      <c r="E2433" t="s">
        <v>11</v>
      </c>
      <c r="F2433" t="s">
        <v>27</v>
      </c>
      <c r="G2433" t="s">
        <v>28</v>
      </c>
      <c r="H2433">
        <v>6</v>
      </c>
      <c r="I2433" t="str">
        <f>VLOOKUP(D2433,Product_Lookup!$A$2:$C$27,3,FALSE)</f>
        <v>$130.07</v>
      </c>
      <c r="J2433" t="str">
        <f t="shared" si="299"/>
        <v>Friday</v>
      </c>
      <c r="K2433" s="10" t="str">
        <f t="shared" si="300"/>
        <v>May</v>
      </c>
      <c r="L2433">
        <f t="shared" si="301"/>
        <v>2024</v>
      </c>
      <c r="M2433" t="b">
        <f t="shared" si="302"/>
        <v>0</v>
      </c>
      <c r="N2433" t="b">
        <f t="shared" si="296"/>
        <v>1</v>
      </c>
      <c r="O2433" t="str">
        <f t="shared" si="303"/>
        <v>Large Order</v>
      </c>
      <c r="P2433" s="7">
        <f t="shared" si="297"/>
        <v>6.5034999999999998</v>
      </c>
      <c r="Q2433" s="7" t="str">
        <f>VLOOKUP(D2434,Product_Lookup!$A$2:$C$27,2,FALSE)</f>
        <v>Monitor</v>
      </c>
      <c r="R2433" s="7">
        <f t="shared" si="298"/>
        <v>780.42</v>
      </c>
    </row>
    <row r="2434" spans="1:18" ht="21.75" customHeight="1">
      <c r="A2434" t="s">
        <v>2585</v>
      </c>
      <c r="B2434" s="6">
        <v>45602</v>
      </c>
      <c r="C2434" t="s">
        <v>374</v>
      </c>
      <c r="D2434" t="s">
        <v>102</v>
      </c>
      <c r="E2434" t="s">
        <v>17</v>
      </c>
      <c r="F2434" t="s">
        <v>27</v>
      </c>
      <c r="G2434" t="s">
        <v>32</v>
      </c>
      <c r="H2434">
        <v>8</v>
      </c>
      <c r="I2434" t="str">
        <f>VLOOKUP(D2434,Product_Lookup!$A$2:$C$27,3,FALSE)</f>
        <v>$145.48</v>
      </c>
      <c r="J2434" t="str">
        <f t="shared" si="299"/>
        <v>Wednesday</v>
      </c>
      <c r="K2434" s="10" t="str">
        <f t="shared" si="300"/>
        <v>November</v>
      </c>
      <c r="L2434">
        <f t="shared" si="301"/>
        <v>2024</v>
      </c>
      <c r="M2434" t="b">
        <f t="shared" si="302"/>
        <v>0</v>
      </c>
      <c r="N2434" t="b">
        <f t="shared" ref="N2434:N2497" si="304">AND(R2434&gt;750, H2434&gt;5)</f>
        <v>1</v>
      </c>
      <c r="O2434" t="str">
        <f t="shared" si="303"/>
        <v>Large Order</v>
      </c>
      <c r="P2434" s="7">
        <f t="shared" ref="P2434:P2497" si="305">I2434*$S$2</f>
        <v>7.274</v>
      </c>
      <c r="Q2434" s="7" t="str">
        <f>VLOOKUP(D2435,Product_Lookup!$A$2:$C$27,2,FALSE)</f>
        <v>Toaster</v>
      </c>
      <c r="R2434" s="7">
        <f t="shared" ref="R2434:R2497" si="306">H2434*I2434</f>
        <v>1163.8399999999999</v>
      </c>
    </row>
    <row r="2435" spans="1:18" ht="21.75" customHeight="1">
      <c r="A2435" t="s">
        <v>2586</v>
      </c>
      <c r="B2435" s="6">
        <v>45316</v>
      </c>
      <c r="C2435" t="s">
        <v>138</v>
      </c>
      <c r="D2435" t="s">
        <v>48</v>
      </c>
      <c r="E2435" t="s">
        <v>17</v>
      </c>
      <c r="F2435" t="s">
        <v>42</v>
      </c>
      <c r="G2435" t="s">
        <v>28</v>
      </c>
      <c r="H2435">
        <v>6</v>
      </c>
      <c r="I2435" t="str">
        <f>VLOOKUP(D2435,Product_Lookup!$A$2:$C$27,3,FALSE)</f>
        <v>$208.85</v>
      </c>
      <c r="J2435" t="str">
        <f t="shared" ref="J2435:J2498" si="307">TEXT(B2435, "dddd")</f>
        <v>Thursday</v>
      </c>
      <c r="K2435" s="10" t="str">
        <f t="shared" ref="K2435:K2498" si="308">TEXT(B2435, "mmmm")</f>
        <v>January</v>
      </c>
      <c r="L2435">
        <f t="shared" ref="L2435:L2498" si="309">YEAR(B2435)</f>
        <v>2024</v>
      </c>
      <c r="M2435" t="b">
        <f t="shared" ref="M2435:M2498" si="310">OR(J2435="Saturday", J2435="Sunday")</f>
        <v>0</v>
      </c>
      <c r="N2435" t="b">
        <f t="shared" si="304"/>
        <v>1</v>
      </c>
      <c r="O2435" t="str">
        <f t="shared" ref="O2435:O2498" si="311">IF(R2435&gt;500,"Large Order","Standard order")</f>
        <v>Large Order</v>
      </c>
      <c r="P2435" s="7">
        <f t="shared" si="305"/>
        <v>10.442500000000001</v>
      </c>
      <c r="Q2435" s="7" t="str">
        <f>VLOOKUP(D2436,Product_Lookup!$A$2:$C$27,2,FALSE)</f>
        <v>Tablet</v>
      </c>
      <c r="R2435" s="7">
        <f t="shared" si="306"/>
        <v>1253.0999999999999</v>
      </c>
    </row>
    <row r="2436" spans="1:18" ht="21.75" customHeight="1">
      <c r="A2436" t="s">
        <v>2587</v>
      </c>
      <c r="B2436" s="6">
        <v>45549</v>
      </c>
      <c r="C2436" t="s">
        <v>122</v>
      </c>
      <c r="D2436" t="s">
        <v>10</v>
      </c>
      <c r="E2436" t="s">
        <v>17</v>
      </c>
      <c r="F2436" t="s">
        <v>27</v>
      </c>
      <c r="G2436" t="s">
        <v>13</v>
      </c>
      <c r="H2436">
        <v>20</v>
      </c>
      <c r="I2436" t="str">
        <f>VLOOKUP(D2436,Product_Lookup!$A$2:$C$27,3,FALSE)</f>
        <v>$146.06</v>
      </c>
      <c r="J2436" t="str">
        <f t="shared" si="307"/>
        <v>Saturday</v>
      </c>
      <c r="K2436" s="10" t="str">
        <f t="shared" si="308"/>
        <v>September</v>
      </c>
      <c r="L2436">
        <f t="shared" si="309"/>
        <v>2024</v>
      </c>
      <c r="M2436" t="b">
        <f t="shared" si="310"/>
        <v>1</v>
      </c>
      <c r="N2436" t="b">
        <f t="shared" si="304"/>
        <v>1</v>
      </c>
      <c r="O2436" t="str">
        <f t="shared" si="311"/>
        <v>Large Order</v>
      </c>
      <c r="P2436" s="7">
        <f t="shared" si="305"/>
        <v>7.3030000000000008</v>
      </c>
      <c r="Q2436" s="7" t="str">
        <f>VLOOKUP(D2437,Product_Lookup!$A$2:$C$27,2,FALSE)</f>
        <v>Stapler</v>
      </c>
      <c r="R2436" s="7">
        <f t="shared" si="306"/>
        <v>2921.2</v>
      </c>
    </row>
    <row r="2437" spans="1:18" ht="21.75" customHeight="1">
      <c r="A2437" t="s">
        <v>2588</v>
      </c>
      <c r="B2437" s="6">
        <v>45579</v>
      </c>
      <c r="C2437" t="s">
        <v>240</v>
      </c>
      <c r="D2437" t="s">
        <v>35</v>
      </c>
      <c r="E2437" t="s">
        <v>17</v>
      </c>
      <c r="F2437" t="s">
        <v>42</v>
      </c>
      <c r="G2437" t="s">
        <v>32</v>
      </c>
      <c r="H2437">
        <v>2</v>
      </c>
      <c r="I2437" t="str">
        <f>VLOOKUP(D2437,Product_Lookup!$A$2:$C$27,3,FALSE)</f>
        <v>$64.61</v>
      </c>
      <c r="J2437" t="str">
        <f t="shared" si="307"/>
        <v>Monday</v>
      </c>
      <c r="K2437" s="10" t="str">
        <f t="shared" si="308"/>
        <v>October</v>
      </c>
      <c r="L2437">
        <f t="shared" si="309"/>
        <v>2024</v>
      </c>
      <c r="M2437" t="b">
        <f t="shared" si="310"/>
        <v>0</v>
      </c>
      <c r="N2437" t="b">
        <f t="shared" si="304"/>
        <v>0</v>
      </c>
      <c r="O2437" t="str">
        <f t="shared" si="311"/>
        <v>Standard order</v>
      </c>
      <c r="P2437" s="7">
        <f t="shared" si="305"/>
        <v>3.2305000000000001</v>
      </c>
      <c r="Q2437" s="7" t="str">
        <f>VLOOKUP(D2438,Product_Lookup!$A$2:$C$27,2,FALSE)</f>
        <v>Headphones</v>
      </c>
      <c r="R2437" s="7">
        <f t="shared" si="306"/>
        <v>129.22</v>
      </c>
    </row>
    <row r="2438" spans="1:18" ht="21.75" customHeight="1">
      <c r="A2438" t="s">
        <v>2589</v>
      </c>
      <c r="B2438" s="6">
        <v>45577</v>
      </c>
      <c r="C2438" t="s">
        <v>101</v>
      </c>
      <c r="D2438" t="s">
        <v>16</v>
      </c>
      <c r="E2438" t="s">
        <v>22</v>
      </c>
      <c r="F2438" t="s">
        <v>306</v>
      </c>
      <c r="G2438" t="s">
        <v>36</v>
      </c>
      <c r="H2438">
        <v>4</v>
      </c>
      <c r="I2438" t="str">
        <f>VLOOKUP(D2438,Product_Lookup!$A$2:$C$27,3,FALSE)</f>
        <v>$178.83</v>
      </c>
      <c r="J2438" t="str">
        <f t="shared" si="307"/>
        <v>Saturday</v>
      </c>
      <c r="K2438" s="10" t="str">
        <f t="shared" si="308"/>
        <v>October</v>
      </c>
      <c r="L2438">
        <f t="shared" si="309"/>
        <v>2024</v>
      </c>
      <c r="M2438" t="b">
        <f t="shared" si="310"/>
        <v>1</v>
      </c>
      <c r="N2438" t="b">
        <f t="shared" si="304"/>
        <v>0</v>
      </c>
      <c r="O2438" t="str">
        <f t="shared" si="311"/>
        <v>Large Order</v>
      </c>
      <c r="P2438" s="7">
        <f t="shared" si="305"/>
        <v>8.9415000000000013</v>
      </c>
      <c r="Q2438" s="7" t="str">
        <f>VLOOKUP(D2439,Product_Lookup!$A$2:$C$27,2,FALSE)</f>
        <v>Doll</v>
      </c>
      <c r="R2438" s="7">
        <f t="shared" si="306"/>
        <v>715.32</v>
      </c>
    </row>
    <row r="2439" spans="1:18" ht="21.75" customHeight="1">
      <c r="A2439" t="s">
        <v>2590</v>
      </c>
      <c r="B2439" s="6">
        <v>45516</v>
      </c>
      <c r="C2439" t="s">
        <v>366</v>
      </c>
      <c r="D2439" t="s">
        <v>119</v>
      </c>
      <c r="E2439" t="s">
        <v>11</v>
      </c>
      <c r="F2439" t="s">
        <v>12</v>
      </c>
      <c r="G2439" t="s">
        <v>36</v>
      </c>
      <c r="H2439">
        <v>20</v>
      </c>
      <c r="I2439" t="str">
        <f>VLOOKUP(D2439,Product_Lookup!$A$2:$C$27,3,FALSE)</f>
        <v>$32.94</v>
      </c>
      <c r="J2439" t="str">
        <f t="shared" si="307"/>
        <v>Monday</v>
      </c>
      <c r="K2439" s="10" t="str">
        <f t="shared" si="308"/>
        <v>August</v>
      </c>
      <c r="L2439">
        <f t="shared" si="309"/>
        <v>2024</v>
      </c>
      <c r="M2439" t="b">
        <f t="shared" si="310"/>
        <v>0</v>
      </c>
      <c r="N2439" t="b">
        <f t="shared" si="304"/>
        <v>0</v>
      </c>
      <c r="O2439" t="str">
        <f t="shared" si="311"/>
        <v>Large Order</v>
      </c>
      <c r="P2439" s="7">
        <f t="shared" si="305"/>
        <v>1.647</v>
      </c>
      <c r="Q2439" s="7" t="str">
        <f>VLOOKUP(D2440,Product_Lookup!$A$2:$C$27,2,FALSE)</f>
        <v>Smartphone</v>
      </c>
      <c r="R2439" s="7">
        <f t="shared" si="306"/>
        <v>658.8</v>
      </c>
    </row>
    <row r="2440" spans="1:18" ht="21.75" customHeight="1">
      <c r="A2440" t="s">
        <v>2591</v>
      </c>
      <c r="B2440" s="6">
        <v>45344</v>
      </c>
      <c r="C2440" t="s">
        <v>642</v>
      </c>
      <c r="D2440" t="s">
        <v>79</v>
      </c>
      <c r="E2440" t="s">
        <v>22</v>
      </c>
      <c r="F2440" t="s">
        <v>12</v>
      </c>
      <c r="G2440" t="s">
        <v>28</v>
      </c>
      <c r="H2440">
        <v>4</v>
      </c>
      <c r="I2440" t="str">
        <f>VLOOKUP(D2440,Product_Lookup!$A$2:$C$27,3,FALSE)</f>
        <v>$216.22</v>
      </c>
      <c r="J2440" t="str">
        <f t="shared" si="307"/>
        <v>Thursday</v>
      </c>
      <c r="K2440" s="10" t="str">
        <f t="shared" si="308"/>
        <v>February</v>
      </c>
      <c r="L2440">
        <f t="shared" si="309"/>
        <v>2024</v>
      </c>
      <c r="M2440" t="b">
        <f t="shared" si="310"/>
        <v>0</v>
      </c>
      <c r="N2440" t="b">
        <f t="shared" si="304"/>
        <v>0</v>
      </c>
      <c r="O2440" t="str">
        <f t="shared" si="311"/>
        <v>Large Order</v>
      </c>
      <c r="P2440" s="7">
        <f t="shared" si="305"/>
        <v>10.811</v>
      </c>
      <c r="Q2440" s="7" t="str">
        <f>VLOOKUP(D2441,Product_Lookup!$A$2:$C$27,2,FALSE)</f>
        <v>Lego Set</v>
      </c>
      <c r="R2440" s="7">
        <f t="shared" si="306"/>
        <v>864.88</v>
      </c>
    </row>
    <row r="2441" spans="1:18" ht="21.75" customHeight="1">
      <c r="A2441" t="s">
        <v>2592</v>
      </c>
      <c r="B2441" s="6">
        <v>45477</v>
      </c>
      <c r="C2441" t="s">
        <v>111</v>
      </c>
      <c r="D2441" t="s">
        <v>84</v>
      </c>
      <c r="E2441" t="s">
        <v>17</v>
      </c>
      <c r="F2441" t="s">
        <v>27</v>
      </c>
      <c r="G2441" t="s">
        <v>36</v>
      </c>
      <c r="H2441">
        <v>16</v>
      </c>
      <c r="I2441" t="str">
        <f>VLOOKUP(D2441,Product_Lookup!$A$2:$C$27,3,FALSE)</f>
        <v>$130.07</v>
      </c>
      <c r="J2441" t="str">
        <f t="shared" si="307"/>
        <v>Thursday</v>
      </c>
      <c r="K2441" s="10" t="str">
        <f t="shared" si="308"/>
        <v>July</v>
      </c>
      <c r="L2441">
        <f t="shared" si="309"/>
        <v>2024</v>
      </c>
      <c r="M2441" t="b">
        <f t="shared" si="310"/>
        <v>0</v>
      </c>
      <c r="N2441" t="b">
        <f t="shared" si="304"/>
        <v>1</v>
      </c>
      <c r="O2441" t="str">
        <f t="shared" si="311"/>
        <v>Large Order</v>
      </c>
      <c r="P2441" s="7">
        <f t="shared" si="305"/>
        <v>6.5034999999999998</v>
      </c>
      <c r="Q2441" s="7" t="str">
        <f>VLOOKUP(D2442,Product_Lookup!$A$2:$C$27,2,FALSE)</f>
        <v>Action Figure</v>
      </c>
      <c r="R2441" s="7">
        <f t="shared" si="306"/>
        <v>2081.12</v>
      </c>
    </row>
    <row r="2442" spans="1:18" ht="21.75" customHeight="1">
      <c r="A2442" t="s">
        <v>2593</v>
      </c>
      <c r="B2442" s="6">
        <v>45342</v>
      </c>
      <c r="C2442" t="s">
        <v>125</v>
      </c>
      <c r="D2442" t="s">
        <v>21</v>
      </c>
      <c r="E2442" t="s">
        <v>17</v>
      </c>
      <c r="F2442" t="s">
        <v>42</v>
      </c>
      <c r="G2442" t="s">
        <v>28</v>
      </c>
      <c r="H2442">
        <v>4</v>
      </c>
      <c r="I2442" t="str">
        <f>VLOOKUP(D2442,Product_Lookup!$A$2:$C$27,3,FALSE)</f>
        <v>$88.18</v>
      </c>
      <c r="J2442" t="str">
        <f t="shared" si="307"/>
        <v>Tuesday</v>
      </c>
      <c r="K2442" s="10" t="str">
        <f t="shared" si="308"/>
        <v>February</v>
      </c>
      <c r="L2442">
        <f t="shared" si="309"/>
        <v>2024</v>
      </c>
      <c r="M2442" t="b">
        <f t="shared" si="310"/>
        <v>0</v>
      </c>
      <c r="N2442" t="b">
        <f t="shared" si="304"/>
        <v>0</v>
      </c>
      <c r="O2442" t="str">
        <f t="shared" si="311"/>
        <v>Standard order</v>
      </c>
      <c r="P2442" s="7">
        <f t="shared" si="305"/>
        <v>4.4090000000000007</v>
      </c>
      <c r="Q2442" s="7" t="str">
        <f>VLOOKUP(D2443,Product_Lookup!$A$2:$C$27,2,FALSE)</f>
        <v>Doll</v>
      </c>
      <c r="R2442" s="7">
        <f t="shared" si="306"/>
        <v>352.72</v>
      </c>
    </row>
    <row r="2443" spans="1:18" ht="21.75" customHeight="1">
      <c r="A2443" t="s">
        <v>2594</v>
      </c>
      <c r="B2443" s="6">
        <v>45516</v>
      </c>
      <c r="C2443" t="s">
        <v>572</v>
      </c>
      <c r="D2443" t="s">
        <v>119</v>
      </c>
      <c r="E2443" t="s">
        <v>11</v>
      </c>
      <c r="F2443" t="s">
        <v>56</v>
      </c>
      <c r="G2443" t="s">
        <v>23</v>
      </c>
      <c r="H2443">
        <v>11</v>
      </c>
      <c r="I2443" t="str">
        <f>VLOOKUP(D2443,Product_Lookup!$A$2:$C$27,3,FALSE)</f>
        <v>$32.94</v>
      </c>
      <c r="J2443" t="str">
        <f t="shared" si="307"/>
        <v>Monday</v>
      </c>
      <c r="K2443" s="10" t="str">
        <f t="shared" si="308"/>
        <v>August</v>
      </c>
      <c r="L2443">
        <f t="shared" si="309"/>
        <v>2024</v>
      </c>
      <c r="M2443" t="b">
        <f t="shared" si="310"/>
        <v>0</v>
      </c>
      <c r="N2443" t="b">
        <f t="shared" si="304"/>
        <v>0</v>
      </c>
      <c r="O2443" t="str">
        <f t="shared" si="311"/>
        <v>Standard order</v>
      </c>
      <c r="P2443" s="7">
        <f t="shared" si="305"/>
        <v>1.647</v>
      </c>
      <c r="Q2443" s="7" t="str">
        <f>VLOOKUP(D2444,Product_Lookup!$A$2:$C$27,2,FALSE)</f>
        <v>Sweater</v>
      </c>
      <c r="R2443" s="7">
        <f t="shared" si="306"/>
        <v>362.34</v>
      </c>
    </row>
    <row r="2444" spans="1:18" ht="21.75" customHeight="1">
      <c r="A2444" t="s">
        <v>2595</v>
      </c>
      <c r="B2444" s="6">
        <v>45379</v>
      </c>
      <c r="C2444" t="s">
        <v>81</v>
      </c>
      <c r="D2444" t="s">
        <v>26</v>
      </c>
      <c r="E2444" t="s">
        <v>17</v>
      </c>
      <c r="F2444" t="s">
        <v>27</v>
      </c>
      <c r="G2444" t="s">
        <v>32</v>
      </c>
      <c r="H2444">
        <v>8</v>
      </c>
      <c r="I2444" t="str">
        <f>VLOOKUP(D2444,Product_Lookup!$A$2:$C$27,3,FALSE)</f>
        <v>$84.57</v>
      </c>
      <c r="J2444" t="str">
        <f t="shared" si="307"/>
        <v>Thursday</v>
      </c>
      <c r="K2444" s="10" t="str">
        <f t="shared" si="308"/>
        <v>March</v>
      </c>
      <c r="L2444">
        <f t="shared" si="309"/>
        <v>2024</v>
      </c>
      <c r="M2444" t="b">
        <f t="shared" si="310"/>
        <v>0</v>
      </c>
      <c r="N2444" t="b">
        <f t="shared" si="304"/>
        <v>0</v>
      </c>
      <c r="O2444" t="str">
        <f t="shared" si="311"/>
        <v>Large Order</v>
      </c>
      <c r="P2444" s="7">
        <f t="shared" si="305"/>
        <v>4.2284999999999995</v>
      </c>
      <c r="Q2444" s="7" t="str">
        <f>VLOOKUP(D2445,Product_Lookup!$A$2:$C$27,2,FALSE)</f>
        <v>Jacket</v>
      </c>
      <c r="R2444" s="7">
        <f t="shared" si="306"/>
        <v>676.56</v>
      </c>
    </row>
    <row r="2445" spans="1:18" ht="21.75" customHeight="1">
      <c r="A2445" t="s">
        <v>2596</v>
      </c>
      <c r="B2445" s="6">
        <v>45563</v>
      </c>
      <c r="C2445" t="s">
        <v>572</v>
      </c>
      <c r="D2445" t="s">
        <v>197</v>
      </c>
      <c r="E2445" t="s">
        <v>11</v>
      </c>
      <c r="F2445" t="s">
        <v>27</v>
      </c>
      <c r="G2445" t="s">
        <v>23</v>
      </c>
      <c r="H2445">
        <v>14</v>
      </c>
      <c r="I2445" t="str">
        <f>VLOOKUP(D2445,Product_Lookup!$A$2:$C$27,3,FALSE)</f>
        <v>$10.11</v>
      </c>
      <c r="J2445" t="str">
        <f t="shared" si="307"/>
        <v>Saturday</v>
      </c>
      <c r="K2445" s="10" t="str">
        <f t="shared" si="308"/>
        <v>September</v>
      </c>
      <c r="L2445">
        <f t="shared" si="309"/>
        <v>2024</v>
      </c>
      <c r="M2445" t="b">
        <f t="shared" si="310"/>
        <v>1</v>
      </c>
      <c r="N2445" t="b">
        <f t="shared" si="304"/>
        <v>0</v>
      </c>
      <c r="O2445" t="str">
        <f t="shared" si="311"/>
        <v>Standard order</v>
      </c>
      <c r="P2445" s="7">
        <f t="shared" si="305"/>
        <v>0.50549999999999995</v>
      </c>
      <c r="Q2445" s="7" t="str">
        <f>VLOOKUP(D2446,Product_Lookup!$A$2:$C$27,2,FALSE)</f>
        <v>Toaster</v>
      </c>
      <c r="R2445" s="7">
        <f t="shared" si="306"/>
        <v>141.54</v>
      </c>
    </row>
    <row r="2446" spans="1:18" ht="21.75" customHeight="1">
      <c r="A2446" t="s">
        <v>2597</v>
      </c>
      <c r="B2446" s="6">
        <v>45556</v>
      </c>
      <c r="C2446" t="s">
        <v>455</v>
      </c>
      <c r="D2446" t="s">
        <v>48</v>
      </c>
      <c r="E2446" t="s">
        <v>11</v>
      </c>
      <c r="F2446" t="s">
        <v>27</v>
      </c>
      <c r="G2446" t="s">
        <v>28</v>
      </c>
      <c r="H2446">
        <v>1</v>
      </c>
      <c r="I2446" t="str">
        <f>VLOOKUP(D2446,Product_Lookup!$A$2:$C$27,3,FALSE)</f>
        <v>$208.85</v>
      </c>
      <c r="J2446" t="str">
        <f t="shared" si="307"/>
        <v>Saturday</v>
      </c>
      <c r="K2446" s="10" t="str">
        <f t="shared" si="308"/>
        <v>September</v>
      </c>
      <c r="L2446">
        <f t="shared" si="309"/>
        <v>2024</v>
      </c>
      <c r="M2446" t="b">
        <f t="shared" si="310"/>
        <v>1</v>
      </c>
      <c r="N2446" t="b">
        <f t="shared" si="304"/>
        <v>0</v>
      </c>
      <c r="O2446" t="str">
        <f t="shared" si="311"/>
        <v>Standard order</v>
      </c>
      <c r="P2446" s="7">
        <f t="shared" si="305"/>
        <v>10.442500000000001</v>
      </c>
      <c r="Q2446" s="7" t="str">
        <f>VLOOKUP(D2447,Product_Lookup!$A$2:$C$27,2,FALSE)</f>
        <v>Tablet</v>
      </c>
      <c r="R2446" s="7">
        <f t="shared" si="306"/>
        <v>208.85</v>
      </c>
    </row>
    <row r="2447" spans="1:18" ht="21.75" customHeight="1">
      <c r="A2447" t="s">
        <v>2598</v>
      </c>
      <c r="B2447" s="6">
        <v>45556</v>
      </c>
      <c r="C2447" t="s">
        <v>58</v>
      </c>
      <c r="D2447" t="s">
        <v>10</v>
      </c>
      <c r="E2447" t="s">
        <v>17</v>
      </c>
      <c r="F2447" t="s">
        <v>42</v>
      </c>
      <c r="G2447" t="s">
        <v>23</v>
      </c>
      <c r="H2447">
        <v>6</v>
      </c>
      <c r="I2447" t="str">
        <f>VLOOKUP(D2447,Product_Lookup!$A$2:$C$27,3,FALSE)</f>
        <v>$146.06</v>
      </c>
      <c r="J2447" t="str">
        <f t="shared" si="307"/>
        <v>Saturday</v>
      </c>
      <c r="K2447" s="10" t="str">
        <f t="shared" si="308"/>
        <v>September</v>
      </c>
      <c r="L2447">
        <f t="shared" si="309"/>
        <v>2024</v>
      </c>
      <c r="M2447" t="b">
        <f t="shared" si="310"/>
        <v>1</v>
      </c>
      <c r="N2447" t="b">
        <f t="shared" si="304"/>
        <v>1</v>
      </c>
      <c r="O2447" t="str">
        <f t="shared" si="311"/>
        <v>Large Order</v>
      </c>
      <c r="P2447" s="7">
        <f t="shared" si="305"/>
        <v>7.3030000000000008</v>
      </c>
      <c r="Q2447" s="7" t="str">
        <f>VLOOKUP(D2448,Product_Lookup!$A$2:$C$27,2,FALSE)</f>
        <v>Smartphone</v>
      </c>
      <c r="R2447" s="7">
        <f t="shared" si="306"/>
        <v>876.36</v>
      </c>
    </row>
    <row r="2448" spans="1:18" ht="21.75" customHeight="1">
      <c r="A2448" t="s">
        <v>2599</v>
      </c>
      <c r="B2448" s="6">
        <v>45493</v>
      </c>
      <c r="C2448" t="s">
        <v>332</v>
      </c>
      <c r="D2448" t="s">
        <v>79</v>
      </c>
      <c r="E2448" t="s">
        <v>22</v>
      </c>
      <c r="F2448" t="s">
        <v>56</v>
      </c>
      <c r="G2448" t="s">
        <v>36</v>
      </c>
      <c r="H2448">
        <v>2</v>
      </c>
      <c r="I2448" t="str">
        <f>VLOOKUP(D2448,Product_Lookup!$A$2:$C$27,3,FALSE)</f>
        <v>$216.22</v>
      </c>
      <c r="J2448" t="str">
        <f t="shared" si="307"/>
        <v>Saturday</v>
      </c>
      <c r="K2448" s="10" t="str">
        <f t="shared" si="308"/>
        <v>July</v>
      </c>
      <c r="L2448">
        <f t="shared" si="309"/>
        <v>2024</v>
      </c>
      <c r="M2448" t="b">
        <f t="shared" si="310"/>
        <v>1</v>
      </c>
      <c r="N2448" t="b">
        <f t="shared" si="304"/>
        <v>0</v>
      </c>
      <c r="O2448" t="str">
        <f t="shared" si="311"/>
        <v>Standard order</v>
      </c>
      <c r="P2448" s="7">
        <f t="shared" si="305"/>
        <v>10.811</v>
      </c>
      <c r="Q2448" s="7" t="str">
        <f>VLOOKUP(D2449,Product_Lookup!$A$2:$C$27,2,FALSE)</f>
        <v>Socks</v>
      </c>
      <c r="R2448" s="7">
        <f t="shared" si="306"/>
        <v>432.44</v>
      </c>
    </row>
    <row r="2449" spans="1:18" ht="21.75" customHeight="1">
      <c r="A2449" t="s">
        <v>2600</v>
      </c>
      <c r="B2449" s="6">
        <v>45630</v>
      </c>
      <c r="C2449" t="s">
        <v>363</v>
      </c>
      <c r="D2449" t="s">
        <v>74</v>
      </c>
      <c r="E2449" t="s">
        <v>17</v>
      </c>
      <c r="F2449" t="s">
        <v>27</v>
      </c>
      <c r="G2449" t="s">
        <v>36</v>
      </c>
      <c r="H2449">
        <v>10</v>
      </c>
      <c r="I2449" t="str">
        <f>VLOOKUP(D2449,Product_Lookup!$A$2:$C$27,3,FALSE)</f>
        <v>$201.32</v>
      </c>
      <c r="J2449" t="str">
        <f t="shared" si="307"/>
        <v>Wednesday</v>
      </c>
      <c r="K2449" s="10" t="str">
        <f t="shared" si="308"/>
        <v>December</v>
      </c>
      <c r="L2449">
        <f t="shared" si="309"/>
        <v>2024</v>
      </c>
      <c r="M2449" t="b">
        <f t="shared" si="310"/>
        <v>0</v>
      </c>
      <c r="N2449" t="b">
        <f t="shared" si="304"/>
        <v>1</v>
      </c>
      <c r="O2449" t="str">
        <f t="shared" si="311"/>
        <v>Large Order</v>
      </c>
      <c r="P2449" s="7">
        <f t="shared" si="305"/>
        <v>10.066000000000001</v>
      </c>
      <c r="Q2449" s="7" t="str">
        <f>VLOOKUP(D2450,Product_Lookup!$A$2:$C$27,2,FALSE)</f>
        <v>Laptop</v>
      </c>
      <c r="R2449" s="7">
        <f t="shared" si="306"/>
        <v>2013.1999999999998</v>
      </c>
    </row>
    <row r="2450" spans="1:18" ht="21.75" customHeight="1">
      <c r="A2450" t="s">
        <v>2601</v>
      </c>
      <c r="B2450" s="6">
        <v>45452</v>
      </c>
      <c r="C2450" t="s">
        <v>20</v>
      </c>
      <c r="D2450" t="s">
        <v>96</v>
      </c>
      <c r="E2450" t="s">
        <v>17</v>
      </c>
      <c r="F2450" t="s">
        <v>306</v>
      </c>
      <c r="G2450" t="s">
        <v>36</v>
      </c>
      <c r="H2450">
        <v>5</v>
      </c>
      <c r="I2450" t="str">
        <f>VLOOKUP(D2450,Product_Lookup!$A$2:$C$27,3,FALSE)</f>
        <v>$230.68</v>
      </c>
      <c r="J2450" t="str">
        <f t="shared" si="307"/>
        <v>Sunday</v>
      </c>
      <c r="K2450" s="10" t="str">
        <f t="shared" si="308"/>
        <v>June</v>
      </c>
      <c r="L2450">
        <f t="shared" si="309"/>
        <v>2024</v>
      </c>
      <c r="M2450" t="b">
        <f t="shared" si="310"/>
        <v>1</v>
      </c>
      <c r="N2450" t="b">
        <f t="shared" si="304"/>
        <v>0</v>
      </c>
      <c r="O2450" t="str">
        <f t="shared" si="311"/>
        <v>Large Order</v>
      </c>
      <c r="P2450" s="7">
        <f t="shared" si="305"/>
        <v>11.534000000000001</v>
      </c>
      <c r="Q2450" s="7" t="str">
        <f>VLOOKUP(D2451,Product_Lookup!$A$2:$C$27,2,FALSE)</f>
        <v>Jeans</v>
      </c>
      <c r="R2450" s="7">
        <f t="shared" si="306"/>
        <v>1153.4000000000001</v>
      </c>
    </row>
    <row r="2451" spans="1:18" ht="21.75" customHeight="1">
      <c r="A2451" t="s">
        <v>2602</v>
      </c>
      <c r="B2451" s="6">
        <v>45520</v>
      </c>
      <c r="C2451" t="s">
        <v>736</v>
      </c>
      <c r="D2451" t="s">
        <v>65</v>
      </c>
      <c r="E2451" t="s">
        <v>22</v>
      </c>
      <c r="F2451" t="s">
        <v>306</v>
      </c>
      <c r="G2451" t="s">
        <v>36</v>
      </c>
      <c r="H2451">
        <v>15</v>
      </c>
      <c r="I2451" t="str">
        <f>VLOOKUP(D2451,Product_Lookup!$A$2:$C$27,3,FALSE)</f>
        <v>$33.22</v>
      </c>
      <c r="J2451" t="str">
        <f t="shared" si="307"/>
        <v>Friday</v>
      </c>
      <c r="K2451" s="10" t="str">
        <f t="shared" si="308"/>
        <v>August</v>
      </c>
      <c r="L2451">
        <f t="shared" si="309"/>
        <v>2024</v>
      </c>
      <c r="M2451" t="b">
        <f t="shared" si="310"/>
        <v>0</v>
      </c>
      <c r="N2451" t="b">
        <f t="shared" si="304"/>
        <v>0</v>
      </c>
      <c r="O2451" t="str">
        <f t="shared" si="311"/>
        <v>Standard order</v>
      </c>
      <c r="P2451" s="7">
        <f t="shared" si="305"/>
        <v>1.661</v>
      </c>
      <c r="Q2451" s="7" t="str">
        <f>VLOOKUP(D2452,Product_Lookup!$A$2:$C$27,2,FALSE)</f>
        <v>Doll</v>
      </c>
      <c r="R2451" s="7">
        <f t="shared" si="306"/>
        <v>498.29999999999995</v>
      </c>
    </row>
    <row r="2452" spans="1:18" ht="21.75" customHeight="1">
      <c r="A2452" t="s">
        <v>2603</v>
      </c>
      <c r="B2452" s="6">
        <v>45624</v>
      </c>
      <c r="C2452" t="s">
        <v>341</v>
      </c>
      <c r="D2452" t="s">
        <v>119</v>
      </c>
      <c r="E2452" t="s">
        <v>11</v>
      </c>
      <c r="F2452" t="s">
        <v>42</v>
      </c>
      <c r="G2452" t="s">
        <v>13</v>
      </c>
      <c r="H2452">
        <v>2</v>
      </c>
      <c r="I2452" t="str">
        <f>VLOOKUP(D2452,Product_Lookup!$A$2:$C$27,3,FALSE)</f>
        <v>$32.94</v>
      </c>
      <c r="J2452" t="str">
        <f t="shared" si="307"/>
        <v>Thursday</v>
      </c>
      <c r="K2452" s="10" t="str">
        <f t="shared" si="308"/>
        <v>November</v>
      </c>
      <c r="L2452">
        <f t="shared" si="309"/>
        <v>2024</v>
      </c>
      <c r="M2452" t="b">
        <f t="shared" si="310"/>
        <v>0</v>
      </c>
      <c r="N2452" t="b">
        <f t="shared" si="304"/>
        <v>0</v>
      </c>
      <c r="O2452" t="str">
        <f t="shared" si="311"/>
        <v>Standard order</v>
      </c>
      <c r="P2452" s="7">
        <f t="shared" si="305"/>
        <v>1.647</v>
      </c>
      <c r="Q2452" s="7" t="str">
        <f>VLOOKUP(D2453,Product_Lookup!$A$2:$C$27,2,FALSE)</f>
        <v>Lego Set</v>
      </c>
      <c r="R2452" s="7">
        <f t="shared" si="306"/>
        <v>65.88</v>
      </c>
    </row>
    <row r="2453" spans="1:18" ht="21.75" customHeight="1">
      <c r="A2453" t="s">
        <v>2604</v>
      </c>
      <c r="B2453" s="6">
        <v>45491</v>
      </c>
      <c r="C2453" t="s">
        <v>329</v>
      </c>
      <c r="D2453" t="s">
        <v>84</v>
      </c>
      <c r="E2453" t="s">
        <v>22</v>
      </c>
      <c r="F2453" t="s">
        <v>56</v>
      </c>
      <c r="G2453" t="s">
        <v>36</v>
      </c>
      <c r="H2453">
        <v>18</v>
      </c>
      <c r="I2453" t="str">
        <f>VLOOKUP(D2453,Product_Lookup!$A$2:$C$27,3,FALSE)</f>
        <v>$130.07</v>
      </c>
      <c r="J2453" t="str">
        <f t="shared" si="307"/>
        <v>Thursday</v>
      </c>
      <c r="K2453" s="10" t="str">
        <f t="shared" si="308"/>
        <v>July</v>
      </c>
      <c r="L2453">
        <f t="shared" si="309"/>
        <v>2024</v>
      </c>
      <c r="M2453" t="b">
        <f t="shared" si="310"/>
        <v>0</v>
      </c>
      <c r="N2453" t="b">
        <f t="shared" si="304"/>
        <v>1</v>
      </c>
      <c r="O2453" t="str">
        <f t="shared" si="311"/>
        <v>Large Order</v>
      </c>
      <c r="P2453" s="7">
        <f t="shared" si="305"/>
        <v>6.5034999999999998</v>
      </c>
      <c r="Q2453" s="7" t="str">
        <f>VLOOKUP(D2454,Product_Lookup!$A$2:$C$27,2,FALSE)</f>
        <v>Pen Set</v>
      </c>
      <c r="R2453" s="7">
        <f t="shared" si="306"/>
        <v>2341.2599999999998</v>
      </c>
    </row>
    <row r="2454" spans="1:18" ht="21.75" customHeight="1">
      <c r="A2454" t="s">
        <v>2605</v>
      </c>
      <c r="B2454" s="6">
        <v>45339</v>
      </c>
      <c r="C2454" t="s">
        <v>345</v>
      </c>
      <c r="D2454" t="s">
        <v>174</v>
      </c>
      <c r="E2454" t="s">
        <v>17</v>
      </c>
      <c r="F2454" t="s">
        <v>306</v>
      </c>
      <c r="G2454" t="s">
        <v>32</v>
      </c>
      <c r="H2454">
        <v>6</v>
      </c>
      <c r="I2454" t="str">
        <f>VLOOKUP(D2454,Product_Lookup!$A$2:$C$27,3,FALSE)</f>
        <v>$133.37</v>
      </c>
      <c r="J2454" t="str">
        <f t="shared" si="307"/>
        <v>Saturday</v>
      </c>
      <c r="K2454" s="10" t="str">
        <f t="shared" si="308"/>
        <v>February</v>
      </c>
      <c r="L2454">
        <f t="shared" si="309"/>
        <v>2024</v>
      </c>
      <c r="M2454" t="b">
        <f t="shared" si="310"/>
        <v>1</v>
      </c>
      <c r="N2454" t="b">
        <f t="shared" si="304"/>
        <v>1</v>
      </c>
      <c r="O2454" t="str">
        <f t="shared" si="311"/>
        <v>Large Order</v>
      </c>
      <c r="P2454" s="7">
        <f t="shared" si="305"/>
        <v>6.6685000000000008</v>
      </c>
      <c r="Q2454" s="7" t="str">
        <f>VLOOKUP(D2455,Product_Lookup!$A$2:$C$27,2,FALSE)</f>
        <v>Sweater</v>
      </c>
      <c r="R2454" s="7">
        <f t="shared" si="306"/>
        <v>800.22</v>
      </c>
    </row>
    <row r="2455" spans="1:18" ht="21.75" customHeight="1">
      <c r="A2455" t="s">
        <v>2606</v>
      </c>
      <c r="B2455" s="6">
        <v>45568</v>
      </c>
      <c r="C2455" t="s">
        <v>449</v>
      </c>
      <c r="D2455" t="s">
        <v>26</v>
      </c>
      <c r="E2455" t="s">
        <v>11</v>
      </c>
      <c r="F2455" t="s">
        <v>42</v>
      </c>
      <c r="G2455" t="s">
        <v>23</v>
      </c>
      <c r="H2455">
        <v>17</v>
      </c>
      <c r="I2455" t="str">
        <f>VLOOKUP(D2455,Product_Lookup!$A$2:$C$27,3,FALSE)</f>
        <v>$84.57</v>
      </c>
      <c r="J2455" t="str">
        <f t="shared" si="307"/>
        <v>Thursday</v>
      </c>
      <c r="K2455" s="10" t="str">
        <f t="shared" si="308"/>
        <v>October</v>
      </c>
      <c r="L2455">
        <f t="shared" si="309"/>
        <v>2024</v>
      </c>
      <c r="M2455" t="b">
        <f t="shared" si="310"/>
        <v>0</v>
      </c>
      <c r="N2455" t="b">
        <f t="shared" si="304"/>
        <v>1</v>
      </c>
      <c r="O2455" t="str">
        <f t="shared" si="311"/>
        <v>Large Order</v>
      </c>
      <c r="P2455" s="7">
        <f t="shared" si="305"/>
        <v>4.2284999999999995</v>
      </c>
      <c r="Q2455" s="7" t="str">
        <f>VLOOKUP(D2456,Product_Lookup!$A$2:$C$27,2,FALSE)</f>
        <v>Sweater</v>
      </c>
      <c r="R2455" s="7">
        <f t="shared" si="306"/>
        <v>1437.6899999999998</v>
      </c>
    </row>
    <row r="2456" spans="1:18" ht="21.75" customHeight="1">
      <c r="A2456" t="s">
        <v>2607</v>
      </c>
      <c r="B2456" s="6">
        <v>45322</v>
      </c>
      <c r="C2456" t="s">
        <v>200</v>
      </c>
      <c r="D2456" t="s">
        <v>26</v>
      </c>
      <c r="E2456" t="s">
        <v>22</v>
      </c>
      <c r="F2456" t="s">
        <v>306</v>
      </c>
      <c r="G2456" t="s">
        <v>32</v>
      </c>
      <c r="H2456">
        <v>4</v>
      </c>
      <c r="I2456" t="str">
        <f>VLOOKUP(D2456,Product_Lookup!$A$2:$C$27,3,FALSE)</f>
        <v>$84.57</v>
      </c>
      <c r="J2456" t="str">
        <f t="shared" si="307"/>
        <v>Wednesday</v>
      </c>
      <c r="K2456" s="10" t="str">
        <f t="shared" si="308"/>
        <v>January</v>
      </c>
      <c r="L2456">
        <f t="shared" si="309"/>
        <v>2024</v>
      </c>
      <c r="M2456" t="b">
        <f t="shared" si="310"/>
        <v>0</v>
      </c>
      <c r="N2456" t="b">
        <f t="shared" si="304"/>
        <v>0</v>
      </c>
      <c r="O2456" t="str">
        <f t="shared" si="311"/>
        <v>Standard order</v>
      </c>
      <c r="P2456" s="7">
        <f t="shared" si="305"/>
        <v>4.2284999999999995</v>
      </c>
      <c r="Q2456" s="7" t="str">
        <f>VLOOKUP(D2457,Product_Lookup!$A$2:$C$27,2,FALSE)</f>
        <v>Air Fryer</v>
      </c>
      <c r="R2456" s="7">
        <f t="shared" si="306"/>
        <v>338.28</v>
      </c>
    </row>
    <row r="2457" spans="1:18" ht="21.75" customHeight="1">
      <c r="A2457" t="s">
        <v>2608</v>
      </c>
      <c r="B2457" s="6">
        <v>45625</v>
      </c>
      <c r="C2457" t="s">
        <v>114</v>
      </c>
      <c r="D2457" t="s">
        <v>70</v>
      </c>
      <c r="E2457" t="s">
        <v>17</v>
      </c>
      <c r="F2457" t="s">
        <v>306</v>
      </c>
      <c r="G2457" t="s">
        <v>13</v>
      </c>
      <c r="H2457">
        <v>15</v>
      </c>
      <c r="I2457" t="str">
        <f>VLOOKUP(D2457,Product_Lookup!$A$2:$C$27,3,FALSE)</f>
        <v>$211.9</v>
      </c>
      <c r="J2457" t="str">
        <f t="shared" si="307"/>
        <v>Friday</v>
      </c>
      <c r="K2457" s="10" t="str">
        <f t="shared" si="308"/>
        <v>November</v>
      </c>
      <c r="L2457">
        <f t="shared" si="309"/>
        <v>2024</v>
      </c>
      <c r="M2457" t="b">
        <f t="shared" si="310"/>
        <v>0</v>
      </c>
      <c r="N2457" t="b">
        <f t="shared" si="304"/>
        <v>1</v>
      </c>
      <c r="O2457" t="str">
        <f t="shared" si="311"/>
        <v>Large Order</v>
      </c>
      <c r="P2457" s="7">
        <f t="shared" si="305"/>
        <v>10.595000000000001</v>
      </c>
      <c r="Q2457" s="7" t="str">
        <f>VLOOKUP(D2458,Product_Lookup!$A$2:$C$27,2,FALSE)</f>
        <v>Desk Lamp</v>
      </c>
      <c r="R2457" s="7">
        <f t="shared" si="306"/>
        <v>3178.5</v>
      </c>
    </row>
    <row r="2458" spans="1:18" ht="21.75" customHeight="1">
      <c r="A2458" t="s">
        <v>2609</v>
      </c>
      <c r="B2458" s="6">
        <v>45412</v>
      </c>
      <c r="C2458" t="s">
        <v>323</v>
      </c>
      <c r="D2458" t="s">
        <v>59</v>
      </c>
      <c r="E2458" t="s">
        <v>22</v>
      </c>
      <c r="F2458" t="s">
        <v>306</v>
      </c>
      <c r="G2458" t="s">
        <v>36</v>
      </c>
      <c r="H2458">
        <v>8</v>
      </c>
      <c r="I2458" t="str">
        <f>VLOOKUP(D2458,Product_Lookup!$A$2:$C$27,3,FALSE)</f>
        <v>$101.96</v>
      </c>
      <c r="J2458" t="str">
        <f t="shared" si="307"/>
        <v>Tuesday</v>
      </c>
      <c r="K2458" s="10" t="str">
        <f t="shared" si="308"/>
        <v>April</v>
      </c>
      <c r="L2458">
        <f t="shared" si="309"/>
        <v>2024</v>
      </c>
      <c r="M2458" t="b">
        <f t="shared" si="310"/>
        <v>0</v>
      </c>
      <c r="N2458" t="b">
        <f t="shared" si="304"/>
        <v>1</v>
      </c>
      <c r="O2458" t="str">
        <f t="shared" si="311"/>
        <v>Large Order</v>
      </c>
      <c r="P2458" s="7">
        <f t="shared" si="305"/>
        <v>5.0979999999999999</v>
      </c>
      <c r="Q2458" s="7" t="str">
        <f>VLOOKUP(D2459,Product_Lookup!$A$2:$C$27,2,FALSE)</f>
        <v>Puzzle</v>
      </c>
      <c r="R2458" s="7">
        <f t="shared" si="306"/>
        <v>815.68</v>
      </c>
    </row>
    <row r="2459" spans="1:18" ht="21.75" customHeight="1">
      <c r="A2459" t="s">
        <v>2610</v>
      </c>
      <c r="B2459" s="6">
        <v>45437</v>
      </c>
      <c r="C2459" t="s">
        <v>317</v>
      </c>
      <c r="D2459" t="s">
        <v>62</v>
      </c>
      <c r="E2459" t="s">
        <v>22</v>
      </c>
      <c r="F2459" t="s">
        <v>56</v>
      </c>
      <c r="G2459" t="s">
        <v>23</v>
      </c>
      <c r="H2459">
        <v>17</v>
      </c>
      <c r="I2459" t="str">
        <f>VLOOKUP(D2459,Product_Lookup!$A$2:$C$27,3,FALSE)</f>
        <v>$46.19</v>
      </c>
      <c r="J2459" t="str">
        <f t="shared" si="307"/>
        <v>Saturday</v>
      </c>
      <c r="K2459" s="10" t="str">
        <f t="shared" si="308"/>
        <v>May</v>
      </c>
      <c r="L2459">
        <f t="shared" si="309"/>
        <v>2024</v>
      </c>
      <c r="M2459" t="b">
        <f t="shared" si="310"/>
        <v>1</v>
      </c>
      <c r="N2459" t="b">
        <f t="shared" si="304"/>
        <v>1</v>
      </c>
      <c r="O2459" t="str">
        <f t="shared" si="311"/>
        <v>Large Order</v>
      </c>
      <c r="P2459" s="7">
        <f t="shared" si="305"/>
        <v>2.3094999999999999</v>
      </c>
      <c r="Q2459" s="7" t="str">
        <f>VLOOKUP(D2460,Product_Lookup!$A$2:$C$27,2,FALSE)</f>
        <v>Notebook</v>
      </c>
      <c r="R2459" s="7">
        <f t="shared" si="306"/>
        <v>785.23</v>
      </c>
    </row>
    <row r="2460" spans="1:18" ht="21.75" customHeight="1">
      <c r="A2460" t="s">
        <v>2611</v>
      </c>
      <c r="B2460" s="6">
        <v>45345</v>
      </c>
      <c r="C2460" t="s">
        <v>187</v>
      </c>
      <c r="D2460" t="s">
        <v>160</v>
      </c>
      <c r="E2460" t="s">
        <v>22</v>
      </c>
      <c r="F2460" t="s">
        <v>56</v>
      </c>
      <c r="G2460" t="s">
        <v>32</v>
      </c>
      <c r="H2460">
        <v>15</v>
      </c>
      <c r="I2460" t="str">
        <f>VLOOKUP(D2460,Product_Lookup!$A$2:$C$27,3,FALSE)</f>
        <v>$149.27</v>
      </c>
      <c r="J2460" t="str">
        <f t="shared" si="307"/>
        <v>Friday</v>
      </c>
      <c r="K2460" s="10" t="str">
        <f t="shared" si="308"/>
        <v>February</v>
      </c>
      <c r="L2460">
        <f t="shared" si="309"/>
        <v>2024</v>
      </c>
      <c r="M2460" t="b">
        <f t="shared" si="310"/>
        <v>0</v>
      </c>
      <c r="N2460" t="b">
        <f t="shared" si="304"/>
        <v>1</v>
      </c>
      <c r="O2460" t="str">
        <f t="shared" si="311"/>
        <v>Large Order</v>
      </c>
      <c r="P2460" s="7">
        <f t="shared" si="305"/>
        <v>7.4635000000000007</v>
      </c>
      <c r="Q2460" s="7" t="str">
        <f>VLOOKUP(D2461,Product_Lookup!$A$2:$C$27,2,FALSE)</f>
        <v>Vacuum</v>
      </c>
      <c r="R2460" s="7">
        <f t="shared" si="306"/>
        <v>2239.0500000000002</v>
      </c>
    </row>
    <row r="2461" spans="1:18" ht="21.75" customHeight="1">
      <c r="A2461" t="s">
        <v>2612</v>
      </c>
      <c r="B2461" s="6">
        <v>45656</v>
      </c>
      <c r="C2461" t="s">
        <v>309</v>
      </c>
      <c r="D2461" t="s">
        <v>87</v>
      </c>
      <c r="E2461" t="s">
        <v>11</v>
      </c>
      <c r="F2461" t="s">
        <v>12</v>
      </c>
      <c r="G2461" t="s">
        <v>13</v>
      </c>
      <c r="H2461">
        <v>14</v>
      </c>
      <c r="I2461" t="str">
        <f>VLOOKUP(D2461,Product_Lookup!$A$2:$C$27,3,FALSE)</f>
        <v>$26.59</v>
      </c>
      <c r="J2461" t="str">
        <f t="shared" si="307"/>
        <v>Monday</v>
      </c>
      <c r="K2461" s="10" t="str">
        <f t="shared" si="308"/>
        <v>December</v>
      </c>
      <c r="L2461">
        <f t="shared" si="309"/>
        <v>2024</v>
      </c>
      <c r="M2461" t="b">
        <f t="shared" si="310"/>
        <v>0</v>
      </c>
      <c r="N2461" t="b">
        <f t="shared" si="304"/>
        <v>0</v>
      </c>
      <c r="O2461" t="str">
        <f t="shared" si="311"/>
        <v>Standard order</v>
      </c>
      <c r="P2461" s="7">
        <f t="shared" si="305"/>
        <v>1.3295000000000001</v>
      </c>
      <c r="Q2461" s="7" t="str">
        <f>VLOOKUP(D2462,Product_Lookup!$A$2:$C$27,2,FALSE)</f>
        <v>Air Fryer</v>
      </c>
      <c r="R2461" s="7">
        <f t="shared" si="306"/>
        <v>372.26</v>
      </c>
    </row>
    <row r="2462" spans="1:18" ht="21.75" customHeight="1">
      <c r="A2462" t="s">
        <v>2613</v>
      </c>
      <c r="B2462" s="6">
        <v>45535</v>
      </c>
      <c r="C2462" t="s">
        <v>133</v>
      </c>
      <c r="D2462" t="s">
        <v>70</v>
      </c>
      <c r="E2462" t="s">
        <v>11</v>
      </c>
      <c r="F2462" t="s">
        <v>42</v>
      </c>
      <c r="G2462" t="s">
        <v>36</v>
      </c>
      <c r="H2462">
        <v>13</v>
      </c>
      <c r="I2462" t="str">
        <f>VLOOKUP(D2462,Product_Lookup!$A$2:$C$27,3,FALSE)</f>
        <v>$211.9</v>
      </c>
      <c r="J2462" t="str">
        <f t="shared" si="307"/>
        <v>Saturday</v>
      </c>
      <c r="K2462" s="10" t="str">
        <f t="shared" si="308"/>
        <v>August</v>
      </c>
      <c r="L2462">
        <f t="shared" si="309"/>
        <v>2024</v>
      </c>
      <c r="M2462" t="b">
        <f t="shared" si="310"/>
        <v>1</v>
      </c>
      <c r="N2462" t="b">
        <f t="shared" si="304"/>
        <v>1</v>
      </c>
      <c r="O2462" t="str">
        <f t="shared" si="311"/>
        <v>Large Order</v>
      </c>
      <c r="P2462" s="7">
        <f t="shared" si="305"/>
        <v>10.595000000000001</v>
      </c>
      <c r="Q2462" s="7" t="str">
        <f>VLOOKUP(D2463,Product_Lookup!$A$2:$C$27,2,FALSE)</f>
        <v>Coffee Maker</v>
      </c>
      <c r="R2462" s="7">
        <f t="shared" si="306"/>
        <v>2754.7000000000003</v>
      </c>
    </row>
    <row r="2463" spans="1:18" ht="21.75" customHeight="1">
      <c r="A2463" t="s">
        <v>2614</v>
      </c>
      <c r="B2463" s="6">
        <v>45557</v>
      </c>
      <c r="C2463" t="s">
        <v>420</v>
      </c>
      <c r="D2463" t="s">
        <v>31</v>
      </c>
      <c r="E2463" t="s">
        <v>17</v>
      </c>
      <c r="F2463" t="s">
        <v>306</v>
      </c>
      <c r="G2463" t="s">
        <v>23</v>
      </c>
      <c r="H2463">
        <v>14</v>
      </c>
      <c r="I2463" t="str">
        <f>VLOOKUP(D2463,Product_Lookup!$A$2:$C$27,3,FALSE)</f>
        <v>$230.34</v>
      </c>
      <c r="J2463" t="str">
        <f t="shared" si="307"/>
        <v>Sunday</v>
      </c>
      <c r="K2463" s="10" t="str">
        <f t="shared" si="308"/>
        <v>September</v>
      </c>
      <c r="L2463">
        <f t="shared" si="309"/>
        <v>2024</v>
      </c>
      <c r="M2463" t="b">
        <f t="shared" si="310"/>
        <v>1</v>
      </c>
      <c r="N2463" t="b">
        <f t="shared" si="304"/>
        <v>1</v>
      </c>
      <c r="O2463" t="str">
        <f t="shared" si="311"/>
        <v>Large Order</v>
      </c>
      <c r="P2463" s="7">
        <f t="shared" si="305"/>
        <v>11.517000000000001</v>
      </c>
      <c r="Q2463" s="7" t="str">
        <f>VLOOKUP(D2464,Product_Lookup!$A$2:$C$27,2,FALSE)</f>
        <v>Lego Set</v>
      </c>
      <c r="R2463" s="7">
        <f t="shared" si="306"/>
        <v>3224.76</v>
      </c>
    </row>
    <row r="2464" spans="1:18" ht="21.75" customHeight="1">
      <c r="A2464" t="s">
        <v>2615</v>
      </c>
      <c r="B2464" s="6">
        <v>45644</v>
      </c>
      <c r="C2464" t="s">
        <v>374</v>
      </c>
      <c r="D2464" t="s">
        <v>84</v>
      </c>
      <c r="E2464" t="s">
        <v>17</v>
      </c>
      <c r="F2464" t="s">
        <v>56</v>
      </c>
      <c r="G2464" t="s">
        <v>28</v>
      </c>
      <c r="H2464">
        <v>17</v>
      </c>
      <c r="I2464" t="str">
        <f>VLOOKUP(D2464,Product_Lookup!$A$2:$C$27,3,FALSE)</f>
        <v>$130.07</v>
      </c>
      <c r="J2464" t="str">
        <f t="shared" si="307"/>
        <v>Wednesday</v>
      </c>
      <c r="K2464" s="10" t="str">
        <f t="shared" si="308"/>
        <v>December</v>
      </c>
      <c r="L2464">
        <f t="shared" si="309"/>
        <v>2024</v>
      </c>
      <c r="M2464" t="b">
        <f t="shared" si="310"/>
        <v>0</v>
      </c>
      <c r="N2464" t="b">
        <f t="shared" si="304"/>
        <v>1</v>
      </c>
      <c r="O2464" t="str">
        <f t="shared" si="311"/>
        <v>Large Order</v>
      </c>
      <c r="P2464" s="7">
        <f t="shared" si="305"/>
        <v>6.5034999999999998</v>
      </c>
      <c r="Q2464" s="7" t="str">
        <f>VLOOKUP(D2465,Product_Lookup!$A$2:$C$27,2,FALSE)</f>
        <v>Headphones</v>
      </c>
      <c r="R2464" s="7">
        <f t="shared" si="306"/>
        <v>2211.19</v>
      </c>
    </row>
    <row r="2465" spans="1:18" ht="21.75" customHeight="1">
      <c r="A2465" t="s">
        <v>2616</v>
      </c>
      <c r="B2465" s="6">
        <v>45656</v>
      </c>
      <c r="C2465" t="s">
        <v>366</v>
      </c>
      <c r="D2465" t="s">
        <v>16</v>
      </c>
      <c r="E2465" t="s">
        <v>22</v>
      </c>
      <c r="F2465" t="s">
        <v>306</v>
      </c>
      <c r="G2465" t="s">
        <v>36</v>
      </c>
      <c r="H2465">
        <v>4</v>
      </c>
      <c r="I2465" t="str">
        <f>VLOOKUP(D2465,Product_Lookup!$A$2:$C$27,3,FALSE)</f>
        <v>$178.83</v>
      </c>
      <c r="J2465" t="str">
        <f t="shared" si="307"/>
        <v>Monday</v>
      </c>
      <c r="K2465" s="10" t="str">
        <f t="shared" si="308"/>
        <v>December</v>
      </c>
      <c r="L2465">
        <f t="shared" si="309"/>
        <v>2024</v>
      </c>
      <c r="M2465" t="b">
        <f t="shared" si="310"/>
        <v>0</v>
      </c>
      <c r="N2465" t="b">
        <f t="shared" si="304"/>
        <v>0</v>
      </c>
      <c r="O2465" t="str">
        <f t="shared" si="311"/>
        <v>Large Order</v>
      </c>
      <c r="P2465" s="7">
        <f t="shared" si="305"/>
        <v>8.9415000000000013</v>
      </c>
      <c r="Q2465" s="7" t="str">
        <f>VLOOKUP(D2466,Product_Lookup!$A$2:$C$27,2,FALSE)</f>
        <v>Smartphone</v>
      </c>
      <c r="R2465" s="7">
        <f t="shared" si="306"/>
        <v>715.32</v>
      </c>
    </row>
    <row r="2466" spans="1:18" ht="21.75" customHeight="1">
      <c r="A2466" t="s">
        <v>2617</v>
      </c>
      <c r="B2466" s="6">
        <v>45525</v>
      </c>
      <c r="C2466" t="s">
        <v>553</v>
      </c>
      <c r="D2466" t="s">
        <v>79</v>
      </c>
      <c r="E2466" t="s">
        <v>22</v>
      </c>
      <c r="F2466" t="s">
        <v>56</v>
      </c>
      <c r="G2466" t="s">
        <v>36</v>
      </c>
      <c r="H2466">
        <v>12</v>
      </c>
      <c r="I2466" t="str">
        <f>VLOOKUP(D2466,Product_Lookup!$A$2:$C$27,3,FALSE)</f>
        <v>$216.22</v>
      </c>
      <c r="J2466" t="str">
        <f t="shared" si="307"/>
        <v>Wednesday</v>
      </c>
      <c r="K2466" s="10" t="str">
        <f t="shared" si="308"/>
        <v>August</v>
      </c>
      <c r="L2466">
        <f t="shared" si="309"/>
        <v>2024</v>
      </c>
      <c r="M2466" t="b">
        <f t="shared" si="310"/>
        <v>0</v>
      </c>
      <c r="N2466" t="b">
        <f t="shared" si="304"/>
        <v>1</v>
      </c>
      <c r="O2466" t="str">
        <f t="shared" si="311"/>
        <v>Large Order</v>
      </c>
      <c r="P2466" s="7">
        <f t="shared" si="305"/>
        <v>10.811</v>
      </c>
      <c r="Q2466" s="7" t="str">
        <f>VLOOKUP(D2467,Product_Lookup!$A$2:$C$27,2,FALSE)</f>
        <v>Vacuum</v>
      </c>
      <c r="R2466" s="7">
        <f t="shared" si="306"/>
        <v>2594.64</v>
      </c>
    </row>
    <row r="2467" spans="1:18" ht="21.75" customHeight="1">
      <c r="A2467" t="s">
        <v>2618</v>
      </c>
      <c r="B2467" s="6">
        <v>45352</v>
      </c>
      <c r="C2467" t="s">
        <v>493</v>
      </c>
      <c r="D2467" t="s">
        <v>87</v>
      </c>
      <c r="E2467" t="s">
        <v>11</v>
      </c>
      <c r="F2467" t="s">
        <v>12</v>
      </c>
      <c r="G2467" t="s">
        <v>32</v>
      </c>
      <c r="H2467">
        <v>19</v>
      </c>
      <c r="I2467" t="str">
        <f>VLOOKUP(D2467,Product_Lookup!$A$2:$C$27,3,FALSE)</f>
        <v>$26.59</v>
      </c>
      <c r="J2467" t="str">
        <f t="shared" si="307"/>
        <v>Friday</v>
      </c>
      <c r="K2467" s="10" t="str">
        <f t="shared" si="308"/>
        <v>March</v>
      </c>
      <c r="L2467">
        <f t="shared" si="309"/>
        <v>2024</v>
      </c>
      <c r="M2467" t="b">
        <f t="shared" si="310"/>
        <v>0</v>
      </c>
      <c r="N2467" t="b">
        <f t="shared" si="304"/>
        <v>0</v>
      </c>
      <c r="O2467" t="str">
        <f t="shared" si="311"/>
        <v>Large Order</v>
      </c>
      <c r="P2467" s="7">
        <f t="shared" si="305"/>
        <v>1.3295000000000001</v>
      </c>
      <c r="Q2467" s="7" t="str">
        <f>VLOOKUP(D2468,Product_Lookup!$A$2:$C$27,2,FALSE)</f>
        <v>Monitor</v>
      </c>
      <c r="R2467" s="7">
        <f t="shared" si="306"/>
        <v>505.21</v>
      </c>
    </row>
    <row r="2468" spans="1:18" ht="21.75" customHeight="1">
      <c r="A2468" t="s">
        <v>2619</v>
      </c>
      <c r="B2468" s="6">
        <v>45559</v>
      </c>
      <c r="C2468" t="s">
        <v>125</v>
      </c>
      <c r="D2468" t="s">
        <v>102</v>
      </c>
      <c r="E2468" t="s">
        <v>17</v>
      </c>
      <c r="F2468" t="s">
        <v>42</v>
      </c>
      <c r="G2468" t="s">
        <v>32</v>
      </c>
      <c r="H2468">
        <v>10</v>
      </c>
      <c r="I2468" t="str">
        <f>VLOOKUP(D2468,Product_Lookup!$A$2:$C$27,3,FALSE)</f>
        <v>$145.48</v>
      </c>
      <c r="J2468" t="str">
        <f t="shared" si="307"/>
        <v>Tuesday</v>
      </c>
      <c r="K2468" s="10" t="str">
        <f t="shared" si="308"/>
        <v>September</v>
      </c>
      <c r="L2468">
        <f t="shared" si="309"/>
        <v>2024</v>
      </c>
      <c r="M2468" t="b">
        <f t="shared" si="310"/>
        <v>0</v>
      </c>
      <c r="N2468" t="b">
        <f t="shared" si="304"/>
        <v>1</v>
      </c>
      <c r="O2468" t="str">
        <f t="shared" si="311"/>
        <v>Large Order</v>
      </c>
      <c r="P2468" s="7">
        <f t="shared" si="305"/>
        <v>7.274</v>
      </c>
      <c r="Q2468" s="7" t="str">
        <f>VLOOKUP(D2469,Product_Lookup!$A$2:$C$27,2,FALSE)</f>
        <v>Headphones</v>
      </c>
      <c r="R2468" s="7">
        <f t="shared" si="306"/>
        <v>1454.8</v>
      </c>
    </row>
    <row r="2469" spans="1:18" ht="21.75" customHeight="1">
      <c r="A2469" t="s">
        <v>2620</v>
      </c>
      <c r="B2469" s="6">
        <v>45306</v>
      </c>
      <c r="C2469" t="s">
        <v>167</v>
      </c>
      <c r="D2469" t="s">
        <v>16</v>
      </c>
      <c r="E2469" t="s">
        <v>22</v>
      </c>
      <c r="F2469" t="s">
        <v>27</v>
      </c>
      <c r="G2469" t="s">
        <v>13</v>
      </c>
      <c r="H2469">
        <v>10</v>
      </c>
      <c r="I2469" t="str">
        <f>VLOOKUP(D2469,Product_Lookup!$A$2:$C$27,3,FALSE)</f>
        <v>$178.83</v>
      </c>
      <c r="J2469" t="str">
        <f t="shared" si="307"/>
        <v>Monday</v>
      </c>
      <c r="K2469" s="10" t="str">
        <f t="shared" si="308"/>
        <v>January</v>
      </c>
      <c r="L2469">
        <f t="shared" si="309"/>
        <v>2024</v>
      </c>
      <c r="M2469" t="b">
        <f t="shared" si="310"/>
        <v>0</v>
      </c>
      <c r="N2469" t="b">
        <f t="shared" si="304"/>
        <v>1</v>
      </c>
      <c r="O2469" t="str">
        <f t="shared" si="311"/>
        <v>Large Order</v>
      </c>
      <c r="P2469" s="7">
        <f t="shared" si="305"/>
        <v>8.9415000000000013</v>
      </c>
      <c r="Q2469" s="7" t="str">
        <f>VLOOKUP(D2470,Product_Lookup!$A$2:$C$27,2,FALSE)</f>
        <v>Lego Set</v>
      </c>
      <c r="R2469" s="7">
        <f t="shared" si="306"/>
        <v>1788.3000000000002</v>
      </c>
    </row>
    <row r="2470" spans="1:18" ht="21.75" customHeight="1">
      <c r="A2470" t="s">
        <v>2621</v>
      </c>
      <c r="B2470" s="6">
        <v>45402</v>
      </c>
      <c r="C2470" t="s">
        <v>44</v>
      </c>
      <c r="D2470" t="s">
        <v>84</v>
      </c>
      <c r="E2470" t="s">
        <v>17</v>
      </c>
      <c r="F2470" t="s">
        <v>12</v>
      </c>
      <c r="G2470" t="s">
        <v>13</v>
      </c>
      <c r="H2470">
        <v>18</v>
      </c>
      <c r="I2470" t="str">
        <f>VLOOKUP(D2470,Product_Lookup!$A$2:$C$27,3,FALSE)</f>
        <v>$130.07</v>
      </c>
      <c r="J2470" t="str">
        <f t="shared" si="307"/>
        <v>Saturday</v>
      </c>
      <c r="K2470" s="10" t="str">
        <f t="shared" si="308"/>
        <v>April</v>
      </c>
      <c r="L2470">
        <f t="shared" si="309"/>
        <v>2024</v>
      </c>
      <c r="M2470" t="b">
        <f t="shared" si="310"/>
        <v>1</v>
      </c>
      <c r="N2470" t="b">
        <f t="shared" si="304"/>
        <v>1</v>
      </c>
      <c r="O2470" t="str">
        <f t="shared" si="311"/>
        <v>Large Order</v>
      </c>
      <c r="P2470" s="7">
        <f t="shared" si="305"/>
        <v>6.5034999999999998</v>
      </c>
      <c r="Q2470" s="7" t="str">
        <f>VLOOKUP(D2471,Product_Lookup!$A$2:$C$27,2,FALSE)</f>
        <v>Stapler</v>
      </c>
      <c r="R2470" s="7">
        <f t="shared" si="306"/>
        <v>2341.2599999999998</v>
      </c>
    </row>
    <row r="2471" spans="1:18" ht="21.75" customHeight="1">
      <c r="A2471" t="s">
        <v>2622</v>
      </c>
      <c r="B2471" s="6">
        <v>45314</v>
      </c>
      <c r="C2471" t="s">
        <v>572</v>
      </c>
      <c r="D2471" t="s">
        <v>35</v>
      </c>
      <c r="E2471" t="s">
        <v>22</v>
      </c>
      <c r="F2471" t="s">
        <v>42</v>
      </c>
      <c r="G2471" t="s">
        <v>36</v>
      </c>
      <c r="H2471">
        <v>15</v>
      </c>
      <c r="I2471" t="str">
        <f>VLOOKUP(D2471,Product_Lookup!$A$2:$C$27,3,FALSE)</f>
        <v>$64.61</v>
      </c>
      <c r="J2471" t="str">
        <f t="shared" si="307"/>
        <v>Tuesday</v>
      </c>
      <c r="K2471" s="10" t="str">
        <f t="shared" si="308"/>
        <v>January</v>
      </c>
      <c r="L2471">
        <f t="shared" si="309"/>
        <v>2024</v>
      </c>
      <c r="M2471" t="b">
        <f t="shared" si="310"/>
        <v>0</v>
      </c>
      <c r="N2471" t="b">
        <f t="shared" si="304"/>
        <v>1</v>
      </c>
      <c r="O2471" t="str">
        <f t="shared" si="311"/>
        <v>Large Order</v>
      </c>
      <c r="P2471" s="7">
        <f t="shared" si="305"/>
        <v>3.2305000000000001</v>
      </c>
      <c r="Q2471" s="7" t="str">
        <f>VLOOKUP(D2472,Product_Lookup!$A$2:$C$27,2,FALSE)</f>
        <v>Lego Set</v>
      </c>
      <c r="R2471" s="7">
        <f t="shared" si="306"/>
        <v>969.15</v>
      </c>
    </row>
    <row r="2472" spans="1:18" ht="21.75" customHeight="1">
      <c r="A2472" t="s">
        <v>2623</v>
      </c>
      <c r="B2472" s="6">
        <v>45485</v>
      </c>
      <c r="C2472" t="s">
        <v>553</v>
      </c>
      <c r="D2472" t="s">
        <v>84</v>
      </c>
      <c r="E2472" t="s">
        <v>22</v>
      </c>
      <c r="F2472" t="s">
        <v>56</v>
      </c>
      <c r="G2472" t="s">
        <v>28</v>
      </c>
      <c r="H2472">
        <v>17</v>
      </c>
      <c r="I2472" t="str">
        <f>VLOOKUP(D2472,Product_Lookup!$A$2:$C$27,3,FALSE)</f>
        <v>$130.07</v>
      </c>
      <c r="J2472" t="str">
        <f t="shared" si="307"/>
        <v>Friday</v>
      </c>
      <c r="K2472" s="10" t="str">
        <f t="shared" si="308"/>
        <v>July</v>
      </c>
      <c r="L2472">
        <f t="shared" si="309"/>
        <v>2024</v>
      </c>
      <c r="M2472" t="b">
        <f t="shared" si="310"/>
        <v>0</v>
      </c>
      <c r="N2472" t="b">
        <f t="shared" si="304"/>
        <v>1</v>
      </c>
      <c r="O2472" t="str">
        <f t="shared" si="311"/>
        <v>Large Order</v>
      </c>
      <c r="P2472" s="7">
        <f t="shared" si="305"/>
        <v>6.5034999999999998</v>
      </c>
      <c r="Q2472" s="7" t="str">
        <f>VLOOKUP(D2473,Product_Lookup!$A$2:$C$27,2,FALSE)</f>
        <v>Air Fryer</v>
      </c>
      <c r="R2472" s="7">
        <f t="shared" si="306"/>
        <v>2211.19</v>
      </c>
    </row>
    <row r="2473" spans="1:18" ht="21.75" customHeight="1">
      <c r="A2473" t="s">
        <v>2624</v>
      </c>
      <c r="B2473" s="6">
        <v>45522</v>
      </c>
      <c r="C2473" t="s">
        <v>317</v>
      </c>
      <c r="D2473" t="s">
        <v>70</v>
      </c>
      <c r="E2473" t="s">
        <v>11</v>
      </c>
      <c r="F2473" t="s">
        <v>42</v>
      </c>
      <c r="G2473" t="s">
        <v>13</v>
      </c>
      <c r="H2473">
        <v>20</v>
      </c>
      <c r="I2473" t="str">
        <f>VLOOKUP(D2473,Product_Lookup!$A$2:$C$27,3,FALSE)</f>
        <v>$211.9</v>
      </c>
      <c r="J2473" t="str">
        <f t="shared" si="307"/>
        <v>Sunday</v>
      </c>
      <c r="K2473" s="10" t="str">
        <f t="shared" si="308"/>
        <v>August</v>
      </c>
      <c r="L2473">
        <f t="shared" si="309"/>
        <v>2024</v>
      </c>
      <c r="M2473" t="b">
        <f t="shared" si="310"/>
        <v>1</v>
      </c>
      <c r="N2473" t="b">
        <f t="shared" si="304"/>
        <v>1</v>
      </c>
      <c r="O2473" t="str">
        <f t="shared" si="311"/>
        <v>Large Order</v>
      </c>
      <c r="P2473" s="7">
        <f t="shared" si="305"/>
        <v>10.595000000000001</v>
      </c>
      <c r="Q2473" s="7" t="str">
        <f>VLOOKUP(D2474,Product_Lookup!$A$2:$C$27,2,FALSE)</f>
        <v>Jacket</v>
      </c>
      <c r="R2473" s="7">
        <f t="shared" si="306"/>
        <v>4238</v>
      </c>
    </row>
    <row r="2474" spans="1:18" ht="21.75" customHeight="1">
      <c r="A2474" t="s">
        <v>2625</v>
      </c>
      <c r="B2474" s="6">
        <v>45501</v>
      </c>
      <c r="C2474" t="s">
        <v>53</v>
      </c>
      <c r="D2474" t="s">
        <v>197</v>
      </c>
      <c r="E2474" t="s">
        <v>17</v>
      </c>
      <c r="F2474" t="s">
        <v>42</v>
      </c>
      <c r="G2474" t="s">
        <v>36</v>
      </c>
      <c r="H2474">
        <v>2</v>
      </c>
      <c r="I2474" t="str">
        <f>VLOOKUP(D2474,Product_Lookup!$A$2:$C$27,3,FALSE)</f>
        <v>$10.11</v>
      </c>
      <c r="J2474" t="str">
        <f t="shared" si="307"/>
        <v>Sunday</v>
      </c>
      <c r="K2474" s="10" t="str">
        <f t="shared" si="308"/>
        <v>July</v>
      </c>
      <c r="L2474">
        <f t="shared" si="309"/>
        <v>2024</v>
      </c>
      <c r="M2474" t="b">
        <f t="shared" si="310"/>
        <v>1</v>
      </c>
      <c r="N2474" t="b">
        <f t="shared" si="304"/>
        <v>0</v>
      </c>
      <c r="O2474" t="str">
        <f t="shared" si="311"/>
        <v>Standard order</v>
      </c>
      <c r="P2474" s="7">
        <f t="shared" si="305"/>
        <v>0.50549999999999995</v>
      </c>
      <c r="Q2474" s="7" t="str">
        <f>VLOOKUP(D2475,Product_Lookup!$A$2:$C$27,2,FALSE)</f>
        <v>Sweater</v>
      </c>
      <c r="R2474" s="7">
        <f t="shared" si="306"/>
        <v>20.22</v>
      </c>
    </row>
    <row r="2475" spans="1:18" ht="21.75" customHeight="1">
      <c r="A2475" t="s">
        <v>2626</v>
      </c>
      <c r="B2475" s="6">
        <v>45518</v>
      </c>
      <c r="C2475" t="s">
        <v>304</v>
      </c>
      <c r="D2475" t="s">
        <v>26</v>
      </c>
      <c r="E2475" t="s">
        <v>22</v>
      </c>
      <c r="F2475" t="s">
        <v>12</v>
      </c>
      <c r="G2475" t="s">
        <v>28</v>
      </c>
      <c r="H2475">
        <v>1</v>
      </c>
      <c r="I2475" t="str">
        <f>VLOOKUP(D2475,Product_Lookup!$A$2:$C$27,3,FALSE)</f>
        <v>$84.57</v>
      </c>
      <c r="J2475" t="str">
        <f t="shared" si="307"/>
        <v>Wednesday</v>
      </c>
      <c r="K2475" s="10" t="str">
        <f t="shared" si="308"/>
        <v>August</v>
      </c>
      <c r="L2475">
        <f t="shared" si="309"/>
        <v>2024</v>
      </c>
      <c r="M2475" t="b">
        <f t="shared" si="310"/>
        <v>0</v>
      </c>
      <c r="N2475" t="b">
        <f t="shared" si="304"/>
        <v>0</v>
      </c>
      <c r="O2475" t="str">
        <f t="shared" si="311"/>
        <v>Standard order</v>
      </c>
      <c r="P2475" s="7">
        <f t="shared" si="305"/>
        <v>4.2284999999999995</v>
      </c>
      <c r="Q2475" s="7" t="str">
        <f>VLOOKUP(D2476,Product_Lookup!$A$2:$C$27,2,FALSE)</f>
        <v>Pen Set</v>
      </c>
      <c r="R2475" s="7">
        <f t="shared" si="306"/>
        <v>84.57</v>
      </c>
    </row>
    <row r="2476" spans="1:18" ht="21.75" customHeight="1">
      <c r="A2476" t="s">
        <v>2627</v>
      </c>
      <c r="B2476" s="6">
        <v>45654</v>
      </c>
      <c r="C2476" t="s">
        <v>147</v>
      </c>
      <c r="D2476" t="s">
        <v>174</v>
      </c>
      <c r="E2476" t="s">
        <v>22</v>
      </c>
      <c r="F2476" t="s">
        <v>12</v>
      </c>
      <c r="G2476" t="s">
        <v>36</v>
      </c>
      <c r="H2476">
        <v>3</v>
      </c>
      <c r="I2476" t="str">
        <f>VLOOKUP(D2476,Product_Lookup!$A$2:$C$27,3,FALSE)</f>
        <v>$133.37</v>
      </c>
      <c r="J2476" t="str">
        <f t="shared" si="307"/>
        <v>Saturday</v>
      </c>
      <c r="K2476" s="10" t="str">
        <f t="shared" si="308"/>
        <v>December</v>
      </c>
      <c r="L2476">
        <f t="shared" si="309"/>
        <v>2024</v>
      </c>
      <c r="M2476" t="b">
        <f t="shared" si="310"/>
        <v>1</v>
      </c>
      <c r="N2476" t="b">
        <f t="shared" si="304"/>
        <v>0</v>
      </c>
      <c r="O2476" t="str">
        <f t="shared" si="311"/>
        <v>Standard order</v>
      </c>
      <c r="P2476" s="7">
        <f t="shared" si="305"/>
        <v>6.6685000000000008</v>
      </c>
      <c r="Q2476" s="7" t="str">
        <f>VLOOKUP(D2477,Product_Lookup!$A$2:$C$27,2,FALSE)</f>
        <v>Desk Lamp</v>
      </c>
      <c r="R2476" s="7">
        <f t="shared" si="306"/>
        <v>400.11</v>
      </c>
    </row>
    <row r="2477" spans="1:18" ht="21.75" customHeight="1">
      <c r="A2477" t="s">
        <v>2628</v>
      </c>
      <c r="B2477" s="6">
        <v>45608</v>
      </c>
      <c r="C2477" t="s">
        <v>591</v>
      </c>
      <c r="D2477" t="s">
        <v>59</v>
      </c>
      <c r="E2477" t="s">
        <v>11</v>
      </c>
      <c r="F2477" t="s">
        <v>306</v>
      </c>
      <c r="G2477" t="s">
        <v>36</v>
      </c>
      <c r="H2477">
        <v>7</v>
      </c>
      <c r="I2477" t="str">
        <f>VLOOKUP(D2477,Product_Lookup!$A$2:$C$27,3,FALSE)</f>
        <v>$101.96</v>
      </c>
      <c r="J2477" t="str">
        <f t="shared" si="307"/>
        <v>Tuesday</v>
      </c>
      <c r="K2477" s="10" t="str">
        <f t="shared" si="308"/>
        <v>November</v>
      </c>
      <c r="L2477">
        <f t="shared" si="309"/>
        <v>2024</v>
      </c>
      <c r="M2477" t="b">
        <f t="shared" si="310"/>
        <v>0</v>
      </c>
      <c r="N2477" t="b">
        <f t="shared" si="304"/>
        <v>0</v>
      </c>
      <c r="O2477" t="str">
        <f t="shared" si="311"/>
        <v>Large Order</v>
      </c>
      <c r="P2477" s="7">
        <f t="shared" si="305"/>
        <v>5.0979999999999999</v>
      </c>
      <c r="Q2477" s="7" t="str">
        <f>VLOOKUP(D2478,Product_Lookup!$A$2:$C$27,2,FALSE)</f>
        <v>Monitor</v>
      </c>
      <c r="R2477" s="7">
        <f t="shared" si="306"/>
        <v>713.71999999999991</v>
      </c>
    </row>
    <row r="2478" spans="1:18" ht="21.75" customHeight="1">
      <c r="A2478" t="s">
        <v>2629</v>
      </c>
      <c r="B2478" s="6">
        <v>45549</v>
      </c>
      <c r="C2478" t="s">
        <v>138</v>
      </c>
      <c r="D2478" t="s">
        <v>102</v>
      </c>
      <c r="E2478" t="s">
        <v>22</v>
      </c>
      <c r="F2478" t="s">
        <v>306</v>
      </c>
      <c r="G2478" t="s">
        <v>28</v>
      </c>
      <c r="H2478">
        <v>1</v>
      </c>
      <c r="I2478" t="str">
        <f>VLOOKUP(D2478,Product_Lookup!$A$2:$C$27,3,FALSE)</f>
        <v>$145.48</v>
      </c>
      <c r="J2478" t="str">
        <f t="shared" si="307"/>
        <v>Saturday</v>
      </c>
      <c r="K2478" s="10" t="str">
        <f t="shared" si="308"/>
        <v>September</v>
      </c>
      <c r="L2478">
        <f t="shared" si="309"/>
        <v>2024</v>
      </c>
      <c r="M2478" t="b">
        <f t="shared" si="310"/>
        <v>1</v>
      </c>
      <c r="N2478" t="b">
        <f t="shared" si="304"/>
        <v>0</v>
      </c>
      <c r="O2478" t="str">
        <f t="shared" si="311"/>
        <v>Standard order</v>
      </c>
      <c r="P2478" s="7">
        <f t="shared" si="305"/>
        <v>7.274</v>
      </c>
      <c r="Q2478" s="7" t="str">
        <f>VLOOKUP(D2479,Product_Lookup!$A$2:$C$27,2,FALSE)</f>
        <v>Puzzle</v>
      </c>
      <c r="R2478" s="7">
        <f t="shared" si="306"/>
        <v>145.47999999999999</v>
      </c>
    </row>
    <row r="2479" spans="1:18" ht="21.75" customHeight="1">
      <c r="A2479" t="s">
        <v>2630</v>
      </c>
      <c r="B2479" s="6">
        <v>45397</v>
      </c>
      <c r="C2479" t="s">
        <v>78</v>
      </c>
      <c r="D2479" t="s">
        <v>62</v>
      </c>
      <c r="E2479" t="s">
        <v>22</v>
      </c>
      <c r="F2479" t="s">
        <v>27</v>
      </c>
      <c r="G2479" t="s">
        <v>13</v>
      </c>
      <c r="H2479">
        <v>18</v>
      </c>
      <c r="I2479" t="str">
        <f>VLOOKUP(D2479,Product_Lookup!$A$2:$C$27,3,FALSE)</f>
        <v>$46.19</v>
      </c>
      <c r="J2479" t="str">
        <f t="shared" si="307"/>
        <v>Monday</v>
      </c>
      <c r="K2479" s="10" t="str">
        <f t="shared" si="308"/>
        <v>April</v>
      </c>
      <c r="L2479">
        <f t="shared" si="309"/>
        <v>2024</v>
      </c>
      <c r="M2479" t="b">
        <f t="shared" si="310"/>
        <v>0</v>
      </c>
      <c r="N2479" t="b">
        <f t="shared" si="304"/>
        <v>1</v>
      </c>
      <c r="O2479" t="str">
        <f t="shared" si="311"/>
        <v>Large Order</v>
      </c>
      <c r="P2479" s="7">
        <f t="shared" si="305"/>
        <v>2.3094999999999999</v>
      </c>
      <c r="Q2479" s="7" t="str">
        <f>VLOOKUP(D2480,Product_Lookup!$A$2:$C$27,2,FALSE)</f>
        <v>Smartphone</v>
      </c>
      <c r="R2479" s="7">
        <f t="shared" si="306"/>
        <v>831.42</v>
      </c>
    </row>
    <row r="2480" spans="1:18" ht="21.75" customHeight="1">
      <c r="A2480" t="s">
        <v>2631</v>
      </c>
      <c r="B2480" s="6">
        <v>45497</v>
      </c>
      <c r="C2480" t="s">
        <v>449</v>
      </c>
      <c r="D2480" t="s">
        <v>79</v>
      </c>
      <c r="E2480" t="s">
        <v>17</v>
      </c>
      <c r="F2480" t="s">
        <v>12</v>
      </c>
      <c r="G2480" t="s">
        <v>32</v>
      </c>
      <c r="H2480">
        <v>14</v>
      </c>
      <c r="I2480" t="str">
        <f>VLOOKUP(D2480,Product_Lookup!$A$2:$C$27,3,FALSE)</f>
        <v>$216.22</v>
      </c>
      <c r="J2480" t="str">
        <f t="shared" si="307"/>
        <v>Wednesday</v>
      </c>
      <c r="K2480" s="10" t="str">
        <f t="shared" si="308"/>
        <v>July</v>
      </c>
      <c r="L2480">
        <f t="shared" si="309"/>
        <v>2024</v>
      </c>
      <c r="M2480" t="b">
        <f t="shared" si="310"/>
        <v>0</v>
      </c>
      <c r="N2480" t="b">
        <f t="shared" si="304"/>
        <v>1</v>
      </c>
      <c r="O2480" t="str">
        <f t="shared" si="311"/>
        <v>Large Order</v>
      </c>
      <c r="P2480" s="7">
        <f t="shared" si="305"/>
        <v>10.811</v>
      </c>
      <c r="Q2480" s="7" t="str">
        <f>VLOOKUP(D2481,Product_Lookup!$A$2:$C$27,2,FALSE)</f>
        <v>Blender</v>
      </c>
      <c r="R2480" s="7">
        <f t="shared" si="306"/>
        <v>3027.08</v>
      </c>
    </row>
    <row r="2481" spans="1:18" ht="21.75" customHeight="1">
      <c r="A2481" t="s">
        <v>2632</v>
      </c>
      <c r="B2481" s="6">
        <v>45304</v>
      </c>
      <c r="C2481" t="s">
        <v>339</v>
      </c>
      <c r="D2481" t="s">
        <v>72</v>
      </c>
      <c r="E2481" t="s">
        <v>17</v>
      </c>
      <c r="F2481" t="s">
        <v>42</v>
      </c>
      <c r="G2481" t="s">
        <v>13</v>
      </c>
      <c r="H2481">
        <v>4</v>
      </c>
      <c r="I2481" t="str">
        <f>VLOOKUP(D2481,Product_Lookup!$A$2:$C$27,3,FALSE)</f>
        <v>$156.44</v>
      </c>
      <c r="J2481" t="str">
        <f t="shared" si="307"/>
        <v>Saturday</v>
      </c>
      <c r="K2481" s="10" t="str">
        <f t="shared" si="308"/>
        <v>January</v>
      </c>
      <c r="L2481">
        <f t="shared" si="309"/>
        <v>2024</v>
      </c>
      <c r="M2481" t="b">
        <f t="shared" si="310"/>
        <v>1</v>
      </c>
      <c r="N2481" t="b">
        <f t="shared" si="304"/>
        <v>0</v>
      </c>
      <c r="O2481" t="str">
        <f t="shared" si="311"/>
        <v>Large Order</v>
      </c>
      <c r="P2481" s="7">
        <f t="shared" si="305"/>
        <v>7.8220000000000001</v>
      </c>
      <c r="Q2481" s="7" t="str">
        <f>VLOOKUP(D2482,Product_Lookup!$A$2:$C$27,2,FALSE)</f>
        <v>Socks</v>
      </c>
      <c r="R2481" s="7">
        <f t="shared" si="306"/>
        <v>625.76</v>
      </c>
    </row>
    <row r="2482" spans="1:18" ht="21.75" customHeight="1">
      <c r="A2482" t="s">
        <v>2633</v>
      </c>
      <c r="B2482" s="6">
        <v>45569</v>
      </c>
      <c r="C2482" t="s">
        <v>30</v>
      </c>
      <c r="D2482" t="s">
        <v>74</v>
      </c>
      <c r="E2482" t="s">
        <v>11</v>
      </c>
      <c r="F2482" t="s">
        <v>56</v>
      </c>
      <c r="G2482" t="s">
        <v>32</v>
      </c>
      <c r="H2482">
        <v>3</v>
      </c>
      <c r="I2482" t="str">
        <f>VLOOKUP(D2482,Product_Lookup!$A$2:$C$27,3,FALSE)</f>
        <v>$201.32</v>
      </c>
      <c r="J2482" t="str">
        <f t="shared" si="307"/>
        <v>Friday</v>
      </c>
      <c r="K2482" s="10" t="str">
        <f t="shared" si="308"/>
        <v>October</v>
      </c>
      <c r="L2482">
        <f t="shared" si="309"/>
        <v>2024</v>
      </c>
      <c r="M2482" t="b">
        <f t="shared" si="310"/>
        <v>0</v>
      </c>
      <c r="N2482" t="b">
        <f t="shared" si="304"/>
        <v>0</v>
      </c>
      <c r="O2482" t="str">
        <f t="shared" si="311"/>
        <v>Large Order</v>
      </c>
      <c r="P2482" s="7">
        <f t="shared" si="305"/>
        <v>10.066000000000001</v>
      </c>
      <c r="Q2482" s="7" t="str">
        <f>VLOOKUP(D2483,Product_Lookup!$A$2:$C$27,2,FALSE)</f>
        <v>T-Shirt</v>
      </c>
      <c r="R2482" s="7">
        <f t="shared" si="306"/>
        <v>603.96</v>
      </c>
    </row>
    <row r="2483" spans="1:18" ht="21.75" customHeight="1">
      <c r="A2483" t="s">
        <v>2634</v>
      </c>
      <c r="B2483" s="6">
        <v>45500</v>
      </c>
      <c r="C2483" t="s">
        <v>422</v>
      </c>
      <c r="D2483" t="s">
        <v>45</v>
      </c>
      <c r="E2483" t="s">
        <v>11</v>
      </c>
      <c r="F2483" t="s">
        <v>306</v>
      </c>
      <c r="G2483" t="s">
        <v>32</v>
      </c>
      <c r="H2483">
        <v>6</v>
      </c>
      <c r="I2483" t="str">
        <f>VLOOKUP(D2483,Product_Lookup!$A$2:$C$27,3,FALSE)</f>
        <v>$107.34</v>
      </c>
      <c r="J2483" t="str">
        <f t="shared" si="307"/>
        <v>Saturday</v>
      </c>
      <c r="K2483" s="10" t="str">
        <f t="shared" si="308"/>
        <v>July</v>
      </c>
      <c r="L2483">
        <f t="shared" si="309"/>
        <v>2024</v>
      </c>
      <c r="M2483" t="b">
        <f t="shared" si="310"/>
        <v>1</v>
      </c>
      <c r="N2483" t="b">
        <f t="shared" si="304"/>
        <v>0</v>
      </c>
      <c r="O2483" t="str">
        <f t="shared" si="311"/>
        <v>Large Order</v>
      </c>
      <c r="P2483" s="7">
        <f t="shared" si="305"/>
        <v>5.3670000000000009</v>
      </c>
      <c r="Q2483" s="7" t="str">
        <f>VLOOKUP(D2484,Product_Lookup!$A$2:$C$27,2,FALSE)</f>
        <v>Coffee Maker</v>
      </c>
      <c r="R2483" s="7">
        <f t="shared" si="306"/>
        <v>644.04</v>
      </c>
    </row>
    <row r="2484" spans="1:18" ht="21.75" customHeight="1">
      <c r="A2484" t="s">
        <v>2635</v>
      </c>
      <c r="B2484" s="6">
        <v>45321</v>
      </c>
      <c r="C2484" t="s">
        <v>68</v>
      </c>
      <c r="D2484" t="s">
        <v>31</v>
      </c>
      <c r="E2484" t="s">
        <v>11</v>
      </c>
      <c r="F2484" t="s">
        <v>42</v>
      </c>
      <c r="G2484" t="s">
        <v>28</v>
      </c>
      <c r="H2484">
        <v>14</v>
      </c>
      <c r="I2484" t="str">
        <f>VLOOKUP(D2484,Product_Lookup!$A$2:$C$27,3,FALSE)</f>
        <v>$230.34</v>
      </c>
      <c r="J2484" t="str">
        <f t="shared" si="307"/>
        <v>Tuesday</v>
      </c>
      <c r="K2484" s="10" t="str">
        <f t="shared" si="308"/>
        <v>January</v>
      </c>
      <c r="L2484">
        <f t="shared" si="309"/>
        <v>2024</v>
      </c>
      <c r="M2484" t="b">
        <f t="shared" si="310"/>
        <v>0</v>
      </c>
      <c r="N2484" t="b">
        <f t="shared" si="304"/>
        <v>1</v>
      </c>
      <c r="O2484" t="str">
        <f t="shared" si="311"/>
        <v>Large Order</v>
      </c>
      <c r="P2484" s="7">
        <f t="shared" si="305"/>
        <v>11.517000000000001</v>
      </c>
      <c r="Q2484" s="7" t="str">
        <f>VLOOKUP(D2485,Product_Lookup!$A$2:$C$27,2,FALSE)</f>
        <v>Monitor</v>
      </c>
      <c r="R2484" s="7">
        <f t="shared" si="306"/>
        <v>3224.76</v>
      </c>
    </row>
    <row r="2485" spans="1:18" ht="21.75" customHeight="1">
      <c r="A2485" t="s">
        <v>2636</v>
      </c>
      <c r="B2485" s="6">
        <v>45424</v>
      </c>
      <c r="C2485" t="s">
        <v>159</v>
      </c>
      <c r="D2485" t="s">
        <v>102</v>
      </c>
      <c r="E2485" t="s">
        <v>11</v>
      </c>
      <c r="F2485" t="s">
        <v>56</v>
      </c>
      <c r="G2485" t="s">
        <v>28</v>
      </c>
      <c r="H2485">
        <v>20</v>
      </c>
      <c r="I2485" t="str">
        <f>VLOOKUP(D2485,Product_Lookup!$A$2:$C$27,3,FALSE)</f>
        <v>$145.48</v>
      </c>
      <c r="J2485" t="str">
        <f t="shared" si="307"/>
        <v>Sunday</v>
      </c>
      <c r="K2485" s="10" t="str">
        <f t="shared" si="308"/>
        <v>May</v>
      </c>
      <c r="L2485">
        <f t="shared" si="309"/>
        <v>2024</v>
      </c>
      <c r="M2485" t="b">
        <f t="shared" si="310"/>
        <v>1</v>
      </c>
      <c r="N2485" t="b">
        <f t="shared" si="304"/>
        <v>1</v>
      </c>
      <c r="O2485" t="str">
        <f t="shared" si="311"/>
        <v>Large Order</v>
      </c>
      <c r="P2485" s="7">
        <f t="shared" si="305"/>
        <v>7.274</v>
      </c>
      <c r="Q2485" s="7" t="str">
        <f>VLOOKUP(D2486,Product_Lookup!$A$2:$C$27,2,FALSE)</f>
        <v>Doll</v>
      </c>
      <c r="R2485" s="7">
        <f t="shared" si="306"/>
        <v>2909.6</v>
      </c>
    </row>
    <row r="2486" spans="1:18" ht="21.75" customHeight="1">
      <c r="A2486" t="s">
        <v>2637</v>
      </c>
      <c r="B2486" s="6">
        <v>45544</v>
      </c>
      <c r="C2486" t="s">
        <v>345</v>
      </c>
      <c r="D2486" t="s">
        <v>119</v>
      </c>
      <c r="E2486" t="s">
        <v>22</v>
      </c>
      <c r="F2486" t="s">
        <v>27</v>
      </c>
      <c r="G2486" t="s">
        <v>13</v>
      </c>
      <c r="H2486">
        <v>9</v>
      </c>
      <c r="I2486" t="str">
        <f>VLOOKUP(D2486,Product_Lookup!$A$2:$C$27,3,FALSE)</f>
        <v>$32.94</v>
      </c>
      <c r="J2486" t="str">
        <f t="shared" si="307"/>
        <v>Monday</v>
      </c>
      <c r="K2486" s="10" t="str">
        <f t="shared" si="308"/>
        <v>September</v>
      </c>
      <c r="L2486">
        <f t="shared" si="309"/>
        <v>2024</v>
      </c>
      <c r="M2486" t="b">
        <f t="shared" si="310"/>
        <v>0</v>
      </c>
      <c r="N2486" t="b">
        <f t="shared" si="304"/>
        <v>0</v>
      </c>
      <c r="O2486" t="str">
        <f t="shared" si="311"/>
        <v>Standard order</v>
      </c>
      <c r="P2486" s="7">
        <f t="shared" si="305"/>
        <v>1.647</v>
      </c>
      <c r="Q2486" s="7" t="str">
        <f>VLOOKUP(D2487,Product_Lookup!$A$2:$C$27,2,FALSE)</f>
        <v>Vacuum</v>
      </c>
      <c r="R2486" s="7">
        <f t="shared" si="306"/>
        <v>296.45999999999998</v>
      </c>
    </row>
    <row r="2487" spans="1:18" ht="21.75" customHeight="1">
      <c r="A2487" t="s">
        <v>2638</v>
      </c>
      <c r="B2487" s="6">
        <v>45529</v>
      </c>
      <c r="C2487" t="s">
        <v>378</v>
      </c>
      <c r="D2487" t="s">
        <v>87</v>
      </c>
      <c r="E2487" t="s">
        <v>11</v>
      </c>
      <c r="F2487" t="s">
        <v>27</v>
      </c>
      <c r="G2487" t="s">
        <v>13</v>
      </c>
      <c r="H2487">
        <v>14</v>
      </c>
      <c r="I2487" t="str">
        <f>VLOOKUP(D2487,Product_Lookup!$A$2:$C$27,3,FALSE)</f>
        <v>$26.59</v>
      </c>
      <c r="J2487" t="str">
        <f t="shared" si="307"/>
        <v>Sunday</v>
      </c>
      <c r="K2487" s="10" t="str">
        <f t="shared" si="308"/>
        <v>August</v>
      </c>
      <c r="L2487">
        <f t="shared" si="309"/>
        <v>2024</v>
      </c>
      <c r="M2487" t="b">
        <f t="shared" si="310"/>
        <v>1</v>
      </c>
      <c r="N2487" t="b">
        <f t="shared" si="304"/>
        <v>0</v>
      </c>
      <c r="O2487" t="str">
        <f t="shared" si="311"/>
        <v>Standard order</v>
      </c>
      <c r="P2487" s="7">
        <f t="shared" si="305"/>
        <v>1.3295000000000001</v>
      </c>
      <c r="Q2487" s="7" t="str">
        <f>VLOOKUP(D2488,Product_Lookup!$A$2:$C$27,2,FALSE)</f>
        <v>Pen Set</v>
      </c>
      <c r="R2487" s="7">
        <f t="shared" si="306"/>
        <v>372.26</v>
      </c>
    </row>
    <row r="2488" spans="1:18" ht="21.75" customHeight="1">
      <c r="A2488" t="s">
        <v>2639</v>
      </c>
      <c r="B2488" s="6">
        <v>45301</v>
      </c>
      <c r="C2488" t="s">
        <v>101</v>
      </c>
      <c r="D2488" t="s">
        <v>174</v>
      </c>
      <c r="E2488" t="s">
        <v>22</v>
      </c>
      <c r="F2488" t="s">
        <v>12</v>
      </c>
      <c r="G2488" t="s">
        <v>28</v>
      </c>
      <c r="H2488">
        <v>18</v>
      </c>
      <c r="I2488" t="str">
        <f>VLOOKUP(D2488,Product_Lookup!$A$2:$C$27,3,FALSE)</f>
        <v>$133.37</v>
      </c>
      <c r="J2488" t="str">
        <f t="shared" si="307"/>
        <v>Wednesday</v>
      </c>
      <c r="K2488" s="10" t="str">
        <f t="shared" si="308"/>
        <v>January</v>
      </c>
      <c r="L2488">
        <f t="shared" si="309"/>
        <v>2024</v>
      </c>
      <c r="M2488" t="b">
        <f t="shared" si="310"/>
        <v>0</v>
      </c>
      <c r="N2488" t="b">
        <f t="shared" si="304"/>
        <v>1</v>
      </c>
      <c r="O2488" t="str">
        <f t="shared" si="311"/>
        <v>Large Order</v>
      </c>
      <c r="P2488" s="7">
        <f t="shared" si="305"/>
        <v>6.6685000000000008</v>
      </c>
      <c r="Q2488" s="7" t="str">
        <f>VLOOKUP(D2489,Product_Lookup!$A$2:$C$27,2,FALSE)</f>
        <v>Desk Lamp</v>
      </c>
      <c r="R2488" s="7">
        <f t="shared" si="306"/>
        <v>2400.66</v>
      </c>
    </row>
    <row r="2489" spans="1:18" ht="21.75" customHeight="1">
      <c r="A2489" t="s">
        <v>2640</v>
      </c>
      <c r="B2489" s="6">
        <v>45356</v>
      </c>
      <c r="C2489" t="s">
        <v>68</v>
      </c>
      <c r="D2489" t="s">
        <v>59</v>
      </c>
      <c r="E2489" t="s">
        <v>17</v>
      </c>
      <c r="F2489" t="s">
        <v>27</v>
      </c>
      <c r="G2489" t="s">
        <v>13</v>
      </c>
      <c r="H2489">
        <v>17</v>
      </c>
      <c r="I2489" t="str">
        <f>VLOOKUP(D2489,Product_Lookup!$A$2:$C$27,3,FALSE)</f>
        <v>$101.96</v>
      </c>
      <c r="J2489" t="str">
        <f t="shared" si="307"/>
        <v>Tuesday</v>
      </c>
      <c r="K2489" s="10" t="str">
        <f t="shared" si="308"/>
        <v>March</v>
      </c>
      <c r="L2489">
        <f t="shared" si="309"/>
        <v>2024</v>
      </c>
      <c r="M2489" t="b">
        <f t="shared" si="310"/>
        <v>0</v>
      </c>
      <c r="N2489" t="b">
        <f t="shared" si="304"/>
        <v>1</v>
      </c>
      <c r="O2489" t="str">
        <f t="shared" si="311"/>
        <v>Large Order</v>
      </c>
      <c r="P2489" s="7">
        <f t="shared" si="305"/>
        <v>5.0979999999999999</v>
      </c>
      <c r="Q2489" s="7" t="str">
        <f>VLOOKUP(D2490,Product_Lookup!$A$2:$C$27,2,FALSE)</f>
        <v>Pen Set</v>
      </c>
      <c r="R2489" s="7">
        <f t="shared" si="306"/>
        <v>1733.32</v>
      </c>
    </row>
    <row r="2490" spans="1:18" ht="21.75" customHeight="1">
      <c r="A2490" t="s">
        <v>2641</v>
      </c>
      <c r="B2490" s="6">
        <v>45364</v>
      </c>
      <c r="C2490" t="s">
        <v>200</v>
      </c>
      <c r="D2490" t="s">
        <v>174</v>
      </c>
      <c r="E2490" t="s">
        <v>11</v>
      </c>
      <c r="F2490" t="s">
        <v>56</v>
      </c>
      <c r="G2490" t="s">
        <v>36</v>
      </c>
      <c r="H2490">
        <v>14</v>
      </c>
      <c r="I2490" t="str">
        <f>VLOOKUP(D2490,Product_Lookup!$A$2:$C$27,3,FALSE)</f>
        <v>$133.37</v>
      </c>
      <c r="J2490" t="str">
        <f t="shared" si="307"/>
        <v>Wednesday</v>
      </c>
      <c r="K2490" s="10" t="str">
        <f t="shared" si="308"/>
        <v>March</v>
      </c>
      <c r="L2490">
        <f t="shared" si="309"/>
        <v>2024</v>
      </c>
      <c r="M2490" t="b">
        <f t="shared" si="310"/>
        <v>0</v>
      </c>
      <c r="N2490" t="b">
        <f t="shared" si="304"/>
        <v>1</v>
      </c>
      <c r="O2490" t="str">
        <f t="shared" si="311"/>
        <v>Large Order</v>
      </c>
      <c r="P2490" s="7">
        <f t="shared" si="305"/>
        <v>6.6685000000000008</v>
      </c>
      <c r="Q2490" s="7" t="str">
        <f>VLOOKUP(D2491,Product_Lookup!$A$2:$C$27,2,FALSE)</f>
        <v>Smartphone</v>
      </c>
      <c r="R2490" s="7">
        <f t="shared" si="306"/>
        <v>1867.18</v>
      </c>
    </row>
    <row r="2491" spans="1:18" ht="21.75" customHeight="1">
      <c r="A2491" t="s">
        <v>2642</v>
      </c>
      <c r="B2491" s="6">
        <v>45576</v>
      </c>
      <c r="C2491" t="s">
        <v>430</v>
      </c>
      <c r="D2491" t="s">
        <v>79</v>
      </c>
      <c r="E2491" t="s">
        <v>11</v>
      </c>
      <c r="F2491" t="s">
        <v>27</v>
      </c>
      <c r="G2491" t="s">
        <v>36</v>
      </c>
      <c r="H2491">
        <v>10</v>
      </c>
      <c r="I2491" t="str">
        <f>VLOOKUP(D2491,Product_Lookup!$A$2:$C$27,3,FALSE)</f>
        <v>$216.22</v>
      </c>
      <c r="J2491" t="str">
        <f t="shared" si="307"/>
        <v>Friday</v>
      </c>
      <c r="K2491" s="10" t="str">
        <f t="shared" si="308"/>
        <v>October</v>
      </c>
      <c r="L2491">
        <f t="shared" si="309"/>
        <v>2024</v>
      </c>
      <c r="M2491" t="b">
        <f t="shared" si="310"/>
        <v>0</v>
      </c>
      <c r="N2491" t="b">
        <f t="shared" si="304"/>
        <v>1</v>
      </c>
      <c r="O2491" t="str">
        <f t="shared" si="311"/>
        <v>Large Order</v>
      </c>
      <c r="P2491" s="7">
        <f t="shared" si="305"/>
        <v>10.811</v>
      </c>
      <c r="Q2491" s="7" t="str">
        <f>VLOOKUP(D2492,Product_Lookup!$A$2:$C$27,2,FALSE)</f>
        <v>Smartphone</v>
      </c>
      <c r="R2491" s="7">
        <f t="shared" si="306"/>
        <v>2162.1999999999998</v>
      </c>
    </row>
    <row r="2492" spans="1:18" ht="21.75" customHeight="1">
      <c r="A2492" t="s">
        <v>2643</v>
      </c>
      <c r="B2492" s="6">
        <v>45377</v>
      </c>
      <c r="C2492" t="s">
        <v>25</v>
      </c>
      <c r="D2492" t="s">
        <v>79</v>
      </c>
      <c r="E2492" t="s">
        <v>17</v>
      </c>
      <c r="F2492" t="s">
        <v>42</v>
      </c>
      <c r="G2492" t="s">
        <v>36</v>
      </c>
      <c r="H2492">
        <v>9</v>
      </c>
      <c r="I2492" t="str">
        <f>VLOOKUP(D2492,Product_Lookup!$A$2:$C$27,3,FALSE)</f>
        <v>$216.22</v>
      </c>
      <c r="J2492" t="str">
        <f t="shared" si="307"/>
        <v>Tuesday</v>
      </c>
      <c r="K2492" s="10" t="str">
        <f t="shared" si="308"/>
        <v>March</v>
      </c>
      <c r="L2492">
        <f t="shared" si="309"/>
        <v>2024</v>
      </c>
      <c r="M2492" t="b">
        <f t="shared" si="310"/>
        <v>0</v>
      </c>
      <c r="N2492" t="b">
        <f t="shared" si="304"/>
        <v>1</v>
      </c>
      <c r="O2492" t="str">
        <f t="shared" si="311"/>
        <v>Large Order</v>
      </c>
      <c r="P2492" s="7">
        <f t="shared" si="305"/>
        <v>10.811</v>
      </c>
      <c r="Q2492" s="7" t="str">
        <f>VLOOKUP(D2493,Product_Lookup!$A$2:$C$27,2,FALSE)</f>
        <v>Action Figure</v>
      </c>
      <c r="R2492" s="7">
        <f t="shared" si="306"/>
        <v>1945.98</v>
      </c>
    </row>
    <row r="2493" spans="1:18" ht="21.75" customHeight="1">
      <c r="A2493" t="s">
        <v>2644</v>
      </c>
      <c r="B2493" s="6">
        <v>45486</v>
      </c>
      <c r="C2493" t="s">
        <v>20</v>
      </c>
      <c r="D2493" t="s">
        <v>21</v>
      </c>
      <c r="E2493" t="s">
        <v>11</v>
      </c>
      <c r="F2493" t="s">
        <v>306</v>
      </c>
      <c r="G2493" t="s">
        <v>36</v>
      </c>
      <c r="H2493">
        <v>10</v>
      </c>
      <c r="I2493" t="str">
        <f>VLOOKUP(D2493,Product_Lookup!$A$2:$C$27,3,FALSE)</f>
        <v>$88.18</v>
      </c>
      <c r="J2493" t="str">
        <f t="shared" si="307"/>
        <v>Saturday</v>
      </c>
      <c r="K2493" s="10" t="str">
        <f t="shared" si="308"/>
        <v>July</v>
      </c>
      <c r="L2493">
        <f t="shared" si="309"/>
        <v>2024</v>
      </c>
      <c r="M2493" t="b">
        <f t="shared" si="310"/>
        <v>1</v>
      </c>
      <c r="N2493" t="b">
        <f t="shared" si="304"/>
        <v>1</v>
      </c>
      <c r="O2493" t="str">
        <f t="shared" si="311"/>
        <v>Large Order</v>
      </c>
      <c r="P2493" s="7">
        <f t="shared" si="305"/>
        <v>4.4090000000000007</v>
      </c>
      <c r="Q2493" s="7" t="str">
        <f>VLOOKUP(D2494,Product_Lookup!$A$2:$C$27,2,FALSE)</f>
        <v>Tablet</v>
      </c>
      <c r="R2493" s="7">
        <f t="shared" si="306"/>
        <v>881.80000000000007</v>
      </c>
    </row>
    <row r="2494" spans="1:18" ht="21.75" customHeight="1">
      <c r="A2494" t="s">
        <v>2645</v>
      </c>
      <c r="B2494" s="6">
        <v>45565</v>
      </c>
      <c r="C2494" t="s">
        <v>614</v>
      </c>
      <c r="D2494" t="s">
        <v>10</v>
      </c>
      <c r="E2494" t="s">
        <v>17</v>
      </c>
      <c r="F2494" t="s">
        <v>12</v>
      </c>
      <c r="G2494" t="s">
        <v>23</v>
      </c>
      <c r="H2494">
        <v>4</v>
      </c>
      <c r="I2494" t="str">
        <f>VLOOKUP(D2494,Product_Lookup!$A$2:$C$27,3,FALSE)</f>
        <v>$146.06</v>
      </c>
      <c r="J2494" t="str">
        <f t="shared" si="307"/>
        <v>Monday</v>
      </c>
      <c r="K2494" s="10" t="str">
        <f t="shared" si="308"/>
        <v>September</v>
      </c>
      <c r="L2494">
        <f t="shared" si="309"/>
        <v>2024</v>
      </c>
      <c r="M2494" t="b">
        <f t="shared" si="310"/>
        <v>0</v>
      </c>
      <c r="N2494" t="b">
        <f t="shared" si="304"/>
        <v>0</v>
      </c>
      <c r="O2494" t="str">
        <f t="shared" si="311"/>
        <v>Large Order</v>
      </c>
      <c r="P2494" s="7">
        <f t="shared" si="305"/>
        <v>7.3030000000000008</v>
      </c>
      <c r="Q2494" s="7" t="str">
        <f>VLOOKUP(D2495,Product_Lookup!$A$2:$C$27,2,FALSE)</f>
        <v>Vacuum</v>
      </c>
      <c r="R2494" s="7">
        <f t="shared" si="306"/>
        <v>584.24</v>
      </c>
    </row>
    <row r="2495" spans="1:18" ht="21.75" customHeight="1">
      <c r="A2495" t="s">
        <v>2646</v>
      </c>
      <c r="B2495" s="6">
        <v>45576</v>
      </c>
      <c r="C2495" t="s">
        <v>89</v>
      </c>
      <c r="D2495" t="s">
        <v>87</v>
      </c>
      <c r="E2495" t="s">
        <v>11</v>
      </c>
      <c r="F2495" t="s">
        <v>306</v>
      </c>
      <c r="G2495" t="s">
        <v>36</v>
      </c>
      <c r="H2495">
        <v>11</v>
      </c>
      <c r="I2495" t="str">
        <f>VLOOKUP(D2495,Product_Lookup!$A$2:$C$27,3,FALSE)</f>
        <v>$26.59</v>
      </c>
      <c r="J2495" t="str">
        <f t="shared" si="307"/>
        <v>Friday</v>
      </c>
      <c r="K2495" s="10" t="str">
        <f t="shared" si="308"/>
        <v>October</v>
      </c>
      <c r="L2495">
        <f t="shared" si="309"/>
        <v>2024</v>
      </c>
      <c r="M2495" t="b">
        <f t="shared" si="310"/>
        <v>0</v>
      </c>
      <c r="N2495" t="b">
        <f t="shared" si="304"/>
        <v>0</v>
      </c>
      <c r="O2495" t="str">
        <f t="shared" si="311"/>
        <v>Standard order</v>
      </c>
      <c r="P2495" s="7">
        <f t="shared" si="305"/>
        <v>1.3295000000000001</v>
      </c>
      <c r="Q2495" s="7" t="str">
        <f>VLOOKUP(D2496,Product_Lookup!$A$2:$C$27,2,FALSE)</f>
        <v>Sweater</v>
      </c>
      <c r="R2495" s="7">
        <f t="shared" si="306"/>
        <v>292.49</v>
      </c>
    </row>
    <row r="2496" spans="1:18" ht="21.75" customHeight="1">
      <c r="A2496" t="s">
        <v>2647</v>
      </c>
      <c r="B2496" s="6">
        <v>45467</v>
      </c>
      <c r="C2496" t="s">
        <v>541</v>
      </c>
      <c r="D2496" t="s">
        <v>26</v>
      </c>
      <c r="E2496" t="s">
        <v>22</v>
      </c>
      <c r="F2496" t="s">
        <v>27</v>
      </c>
      <c r="G2496" t="s">
        <v>32</v>
      </c>
      <c r="H2496">
        <v>8</v>
      </c>
      <c r="I2496" t="str">
        <f>VLOOKUP(D2496,Product_Lookup!$A$2:$C$27,3,FALSE)</f>
        <v>$84.57</v>
      </c>
      <c r="J2496" t="str">
        <f t="shared" si="307"/>
        <v>Monday</v>
      </c>
      <c r="K2496" s="10" t="str">
        <f t="shared" si="308"/>
        <v>June</v>
      </c>
      <c r="L2496">
        <f t="shared" si="309"/>
        <v>2024</v>
      </c>
      <c r="M2496" t="b">
        <f t="shared" si="310"/>
        <v>0</v>
      </c>
      <c r="N2496" t="b">
        <f t="shared" si="304"/>
        <v>0</v>
      </c>
      <c r="O2496" t="str">
        <f t="shared" si="311"/>
        <v>Large Order</v>
      </c>
      <c r="P2496" s="7">
        <f t="shared" si="305"/>
        <v>4.2284999999999995</v>
      </c>
      <c r="Q2496" s="7" t="str">
        <f>VLOOKUP(D2497,Product_Lookup!$A$2:$C$27,2,FALSE)</f>
        <v>Jeans</v>
      </c>
      <c r="R2496" s="7">
        <f t="shared" si="306"/>
        <v>676.56</v>
      </c>
    </row>
    <row r="2497" spans="1:18" ht="21.75" customHeight="1">
      <c r="A2497" t="s">
        <v>2648</v>
      </c>
      <c r="B2497" s="6">
        <v>45456</v>
      </c>
      <c r="C2497" t="s">
        <v>47</v>
      </c>
      <c r="D2497" t="s">
        <v>65</v>
      </c>
      <c r="E2497" t="s">
        <v>17</v>
      </c>
      <c r="F2497" t="s">
        <v>306</v>
      </c>
      <c r="G2497" t="s">
        <v>32</v>
      </c>
      <c r="H2497">
        <v>1</v>
      </c>
      <c r="I2497" t="str">
        <f>VLOOKUP(D2497,Product_Lookup!$A$2:$C$27,3,FALSE)</f>
        <v>$33.22</v>
      </c>
      <c r="J2497" t="str">
        <f t="shared" si="307"/>
        <v>Thursday</v>
      </c>
      <c r="K2497" s="10" t="str">
        <f t="shared" si="308"/>
        <v>June</v>
      </c>
      <c r="L2497">
        <f t="shared" si="309"/>
        <v>2024</v>
      </c>
      <c r="M2497" t="b">
        <f t="shared" si="310"/>
        <v>0</v>
      </c>
      <c r="N2497" t="b">
        <f t="shared" si="304"/>
        <v>0</v>
      </c>
      <c r="O2497" t="str">
        <f t="shared" si="311"/>
        <v>Standard order</v>
      </c>
      <c r="P2497" s="7">
        <f t="shared" si="305"/>
        <v>1.661</v>
      </c>
      <c r="Q2497" s="7" t="str">
        <f>VLOOKUP(D2498,Product_Lookup!$A$2:$C$27,2,FALSE)</f>
        <v>Laptop</v>
      </c>
      <c r="R2497" s="7">
        <f t="shared" si="306"/>
        <v>33.22</v>
      </c>
    </row>
    <row r="2498" spans="1:18" ht="21.75" customHeight="1">
      <c r="A2498" t="s">
        <v>2649</v>
      </c>
      <c r="B2498" s="6">
        <v>45360</v>
      </c>
      <c r="C2498" t="s">
        <v>736</v>
      </c>
      <c r="D2498" t="s">
        <v>96</v>
      </c>
      <c r="E2498" t="s">
        <v>22</v>
      </c>
      <c r="F2498" t="s">
        <v>27</v>
      </c>
      <c r="G2498" t="s">
        <v>13</v>
      </c>
      <c r="H2498">
        <v>1</v>
      </c>
      <c r="I2498" t="str">
        <f>VLOOKUP(D2498,Product_Lookup!$A$2:$C$27,3,FALSE)</f>
        <v>$230.68</v>
      </c>
      <c r="J2498" t="str">
        <f t="shared" si="307"/>
        <v>Saturday</v>
      </c>
      <c r="K2498" s="10" t="str">
        <f t="shared" si="308"/>
        <v>March</v>
      </c>
      <c r="L2498">
        <f t="shared" si="309"/>
        <v>2024</v>
      </c>
      <c r="M2498" t="b">
        <f t="shared" si="310"/>
        <v>1</v>
      </c>
      <c r="N2498" t="b">
        <f t="shared" ref="N2498:N2561" si="312">AND(R2498&gt;750, H2498&gt;5)</f>
        <v>0</v>
      </c>
      <c r="O2498" t="str">
        <f t="shared" si="311"/>
        <v>Standard order</v>
      </c>
      <c r="P2498" s="7">
        <f t="shared" ref="P2498:P2561" si="313">I2498*$S$2</f>
        <v>11.534000000000001</v>
      </c>
      <c r="Q2498" s="7" t="str">
        <f>VLOOKUP(D2499,Product_Lookup!$A$2:$C$27,2,FALSE)</f>
        <v>Puzzle</v>
      </c>
      <c r="R2498" s="7">
        <f t="shared" ref="R2498:R2561" si="314">H2498*I2498</f>
        <v>230.68</v>
      </c>
    </row>
    <row r="2499" spans="1:18" ht="21.75" customHeight="1">
      <c r="A2499" t="s">
        <v>2650</v>
      </c>
      <c r="B2499" s="6">
        <v>45503</v>
      </c>
      <c r="C2499" t="s">
        <v>642</v>
      </c>
      <c r="D2499" t="s">
        <v>62</v>
      </c>
      <c r="E2499" t="s">
        <v>22</v>
      </c>
      <c r="F2499" t="s">
        <v>27</v>
      </c>
      <c r="G2499" t="s">
        <v>23</v>
      </c>
      <c r="H2499">
        <v>18</v>
      </c>
      <c r="I2499" t="str">
        <f>VLOOKUP(D2499,Product_Lookup!$A$2:$C$27,3,FALSE)</f>
        <v>$46.19</v>
      </c>
      <c r="J2499" t="str">
        <f t="shared" ref="J2499:J2562" si="315">TEXT(B2499, "dddd")</f>
        <v>Tuesday</v>
      </c>
      <c r="K2499" s="10" t="str">
        <f t="shared" ref="K2499:K2562" si="316">TEXT(B2499, "mmmm")</f>
        <v>July</v>
      </c>
      <c r="L2499">
        <f t="shared" ref="L2499:L2562" si="317">YEAR(B2499)</f>
        <v>2024</v>
      </c>
      <c r="M2499" t="b">
        <f t="shared" ref="M2499:M2562" si="318">OR(J2499="Saturday", J2499="Sunday")</f>
        <v>0</v>
      </c>
      <c r="N2499" t="b">
        <f t="shared" si="312"/>
        <v>1</v>
      </c>
      <c r="O2499" t="str">
        <f t="shared" ref="O2499:O2562" si="319">IF(R2499&gt;500,"Large Order","Standard order")</f>
        <v>Large Order</v>
      </c>
      <c r="P2499" s="7">
        <f t="shared" si="313"/>
        <v>2.3094999999999999</v>
      </c>
      <c r="Q2499" s="7" t="str">
        <f>VLOOKUP(D2500,Product_Lookup!$A$2:$C$27,2,FALSE)</f>
        <v>Tablet</v>
      </c>
      <c r="R2499" s="7">
        <f t="shared" si="314"/>
        <v>831.42</v>
      </c>
    </row>
    <row r="2500" spans="1:18" ht="21.75" customHeight="1">
      <c r="A2500" t="s">
        <v>2651</v>
      </c>
      <c r="B2500" s="6">
        <v>45624</v>
      </c>
      <c r="C2500" t="s">
        <v>350</v>
      </c>
      <c r="D2500" t="s">
        <v>10</v>
      </c>
      <c r="E2500" t="s">
        <v>22</v>
      </c>
      <c r="F2500" t="s">
        <v>12</v>
      </c>
      <c r="G2500" t="s">
        <v>23</v>
      </c>
      <c r="H2500">
        <v>4</v>
      </c>
      <c r="I2500" t="str">
        <f>VLOOKUP(D2500,Product_Lookup!$A$2:$C$27,3,FALSE)</f>
        <v>$146.06</v>
      </c>
      <c r="J2500" t="str">
        <f t="shared" si="315"/>
        <v>Thursday</v>
      </c>
      <c r="K2500" s="10" t="str">
        <f t="shared" si="316"/>
        <v>November</v>
      </c>
      <c r="L2500">
        <f t="shared" si="317"/>
        <v>2024</v>
      </c>
      <c r="M2500" t="b">
        <f t="shared" si="318"/>
        <v>0</v>
      </c>
      <c r="N2500" t="b">
        <f t="shared" si="312"/>
        <v>0</v>
      </c>
      <c r="O2500" t="str">
        <f t="shared" si="319"/>
        <v>Large Order</v>
      </c>
      <c r="P2500" s="7">
        <f t="shared" si="313"/>
        <v>7.3030000000000008</v>
      </c>
      <c r="Q2500" s="7" t="str">
        <f>VLOOKUP(D2501,Product_Lookup!$A$2:$C$27,2,FALSE)</f>
        <v>Toaster</v>
      </c>
      <c r="R2500" s="7">
        <f t="shared" si="314"/>
        <v>584.24</v>
      </c>
    </row>
    <row r="2501" spans="1:18" ht="21.75" customHeight="1">
      <c r="A2501" t="s">
        <v>2652</v>
      </c>
      <c r="B2501" s="6">
        <v>45484</v>
      </c>
      <c r="C2501" t="s">
        <v>327</v>
      </c>
      <c r="D2501" t="s">
        <v>48</v>
      </c>
      <c r="E2501" t="s">
        <v>17</v>
      </c>
      <c r="F2501" t="s">
        <v>56</v>
      </c>
      <c r="G2501" t="s">
        <v>13</v>
      </c>
      <c r="H2501">
        <v>4</v>
      </c>
      <c r="I2501" t="str">
        <f>VLOOKUP(D2501,Product_Lookup!$A$2:$C$27,3,FALSE)</f>
        <v>$208.85</v>
      </c>
      <c r="J2501" t="str">
        <f t="shared" si="315"/>
        <v>Thursday</v>
      </c>
      <c r="K2501" s="10" t="str">
        <f t="shared" si="316"/>
        <v>July</v>
      </c>
      <c r="L2501">
        <f t="shared" si="317"/>
        <v>2024</v>
      </c>
      <c r="M2501" t="b">
        <f t="shared" si="318"/>
        <v>0</v>
      </c>
      <c r="N2501" t="b">
        <f t="shared" si="312"/>
        <v>0</v>
      </c>
      <c r="O2501" t="str">
        <f t="shared" si="319"/>
        <v>Large Order</v>
      </c>
      <c r="P2501" s="7">
        <f t="shared" si="313"/>
        <v>10.442500000000001</v>
      </c>
      <c r="Q2501" s="7" t="str">
        <f>VLOOKUP(D2502,Product_Lookup!$A$2:$C$27,2,FALSE)</f>
        <v>Laptop</v>
      </c>
      <c r="R2501" s="7">
        <f t="shared" si="314"/>
        <v>835.4</v>
      </c>
    </row>
    <row r="2502" spans="1:18" ht="21.75" customHeight="1">
      <c r="A2502" t="s">
        <v>2653</v>
      </c>
      <c r="B2502" s="6">
        <v>45390</v>
      </c>
      <c r="C2502" t="s">
        <v>396</v>
      </c>
      <c r="D2502" t="s">
        <v>96</v>
      </c>
      <c r="E2502" t="s">
        <v>11</v>
      </c>
      <c r="F2502" t="s">
        <v>12</v>
      </c>
      <c r="G2502" t="s">
        <v>32</v>
      </c>
      <c r="H2502">
        <v>12</v>
      </c>
      <c r="I2502" t="str">
        <f>VLOOKUP(D2502,Product_Lookup!$A$2:$C$27,3,FALSE)</f>
        <v>$230.68</v>
      </c>
      <c r="J2502" t="str">
        <f t="shared" si="315"/>
        <v>Monday</v>
      </c>
      <c r="K2502" s="10" t="str">
        <f t="shared" si="316"/>
        <v>April</v>
      </c>
      <c r="L2502">
        <f t="shared" si="317"/>
        <v>2024</v>
      </c>
      <c r="M2502" t="b">
        <f t="shared" si="318"/>
        <v>0</v>
      </c>
      <c r="N2502" t="b">
        <f t="shared" si="312"/>
        <v>1</v>
      </c>
      <c r="O2502" t="str">
        <f t="shared" si="319"/>
        <v>Large Order</v>
      </c>
      <c r="P2502" s="7">
        <f t="shared" si="313"/>
        <v>11.534000000000001</v>
      </c>
      <c r="Q2502" s="7" t="str">
        <f>VLOOKUP(D2503,Product_Lookup!$A$2:$C$27,2,FALSE)</f>
        <v>Socks</v>
      </c>
      <c r="R2502" s="7">
        <f t="shared" si="314"/>
        <v>2768.16</v>
      </c>
    </row>
    <row r="2503" spans="1:18" ht="21.75" customHeight="1">
      <c r="A2503" t="s">
        <v>2654</v>
      </c>
      <c r="B2503" s="6">
        <v>45606</v>
      </c>
      <c r="C2503" t="s">
        <v>451</v>
      </c>
      <c r="D2503" t="s">
        <v>74</v>
      </c>
      <c r="E2503" t="s">
        <v>22</v>
      </c>
      <c r="F2503" t="s">
        <v>56</v>
      </c>
      <c r="G2503" t="s">
        <v>28</v>
      </c>
      <c r="H2503">
        <v>16</v>
      </c>
      <c r="I2503" t="str">
        <f>VLOOKUP(D2503,Product_Lookup!$A$2:$C$27,3,FALSE)</f>
        <v>$201.32</v>
      </c>
      <c r="J2503" t="str">
        <f t="shared" si="315"/>
        <v>Sunday</v>
      </c>
      <c r="K2503" s="10" t="str">
        <f t="shared" si="316"/>
        <v>November</v>
      </c>
      <c r="L2503">
        <f t="shared" si="317"/>
        <v>2024</v>
      </c>
      <c r="M2503" t="b">
        <f t="shared" si="318"/>
        <v>1</v>
      </c>
      <c r="N2503" t="b">
        <f t="shared" si="312"/>
        <v>1</v>
      </c>
      <c r="O2503" t="str">
        <f t="shared" si="319"/>
        <v>Large Order</v>
      </c>
      <c r="P2503" s="7">
        <f t="shared" si="313"/>
        <v>10.066000000000001</v>
      </c>
      <c r="Q2503" s="7" t="str">
        <f>VLOOKUP(D2504,Product_Lookup!$A$2:$C$27,2,FALSE)</f>
        <v>Stapler</v>
      </c>
      <c r="R2503" s="7">
        <f t="shared" si="314"/>
        <v>3221.12</v>
      </c>
    </row>
    <row r="2504" spans="1:18" ht="21.75" customHeight="1">
      <c r="A2504" t="s">
        <v>2655</v>
      </c>
      <c r="B2504" s="6">
        <v>45310</v>
      </c>
      <c r="C2504" t="s">
        <v>89</v>
      </c>
      <c r="D2504" t="s">
        <v>35</v>
      </c>
      <c r="E2504" t="s">
        <v>22</v>
      </c>
      <c r="F2504" t="s">
        <v>306</v>
      </c>
      <c r="G2504" t="s">
        <v>28</v>
      </c>
      <c r="H2504">
        <v>1</v>
      </c>
      <c r="I2504" t="str">
        <f>VLOOKUP(D2504,Product_Lookup!$A$2:$C$27,3,FALSE)</f>
        <v>$64.61</v>
      </c>
      <c r="J2504" t="str">
        <f t="shared" si="315"/>
        <v>Friday</v>
      </c>
      <c r="K2504" s="10" t="str">
        <f t="shared" si="316"/>
        <v>January</v>
      </c>
      <c r="L2504">
        <f t="shared" si="317"/>
        <v>2024</v>
      </c>
      <c r="M2504" t="b">
        <f t="shared" si="318"/>
        <v>0</v>
      </c>
      <c r="N2504" t="b">
        <f t="shared" si="312"/>
        <v>0</v>
      </c>
      <c r="O2504" t="str">
        <f t="shared" si="319"/>
        <v>Standard order</v>
      </c>
      <c r="P2504" s="7">
        <f t="shared" si="313"/>
        <v>3.2305000000000001</v>
      </c>
      <c r="Q2504" s="7" t="str">
        <f>VLOOKUP(D2505,Product_Lookup!$A$2:$C$27,2,FALSE)</f>
        <v>Monitor</v>
      </c>
      <c r="R2504" s="7">
        <f t="shared" si="314"/>
        <v>64.61</v>
      </c>
    </row>
    <row r="2505" spans="1:18" ht="21.75" customHeight="1">
      <c r="A2505" t="s">
        <v>2656</v>
      </c>
      <c r="B2505" s="6">
        <v>45618</v>
      </c>
      <c r="C2505" t="s">
        <v>106</v>
      </c>
      <c r="D2505" t="s">
        <v>102</v>
      </c>
      <c r="E2505" t="s">
        <v>17</v>
      </c>
      <c r="F2505" t="s">
        <v>306</v>
      </c>
      <c r="G2505" t="s">
        <v>36</v>
      </c>
      <c r="H2505">
        <v>16</v>
      </c>
      <c r="I2505" t="str">
        <f>VLOOKUP(D2505,Product_Lookup!$A$2:$C$27,3,FALSE)</f>
        <v>$145.48</v>
      </c>
      <c r="J2505" t="str">
        <f t="shared" si="315"/>
        <v>Friday</v>
      </c>
      <c r="K2505" s="10" t="str">
        <f t="shared" si="316"/>
        <v>November</v>
      </c>
      <c r="L2505">
        <f t="shared" si="317"/>
        <v>2024</v>
      </c>
      <c r="M2505" t="b">
        <f t="shared" si="318"/>
        <v>0</v>
      </c>
      <c r="N2505" t="b">
        <f t="shared" si="312"/>
        <v>1</v>
      </c>
      <c r="O2505" t="str">
        <f t="shared" si="319"/>
        <v>Large Order</v>
      </c>
      <c r="P2505" s="7">
        <f t="shared" si="313"/>
        <v>7.274</v>
      </c>
      <c r="Q2505" s="7" t="str">
        <f>VLOOKUP(D2506,Product_Lookup!$A$2:$C$27,2,FALSE)</f>
        <v>Lego Set</v>
      </c>
      <c r="R2505" s="7">
        <f t="shared" si="314"/>
        <v>2327.6799999999998</v>
      </c>
    </row>
    <row r="2506" spans="1:18" ht="21.75" customHeight="1">
      <c r="A2506" t="s">
        <v>2657</v>
      </c>
      <c r="B2506" s="6">
        <v>45391</v>
      </c>
      <c r="C2506" t="s">
        <v>371</v>
      </c>
      <c r="D2506" t="s">
        <v>84</v>
      </c>
      <c r="E2506" t="s">
        <v>22</v>
      </c>
      <c r="F2506" t="s">
        <v>306</v>
      </c>
      <c r="G2506" t="s">
        <v>36</v>
      </c>
      <c r="H2506">
        <v>6</v>
      </c>
      <c r="I2506" t="str">
        <f>VLOOKUP(D2506,Product_Lookup!$A$2:$C$27,3,FALSE)</f>
        <v>$130.07</v>
      </c>
      <c r="J2506" t="str">
        <f t="shared" si="315"/>
        <v>Tuesday</v>
      </c>
      <c r="K2506" s="10" t="str">
        <f t="shared" si="316"/>
        <v>April</v>
      </c>
      <c r="L2506">
        <f t="shared" si="317"/>
        <v>2024</v>
      </c>
      <c r="M2506" t="b">
        <f t="shared" si="318"/>
        <v>0</v>
      </c>
      <c r="N2506" t="b">
        <f t="shared" si="312"/>
        <v>1</v>
      </c>
      <c r="O2506" t="str">
        <f t="shared" si="319"/>
        <v>Large Order</v>
      </c>
      <c r="P2506" s="7">
        <f t="shared" si="313"/>
        <v>6.5034999999999998</v>
      </c>
      <c r="Q2506" s="7" t="str">
        <f>VLOOKUP(D2507,Product_Lookup!$A$2:$C$27,2,FALSE)</f>
        <v>Tablet</v>
      </c>
      <c r="R2506" s="7">
        <f t="shared" si="314"/>
        <v>780.42</v>
      </c>
    </row>
    <row r="2507" spans="1:18" ht="21.75" customHeight="1">
      <c r="A2507" t="s">
        <v>2658</v>
      </c>
      <c r="B2507" s="6">
        <v>45357</v>
      </c>
      <c r="C2507" t="s">
        <v>323</v>
      </c>
      <c r="D2507" t="s">
        <v>10</v>
      </c>
      <c r="E2507" t="s">
        <v>11</v>
      </c>
      <c r="F2507" t="s">
        <v>42</v>
      </c>
      <c r="G2507" t="s">
        <v>36</v>
      </c>
      <c r="H2507">
        <v>8</v>
      </c>
      <c r="I2507" t="str">
        <f>VLOOKUP(D2507,Product_Lookup!$A$2:$C$27,3,FALSE)</f>
        <v>$146.06</v>
      </c>
      <c r="J2507" t="str">
        <f t="shared" si="315"/>
        <v>Wednesday</v>
      </c>
      <c r="K2507" s="10" t="str">
        <f t="shared" si="316"/>
        <v>March</v>
      </c>
      <c r="L2507">
        <f t="shared" si="317"/>
        <v>2024</v>
      </c>
      <c r="M2507" t="b">
        <f t="shared" si="318"/>
        <v>0</v>
      </c>
      <c r="N2507" t="b">
        <f t="shared" si="312"/>
        <v>1</v>
      </c>
      <c r="O2507" t="str">
        <f t="shared" si="319"/>
        <v>Large Order</v>
      </c>
      <c r="P2507" s="7">
        <f t="shared" si="313"/>
        <v>7.3030000000000008</v>
      </c>
      <c r="Q2507" s="7" t="str">
        <f>VLOOKUP(D2508,Product_Lookup!$A$2:$C$27,2,FALSE)</f>
        <v>Board Game</v>
      </c>
      <c r="R2507" s="7">
        <f t="shared" si="314"/>
        <v>1168.48</v>
      </c>
    </row>
    <row r="2508" spans="1:18" ht="21.75" customHeight="1">
      <c r="A2508" t="s">
        <v>2659</v>
      </c>
      <c r="B2508" s="6">
        <v>45432</v>
      </c>
      <c r="C2508" t="s">
        <v>150</v>
      </c>
      <c r="D2508" t="s">
        <v>41</v>
      </c>
      <c r="E2508" t="s">
        <v>11</v>
      </c>
      <c r="F2508" t="s">
        <v>306</v>
      </c>
      <c r="G2508" t="s">
        <v>36</v>
      </c>
      <c r="H2508">
        <v>9</v>
      </c>
      <c r="I2508" t="str">
        <f>VLOOKUP(D2508,Product_Lookup!$A$2:$C$27,3,FALSE)</f>
        <v>$86.6</v>
      </c>
      <c r="J2508" t="str">
        <f t="shared" si="315"/>
        <v>Monday</v>
      </c>
      <c r="K2508" s="10" t="str">
        <f t="shared" si="316"/>
        <v>May</v>
      </c>
      <c r="L2508">
        <f t="shared" si="317"/>
        <v>2024</v>
      </c>
      <c r="M2508" t="b">
        <f t="shared" si="318"/>
        <v>0</v>
      </c>
      <c r="N2508" t="b">
        <f t="shared" si="312"/>
        <v>1</v>
      </c>
      <c r="O2508" t="str">
        <f t="shared" si="319"/>
        <v>Large Order</v>
      </c>
      <c r="P2508" s="7">
        <f t="shared" si="313"/>
        <v>4.33</v>
      </c>
      <c r="Q2508" s="7" t="str">
        <f>VLOOKUP(D2509,Product_Lookup!$A$2:$C$27,2,FALSE)</f>
        <v>Vacuum</v>
      </c>
      <c r="R2508" s="7">
        <f t="shared" si="314"/>
        <v>779.4</v>
      </c>
    </row>
    <row r="2509" spans="1:18" ht="21.75" customHeight="1">
      <c r="A2509" t="s">
        <v>2660</v>
      </c>
      <c r="B2509" s="6">
        <v>45524</v>
      </c>
      <c r="C2509" t="s">
        <v>25</v>
      </c>
      <c r="D2509" t="s">
        <v>87</v>
      </c>
      <c r="E2509" t="s">
        <v>22</v>
      </c>
      <c r="F2509" t="s">
        <v>12</v>
      </c>
      <c r="G2509" t="s">
        <v>32</v>
      </c>
      <c r="H2509">
        <v>14</v>
      </c>
      <c r="I2509" t="str">
        <f>VLOOKUP(D2509,Product_Lookup!$A$2:$C$27,3,FALSE)</f>
        <v>$26.59</v>
      </c>
      <c r="J2509" t="str">
        <f t="shared" si="315"/>
        <v>Tuesday</v>
      </c>
      <c r="K2509" s="10" t="str">
        <f t="shared" si="316"/>
        <v>August</v>
      </c>
      <c r="L2509">
        <f t="shared" si="317"/>
        <v>2024</v>
      </c>
      <c r="M2509" t="b">
        <f t="shared" si="318"/>
        <v>0</v>
      </c>
      <c r="N2509" t="b">
        <f t="shared" si="312"/>
        <v>0</v>
      </c>
      <c r="O2509" t="str">
        <f t="shared" si="319"/>
        <v>Standard order</v>
      </c>
      <c r="P2509" s="7">
        <f t="shared" si="313"/>
        <v>1.3295000000000001</v>
      </c>
      <c r="Q2509" s="7" t="str">
        <f>VLOOKUP(D2510,Product_Lookup!$A$2:$C$27,2,FALSE)</f>
        <v>Monitor</v>
      </c>
      <c r="R2509" s="7">
        <f t="shared" si="314"/>
        <v>372.26</v>
      </c>
    </row>
    <row r="2510" spans="1:18" ht="21.75" customHeight="1">
      <c r="A2510" t="s">
        <v>2661</v>
      </c>
      <c r="B2510" s="6">
        <v>45500</v>
      </c>
      <c r="C2510" t="s">
        <v>89</v>
      </c>
      <c r="D2510" t="s">
        <v>102</v>
      </c>
      <c r="E2510" t="s">
        <v>22</v>
      </c>
      <c r="F2510" t="s">
        <v>306</v>
      </c>
      <c r="G2510" t="s">
        <v>23</v>
      </c>
      <c r="H2510">
        <v>16</v>
      </c>
      <c r="I2510" t="str">
        <f>VLOOKUP(D2510,Product_Lookup!$A$2:$C$27,3,FALSE)</f>
        <v>$145.48</v>
      </c>
      <c r="J2510" t="str">
        <f t="shared" si="315"/>
        <v>Saturday</v>
      </c>
      <c r="K2510" s="10" t="str">
        <f t="shared" si="316"/>
        <v>July</v>
      </c>
      <c r="L2510">
        <f t="shared" si="317"/>
        <v>2024</v>
      </c>
      <c r="M2510" t="b">
        <f t="shared" si="318"/>
        <v>1</v>
      </c>
      <c r="N2510" t="b">
        <f t="shared" si="312"/>
        <v>1</v>
      </c>
      <c r="O2510" t="str">
        <f t="shared" si="319"/>
        <v>Large Order</v>
      </c>
      <c r="P2510" s="7">
        <f t="shared" si="313"/>
        <v>7.274</v>
      </c>
      <c r="Q2510" s="7" t="str">
        <f>VLOOKUP(D2511,Product_Lookup!$A$2:$C$27,2,FALSE)</f>
        <v>Jacket</v>
      </c>
      <c r="R2510" s="7">
        <f t="shared" si="314"/>
        <v>2327.6799999999998</v>
      </c>
    </row>
    <row r="2511" spans="1:18" ht="21.75" customHeight="1">
      <c r="A2511" t="s">
        <v>2662</v>
      </c>
      <c r="B2511" s="6">
        <v>45314</v>
      </c>
      <c r="C2511" t="s">
        <v>329</v>
      </c>
      <c r="D2511" t="s">
        <v>197</v>
      </c>
      <c r="E2511" t="s">
        <v>11</v>
      </c>
      <c r="F2511" t="s">
        <v>42</v>
      </c>
      <c r="G2511" t="s">
        <v>23</v>
      </c>
      <c r="H2511">
        <v>18</v>
      </c>
      <c r="I2511" t="str">
        <f>VLOOKUP(D2511,Product_Lookup!$A$2:$C$27,3,FALSE)</f>
        <v>$10.11</v>
      </c>
      <c r="J2511" t="str">
        <f t="shared" si="315"/>
        <v>Tuesday</v>
      </c>
      <c r="K2511" s="10" t="str">
        <f t="shared" si="316"/>
        <v>January</v>
      </c>
      <c r="L2511">
        <f t="shared" si="317"/>
        <v>2024</v>
      </c>
      <c r="M2511" t="b">
        <f t="shared" si="318"/>
        <v>0</v>
      </c>
      <c r="N2511" t="b">
        <f t="shared" si="312"/>
        <v>0</v>
      </c>
      <c r="O2511" t="str">
        <f t="shared" si="319"/>
        <v>Standard order</v>
      </c>
      <c r="P2511" s="7">
        <f t="shared" si="313"/>
        <v>0.50549999999999995</v>
      </c>
      <c r="Q2511" s="7" t="str">
        <f>VLOOKUP(D2512,Product_Lookup!$A$2:$C$27,2,FALSE)</f>
        <v>Jeans</v>
      </c>
      <c r="R2511" s="7">
        <f t="shared" si="314"/>
        <v>181.98</v>
      </c>
    </row>
    <row r="2512" spans="1:18" ht="21.75" customHeight="1">
      <c r="A2512" t="s">
        <v>2663</v>
      </c>
      <c r="B2512" s="6">
        <v>45294</v>
      </c>
      <c r="C2512" t="s">
        <v>106</v>
      </c>
      <c r="D2512" t="s">
        <v>65</v>
      </c>
      <c r="E2512" t="s">
        <v>17</v>
      </c>
      <c r="F2512" t="s">
        <v>12</v>
      </c>
      <c r="G2512" t="s">
        <v>36</v>
      </c>
      <c r="H2512">
        <v>1</v>
      </c>
      <c r="I2512" t="str">
        <f>VLOOKUP(D2512,Product_Lookup!$A$2:$C$27,3,FALSE)</f>
        <v>$33.22</v>
      </c>
      <c r="J2512" t="str">
        <f t="shared" si="315"/>
        <v>Wednesday</v>
      </c>
      <c r="K2512" s="10" t="str">
        <f t="shared" si="316"/>
        <v>January</v>
      </c>
      <c r="L2512">
        <f t="shared" si="317"/>
        <v>2024</v>
      </c>
      <c r="M2512" t="b">
        <f t="shared" si="318"/>
        <v>0</v>
      </c>
      <c r="N2512" t="b">
        <f t="shared" si="312"/>
        <v>0</v>
      </c>
      <c r="O2512" t="str">
        <f t="shared" si="319"/>
        <v>Standard order</v>
      </c>
      <c r="P2512" s="7">
        <f t="shared" si="313"/>
        <v>1.661</v>
      </c>
      <c r="Q2512" s="7" t="str">
        <f>VLOOKUP(D2513,Product_Lookup!$A$2:$C$27,2,FALSE)</f>
        <v>Vacuum</v>
      </c>
      <c r="R2512" s="7">
        <f t="shared" si="314"/>
        <v>33.22</v>
      </c>
    </row>
    <row r="2513" spans="1:18" ht="21.75" customHeight="1">
      <c r="A2513" t="s">
        <v>2664</v>
      </c>
      <c r="B2513" s="6">
        <v>45407</v>
      </c>
      <c r="C2513" t="s">
        <v>465</v>
      </c>
      <c r="D2513" t="s">
        <v>87</v>
      </c>
      <c r="E2513" t="s">
        <v>11</v>
      </c>
      <c r="F2513" t="s">
        <v>56</v>
      </c>
      <c r="G2513" t="s">
        <v>28</v>
      </c>
      <c r="H2513">
        <v>6</v>
      </c>
      <c r="I2513" t="str">
        <f>VLOOKUP(D2513,Product_Lookup!$A$2:$C$27,3,FALSE)</f>
        <v>$26.59</v>
      </c>
      <c r="J2513" t="str">
        <f t="shared" si="315"/>
        <v>Thursday</v>
      </c>
      <c r="K2513" s="10" t="str">
        <f t="shared" si="316"/>
        <v>April</v>
      </c>
      <c r="L2513">
        <f t="shared" si="317"/>
        <v>2024</v>
      </c>
      <c r="M2513" t="b">
        <f t="shared" si="318"/>
        <v>0</v>
      </c>
      <c r="N2513" t="b">
        <f t="shared" si="312"/>
        <v>0</v>
      </c>
      <c r="O2513" t="str">
        <f t="shared" si="319"/>
        <v>Standard order</v>
      </c>
      <c r="P2513" s="7">
        <f t="shared" si="313"/>
        <v>1.3295000000000001</v>
      </c>
      <c r="Q2513" s="7" t="str">
        <f>VLOOKUP(D2514,Product_Lookup!$A$2:$C$27,2,FALSE)</f>
        <v>Action Figure</v>
      </c>
      <c r="R2513" s="7">
        <f t="shared" si="314"/>
        <v>159.54</v>
      </c>
    </row>
    <row r="2514" spans="1:18" ht="21.75" customHeight="1">
      <c r="A2514" t="s">
        <v>2665</v>
      </c>
      <c r="B2514" s="6">
        <v>45324</v>
      </c>
      <c r="C2514" t="s">
        <v>451</v>
      </c>
      <c r="D2514" t="s">
        <v>21</v>
      </c>
      <c r="E2514" t="s">
        <v>11</v>
      </c>
      <c r="F2514" t="s">
        <v>12</v>
      </c>
      <c r="G2514" t="s">
        <v>23</v>
      </c>
      <c r="H2514">
        <v>14</v>
      </c>
      <c r="I2514" t="str">
        <f>VLOOKUP(D2514,Product_Lookup!$A$2:$C$27,3,FALSE)</f>
        <v>$88.18</v>
      </c>
      <c r="J2514" t="str">
        <f t="shared" si="315"/>
        <v>Friday</v>
      </c>
      <c r="K2514" s="10" t="str">
        <f t="shared" si="316"/>
        <v>February</v>
      </c>
      <c r="L2514">
        <f t="shared" si="317"/>
        <v>2024</v>
      </c>
      <c r="M2514" t="b">
        <f t="shared" si="318"/>
        <v>0</v>
      </c>
      <c r="N2514" t="b">
        <f t="shared" si="312"/>
        <v>1</v>
      </c>
      <c r="O2514" t="str">
        <f t="shared" si="319"/>
        <v>Large Order</v>
      </c>
      <c r="P2514" s="7">
        <f t="shared" si="313"/>
        <v>4.4090000000000007</v>
      </c>
      <c r="Q2514" s="7" t="str">
        <f>VLOOKUP(D2515,Product_Lookup!$A$2:$C$27,2,FALSE)</f>
        <v>Blender</v>
      </c>
      <c r="R2514" s="7">
        <f t="shared" si="314"/>
        <v>1234.52</v>
      </c>
    </row>
    <row r="2515" spans="1:18" ht="21.75" customHeight="1">
      <c r="A2515" t="s">
        <v>2666</v>
      </c>
      <c r="B2515" s="6">
        <v>45595</v>
      </c>
      <c r="C2515" t="s">
        <v>451</v>
      </c>
      <c r="D2515" t="s">
        <v>72</v>
      </c>
      <c r="E2515" t="s">
        <v>17</v>
      </c>
      <c r="F2515" t="s">
        <v>56</v>
      </c>
      <c r="G2515" t="s">
        <v>13</v>
      </c>
      <c r="H2515">
        <v>16</v>
      </c>
      <c r="I2515" t="str">
        <f>VLOOKUP(D2515,Product_Lookup!$A$2:$C$27,3,FALSE)</f>
        <v>$156.44</v>
      </c>
      <c r="J2515" t="str">
        <f t="shared" si="315"/>
        <v>Wednesday</v>
      </c>
      <c r="K2515" s="10" t="str">
        <f t="shared" si="316"/>
        <v>October</v>
      </c>
      <c r="L2515">
        <f t="shared" si="317"/>
        <v>2024</v>
      </c>
      <c r="M2515" t="b">
        <f t="shared" si="318"/>
        <v>0</v>
      </c>
      <c r="N2515" t="b">
        <f t="shared" si="312"/>
        <v>1</v>
      </c>
      <c r="O2515" t="str">
        <f t="shared" si="319"/>
        <v>Large Order</v>
      </c>
      <c r="P2515" s="7">
        <f t="shared" si="313"/>
        <v>7.8220000000000001</v>
      </c>
      <c r="Q2515" s="7" t="str">
        <f>VLOOKUP(D2516,Product_Lookup!$A$2:$C$27,2,FALSE)</f>
        <v>Blender</v>
      </c>
      <c r="R2515" s="7">
        <f t="shared" si="314"/>
        <v>2503.04</v>
      </c>
    </row>
    <row r="2516" spans="1:18" ht="21.75" customHeight="1">
      <c r="A2516" t="s">
        <v>2667</v>
      </c>
      <c r="B2516" s="6">
        <v>45466</v>
      </c>
      <c r="C2516" t="s">
        <v>9</v>
      </c>
      <c r="D2516" t="s">
        <v>72</v>
      </c>
      <c r="E2516" t="s">
        <v>22</v>
      </c>
      <c r="F2516" t="s">
        <v>56</v>
      </c>
      <c r="G2516" t="s">
        <v>13</v>
      </c>
      <c r="H2516">
        <v>20</v>
      </c>
      <c r="I2516" t="str">
        <f>VLOOKUP(D2516,Product_Lookup!$A$2:$C$27,3,FALSE)</f>
        <v>$156.44</v>
      </c>
      <c r="J2516" t="str">
        <f t="shared" si="315"/>
        <v>Sunday</v>
      </c>
      <c r="K2516" s="10" t="str">
        <f t="shared" si="316"/>
        <v>June</v>
      </c>
      <c r="L2516">
        <f t="shared" si="317"/>
        <v>2024</v>
      </c>
      <c r="M2516" t="b">
        <f t="shared" si="318"/>
        <v>1</v>
      </c>
      <c r="N2516" t="b">
        <f t="shared" si="312"/>
        <v>1</v>
      </c>
      <c r="O2516" t="str">
        <f t="shared" si="319"/>
        <v>Large Order</v>
      </c>
      <c r="P2516" s="7">
        <f t="shared" si="313"/>
        <v>7.8220000000000001</v>
      </c>
      <c r="Q2516" s="7" t="str">
        <f>VLOOKUP(D2517,Product_Lookup!$A$2:$C$27,2,FALSE)</f>
        <v>Air Fryer</v>
      </c>
      <c r="R2516" s="7">
        <f t="shared" si="314"/>
        <v>3128.8</v>
      </c>
    </row>
    <row r="2517" spans="1:18" ht="21.75" customHeight="1">
      <c r="A2517" t="s">
        <v>2668</v>
      </c>
      <c r="B2517" s="6">
        <v>45340</v>
      </c>
      <c r="C2517" t="s">
        <v>451</v>
      </c>
      <c r="D2517" t="s">
        <v>70</v>
      </c>
      <c r="E2517" t="s">
        <v>22</v>
      </c>
      <c r="F2517" t="s">
        <v>12</v>
      </c>
      <c r="G2517" t="s">
        <v>13</v>
      </c>
      <c r="H2517">
        <v>2</v>
      </c>
      <c r="I2517" t="str">
        <f>VLOOKUP(D2517,Product_Lookup!$A$2:$C$27,3,FALSE)</f>
        <v>$211.9</v>
      </c>
      <c r="J2517" t="str">
        <f t="shared" si="315"/>
        <v>Sunday</v>
      </c>
      <c r="K2517" s="10" t="str">
        <f t="shared" si="316"/>
        <v>February</v>
      </c>
      <c r="L2517">
        <f t="shared" si="317"/>
        <v>2024</v>
      </c>
      <c r="M2517" t="b">
        <f t="shared" si="318"/>
        <v>1</v>
      </c>
      <c r="N2517" t="b">
        <f t="shared" si="312"/>
        <v>0</v>
      </c>
      <c r="O2517" t="str">
        <f t="shared" si="319"/>
        <v>Standard order</v>
      </c>
      <c r="P2517" s="7">
        <f t="shared" si="313"/>
        <v>10.595000000000001</v>
      </c>
      <c r="Q2517" s="7" t="str">
        <f>VLOOKUP(D2518,Product_Lookup!$A$2:$C$27,2,FALSE)</f>
        <v>Puzzle</v>
      </c>
      <c r="R2517" s="7">
        <f t="shared" si="314"/>
        <v>423.8</v>
      </c>
    </row>
    <row r="2518" spans="1:18" ht="21.75" customHeight="1">
      <c r="A2518" t="s">
        <v>2669</v>
      </c>
      <c r="B2518" s="6">
        <v>45485</v>
      </c>
      <c r="C2518" t="s">
        <v>38</v>
      </c>
      <c r="D2518" t="s">
        <v>62</v>
      </c>
      <c r="E2518" t="s">
        <v>11</v>
      </c>
      <c r="F2518" t="s">
        <v>56</v>
      </c>
      <c r="G2518" t="s">
        <v>13</v>
      </c>
      <c r="H2518">
        <v>15</v>
      </c>
      <c r="I2518" t="str">
        <f>VLOOKUP(D2518,Product_Lookup!$A$2:$C$27,3,FALSE)</f>
        <v>$46.19</v>
      </c>
      <c r="J2518" t="str">
        <f t="shared" si="315"/>
        <v>Friday</v>
      </c>
      <c r="K2518" s="10" t="str">
        <f t="shared" si="316"/>
        <v>July</v>
      </c>
      <c r="L2518">
        <f t="shared" si="317"/>
        <v>2024</v>
      </c>
      <c r="M2518" t="b">
        <f t="shared" si="318"/>
        <v>0</v>
      </c>
      <c r="N2518" t="b">
        <f t="shared" si="312"/>
        <v>0</v>
      </c>
      <c r="O2518" t="str">
        <f t="shared" si="319"/>
        <v>Large Order</v>
      </c>
      <c r="P2518" s="7">
        <f t="shared" si="313"/>
        <v>2.3094999999999999</v>
      </c>
      <c r="Q2518" s="7" t="str">
        <f>VLOOKUP(D2519,Product_Lookup!$A$2:$C$27,2,FALSE)</f>
        <v>Vacuum</v>
      </c>
      <c r="R2518" s="7">
        <f t="shared" si="314"/>
        <v>692.84999999999991</v>
      </c>
    </row>
    <row r="2519" spans="1:18" ht="21.75" customHeight="1">
      <c r="A2519" t="s">
        <v>2670</v>
      </c>
      <c r="B2519" s="6">
        <v>45604</v>
      </c>
      <c r="C2519" t="s">
        <v>451</v>
      </c>
      <c r="D2519" t="s">
        <v>87</v>
      </c>
      <c r="E2519" t="s">
        <v>11</v>
      </c>
      <c r="F2519" t="s">
        <v>12</v>
      </c>
      <c r="G2519" t="s">
        <v>13</v>
      </c>
      <c r="H2519">
        <v>18</v>
      </c>
      <c r="I2519" t="str">
        <f>VLOOKUP(D2519,Product_Lookup!$A$2:$C$27,3,FALSE)</f>
        <v>$26.59</v>
      </c>
      <c r="J2519" t="str">
        <f t="shared" si="315"/>
        <v>Friday</v>
      </c>
      <c r="K2519" s="10" t="str">
        <f t="shared" si="316"/>
        <v>November</v>
      </c>
      <c r="L2519">
        <f t="shared" si="317"/>
        <v>2024</v>
      </c>
      <c r="M2519" t="b">
        <f t="shared" si="318"/>
        <v>0</v>
      </c>
      <c r="N2519" t="b">
        <f t="shared" si="312"/>
        <v>0</v>
      </c>
      <c r="O2519" t="str">
        <f t="shared" si="319"/>
        <v>Standard order</v>
      </c>
      <c r="P2519" s="7">
        <f t="shared" si="313"/>
        <v>1.3295000000000001</v>
      </c>
      <c r="Q2519" s="7" t="str">
        <f>VLOOKUP(D2520,Product_Lookup!$A$2:$C$27,2,FALSE)</f>
        <v>Monitor</v>
      </c>
      <c r="R2519" s="7">
        <f t="shared" si="314"/>
        <v>478.62</v>
      </c>
    </row>
    <row r="2520" spans="1:18" ht="21.75" customHeight="1">
      <c r="A2520" t="s">
        <v>2671</v>
      </c>
      <c r="B2520" s="6">
        <v>45487</v>
      </c>
      <c r="C2520" t="s">
        <v>341</v>
      </c>
      <c r="D2520" t="s">
        <v>102</v>
      </c>
      <c r="E2520" t="s">
        <v>22</v>
      </c>
      <c r="F2520" t="s">
        <v>27</v>
      </c>
      <c r="G2520" t="s">
        <v>28</v>
      </c>
      <c r="H2520">
        <v>20</v>
      </c>
      <c r="I2520" t="str">
        <f>VLOOKUP(D2520,Product_Lookup!$A$2:$C$27,3,FALSE)</f>
        <v>$145.48</v>
      </c>
      <c r="J2520" t="str">
        <f t="shared" si="315"/>
        <v>Sunday</v>
      </c>
      <c r="K2520" s="10" t="str">
        <f t="shared" si="316"/>
        <v>July</v>
      </c>
      <c r="L2520">
        <f t="shared" si="317"/>
        <v>2024</v>
      </c>
      <c r="M2520" t="b">
        <f t="shared" si="318"/>
        <v>1</v>
      </c>
      <c r="N2520" t="b">
        <f t="shared" si="312"/>
        <v>1</v>
      </c>
      <c r="O2520" t="str">
        <f t="shared" si="319"/>
        <v>Large Order</v>
      </c>
      <c r="P2520" s="7">
        <f t="shared" si="313"/>
        <v>7.274</v>
      </c>
      <c r="Q2520" s="7" t="str">
        <f>VLOOKUP(D2521,Product_Lookup!$A$2:$C$27,2,FALSE)</f>
        <v>Air Fryer</v>
      </c>
      <c r="R2520" s="7">
        <f t="shared" si="314"/>
        <v>2909.6</v>
      </c>
    </row>
    <row r="2521" spans="1:18" ht="21.75" customHeight="1">
      <c r="A2521" t="s">
        <v>2672</v>
      </c>
      <c r="B2521" s="6">
        <v>45611</v>
      </c>
      <c r="C2521" t="s">
        <v>142</v>
      </c>
      <c r="D2521" t="s">
        <v>70</v>
      </c>
      <c r="E2521" t="s">
        <v>17</v>
      </c>
      <c r="F2521" t="s">
        <v>27</v>
      </c>
      <c r="G2521" t="s">
        <v>23</v>
      </c>
      <c r="H2521">
        <v>20</v>
      </c>
      <c r="I2521" t="str">
        <f>VLOOKUP(D2521,Product_Lookup!$A$2:$C$27,3,FALSE)</f>
        <v>$211.9</v>
      </c>
      <c r="J2521" t="str">
        <f t="shared" si="315"/>
        <v>Friday</v>
      </c>
      <c r="K2521" s="10" t="str">
        <f t="shared" si="316"/>
        <v>November</v>
      </c>
      <c r="L2521">
        <f t="shared" si="317"/>
        <v>2024</v>
      </c>
      <c r="M2521" t="b">
        <f t="shared" si="318"/>
        <v>0</v>
      </c>
      <c r="N2521" t="b">
        <f t="shared" si="312"/>
        <v>1</v>
      </c>
      <c r="O2521" t="str">
        <f t="shared" si="319"/>
        <v>Large Order</v>
      </c>
      <c r="P2521" s="7">
        <f t="shared" si="313"/>
        <v>10.595000000000001</v>
      </c>
      <c r="Q2521" s="7" t="str">
        <f>VLOOKUP(D2522,Product_Lookup!$A$2:$C$27,2,FALSE)</f>
        <v>Board Game</v>
      </c>
      <c r="R2521" s="7">
        <f t="shared" si="314"/>
        <v>4238</v>
      </c>
    </row>
    <row r="2522" spans="1:18" ht="21.75" customHeight="1">
      <c r="A2522" t="s">
        <v>2673</v>
      </c>
      <c r="B2522" s="6">
        <v>45465</v>
      </c>
      <c r="C2522" t="s">
        <v>350</v>
      </c>
      <c r="D2522" t="s">
        <v>41</v>
      </c>
      <c r="E2522" t="s">
        <v>11</v>
      </c>
      <c r="F2522" t="s">
        <v>27</v>
      </c>
      <c r="G2522" t="s">
        <v>36</v>
      </c>
      <c r="H2522">
        <v>11</v>
      </c>
      <c r="I2522" t="str">
        <f>VLOOKUP(D2522,Product_Lookup!$A$2:$C$27,3,FALSE)</f>
        <v>$86.6</v>
      </c>
      <c r="J2522" t="str">
        <f t="shared" si="315"/>
        <v>Saturday</v>
      </c>
      <c r="K2522" s="10" t="str">
        <f t="shared" si="316"/>
        <v>June</v>
      </c>
      <c r="L2522">
        <f t="shared" si="317"/>
        <v>2024</v>
      </c>
      <c r="M2522" t="b">
        <f t="shared" si="318"/>
        <v>1</v>
      </c>
      <c r="N2522" t="b">
        <f t="shared" si="312"/>
        <v>1</v>
      </c>
      <c r="O2522" t="str">
        <f t="shared" si="319"/>
        <v>Large Order</v>
      </c>
      <c r="P2522" s="7">
        <f t="shared" si="313"/>
        <v>4.33</v>
      </c>
      <c r="Q2522" s="7" t="str">
        <f>VLOOKUP(D2523,Product_Lookup!$A$2:$C$27,2,FALSE)</f>
        <v>Laptop</v>
      </c>
      <c r="R2522" s="7">
        <f t="shared" si="314"/>
        <v>952.59999999999991</v>
      </c>
    </row>
    <row r="2523" spans="1:18" ht="21.75" customHeight="1">
      <c r="A2523" t="s">
        <v>2674</v>
      </c>
      <c r="B2523" s="6">
        <v>45347</v>
      </c>
      <c r="C2523" t="s">
        <v>15</v>
      </c>
      <c r="D2523" t="s">
        <v>96</v>
      </c>
      <c r="E2523" t="s">
        <v>22</v>
      </c>
      <c r="F2523" t="s">
        <v>12</v>
      </c>
      <c r="G2523" t="s">
        <v>36</v>
      </c>
      <c r="H2523">
        <v>7</v>
      </c>
      <c r="I2523" t="str">
        <f>VLOOKUP(D2523,Product_Lookup!$A$2:$C$27,3,FALSE)</f>
        <v>$230.68</v>
      </c>
      <c r="J2523" t="str">
        <f t="shared" si="315"/>
        <v>Sunday</v>
      </c>
      <c r="K2523" s="10" t="str">
        <f t="shared" si="316"/>
        <v>February</v>
      </c>
      <c r="L2523">
        <f t="shared" si="317"/>
        <v>2024</v>
      </c>
      <c r="M2523" t="b">
        <f t="shared" si="318"/>
        <v>1</v>
      </c>
      <c r="N2523" t="b">
        <f t="shared" si="312"/>
        <v>1</v>
      </c>
      <c r="O2523" t="str">
        <f t="shared" si="319"/>
        <v>Large Order</v>
      </c>
      <c r="P2523" s="7">
        <f t="shared" si="313"/>
        <v>11.534000000000001</v>
      </c>
      <c r="Q2523" s="7" t="str">
        <f>VLOOKUP(D2524,Product_Lookup!$A$2:$C$27,2,FALSE)</f>
        <v>Notebook</v>
      </c>
      <c r="R2523" s="7">
        <f t="shared" si="314"/>
        <v>1614.76</v>
      </c>
    </row>
    <row r="2524" spans="1:18" ht="21.75" customHeight="1">
      <c r="A2524" t="s">
        <v>2675</v>
      </c>
      <c r="B2524" s="6">
        <v>45356</v>
      </c>
      <c r="C2524" t="s">
        <v>541</v>
      </c>
      <c r="D2524" t="s">
        <v>160</v>
      </c>
      <c r="E2524" t="s">
        <v>17</v>
      </c>
      <c r="F2524" t="s">
        <v>42</v>
      </c>
      <c r="G2524" t="s">
        <v>23</v>
      </c>
      <c r="H2524">
        <v>16</v>
      </c>
      <c r="I2524" t="str">
        <f>VLOOKUP(D2524,Product_Lookup!$A$2:$C$27,3,FALSE)</f>
        <v>$149.27</v>
      </c>
      <c r="J2524" t="str">
        <f t="shared" si="315"/>
        <v>Tuesday</v>
      </c>
      <c r="K2524" s="10" t="str">
        <f t="shared" si="316"/>
        <v>March</v>
      </c>
      <c r="L2524">
        <f t="shared" si="317"/>
        <v>2024</v>
      </c>
      <c r="M2524" t="b">
        <f t="shared" si="318"/>
        <v>0</v>
      </c>
      <c r="N2524" t="b">
        <f t="shared" si="312"/>
        <v>1</v>
      </c>
      <c r="O2524" t="str">
        <f t="shared" si="319"/>
        <v>Large Order</v>
      </c>
      <c r="P2524" s="7">
        <f t="shared" si="313"/>
        <v>7.4635000000000007</v>
      </c>
      <c r="Q2524" s="7" t="str">
        <f>VLOOKUP(D2525,Product_Lookup!$A$2:$C$27,2,FALSE)</f>
        <v>Jacket</v>
      </c>
      <c r="R2524" s="7">
        <f t="shared" si="314"/>
        <v>2388.3200000000002</v>
      </c>
    </row>
    <row r="2525" spans="1:18" ht="21.75" customHeight="1">
      <c r="A2525" t="s">
        <v>2676</v>
      </c>
      <c r="B2525" s="6">
        <v>45519</v>
      </c>
      <c r="C2525" t="s">
        <v>44</v>
      </c>
      <c r="D2525" t="s">
        <v>197</v>
      </c>
      <c r="E2525" t="s">
        <v>11</v>
      </c>
      <c r="F2525" t="s">
        <v>12</v>
      </c>
      <c r="G2525" t="s">
        <v>13</v>
      </c>
      <c r="H2525">
        <v>5</v>
      </c>
      <c r="I2525" t="str">
        <f>VLOOKUP(D2525,Product_Lookup!$A$2:$C$27,3,FALSE)</f>
        <v>$10.11</v>
      </c>
      <c r="J2525" t="str">
        <f t="shared" si="315"/>
        <v>Thursday</v>
      </c>
      <c r="K2525" s="10" t="str">
        <f t="shared" si="316"/>
        <v>August</v>
      </c>
      <c r="L2525">
        <f t="shared" si="317"/>
        <v>2024</v>
      </c>
      <c r="M2525" t="b">
        <f t="shared" si="318"/>
        <v>0</v>
      </c>
      <c r="N2525" t="b">
        <f t="shared" si="312"/>
        <v>0</v>
      </c>
      <c r="O2525" t="str">
        <f t="shared" si="319"/>
        <v>Standard order</v>
      </c>
      <c r="P2525" s="7">
        <f t="shared" si="313"/>
        <v>0.50549999999999995</v>
      </c>
      <c r="Q2525" s="7" t="str">
        <f>VLOOKUP(D2526,Product_Lookup!$A$2:$C$27,2,FALSE)</f>
        <v>Action Figure</v>
      </c>
      <c r="R2525" s="7">
        <f t="shared" si="314"/>
        <v>50.55</v>
      </c>
    </row>
    <row r="2526" spans="1:18" ht="21.75" customHeight="1">
      <c r="A2526" t="s">
        <v>2677</v>
      </c>
      <c r="B2526" s="6">
        <v>45515</v>
      </c>
      <c r="C2526" t="s">
        <v>345</v>
      </c>
      <c r="D2526" t="s">
        <v>21</v>
      </c>
      <c r="E2526" t="s">
        <v>17</v>
      </c>
      <c r="F2526" t="s">
        <v>42</v>
      </c>
      <c r="G2526" t="s">
        <v>36</v>
      </c>
      <c r="H2526">
        <v>18</v>
      </c>
      <c r="I2526" t="str">
        <f>VLOOKUP(D2526,Product_Lookup!$A$2:$C$27,3,FALSE)</f>
        <v>$88.18</v>
      </c>
      <c r="J2526" t="str">
        <f t="shared" si="315"/>
        <v>Sunday</v>
      </c>
      <c r="K2526" s="10" t="str">
        <f t="shared" si="316"/>
        <v>August</v>
      </c>
      <c r="L2526">
        <f t="shared" si="317"/>
        <v>2024</v>
      </c>
      <c r="M2526" t="b">
        <f t="shared" si="318"/>
        <v>1</v>
      </c>
      <c r="N2526" t="b">
        <f t="shared" si="312"/>
        <v>1</v>
      </c>
      <c r="O2526" t="str">
        <f t="shared" si="319"/>
        <v>Large Order</v>
      </c>
      <c r="P2526" s="7">
        <f t="shared" si="313"/>
        <v>4.4090000000000007</v>
      </c>
      <c r="Q2526" s="7" t="str">
        <f>VLOOKUP(D2527,Product_Lookup!$A$2:$C$27,2,FALSE)</f>
        <v>Socks</v>
      </c>
      <c r="R2526" s="7">
        <f t="shared" si="314"/>
        <v>1587.2400000000002</v>
      </c>
    </row>
    <row r="2527" spans="1:18" ht="21.75" customHeight="1">
      <c r="A2527" t="s">
        <v>2678</v>
      </c>
      <c r="B2527" s="6">
        <v>45367</v>
      </c>
      <c r="C2527" t="s">
        <v>553</v>
      </c>
      <c r="D2527" t="s">
        <v>74</v>
      </c>
      <c r="E2527" t="s">
        <v>22</v>
      </c>
      <c r="F2527" t="s">
        <v>42</v>
      </c>
      <c r="G2527" t="s">
        <v>32</v>
      </c>
      <c r="H2527">
        <v>12</v>
      </c>
      <c r="I2527" t="str">
        <f>VLOOKUP(D2527,Product_Lookup!$A$2:$C$27,3,FALSE)</f>
        <v>$201.32</v>
      </c>
      <c r="J2527" t="str">
        <f t="shared" si="315"/>
        <v>Saturday</v>
      </c>
      <c r="K2527" s="10" t="str">
        <f t="shared" si="316"/>
        <v>March</v>
      </c>
      <c r="L2527">
        <f t="shared" si="317"/>
        <v>2024</v>
      </c>
      <c r="M2527" t="b">
        <f t="shared" si="318"/>
        <v>1</v>
      </c>
      <c r="N2527" t="b">
        <f t="shared" si="312"/>
        <v>1</v>
      </c>
      <c r="O2527" t="str">
        <f t="shared" si="319"/>
        <v>Large Order</v>
      </c>
      <c r="P2527" s="7">
        <f t="shared" si="313"/>
        <v>10.066000000000001</v>
      </c>
      <c r="Q2527" s="7" t="str">
        <f>VLOOKUP(D2528,Product_Lookup!$A$2:$C$27,2,FALSE)</f>
        <v>Board Game</v>
      </c>
      <c r="R2527" s="7">
        <f t="shared" si="314"/>
        <v>2415.84</v>
      </c>
    </row>
    <row r="2528" spans="1:18" ht="21.75" customHeight="1">
      <c r="A2528" t="s">
        <v>2679</v>
      </c>
      <c r="B2528" s="6">
        <v>45557</v>
      </c>
      <c r="C2528" t="s">
        <v>449</v>
      </c>
      <c r="D2528" t="s">
        <v>41</v>
      </c>
      <c r="E2528" t="s">
        <v>22</v>
      </c>
      <c r="F2528" t="s">
        <v>56</v>
      </c>
      <c r="G2528" t="s">
        <v>13</v>
      </c>
      <c r="H2528">
        <v>8</v>
      </c>
      <c r="I2528" t="str">
        <f>VLOOKUP(D2528,Product_Lookup!$A$2:$C$27,3,FALSE)</f>
        <v>$86.6</v>
      </c>
      <c r="J2528" t="str">
        <f t="shared" si="315"/>
        <v>Sunday</v>
      </c>
      <c r="K2528" s="10" t="str">
        <f t="shared" si="316"/>
        <v>September</v>
      </c>
      <c r="L2528">
        <f t="shared" si="317"/>
        <v>2024</v>
      </c>
      <c r="M2528" t="b">
        <f t="shared" si="318"/>
        <v>1</v>
      </c>
      <c r="N2528" t="b">
        <f t="shared" si="312"/>
        <v>0</v>
      </c>
      <c r="O2528" t="str">
        <f t="shared" si="319"/>
        <v>Large Order</v>
      </c>
      <c r="P2528" s="7">
        <f t="shared" si="313"/>
        <v>4.33</v>
      </c>
      <c r="Q2528" s="7" t="str">
        <f>VLOOKUP(D2529,Product_Lookup!$A$2:$C$27,2,FALSE)</f>
        <v>Vacuum</v>
      </c>
      <c r="R2528" s="7">
        <f t="shared" si="314"/>
        <v>692.8</v>
      </c>
    </row>
    <row r="2529" spans="1:18" ht="21.75" customHeight="1">
      <c r="A2529" t="s">
        <v>2680</v>
      </c>
      <c r="B2529" s="6">
        <v>45578</v>
      </c>
      <c r="C2529" t="s">
        <v>9</v>
      </c>
      <c r="D2529" t="s">
        <v>87</v>
      </c>
      <c r="E2529" t="s">
        <v>17</v>
      </c>
      <c r="F2529" t="s">
        <v>56</v>
      </c>
      <c r="G2529" t="s">
        <v>28</v>
      </c>
      <c r="H2529">
        <v>7</v>
      </c>
      <c r="I2529" t="str">
        <f>VLOOKUP(D2529,Product_Lookup!$A$2:$C$27,3,FALSE)</f>
        <v>$26.59</v>
      </c>
      <c r="J2529" t="str">
        <f t="shared" si="315"/>
        <v>Sunday</v>
      </c>
      <c r="K2529" s="10" t="str">
        <f t="shared" si="316"/>
        <v>October</v>
      </c>
      <c r="L2529">
        <f t="shared" si="317"/>
        <v>2024</v>
      </c>
      <c r="M2529" t="b">
        <f t="shared" si="318"/>
        <v>1</v>
      </c>
      <c r="N2529" t="b">
        <f t="shared" si="312"/>
        <v>0</v>
      </c>
      <c r="O2529" t="str">
        <f t="shared" si="319"/>
        <v>Standard order</v>
      </c>
      <c r="P2529" s="7">
        <f t="shared" si="313"/>
        <v>1.3295000000000001</v>
      </c>
      <c r="Q2529" s="7" t="str">
        <f>VLOOKUP(D2530,Product_Lookup!$A$2:$C$27,2,FALSE)</f>
        <v>Board Game</v>
      </c>
      <c r="R2529" s="7">
        <f t="shared" si="314"/>
        <v>186.13</v>
      </c>
    </row>
    <row r="2530" spans="1:18" ht="21.75" customHeight="1">
      <c r="A2530" t="s">
        <v>2681</v>
      </c>
      <c r="B2530" s="6">
        <v>45466</v>
      </c>
      <c r="C2530" t="s">
        <v>150</v>
      </c>
      <c r="D2530" t="s">
        <v>41</v>
      </c>
      <c r="E2530" t="s">
        <v>17</v>
      </c>
      <c r="F2530" t="s">
        <v>27</v>
      </c>
      <c r="G2530" t="s">
        <v>36</v>
      </c>
      <c r="H2530">
        <v>11</v>
      </c>
      <c r="I2530" t="str">
        <f>VLOOKUP(D2530,Product_Lookup!$A$2:$C$27,3,FALSE)</f>
        <v>$86.6</v>
      </c>
      <c r="J2530" t="str">
        <f t="shared" si="315"/>
        <v>Sunday</v>
      </c>
      <c r="K2530" s="10" t="str">
        <f t="shared" si="316"/>
        <v>June</v>
      </c>
      <c r="L2530">
        <f t="shared" si="317"/>
        <v>2024</v>
      </c>
      <c r="M2530" t="b">
        <f t="shared" si="318"/>
        <v>1</v>
      </c>
      <c r="N2530" t="b">
        <f t="shared" si="312"/>
        <v>1</v>
      </c>
      <c r="O2530" t="str">
        <f t="shared" si="319"/>
        <v>Large Order</v>
      </c>
      <c r="P2530" s="7">
        <f t="shared" si="313"/>
        <v>4.33</v>
      </c>
      <c r="Q2530" s="7" t="str">
        <f>VLOOKUP(D2531,Product_Lookup!$A$2:$C$27,2,FALSE)</f>
        <v>Paper Shredder</v>
      </c>
      <c r="R2530" s="7">
        <f t="shared" si="314"/>
        <v>952.59999999999991</v>
      </c>
    </row>
    <row r="2531" spans="1:18" ht="21.75" customHeight="1">
      <c r="A2531" t="s">
        <v>2682</v>
      </c>
      <c r="B2531" s="6">
        <v>45581</v>
      </c>
      <c r="C2531" t="s">
        <v>118</v>
      </c>
      <c r="D2531" t="s">
        <v>109</v>
      </c>
      <c r="E2531" t="s">
        <v>17</v>
      </c>
      <c r="F2531" t="s">
        <v>27</v>
      </c>
      <c r="G2531" t="s">
        <v>32</v>
      </c>
      <c r="H2531">
        <v>6</v>
      </c>
      <c r="I2531" t="str">
        <f>VLOOKUP(D2531,Product_Lookup!$A$2:$C$27,3,FALSE)</f>
        <v>$81.02</v>
      </c>
      <c r="J2531" t="str">
        <f t="shared" si="315"/>
        <v>Wednesday</v>
      </c>
      <c r="K2531" s="10" t="str">
        <f t="shared" si="316"/>
        <v>October</v>
      </c>
      <c r="L2531">
        <f t="shared" si="317"/>
        <v>2024</v>
      </c>
      <c r="M2531" t="b">
        <f t="shared" si="318"/>
        <v>0</v>
      </c>
      <c r="N2531" t="b">
        <f t="shared" si="312"/>
        <v>0</v>
      </c>
      <c r="O2531" t="str">
        <f t="shared" si="319"/>
        <v>Standard order</v>
      </c>
      <c r="P2531" s="7">
        <f t="shared" si="313"/>
        <v>4.0510000000000002</v>
      </c>
      <c r="Q2531" s="7" t="str">
        <f>VLOOKUP(D2532,Product_Lookup!$A$2:$C$27,2,FALSE)</f>
        <v>Jacket</v>
      </c>
      <c r="R2531" s="7">
        <f t="shared" si="314"/>
        <v>486.12</v>
      </c>
    </row>
    <row r="2532" spans="1:18" ht="21.75" customHeight="1">
      <c r="A2532" t="s">
        <v>2683</v>
      </c>
      <c r="B2532" s="6">
        <v>45313</v>
      </c>
      <c r="C2532" t="s">
        <v>432</v>
      </c>
      <c r="D2532" t="s">
        <v>197</v>
      </c>
      <c r="E2532" t="s">
        <v>11</v>
      </c>
      <c r="F2532" t="s">
        <v>56</v>
      </c>
      <c r="G2532" t="s">
        <v>28</v>
      </c>
      <c r="H2532">
        <v>15</v>
      </c>
      <c r="I2532" t="str">
        <f>VLOOKUP(D2532,Product_Lookup!$A$2:$C$27,3,FALSE)</f>
        <v>$10.11</v>
      </c>
      <c r="J2532" t="str">
        <f t="shared" si="315"/>
        <v>Monday</v>
      </c>
      <c r="K2532" s="10" t="str">
        <f t="shared" si="316"/>
        <v>January</v>
      </c>
      <c r="L2532">
        <f t="shared" si="317"/>
        <v>2024</v>
      </c>
      <c r="M2532" t="b">
        <f t="shared" si="318"/>
        <v>0</v>
      </c>
      <c r="N2532" t="b">
        <f t="shared" si="312"/>
        <v>0</v>
      </c>
      <c r="O2532" t="str">
        <f t="shared" si="319"/>
        <v>Standard order</v>
      </c>
      <c r="P2532" s="7">
        <f t="shared" si="313"/>
        <v>0.50549999999999995</v>
      </c>
      <c r="Q2532" s="7" t="str">
        <f>VLOOKUP(D2533,Product_Lookup!$A$2:$C$27,2,FALSE)</f>
        <v>Lego Set</v>
      </c>
      <c r="R2532" s="7">
        <f t="shared" si="314"/>
        <v>151.64999999999998</v>
      </c>
    </row>
    <row r="2533" spans="1:18" ht="21.75" customHeight="1">
      <c r="A2533" t="s">
        <v>2684</v>
      </c>
      <c r="B2533" s="6">
        <v>45414</v>
      </c>
      <c r="C2533" t="s">
        <v>517</v>
      </c>
      <c r="D2533" t="s">
        <v>84</v>
      </c>
      <c r="E2533" t="s">
        <v>17</v>
      </c>
      <c r="F2533" t="s">
        <v>27</v>
      </c>
      <c r="G2533" t="s">
        <v>28</v>
      </c>
      <c r="H2533">
        <v>13</v>
      </c>
      <c r="I2533" t="str">
        <f>VLOOKUP(D2533,Product_Lookup!$A$2:$C$27,3,FALSE)</f>
        <v>$130.07</v>
      </c>
      <c r="J2533" t="str">
        <f t="shared" si="315"/>
        <v>Thursday</v>
      </c>
      <c r="K2533" s="10" t="str">
        <f t="shared" si="316"/>
        <v>May</v>
      </c>
      <c r="L2533">
        <f t="shared" si="317"/>
        <v>2024</v>
      </c>
      <c r="M2533" t="b">
        <f t="shared" si="318"/>
        <v>0</v>
      </c>
      <c r="N2533" t="b">
        <f t="shared" si="312"/>
        <v>1</v>
      </c>
      <c r="O2533" t="str">
        <f t="shared" si="319"/>
        <v>Large Order</v>
      </c>
      <c r="P2533" s="7">
        <f t="shared" si="313"/>
        <v>6.5034999999999998</v>
      </c>
      <c r="Q2533" s="7" t="str">
        <f>VLOOKUP(D2534,Product_Lookup!$A$2:$C$27,2,FALSE)</f>
        <v>Laptop</v>
      </c>
      <c r="R2533" s="7">
        <f t="shared" si="314"/>
        <v>1690.9099999999999</v>
      </c>
    </row>
    <row r="2534" spans="1:18" ht="21.75" customHeight="1">
      <c r="A2534" t="s">
        <v>2685</v>
      </c>
      <c r="B2534" s="6">
        <v>45295</v>
      </c>
      <c r="C2534" t="s">
        <v>83</v>
      </c>
      <c r="D2534" t="s">
        <v>96</v>
      </c>
      <c r="E2534" t="s">
        <v>11</v>
      </c>
      <c r="F2534" t="s">
        <v>42</v>
      </c>
      <c r="G2534" t="s">
        <v>13</v>
      </c>
      <c r="H2534">
        <v>18</v>
      </c>
      <c r="I2534" t="str">
        <f>VLOOKUP(D2534,Product_Lookup!$A$2:$C$27,3,FALSE)</f>
        <v>$230.68</v>
      </c>
      <c r="J2534" t="str">
        <f t="shared" si="315"/>
        <v>Thursday</v>
      </c>
      <c r="K2534" s="10" t="str">
        <f t="shared" si="316"/>
        <v>January</v>
      </c>
      <c r="L2534">
        <f t="shared" si="317"/>
        <v>2024</v>
      </c>
      <c r="M2534" t="b">
        <f t="shared" si="318"/>
        <v>0</v>
      </c>
      <c r="N2534" t="b">
        <f t="shared" si="312"/>
        <v>1</v>
      </c>
      <c r="O2534" t="str">
        <f t="shared" si="319"/>
        <v>Large Order</v>
      </c>
      <c r="P2534" s="7">
        <f t="shared" si="313"/>
        <v>11.534000000000001</v>
      </c>
      <c r="Q2534" s="7" t="str">
        <f>VLOOKUP(D2535,Product_Lookup!$A$2:$C$27,2,FALSE)</f>
        <v>Jeans</v>
      </c>
      <c r="R2534" s="7">
        <f t="shared" si="314"/>
        <v>4152.24</v>
      </c>
    </row>
    <row r="2535" spans="1:18" ht="21.75" customHeight="1">
      <c r="A2535" t="s">
        <v>2686</v>
      </c>
      <c r="B2535" s="6">
        <v>45440</v>
      </c>
      <c r="C2535" t="s">
        <v>396</v>
      </c>
      <c r="D2535" t="s">
        <v>65</v>
      </c>
      <c r="E2535" t="s">
        <v>22</v>
      </c>
      <c r="F2535" t="s">
        <v>306</v>
      </c>
      <c r="G2535" t="s">
        <v>32</v>
      </c>
      <c r="H2535">
        <v>2</v>
      </c>
      <c r="I2535" t="str">
        <f>VLOOKUP(D2535,Product_Lookup!$A$2:$C$27,3,FALSE)</f>
        <v>$33.22</v>
      </c>
      <c r="J2535" t="str">
        <f t="shared" si="315"/>
        <v>Tuesday</v>
      </c>
      <c r="K2535" s="10" t="str">
        <f t="shared" si="316"/>
        <v>May</v>
      </c>
      <c r="L2535">
        <f t="shared" si="317"/>
        <v>2024</v>
      </c>
      <c r="M2535" t="b">
        <f t="shared" si="318"/>
        <v>0</v>
      </c>
      <c r="N2535" t="b">
        <f t="shared" si="312"/>
        <v>0</v>
      </c>
      <c r="O2535" t="str">
        <f t="shared" si="319"/>
        <v>Standard order</v>
      </c>
      <c r="P2535" s="7">
        <f t="shared" si="313"/>
        <v>1.661</v>
      </c>
      <c r="Q2535" s="7" t="str">
        <f>VLOOKUP(D2536,Product_Lookup!$A$2:$C$27,2,FALSE)</f>
        <v>Socks</v>
      </c>
      <c r="R2535" s="7">
        <f t="shared" si="314"/>
        <v>66.44</v>
      </c>
    </row>
    <row r="2536" spans="1:18" ht="21.75" customHeight="1">
      <c r="A2536" t="s">
        <v>2687</v>
      </c>
      <c r="B2536" s="6">
        <v>45393</v>
      </c>
      <c r="C2536" t="s">
        <v>104</v>
      </c>
      <c r="D2536" t="s">
        <v>74</v>
      </c>
      <c r="E2536" t="s">
        <v>11</v>
      </c>
      <c r="F2536" t="s">
        <v>56</v>
      </c>
      <c r="G2536" t="s">
        <v>32</v>
      </c>
      <c r="H2536">
        <v>6</v>
      </c>
      <c r="I2536" t="str">
        <f>VLOOKUP(D2536,Product_Lookup!$A$2:$C$27,3,FALSE)</f>
        <v>$201.32</v>
      </c>
      <c r="J2536" t="str">
        <f t="shared" si="315"/>
        <v>Thursday</v>
      </c>
      <c r="K2536" s="10" t="str">
        <f t="shared" si="316"/>
        <v>April</v>
      </c>
      <c r="L2536">
        <f t="shared" si="317"/>
        <v>2024</v>
      </c>
      <c r="M2536" t="b">
        <f t="shared" si="318"/>
        <v>0</v>
      </c>
      <c r="N2536" t="b">
        <f t="shared" si="312"/>
        <v>1</v>
      </c>
      <c r="O2536" t="str">
        <f t="shared" si="319"/>
        <v>Large Order</v>
      </c>
      <c r="P2536" s="7">
        <f t="shared" si="313"/>
        <v>10.066000000000001</v>
      </c>
      <c r="Q2536" s="7" t="str">
        <f>VLOOKUP(D2537,Product_Lookup!$A$2:$C$27,2,FALSE)</f>
        <v>T-Shirt</v>
      </c>
      <c r="R2536" s="7">
        <f t="shared" si="314"/>
        <v>1207.92</v>
      </c>
    </row>
    <row r="2537" spans="1:18" ht="21.75" customHeight="1">
      <c r="A2537" t="s">
        <v>2688</v>
      </c>
      <c r="B2537" s="6">
        <v>45575</v>
      </c>
      <c r="C2537" t="s">
        <v>78</v>
      </c>
      <c r="D2537" t="s">
        <v>45</v>
      </c>
      <c r="E2537" t="s">
        <v>11</v>
      </c>
      <c r="F2537" t="s">
        <v>12</v>
      </c>
      <c r="G2537" t="s">
        <v>28</v>
      </c>
      <c r="H2537">
        <v>9</v>
      </c>
      <c r="I2537" t="str">
        <f>VLOOKUP(D2537,Product_Lookup!$A$2:$C$27,3,FALSE)</f>
        <v>$107.34</v>
      </c>
      <c r="J2537" t="str">
        <f t="shared" si="315"/>
        <v>Thursday</v>
      </c>
      <c r="K2537" s="10" t="str">
        <f t="shared" si="316"/>
        <v>October</v>
      </c>
      <c r="L2537">
        <f t="shared" si="317"/>
        <v>2024</v>
      </c>
      <c r="M2537" t="b">
        <f t="shared" si="318"/>
        <v>0</v>
      </c>
      <c r="N2537" t="b">
        <f t="shared" si="312"/>
        <v>1</v>
      </c>
      <c r="O2537" t="str">
        <f t="shared" si="319"/>
        <v>Large Order</v>
      </c>
      <c r="P2537" s="7">
        <f t="shared" si="313"/>
        <v>5.3670000000000009</v>
      </c>
      <c r="Q2537" s="7" t="str">
        <f>VLOOKUP(D2538,Product_Lookup!$A$2:$C$27,2,FALSE)</f>
        <v>Headphones</v>
      </c>
      <c r="R2537" s="7">
        <f t="shared" si="314"/>
        <v>966.06000000000006</v>
      </c>
    </row>
    <row r="2538" spans="1:18" ht="21.75" customHeight="1">
      <c r="A2538" t="s">
        <v>2689</v>
      </c>
      <c r="B2538" s="6">
        <v>45302</v>
      </c>
      <c r="C2538" t="s">
        <v>422</v>
      </c>
      <c r="D2538" t="s">
        <v>16</v>
      </c>
      <c r="E2538" t="s">
        <v>17</v>
      </c>
      <c r="F2538" t="s">
        <v>12</v>
      </c>
      <c r="G2538" t="s">
        <v>32</v>
      </c>
      <c r="H2538">
        <v>7</v>
      </c>
      <c r="I2538" t="str">
        <f>VLOOKUP(D2538,Product_Lookup!$A$2:$C$27,3,FALSE)</f>
        <v>$178.83</v>
      </c>
      <c r="J2538" t="str">
        <f t="shared" si="315"/>
        <v>Thursday</v>
      </c>
      <c r="K2538" s="10" t="str">
        <f t="shared" si="316"/>
        <v>January</v>
      </c>
      <c r="L2538">
        <f t="shared" si="317"/>
        <v>2024</v>
      </c>
      <c r="M2538" t="b">
        <f t="shared" si="318"/>
        <v>0</v>
      </c>
      <c r="N2538" t="b">
        <f t="shared" si="312"/>
        <v>1</v>
      </c>
      <c r="O2538" t="str">
        <f t="shared" si="319"/>
        <v>Large Order</v>
      </c>
      <c r="P2538" s="7">
        <f t="shared" si="313"/>
        <v>8.9415000000000013</v>
      </c>
      <c r="Q2538" s="7" t="str">
        <f>VLOOKUP(D2539,Product_Lookup!$A$2:$C$27,2,FALSE)</f>
        <v>Toaster</v>
      </c>
      <c r="R2538" s="7">
        <f t="shared" si="314"/>
        <v>1251.8100000000002</v>
      </c>
    </row>
    <row r="2539" spans="1:18" ht="21.75" customHeight="1">
      <c r="A2539" t="s">
        <v>2690</v>
      </c>
      <c r="B2539" s="6">
        <v>45414</v>
      </c>
      <c r="C2539" t="s">
        <v>200</v>
      </c>
      <c r="D2539" t="s">
        <v>48</v>
      </c>
      <c r="E2539" t="s">
        <v>22</v>
      </c>
      <c r="F2539" t="s">
        <v>56</v>
      </c>
      <c r="G2539" t="s">
        <v>36</v>
      </c>
      <c r="H2539">
        <v>20</v>
      </c>
      <c r="I2539" t="str">
        <f>VLOOKUP(D2539,Product_Lookup!$A$2:$C$27,3,FALSE)</f>
        <v>$208.85</v>
      </c>
      <c r="J2539" t="str">
        <f t="shared" si="315"/>
        <v>Thursday</v>
      </c>
      <c r="K2539" s="10" t="str">
        <f t="shared" si="316"/>
        <v>May</v>
      </c>
      <c r="L2539">
        <f t="shared" si="317"/>
        <v>2024</v>
      </c>
      <c r="M2539" t="b">
        <f t="shared" si="318"/>
        <v>0</v>
      </c>
      <c r="N2539" t="b">
        <f t="shared" si="312"/>
        <v>1</v>
      </c>
      <c r="O2539" t="str">
        <f t="shared" si="319"/>
        <v>Large Order</v>
      </c>
      <c r="P2539" s="7">
        <f t="shared" si="313"/>
        <v>10.442500000000001</v>
      </c>
      <c r="Q2539" s="7" t="str">
        <f>VLOOKUP(D2540,Product_Lookup!$A$2:$C$27,2,FALSE)</f>
        <v>Monitor</v>
      </c>
      <c r="R2539" s="7">
        <f t="shared" si="314"/>
        <v>4177</v>
      </c>
    </row>
    <row r="2540" spans="1:18" ht="21.75" customHeight="1">
      <c r="A2540" t="s">
        <v>2691</v>
      </c>
      <c r="B2540" s="6">
        <v>45656</v>
      </c>
      <c r="C2540" t="s">
        <v>58</v>
      </c>
      <c r="D2540" t="s">
        <v>102</v>
      </c>
      <c r="E2540" t="s">
        <v>11</v>
      </c>
      <c r="F2540" t="s">
        <v>56</v>
      </c>
      <c r="G2540" t="s">
        <v>28</v>
      </c>
      <c r="H2540">
        <v>7</v>
      </c>
      <c r="I2540" t="str">
        <f>VLOOKUP(D2540,Product_Lookup!$A$2:$C$27,3,FALSE)</f>
        <v>$145.48</v>
      </c>
      <c r="J2540" t="str">
        <f t="shared" si="315"/>
        <v>Monday</v>
      </c>
      <c r="K2540" s="10" t="str">
        <f t="shared" si="316"/>
        <v>December</v>
      </c>
      <c r="L2540">
        <f t="shared" si="317"/>
        <v>2024</v>
      </c>
      <c r="M2540" t="b">
        <f t="shared" si="318"/>
        <v>0</v>
      </c>
      <c r="N2540" t="b">
        <f t="shared" si="312"/>
        <v>1</v>
      </c>
      <c r="O2540" t="str">
        <f t="shared" si="319"/>
        <v>Large Order</v>
      </c>
      <c r="P2540" s="7">
        <f t="shared" si="313"/>
        <v>7.274</v>
      </c>
      <c r="Q2540" s="7" t="str">
        <f>VLOOKUP(D2541,Product_Lookup!$A$2:$C$27,2,FALSE)</f>
        <v>Blender</v>
      </c>
      <c r="R2540" s="7">
        <f t="shared" si="314"/>
        <v>1018.3599999999999</v>
      </c>
    </row>
    <row r="2541" spans="1:18" ht="21.75" customHeight="1">
      <c r="A2541" t="s">
        <v>2692</v>
      </c>
      <c r="B2541" s="6">
        <v>45647</v>
      </c>
      <c r="C2541" t="s">
        <v>200</v>
      </c>
      <c r="D2541" t="s">
        <v>72</v>
      </c>
      <c r="E2541" t="s">
        <v>22</v>
      </c>
      <c r="F2541" t="s">
        <v>27</v>
      </c>
      <c r="G2541" t="s">
        <v>28</v>
      </c>
      <c r="H2541">
        <v>2</v>
      </c>
      <c r="I2541" t="str">
        <f>VLOOKUP(D2541,Product_Lookup!$A$2:$C$27,3,FALSE)</f>
        <v>$156.44</v>
      </c>
      <c r="J2541" t="str">
        <f t="shared" si="315"/>
        <v>Saturday</v>
      </c>
      <c r="K2541" s="10" t="str">
        <f t="shared" si="316"/>
        <v>December</v>
      </c>
      <c r="L2541">
        <f t="shared" si="317"/>
        <v>2024</v>
      </c>
      <c r="M2541" t="b">
        <f t="shared" si="318"/>
        <v>1</v>
      </c>
      <c r="N2541" t="b">
        <f t="shared" si="312"/>
        <v>0</v>
      </c>
      <c r="O2541" t="str">
        <f t="shared" si="319"/>
        <v>Standard order</v>
      </c>
      <c r="P2541" s="7">
        <f t="shared" si="313"/>
        <v>7.8220000000000001</v>
      </c>
      <c r="Q2541" s="7" t="str">
        <f>VLOOKUP(D2542,Product_Lookup!$A$2:$C$27,2,FALSE)</f>
        <v>Pen Set</v>
      </c>
      <c r="R2541" s="7">
        <f t="shared" si="314"/>
        <v>312.88</v>
      </c>
    </row>
    <row r="2542" spans="1:18" ht="21.75" customHeight="1">
      <c r="A2542" t="s">
        <v>2693</v>
      </c>
      <c r="B2542" s="6">
        <v>45592</v>
      </c>
      <c r="C2542" t="s">
        <v>150</v>
      </c>
      <c r="D2542" t="s">
        <v>174</v>
      </c>
      <c r="E2542" t="s">
        <v>17</v>
      </c>
      <c r="F2542" t="s">
        <v>56</v>
      </c>
      <c r="G2542" t="s">
        <v>32</v>
      </c>
      <c r="H2542">
        <v>8</v>
      </c>
      <c r="I2542" t="str">
        <f>VLOOKUP(D2542,Product_Lookup!$A$2:$C$27,3,FALSE)</f>
        <v>$133.37</v>
      </c>
      <c r="J2542" t="str">
        <f t="shared" si="315"/>
        <v>Sunday</v>
      </c>
      <c r="K2542" s="10" t="str">
        <f t="shared" si="316"/>
        <v>October</v>
      </c>
      <c r="L2542">
        <f t="shared" si="317"/>
        <v>2024</v>
      </c>
      <c r="M2542" t="b">
        <f t="shared" si="318"/>
        <v>1</v>
      </c>
      <c r="N2542" t="b">
        <f t="shared" si="312"/>
        <v>1</v>
      </c>
      <c r="O2542" t="str">
        <f t="shared" si="319"/>
        <v>Large Order</v>
      </c>
      <c r="P2542" s="7">
        <f t="shared" si="313"/>
        <v>6.6685000000000008</v>
      </c>
      <c r="Q2542" s="7" t="str">
        <f>VLOOKUP(D2543,Product_Lookup!$A$2:$C$27,2,FALSE)</f>
        <v>Notebook</v>
      </c>
      <c r="R2542" s="7">
        <f t="shared" si="314"/>
        <v>1066.96</v>
      </c>
    </row>
    <row r="2543" spans="1:18" ht="21.75" customHeight="1">
      <c r="A2543" t="s">
        <v>2694</v>
      </c>
      <c r="B2543" s="6">
        <v>45435</v>
      </c>
      <c r="C2543" t="s">
        <v>34</v>
      </c>
      <c r="D2543" t="s">
        <v>160</v>
      </c>
      <c r="E2543" t="s">
        <v>22</v>
      </c>
      <c r="F2543" t="s">
        <v>27</v>
      </c>
      <c r="G2543" t="s">
        <v>28</v>
      </c>
      <c r="H2543">
        <v>3</v>
      </c>
      <c r="I2543" t="str">
        <f>VLOOKUP(D2543,Product_Lookup!$A$2:$C$27,3,FALSE)</f>
        <v>$149.27</v>
      </c>
      <c r="J2543" t="str">
        <f t="shared" si="315"/>
        <v>Thursday</v>
      </c>
      <c r="K2543" s="10" t="str">
        <f t="shared" si="316"/>
        <v>May</v>
      </c>
      <c r="L2543">
        <f t="shared" si="317"/>
        <v>2024</v>
      </c>
      <c r="M2543" t="b">
        <f t="shared" si="318"/>
        <v>0</v>
      </c>
      <c r="N2543" t="b">
        <f t="shared" si="312"/>
        <v>0</v>
      </c>
      <c r="O2543" t="str">
        <f t="shared" si="319"/>
        <v>Standard order</v>
      </c>
      <c r="P2543" s="7">
        <f t="shared" si="313"/>
        <v>7.4635000000000007</v>
      </c>
      <c r="Q2543" s="7" t="str">
        <f>VLOOKUP(D2544,Product_Lookup!$A$2:$C$27,2,FALSE)</f>
        <v>Tablet</v>
      </c>
      <c r="R2543" s="7">
        <f t="shared" si="314"/>
        <v>447.81000000000006</v>
      </c>
    </row>
    <row r="2544" spans="1:18" ht="21.75" customHeight="1">
      <c r="A2544" t="s">
        <v>2695</v>
      </c>
      <c r="B2544" s="6">
        <v>45631</v>
      </c>
      <c r="C2544" t="s">
        <v>594</v>
      </c>
      <c r="D2544" t="s">
        <v>10</v>
      </c>
      <c r="E2544" t="s">
        <v>11</v>
      </c>
      <c r="F2544" t="s">
        <v>306</v>
      </c>
      <c r="G2544" t="s">
        <v>23</v>
      </c>
      <c r="H2544">
        <v>17</v>
      </c>
      <c r="I2544" t="str">
        <f>VLOOKUP(D2544,Product_Lookup!$A$2:$C$27,3,FALSE)</f>
        <v>$146.06</v>
      </c>
      <c r="J2544" t="str">
        <f t="shared" si="315"/>
        <v>Thursday</v>
      </c>
      <c r="K2544" s="10" t="str">
        <f t="shared" si="316"/>
        <v>December</v>
      </c>
      <c r="L2544">
        <f t="shared" si="317"/>
        <v>2024</v>
      </c>
      <c r="M2544" t="b">
        <f t="shared" si="318"/>
        <v>0</v>
      </c>
      <c r="N2544" t="b">
        <f t="shared" si="312"/>
        <v>1</v>
      </c>
      <c r="O2544" t="str">
        <f t="shared" si="319"/>
        <v>Large Order</v>
      </c>
      <c r="P2544" s="7">
        <f t="shared" si="313"/>
        <v>7.3030000000000008</v>
      </c>
      <c r="Q2544" s="7" t="str">
        <f>VLOOKUP(D2545,Product_Lookup!$A$2:$C$27,2,FALSE)</f>
        <v>T-Shirt</v>
      </c>
      <c r="R2544" s="7">
        <f t="shared" si="314"/>
        <v>2483.02</v>
      </c>
    </row>
    <row r="2545" spans="1:18" ht="21.75" customHeight="1">
      <c r="A2545" t="s">
        <v>2696</v>
      </c>
      <c r="B2545" s="6">
        <v>45557</v>
      </c>
      <c r="C2545" t="s">
        <v>319</v>
      </c>
      <c r="D2545" t="s">
        <v>45</v>
      </c>
      <c r="E2545" t="s">
        <v>17</v>
      </c>
      <c r="F2545" t="s">
        <v>42</v>
      </c>
      <c r="G2545" t="s">
        <v>36</v>
      </c>
      <c r="H2545">
        <v>16</v>
      </c>
      <c r="I2545" t="str">
        <f>VLOOKUP(D2545,Product_Lookup!$A$2:$C$27,3,FALSE)</f>
        <v>$107.34</v>
      </c>
      <c r="J2545" t="str">
        <f t="shared" si="315"/>
        <v>Sunday</v>
      </c>
      <c r="K2545" s="10" t="str">
        <f t="shared" si="316"/>
        <v>September</v>
      </c>
      <c r="L2545">
        <f t="shared" si="317"/>
        <v>2024</v>
      </c>
      <c r="M2545" t="b">
        <f t="shared" si="318"/>
        <v>1</v>
      </c>
      <c r="N2545" t="b">
        <f t="shared" si="312"/>
        <v>1</v>
      </c>
      <c r="O2545" t="str">
        <f t="shared" si="319"/>
        <v>Large Order</v>
      </c>
      <c r="P2545" s="7">
        <f t="shared" si="313"/>
        <v>5.3670000000000009</v>
      </c>
      <c r="Q2545" s="7" t="str">
        <f>VLOOKUP(D2546,Product_Lookup!$A$2:$C$27,2,FALSE)</f>
        <v>Sweater</v>
      </c>
      <c r="R2545" s="7">
        <f t="shared" si="314"/>
        <v>1717.44</v>
      </c>
    </row>
    <row r="2546" spans="1:18" ht="21.75" customHeight="1">
      <c r="A2546" t="s">
        <v>2697</v>
      </c>
      <c r="B2546" s="6">
        <v>45545</v>
      </c>
      <c r="C2546" t="s">
        <v>553</v>
      </c>
      <c r="D2546" t="s">
        <v>26</v>
      </c>
      <c r="E2546" t="s">
        <v>22</v>
      </c>
      <c r="F2546" t="s">
        <v>27</v>
      </c>
      <c r="G2546" t="s">
        <v>36</v>
      </c>
      <c r="H2546">
        <v>2</v>
      </c>
      <c r="I2546" t="str">
        <f>VLOOKUP(D2546,Product_Lookup!$A$2:$C$27,3,FALSE)</f>
        <v>$84.57</v>
      </c>
      <c r="J2546" t="str">
        <f t="shared" si="315"/>
        <v>Tuesday</v>
      </c>
      <c r="K2546" s="10" t="str">
        <f t="shared" si="316"/>
        <v>September</v>
      </c>
      <c r="L2546">
        <f t="shared" si="317"/>
        <v>2024</v>
      </c>
      <c r="M2546" t="b">
        <f t="shared" si="318"/>
        <v>0</v>
      </c>
      <c r="N2546" t="b">
        <f t="shared" si="312"/>
        <v>0</v>
      </c>
      <c r="O2546" t="str">
        <f t="shared" si="319"/>
        <v>Standard order</v>
      </c>
      <c r="P2546" s="7">
        <f t="shared" si="313"/>
        <v>4.2284999999999995</v>
      </c>
      <c r="Q2546" s="7" t="str">
        <f>VLOOKUP(D2547,Product_Lookup!$A$2:$C$27,2,FALSE)</f>
        <v>Jacket</v>
      </c>
      <c r="R2546" s="7">
        <f t="shared" si="314"/>
        <v>169.14</v>
      </c>
    </row>
    <row r="2547" spans="1:18" ht="21.75" customHeight="1">
      <c r="A2547" t="s">
        <v>2698</v>
      </c>
      <c r="B2547" s="6">
        <v>45395</v>
      </c>
      <c r="C2547" t="s">
        <v>430</v>
      </c>
      <c r="D2547" t="s">
        <v>197</v>
      </c>
      <c r="E2547" t="s">
        <v>17</v>
      </c>
      <c r="F2547" t="s">
        <v>56</v>
      </c>
      <c r="G2547" t="s">
        <v>32</v>
      </c>
      <c r="H2547">
        <v>14</v>
      </c>
      <c r="I2547" t="str">
        <f>VLOOKUP(D2547,Product_Lookup!$A$2:$C$27,3,FALSE)</f>
        <v>$10.11</v>
      </c>
      <c r="J2547" t="str">
        <f t="shared" si="315"/>
        <v>Saturday</v>
      </c>
      <c r="K2547" s="10" t="str">
        <f t="shared" si="316"/>
        <v>April</v>
      </c>
      <c r="L2547">
        <f t="shared" si="317"/>
        <v>2024</v>
      </c>
      <c r="M2547" t="b">
        <f t="shared" si="318"/>
        <v>1</v>
      </c>
      <c r="N2547" t="b">
        <f t="shared" si="312"/>
        <v>0</v>
      </c>
      <c r="O2547" t="str">
        <f t="shared" si="319"/>
        <v>Standard order</v>
      </c>
      <c r="P2547" s="7">
        <f t="shared" si="313"/>
        <v>0.50549999999999995</v>
      </c>
      <c r="Q2547" s="7" t="str">
        <f>VLOOKUP(D2548,Product_Lookup!$A$2:$C$27,2,FALSE)</f>
        <v>Toaster</v>
      </c>
      <c r="R2547" s="7">
        <f t="shared" si="314"/>
        <v>141.54</v>
      </c>
    </row>
    <row r="2548" spans="1:18" ht="21.75" customHeight="1">
      <c r="A2548" t="s">
        <v>2699</v>
      </c>
      <c r="B2548" s="6">
        <v>45584</v>
      </c>
      <c r="C2548" t="s">
        <v>111</v>
      </c>
      <c r="D2548" t="s">
        <v>48</v>
      </c>
      <c r="E2548" t="s">
        <v>17</v>
      </c>
      <c r="F2548" t="s">
        <v>306</v>
      </c>
      <c r="G2548" t="s">
        <v>13</v>
      </c>
      <c r="H2548">
        <v>5</v>
      </c>
      <c r="I2548" t="str">
        <f>VLOOKUP(D2548,Product_Lookup!$A$2:$C$27,3,FALSE)</f>
        <v>$208.85</v>
      </c>
      <c r="J2548" t="str">
        <f t="shared" si="315"/>
        <v>Saturday</v>
      </c>
      <c r="K2548" s="10" t="str">
        <f t="shared" si="316"/>
        <v>October</v>
      </c>
      <c r="L2548">
        <f t="shared" si="317"/>
        <v>2024</v>
      </c>
      <c r="M2548" t="b">
        <f t="shared" si="318"/>
        <v>1</v>
      </c>
      <c r="N2548" t="b">
        <f t="shared" si="312"/>
        <v>0</v>
      </c>
      <c r="O2548" t="str">
        <f t="shared" si="319"/>
        <v>Large Order</v>
      </c>
      <c r="P2548" s="7">
        <f t="shared" si="313"/>
        <v>10.442500000000001</v>
      </c>
      <c r="Q2548" s="7" t="str">
        <f>VLOOKUP(D2549,Product_Lookup!$A$2:$C$27,2,FALSE)</f>
        <v>Notebook</v>
      </c>
      <c r="R2548" s="7">
        <f t="shared" si="314"/>
        <v>1044.25</v>
      </c>
    </row>
    <row r="2549" spans="1:18" ht="21.75" customHeight="1">
      <c r="A2549" t="s">
        <v>2700</v>
      </c>
      <c r="B2549" s="6">
        <v>45443</v>
      </c>
      <c r="C2549" t="s">
        <v>396</v>
      </c>
      <c r="D2549" t="s">
        <v>160</v>
      </c>
      <c r="E2549" t="s">
        <v>17</v>
      </c>
      <c r="F2549" t="s">
        <v>56</v>
      </c>
      <c r="G2549" t="s">
        <v>36</v>
      </c>
      <c r="H2549">
        <v>2</v>
      </c>
      <c r="I2549" t="str">
        <f>VLOOKUP(D2549,Product_Lookup!$A$2:$C$27,3,FALSE)</f>
        <v>$149.27</v>
      </c>
      <c r="J2549" t="str">
        <f t="shared" si="315"/>
        <v>Friday</v>
      </c>
      <c r="K2549" s="10" t="str">
        <f t="shared" si="316"/>
        <v>May</v>
      </c>
      <c r="L2549">
        <f t="shared" si="317"/>
        <v>2024</v>
      </c>
      <c r="M2549" t="b">
        <f t="shared" si="318"/>
        <v>0</v>
      </c>
      <c r="N2549" t="b">
        <f t="shared" si="312"/>
        <v>0</v>
      </c>
      <c r="O2549" t="str">
        <f t="shared" si="319"/>
        <v>Standard order</v>
      </c>
      <c r="P2549" s="7">
        <f t="shared" si="313"/>
        <v>7.4635000000000007</v>
      </c>
      <c r="Q2549" s="7" t="str">
        <f>VLOOKUP(D2550,Product_Lookup!$A$2:$C$27,2,FALSE)</f>
        <v>Vacuum</v>
      </c>
      <c r="R2549" s="7">
        <f t="shared" si="314"/>
        <v>298.54000000000002</v>
      </c>
    </row>
    <row r="2550" spans="1:18" ht="21.75" customHeight="1">
      <c r="A2550" t="s">
        <v>2701</v>
      </c>
      <c r="B2550" s="6">
        <v>45610</v>
      </c>
      <c r="C2550" t="s">
        <v>47</v>
      </c>
      <c r="D2550" t="s">
        <v>87</v>
      </c>
      <c r="E2550" t="s">
        <v>17</v>
      </c>
      <c r="F2550" t="s">
        <v>27</v>
      </c>
      <c r="G2550" t="s">
        <v>23</v>
      </c>
      <c r="H2550">
        <v>14</v>
      </c>
      <c r="I2550" t="str">
        <f>VLOOKUP(D2550,Product_Lookup!$A$2:$C$27,3,FALSE)</f>
        <v>$26.59</v>
      </c>
      <c r="J2550" t="str">
        <f t="shared" si="315"/>
        <v>Thursday</v>
      </c>
      <c r="K2550" s="10" t="str">
        <f t="shared" si="316"/>
        <v>November</v>
      </c>
      <c r="L2550">
        <f t="shared" si="317"/>
        <v>2024</v>
      </c>
      <c r="M2550" t="b">
        <f t="shared" si="318"/>
        <v>0</v>
      </c>
      <c r="N2550" t="b">
        <f t="shared" si="312"/>
        <v>0</v>
      </c>
      <c r="O2550" t="str">
        <f t="shared" si="319"/>
        <v>Standard order</v>
      </c>
      <c r="P2550" s="7">
        <f t="shared" si="313"/>
        <v>1.3295000000000001</v>
      </c>
      <c r="Q2550" s="7" t="str">
        <f>VLOOKUP(D2551,Product_Lookup!$A$2:$C$27,2,FALSE)</f>
        <v>Sweater</v>
      </c>
      <c r="R2550" s="7">
        <f t="shared" si="314"/>
        <v>372.26</v>
      </c>
    </row>
    <row r="2551" spans="1:18" ht="21.75" customHeight="1">
      <c r="A2551" t="s">
        <v>2702</v>
      </c>
      <c r="B2551" s="6">
        <v>45546</v>
      </c>
      <c r="C2551" t="s">
        <v>38</v>
      </c>
      <c r="D2551" t="s">
        <v>26</v>
      </c>
      <c r="E2551" t="s">
        <v>17</v>
      </c>
      <c r="F2551" t="s">
        <v>12</v>
      </c>
      <c r="G2551" t="s">
        <v>28</v>
      </c>
      <c r="H2551">
        <v>15</v>
      </c>
      <c r="I2551" t="str">
        <f>VLOOKUP(D2551,Product_Lookup!$A$2:$C$27,3,FALSE)</f>
        <v>$84.57</v>
      </c>
      <c r="J2551" t="str">
        <f t="shared" si="315"/>
        <v>Wednesday</v>
      </c>
      <c r="K2551" s="10" t="str">
        <f t="shared" si="316"/>
        <v>September</v>
      </c>
      <c r="L2551">
        <f t="shared" si="317"/>
        <v>2024</v>
      </c>
      <c r="M2551" t="b">
        <f t="shared" si="318"/>
        <v>0</v>
      </c>
      <c r="N2551" t="b">
        <f t="shared" si="312"/>
        <v>1</v>
      </c>
      <c r="O2551" t="str">
        <f t="shared" si="319"/>
        <v>Large Order</v>
      </c>
      <c r="P2551" s="7">
        <f t="shared" si="313"/>
        <v>4.2284999999999995</v>
      </c>
      <c r="Q2551" s="7" t="str">
        <f>VLOOKUP(D2552,Product_Lookup!$A$2:$C$27,2,FALSE)</f>
        <v>Toaster</v>
      </c>
      <c r="R2551" s="7">
        <f t="shared" si="314"/>
        <v>1268.55</v>
      </c>
    </row>
    <row r="2552" spans="1:18" ht="21.75" customHeight="1">
      <c r="A2552" t="s">
        <v>2703</v>
      </c>
      <c r="B2552" s="6">
        <v>45622</v>
      </c>
      <c r="C2552" t="s">
        <v>208</v>
      </c>
      <c r="D2552" t="s">
        <v>48</v>
      </c>
      <c r="E2552" t="s">
        <v>11</v>
      </c>
      <c r="F2552" t="s">
        <v>42</v>
      </c>
      <c r="G2552" t="s">
        <v>36</v>
      </c>
      <c r="H2552">
        <v>17</v>
      </c>
      <c r="I2552" t="str">
        <f>VLOOKUP(D2552,Product_Lookup!$A$2:$C$27,3,FALSE)</f>
        <v>$208.85</v>
      </c>
      <c r="J2552" t="str">
        <f t="shared" si="315"/>
        <v>Tuesday</v>
      </c>
      <c r="K2552" s="10" t="str">
        <f t="shared" si="316"/>
        <v>November</v>
      </c>
      <c r="L2552">
        <f t="shared" si="317"/>
        <v>2024</v>
      </c>
      <c r="M2552" t="b">
        <f t="shared" si="318"/>
        <v>0</v>
      </c>
      <c r="N2552" t="b">
        <f t="shared" si="312"/>
        <v>1</v>
      </c>
      <c r="O2552" t="str">
        <f t="shared" si="319"/>
        <v>Large Order</v>
      </c>
      <c r="P2552" s="7">
        <f t="shared" si="313"/>
        <v>10.442500000000001</v>
      </c>
      <c r="Q2552" s="7" t="str">
        <f>VLOOKUP(D2553,Product_Lookup!$A$2:$C$27,2,FALSE)</f>
        <v>Sweater</v>
      </c>
      <c r="R2552" s="7">
        <f t="shared" si="314"/>
        <v>3550.45</v>
      </c>
    </row>
    <row r="2553" spans="1:18" ht="21.75" customHeight="1">
      <c r="A2553" t="s">
        <v>2704</v>
      </c>
      <c r="B2553" s="6">
        <v>45332</v>
      </c>
      <c r="C2553" t="s">
        <v>728</v>
      </c>
      <c r="D2553" t="s">
        <v>26</v>
      </c>
      <c r="E2553" t="s">
        <v>11</v>
      </c>
      <c r="F2553" t="s">
        <v>12</v>
      </c>
      <c r="G2553" t="s">
        <v>13</v>
      </c>
      <c r="H2553">
        <v>3</v>
      </c>
      <c r="I2553" t="str">
        <f>VLOOKUP(D2553,Product_Lookup!$A$2:$C$27,3,FALSE)</f>
        <v>$84.57</v>
      </c>
      <c r="J2553" t="str">
        <f t="shared" si="315"/>
        <v>Saturday</v>
      </c>
      <c r="K2553" s="10" t="str">
        <f t="shared" si="316"/>
        <v>February</v>
      </c>
      <c r="L2553">
        <f t="shared" si="317"/>
        <v>2024</v>
      </c>
      <c r="M2553" t="b">
        <f t="shared" si="318"/>
        <v>1</v>
      </c>
      <c r="N2553" t="b">
        <f t="shared" si="312"/>
        <v>0</v>
      </c>
      <c r="O2553" t="str">
        <f t="shared" si="319"/>
        <v>Standard order</v>
      </c>
      <c r="P2553" s="7">
        <f t="shared" si="313"/>
        <v>4.2284999999999995</v>
      </c>
      <c r="Q2553" s="7" t="str">
        <f>VLOOKUP(D2554,Product_Lookup!$A$2:$C$27,2,FALSE)</f>
        <v>Blender</v>
      </c>
      <c r="R2553" s="7">
        <f t="shared" si="314"/>
        <v>253.70999999999998</v>
      </c>
    </row>
    <row r="2554" spans="1:18" ht="21.75" customHeight="1">
      <c r="A2554" t="s">
        <v>2705</v>
      </c>
      <c r="B2554" s="6">
        <v>45571</v>
      </c>
      <c r="C2554" t="s">
        <v>104</v>
      </c>
      <c r="D2554" t="s">
        <v>72</v>
      </c>
      <c r="E2554" t="s">
        <v>11</v>
      </c>
      <c r="F2554" t="s">
        <v>42</v>
      </c>
      <c r="G2554" t="s">
        <v>32</v>
      </c>
      <c r="H2554">
        <v>10</v>
      </c>
      <c r="I2554" t="str">
        <f>VLOOKUP(D2554,Product_Lookup!$A$2:$C$27,3,FALSE)</f>
        <v>$156.44</v>
      </c>
      <c r="J2554" t="str">
        <f t="shared" si="315"/>
        <v>Sunday</v>
      </c>
      <c r="K2554" s="10" t="str">
        <f t="shared" si="316"/>
        <v>October</v>
      </c>
      <c r="L2554">
        <f t="shared" si="317"/>
        <v>2024</v>
      </c>
      <c r="M2554" t="b">
        <f t="shared" si="318"/>
        <v>1</v>
      </c>
      <c r="N2554" t="b">
        <f t="shared" si="312"/>
        <v>1</v>
      </c>
      <c r="O2554" t="str">
        <f t="shared" si="319"/>
        <v>Large Order</v>
      </c>
      <c r="P2554" s="7">
        <f t="shared" si="313"/>
        <v>7.8220000000000001</v>
      </c>
      <c r="Q2554" s="7" t="str">
        <f>VLOOKUP(D2555,Product_Lookup!$A$2:$C$27,2,FALSE)</f>
        <v>Jeans</v>
      </c>
      <c r="R2554" s="7">
        <f t="shared" si="314"/>
        <v>1564.4</v>
      </c>
    </row>
    <row r="2555" spans="1:18" ht="21.75" customHeight="1">
      <c r="A2555" t="s">
        <v>2706</v>
      </c>
      <c r="B2555" s="6">
        <v>45641</v>
      </c>
      <c r="C2555" t="s">
        <v>89</v>
      </c>
      <c r="D2555" t="s">
        <v>65</v>
      </c>
      <c r="E2555" t="s">
        <v>22</v>
      </c>
      <c r="F2555" t="s">
        <v>306</v>
      </c>
      <c r="G2555" t="s">
        <v>28</v>
      </c>
      <c r="H2555">
        <v>18</v>
      </c>
      <c r="I2555" t="str">
        <f>VLOOKUP(D2555,Product_Lookup!$A$2:$C$27,3,FALSE)</f>
        <v>$33.22</v>
      </c>
      <c r="J2555" t="str">
        <f t="shared" si="315"/>
        <v>Sunday</v>
      </c>
      <c r="K2555" s="10" t="str">
        <f t="shared" si="316"/>
        <v>December</v>
      </c>
      <c r="L2555">
        <f t="shared" si="317"/>
        <v>2024</v>
      </c>
      <c r="M2555" t="b">
        <f t="shared" si="318"/>
        <v>1</v>
      </c>
      <c r="N2555" t="b">
        <f t="shared" si="312"/>
        <v>0</v>
      </c>
      <c r="O2555" t="str">
        <f t="shared" si="319"/>
        <v>Large Order</v>
      </c>
      <c r="P2555" s="7">
        <f t="shared" si="313"/>
        <v>1.661</v>
      </c>
      <c r="Q2555" s="7" t="str">
        <f>VLOOKUP(D2556,Product_Lookup!$A$2:$C$27,2,FALSE)</f>
        <v>Socks</v>
      </c>
      <c r="R2555" s="7">
        <f t="shared" si="314"/>
        <v>597.96</v>
      </c>
    </row>
    <row r="2556" spans="1:18" ht="21.75" customHeight="1">
      <c r="A2556" t="s">
        <v>2707</v>
      </c>
      <c r="B2556" s="6">
        <v>45296</v>
      </c>
      <c r="C2556" t="s">
        <v>337</v>
      </c>
      <c r="D2556" t="s">
        <v>74</v>
      </c>
      <c r="E2556" t="s">
        <v>17</v>
      </c>
      <c r="F2556" t="s">
        <v>42</v>
      </c>
      <c r="G2556" t="s">
        <v>23</v>
      </c>
      <c r="H2556">
        <v>13</v>
      </c>
      <c r="I2556" t="str">
        <f>VLOOKUP(D2556,Product_Lookup!$A$2:$C$27,3,FALSE)</f>
        <v>$201.32</v>
      </c>
      <c r="J2556" t="str">
        <f t="shared" si="315"/>
        <v>Friday</v>
      </c>
      <c r="K2556" s="10" t="str">
        <f t="shared" si="316"/>
        <v>January</v>
      </c>
      <c r="L2556">
        <f t="shared" si="317"/>
        <v>2024</v>
      </c>
      <c r="M2556" t="b">
        <f t="shared" si="318"/>
        <v>0</v>
      </c>
      <c r="N2556" t="b">
        <f t="shared" si="312"/>
        <v>1</v>
      </c>
      <c r="O2556" t="str">
        <f t="shared" si="319"/>
        <v>Large Order</v>
      </c>
      <c r="P2556" s="7">
        <f t="shared" si="313"/>
        <v>10.066000000000001</v>
      </c>
      <c r="Q2556" s="7" t="str">
        <f>VLOOKUP(D2557,Product_Lookup!$A$2:$C$27,2,FALSE)</f>
        <v>Stapler</v>
      </c>
      <c r="R2556" s="7">
        <f t="shared" si="314"/>
        <v>2617.16</v>
      </c>
    </row>
    <row r="2557" spans="1:18" ht="21.75" customHeight="1">
      <c r="A2557" t="s">
        <v>2708</v>
      </c>
      <c r="B2557" s="6">
        <v>45627</v>
      </c>
      <c r="C2557" t="s">
        <v>142</v>
      </c>
      <c r="D2557" t="s">
        <v>35</v>
      </c>
      <c r="E2557" t="s">
        <v>22</v>
      </c>
      <c r="F2557" t="s">
        <v>306</v>
      </c>
      <c r="G2557" t="s">
        <v>28</v>
      </c>
      <c r="H2557">
        <v>13</v>
      </c>
      <c r="I2557" t="str">
        <f>VLOOKUP(D2557,Product_Lookup!$A$2:$C$27,3,FALSE)</f>
        <v>$64.61</v>
      </c>
      <c r="J2557" t="str">
        <f t="shared" si="315"/>
        <v>Sunday</v>
      </c>
      <c r="K2557" s="10" t="str">
        <f t="shared" si="316"/>
        <v>December</v>
      </c>
      <c r="L2557">
        <f t="shared" si="317"/>
        <v>2024</v>
      </c>
      <c r="M2557" t="b">
        <f t="shared" si="318"/>
        <v>1</v>
      </c>
      <c r="N2557" t="b">
        <f t="shared" si="312"/>
        <v>1</v>
      </c>
      <c r="O2557" t="str">
        <f t="shared" si="319"/>
        <v>Large Order</v>
      </c>
      <c r="P2557" s="7">
        <f t="shared" si="313"/>
        <v>3.2305000000000001</v>
      </c>
      <c r="Q2557" s="7" t="str">
        <f>VLOOKUP(D2558,Product_Lookup!$A$2:$C$27,2,FALSE)</f>
        <v>Jacket</v>
      </c>
      <c r="R2557" s="7">
        <f t="shared" si="314"/>
        <v>839.93</v>
      </c>
    </row>
    <row r="2558" spans="1:18" ht="21.75" customHeight="1">
      <c r="A2558" t="s">
        <v>2709</v>
      </c>
      <c r="B2558" s="6">
        <v>45399</v>
      </c>
      <c r="C2558" t="s">
        <v>553</v>
      </c>
      <c r="D2558" t="s">
        <v>197</v>
      </c>
      <c r="E2558" t="s">
        <v>22</v>
      </c>
      <c r="F2558" t="s">
        <v>306</v>
      </c>
      <c r="G2558" t="s">
        <v>36</v>
      </c>
      <c r="H2558">
        <v>15</v>
      </c>
      <c r="I2558" t="str">
        <f>VLOOKUP(D2558,Product_Lookup!$A$2:$C$27,3,FALSE)</f>
        <v>$10.11</v>
      </c>
      <c r="J2558" t="str">
        <f t="shared" si="315"/>
        <v>Wednesday</v>
      </c>
      <c r="K2558" s="10" t="str">
        <f t="shared" si="316"/>
        <v>April</v>
      </c>
      <c r="L2558">
        <f t="shared" si="317"/>
        <v>2024</v>
      </c>
      <c r="M2558" t="b">
        <f t="shared" si="318"/>
        <v>0</v>
      </c>
      <c r="N2558" t="b">
        <f t="shared" si="312"/>
        <v>0</v>
      </c>
      <c r="O2558" t="str">
        <f t="shared" si="319"/>
        <v>Standard order</v>
      </c>
      <c r="P2558" s="7">
        <f t="shared" si="313"/>
        <v>0.50549999999999995</v>
      </c>
      <c r="Q2558" s="7" t="str">
        <f>VLOOKUP(D2559,Product_Lookup!$A$2:$C$27,2,FALSE)</f>
        <v>Tablet</v>
      </c>
      <c r="R2558" s="7">
        <f t="shared" si="314"/>
        <v>151.64999999999998</v>
      </c>
    </row>
    <row r="2559" spans="1:18" ht="21.75" customHeight="1">
      <c r="A2559" t="s">
        <v>2710</v>
      </c>
      <c r="B2559" s="6">
        <v>45528</v>
      </c>
      <c r="C2559" t="s">
        <v>47</v>
      </c>
      <c r="D2559" t="s">
        <v>10</v>
      </c>
      <c r="E2559" t="s">
        <v>17</v>
      </c>
      <c r="F2559" t="s">
        <v>56</v>
      </c>
      <c r="G2559" t="s">
        <v>23</v>
      </c>
      <c r="H2559">
        <v>14</v>
      </c>
      <c r="I2559" t="str">
        <f>VLOOKUP(D2559,Product_Lookup!$A$2:$C$27,3,FALSE)</f>
        <v>$146.06</v>
      </c>
      <c r="J2559" t="str">
        <f t="shared" si="315"/>
        <v>Saturday</v>
      </c>
      <c r="K2559" s="10" t="str">
        <f t="shared" si="316"/>
        <v>August</v>
      </c>
      <c r="L2559">
        <f t="shared" si="317"/>
        <v>2024</v>
      </c>
      <c r="M2559" t="b">
        <f t="shared" si="318"/>
        <v>1</v>
      </c>
      <c r="N2559" t="b">
        <f t="shared" si="312"/>
        <v>1</v>
      </c>
      <c r="O2559" t="str">
        <f t="shared" si="319"/>
        <v>Large Order</v>
      </c>
      <c r="P2559" s="7">
        <f t="shared" si="313"/>
        <v>7.3030000000000008</v>
      </c>
      <c r="Q2559" s="7" t="str">
        <f>VLOOKUP(D2560,Product_Lookup!$A$2:$C$27,2,FALSE)</f>
        <v>Laptop</v>
      </c>
      <c r="R2559" s="7">
        <f t="shared" si="314"/>
        <v>2044.8400000000001</v>
      </c>
    </row>
    <row r="2560" spans="1:18" ht="21.75" customHeight="1">
      <c r="A2560" t="s">
        <v>2711</v>
      </c>
      <c r="B2560" s="6">
        <v>45522</v>
      </c>
      <c r="C2560" t="s">
        <v>642</v>
      </c>
      <c r="D2560" t="s">
        <v>96</v>
      </c>
      <c r="E2560" t="s">
        <v>17</v>
      </c>
      <c r="F2560" t="s">
        <v>56</v>
      </c>
      <c r="G2560" t="s">
        <v>36</v>
      </c>
      <c r="H2560">
        <v>5</v>
      </c>
      <c r="I2560" t="str">
        <f>VLOOKUP(D2560,Product_Lookup!$A$2:$C$27,3,FALSE)</f>
        <v>$230.68</v>
      </c>
      <c r="J2560" t="str">
        <f t="shared" si="315"/>
        <v>Sunday</v>
      </c>
      <c r="K2560" s="10" t="str">
        <f t="shared" si="316"/>
        <v>August</v>
      </c>
      <c r="L2560">
        <f t="shared" si="317"/>
        <v>2024</v>
      </c>
      <c r="M2560" t="b">
        <f t="shared" si="318"/>
        <v>1</v>
      </c>
      <c r="N2560" t="b">
        <f t="shared" si="312"/>
        <v>0</v>
      </c>
      <c r="O2560" t="str">
        <f t="shared" si="319"/>
        <v>Large Order</v>
      </c>
      <c r="P2560" s="7">
        <f t="shared" si="313"/>
        <v>11.534000000000001</v>
      </c>
      <c r="Q2560" s="7" t="str">
        <f>VLOOKUP(D2561,Product_Lookup!$A$2:$C$27,2,FALSE)</f>
        <v>Board Game</v>
      </c>
      <c r="R2560" s="7">
        <f t="shared" si="314"/>
        <v>1153.4000000000001</v>
      </c>
    </row>
    <row r="2561" spans="1:18" ht="21.75" customHeight="1">
      <c r="A2561" t="s">
        <v>2712</v>
      </c>
      <c r="B2561" s="6">
        <v>45296</v>
      </c>
      <c r="C2561" t="s">
        <v>432</v>
      </c>
      <c r="D2561" t="s">
        <v>41</v>
      </c>
      <c r="E2561" t="s">
        <v>17</v>
      </c>
      <c r="F2561" t="s">
        <v>42</v>
      </c>
      <c r="G2561" t="s">
        <v>28</v>
      </c>
      <c r="H2561">
        <v>14</v>
      </c>
      <c r="I2561" t="str">
        <f>VLOOKUP(D2561,Product_Lookup!$A$2:$C$27,3,FALSE)</f>
        <v>$86.6</v>
      </c>
      <c r="J2561" t="str">
        <f t="shared" si="315"/>
        <v>Friday</v>
      </c>
      <c r="K2561" s="10" t="str">
        <f t="shared" si="316"/>
        <v>January</v>
      </c>
      <c r="L2561">
        <f t="shared" si="317"/>
        <v>2024</v>
      </c>
      <c r="M2561" t="b">
        <f t="shared" si="318"/>
        <v>0</v>
      </c>
      <c r="N2561" t="b">
        <f t="shared" si="312"/>
        <v>1</v>
      </c>
      <c r="O2561" t="str">
        <f t="shared" si="319"/>
        <v>Large Order</v>
      </c>
      <c r="P2561" s="7">
        <f t="shared" si="313"/>
        <v>4.33</v>
      </c>
      <c r="Q2561" s="7" t="str">
        <f>VLOOKUP(D2562,Product_Lookup!$A$2:$C$27,2,FALSE)</f>
        <v>Doll</v>
      </c>
      <c r="R2561" s="7">
        <f t="shared" si="314"/>
        <v>1212.3999999999999</v>
      </c>
    </row>
    <row r="2562" spans="1:18" ht="21.75" customHeight="1">
      <c r="A2562" t="s">
        <v>2713</v>
      </c>
      <c r="B2562" s="6">
        <v>45498</v>
      </c>
      <c r="C2562" t="s">
        <v>332</v>
      </c>
      <c r="D2562" t="s">
        <v>119</v>
      </c>
      <c r="E2562" t="s">
        <v>22</v>
      </c>
      <c r="F2562" t="s">
        <v>306</v>
      </c>
      <c r="G2562" t="s">
        <v>32</v>
      </c>
      <c r="H2562">
        <v>11</v>
      </c>
      <c r="I2562" t="str">
        <f>VLOOKUP(D2562,Product_Lookup!$A$2:$C$27,3,FALSE)</f>
        <v>$32.94</v>
      </c>
      <c r="J2562" t="str">
        <f t="shared" si="315"/>
        <v>Thursday</v>
      </c>
      <c r="K2562" s="10" t="str">
        <f t="shared" si="316"/>
        <v>July</v>
      </c>
      <c r="L2562">
        <f t="shared" si="317"/>
        <v>2024</v>
      </c>
      <c r="M2562" t="b">
        <f t="shared" si="318"/>
        <v>0</v>
      </c>
      <c r="N2562" t="b">
        <f t="shared" ref="N2562:N2625" si="320">AND(R2562&gt;750, H2562&gt;5)</f>
        <v>0</v>
      </c>
      <c r="O2562" t="str">
        <f t="shared" si="319"/>
        <v>Standard order</v>
      </c>
      <c r="P2562" s="7">
        <f t="shared" ref="P2562:P2625" si="321">I2562*$S$2</f>
        <v>1.647</v>
      </c>
      <c r="Q2562" s="7" t="str">
        <f>VLOOKUP(D2563,Product_Lookup!$A$2:$C$27,2,FALSE)</f>
        <v>Smartphone</v>
      </c>
      <c r="R2562" s="7">
        <f t="shared" ref="R2562:R2625" si="322">H2562*I2562</f>
        <v>362.34</v>
      </c>
    </row>
    <row r="2563" spans="1:18" ht="21.75" customHeight="1">
      <c r="A2563" t="s">
        <v>2714</v>
      </c>
      <c r="B2563" s="6">
        <v>45582</v>
      </c>
      <c r="C2563" t="s">
        <v>728</v>
      </c>
      <c r="D2563" t="s">
        <v>79</v>
      </c>
      <c r="E2563" t="s">
        <v>11</v>
      </c>
      <c r="F2563" t="s">
        <v>56</v>
      </c>
      <c r="G2563" t="s">
        <v>32</v>
      </c>
      <c r="H2563">
        <v>19</v>
      </c>
      <c r="I2563" t="str">
        <f>VLOOKUP(D2563,Product_Lookup!$A$2:$C$27,3,FALSE)</f>
        <v>$216.22</v>
      </c>
      <c r="J2563" t="str">
        <f t="shared" ref="J2563:J2626" si="323">TEXT(B2563, "dddd")</f>
        <v>Thursday</v>
      </c>
      <c r="K2563" s="10" t="str">
        <f t="shared" ref="K2563:K2626" si="324">TEXT(B2563, "mmmm")</f>
        <v>October</v>
      </c>
      <c r="L2563">
        <f t="shared" ref="L2563:L2626" si="325">YEAR(B2563)</f>
        <v>2024</v>
      </c>
      <c r="M2563" t="b">
        <f t="shared" ref="M2563:M2626" si="326">OR(J2563="Saturday", J2563="Sunday")</f>
        <v>0</v>
      </c>
      <c r="N2563" t="b">
        <f t="shared" si="320"/>
        <v>1</v>
      </c>
      <c r="O2563" t="str">
        <f t="shared" ref="O2563:O2626" si="327">IF(R2563&gt;500,"Large Order","Standard order")</f>
        <v>Large Order</v>
      </c>
      <c r="P2563" s="7">
        <f t="shared" si="321"/>
        <v>10.811</v>
      </c>
      <c r="Q2563" s="7" t="str">
        <f>VLOOKUP(D2564,Product_Lookup!$A$2:$C$27,2,FALSE)</f>
        <v>Desk Lamp</v>
      </c>
      <c r="R2563" s="7">
        <f t="shared" si="322"/>
        <v>4108.18</v>
      </c>
    </row>
    <row r="2564" spans="1:18" ht="21.75" customHeight="1">
      <c r="A2564" t="s">
        <v>2715</v>
      </c>
      <c r="B2564" s="6">
        <v>45600</v>
      </c>
      <c r="C2564" t="s">
        <v>493</v>
      </c>
      <c r="D2564" t="s">
        <v>59</v>
      </c>
      <c r="E2564" t="s">
        <v>17</v>
      </c>
      <c r="F2564" t="s">
        <v>27</v>
      </c>
      <c r="G2564" t="s">
        <v>28</v>
      </c>
      <c r="H2564">
        <v>13</v>
      </c>
      <c r="I2564" t="str">
        <f>VLOOKUP(D2564,Product_Lookup!$A$2:$C$27,3,FALSE)</f>
        <v>$101.96</v>
      </c>
      <c r="J2564" t="str">
        <f t="shared" si="323"/>
        <v>Monday</v>
      </c>
      <c r="K2564" s="10" t="str">
        <f t="shared" si="324"/>
        <v>November</v>
      </c>
      <c r="L2564">
        <f t="shared" si="325"/>
        <v>2024</v>
      </c>
      <c r="M2564" t="b">
        <f t="shared" si="326"/>
        <v>0</v>
      </c>
      <c r="N2564" t="b">
        <f t="shared" si="320"/>
        <v>1</v>
      </c>
      <c r="O2564" t="str">
        <f t="shared" si="327"/>
        <v>Large Order</v>
      </c>
      <c r="P2564" s="7">
        <f t="shared" si="321"/>
        <v>5.0979999999999999</v>
      </c>
      <c r="Q2564" s="7" t="str">
        <f>VLOOKUP(D2565,Product_Lookup!$A$2:$C$27,2,FALSE)</f>
        <v>Stapler</v>
      </c>
      <c r="R2564" s="7">
        <f t="shared" si="322"/>
        <v>1325.48</v>
      </c>
    </row>
    <row r="2565" spans="1:18" ht="21.75" customHeight="1">
      <c r="A2565" t="s">
        <v>2716</v>
      </c>
      <c r="B2565" s="6">
        <v>45489</v>
      </c>
      <c r="C2565" t="s">
        <v>150</v>
      </c>
      <c r="D2565" t="s">
        <v>35</v>
      </c>
      <c r="E2565" t="s">
        <v>11</v>
      </c>
      <c r="F2565" t="s">
        <v>42</v>
      </c>
      <c r="G2565" t="s">
        <v>36</v>
      </c>
      <c r="H2565">
        <v>15</v>
      </c>
      <c r="I2565" t="str">
        <f>VLOOKUP(D2565,Product_Lookup!$A$2:$C$27,3,FALSE)</f>
        <v>$64.61</v>
      </c>
      <c r="J2565" t="str">
        <f t="shared" si="323"/>
        <v>Tuesday</v>
      </c>
      <c r="K2565" s="10" t="str">
        <f t="shared" si="324"/>
        <v>July</v>
      </c>
      <c r="L2565">
        <f t="shared" si="325"/>
        <v>2024</v>
      </c>
      <c r="M2565" t="b">
        <f t="shared" si="326"/>
        <v>0</v>
      </c>
      <c r="N2565" t="b">
        <f t="shared" si="320"/>
        <v>1</v>
      </c>
      <c r="O2565" t="str">
        <f t="shared" si="327"/>
        <v>Large Order</v>
      </c>
      <c r="P2565" s="7">
        <f t="shared" si="321"/>
        <v>3.2305000000000001</v>
      </c>
      <c r="Q2565" s="7" t="str">
        <f>VLOOKUP(D2566,Product_Lookup!$A$2:$C$27,2,FALSE)</f>
        <v>T-Shirt</v>
      </c>
      <c r="R2565" s="7">
        <f t="shared" si="322"/>
        <v>969.15</v>
      </c>
    </row>
    <row r="2566" spans="1:18" ht="21.75" customHeight="1">
      <c r="A2566" t="s">
        <v>2717</v>
      </c>
      <c r="B2566" s="6">
        <v>45447</v>
      </c>
      <c r="C2566" t="s">
        <v>203</v>
      </c>
      <c r="D2566" t="s">
        <v>45</v>
      </c>
      <c r="E2566" t="s">
        <v>11</v>
      </c>
      <c r="F2566" t="s">
        <v>306</v>
      </c>
      <c r="G2566" t="s">
        <v>28</v>
      </c>
      <c r="H2566">
        <v>2</v>
      </c>
      <c r="I2566" t="str">
        <f>VLOOKUP(D2566,Product_Lookup!$A$2:$C$27,3,FALSE)</f>
        <v>$107.34</v>
      </c>
      <c r="J2566" t="str">
        <f t="shared" si="323"/>
        <v>Tuesday</v>
      </c>
      <c r="K2566" s="10" t="str">
        <f t="shared" si="324"/>
        <v>June</v>
      </c>
      <c r="L2566">
        <f t="shared" si="325"/>
        <v>2024</v>
      </c>
      <c r="M2566" t="b">
        <f t="shared" si="326"/>
        <v>0</v>
      </c>
      <c r="N2566" t="b">
        <f t="shared" si="320"/>
        <v>0</v>
      </c>
      <c r="O2566" t="str">
        <f t="shared" si="327"/>
        <v>Standard order</v>
      </c>
      <c r="P2566" s="7">
        <f t="shared" si="321"/>
        <v>5.3670000000000009</v>
      </c>
      <c r="Q2566" s="7" t="str">
        <f>VLOOKUP(D2567,Product_Lookup!$A$2:$C$27,2,FALSE)</f>
        <v>Laptop</v>
      </c>
      <c r="R2566" s="7">
        <f t="shared" si="322"/>
        <v>214.68</v>
      </c>
    </row>
    <row r="2567" spans="1:18" ht="21.75" customHeight="1">
      <c r="A2567" t="s">
        <v>2718</v>
      </c>
      <c r="B2567" s="6">
        <v>45600</v>
      </c>
      <c r="C2567" t="s">
        <v>374</v>
      </c>
      <c r="D2567" t="s">
        <v>96</v>
      </c>
      <c r="E2567" t="s">
        <v>11</v>
      </c>
      <c r="F2567" t="s">
        <v>56</v>
      </c>
      <c r="G2567" t="s">
        <v>13</v>
      </c>
      <c r="H2567">
        <v>13</v>
      </c>
      <c r="I2567" t="str">
        <f>VLOOKUP(D2567,Product_Lookup!$A$2:$C$27,3,FALSE)</f>
        <v>$230.68</v>
      </c>
      <c r="J2567" t="str">
        <f t="shared" si="323"/>
        <v>Monday</v>
      </c>
      <c r="K2567" s="10" t="str">
        <f t="shared" si="324"/>
        <v>November</v>
      </c>
      <c r="L2567">
        <f t="shared" si="325"/>
        <v>2024</v>
      </c>
      <c r="M2567" t="b">
        <f t="shared" si="326"/>
        <v>0</v>
      </c>
      <c r="N2567" t="b">
        <f t="shared" si="320"/>
        <v>1</v>
      </c>
      <c r="O2567" t="str">
        <f t="shared" si="327"/>
        <v>Large Order</v>
      </c>
      <c r="P2567" s="7">
        <f t="shared" si="321"/>
        <v>11.534000000000001</v>
      </c>
      <c r="Q2567" s="7" t="str">
        <f>VLOOKUP(D2568,Product_Lookup!$A$2:$C$27,2,FALSE)</f>
        <v>Board Game</v>
      </c>
      <c r="R2567" s="7">
        <f t="shared" si="322"/>
        <v>2998.84</v>
      </c>
    </row>
    <row r="2568" spans="1:18" ht="21.75" customHeight="1">
      <c r="A2568" t="s">
        <v>2719</v>
      </c>
      <c r="B2568" s="6">
        <v>45411</v>
      </c>
      <c r="C2568" t="s">
        <v>61</v>
      </c>
      <c r="D2568" t="s">
        <v>41</v>
      </c>
      <c r="E2568" t="s">
        <v>22</v>
      </c>
      <c r="F2568" t="s">
        <v>12</v>
      </c>
      <c r="G2568" t="s">
        <v>23</v>
      </c>
      <c r="H2568">
        <v>2</v>
      </c>
      <c r="I2568" t="str">
        <f>VLOOKUP(D2568,Product_Lookup!$A$2:$C$27,3,FALSE)</f>
        <v>$86.6</v>
      </c>
      <c r="J2568" t="str">
        <f t="shared" si="323"/>
        <v>Monday</v>
      </c>
      <c r="K2568" s="10" t="str">
        <f t="shared" si="324"/>
        <v>April</v>
      </c>
      <c r="L2568">
        <f t="shared" si="325"/>
        <v>2024</v>
      </c>
      <c r="M2568" t="b">
        <f t="shared" si="326"/>
        <v>0</v>
      </c>
      <c r="N2568" t="b">
        <f t="shared" si="320"/>
        <v>0</v>
      </c>
      <c r="O2568" t="str">
        <f t="shared" si="327"/>
        <v>Standard order</v>
      </c>
      <c r="P2568" s="7">
        <f t="shared" si="321"/>
        <v>4.33</v>
      </c>
      <c r="Q2568" s="7" t="str">
        <f>VLOOKUP(D2569,Product_Lookup!$A$2:$C$27,2,FALSE)</f>
        <v>Blender</v>
      </c>
      <c r="R2568" s="7">
        <f t="shared" si="322"/>
        <v>173.2</v>
      </c>
    </row>
    <row r="2569" spans="1:18" ht="21.75" customHeight="1">
      <c r="A2569" t="s">
        <v>2720</v>
      </c>
      <c r="B2569" s="6">
        <v>45297</v>
      </c>
      <c r="C2569" t="s">
        <v>30</v>
      </c>
      <c r="D2569" t="s">
        <v>72</v>
      </c>
      <c r="E2569" t="s">
        <v>17</v>
      </c>
      <c r="F2569" t="s">
        <v>27</v>
      </c>
      <c r="G2569" t="s">
        <v>28</v>
      </c>
      <c r="H2569">
        <v>4</v>
      </c>
      <c r="I2569" t="str">
        <f>VLOOKUP(D2569,Product_Lookup!$A$2:$C$27,3,FALSE)</f>
        <v>$156.44</v>
      </c>
      <c r="J2569" t="str">
        <f t="shared" si="323"/>
        <v>Saturday</v>
      </c>
      <c r="K2569" s="10" t="str">
        <f t="shared" si="324"/>
        <v>January</v>
      </c>
      <c r="L2569">
        <f t="shared" si="325"/>
        <v>2024</v>
      </c>
      <c r="M2569" t="b">
        <f t="shared" si="326"/>
        <v>1</v>
      </c>
      <c r="N2569" t="b">
        <f t="shared" si="320"/>
        <v>0</v>
      </c>
      <c r="O2569" t="str">
        <f t="shared" si="327"/>
        <v>Large Order</v>
      </c>
      <c r="P2569" s="7">
        <f t="shared" si="321"/>
        <v>7.8220000000000001</v>
      </c>
      <c r="Q2569" s="7" t="str">
        <f>VLOOKUP(D2570,Product_Lookup!$A$2:$C$27,2,FALSE)</f>
        <v>Lego Set</v>
      </c>
      <c r="R2569" s="7">
        <f t="shared" si="322"/>
        <v>625.76</v>
      </c>
    </row>
    <row r="2570" spans="1:18" ht="21.75" customHeight="1">
      <c r="A2570" t="s">
        <v>2721</v>
      </c>
      <c r="B2570" s="6">
        <v>45506</v>
      </c>
      <c r="C2570" t="s">
        <v>517</v>
      </c>
      <c r="D2570" t="s">
        <v>84</v>
      </c>
      <c r="E2570" t="s">
        <v>11</v>
      </c>
      <c r="F2570" t="s">
        <v>27</v>
      </c>
      <c r="G2570" t="s">
        <v>28</v>
      </c>
      <c r="H2570">
        <v>5</v>
      </c>
      <c r="I2570" t="str">
        <f>VLOOKUP(D2570,Product_Lookup!$A$2:$C$27,3,FALSE)</f>
        <v>$130.07</v>
      </c>
      <c r="J2570" t="str">
        <f t="shared" si="323"/>
        <v>Friday</v>
      </c>
      <c r="K2570" s="10" t="str">
        <f t="shared" si="324"/>
        <v>August</v>
      </c>
      <c r="L2570">
        <f t="shared" si="325"/>
        <v>2024</v>
      </c>
      <c r="M2570" t="b">
        <f t="shared" si="326"/>
        <v>0</v>
      </c>
      <c r="N2570" t="b">
        <f t="shared" si="320"/>
        <v>0</v>
      </c>
      <c r="O2570" t="str">
        <f t="shared" si="327"/>
        <v>Large Order</v>
      </c>
      <c r="P2570" s="7">
        <f t="shared" si="321"/>
        <v>6.5034999999999998</v>
      </c>
      <c r="Q2570" s="7" t="str">
        <f>VLOOKUP(D2571,Product_Lookup!$A$2:$C$27,2,FALSE)</f>
        <v>Puzzle</v>
      </c>
      <c r="R2570" s="7">
        <f t="shared" si="322"/>
        <v>650.34999999999991</v>
      </c>
    </row>
    <row r="2571" spans="1:18" ht="21.75" customHeight="1">
      <c r="A2571" t="s">
        <v>2722</v>
      </c>
      <c r="B2571" s="6">
        <v>45450</v>
      </c>
      <c r="C2571" t="s">
        <v>348</v>
      </c>
      <c r="D2571" t="s">
        <v>62</v>
      </c>
      <c r="E2571" t="s">
        <v>22</v>
      </c>
      <c r="F2571" t="s">
        <v>27</v>
      </c>
      <c r="G2571" t="s">
        <v>28</v>
      </c>
      <c r="H2571">
        <v>20</v>
      </c>
      <c r="I2571" t="str">
        <f>VLOOKUP(D2571,Product_Lookup!$A$2:$C$27,3,FALSE)</f>
        <v>$46.19</v>
      </c>
      <c r="J2571" t="str">
        <f t="shared" si="323"/>
        <v>Friday</v>
      </c>
      <c r="K2571" s="10" t="str">
        <f t="shared" si="324"/>
        <v>June</v>
      </c>
      <c r="L2571">
        <f t="shared" si="325"/>
        <v>2024</v>
      </c>
      <c r="M2571" t="b">
        <f t="shared" si="326"/>
        <v>0</v>
      </c>
      <c r="N2571" t="b">
        <f t="shared" si="320"/>
        <v>1</v>
      </c>
      <c r="O2571" t="str">
        <f t="shared" si="327"/>
        <v>Large Order</v>
      </c>
      <c r="P2571" s="7">
        <f t="shared" si="321"/>
        <v>2.3094999999999999</v>
      </c>
      <c r="Q2571" s="7" t="str">
        <f>VLOOKUP(D2572,Product_Lookup!$A$2:$C$27,2,FALSE)</f>
        <v>Jeans</v>
      </c>
      <c r="R2571" s="7">
        <f t="shared" si="322"/>
        <v>923.8</v>
      </c>
    </row>
    <row r="2572" spans="1:18" ht="21.75" customHeight="1">
      <c r="A2572" t="s">
        <v>2723</v>
      </c>
      <c r="B2572" s="6">
        <v>45450</v>
      </c>
      <c r="C2572" t="s">
        <v>449</v>
      </c>
      <c r="D2572" t="s">
        <v>65</v>
      </c>
      <c r="E2572" t="s">
        <v>22</v>
      </c>
      <c r="F2572" t="s">
        <v>27</v>
      </c>
      <c r="G2572" t="s">
        <v>32</v>
      </c>
      <c r="H2572">
        <v>7</v>
      </c>
      <c r="I2572" t="str">
        <f>VLOOKUP(D2572,Product_Lookup!$A$2:$C$27,3,FALSE)</f>
        <v>$33.22</v>
      </c>
      <c r="J2572" t="str">
        <f t="shared" si="323"/>
        <v>Friday</v>
      </c>
      <c r="K2572" s="10" t="str">
        <f t="shared" si="324"/>
        <v>June</v>
      </c>
      <c r="L2572">
        <f t="shared" si="325"/>
        <v>2024</v>
      </c>
      <c r="M2572" t="b">
        <f t="shared" si="326"/>
        <v>0</v>
      </c>
      <c r="N2572" t="b">
        <f t="shared" si="320"/>
        <v>0</v>
      </c>
      <c r="O2572" t="str">
        <f t="shared" si="327"/>
        <v>Standard order</v>
      </c>
      <c r="P2572" s="7">
        <f t="shared" si="321"/>
        <v>1.661</v>
      </c>
      <c r="Q2572" s="7" t="str">
        <f>VLOOKUP(D2573,Product_Lookup!$A$2:$C$27,2,FALSE)</f>
        <v>Tablet</v>
      </c>
      <c r="R2572" s="7">
        <f t="shared" si="322"/>
        <v>232.54</v>
      </c>
    </row>
    <row r="2573" spans="1:18" ht="21.75" customHeight="1">
      <c r="A2573" t="s">
        <v>2724</v>
      </c>
      <c r="B2573" s="6">
        <v>45365</v>
      </c>
      <c r="C2573" t="s">
        <v>430</v>
      </c>
      <c r="D2573" t="s">
        <v>10</v>
      </c>
      <c r="E2573" t="s">
        <v>17</v>
      </c>
      <c r="F2573" t="s">
        <v>306</v>
      </c>
      <c r="G2573" t="s">
        <v>28</v>
      </c>
      <c r="H2573">
        <v>17</v>
      </c>
      <c r="I2573" t="str">
        <f>VLOOKUP(D2573,Product_Lookup!$A$2:$C$27,3,FALSE)</f>
        <v>$146.06</v>
      </c>
      <c r="J2573" t="str">
        <f t="shared" si="323"/>
        <v>Thursday</v>
      </c>
      <c r="K2573" s="10" t="str">
        <f t="shared" si="324"/>
        <v>March</v>
      </c>
      <c r="L2573">
        <f t="shared" si="325"/>
        <v>2024</v>
      </c>
      <c r="M2573" t="b">
        <f t="shared" si="326"/>
        <v>0</v>
      </c>
      <c r="N2573" t="b">
        <f t="shared" si="320"/>
        <v>1</v>
      </c>
      <c r="O2573" t="str">
        <f t="shared" si="327"/>
        <v>Large Order</v>
      </c>
      <c r="P2573" s="7">
        <f t="shared" si="321"/>
        <v>7.3030000000000008</v>
      </c>
      <c r="Q2573" s="7" t="str">
        <f>VLOOKUP(D2574,Product_Lookup!$A$2:$C$27,2,FALSE)</f>
        <v>Air Fryer</v>
      </c>
      <c r="R2573" s="7">
        <f t="shared" si="322"/>
        <v>2483.02</v>
      </c>
    </row>
    <row r="2574" spans="1:18" ht="21.75" customHeight="1">
      <c r="A2574" t="s">
        <v>2725</v>
      </c>
      <c r="B2574" s="6">
        <v>45583</v>
      </c>
      <c r="C2574" t="s">
        <v>374</v>
      </c>
      <c r="D2574" t="s">
        <v>70</v>
      </c>
      <c r="E2574" t="s">
        <v>17</v>
      </c>
      <c r="F2574" t="s">
        <v>306</v>
      </c>
      <c r="G2574" t="s">
        <v>13</v>
      </c>
      <c r="H2574">
        <v>3</v>
      </c>
      <c r="I2574" t="str">
        <f>VLOOKUP(D2574,Product_Lookup!$A$2:$C$27,3,FALSE)</f>
        <v>$211.9</v>
      </c>
      <c r="J2574" t="str">
        <f t="shared" si="323"/>
        <v>Friday</v>
      </c>
      <c r="K2574" s="10" t="str">
        <f t="shared" si="324"/>
        <v>October</v>
      </c>
      <c r="L2574">
        <f t="shared" si="325"/>
        <v>2024</v>
      </c>
      <c r="M2574" t="b">
        <f t="shared" si="326"/>
        <v>0</v>
      </c>
      <c r="N2574" t="b">
        <f t="shared" si="320"/>
        <v>0</v>
      </c>
      <c r="O2574" t="str">
        <f t="shared" si="327"/>
        <v>Large Order</v>
      </c>
      <c r="P2574" s="7">
        <f t="shared" si="321"/>
        <v>10.595000000000001</v>
      </c>
      <c r="Q2574" s="7" t="str">
        <f>VLOOKUP(D2575,Product_Lookup!$A$2:$C$27,2,FALSE)</f>
        <v>Puzzle</v>
      </c>
      <c r="R2574" s="7">
        <f t="shared" si="322"/>
        <v>635.70000000000005</v>
      </c>
    </row>
    <row r="2575" spans="1:18" ht="21.75" customHeight="1">
      <c r="A2575" t="s">
        <v>2726</v>
      </c>
      <c r="B2575" s="6">
        <v>45525</v>
      </c>
      <c r="C2575" t="s">
        <v>20</v>
      </c>
      <c r="D2575" t="s">
        <v>62</v>
      </c>
      <c r="E2575" t="s">
        <v>22</v>
      </c>
      <c r="F2575" t="s">
        <v>42</v>
      </c>
      <c r="G2575" t="s">
        <v>23</v>
      </c>
      <c r="H2575">
        <v>20</v>
      </c>
      <c r="I2575" t="str">
        <f>VLOOKUP(D2575,Product_Lookup!$A$2:$C$27,3,FALSE)</f>
        <v>$46.19</v>
      </c>
      <c r="J2575" t="str">
        <f t="shared" si="323"/>
        <v>Wednesday</v>
      </c>
      <c r="K2575" s="10" t="str">
        <f t="shared" si="324"/>
        <v>August</v>
      </c>
      <c r="L2575">
        <f t="shared" si="325"/>
        <v>2024</v>
      </c>
      <c r="M2575" t="b">
        <f t="shared" si="326"/>
        <v>0</v>
      </c>
      <c r="N2575" t="b">
        <f t="shared" si="320"/>
        <v>1</v>
      </c>
      <c r="O2575" t="str">
        <f t="shared" si="327"/>
        <v>Large Order</v>
      </c>
      <c r="P2575" s="7">
        <f t="shared" si="321"/>
        <v>2.3094999999999999</v>
      </c>
      <c r="Q2575" s="7" t="str">
        <f>VLOOKUP(D2576,Product_Lookup!$A$2:$C$27,2,FALSE)</f>
        <v>Jacket</v>
      </c>
      <c r="R2575" s="7">
        <f t="shared" si="322"/>
        <v>923.8</v>
      </c>
    </row>
    <row r="2576" spans="1:18" ht="21.75" customHeight="1">
      <c r="A2576" t="s">
        <v>2727</v>
      </c>
      <c r="B2576" s="6">
        <v>45381</v>
      </c>
      <c r="C2576" t="s">
        <v>572</v>
      </c>
      <c r="D2576" t="s">
        <v>197</v>
      </c>
      <c r="E2576" t="s">
        <v>11</v>
      </c>
      <c r="F2576" t="s">
        <v>306</v>
      </c>
      <c r="G2576" t="s">
        <v>23</v>
      </c>
      <c r="H2576">
        <v>15</v>
      </c>
      <c r="I2576" t="str">
        <f>VLOOKUP(D2576,Product_Lookup!$A$2:$C$27,3,FALSE)</f>
        <v>$10.11</v>
      </c>
      <c r="J2576" t="str">
        <f t="shared" si="323"/>
        <v>Saturday</v>
      </c>
      <c r="K2576" s="10" t="str">
        <f t="shared" si="324"/>
        <v>March</v>
      </c>
      <c r="L2576">
        <f t="shared" si="325"/>
        <v>2024</v>
      </c>
      <c r="M2576" t="b">
        <f t="shared" si="326"/>
        <v>1</v>
      </c>
      <c r="N2576" t="b">
        <f t="shared" si="320"/>
        <v>0</v>
      </c>
      <c r="O2576" t="str">
        <f t="shared" si="327"/>
        <v>Standard order</v>
      </c>
      <c r="P2576" s="7">
        <f t="shared" si="321"/>
        <v>0.50549999999999995</v>
      </c>
      <c r="Q2576" s="7" t="str">
        <f>VLOOKUP(D2577,Product_Lookup!$A$2:$C$27,2,FALSE)</f>
        <v>Puzzle</v>
      </c>
      <c r="R2576" s="7">
        <f t="shared" si="322"/>
        <v>151.64999999999998</v>
      </c>
    </row>
    <row r="2577" spans="1:18" ht="21.75" customHeight="1">
      <c r="A2577" t="s">
        <v>2728</v>
      </c>
      <c r="B2577" s="6">
        <v>45629</v>
      </c>
      <c r="C2577" t="s">
        <v>44</v>
      </c>
      <c r="D2577" t="s">
        <v>62</v>
      </c>
      <c r="E2577" t="s">
        <v>22</v>
      </c>
      <c r="F2577" t="s">
        <v>12</v>
      </c>
      <c r="G2577" t="s">
        <v>23</v>
      </c>
      <c r="H2577">
        <v>2</v>
      </c>
      <c r="I2577" t="str">
        <f>VLOOKUP(D2577,Product_Lookup!$A$2:$C$27,3,FALSE)</f>
        <v>$46.19</v>
      </c>
      <c r="J2577" t="str">
        <f t="shared" si="323"/>
        <v>Tuesday</v>
      </c>
      <c r="K2577" s="10" t="str">
        <f t="shared" si="324"/>
        <v>December</v>
      </c>
      <c r="L2577">
        <f t="shared" si="325"/>
        <v>2024</v>
      </c>
      <c r="M2577" t="b">
        <f t="shared" si="326"/>
        <v>0</v>
      </c>
      <c r="N2577" t="b">
        <f t="shared" si="320"/>
        <v>0</v>
      </c>
      <c r="O2577" t="str">
        <f t="shared" si="327"/>
        <v>Standard order</v>
      </c>
      <c r="P2577" s="7">
        <f t="shared" si="321"/>
        <v>2.3094999999999999</v>
      </c>
      <c r="Q2577" s="7" t="str">
        <f>VLOOKUP(D2578,Product_Lookup!$A$2:$C$27,2,FALSE)</f>
        <v>Action Figure</v>
      </c>
      <c r="R2577" s="7">
        <f t="shared" si="322"/>
        <v>92.38</v>
      </c>
    </row>
    <row r="2578" spans="1:18" ht="21.75" customHeight="1">
      <c r="A2578" t="s">
        <v>2729</v>
      </c>
      <c r="B2578" s="6">
        <v>45372</v>
      </c>
      <c r="C2578" t="s">
        <v>89</v>
      </c>
      <c r="D2578" t="s">
        <v>21</v>
      </c>
      <c r="E2578" t="s">
        <v>22</v>
      </c>
      <c r="F2578" t="s">
        <v>42</v>
      </c>
      <c r="G2578" t="s">
        <v>13</v>
      </c>
      <c r="H2578">
        <v>7</v>
      </c>
      <c r="I2578" t="str">
        <f>VLOOKUP(D2578,Product_Lookup!$A$2:$C$27,3,FALSE)</f>
        <v>$88.18</v>
      </c>
      <c r="J2578" t="str">
        <f t="shared" si="323"/>
        <v>Thursday</v>
      </c>
      <c r="K2578" s="10" t="str">
        <f t="shared" si="324"/>
        <v>March</v>
      </c>
      <c r="L2578">
        <f t="shared" si="325"/>
        <v>2024</v>
      </c>
      <c r="M2578" t="b">
        <f t="shared" si="326"/>
        <v>0</v>
      </c>
      <c r="N2578" t="b">
        <f t="shared" si="320"/>
        <v>0</v>
      </c>
      <c r="O2578" t="str">
        <f t="shared" si="327"/>
        <v>Large Order</v>
      </c>
      <c r="P2578" s="7">
        <f t="shared" si="321"/>
        <v>4.4090000000000007</v>
      </c>
      <c r="Q2578" s="7" t="str">
        <f>VLOOKUP(D2579,Product_Lookup!$A$2:$C$27,2,FALSE)</f>
        <v>Pen Set</v>
      </c>
      <c r="R2578" s="7">
        <f t="shared" si="322"/>
        <v>617.26</v>
      </c>
    </row>
    <row r="2579" spans="1:18" ht="21.75" customHeight="1">
      <c r="A2579" t="s">
        <v>2730</v>
      </c>
      <c r="B2579" s="6">
        <v>45502</v>
      </c>
      <c r="C2579" t="s">
        <v>332</v>
      </c>
      <c r="D2579" t="s">
        <v>174</v>
      </c>
      <c r="E2579" t="s">
        <v>11</v>
      </c>
      <c r="F2579" t="s">
        <v>42</v>
      </c>
      <c r="G2579" t="s">
        <v>13</v>
      </c>
      <c r="H2579">
        <v>4</v>
      </c>
      <c r="I2579" t="str">
        <f>VLOOKUP(D2579,Product_Lookup!$A$2:$C$27,3,FALSE)</f>
        <v>$133.37</v>
      </c>
      <c r="J2579" t="str">
        <f t="shared" si="323"/>
        <v>Monday</v>
      </c>
      <c r="K2579" s="10" t="str">
        <f t="shared" si="324"/>
        <v>July</v>
      </c>
      <c r="L2579">
        <f t="shared" si="325"/>
        <v>2024</v>
      </c>
      <c r="M2579" t="b">
        <f t="shared" si="326"/>
        <v>0</v>
      </c>
      <c r="N2579" t="b">
        <f t="shared" si="320"/>
        <v>0</v>
      </c>
      <c r="O2579" t="str">
        <f t="shared" si="327"/>
        <v>Large Order</v>
      </c>
      <c r="P2579" s="7">
        <f t="shared" si="321"/>
        <v>6.6685000000000008</v>
      </c>
      <c r="Q2579" s="7" t="str">
        <f>VLOOKUP(D2580,Product_Lookup!$A$2:$C$27,2,FALSE)</f>
        <v>Air Fryer</v>
      </c>
      <c r="R2579" s="7">
        <f t="shared" si="322"/>
        <v>533.48</v>
      </c>
    </row>
    <row r="2580" spans="1:18" ht="21.75" customHeight="1">
      <c r="A2580" t="s">
        <v>2731</v>
      </c>
      <c r="B2580" s="6">
        <v>45458</v>
      </c>
      <c r="C2580" t="s">
        <v>408</v>
      </c>
      <c r="D2580" t="s">
        <v>70</v>
      </c>
      <c r="E2580" t="s">
        <v>11</v>
      </c>
      <c r="F2580" t="s">
        <v>42</v>
      </c>
      <c r="G2580" t="s">
        <v>28</v>
      </c>
      <c r="H2580">
        <v>17</v>
      </c>
      <c r="I2580" t="str">
        <f>VLOOKUP(D2580,Product_Lookup!$A$2:$C$27,3,FALSE)</f>
        <v>$211.9</v>
      </c>
      <c r="J2580" t="str">
        <f t="shared" si="323"/>
        <v>Saturday</v>
      </c>
      <c r="K2580" s="10" t="str">
        <f t="shared" si="324"/>
        <v>June</v>
      </c>
      <c r="L2580">
        <f t="shared" si="325"/>
        <v>2024</v>
      </c>
      <c r="M2580" t="b">
        <f t="shared" si="326"/>
        <v>1</v>
      </c>
      <c r="N2580" t="b">
        <f t="shared" si="320"/>
        <v>1</v>
      </c>
      <c r="O2580" t="str">
        <f t="shared" si="327"/>
        <v>Large Order</v>
      </c>
      <c r="P2580" s="7">
        <f t="shared" si="321"/>
        <v>10.595000000000001</v>
      </c>
      <c r="Q2580" s="7" t="str">
        <f>VLOOKUP(D2581,Product_Lookup!$A$2:$C$27,2,FALSE)</f>
        <v>Action Figure</v>
      </c>
      <c r="R2580" s="7">
        <f t="shared" si="322"/>
        <v>3602.3</v>
      </c>
    </row>
    <row r="2581" spans="1:18" ht="21.75" customHeight="1">
      <c r="A2581" t="s">
        <v>2732</v>
      </c>
      <c r="B2581" s="6">
        <v>45305</v>
      </c>
      <c r="C2581" t="s">
        <v>208</v>
      </c>
      <c r="D2581" t="s">
        <v>21</v>
      </c>
      <c r="E2581" t="s">
        <v>22</v>
      </c>
      <c r="F2581" t="s">
        <v>27</v>
      </c>
      <c r="G2581" t="s">
        <v>23</v>
      </c>
      <c r="H2581">
        <v>11</v>
      </c>
      <c r="I2581" t="str">
        <f>VLOOKUP(D2581,Product_Lookup!$A$2:$C$27,3,FALSE)</f>
        <v>$88.18</v>
      </c>
      <c r="J2581" t="str">
        <f t="shared" si="323"/>
        <v>Sunday</v>
      </c>
      <c r="K2581" s="10" t="str">
        <f t="shared" si="324"/>
        <v>January</v>
      </c>
      <c r="L2581">
        <f t="shared" si="325"/>
        <v>2024</v>
      </c>
      <c r="M2581" t="b">
        <f t="shared" si="326"/>
        <v>1</v>
      </c>
      <c r="N2581" t="b">
        <f t="shared" si="320"/>
        <v>1</v>
      </c>
      <c r="O2581" t="str">
        <f t="shared" si="327"/>
        <v>Large Order</v>
      </c>
      <c r="P2581" s="7">
        <f t="shared" si="321"/>
        <v>4.4090000000000007</v>
      </c>
      <c r="Q2581" s="7" t="str">
        <f>VLOOKUP(D2582,Product_Lookup!$A$2:$C$27,2,FALSE)</f>
        <v>Smartphone</v>
      </c>
      <c r="R2581" s="7">
        <f t="shared" si="322"/>
        <v>969.98</v>
      </c>
    </row>
    <row r="2582" spans="1:18" ht="21.75" customHeight="1">
      <c r="A2582" t="s">
        <v>2733</v>
      </c>
      <c r="B2582" s="6">
        <v>45391</v>
      </c>
      <c r="C2582" t="s">
        <v>106</v>
      </c>
      <c r="D2582" t="s">
        <v>79</v>
      </c>
      <c r="E2582" t="s">
        <v>11</v>
      </c>
      <c r="F2582" t="s">
        <v>42</v>
      </c>
      <c r="G2582" t="s">
        <v>13</v>
      </c>
      <c r="H2582">
        <v>5</v>
      </c>
      <c r="I2582" t="str">
        <f>VLOOKUP(D2582,Product_Lookup!$A$2:$C$27,3,FALSE)</f>
        <v>$216.22</v>
      </c>
      <c r="J2582" t="str">
        <f t="shared" si="323"/>
        <v>Tuesday</v>
      </c>
      <c r="K2582" s="10" t="str">
        <f t="shared" si="324"/>
        <v>April</v>
      </c>
      <c r="L2582">
        <f t="shared" si="325"/>
        <v>2024</v>
      </c>
      <c r="M2582" t="b">
        <f t="shared" si="326"/>
        <v>0</v>
      </c>
      <c r="N2582" t="b">
        <f t="shared" si="320"/>
        <v>0</v>
      </c>
      <c r="O2582" t="str">
        <f t="shared" si="327"/>
        <v>Large Order</v>
      </c>
      <c r="P2582" s="7">
        <f t="shared" si="321"/>
        <v>10.811</v>
      </c>
      <c r="Q2582" s="7" t="str">
        <f>VLOOKUP(D2583,Product_Lookup!$A$2:$C$27,2,FALSE)</f>
        <v>Air Fryer</v>
      </c>
      <c r="R2582" s="7">
        <f t="shared" si="322"/>
        <v>1081.0999999999999</v>
      </c>
    </row>
    <row r="2583" spans="1:18" ht="21.75" customHeight="1">
      <c r="A2583" t="s">
        <v>2734</v>
      </c>
      <c r="B2583" s="6">
        <v>45529</v>
      </c>
      <c r="C2583" t="s">
        <v>374</v>
      </c>
      <c r="D2583" t="s">
        <v>70</v>
      </c>
      <c r="E2583" t="s">
        <v>11</v>
      </c>
      <c r="F2583" t="s">
        <v>12</v>
      </c>
      <c r="G2583" t="s">
        <v>36</v>
      </c>
      <c r="H2583">
        <v>8</v>
      </c>
      <c r="I2583" t="str">
        <f>VLOOKUP(D2583,Product_Lookup!$A$2:$C$27,3,FALSE)</f>
        <v>$211.9</v>
      </c>
      <c r="J2583" t="str">
        <f t="shared" si="323"/>
        <v>Sunday</v>
      </c>
      <c r="K2583" s="10" t="str">
        <f t="shared" si="324"/>
        <v>August</v>
      </c>
      <c r="L2583">
        <f t="shared" si="325"/>
        <v>2024</v>
      </c>
      <c r="M2583" t="b">
        <f t="shared" si="326"/>
        <v>1</v>
      </c>
      <c r="N2583" t="b">
        <f t="shared" si="320"/>
        <v>1</v>
      </c>
      <c r="O2583" t="str">
        <f t="shared" si="327"/>
        <v>Large Order</v>
      </c>
      <c r="P2583" s="7">
        <f t="shared" si="321"/>
        <v>10.595000000000001</v>
      </c>
      <c r="Q2583" s="7" t="str">
        <f>VLOOKUP(D2584,Product_Lookup!$A$2:$C$27,2,FALSE)</f>
        <v>Stapler</v>
      </c>
      <c r="R2583" s="7">
        <f t="shared" si="322"/>
        <v>1695.2</v>
      </c>
    </row>
    <row r="2584" spans="1:18" ht="21.75" customHeight="1">
      <c r="A2584" t="s">
        <v>2735</v>
      </c>
      <c r="B2584" s="6">
        <v>45516</v>
      </c>
      <c r="C2584" t="s">
        <v>99</v>
      </c>
      <c r="D2584" t="s">
        <v>35</v>
      </c>
      <c r="E2584" t="s">
        <v>17</v>
      </c>
      <c r="F2584" t="s">
        <v>56</v>
      </c>
      <c r="G2584" t="s">
        <v>28</v>
      </c>
      <c r="H2584">
        <v>1</v>
      </c>
      <c r="I2584" t="str">
        <f>VLOOKUP(D2584,Product_Lookup!$A$2:$C$27,3,FALSE)</f>
        <v>$64.61</v>
      </c>
      <c r="J2584" t="str">
        <f t="shared" si="323"/>
        <v>Monday</v>
      </c>
      <c r="K2584" s="10" t="str">
        <f t="shared" si="324"/>
        <v>August</v>
      </c>
      <c r="L2584">
        <f t="shared" si="325"/>
        <v>2024</v>
      </c>
      <c r="M2584" t="b">
        <f t="shared" si="326"/>
        <v>0</v>
      </c>
      <c r="N2584" t="b">
        <f t="shared" si="320"/>
        <v>0</v>
      </c>
      <c r="O2584" t="str">
        <f t="shared" si="327"/>
        <v>Standard order</v>
      </c>
      <c r="P2584" s="7">
        <f t="shared" si="321"/>
        <v>3.2305000000000001</v>
      </c>
      <c r="Q2584" s="7" t="str">
        <f>VLOOKUP(D2585,Product_Lookup!$A$2:$C$27,2,FALSE)</f>
        <v>Monitor</v>
      </c>
      <c r="R2584" s="7">
        <f t="shared" si="322"/>
        <v>64.61</v>
      </c>
    </row>
    <row r="2585" spans="1:18" ht="21.75" customHeight="1">
      <c r="A2585" t="s">
        <v>2736</v>
      </c>
      <c r="B2585" s="6">
        <v>45382</v>
      </c>
      <c r="C2585" t="s">
        <v>61</v>
      </c>
      <c r="D2585" t="s">
        <v>102</v>
      </c>
      <c r="E2585" t="s">
        <v>22</v>
      </c>
      <c r="F2585" t="s">
        <v>27</v>
      </c>
      <c r="G2585" t="s">
        <v>28</v>
      </c>
      <c r="H2585">
        <v>3</v>
      </c>
      <c r="I2585" t="str">
        <f>VLOOKUP(D2585,Product_Lookup!$A$2:$C$27,3,FALSE)</f>
        <v>$145.48</v>
      </c>
      <c r="J2585" t="str">
        <f t="shared" si="323"/>
        <v>Sunday</v>
      </c>
      <c r="K2585" s="10" t="str">
        <f t="shared" si="324"/>
        <v>March</v>
      </c>
      <c r="L2585">
        <f t="shared" si="325"/>
        <v>2024</v>
      </c>
      <c r="M2585" t="b">
        <f t="shared" si="326"/>
        <v>1</v>
      </c>
      <c r="N2585" t="b">
        <f t="shared" si="320"/>
        <v>0</v>
      </c>
      <c r="O2585" t="str">
        <f t="shared" si="327"/>
        <v>Standard order</v>
      </c>
      <c r="P2585" s="7">
        <f t="shared" si="321"/>
        <v>7.274</v>
      </c>
      <c r="Q2585" s="7" t="str">
        <f>VLOOKUP(D2586,Product_Lookup!$A$2:$C$27,2,FALSE)</f>
        <v>Sweater</v>
      </c>
      <c r="R2585" s="7">
        <f t="shared" si="322"/>
        <v>436.43999999999994</v>
      </c>
    </row>
    <row r="2586" spans="1:18" ht="21.75" customHeight="1">
      <c r="A2586" t="s">
        <v>2737</v>
      </c>
      <c r="B2586" s="6">
        <v>45297</v>
      </c>
      <c r="C2586" t="s">
        <v>422</v>
      </c>
      <c r="D2586" t="s">
        <v>26</v>
      </c>
      <c r="E2586" t="s">
        <v>11</v>
      </c>
      <c r="F2586" t="s">
        <v>27</v>
      </c>
      <c r="G2586" t="s">
        <v>32</v>
      </c>
      <c r="H2586">
        <v>6</v>
      </c>
      <c r="I2586" t="str">
        <f>VLOOKUP(D2586,Product_Lookup!$A$2:$C$27,3,FALSE)</f>
        <v>$84.57</v>
      </c>
      <c r="J2586" t="str">
        <f t="shared" si="323"/>
        <v>Saturday</v>
      </c>
      <c r="K2586" s="10" t="str">
        <f t="shared" si="324"/>
        <v>January</v>
      </c>
      <c r="L2586">
        <f t="shared" si="325"/>
        <v>2024</v>
      </c>
      <c r="M2586" t="b">
        <f t="shared" si="326"/>
        <v>1</v>
      </c>
      <c r="N2586" t="b">
        <f t="shared" si="320"/>
        <v>0</v>
      </c>
      <c r="O2586" t="str">
        <f t="shared" si="327"/>
        <v>Large Order</v>
      </c>
      <c r="P2586" s="7">
        <f t="shared" si="321"/>
        <v>4.2284999999999995</v>
      </c>
      <c r="Q2586" s="7" t="str">
        <f>VLOOKUP(D2587,Product_Lookup!$A$2:$C$27,2,FALSE)</f>
        <v>Pen Set</v>
      </c>
      <c r="R2586" s="7">
        <f t="shared" si="322"/>
        <v>507.41999999999996</v>
      </c>
    </row>
    <row r="2587" spans="1:18" ht="21.75" customHeight="1">
      <c r="A2587" t="s">
        <v>2738</v>
      </c>
      <c r="B2587" s="6">
        <v>45309</v>
      </c>
      <c r="C2587" t="s">
        <v>422</v>
      </c>
      <c r="D2587" t="s">
        <v>174</v>
      </c>
      <c r="E2587" t="s">
        <v>11</v>
      </c>
      <c r="F2587" t="s">
        <v>27</v>
      </c>
      <c r="G2587" t="s">
        <v>13</v>
      </c>
      <c r="H2587">
        <v>17</v>
      </c>
      <c r="I2587" t="str">
        <f>VLOOKUP(D2587,Product_Lookup!$A$2:$C$27,3,FALSE)</f>
        <v>$133.37</v>
      </c>
      <c r="J2587" t="str">
        <f t="shared" si="323"/>
        <v>Thursday</v>
      </c>
      <c r="K2587" s="10" t="str">
        <f t="shared" si="324"/>
        <v>January</v>
      </c>
      <c r="L2587">
        <f t="shared" si="325"/>
        <v>2024</v>
      </c>
      <c r="M2587" t="b">
        <f t="shared" si="326"/>
        <v>0</v>
      </c>
      <c r="N2587" t="b">
        <f t="shared" si="320"/>
        <v>1</v>
      </c>
      <c r="O2587" t="str">
        <f t="shared" si="327"/>
        <v>Large Order</v>
      </c>
      <c r="P2587" s="7">
        <f t="shared" si="321"/>
        <v>6.6685000000000008</v>
      </c>
      <c r="Q2587" s="7" t="str">
        <f>VLOOKUP(D2588,Product_Lookup!$A$2:$C$27,2,FALSE)</f>
        <v>Coffee Maker</v>
      </c>
      <c r="R2587" s="7">
        <f t="shared" si="322"/>
        <v>2267.29</v>
      </c>
    </row>
    <row r="2588" spans="1:18" ht="21.75" customHeight="1">
      <c r="A2588" t="s">
        <v>2739</v>
      </c>
      <c r="B2588" s="6">
        <v>45629</v>
      </c>
      <c r="C2588" t="s">
        <v>15</v>
      </c>
      <c r="D2588" t="s">
        <v>31</v>
      </c>
      <c r="E2588" t="s">
        <v>22</v>
      </c>
      <c r="F2588" t="s">
        <v>42</v>
      </c>
      <c r="G2588" t="s">
        <v>23</v>
      </c>
      <c r="H2588">
        <v>2</v>
      </c>
      <c r="I2588" t="str">
        <f>VLOOKUP(D2588,Product_Lookup!$A$2:$C$27,3,FALSE)</f>
        <v>$230.34</v>
      </c>
      <c r="J2588" t="str">
        <f t="shared" si="323"/>
        <v>Tuesday</v>
      </c>
      <c r="K2588" s="10" t="str">
        <f t="shared" si="324"/>
        <v>December</v>
      </c>
      <c r="L2588">
        <f t="shared" si="325"/>
        <v>2024</v>
      </c>
      <c r="M2588" t="b">
        <f t="shared" si="326"/>
        <v>0</v>
      </c>
      <c r="N2588" t="b">
        <f t="shared" si="320"/>
        <v>0</v>
      </c>
      <c r="O2588" t="str">
        <f t="shared" si="327"/>
        <v>Standard order</v>
      </c>
      <c r="P2588" s="7">
        <f t="shared" si="321"/>
        <v>11.517000000000001</v>
      </c>
      <c r="Q2588" s="7" t="str">
        <f>VLOOKUP(D2589,Product_Lookup!$A$2:$C$27,2,FALSE)</f>
        <v>Coffee Maker</v>
      </c>
      <c r="R2588" s="7">
        <f t="shared" si="322"/>
        <v>460.68</v>
      </c>
    </row>
    <row r="2589" spans="1:18" ht="21.75" customHeight="1">
      <c r="A2589" t="s">
        <v>2740</v>
      </c>
      <c r="B2589" s="6">
        <v>45316</v>
      </c>
      <c r="C2589" t="s">
        <v>337</v>
      </c>
      <c r="D2589" t="s">
        <v>31</v>
      </c>
      <c r="E2589" t="s">
        <v>11</v>
      </c>
      <c r="F2589" t="s">
        <v>56</v>
      </c>
      <c r="G2589" t="s">
        <v>32</v>
      </c>
      <c r="H2589">
        <v>8</v>
      </c>
      <c r="I2589" t="str">
        <f>VLOOKUP(D2589,Product_Lookup!$A$2:$C$27,3,FALSE)</f>
        <v>$230.34</v>
      </c>
      <c r="J2589" t="str">
        <f t="shared" si="323"/>
        <v>Thursday</v>
      </c>
      <c r="K2589" s="10" t="str">
        <f t="shared" si="324"/>
        <v>January</v>
      </c>
      <c r="L2589">
        <f t="shared" si="325"/>
        <v>2024</v>
      </c>
      <c r="M2589" t="b">
        <f t="shared" si="326"/>
        <v>0</v>
      </c>
      <c r="N2589" t="b">
        <f t="shared" si="320"/>
        <v>1</v>
      </c>
      <c r="O2589" t="str">
        <f t="shared" si="327"/>
        <v>Large Order</v>
      </c>
      <c r="P2589" s="7">
        <f t="shared" si="321"/>
        <v>11.517000000000001</v>
      </c>
      <c r="Q2589" s="7" t="str">
        <f>VLOOKUP(D2590,Product_Lookup!$A$2:$C$27,2,FALSE)</f>
        <v>Laptop</v>
      </c>
      <c r="R2589" s="7">
        <f t="shared" si="322"/>
        <v>1842.72</v>
      </c>
    </row>
    <row r="2590" spans="1:18" ht="21.75" customHeight="1">
      <c r="A2590" t="s">
        <v>2741</v>
      </c>
      <c r="B2590" s="6">
        <v>45300</v>
      </c>
      <c r="C2590" t="s">
        <v>572</v>
      </c>
      <c r="D2590" t="s">
        <v>96</v>
      </c>
      <c r="E2590" t="s">
        <v>11</v>
      </c>
      <c r="F2590" t="s">
        <v>42</v>
      </c>
      <c r="G2590" t="s">
        <v>28</v>
      </c>
      <c r="H2590">
        <v>3</v>
      </c>
      <c r="I2590" t="str">
        <f>VLOOKUP(D2590,Product_Lookup!$A$2:$C$27,3,FALSE)</f>
        <v>$230.68</v>
      </c>
      <c r="J2590" t="str">
        <f t="shared" si="323"/>
        <v>Tuesday</v>
      </c>
      <c r="K2590" s="10" t="str">
        <f t="shared" si="324"/>
        <v>January</v>
      </c>
      <c r="L2590">
        <f t="shared" si="325"/>
        <v>2024</v>
      </c>
      <c r="M2590" t="b">
        <f t="shared" si="326"/>
        <v>0</v>
      </c>
      <c r="N2590" t="b">
        <f t="shared" si="320"/>
        <v>0</v>
      </c>
      <c r="O2590" t="str">
        <f t="shared" si="327"/>
        <v>Large Order</v>
      </c>
      <c r="P2590" s="7">
        <f t="shared" si="321"/>
        <v>11.534000000000001</v>
      </c>
      <c r="Q2590" s="7" t="str">
        <f>VLOOKUP(D2591,Product_Lookup!$A$2:$C$27,2,FALSE)</f>
        <v>T-Shirt</v>
      </c>
      <c r="R2590" s="7">
        <f t="shared" si="322"/>
        <v>692.04</v>
      </c>
    </row>
    <row r="2591" spans="1:18" ht="21.75" customHeight="1">
      <c r="A2591" t="s">
        <v>2742</v>
      </c>
      <c r="B2591" s="6">
        <v>45341</v>
      </c>
      <c r="C2591" t="s">
        <v>317</v>
      </c>
      <c r="D2591" t="s">
        <v>45</v>
      </c>
      <c r="E2591" t="s">
        <v>22</v>
      </c>
      <c r="F2591" t="s">
        <v>56</v>
      </c>
      <c r="G2591" t="s">
        <v>13</v>
      </c>
      <c r="H2591">
        <v>14</v>
      </c>
      <c r="I2591" t="str">
        <f>VLOOKUP(D2591,Product_Lookup!$A$2:$C$27,3,FALSE)</f>
        <v>$107.34</v>
      </c>
      <c r="J2591" t="str">
        <f t="shared" si="323"/>
        <v>Monday</v>
      </c>
      <c r="K2591" s="10" t="str">
        <f t="shared" si="324"/>
        <v>February</v>
      </c>
      <c r="L2591">
        <f t="shared" si="325"/>
        <v>2024</v>
      </c>
      <c r="M2591" t="b">
        <f t="shared" si="326"/>
        <v>0</v>
      </c>
      <c r="N2591" t="b">
        <f t="shared" si="320"/>
        <v>1</v>
      </c>
      <c r="O2591" t="str">
        <f t="shared" si="327"/>
        <v>Large Order</v>
      </c>
      <c r="P2591" s="7">
        <f t="shared" si="321"/>
        <v>5.3670000000000009</v>
      </c>
      <c r="Q2591" s="7" t="str">
        <f>VLOOKUP(D2592,Product_Lookup!$A$2:$C$27,2,FALSE)</f>
        <v>Pen Set</v>
      </c>
      <c r="R2591" s="7">
        <f t="shared" si="322"/>
        <v>1502.76</v>
      </c>
    </row>
    <row r="2592" spans="1:18" ht="21.75" customHeight="1">
      <c r="A2592" t="s">
        <v>2743</v>
      </c>
      <c r="B2592" s="6">
        <v>45459</v>
      </c>
      <c r="C2592" t="s">
        <v>187</v>
      </c>
      <c r="D2592" t="s">
        <v>174</v>
      </c>
      <c r="E2592" t="s">
        <v>22</v>
      </c>
      <c r="F2592" t="s">
        <v>56</v>
      </c>
      <c r="G2592" t="s">
        <v>36</v>
      </c>
      <c r="H2592">
        <v>7</v>
      </c>
      <c r="I2592" t="str">
        <f>VLOOKUP(D2592,Product_Lookup!$A$2:$C$27,3,FALSE)</f>
        <v>$133.37</v>
      </c>
      <c r="J2592" t="str">
        <f t="shared" si="323"/>
        <v>Sunday</v>
      </c>
      <c r="K2592" s="10" t="str">
        <f t="shared" si="324"/>
        <v>June</v>
      </c>
      <c r="L2592">
        <f t="shared" si="325"/>
        <v>2024</v>
      </c>
      <c r="M2592" t="b">
        <f t="shared" si="326"/>
        <v>1</v>
      </c>
      <c r="N2592" t="b">
        <f t="shared" si="320"/>
        <v>1</v>
      </c>
      <c r="O2592" t="str">
        <f t="shared" si="327"/>
        <v>Large Order</v>
      </c>
      <c r="P2592" s="7">
        <f t="shared" si="321"/>
        <v>6.6685000000000008</v>
      </c>
      <c r="Q2592" s="7" t="str">
        <f>VLOOKUP(D2593,Product_Lookup!$A$2:$C$27,2,FALSE)</f>
        <v>Monitor</v>
      </c>
      <c r="R2592" s="7">
        <f t="shared" si="322"/>
        <v>933.59</v>
      </c>
    </row>
    <row r="2593" spans="1:18" ht="21.75" customHeight="1">
      <c r="A2593" t="s">
        <v>2744</v>
      </c>
      <c r="B2593" s="6">
        <v>45494</v>
      </c>
      <c r="C2593" t="s">
        <v>309</v>
      </c>
      <c r="D2593" t="s">
        <v>102</v>
      </c>
      <c r="E2593" t="s">
        <v>11</v>
      </c>
      <c r="F2593" t="s">
        <v>56</v>
      </c>
      <c r="G2593" t="s">
        <v>13</v>
      </c>
      <c r="H2593">
        <v>12</v>
      </c>
      <c r="I2593" t="str">
        <f>VLOOKUP(D2593,Product_Lookup!$A$2:$C$27,3,FALSE)</f>
        <v>$145.48</v>
      </c>
      <c r="J2593" t="str">
        <f t="shared" si="323"/>
        <v>Sunday</v>
      </c>
      <c r="K2593" s="10" t="str">
        <f t="shared" si="324"/>
        <v>July</v>
      </c>
      <c r="L2593">
        <f t="shared" si="325"/>
        <v>2024</v>
      </c>
      <c r="M2593" t="b">
        <f t="shared" si="326"/>
        <v>1</v>
      </c>
      <c r="N2593" t="b">
        <f t="shared" si="320"/>
        <v>1</v>
      </c>
      <c r="O2593" t="str">
        <f t="shared" si="327"/>
        <v>Large Order</v>
      </c>
      <c r="P2593" s="7">
        <f t="shared" si="321"/>
        <v>7.274</v>
      </c>
      <c r="Q2593" s="7" t="str">
        <f>VLOOKUP(D2594,Product_Lookup!$A$2:$C$27,2,FALSE)</f>
        <v>Action Figure</v>
      </c>
      <c r="R2593" s="7">
        <f t="shared" si="322"/>
        <v>1745.7599999999998</v>
      </c>
    </row>
    <row r="2594" spans="1:18" ht="21.75" customHeight="1">
      <c r="A2594" t="s">
        <v>2745</v>
      </c>
      <c r="B2594" s="6">
        <v>45299</v>
      </c>
      <c r="C2594" t="s">
        <v>341</v>
      </c>
      <c r="D2594" t="s">
        <v>21</v>
      </c>
      <c r="E2594" t="s">
        <v>17</v>
      </c>
      <c r="F2594" t="s">
        <v>12</v>
      </c>
      <c r="G2594" t="s">
        <v>23</v>
      </c>
      <c r="H2594">
        <v>7</v>
      </c>
      <c r="I2594" t="str">
        <f>VLOOKUP(D2594,Product_Lookup!$A$2:$C$27,3,FALSE)</f>
        <v>$88.18</v>
      </c>
      <c r="J2594" t="str">
        <f t="shared" si="323"/>
        <v>Monday</v>
      </c>
      <c r="K2594" s="10" t="str">
        <f t="shared" si="324"/>
        <v>January</v>
      </c>
      <c r="L2594">
        <f t="shared" si="325"/>
        <v>2024</v>
      </c>
      <c r="M2594" t="b">
        <f t="shared" si="326"/>
        <v>0</v>
      </c>
      <c r="N2594" t="b">
        <f t="shared" si="320"/>
        <v>0</v>
      </c>
      <c r="O2594" t="str">
        <f t="shared" si="327"/>
        <v>Large Order</v>
      </c>
      <c r="P2594" s="7">
        <f t="shared" si="321"/>
        <v>4.4090000000000007</v>
      </c>
      <c r="Q2594" s="7" t="str">
        <f>VLOOKUP(D2595,Product_Lookup!$A$2:$C$27,2,FALSE)</f>
        <v>Sweater</v>
      </c>
      <c r="R2594" s="7">
        <f t="shared" si="322"/>
        <v>617.26</v>
      </c>
    </row>
    <row r="2595" spans="1:18" ht="21.75" customHeight="1">
      <c r="A2595" t="s">
        <v>2746</v>
      </c>
      <c r="B2595" s="6">
        <v>45325</v>
      </c>
      <c r="C2595" t="s">
        <v>371</v>
      </c>
      <c r="D2595" t="s">
        <v>26</v>
      </c>
      <c r="E2595" t="s">
        <v>22</v>
      </c>
      <c r="F2595" t="s">
        <v>306</v>
      </c>
      <c r="G2595" t="s">
        <v>32</v>
      </c>
      <c r="H2595">
        <v>2</v>
      </c>
      <c r="I2595" t="str">
        <f>VLOOKUP(D2595,Product_Lookup!$A$2:$C$27,3,FALSE)</f>
        <v>$84.57</v>
      </c>
      <c r="J2595" t="str">
        <f t="shared" si="323"/>
        <v>Saturday</v>
      </c>
      <c r="K2595" s="10" t="str">
        <f t="shared" si="324"/>
        <v>February</v>
      </c>
      <c r="L2595">
        <f t="shared" si="325"/>
        <v>2024</v>
      </c>
      <c r="M2595" t="b">
        <f t="shared" si="326"/>
        <v>1</v>
      </c>
      <c r="N2595" t="b">
        <f t="shared" si="320"/>
        <v>0</v>
      </c>
      <c r="O2595" t="str">
        <f t="shared" si="327"/>
        <v>Standard order</v>
      </c>
      <c r="P2595" s="7">
        <f t="shared" si="321"/>
        <v>4.2284999999999995</v>
      </c>
      <c r="Q2595" s="7" t="str">
        <f>VLOOKUP(D2596,Product_Lookup!$A$2:$C$27,2,FALSE)</f>
        <v>Socks</v>
      </c>
      <c r="R2595" s="7">
        <f t="shared" si="322"/>
        <v>169.14</v>
      </c>
    </row>
    <row r="2596" spans="1:18" ht="21.75" customHeight="1">
      <c r="A2596" t="s">
        <v>2747</v>
      </c>
      <c r="B2596" s="6">
        <v>45403</v>
      </c>
      <c r="C2596" t="s">
        <v>408</v>
      </c>
      <c r="D2596" t="s">
        <v>74</v>
      </c>
      <c r="E2596" t="s">
        <v>22</v>
      </c>
      <c r="F2596" t="s">
        <v>27</v>
      </c>
      <c r="G2596" t="s">
        <v>13</v>
      </c>
      <c r="H2596">
        <v>18</v>
      </c>
      <c r="I2596" t="str">
        <f>VLOOKUP(D2596,Product_Lookup!$A$2:$C$27,3,FALSE)</f>
        <v>$201.32</v>
      </c>
      <c r="J2596" t="str">
        <f t="shared" si="323"/>
        <v>Sunday</v>
      </c>
      <c r="K2596" s="10" t="str">
        <f t="shared" si="324"/>
        <v>April</v>
      </c>
      <c r="L2596">
        <f t="shared" si="325"/>
        <v>2024</v>
      </c>
      <c r="M2596" t="b">
        <f t="shared" si="326"/>
        <v>1</v>
      </c>
      <c r="N2596" t="b">
        <f t="shared" si="320"/>
        <v>1</v>
      </c>
      <c r="O2596" t="str">
        <f t="shared" si="327"/>
        <v>Large Order</v>
      </c>
      <c r="P2596" s="7">
        <f t="shared" si="321"/>
        <v>10.066000000000001</v>
      </c>
      <c r="Q2596" s="7" t="str">
        <f>VLOOKUP(D2597,Product_Lookup!$A$2:$C$27,2,FALSE)</f>
        <v>Sweater</v>
      </c>
      <c r="R2596" s="7">
        <f t="shared" si="322"/>
        <v>3623.7599999999998</v>
      </c>
    </row>
    <row r="2597" spans="1:18" ht="21.75" customHeight="1">
      <c r="A2597" t="s">
        <v>2748</v>
      </c>
      <c r="B2597" s="6">
        <v>45583</v>
      </c>
      <c r="C2597" t="s">
        <v>30</v>
      </c>
      <c r="D2597" t="s">
        <v>26</v>
      </c>
      <c r="E2597" t="s">
        <v>11</v>
      </c>
      <c r="F2597" t="s">
        <v>306</v>
      </c>
      <c r="G2597" t="s">
        <v>32</v>
      </c>
      <c r="H2597">
        <v>13</v>
      </c>
      <c r="I2597" t="str">
        <f>VLOOKUP(D2597,Product_Lookup!$A$2:$C$27,3,FALSE)</f>
        <v>$84.57</v>
      </c>
      <c r="J2597" t="str">
        <f t="shared" si="323"/>
        <v>Friday</v>
      </c>
      <c r="K2597" s="10" t="str">
        <f t="shared" si="324"/>
        <v>October</v>
      </c>
      <c r="L2597">
        <f t="shared" si="325"/>
        <v>2024</v>
      </c>
      <c r="M2597" t="b">
        <f t="shared" si="326"/>
        <v>0</v>
      </c>
      <c r="N2597" t="b">
        <f t="shared" si="320"/>
        <v>1</v>
      </c>
      <c r="O2597" t="str">
        <f t="shared" si="327"/>
        <v>Large Order</v>
      </c>
      <c r="P2597" s="7">
        <f t="shared" si="321"/>
        <v>4.2284999999999995</v>
      </c>
      <c r="Q2597" s="7" t="str">
        <f>VLOOKUP(D2598,Product_Lookup!$A$2:$C$27,2,FALSE)</f>
        <v>Blender</v>
      </c>
      <c r="R2597" s="7">
        <f t="shared" si="322"/>
        <v>1099.4099999999999</v>
      </c>
    </row>
    <row r="2598" spans="1:18" ht="21.75" customHeight="1">
      <c r="A2598" t="s">
        <v>2749</v>
      </c>
      <c r="B2598" s="6">
        <v>45647</v>
      </c>
      <c r="C2598" t="s">
        <v>99</v>
      </c>
      <c r="D2598" t="s">
        <v>72</v>
      </c>
      <c r="E2598" t="s">
        <v>11</v>
      </c>
      <c r="F2598" t="s">
        <v>42</v>
      </c>
      <c r="G2598" t="s">
        <v>23</v>
      </c>
      <c r="H2598">
        <v>3</v>
      </c>
      <c r="I2598" t="str">
        <f>VLOOKUP(D2598,Product_Lookup!$A$2:$C$27,3,FALSE)</f>
        <v>$156.44</v>
      </c>
      <c r="J2598" t="str">
        <f t="shared" si="323"/>
        <v>Saturday</v>
      </c>
      <c r="K2598" s="10" t="str">
        <f t="shared" si="324"/>
        <v>December</v>
      </c>
      <c r="L2598">
        <f t="shared" si="325"/>
        <v>2024</v>
      </c>
      <c r="M2598" t="b">
        <f t="shared" si="326"/>
        <v>1</v>
      </c>
      <c r="N2598" t="b">
        <f t="shared" si="320"/>
        <v>0</v>
      </c>
      <c r="O2598" t="str">
        <f t="shared" si="327"/>
        <v>Standard order</v>
      </c>
      <c r="P2598" s="7">
        <f t="shared" si="321"/>
        <v>7.8220000000000001</v>
      </c>
      <c r="Q2598" s="7" t="str">
        <f>VLOOKUP(D2599,Product_Lookup!$A$2:$C$27,2,FALSE)</f>
        <v>Air Fryer</v>
      </c>
      <c r="R2598" s="7">
        <f t="shared" si="322"/>
        <v>469.32</v>
      </c>
    </row>
    <row r="2599" spans="1:18" ht="21.75" customHeight="1">
      <c r="A2599" t="s">
        <v>2750</v>
      </c>
      <c r="B2599" s="6">
        <v>45603</v>
      </c>
      <c r="C2599" t="s">
        <v>361</v>
      </c>
      <c r="D2599" t="s">
        <v>70</v>
      </c>
      <c r="E2599" t="s">
        <v>17</v>
      </c>
      <c r="F2599" t="s">
        <v>306</v>
      </c>
      <c r="G2599" t="s">
        <v>28</v>
      </c>
      <c r="H2599">
        <v>17</v>
      </c>
      <c r="I2599" t="str">
        <f>VLOOKUP(D2599,Product_Lookup!$A$2:$C$27,3,FALSE)</f>
        <v>$211.9</v>
      </c>
      <c r="J2599" t="str">
        <f t="shared" si="323"/>
        <v>Thursday</v>
      </c>
      <c r="K2599" s="10" t="str">
        <f t="shared" si="324"/>
        <v>November</v>
      </c>
      <c r="L2599">
        <f t="shared" si="325"/>
        <v>2024</v>
      </c>
      <c r="M2599" t="b">
        <f t="shared" si="326"/>
        <v>0</v>
      </c>
      <c r="N2599" t="b">
        <f t="shared" si="320"/>
        <v>1</v>
      </c>
      <c r="O2599" t="str">
        <f t="shared" si="327"/>
        <v>Large Order</v>
      </c>
      <c r="P2599" s="7">
        <f t="shared" si="321"/>
        <v>10.595000000000001</v>
      </c>
      <c r="Q2599" s="7" t="str">
        <f>VLOOKUP(D2600,Product_Lookup!$A$2:$C$27,2,FALSE)</f>
        <v>Laptop</v>
      </c>
      <c r="R2599" s="7">
        <f t="shared" si="322"/>
        <v>3602.3</v>
      </c>
    </row>
    <row r="2600" spans="1:18" ht="21.75" customHeight="1">
      <c r="A2600" t="s">
        <v>2751</v>
      </c>
      <c r="B2600" s="6">
        <v>45298</v>
      </c>
      <c r="C2600" t="s">
        <v>51</v>
      </c>
      <c r="D2600" t="s">
        <v>96</v>
      </c>
      <c r="E2600" t="s">
        <v>22</v>
      </c>
      <c r="F2600" t="s">
        <v>12</v>
      </c>
      <c r="G2600" t="s">
        <v>32</v>
      </c>
      <c r="H2600">
        <v>8</v>
      </c>
      <c r="I2600" t="str">
        <f>VLOOKUP(D2600,Product_Lookup!$A$2:$C$27,3,FALSE)</f>
        <v>$230.68</v>
      </c>
      <c r="J2600" t="str">
        <f t="shared" si="323"/>
        <v>Sunday</v>
      </c>
      <c r="K2600" s="10" t="str">
        <f t="shared" si="324"/>
        <v>January</v>
      </c>
      <c r="L2600">
        <f t="shared" si="325"/>
        <v>2024</v>
      </c>
      <c r="M2600" t="b">
        <f t="shared" si="326"/>
        <v>1</v>
      </c>
      <c r="N2600" t="b">
        <f t="shared" si="320"/>
        <v>1</v>
      </c>
      <c r="O2600" t="str">
        <f t="shared" si="327"/>
        <v>Large Order</v>
      </c>
      <c r="P2600" s="7">
        <f t="shared" si="321"/>
        <v>11.534000000000001</v>
      </c>
      <c r="Q2600" s="7" t="str">
        <f>VLOOKUP(D2601,Product_Lookup!$A$2:$C$27,2,FALSE)</f>
        <v>Tablet</v>
      </c>
      <c r="R2600" s="7">
        <f t="shared" si="322"/>
        <v>1845.44</v>
      </c>
    </row>
    <row r="2601" spans="1:18" ht="21.75" customHeight="1">
      <c r="A2601" t="s">
        <v>2752</v>
      </c>
      <c r="B2601" s="6">
        <v>45416</v>
      </c>
      <c r="C2601" t="s">
        <v>381</v>
      </c>
      <c r="D2601" t="s">
        <v>10</v>
      </c>
      <c r="E2601" t="s">
        <v>11</v>
      </c>
      <c r="F2601" t="s">
        <v>56</v>
      </c>
      <c r="G2601" t="s">
        <v>32</v>
      </c>
      <c r="H2601">
        <v>16</v>
      </c>
      <c r="I2601" t="str">
        <f>VLOOKUP(D2601,Product_Lookup!$A$2:$C$27,3,FALSE)</f>
        <v>$146.06</v>
      </c>
      <c r="J2601" t="str">
        <f t="shared" si="323"/>
        <v>Saturday</v>
      </c>
      <c r="K2601" s="10" t="str">
        <f t="shared" si="324"/>
        <v>May</v>
      </c>
      <c r="L2601">
        <f t="shared" si="325"/>
        <v>2024</v>
      </c>
      <c r="M2601" t="b">
        <f t="shared" si="326"/>
        <v>1</v>
      </c>
      <c r="N2601" t="b">
        <f t="shared" si="320"/>
        <v>1</v>
      </c>
      <c r="O2601" t="str">
        <f t="shared" si="327"/>
        <v>Large Order</v>
      </c>
      <c r="P2601" s="7">
        <f t="shared" si="321"/>
        <v>7.3030000000000008</v>
      </c>
      <c r="Q2601" s="7" t="str">
        <f>VLOOKUP(D2602,Product_Lookup!$A$2:$C$27,2,FALSE)</f>
        <v>Jeans</v>
      </c>
      <c r="R2601" s="7">
        <f t="shared" si="322"/>
        <v>2336.96</v>
      </c>
    </row>
    <row r="2602" spans="1:18" ht="21.75" customHeight="1">
      <c r="A2602" t="s">
        <v>2753</v>
      </c>
      <c r="B2602" s="6">
        <v>45369</v>
      </c>
      <c r="C2602" t="s">
        <v>159</v>
      </c>
      <c r="D2602" t="s">
        <v>65</v>
      </c>
      <c r="E2602" t="s">
        <v>22</v>
      </c>
      <c r="F2602" t="s">
        <v>12</v>
      </c>
      <c r="G2602" t="s">
        <v>28</v>
      </c>
      <c r="H2602">
        <v>20</v>
      </c>
      <c r="I2602" t="str">
        <f>VLOOKUP(D2602,Product_Lookup!$A$2:$C$27,3,FALSE)</f>
        <v>$33.22</v>
      </c>
      <c r="J2602" t="str">
        <f t="shared" si="323"/>
        <v>Monday</v>
      </c>
      <c r="K2602" s="10" t="str">
        <f t="shared" si="324"/>
        <v>March</v>
      </c>
      <c r="L2602">
        <f t="shared" si="325"/>
        <v>2024</v>
      </c>
      <c r="M2602" t="b">
        <f t="shared" si="326"/>
        <v>0</v>
      </c>
      <c r="N2602" t="b">
        <f t="shared" si="320"/>
        <v>0</v>
      </c>
      <c r="O2602" t="str">
        <f t="shared" si="327"/>
        <v>Large Order</v>
      </c>
      <c r="P2602" s="7">
        <f t="shared" si="321"/>
        <v>1.661</v>
      </c>
      <c r="Q2602" s="7" t="str">
        <f>VLOOKUP(D2603,Product_Lookup!$A$2:$C$27,2,FALSE)</f>
        <v>Blender</v>
      </c>
      <c r="R2602" s="7">
        <f t="shared" si="322"/>
        <v>664.4</v>
      </c>
    </row>
    <row r="2603" spans="1:18" ht="21.75" customHeight="1">
      <c r="A2603" t="s">
        <v>2754</v>
      </c>
      <c r="B2603" s="6">
        <v>45519</v>
      </c>
      <c r="C2603" t="s">
        <v>304</v>
      </c>
      <c r="D2603" t="s">
        <v>72</v>
      </c>
      <c r="E2603" t="s">
        <v>11</v>
      </c>
      <c r="F2603" t="s">
        <v>42</v>
      </c>
      <c r="G2603" t="s">
        <v>32</v>
      </c>
      <c r="H2603">
        <v>2</v>
      </c>
      <c r="I2603" t="str">
        <f>VLOOKUP(D2603,Product_Lookup!$A$2:$C$27,3,FALSE)</f>
        <v>$156.44</v>
      </c>
      <c r="J2603" t="str">
        <f t="shared" si="323"/>
        <v>Thursday</v>
      </c>
      <c r="K2603" s="10" t="str">
        <f t="shared" si="324"/>
        <v>August</v>
      </c>
      <c r="L2603">
        <f t="shared" si="325"/>
        <v>2024</v>
      </c>
      <c r="M2603" t="b">
        <f t="shared" si="326"/>
        <v>0</v>
      </c>
      <c r="N2603" t="b">
        <f t="shared" si="320"/>
        <v>0</v>
      </c>
      <c r="O2603" t="str">
        <f t="shared" si="327"/>
        <v>Standard order</v>
      </c>
      <c r="P2603" s="7">
        <f t="shared" si="321"/>
        <v>7.8220000000000001</v>
      </c>
      <c r="Q2603" s="7" t="str">
        <f>VLOOKUP(D2604,Product_Lookup!$A$2:$C$27,2,FALSE)</f>
        <v>Socks</v>
      </c>
      <c r="R2603" s="7">
        <f t="shared" si="322"/>
        <v>312.88</v>
      </c>
    </row>
    <row r="2604" spans="1:18" ht="21.75" customHeight="1">
      <c r="A2604" t="s">
        <v>2755</v>
      </c>
      <c r="B2604" s="6">
        <v>45504</v>
      </c>
      <c r="C2604" t="s">
        <v>736</v>
      </c>
      <c r="D2604" t="s">
        <v>74</v>
      </c>
      <c r="E2604" t="s">
        <v>11</v>
      </c>
      <c r="F2604" t="s">
        <v>56</v>
      </c>
      <c r="G2604" t="s">
        <v>32</v>
      </c>
      <c r="H2604">
        <v>11</v>
      </c>
      <c r="I2604" t="str">
        <f>VLOOKUP(D2604,Product_Lookup!$A$2:$C$27,3,FALSE)</f>
        <v>$201.32</v>
      </c>
      <c r="J2604" t="str">
        <f t="shared" si="323"/>
        <v>Wednesday</v>
      </c>
      <c r="K2604" s="10" t="str">
        <f t="shared" si="324"/>
        <v>July</v>
      </c>
      <c r="L2604">
        <f t="shared" si="325"/>
        <v>2024</v>
      </c>
      <c r="M2604" t="b">
        <f t="shared" si="326"/>
        <v>0</v>
      </c>
      <c r="N2604" t="b">
        <f t="shared" si="320"/>
        <v>1</v>
      </c>
      <c r="O2604" t="str">
        <f t="shared" si="327"/>
        <v>Large Order</v>
      </c>
      <c r="P2604" s="7">
        <f t="shared" si="321"/>
        <v>10.066000000000001</v>
      </c>
      <c r="Q2604" s="7" t="str">
        <f>VLOOKUP(D2605,Product_Lookup!$A$2:$C$27,2,FALSE)</f>
        <v>Board Game</v>
      </c>
      <c r="R2604" s="7">
        <f t="shared" si="322"/>
        <v>2214.52</v>
      </c>
    </row>
    <row r="2605" spans="1:18" ht="21.75" customHeight="1">
      <c r="A2605" t="s">
        <v>2756</v>
      </c>
      <c r="B2605" s="6">
        <v>45568</v>
      </c>
      <c r="C2605" t="s">
        <v>9</v>
      </c>
      <c r="D2605" t="s">
        <v>41</v>
      </c>
      <c r="E2605" t="s">
        <v>11</v>
      </c>
      <c r="F2605" t="s">
        <v>56</v>
      </c>
      <c r="G2605" t="s">
        <v>36</v>
      </c>
      <c r="H2605">
        <v>13</v>
      </c>
      <c r="I2605" t="str">
        <f>VLOOKUP(D2605,Product_Lookup!$A$2:$C$27,3,FALSE)</f>
        <v>$86.6</v>
      </c>
      <c r="J2605" t="str">
        <f t="shared" si="323"/>
        <v>Thursday</v>
      </c>
      <c r="K2605" s="10" t="str">
        <f t="shared" si="324"/>
        <v>October</v>
      </c>
      <c r="L2605">
        <f t="shared" si="325"/>
        <v>2024</v>
      </c>
      <c r="M2605" t="b">
        <f t="shared" si="326"/>
        <v>0</v>
      </c>
      <c r="N2605" t="b">
        <f t="shared" si="320"/>
        <v>1</v>
      </c>
      <c r="O2605" t="str">
        <f t="shared" si="327"/>
        <v>Large Order</v>
      </c>
      <c r="P2605" s="7">
        <f t="shared" si="321"/>
        <v>4.33</v>
      </c>
      <c r="Q2605" s="7" t="str">
        <f>VLOOKUP(D2606,Product_Lookup!$A$2:$C$27,2,FALSE)</f>
        <v>Action Figure</v>
      </c>
      <c r="R2605" s="7">
        <f t="shared" si="322"/>
        <v>1125.8</v>
      </c>
    </row>
    <row r="2606" spans="1:18" ht="21.75" customHeight="1">
      <c r="A2606" t="s">
        <v>2757</v>
      </c>
      <c r="B2606" s="6">
        <v>45385</v>
      </c>
      <c r="C2606" t="s">
        <v>396</v>
      </c>
      <c r="D2606" t="s">
        <v>21</v>
      </c>
      <c r="E2606" t="s">
        <v>11</v>
      </c>
      <c r="F2606" t="s">
        <v>12</v>
      </c>
      <c r="G2606" t="s">
        <v>23</v>
      </c>
      <c r="H2606">
        <v>3</v>
      </c>
      <c r="I2606" t="str">
        <f>VLOOKUP(D2606,Product_Lookup!$A$2:$C$27,3,FALSE)</f>
        <v>$88.18</v>
      </c>
      <c r="J2606" t="str">
        <f t="shared" si="323"/>
        <v>Wednesday</v>
      </c>
      <c r="K2606" s="10" t="str">
        <f t="shared" si="324"/>
        <v>April</v>
      </c>
      <c r="L2606">
        <f t="shared" si="325"/>
        <v>2024</v>
      </c>
      <c r="M2606" t="b">
        <f t="shared" si="326"/>
        <v>0</v>
      </c>
      <c r="N2606" t="b">
        <f t="shared" si="320"/>
        <v>0</v>
      </c>
      <c r="O2606" t="str">
        <f t="shared" si="327"/>
        <v>Standard order</v>
      </c>
      <c r="P2606" s="7">
        <f t="shared" si="321"/>
        <v>4.4090000000000007</v>
      </c>
      <c r="Q2606" s="7" t="str">
        <f>VLOOKUP(D2607,Product_Lookup!$A$2:$C$27,2,FALSE)</f>
        <v>Headphones</v>
      </c>
      <c r="R2606" s="7">
        <f t="shared" si="322"/>
        <v>264.54000000000002</v>
      </c>
    </row>
    <row r="2607" spans="1:18" ht="21.75" customHeight="1">
      <c r="A2607" t="s">
        <v>2758</v>
      </c>
      <c r="B2607" s="6">
        <v>45318</v>
      </c>
      <c r="C2607" t="s">
        <v>541</v>
      </c>
      <c r="D2607" t="s">
        <v>16</v>
      </c>
      <c r="E2607" t="s">
        <v>11</v>
      </c>
      <c r="F2607" t="s">
        <v>56</v>
      </c>
      <c r="G2607" t="s">
        <v>13</v>
      </c>
      <c r="H2607">
        <v>6</v>
      </c>
      <c r="I2607" t="str">
        <f>VLOOKUP(D2607,Product_Lookup!$A$2:$C$27,3,FALSE)</f>
        <v>$178.83</v>
      </c>
      <c r="J2607" t="str">
        <f t="shared" si="323"/>
        <v>Saturday</v>
      </c>
      <c r="K2607" s="10" t="str">
        <f t="shared" si="324"/>
        <v>January</v>
      </c>
      <c r="L2607">
        <f t="shared" si="325"/>
        <v>2024</v>
      </c>
      <c r="M2607" t="b">
        <f t="shared" si="326"/>
        <v>1</v>
      </c>
      <c r="N2607" t="b">
        <f t="shared" si="320"/>
        <v>1</v>
      </c>
      <c r="O2607" t="str">
        <f t="shared" si="327"/>
        <v>Large Order</v>
      </c>
      <c r="P2607" s="7">
        <f t="shared" si="321"/>
        <v>8.9415000000000013</v>
      </c>
      <c r="Q2607" s="7" t="str">
        <f>VLOOKUP(D2608,Product_Lookup!$A$2:$C$27,2,FALSE)</f>
        <v>Notebook</v>
      </c>
      <c r="R2607" s="7">
        <f t="shared" si="322"/>
        <v>1072.98</v>
      </c>
    </row>
    <row r="2608" spans="1:18" ht="21.75" customHeight="1">
      <c r="A2608" t="s">
        <v>2759</v>
      </c>
      <c r="B2608" s="6">
        <v>45396</v>
      </c>
      <c r="C2608" t="s">
        <v>93</v>
      </c>
      <c r="D2608" t="s">
        <v>160</v>
      </c>
      <c r="E2608" t="s">
        <v>11</v>
      </c>
      <c r="F2608" t="s">
        <v>27</v>
      </c>
      <c r="G2608" t="s">
        <v>23</v>
      </c>
      <c r="H2608">
        <v>10</v>
      </c>
      <c r="I2608" t="str">
        <f>VLOOKUP(D2608,Product_Lookup!$A$2:$C$27,3,FALSE)</f>
        <v>$149.27</v>
      </c>
      <c r="J2608" t="str">
        <f t="shared" si="323"/>
        <v>Sunday</v>
      </c>
      <c r="K2608" s="10" t="str">
        <f t="shared" si="324"/>
        <v>April</v>
      </c>
      <c r="L2608">
        <f t="shared" si="325"/>
        <v>2024</v>
      </c>
      <c r="M2608" t="b">
        <f t="shared" si="326"/>
        <v>1</v>
      </c>
      <c r="N2608" t="b">
        <f t="shared" si="320"/>
        <v>1</v>
      </c>
      <c r="O2608" t="str">
        <f t="shared" si="327"/>
        <v>Large Order</v>
      </c>
      <c r="P2608" s="7">
        <f t="shared" si="321"/>
        <v>7.4635000000000007</v>
      </c>
      <c r="Q2608" s="7" t="str">
        <f>VLOOKUP(D2609,Product_Lookup!$A$2:$C$27,2,FALSE)</f>
        <v>Vacuum</v>
      </c>
      <c r="R2608" s="7">
        <f t="shared" si="322"/>
        <v>1492.7</v>
      </c>
    </row>
    <row r="2609" spans="1:18" ht="21.75" customHeight="1">
      <c r="A2609" t="s">
        <v>2760</v>
      </c>
      <c r="B2609" s="6">
        <v>45393</v>
      </c>
      <c r="C2609" t="s">
        <v>78</v>
      </c>
      <c r="D2609" t="s">
        <v>87</v>
      </c>
      <c r="E2609" t="s">
        <v>11</v>
      </c>
      <c r="F2609" t="s">
        <v>306</v>
      </c>
      <c r="G2609" t="s">
        <v>28</v>
      </c>
      <c r="H2609">
        <v>10</v>
      </c>
      <c r="I2609" t="str">
        <f>VLOOKUP(D2609,Product_Lookup!$A$2:$C$27,3,FALSE)</f>
        <v>$26.59</v>
      </c>
      <c r="J2609" t="str">
        <f t="shared" si="323"/>
        <v>Thursday</v>
      </c>
      <c r="K2609" s="10" t="str">
        <f t="shared" si="324"/>
        <v>April</v>
      </c>
      <c r="L2609">
        <f t="shared" si="325"/>
        <v>2024</v>
      </c>
      <c r="M2609" t="b">
        <f t="shared" si="326"/>
        <v>0</v>
      </c>
      <c r="N2609" t="b">
        <f t="shared" si="320"/>
        <v>0</v>
      </c>
      <c r="O2609" t="str">
        <f t="shared" si="327"/>
        <v>Standard order</v>
      </c>
      <c r="P2609" s="7">
        <f t="shared" si="321"/>
        <v>1.3295000000000001</v>
      </c>
      <c r="Q2609" s="7" t="str">
        <f>VLOOKUP(D2610,Product_Lookup!$A$2:$C$27,2,FALSE)</f>
        <v>Jeans</v>
      </c>
      <c r="R2609" s="7">
        <f t="shared" si="322"/>
        <v>265.89999999999998</v>
      </c>
    </row>
    <row r="2610" spans="1:18" ht="21.75" customHeight="1">
      <c r="A2610" t="s">
        <v>2761</v>
      </c>
      <c r="B2610" s="6">
        <v>45521</v>
      </c>
      <c r="C2610" t="s">
        <v>541</v>
      </c>
      <c r="D2610" t="s">
        <v>65</v>
      </c>
      <c r="E2610" t="s">
        <v>17</v>
      </c>
      <c r="F2610" t="s">
        <v>27</v>
      </c>
      <c r="G2610" t="s">
        <v>13</v>
      </c>
      <c r="H2610">
        <v>12</v>
      </c>
      <c r="I2610" t="str">
        <f>VLOOKUP(D2610,Product_Lookup!$A$2:$C$27,3,FALSE)</f>
        <v>$33.22</v>
      </c>
      <c r="J2610" t="str">
        <f t="shared" si="323"/>
        <v>Saturday</v>
      </c>
      <c r="K2610" s="10" t="str">
        <f t="shared" si="324"/>
        <v>August</v>
      </c>
      <c r="L2610">
        <f t="shared" si="325"/>
        <v>2024</v>
      </c>
      <c r="M2610" t="b">
        <f t="shared" si="326"/>
        <v>1</v>
      </c>
      <c r="N2610" t="b">
        <f t="shared" si="320"/>
        <v>0</v>
      </c>
      <c r="O2610" t="str">
        <f t="shared" si="327"/>
        <v>Standard order</v>
      </c>
      <c r="P2610" s="7">
        <f t="shared" si="321"/>
        <v>1.661</v>
      </c>
      <c r="Q2610" s="7" t="str">
        <f>VLOOKUP(D2611,Product_Lookup!$A$2:$C$27,2,FALSE)</f>
        <v>Air Fryer</v>
      </c>
      <c r="R2610" s="7">
        <f t="shared" si="322"/>
        <v>398.64</v>
      </c>
    </row>
    <row r="2611" spans="1:18" ht="21.75" customHeight="1">
      <c r="A2611" t="s">
        <v>2762</v>
      </c>
      <c r="B2611" s="6">
        <v>45377</v>
      </c>
      <c r="C2611" t="s">
        <v>553</v>
      </c>
      <c r="D2611" t="s">
        <v>70</v>
      </c>
      <c r="E2611" t="s">
        <v>17</v>
      </c>
      <c r="F2611" t="s">
        <v>306</v>
      </c>
      <c r="G2611" t="s">
        <v>36</v>
      </c>
      <c r="H2611">
        <v>14</v>
      </c>
      <c r="I2611" t="str">
        <f>VLOOKUP(D2611,Product_Lookup!$A$2:$C$27,3,FALSE)</f>
        <v>$211.9</v>
      </c>
      <c r="J2611" t="str">
        <f t="shared" si="323"/>
        <v>Tuesday</v>
      </c>
      <c r="K2611" s="10" t="str">
        <f t="shared" si="324"/>
        <v>March</v>
      </c>
      <c r="L2611">
        <f t="shared" si="325"/>
        <v>2024</v>
      </c>
      <c r="M2611" t="b">
        <f t="shared" si="326"/>
        <v>0</v>
      </c>
      <c r="N2611" t="b">
        <f t="shared" si="320"/>
        <v>1</v>
      </c>
      <c r="O2611" t="str">
        <f t="shared" si="327"/>
        <v>Large Order</v>
      </c>
      <c r="P2611" s="7">
        <f t="shared" si="321"/>
        <v>10.595000000000001</v>
      </c>
      <c r="Q2611" s="7" t="str">
        <f>VLOOKUP(D2612,Product_Lookup!$A$2:$C$27,2,FALSE)</f>
        <v>Doll</v>
      </c>
      <c r="R2611" s="7">
        <f t="shared" si="322"/>
        <v>2966.6</v>
      </c>
    </row>
    <row r="2612" spans="1:18" ht="21.75" customHeight="1">
      <c r="A2612" t="s">
        <v>2763</v>
      </c>
      <c r="B2612" s="6">
        <v>45538</v>
      </c>
      <c r="C2612" t="s">
        <v>138</v>
      </c>
      <c r="D2612" t="s">
        <v>119</v>
      </c>
      <c r="E2612" t="s">
        <v>17</v>
      </c>
      <c r="F2612" t="s">
        <v>27</v>
      </c>
      <c r="G2612" t="s">
        <v>13</v>
      </c>
      <c r="H2612">
        <v>10</v>
      </c>
      <c r="I2612" t="str">
        <f>VLOOKUP(D2612,Product_Lookup!$A$2:$C$27,3,FALSE)</f>
        <v>$32.94</v>
      </c>
      <c r="J2612" t="str">
        <f t="shared" si="323"/>
        <v>Tuesday</v>
      </c>
      <c r="K2612" s="10" t="str">
        <f t="shared" si="324"/>
        <v>September</v>
      </c>
      <c r="L2612">
        <f t="shared" si="325"/>
        <v>2024</v>
      </c>
      <c r="M2612" t="b">
        <f t="shared" si="326"/>
        <v>0</v>
      </c>
      <c r="N2612" t="b">
        <f t="shared" si="320"/>
        <v>0</v>
      </c>
      <c r="O2612" t="str">
        <f t="shared" si="327"/>
        <v>Standard order</v>
      </c>
      <c r="P2612" s="7">
        <f t="shared" si="321"/>
        <v>1.647</v>
      </c>
      <c r="Q2612" s="7" t="str">
        <f>VLOOKUP(D2613,Product_Lookup!$A$2:$C$27,2,FALSE)</f>
        <v>Lego Set</v>
      </c>
      <c r="R2612" s="7">
        <f t="shared" si="322"/>
        <v>329.4</v>
      </c>
    </row>
    <row r="2613" spans="1:18" ht="21.75" customHeight="1">
      <c r="A2613" t="s">
        <v>2764</v>
      </c>
      <c r="B2613" s="6">
        <v>45370</v>
      </c>
      <c r="C2613" t="s">
        <v>378</v>
      </c>
      <c r="D2613" t="s">
        <v>84</v>
      </c>
      <c r="E2613" t="s">
        <v>11</v>
      </c>
      <c r="F2613" t="s">
        <v>42</v>
      </c>
      <c r="G2613" t="s">
        <v>23</v>
      </c>
      <c r="H2613">
        <v>15</v>
      </c>
      <c r="I2613" t="str">
        <f>VLOOKUP(D2613,Product_Lookup!$A$2:$C$27,3,FALSE)</f>
        <v>$130.07</v>
      </c>
      <c r="J2613" t="str">
        <f t="shared" si="323"/>
        <v>Tuesday</v>
      </c>
      <c r="K2613" s="10" t="str">
        <f t="shared" si="324"/>
        <v>March</v>
      </c>
      <c r="L2613">
        <f t="shared" si="325"/>
        <v>2024</v>
      </c>
      <c r="M2613" t="b">
        <f t="shared" si="326"/>
        <v>0</v>
      </c>
      <c r="N2613" t="b">
        <f t="shared" si="320"/>
        <v>1</v>
      </c>
      <c r="O2613" t="str">
        <f t="shared" si="327"/>
        <v>Large Order</v>
      </c>
      <c r="P2613" s="7">
        <f t="shared" si="321"/>
        <v>6.5034999999999998</v>
      </c>
      <c r="Q2613" s="7" t="str">
        <f>VLOOKUP(D2614,Product_Lookup!$A$2:$C$27,2,FALSE)</f>
        <v>Pen Set</v>
      </c>
      <c r="R2613" s="7">
        <f t="shared" si="322"/>
        <v>1951.05</v>
      </c>
    </row>
    <row r="2614" spans="1:18" ht="21.75" customHeight="1">
      <c r="A2614" t="s">
        <v>2765</v>
      </c>
      <c r="B2614" s="6">
        <v>45437</v>
      </c>
      <c r="C2614" t="s">
        <v>159</v>
      </c>
      <c r="D2614" t="s">
        <v>174</v>
      </c>
      <c r="E2614" t="s">
        <v>22</v>
      </c>
      <c r="F2614" t="s">
        <v>27</v>
      </c>
      <c r="G2614" t="s">
        <v>13</v>
      </c>
      <c r="H2614">
        <v>11</v>
      </c>
      <c r="I2614" t="str">
        <f>VLOOKUP(D2614,Product_Lookup!$A$2:$C$27,3,FALSE)</f>
        <v>$133.37</v>
      </c>
      <c r="J2614" t="str">
        <f t="shared" si="323"/>
        <v>Saturday</v>
      </c>
      <c r="K2614" s="10" t="str">
        <f t="shared" si="324"/>
        <v>May</v>
      </c>
      <c r="L2614">
        <f t="shared" si="325"/>
        <v>2024</v>
      </c>
      <c r="M2614" t="b">
        <f t="shared" si="326"/>
        <v>1</v>
      </c>
      <c r="N2614" t="b">
        <f t="shared" si="320"/>
        <v>1</v>
      </c>
      <c r="O2614" t="str">
        <f t="shared" si="327"/>
        <v>Large Order</v>
      </c>
      <c r="P2614" s="7">
        <f t="shared" si="321"/>
        <v>6.6685000000000008</v>
      </c>
      <c r="Q2614" s="7" t="str">
        <f>VLOOKUP(D2615,Product_Lookup!$A$2:$C$27,2,FALSE)</f>
        <v>Headphones</v>
      </c>
      <c r="R2614" s="7">
        <f t="shared" si="322"/>
        <v>1467.0700000000002</v>
      </c>
    </row>
    <row r="2615" spans="1:18" ht="21.75" customHeight="1">
      <c r="A2615" t="s">
        <v>2766</v>
      </c>
      <c r="B2615" s="6">
        <v>45532</v>
      </c>
      <c r="C2615" t="s">
        <v>104</v>
      </c>
      <c r="D2615" t="s">
        <v>16</v>
      </c>
      <c r="E2615" t="s">
        <v>11</v>
      </c>
      <c r="F2615" t="s">
        <v>12</v>
      </c>
      <c r="G2615" t="s">
        <v>13</v>
      </c>
      <c r="H2615">
        <v>17</v>
      </c>
      <c r="I2615" t="str">
        <f>VLOOKUP(D2615,Product_Lookup!$A$2:$C$27,3,FALSE)</f>
        <v>$178.83</v>
      </c>
      <c r="J2615" t="str">
        <f t="shared" si="323"/>
        <v>Wednesday</v>
      </c>
      <c r="K2615" s="10" t="str">
        <f t="shared" si="324"/>
        <v>August</v>
      </c>
      <c r="L2615">
        <f t="shared" si="325"/>
        <v>2024</v>
      </c>
      <c r="M2615" t="b">
        <f t="shared" si="326"/>
        <v>0</v>
      </c>
      <c r="N2615" t="b">
        <f t="shared" si="320"/>
        <v>1</v>
      </c>
      <c r="O2615" t="str">
        <f t="shared" si="327"/>
        <v>Large Order</v>
      </c>
      <c r="P2615" s="7">
        <f t="shared" si="321"/>
        <v>8.9415000000000013</v>
      </c>
      <c r="Q2615" s="7" t="str">
        <f>VLOOKUP(D2616,Product_Lookup!$A$2:$C$27,2,FALSE)</f>
        <v>Coffee Maker</v>
      </c>
      <c r="R2615" s="7">
        <f t="shared" si="322"/>
        <v>3040.11</v>
      </c>
    </row>
    <row r="2616" spans="1:18" ht="21.75" customHeight="1">
      <c r="A2616" t="s">
        <v>2767</v>
      </c>
      <c r="B2616" s="6">
        <v>45483</v>
      </c>
      <c r="C2616" t="s">
        <v>374</v>
      </c>
      <c r="D2616" t="s">
        <v>31</v>
      </c>
      <c r="E2616" t="s">
        <v>17</v>
      </c>
      <c r="F2616" t="s">
        <v>27</v>
      </c>
      <c r="G2616" t="s">
        <v>32</v>
      </c>
      <c r="H2616">
        <v>13</v>
      </c>
      <c r="I2616" t="str">
        <f>VLOOKUP(D2616,Product_Lookup!$A$2:$C$27,3,FALSE)</f>
        <v>$230.34</v>
      </c>
      <c r="J2616" t="str">
        <f t="shared" si="323"/>
        <v>Wednesday</v>
      </c>
      <c r="K2616" s="10" t="str">
        <f t="shared" si="324"/>
        <v>July</v>
      </c>
      <c r="L2616">
        <f t="shared" si="325"/>
        <v>2024</v>
      </c>
      <c r="M2616" t="b">
        <f t="shared" si="326"/>
        <v>0</v>
      </c>
      <c r="N2616" t="b">
        <f t="shared" si="320"/>
        <v>1</v>
      </c>
      <c r="O2616" t="str">
        <f t="shared" si="327"/>
        <v>Large Order</v>
      </c>
      <c r="P2616" s="7">
        <f t="shared" si="321"/>
        <v>11.517000000000001</v>
      </c>
      <c r="Q2616" s="7" t="str">
        <f>VLOOKUP(D2617,Product_Lookup!$A$2:$C$27,2,FALSE)</f>
        <v>Tablet</v>
      </c>
      <c r="R2616" s="7">
        <f t="shared" si="322"/>
        <v>2994.42</v>
      </c>
    </row>
    <row r="2617" spans="1:18" ht="21.75" customHeight="1">
      <c r="A2617" t="s">
        <v>2768</v>
      </c>
      <c r="B2617" s="6">
        <v>45620</v>
      </c>
      <c r="C2617" t="s">
        <v>449</v>
      </c>
      <c r="D2617" t="s">
        <v>10</v>
      </c>
      <c r="E2617" t="s">
        <v>17</v>
      </c>
      <c r="F2617" t="s">
        <v>12</v>
      </c>
      <c r="G2617" t="s">
        <v>13</v>
      </c>
      <c r="H2617">
        <v>13</v>
      </c>
      <c r="I2617" t="str">
        <f>VLOOKUP(D2617,Product_Lookup!$A$2:$C$27,3,FALSE)</f>
        <v>$146.06</v>
      </c>
      <c r="J2617" t="str">
        <f t="shared" si="323"/>
        <v>Sunday</v>
      </c>
      <c r="K2617" s="10" t="str">
        <f t="shared" si="324"/>
        <v>November</v>
      </c>
      <c r="L2617">
        <f t="shared" si="325"/>
        <v>2024</v>
      </c>
      <c r="M2617" t="b">
        <f t="shared" si="326"/>
        <v>1</v>
      </c>
      <c r="N2617" t="b">
        <f t="shared" si="320"/>
        <v>1</v>
      </c>
      <c r="O2617" t="str">
        <f t="shared" si="327"/>
        <v>Large Order</v>
      </c>
      <c r="P2617" s="7">
        <f t="shared" si="321"/>
        <v>7.3030000000000008</v>
      </c>
      <c r="Q2617" s="7" t="str">
        <f>VLOOKUP(D2618,Product_Lookup!$A$2:$C$27,2,FALSE)</f>
        <v>Doll</v>
      </c>
      <c r="R2617" s="7">
        <f t="shared" si="322"/>
        <v>1898.78</v>
      </c>
    </row>
    <row r="2618" spans="1:18" ht="21.75" customHeight="1">
      <c r="A2618" t="s">
        <v>2769</v>
      </c>
      <c r="B2618" s="6">
        <v>45375</v>
      </c>
      <c r="C2618" t="s">
        <v>150</v>
      </c>
      <c r="D2618" t="s">
        <v>119</v>
      </c>
      <c r="E2618" t="s">
        <v>17</v>
      </c>
      <c r="F2618" t="s">
        <v>42</v>
      </c>
      <c r="G2618" t="s">
        <v>32</v>
      </c>
      <c r="H2618">
        <v>17</v>
      </c>
      <c r="I2618" t="str">
        <f>VLOOKUP(D2618,Product_Lookup!$A$2:$C$27,3,FALSE)</f>
        <v>$32.94</v>
      </c>
      <c r="J2618" t="str">
        <f t="shared" si="323"/>
        <v>Sunday</v>
      </c>
      <c r="K2618" s="10" t="str">
        <f t="shared" si="324"/>
        <v>March</v>
      </c>
      <c r="L2618">
        <f t="shared" si="325"/>
        <v>2024</v>
      </c>
      <c r="M2618" t="b">
        <f t="shared" si="326"/>
        <v>1</v>
      </c>
      <c r="N2618" t="b">
        <f t="shared" si="320"/>
        <v>0</v>
      </c>
      <c r="O2618" t="str">
        <f t="shared" si="327"/>
        <v>Large Order</v>
      </c>
      <c r="P2618" s="7">
        <f t="shared" si="321"/>
        <v>1.647</v>
      </c>
      <c r="Q2618" s="7" t="str">
        <f>VLOOKUP(D2619,Product_Lookup!$A$2:$C$27,2,FALSE)</f>
        <v>Toaster</v>
      </c>
      <c r="R2618" s="7">
        <f t="shared" si="322"/>
        <v>559.98</v>
      </c>
    </row>
    <row r="2619" spans="1:18" ht="21.75" customHeight="1">
      <c r="A2619" t="s">
        <v>2770</v>
      </c>
      <c r="B2619" s="6">
        <v>45617</v>
      </c>
      <c r="C2619" t="s">
        <v>465</v>
      </c>
      <c r="D2619" t="s">
        <v>48</v>
      </c>
      <c r="E2619" t="s">
        <v>22</v>
      </c>
      <c r="F2619" t="s">
        <v>12</v>
      </c>
      <c r="G2619" t="s">
        <v>23</v>
      </c>
      <c r="H2619">
        <v>14</v>
      </c>
      <c r="I2619" t="str">
        <f>VLOOKUP(D2619,Product_Lookup!$A$2:$C$27,3,FALSE)</f>
        <v>$208.85</v>
      </c>
      <c r="J2619" t="str">
        <f t="shared" si="323"/>
        <v>Thursday</v>
      </c>
      <c r="K2619" s="10" t="str">
        <f t="shared" si="324"/>
        <v>November</v>
      </c>
      <c r="L2619">
        <f t="shared" si="325"/>
        <v>2024</v>
      </c>
      <c r="M2619" t="b">
        <f t="shared" si="326"/>
        <v>0</v>
      </c>
      <c r="N2619" t="b">
        <f t="shared" si="320"/>
        <v>1</v>
      </c>
      <c r="O2619" t="str">
        <f t="shared" si="327"/>
        <v>Large Order</v>
      </c>
      <c r="P2619" s="7">
        <f t="shared" si="321"/>
        <v>10.442500000000001</v>
      </c>
      <c r="Q2619" s="7" t="str">
        <f>VLOOKUP(D2620,Product_Lookup!$A$2:$C$27,2,FALSE)</f>
        <v>Smartphone</v>
      </c>
      <c r="R2619" s="7">
        <f t="shared" si="322"/>
        <v>2923.9</v>
      </c>
    </row>
    <row r="2620" spans="1:18" ht="21.75" customHeight="1">
      <c r="A2620" t="s">
        <v>2771</v>
      </c>
      <c r="B2620" s="6">
        <v>45416</v>
      </c>
      <c r="C2620" t="s">
        <v>517</v>
      </c>
      <c r="D2620" t="s">
        <v>79</v>
      </c>
      <c r="E2620" t="s">
        <v>17</v>
      </c>
      <c r="F2620" t="s">
        <v>12</v>
      </c>
      <c r="G2620" t="s">
        <v>28</v>
      </c>
      <c r="H2620">
        <v>9</v>
      </c>
      <c r="I2620" t="str">
        <f>VLOOKUP(D2620,Product_Lookup!$A$2:$C$27,3,FALSE)</f>
        <v>$216.22</v>
      </c>
      <c r="J2620" t="str">
        <f t="shared" si="323"/>
        <v>Saturday</v>
      </c>
      <c r="K2620" s="10" t="str">
        <f t="shared" si="324"/>
        <v>May</v>
      </c>
      <c r="L2620">
        <f t="shared" si="325"/>
        <v>2024</v>
      </c>
      <c r="M2620" t="b">
        <f t="shared" si="326"/>
        <v>1</v>
      </c>
      <c r="N2620" t="b">
        <f t="shared" si="320"/>
        <v>1</v>
      </c>
      <c r="O2620" t="str">
        <f t="shared" si="327"/>
        <v>Large Order</v>
      </c>
      <c r="P2620" s="7">
        <f t="shared" si="321"/>
        <v>10.811</v>
      </c>
      <c r="Q2620" s="7" t="str">
        <f>VLOOKUP(D2621,Product_Lookup!$A$2:$C$27,2,FALSE)</f>
        <v>Sweater</v>
      </c>
      <c r="R2620" s="7">
        <f t="shared" si="322"/>
        <v>1945.98</v>
      </c>
    </row>
    <row r="2621" spans="1:18" ht="21.75" customHeight="1">
      <c r="A2621" t="s">
        <v>2772</v>
      </c>
      <c r="B2621" s="6">
        <v>45640</v>
      </c>
      <c r="C2621" t="s">
        <v>167</v>
      </c>
      <c r="D2621" t="s">
        <v>26</v>
      </c>
      <c r="E2621" t="s">
        <v>11</v>
      </c>
      <c r="F2621" t="s">
        <v>306</v>
      </c>
      <c r="G2621" t="s">
        <v>36</v>
      </c>
      <c r="H2621">
        <v>6</v>
      </c>
      <c r="I2621" t="str">
        <f>VLOOKUP(D2621,Product_Lookup!$A$2:$C$27,3,FALSE)</f>
        <v>$84.57</v>
      </c>
      <c r="J2621" t="str">
        <f t="shared" si="323"/>
        <v>Saturday</v>
      </c>
      <c r="K2621" s="10" t="str">
        <f t="shared" si="324"/>
        <v>December</v>
      </c>
      <c r="L2621">
        <f t="shared" si="325"/>
        <v>2024</v>
      </c>
      <c r="M2621" t="b">
        <f t="shared" si="326"/>
        <v>1</v>
      </c>
      <c r="N2621" t="b">
        <f t="shared" si="320"/>
        <v>0</v>
      </c>
      <c r="O2621" t="str">
        <f t="shared" si="327"/>
        <v>Large Order</v>
      </c>
      <c r="P2621" s="7">
        <f t="shared" si="321"/>
        <v>4.2284999999999995</v>
      </c>
      <c r="Q2621" s="7" t="str">
        <f>VLOOKUP(D2622,Product_Lookup!$A$2:$C$27,2,FALSE)</f>
        <v>Puzzle</v>
      </c>
      <c r="R2621" s="7">
        <f t="shared" si="322"/>
        <v>507.41999999999996</v>
      </c>
    </row>
    <row r="2622" spans="1:18" ht="21.75" customHeight="1">
      <c r="A2622" t="s">
        <v>2773</v>
      </c>
      <c r="B2622" s="6">
        <v>45339</v>
      </c>
      <c r="C2622" t="s">
        <v>736</v>
      </c>
      <c r="D2622" t="s">
        <v>62</v>
      </c>
      <c r="E2622" t="s">
        <v>17</v>
      </c>
      <c r="F2622" t="s">
        <v>27</v>
      </c>
      <c r="G2622" t="s">
        <v>36</v>
      </c>
      <c r="H2622">
        <v>3</v>
      </c>
      <c r="I2622" t="str">
        <f>VLOOKUP(D2622,Product_Lookup!$A$2:$C$27,3,FALSE)</f>
        <v>$46.19</v>
      </c>
      <c r="J2622" t="str">
        <f t="shared" si="323"/>
        <v>Saturday</v>
      </c>
      <c r="K2622" s="10" t="str">
        <f t="shared" si="324"/>
        <v>February</v>
      </c>
      <c r="L2622">
        <f t="shared" si="325"/>
        <v>2024</v>
      </c>
      <c r="M2622" t="b">
        <f t="shared" si="326"/>
        <v>1</v>
      </c>
      <c r="N2622" t="b">
        <f t="shared" si="320"/>
        <v>0</v>
      </c>
      <c r="O2622" t="str">
        <f t="shared" si="327"/>
        <v>Standard order</v>
      </c>
      <c r="P2622" s="7">
        <f t="shared" si="321"/>
        <v>2.3094999999999999</v>
      </c>
      <c r="Q2622" s="7" t="str">
        <f>VLOOKUP(D2623,Product_Lookup!$A$2:$C$27,2,FALSE)</f>
        <v>T-Shirt</v>
      </c>
      <c r="R2622" s="7">
        <f t="shared" si="322"/>
        <v>138.57</v>
      </c>
    </row>
    <row r="2623" spans="1:18" ht="21.75" customHeight="1">
      <c r="A2623" t="s">
        <v>2774</v>
      </c>
      <c r="B2623" s="6">
        <v>45388</v>
      </c>
      <c r="C2623" t="s">
        <v>309</v>
      </c>
      <c r="D2623" t="s">
        <v>45</v>
      </c>
      <c r="E2623" t="s">
        <v>17</v>
      </c>
      <c r="F2623" t="s">
        <v>42</v>
      </c>
      <c r="G2623" t="s">
        <v>32</v>
      </c>
      <c r="H2623">
        <v>17</v>
      </c>
      <c r="I2623" t="str">
        <f>VLOOKUP(D2623,Product_Lookup!$A$2:$C$27,3,FALSE)</f>
        <v>$107.34</v>
      </c>
      <c r="J2623" t="str">
        <f t="shared" si="323"/>
        <v>Saturday</v>
      </c>
      <c r="K2623" s="10" t="str">
        <f t="shared" si="324"/>
        <v>April</v>
      </c>
      <c r="L2623">
        <f t="shared" si="325"/>
        <v>2024</v>
      </c>
      <c r="M2623" t="b">
        <f t="shared" si="326"/>
        <v>1</v>
      </c>
      <c r="N2623" t="b">
        <f t="shared" si="320"/>
        <v>1</v>
      </c>
      <c r="O2623" t="str">
        <f t="shared" si="327"/>
        <v>Large Order</v>
      </c>
      <c r="P2623" s="7">
        <f t="shared" si="321"/>
        <v>5.3670000000000009</v>
      </c>
      <c r="Q2623" s="7" t="str">
        <f>VLOOKUP(D2624,Product_Lookup!$A$2:$C$27,2,FALSE)</f>
        <v>Desk Lamp</v>
      </c>
      <c r="R2623" s="7">
        <f t="shared" si="322"/>
        <v>1824.78</v>
      </c>
    </row>
    <row r="2624" spans="1:18" ht="21.75" customHeight="1">
      <c r="A2624" t="s">
        <v>2775</v>
      </c>
      <c r="B2624" s="6">
        <v>45629</v>
      </c>
      <c r="C2624" t="s">
        <v>159</v>
      </c>
      <c r="D2624" t="s">
        <v>59</v>
      </c>
      <c r="E2624" t="s">
        <v>17</v>
      </c>
      <c r="F2624" t="s">
        <v>27</v>
      </c>
      <c r="G2624" t="s">
        <v>13</v>
      </c>
      <c r="H2624">
        <v>4</v>
      </c>
      <c r="I2624" t="str">
        <f>VLOOKUP(D2624,Product_Lookup!$A$2:$C$27,3,FALSE)</f>
        <v>$101.96</v>
      </c>
      <c r="J2624" t="str">
        <f t="shared" si="323"/>
        <v>Tuesday</v>
      </c>
      <c r="K2624" s="10" t="str">
        <f t="shared" si="324"/>
        <v>December</v>
      </c>
      <c r="L2624">
        <f t="shared" si="325"/>
        <v>2024</v>
      </c>
      <c r="M2624" t="b">
        <f t="shared" si="326"/>
        <v>0</v>
      </c>
      <c r="N2624" t="b">
        <f t="shared" si="320"/>
        <v>0</v>
      </c>
      <c r="O2624" t="str">
        <f t="shared" si="327"/>
        <v>Standard order</v>
      </c>
      <c r="P2624" s="7">
        <f t="shared" si="321"/>
        <v>5.0979999999999999</v>
      </c>
      <c r="Q2624" s="7" t="str">
        <f>VLOOKUP(D2625,Product_Lookup!$A$2:$C$27,2,FALSE)</f>
        <v>Sweater</v>
      </c>
      <c r="R2624" s="7">
        <f t="shared" si="322"/>
        <v>407.84</v>
      </c>
    </row>
    <row r="2625" spans="1:18" ht="21.75" customHeight="1">
      <c r="A2625" t="s">
        <v>2776</v>
      </c>
      <c r="B2625" s="6">
        <v>45468</v>
      </c>
      <c r="C2625" t="s">
        <v>167</v>
      </c>
      <c r="D2625" t="s">
        <v>26</v>
      </c>
      <c r="E2625" t="s">
        <v>22</v>
      </c>
      <c r="F2625" t="s">
        <v>56</v>
      </c>
      <c r="G2625" t="s">
        <v>23</v>
      </c>
      <c r="H2625">
        <v>10</v>
      </c>
      <c r="I2625" t="str">
        <f>VLOOKUP(D2625,Product_Lookup!$A$2:$C$27,3,FALSE)</f>
        <v>$84.57</v>
      </c>
      <c r="J2625" t="str">
        <f t="shared" si="323"/>
        <v>Tuesday</v>
      </c>
      <c r="K2625" s="10" t="str">
        <f t="shared" si="324"/>
        <v>June</v>
      </c>
      <c r="L2625">
        <f t="shared" si="325"/>
        <v>2024</v>
      </c>
      <c r="M2625" t="b">
        <f t="shared" si="326"/>
        <v>0</v>
      </c>
      <c r="N2625" t="b">
        <f t="shared" si="320"/>
        <v>1</v>
      </c>
      <c r="O2625" t="str">
        <f t="shared" si="327"/>
        <v>Large Order</v>
      </c>
      <c r="P2625" s="7">
        <f t="shared" si="321"/>
        <v>4.2284999999999995</v>
      </c>
      <c r="Q2625" s="7" t="str">
        <f>VLOOKUP(D2626,Product_Lookup!$A$2:$C$27,2,FALSE)</f>
        <v>Laptop</v>
      </c>
      <c r="R2625" s="7">
        <f t="shared" si="322"/>
        <v>845.69999999999993</v>
      </c>
    </row>
    <row r="2626" spans="1:18" ht="21.75" customHeight="1">
      <c r="A2626" t="s">
        <v>2777</v>
      </c>
      <c r="B2626" s="6">
        <v>45378</v>
      </c>
      <c r="C2626" t="s">
        <v>374</v>
      </c>
      <c r="D2626" t="s">
        <v>96</v>
      </c>
      <c r="E2626" t="s">
        <v>11</v>
      </c>
      <c r="F2626" t="s">
        <v>12</v>
      </c>
      <c r="G2626" t="s">
        <v>23</v>
      </c>
      <c r="H2626">
        <v>17</v>
      </c>
      <c r="I2626" t="str">
        <f>VLOOKUP(D2626,Product_Lookup!$A$2:$C$27,3,FALSE)</f>
        <v>$230.68</v>
      </c>
      <c r="J2626" t="str">
        <f t="shared" si="323"/>
        <v>Wednesday</v>
      </c>
      <c r="K2626" s="10" t="str">
        <f t="shared" si="324"/>
        <v>March</v>
      </c>
      <c r="L2626">
        <f t="shared" si="325"/>
        <v>2024</v>
      </c>
      <c r="M2626" t="b">
        <f t="shared" si="326"/>
        <v>0</v>
      </c>
      <c r="N2626" t="b">
        <f t="shared" ref="N2626:N2689" si="328">AND(R2626&gt;750, H2626&gt;5)</f>
        <v>1</v>
      </c>
      <c r="O2626" t="str">
        <f t="shared" si="327"/>
        <v>Large Order</v>
      </c>
      <c r="P2626" s="7">
        <f t="shared" ref="P2626:P2689" si="329">I2626*$S$2</f>
        <v>11.534000000000001</v>
      </c>
      <c r="Q2626" s="7" t="str">
        <f>VLOOKUP(D2627,Product_Lookup!$A$2:$C$27,2,FALSE)</f>
        <v>Vacuum</v>
      </c>
      <c r="R2626" s="7">
        <f t="shared" ref="R2626:R2689" si="330">H2626*I2626</f>
        <v>3921.56</v>
      </c>
    </row>
    <row r="2627" spans="1:18" ht="21.75" customHeight="1">
      <c r="A2627" t="s">
        <v>2778</v>
      </c>
      <c r="B2627" s="6">
        <v>45439</v>
      </c>
      <c r="C2627" t="s">
        <v>388</v>
      </c>
      <c r="D2627" t="s">
        <v>87</v>
      </c>
      <c r="E2627" t="s">
        <v>11</v>
      </c>
      <c r="F2627" t="s">
        <v>56</v>
      </c>
      <c r="G2627" t="s">
        <v>32</v>
      </c>
      <c r="H2627">
        <v>6</v>
      </c>
      <c r="I2627" t="str">
        <f>VLOOKUP(D2627,Product_Lookup!$A$2:$C$27,3,FALSE)</f>
        <v>$26.59</v>
      </c>
      <c r="J2627" t="str">
        <f t="shared" ref="J2627:J2690" si="331">TEXT(B2627, "dddd")</f>
        <v>Monday</v>
      </c>
      <c r="K2627" s="10" t="str">
        <f t="shared" ref="K2627:K2690" si="332">TEXT(B2627, "mmmm")</f>
        <v>May</v>
      </c>
      <c r="L2627">
        <f t="shared" ref="L2627:L2690" si="333">YEAR(B2627)</f>
        <v>2024</v>
      </c>
      <c r="M2627" t="b">
        <f t="shared" ref="M2627:M2690" si="334">OR(J2627="Saturday", J2627="Sunday")</f>
        <v>0</v>
      </c>
      <c r="N2627" t="b">
        <f t="shared" si="328"/>
        <v>0</v>
      </c>
      <c r="O2627" t="str">
        <f t="shared" ref="O2627:O2690" si="335">IF(R2627&gt;500,"Large Order","Standard order")</f>
        <v>Standard order</v>
      </c>
      <c r="P2627" s="7">
        <f t="shared" si="329"/>
        <v>1.3295000000000001</v>
      </c>
      <c r="Q2627" s="7" t="str">
        <f>VLOOKUP(D2628,Product_Lookup!$A$2:$C$27,2,FALSE)</f>
        <v>T-Shirt</v>
      </c>
      <c r="R2627" s="7">
        <f t="shared" si="330"/>
        <v>159.54</v>
      </c>
    </row>
    <row r="2628" spans="1:18" ht="21.75" customHeight="1">
      <c r="A2628" t="s">
        <v>2779</v>
      </c>
      <c r="B2628" s="6">
        <v>45393</v>
      </c>
      <c r="C2628" t="s">
        <v>374</v>
      </c>
      <c r="D2628" t="s">
        <v>45</v>
      </c>
      <c r="E2628" t="s">
        <v>22</v>
      </c>
      <c r="F2628" t="s">
        <v>12</v>
      </c>
      <c r="G2628" t="s">
        <v>23</v>
      </c>
      <c r="H2628">
        <v>19</v>
      </c>
      <c r="I2628" t="str">
        <f>VLOOKUP(D2628,Product_Lookup!$A$2:$C$27,3,FALSE)</f>
        <v>$107.34</v>
      </c>
      <c r="J2628" t="str">
        <f t="shared" si="331"/>
        <v>Thursday</v>
      </c>
      <c r="K2628" s="10" t="str">
        <f t="shared" si="332"/>
        <v>April</v>
      </c>
      <c r="L2628">
        <f t="shared" si="333"/>
        <v>2024</v>
      </c>
      <c r="M2628" t="b">
        <f t="shared" si="334"/>
        <v>0</v>
      </c>
      <c r="N2628" t="b">
        <f t="shared" si="328"/>
        <v>1</v>
      </c>
      <c r="O2628" t="str">
        <f t="shared" si="335"/>
        <v>Large Order</v>
      </c>
      <c r="P2628" s="7">
        <f t="shared" si="329"/>
        <v>5.3670000000000009</v>
      </c>
      <c r="Q2628" s="7" t="str">
        <f>VLOOKUP(D2629,Product_Lookup!$A$2:$C$27,2,FALSE)</f>
        <v>Smartphone</v>
      </c>
      <c r="R2628" s="7">
        <f t="shared" si="330"/>
        <v>2039.46</v>
      </c>
    </row>
    <row r="2629" spans="1:18" ht="21.75" customHeight="1">
      <c r="A2629" t="s">
        <v>2780</v>
      </c>
      <c r="B2629" s="6">
        <v>45387</v>
      </c>
      <c r="C2629" t="s">
        <v>104</v>
      </c>
      <c r="D2629" t="s">
        <v>79</v>
      </c>
      <c r="E2629" t="s">
        <v>22</v>
      </c>
      <c r="F2629" t="s">
        <v>56</v>
      </c>
      <c r="G2629" t="s">
        <v>28</v>
      </c>
      <c r="H2629">
        <v>9</v>
      </c>
      <c r="I2629" t="str">
        <f>VLOOKUP(D2629,Product_Lookup!$A$2:$C$27,3,FALSE)</f>
        <v>$216.22</v>
      </c>
      <c r="J2629" t="str">
        <f t="shared" si="331"/>
        <v>Friday</v>
      </c>
      <c r="K2629" s="10" t="str">
        <f t="shared" si="332"/>
        <v>April</v>
      </c>
      <c r="L2629">
        <f t="shared" si="333"/>
        <v>2024</v>
      </c>
      <c r="M2629" t="b">
        <f t="shared" si="334"/>
        <v>0</v>
      </c>
      <c r="N2629" t="b">
        <f t="shared" si="328"/>
        <v>1</v>
      </c>
      <c r="O2629" t="str">
        <f t="shared" si="335"/>
        <v>Large Order</v>
      </c>
      <c r="P2629" s="7">
        <f t="shared" si="329"/>
        <v>10.811</v>
      </c>
      <c r="Q2629" s="7" t="str">
        <f>VLOOKUP(D2630,Product_Lookup!$A$2:$C$27,2,FALSE)</f>
        <v>Action Figure</v>
      </c>
      <c r="R2629" s="7">
        <f t="shared" si="330"/>
        <v>1945.98</v>
      </c>
    </row>
    <row r="2630" spans="1:18" ht="21.75" customHeight="1">
      <c r="A2630" t="s">
        <v>2781</v>
      </c>
      <c r="B2630" s="6">
        <v>45501</v>
      </c>
      <c r="C2630" t="s">
        <v>396</v>
      </c>
      <c r="D2630" t="s">
        <v>21</v>
      </c>
      <c r="E2630" t="s">
        <v>22</v>
      </c>
      <c r="F2630" t="s">
        <v>12</v>
      </c>
      <c r="G2630" t="s">
        <v>28</v>
      </c>
      <c r="H2630">
        <v>3</v>
      </c>
      <c r="I2630" t="str">
        <f>VLOOKUP(D2630,Product_Lookup!$A$2:$C$27,3,FALSE)</f>
        <v>$88.18</v>
      </c>
      <c r="J2630" t="str">
        <f t="shared" si="331"/>
        <v>Sunday</v>
      </c>
      <c r="K2630" s="10" t="str">
        <f t="shared" si="332"/>
        <v>July</v>
      </c>
      <c r="L2630">
        <f t="shared" si="333"/>
        <v>2024</v>
      </c>
      <c r="M2630" t="b">
        <f t="shared" si="334"/>
        <v>1</v>
      </c>
      <c r="N2630" t="b">
        <f t="shared" si="328"/>
        <v>0</v>
      </c>
      <c r="O2630" t="str">
        <f t="shared" si="335"/>
        <v>Standard order</v>
      </c>
      <c r="P2630" s="7">
        <f t="shared" si="329"/>
        <v>4.4090000000000007</v>
      </c>
      <c r="Q2630" s="7" t="str">
        <f>VLOOKUP(D2631,Product_Lookup!$A$2:$C$27,2,FALSE)</f>
        <v>Sweater</v>
      </c>
      <c r="R2630" s="7">
        <f t="shared" si="330"/>
        <v>264.54000000000002</v>
      </c>
    </row>
    <row r="2631" spans="1:18" ht="21.75" customHeight="1">
      <c r="A2631" t="s">
        <v>2782</v>
      </c>
      <c r="B2631" s="6">
        <v>45485</v>
      </c>
      <c r="C2631" t="s">
        <v>114</v>
      </c>
      <c r="D2631" t="s">
        <v>26</v>
      </c>
      <c r="E2631" t="s">
        <v>11</v>
      </c>
      <c r="F2631" t="s">
        <v>42</v>
      </c>
      <c r="G2631" t="s">
        <v>13</v>
      </c>
      <c r="H2631">
        <v>19</v>
      </c>
      <c r="I2631" t="str">
        <f>VLOOKUP(D2631,Product_Lookup!$A$2:$C$27,3,FALSE)</f>
        <v>$84.57</v>
      </c>
      <c r="J2631" t="str">
        <f t="shared" si="331"/>
        <v>Friday</v>
      </c>
      <c r="K2631" s="10" t="str">
        <f t="shared" si="332"/>
        <v>July</v>
      </c>
      <c r="L2631">
        <f t="shared" si="333"/>
        <v>2024</v>
      </c>
      <c r="M2631" t="b">
        <f t="shared" si="334"/>
        <v>0</v>
      </c>
      <c r="N2631" t="b">
        <f t="shared" si="328"/>
        <v>1</v>
      </c>
      <c r="O2631" t="str">
        <f t="shared" si="335"/>
        <v>Large Order</v>
      </c>
      <c r="P2631" s="7">
        <f t="shared" si="329"/>
        <v>4.2284999999999995</v>
      </c>
      <c r="Q2631" s="7" t="str">
        <f>VLOOKUP(D2632,Product_Lookup!$A$2:$C$27,2,FALSE)</f>
        <v>Doll</v>
      </c>
      <c r="R2631" s="7">
        <f t="shared" si="330"/>
        <v>1606.83</v>
      </c>
    </row>
    <row r="2632" spans="1:18" ht="21.75" customHeight="1">
      <c r="A2632" t="s">
        <v>2783</v>
      </c>
      <c r="B2632" s="6">
        <v>45540</v>
      </c>
      <c r="C2632" t="s">
        <v>422</v>
      </c>
      <c r="D2632" t="s">
        <v>119</v>
      </c>
      <c r="E2632" t="s">
        <v>11</v>
      </c>
      <c r="F2632" t="s">
        <v>12</v>
      </c>
      <c r="G2632" t="s">
        <v>13</v>
      </c>
      <c r="H2632">
        <v>9</v>
      </c>
      <c r="I2632" t="str">
        <f>VLOOKUP(D2632,Product_Lookup!$A$2:$C$27,3,FALSE)</f>
        <v>$32.94</v>
      </c>
      <c r="J2632" t="str">
        <f t="shared" si="331"/>
        <v>Thursday</v>
      </c>
      <c r="K2632" s="10" t="str">
        <f t="shared" si="332"/>
        <v>September</v>
      </c>
      <c r="L2632">
        <f t="shared" si="333"/>
        <v>2024</v>
      </c>
      <c r="M2632" t="b">
        <f t="shared" si="334"/>
        <v>0</v>
      </c>
      <c r="N2632" t="b">
        <f t="shared" si="328"/>
        <v>0</v>
      </c>
      <c r="O2632" t="str">
        <f t="shared" si="335"/>
        <v>Standard order</v>
      </c>
      <c r="P2632" s="7">
        <f t="shared" si="329"/>
        <v>1.647</v>
      </c>
      <c r="Q2632" s="7" t="str">
        <f>VLOOKUP(D2633,Product_Lookup!$A$2:$C$27,2,FALSE)</f>
        <v>Desk Lamp</v>
      </c>
      <c r="R2632" s="7">
        <f t="shared" si="330"/>
        <v>296.45999999999998</v>
      </c>
    </row>
    <row r="2633" spans="1:18" ht="21.75" customHeight="1">
      <c r="A2633" t="s">
        <v>2784</v>
      </c>
      <c r="B2633" s="6">
        <v>45295</v>
      </c>
      <c r="C2633" t="s">
        <v>317</v>
      </c>
      <c r="D2633" t="s">
        <v>59</v>
      </c>
      <c r="E2633" t="s">
        <v>11</v>
      </c>
      <c r="F2633" t="s">
        <v>12</v>
      </c>
      <c r="G2633" t="s">
        <v>28</v>
      </c>
      <c r="H2633">
        <v>17</v>
      </c>
      <c r="I2633" t="str">
        <f>VLOOKUP(D2633,Product_Lookup!$A$2:$C$27,3,FALSE)</f>
        <v>$101.96</v>
      </c>
      <c r="J2633" t="str">
        <f t="shared" si="331"/>
        <v>Thursday</v>
      </c>
      <c r="K2633" s="10" t="str">
        <f t="shared" si="332"/>
        <v>January</v>
      </c>
      <c r="L2633">
        <f t="shared" si="333"/>
        <v>2024</v>
      </c>
      <c r="M2633" t="b">
        <f t="shared" si="334"/>
        <v>0</v>
      </c>
      <c r="N2633" t="b">
        <f t="shared" si="328"/>
        <v>1</v>
      </c>
      <c r="O2633" t="str">
        <f t="shared" si="335"/>
        <v>Large Order</v>
      </c>
      <c r="P2633" s="7">
        <f t="shared" si="329"/>
        <v>5.0979999999999999</v>
      </c>
      <c r="Q2633" s="7" t="str">
        <f>VLOOKUP(D2634,Product_Lookup!$A$2:$C$27,2,FALSE)</f>
        <v>Notebook</v>
      </c>
      <c r="R2633" s="7">
        <f t="shared" si="330"/>
        <v>1733.32</v>
      </c>
    </row>
    <row r="2634" spans="1:18" ht="21.75" customHeight="1">
      <c r="A2634" t="s">
        <v>2785</v>
      </c>
      <c r="B2634" s="6">
        <v>45484</v>
      </c>
      <c r="C2634" t="s">
        <v>493</v>
      </c>
      <c r="D2634" t="s">
        <v>160</v>
      </c>
      <c r="E2634" t="s">
        <v>17</v>
      </c>
      <c r="F2634" t="s">
        <v>27</v>
      </c>
      <c r="G2634" t="s">
        <v>23</v>
      </c>
      <c r="H2634">
        <v>11</v>
      </c>
      <c r="I2634" t="str">
        <f>VLOOKUP(D2634,Product_Lookup!$A$2:$C$27,3,FALSE)</f>
        <v>$149.27</v>
      </c>
      <c r="J2634" t="str">
        <f t="shared" si="331"/>
        <v>Thursday</v>
      </c>
      <c r="K2634" s="10" t="str">
        <f t="shared" si="332"/>
        <v>July</v>
      </c>
      <c r="L2634">
        <f t="shared" si="333"/>
        <v>2024</v>
      </c>
      <c r="M2634" t="b">
        <f t="shared" si="334"/>
        <v>0</v>
      </c>
      <c r="N2634" t="b">
        <f t="shared" si="328"/>
        <v>1</v>
      </c>
      <c r="O2634" t="str">
        <f t="shared" si="335"/>
        <v>Large Order</v>
      </c>
      <c r="P2634" s="7">
        <f t="shared" si="329"/>
        <v>7.4635000000000007</v>
      </c>
      <c r="Q2634" s="7" t="str">
        <f>VLOOKUP(D2635,Product_Lookup!$A$2:$C$27,2,FALSE)</f>
        <v>Board Game</v>
      </c>
      <c r="R2634" s="7">
        <f t="shared" si="330"/>
        <v>1641.97</v>
      </c>
    </row>
    <row r="2635" spans="1:18" ht="21.75" customHeight="1">
      <c r="A2635" t="s">
        <v>2786</v>
      </c>
      <c r="B2635" s="6">
        <v>45464</v>
      </c>
      <c r="C2635" t="s">
        <v>200</v>
      </c>
      <c r="D2635" t="s">
        <v>41</v>
      </c>
      <c r="E2635" t="s">
        <v>17</v>
      </c>
      <c r="F2635" t="s">
        <v>42</v>
      </c>
      <c r="G2635" t="s">
        <v>28</v>
      </c>
      <c r="H2635">
        <v>12</v>
      </c>
      <c r="I2635" t="str">
        <f>VLOOKUP(D2635,Product_Lookup!$A$2:$C$27,3,FALSE)</f>
        <v>$86.6</v>
      </c>
      <c r="J2635" t="str">
        <f t="shared" si="331"/>
        <v>Friday</v>
      </c>
      <c r="K2635" s="10" t="str">
        <f t="shared" si="332"/>
        <v>June</v>
      </c>
      <c r="L2635">
        <f t="shared" si="333"/>
        <v>2024</v>
      </c>
      <c r="M2635" t="b">
        <f t="shared" si="334"/>
        <v>0</v>
      </c>
      <c r="N2635" t="b">
        <f t="shared" si="328"/>
        <v>1</v>
      </c>
      <c r="O2635" t="str">
        <f t="shared" si="335"/>
        <v>Large Order</v>
      </c>
      <c r="P2635" s="7">
        <f t="shared" si="329"/>
        <v>4.33</v>
      </c>
      <c r="Q2635" s="7" t="str">
        <f>VLOOKUP(D2636,Product_Lookup!$A$2:$C$27,2,FALSE)</f>
        <v>Smartphone</v>
      </c>
      <c r="R2635" s="7">
        <f t="shared" si="330"/>
        <v>1039.1999999999998</v>
      </c>
    </row>
    <row r="2636" spans="1:18" ht="21.75" customHeight="1">
      <c r="A2636" t="s">
        <v>2787</v>
      </c>
      <c r="B2636" s="6">
        <v>45485</v>
      </c>
      <c r="C2636" t="s">
        <v>594</v>
      </c>
      <c r="D2636" t="s">
        <v>79</v>
      </c>
      <c r="E2636" t="s">
        <v>17</v>
      </c>
      <c r="F2636" t="s">
        <v>42</v>
      </c>
      <c r="G2636" t="s">
        <v>13</v>
      </c>
      <c r="H2636">
        <v>1</v>
      </c>
      <c r="I2636" t="str">
        <f>VLOOKUP(D2636,Product_Lookup!$A$2:$C$27,3,FALSE)</f>
        <v>$216.22</v>
      </c>
      <c r="J2636" t="str">
        <f t="shared" si="331"/>
        <v>Friday</v>
      </c>
      <c r="K2636" s="10" t="str">
        <f t="shared" si="332"/>
        <v>July</v>
      </c>
      <c r="L2636">
        <f t="shared" si="333"/>
        <v>2024</v>
      </c>
      <c r="M2636" t="b">
        <f t="shared" si="334"/>
        <v>0</v>
      </c>
      <c r="N2636" t="b">
        <f t="shared" si="328"/>
        <v>0</v>
      </c>
      <c r="O2636" t="str">
        <f t="shared" si="335"/>
        <v>Standard order</v>
      </c>
      <c r="P2636" s="7">
        <f t="shared" si="329"/>
        <v>10.811</v>
      </c>
      <c r="Q2636" s="7" t="str">
        <f>VLOOKUP(D2637,Product_Lookup!$A$2:$C$27,2,FALSE)</f>
        <v>Lego Set</v>
      </c>
      <c r="R2636" s="7">
        <f t="shared" si="330"/>
        <v>216.22</v>
      </c>
    </row>
    <row r="2637" spans="1:18" ht="21.75" customHeight="1">
      <c r="A2637" t="s">
        <v>2788</v>
      </c>
      <c r="B2637" s="6">
        <v>45649</v>
      </c>
      <c r="C2637" t="s">
        <v>341</v>
      </c>
      <c r="D2637" t="s">
        <v>84</v>
      </c>
      <c r="E2637" t="s">
        <v>11</v>
      </c>
      <c r="F2637" t="s">
        <v>12</v>
      </c>
      <c r="G2637" t="s">
        <v>36</v>
      </c>
      <c r="H2637">
        <v>4</v>
      </c>
      <c r="I2637" t="str">
        <f>VLOOKUP(D2637,Product_Lookup!$A$2:$C$27,3,FALSE)</f>
        <v>$130.07</v>
      </c>
      <c r="J2637" t="str">
        <f t="shared" si="331"/>
        <v>Monday</v>
      </c>
      <c r="K2637" s="10" t="str">
        <f t="shared" si="332"/>
        <v>December</v>
      </c>
      <c r="L2637">
        <f t="shared" si="333"/>
        <v>2024</v>
      </c>
      <c r="M2637" t="b">
        <f t="shared" si="334"/>
        <v>0</v>
      </c>
      <c r="N2637" t="b">
        <f t="shared" si="328"/>
        <v>0</v>
      </c>
      <c r="O2637" t="str">
        <f t="shared" si="335"/>
        <v>Large Order</v>
      </c>
      <c r="P2637" s="7">
        <f t="shared" si="329"/>
        <v>6.5034999999999998</v>
      </c>
      <c r="Q2637" s="7" t="str">
        <f>VLOOKUP(D2638,Product_Lookup!$A$2:$C$27,2,FALSE)</f>
        <v>Doll</v>
      </c>
      <c r="R2637" s="7">
        <f t="shared" si="330"/>
        <v>520.28</v>
      </c>
    </row>
    <row r="2638" spans="1:18" ht="21.75" customHeight="1">
      <c r="A2638" t="s">
        <v>2789</v>
      </c>
      <c r="B2638" s="6">
        <v>45435</v>
      </c>
      <c r="C2638" t="s">
        <v>424</v>
      </c>
      <c r="D2638" t="s">
        <v>119</v>
      </c>
      <c r="E2638" t="s">
        <v>11</v>
      </c>
      <c r="F2638" t="s">
        <v>42</v>
      </c>
      <c r="G2638" t="s">
        <v>23</v>
      </c>
      <c r="H2638">
        <v>20</v>
      </c>
      <c r="I2638" t="str">
        <f>VLOOKUP(D2638,Product_Lookup!$A$2:$C$27,3,FALSE)</f>
        <v>$32.94</v>
      </c>
      <c r="J2638" t="str">
        <f t="shared" si="331"/>
        <v>Thursday</v>
      </c>
      <c r="K2638" s="10" t="str">
        <f t="shared" si="332"/>
        <v>May</v>
      </c>
      <c r="L2638">
        <f t="shared" si="333"/>
        <v>2024</v>
      </c>
      <c r="M2638" t="b">
        <f t="shared" si="334"/>
        <v>0</v>
      </c>
      <c r="N2638" t="b">
        <f t="shared" si="328"/>
        <v>0</v>
      </c>
      <c r="O2638" t="str">
        <f t="shared" si="335"/>
        <v>Large Order</v>
      </c>
      <c r="P2638" s="7">
        <f t="shared" si="329"/>
        <v>1.647</v>
      </c>
      <c r="Q2638" s="7" t="str">
        <f>VLOOKUP(D2639,Product_Lookup!$A$2:$C$27,2,FALSE)</f>
        <v>Vacuum</v>
      </c>
      <c r="R2638" s="7">
        <f t="shared" si="330"/>
        <v>658.8</v>
      </c>
    </row>
    <row r="2639" spans="1:18" ht="21.75" customHeight="1">
      <c r="A2639" t="s">
        <v>2790</v>
      </c>
      <c r="B2639" s="6">
        <v>45535</v>
      </c>
      <c r="C2639" t="s">
        <v>345</v>
      </c>
      <c r="D2639" t="s">
        <v>87</v>
      </c>
      <c r="E2639" t="s">
        <v>22</v>
      </c>
      <c r="F2639" t="s">
        <v>56</v>
      </c>
      <c r="G2639" t="s">
        <v>13</v>
      </c>
      <c r="H2639">
        <v>11</v>
      </c>
      <c r="I2639" t="str">
        <f>VLOOKUP(D2639,Product_Lookup!$A$2:$C$27,3,FALSE)</f>
        <v>$26.59</v>
      </c>
      <c r="J2639" t="str">
        <f t="shared" si="331"/>
        <v>Saturday</v>
      </c>
      <c r="K2639" s="10" t="str">
        <f t="shared" si="332"/>
        <v>August</v>
      </c>
      <c r="L2639">
        <f t="shared" si="333"/>
        <v>2024</v>
      </c>
      <c r="M2639" t="b">
        <f t="shared" si="334"/>
        <v>1</v>
      </c>
      <c r="N2639" t="b">
        <f t="shared" si="328"/>
        <v>0</v>
      </c>
      <c r="O2639" t="str">
        <f t="shared" si="335"/>
        <v>Standard order</v>
      </c>
      <c r="P2639" s="7">
        <f t="shared" si="329"/>
        <v>1.3295000000000001</v>
      </c>
      <c r="Q2639" s="7" t="str">
        <f>VLOOKUP(D2640,Product_Lookup!$A$2:$C$27,2,FALSE)</f>
        <v>Lego Set</v>
      </c>
      <c r="R2639" s="7">
        <f t="shared" si="330"/>
        <v>292.49</v>
      </c>
    </row>
    <row r="2640" spans="1:18" ht="21.75" customHeight="1">
      <c r="A2640" t="s">
        <v>2791</v>
      </c>
      <c r="B2640" s="6">
        <v>45476</v>
      </c>
      <c r="C2640" t="s">
        <v>116</v>
      </c>
      <c r="D2640" t="s">
        <v>84</v>
      </c>
      <c r="E2640" t="s">
        <v>17</v>
      </c>
      <c r="F2640" t="s">
        <v>27</v>
      </c>
      <c r="G2640" t="s">
        <v>28</v>
      </c>
      <c r="H2640">
        <v>20</v>
      </c>
      <c r="I2640" t="str">
        <f>VLOOKUP(D2640,Product_Lookup!$A$2:$C$27,3,FALSE)</f>
        <v>$130.07</v>
      </c>
      <c r="J2640" t="str">
        <f t="shared" si="331"/>
        <v>Wednesday</v>
      </c>
      <c r="K2640" s="10" t="str">
        <f t="shared" si="332"/>
        <v>July</v>
      </c>
      <c r="L2640">
        <f t="shared" si="333"/>
        <v>2024</v>
      </c>
      <c r="M2640" t="b">
        <f t="shared" si="334"/>
        <v>0</v>
      </c>
      <c r="N2640" t="b">
        <f t="shared" si="328"/>
        <v>1</v>
      </c>
      <c r="O2640" t="str">
        <f t="shared" si="335"/>
        <v>Large Order</v>
      </c>
      <c r="P2640" s="7">
        <f t="shared" si="329"/>
        <v>6.5034999999999998</v>
      </c>
      <c r="Q2640" s="7" t="str">
        <f>VLOOKUP(D2641,Product_Lookup!$A$2:$C$27,2,FALSE)</f>
        <v>Toaster</v>
      </c>
      <c r="R2640" s="7">
        <f t="shared" si="330"/>
        <v>2601.3999999999996</v>
      </c>
    </row>
    <row r="2641" spans="1:18" ht="21.75" customHeight="1">
      <c r="A2641" t="s">
        <v>2792</v>
      </c>
      <c r="B2641" s="6">
        <v>45605</v>
      </c>
      <c r="C2641" t="s">
        <v>81</v>
      </c>
      <c r="D2641" t="s">
        <v>48</v>
      </c>
      <c r="E2641" t="s">
        <v>17</v>
      </c>
      <c r="F2641" t="s">
        <v>27</v>
      </c>
      <c r="G2641" t="s">
        <v>13</v>
      </c>
      <c r="H2641">
        <v>13</v>
      </c>
      <c r="I2641" t="str">
        <f>VLOOKUP(D2641,Product_Lookup!$A$2:$C$27,3,FALSE)</f>
        <v>$208.85</v>
      </c>
      <c r="J2641" t="str">
        <f t="shared" si="331"/>
        <v>Saturday</v>
      </c>
      <c r="K2641" s="10" t="str">
        <f t="shared" si="332"/>
        <v>November</v>
      </c>
      <c r="L2641">
        <f t="shared" si="333"/>
        <v>2024</v>
      </c>
      <c r="M2641" t="b">
        <f t="shared" si="334"/>
        <v>1</v>
      </c>
      <c r="N2641" t="b">
        <f t="shared" si="328"/>
        <v>1</v>
      </c>
      <c r="O2641" t="str">
        <f t="shared" si="335"/>
        <v>Large Order</v>
      </c>
      <c r="P2641" s="7">
        <f t="shared" si="329"/>
        <v>10.442500000000001</v>
      </c>
      <c r="Q2641" s="7" t="str">
        <f>VLOOKUP(D2642,Product_Lookup!$A$2:$C$27,2,FALSE)</f>
        <v>Headphones</v>
      </c>
      <c r="R2641" s="7">
        <f t="shared" si="330"/>
        <v>2715.0499999999997</v>
      </c>
    </row>
    <row r="2642" spans="1:18" ht="21.75" customHeight="1">
      <c r="A2642" t="s">
        <v>2793</v>
      </c>
      <c r="B2642" s="6">
        <v>45391</v>
      </c>
      <c r="C2642" t="s">
        <v>436</v>
      </c>
      <c r="D2642" t="s">
        <v>16</v>
      </c>
      <c r="E2642" t="s">
        <v>22</v>
      </c>
      <c r="F2642" t="s">
        <v>306</v>
      </c>
      <c r="G2642" t="s">
        <v>36</v>
      </c>
      <c r="H2642">
        <v>2</v>
      </c>
      <c r="I2642" t="str">
        <f>VLOOKUP(D2642,Product_Lookup!$A$2:$C$27,3,FALSE)</f>
        <v>$178.83</v>
      </c>
      <c r="J2642" t="str">
        <f t="shared" si="331"/>
        <v>Tuesday</v>
      </c>
      <c r="K2642" s="10" t="str">
        <f t="shared" si="332"/>
        <v>April</v>
      </c>
      <c r="L2642">
        <f t="shared" si="333"/>
        <v>2024</v>
      </c>
      <c r="M2642" t="b">
        <f t="shared" si="334"/>
        <v>0</v>
      </c>
      <c r="N2642" t="b">
        <f t="shared" si="328"/>
        <v>0</v>
      </c>
      <c r="O2642" t="str">
        <f t="shared" si="335"/>
        <v>Standard order</v>
      </c>
      <c r="P2642" s="7">
        <f t="shared" si="329"/>
        <v>8.9415000000000013</v>
      </c>
      <c r="Q2642" s="7" t="str">
        <f>VLOOKUP(D2643,Product_Lookup!$A$2:$C$27,2,FALSE)</f>
        <v>Board Game</v>
      </c>
      <c r="R2642" s="7">
        <f t="shared" si="330"/>
        <v>357.66</v>
      </c>
    </row>
    <row r="2643" spans="1:18" ht="21.75" customHeight="1">
      <c r="A2643" t="s">
        <v>2794</v>
      </c>
      <c r="B2643" s="6">
        <v>45336</v>
      </c>
      <c r="C2643" t="s">
        <v>68</v>
      </c>
      <c r="D2643" t="s">
        <v>41</v>
      </c>
      <c r="E2643" t="s">
        <v>22</v>
      </c>
      <c r="F2643" t="s">
        <v>27</v>
      </c>
      <c r="G2643" t="s">
        <v>28</v>
      </c>
      <c r="H2643">
        <v>15</v>
      </c>
      <c r="I2643" t="str">
        <f>VLOOKUP(D2643,Product_Lookup!$A$2:$C$27,3,FALSE)</f>
        <v>$86.6</v>
      </c>
      <c r="J2643" t="str">
        <f t="shared" si="331"/>
        <v>Wednesday</v>
      </c>
      <c r="K2643" s="10" t="str">
        <f t="shared" si="332"/>
        <v>February</v>
      </c>
      <c r="L2643">
        <f t="shared" si="333"/>
        <v>2024</v>
      </c>
      <c r="M2643" t="b">
        <f t="shared" si="334"/>
        <v>0</v>
      </c>
      <c r="N2643" t="b">
        <f t="shared" si="328"/>
        <v>1</v>
      </c>
      <c r="O2643" t="str">
        <f t="shared" si="335"/>
        <v>Large Order</v>
      </c>
      <c r="P2643" s="7">
        <f t="shared" si="329"/>
        <v>4.33</v>
      </c>
      <c r="Q2643" s="7" t="str">
        <f>VLOOKUP(D2644,Product_Lookup!$A$2:$C$27,2,FALSE)</f>
        <v>Pen Set</v>
      </c>
      <c r="R2643" s="7">
        <f t="shared" si="330"/>
        <v>1299</v>
      </c>
    </row>
    <row r="2644" spans="1:18" ht="21.75" customHeight="1">
      <c r="A2644" t="s">
        <v>2795</v>
      </c>
      <c r="B2644" s="6">
        <v>45538</v>
      </c>
      <c r="C2644" t="s">
        <v>371</v>
      </c>
      <c r="D2644" t="s">
        <v>174</v>
      </c>
      <c r="E2644" t="s">
        <v>11</v>
      </c>
      <c r="F2644" t="s">
        <v>56</v>
      </c>
      <c r="G2644" t="s">
        <v>28</v>
      </c>
      <c r="H2644">
        <v>6</v>
      </c>
      <c r="I2644" t="str">
        <f>VLOOKUP(D2644,Product_Lookup!$A$2:$C$27,3,FALSE)</f>
        <v>$133.37</v>
      </c>
      <c r="J2644" t="str">
        <f t="shared" si="331"/>
        <v>Tuesday</v>
      </c>
      <c r="K2644" s="10" t="str">
        <f t="shared" si="332"/>
        <v>September</v>
      </c>
      <c r="L2644">
        <f t="shared" si="333"/>
        <v>2024</v>
      </c>
      <c r="M2644" t="b">
        <f t="shared" si="334"/>
        <v>0</v>
      </c>
      <c r="N2644" t="b">
        <f t="shared" si="328"/>
        <v>1</v>
      </c>
      <c r="O2644" t="str">
        <f t="shared" si="335"/>
        <v>Large Order</v>
      </c>
      <c r="P2644" s="7">
        <f t="shared" si="329"/>
        <v>6.6685000000000008</v>
      </c>
      <c r="Q2644" s="7" t="str">
        <f>VLOOKUP(D2645,Product_Lookup!$A$2:$C$27,2,FALSE)</f>
        <v>Tablet</v>
      </c>
      <c r="R2644" s="7">
        <f t="shared" si="330"/>
        <v>800.22</v>
      </c>
    </row>
    <row r="2645" spans="1:18" ht="21.75" customHeight="1">
      <c r="A2645" t="s">
        <v>2796</v>
      </c>
      <c r="B2645" s="6">
        <v>45629</v>
      </c>
      <c r="C2645" t="s">
        <v>424</v>
      </c>
      <c r="D2645" t="s">
        <v>10</v>
      </c>
      <c r="E2645" t="s">
        <v>11</v>
      </c>
      <c r="F2645" t="s">
        <v>27</v>
      </c>
      <c r="G2645" t="s">
        <v>13</v>
      </c>
      <c r="H2645">
        <v>6</v>
      </c>
      <c r="I2645" t="str">
        <f>VLOOKUP(D2645,Product_Lookup!$A$2:$C$27,3,FALSE)</f>
        <v>$146.06</v>
      </c>
      <c r="J2645" t="str">
        <f t="shared" si="331"/>
        <v>Tuesday</v>
      </c>
      <c r="K2645" s="10" t="str">
        <f t="shared" si="332"/>
        <v>December</v>
      </c>
      <c r="L2645">
        <f t="shared" si="333"/>
        <v>2024</v>
      </c>
      <c r="M2645" t="b">
        <f t="shared" si="334"/>
        <v>0</v>
      </c>
      <c r="N2645" t="b">
        <f t="shared" si="328"/>
        <v>1</v>
      </c>
      <c r="O2645" t="str">
        <f t="shared" si="335"/>
        <v>Large Order</v>
      </c>
      <c r="P2645" s="7">
        <f t="shared" si="329"/>
        <v>7.3030000000000008</v>
      </c>
      <c r="Q2645" s="7" t="str">
        <f>VLOOKUP(D2646,Product_Lookup!$A$2:$C$27,2,FALSE)</f>
        <v>Doll</v>
      </c>
      <c r="R2645" s="7">
        <f t="shared" si="330"/>
        <v>876.36</v>
      </c>
    </row>
    <row r="2646" spans="1:18" ht="21.75" customHeight="1">
      <c r="A2646" t="s">
        <v>2797</v>
      </c>
      <c r="B2646" s="6">
        <v>45459</v>
      </c>
      <c r="C2646" t="s">
        <v>53</v>
      </c>
      <c r="D2646" t="s">
        <v>119</v>
      </c>
      <c r="E2646" t="s">
        <v>17</v>
      </c>
      <c r="F2646" t="s">
        <v>56</v>
      </c>
      <c r="G2646" t="s">
        <v>32</v>
      </c>
      <c r="H2646">
        <v>16</v>
      </c>
      <c r="I2646" t="str">
        <f>VLOOKUP(D2646,Product_Lookup!$A$2:$C$27,3,FALSE)</f>
        <v>$32.94</v>
      </c>
      <c r="J2646" t="str">
        <f t="shared" si="331"/>
        <v>Sunday</v>
      </c>
      <c r="K2646" s="10" t="str">
        <f t="shared" si="332"/>
        <v>June</v>
      </c>
      <c r="L2646">
        <f t="shared" si="333"/>
        <v>2024</v>
      </c>
      <c r="M2646" t="b">
        <f t="shared" si="334"/>
        <v>1</v>
      </c>
      <c r="N2646" t="b">
        <f t="shared" si="328"/>
        <v>0</v>
      </c>
      <c r="O2646" t="str">
        <f t="shared" si="335"/>
        <v>Large Order</v>
      </c>
      <c r="P2646" s="7">
        <f t="shared" si="329"/>
        <v>1.647</v>
      </c>
      <c r="Q2646" s="7" t="str">
        <f>VLOOKUP(D2647,Product_Lookup!$A$2:$C$27,2,FALSE)</f>
        <v>Board Game</v>
      </c>
      <c r="R2646" s="7">
        <f t="shared" si="330"/>
        <v>527.04</v>
      </c>
    </row>
    <row r="2647" spans="1:18" ht="21.75" customHeight="1">
      <c r="A2647" t="s">
        <v>2798</v>
      </c>
      <c r="B2647" s="6">
        <v>45635</v>
      </c>
      <c r="C2647" t="s">
        <v>114</v>
      </c>
      <c r="D2647" t="s">
        <v>41</v>
      </c>
      <c r="E2647" t="s">
        <v>11</v>
      </c>
      <c r="F2647" t="s">
        <v>306</v>
      </c>
      <c r="G2647" t="s">
        <v>23</v>
      </c>
      <c r="H2647">
        <v>3</v>
      </c>
      <c r="I2647" t="str">
        <f>VLOOKUP(D2647,Product_Lookup!$A$2:$C$27,3,FALSE)</f>
        <v>$86.6</v>
      </c>
      <c r="J2647" t="str">
        <f t="shared" si="331"/>
        <v>Monday</v>
      </c>
      <c r="K2647" s="10" t="str">
        <f t="shared" si="332"/>
        <v>December</v>
      </c>
      <c r="L2647">
        <f t="shared" si="333"/>
        <v>2024</v>
      </c>
      <c r="M2647" t="b">
        <f t="shared" si="334"/>
        <v>0</v>
      </c>
      <c r="N2647" t="b">
        <f t="shared" si="328"/>
        <v>0</v>
      </c>
      <c r="O2647" t="str">
        <f t="shared" si="335"/>
        <v>Standard order</v>
      </c>
      <c r="P2647" s="7">
        <f t="shared" si="329"/>
        <v>4.33</v>
      </c>
      <c r="Q2647" s="7" t="str">
        <f>VLOOKUP(D2648,Product_Lookup!$A$2:$C$27,2,FALSE)</f>
        <v>Desk Lamp</v>
      </c>
      <c r="R2647" s="7">
        <f t="shared" si="330"/>
        <v>259.79999999999995</v>
      </c>
    </row>
    <row r="2648" spans="1:18" ht="21.75" customHeight="1">
      <c r="A2648" t="s">
        <v>2799</v>
      </c>
      <c r="B2648" s="6">
        <v>45462</v>
      </c>
      <c r="C2648" t="s">
        <v>240</v>
      </c>
      <c r="D2648" t="s">
        <v>59</v>
      </c>
      <c r="E2648" t="s">
        <v>22</v>
      </c>
      <c r="F2648" t="s">
        <v>12</v>
      </c>
      <c r="G2648" t="s">
        <v>32</v>
      </c>
      <c r="H2648">
        <v>13</v>
      </c>
      <c r="I2648" t="str">
        <f>VLOOKUP(D2648,Product_Lookup!$A$2:$C$27,3,FALSE)</f>
        <v>$101.96</v>
      </c>
      <c r="J2648" t="str">
        <f t="shared" si="331"/>
        <v>Wednesday</v>
      </c>
      <c r="K2648" s="10" t="str">
        <f t="shared" si="332"/>
        <v>June</v>
      </c>
      <c r="L2648">
        <f t="shared" si="333"/>
        <v>2024</v>
      </c>
      <c r="M2648" t="b">
        <f t="shared" si="334"/>
        <v>0</v>
      </c>
      <c r="N2648" t="b">
        <f t="shared" si="328"/>
        <v>1</v>
      </c>
      <c r="O2648" t="str">
        <f t="shared" si="335"/>
        <v>Large Order</v>
      </c>
      <c r="P2648" s="7">
        <f t="shared" si="329"/>
        <v>5.0979999999999999</v>
      </c>
      <c r="Q2648" s="7" t="str">
        <f>VLOOKUP(D2649,Product_Lookup!$A$2:$C$27,2,FALSE)</f>
        <v>Action Figure</v>
      </c>
      <c r="R2648" s="7">
        <f t="shared" si="330"/>
        <v>1325.48</v>
      </c>
    </row>
    <row r="2649" spans="1:18" ht="21.75" customHeight="1">
      <c r="A2649" t="s">
        <v>2800</v>
      </c>
      <c r="B2649" s="6">
        <v>45487</v>
      </c>
      <c r="C2649" t="s">
        <v>350</v>
      </c>
      <c r="D2649" t="s">
        <v>21</v>
      </c>
      <c r="E2649" t="s">
        <v>22</v>
      </c>
      <c r="F2649" t="s">
        <v>27</v>
      </c>
      <c r="G2649" t="s">
        <v>28</v>
      </c>
      <c r="H2649">
        <v>8</v>
      </c>
      <c r="I2649" t="str">
        <f>VLOOKUP(D2649,Product_Lookup!$A$2:$C$27,3,FALSE)</f>
        <v>$88.18</v>
      </c>
      <c r="J2649" t="str">
        <f t="shared" si="331"/>
        <v>Sunday</v>
      </c>
      <c r="K2649" s="10" t="str">
        <f t="shared" si="332"/>
        <v>July</v>
      </c>
      <c r="L2649">
        <f t="shared" si="333"/>
        <v>2024</v>
      </c>
      <c r="M2649" t="b">
        <f t="shared" si="334"/>
        <v>1</v>
      </c>
      <c r="N2649" t="b">
        <f t="shared" si="328"/>
        <v>0</v>
      </c>
      <c r="O2649" t="str">
        <f t="shared" si="335"/>
        <v>Large Order</v>
      </c>
      <c r="P2649" s="7">
        <f t="shared" si="329"/>
        <v>4.4090000000000007</v>
      </c>
      <c r="Q2649" s="7" t="str">
        <f>VLOOKUP(D2650,Product_Lookup!$A$2:$C$27,2,FALSE)</f>
        <v>Monitor</v>
      </c>
      <c r="R2649" s="7">
        <f t="shared" si="330"/>
        <v>705.44</v>
      </c>
    </row>
    <row r="2650" spans="1:18" ht="21.75" customHeight="1">
      <c r="A2650" t="s">
        <v>2801</v>
      </c>
      <c r="B2650" s="6">
        <v>45440</v>
      </c>
      <c r="C2650" t="s">
        <v>203</v>
      </c>
      <c r="D2650" t="s">
        <v>102</v>
      </c>
      <c r="E2650" t="s">
        <v>11</v>
      </c>
      <c r="F2650" t="s">
        <v>42</v>
      </c>
      <c r="G2650" t="s">
        <v>36</v>
      </c>
      <c r="H2650">
        <v>7</v>
      </c>
      <c r="I2650" t="str">
        <f>VLOOKUP(D2650,Product_Lookup!$A$2:$C$27,3,FALSE)</f>
        <v>$145.48</v>
      </c>
      <c r="J2650" t="str">
        <f t="shared" si="331"/>
        <v>Tuesday</v>
      </c>
      <c r="K2650" s="10" t="str">
        <f t="shared" si="332"/>
        <v>May</v>
      </c>
      <c r="L2650">
        <f t="shared" si="333"/>
        <v>2024</v>
      </c>
      <c r="M2650" t="b">
        <f t="shared" si="334"/>
        <v>0</v>
      </c>
      <c r="N2650" t="b">
        <f t="shared" si="328"/>
        <v>1</v>
      </c>
      <c r="O2650" t="str">
        <f t="shared" si="335"/>
        <v>Large Order</v>
      </c>
      <c r="P2650" s="7">
        <f t="shared" si="329"/>
        <v>7.274</v>
      </c>
      <c r="Q2650" s="7" t="str">
        <f>VLOOKUP(D2651,Product_Lookup!$A$2:$C$27,2,FALSE)</f>
        <v>Toaster</v>
      </c>
      <c r="R2650" s="7">
        <f t="shared" si="330"/>
        <v>1018.3599999999999</v>
      </c>
    </row>
    <row r="2651" spans="1:18" ht="21.75" customHeight="1">
      <c r="A2651" t="s">
        <v>2802</v>
      </c>
      <c r="B2651" s="6">
        <v>45351</v>
      </c>
      <c r="C2651" t="s">
        <v>314</v>
      </c>
      <c r="D2651" t="s">
        <v>48</v>
      </c>
      <c r="E2651" t="s">
        <v>11</v>
      </c>
      <c r="F2651" t="s">
        <v>42</v>
      </c>
      <c r="G2651" t="s">
        <v>23</v>
      </c>
      <c r="H2651">
        <v>19</v>
      </c>
      <c r="I2651" t="str">
        <f>VLOOKUP(D2651,Product_Lookup!$A$2:$C$27,3,FALSE)</f>
        <v>$208.85</v>
      </c>
      <c r="J2651" t="str">
        <f t="shared" si="331"/>
        <v>Thursday</v>
      </c>
      <c r="K2651" s="10" t="str">
        <f t="shared" si="332"/>
        <v>February</v>
      </c>
      <c r="L2651">
        <f t="shared" si="333"/>
        <v>2024</v>
      </c>
      <c r="M2651" t="b">
        <f t="shared" si="334"/>
        <v>0</v>
      </c>
      <c r="N2651" t="b">
        <f t="shared" si="328"/>
        <v>1</v>
      </c>
      <c r="O2651" t="str">
        <f t="shared" si="335"/>
        <v>Large Order</v>
      </c>
      <c r="P2651" s="7">
        <f t="shared" si="329"/>
        <v>10.442500000000001</v>
      </c>
      <c r="Q2651" s="7" t="str">
        <f>VLOOKUP(D2652,Product_Lookup!$A$2:$C$27,2,FALSE)</f>
        <v>Desk Lamp</v>
      </c>
      <c r="R2651" s="7">
        <f t="shared" si="330"/>
        <v>3968.15</v>
      </c>
    </row>
    <row r="2652" spans="1:18" ht="21.75" customHeight="1">
      <c r="A2652" t="s">
        <v>2803</v>
      </c>
      <c r="B2652" s="6">
        <v>45451</v>
      </c>
      <c r="C2652" t="s">
        <v>131</v>
      </c>
      <c r="D2652" t="s">
        <v>59</v>
      </c>
      <c r="E2652" t="s">
        <v>22</v>
      </c>
      <c r="F2652" t="s">
        <v>56</v>
      </c>
      <c r="G2652" t="s">
        <v>23</v>
      </c>
      <c r="H2652">
        <v>14</v>
      </c>
      <c r="I2652" t="str">
        <f>VLOOKUP(D2652,Product_Lookup!$A$2:$C$27,3,FALSE)</f>
        <v>$101.96</v>
      </c>
      <c r="J2652" t="str">
        <f t="shared" si="331"/>
        <v>Saturday</v>
      </c>
      <c r="K2652" s="10" t="str">
        <f t="shared" si="332"/>
        <v>June</v>
      </c>
      <c r="L2652">
        <f t="shared" si="333"/>
        <v>2024</v>
      </c>
      <c r="M2652" t="b">
        <f t="shared" si="334"/>
        <v>1</v>
      </c>
      <c r="N2652" t="b">
        <f t="shared" si="328"/>
        <v>1</v>
      </c>
      <c r="O2652" t="str">
        <f t="shared" si="335"/>
        <v>Large Order</v>
      </c>
      <c r="P2652" s="7">
        <f t="shared" si="329"/>
        <v>5.0979999999999999</v>
      </c>
      <c r="Q2652" s="7" t="str">
        <f>VLOOKUP(D2653,Product_Lookup!$A$2:$C$27,2,FALSE)</f>
        <v>Headphones</v>
      </c>
      <c r="R2652" s="7">
        <f t="shared" si="330"/>
        <v>1427.4399999999998</v>
      </c>
    </row>
    <row r="2653" spans="1:18" ht="21.75" customHeight="1">
      <c r="A2653" t="s">
        <v>2804</v>
      </c>
      <c r="B2653" s="6">
        <v>45478</v>
      </c>
      <c r="C2653" t="s">
        <v>422</v>
      </c>
      <c r="D2653" t="s">
        <v>16</v>
      </c>
      <c r="E2653" t="s">
        <v>22</v>
      </c>
      <c r="F2653" t="s">
        <v>306</v>
      </c>
      <c r="G2653" t="s">
        <v>36</v>
      </c>
      <c r="H2653">
        <v>8</v>
      </c>
      <c r="I2653" t="str">
        <f>VLOOKUP(D2653,Product_Lookup!$A$2:$C$27,3,FALSE)</f>
        <v>$178.83</v>
      </c>
      <c r="J2653" t="str">
        <f t="shared" si="331"/>
        <v>Friday</v>
      </c>
      <c r="K2653" s="10" t="str">
        <f t="shared" si="332"/>
        <v>July</v>
      </c>
      <c r="L2653">
        <f t="shared" si="333"/>
        <v>2024</v>
      </c>
      <c r="M2653" t="b">
        <f t="shared" si="334"/>
        <v>0</v>
      </c>
      <c r="N2653" t="b">
        <f t="shared" si="328"/>
        <v>1</v>
      </c>
      <c r="O2653" t="str">
        <f t="shared" si="335"/>
        <v>Large Order</v>
      </c>
      <c r="P2653" s="7">
        <f t="shared" si="329"/>
        <v>8.9415000000000013</v>
      </c>
      <c r="Q2653" s="7" t="str">
        <f>VLOOKUP(D2654,Product_Lookup!$A$2:$C$27,2,FALSE)</f>
        <v>Air Fryer</v>
      </c>
      <c r="R2653" s="7">
        <f t="shared" si="330"/>
        <v>1430.64</v>
      </c>
    </row>
    <row r="2654" spans="1:18" ht="21.75" customHeight="1">
      <c r="A2654" t="s">
        <v>2805</v>
      </c>
      <c r="B2654" s="6">
        <v>45296</v>
      </c>
      <c r="C2654" t="s">
        <v>312</v>
      </c>
      <c r="D2654" t="s">
        <v>70</v>
      </c>
      <c r="E2654" t="s">
        <v>17</v>
      </c>
      <c r="F2654" t="s">
        <v>56</v>
      </c>
      <c r="G2654" t="s">
        <v>32</v>
      </c>
      <c r="H2654">
        <v>8</v>
      </c>
      <c r="I2654" t="str">
        <f>VLOOKUP(D2654,Product_Lookup!$A$2:$C$27,3,FALSE)</f>
        <v>$211.9</v>
      </c>
      <c r="J2654" t="str">
        <f t="shared" si="331"/>
        <v>Friday</v>
      </c>
      <c r="K2654" s="10" t="str">
        <f t="shared" si="332"/>
        <v>January</v>
      </c>
      <c r="L2654">
        <f t="shared" si="333"/>
        <v>2024</v>
      </c>
      <c r="M2654" t="b">
        <f t="shared" si="334"/>
        <v>0</v>
      </c>
      <c r="N2654" t="b">
        <f t="shared" si="328"/>
        <v>1</v>
      </c>
      <c r="O2654" t="str">
        <f t="shared" si="335"/>
        <v>Large Order</v>
      </c>
      <c r="P2654" s="7">
        <f t="shared" si="329"/>
        <v>10.595000000000001</v>
      </c>
      <c r="Q2654" s="7" t="str">
        <f>VLOOKUP(D2655,Product_Lookup!$A$2:$C$27,2,FALSE)</f>
        <v>Paper Shredder</v>
      </c>
      <c r="R2654" s="7">
        <f t="shared" si="330"/>
        <v>1695.2</v>
      </c>
    </row>
    <row r="2655" spans="1:18" ht="21.75" customHeight="1">
      <c r="A2655" t="s">
        <v>2806</v>
      </c>
      <c r="B2655" s="6">
        <v>45525</v>
      </c>
      <c r="C2655" t="s">
        <v>167</v>
      </c>
      <c r="D2655" t="s">
        <v>109</v>
      </c>
      <c r="E2655" t="s">
        <v>17</v>
      </c>
      <c r="F2655" t="s">
        <v>56</v>
      </c>
      <c r="G2655" t="s">
        <v>13</v>
      </c>
      <c r="H2655">
        <v>20</v>
      </c>
      <c r="I2655" t="str">
        <f>VLOOKUP(D2655,Product_Lookup!$A$2:$C$27,3,FALSE)</f>
        <v>$81.02</v>
      </c>
      <c r="J2655" t="str">
        <f t="shared" si="331"/>
        <v>Wednesday</v>
      </c>
      <c r="K2655" s="10" t="str">
        <f t="shared" si="332"/>
        <v>August</v>
      </c>
      <c r="L2655">
        <f t="shared" si="333"/>
        <v>2024</v>
      </c>
      <c r="M2655" t="b">
        <f t="shared" si="334"/>
        <v>0</v>
      </c>
      <c r="N2655" t="b">
        <f t="shared" si="328"/>
        <v>1</v>
      </c>
      <c r="O2655" t="str">
        <f t="shared" si="335"/>
        <v>Large Order</v>
      </c>
      <c r="P2655" s="7">
        <f t="shared" si="329"/>
        <v>4.0510000000000002</v>
      </c>
      <c r="Q2655" s="7" t="str">
        <f>VLOOKUP(D2656,Product_Lookup!$A$2:$C$27,2,FALSE)</f>
        <v>Monitor</v>
      </c>
      <c r="R2655" s="7">
        <f t="shared" si="330"/>
        <v>1620.3999999999999</v>
      </c>
    </row>
    <row r="2656" spans="1:18" ht="21.75" customHeight="1">
      <c r="A2656" t="s">
        <v>2807</v>
      </c>
      <c r="B2656" s="6">
        <v>45549</v>
      </c>
      <c r="C2656" t="s">
        <v>465</v>
      </c>
      <c r="D2656" t="s">
        <v>102</v>
      </c>
      <c r="E2656" t="s">
        <v>17</v>
      </c>
      <c r="F2656" t="s">
        <v>306</v>
      </c>
      <c r="G2656" t="s">
        <v>23</v>
      </c>
      <c r="H2656">
        <v>7</v>
      </c>
      <c r="I2656" t="str">
        <f>VLOOKUP(D2656,Product_Lookup!$A$2:$C$27,3,FALSE)</f>
        <v>$145.48</v>
      </c>
      <c r="J2656" t="str">
        <f t="shared" si="331"/>
        <v>Saturday</v>
      </c>
      <c r="K2656" s="10" t="str">
        <f t="shared" si="332"/>
        <v>September</v>
      </c>
      <c r="L2656">
        <f t="shared" si="333"/>
        <v>2024</v>
      </c>
      <c r="M2656" t="b">
        <f t="shared" si="334"/>
        <v>1</v>
      </c>
      <c r="N2656" t="b">
        <f t="shared" si="328"/>
        <v>1</v>
      </c>
      <c r="O2656" t="str">
        <f t="shared" si="335"/>
        <v>Large Order</v>
      </c>
      <c r="P2656" s="7">
        <f t="shared" si="329"/>
        <v>7.274</v>
      </c>
      <c r="Q2656" s="7" t="str">
        <f>VLOOKUP(D2657,Product_Lookup!$A$2:$C$27,2,FALSE)</f>
        <v>Smartphone</v>
      </c>
      <c r="R2656" s="7">
        <f t="shared" si="330"/>
        <v>1018.3599999999999</v>
      </c>
    </row>
    <row r="2657" spans="1:18" ht="21.75" customHeight="1">
      <c r="A2657" t="s">
        <v>2808</v>
      </c>
      <c r="B2657" s="6">
        <v>45652</v>
      </c>
      <c r="C2657" t="s">
        <v>159</v>
      </c>
      <c r="D2657" t="s">
        <v>79</v>
      </c>
      <c r="E2657" t="s">
        <v>17</v>
      </c>
      <c r="F2657" t="s">
        <v>56</v>
      </c>
      <c r="G2657" t="s">
        <v>28</v>
      </c>
      <c r="H2657">
        <v>8</v>
      </c>
      <c r="I2657" t="str">
        <f>VLOOKUP(D2657,Product_Lookup!$A$2:$C$27,3,FALSE)</f>
        <v>$216.22</v>
      </c>
      <c r="J2657" t="str">
        <f t="shared" si="331"/>
        <v>Thursday</v>
      </c>
      <c r="K2657" s="10" t="str">
        <f t="shared" si="332"/>
        <v>December</v>
      </c>
      <c r="L2657">
        <f t="shared" si="333"/>
        <v>2024</v>
      </c>
      <c r="M2657" t="b">
        <f t="shared" si="334"/>
        <v>0</v>
      </c>
      <c r="N2657" t="b">
        <f t="shared" si="328"/>
        <v>1</v>
      </c>
      <c r="O2657" t="str">
        <f t="shared" si="335"/>
        <v>Large Order</v>
      </c>
      <c r="P2657" s="7">
        <f t="shared" si="329"/>
        <v>10.811</v>
      </c>
      <c r="Q2657" s="7" t="str">
        <f>VLOOKUP(D2658,Product_Lookup!$A$2:$C$27,2,FALSE)</f>
        <v>T-Shirt</v>
      </c>
      <c r="R2657" s="7">
        <f t="shared" si="330"/>
        <v>1729.76</v>
      </c>
    </row>
    <row r="2658" spans="1:18" ht="21.75" customHeight="1">
      <c r="A2658" t="s">
        <v>2809</v>
      </c>
      <c r="B2658" s="6">
        <v>45318</v>
      </c>
      <c r="C2658" t="s">
        <v>420</v>
      </c>
      <c r="D2658" t="s">
        <v>45</v>
      </c>
      <c r="E2658" t="s">
        <v>17</v>
      </c>
      <c r="F2658" t="s">
        <v>27</v>
      </c>
      <c r="G2658" t="s">
        <v>32</v>
      </c>
      <c r="H2658">
        <v>6</v>
      </c>
      <c r="I2658" t="str">
        <f>VLOOKUP(D2658,Product_Lookup!$A$2:$C$27,3,FALSE)</f>
        <v>$107.34</v>
      </c>
      <c r="J2658" t="str">
        <f t="shared" si="331"/>
        <v>Saturday</v>
      </c>
      <c r="K2658" s="10" t="str">
        <f t="shared" si="332"/>
        <v>January</v>
      </c>
      <c r="L2658">
        <f t="shared" si="333"/>
        <v>2024</v>
      </c>
      <c r="M2658" t="b">
        <f t="shared" si="334"/>
        <v>1</v>
      </c>
      <c r="N2658" t="b">
        <f t="shared" si="328"/>
        <v>0</v>
      </c>
      <c r="O2658" t="str">
        <f t="shared" si="335"/>
        <v>Large Order</v>
      </c>
      <c r="P2658" s="7">
        <f t="shared" si="329"/>
        <v>5.3670000000000009</v>
      </c>
      <c r="Q2658" s="7" t="str">
        <f>VLOOKUP(D2659,Product_Lookup!$A$2:$C$27,2,FALSE)</f>
        <v>Blender</v>
      </c>
      <c r="R2658" s="7">
        <f t="shared" si="330"/>
        <v>644.04</v>
      </c>
    </row>
    <row r="2659" spans="1:18" ht="21.75" customHeight="1">
      <c r="A2659" t="s">
        <v>2810</v>
      </c>
      <c r="B2659" s="6">
        <v>45572</v>
      </c>
      <c r="C2659" t="s">
        <v>106</v>
      </c>
      <c r="D2659" t="s">
        <v>72</v>
      </c>
      <c r="E2659" t="s">
        <v>17</v>
      </c>
      <c r="F2659" t="s">
        <v>27</v>
      </c>
      <c r="G2659" t="s">
        <v>32</v>
      </c>
      <c r="H2659">
        <v>13</v>
      </c>
      <c r="I2659" t="str">
        <f>VLOOKUP(D2659,Product_Lookup!$A$2:$C$27,3,FALSE)</f>
        <v>$156.44</v>
      </c>
      <c r="J2659" t="str">
        <f t="shared" si="331"/>
        <v>Monday</v>
      </c>
      <c r="K2659" s="10" t="str">
        <f t="shared" si="332"/>
        <v>October</v>
      </c>
      <c r="L2659">
        <f t="shared" si="333"/>
        <v>2024</v>
      </c>
      <c r="M2659" t="b">
        <f t="shared" si="334"/>
        <v>0</v>
      </c>
      <c r="N2659" t="b">
        <f t="shared" si="328"/>
        <v>1</v>
      </c>
      <c r="O2659" t="str">
        <f t="shared" si="335"/>
        <v>Large Order</v>
      </c>
      <c r="P2659" s="7">
        <f t="shared" si="329"/>
        <v>7.8220000000000001</v>
      </c>
      <c r="Q2659" s="7" t="str">
        <f>VLOOKUP(D2660,Product_Lookup!$A$2:$C$27,2,FALSE)</f>
        <v>Socks</v>
      </c>
      <c r="R2659" s="7">
        <f t="shared" si="330"/>
        <v>2033.72</v>
      </c>
    </row>
    <row r="2660" spans="1:18" ht="21.75" customHeight="1">
      <c r="A2660" t="s">
        <v>2811</v>
      </c>
      <c r="B2660" s="6">
        <v>45562</v>
      </c>
      <c r="C2660" t="s">
        <v>388</v>
      </c>
      <c r="D2660" t="s">
        <v>74</v>
      </c>
      <c r="E2660" t="s">
        <v>17</v>
      </c>
      <c r="F2660" t="s">
        <v>56</v>
      </c>
      <c r="G2660" t="s">
        <v>36</v>
      </c>
      <c r="H2660">
        <v>13</v>
      </c>
      <c r="I2660" t="str">
        <f>VLOOKUP(D2660,Product_Lookup!$A$2:$C$27,3,FALSE)</f>
        <v>$201.32</v>
      </c>
      <c r="J2660" t="str">
        <f t="shared" si="331"/>
        <v>Friday</v>
      </c>
      <c r="K2660" s="10" t="str">
        <f t="shared" si="332"/>
        <v>September</v>
      </c>
      <c r="L2660">
        <f t="shared" si="333"/>
        <v>2024</v>
      </c>
      <c r="M2660" t="b">
        <f t="shared" si="334"/>
        <v>0</v>
      </c>
      <c r="N2660" t="b">
        <f t="shared" si="328"/>
        <v>1</v>
      </c>
      <c r="O2660" t="str">
        <f t="shared" si="335"/>
        <v>Large Order</v>
      </c>
      <c r="P2660" s="7">
        <f t="shared" si="329"/>
        <v>10.066000000000001</v>
      </c>
      <c r="Q2660" s="7" t="str">
        <f>VLOOKUP(D2661,Product_Lookup!$A$2:$C$27,2,FALSE)</f>
        <v>Desk Lamp</v>
      </c>
      <c r="R2660" s="7">
        <f t="shared" si="330"/>
        <v>2617.16</v>
      </c>
    </row>
    <row r="2661" spans="1:18" ht="21.75" customHeight="1">
      <c r="A2661" t="s">
        <v>2812</v>
      </c>
      <c r="B2661" s="6">
        <v>45457</v>
      </c>
      <c r="C2661" t="s">
        <v>664</v>
      </c>
      <c r="D2661" t="s">
        <v>59</v>
      </c>
      <c r="E2661" t="s">
        <v>11</v>
      </c>
      <c r="F2661" t="s">
        <v>42</v>
      </c>
      <c r="G2661" t="s">
        <v>23</v>
      </c>
      <c r="H2661">
        <v>6</v>
      </c>
      <c r="I2661" t="str">
        <f>VLOOKUP(D2661,Product_Lookup!$A$2:$C$27,3,FALSE)</f>
        <v>$101.96</v>
      </c>
      <c r="J2661" t="str">
        <f t="shared" si="331"/>
        <v>Friday</v>
      </c>
      <c r="K2661" s="10" t="str">
        <f t="shared" si="332"/>
        <v>June</v>
      </c>
      <c r="L2661">
        <f t="shared" si="333"/>
        <v>2024</v>
      </c>
      <c r="M2661" t="b">
        <f t="shared" si="334"/>
        <v>0</v>
      </c>
      <c r="N2661" t="b">
        <f t="shared" si="328"/>
        <v>0</v>
      </c>
      <c r="O2661" t="str">
        <f t="shared" si="335"/>
        <v>Large Order</v>
      </c>
      <c r="P2661" s="7">
        <f t="shared" si="329"/>
        <v>5.0979999999999999</v>
      </c>
      <c r="Q2661" s="7" t="str">
        <f>VLOOKUP(D2662,Product_Lookup!$A$2:$C$27,2,FALSE)</f>
        <v>Stapler</v>
      </c>
      <c r="R2661" s="7">
        <f t="shared" si="330"/>
        <v>611.76</v>
      </c>
    </row>
    <row r="2662" spans="1:18" ht="21.75" customHeight="1">
      <c r="A2662" t="s">
        <v>2813</v>
      </c>
      <c r="B2662" s="6">
        <v>45518</v>
      </c>
      <c r="C2662" t="s">
        <v>424</v>
      </c>
      <c r="D2662" t="s">
        <v>35</v>
      </c>
      <c r="E2662" t="s">
        <v>17</v>
      </c>
      <c r="F2662" t="s">
        <v>56</v>
      </c>
      <c r="G2662" t="s">
        <v>28</v>
      </c>
      <c r="H2662">
        <v>7</v>
      </c>
      <c r="I2662" t="str">
        <f>VLOOKUP(D2662,Product_Lookup!$A$2:$C$27,3,FALSE)</f>
        <v>$64.61</v>
      </c>
      <c r="J2662" t="str">
        <f t="shared" si="331"/>
        <v>Wednesday</v>
      </c>
      <c r="K2662" s="10" t="str">
        <f t="shared" si="332"/>
        <v>August</v>
      </c>
      <c r="L2662">
        <f t="shared" si="333"/>
        <v>2024</v>
      </c>
      <c r="M2662" t="b">
        <f t="shared" si="334"/>
        <v>0</v>
      </c>
      <c r="N2662" t="b">
        <f t="shared" si="328"/>
        <v>0</v>
      </c>
      <c r="O2662" t="str">
        <f t="shared" si="335"/>
        <v>Standard order</v>
      </c>
      <c r="P2662" s="7">
        <f t="shared" si="329"/>
        <v>3.2305000000000001</v>
      </c>
      <c r="Q2662" s="7" t="str">
        <f>VLOOKUP(D2663,Product_Lookup!$A$2:$C$27,2,FALSE)</f>
        <v>Action Figure</v>
      </c>
      <c r="R2662" s="7">
        <f t="shared" si="330"/>
        <v>452.27</v>
      </c>
    </row>
    <row r="2663" spans="1:18" ht="21.75" customHeight="1">
      <c r="A2663" t="s">
        <v>2814</v>
      </c>
      <c r="B2663" s="6">
        <v>45392</v>
      </c>
      <c r="C2663" t="s">
        <v>304</v>
      </c>
      <c r="D2663" t="s">
        <v>21</v>
      </c>
      <c r="E2663" t="s">
        <v>11</v>
      </c>
      <c r="F2663" t="s">
        <v>42</v>
      </c>
      <c r="G2663" t="s">
        <v>36</v>
      </c>
      <c r="H2663">
        <v>4</v>
      </c>
      <c r="I2663" t="str">
        <f>VLOOKUP(D2663,Product_Lookup!$A$2:$C$27,3,FALSE)</f>
        <v>$88.18</v>
      </c>
      <c r="J2663" t="str">
        <f t="shared" si="331"/>
        <v>Wednesday</v>
      </c>
      <c r="K2663" s="10" t="str">
        <f t="shared" si="332"/>
        <v>April</v>
      </c>
      <c r="L2663">
        <f t="shared" si="333"/>
        <v>2024</v>
      </c>
      <c r="M2663" t="b">
        <f t="shared" si="334"/>
        <v>0</v>
      </c>
      <c r="N2663" t="b">
        <f t="shared" si="328"/>
        <v>0</v>
      </c>
      <c r="O2663" t="str">
        <f t="shared" si="335"/>
        <v>Standard order</v>
      </c>
      <c r="P2663" s="7">
        <f t="shared" si="329"/>
        <v>4.4090000000000007</v>
      </c>
      <c r="Q2663" s="7" t="str">
        <f>VLOOKUP(D2664,Product_Lookup!$A$2:$C$27,2,FALSE)</f>
        <v>Vacuum</v>
      </c>
      <c r="R2663" s="7">
        <f t="shared" si="330"/>
        <v>352.72</v>
      </c>
    </row>
    <row r="2664" spans="1:18" ht="21.75" customHeight="1">
      <c r="A2664" t="s">
        <v>2815</v>
      </c>
      <c r="B2664" s="6">
        <v>45367</v>
      </c>
      <c r="C2664" t="s">
        <v>159</v>
      </c>
      <c r="D2664" t="s">
        <v>87</v>
      </c>
      <c r="E2664" t="s">
        <v>22</v>
      </c>
      <c r="F2664" t="s">
        <v>56</v>
      </c>
      <c r="G2664" t="s">
        <v>13</v>
      </c>
      <c r="H2664">
        <v>4</v>
      </c>
      <c r="I2664" t="str">
        <f>VLOOKUP(D2664,Product_Lookup!$A$2:$C$27,3,FALSE)</f>
        <v>$26.59</v>
      </c>
      <c r="J2664" t="str">
        <f t="shared" si="331"/>
        <v>Saturday</v>
      </c>
      <c r="K2664" s="10" t="str">
        <f t="shared" si="332"/>
        <v>March</v>
      </c>
      <c r="L2664">
        <f t="shared" si="333"/>
        <v>2024</v>
      </c>
      <c r="M2664" t="b">
        <f t="shared" si="334"/>
        <v>1</v>
      </c>
      <c r="N2664" t="b">
        <f t="shared" si="328"/>
        <v>0</v>
      </c>
      <c r="O2664" t="str">
        <f t="shared" si="335"/>
        <v>Standard order</v>
      </c>
      <c r="P2664" s="7">
        <f t="shared" si="329"/>
        <v>1.3295000000000001</v>
      </c>
      <c r="Q2664" s="7" t="str">
        <f>VLOOKUP(D2665,Product_Lookup!$A$2:$C$27,2,FALSE)</f>
        <v>Smartphone</v>
      </c>
      <c r="R2664" s="7">
        <f t="shared" si="330"/>
        <v>106.36</v>
      </c>
    </row>
    <row r="2665" spans="1:18" ht="21.75" customHeight="1">
      <c r="A2665" t="s">
        <v>2816</v>
      </c>
      <c r="B2665" s="6">
        <v>45534</v>
      </c>
      <c r="C2665" t="s">
        <v>235</v>
      </c>
      <c r="D2665" t="s">
        <v>79</v>
      </c>
      <c r="E2665" t="s">
        <v>11</v>
      </c>
      <c r="F2665" t="s">
        <v>306</v>
      </c>
      <c r="G2665" t="s">
        <v>32</v>
      </c>
      <c r="H2665">
        <v>19</v>
      </c>
      <c r="I2665" t="str">
        <f>VLOOKUP(D2665,Product_Lookup!$A$2:$C$27,3,FALSE)</f>
        <v>$216.22</v>
      </c>
      <c r="J2665" t="str">
        <f t="shared" si="331"/>
        <v>Friday</v>
      </c>
      <c r="K2665" s="10" t="str">
        <f t="shared" si="332"/>
        <v>August</v>
      </c>
      <c r="L2665">
        <f t="shared" si="333"/>
        <v>2024</v>
      </c>
      <c r="M2665" t="b">
        <f t="shared" si="334"/>
        <v>0</v>
      </c>
      <c r="N2665" t="b">
        <f t="shared" si="328"/>
        <v>1</v>
      </c>
      <c r="O2665" t="str">
        <f t="shared" si="335"/>
        <v>Large Order</v>
      </c>
      <c r="P2665" s="7">
        <f t="shared" si="329"/>
        <v>10.811</v>
      </c>
      <c r="Q2665" s="7" t="str">
        <f>VLOOKUP(D2666,Product_Lookup!$A$2:$C$27,2,FALSE)</f>
        <v>Lego Set</v>
      </c>
      <c r="R2665" s="7">
        <f t="shared" si="330"/>
        <v>4108.18</v>
      </c>
    </row>
    <row r="2666" spans="1:18" ht="21.75" customHeight="1">
      <c r="A2666" t="s">
        <v>2817</v>
      </c>
      <c r="B2666" s="6">
        <v>45368</v>
      </c>
      <c r="C2666" t="s">
        <v>451</v>
      </c>
      <c r="D2666" t="s">
        <v>84</v>
      </c>
      <c r="E2666" t="s">
        <v>17</v>
      </c>
      <c r="F2666" t="s">
        <v>56</v>
      </c>
      <c r="G2666" t="s">
        <v>13</v>
      </c>
      <c r="H2666">
        <v>4</v>
      </c>
      <c r="I2666" t="str">
        <f>VLOOKUP(D2666,Product_Lookup!$A$2:$C$27,3,FALSE)</f>
        <v>$130.07</v>
      </c>
      <c r="J2666" t="str">
        <f t="shared" si="331"/>
        <v>Sunday</v>
      </c>
      <c r="K2666" s="10" t="str">
        <f t="shared" si="332"/>
        <v>March</v>
      </c>
      <c r="L2666">
        <f t="shared" si="333"/>
        <v>2024</v>
      </c>
      <c r="M2666" t="b">
        <f t="shared" si="334"/>
        <v>1</v>
      </c>
      <c r="N2666" t="b">
        <f t="shared" si="328"/>
        <v>0</v>
      </c>
      <c r="O2666" t="str">
        <f t="shared" si="335"/>
        <v>Large Order</v>
      </c>
      <c r="P2666" s="7">
        <f t="shared" si="329"/>
        <v>6.5034999999999998</v>
      </c>
      <c r="Q2666" s="7" t="str">
        <f>VLOOKUP(D2667,Product_Lookup!$A$2:$C$27,2,FALSE)</f>
        <v>Puzzle</v>
      </c>
      <c r="R2666" s="7">
        <f t="shared" si="330"/>
        <v>520.28</v>
      </c>
    </row>
    <row r="2667" spans="1:18" ht="21.75" customHeight="1">
      <c r="A2667" t="s">
        <v>2818</v>
      </c>
      <c r="B2667" s="6">
        <v>45542</v>
      </c>
      <c r="C2667" t="s">
        <v>68</v>
      </c>
      <c r="D2667" t="s">
        <v>62</v>
      </c>
      <c r="E2667" t="s">
        <v>22</v>
      </c>
      <c r="F2667" t="s">
        <v>56</v>
      </c>
      <c r="G2667" t="s">
        <v>23</v>
      </c>
      <c r="H2667">
        <v>3</v>
      </c>
      <c r="I2667" t="str">
        <f>VLOOKUP(D2667,Product_Lookup!$A$2:$C$27,3,FALSE)</f>
        <v>$46.19</v>
      </c>
      <c r="J2667" t="str">
        <f t="shared" si="331"/>
        <v>Saturday</v>
      </c>
      <c r="K2667" s="10" t="str">
        <f t="shared" si="332"/>
        <v>September</v>
      </c>
      <c r="L2667">
        <f t="shared" si="333"/>
        <v>2024</v>
      </c>
      <c r="M2667" t="b">
        <f t="shared" si="334"/>
        <v>1</v>
      </c>
      <c r="N2667" t="b">
        <f t="shared" si="328"/>
        <v>0</v>
      </c>
      <c r="O2667" t="str">
        <f t="shared" si="335"/>
        <v>Standard order</v>
      </c>
      <c r="P2667" s="7">
        <f t="shared" si="329"/>
        <v>2.3094999999999999</v>
      </c>
      <c r="Q2667" s="7" t="str">
        <f>VLOOKUP(D2668,Product_Lookup!$A$2:$C$27,2,FALSE)</f>
        <v>Sweater</v>
      </c>
      <c r="R2667" s="7">
        <f t="shared" si="330"/>
        <v>138.57</v>
      </c>
    </row>
    <row r="2668" spans="1:18" ht="21.75" customHeight="1">
      <c r="A2668" t="s">
        <v>2819</v>
      </c>
      <c r="B2668" s="6">
        <v>45624</v>
      </c>
      <c r="C2668" t="s">
        <v>159</v>
      </c>
      <c r="D2668" t="s">
        <v>26</v>
      </c>
      <c r="E2668" t="s">
        <v>22</v>
      </c>
      <c r="F2668" t="s">
        <v>27</v>
      </c>
      <c r="G2668" t="s">
        <v>32</v>
      </c>
      <c r="H2668">
        <v>1</v>
      </c>
      <c r="I2668" t="str">
        <f>VLOOKUP(D2668,Product_Lookup!$A$2:$C$27,3,FALSE)</f>
        <v>$84.57</v>
      </c>
      <c r="J2668" t="str">
        <f t="shared" si="331"/>
        <v>Thursday</v>
      </c>
      <c r="K2668" s="10" t="str">
        <f t="shared" si="332"/>
        <v>November</v>
      </c>
      <c r="L2668">
        <f t="shared" si="333"/>
        <v>2024</v>
      </c>
      <c r="M2668" t="b">
        <f t="shared" si="334"/>
        <v>0</v>
      </c>
      <c r="N2668" t="b">
        <f t="shared" si="328"/>
        <v>0</v>
      </c>
      <c r="O2668" t="str">
        <f t="shared" si="335"/>
        <v>Standard order</v>
      </c>
      <c r="P2668" s="7">
        <f t="shared" si="329"/>
        <v>4.2284999999999995</v>
      </c>
      <c r="Q2668" s="7" t="str">
        <f>VLOOKUP(D2669,Product_Lookup!$A$2:$C$27,2,FALSE)</f>
        <v>Stapler</v>
      </c>
      <c r="R2668" s="7">
        <f t="shared" si="330"/>
        <v>84.57</v>
      </c>
    </row>
    <row r="2669" spans="1:18" ht="21.75" customHeight="1">
      <c r="A2669" t="s">
        <v>2820</v>
      </c>
      <c r="B2669" s="6">
        <v>45334</v>
      </c>
      <c r="C2669" t="s">
        <v>114</v>
      </c>
      <c r="D2669" t="s">
        <v>35</v>
      </c>
      <c r="E2669" t="s">
        <v>22</v>
      </c>
      <c r="F2669" t="s">
        <v>306</v>
      </c>
      <c r="G2669" t="s">
        <v>28</v>
      </c>
      <c r="H2669">
        <v>1</v>
      </c>
      <c r="I2669" t="str">
        <f>VLOOKUP(D2669,Product_Lookup!$A$2:$C$27,3,FALSE)</f>
        <v>$64.61</v>
      </c>
      <c r="J2669" t="str">
        <f t="shared" si="331"/>
        <v>Monday</v>
      </c>
      <c r="K2669" s="10" t="str">
        <f t="shared" si="332"/>
        <v>February</v>
      </c>
      <c r="L2669">
        <f t="shared" si="333"/>
        <v>2024</v>
      </c>
      <c r="M2669" t="b">
        <f t="shared" si="334"/>
        <v>0</v>
      </c>
      <c r="N2669" t="b">
        <f t="shared" si="328"/>
        <v>0</v>
      </c>
      <c r="O2669" t="str">
        <f t="shared" si="335"/>
        <v>Standard order</v>
      </c>
      <c r="P2669" s="7">
        <f t="shared" si="329"/>
        <v>3.2305000000000001</v>
      </c>
      <c r="Q2669" s="7" t="str">
        <f>VLOOKUP(D2670,Product_Lookup!$A$2:$C$27,2,FALSE)</f>
        <v>Sweater</v>
      </c>
      <c r="R2669" s="7">
        <f t="shared" si="330"/>
        <v>64.61</v>
      </c>
    </row>
    <row r="2670" spans="1:18" ht="21.75" customHeight="1">
      <c r="A2670" t="s">
        <v>2821</v>
      </c>
      <c r="B2670" s="6">
        <v>45585</v>
      </c>
      <c r="C2670" t="s">
        <v>517</v>
      </c>
      <c r="D2670" t="s">
        <v>26</v>
      </c>
      <c r="E2670" t="s">
        <v>22</v>
      </c>
      <c r="F2670" t="s">
        <v>12</v>
      </c>
      <c r="G2670" t="s">
        <v>36</v>
      </c>
      <c r="H2670">
        <v>6</v>
      </c>
      <c r="I2670" t="str">
        <f>VLOOKUP(D2670,Product_Lookup!$A$2:$C$27,3,FALSE)</f>
        <v>$84.57</v>
      </c>
      <c r="J2670" t="str">
        <f t="shared" si="331"/>
        <v>Sunday</v>
      </c>
      <c r="K2670" s="10" t="str">
        <f t="shared" si="332"/>
        <v>October</v>
      </c>
      <c r="L2670">
        <f t="shared" si="333"/>
        <v>2024</v>
      </c>
      <c r="M2670" t="b">
        <f t="shared" si="334"/>
        <v>1</v>
      </c>
      <c r="N2670" t="b">
        <f t="shared" si="328"/>
        <v>0</v>
      </c>
      <c r="O2670" t="str">
        <f t="shared" si="335"/>
        <v>Large Order</v>
      </c>
      <c r="P2670" s="7">
        <f t="shared" si="329"/>
        <v>4.2284999999999995</v>
      </c>
      <c r="Q2670" s="7" t="str">
        <f>VLOOKUP(D2671,Product_Lookup!$A$2:$C$27,2,FALSE)</f>
        <v>Vacuum</v>
      </c>
      <c r="R2670" s="7">
        <f t="shared" si="330"/>
        <v>507.41999999999996</v>
      </c>
    </row>
    <row r="2671" spans="1:18" ht="21.75" customHeight="1">
      <c r="A2671" t="s">
        <v>2822</v>
      </c>
      <c r="B2671" s="6">
        <v>45622</v>
      </c>
      <c r="C2671" t="s">
        <v>424</v>
      </c>
      <c r="D2671" t="s">
        <v>87</v>
      </c>
      <c r="E2671" t="s">
        <v>17</v>
      </c>
      <c r="F2671" t="s">
        <v>306</v>
      </c>
      <c r="G2671" t="s">
        <v>28</v>
      </c>
      <c r="H2671">
        <v>4</v>
      </c>
      <c r="I2671" t="str">
        <f>VLOOKUP(D2671,Product_Lookup!$A$2:$C$27,3,FALSE)</f>
        <v>$26.59</v>
      </c>
      <c r="J2671" t="str">
        <f t="shared" si="331"/>
        <v>Tuesday</v>
      </c>
      <c r="K2671" s="10" t="str">
        <f t="shared" si="332"/>
        <v>November</v>
      </c>
      <c r="L2671">
        <f t="shared" si="333"/>
        <v>2024</v>
      </c>
      <c r="M2671" t="b">
        <f t="shared" si="334"/>
        <v>0</v>
      </c>
      <c r="N2671" t="b">
        <f t="shared" si="328"/>
        <v>0</v>
      </c>
      <c r="O2671" t="str">
        <f t="shared" si="335"/>
        <v>Standard order</v>
      </c>
      <c r="P2671" s="7">
        <f t="shared" si="329"/>
        <v>1.3295000000000001</v>
      </c>
      <c r="Q2671" s="7" t="str">
        <f>VLOOKUP(D2672,Product_Lookup!$A$2:$C$27,2,FALSE)</f>
        <v>Coffee Maker</v>
      </c>
      <c r="R2671" s="7">
        <f t="shared" si="330"/>
        <v>106.36</v>
      </c>
    </row>
    <row r="2672" spans="1:18" ht="21.75" customHeight="1">
      <c r="A2672" t="s">
        <v>2823</v>
      </c>
      <c r="B2672" s="6">
        <v>45567</v>
      </c>
      <c r="C2672" t="s">
        <v>44</v>
      </c>
      <c r="D2672" t="s">
        <v>31</v>
      </c>
      <c r="E2672" t="s">
        <v>22</v>
      </c>
      <c r="F2672" t="s">
        <v>12</v>
      </c>
      <c r="G2672" t="s">
        <v>23</v>
      </c>
      <c r="H2672">
        <v>18</v>
      </c>
      <c r="I2672" t="str">
        <f>VLOOKUP(D2672,Product_Lookup!$A$2:$C$27,3,FALSE)</f>
        <v>$230.34</v>
      </c>
      <c r="J2672" t="str">
        <f t="shared" si="331"/>
        <v>Wednesday</v>
      </c>
      <c r="K2672" s="10" t="str">
        <f t="shared" si="332"/>
        <v>October</v>
      </c>
      <c r="L2672">
        <f t="shared" si="333"/>
        <v>2024</v>
      </c>
      <c r="M2672" t="b">
        <f t="shared" si="334"/>
        <v>0</v>
      </c>
      <c r="N2672" t="b">
        <f t="shared" si="328"/>
        <v>1</v>
      </c>
      <c r="O2672" t="str">
        <f t="shared" si="335"/>
        <v>Large Order</v>
      </c>
      <c r="P2672" s="7">
        <f t="shared" si="329"/>
        <v>11.517000000000001</v>
      </c>
      <c r="Q2672" s="7" t="str">
        <f>VLOOKUP(D2673,Product_Lookup!$A$2:$C$27,2,FALSE)</f>
        <v>Tablet</v>
      </c>
      <c r="R2672" s="7">
        <f t="shared" si="330"/>
        <v>4146.12</v>
      </c>
    </row>
    <row r="2673" spans="1:18" ht="21.75" customHeight="1">
      <c r="A2673" t="s">
        <v>2824</v>
      </c>
      <c r="B2673" s="6">
        <v>45563</v>
      </c>
      <c r="C2673" t="s">
        <v>374</v>
      </c>
      <c r="D2673" t="s">
        <v>10</v>
      </c>
      <c r="E2673" t="s">
        <v>22</v>
      </c>
      <c r="F2673" t="s">
        <v>306</v>
      </c>
      <c r="G2673" t="s">
        <v>36</v>
      </c>
      <c r="H2673">
        <v>4</v>
      </c>
      <c r="I2673" t="str">
        <f>VLOOKUP(D2673,Product_Lookup!$A$2:$C$27,3,FALSE)</f>
        <v>$146.06</v>
      </c>
      <c r="J2673" t="str">
        <f t="shared" si="331"/>
        <v>Saturday</v>
      </c>
      <c r="K2673" s="10" t="str">
        <f t="shared" si="332"/>
        <v>September</v>
      </c>
      <c r="L2673">
        <f t="shared" si="333"/>
        <v>2024</v>
      </c>
      <c r="M2673" t="b">
        <f t="shared" si="334"/>
        <v>1</v>
      </c>
      <c r="N2673" t="b">
        <f t="shared" si="328"/>
        <v>0</v>
      </c>
      <c r="O2673" t="str">
        <f t="shared" si="335"/>
        <v>Large Order</v>
      </c>
      <c r="P2673" s="7">
        <f t="shared" si="329"/>
        <v>7.3030000000000008</v>
      </c>
      <c r="Q2673" s="7" t="str">
        <f>VLOOKUP(D2674,Product_Lookup!$A$2:$C$27,2,FALSE)</f>
        <v>Monitor</v>
      </c>
      <c r="R2673" s="7">
        <f t="shared" si="330"/>
        <v>584.24</v>
      </c>
    </row>
    <row r="2674" spans="1:18" ht="21.75" customHeight="1">
      <c r="A2674" t="s">
        <v>2825</v>
      </c>
      <c r="B2674" s="6">
        <v>45398</v>
      </c>
      <c r="C2674" t="s">
        <v>371</v>
      </c>
      <c r="D2674" t="s">
        <v>102</v>
      </c>
      <c r="E2674" t="s">
        <v>11</v>
      </c>
      <c r="F2674" t="s">
        <v>306</v>
      </c>
      <c r="G2674" t="s">
        <v>28</v>
      </c>
      <c r="H2674">
        <v>1</v>
      </c>
      <c r="I2674" t="str">
        <f>VLOOKUP(D2674,Product_Lookup!$A$2:$C$27,3,FALSE)</f>
        <v>$145.48</v>
      </c>
      <c r="J2674" t="str">
        <f t="shared" si="331"/>
        <v>Tuesday</v>
      </c>
      <c r="K2674" s="10" t="str">
        <f t="shared" si="332"/>
        <v>April</v>
      </c>
      <c r="L2674">
        <f t="shared" si="333"/>
        <v>2024</v>
      </c>
      <c r="M2674" t="b">
        <f t="shared" si="334"/>
        <v>0</v>
      </c>
      <c r="N2674" t="b">
        <f t="shared" si="328"/>
        <v>0</v>
      </c>
      <c r="O2674" t="str">
        <f t="shared" si="335"/>
        <v>Standard order</v>
      </c>
      <c r="P2674" s="7">
        <f t="shared" si="329"/>
        <v>7.274</v>
      </c>
      <c r="Q2674" s="7" t="str">
        <f>VLOOKUP(D2675,Product_Lookup!$A$2:$C$27,2,FALSE)</f>
        <v>Smartphone</v>
      </c>
      <c r="R2674" s="7">
        <f t="shared" si="330"/>
        <v>145.47999999999999</v>
      </c>
    </row>
    <row r="2675" spans="1:18" ht="21.75" customHeight="1">
      <c r="A2675" t="s">
        <v>2826</v>
      </c>
      <c r="B2675" s="6">
        <v>45452</v>
      </c>
      <c r="C2675" t="s">
        <v>114</v>
      </c>
      <c r="D2675" t="s">
        <v>79</v>
      </c>
      <c r="E2675" t="s">
        <v>11</v>
      </c>
      <c r="F2675" t="s">
        <v>306</v>
      </c>
      <c r="G2675" t="s">
        <v>28</v>
      </c>
      <c r="H2675">
        <v>6</v>
      </c>
      <c r="I2675" t="str">
        <f>VLOOKUP(D2675,Product_Lookup!$A$2:$C$27,3,FALSE)</f>
        <v>$216.22</v>
      </c>
      <c r="J2675" t="str">
        <f t="shared" si="331"/>
        <v>Sunday</v>
      </c>
      <c r="K2675" s="10" t="str">
        <f t="shared" si="332"/>
        <v>June</v>
      </c>
      <c r="L2675">
        <f t="shared" si="333"/>
        <v>2024</v>
      </c>
      <c r="M2675" t="b">
        <f t="shared" si="334"/>
        <v>1</v>
      </c>
      <c r="N2675" t="b">
        <f t="shared" si="328"/>
        <v>1</v>
      </c>
      <c r="O2675" t="str">
        <f t="shared" si="335"/>
        <v>Large Order</v>
      </c>
      <c r="P2675" s="7">
        <f t="shared" si="329"/>
        <v>10.811</v>
      </c>
      <c r="Q2675" s="7" t="str">
        <f>VLOOKUP(D2676,Product_Lookup!$A$2:$C$27,2,FALSE)</f>
        <v>Smartphone</v>
      </c>
      <c r="R2675" s="7">
        <f t="shared" si="330"/>
        <v>1297.32</v>
      </c>
    </row>
    <row r="2676" spans="1:18" ht="21.75" customHeight="1">
      <c r="A2676" t="s">
        <v>2827</v>
      </c>
      <c r="B2676" s="6">
        <v>45423</v>
      </c>
      <c r="C2676" t="s">
        <v>664</v>
      </c>
      <c r="D2676" t="s">
        <v>79</v>
      </c>
      <c r="E2676" t="s">
        <v>11</v>
      </c>
      <c r="F2676" t="s">
        <v>12</v>
      </c>
      <c r="G2676" t="s">
        <v>36</v>
      </c>
      <c r="H2676">
        <v>10</v>
      </c>
      <c r="I2676" t="str">
        <f>VLOOKUP(D2676,Product_Lookup!$A$2:$C$27,3,FALSE)</f>
        <v>$216.22</v>
      </c>
      <c r="J2676" t="str">
        <f t="shared" si="331"/>
        <v>Saturday</v>
      </c>
      <c r="K2676" s="10" t="str">
        <f t="shared" si="332"/>
        <v>May</v>
      </c>
      <c r="L2676">
        <f t="shared" si="333"/>
        <v>2024</v>
      </c>
      <c r="M2676" t="b">
        <f t="shared" si="334"/>
        <v>1</v>
      </c>
      <c r="N2676" t="b">
        <f t="shared" si="328"/>
        <v>1</v>
      </c>
      <c r="O2676" t="str">
        <f t="shared" si="335"/>
        <v>Large Order</v>
      </c>
      <c r="P2676" s="7">
        <f t="shared" si="329"/>
        <v>10.811</v>
      </c>
      <c r="Q2676" s="7" t="str">
        <f>VLOOKUP(D2677,Product_Lookup!$A$2:$C$27,2,FALSE)</f>
        <v>Vacuum</v>
      </c>
      <c r="R2676" s="7">
        <f t="shared" si="330"/>
        <v>2162.1999999999998</v>
      </c>
    </row>
    <row r="2677" spans="1:18" ht="21.75" customHeight="1">
      <c r="A2677" t="s">
        <v>2828</v>
      </c>
      <c r="B2677" s="6">
        <v>45570</v>
      </c>
      <c r="C2677" t="s">
        <v>30</v>
      </c>
      <c r="D2677" t="s">
        <v>87</v>
      </c>
      <c r="E2677" t="s">
        <v>22</v>
      </c>
      <c r="F2677" t="s">
        <v>12</v>
      </c>
      <c r="G2677" t="s">
        <v>28</v>
      </c>
      <c r="H2677">
        <v>10</v>
      </c>
      <c r="I2677" t="str">
        <f>VLOOKUP(D2677,Product_Lookup!$A$2:$C$27,3,FALSE)</f>
        <v>$26.59</v>
      </c>
      <c r="J2677" t="str">
        <f t="shared" si="331"/>
        <v>Saturday</v>
      </c>
      <c r="K2677" s="10" t="str">
        <f t="shared" si="332"/>
        <v>October</v>
      </c>
      <c r="L2677">
        <f t="shared" si="333"/>
        <v>2024</v>
      </c>
      <c r="M2677" t="b">
        <f t="shared" si="334"/>
        <v>1</v>
      </c>
      <c r="N2677" t="b">
        <f t="shared" si="328"/>
        <v>0</v>
      </c>
      <c r="O2677" t="str">
        <f t="shared" si="335"/>
        <v>Standard order</v>
      </c>
      <c r="P2677" s="7">
        <f t="shared" si="329"/>
        <v>1.3295000000000001</v>
      </c>
      <c r="Q2677" s="7" t="str">
        <f>VLOOKUP(D2678,Product_Lookup!$A$2:$C$27,2,FALSE)</f>
        <v>Socks</v>
      </c>
      <c r="R2677" s="7">
        <f t="shared" si="330"/>
        <v>265.89999999999998</v>
      </c>
    </row>
    <row r="2678" spans="1:18" ht="21.75" customHeight="1">
      <c r="A2678" t="s">
        <v>2829</v>
      </c>
      <c r="B2678" s="6">
        <v>45557</v>
      </c>
      <c r="C2678" t="s">
        <v>728</v>
      </c>
      <c r="D2678" t="s">
        <v>74</v>
      </c>
      <c r="E2678" t="s">
        <v>22</v>
      </c>
      <c r="F2678" t="s">
        <v>306</v>
      </c>
      <c r="G2678" t="s">
        <v>23</v>
      </c>
      <c r="H2678">
        <v>5</v>
      </c>
      <c r="I2678" t="str">
        <f>VLOOKUP(D2678,Product_Lookup!$A$2:$C$27,3,FALSE)</f>
        <v>$201.32</v>
      </c>
      <c r="J2678" t="str">
        <f t="shared" si="331"/>
        <v>Sunday</v>
      </c>
      <c r="K2678" s="10" t="str">
        <f t="shared" si="332"/>
        <v>September</v>
      </c>
      <c r="L2678">
        <f t="shared" si="333"/>
        <v>2024</v>
      </c>
      <c r="M2678" t="b">
        <f t="shared" si="334"/>
        <v>1</v>
      </c>
      <c r="N2678" t="b">
        <f t="shared" si="328"/>
        <v>0</v>
      </c>
      <c r="O2678" t="str">
        <f t="shared" si="335"/>
        <v>Large Order</v>
      </c>
      <c r="P2678" s="7">
        <f t="shared" si="329"/>
        <v>10.066000000000001</v>
      </c>
      <c r="Q2678" s="7" t="str">
        <f>VLOOKUP(D2679,Product_Lookup!$A$2:$C$27,2,FALSE)</f>
        <v>Notebook</v>
      </c>
      <c r="R2678" s="7">
        <f t="shared" si="330"/>
        <v>1006.5999999999999</v>
      </c>
    </row>
    <row r="2679" spans="1:18" ht="21.75" customHeight="1">
      <c r="A2679" t="s">
        <v>2830</v>
      </c>
      <c r="B2679" s="6">
        <v>45647</v>
      </c>
      <c r="C2679" t="s">
        <v>38</v>
      </c>
      <c r="D2679" t="s">
        <v>160</v>
      </c>
      <c r="E2679" t="s">
        <v>17</v>
      </c>
      <c r="F2679" t="s">
        <v>306</v>
      </c>
      <c r="G2679" t="s">
        <v>36</v>
      </c>
      <c r="H2679">
        <v>17</v>
      </c>
      <c r="I2679" t="str">
        <f>VLOOKUP(D2679,Product_Lookup!$A$2:$C$27,3,FALSE)</f>
        <v>$149.27</v>
      </c>
      <c r="J2679" t="str">
        <f t="shared" si="331"/>
        <v>Saturday</v>
      </c>
      <c r="K2679" s="10" t="str">
        <f t="shared" si="332"/>
        <v>December</v>
      </c>
      <c r="L2679">
        <f t="shared" si="333"/>
        <v>2024</v>
      </c>
      <c r="M2679" t="b">
        <f t="shared" si="334"/>
        <v>1</v>
      </c>
      <c r="N2679" t="b">
        <f t="shared" si="328"/>
        <v>1</v>
      </c>
      <c r="O2679" t="str">
        <f t="shared" si="335"/>
        <v>Large Order</v>
      </c>
      <c r="P2679" s="7">
        <f t="shared" si="329"/>
        <v>7.4635000000000007</v>
      </c>
      <c r="Q2679" s="7" t="str">
        <f>VLOOKUP(D2680,Product_Lookup!$A$2:$C$27,2,FALSE)</f>
        <v>Smartphone</v>
      </c>
      <c r="R2679" s="7">
        <f t="shared" si="330"/>
        <v>2537.59</v>
      </c>
    </row>
    <row r="2680" spans="1:18" ht="21.75" customHeight="1">
      <c r="A2680" t="s">
        <v>2831</v>
      </c>
      <c r="B2680" s="6">
        <v>45342</v>
      </c>
      <c r="C2680" t="s">
        <v>371</v>
      </c>
      <c r="D2680" t="s">
        <v>79</v>
      </c>
      <c r="E2680" t="s">
        <v>11</v>
      </c>
      <c r="F2680" t="s">
        <v>12</v>
      </c>
      <c r="G2680" t="s">
        <v>28</v>
      </c>
      <c r="H2680">
        <v>5</v>
      </c>
      <c r="I2680" t="str">
        <f>VLOOKUP(D2680,Product_Lookup!$A$2:$C$27,3,FALSE)</f>
        <v>$216.22</v>
      </c>
      <c r="J2680" t="str">
        <f t="shared" si="331"/>
        <v>Tuesday</v>
      </c>
      <c r="K2680" s="10" t="str">
        <f t="shared" si="332"/>
        <v>February</v>
      </c>
      <c r="L2680">
        <f t="shared" si="333"/>
        <v>2024</v>
      </c>
      <c r="M2680" t="b">
        <f t="shared" si="334"/>
        <v>0</v>
      </c>
      <c r="N2680" t="b">
        <f t="shared" si="328"/>
        <v>0</v>
      </c>
      <c r="O2680" t="str">
        <f t="shared" si="335"/>
        <v>Large Order</v>
      </c>
      <c r="P2680" s="7">
        <f t="shared" si="329"/>
        <v>10.811</v>
      </c>
      <c r="Q2680" s="7" t="str">
        <f>VLOOKUP(D2681,Product_Lookup!$A$2:$C$27,2,FALSE)</f>
        <v>Paper Shredder</v>
      </c>
      <c r="R2680" s="7">
        <f t="shared" si="330"/>
        <v>1081.0999999999999</v>
      </c>
    </row>
    <row r="2681" spans="1:18" ht="21.75" customHeight="1">
      <c r="A2681" t="s">
        <v>2832</v>
      </c>
      <c r="B2681" s="6">
        <v>45402</v>
      </c>
      <c r="C2681" t="s">
        <v>99</v>
      </c>
      <c r="D2681" t="s">
        <v>109</v>
      </c>
      <c r="E2681" t="s">
        <v>22</v>
      </c>
      <c r="F2681" t="s">
        <v>56</v>
      </c>
      <c r="G2681" t="s">
        <v>36</v>
      </c>
      <c r="H2681">
        <v>12</v>
      </c>
      <c r="I2681" t="str">
        <f>VLOOKUP(D2681,Product_Lookup!$A$2:$C$27,3,FALSE)</f>
        <v>$81.02</v>
      </c>
      <c r="J2681" t="str">
        <f t="shared" si="331"/>
        <v>Saturday</v>
      </c>
      <c r="K2681" s="10" t="str">
        <f t="shared" si="332"/>
        <v>April</v>
      </c>
      <c r="L2681">
        <f t="shared" si="333"/>
        <v>2024</v>
      </c>
      <c r="M2681" t="b">
        <f t="shared" si="334"/>
        <v>1</v>
      </c>
      <c r="N2681" t="b">
        <f t="shared" si="328"/>
        <v>1</v>
      </c>
      <c r="O2681" t="str">
        <f t="shared" si="335"/>
        <v>Large Order</v>
      </c>
      <c r="P2681" s="7">
        <f t="shared" si="329"/>
        <v>4.0510000000000002</v>
      </c>
      <c r="Q2681" s="7" t="str">
        <f>VLOOKUP(D2682,Product_Lookup!$A$2:$C$27,2,FALSE)</f>
        <v>Tablet</v>
      </c>
      <c r="R2681" s="7">
        <f t="shared" si="330"/>
        <v>972.24</v>
      </c>
    </row>
    <row r="2682" spans="1:18" ht="21.75" customHeight="1">
      <c r="A2682" t="s">
        <v>2833</v>
      </c>
      <c r="B2682" s="6">
        <v>45610</v>
      </c>
      <c r="C2682" t="s">
        <v>309</v>
      </c>
      <c r="D2682" t="s">
        <v>10</v>
      </c>
      <c r="E2682" t="s">
        <v>22</v>
      </c>
      <c r="F2682" t="s">
        <v>42</v>
      </c>
      <c r="G2682" t="s">
        <v>32</v>
      </c>
      <c r="H2682">
        <v>13</v>
      </c>
      <c r="I2682" t="str">
        <f>VLOOKUP(D2682,Product_Lookup!$A$2:$C$27,3,FALSE)</f>
        <v>$146.06</v>
      </c>
      <c r="J2682" t="str">
        <f t="shared" si="331"/>
        <v>Thursday</v>
      </c>
      <c r="K2682" s="10" t="str">
        <f t="shared" si="332"/>
        <v>November</v>
      </c>
      <c r="L2682">
        <f t="shared" si="333"/>
        <v>2024</v>
      </c>
      <c r="M2682" t="b">
        <f t="shared" si="334"/>
        <v>0</v>
      </c>
      <c r="N2682" t="b">
        <f t="shared" si="328"/>
        <v>1</v>
      </c>
      <c r="O2682" t="str">
        <f t="shared" si="335"/>
        <v>Large Order</v>
      </c>
      <c r="P2682" s="7">
        <f t="shared" si="329"/>
        <v>7.3030000000000008</v>
      </c>
      <c r="Q2682" s="7" t="str">
        <f>VLOOKUP(D2683,Product_Lookup!$A$2:$C$27,2,FALSE)</f>
        <v>Air Fryer</v>
      </c>
      <c r="R2682" s="7">
        <f t="shared" si="330"/>
        <v>1898.78</v>
      </c>
    </row>
    <row r="2683" spans="1:18" ht="21.75" customHeight="1">
      <c r="A2683" t="s">
        <v>2834</v>
      </c>
      <c r="B2683" s="6">
        <v>45375</v>
      </c>
      <c r="C2683" t="s">
        <v>341</v>
      </c>
      <c r="D2683" t="s">
        <v>70</v>
      </c>
      <c r="E2683" t="s">
        <v>11</v>
      </c>
      <c r="F2683" t="s">
        <v>42</v>
      </c>
      <c r="G2683" t="s">
        <v>23</v>
      </c>
      <c r="H2683">
        <v>5</v>
      </c>
      <c r="I2683" t="str">
        <f>VLOOKUP(D2683,Product_Lookup!$A$2:$C$27,3,FALSE)</f>
        <v>$211.9</v>
      </c>
      <c r="J2683" t="str">
        <f t="shared" si="331"/>
        <v>Sunday</v>
      </c>
      <c r="K2683" s="10" t="str">
        <f t="shared" si="332"/>
        <v>March</v>
      </c>
      <c r="L2683">
        <f t="shared" si="333"/>
        <v>2024</v>
      </c>
      <c r="M2683" t="b">
        <f t="shared" si="334"/>
        <v>1</v>
      </c>
      <c r="N2683" t="b">
        <f t="shared" si="328"/>
        <v>0</v>
      </c>
      <c r="O2683" t="str">
        <f t="shared" si="335"/>
        <v>Large Order</v>
      </c>
      <c r="P2683" s="7">
        <f t="shared" si="329"/>
        <v>10.595000000000001</v>
      </c>
      <c r="Q2683" s="7" t="str">
        <f>VLOOKUP(D2684,Product_Lookup!$A$2:$C$27,2,FALSE)</f>
        <v>Lego Set</v>
      </c>
      <c r="R2683" s="7">
        <f t="shared" si="330"/>
        <v>1059.5</v>
      </c>
    </row>
    <row r="2684" spans="1:18" ht="21.75" customHeight="1">
      <c r="A2684" t="s">
        <v>2835</v>
      </c>
      <c r="B2684" s="6">
        <v>45328</v>
      </c>
      <c r="C2684" t="s">
        <v>451</v>
      </c>
      <c r="D2684" t="s">
        <v>84</v>
      </c>
      <c r="E2684" t="s">
        <v>17</v>
      </c>
      <c r="F2684" t="s">
        <v>56</v>
      </c>
      <c r="G2684" t="s">
        <v>32</v>
      </c>
      <c r="H2684">
        <v>19</v>
      </c>
      <c r="I2684" t="str">
        <f>VLOOKUP(D2684,Product_Lookup!$A$2:$C$27,3,FALSE)</f>
        <v>$130.07</v>
      </c>
      <c r="J2684" t="str">
        <f t="shared" si="331"/>
        <v>Tuesday</v>
      </c>
      <c r="K2684" s="10" t="str">
        <f t="shared" si="332"/>
        <v>February</v>
      </c>
      <c r="L2684">
        <f t="shared" si="333"/>
        <v>2024</v>
      </c>
      <c r="M2684" t="b">
        <f t="shared" si="334"/>
        <v>0</v>
      </c>
      <c r="N2684" t="b">
        <f t="shared" si="328"/>
        <v>1</v>
      </c>
      <c r="O2684" t="str">
        <f t="shared" si="335"/>
        <v>Large Order</v>
      </c>
      <c r="P2684" s="7">
        <f t="shared" si="329"/>
        <v>6.5034999999999998</v>
      </c>
      <c r="Q2684" s="7" t="str">
        <f>VLOOKUP(D2685,Product_Lookup!$A$2:$C$27,2,FALSE)</f>
        <v>T-Shirt</v>
      </c>
      <c r="R2684" s="7">
        <f t="shared" si="330"/>
        <v>2471.33</v>
      </c>
    </row>
    <row r="2685" spans="1:18" ht="21.75" customHeight="1">
      <c r="A2685" t="s">
        <v>2836</v>
      </c>
      <c r="B2685" s="6">
        <v>45553</v>
      </c>
      <c r="C2685" t="s">
        <v>493</v>
      </c>
      <c r="D2685" t="s">
        <v>45</v>
      </c>
      <c r="E2685" t="s">
        <v>17</v>
      </c>
      <c r="F2685" t="s">
        <v>56</v>
      </c>
      <c r="G2685" t="s">
        <v>32</v>
      </c>
      <c r="H2685">
        <v>14</v>
      </c>
      <c r="I2685" t="str">
        <f>VLOOKUP(D2685,Product_Lookup!$A$2:$C$27,3,FALSE)</f>
        <v>$107.34</v>
      </c>
      <c r="J2685" t="str">
        <f t="shared" si="331"/>
        <v>Wednesday</v>
      </c>
      <c r="K2685" s="10" t="str">
        <f t="shared" si="332"/>
        <v>September</v>
      </c>
      <c r="L2685">
        <f t="shared" si="333"/>
        <v>2024</v>
      </c>
      <c r="M2685" t="b">
        <f t="shared" si="334"/>
        <v>0</v>
      </c>
      <c r="N2685" t="b">
        <f t="shared" si="328"/>
        <v>1</v>
      </c>
      <c r="O2685" t="str">
        <f t="shared" si="335"/>
        <v>Large Order</v>
      </c>
      <c r="P2685" s="7">
        <f t="shared" si="329"/>
        <v>5.3670000000000009</v>
      </c>
      <c r="Q2685" s="7" t="str">
        <f>VLOOKUP(D2686,Product_Lookup!$A$2:$C$27,2,FALSE)</f>
        <v>Tablet</v>
      </c>
      <c r="R2685" s="7">
        <f t="shared" si="330"/>
        <v>1502.76</v>
      </c>
    </row>
    <row r="2686" spans="1:18" ht="21.75" customHeight="1">
      <c r="A2686" t="s">
        <v>2837</v>
      </c>
      <c r="B2686" s="6">
        <v>45601</v>
      </c>
      <c r="C2686" t="s">
        <v>78</v>
      </c>
      <c r="D2686" t="s">
        <v>10</v>
      </c>
      <c r="E2686" t="s">
        <v>17</v>
      </c>
      <c r="F2686" t="s">
        <v>12</v>
      </c>
      <c r="G2686" t="s">
        <v>36</v>
      </c>
      <c r="H2686">
        <v>4</v>
      </c>
      <c r="I2686" t="str">
        <f>VLOOKUP(D2686,Product_Lookup!$A$2:$C$27,3,FALSE)</f>
        <v>$146.06</v>
      </c>
      <c r="J2686" t="str">
        <f t="shared" si="331"/>
        <v>Tuesday</v>
      </c>
      <c r="K2686" s="10" t="str">
        <f t="shared" si="332"/>
        <v>November</v>
      </c>
      <c r="L2686">
        <f t="shared" si="333"/>
        <v>2024</v>
      </c>
      <c r="M2686" t="b">
        <f t="shared" si="334"/>
        <v>0</v>
      </c>
      <c r="N2686" t="b">
        <f t="shared" si="328"/>
        <v>0</v>
      </c>
      <c r="O2686" t="str">
        <f t="shared" si="335"/>
        <v>Large Order</v>
      </c>
      <c r="P2686" s="7">
        <f t="shared" si="329"/>
        <v>7.3030000000000008</v>
      </c>
      <c r="Q2686" s="7" t="str">
        <f>VLOOKUP(D2687,Product_Lookup!$A$2:$C$27,2,FALSE)</f>
        <v>Blender</v>
      </c>
      <c r="R2686" s="7">
        <f t="shared" si="330"/>
        <v>584.24</v>
      </c>
    </row>
    <row r="2687" spans="1:18" ht="21.75" customHeight="1">
      <c r="A2687" t="s">
        <v>2838</v>
      </c>
      <c r="B2687" s="6">
        <v>45500</v>
      </c>
      <c r="C2687" t="s">
        <v>58</v>
      </c>
      <c r="D2687" t="s">
        <v>72</v>
      </c>
      <c r="E2687" t="s">
        <v>22</v>
      </c>
      <c r="F2687" t="s">
        <v>12</v>
      </c>
      <c r="G2687" t="s">
        <v>32</v>
      </c>
      <c r="H2687">
        <v>11</v>
      </c>
      <c r="I2687" t="str">
        <f>VLOOKUP(D2687,Product_Lookup!$A$2:$C$27,3,FALSE)</f>
        <v>$156.44</v>
      </c>
      <c r="J2687" t="str">
        <f t="shared" si="331"/>
        <v>Saturday</v>
      </c>
      <c r="K2687" s="10" t="str">
        <f t="shared" si="332"/>
        <v>July</v>
      </c>
      <c r="L2687">
        <f t="shared" si="333"/>
        <v>2024</v>
      </c>
      <c r="M2687" t="b">
        <f t="shared" si="334"/>
        <v>1</v>
      </c>
      <c r="N2687" t="b">
        <f t="shared" si="328"/>
        <v>1</v>
      </c>
      <c r="O2687" t="str">
        <f t="shared" si="335"/>
        <v>Large Order</v>
      </c>
      <c r="P2687" s="7">
        <f t="shared" si="329"/>
        <v>7.8220000000000001</v>
      </c>
      <c r="Q2687" s="7" t="str">
        <f>VLOOKUP(D2688,Product_Lookup!$A$2:$C$27,2,FALSE)</f>
        <v>Sweater</v>
      </c>
      <c r="R2687" s="7">
        <f t="shared" si="330"/>
        <v>1720.84</v>
      </c>
    </row>
    <row r="2688" spans="1:18" ht="21.75" customHeight="1">
      <c r="A2688" t="s">
        <v>2839</v>
      </c>
      <c r="B2688" s="6">
        <v>45366</v>
      </c>
      <c r="C2688" t="s">
        <v>240</v>
      </c>
      <c r="D2688" t="s">
        <v>26</v>
      </c>
      <c r="E2688" t="s">
        <v>11</v>
      </c>
      <c r="F2688" t="s">
        <v>12</v>
      </c>
      <c r="G2688" t="s">
        <v>23</v>
      </c>
      <c r="H2688">
        <v>8</v>
      </c>
      <c r="I2688" t="str">
        <f>VLOOKUP(D2688,Product_Lookup!$A$2:$C$27,3,FALSE)</f>
        <v>$84.57</v>
      </c>
      <c r="J2688" t="str">
        <f t="shared" si="331"/>
        <v>Friday</v>
      </c>
      <c r="K2688" s="10" t="str">
        <f t="shared" si="332"/>
        <v>March</v>
      </c>
      <c r="L2688">
        <f t="shared" si="333"/>
        <v>2024</v>
      </c>
      <c r="M2688" t="b">
        <f t="shared" si="334"/>
        <v>0</v>
      </c>
      <c r="N2688" t="b">
        <f t="shared" si="328"/>
        <v>0</v>
      </c>
      <c r="O2688" t="str">
        <f t="shared" si="335"/>
        <v>Large Order</v>
      </c>
      <c r="P2688" s="7">
        <f t="shared" si="329"/>
        <v>4.2284999999999995</v>
      </c>
      <c r="Q2688" s="7" t="str">
        <f>VLOOKUP(D2689,Product_Lookup!$A$2:$C$27,2,FALSE)</f>
        <v>Monitor</v>
      </c>
      <c r="R2688" s="7">
        <f t="shared" si="330"/>
        <v>676.56</v>
      </c>
    </row>
    <row r="2689" spans="1:18" ht="21.75" customHeight="1">
      <c r="A2689" t="s">
        <v>2840</v>
      </c>
      <c r="B2689" s="6">
        <v>45345</v>
      </c>
      <c r="C2689" t="s">
        <v>728</v>
      </c>
      <c r="D2689" t="s">
        <v>102</v>
      </c>
      <c r="E2689" t="s">
        <v>11</v>
      </c>
      <c r="F2689" t="s">
        <v>306</v>
      </c>
      <c r="G2689" t="s">
        <v>32</v>
      </c>
      <c r="H2689">
        <v>19</v>
      </c>
      <c r="I2689" t="str">
        <f>VLOOKUP(D2689,Product_Lookup!$A$2:$C$27,3,FALSE)</f>
        <v>$145.48</v>
      </c>
      <c r="J2689" t="str">
        <f t="shared" si="331"/>
        <v>Friday</v>
      </c>
      <c r="K2689" s="10" t="str">
        <f t="shared" si="332"/>
        <v>February</v>
      </c>
      <c r="L2689">
        <f t="shared" si="333"/>
        <v>2024</v>
      </c>
      <c r="M2689" t="b">
        <f t="shared" si="334"/>
        <v>0</v>
      </c>
      <c r="N2689" t="b">
        <f t="shared" si="328"/>
        <v>1</v>
      </c>
      <c r="O2689" t="str">
        <f t="shared" si="335"/>
        <v>Large Order</v>
      </c>
      <c r="P2689" s="7">
        <f t="shared" si="329"/>
        <v>7.274</v>
      </c>
      <c r="Q2689" s="7" t="str">
        <f>VLOOKUP(D2690,Product_Lookup!$A$2:$C$27,2,FALSE)</f>
        <v>Notebook</v>
      </c>
      <c r="R2689" s="7">
        <f t="shared" si="330"/>
        <v>2764.12</v>
      </c>
    </row>
    <row r="2690" spans="1:18" ht="21.75" customHeight="1">
      <c r="A2690" t="s">
        <v>2841</v>
      </c>
      <c r="B2690" s="6">
        <v>45542</v>
      </c>
      <c r="C2690" t="s">
        <v>108</v>
      </c>
      <c r="D2690" t="s">
        <v>160</v>
      </c>
      <c r="E2690" t="s">
        <v>17</v>
      </c>
      <c r="F2690" t="s">
        <v>306</v>
      </c>
      <c r="G2690" t="s">
        <v>32</v>
      </c>
      <c r="H2690">
        <v>18</v>
      </c>
      <c r="I2690" t="str">
        <f>VLOOKUP(D2690,Product_Lookup!$A$2:$C$27,3,FALSE)</f>
        <v>$149.27</v>
      </c>
      <c r="J2690" t="str">
        <f t="shared" si="331"/>
        <v>Saturday</v>
      </c>
      <c r="K2690" s="10" t="str">
        <f t="shared" si="332"/>
        <v>September</v>
      </c>
      <c r="L2690">
        <f t="shared" si="333"/>
        <v>2024</v>
      </c>
      <c r="M2690" t="b">
        <f t="shared" si="334"/>
        <v>1</v>
      </c>
      <c r="N2690" t="b">
        <f t="shared" ref="N2690:N2753" si="336">AND(R2690&gt;750, H2690&gt;5)</f>
        <v>1</v>
      </c>
      <c r="O2690" t="str">
        <f t="shared" si="335"/>
        <v>Large Order</v>
      </c>
      <c r="P2690" s="7">
        <f t="shared" ref="P2690:P2753" si="337">I2690*$S$2</f>
        <v>7.4635000000000007</v>
      </c>
      <c r="Q2690" s="7" t="str">
        <f>VLOOKUP(D2691,Product_Lookup!$A$2:$C$27,2,FALSE)</f>
        <v>T-Shirt</v>
      </c>
      <c r="R2690" s="7">
        <f t="shared" ref="R2690:R2753" si="338">H2690*I2690</f>
        <v>2686.86</v>
      </c>
    </row>
    <row r="2691" spans="1:18" ht="21.75" customHeight="1">
      <c r="A2691" t="s">
        <v>2842</v>
      </c>
      <c r="B2691" s="6">
        <v>45342</v>
      </c>
      <c r="C2691" t="s">
        <v>9</v>
      </c>
      <c r="D2691" t="s">
        <v>45</v>
      </c>
      <c r="E2691" t="s">
        <v>17</v>
      </c>
      <c r="F2691" t="s">
        <v>27</v>
      </c>
      <c r="G2691" t="s">
        <v>28</v>
      </c>
      <c r="H2691">
        <v>12</v>
      </c>
      <c r="I2691" t="str">
        <f>VLOOKUP(D2691,Product_Lookup!$A$2:$C$27,3,FALSE)</f>
        <v>$107.34</v>
      </c>
      <c r="J2691" t="str">
        <f t="shared" ref="J2691:J2754" si="339">TEXT(B2691, "dddd")</f>
        <v>Tuesday</v>
      </c>
      <c r="K2691" s="10" t="str">
        <f t="shared" ref="K2691:K2754" si="340">TEXT(B2691, "mmmm")</f>
        <v>February</v>
      </c>
      <c r="L2691">
        <f t="shared" ref="L2691:L2754" si="341">YEAR(B2691)</f>
        <v>2024</v>
      </c>
      <c r="M2691" t="b">
        <f t="shared" ref="M2691:M2754" si="342">OR(J2691="Saturday", J2691="Sunday")</f>
        <v>0</v>
      </c>
      <c r="N2691" t="b">
        <f t="shared" si="336"/>
        <v>1</v>
      </c>
      <c r="O2691" t="str">
        <f t="shared" ref="O2691:O2754" si="343">IF(R2691&gt;500,"Large Order","Standard order")</f>
        <v>Large Order</v>
      </c>
      <c r="P2691" s="7">
        <f t="shared" si="337"/>
        <v>5.3670000000000009</v>
      </c>
      <c r="Q2691" s="7" t="str">
        <f>VLOOKUP(D2692,Product_Lookup!$A$2:$C$27,2,FALSE)</f>
        <v>Pen Set</v>
      </c>
      <c r="R2691" s="7">
        <f t="shared" si="338"/>
        <v>1288.08</v>
      </c>
    </row>
    <row r="2692" spans="1:18" ht="21.75" customHeight="1">
      <c r="A2692" t="s">
        <v>2843</v>
      </c>
      <c r="B2692" s="6">
        <v>45639</v>
      </c>
      <c r="C2692" t="s">
        <v>728</v>
      </c>
      <c r="D2692" t="s">
        <v>174</v>
      </c>
      <c r="E2692" t="s">
        <v>22</v>
      </c>
      <c r="F2692" t="s">
        <v>306</v>
      </c>
      <c r="G2692" t="s">
        <v>23</v>
      </c>
      <c r="H2692">
        <v>16</v>
      </c>
      <c r="I2692" t="str">
        <f>VLOOKUP(D2692,Product_Lookup!$A$2:$C$27,3,FALSE)</f>
        <v>$133.37</v>
      </c>
      <c r="J2692" t="str">
        <f t="shared" si="339"/>
        <v>Friday</v>
      </c>
      <c r="K2692" s="10" t="str">
        <f t="shared" si="340"/>
        <v>December</v>
      </c>
      <c r="L2692">
        <f t="shared" si="341"/>
        <v>2024</v>
      </c>
      <c r="M2692" t="b">
        <f t="shared" si="342"/>
        <v>0</v>
      </c>
      <c r="N2692" t="b">
        <f t="shared" si="336"/>
        <v>1</v>
      </c>
      <c r="O2692" t="str">
        <f t="shared" si="343"/>
        <v>Large Order</v>
      </c>
      <c r="P2692" s="7">
        <f t="shared" si="337"/>
        <v>6.6685000000000008</v>
      </c>
      <c r="Q2692" s="7" t="str">
        <f>VLOOKUP(D2693,Product_Lookup!$A$2:$C$27,2,FALSE)</f>
        <v>Board Game</v>
      </c>
      <c r="R2692" s="7">
        <f t="shared" si="338"/>
        <v>2133.92</v>
      </c>
    </row>
    <row r="2693" spans="1:18" ht="21.75" customHeight="1">
      <c r="A2693" t="s">
        <v>2844</v>
      </c>
      <c r="B2693" s="6">
        <v>45424</v>
      </c>
      <c r="C2693" t="s">
        <v>142</v>
      </c>
      <c r="D2693" t="s">
        <v>41</v>
      </c>
      <c r="E2693" t="s">
        <v>22</v>
      </c>
      <c r="F2693" t="s">
        <v>56</v>
      </c>
      <c r="G2693" t="s">
        <v>28</v>
      </c>
      <c r="H2693">
        <v>5</v>
      </c>
      <c r="I2693" t="str">
        <f>VLOOKUP(D2693,Product_Lookup!$A$2:$C$27,3,FALSE)</f>
        <v>$86.6</v>
      </c>
      <c r="J2693" t="str">
        <f t="shared" si="339"/>
        <v>Sunday</v>
      </c>
      <c r="K2693" s="10" t="str">
        <f t="shared" si="340"/>
        <v>May</v>
      </c>
      <c r="L2693">
        <f t="shared" si="341"/>
        <v>2024</v>
      </c>
      <c r="M2693" t="b">
        <f t="shared" si="342"/>
        <v>1</v>
      </c>
      <c r="N2693" t="b">
        <f t="shared" si="336"/>
        <v>0</v>
      </c>
      <c r="O2693" t="str">
        <f t="shared" si="343"/>
        <v>Standard order</v>
      </c>
      <c r="P2693" s="7">
        <f t="shared" si="337"/>
        <v>4.33</v>
      </c>
      <c r="Q2693" s="7" t="str">
        <f>VLOOKUP(D2694,Product_Lookup!$A$2:$C$27,2,FALSE)</f>
        <v>Lego Set</v>
      </c>
      <c r="R2693" s="7">
        <f t="shared" si="338"/>
        <v>433</v>
      </c>
    </row>
    <row r="2694" spans="1:18" ht="21.75" customHeight="1">
      <c r="A2694" t="s">
        <v>2845</v>
      </c>
      <c r="B2694" s="6">
        <v>45428</v>
      </c>
      <c r="C2694" t="s">
        <v>9</v>
      </c>
      <c r="D2694" t="s">
        <v>84</v>
      </c>
      <c r="E2694" t="s">
        <v>22</v>
      </c>
      <c r="F2694" t="s">
        <v>42</v>
      </c>
      <c r="G2694" t="s">
        <v>28</v>
      </c>
      <c r="H2694">
        <v>20</v>
      </c>
      <c r="I2694" t="str">
        <f>VLOOKUP(D2694,Product_Lookup!$A$2:$C$27,3,FALSE)</f>
        <v>$130.07</v>
      </c>
      <c r="J2694" t="str">
        <f t="shared" si="339"/>
        <v>Thursday</v>
      </c>
      <c r="K2694" s="10" t="str">
        <f t="shared" si="340"/>
        <v>May</v>
      </c>
      <c r="L2694">
        <f t="shared" si="341"/>
        <v>2024</v>
      </c>
      <c r="M2694" t="b">
        <f t="shared" si="342"/>
        <v>0</v>
      </c>
      <c r="N2694" t="b">
        <f t="shared" si="336"/>
        <v>1</v>
      </c>
      <c r="O2694" t="str">
        <f t="shared" si="343"/>
        <v>Large Order</v>
      </c>
      <c r="P2694" s="7">
        <f t="shared" si="337"/>
        <v>6.5034999999999998</v>
      </c>
      <c r="Q2694" s="7" t="str">
        <f>VLOOKUP(D2695,Product_Lookup!$A$2:$C$27,2,FALSE)</f>
        <v>Air Fryer</v>
      </c>
      <c r="R2694" s="7">
        <f t="shared" si="338"/>
        <v>2601.3999999999996</v>
      </c>
    </row>
    <row r="2695" spans="1:18" ht="21.75" customHeight="1">
      <c r="A2695" t="s">
        <v>2846</v>
      </c>
      <c r="B2695" s="6">
        <v>45526</v>
      </c>
      <c r="C2695" t="s">
        <v>44</v>
      </c>
      <c r="D2695" t="s">
        <v>70</v>
      </c>
      <c r="E2695" t="s">
        <v>17</v>
      </c>
      <c r="F2695" t="s">
        <v>27</v>
      </c>
      <c r="G2695" t="s">
        <v>36</v>
      </c>
      <c r="H2695">
        <v>10</v>
      </c>
      <c r="I2695" t="str">
        <f>VLOOKUP(D2695,Product_Lookup!$A$2:$C$27,3,FALSE)</f>
        <v>$211.9</v>
      </c>
      <c r="J2695" t="str">
        <f t="shared" si="339"/>
        <v>Thursday</v>
      </c>
      <c r="K2695" s="10" t="str">
        <f t="shared" si="340"/>
        <v>August</v>
      </c>
      <c r="L2695">
        <f t="shared" si="341"/>
        <v>2024</v>
      </c>
      <c r="M2695" t="b">
        <f t="shared" si="342"/>
        <v>0</v>
      </c>
      <c r="N2695" t="b">
        <f t="shared" si="336"/>
        <v>1</v>
      </c>
      <c r="O2695" t="str">
        <f t="shared" si="343"/>
        <v>Large Order</v>
      </c>
      <c r="P2695" s="7">
        <f t="shared" si="337"/>
        <v>10.595000000000001</v>
      </c>
      <c r="Q2695" s="7" t="str">
        <f>VLOOKUP(D2696,Product_Lookup!$A$2:$C$27,2,FALSE)</f>
        <v>Puzzle</v>
      </c>
      <c r="R2695" s="7">
        <f t="shared" si="338"/>
        <v>2119</v>
      </c>
    </row>
    <row r="2696" spans="1:18" ht="21.75" customHeight="1">
      <c r="A2696" t="s">
        <v>2847</v>
      </c>
      <c r="B2696" s="6">
        <v>45511</v>
      </c>
      <c r="C2696" t="s">
        <v>363</v>
      </c>
      <c r="D2696" t="s">
        <v>62</v>
      </c>
      <c r="E2696" t="s">
        <v>11</v>
      </c>
      <c r="F2696" t="s">
        <v>42</v>
      </c>
      <c r="G2696" t="s">
        <v>13</v>
      </c>
      <c r="H2696">
        <v>10</v>
      </c>
      <c r="I2696" t="str">
        <f>VLOOKUP(D2696,Product_Lookup!$A$2:$C$27,3,FALSE)</f>
        <v>$46.19</v>
      </c>
      <c r="J2696" t="str">
        <f t="shared" si="339"/>
        <v>Wednesday</v>
      </c>
      <c r="K2696" s="10" t="str">
        <f t="shared" si="340"/>
        <v>August</v>
      </c>
      <c r="L2696">
        <f t="shared" si="341"/>
        <v>2024</v>
      </c>
      <c r="M2696" t="b">
        <f t="shared" si="342"/>
        <v>0</v>
      </c>
      <c r="N2696" t="b">
        <f t="shared" si="336"/>
        <v>0</v>
      </c>
      <c r="O2696" t="str">
        <f t="shared" si="343"/>
        <v>Standard order</v>
      </c>
      <c r="P2696" s="7">
        <f t="shared" si="337"/>
        <v>2.3094999999999999</v>
      </c>
      <c r="Q2696" s="7" t="str">
        <f>VLOOKUP(D2697,Product_Lookup!$A$2:$C$27,2,FALSE)</f>
        <v>Action Figure</v>
      </c>
      <c r="R2696" s="7">
        <f t="shared" si="338"/>
        <v>461.9</v>
      </c>
    </row>
    <row r="2697" spans="1:18" ht="21.75" customHeight="1">
      <c r="A2697" t="s">
        <v>2848</v>
      </c>
      <c r="B2697" s="6">
        <v>45452</v>
      </c>
      <c r="C2697" t="s">
        <v>203</v>
      </c>
      <c r="D2697" t="s">
        <v>21</v>
      </c>
      <c r="E2697" t="s">
        <v>11</v>
      </c>
      <c r="F2697" t="s">
        <v>12</v>
      </c>
      <c r="G2697" t="s">
        <v>28</v>
      </c>
      <c r="H2697">
        <v>3</v>
      </c>
      <c r="I2697" t="str">
        <f>VLOOKUP(D2697,Product_Lookup!$A$2:$C$27,3,FALSE)</f>
        <v>$88.18</v>
      </c>
      <c r="J2697" t="str">
        <f t="shared" si="339"/>
        <v>Sunday</v>
      </c>
      <c r="K2697" s="10" t="str">
        <f t="shared" si="340"/>
        <v>June</v>
      </c>
      <c r="L2697">
        <f t="shared" si="341"/>
        <v>2024</v>
      </c>
      <c r="M2697" t="b">
        <f t="shared" si="342"/>
        <v>1</v>
      </c>
      <c r="N2697" t="b">
        <f t="shared" si="336"/>
        <v>0</v>
      </c>
      <c r="O2697" t="str">
        <f t="shared" si="343"/>
        <v>Standard order</v>
      </c>
      <c r="P2697" s="7">
        <f t="shared" si="337"/>
        <v>4.4090000000000007</v>
      </c>
      <c r="Q2697" s="7" t="str">
        <f>VLOOKUP(D2698,Product_Lookup!$A$2:$C$27,2,FALSE)</f>
        <v>Lego Set</v>
      </c>
      <c r="R2697" s="7">
        <f t="shared" si="338"/>
        <v>264.54000000000002</v>
      </c>
    </row>
    <row r="2698" spans="1:18" ht="21.75" customHeight="1">
      <c r="A2698" t="s">
        <v>2849</v>
      </c>
      <c r="B2698" s="6">
        <v>45321</v>
      </c>
      <c r="C2698" t="s">
        <v>81</v>
      </c>
      <c r="D2698" t="s">
        <v>84</v>
      </c>
      <c r="E2698" t="s">
        <v>17</v>
      </c>
      <c r="F2698" t="s">
        <v>306</v>
      </c>
      <c r="G2698" t="s">
        <v>23</v>
      </c>
      <c r="H2698">
        <v>1</v>
      </c>
      <c r="I2698" t="str">
        <f>VLOOKUP(D2698,Product_Lookup!$A$2:$C$27,3,FALSE)</f>
        <v>$130.07</v>
      </c>
      <c r="J2698" t="str">
        <f t="shared" si="339"/>
        <v>Tuesday</v>
      </c>
      <c r="K2698" s="10" t="str">
        <f t="shared" si="340"/>
        <v>January</v>
      </c>
      <c r="L2698">
        <f t="shared" si="341"/>
        <v>2024</v>
      </c>
      <c r="M2698" t="b">
        <f t="shared" si="342"/>
        <v>0</v>
      </c>
      <c r="N2698" t="b">
        <f t="shared" si="336"/>
        <v>0</v>
      </c>
      <c r="O2698" t="str">
        <f t="shared" si="343"/>
        <v>Standard order</v>
      </c>
      <c r="P2698" s="7">
        <f t="shared" si="337"/>
        <v>6.5034999999999998</v>
      </c>
      <c r="Q2698" s="7" t="str">
        <f>VLOOKUP(D2699,Product_Lookup!$A$2:$C$27,2,FALSE)</f>
        <v>Notebook</v>
      </c>
      <c r="R2698" s="7">
        <f t="shared" si="338"/>
        <v>130.07</v>
      </c>
    </row>
    <row r="2699" spans="1:18" ht="21.75" customHeight="1">
      <c r="A2699" t="s">
        <v>2850</v>
      </c>
      <c r="B2699" s="6">
        <v>45509</v>
      </c>
      <c r="C2699" t="s">
        <v>422</v>
      </c>
      <c r="D2699" t="s">
        <v>160</v>
      </c>
      <c r="E2699" t="s">
        <v>22</v>
      </c>
      <c r="F2699" t="s">
        <v>56</v>
      </c>
      <c r="G2699" t="s">
        <v>23</v>
      </c>
      <c r="H2699">
        <v>16</v>
      </c>
      <c r="I2699" t="str">
        <f>VLOOKUP(D2699,Product_Lookup!$A$2:$C$27,3,FALSE)</f>
        <v>$149.27</v>
      </c>
      <c r="J2699" t="str">
        <f t="shared" si="339"/>
        <v>Monday</v>
      </c>
      <c r="K2699" s="10" t="str">
        <f t="shared" si="340"/>
        <v>August</v>
      </c>
      <c r="L2699">
        <f t="shared" si="341"/>
        <v>2024</v>
      </c>
      <c r="M2699" t="b">
        <f t="shared" si="342"/>
        <v>0</v>
      </c>
      <c r="N2699" t="b">
        <f t="shared" si="336"/>
        <v>1</v>
      </c>
      <c r="O2699" t="str">
        <f t="shared" si="343"/>
        <v>Large Order</v>
      </c>
      <c r="P2699" s="7">
        <f t="shared" si="337"/>
        <v>7.4635000000000007</v>
      </c>
      <c r="Q2699" s="7" t="str">
        <f>VLOOKUP(D2700,Product_Lookup!$A$2:$C$27,2,FALSE)</f>
        <v>Puzzle</v>
      </c>
      <c r="R2699" s="7">
        <f t="shared" si="338"/>
        <v>2388.3200000000002</v>
      </c>
    </row>
    <row r="2700" spans="1:18" ht="21.75" customHeight="1">
      <c r="A2700" t="s">
        <v>2851</v>
      </c>
      <c r="B2700" s="6">
        <v>45638</v>
      </c>
      <c r="C2700" t="s">
        <v>312</v>
      </c>
      <c r="D2700" t="s">
        <v>62</v>
      </c>
      <c r="E2700" t="s">
        <v>11</v>
      </c>
      <c r="F2700" t="s">
        <v>27</v>
      </c>
      <c r="G2700" t="s">
        <v>13</v>
      </c>
      <c r="H2700">
        <v>20</v>
      </c>
      <c r="I2700" t="str">
        <f>VLOOKUP(D2700,Product_Lookup!$A$2:$C$27,3,FALSE)</f>
        <v>$46.19</v>
      </c>
      <c r="J2700" t="str">
        <f t="shared" si="339"/>
        <v>Thursday</v>
      </c>
      <c r="K2700" s="10" t="str">
        <f t="shared" si="340"/>
        <v>December</v>
      </c>
      <c r="L2700">
        <f t="shared" si="341"/>
        <v>2024</v>
      </c>
      <c r="M2700" t="b">
        <f t="shared" si="342"/>
        <v>0</v>
      </c>
      <c r="N2700" t="b">
        <f t="shared" si="336"/>
        <v>1</v>
      </c>
      <c r="O2700" t="str">
        <f t="shared" si="343"/>
        <v>Large Order</v>
      </c>
      <c r="P2700" s="7">
        <f t="shared" si="337"/>
        <v>2.3094999999999999</v>
      </c>
      <c r="Q2700" s="7" t="str">
        <f>VLOOKUP(D2701,Product_Lookup!$A$2:$C$27,2,FALSE)</f>
        <v>Vacuum</v>
      </c>
      <c r="R2700" s="7">
        <f t="shared" si="338"/>
        <v>923.8</v>
      </c>
    </row>
    <row r="2701" spans="1:18" ht="21.75" customHeight="1">
      <c r="A2701" t="s">
        <v>2852</v>
      </c>
      <c r="B2701" s="6">
        <v>45295</v>
      </c>
      <c r="C2701" t="s">
        <v>436</v>
      </c>
      <c r="D2701" t="s">
        <v>87</v>
      </c>
      <c r="E2701" t="s">
        <v>22</v>
      </c>
      <c r="F2701" t="s">
        <v>306</v>
      </c>
      <c r="G2701" t="s">
        <v>32</v>
      </c>
      <c r="H2701">
        <v>8</v>
      </c>
      <c r="I2701" t="str">
        <f>VLOOKUP(D2701,Product_Lookup!$A$2:$C$27,3,FALSE)</f>
        <v>$26.59</v>
      </c>
      <c r="J2701" t="str">
        <f t="shared" si="339"/>
        <v>Thursday</v>
      </c>
      <c r="K2701" s="10" t="str">
        <f t="shared" si="340"/>
        <v>January</v>
      </c>
      <c r="L2701">
        <f t="shared" si="341"/>
        <v>2024</v>
      </c>
      <c r="M2701" t="b">
        <f t="shared" si="342"/>
        <v>0</v>
      </c>
      <c r="N2701" t="b">
        <f t="shared" si="336"/>
        <v>0</v>
      </c>
      <c r="O2701" t="str">
        <f t="shared" si="343"/>
        <v>Standard order</v>
      </c>
      <c r="P2701" s="7">
        <f t="shared" si="337"/>
        <v>1.3295000000000001</v>
      </c>
      <c r="Q2701" s="7" t="str">
        <f>VLOOKUP(D2702,Product_Lookup!$A$2:$C$27,2,FALSE)</f>
        <v>Board Game</v>
      </c>
      <c r="R2701" s="7">
        <f t="shared" si="338"/>
        <v>212.72</v>
      </c>
    </row>
    <row r="2702" spans="1:18" ht="21.75" customHeight="1">
      <c r="A2702" t="s">
        <v>2853</v>
      </c>
      <c r="B2702" s="6">
        <v>45630</v>
      </c>
      <c r="C2702" t="s">
        <v>339</v>
      </c>
      <c r="D2702" t="s">
        <v>41</v>
      </c>
      <c r="E2702" t="s">
        <v>22</v>
      </c>
      <c r="F2702" t="s">
        <v>12</v>
      </c>
      <c r="G2702" t="s">
        <v>36</v>
      </c>
      <c r="H2702">
        <v>15</v>
      </c>
      <c r="I2702" t="str">
        <f>VLOOKUP(D2702,Product_Lookup!$A$2:$C$27,3,FALSE)</f>
        <v>$86.6</v>
      </c>
      <c r="J2702" t="str">
        <f t="shared" si="339"/>
        <v>Wednesday</v>
      </c>
      <c r="K2702" s="10" t="str">
        <f t="shared" si="340"/>
        <v>December</v>
      </c>
      <c r="L2702">
        <f t="shared" si="341"/>
        <v>2024</v>
      </c>
      <c r="M2702" t="b">
        <f t="shared" si="342"/>
        <v>0</v>
      </c>
      <c r="N2702" t="b">
        <f t="shared" si="336"/>
        <v>1</v>
      </c>
      <c r="O2702" t="str">
        <f t="shared" si="343"/>
        <v>Large Order</v>
      </c>
      <c r="P2702" s="7">
        <f t="shared" si="337"/>
        <v>4.33</v>
      </c>
      <c r="Q2702" s="7" t="str">
        <f>VLOOKUP(D2703,Product_Lookup!$A$2:$C$27,2,FALSE)</f>
        <v>Notebook</v>
      </c>
      <c r="R2702" s="7">
        <f t="shared" si="338"/>
        <v>1299</v>
      </c>
    </row>
    <row r="2703" spans="1:18" ht="21.75" customHeight="1">
      <c r="A2703" t="s">
        <v>2854</v>
      </c>
      <c r="B2703" s="6">
        <v>45637</v>
      </c>
      <c r="C2703" t="s">
        <v>332</v>
      </c>
      <c r="D2703" t="s">
        <v>160</v>
      </c>
      <c r="E2703" t="s">
        <v>11</v>
      </c>
      <c r="F2703" t="s">
        <v>56</v>
      </c>
      <c r="G2703" t="s">
        <v>13</v>
      </c>
      <c r="H2703">
        <v>12</v>
      </c>
      <c r="I2703" t="str">
        <f>VLOOKUP(D2703,Product_Lookup!$A$2:$C$27,3,FALSE)</f>
        <v>$149.27</v>
      </c>
      <c r="J2703" t="str">
        <f t="shared" si="339"/>
        <v>Wednesday</v>
      </c>
      <c r="K2703" s="10" t="str">
        <f t="shared" si="340"/>
        <v>December</v>
      </c>
      <c r="L2703">
        <f t="shared" si="341"/>
        <v>2024</v>
      </c>
      <c r="M2703" t="b">
        <f t="shared" si="342"/>
        <v>0</v>
      </c>
      <c r="N2703" t="b">
        <f t="shared" si="336"/>
        <v>1</v>
      </c>
      <c r="O2703" t="str">
        <f t="shared" si="343"/>
        <v>Large Order</v>
      </c>
      <c r="P2703" s="7">
        <f t="shared" si="337"/>
        <v>7.4635000000000007</v>
      </c>
      <c r="Q2703" s="7" t="str">
        <f>VLOOKUP(D2704,Product_Lookup!$A$2:$C$27,2,FALSE)</f>
        <v>Smartphone</v>
      </c>
      <c r="R2703" s="7">
        <f t="shared" si="338"/>
        <v>1791.2400000000002</v>
      </c>
    </row>
    <row r="2704" spans="1:18" ht="21.75" customHeight="1">
      <c r="A2704" t="s">
        <v>2855</v>
      </c>
      <c r="B2704" s="6">
        <v>45555</v>
      </c>
      <c r="C2704" t="s">
        <v>182</v>
      </c>
      <c r="D2704" t="s">
        <v>79</v>
      </c>
      <c r="E2704" t="s">
        <v>17</v>
      </c>
      <c r="F2704" t="s">
        <v>27</v>
      </c>
      <c r="G2704" t="s">
        <v>23</v>
      </c>
      <c r="H2704">
        <v>6</v>
      </c>
      <c r="I2704" t="str">
        <f>VLOOKUP(D2704,Product_Lookup!$A$2:$C$27,3,FALSE)</f>
        <v>$216.22</v>
      </c>
      <c r="J2704" t="str">
        <f t="shared" si="339"/>
        <v>Friday</v>
      </c>
      <c r="K2704" s="10" t="str">
        <f t="shared" si="340"/>
        <v>September</v>
      </c>
      <c r="L2704">
        <f t="shared" si="341"/>
        <v>2024</v>
      </c>
      <c r="M2704" t="b">
        <f t="shared" si="342"/>
        <v>0</v>
      </c>
      <c r="N2704" t="b">
        <f t="shared" si="336"/>
        <v>1</v>
      </c>
      <c r="O2704" t="str">
        <f t="shared" si="343"/>
        <v>Large Order</v>
      </c>
      <c r="P2704" s="7">
        <f t="shared" si="337"/>
        <v>10.811</v>
      </c>
      <c r="Q2704" s="7" t="str">
        <f>VLOOKUP(D2705,Product_Lookup!$A$2:$C$27,2,FALSE)</f>
        <v>Board Game</v>
      </c>
      <c r="R2704" s="7">
        <f t="shared" si="338"/>
        <v>1297.32</v>
      </c>
    </row>
    <row r="2705" spans="1:18" ht="21.75" customHeight="1">
      <c r="A2705" t="s">
        <v>2856</v>
      </c>
      <c r="B2705" s="6">
        <v>45349</v>
      </c>
      <c r="C2705" t="s">
        <v>47</v>
      </c>
      <c r="D2705" t="s">
        <v>41</v>
      </c>
      <c r="E2705" t="s">
        <v>11</v>
      </c>
      <c r="F2705" t="s">
        <v>306</v>
      </c>
      <c r="G2705" t="s">
        <v>13</v>
      </c>
      <c r="H2705">
        <v>10</v>
      </c>
      <c r="I2705" t="str">
        <f>VLOOKUP(D2705,Product_Lookup!$A$2:$C$27,3,FALSE)</f>
        <v>$86.6</v>
      </c>
      <c r="J2705" t="str">
        <f t="shared" si="339"/>
        <v>Tuesday</v>
      </c>
      <c r="K2705" s="10" t="str">
        <f t="shared" si="340"/>
        <v>February</v>
      </c>
      <c r="L2705">
        <f t="shared" si="341"/>
        <v>2024</v>
      </c>
      <c r="M2705" t="b">
        <f t="shared" si="342"/>
        <v>0</v>
      </c>
      <c r="N2705" t="b">
        <f t="shared" si="336"/>
        <v>1</v>
      </c>
      <c r="O2705" t="str">
        <f t="shared" si="343"/>
        <v>Large Order</v>
      </c>
      <c r="P2705" s="7">
        <f t="shared" si="337"/>
        <v>4.33</v>
      </c>
      <c r="Q2705" s="7" t="str">
        <f>VLOOKUP(D2706,Product_Lookup!$A$2:$C$27,2,FALSE)</f>
        <v>Jeans</v>
      </c>
      <c r="R2705" s="7">
        <f t="shared" si="338"/>
        <v>866</v>
      </c>
    </row>
    <row r="2706" spans="1:18" ht="21.75" customHeight="1">
      <c r="A2706" t="s">
        <v>2857</v>
      </c>
      <c r="B2706" s="6">
        <v>45442</v>
      </c>
      <c r="C2706" t="s">
        <v>86</v>
      </c>
      <c r="D2706" t="s">
        <v>65</v>
      </c>
      <c r="E2706" t="s">
        <v>11</v>
      </c>
      <c r="F2706" t="s">
        <v>306</v>
      </c>
      <c r="G2706" t="s">
        <v>23</v>
      </c>
      <c r="H2706">
        <v>7</v>
      </c>
      <c r="I2706" t="str">
        <f>VLOOKUP(D2706,Product_Lookup!$A$2:$C$27,3,FALSE)</f>
        <v>$33.22</v>
      </c>
      <c r="J2706" t="str">
        <f t="shared" si="339"/>
        <v>Thursday</v>
      </c>
      <c r="K2706" s="10" t="str">
        <f t="shared" si="340"/>
        <v>May</v>
      </c>
      <c r="L2706">
        <f t="shared" si="341"/>
        <v>2024</v>
      </c>
      <c r="M2706" t="b">
        <f t="shared" si="342"/>
        <v>0</v>
      </c>
      <c r="N2706" t="b">
        <f t="shared" si="336"/>
        <v>0</v>
      </c>
      <c r="O2706" t="str">
        <f t="shared" si="343"/>
        <v>Standard order</v>
      </c>
      <c r="P2706" s="7">
        <f t="shared" si="337"/>
        <v>1.661</v>
      </c>
      <c r="Q2706" s="7" t="str">
        <f>VLOOKUP(D2707,Product_Lookup!$A$2:$C$27,2,FALSE)</f>
        <v>Smartphone</v>
      </c>
      <c r="R2706" s="7">
        <f t="shared" si="338"/>
        <v>232.54</v>
      </c>
    </row>
    <row r="2707" spans="1:18" ht="21.75" customHeight="1">
      <c r="A2707" t="s">
        <v>2858</v>
      </c>
      <c r="B2707" s="6">
        <v>45621</v>
      </c>
      <c r="C2707" t="s">
        <v>345</v>
      </c>
      <c r="D2707" t="s">
        <v>79</v>
      </c>
      <c r="E2707" t="s">
        <v>17</v>
      </c>
      <c r="F2707" t="s">
        <v>306</v>
      </c>
      <c r="G2707" t="s">
        <v>23</v>
      </c>
      <c r="H2707">
        <v>2</v>
      </c>
      <c r="I2707" t="str">
        <f>VLOOKUP(D2707,Product_Lookup!$A$2:$C$27,3,FALSE)</f>
        <v>$216.22</v>
      </c>
      <c r="J2707" t="str">
        <f t="shared" si="339"/>
        <v>Monday</v>
      </c>
      <c r="K2707" s="10" t="str">
        <f t="shared" si="340"/>
        <v>November</v>
      </c>
      <c r="L2707">
        <f t="shared" si="341"/>
        <v>2024</v>
      </c>
      <c r="M2707" t="b">
        <f t="shared" si="342"/>
        <v>0</v>
      </c>
      <c r="N2707" t="b">
        <f t="shared" si="336"/>
        <v>0</v>
      </c>
      <c r="O2707" t="str">
        <f t="shared" si="343"/>
        <v>Standard order</v>
      </c>
      <c r="P2707" s="7">
        <f t="shared" si="337"/>
        <v>10.811</v>
      </c>
      <c r="Q2707" s="7" t="str">
        <f>VLOOKUP(D2708,Product_Lookup!$A$2:$C$27,2,FALSE)</f>
        <v>Blender</v>
      </c>
      <c r="R2707" s="7">
        <f t="shared" si="338"/>
        <v>432.44</v>
      </c>
    </row>
    <row r="2708" spans="1:18" ht="21.75" customHeight="1">
      <c r="A2708" t="s">
        <v>2859</v>
      </c>
      <c r="B2708" s="6">
        <v>45607</v>
      </c>
      <c r="C2708" t="s">
        <v>366</v>
      </c>
      <c r="D2708" t="s">
        <v>72</v>
      </c>
      <c r="E2708" t="s">
        <v>17</v>
      </c>
      <c r="F2708" t="s">
        <v>42</v>
      </c>
      <c r="G2708" t="s">
        <v>13</v>
      </c>
      <c r="H2708">
        <v>1</v>
      </c>
      <c r="I2708" t="str">
        <f>VLOOKUP(D2708,Product_Lookup!$A$2:$C$27,3,FALSE)</f>
        <v>$156.44</v>
      </c>
      <c r="J2708" t="str">
        <f t="shared" si="339"/>
        <v>Monday</v>
      </c>
      <c r="K2708" s="10" t="str">
        <f t="shared" si="340"/>
        <v>November</v>
      </c>
      <c r="L2708">
        <f t="shared" si="341"/>
        <v>2024</v>
      </c>
      <c r="M2708" t="b">
        <f t="shared" si="342"/>
        <v>0</v>
      </c>
      <c r="N2708" t="b">
        <f t="shared" si="336"/>
        <v>0</v>
      </c>
      <c r="O2708" t="str">
        <f t="shared" si="343"/>
        <v>Standard order</v>
      </c>
      <c r="P2708" s="7">
        <f t="shared" si="337"/>
        <v>7.8220000000000001</v>
      </c>
      <c r="Q2708" s="7" t="str">
        <f>VLOOKUP(D2709,Product_Lookup!$A$2:$C$27,2,FALSE)</f>
        <v>Toaster</v>
      </c>
      <c r="R2708" s="7">
        <f t="shared" si="338"/>
        <v>156.44</v>
      </c>
    </row>
    <row r="2709" spans="1:18" ht="21.75" customHeight="1">
      <c r="A2709" t="s">
        <v>2860</v>
      </c>
      <c r="B2709" s="6">
        <v>45387</v>
      </c>
      <c r="C2709" t="s">
        <v>341</v>
      </c>
      <c r="D2709" t="s">
        <v>48</v>
      </c>
      <c r="E2709" t="s">
        <v>11</v>
      </c>
      <c r="F2709" t="s">
        <v>12</v>
      </c>
      <c r="G2709" t="s">
        <v>23</v>
      </c>
      <c r="H2709">
        <v>16</v>
      </c>
      <c r="I2709" t="str">
        <f>VLOOKUP(D2709,Product_Lookup!$A$2:$C$27,3,FALSE)</f>
        <v>$208.85</v>
      </c>
      <c r="J2709" t="str">
        <f t="shared" si="339"/>
        <v>Friday</v>
      </c>
      <c r="K2709" s="10" t="str">
        <f t="shared" si="340"/>
        <v>April</v>
      </c>
      <c r="L2709">
        <f t="shared" si="341"/>
        <v>2024</v>
      </c>
      <c r="M2709" t="b">
        <f t="shared" si="342"/>
        <v>0</v>
      </c>
      <c r="N2709" t="b">
        <f t="shared" si="336"/>
        <v>1</v>
      </c>
      <c r="O2709" t="str">
        <f t="shared" si="343"/>
        <v>Large Order</v>
      </c>
      <c r="P2709" s="7">
        <f t="shared" si="337"/>
        <v>10.442500000000001</v>
      </c>
      <c r="Q2709" s="7" t="str">
        <f>VLOOKUP(D2710,Product_Lookup!$A$2:$C$27,2,FALSE)</f>
        <v>Headphones</v>
      </c>
      <c r="R2709" s="7">
        <f t="shared" si="338"/>
        <v>3341.6</v>
      </c>
    </row>
    <row r="2710" spans="1:18" ht="21.75" customHeight="1">
      <c r="A2710" t="s">
        <v>2861</v>
      </c>
      <c r="B2710" s="6">
        <v>45562</v>
      </c>
      <c r="C2710" t="s">
        <v>345</v>
      </c>
      <c r="D2710" t="s">
        <v>16</v>
      </c>
      <c r="E2710" t="s">
        <v>17</v>
      </c>
      <c r="F2710" t="s">
        <v>12</v>
      </c>
      <c r="G2710" t="s">
        <v>23</v>
      </c>
      <c r="H2710">
        <v>1</v>
      </c>
      <c r="I2710" t="str">
        <f>VLOOKUP(D2710,Product_Lookup!$A$2:$C$27,3,FALSE)</f>
        <v>$178.83</v>
      </c>
      <c r="J2710" t="str">
        <f t="shared" si="339"/>
        <v>Friday</v>
      </c>
      <c r="K2710" s="10" t="str">
        <f t="shared" si="340"/>
        <v>September</v>
      </c>
      <c r="L2710">
        <f t="shared" si="341"/>
        <v>2024</v>
      </c>
      <c r="M2710" t="b">
        <f t="shared" si="342"/>
        <v>0</v>
      </c>
      <c r="N2710" t="b">
        <f t="shared" si="336"/>
        <v>0</v>
      </c>
      <c r="O2710" t="str">
        <f t="shared" si="343"/>
        <v>Standard order</v>
      </c>
      <c r="P2710" s="7">
        <f t="shared" si="337"/>
        <v>8.9415000000000013</v>
      </c>
      <c r="Q2710" s="7" t="str">
        <f>VLOOKUP(D2711,Product_Lookup!$A$2:$C$27,2,FALSE)</f>
        <v>Jacket</v>
      </c>
      <c r="R2710" s="7">
        <f t="shared" si="338"/>
        <v>178.83</v>
      </c>
    </row>
    <row r="2711" spans="1:18" ht="21.75" customHeight="1">
      <c r="A2711" t="s">
        <v>2862</v>
      </c>
      <c r="B2711" s="6">
        <v>45628</v>
      </c>
      <c r="C2711" t="s">
        <v>230</v>
      </c>
      <c r="D2711" t="s">
        <v>197</v>
      </c>
      <c r="E2711" t="s">
        <v>17</v>
      </c>
      <c r="F2711" t="s">
        <v>27</v>
      </c>
      <c r="G2711" t="s">
        <v>32</v>
      </c>
      <c r="H2711">
        <v>10</v>
      </c>
      <c r="I2711" t="str">
        <f>VLOOKUP(D2711,Product_Lookup!$A$2:$C$27,3,FALSE)</f>
        <v>$10.11</v>
      </c>
      <c r="J2711" t="str">
        <f t="shared" si="339"/>
        <v>Monday</v>
      </c>
      <c r="K2711" s="10" t="str">
        <f t="shared" si="340"/>
        <v>December</v>
      </c>
      <c r="L2711">
        <f t="shared" si="341"/>
        <v>2024</v>
      </c>
      <c r="M2711" t="b">
        <f t="shared" si="342"/>
        <v>0</v>
      </c>
      <c r="N2711" t="b">
        <f t="shared" si="336"/>
        <v>0</v>
      </c>
      <c r="O2711" t="str">
        <f t="shared" si="343"/>
        <v>Standard order</v>
      </c>
      <c r="P2711" s="7">
        <f t="shared" si="337"/>
        <v>0.50549999999999995</v>
      </c>
      <c r="Q2711" s="7" t="str">
        <f>VLOOKUP(D2712,Product_Lookup!$A$2:$C$27,2,FALSE)</f>
        <v>Sweater</v>
      </c>
      <c r="R2711" s="7">
        <f t="shared" si="338"/>
        <v>101.1</v>
      </c>
    </row>
    <row r="2712" spans="1:18" ht="21.75" customHeight="1">
      <c r="A2712" t="s">
        <v>2863</v>
      </c>
      <c r="B2712" s="6">
        <v>45385</v>
      </c>
      <c r="C2712" t="s">
        <v>312</v>
      </c>
      <c r="D2712" t="s">
        <v>26</v>
      </c>
      <c r="E2712" t="s">
        <v>11</v>
      </c>
      <c r="F2712" t="s">
        <v>27</v>
      </c>
      <c r="G2712" t="s">
        <v>23</v>
      </c>
      <c r="H2712">
        <v>6</v>
      </c>
      <c r="I2712" t="str">
        <f>VLOOKUP(D2712,Product_Lookup!$A$2:$C$27,3,FALSE)</f>
        <v>$84.57</v>
      </c>
      <c r="J2712" t="str">
        <f t="shared" si="339"/>
        <v>Wednesday</v>
      </c>
      <c r="K2712" s="10" t="str">
        <f t="shared" si="340"/>
        <v>April</v>
      </c>
      <c r="L2712">
        <f t="shared" si="341"/>
        <v>2024</v>
      </c>
      <c r="M2712" t="b">
        <f t="shared" si="342"/>
        <v>0</v>
      </c>
      <c r="N2712" t="b">
        <f t="shared" si="336"/>
        <v>0</v>
      </c>
      <c r="O2712" t="str">
        <f t="shared" si="343"/>
        <v>Large Order</v>
      </c>
      <c r="P2712" s="7">
        <f t="shared" si="337"/>
        <v>4.2284999999999995</v>
      </c>
      <c r="Q2712" s="7" t="str">
        <f>VLOOKUP(D2713,Product_Lookup!$A$2:$C$27,2,FALSE)</f>
        <v>Toaster</v>
      </c>
      <c r="R2712" s="7">
        <f t="shared" si="338"/>
        <v>507.41999999999996</v>
      </c>
    </row>
    <row r="2713" spans="1:18" ht="21.75" customHeight="1">
      <c r="A2713" t="s">
        <v>2864</v>
      </c>
      <c r="B2713" s="6">
        <v>45514</v>
      </c>
      <c r="C2713" t="s">
        <v>25</v>
      </c>
      <c r="D2713" t="s">
        <v>48</v>
      </c>
      <c r="E2713" t="s">
        <v>22</v>
      </c>
      <c r="F2713" t="s">
        <v>56</v>
      </c>
      <c r="G2713" t="s">
        <v>13</v>
      </c>
      <c r="H2713">
        <v>7</v>
      </c>
      <c r="I2713" t="str">
        <f>VLOOKUP(D2713,Product_Lookup!$A$2:$C$27,3,FALSE)</f>
        <v>$208.85</v>
      </c>
      <c r="J2713" t="str">
        <f t="shared" si="339"/>
        <v>Saturday</v>
      </c>
      <c r="K2713" s="10" t="str">
        <f t="shared" si="340"/>
        <v>August</v>
      </c>
      <c r="L2713">
        <f t="shared" si="341"/>
        <v>2024</v>
      </c>
      <c r="M2713" t="b">
        <f t="shared" si="342"/>
        <v>1</v>
      </c>
      <c r="N2713" t="b">
        <f t="shared" si="336"/>
        <v>1</v>
      </c>
      <c r="O2713" t="str">
        <f t="shared" si="343"/>
        <v>Large Order</v>
      </c>
      <c r="P2713" s="7">
        <f t="shared" si="337"/>
        <v>10.442500000000001</v>
      </c>
      <c r="Q2713" s="7" t="str">
        <f>VLOOKUP(D2714,Product_Lookup!$A$2:$C$27,2,FALSE)</f>
        <v>Vacuum</v>
      </c>
      <c r="R2713" s="7">
        <f t="shared" si="338"/>
        <v>1461.95</v>
      </c>
    </row>
    <row r="2714" spans="1:18" ht="21.75" customHeight="1">
      <c r="A2714" t="s">
        <v>2865</v>
      </c>
      <c r="B2714" s="6">
        <v>45360</v>
      </c>
      <c r="C2714" t="s">
        <v>106</v>
      </c>
      <c r="D2714" t="s">
        <v>87</v>
      </c>
      <c r="E2714" t="s">
        <v>22</v>
      </c>
      <c r="F2714" t="s">
        <v>42</v>
      </c>
      <c r="G2714" t="s">
        <v>13</v>
      </c>
      <c r="H2714">
        <v>6</v>
      </c>
      <c r="I2714" t="str">
        <f>VLOOKUP(D2714,Product_Lookup!$A$2:$C$27,3,FALSE)</f>
        <v>$26.59</v>
      </c>
      <c r="J2714" t="str">
        <f t="shared" si="339"/>
        <v>Saturday</v>
      </c>
      <c r="K2714" s="10" t="str">
        <f t="shared" si="340"/>
        <v>March</v>
      </c>
      <c r="L2714">
        <f t="shared" si="341"/>
        <v>2024</v>
      </c>
      <c r="M2714" t="b">
        <f t="shared" si="342"/>
        <v>1</v>
      </c>
      <c r="N2714" t="b">
        <f t="shared" si="336"/>
        <v>0</v>
      </c>
      <c r="O2714" t="str">
        <f t="shared" si="343"/>
        <v>Standard order</v>
      </c>
      <c r="P2714" s="7">
        <f t="shared" si="337"/>
        <v>1.3295000000000001</v>
      </c>
      <c r="Q2714" s="7" t="str">
        <f>VLOOKUP(D2715,Product_Lookup!$A$2:$C$27,2,FALSE)</f>
        <v>Sweater</v>
      </c>
      <c r="R2714" s="7">
        <f t="shared" si="338"/>
        <v>159.54</v>
      </c>
    </row>
    <row r="2715" spans="1:18" ht="21.75" customHeight="1">
      <c r="A2715" t="s">
        <v>2866</v>
      </c>
      <c r="B2715" s="6">
        <v>45537</v>
      </c>
      <c r="C2715" t="s">
        <v>317</v>
      </c>
      <c r="D2715" t="s">
        <v>26</v>
      </c>
      <c r="E2715" t="s">
        <v>11</v>
      </c>
      <c r="F2715" t="s">
        <v>27</v>
      </c>
      <c r="G2715" t="s">
        <v>23</v>
      </c>
      <c r="H2715">
        <v>18</v>
      </c>
      <c r="I2715" t="str">
        <f>VLOOKUP(D2715,Product_Lookup!$A$2:$C$27,3,FALSE)</f>
        <v>$84.57</v>
      </c>
      <c r="J2715" t="str">
        <f t="shared" si="339"/>
        <v>Monday</v>
      </c>
      <c r="K2715" s="10" t="str">
        <f t="shared" si="340"/>
        <v>September</v>
      </c>
      <c r="L2715">
        <f t="shared" si="341"/>
        <v>2024</v>
      </c>
      <c r="M2715" t="b">
        <f t="shared" si="342"/>
        <v>0</v>
      </c>
      <c r="N2715" t="b">
        <f t="shared" si="336"/>
        <v>1</v>
      </c>
      <c r="O2715" t="str">
        <f t="shared" si="343"/>
        <v>Large Order</v>
      </c>
      <c r="P2715" s="7">
        <f t="shared" si="337"/>
        <v>4.2284999999999995</v>
      </c>
      <c r="Q2715" s="7" t="str">
        <f>VLOOKUP(D2716,Product_Lookup!$A$2:$C$27,2,FALSE)</f>
        <v>Headphones</v>
      </c>
      <c r="R2715" s="7">
        <f t="shared" si="338"/>
        <v>1522.2599999999998</v>
      </c>
    </row>
    <row r="2716" spans="1:18" ht="21.75" customHeight="1">
      <c r="A2716" t="s">
        <v>2867</v>
      </c>
      <c r="B2716" s="6">
        <v>45641</v>
      </c>
      <c r="C2716" t="s">
        <v>436</v>
      </c>
      <c r="D2716" t="s">
        <v>16</v>
      </c>
      <c r="E2716" t="s">
        <v>17</v>
      </c>
      <c r="F2716" t="s">
        <v>27</v>
      </c>
      <c r="G2716" t="s">
        <v>36</v>
      </c>
      <c r="H2716">
        <v>13</v>
      </c>
      <c r="I2716" t="str">
        <f>VLOOKUP(D2716,Product_Lookup!$A$2:$C$27,3,FALSE)</f>
        <v>$178.83</v>
      </c>
      <c r="J2716" t="str">
        <f t="shared" si="339"/>
        <v>Sunday</v>
      </c>
      <c r="K2716" s="10" t="str">
        <f t="shared" si="340"/>
        <v>December</v>
      </c>
      <c r="L2716">
        <f t="shared" si="341"/>
        <v>2024</v>
      </c>
      <c r="M2716" t="b">
        <f t="shared" si="342"/>
        <v>1</v>
      </c>
      <c r="N2716" t="b">
        <f t="shared" si="336"/>
        <v>1</v>
      </c>
      <c r="O2716" t="str">
        <f t="shared" si="343"/>
        <v>Large Order</v>
      </c>
      <c r="P2716" s="7">
        <f t="shared" si="337"/>
        <v>8.9415000000000013</v>
      </c>
      <c r="Q2716" s="7" t="str">
        <f>VLOOKUP(D2717,Product_Lookup!$A$2:$C$27,2,FALSE)</f>
        <v>Headphones</v>
      </c>
      <c r="R2716" s="7">
        <f t="shared" si="338"/>
        <v>2324.79</v>
      </c>
    </row>
    <row r="2717" spans="1:18" ht="21.75" customHeight="1">
      <c r="A2717" t="s">
        <v>2868</v>
      </c>
      <c r="B2717" s="6">
        <v>45347</v>
      </c>
      <c r="C2717" t="s">
        <v>138</v>
      </c>
      <c r="D2717" t="s">
        <v>16</v>
      </c>
      <c r="E2717" t="s">
        <v>11</v>
      </c>
      <c r="F2717" t="s">
        <v>42</v>
      </c>
      <c r="G2717" t="s">
        <v>36</v>
      </c>
      <c r="H2717">
        <v>1</v>
      </c>
      <c r="I2717" t="str">
        <f>VLOOKUP(D2717,Product_Lookup!$A$2:$C$27,3,FALSE)</f>
        <v>$178.83</v>
      </c>
      <c r="J2717" t="str">
        <f t="shared" si="339"/>
        <v>Sunday</v>
      </c>
      <c r="K2717" s="10" t="str">
        <f t="shared" si="340"/>
        <v>February</v>
      </c>
      <c r="L2717">
        <f t="shared" si="341"/>
        <v>2024</v>
      </c>
      <c r="M2717" t="b">
        <f t="shared" si="342"/>
        <v>1</v>
      </c>
      <c r="N2717" t="b">
        <f t="shared" si="336"/>
        <v>0</v>
      </c>
      <c r="O2717" t="str">
        <f t="shared" si="343"/>
        <v>Standard order</v>
      </c>
      <c r="P2717" s="7">
        <f t="shared" si="337"/>
        <v>8.9415000000000013</v>
      </c>
      <c r="Q2717" s="7" t="str">
        <f>VLOOKUP(D2718,Product_Lookup!$A$2:$C$27,2,FALSE)</f>
        <v>Board Game</v>
      </c>
      <c r="R2717" s="7">
        <f t="shared" si="338"/>
        <v>178.83</v>
      </c>
    </row>
    <row r="2718" spans="1:18" ht="21.75" customHeight="1">
      <c r="A2718" t="s">
        <v>2869</v>
      </c>
      <c r="B2718" s="6">
        <v>45413</v>
      </c>
      <c r="C2718" t="s">
        <v>9</v>
      </c>
      <c r="D2718" t="s">
        <v>41</v>
      </c>
      <c r="E2718" t="s">
        <v>17</v>
      </c>
      <c r="F2718" t="s">
        <v>27</v>
      </c>
      <c r="G2718" t="s">
        <v>36</v>
      </c>
      <c r="H2718">
        <v>1</v>
      </c>
      <c r="I2718" t="str">
        <f>VLOOKUP(D2718,Product_Lookup!$A$2:$C$27,3,FALSE)</f>
        <v>$86.6</v>
      </c>
      <c r="J2718" t="str">
        <f t="shared" si="339"/>
        <v>Wednesday</v>
      </c>
      <c r="K2718" s="10" t="str">
        <f t="shared" si="340"/>
        <v>May</v>
      </c>
      <c r="L2718">
        <f t="shared" si="341"/>
        <v>2024</v>
      </c>
      <c r="M2718" t="b">
        <f t="shared" si="342"/>
        <v>0</v>
      </c>
      <c r="N2718" t="b">
        <f t="shared" si="336"/>
        <v>0</v>
      </c>
      <c r="O2718" t="str">
        <f t="shared" si="343"/>
        <v>Standard order</v>
      </c>
      <c r="P2718" s="7">
        <f t="shared" si="337"/>
        <v>4.33</v>
      </c>
      <c r="Q2718" s="7" t="str">
        <f>VLOOKUP(D2719,Product_Lookup!$A$2:$C$27,2,FALSE)</f>
        <v>Stapler</v>
      </c>
      <c r="R2718" s="7">
        <f t="shared" si="338"/>
        <v>86.6</v>
      </c>
    </row>
    <row r="2719" spans="1:18" ht="21.75" customHeight="1">
      <c r="A2719" t="s">
        <v>2870</v>
      </c>
      <c r="B2719" s="6">
        <v>45440</v>
      </c>
      <c r="C2719" t="s">
        <v>55</v>
      </c>
      <c r="D2719" t="s">
        <v>35</v>
      </c>
      <c r="E2719" t="s">
        <v>11</v>
      </c>
      <c r="F2719" t="s">
        <v>27</v>
      </c>
      <c r="G2719" t="s">
        <v>28</v>
      </c>
      <c r="H2719">
        <v>20</v>
      </c>
      <c r="I2719" t="str">
        <f>VLOOKUP(D2719,Product_Lookup!$A$2:$C$27,3,FALSE)</f>
        <v>$64.61</v>
      </c>
      <c r="J2719" t="str">
        <f t="shared" si="339"/>
        <v>Tuesday</v>
      </c>
      <c r="K2719" s="10" t="str">
        <f t="shared" si="340"/>
        <v>May</v>
      </c>
      <c r="L2719">
        <f t="shared" si="341"/>
        <v>2024</v>
      </c>
      <c r="M2719" t="b">
        <f t="shared" si="342"/>
        <v>0</v>
      </c>
      <c r="N2719" t="b">
        <f t="shared" si="336"/>
        <v>1</v>
      </c>
      <c r="O2719" t="str">
        <f t="shared" si="343"/>
        <v>Large Order</v>
      </c>
      <c r="P2719" s="7">
        <f t="shared" si="337"/>
        <v>3.2305000000000001</v>
      </c>
      <c r="Q2719" s="7" t="str">
        <f>VLOOKUP(D2720,Product_Lookup!$A$2:$C$27,2,FALSE)</f>
        <v>Jacket</v>
      </c>
      <c r="R2719" s="7">
        <f t="shared" si="338"/>
        <v>1292.2</v>
      </c>
    </row>
    <row r="2720" spans="1:18" ht="21.75" customHeight="1">
      <c r="A2720" t="s">
        <v>2871</v>
      </c>
      <c r="B2720" s="6">
        <v>45553</v>
      </c>
      <c r="C2720" t="s">
        <v>44</v>
      </c>
      <c r="D2720" t="s">
        <v>197</v>
      </c>
      <c r="E2720" t="s">
        <v>17</v>
      </c>
      <c r="F2720" t="s">
        <v>12</v>
      </c>
      <c r="G2720" t="s">
        <v>32</v>
      </c>
      <c r="H2720">
        <v>8</v>
      </c>
      <c r="I2720" t="str">
        <f>VLOOKUP(D2720,Product_Lookup!$A$2:$C$27,3,FALSE)</f>
        <v>$10.11</v>
      </c>
      <c r="J2720" t="str">
        <f t="shared" si="339"/>
        <v>Wednesday</v>
      </c>
      <c r="K2720" s="10" t="str">
        <f t="shared" si="340"/>
        <v>September</v>
      </c>
      <c r="L2720">
        <f t="shared" si="341"/>
        <v>2024</v>
      </c>
      <c r="M2720" t="b">
        <f t="shared" si="342"/>
        <v>0</v>
      </c>
      <c r="N2720" t="b">
        <f t="shared" si="336"/>
        <v>0</v>
      </c>
      <c r="O2720" t="str">
        <f t="shared" si="343"/>
        <v>Standard order</v>
      </c>
      <c r="P2720" s="7">
        <f t="shared" si="337"/>
        <v>0.50549999999999995</v>
      </c>
      <c r="Q2720" s="7" t="str">
        <f>VLOOKUP(D2721,Product_Lookup!$A$2:$C$27,2,FALSE)</f>
        <v>Stapler</v>
      </c>
      <c r="R2720" s="7">
        <f t="shared" si="338"/>
        <v>80.88</v>
      </c>
    </row>
    <row r="2721" spans="1:18" ht="21.75" customHeight="1">
      <c r="A2721" t="s">
        <v>2872</v>
      </c>
      <c r="B2721" s="6">
        <v>45511</v>
      </c>
      <c r="C2721" t="s">
        <v>104</v>
      </c>
      <c r="D2721" t="s">
        <v>35</v>
      </c>
      <c r="E2721" t="s">
        <v>22</v>
      </c>
      <c r="F2721" t="s">
        <v>12</v>
      </c>
      <c r="G2721" t="s">
        <v>36</v>
      </c>
      <c r="H2721">
        <v>20</v>
      </c>
      <c r="I2721" t="str">
        <f>VLOOKUP(D2721,Product_Lookup!$A$2:$C$27,3,FALSE)</f>
        <v>$64.61</v>
      </c>
      <c r="J2721" t="str">
        <f t="shared" si="339"/>
        <v>Wednesday</v>
      </c>
      <c r="K2721" s="10" t="str">
        <f t="shared" si="340"/>
        <v>August</v>
      </c>
      <c r="L2721">
        <f t="shared" si="341"/>
        <v>2024</v>
      </c>
      <c r="M2721" t="b">
        <f t="shared" si="342"/>
        <v>0</v>
      </c>
      <c r="N2721" t="b">
        <f t="shared" si="336"/>
        <v>1</v>
      </c>
      <c r="O2721" t="str">
        <f t="shared" si="343"/>
        <v>Large Order</v>
      </c>
      <c r="P2721" s="7">
        <f t="shared" si="337"/>
        <v>3.2305000000000001</v>
      </c>
      <c r="Q2721" s="7" t="str">
        <f>VLOOKUP(D2722,Product_Lookup!$A$2:$C$27,2,FALSE)</f>
        <v>Action Figure</v>
      </c>
      <c r="R2721" s="7">
        <f t="shared" si="338"/>
        <v>1292.2</v>
      </c>
    </row>
    <row r="2722" spans="1:18" ht="21.75" customHeight="1">
      <c r="A2722" t="s">
        <v>2873</v>
      </c>
      <c r="B2722" s="6">
        <v>45594</v>
      </c>
      <c r="C2722" t="s">
        <v>451</v>
      </c>
      <c r="D2722" t="s">
        <v>21</v>
      </c>
      <c r="E2722" t="s">
        <v>11</v>
      </c>
      <c r="F2722" t="s">
        <v>56</v>
      </c>
      <c r="G2722" t="s">
        <v>13</v>
      </c>
      <c r="H2722">
        <v>5</v>
      </c>
      <c r="I2722" t="str">
        <f>VLOOKUP(D2722,Product_Lookup!$A$2:$C$27,3,FALSE)</f>
        <v>$88.18</v>
      </c>
      <c r="J2722" t="str">
        <f t="shared" si="339"/>
        <v>Tuesday</v>
      </c>
      <c r="K2722" s="10" t="str">
        <f t="shared" si="340"/>
        <v>October</v>
      </c>
      <c r="L2722">
        <f t="shared" si="341"/>
        <v>2024</v>
      </c>
      <c r="M2722" t="b">
        <f t="shared" si="342"/>
        <v>0</v>
      </c>
      <c r="N2722" t="b">
        <f t="shared" si="336"/>
        <v>0</v>
      </c>
      <c r="O2722" t="str">
        <f t="shared" si="343"/>
        <v>Standard order</v>
      </c>
      <c r="P2722" s="7">
        <f t="shared" si="337"/>
        <v>4.4090000000000007</v>
      </c>
      <c r="Q2722" s="7" t="str">
        <f>VLOOKUP(D2723,Product_Lookup!$A$2:$C$27,2,FALSE)</f>
        <v>Headphones</v>
      </c>
      <c r="R2722" s="7">
        <f t="shared" si="338"/>
        <v>440.90000000000003</v>
      </c>
    </row>
    <row r="2723" spans="1:18" ht="21.75" customHeight="1">
      <c r="A2723" t="s">
        <v>2874</v>
      </c>
      <c r="B2723" s="6">
        <v>45432</v>
      </c>
      <c r="C2723" t="s">
        <v>150</v>
      </c>
      <c r="D2723" t="s">
        <v>16</v>
      </c>
      <c r="E2723" t="s">
        <v>17</v>
      </c>
      <c r="F2723" t="s">
        <v>12</v>
      </c>
      <c r="G2723" t="s">
        <v>36</v>
      </c>
      <c r="H2723">
        <v>7</v>
      </c>
      <c r="I2723" t="str">
        <f>VLOOKUP(D2723,Product_Lookup!$A$2:$C$27,3,FALSE)</f>
        <v>$178.83</v>
      </c>
      <c r="J2723" t="str">
        <f t="shared" si="339"/>
        <v>Monday</v>
      </c>
      <c r="K2723" s="10" t="str">
        <f t="shared" si="340"/>
        <v>May</v>
      </c>
      <c r="L2723">
        <f t="shared" si="341"/>
        <v>2024</v>
      </c>
      <c r="M2723" t="b">
        <f t="shared" si="342"/>
        <v>0</v>
      </c>
      <c r="N2723" t="b">
        <f t="shared" si="336"/>
        <v>1</v>
      </c>
      <c r="O2723" t="str">
        <f t="shared" si="343"/>
        <v>Large Order</v>
      </c>
      <c r="P2723" s="7">
        <f t="shared" si="337"/>
        <v>8.9415000000000013</v>
      </c>
      <c r="Q2723" s="7" t="str">
        <f>VLOOKUP(D2724,Product_Lookup!$A$2:$C$27,2,FALSE)</f>
        <v>Vacuum</v>
      </c>
      <c r="R2723" s="7">
        <f t="shared" si="338"/>
        <v>1251.8100000000002</v>
      </c>
    </row>
    <row r="2724" spans="1:18" ht="21.75" customHeight="1">
      <c r="A2724" t="s">
        <v>2875</v>
      </c>
      <c r="B2724" s="6">
        <v>45318</v>
      </c>
      <c r="C2724" t="s">
        <v>159</v>
      </c>
      <c r="D2724" t="s">
        <v>87</v>
      </c>
      <c r="E2724" t="s">
        <v>22</v>
      </c>
      <c r="F2724" t="s">
        <v>42</v>
      </c>
      <c r="G2724" t="s">
        <v>28</v>
      </c>
      <c r="H2724">
        <v>8</v>
      </c>
      <c r="I2724" t="str">
        <f>VLOOKUP(D2724,Product_Lookup!$A$2:$C$27,3,FALSE)</f>
        <v>$26.59</v>
      </c>
      <c r="J2724" t="str">
        <f t="shared" si="339"/>
        <v>Saturday</v>
      </c>
      <c r="K2724" s="10" t="str">
        <f t="shared" si="340"/>
        <v>January</v>
      </c>
      <c r="L2724">
        <f t="shared" si="341"/>
        <v>2024</v>
      </c>
      <c r="M2724" t="b">
        <f t="shared" si="342"/>
        <v>1</v>
      </c>
      <c r="N2724" t="b">
        <f t="shared" si="336"/>
        <v>0</v>
      </c>
      <c r="O2724" t="str">
        <f t="shared" si="343"/>
        <v>Standard order</v>
      </c>
      <c r="P2724" s="7">
        <f t="shared" si="337"/>
        <v>1.3295000000000001</v>
      </c>
      <c r="Q2724" s="7" t="str">
        <f>VLOOKUP(D2725,Product_Lookup!$A$2:$C$27,2,FALSE)</f>
        <v>Notebook</v>
      </c>
      <c r="R2724" s="7">
        <f t="shared" si="338"/>
        <v>212.72</v>
      </c>
    </row>
    <row r="2725" spans="1:18" ht="21.75" customHeight="1">
      <c r="A2725" t="s">
        <v>2876</v>
      </c>
      <c r="B2725" s="6">
        <v>45537</v>
      </c>
      <c r="C2725" t="s">
        <v>131</v>
      </c>
      <c r="D2725" t="s">
        <v>160</v>
      </c>
      <c r="E2725" t="s">
        <v>17</v>
      </c>
      <c r="F2725" t="s">
        <v>12</v>
      </c>
      <c r="G2725" t="s">
        <v>32</v>
      </c>
      <c r="H2725">
        <v>4</v>
      </c>
      <c r="I2725" t="str">
        <f>VLOOKUP(D2725,Product_Lookup!$A$2:$C$27,3,FALSE)</f>
        <v>$149.27</v>
      </c>
      <c r="J2725" t="str">
        <f t="shared" si="339"/>
        <v>Monday</v>
      </c>
      <c r="K2725" s="10" t="str">
        <f t="shared" si="340"/>
        <v>September</v>
      </c>
      <c r="L2725">
        <f t="shared" si="341"/>
        <v>2024</v>
      </c>
      <c r="M2725" t="b">
        <f t="shared" si="342"/>
        <v>0</v>
      </c>
      <c r="N2725" t="b">
        <f t="shared" si="336"/>
        <v>0</v>
      </c>
      <c r="O2725" t="str">
        <f t="shared" si="343"/>
        <v>Large Order</v>
      </c>
      <c r="P2725" s="7">
        <f t="shared" si="337"/>
        <v>7.4635000000000007</v>
      </c>
      <c r="Q2725" s="7" t="str">
        <f>VLOOKUP(D2726,Product_Lookup!$A$2:$C$27,2,FALSE)</f>
        <v>Puzzle</v>
      </c>
      <c r="R2725" s="7">
        <f t="shared" si="338"/>
        <v>597.08000000000004</v>
      </c>
    </row>
    <row r="2726" spans="1:18" ht="21.75" customHeight="1">
      <c r="A2726" t="s">
        <v>2877</v>
      </c>
      <c r="B2726" s="6">
        <v>45435</v>
      </c>
      <c r="C2726" t="s">
        <v>20</v>
      </c>
      <c r="D2726" t="s">
        <v>62</v>
      </c>
      <c r="E2726" t="s">
        <v>17</v>
      </c>
      <c r="F2726" t="s">
        <v>56</v>
      </c>
      <c r="G2726" t="s">
        <v>32</v>
      </c>
      <c r="H2726">
        <v>2</v>
      </c>
      <c r="I2726" t="str">
        <f>VLOOKUP(D2726,Product_Lookup!$A$2:$C$27,3,FALSE)</f>
        <v>$46.19</v>
      </c>
      <c r="J2726" t="str">
        <f t="shared" si="339"/>
        <v>Thursday</v>
      </c>
      <c r="K2726" s="10" t="str">
        <f t="shared" si="340"/>
        <v>May</v>
      </c>
      <c r="L2726">
        <f t="shared" si="341"/>
        <v>2024</v>
      </c>
      <c r="M2726" t="b">
        <f t="shared" si="342"/>
        <v>0</v>
      </c>
      <c r="N2726" t="b">
        <f t="shared" si="336"/>
        <v>0</v>
      </c>
      <c r="O2726" t="str">
        <f t="shared" si="343"/>
        <v>Standard order</v>
      </c>
      <c r="P2726" s="7">
        <f t="shared" si="337"/>
        <v>2.3094999999999999</v>
      </c>
      <c r="Q2726" s="7" t="str">
        <f>VLOOKUP(D2727,Product_Lookup!$A$2:$C$27,2,FALSE)</f>
        <v>Board Game</v>
      </c>
      <c r="R2726" s="7">
        <f t="shared" si="338"/>
        <v>92.38</v>
      </c>
    </row>
    <row r="2727" spans="1:18" ht="21.75" customHeight="1">
      <c r="A2727" t="s">
        <v>2878</v>
      </c>
      <c r="B2727" s="6">
        <v>45292</v>
      </c>
      <c r="C2727" t="s">
        <v>9</v>
      </c>
      <c r="D2727" t="s">
        <v>41</v>
      </c>
      <c r="E2727" t="s">
        <v>22</v>
      </c>
      <c r="F2727" t="s">
        <v>42</v>
      </c>
      <c r="G2727" t="s">
        <v>28</v>
      </c>
      <c r="H2727">
        <v>10</v>
      </c>
      <c r="I2727" t="str">
        <f>VLOOKUP(D2727,Product_Lookup!$A$2:$C$27,3,FALSE)</f>
        <v>$86.6</v>
      </c>
      <c r="J2727" t="str">
        <f t="shared" si="339"/>
        <v>Monday</v>
      </c>
      <c r="K2727" s="10" t="str">
        <f t="shared" si="340"/>
        <v>January</v>
      </c>
      <c r="L2727">
        <f t="shared" si="341"/>
        <v>2024</v>
      </c>
      <c r="M2727" t="b">
        <f t="shared" si="342"/>
        <v>0</v>
      </c>
      <c r="N2727" t="b">
        <f t="shared" si="336"/>
        <v>1</v>
      </c>
      <c r="O2727" t="str">
        <f t="shared" si="343"/>
        <v>Large Order</v>
      </c>
      <c r="P2727" s="7">
        <f t="shared" si="337"/>
        <v>4.33</v>
      </c>
      <c r="Q2727" s="7" t="str">
        <f>VLOOKUP(D2728,Product_Lookup!$A$2:$C$27,2,FALSE)</f>
        <v>Vacuum</v>
      </c>
      <c r="R2727" s="7">
        <f t="shared" si="338"/>
        <v>866</v>
      </c>
    </row>
    <row r="2728" spans="1:18" ht="21.75" customHeight="1">
      <c r="A2728" t="s">
        <v>2879</v>
      </c>
      <c r="B2728" s="6">
        <v>45602</v>
      </c>
      <c r="C2728" t="s">
        <v>108</v>
      </c>
      <c r="D2728" t="s">
        <v>87</v>
      </c>
      <c r="E2728" t="s">
        <v>11</v>
      </c>
      <c r="F2728" t="s">
        <v>42</v>
      </c>
      <c r="G2728" t="s">
        <v>23</v>
      </c>
      <c r="H2728">
        <v>12</v>
      </c>
      <c r="I2728" t="str">
        <f>VLOOKUP(D2728,Product_Lookup!$A$2:$C$27,3,FALSE)</f>
        <v>$26.59</v>
      </c>
      <c r="J2728" t="str">
        <f t="shared" si="339"/>
        <v>Wednesday</v>
      </c>
      <c r="K2728" s="10" t="str">
        <f t="shared" si="340"/>
        <v>November</v>
      </c>
      <c r="L2728">
        <f t="shared" si="341"/>
        <v>2024</v>
      </c>
      <c r="M2728" t="b">
        <f t="shared" si="342"/>
        <v>0</v>
      </c>
      <c r="N2728" t="b">
        <f t="shared" si="336"/>
        <v>0</v>
      </c>
      <c r="O2728" t="str">
        <f t="shared" si="343"/>
        <v>Standard order</v>
      </c>
      <c r="P2728" s="7">
        <f t="shared" si="337"/>
        <v>1.3295000000000001</v>
      </c>
      <c r="Q2728" s="7" t="str">
        <f>VLOOKUP(D2729,Product_Lookup!$A$2:$C$27,2,FALSE)</f>
        <v>Board Game</v>
      </c>
      <c r="R2728" s="7">
        <f t="shared" si="338"/>
        <v>319.08</v>
      </c>
    </row>
    <row r="2729" spans="1:18" ht="21.75" customHeight="1">
      <c r="A2729" t="s">
        <v>2880</v>
      </c>
      <c r="B2729" s="6">
        <v>45349</v>
      </c>
      <c r="C2729" t="s">
        <v>108</v>
      </c>
      <c r="D2729" t="s">
        <v>41</v>
      </c>
      <c r="E2729" t="s">
        <v>11</v>
      </c>
      <c r="F2729" t="s">
        <v>306</v>
      </c>
      <c r="G2729" t="s">
        <v>28</v>
      </c>
      <c r="H2729">
        <v>11</v>
      </c>
      <c r="I2729" t="str">
        <f>VLOOKUP(D2729,Product_Lookup!$A$2:$C$27,3,FALSE)</f>
        <v>$86.6</v>
      </c>
      <c r="J2729" t="str">
        <f t="shared" si="339"/>
        <v>Tuesday</v>
      </c>
      <c r="K2729" s="10" t="str">
        <f t="shared" si="340"/>
        <v>February</v>
      </c>
      <c r="L2729">
        <f t="shared" si="341"/>
        <v>2024</v>
      </c>
      <c r="M2729" t="b">
        <f t="shared" si="342"/>
        <v>0</v>
      </c>
      <c r="N2729" t="b">
        <f t="shared" si="336"/>
        <v>1</v>
      </c>
      <c r="O2729" t="str">
        <f t="shared" si="343"/>
        <v>Large Order</v>
      </c>
      <c r="P2729" s="7">
        <f t="shared" si="337"/>
        <v>4.33</v>
      </c>
      <c r="Q2729" s="7" t="str">
        <f>VLOOKUP(D2730,Product_Lookup!$A$2:$C$27,2,FALSE)</f>
        <v>Doll</v>
      </c>
      <c r="R2729" s="7">
        <f t="shared" si="338"/>
        <v>952.59999999999991</v>
      </c>
    </row>
    <row r="2730" spans="1:18" ht="21.75" customHeight="1">
      <c r="A2730" t="s">
        <v>2881</v>
      </c>
      <c r="B2730" s="6">
        <v>45477</v>
      </c>
      <c r="C2730" t="s">
        <v>323</v>
      </c>
      <c r="D2730" t="s">
        <v>119</v>
      </c>
      <c r="E2730" t="s">
        <v>22</v>
      </c>
      <c r="F2730" t="s">
        <v>306</v>
      </c>
      <c r="G2730" t="s">
        <v>36</v>
      </c>
      <c r="H2730">
        <v>12</v>
      </c>
      <c r="I2730" t="str">
        <f>VLOOKUP(D2730,Product_Lookup!$A$2:$C$27,3,FALSE)</f>
        <v>$32.94</v>
      </c>
      <c r="J2730" t="str">
        <f t="shared" si="339"/>
        <v>Thursday</v>
      </c>
      <c r="K2730" s="10" t="str">
        <f t="shared" si="340"/>
        <v>July</v>
      </c>
      <c r="L2730">
        <f t="shared" si="341"/>
        <v>2024</v>
      </c>
      <c r="M2730" t="b">
        <f t="shared" si="342"/>
        <v>0</v>
      </c>
      <c r="N2730" t="b">
        <f t="shared" si="336"/>
        <v>0</v>
      </c>
      <c r="O2730" t="str">
        <f t="shared" si="343"/>
        <v>Standard order</v>
      </c>
      <c r="P2730" s="7">
        <f t="shared" si="337"/>
        <v>1.647</v>
      </c>
      <c r="Q2730" s="7" t="str">
        <f>VLOOKUP(D2731,Product_Lookup!$A$2:$C$27,2,FALSE)</f>
        <v>Desk Lamp</v>
      </c>
      <c r="R2730" s="7">
        <f t="shared" si="338"/>
        <v>395.28</v>
      </c>
    </row>
    <row r="2731" spans="1:18" ht="21.75" customHeight="1">
      <c r="A2731" t="s">
        <v>2882</v>
      </c>
      <c r="B2731" s="6">
        <v>45433</v>
      </c>
      <c r="C2731" t="s">
        <v>95</v>
      </c>
      <c r="D2731" t="s">
        <v>59</v>
      </c>
      <c r="E2731" t="s">
        <v>17</v>
      </c>
      <c r="F2731" t="s">
        <v>12</v>
      </c>
      <c r="G2731" t="s">
        <v>13</v>
      </c>
      <c r="H2731">
        <v>5</v>
      </c>
      <c r="I2731" t="str">
        <f>VLOOKUP(D2731,Product_Lookup!$A$2:$C$27,3,FALSE)</f>
        <v>$101.96</v>
      </c>
      <c r="J2731" t="str">
        <f t="shared" si="339"/>
        <v>Tuesday</v>
      </c>
      <c r="K2731" s="10" t="str">
        <f t="shared" si="340"/>
        <v>May</v>
      </c>
      <c r="L2731">
        <f t="shared" si="341"/>
        <v>2024</v>
      </c>
      <c r="M2731" t="b">
        <f t="shared" si="342"/>
        <v>0</v>
      </c>
      <c r="N2731" t="b">
        <f t="shared" si="336"/>
        <v>0</v>
      </c>
      <c r="O2731" t="str">
        <f t="shared" si="343"/>
        <v>Large Order</v>
      </c>
      <c r="P2731" s="7">
        <f t="shared" si="337"/>
        <v>5.0979999999999999</v>
      </c>
      <c r="Q2731" s="7" t="str">
        <f>VLOOKUP(D2732,Product_Lookup!$A$2:$C$27,2,FALSE)</f>
        <v>Smartphone</v>
      </c>
      <c r="R2731" s="7">
        <f t="shared" si="338"/>
        <v>509.79999999999995</v>
      </c>
    </row>
    <row r="2732" spans="1:18" ht="21.75" customHeight="1">
      <c r="A2732" t="s">
        <v>2883</v>
      </c>
      <c r="B2732" s="6">
        <v>45600</v>
      </c>
      <c r="C2732" t="s">
        <v>114</v>
      </c>
      <c r="D2732" t="s">
        <v>79</v>
      </c>
      <c r="E2732" t="s">
        <v>22</v>
      </c>
      <c r="F2732" t="s">
        <v>56</v>
      </c>
      <c r="G2732" t="s">
        <v>28</v>
      </c>
      <c r="H2732">
        <v>15</v>
      </c>
      <c r="I2732" t="str">
        <f>VLOOKUP(D2732,Product_Lookup!$A$2:$C$27,3,FALSE)</f>
        <v>$216.22</v>
      </c>
      <c r="J2732" t="str">
        <f t="shared" si="339"/>
        <v>Monday</v>
      </c>
      <c r="K2732" s="10" t="str">
        <f t="shared" si="340"/>
        <v>November</v>
      </c>
      <c r="L2732">
        <f t="shared" si="341"/>
        <v>2024</v>
      </c>
      <c r="M2732" t="b">
        <f t="shared" si="342"/>
        <v>0</v>
      </c>
      <c r="N2732" t="b">
        <f t="shared" si="336"/>
        <v>1</v>
      </c>
      <c r="O2732" t="str">
        <f t="shared" si="343"/>
        <v>Large Order</v>
      </c>
      <c r="P2732" s="7">
        <f t="shared" si="337"/>
        <v>10.811</v>
      </c>
      <c r="Q2732" s="7" t="str">
        <f>VLOOKUP(D2733,Product_Lookup!$A$2:$C$27,2,FALSE)</f>
        <v>Paper Shredder</v>
      </c>
      <c r="R2732" s="7">
        <f t="shared" si="338"/>
        <v>3243.3</v>
      </c>
    </row>
    <row r="2733" spans="1:18" ht="21.75" customHeight="1">
      <c r="A2733" t="s">
        <v>2884</v>
      </c>
      <c r="B2733" s="6">
        <v>45330</v>
      </c>
      <c r="C2733" t="s">
        <v>591</v>
      </c>
      <c r="D2733" t="s">
        <v>109</v>
      </c>
      <c r="E2733" t="s">
        <v>17</v>
      </c>
      <c r="F2733" t="s">
        <v>42</v>
      </c>
      <c r="G2733" t="s">
        <v>23</v>
      </c>
      <c r="H2733">
        <v>7</v>
      </c>
      <c r="I2733" t="str">
        <f>VLOOKUP(D2733,Product_Lookup!$A$2:$C$27,3,FALSE)</f>
        <v>$81.02</v>
      </c>
      <c r="J2733" t="str">
        <f t="shared" si="339"/>
        <v>Thursday</v>
      </c>
      <c r="K2733" s="10" t="str">
        <f t="shared" si="340"/>
        <v>February</v>
      </c>
      <c r="L2733">
        <f t="shared" si="341"/>
        <v>2024</v>
      </c>
      <c r="M2733" t="b">
        <f t="shared" si="342"/>
        <v>0</v>
      </c>
      <c r="N2733" t="b">
        <f t="shared" si="336"/>
        <v>0</v>
      </c>
      <c r="O2733" t="str">
        <f t="shared" si="343"/>
        <v>Large Order</v>
      </c>
      <c r="P2733" s="7">
        <f t="shared" si="337"/>
        <v>4.0510000000000002</v>
      </c>
      <c r="Q2733" s="7" t="str">
        <f>VLOOKUP(D2734,Product_Lookup!$A$2:$C$27,2,FALSE)</f>
        <v>Headphones</v>
      </c>
      <c r="R2733" s="7">
        <f t="shared" si="338"/>
        <v>567.14</v>
      </c>
    </row>
    <row r="2734" spans="1:18" ht="21.75" customHeight="1">
      <c r="A2734" t="s">
        <v>2885</v>
      </c>
      <c r="B2734" s="6">
        <v>45370</v>
      </c>
      <c r="C2734" t="s">
        <v>116</v>
      </c>
      <c r="D2734" t="s">
        <v>16</v>
      </c>
      <c r="E2734" t="s">
        <v>11</v>
      </c>
      <c r="F2734" t="s">
        <v>27</v>
      </c>
      <c r="G2734" t="s">
        <v>36</v>
      </c>
      <c r="H2734">
        <v>9</v>
      </c>
      <c r="I2734" t="str">
        <f>VLOOKUP(D2734,Product_Lookup!$A$2:$C$27,3,FALSE)</f>
        <v>$178.83</v>
      </c>
      <c r="J2734" t="str">
        <f t="shared" si="339"/>
        <v>Tuesday</v>
      </c>
      <c r="K2734" s="10" t="str">
        <f t="shared" si="340"/>
        <v>March</v>
      </c>
      <c r="L2734">
        <f t="shared" si="341"/>
        <v>2024</v>
      </c>
      <c r="M2734" t="b">
        <f t="shared" si="342"/>
        <v>0</v>
      </c>
      <c r="N2734" t="b">
        <f t="shared" si="336"/>
        <v>1</v>
      </c>
      <c r="O2734" t="str">
        <f t="shared" si="343"/>
        <v>Large Order</v>
      </c>
      <c r="P2734" s="7">
        <f t="shared" si="337"/>
        <v>8.9415000000000013</v>
      </c>
      <c r="Q2734" s="7" t="str">
        <f>VLOOKUP(D2735,Product_Lookup!$A$2:$C$27,2,FALSE)</f>
        <v>Toaster</v>
      </c>
      <c r="R2734" s="7">
        <f t="shared" si="338"/>
        <v>1609.47</v>
      </c>
    </row>
    <row r="2735" spans="1:18" ht="21.75" customHeight="1">
      <c r="A2735" t="s">
        <v>2886</v>
      </c>
      <c r="B2735" s="6">
        <v>45578</v>
      </c>
      <c r="C2735" t="s">
        <v>20</v>
      </c>
      <c r="D2735" t="s">
        <v>48</v>
      </c>
      <c r="E2735" t="s">
        <v>17</v>
      </c>
      <c r="F2735" t="s">
        <v>12</v>
      </c>
      <c r="G2735" t="s">
        <v>23</v>
      </c>
      <c r="H2735">
        <v>3</v>
      </c>
      <c r="I2735" t="str">
        <f>VLOOKUP(D2735,Product_Lookup!$A$2:$C$27,3,FALSE)</f>
        <v>$208.85</v>
      </c>
      <c r="J2735" t="str">
        <f t="shared" si="339"/>
        <v>Sunday</v>
      </c>
      <c r="K2735" s="10" t="str">
        <f t="shared" si="340"/>
        <v>October</v>
      </c>
      <c r="L2735">
        <f t="shared" si="341"/>
        <v>2024</v>
      </c>
      <c r="M2735" t="b">
        <f t="shared" si="342"/>
        <v>1</v>
      </c>
      <c r="N2735" t="b">
        <f t="shared" si="336"/>
        <v>0</v>
      </c>
      <c r="O2735" t="str">
        <f t="shared" si="343"/>
        <v>Large Order</v>
      </c>
      <c r="P2735" s="7">
        <f t="shared" si="337"/>
        <v>10.442500000000001</v>
      </c>
      <c r="Q2735" s="7" t="str">
        <f>VLOOKUP(D2736,Product_Lookup!$A$2:$C$27,2,FALSE)</f>
        <v>Laptop</v>
      </c>
      <c r="R2735" s="7">
        <f t="shared" si="338"/>
        <v>626.54999999999995</v>
      </c>
    </row>
    <row r="2736" spans="1:18" ht="21.75" customHeight="1">
      <c r="A2736" t="s">
        <v>2887</v>
      </c>
      <c r="B2736" s="6">
        <v>45560</v>
      </c>
      <c r="C2736" t="s">
        <v>358</v>
      </c>
      <c r="D2736" t="s">
        <v>96</v>
      </c>
      <c r="E2736" t="s">
        <v>11</v>
      </c>
      <c r="F2736" t="s">
        <v>306</v>
      </c>
      <c r="G2736" t="s">
        <v>32</v>
      </c>
      <c r="H2736">
        <v>5</v>
      </c>
      <c r="I2736" t="str">
        <f>VLOOKUP(D2736,Product_Lookup!$A$2:$C$27,3,FALSE)</f>
        <v>$230.68</v>
      </c>
      <c r="J2736" t="str">
        <f t="shared" si="339"/>
        <v>Wednesday</v>
      </c>
      <c r="K2736" s="10" t="str">
        <f t="shared" si="340"/>
        <v>September</v>
      </c>
      <c r="L2736">
        <f t="shared" si="341"/>
        <v>2024</v>
      </c>
      <c r="M2736" t="b">
        <f t="shared" si="342"/>
        <v>0</v>
      </c>
      <c r="N2736" t="b">
        <f t="shared" si="336"/>
        <v>0</v>
      </c>
      <c r="O2736" t="str">
        <f t="shared" si="343"/>
        <v>Large Order</v>
      </c>
      <c r="P2736" s="7">
        <f t="shared" si="337"/>
        <v>11.534000000000001</v>
      </c>
      <c r="Q2736" s="7" t="str">
        <f>VLOOKUP(D2737,Product_Lookup!$A$2:$C$27,2,FALSE)</f>
        <v>Puzzle</v>
      </c>
      <c r="R2736" s="7">
        <f t="shared" si="338"/>
        <v>1153.4000000000001</v>
      </c>
    </row>
    <row r="2737" spans="1:18" ht="21.75" customHeight="1">
      <c r="A2737" t="s">
        <v>2888</v>
      </c>
      <c r="B2737" s="6">
        <v>45581</v>
      </c>
      <c r="C2737" t="s">
        <v>131</v>
      </c>
      <c r="D2737" t="s">
        <v>62</v>
      </c>
      <c r="E2737" t="s">
        <v>11</v>
      </c>
      <c r="F2737" t="s">
        <v>27</v>
      </c>
      <c r="G2737" t="s">
        <v>23</v>
      </c>
      <c r="H2737">
        <v>18</v>
      </c>
      <c r="I2737" t="str">
        <f>VLOOKUP(D2737,Product_Lookup!$A$2:$C$27,3,FALSE)</f>
        <v>$46.19</v>
      </c>
      <c r="J2737" t="str">
        <f t="shared" si="339"/>
        <v>Wednesday</v>
      </c>
      <c r="K2737" s="10" t="str">
        <f t="shared" si="340"/>
        <v>October</v>
      </c>
      <c r="L2737">
        <f t="shared" si="341"/>
        <v>2024</v>
      </c>
      <c r="M2737" t="b">
        <f t="shared" si="342"/>
        <v>0</v>
      </c>
      <c r="N2737" t="b">
        <f t="shared" si="336"/>
        <v>1</v>
      </c>
      <c r="O2737" t="str">
        <f t="shared" si="343"/>
        <v>Large Order</v>
      </c>
      <c r="P2737" s="7">
        <f t="shared" si="337"/>
        <v>2.3094999999999999</v>
      </c>
      <c r="Q2737" s="7" t="str">
        <f>VLOOKUP(D2738,Product_Lookup!$A$2:$C$27,2,FALSE)</f>
        <v>Air Fryer</v>
      </c>
      <c r="R2737" s="7">
        <f t="shared" si="338"/>
        <v>831.42</v>
      </c>
    </row>
    <row r="2738" spans="1:18" ht="21.75" customHeight="1">
      <c r="A2738" t="s">
        <v>2889</v>
      </c>
      <c r="B2738" s="6">
        <v>45330</v>
      </c>
      <c r="C2738" t="s">
        <v>30</v>
      </c>
      <c r="D2738" t="s">
        <v>70</v>
      </c>
      <c r="E2738" t="s">
        <v>22</v>
      </c>
      <c r="F2738" t="s">
        <v>27</v>
      </c>
      <c r="G2738" t="s">
        <v>36</v>
      </c>
      <c r="H2738">
        <v>13</v>
      </c>
      <c r="I2738" t="str">
        <f>VLOOKUP(D2738,Product_Lookup!$A$2:$C$27,3,FALSE)</f>
        <v>$211.9</v>
      </c>
      <c r="J2738" t="str">
        <f t="shared" si="339"/>
        <v>Thursday</v>
      </c>
      <c r="K2738" s="10" t="str">
        <f t="shared" si="340"/>
        <v>February</v>
      </c>
      <c r="L2738">
        <f t="shared" si="341"/>
        <v>2024</v>
      </c>
      <c r="M2738" t="b">
        <f t="shared" si="342"/>
        <v>0</v>
      </c>
      <c r="N2738" t="b">
        <f t="shared" si="336"/>
        <v>1</v>
      </c>
      <c r="O2738" t="str">
        <f t="shared" si="343"/>
        <v>Large Order</v>
      </c>
      <c r="P2738" s="7">
        <f t="shared" si="337"/>
        <v>10.595000000000001</v>
      </c>
      <c r="Q2738" s="7" t="str">
        <f>VLOOKUP(D2739,Product_Lookup!$A$2:$C$27,2,FALSE)</f>
        <v>T-Shirt</v>
      </c>
      <c r="R2738" s="7">
        <f t="shared" si="338"/>
        <v>2754.7000000000003</v>
      </c>
    </row>
    <row r="2739" spans="1:18" ht="21.75" customHeight="1">
      <c r="A2739" t="s">
        <v>2890</v>
      </c>
      <c r="B2739" s="6">
        <v>45431</v>
      </c>
      <c r="C2739" t="s">
        <v>95</v>
      </c>
      <c r="D2739" t="s">
        <v>45</v>
      </c>
      <c r="E2739" t="s">
        <v>11</v>
      </c>
      <c r="F2739" t="s">
        <v>56</v>
      </c>
      <c r="G2739" t="s">
        <v>36</v>
      </c>
      <c r="H2739">
        <v>7</v>
      </c>
      <c r="I2739" t="str">
        <f>VLOOKUP(D2739,Product_Lookup!$A$2:$C$27,3,FALSE)</f>
        <v>$107.34</v>
      </c>
      <c r="J2739" t="str">
        <f t="shared" si="339"/>
        <v>Sunday</v>
      </c>
      <c r="K2739" s="10" t="str">
        <f t="shared" si="340"/>
        <v>May</v>
      </c>
      <c r="L2739">
        <f t="shared" si="341"/>
        <v>2024</v>
      </c>
      <c r="M2739" t="b">
        <f t="shared" si="342"/>
        <v>1</v>
      </c>
      <c r="N2739" t="b">
        <f t="shared" si="336"/>
        <v>1</v>
      </c>
      <c r="O2739" t="str">
        <f t="shared" si="343"/>
        <v>Large Order</v>
      </c>
      <c r="P2739" s="7">
        <f t="shared" si="337"/>
        <v>5.3670000000000009</v>
      </c>
      <c r="Q2739" s="7" t="str">
        <f>VLOOKUP(D2740,Product_Lookup!$A$2:$C$27,2,FALSE)</f>
        <v>Air Fryer</v>
      </c>
      <c r="R2739" s="7">
        <f t="shared" si="338"/>
        <v>751.38</v>
      </c>
    </row>
    <row r="2740" spans="1:18" ht="21.75" customHeight="1">
      <c r="A2740" t="s">
        <v>2891</v>
      </c>
      <c r="B2740" s="6">
        <v>45296</v>
      </c>
      <c r="C2740" t="s">
        <v>345</v>
      </c>
      <c r="D2740" t="s">
        <v>70</v>
      </c>
      <c r="E2740" t="s">
        <v>22</v>
      </c>
      <c r="F2740" t="s">
        <v>306</v>
      </c>
      <c r="G2740" t="s">
        <v>32</v>
      </c>
      <c r="H2740">
        <v>10</v>
      </c>
      <c r="I2740" t="str">
        <f>VLOOKUP(D2740,Product_Lookup!$A$2:$C$27,3,FALSE)</f>
        <v>$211.9</v>
      </c>
      <c r="J2740" t="str">
        <f t="shared" si="339"/>
        <v>Friday</v>
      </c>
      <c r="K2740" s="10" t="str">
        <f t="shared" si="340"/>
        <v>January</v>
      </c>
      <c r="L2740">
        <f t="shared" si="341"/>
        <v>2024</v>
      </c>
      <c r="M2740" t="b">
        <f t="shared" si="342"/>
        <v>0</v>
      </c>
      <c r="N2740" t="b">
        <f t="shared" si="336"/>
        <v>1</v>
      </c>
      <c r="O2740" t="str">
        <f t="shared" si="343"/>
        <v>Large Order</v>
      </c>
      <c r="P2740" s="7">
        <f t="shared" si="337"/>
        <v>10.595000000000001</v>
      </c>
      <c r="Q2740" s="7" t="str">
        <f>VLOOKUP(D2741,Product_Lookup!$A$2:$C$27,2,FALSE)</f>
        <v>Sweater</v>
      </c>
      <c r="R2740" s="7">
        <f t="shared" si="338"/>
        <v>2119</v>
      </c>
    </row>
    <row r="2741" spans="1:18" ht="21.75" customHeight="1">
      <c r="A2741" t="s">
        <v>2892</v>
      </c>
      <c r="B2741" s="6">
        <v>45443</v>
      </c>
      <c r="C2741" t="s">
        <v>369</v>
      </c>
      <c r="D2741" t="s">
        <v>26</v>
      </c>
      <c r="E2741" t="s">
        <v>22</v>
      </c>
      <c r="F2741" t="s">
        <v>12</v>
      </c>
      <c r="G2741" t="s">
        <v>28</v>
      </c>
      <c r="H2741">
        <v>8</v>
      </c>
      <c r="I2741" t="str">
        <f>VLOOKUP(D2741,Product_Lookup!$A$2:$C$27,3,FALSE)</f>
        <v>$84.57</v>
      </c>
      <c r="J2741" t="str">
        <f t="shared" si="339"/>
        <v>Friday</v>
      </c>
      <c r="K2741" s="10" t="str">
        <f t="shared" si="340"/>
        <v>May</v>
      </c>
      <c r="L2741">
        <f t="shared" si="341"/>
        <v>2024</v>
      </c>
      <c r="M2741" t="b">
        <f t="shared" si="342"/>
        <v>0</v>
      </c>
      <c r="N2741" t="b">
        <f t="shared" si="336"/>
        <v>0</v>
      </c>
      <c r="O2741" t="str">
        <f t="shared" si="343"/>
        <v>Large Order</v>
      </c>
      <c r="P2741" s="7">
        <f t="shared" si="337"/>
        <v>4.2284999999999995</v>
      </c>
      <c r="Q2741" s="7" t="str">
        <f>VLOOKUP(D2742,Product_Lookup!$A$2:$C$27,2,FALSE)</f>
        <v>Smartphone</v>
      </c>
      <c r="R2741" s="7">
        <f t="shared" si="338"/>
        <v>676.56</v>
      </c>
    </row>
    <row r="2742" spans="1:18" ht="21.75" customHeight="1">
      <c r="A2742" t="s">
        <v>2893</v>
      </c>
      <c r="B2742" s="6">
        <v>45413</v>
      </c>
      <c r="C2742" t="s">
        <v>61</v>
      </c>
      <c r="D2742" t="s">
        <v>79</v>
      </c>
      <c r="E2742" t="s">
        <v>22</v>
      </c>
      <c r="F2742" t="s">
        <v>56</v>
      </c>
      <c r="G2742" t="s">
        <v>32</v>
      </c>
      <c r="H2742">
        <v>5</v>
      </c>
      <c r="I2742" t="str">
        <f>VLOOKUP(D2742,Product_Lookup!$A$2:$C$27,3,FALSE)</f>
        <v>$216.22</v>
      </c>
      <c r="J2742" t="str">
        <f t="shared" si="339"/>
        <v>Wednesday</v>
      </c>
      <c r="K2742" s="10" t="str">
        <f t="shared" si="340"/>
        <v>May</v>
      </c>
      <c r="L2742">
        <f t="shared" si="341"/>
        <v>2024</v>
      </c>
      <c r="M2742" t="b">
        <f t="shared" si="342"/>
        <v>0</v>
      </c>
      <c r="N2742" t="b">
        <f t="shared" si="336"/>
        <v>0</v>
      </c>
      <c r="O2742" t="str">
        <f t="shared" si="343"/>
        <v>Large Order</v>
      </c>
      <c r="P2742" s="7">
        <f t="shared" si="337"/>
        <v>10.811</v>
      </c>
      <c r="Q2742" s="7" t="str">
        <f>VLOOKUP(D2743,Product_Lookup!$A$2:$C$27,2,FALSE)</f>
        <v>Jacket</v>
      </c>
      <c r="R2742" s="7">
        <f t="shared" si="338"/>
        <v>1081.0999999999999</v>
      </c>
    </row>
    <row r="2743" spans="1:18" ht="21.75" customHeight="1">
      <c r="A2743" t="s">
        <v>2894</v>
      </c>
      <c r="B2743" s="6">
        <v>45318</v>
      </c>
      <c r="C2743" t="s">
        <v>736</v>
      </c>
      <c r="D2743" t="s">
        <v>197</v>
      </c>
      <c r="E2743" t="s">
        <v>11</v>
      </c>
      <c r="F2743" t="s">
        <v>306</v>
      </c>
      <c r="G2743" t="s">
        <v>13</v>
      </c>
      <c r="H2743">
        <v>1</v>
      </c>
      <c r="I2743" t="str">
        <f>VLOOKUP(D2743,Product_Lookup!$A$2:$C$27,3,FALSE)</f>
        <v>$10.11</v>
      </c>
      <c r="J2743" t="str">
        <f t="shared" si="339"/>
        <v>Saturday</v>
      </c>
      <c r="K2743" s="10" t="str">
        <f t="shared" si="340"/>
        <v>January</v>
      </c>
      <c r="L2743">
        <f t="shared" si="341"/>
        <v>2024</v>
      </c>
      <c r="M2743" t="b">
        <f t="shared" si="342"/>
        <v>1</v>
      </c>
      <c r="N2743" t="b">
        <f t="shared" si="336"/>
        <v>0</v>
      </c>
      <c r="O2743" t="str">
        <f t="shared" si="343"/>
        <v>Standard order</v>
      </c>
      <c r="P2743" s="7">
        <f t="shared" si="337"/>
        <v>0.50549999999999995</v>
      </c>
      <c r="Q2743" s="7" t="str">
        <f>VLOOKUP(D2744,Product_Lookup!$A$2:$C$27,2,FALSE)</f>
        <v>Toaster</v>
      </c>
      <c r="R2743" s="7">
        <f t="shared" si="338"/>
        <v>10.11</v>
      </c>
    </row>
    <row r="2744" spans="1:18" ht="21.75" customHeight="1">
      <c r="A2744" t="s">
        <v>2895</v>
      </c>
      <c r="B2744" s="6">
        <v>45615</v>
      </c>
      <c r="C2744" t="s">
        <v>493</v>
      </c>
      <c r="D2744" t="s">
        <v>48</v>
      </c>
      <c r="E2744" t="s">
        <v>17</v>
      </c>
      <c r="F2744" t="s">
        <v>12</v>
      </c>
      <c r="G2744" t="s">
        <v>36</v>
      </c>
      <c r="H2744">
        <v>9</v>
      </c>
      <c r="I2744" t="str">
        <f>VLOOKUP(D2744,Product_Lookup!$A$2:$C$27,3,FALSE)</f>
        <v>$208.85</v>
      </c>
      <c r="J2744" t="str">
        <f t="shared" si="339"/>
        <v>Tuesday</v>
      </c>
      <c r="K2744" s="10" t="str">
        <f t="shared" si="340"/>
        <v>November</v>
      </c>
      <c r="L2744">
        <f t="shared" si="341"/>
        <v>2024</v>
      </c>
      <c r="M2744" t="b">
        <f t="shared" si="342"/>
        <v>0</v>
      </c>
      <c r="N2744" t="b">
        <f t="shared" si="336"/>
        <v>1</v>
      </c>
      <c r="O2744" t="str">
        <f t="shared" si="343"/>
        <v>Large Order</v>
      </c>
      <c r="P2744" s="7">
        <f t="shared" si="337"/>
        <v>10.442500000000001</v>
      </c>
      <c r="Q2744" s="7" t="str">
        <f>VLOOKUP(D2745,Product_Lookup!$A$2:$C$27,2,FALSE)</f>
        <v>Socks</v>
      </c>
      <c r="R2744" s="7">
        <f t="shared" si="338"/>
        <v>1879.6499999999999</v>
      </c>
    </row>
    <row r="2745" spans="1:18" ht="21.75" customHeight="1">
      <c r="A2745" t="s">
        <v>2896</v>
      </c>
      <c r="B2745" s="6">
        <v>45501</v>
      </c>
      <c r="C2745" t="s">
        <v>594</v>
      </c>
      <c r="D2745" t="s">
        <v>74</v>
      </c>
      <c r="E2745" t="s">
        <v>17</v>
      </c>
      <c r="F2745" t="s">
        <v>12</v>
      </c>
      <c r="G2745" t="s">
        <v>13</v>
      </c>
      <c r="H2745">
        <v>12</v>
      </c>
      <c r="I2745" t="str">
        <f>VLOOKUP(D2745,Product_Lookup!$A$2:$C$27,3,FALSE)</f>
        <v>$201.32</v>
      </c>
      <c r="J2745" t="str">
        <f t="shared" si="339"/>
        <v>Sunday</v>
      </c>
      <c r="K2745" s="10" t="str">
        <f t="shared" si="340"/>
        <v>July</v>
      </c>
      <c r="L2745">
        <f t="shared" si="341"/>
        <v>2024</v>
      </c>
      <c r="M2745" t="b">
        <f t="shared" si="342"/>
        <v>1</v>
      </c>
      <c r="N2745" t="b">
        <f t="shared" si="336"/>
        <v>1</v>
      </c>
      <c r="O2745" t="str">
        <f t="shared" si="343"/>
        <v>Large Order</v>
      </c>
      <c r="P2745" s="7">
        <f t="shared" si="337"/>
        <v>10.066000000000001</v>
      </c>
      <c r="Q2745" s="7" t="str">
        <f>VLOOKUP(D2746,Product_Lookup!$A$2:$C$27,2,FALSE)</f>
        <v>Sweater</v>
      </c>
      <c r="R2745" s="7">
        <f t="shared" si="338"/>
        <v>2415.84</v>
      </c>
    </row>
    <row r="2746" spans="1:18" ht="21.75" customHeight="1">
      <c r="A2746" t="s">
        <v>2897</v>
      </c>
      <c r="B2746" s="6">
        <v>45435</v>
      </c>
      <c r="C2746" t="s">
        <v>235</v>
      </c>
      <c r="D2746" t="s">
        <v>26</v>
      </c>
      <c r="E2746" t="s">
        <v>11</v>
      </c>
      <c r="F2746" t="s">
        <v>306</v>
      </c>
      <c r="G2746" t="s">
        <v>36</v>
      </c>
      <c r="H2746">
        <v>4</v>
      </c>
      <c r="I2746" t="str">
        <f>VLOOKUP(D2746,Product_Lookup!$A$2:$C$27,3,FALSE)</f>
        <v>$84.57</v>
      </c>
      <c r="J2746" t="str">
        <f t="shared" si="339"/>
        <v>Thursday</v>
      </c>
      <c r="K2746" s="10" t="str">
        <f t="shared" si="340"/>
        <v>May</v>
      </c>
      <c r="L2746">
        <f t="shared" si="341"/>
        <v>2024</v>
      </c>
      <c r="M2746" t="b">
        <f t="shared" si="342"/>
        <v>0</v>
      </c>
      <c r="N2746" t="b">
        <f t="shared" si="336"/>
        <v>0</v>
      </c>
      <c r="O2746" t="str">
        <f t="shared" si="343"/>
        <v>Standard order</v>
      </c>
      <c r="P2746" s="7">
        <f t="shared" si="337"/>
        <v>4.2284999999999995</v>
      </c>
      <c r="Q2746" s="7" t="str">
        <f>VLOOKUP(D2747,Product_Lookup!$A$2:$C$27,2,FALSE)</f>
        <v>Action Figure</v>
      </c>
      <c r="R2746" s="7">
        <f t="shared" si="338"/>
        <v>338.28</v>
      </c>
    </row>
    <row r="2747" spans="1:18" ht="21.75" customHeight="1">
      <c r="A2747" t="s">
        <v>2898</v>
      </c>
      <c r="B2747" s="6">
        <v>45644</v>
      </c>
      <c r="C2747" t="s">
        <v>159</v>
      </c>
      <c r="D2747" t="s">
        <v>21</v>
      </c>
      <c r="E2747" t="s">
        <v>17</v>
      </c>
      <c r="F2747" t="s">
        <v>306</v>
      </c>
      <c r="G2747" t="s">
        <v>36</v>
      </c>
      <c r="H2747">
        <v>7</v>
      </c>
      <c r="I2747" t="str">
        <f>VLOOKUP(D2747,Product_Lookup!$A$2:$C$27,3,FALSE)</f>
        <v>$88.18</v>
      </c>
      <c r="J2747" t="str">
        <f t="shared" si="339"/>
        <v>Wednesday</v>
      </c>
      <c r="K2747" s="10" t="str">
        <f t="shared" si="340"/>
        <v>December</v>
      </c>
      <c r="L2747">
        <f t="shared" si="341"/>
        <v>2024</v>
      </c>
      <c r="M2747" t="b">
        <f t="shared" si="342"/>
        <v>0</v>
      </c>
      <c r="N2747" t="b">
        <f t="shared" si="336"/>
        <v>0</v>
      </c>
      <c r="O2747" t="str">
        <f t="shared" si="343"/>
        <v>Large Order</v>
      </c>
      <c r="P2747" s="7">
        <f t="shared" si="337"/>
        <v>4.4090000000000007</v>
      </c>
      <c r="Q2747" s="7" t="str">
        <f>VLOOKUP(D2748,Product_Lookup!$A$2:$C$27,2,FALSE)</f>
        <v>Sweater</v>
      </c>
      <c r="R2747" s="7">
        <f t="shared" si="338"/>
        <v>617.26</v>
      </c>
    </row>
    <row r="2748" spans="1:18" ht="21.75" customHeight="1">
      <c r="A2748" t="s">
        <v>2899</v>
      </c>
      <c r="B2748" s="6">
        <v>45404</v>
      </c>
      <c r="C2748" t="s">
        <v>187</v>
      </c>
      <c r="D2748" t="s">
        <v>26</v>
      </c>
      <c r="E2748" t="s">
        <v>11</v>
      </c>
      <c r="F2748" t="s">
        <v>306</v>
      </c>
      <c r="G2748" t="s">
        <v>23</v>
      </c>
      <c r="H2748">
        <v>5</v>
      </c>
      <c r="I2748" t="str">
        <f>VLOOKUP(D2748,Product_Lookup!$A$2:$C$27,3,FALSE)</f>
        <v>$84.57</v>
      </c>
      <c r="J2748" t="str">
        <f t="shared" si="339"/>
        <v>Monday</v>
      </c>
      <c r="K2748" s="10" t="str">
        <f t="shared" si="340"/>
        <v>April</v>
      </c>
      <c r="L2748">
        <f t="shared" si="341"/>
        <v>2024</v>
      </c>
      <c r="M2748" t="b">
        <f t="shared" si="342"/>
        <v>0</v>
      </c>
      <c r="N2748" t="b">
        <f t="shared" si="336"/>
        <v>0</v>
      </c>
      <c r="O2748" t="str">
        <f t="shared" si="343"/>
        <v>Standard order</v>
      </c>
      <c r="P2748" s="7">
        <f t="shared" si="337"/>
        <v>4.2284999999999995</v>
      </c>
      <c r="Q2748" s="7" t="str">
        <f>VLOOKUP(D2749,Product_Lookup!$A$2:$C$27,2,FALSE)</f>
        <v>Headphones</v>
      </c>
      <c r="R2748" s="7">
        <f t="shared" si="338"/>
        <v>422.84999999999997</v>
      </c>
    </row>
    <row r="2749" spans="1:18" ht="21.75" customHeight="1">
      <c r="A2749" t="s">
        <v>2900</v>
      </c>
      <c r="B2749" s="6">
        <v>45514</v>
      </c>
      <c r="C2749" t="s">
        <v>200</v>
      </c>
      <c r="D2749" t="s">
        <v>16</v>
      </c>
      <c r="E2749" t="s">
        <v>17</v>
      </c>
      <c r="F2749" t="s">
        <v>12</v>
      </c>
      <c r="G2749" t="s">
        <v>23</v>
      </c>
      <c r="H2749">
        <v>6</v>
      </c>
      <c r="I2749" t="str">
        <f>VLOOKUP(D2749,Product_Lookup!$A$2:$C$27,3,FALSE)</f>
        <v>$178.83</v>
      </c>
      <c r="J2749" t="str">
        <f t="shared" si="339"/>
        <v>Saturday</v>
      </c>
      <c r="K2749" s="10" t="str">
        <f t="shared" si="340"/>
        <v>August</v>
      </c>
      <c r="L2749">
        <f t="shared" si="341"/>
        <v>2024</v>
      </c>
      <c r="M2749" t="b">
        <f t="shared" si="342"/>
        <v>1</v>
      </c>
      <c r="N2749" t="b">
        <f t="shared" si="336"/>
        <v>1</v>
      </c>
      <c r="O2749" t="str">
        <f t="shared" si="343"/>
        <v>Large Order</v>
      </c>
      <c r="P2749" s="7">
        <f t="shared" si="337"/>
        <v>8.9415000000000013</v>
      </c>
      <c r="Q2749" s="7" t="str">
        <f>VLOOKUP(D2750,Product_Lookup!$A$2:$C$27,2,FALSE)</f>
        <v>Desk Lamp</v>
      </c>
      <c r="R2749" s="7">
        <f t="shared" si="338"/>
        <v>1072.98</v>
      </c>
    </row>
    <row r="2750" spans="1:18" ht="21.75" customHeight="1">
      <c r="A2750" t="s">
        <v>2901</v>
      </c>
      <c r="B2750" s="6">
        <v>45382</v>
      </c>
      <c r="C2750" t="s">
        <v>150</v>
      </c>
      <c r="D2750" t="s">
        <v>59</v>
      </c>
      <c r="E2750" t="s">
        <v>17</v>
      </c>
      <c r="F2750" t="s">
        <v>56</v>
      </c>
      <c r="G2750" t="s">
        <v>32</v>
      </c>
      <c r="H2750">
        <v>1</v>
      </c>
      <c r="I2750" t="str">
        <f>VLOOKUP(D2750,Product_Lookup!$A$2:$C$27,3,FALSE)</f>
        <v>$101.96</v>
      </c>
      <c r="J2750" t="str">
        <f t="shared" si="339"/>
        <v>Sunday</v>
      </c>
      <c r="K2750" s="10" t="str">
        <f t="shared" si="340"/>
        <v>March</v>
      </c>
      <c r="L2750">
        <f t="shared" si="341"/>
        <v>2024</v>
      </c>
      <c r="M2750" t="b">
        <f t="shared" si="342"/>
        <v>1</v>
      </c>
      <c r="N2750" t="b">
        <f t="shared" si="336"/>
        <v>0</v>
      </c>
      <c r="O2750" t="str">
        <f t="shared" si="343"/>
        <v>Standard order</v>
      </c>
      <c r="P2750" s="7">
        <f t="shared" si="337"/>
        <v>5.0979999999999999</v>
      </c>
      <c r="Q2750" s="7" t="str">
        <f>VLOOKUP(D2751,Product_Lookup!$A$2:$C$27,2,FALSE)</f>
        <v>Board Game</v>
      </c>
      <c r="R2750" s="7">
        <f t="shared" si="338"/>
        <v>101.96</v>
      </c>
    </row>
    <row r="2751" spans="1:18" ht="21.75" customHeight="1">
      <c r="A2751" t="s">
        <v>2902</v>
      </c>
      <c r="B2751" s="6">
        <v>45382</v>
      </c>
      <c r="C2751" t="s">
        <v>106</v>
      </c>
      <c r="D2751" t="s">
        <v>41</v>
      </c>
      <c r="E2751" t="s">
        <v>22</v>
      </c>
      <c r="F2751" t="s">
        <v>56</v>
      </c>
      <c r="G2751" t="s">
        <v>13</v>
      </c>
      <c r="H2751">
        <v>5</v>
      </c>
      <c r="I2751" t="str">
        <f>VLOOKUP(D2751,Product_Lookup!$A$2:$C$27,3,FALSE)</f>
        <v>$86.6</v>
      </c>
      <c r="J2751" t="str">
        <f t="shared" si="339"/>
        <v>Sunday</v>
      </c>
      <c r="K2751" s="10" t="str">
        <f t="shared" si="340"/>
        <v>March</v>
      </c>
      <c r="L2751">
        <f t="shared" si="341"/>
        <v>2024</v>
      </c>
      <c r="M2751" t="b">
        <f t="shared" si="342"/>
        <v>1</v>
      </c>
      <c r="N2751" t="b">
        <f t="shared" si="336"/>
        <v>0</v>
      </c>
      <c r="O2751" t="str">
        <f t="shared" si="343"/>
        <v>Standard order</v>
      </c>
      <c r="P2751" s="7">
        <f t="shared" si="337"/>
        <v>4.33</v>
      </c>
      <c r="Q2751" s="7" t="str">
        <f>VLOOKUP(D2752,Product_Lookup!$A$2:$C$27,2,FALSE)</f>
        <v>Action Figure</v>
      </c>
      <c r="R2751" s="7">
        <f t="shared" si="338"/>
        <v>433</v>
      </c>
    </row>
    <row r="2752" spans="1:18" ht="21.75" customHeight="1">
      <c r="A2752" t="s">
        <v>2903</v>
      </c>
      <c r="B2752" s="6">
        <v>45417</v>
      </c>
      <c r="C2752" t="s">
        <v>366</v>
      </c>
      <c r="D2752" t="s">
        <v>21</v>
      </c>
      <c r="E2752" t="s">
        <v>17</v>
      </c>
      <c r="F2752" t="s">
        <v>12</v>
      </c>
      <c r="G2752" t="s">
        <v>36</v>
      </c>
      <c r="H2752">
        <v>5</v>
      </c>
      <c r="I2752" t="str">
        <f>VLOOKUP(D2752,Product_Lookup!$A$2:$C$27,3,FALSE)</f>
        <v>$88.18</v>
      </c>
      <c r="J2752" t="str">
        <f t="shared" si="339"/>
        <v>Sunday</v>
      </c>
      <c r="K2752" s="10" t="str">
        <f t="shared" si="340"/>
        <v>May</v>
      </c>
      <c r="L2752">
        <f t="shared" si="341"/>
        <v>2024</v>
      </c>
      <c r="M2752" t="b">
        <f t="shared" si="342"/>
        <v>1</v>
      </c>
      <c r="N2752" t="b">
        <f t="shared" si="336"/>
        <v>0</v>
      </c>
      <c r="O2752" t="str">
        <f t="shared" si="343"/>
        <v>Standard order</v>
      </c>
      <c r="P2752" s="7">
        <f t="shared" si="337"/>
        <v>4.4090000000000007</v>
      </c>
      <c r="Q2752" s="7" t="str">
        <f>VLOOKUP(D2753,Product_Lookup!$A$2:$C$27,2,FALSE)</f>
        <v>Monitor</v>
      </c>
      <c r="R2752" s="7">
        <f t="shared" si="338"/>
        <v>440.90000000000003</v>
      </c>
    </row>
    <row r="2753" spans="1:18" ht="21.75" customHeight="1">
      <c r="A2753" t="s">
        <v>2904</v>
      </c>
      <c r="B2753" s="6">
        <v>45298</v>
      </c>
      <c r="C2753" t="s">
        <v>493</v>
      </c>
      <c r="D2753" t="s">
        <v>102</v>
      </c>
      <c r="E2753" t="s">
        <v>17</v>
      </c>
      <c r="F2753" t="s">
        <v>27</v>
      </c>
      <c r="G2753" t="s">
        <v>13</v>
      </c>
      <c r="H2753">
        <v>4</v>
      </c>
      <c r="I2753" t="str">
        <f>VLOOKUP(D2753,Product_Lookup!$A$2:$C$27,3,FALSE)</f>
        <v>$145.48</v>
      </c>
      <c r="J2753" t="str">
        <f t="shared" si="339"/>
        <v>Sunday</v>
      </c>
      <c r="K2753" s="10" t="str">
        <f t="shared" si="340"/>
        <v>January</v>
      </c>
      <c r="L2753">
        <f t="shared" si="341"/>
        <v>2024</v>
      </c>
      <c r="M2753" t="b">
        <f t="shared" si="342"/>
        <v>1</v>
      </c>
      <c r="N2753" t="b">
        <f t="shared" si="336"/>
        <v>0</v>
      </c>
      <c r="O2753" t="str">
        <f t="shared" si="343"/>
        <v>Large Order</v>
      </c>
      <c r="P2753" s="7">
        <f t="shared" si="337"/>
        <v>7.274</v>
      </c>
      <c r="Q2753" s="7" t="str">
        <f>VLOOKUP(D2754,Product_Lookup!$A$2:$C$27,2,FALSE)</f>
        <v>Headphones</v>
      </c>
      <c r="R2753" s="7">
        <f t="shared" si="338"/>
        <v>581.91999999999996</v>
      </c>
    </row>
    <row r="2754" spans="1:18" ht="21.75" customHeight="1">
      <c r="A2754" t="s">
        <v>2905</v>
      </c>
      <c r="B2754" s="6">
        <v>45621</v>
      </c>
      <c r="C2754" t="s">
        <v>116</v>
      </c>
      <c r="D2754" t="s">
        <v>16</v>
      </c>
      <c r="E2754" t="s">
        <v>11</v>
      </c>
      <c r="F2754" t="s">
        <v>12</v>
      </c>
      <c r="G2754" t="s">
        <v>32</v>
      </c>
      <c r="H2754">
        <v>5</v>
      </c>
      <c r="I2754" t="str">
        <f>VLOOKUP(D2754,Product_Lookup!$A$2:$C$27,3,FALSE)</f>
        <v>$178.83</v>
      </c>
      <c r="J2754" t="str">
        <f t="shared" si="339"/>
        <v>Monday</v>
      </c>
      <c r="K2754" s="10" t="str">
        <f t="shared" si="340"/>
        <v>November</v>
      </c>
      <c r="L2754">
        <f t="shared" si="341"/>
        <v>2024</v>
      </c>
      <c r="M2754" t="b">
        <f t="shared" si="342"/>
        <v>0</v>
      </c>
      <c r="N2754" t="b">
        <f t="shared" ref="N2754:N2817" si="344">AND(R2754&gt;750, H2754&gt;5)</f>
        <v>0</v>
      </c>
      <c r="O2754" t="str">
        <f t="shared" si="343"/>
        <v>Large Order</v>
      </c>
      <c r="P2754" s="7">
        <f t="shared" ref="P2754:P2817" si="345">I2754*$S$2</f>
        <v>8.9415000000000013</v>
      </c>
      <c r="Q2754" s="7" t="str">
        <f>VLOOKUP(D2755,Product_Lookup!$A$2:$C$27,2,FALSE)</f>
        <v>Laptop</v>
      </c>
      <c r="R2754" s="7">
        <f t="shared" ref="R2754:R2817" si="346">H2754*I2754</f>
        <v>894.15000000000009</v>
      </c>
    </row>
    <row r="2755" spans="1:18" ht="21.75" customHeight="1">
      <c r="A2755" t="s">
        <v>2906</v>
      </c>
      <c r="B2755" s="6">
        <v>45599</v>
      </c>
      <c r="C2755" t="s">
        <v>142</v>
      </c>
      <c r="D2755" t="s">
        <v>96</v>
      </c>
      <c r="E2755" t="s">
        <v>11</v>
      </c>
      <c r="F2755" t="s">
        <v>306</v>
      </c>
      <c r="G2755" t="s">
        <v>32</v>
      </c>
      <c r="H2755">
        <v>3</v>
      </c>
      <c r="I2755" t="str">
        <f>VLOOKUP(D2755,Product_Lookup!$A$2:$C$27,3,FALSE)</f>
        <v>$230.68</v>
      </c>
      <c r="J2755" t="str">
        <f t="shared" ref="J2755:J2818" si="347">TEXT(B2755, "dddd")</f>
        <v>Sunday</v>
      </c>
      <c r="K2755" s="10" t="str">
        <f t="shared" ref="K2755:K2818" si="348">TEXT(B2755, "mmmm")</f>
        <v>November</v>
      </c>
      <c r="L2755">
        <f t="shared" ref="L2755:L2818" si="349">YEAR(B2755)</f>
        <v>2024</v>
      </c>
      <c r="M2755" t="b">
        <f t="shared" ref="M2755:M2818" si="350">OR(J2755="Saturday", J2755="Sunday")</f>
        <v>1</v>
      </c>
      <c r="N2755" t="b">
        <f t="shared" si="344"/>
        <v>0</v>
      </c>
      <c r="O2755" t="str">
        <f t="shared" ref="O2755:O2818" si="351">IF(R2755&gt;500,"Large Order","Standard order")</f>
        <v>Large Order</v>
      </c>
      <c r="P2755" s="7">
        <f t="shared" si="345"/>
        <v>11.534000000000001</v>
      </c>
      <c r="Q2755" s="7" t="str">
        <f>VLOOKUP(D2756,Product_Lookup!$A$2:$C$27,2,FALSE)</f>
        <v>Desk Lamp</v>
      </c>
      <c r="R2755" s="7">
        <f t="shared" si="346"/>
        <v>692.04</v>
      </c>
    </row>
    <row r="2756" spans="1:18" ht="21.75" customHeight="1">
      <c r="A2756" t="s">
        <v>2907</v>
      </c>
      <c r="B2756" s="6">
        <v>45537</v>
      </c>
      <c r="C2756" t="s">
        <v>332</v>
      </c>
      <c r="D2756" t="s">
        <v>59</v>
      </c>
      <c r="E2756" t="s">
        <v>17</v>
      </c>
      <c r="F2756" t="s">
        <v>56</v>
      </c>
      <c r="G2756" t="s">
        <v>32</v>
      </c>
      <c r="H2756">
        <v>11</v>
      </c>
      <c r="I2756" t="str">
        <f>VLOOKUP(D2756,Product_Lookup!$A$2:$C$27,3,FALSE)</f>
        <v>$101.96</v>
      </c>
      <c r="J2756" t="str">
        <f t="shared" si="347"/>
        <v>Monday</v>
      </c>
      <c r="K2756" s="10" t="str">
        <f t="shared" si="348"/>
        <v>September</v>
      </c>
      <c r="L2756">
        <f t="shared" si="349"/>
        <v>2024</v>
      </c>
      <c r="M2756" t="b">
        <f t="shared" si="350"/>
        <v>0</v>
      </c>
      <c r="N2756" t="b">
        <f t="shared" si="344"/>
        <v>1</v>
      </c>
      <c r="O2756" t="str">
        <f t="shared" si="351"/>
        <v>Large Order</v>
      </c>
      <c r="P2756" s="7">
        <f t="shared" si="345"/>
        <v>5.0979999999999999</v>
      </c>
      <c r="Q2756" s="7" t="str">
        <f>VLOOKUP(D2757,Product_Lookup!$A$2:$C$27,2,FALSE)</f>
        <v>Pen Set</v>
      </c>
      <c r="R2756" s="7">
        <f t="shared" si="346"/>
        <v>1121.56</v>
      </c>
    </row>
    <row r="2757" spans="1:18" ht="21.75" customHeight="1">
      <c r="A2757" t="s">
        <v>2908</v>
      </c>
      <c r="B2757" s="6">
        <v>45416</v>
      </c>
      <c r="C2757" t="s">
        <v>131</v>
      </c>
      <c r="D2757" t="s">
        <v>174</v>
      </c>
      <c r="E2757" t="s">
        <v>22</v>
      </c>
      <c r="F2757" t="s">
        <v>42</v>
      </c>
      <c r="G2757" t="s">
        <v>36</v>
      </c>
      <c r="H2757">
        <v>4</v>
      </c>
      <c r="I2757" t="str">
        <f>VLOOKUP(D2757,Product_Lookup!$A$2:$C$27,3,FALSE)</f>
        <v>$133.37</v>
      </c>
      <c r="J2757" t="str">
        <f t="shared" si="347"/>
        <v>Saturday</v>
      </c>
      <c r="K2757" s="10" t="str">
        <f t="shared" si="348"/>
        <v>May</v>
      </c>
      <c r="L2757">
        <f t="shared" si="349"/>
        <v>2024</v>
      </c>
      <c r="M2757" t="b">
        <f t="shared" si="350"/>
        <v>1</v>
      </c>
      <c r="N2757" t="b">
        <f t="shared" si="344"/>
        <v>0</v>
      </c>
      <c r="O2757" t="str">
        <f t="shared" si="351"/>
        <v>Large Order</v>
      </c>
      <c r="P2757" s="7">
        <f t="shared" si="345"/>
        <v>6.6685000000000008</v>
      </c>
      <c r="Q2757" s="7" t="str">
        <f>VLOOKUP(D2758,Product_Lookup!$A$2:$C$27,2,FALSE)</f>
        <v>Pen Set</v>
      </c>
      <c r="R2757" s="7">
        <f t="shared" si="346"/>
        <v>533.48</v>
      </c>
    </row>
    <row r="2758" spans="1:18" ht="21.75" customHeight="1">
      <c r="A2758" t="s">
        <v>2909</v>
      </c>
      <c r="B2758" s="6">
        <v>45314</v>
      </c>
      <c r="C2758" t="s">
        <v>15</v>
      </c>
      <c r="D2758" t="s">
        <v>174</v>
      </c>
      <c r="E2758" t="s">
        <v>17</v>
      </c>
      <c r="F2758" t="s">
        <v>12</v>
      </c>
      <c r="G2758" t="s">
        <v>36</v>
      </c>
      <c r="H2758">
        <v>14</v>
      </c>
      <c r="I2758" t="str">
        <f>VLOOKUP(D2758,Product_Lookup!$A$2:$C$27,3,FALSE)</f>
        <v>$133.37</v>
      </c>
      <c r="J2758" t="str">
        <f t="shared" si="347"/>
        <v>Tuesday</v>
      </c>
      <c r="K2758" s="10" t="str">
        <f t="shared" si="348"/>
        <v>January</v>
      </c>
      <c r="L2758">
        <f t="shared" si="349"/>
        <v>2024</v>
      </c>
      <c r="M2758" t="b">
        <f t="shared" si="350"/>
        <v>0</v>
      </c>
      <c r="N2758" t="b">
        <f t="shared" si="344"/>
        <v>1</v>
      </c>
      <c r="O2758" t="str">
        <f t="shared" si="351"/>
        <v>Large Order</v>
      </c>
      <c r="P2758" s="7">
        <f t="shared" si="345"/>
        <v>6.6685000000000008</v>
      </c>
      <c r="Q2758" s="7" t="str">
        <f>VLOOKUP(D2759,Product_Lookup!$A$2:$C$27,2,FALSE)</f>
        <v>Jacket</v>
      </c>
      <c r="R2758" s="7">
        <f t="shared" si="346"/>
        <v>1867.18</v>
      </c>
    </row>
    <row r="2759" spans="1:18" ht="21.75" customHeight="1">
      <c r="A2759" t="s">
        <v>2910</v>
      </c>
      <c r="B2759" s="6">
        <v>45406</v>
      </c>
      <c r="C2759" t="s">
        <v>64</v>
      </c>
      <c r="D2759" t="s">
        <v>197</v>
      </c>
      <c r="E2759" t="s">
        <v>17</v>
      </c>
      <c r="F2759" t="s">
        <v>27</v>
      </c>
      <c r="G2759" t="s">
        <v>28</v>
      </c>
      <c r="H2759">
        <v>12</v>
      </c>
      <c r="I2759" t="str">
        <f>VLOOKUP(D2759,Product_Lookup!$A$2:$C$27,3,FALSE)</f>
        <v>$10.11</v>
      </c>
      <c r="J2759" t="str">
        <f t="shared" si="347"/>
        <v>Wednesday</v>
      </c>
      <c r="K2759" s="10" t="str">
        <f t="shared" si="348"/>
        <v>April</v>
      </c>
      <c r="L2759">
        <f t="shared" si="349"/>
        <v>2024</v>
      </c>
      <c r="M2759" t="b">
        <f t="shared" si="350"/>
        <v>0</v>
      </c>
      <c r="N2759" t="b">
        <f t="shared" si="344"/>
        <v>0</v>
      </c>
      <c r="O2759" t="str">
        <f t="shared" si="351"/>
        <v>Standard order</v>
      </c>
      <c r="P2759" s="7">
        <f t="shared" si="345"/>
        <v>0.50549999999999995</v>
      </c>
      <c r="Q2759" s="7" t="str">
        <f>VLOOKUP(D2760,Product_Lookup!$A$2:$C$27,2,FALSE)</f>
        <v>Coffee Maker</v>
      </c>
      <c r="R2759" s="7">
        <f t="shared" si="346"/>
        <v>121.32</v>
      </c>
    </row>
    <row r="2760" spans="1:18" ht="21.75" customHeight="1">
      <c r="A2760" t="s">
        <v>2911</v>
      </c>
      <c r="B2760" s="6">
        <v>45407</v>
      </c>
      <c r="C2760" t="s">
        <v>455</v>
      </c>
      <c r="D2760" t="s">
        <v>31</v>
      </c>
      <c r="E2760" t="s">
        <v>22</v>
      </c>
      <c r="F2760" t="s">
        <v>12</v>
      </c>
      <c r="G2760" t="s">
        <v>23</v>
      </c>
      <c r="H2760">
        <v>6</v>
      </c>
      <c r="I2760" t="str">
        <f>VLOOKUP(D2760,Product_Lookup!$A$2:$C$27,3,FALSE)</f>
        <v>$230.34</v>
      </c>
      <c r="J2760" t="str">
        <f t="shared" si="347"/>
        <v>Thursday</v>
      </c>
      <c r="K2760" s="10" t="str">
        <f t="shared" si="348"/>
        <v>April</v>
      </c>
      <c r="L2760">
        <f t="shared" si="349"/>
        <v>2024</v>
      </c>
      <c r="M2760" t="b">
        <f t="shared" si="350"/>
        <v>0</v>
      </c>
      <c r="N2760" t="b">
        <f t="shared" si="344"/>
        <v>1</v>
      </c>
      <c r="O2760" t="str">
        <f t="shared" si="351"/>
        <v>Large Order</v>
      </c>
      <c r="P2760" s="7">
        <f t="shared" si="345"/>
        <v>11.517000000000001</v>
      </c>
      <c r="Q2760" s="7" t="str">
        <f>VLOOKUP(D2761,Product_Lookup!$A$2:$C$27,2,FALSE)</f>
        <v>Socks</v>
      </c>
      <c r="R2760" s="7">
        <f t="shared" si="346"/>
        <v>1382.04</v>
      </c>
    </row>
    <row r="2761" spans="1:18" ht="21.75" customHeight="1">
      <c r="A2761" t="s">
        <v>2912</v>
      </c>
      <c r="B2761" s="6">
        <v>45406</v>
      </c>
      <c r="C2761" t="s">
        <v>15</v>
      </c>
      <c r="D2761" t="s">
        <v>74</v>
      </c>
      <c r="E2761" t="s">
        <v>17</v>
      </c>
      <c r="F2761" t="s">
        <v>12</v>
      </c>
      <c r="G2761" t="s">
        <v>36</v>
      </c>
      <c r="H2761">
        <v>11</v>
      </c>
      <c r="I2761" t="str">
        <f>VLOOKUP(D2761,Product_Lookup!$A$2:$C$27,3,FALSE)</f>
        <v>$201.32</v>
      </c>
      <c r="J2761" t="str">
        <f t="shared" si="347"/>
        <v>Wednesday</v>
      </c>
      <c r="K2761" s="10" t="str">
        <f t="shared" si="348"/>
        <v>April</v>
      </c>
      <c r="L2761">
        <f t="shared" si="349"/>
        <v>2024</v>
      </c>
      <c r="M2761" t="b">
        <f t="shared" si="350"/>
        <v>0</v>
      </c>
      <c r="N2761" t="b">
        <f t="shared" si="344"/>
        <v>1</v>
      </c>
      <c r="O2761" t="str">
        <f t="shared" si="351"/>
        <v>Large Order</v>
      </c>
      <c r="P2761" s="7">
        <f t="shared" si="345"/>
        <v>10.066000000000001</v>
      </c>
      <c r="Q2761" s="7" t="str">
        <f>VLOOKUP(D2762,Product_Lookup!$A$2:$C$27,2,FALSE)</f>
        <v>Paper Shredder</v>
      </c>
      <c r="R2761" s="7">
        <f t="shared" si="346"/>
        <v>2214.52</v>
      </c>
    </row>
    <row r="2762" spans="1:18" ht="21.75" customHeight="1">
      <c r="A2762" t="s">
        <v>2913</v>
      </c>
      <c r="B2762" s="6">
        <v>45335</v>
      </c>
      <c r="C2762" t="s">
        <v>116</v>
      </c>
      <c r="D2762" t="s">
        <v>109</v>
      </c>
      <c r="E2762" t="s">
        <v>11</v>
      </c>
      <c r="F2762" t="s">
        <v>56</v>
      </c>
      <c r="G2762" t="s">
        <v>23</v>
      </c>
      <c r="H2762">
        <v>17</v>
      </c>
      <c r="I2762" t="str">
        <f>VLOOKUP(D2762,Product_Lookup!$A$2:$C$27,3,FALSE)</f>
        <v>$81.02</v>
      </c>
      <c r="J2762" t="str">
        <f t="shared" si="347"/>
        <v>Tuesday</v>
      </c>
      <c r="K2762" s="10" t="str">
        <f t="shared" si="348"/>
        <v>February</v>
      </c>
      <c r="L2762">
        <f t="shared" si="349"/>
        <v>2024</v>
      </c>
      <c r="M2762" t="b">
        <f t="shared" si="350"/>
        <v>0</v>
      </c>
      <c r="N2762" t="b">
        <f t="shared" si="344"/>
        <v>1</v>
      </c>
      <c r="O2762" t="str">
        <f t="shared" si="351"/>
        <v>Large Order</v>
      </c>
      <c r="P2762" s="7">
        <f t="shared" si="345"/>
        <v>4.0510000000000002</v>
      </c>
      <c r="Q2762" s="7" t="str">
        <f>VLOOKUP(D2763,Product_Lookup!$A$2:$C$27,2,FALSE)</f>
        <v>Vacuum</v>
      </c>
      <c r="R2762" s="7">
        <f t="shared" si="346"/>
        <v>1377.34</v>
      </c>
    </row>
    <row r="2763" spans="1:18" ht="21.75" customHeight="1">
      <c r="A2763" t="s">
        <v>2914</v>
      </c>
      <c r="B2763" s="6">
        <v>45384</v>
      </c>
      <c r="C2763" t="s">
        <v>422</v>
      </c>
      <c r="D2763" t="s">
        <v>87</v>
      </c>
      <c r="E2763" t="s">
        <v>11</v>
      </c>
      <c r="F2763" t="s">
        <v>42</v>
      </c>
      <c r="G2763" t="s">
        <v>36</v>
      </c>
      <c r="H2763">
        <v>10</v>
      </c>
      <c r="I2763" t="str">
        <f>VLOOKUP(D2763,Product_Lookup!$A$2:$C$27,3,FALSE)</f>
        <v>$26.59</v>
      </c>
      <c r="J2763" t="str">
        <f t="shared" si="347"/>
        <v>Tuesday</v>
      </c>
      <c r="K2763" s="10" t="str">
        <f t="shared" si="348"/>
        <v>April</v>
      </c>
      <c r="L2763">
        <f t="shared" si="349"/>
        <v>2024</v>
      </c>
      <c r="M2763" t="b">
        <f t="shared" si="350"/>
        <v>0</v>
      </c>
      <c r="N2763" t="b">
        <f t="shared" si="344"/>
        <v>0</v>
      </c>
      <c r="O2763" t="str">
        <f t="shared" si="351"/>
        <v>Standard order</v>
      </c>
      <c r="P2763" s="7">
        <f t="shared" si="345"/>
        <v>1.3295000000000001</v>
      </c>
      <c r="Q2763" s="7" t="str">
        <f>VLOOKUP(D2764,Product_Lookup!$A$2:$C$27,2,FALSE)</f>
        <v>Stapler</v>
      </c>
      <c r="R2763" s="7">
        <f t="shared" si="346"/>
        <v>265.89999999999998</v>
      </c>
    </row>
    <row r="2764" spans="1:18" ht="21.75" customHeight="1">
      <c r="A2764" t="s">
        <v>2915</v>
      </c>
      <c r="B2764" s="6">
        <v>45345</v>
      </c>
      <c r="C2764" t="s">
        <v>101</v>
      </c>
      <c r="D2764" t="s">
        <v>35</v>
      </c>
      <c r="E2764" t="s">
        <v>22</v>
      </c>
      <c r="F2764" t="s">
        <v>42</v>
      </c>
      <c r="G2764" t="s">
        <v>32</v>
      </c>
      <c r="H2764">
        <v>3</v>
      </c>
      <c r="I2764" t="str">
        <f>VLOOKUP(D2764,Product_Lookup!$A$2:$C$27,3,FALSE)</f>
        <v>$64.61</v>
      </c>
      <c r="J2764" t="str">
        <f t="shared" si="347"/>
        <v>Friday</v>
      </c>
      <c r="K2764" s="10" t="str">
        <f t="shared" si="348"/>
        <v>February</v>
      </c>
      <c r="L2764">
        <f t="shared" si="349"/>
        <v>2024</v>
      </c>
      <c r="M2764" t="b">
        <f t="shared" si="350"/>
        <v>0</v>
      </c>
      <c r="N2764" t="b">
        <f t="shared" si="344"/>
        <v>0</v>
      </c>
      <c r="O2764" t="str">
        <f t="shared" si="351"/>
        <v>Standard order</v>
      </c>
      <c r="P2764" s="7">
        <f t="shared" si="345"/>
        <v>3.2305000000000001</v>
      </c>
      <c r="Q2764" s="7" t="str">
        <f>VLOOKUP(D2765,Product_Lookup!$A$2:$C$27,2,FALSE)</f>
        <v>Action Figure</v>
      </c>
      <c r="R2764" s="7">
        <f t="shared" si="346"/>
        <v>193.82999999999998</v>
      </c>
    </row>
    <row r="2765" spans="1:18" ht="21.75" customHeight="1">
      <c r="A2765" t="s">
        <v>2916</v>
      </c>
      <c r="B2765" s="6">
        <v>45368</v>
      </c>
      <c r="C2765" t="s">
        <v>420</v>
      </c>
      <c r="D2765" t="s">
        <v>21</v>
      </c>
      <c r="E2765" t="s">
        <v>11</v>
      </c>
      <c r="F2765" t="s">
        <v>42</v>
      </c>
      <c r="G2765" t="s">
        <v>28</v>
      </c>
      <c r="H2765">
        <v>13</v>
      </c>
      <c r="I2765" t="str">
        <f>VLOOKUP(D2765,Product_Lookup!$A$2:$C$27,3,FALSE)</f>
        <v>$88.18</v>
      </c>
      <c r="J2765" t="str">
        <f t="shared" si="347"/>
        <v>Sunday</v>
      </c>
      <c r="K2765" s="10" t="str">
        <f t="shared" si="348"/>
        <v>March</v>
      </c>
      <c r="L2765">
        <f t="shared" si="349"/>
        <v>2024</v>
      </c>
      <c r="M2765" t="b">
        <f t="shared" si="350"/>
        <v>1</v>
      </c>
      <c r="N2765" t="b">
        <f t="shared" si="344"/>
        <v>1</v>
      </c>
      <c r="O2765" t="str">
        <f t="shared" si="351"/>
        <v>Large Order</v>
      </c>
      <c r="P2765" s="7">
        <f t="shared" si="345"/>
        <v>4.4090000000000007</v>
      </c>
      <c r="Q2765" s="7" t="str">
        <f>VLOOKUP(D2766,Product_Lookup!$A$2:$C$27,2,FALSE)</f>
        <v>Monitor</v>
      </c>
      <c r="R2765" s="7">
        <f t="shared" si="346"/>
        <v>1146.3400000000001</v>
      </c>
    </row>
    <row r="2766" spans="1:18" ht="21.75" customHeight="1">
      <c r="A2766" t="s">
        <v>2917</v>
      </c>
      <c r="B2766" s="6">
        <v>45536</v>
      </c>
      <c r="C2766" t="s">
        <v>58</v>
      </c>
      <c r="D2766" t="s">
        <v>102</v>
      </c>
      <c r="E2766" t="s">
        <v>22</v>
      </c>
      <c r="F2766" t="s">
        <v>27</v>
      </c>
      <c r="G2766" t="s">
        <v>32</v>
      </c>
      <c r="H2766">
        <v>5</v>
      </c>
      <c r="I2766" t="str">
        <f>VLOOKUP(D2766,Product_Lookup!$A$2:$C$27,3,FALSE)</f>
        <v>$145.48</v>
      </c>
      <c r="J2766" t="str">
        <f t="shared" si="347"/>
        <v>Sunday</v>
      </c>
      <c r="K2766" s="10" t="str">
        <f t="shared" si="348"/>
        <v>September</v>
      </c>
      <c r="L2766">
        <f t="shared" si="349"/>
        <v>2024</v>
      </c>
      <c r="M2766" t="b">
        <f t="shared" si="350"/>
        <v>1</v>
      </c>
      <c r="N2766" t="b">
        <f t="shared" si="344"/>
        <v>0</v>
      </c>
      <c r="O2766" t="str">
        <f t="shared" si="351"/>
        <v>Large Order</v>
      </c>
      <c r="P2766" s="7">
        <f t="shared" si="345"/>
        <v>7.274</v>
      </c>
      <c r="Q2766" s="7" t="str">
        <f>VLOOKUP(D2767,Product_Lookup!$A$2:$C$27,2,FALSE)</f>
        <v>Doll</v>
      </c>
      <c r="R2766" s="7">
        <f t="shared" si="346"/>
        <v>727.4</v>
      </c>
    </row>
    <row r="2767" spans="1:18" ht="21.75" customHeight="1">
      <c r="A2767" t="s">
        <v>2918</v>
      </c>
      <c r="B2767" s="6">
        <v>45357</v>
      </c>
      <c r="C2767" t="s">
        <v>44</v>
      </c>
      <c r="D2767" t="s">
        <v>119</v>
      </c>
      <c r="E2767" t="s">
        <v>17</v>
      </c>
      <c r="F2767" t="s">
        <v>42</v>
      </c>
      <c r="G2767" t="s">
        <v>32</v>
      </c>
      <c r="H2767">
        <v>16</v>
      </c>
      <c r="I2767" t="str">
        <f>VLOOKUP(D2767,Product_Lookup!$A$2:$C$27,3,FALSE)</f>
        <v>$32.94</v>
      </c>
      <c r="J2767" t="str">
        <f t="shared" si="347"/>
        <v>Wednesday</v>
      </c>
      <c r="K2767" s="10" t="str">
        <f t="shared" si="348"/>
        <v>March</v>
      </c>
      <c r="L2767">
        <f t="shared" si="349"/>
        <v>2024</v>
      </c>
      <c r="M2767" t="b">
        <f t="shared" si="350"/>
        <v>0</v>
      </c>
      <c r="N2767" t="b">
        <f t="shared" si="344"/>
        <v>0</v>
      </c>
      <c r="O2767" t="str">
        <f t="shared" si="351"/>
        <v>Large Order</v>
      </c>
      <c r="P2767" s="7">
        <f t="shared" si="345"/>
        <v>1.647</v>
      </c>
      <c r="Q2767" s="7" t="str">
        <f>VLOOKUP(D2768,Product_Lookup!$A$2:$C$27,2,FALSE)</f>
        <v>Paper Shredder</v>
      </c>
      <c r="R2767" s="7">
        <f t="shared" si="346"/>
        <v>527.04</v>
      </c>
    </row>
    <row r="2768" spans="1:18" ht="21.75" customHeight="1">
      <c r="A2768" t="s">
        <v>2919</v>
      </c>
      <c r="B2768" s="6">
        <v>45647</v>
      </c>
      <c r="C2768" t="s">
        <v>408</v>
      </c>
      <c r="D2768" t="s">
        <v>109</v>
      </c>
      <c r="E2768" t="s">
        <v>22</v>
      </c>
      <c r="F2768" t="s">
        <v>42</v>
      </c>
      <c r="G2768" t="s">
        <v>28</v>
      </c>
      <c r="H2768">
        <v>8</v>
      </c>
      <c r="I2768" t="str">
        <f>VLOOKUP(D2768,Product_Lookup!$A$2:$C$27,3,FALSE)</f>
        <v>$81.02</v>
      </c>
      <c r="J2768" t="str">
        <f t="shared" si="347"/>
        <v>Saturday</v>
      </c>
      <c r="K2768" s="10" t="str">
        <f t="shared" si="348"/>
        <v>December</v>
      </c>
      <c r="L2768">
        <f t="shared" si="349"/>
        <v>2024</v>
      </c>
      <c r="M2768" t="b">
        <f t="shared" si="350"/>
        <v>1</v>
      </c>
      <c r="N2768" t="b">
        <f t="shared" si="344"/>
        <v>0</v>
      </c>
      <c r="O2768" t="str">
        <f t="shared" si="351"/>
        <v>Large Order</v>
      </c>
      <c r="P2768" s="7">
        <f t="shared" si="345"/>
        <v>4.0510000000000002</v>
      </c>
      <c r="Q2768" s="7" t="str">
        <f>VLOOKUP(D2769,Product_Lookup!$A$2:$C$27,2,FALSE)</f>
        <v>Pen Set</v>
      </c>
      <c r="R2768" s="7">
        <f t="shared" si="346"/>
        <v>648.16</v>
      </c>
    </row>
    <row r="2769" spans="1:18" ht="21.75" customHeight="1">
      <c r="A2769" t="s">
        <v>2920</v>
      </c>
      <c r="B2769" s="6">
        <v>45573</v>
      </c>
      <c r="C2769" t="s">
        <v>432</v>
      </c>
      <c r="D2769" t="s">
        <v>174</v>
      </c>
      <c r="E2769" t="s">
        <v>22</v>
      </c>
      <c r="F2769" t="s">
        <v>27</v>
      </c>
      <c r="G2769" t="s">
        <v>36</v>
      </c>
      <c r="H2769">
        <v>18</v>
      </c>
      <c r="I2769" t="str">
        <f>VLOOKUP(D2769,Product_Lookup!$A$2:$C$27,3,FALSE)</f>
        <v>$133.37</v>
      </c>
      <c r="J2769" t="str">
        <f t="shared" si="347"/>
        <v>Tuesday</v>
      </c>
      <c r="K2769" s="10" t="str">
        <f t="shared" si="348"/>
        <v>October</v>
      </c>
      <c r="L2769">
        <f t="shared" si="349"/>
        <v>2024</v>
      </c>
      <c r="M2769" t="b">
        <f t="shared" si="350"/>
        <v>0</v>
      </c>
      <c r="N2769" t="b">
        <f t="shared" si="344"/>
        <v>1</v>
      </c>
      <c r="O2769" t="str">
        <f t="shared" si="351"/>
        <v>Large Order</v>
      </c>
      <c r="P2769" s="7">
        <f t="shared" si="345"/>
        <v>6.6685000000000008</v>
      </c>
      <c r="Q2769" s="7" t="str">
        <f>VLOOKUP(D2770,Product_Lookup!$A$2:$C$27,2,FALSE)</f>
        <v>Desk Lamp</v>
      </c>
      <c r="R2769" s="7">
        <f t="shared" si="346"/>
        <v>2400.66</v>
      </c>
    </row>
    <row r="2770" spans="1:18" ht="21.75" customHeight="1">
      <c r="A2770" t="s">
        <v>2921</v>
      </c>
      <c r="B2770" s="6">
        <v>45488</v>
      </c>
      <c r="C2770" t="s">
        <v>81</v>
      </c>
      <c r="D2770" t="s">
        <v>59</v>
      </c>
      <c r="E2770" t="s">
        <v>22</v>
      </c>
      <c r="F2770" t="s">
        <v>27</v>
      </c>
      <c r="G2770" t="s">
        <v>36</v>
      </c>
      <c r="H2770">
        <v>19</v>
      </c>
      <c r="I2770" t="str">
        <f>VLOOKUP(D2770,Product_Lookup!$A$2:$C$27,3,FALSE)</f>
        <v>$101.96</v>
      </c>
      <c r="J2770" t="str">
        <f t="shared" si="347"/>
        <v>Monday</v>
      </c>
      <c r="K2770" s="10" t="str">
        <f t="shared" si="348"/>
        <v>July</v>
      </c>
      <c r="L2770">
        <f t="shared" si="349"/>
        <v>2024</v>
      </c>
      <c r="M2770" t="b">
        <f t="shared" si="350"/>
        <v>0</v>
      </c>
      <c r="N2770" t="b">
        <f t="shared" si="344"/>
        <v>1</v>
      </c>
      <c r="O2770" t="str">
        <f t="shared" si="351"/>
        <v>Large Order</v>
      </c>
      <c r="P2770" s="7">
        <f t="shared" si="345"/>
        <v>5.0979999999999999</v>
      </c>
      <c r="Q2770" s="7" t="str">
        <f>VLOOKUP(D2771,Product_Lookup!$A$2:$C$27,2,FALSE)</f>
        <v>Tablet</v>
      </c>
      <c r="R2770" s="7">
        <f t="shared" si="346"/>
        <v>1937.2399999999998</v>
      </c>
    </row>
    <row r="2771" spans="1:18" ht="21.75" customHeight="1">
      <c r="A2771" t="s">
        <v>2922</v>
      </c>
      <c r="B2771" s="6">
        <v>45404</v>
      </c>
      <c r="C2771" t="s">
        <v>424</v>
      </c>
      <c r="D2771" t="s">
        <v>10</v>
      </c>
      <c r="E2771" t="s">
        <v>11</v>
      </c>
      <c r="F2771" t="s">
        <v>42</v>
      </c>
      <c r="G2771" t="s">
        <v>13</v>
      </c>
      <c r="H2771">
        <v>7</v>
      </c>
      <c r="I2771" t="str">
        <f>VLOOKUP(D2771,Product_Lookup!$A$2:$C$27,3,FALSE)</f>
        <v>$146.06</v>
      </c>
      <c r="J2771" t="str">
        <f t="shared" si="347"/>
        <v>Monday</v>
      </c>
      <c r="K2771" s="10" t="str">
        <f t="shared" si="348"/>
        <v>April</v>
      </c>
      <c r="L2771">
        <f t="shared" si="349"/>
        <v>2024</v>
      </c>
      <c r="M2771" t="b">
        <f t="shared" si="350"/>
        <v>0</v>
      </c>
      <c r="N2771" t="b">
        <f t="shared" si="344"/>
        <v>1</v>
      </c>
      <c r="O2771" t="str">
        <f t="shared" si="351"/>
        <v>Large Order</v>
      </c>
      <c r="P2771" s="7">
        <f t="shared" si="345"/>
        <v>7.3030000000000008</v>
      </c>
      <c r="Q2771" s="7" t="str">
        <f>VLOOKUP(D2772,Product_Lookup!$A$2:$C$27,2,FALSE)</f>
        <v>Pen Set</v>
      </c>
      <c r="R2771" s="7">
        <f t="shared" si="346"/>
        <v>1022.4200000000001</v>
      </c>
    </row>
    <row r="2772" spans="1:18" ht="21.75" customHeight="1">
      <c r="A2772" t="s">
        <v>2923</v>
      </c>
      <c r="B2772" s="6">
        <v>45300</v>
      </c>
      <c r="C2772" t="s">
        <v>83</v>
      </c>
      <c r="D2772" t="s">
        <v>174</v>
      </c>
      <c r="E2772" t="s">
        <v>17</v>
      </c>
      <c r="F2772" t="s">
        <v>56</v>
      </c>
      <c r="G2772" t="s">
        <v>13</v>
      </c>
      <c r="H2772">
        <v>2</v>
      </c>
      <c r="I2772" t="str">
        <f>VLOOKUP(D2772,Product_Lookup!$A$2:$C$27,3,FALSE)</f>
        <v>$133.37</v>
      </c>
      <c r="J2772" t="str">
        <f t="shared" si="347"/>
        <v>Tuesday</v>
      </c>
      <c r="K2772" s="10" t="str">
        <f t="shared" si="348"/>
        <v>January</v>
      </c>
      <c r="L2772">
        <f t="shared" si="349"/>
        <v>2024</v>
      </c>
      <c r="M2772" t="b">
        <f t="shared" si="350"/>
        <v>0</v>
      </c>
      <c r="N2772" t="b">
        <f t="shared" si="344"/>
        <v>0</v>
      </c>
      <c r="O2772" t="str">
        <f t="shared" si="351"/>
        <v>Standard order</v>
      </c>
      <c r="P2772" s="7">
        <f t="shared" si="345"/>
        <v>6.6685000000000008</v>
      </c>
      <c r="Q2772" s="7" t="str">
        <f>VLOOKUP(D2773,Product_Lookup!$A$2:$C$27,2,FALSE)</f>
        <v>Headphones</v>
      </c>
      <c r="R2772" s="7">
        <f t="shared" si="346"/>
        <v>266.74</v>
      </c>
    </row>
    <row r="2773" spans="1:18" ht="21.75" customHeight="1">
      <c r="A2773" t="s">
        <v>2924</v>
      </c>
      <c r="B2773" s="6">
        <v>45476</v>
      </c>
      <c r="C2773" t="s">
        <v>420</v>
      </c>
      <c r="D2773" t="s">
        <v>16</v>
      </c>
      <c r="E2773" t="s">
        <v>17</v>
      </c>
      <c r="F2773" t="s">
        <v>27</v>
      </c>
      <c r="G2773" t="s">
        <v>28</v>
      </c>
      <c r="H2773">
        <v>18</v>
      </c>
      <c r="I2773" t="str">
        <f>VLOOKUP(D2773,Product_Lookup!$A$2:$C$27,3,FALSE)</f>
        <v>$178.83</v>
      </c>
      <c r="J2773" t="str">
        <f t="shared" si="347"/>
        <v>Wednesday</v>
      </c>
      <c r="K2773" s="10" t="str">
        <f t="shared" si="348"/>
        <v>July</v>
      </c>
      <c r="L2773">
        <f t="shared" si="349"/>
        <v>2024</v>
      </c>
      <c r="M2773" t="b">
        <f t="shared" si="350"/>
        <v>0</v>
      </c>
      <c r="N2773" t="b">
        <f t="shared" si="344"/>
        <v>1</v>
      </c>
      <c r="O2773" t="str">
        <f t="shared" si="351"/>
        <v>Large Order</v>
      </c>
      <c r="P2773" s="7">
        <f t="shared" si="345"/>
        <v>8.9415000000000013</v>
      </c>
      <c r="Q2773" s="7" t="str">
        <f>VLOOKUP(D2774,Product_Lookup!$A$2:$C$27,2,FALSE)</f>
        <v>Jeans</v>
      </c>
      <c r="R2773" s="7">
        <f t="shared" si="346"/>
        <v>3218.94</v>
      </c>
    </row>
    <row r="2774" spans="1:18" ht="21.75" customHeight="1">
      <c r="A2774" t="s">
        <v>2925</v>
      </c>
      <c r="B2774" s="6">
        <v>45507</v>
      </c>
      <c r="C2774" t="s">
        <v>78</v>
      </c>
      <c r="D2774" t="s">
        <v>65</v>
      </c>
      <c r="E2774" t="s">
        <v>11</v>
      </c>
      <c r="F2774" t="s">
        <v>12</v>
      </c>
      <c r="G2774" t="s">
        <v>28</v>
      </c>
      <c r="H2774">
        <v>4</v>
      </c>
      <c r="I2774" t="str">
        <f>VLOOKUP(D2774,Product_Lookup!$A$2:$C$27,3,FALSE)</f>
        <v>$33.22</v>
      </c>
      <c r="J2774" t="str">
        <f t="shared" si="347"/>
        <v>Saturday</v>
      </c>
      <c r="K2774" s="10" t="str">
        <f t="shared" si="348"/>
        <v>August</v>
      </c>
      <c r="L2774">
        <f t="shared" si="349"/>
        <v>2024</v>
      </c>
      <c r="M2774" t="b">
        <f t="shared" si="350"/>
        <v>1</v>
      </c>
      <c r="N2774" t="b">
        <f t="shared" si="344"/>
        <v>0</v>
      </c>
      <c r="O2774" t="str">
        <f t="shared" si="351"/>
        <v>Standard order</v>
      </c>
      <c r="P2774" s="7">
        <f t="shared" si="345"/>
        <v>1.661</v>
      </c>
      <c r="Q2774" s="7" t="str">
        <f>VLOOKUP(D2775,Product_Lookup!$A$2:$C$27,2,FALSE)</f>
        <v>Coffee Maker</v>
      </c>
      <c r="R2774" s="7">
        <f t="shared" si="346"/>
        <v>132.88</v>
      </c>
    </row>
    <row r="2775" spans="1:18" ht="21.75" customHeight="1">
      <c r="A2775" t="s">
        <v>2926</v>
      </c>
      <c r="B2775" s="6">
        <v>45652</v>
      </c>
      <c r="C2775" t="s">
        <v>167</v>
      </c>
      <c r="D2775" t="s">
        <v>31</v>
      </c>
      <c r="E2775" t="s">
        <v>22</v>
      </c>
      <c r="F2775" t="s">
        <v>12</v>
      </c>
      <c r="G2775" t="s">
        <v>23</v>
      </c>
      <c r="H2775">
        <v>12</v>
      </c>
      <c r="I2775" t="str">
        <f>VLOOKUP(D2775,Product_Lookup!$A$2:$C$27,3,FALSE)</f>
        <v>$230.34</v>
      </c>
      <c r="J2775" t="str">
        <f t="shared" si="347"/>
        <v>Thursday</v>
      </c>
      <c r="K2775" s="10" t="str">
        <f t="shared" si="348"/>
        <v>December</v>
      </c>
      <c r="L2775">
        <f t="shared" si="349"/>
        <v>2024</v>
      </c>
      <c r="M2775" t="b">
        <f t="shared" si="350"/>
        <v>0</v>
      </c>
      <c r="N2775" t="b">
        <f t="shared" si="344"/>
        <v>1</v>
      </c>
      <c r="O2775" t="str">
        <f t="shared" si="351"/>
        <v>Large Order</v>
      </c>
      <c r="P2775" s="7">
        <f t="shared" si="345"/>
        <v>11.517000000000001</v>
      </c>
      <c r="Q2775" s="7" t="str">
        <f>VLOOKUP(D2776,Product_Lookup!$A$2:$C$27,2,FALSE)</f>
        <v>Desk Lamp</v>
      </c>
      <c r="R2775" s="7">
        <f t="shared" si="346"/>
        <v>2764.08</v>
      </c>
    </row>
    <row r="2776" spans="1:18" ht="21.75" customHeight="1">
      <c r="A2776" t="s">
        <v>2927</v>
      </c>
      <c r="B2776" s="6">
        <v>45346</v>
      </c>
      <c r="C2776" t="s">
        <v>371</v>
      </c>
      <c r="D2776" t="s">
        <v>59</v>
      </c>
      <c r="E2776" t="s">
        <v>11</v>
      </c>
      <c r="F2776" t="s">
        <v>27</v>
      </c>
      <c r="G2776" t="s">
        <v>36</v>
      </c>
      <c r="H2776">
        <v>6</v>
      </c>
      <c r="I2776" t="str">
        <f>VLOOKUP(D2776,Product_Lookup!$A$2:$C$27,3,FALSE)</f>
        <v>$101.96</v>
      </c>
      <c r="J2776" t="str">
        <f t="shared" si="347"/>
        <v>Saturday</v>
      </c>
      <c r="K2776" s="10" t="str">
        <f t="shared" si="348"/>
        <v>February</v>
      </c>
      <c r="L2776">
        <f t="shared" si="349"/>
        <v>2024</v>
      </c>
      <c r="M2776" t="b">
        <f t="shared" si="350"/>
        <v>1</v>
      </c>
      <c r="N2776" t="b">
        <f t="shared" si="344"/>
        <v>0</v>
      </c>
      <c r="O2776" t="str">
        <f t="shared" si="351"/>
        <v>Large Order</v>
      </c>
      <c r="P2776" s="7">
        <f t="shared" si="345"/>
        <v>5.0979999999999999</v>
      </c>
      <c r="Q2776" s="7" t="str">
        <f>VLOOKUP(D2777,Product_Lookup!$A$2:$C$27,2,FALSE)</f>
        <v>Tablet</v>
      </c>
      <c r="R2776" s="7">
        <f t="shared" si="346"/>
        <v>611.76</v>
      </c>
    </row>
    <row r="2777" spans="1:18" ht="21.75" customHeight="1">
      <c r="A2777" t="s">
        <v>2928</v>
      </c>
      <c r="B2777" s="6">
        <v>45479</v>
      </c>
      <c r="C2777" t="s">
        <v>167</v>
      </c>
      <c r="D2777" t="s">
        <v>10</v>
      </c>
      <c r="E2777" t="s">
        <v>11</v>
      </c>
      <c r="F2777" t="s">
        <v>12</v>
      </c>
      <c r="G2777" t="s">
        <v>13</v>
      </c>
      <c r="H2777">
        <v>19</v>
      </c>
      <c r="I2777" t="str">
        <f>VLOOKUP(D2777,Product_Lookup!$A$2:$C$27,3,FALSE)</f>
        <v>$146.06</v>
      </c>
      <c r="J2777" t="str">
        <f t="shared" si="347"/>
        <v>Saturday</v>
      </c>
      <c r="K2777" s="10" t="str">
        <f t="shared" si="348"/>
        <v>July</v>
      </c>
      <c r="L2777">
        <f t="shared" si="349"/>
        <v>2024</v>
      </c>
      <c r="M2777" t="b">
        <f t="shared" si="350"/>
        <v>1</v>
      </c>
      <c r="N2777" t="b">
        <f t="shared" si="344"/>
        <v>1</v>
      </c>
      <c r="O2777" t="str">
        <f t="shared" si="351"/>
        <v>Large Order</v>
      </c>
      <c r="P2777" s="7">
        <f t="shared" si="345"/>
        <v>7.3030000000000008</v>
      </c>
      <c r="Q2777" s="7" t="str">
        <f>VLOOKUP(D2778,Product_Lookup!$A$2:$C$27,2,FALSE)</f>
        <v>Doll</v>
      </c>
      <c r="R2777" s="7">
        <f t="shared" si="346"/>
        <v>2775.14</v>
      </c>
    </row>
    <row r="2778" spans="1:18" ht="21.75" customHeight="1">
      <c r="A2778" t="s">
        <v>2929</v>
      </c>
      <c r="B2778" s="6">
        <v>45505</v>
      </c>
      <c r="C2778" t="s">
        <v>125</v>
      </c>
      <c r="D2778" t="s">
        <v>119</v>
      </c>
      <c r="E2778" t="s">
        <v>11</v>
      </c>
      <c r="F2778" t="s">
        <v>27</v>
      </c>
      <c r="G2778" t="s">
        <v>28</v>
      </c>
      <c r="H2778">
        <v>17</v>
      </c>
      <c r="I2778" t="str">
        <f>VLOOKUP(D2778,Product_Lookup!$A$2:$C$27,3,FALSE)</f>
        <v>$32.94</v>
      </c>
      <c r="J2778" t="str">
        <f t="shared" si="347"/>
        <v>Thursday</v>
      </c>
      <c r="K2778" s="10" t="str">
        <f t="shared" si="348"/>
        <v>August</v>
      </c>
      <c r="L2778">
        <f t="shared" si="349"/>
        <v>2024</v>
      </c>
      <c r="M2778" t="b">
        <f t="shared" si="350"/>
        <v>0</v>
      </c>
      <c r="N2778" t="b">
        <f t="shared" si="344"/>
        <v>0</v>
      </c>
      <c r="O2778" t="str">
        <f t="shared" si="351"/>
        <v>Large Order</v>
      </c>
      <c r="P2778" s="7">
        <f t="shared" si="345"/>
        <v>1.647</v>
      </c>
      <c r="Q2778" s="7" t="str">
        <f>VLOOKUP(D2779,Product_Lookup!$A$2:$C$27,2,FALSE)</f>
        <v>Vacuum</v>
      </c>
      <c r="R2778" s="7">
        <f t="shared" si="346"/>
        <v>559.98</v>
      </c>
    </row>
    <row r="2779" spans="1:18" ht="21.75" customHeight="1">
      <c r="A2779" t="s">
        <v>2930</v>
      </c>
      <c r="B2779" s="6">
        <v>45445</v>
      </c>
      <c r="C2779" t="s">
        <v>553</v>
      </c>
      <c r="D2779" t="s">
        <v>87</v>
      </c>
      <c r="E2779" t="s">
        <v>22</v>
      </c>
      <c r="F2779" t="s">
        <v>42</v>
      </c>
      <c r="G2779" t="s">
        <v>23</v>
      </c>
      <c r="H2779">
        <v>1</v>
      </c>
      <c r="I2779" t="str">
        <f>VLOOKUP(D2779,Product_Lookup!$A$2:$C$27,3,FALSE)</f>
        <v>$26.59</v>
      </c>
      <c r="J2779" t="str">
        <f t="shared" si="347"/>
        <v>Sunday</v>
      </c>
      <c r="K2779" s="10" t="str">
        <f t="shared" si="348"/>
        <v>June</v>
      </c>
      <c r="L2779">
        <f t="shared" si="349"/>
        <v>2024</v>
      </c>
      <c r="M2779" t="b">
        <f t="shared" si="350"/>
        <v>1</v>
      </c>
      <c r="N2779" t="b">
        <f t="shared" si="344"/>
        <v>0</v>
      </c>
      <c r="O2779" t="str">
        <f t="shared" si="351"/>
        <v>Standard order</v>
      </c>
      <c r="P2779" s="7">
        <f t="shared" si="345"/>
        <v>1.3295000000000001</v>
      </c>
      <c r="Q2779" s="7" t="str">
        <f>VLOOKUP(D2780,Product_Lookup!$A$2:$C$27,2,FALSE)</f>
        <v>Action Figure</v>
      </c>
      <c r="R2779" s="7">
        <f t="shared" si="346"/>
        <v>26.59</v>
      </c>
    </row>
    <row r="2780" spans="1:18" ht="21.75" customHeight="1">
      <c r="A2780" t="s">
        <v>2931</v>
      </c>
      <c r="B2780" s="6">
        <v>45371</v>
      </c>
      <c r="C2780" t="s">
        <v>131</v>
      </c>
      <c r="D2780" t="s">
        <v>21</v>
      </c>
      <c r="E2780" t="s">
        <v>11</v>
      </c>
      <c r="F2780" t="s">
        <v>306</v>
      </c>
      <c r="G2780" t="s">
        <v>28</v>
      </c>
      <c r="H2780">
        <v>17</v>
      </c>
      <c r="I2780" t="str">
        <f>VLOOKUP(D2780,Product_Lookup!$A$2:$C$27,3,FALSE)</f>
        <v>$88.18</v>
      </c>
      <c r="J2780" t="str">
        <f t="shared" si="347"/>
        <v>Wednesday</v>
      </c>
      <c r="K2780" s="10" t="str">
        <f t="shared" si="348"/>
        <v>March</v>
      </c>
      <c r="L2780">
        <f t="shared" si="349"/>
        <v>2024</v>
      </c>
      <c r="M2780" t="b">
        <f t="shared" si="350"/>
        <v>0</v>
      </c>
      <c r="N2780" t="b">
        <f t="shared" si="344"/>
        <v>1</v>
      </c>
      <c r="O2780" t="str">
        <f t="shared" si="351"/>
        <v>Large Order</v>
      </c>
      <c r="P2780" s="7">
        <f t="shared" si="345"/>
        <v>4.4090000000000007</v>
      </c>
      <c r="Q2780" s="7" t="str">
        <f>VLOOKUP(D2781,Product_Lookup!$A$2:$C$27,2,FALSE)</f>
        <v>Board Game</v>
      </c>
      <c r="R2780" s="7">
        <f t="shared" si="346"/>
        <v>1499.0600000000002</v>
      </c>
    </row>
    <row r="2781" spans="1:18" ht="21.75" customHeight="1">
      <c r="A2781" t="s">
        <v>2932</v>
      </c>
      <c r="B2781" s="6">
        <v>45494</v>
      </c>
      <c r="C2781" t="s">
        <v>309</v>
      </c>
      <c r="D2781" t="s">
        <v>41</v>
      </c>
      <c r="E2781" t="s">
        <v>17</v>
      </c>
      <c r="F2781" t="s">
        <v>306</v>
      </c>
      <c r="G2781" t="s">
        <v>32</v>
      </c>
      <c r="H2781">
        <v>19</v>
      </c>
      <c r="I2781" t="str">
        <f>VLOOKUP(D2781,Product_Lookup!$A$2:$C$27,3,FALSE)</f>
        <v>$86.6</v>
      </c>
      <c r="J2781" t="str">
        <f t="shared" si="347"/>
        <v>Sunday</v>
      </c>
      <c r="K2781" s="10" t="str">
        <f t="shared" si="348"/>
        <v>July</v>
      </c>
      <c r="L2781">
        <f t="shared" si="349"/>
        <v>2024</v>
      </c>
      <c r="M2781" t="b">
        <f t="shared" si="350"/>
        <v>1</v>
      </c>
      <c r="N2781" t="b">
        <f t="shared" si="344"/>
        <v>1</v>
      </c>
      <c r="O2781" t="str">
        <f t="shared" si="351"/>
        <v>Large Order</v>
      </c>
      <c r="P2781" s="7">
        <f t="shared" si="345"/>
        <v>4.33</v>
      </c>
      <c r="Q2781" s="7" t="str">
        <f>VLOOKUP(D2782,Product_Lookup!$A$2:$C$27,2,FALSE)</f>
        <v>Vacuum</v>
      </c>
      <c r="R2781" s="7">
        <f t="shared" si="346"/>
        <v>1645.3999999999999</v>
      </c>
    </row>
    <row r="2782" spans="1:18" ht="21.75" customHeight="1">
      <c r="A2782" t="s">
        <v>2933</v>
      </c>
      <c r="B2782" s="6">
        <v>45655</v>
      </c>
      <c r="C2782" t="s">
        <v>51</v>
      </c>
      <c r="D2782" t="s">
        <v>87</v>
      </c>
      <c r="E2782" t="s">
        <v>11</v>
      </c>
      <c r="F2782" t="s">
        <v>42</v>
      </c>
      <c r="G2782" t="s">
        <v>13</v>
      </c>
      <c r="H2782">
        <v>17</v>
      </c>
      <c r="I2782" t="str">
        <f>VLOOKUP(D2782,Product_Lookup!$A$2:$C$27,3,FALSE)</f>
        <v>$26.59</v>
      </c>
      <c r="J2782" t="str">
        <f t="shared" si="347"/>
        <v>Sunday</v>
      </c>
      <c r="K2782" s="10" t="str">
        <f t="shared" si="348"/>
        <v>December</v>
      </c>
      <c r="L2782">
        <f t="shared" si="349"/>
        <v>2024</v>
      </c>
      <c r="M2782" t="b">
        <f t="shared" si="350"/>
        <v>1</v>
      </c>
      <c r="N2782" t="b">
        <f t="shared" si="344"/>
        <v>0</v>
      </c>
      <c r="O2782" t="str">
        <f t="shared" si="351"/>
        <v>Standard order</v>
      </c>
      <c r="P2782" s="7">
        <f t="shared" si="345"/>
        <v>1.3295000000000001</v>
      </c>
      <c r="Q2782" s="7" t="str">
        <f>VLOOKUP(D2783,Product_Lookup!$A$2:$C$27,2,FALSE)</f>
        <v>Jeans</v>
      </c>
      <c r="R2782" s="7">
        <f t="shared" si="346"/>
        <v>452.03</v>
      </c>
    </row>
    <row r="2783" spans="1:18" ht="21.75" customHeight="1">
      <c r="A2783" t="s">
        <v>2934</v>
      </c>
      <c r="B2783" s="6">
        <v>45356</v>
      </c>
      <c r="C2783" t="s">
        <v>323</v>
      </c>
      <c r="D2783" t="s">
        <v>65</v>
      </c>
      <c r="E2783" t="s">
        <v>17</v>
      </c>
      <c r="F2783" t="s">
        <v>306</v>
      </c>
      <c r="G2783" t="s">
        <v>13</v>
      </c>
      <c r="H2783">
        <v>8</v>
      </c>
      <c r="I2783" t="str">
        <f>VLOOKUP(D2783,Product_Lookup!$A$2:$C$27,3,FALSE)</f>
        <v>$33.22</v>
      </c>
      <c r="J2783" t="str">
        <f t="shared" si="347"/>
        <v>Tuesday</v>
      </c>
      <c r="K2783" s="10" t="str">
        <f t="shared" si="348"/>
        <v>March</v>
      </c>
      <c r="L2783">
        <f t="shared" si="349"/>
        <v>2024</v>
      </c>
      <c r="M2783" t="b">
        <f t="shared" si="350"/>
        <v>0</v>
      </c>
      <c r="N2783" t="b">
        <f t="shared" si="344"/>
        <v>0</v>
      </c>
      <c r="O2783" t="str">
        <f t="shared" si="351"/>
        <v>Standard order</v>
      </c>
      <c r="P2783" s="7">
        <f t="shared" si="345"/>
        <v>1.661</v>
      </c>
      <c r="Q2783" s="7" t="str">
        <f>VLOOKUP(D2784,Product_Lookup!$A$2:$C$27,2,FALSE)</f>
        <v>Tablet</v>
      </c>
      <c r="R2783" s="7">
        <f t="shared" si="346"/>
        <v>265.76</v>
      </c>
    </row>
    <row r="2784" spans="1:18" ht="21.75" customHeight="1">
      <c r="A2784" t="s">
        <v>2935</v>
      </c>
      <c r="B2784" s="6">
        <v>45578</v>
      </c>
      <c r="C2784" t="s">
        <v>493</v>
      </c>
      <c r="D2784" t="s">
        <v>10</v>
      </c>
      <c r="E2784" t="s">
        <v>22</v>
      </c>
      <c r="F2784" t="s">
        <v>27</v>
      </c>
      <c r="G2784" t="s">
        <v>23</v>
      </c>
      <c r="H2784">
        <v>11</v>
      </c>
      <c r="I2784" t="str">
        <f>VLOOKUP(D2784,Product_Lookup!$A$2:$C$27,3,FALSE)</f>
        <v>$146.06</v>
      </c>
      <c r="J2784" t="str">
        <f t="shared" si="347"/>
        <v>Sunday</v>
      </c>
      <c r="K2784" s="10" t="str">
        <f t="shared" si="348"/>
        <v>October</v>
      </c>
      <c r="L2784">
        <f t="shared" si="349"/>
        <v>2024</v>
      </c>
      <c r="M2784" t="b">
        <f t="shared" si="350"/>
        <v>1</v>
      </c>
      <c r="N2784" t="b">
        <f t="shared" si="344"/>
        <v>1</v>
      </c>
      <c r="O2784" t="str">
        <f t="shared" si="351"/>
        <v>Large Order</v>
      </c>
      <c r="P2784" s="7">
        <f t="shared" si="345"/>
        <v>7.3030000000000008</v>
      </c>
      <c r="Q2784" s="7" t="str">
        <f>VLOOKUP(D2785,Product_Lookup!$A$2:$C$27,2,FALSE)</f>
        <v>T-Shirt</v>
      </c>
      <c r="R2784" s="7">
        <f t="shared" si="346"/>
        <v>1606.66</v>
      </c>
    </row>
    <row r="2785" spans="1:18" ht="21.75" customHeight="1">
      <c r="A2785" t="s">
        <v>2936</v>
      </c>
      <c r="B2785" s="6">
        <v>45499</v>
      </c>
      <c r="C2785" t="s">
        <v>159</v>
      </c>
      <c r="D2785" t="s">
        <v>45</v>
      </c>
      <c r="E2785" t="s">
        <v>11</v>
      </c>
      <c r="F2785" t="s">
        <v>42</v>
      </c>
      <c r="G2785" t="s">
        <v>23</v>
      </c>
      <c r="H2785">
        <v>7</v>
      </c>
      <c r="I2785" t="str">
        <f>VLOOKUP(D2785,Product_Lookup!$A$2:$C$27,3,FALSE)</f>
        <v>$107.34</v>
      </c>
      <c r="J2785" t="str">
        <f t="shared" si="347"/>
        <v>Friday</v>
      </c>
      <c r="K2785" s="10" t="str">
        <f t="shared" si="348"/>
        <v>July</v>
      </c>
      <c r="L2785">
        <f t="shared" si="349"/>
        <v>2024</v>
      </c>
      <c r="M2785" t="b">
        <f t="shared" si="350"/>
        <v>0</v>
      </c>
      <c r="N2785" t="b">
        <f t="shared" si="344"/>
        <v>1</v>
      </c>
      <c r="O2785" t="str">
        <f t="shared" si="351"/>
        <v>Large Order</v>
      </c>
      <c r="P2785" s="7">
        <f t="shared" si="345"/>
        <v>5.3670000000000009</v>
      </c>
      <c r="Q2785" s="7" t="str">
        <f>VLOOKUP(D2786,Product_Lookup!$A$2:$C$27,2,FALSE)</f>
        <v>Toaster</v>
      </c>
      <c r="R2785" s="7">
        <f t="shared" si="346"/>
        <v>751.38</v>
      </c>
    </row>
    <row r="2786" spans="1:18" ht="21.75" customHeight="1">
      <c r="A2786" t="s">
        <v>2937</v>
      </c>
      <c r="B2786" s="6">
        <v>45345</v>
      </c>
      <c r="C2786" t="s">
        <v>208</v>
      </c>
      <c r="D2786" t="s">
        <v>48</v>
      </c>
      <c r="E2786" t="s">
        <v>22</v>
      </c>
      <c r="F2786" t="s">
        <v>42</v>
      </c>
      <c r="G2786" t="s">
        <v>13</v>
      </c>
      <c r="H2786">
        <v>8</v>
      </c>
      <c r="I2786" t="str">
        <f>VLOOKUP(D2786,Product_Lookup!$A$2:$C$27,3,FALSE)</f>
        <v>$208.85</v>
      </c>
      <c r="J2786" t="str">
        <f t="shared" si="347"/>
        <v>Friday</v>
      </c>
      <c r="K2786" s="10" t="str">
        <f t="shared" si="348"/>
        <v>February</v>
      </c>
      <c r="L2786">
        <f t="shared" si="349"/>
        <v>2024</v>
      </c>
      <c r="M2786" t="b">
        <f t="shared" si="350"/>
        <v>0</v>
      </c>
      <c r="N2786" t="b">
        <f t="shared" si="344"/>
        <v>1</v>
      </c>
      <c r="O2786" t="str">
        <f t="shared" si="351"/>
        <v>Large Order</v>
      </c>
      <c r="P2786" s="7">
        <f t="shared" si="345"/>
        <v>10.442500000000001</v>
      </c>
      <c r="Q2786" s="7" t="str">
        <f>VLOOKUP(D2787,Product_Lookup!$A$2:$C$27,2,FALSE)</f>
        <v>Tablet</v>
      </c>
      <c r="R2786" s="7">
        <f t="shared" si="346"/>
        <v>1670.8</v>
      </c>
    </row>
    <row r="2787" spans="1:18" ht="21.75" customHeight="1">
      <c r="A2787" t="s">
        <v>2938</v>
      </c>
      <c r="B2787" s="6">
        <v>45569</v>
      </c>
      <c r="C2787" t="s">
        <v>15</v>
      </c>
      <c r="D2787" t="s">
        <v>10</v>
      </c>
      <c r="E2787" t="s">
        <v>11</v>
      </c>
      <c r="F2787" t="s">
        <v>306</v>
      </c>
      <c r="G2787" t="s">
        <v>13</v>
      </c>
      <c r="H2787">
        <v>10</v>
      </c>
      <c r="I2787" t="str">
        <f>VLOOKUP(D2787,Product_Lookup!$A$2:$C$27,3,FALSE)</f>
        <v>$146.06</v>
      </c>
      <c r="J2787" t="str">
        <f t="shared" si="347"/>
        <v>Friday</v>
      </c>
      <c r="K2787" s="10" t="str">
        <f t="shared" si="348"/>
        <v>October</v>
      </c>
      <c r="L2787">
        <f t="shared" si="349"/>
        <v>2024</v>
      </c>
      <c r="M2787" t="b">
        <f t="shared" si="350"/>
        <v>0</v>
      </c>
      <c r="N2787" t="b">
        <f t="shared" si="344"/>
        <v>1</v>
      </c>
      <c r="O2787" t="str">
        <f t="shared" si="351"/>
        <v>Large Order</v>
      </c>
      <c r="P2787" s="7">
        <f t="shared" si="345"/>
        <v>7.3030000000000008</v>
      </c>
      <c r="Q2787" s="7" t="str">
        <f>VLOOKUP(D2788,Product_Lookup!$A$2:$C$27,2,FALSE)</f>
        <v>Smartphone</v>
      </c>
      <c r="R2787" s="7">
        <f t="shared" si="346"/>
        <v>1460.6</v>
      </c>
    </row>
    <row r="2788" spans="1:18" ht="21.75" customHeight="1">
      <c r="A2788" t="s">
        <v>2939</v>
      </c>
      <c r="B2788" s="6">
        <v>45395</v>
      </c>
      <c r="C2788" t="s">
        <v>541</v>
      </c>
      <c r="D2788" t="s">
        <v>79</v>
      </c>
      <c r="E2788" t="s">
        <v>11</v>
      </c>
      <c r="F2788" t="s">
        <v>42</v>
      </c>
      <c r="G2788" t="s">
        <v>13</v>
      </c>
      <c r="H2788">
        <v>19</v>
      </c>
      <c r="I2788" t="str">
        <f>VLOOKUP(D2788,Product_Lookup!$A$2:$C$27,3,FALSE)</f>
        <v>$216.22</v>
      </c>
      <c r="J2788" t="str">
        <f t="shared" si="347"/>
        <v>Saturday</v>
      </c>
      <c r="K2788" s="10" t="str">
        <f t="shared" si="348"/>
        <v>April</v>
      </c>
      <c r="L2788">
        <f t="shared" si="349"/>
        <v>2024</v>
      </c>
      <c r="M2788" t="b">
        <f t="shared" si="350"/>
        <v>1</v>
      </c>
      <c r="N2788" t="b">
        <f t="shared" si="344"/>
        <v>1</v>
      </c>
      <c r="O2788" t="str">
        <f t="shared" si="351"/>
        <v>Large Order</v>
      </c>
      <c r="P2788" s="7">
        <f t="shared" si="345"/>
        <v>10.811</v>
      </c>
      <c r="Q2788" s="7" t="str">
        <f>VLOOKUP(D2789,Product_Lookup!$A$2:$C$27,2,FALSE)</f>
        <v>Smartphone</v>
      </c>
      <c r="R2788" s="7">
        <f t="shared" si="346"/>
        <v>4108.18</v>
      </c>
    </row>
    <row r="2789" spans="1:18" ht="21.75" customHeight="1">
      <c r="A2789" t="s">
        <v>2940</v>
      </c>
      <c r="B2789" s="6">
        <v>45580</v>
      </c>
      <c r="C2789" t="s">
        <v>517</v>
      </c>
      <c r="D2789" t="s">
        <v>79</v>
      </c>
      <c r="E2789" t="s">
        <v>11</v>
      </c>
      <c r="F2789" t="s">
        <v>42</v>
      </c>
      <c r="G2789" t="s">
        <v>13</v>
      </c>
      <c r="H2789">
        <v>10</v>
      </c>
      <c r="I2789" t="str">
        <f>VLOOKUP(D2789,Product_Lookup!$A$2:$C$27,3,FALSE)</f>
        <v>$216.22</v>
      </c>
      <c r="J2789" t="str">
        <f t="shared" si="347"/>
        <v>Tuesday</v>
      </c>
      <c r="K2789" s="10" t="str">
        <f t="shared" si="348"/>
        <v>October</v>
      </c>
      <c r="L2789">
        <f t="shared" si="349"/>
        <v>2024</v>
      </c>
      <c r="M2789" t="b">
        <f t="shared" si="350"/>
        <v>0</v>
      </c>
      <c r="N2789" t="b">
        <f t="shared" si="344"/>
        <v>1</v>
      </c>
      <c r="O2789" t="str">
        <f t="shared" si="351"/>
        <v>Large Order</v>
      </c>
      <c r="P2789" s="7">
        <f t="shared" si="345"/>
        <v>10.811</v>
      </c>
      <c r="Q2789" s="7" t="str">
        <f>VLOOKUP(D2790,Product_Lookup!$A$2:$C$27,2,FALSE)</f>
        <v>Socks</v>
      </c>
      <c r="R2789" s="7">
        <f t="shared" si="346"/>
        <v>2162.1999999999998</v>
      </c>
    </row>
    <row r="2790" spans="1:18" ht="21.75" customHeight="1">
      <c r="A2790" t="s">
        <v>2941</v>
      </c>
      <c r="B2790" s="6">
        <v>45474</v>
      </c>
      <c r="C2790" t="s">
        <v>664</v>
      </c>
      <c r="D2790" t="s">
        <v>74</v>
      </c>
      <c r="E2790" t="s">
        <v>17</v>
      </c>
      <c r="F2790" t="s">
        <v>306</v>
      </c>
      <c r="G2790" t="s">
        <v>28</v>
      </c>
      <c r="H2790">
        <v>11</v>
      </c>
      <c r="I2790" t="str">
        <f>VLOOKUP(D2790,Product_Lookup!$A$2:$C$27,3,FALSE)</f>
        <v>$201.32</v>
      </c>
      <c r="J2790" t="str">
        <f t="shared" si="347"/>
        <v>Monday</v>
      </c>
      <c r="K2790" s="10" t="str">
        <f t="shared" si="348"/>
        <v>July</v>
      </c>
      <c r="L2790">
        <f t="shared" si="349"/>
        <v>2024</v>
      </c>
      <c r="M2790" t="b">
        <f t="shared" si="350"/>
        <v>0</v>
      </c>
      <c r="N2790" t="b">
        <f t="shared" si="344"/>
        <v>1</v>
      </c>
      <c r="O2790" t="str">
        <f t="shared" si="351"/>
        <v>Large Order</v>
      </c>
      <c r="P2790" s="7">
        <f t="shared" si="345"/>
        <v>10.066000000000001</v>
      </c>
      <c r="Q2790" s="7" t="str">
        <f>VLOOKUP(D2791,Product_Lookup!$A$2:$C$27,2,FALSE)</f>
        <v>Puzzle</v>
      </c>
      <c r="R2790" s="7">
        <f t="shared" si="346"/>
        <v>2214.52</v>
      </c>
    </row>
    <row r="2791" spans="1:18" ht="21.75" customHeight="1">
      <c r="A2791" t="s">
        <v>2942</v>
      </c>
      <c r="B2791" s="6">
        <v>45474</v>
      </c>
      <c r="C2791" t="s">
        <v>34</v>
      </c>
      <c r="D2791" t="s">
        <v>62</v>
      </c>
      <c r="E2791" t="s">
        <v>22</v>
      </c>
      <c r="F2791" t="s">
        <v>12</v>
      </c>
      <c r="G2791" t="s">
        <v>32</v>
      </c>
      <c r="H2791">
        <v>14</v>
      </c>
      <c r="I2791" t="str">
        <f>VLOOKUP(D2791,Product_Lookup!$A$2:$C$27,3,FALSE)</f>
        <v>$46.19</v>
      </c>
      <c r="J2791" t="str">
        <f t="shared" si="347"/>
        <v>Monday</v>
      </c>
      <c r="K2791" s="10" t="str">
        <f t="shared" si="348"/>
        <v>July</v>
      </c>
      <c r="L2791">
        <f t="shared" si="349"/>
        <v>2024</v>
      </c>
      <c r="M2791" t="b">
        <f t="shared" si="350"/>
        <v>0</v>
      </c>
      <c r="N2791" t="b">
        <f t="shared" si="344"/>
        <v>0</v>
      </c>
      <c r="O2791" t="str">
        <f t="shared" si="351"/>
        <v>Large Order</v>
      </c>
      <c r="P2791" s="7">
        <f t="shared" si="345"/>
        <v>2.3094999999999999</v>
      </c>
      <c r="Q2791" s="7" t="str">
        <f>VLOOKUP(D2792,Product_Lookup!$A$2:$C$27,2,FALSE)</f>
        <v>Notebook</v>
      </c>
      <c r="R2791" s="7">
        <f t="shared" si="346"/>
        <v>646.66</v>
      </c>
    </row>
    <row r="2792" spans="1:18" ht="21.75" customHeight="1">
      <c r="A2792" t="s">
        <v>2943</v>
      </c>
      <c r="B2792" s="6">
        <v>45549</v>
      </c>
      <c r="C2792" t="s">
        <v>108</v>
      </c>
      <c r="D2792" t="s">
        <v>160</v>
      </c>
      <c r="E2792" t="s">
        <v>11</v>
      </c>
      <c r="F2792" t="s">
        <v>12</v>
      </c>
      <c r="G2792" t="s">
        <v>36</v>
      </c>
      <c r="H2792">
        <v>13</v>
      </c>
      <c r="I2792" t="str">
        <f>VLOOKUP(D2792,Product_Lookup!$A$2:$C$27,3,FALSE)</f>
        <v>$149.27</v>
      </c>
      <c r="J2792" t="str">
        <f t="shared" si="347"/>
        <v>Saturday</v>
      </c>
      <c r="K2792" s="10" t="str">
        <f t="shared" si="348"/>
        <v>September</v>
      </c>
      <c r="L2792">
        <f t="shared" si="349"/>
        <v>2024</v>
      </c>
      <c r="M2792" t="b">
        <f t="shared" si="350"/>
        <v>1</v>
      </c>
      <c r="N2792" t="b">
        <f t="shared" si="344"/>
        <v>1</v>
      </c>
      <c r="O2792" t="str">
        <f t="shared" si="351"/>
        <v>Large Order</v>
      </c>
      <c r="P2792" s="7">
        <f t="shared" si="345"/>
        <v>7.4635000000000007</v>
      </c>
      <c r="Q2792" s="7" t="str">
        <f>VLOOKUP(D2793,Product_Lookup!$A$2:$C$27,2,FALSE)</f>
        <v>T-Shirt</v>
      </c>
      <c r="R2792" s="7">
        <f t="shared" si="346"/>
        <v>1940.5100000000002</v>
      </c>
    </row>
    <row r="2793" spans="1:18" ht="21.75" customHeight="1">
      <c r="A2793" t="s">
        <v>2944</v>
      </c>
      <c r="B2793" s="6">
        <v>45311</v>
      </c>
      <c r="C2793" t="s">
        <v>61</v>
      </c>
      <c r="D2793" t="s">
        <v>45</v>
      </c>
      <c r="E2793" t="s">
        <v>11</v>
      </c>
      <c r="F2793" t="s">
        <v>27</v>
      </c>
      <c r="G2793" t="s">
        <v>13</v>
      </c>
      <c r="H2793">
        <v>3</v>
      </c>
      <c r="I2793" t="str">
        <f>VLOOKUP(D2793,Product_Lookup!$A$2:$C$27,3,FALSE)</f>
        <v>$107.34</v>
      </c>
      <c r="J2793" t="str">
        <f t="shared" si="347"/>
        <v>Saturday</v>
      </c>
      <c r="K2793" s="10" t="str">
        <f t="shared" si="348"/>
        <v>January</v>
      </c>
      <c r="L2793">
        <f t="shared" si="349"/>
        <v>2024</v>
      </c>
      <c r="M2793" t="b">
        <f t="shared" si="350"/>
        <v>1</v>
      </c>
      <c r="N2793" t="b">
        <f t="shared" si="344"/>
        <v>0</v>
      </c>
      <c r="O2793" t="str">
        <f t="shared" si="351"/>
        <v>Standard order</v>
      </c>
      <c r="P2793" s="7">
        <f t="shared" si="345"/>
        <v>5.3670000000000009</v>
      </c>
      <c r="Q2793" s="7" t="str">
        <f>VLOOKUP(D2794,Product_Lookup!$A$2:$C$27,2,FALSE)</f>
        <v>Board Game</v>
      </c>
      <c r="R2793" s="7">
        <f t="shared" si="346"/>
        <v>322.02</v>
      </c>
    </row>
    <row r="2794" spans="1:18" ht="21.75" customHeight="1">
      <c r="A2794" t="s">
        <v>2945</v>
      </c>
      <c r="B2794" s="6">
        <v>45410</v>
      </c>
      <c r="C2794" t="s">
        <v>133</v>
      </c>
      <c r="D2794" t="s">
        <v>41</v>
      </c>
      <c r="E2794" t="s">
        <v>22</v>
      </c>
      <c r="F2794" t="s">
        <v>56</v>
      </c>
      <c r="G2794" t="s">
        <v>28</v>
      </c>
      <c r="H2794">
        <v>17</v>
      </c>
      <c r="I2794" t="str">
        <f>VLOOKUP(D2794,Product_Lookup!$A$2:$C$27,3,FALSE)</f>
        <v>$86.6</v>
      </c>
      <c r="J2794" t="str">
        <f t="shared" si="347"/>
        <v>Sunday</v>
      </c>
      <c r="K2794" s="10" t="str">
        <f t="shared" si="348"/>
        <v>April</v>
      </c>
      <c r="L2794">
        <f t="shared" si="349"/>
        <v>2024</v>
      </c>
      <c r="M2794" t="b">
        <f t="shared" si="350"/>
        <v>1</v>
      </c>
      <c r="N2794" t="b">
        <f t="shared" si="344"/>
        <v>1</v>
      </c>
      <c r="O2794" t="str">
        <f t="shared" si="351"/>
        <v>Large Order</v>
      </c>
      <c r="P2794" s="7">
        <f t="shared" si="345"/>
        <v>4.33</v>
      </c>
      <c r="Q2794" s="7" t="str">
        <f>VLOOKUP(D2795,Product_Lookup!$A$2:$C$27,2,FALSE)</f>
        <v>Notebook</v>
      </c>
      <c r="R2794" s="7">
        <f t="shared" si="346"/>
        <v>1472.1999999999998</v>
      </c>
    </row>
    <row r="2795" spans="1:18" ht="21.75" customHeight="1">
      <c r="A2795" t="s">
        <v>2946</v>
      </c>
      <c r="B2795" s="6">
        <v>45603</v>
      </c>
      <c r="C2795" t="s">
        <v>350</v>
      </c>
      <c r="D2795" t="s">
        <v>160</v>
      </c>
      <c r="E2795" t="s">
        <v>17</v>
      </c>
      <c r="F2795" t="s">
        <v>27</v>
      </c>
      <c r="G2795" t="s">
        <v>28</v>
      </c>
      <c r="H2795">
        <v>11</v>
      </c>
      <c r="I2795" t="str">
        <f>VLOOKUP(D2795,Product_Lookup!$A$2:$C$27,3,FALSE)</f>
        <v>$149.27</v>
      </c>
      <c r="J2795" t="str">
        <f t="shared" si="347"/>
        <v>Thursday</v>
      </c>
      <c r="K2795" s="10" t="str">
        <f t="shared" si="348"/>
        <v>November</v>
      </c>
      <c r="L2795">
        <f t="shared" si="349"/>
        <v>2024</v>
      </c>
      <c r="M2795" t="b">
        <f t="shared" si="350"/>
        <v>0</v>
      </c>
      <c r="N2795" t="b">
        <f t="shared" si="344"/>
        <v>1</v>
      </c>
      <c r="O2795" t="str">
        <f t="shared" si="351"/>
        <v>Large Order</v>
      </c>
      <c r="P2795" s="7">
        <f t="shared" si="345"/>
        <v>7.4635000000000007</v>
      </c>
      <c r="Q2795" s="7" t="str">
        <f>VLOOKUP(D2796,Product_Lookup!$A$2:$C$27,2,FALSE)</f>
        <v>Smartphone</v>
      </c>
      <c r="R2795" s="7">
        <f t="shared" si="346"/>
        <v>1641.97</v>
      </c>
    </row>
    <row r="2796" spans="1:18" ht="21.75" customHeight="1">
      <c r="A2796" t="s">
        <v>2947</v>
      </c>
      <c r="B2796" s="6">
        <v>45611</v>
      </c>
      <c r="C2796" t="s">
        <v>348</v>
      </c>
      <c r="D2796" t="s">
        <v>79</v>
      </c>
      <c r="E2796" t="s">
        <v>22</v>
      </c>
      <c r="F2796" t="s">
        <v>27</v>
      </c>
      <c r="G2796" t="s">
        <v>28</v>
      </c>
      <c r="H2796">
        <v>7</v>
      </c>
      <c r="I2796" t="str">
        <f>VLOOKUP(D2796,Product_Lookup!$A$2:$C$27,3,FALSE)</f>
        <v>$216.22</v>
      </c>
      <c r="J2796" t="str">
        <f t="shared" si="347"/>
        <v>Friday</v>
      </c>
      <c r="K2796" s="10" t="str">
        <f t="shared" si="348"/>
        <v>November</v>
      </c>
      <c r="L2796">
        <f t="shared" si="349"/>
        <v>2024</v>
      </c>
      <c r="M2796" t="b">
        <f t="shared" si="350"/>
        <v>0</v>
      </c>
      <c r="N2796" t="b">
        <f t="shared" si="344"/>
        <v>1</v>
      </c>
      <c r="O2796" t="str">
        <f t="shared" si="351"/>
        <v>Large Order</v>
      </c>
      <c r="P2796" s="7">
        <f t="shared" si="345"/>
        <v>10.811</v>
      </c>
      <c r="Q2796" s="7" t="str">
        <f>VLOOKUP(D2797,Product_Lookup!$A$2:$C$27,2,FALSE)</f>
        <v>Headphones</v>
      </c>
      <c r="R2796" s="7">
        <f t="shared" si="346"/>
        <v>1513.54</v>
      </c>
    </row>
    <row r="2797" spans="1:18" ht="21.75" customHeight="1">
      <c r="A2797" t="s">
        <v>2948</v>
      </c>
      <c r="B2797" s="6">
        <v>45602</v>
      </c>
      <c r="C2797" t="s">
        <v>208</v>
      </c>
      <c r="D2797" t="s">
        <v>16</v>
      </c>
      <c r="E2797" t="s">
        <v>22</v>
      </c>
      <c r="F2797" t="s">
        <v>27</v>
      </c>
      <c r="G2797" t="s">
        <v>13</v>
      </c>
      <c r="H2797">
        <v>1</v>
      </c>
      <c r="I2797" t="str">
        <f>VLOOKUP(D2797,Product_Lookup!$A$2:$C$27,3,FALSE)</f>
        <v>$178.83</v>
      </c>
      <c r="J2797" t="str">
        <f t="shared" si="347"/>
        <v>Wednesday</v>
      </c>
      <c r="K2797" s="10" t="str">
        <f t="shared" si="348"/>
        <v>November</v>
      </c>
      <c r="L2797">
        <f t="shared" si="349"/>
        <v>2024</v>
      </c>
      <c r="M2797" t="b">
        <f t="shared" si="350"/>
        <v>0</v>
      </c>
      <c r="N2797" t="b">
        <f t="shared" si="344"/>
        <v>0</v>
      </c>
      <c r="O2797" t="str">
        <f t="shared" si="351"/>
        <v>Standard order</v>
      </c>
      <c r="P2797" s="7">
        <f t="shared" si="345"/>
        <v>8.9415000000000013</v>
      </c>
      <c r="Q2797" s="7" t="str">
        <f>VLOOKUP(D2798,Product_Lookup!$A$2:$C$27,2,FALSE)</f>
        <v>Tablet</v>
      </c>
      <c r="R2797" s="7">
        <f t="shared" si="346"/>
        <v>178.83</v>
      </c>
    </row>
    <row r="2798" spans="1:18" ht="21.75" customHeight="1">
      <c r="A2798" t="s">
        <v>2949</v>
      </c>
      <c r="B2798" s="6">
        <v>45450</v>
      </c>
      <c r="C2798" t="s">
        <v>378</v>
      </c>
      <c r="D2798" t="s">
        <v>10</v>
      </c>
      <c r="E2798" t="s">
        <v>17</v>
      </c>
      <c r="F2798" t="s">
        <v>12</v>
      </c>
      <c r="G2798" t="s">
        <v>23</v>
      </c>
      <c r="H2798">
        <v>11</v>
      </c>
      <c r="I2798" t="str">
        <f>VLOOKUP(D2798,Product_Lookup!$A$2:$C$27,3,FALSE)</f>
        <v>$146.06</v>
      </c>
      <c r="J2798" t="str">
        <f t="shared" si="347"/>
        <v>Friday</v>
      </c>
      <c r="K2798" s="10" t="str">
        <f t="shared" si="348"/>
        <v>June</v>
      </c>
      <c r="L2798">
        <f t="shared" si="349"/>
        <v>2024</v>
      </c>
      <c r="M2798" t="b">
        <f t="shared" si="350"/>
        <v>0</v>
      </c>
      <c r="N2798" t="b">
        <f t="shared" si="344"/>
        <v>1</v>
      </c>
      <c r="O2798" t="str">
        <f t="shared" si="351"/>
        <v>Large Order</v>
      </c>
      <c r="P2798" s="7">
        <f t="shared" si="345"/>
        <v>7.3030000000000008</v>
      </c>
      <c r="Q2798" s="7" t="str">
        <f>VLOOKUP(D2799,Product_Lookup!$A$2:$C$27,2,FALSE)</f>
        <v>Tablet</v>
      </c>
      <c r="R2798" s="7">
        <f t="shared" si="346"/>
        <v>1606.66</v>
      </c>
    </row>
    <row r="2799" spans="1:18" ht="21.75" customHeight="1">
      <c r="A2799" t="s">
        <v>2950</v>
      </c>
      <c r="B2799" s="6">
        <v>45443</v>
      </c>
      <c r="C2799" t="s">
        <v>111</v>
      </c>
      <c r="D2799" t="s">
        <v>10</v>
      </c>
      <c r="E2799" t="s">
        <v>17</v>
      </c>
      <c r="F2799" t="s">
        <v>306</v>
      </c>
      <c r="G2799" t="s">
        <v>32</v>
      </c>
      <c r="H2799">
        <v>12</v>
      </c>
      <c r="I2799" t="str">
        <f>VLOOKUP(D2799,Product_Lookup!$A$2:$C$27,3,FALSE)</f>
        <v>$146.06</v>
      </c>
      <c r="J2799" t="str">
        <f t="shared" si="347"/>
        <v>Friday</v>
      </c>
      <c r="K2799" s="10" t="str">
        <f t="shared" si="348"/>
        <v>May</v>
      </c>
      <c r="L2799">
        <f t="shared" si="349"/>
        <v>2024</v>
      </c>
      <c r="M2799" t="b">
        <f t="shared" si="350"/>
        <v>0</v>
      </c>
      <c r="N2799" t="b">
        <f t="shared" si="344"/>
        <v>1</v>
      </c>
      <c r="O2799" t="str">
        <f t="shared" si="351"/>
        <v>Large Order</v>
      </c>
      <c r="P2799" s="7">
        <f t="shared" si="345"/>
        <v>7.3030000000000008</v>
      </c>
      <c r="Q2799" s="7" t="str">
        <f>VLOOKUP(D2800,Product_Lookup!$A$2:$C$27,2,FALSE)</f>
        <v>Doll</v>
      </c>
      <c r="R2799" s="7">
        <f t="shared" si="346"/>
        <v>1752.72</v>
      </c>
    </row>
    <row r="2800" spans="1:18" ht="21.75" customHeight="1">
      <c r="A2800" t="s">
        <v>2951</v>
      </c>
      <c r="B2800" s="6">
        <v>45383</v>
      </c>
      <c r="C2800" t="s">
        <v>369</v>
      </c>
      <c r="D2800" t="s">
        <v>119</v>
      </c>
      <c r="E2800" t="s">
        <v>17</v>
      </c>
      <c r="F2800" t="s">
        <v>42</v>
      </c>
      <c r="G2800" t="s">
        <v>23</v>
      </c>
      <c r="H2800">
        <v>9</v>
      </c>
      <c r="I2800" t="str">
        <f>VLOOKUP(D2800,Product_Lookup!$A$2:$C$27,3,FALSE)</f>
        <v>$32.94</v>
      </c>
      <c r="J2800" t="str">
        <f t="shared" si="347"/>
        <v>Monday</v>
      </c>
      <c r="K2800" s="10" t="str">
        <f t="shared" si="348"/>
        <v>April</v>
      </c>
      <c r="L2800">
        <f t="shared" si="349"/>
        <v>2024</v>
      </c>
      <c r="M2800" t="b">
        <f t="shared" si="350"/>
        <v>0</v>
      </c>
      <c r="N2800" t="b">
        <f t="shared" si="344"/>
        <v>0</v>
      </c>
      <c r="O2800" t="str">
        <f t="shared" si="351"/>
        <v>Standard order</v>
      </c>
      <c r="P2800" s="7">
        <f t="shared" si="345"/>
        <v>1.647</v>
      </c>
      <c r="Q2800" s="7" t="str">
        <f>VLOOKUP(D2801,Product_Lookup!$A$2:$C$27,2,FALSE)</f>
        <v>Headphones</v>
      </c>
      <c r="R2800" s="7">
        <f t="shared" si="346"/>
        <v>296.45999999999998</v>
      </c>
    </row>
    <row r="2801" spans="1:18" ht="21.75" customHeight="1">
      <c r="A2801" t="s">
        <v>2952</v>
      </c>
      <c r="B2801" s="6">
        <v>45518</v>
      </c>
      <c r="C2801" t="s">
        <v>350</v>
      </c>
      <c r="D2801" t="s">
        <v>16</v>
      </c>
      <c r="E2801" t="s">
        <v>11</v>
      </c>
      <c r="F2801" t="s">
        <v>306</v>
      </c>
      <c r="G2801" t="s">
        <v>23</v>
      </c>
      <c r="H2801">
        <v>2</v>
      </c>
      <c r="I2801" t="str">
        <f>VLOOKUP(D2801,Product_Lookup!$A$2:$C$27,3,FALSE)</f>
        <v>$178.83</v>
      </c>
      <c r="J2801" t="str">
        <f t="shared" si="347"/>
        <v>Wednesday</v>
      </c>
      <c r="K2801" s="10" t="str">
        <f t="shared" si="348"/>
        <v>August</v>
      </c>
      <c r="L2801">
        <f t="shared" si="349"/>
        <v>2024</v>
      </c>
      <c r="M2801" t="b">
        <f t="shared" si="350"/>
        <v>0</v>
      </c>
      <c r="N2801" t="b">
        <f t="shared" si="344"/>
        <v>0</v>
      </c>
      <c r="O2801" t="str">
        <f t="shared" si="351"/>
        <v>Standard order</v>
      </c>
      <c r="P2801" s="7">
        <f t="shared" si="345"/>
        <v>8.9415000000000013</v>
      </c>
      <c r="Q2801" s="7" t="str">
        <f>VLOOKUP(D2802,Product_Lookup!$A$2:$C$27,2,FALSE)</f>
        <v>Vacuum</v>
      </c>
      <c r="R2801" s="7">
        <f t="shared" si="346"/>
        <v>357.66</v>
      </c>
    </row>
    <row r="2802" spans="1:18" ht="21.75" customHeight="1">
      <c r="A2802" t="s">
        <v>2953</v>
      </c>
      <c r="B2802" s="6">
        <v>45438</v>
      </c>
      <c r="C2802" t="s">
        <v>341</v>
      </c>
      <c r="D2802" t="s">
        <v>87</v>
      </c>
      <c r="E2802" t="s">
        <v>22</v>
      </c>
      <c r="F2802" t="s">
        <v>56</v>
      </c>
      <c r="G2802" t="s">
        <v>23</v>
      </c>
      <c r="H2802">
        <v>12</v>
      </c>
      <c r="I2802" t="str">
        <f>VLOOKUP(D2802,Product_Lookup!$A$2:$C$27,3,FALSE)</f>
        <v>$26.59</v>
      </c>
      <c r="J2802" t="str">
        <f t="shared" si="347"/>
        <v>Sunday</v>
      </c>
      <c r="K2802" s="10" t="str">
        <f t="shared" si="348"/>
        <v>May</v>
      </c>
      <c r="L2802">
        <f t="shared" si="349"/>
        <v>2024</v>
      </c>
      <c r="M2802" t="b">
        <f t="shared" si="350"/>
        <v>1</v>
      </c>
      <c r="N2802" t="b">
        <f t="shared" si="344"/>
        <v>0</v>
      </c>
      <c r="O2802" t="str">
        <f t="shared" si="351"/>
        <v>Standard order</v>
      </c>
      <c r="P2802" s="7">
        <f t="shared" si="345"/>
        <v>1.3295000000000001</v>
      </c>
      <c r="Q2802" s="7" t="str">
        <f>VLOOKUP(D2803,Product_Lookup!$A$2:$C$27,2,FALSE)</f>
        <v>Toaster</v>
      </c>
      <c r="R2802" s="7">
        <f t="shared" si="346"/>
        <v>319.08</v>
      </c>
    </row>
    <row r="2803" spans="1:18" ht="21.75" customHeight="1">
      <c r="A2803" t="s">
        <v>2954</v>
      </c>
      <c r="B2803" s="6">
        <v>45611</v>
      </c>
      <c r="C2803" t="s">
        <v>38</v>
      </c>
      <c r="D2803" t="s">
        <v>48</v>
      </c>
      <c r="E2803" t="s">
        <v>11</v>
      </c>
      <c r="F2803" t="s">
        <v>27</v>
      </c>
      <c r="G2803" t="s">
        <v>36</v>
      </c>
      <c r="H2803">
        <v>15</v>
      </c>
      <c r="I2803" t="str">
        <f>VLOOKUP(D2803,Product_Lookup!$A$2:$C$27,3,FALSE)</f>
        <v>$208.85</v>
      </c>
      <c r="J2803" t="str">
        <f t="shared" si="347"/>
        <v>Friday</v>
      </c>
      <c r="K2803" s="10" t="str">
        <f t="shared" si="348"/>
        <v>November</v>
      </c>
      <c r="L2803">
        <f t="shared" si="349"/>
        <v>2024</v>
      </c>
      <c r="M2803" t="b">
        <f t="shared" si="350"/>
        <v>0</v>
      </c>
      <c r="N2803" t="b">
        <f t="shared" si="344"/>
        <v>1</v>
      </c>
      <c r="O2803" t="str">
        <f t="shared" si="351"/>
        <v>Large Order</v>
      </c>
      <c r="P2803" s="7">
        <f t="shared" si="345"/>
        <v>10.442500000000001</v>
      </c>
      <c r="Q2803" s="7" t="str">
        <f>VLOOKUP(D2804,Product_Lookup!$A$2:$C$27,2,FALSE)</f>
        <v>Paper Shredder</v>
      </c>
      <c r="R2803" s="7">
        <f t="shared" si="346"/>
        <v>3132.75</v>
      </c>
    </row>
    <row r="2804" spans="1:18" ht="21.75" customHeight="1">
      <c r="A2804" t="s">
        <v>2955</v>
      </c>
      <c r="B2804" s="6">
        <v>45641</v>
      </c>
      <c r="C2804" t="s">
        <v>116</v>
      </c>
      <c r="D2804" t="s">
        <v>109</v>
      </c>
      <c r="E2804" t="s">
        <v>22</v>
      </c>
      <c r="F2804" t="s">
        <v>12</v>
      </c>
      <c r="G2804" t="s">
        <v>28</v>
      </c>
      <c r="H2804">
        <v>18</v>
      </c>
      <c r="I2804" t="str">
        <f>VLOOKUP(D2804,Product_Lookup!$A$2:$C$27,3,FALSE)</f>
        <v>$81.02</v>
      </c>
      <c r="J2804" t="str">
        <f t="shared" si="347"/>
        <v>Sunday</v>
      </c>
      <c r="K2804" s="10" t="str">
        <f t="shared" si="348"/>
        <v>December</v>
      </c>
      <c r="L2804">
        <f t="shared" si="349"/>
        <v>2024</v>
      </c>
      <c r="M2804" t="b">
        <f t="shared" si="350"/>
        <v>1</v>
      </c>
      <c r="N2804" t="b">
        <f t="shared" si="344"/>
        <v>1</v>
      </c>
      <c r="O2804" t="str">
        <f t="shared" si="351"/>
        <v>Large Order</v>
      </c>
      <c r="P2804" s="7">
        <f t="shared" si="345"/>
        <v>4.0510000000000002</v>
      </c>
      <c r="Q2804" s="7" t="str">
        <f>VLOOKUP(D2805,Product_Lookup!$A$2:$C$27,2,FALSE)</f>
        <v>Coffee Maker</v>
      </c>
      <c r="R2804" s="7">
        <f t="shared" si="346"/>
        <v>1458.36</v>
      </c>
    </row>
    <row r="2805" spans="1:18" ht="21.75" customHeight="1">
      <c r="A2805" t="s">
        <v>2956</v>
      </c>
      <c r="B2805" s="6">
        <v>45345</v>
      </c>
      <c r="C2805" t="s">
        <v>61</v>
      </c>
      <c r="D2805" t="s">
        <v>31</v>
      </c>
      <c r="E2805" t="s">
        <v>11</v>
      </c>
      <c r="F2805" t="s">
        <v>306</v>
      </c>
      <c r="G2805" t="s">
        <v>23</v>
      </c>
      <c r="H2805">
        <v>3</v>
      </c>
      <c r="I2805" t="str">
        <f>VLOOKUP(D2805,Product_Lookup!$A$2:$C$27,3,FALSE)</f>
        <v>$230.34</v>
      </c>
      <c r="J2805" t="str">
        <f t="shared" si="347"/>
        <v>Friday</v>
      </c>
      <c r="K2805" s="10" t="str">
        <f t="shared" si="348"/>
        <v>February</v>
      </c>
      <c r="L2805">
        <f t="shared" si="349"/>
        <v>2024</v>
      </c>
      <c r="M2805" t="b">
        <f t="shared" si="350"/>
        <v>0</v>
      </c>
      <c r="N2805" t="b">
        <f t="shared" si="344"/>
        <v>0</v>
      </c>
      <c r="O2805" t="str">
        <f t="shared" si="351"/>
        <v>Large Order</v>
      </c>
      <c r="P2805" s="7">
        <f t="shared" si="345"/>
        <v>11.517000000000001</v>
      </c>
      <c r="Q2805" s="7" t="str">
        <f>VLOOKUP(D2806,Product_Lookup!$A$2:$C$27,2,FALSE)</f>
        <v>Tablet</v>
      </c>
      <c r="R2805" s="7">
        <f t="shared" si="346"/>
        <v>691.02</v>
      </c>
    </row>
    <row r="2806" spans="1:18" ht="21.75" customHeight="1">
      <c r="A2806" t="s">
        <v>2957</v>
      </c>
      <c r="B2806" s="6">
        <v>45528</v>
      </c>
      <c r="C2806" t="s">
        <v>317</v>
      </c>
      <c r="D2806" t="s">
        <v>10</v>
      </c>
      <c r="E2806" t="s">
        <v>17</v>
      </c>
      <c r="F2806" t="s">
        <v>27</v>
      </c>
      <c r="G2806" t="s">
        <v>23</v>
      </c>
      <c r="H2806">
        <v>18</v>
      </c>
      <c r="I2806" t="str">
        <f>VLOOKUP(D2806,Product_Lookup!$A$2:$C$27,3,FALSE)</f>
        <v>$146.06</v>
      </c>
      <c r="J2806" t="str">
        <f t="shared" si="347"/>
        <v>Saturday</v>
      </c>
      <c r="K2806" s="10" t="str">
        <f t="shared" si="348"/>
        <v>August</v>
      </c>
      <c r="L2806">
        <f t="shared" si="349"/>
        <v>2024</v>
      </c>
      <c r="M2806" t="b">
        <f t="shared" si="350"/>
        <v>1</v>
      </c>
      <c r="N2806" t="b">
        <f t="shared" si="344"/>
        <v>1</v>
      </c>
      <c r="O2806" t="str">
        <f t="shared" si="351"/>
        <v>Large Order</v>
      </c>
      <c r="P2806" s="7">
        <f t="shared" si="345"/>
        <v>7.3030000000000008</v>
      </c>
      <c r="Q2806" s="7" t="str">
        <f>VLOOKUP(D2807,Product_Lookup!$A$2:$C$27,2,FALSE)</f>
        <v>Tablet</v>
      </c>
      <c r="R2806" s="7">
        <f t="shared" si="346"/>
        <v>2629.08</v>
      </c>
    </row>
    <row r="2807" spans="1:18" ht="21.75" customHeight="1">
      <c r="A2807" t="s">
        <v>2958</v>
      </c>
      <c r="B2807" s="6">
        <v>45530</v>
      </c>
      <c r="C2807" t="s">
        <v>15</v>
      </c>
      <c r="D2807" t="s">
        <v>10</v>
      </c>
      <c r="E2807" t="s">
        <v>11</v>
      </c>
      <c r="F2807" t="s">
        <v>12</v>
      </c>
      <c r="G2807" t="s">
        <v>23</v>
      </c>
      <c r="H2807">
        <v>14</v>
      </c>
      <c r="I2807" t="str">
        <f>VLOOKUP(D2807,Product_Lookup!$A$2:$C$27,3,FALSE)</f>
        <v>$146.06</v>
      </c>
      <c r="J2807" t="str">
        <f t="shared" si="347"/>
        <v>Monday</v>
      </c>
      <c r="K2807" s="10" t="str">
        <f t="shared" si="348"/>
        <v>August</v>
      </c>
      <c r="L2807">
        <f t="shared" si="349"/>
        <v>2024</v>
      </c>
      <c r="M2807" t="b">
        <f t="shared" si="350"/>
        <v>0</v>
      </c>
      <c r="N2807" t="b">
        <f t="shared" si="344"/>
        <v>1</v>
      </c>
      <c r="O2807" t="str">
        <f t="shared" si="351"/>
        <v>Large Order</v>
      </c>
      <c r="P2807" s="7">
        <f t="shared" si="345"/>
        <v>7.3030000000000008</v>
      </c>
      <c r="Q2807" s="7" t="str">
        <f>VLOOKUP(D2808,Product_Lookup!$A$2:$C$27,2,FALSE)</f>
        <v>Blender</v>
      </c>
      <c r="R2807" s="7">
        <f t="shared" si="346"/>
        <v>2044.8400000000001</v>
      </c>
    </row>
    <row r="2808" spans="1:18" ht="21.75" customHeight="1">
      <c r="A2808" t="s">
        <v>2959</v>
      </c>
      <c r="B2808" s="6">
        <v>45460</v>
      </c>
      <c r="C2808" t="s">
        <v>58</v>
      </c>
      <c r="D2808" t="s">
        <v>72</v>
      </c>
      <c r="E2808" t="s">
        <v>17</v>
      </c>
      <c r="F2808" t="s">
        <v>306</v>
      </c>
      <c r="G2808" t="s">
        <v>23</v>
      </c>
      <c r="H2808">
        <v>7</v>
      </c>
      <c r="I2808" t="str">
        <f>VLOOKUP(D2808,Product_Lookup!$A$2:$C$27,3,FALSE)</f>
        <v>$156.44</v>
      </c>
      <c r="J2808" t="str">
        <f t="shared" si="347"/>
        <v>Monday</v>
      </c>
      <c r="K2808" s="10" t="str">
        <f t="shared" si="348"/>
        <v>June</v>
      </c>
      <c r="L2808">
        <f t="shared" si="349"/>
        <v>2024</v>
      </c>
      <c r="M2808" t="b">
        <f t="shared" si="350"/>
        <v>0</v>
      </c>
      <c r="N2808" t="b">
        <f t="shared" si="344"/>
        <v>1</v>
      </c>
      <c r="O2808" t="str">
        <f t="shared" si="351"/>
        <v>Large Order</v>
      </c>
      <c r="P2808" s="7">
        <f t="shared" si="345"/>
        <v>7.8220000000000001</v>
      </c>
      <c r="Q2808" s="7" t="str">
        <f>VLOOKUP(D2809,Product_Lookup!$A$2:$C$27,2,FALSE)</f>
        <v>Sweater</v>
      </c>
      <c r="R2808" s="7">
        <f t="shared" si="346"/>
        <v>1095.08</v>
      </c>
    </row>
    <row r="2809" spans="1:18" ht="21.75" customHeight="1">
      <c r="A2809" t="s">
        <v>2960</v>
      </c>
      <c r="B2809" s="6">
        <v>45535</v>
      </c>
      <c r="C2809" t="s">
        <v>40</v>
      </c>
      <c r="D2809" t="s">
        <v>26</v>
      </c>
      <c r="E2809" t="s">
        <v>17</v>
      </c>
      <c r="F2809" t="s">
        <v>12</v>
      </c>
      <c r="G2809" t="s">
        <v>36</v>
      </c>
      <c r="H2809">
        <v>5</v>
      </c>
      <c r="I2809" t="str">
        <f>VLOOKUP(D2809,Product_Lookup!$A$2:$C$27,3,FALSE)</f>
        <v>$84.57</v>
      </c>
      <c r="J2809" t="str">
        <f t="shared" si="347"/>
        <v>Saturday</v>
      </c>
      <c r="K2809" s="10" t="str">
        <f t="shared" si="348"/>
        <v>August</v>
      </c>
      <c r="L2809">
        <f t="shared" si="349"/>
        <v>2024</v>
      </c>
      <c r="M2809" t="b">
        <f t="shared" si="350"/>
        <v>1</v>
      </c>
      <c r="N2809" t="b">
        <f t="shared" si="344"/>
        <v>0</v>
      </c>
      <c r="O2809" t="str">
        <f t="shared" si="351"/>
        <v>Standard order</v>
      </c>
      <c r="P2809" s="7">
        <f t="shared" si="345"/>
        <v>4.2284999999999995</v>
      </c>
      <c r="Q2809" s="7" t="str">
        <f>VLOOKUP(D2810,Product_Lookup!$A$2:$C$27,2,FALSE)</f>
        <v>Jeans</v>
      </c>
      <c r="R2809" s="7">
        <f t="shared" si="346"/>
        <v>422.84999999999997</v>
      </c>
    </row>
    <row r="2810" spans="1:18" ht="21.75" customHeight="1">
      <c r="A2810" t="s">
        <v>2961</v>
      </c>
      <c r="B2810" s="6">
        <v>45366</v>
      </c>
      <c r="C2810" t="s">
        <v>541</v>
      </c>
      <c r="D2810" t="s">
        <v>65</v>
      </c>
      <c r="E2810" t="s">
        <v>17</v>
      </c>
      <c r="F2810" t="s">
        <v>306</v>
      </c>
      <c r="G2810" t="s">
        <v>13</v>
      </c>
      <c r="H2810">
        <v>20</v>
      </c>
      <c r="I2810" t="str">
        <f>VLOOKUP(D2810,Product_Lookup!$A$2:$C$27,3,FALSE)</f>
        <v>$33.22</v>
      </c>
      <c r="J2810" t="str">
        <f t="shared" si="347"/>
        <v>Friday</v>
      </c>
      <c r="K2810" s="10" t="str">
        <f t="shared" si="348"/>
        <v>March</v>
      </c>
      <c r="L2810">
        <f t="shared" si="349"/>
        <v>2024</v>
      </c>
      <c r="M2810" t="b">
        <f t="shared" si="350"/>
        <v>0</v>
      </c>
      <c r="N2810" t="b">
        <f t="shared" si="344"/>
        <v>0</v>
      </c>
      <c r="O2810" t="str">
        <f t="shared" si="351"/>
        <v>Large Order</v>
      </c>
      <c r="P2810" s="7">
        <f t="shared" si="345"/>
        <v>1.661</v>
      </c>
      <c r="Q2810" s="7" t="str">
        <f>VLOOKUP(D2811,Product_Lookup!$A$2:$C$27,2,FALSE)</f>
        <v>Vacuum</v>
      </c>
      <c r="R2810" s="7">
        <f t="shared" si="346"/>
        <v>664.4</v>
      </c>
    </row>
    <row r="2811" spans="1:18" ht="21.75" customHeight="1">
      <c r="A2811" t="s">
        <v>2962</v>
      </c>
      <c r="B2811" s="6">
        <v>45323</v>
      </c>
      <c r="C2811" t="s">
        <v>83</v>
      </c>
      <c r="D2811" t="s">
        <v>87</v>
      </c>
      <c r="E2811" t="s">
        <v>17</v>
      </c>
      <c r="F2811" t="s">
        <v>56</v>
      </c>
      <c r="G2811" t="s">
        <v>13</v>
      </c>
      <c r="H2811">
        <v>7</v>
      </c>
      <c r="I2811" t="str">
        <f>VLOOKUP(D2811,Product_Lookup!$A$2:$C$27,3,FALSE)</f>
        <v>$26.59</v>
      </c>
      <c r="J2811" t="str">
        <f t="shared" si="347"/>
        <v>Thursday</v>
      </c>
      <c r="K2811" s="10" t="str">
        <f t="shared" si="348"/>
        <v>February</v>
      </c>
      <c r="L2811">
        <f t="shared" si="349"/>
        <v>2024</v>
      </c>
      <c r="M2811" t="b">
        <f t="shared" si="350"/>
        <v>0</v>
      </c>
      <c r="N2811" t="b">
        <f t="shared" si="344"/>
        <v>0</v>
      </c>
      <c r="O2811" t="str">
        <f t="shared" si="351"/>
        <v>Standard order</v>
      </c>
      <c r="P2811" s="7">
        <f t="shared" si="345"/>
        <v>1.3295000000000001</v>
      </c>
      <c r="Q2811" s="7" t="str">
        <f>VLOOKUP(D2812,Product_Lookup!$A$2:$C$27,2,FALSE)</f>
        <v>Sweater</v>
      </c>
      <c r="R2811" s="7">
        <f t="shared" si="346"/>
        <v>186.13</v>
      </c>
    </row>
    <row r="2812" spans="1:18" ht="21.75" customHeight="1">
      <c r="A2812" t="s">
        <v>2963</v>
      </c>
      <c r="B2812" s="6">
        <v>45642</v>
      </c>
      <c r="C2812" t="s">
        <v>309</v>
      </c>
      <c r="D2812" t="s">
        <v>26</v>
      </c>
      <c r="E2812" t="s">
        <v>17</v>
      </c>
      <c r="F2812" t="s">
        <v>56</v>
      </c>
      <c r="G2812" t="s">
        <v>13</v>
      </c>
      <c r="H2812">
        <v>5</v>
      </c>
      <c r="I2812" t="str">
        <f>VLOOKUP(D2812,Product_Lookup!$A$2:$C$27,3,FALSE)</f>
        <v>$84.57</v>
      </c>
      <c r="J2812" t="str">
        <f t="shared" si="347"/>
        <v>Monday</v>
      </c>
      <c r="K2812" s="10" t="str">
        <f t="shared" si="348"/>
        <v>December</v>
      </c>
      <c r="L2812">
        <f t="shared" si="349"/>
        <v>2024</v>
      </c>
      <c r="M2812" t="b">
        <f t="shared" si="350"/>
        <v>0</v>
      </c>
      <c r="N2812" t="b">
        <f t="shared" si="344"/>
        <v>0</v>
      </c>
      <c r="O2812" t="str">
        <f t="shared" si="351"/>
        <v>Standard order</v>
      </c>
      <c r="P2812" s="7">
        <f t="shared" si="345"/>
        <v>4.2284999999999995</v>
      </c>
      <c r="Q2812" s="7" t="str">
        <f>VLOOKUP(D2813,Product_Lookup!$A$2:$C$27,2,FALSE)</f>
        <v>Socks</v>
      </c>
      <c r="R2812" s="7">
        <f t="shared" si="346"/>
        <v>422.84999999999997</v>
      </c>
    </row>
    <row r="2813" spans="1:18" ht="21.75" customHeight="1">
      <c r="A2813" t="s">
        <v>2964</v>
      </c>
      <c r="B2813" s="6">
        <v>45499</v>
      </c>
      <c r="C2813" t="s">
        <v>81</v>
      </c>
      <c r="D2813" t="s">
        <v>74</v>
      </c>
      <c r="E2813" t="s">
        <v>22</v>
      </c>
      <c r="F2813" t="s">
        <v>27</v>
      </c>
      <c r="G2813" t="s">
        <v>23</v>
      </c>
      <c r="H2813">
        <v>17</v>
      </c>
      <c r="I2813" t="str">
        <f>VLOOKUP(D2813,Product_Lookup!$A$2:$C$27,3,FALSE)</f>
        <v>$201.32</v>
      </c>
      <c r="J2813" t="str">
        <f t="shared" si="347"/>
        <v>Friday</v>
      </c>
      <c r="K2813" s="10" t="str">
        <f t="shared" si="348"/>
        <v>July</v>
      </c>
      <c r="L2813">
        <f t="shared" si="349"/>
        <v>2024</v>
      </c>
      <c r="M2813" t="b">
        <f t="shared" si="350"/>
        <v>0</v>
      </c>
      <c r="N2813" t="b">
        <f t="shared" si="344"/>
        <v>1</v>
      </c>
      <c r="O2813" t="str">
        <f t="shared" si="351"/>
        <v>Large Order</v>
      </c>
      <c r="P2813" s="7">
        <f t="shared" si="345"/>
        <v>10.066000000000001</v>
      </c>
      <c r="Q2813" s="7" t="str">
        <f>VLOOKUP(D2814,Product_Lookup!$A$2:$C$27,2,FALSE)</f>
        <v>Smartphone</v>
      </c>
      <c r="R2813" s="7">
        <f t="shared" si="346"/>
        <v>3422.44</v>
      </c>
    </row>
    <row r="2814" spans="1:18" ht="21.75" customHeight="1">
      <c r="A2814" t="s">
        <v>2965</v>
      </c>
      <c r="B2814" s="6">
        <v>45424</v>
      </c>
      <c r="C2814" t="s">
        <v>44</v>
      </c>
      <c r="D2814" t="s">
        <v>79</v>
      </c>
      <c r="E2814" t="s">
        <v>11</v>
      </c>
      <c r="F2814" t="s">
        <v>27</v>
      </c>
      <c r="G2814" t="s">
        <v>32</v>
      </c>
      <c r="H2814">
        <v>10</v>
      </c>
      <c r="I2814" t="str">
        <f>VLOOKUP(D2814,Product_Lookup!$A$2:$C$27,3,FALSE)</f>
        <v>$216.22</v>
      </c>
      <c r="J2814" t="str">
        <f t="shared" si="347"/>
        <v>Sunday</v>
      </c>
      <c r="K2814" s="10" t="str">
        <f t="shared" si="348"/>
        <v>May</v>
      </c>
      <c r="L2814">
        <f t="shared" si="349"/>
        <v>2024</v>
      </c>
      <c r="M2814" t="b">
        <f t="shared" si="350"/>
        <v>1</v>
      </c>
      <c r="N2814" t="b">
        <f t="shared" si="344"/>
        <v>1</v>
      </c>
      <c r="O2814" t="str">
        <f t="shared" si="351"/>
        <v>Large Order</v>
      </c>
      <c r="P2814" s="7">
        <f t="shared" si="345"/>
        <v>10.811</v>
      </c>
      <c r="Q2814" s="7" t="str">
        <f>VLOOKUP(D2815,Product_Lookup!$A$2:$C$27,2,FALSE)</f>
        <v>Stapler</v>
      </c>
      <c r="R2814" s="7">
        <f t="shared" si="346"/>
        <v>2162.1999999999998</v>
      </c>
    </row>
    <row r="2815" spans="1:18" ht="21.75" customHeight="1">
      <c r="A2815" t="s">
        <v>2966</v>
      </c>
      <c r="B2815" s="6">
        <v>45470</v>
      </c>
      <c r="C2815" t="s">
        <v>572</v>
      </c>
      <c r="D2815" t="s">
        <v>35</v>
      </c>
      <c r="E2815" t="s">
        <v>17</v>
      </c>
      <c r="F2815" t="s">
        <v>306</v>
      </c>
      <c r="G2815" t="s">
        <v>28</v>
      </c>
      <c r="H2815">
        <v>14</v>
      </c>
      <c r="I2815" t="str">
        <f>VLOOKUP(D2815,Product_Lookup!$A$2:$C$27,3,FALSE)</f>
        <v>$64.61</v>
      </c>
      <c r="J2815" t="str">
        <f t="shared" si="347"/>
        <v>Thursday</v>
      </c>
      <c r="K2815" s="10" t="str">
        <f t="shared" si="348"/>
        <v>June</v>
      </c>
      <c r="L2815">
        <f t="shared" si="349"/>
        <v>2024</v>
      </c>
      <c r="M2815" t="b">
        <f t="shared" si="350"/>
        <v>0</v>
      </c>
      <c r="N2815" t="b">
        <f t="shared" si="344"/>
        <v>1</v>
      </c>
      <c r="O2815" t="str">
        <f t="shared" si="351"/>
        <v>Large Order</v>
      </c>
      <c r="P2815" s="7">
        <f t="shared" si="345"/>
        <v>3.2305000000000001</v>
      </c>
      <c r="Q2815" s="7" t="str">
        <f>VLOOKUP(D2816,Product_Lookup!$A$2:$C$27,2,FALSE)</f>
        <v>Coffee Maker</v>
      </c>
      <c r="R2815" s="7">
        <f t="shared" si="346"/>
        <v>904.54</v>
      </c>
    </row>
    <row r="2816" spans="1:18" ht="21.75" customHeight="1">
      <c r="A2816" t="s">
        <v>2967</v>
      </c>
      <c r="B2816" s="6">
        <v>45646</v>
      </c>
      <c r="C2816" t="s">
        <v>314</v>
      </c>
      <c r="D2816" t="s">
        <v>31</v>
      </c>
      <c r="E2816" t="s">
        <v>11</v>
      </c>
      <c r="F2816" t="s">
        <v>306</v>
      </c>
      <c r="G2816" t="s">
        <v>36</v>
      </c>
      <c r="H2816">
        <v>7</v>
      </c>
      <c r="I2816" t="str">
        <f>VLOOKUP(D2816,Product_Lookup!$A$2:$C$27,3,FALSE)</f>
        <v>$230.34</v>
      </c>
      <c r="J2816" t="str">
        <f t="shared" si="347"/>
        <v>Friday</v>
      </c>
      <c r="K2816" s="10" t="str">
        <f t="shared" si="348"/>
        <v>December</v>
      </c>
      <c r="L2816">
        <f t="shared" si="349"/>
        <v>2024</v>
      </c>
      <c r="M2816" t="b">
        <f t="shared" si="350"/>
        <v>0</v>
      </c>
      <c r="N2816" t="b">
        <f t="shared" si="344"/>
        <v>1</v>
      </c>
      <c r="O2816" t="str">
        <f t="shared" si="351"/>
        <v>Large Order</v>
      </c>
      <c r="P2816" s="7">
        <f t="shared" si="345"/>
        <v>11.517000000000001</v>
      </c>
      <c r="Q2816" s="7" t="str">
        <f>VLOOKUP(D2817,Product_Lookup!$A$2:$C$27,2,FALSE)</f>
        <v>Paper Shredder</v>
      </c>
      <c r="R2816" s="7">
        <f t="shared" si="346"/>
        <v>1612.38</v>
      </c>
    </row>
    <row r="2817" spans="1:18" ht="21.75" customHeight="1">
      <c r="A2817" t="s">
        <v>2968</v>
      </c>
      <c r="B2817" s="6">
        <v>45633</v>
      </c>
      <c r="C2817" t="s">
        <v>361</v>
      </c>
      <c r="D2817" t="s">
        <v>109</v>
      </c>
      <c r="E2817" t="s">
        <v>11</v>
      </c>
      <c r="F2817" t="s">
        <v>42</v>
      </c>
      <c r="G2817" t="s">
        <v>32</v>
      </c>
      <c r="H2817">
        <v>1</v>
      </c>
      <c r="I2817" t="str">
        <f>VLOOKUP(D2817,Product_Lookup!$A$2:$C$27,3,FALSE)</f>
        <v>$81.02</v>
      </c>
      <c r="J2817" t="str">
        <f t="shared" si="347"/>
        <v>Saturday</v>
      </c>
      <c r="K2817" s="10" t="str">
        <f t="shared" si="348"/>
        <v>December</v>
      </c>
      <c r="L2817">
        <f t="shared" si="349"/>
        <v>2024</v>
      </c>
      <c r="M2817" t="b">
        <f t="shared" si="350"/>
        <v>1</v>
      </c>
      <c r="N2817" t="b">
        <f t="shared" si="344"/>
        <v>0</v>
      </c>
      <c r="O2817" t="str">
        <f t="shared" si="351"/>
        <v>Standard order</v>
      </c>
      <c r="P2817" s="7">
        <f t="shared" si="345"/>
        <v>4.0510000000000002</v>
      </c>
      <c r="Q2817" s="7" t="str">
        <f>VLOOKUP(D2818,Product_Lookup!$A$2:$C$27,2,FALSE)</f>
        <v>Stapler</v>
      </c>
      <c r="R2817" s="7">
        <f t="shared" si="346"/>
        <v>81.02</v>
      </c>
    </row>
    <row r="2818" spans="1:18" ht="21.75" customHeight="1">
      <c r="A2818" t="s">
        <v>2969</v>
      </c>
      <c r="B2818" s="6">
        <v>45526</v>
      </c>
      <c r="C2818" t="s">
        <v>167</v>
      </c>
      <c r="D2818" t="s">
        <v>35</v>
      </c>
      <c r="E2818" t="s">
        <v>17</v>
      </c>
      <c r="F2818" t="s">
        <v>12</v>
      </c>
      <c r="G2818" t="s">
        <v>23</v>
      </c>
      <c r="H2818">
        <v>9</v>
      </c>
      <c r="I2818" t="str">
        <f>VLOOKUP(D2818,Product_Lookup!$A$2:$C$27,3,FALSE)</f>
        <v>$64.61</v>
      </c>
      <c r="J2818" t="str">
        <f t="shared" si="347"/>
        <v>Thursday</v>
      </c>
      <c r="K2818" s="10" t="str">
        <f t="shared" si="348"/>
        <v>August</v>
      </c>
      <c r="L2818">
        <f t="shared" si="349"/>
        <v>2024</v>
      </c>
      <c r="M2818" t="b">
        <f t="shared" si="350"/>
        <v>0</v>
      </c>
      <c r="N2818" t="b">
        <f t="shared" ref="N2818:N2881" si="352">AND(R2818&gt;750, H2818&gt;5)</f>
        <v>0</v>
      </c>
      <c r="O2818" t="str">
        <f t="shared" si="351"/>
        <v>Large Order</v>
      </c>
      <c r="P2818" s="7">
        <f t="shared" ref="P2818:P2881" si="353">I2818*$S$2</f>
        <v>3.2305000000000001</v>
      </c>
      <c r="Q2818" s="7" t="str">
        <f>VLOOKUP(D2819,Product_Lookup!$A$2:$C$27,2,FALSE)</f>
        <v>Headphones</v>
      </c>
      <c r="R2818" s="7">
        <f t="shared" ref="R2818:R2881" si="354">H2818*I2818</f>
        <v>581.49</v>
      </c>
    </row>
    <row r="2819" spans="1:18" ht="21.75" customHeight="1">
      <c r="A2819" t="s">
        <v>2970</v>
      </c>
      <c r="B2819" s="6">
        <v>45293</v>
      </c>
      <c r="C2819" t="s">
        <v>430</v>
      </c>
      <c r="D2819" t="s">
        <v>16</v>
      </c>
      <c r="E2819" t="s">
        <v>22</v>
      </c>
      <c r="F2819" t="s">
        <v>27</v>
      </c>
      <c r="G2819" t="s">
        <v>36</v>
      </c>
      <c r="H2819">
        <v>4</v>
      </c>
      <c r="I2819" t="str">
        <f>VLOOKUP(D2819,Product_Lookup!$A$2:$C$27,3,FALSE)</f>
        <v>$178.83</v>
      </c>
      <c r="J2819" t="str">
        <f t="shared" ref="J2819:J2882" si="355">TEXT(B2819, "dddd")</f>
        <v>Tuesday</v>
      </c>
      <c r="K2819" s="10" t="str">
        <f t="shared" ref="K2819:K2882" si="356">TEXT(B2819, "mmmm")</f>
        <v>January</v>
      </c>
      <c r="L2819">
        <f t="shared" ref="L2819:L2882" si="357">YEAR(B2819)</f>
        <v>2024</v>
      </c>
      <c r="M2819" t="b">
        <f t="shared" ref="M2819:M2882" si="358">OR(J2819="Saturday", J2819="Sunday")</f>
        <v>0</v>
      </c>
      <c r="N2819" t="b">
        <f t="shared" si="352"/>
        <v>0</v>
      </c>
      <c r="O2819" t="str">
        <f t="shared" ref="O2819:O2882" si="359">IF(R2819&gt;500,"Large Order","Standard order")</f>
        <v>Large Order</v>
      </c>
      <c r="P2819" s="7">
        <f t="shared" si="353"/>
        <v>8.9415000000000013</v>
      </c>
      <c r="Q2819" s="7" t="str">
        <f>VLOOKUP(D2820,Product_Lookup!$A$2:$C$27,2,FALSE)</f>
        <v>Puzzle</v>
      </c>
      <c r="R2819" s="7">
        <f t="shared" si="354"/>
        <v>715.32</v>
      </c>
    </row>
    <row r="2820" spans="1:18" ht="21.75" customHeight="1">
      <c r="A2820" t="s">
        <v>2971</v>
      </c>
      <c r="B2820" s="6">
        <v>45388</v>
      </c>
      <c r="C2820" t="s">
        <v>572</v>
      </c>
      <c r="D2820" t="s">
        <v>62</v>
      </c>
      <c r="E2820" t="s">
        <v>22</v>
      </c>
      <c r="F2820" t="s">
        <v>56</v>
      </c>
      <c r="G2820" t="s">
        <v>36</v>
      </c>
      <c r="H2820">
        <v>13</v>
      </c>
      <c r="I2820" t="str">
        <f>VLOOKUP(D2820,Product_Lookup!$A$2:$C$27,3,FALSE)</f>
        <v>$46.19</v>
      </c>
      <c r="J2820" t="str">
        <f t="shared" si="355"/>
        <v>Saturday</v>
      </c>
      <c r="K2820" s="10" t="str">
        <f t="shared" si="356"/>
        <v>April</v>
      </c>
      <c r="L2820">
        <f t="shared" si="357"/>
        <v>2024</v>
      </c>
      <c r="M2820" t="b">
        <f t="shared" si="358"/>
        <v>1</v>
      </c>
      <c r="N2820" t="b">
        <f t="shared" si="352"/>
        <v>0</v>
      </c>
      <c r="O2820" t="str">
        <f t="shared" si="359"/>
        <v>Large Order</v>
      </c>
      <c r="P2820" s="7">
        <f t="shared" si="353"/>
        <v>2.3094999999999999</v>
      </c>
      <c r="Q2820" s="7" t="str">
        <f>VLOOKUP(D2821,Product_Lookup!$A$2:$C$27,2,FALSE)</f>
        <v>Board Game</v>
      </c>
      <c r="R2820" s="7">
        <f t="shared" si="354"/>
        <v>600.47</v>
      </c>
    </row>
    <row r="2821" spans="1:18" ht="21.75" customHeight="1">
      <c r="A2821" t="s">
        <v>2972</v>
      </c>
      <c r="B2821" s="6">
        <v>45399</v>
      </c>
      <c r="C2821" t="s">
        <v>150</v>
      </c>
      <c r="D2821" t="s">
        <v>41</v>
      </c>
      <c r="E2821" t="s">
        <v>22</v>
      </c>
      <c r="F2821" t="s">
        <v>12</v>
      </c>
      <c r="G2821" t="s">
        <v>32</v>
      </c>
      <c r="H2821">
        <v>12</v>
      </c>
      <c r="I2821" t="str">
        <f>VLOOKUP(D2821,Product_Lookup!$A$2:$C$27,3,FALSE)</f>
        <v>$86.6</v>
      </c>
      <c r="J2821" t="str">
        <f t="shared" si="355"/>
        <v>Wednesday</v>
      </c>
      <c r="K2821" s="10" t="str">
        <f t="shared" si="356"/>
        <v>April</v>
      </c>
      <c r="L2821">
        <f t="shared" si="357"/>
        <v>2024</v>
      </c>
      <c r="M2821" t="b">
        <f t="shared" si="358"/>
        <v>0</v>
      </c>
      <c r="N2821" t="b">
        <f t="shared" si="352"/>
        <v>1</v>
      </c>
      <c r="O2821" t="str">
        <f t="shared" si="359"/>
        <v>Large Order</v>
      </c>
      <c r="P2821" s="7">
        <f t="shared" si="353"/>
        <v>4.33</v>
      </c>
      <c r="Q2821" s="7" t="str">
        <f>VLOOKUP(D2822,Product_Lookup!$A$2:$C$27,2,FALSE)</f>
        <v>Monitor</v>
      </c>
      <c r="R2821" s="7">
        <f t="shared" si="354"/>
        <v>1039.1999999999998</v>
      </c>
    </row>
    <row r="2822" spans="1:18" ht="21.75" customHeight="1">
      <c r="A2822" t="s">
        <v>2973</v>
      </c>
      <c r="B2822" s="6">
        <v>45449</v>
      </c>
      <c r="C2822" t="s">
        <v>358</v>
      </c>
      <c r="D2822" t="s">
        <v>102</v>
      </c>
      <c r="E2822" t="s">
        <v>22</v>
      </c>
      <c r="F2822" t="s">
        <v>27</v>
      </c>
      <c r="G2822" t="s">
        <v>23</v>
      </c>
      <c r="H2822">
        <v>14</v>
      </c>
      <c r="I2822" t="str">
        <f>VLOOKUP(D2822,Product_Lookup!$A$2:$C$27,3,FALSE)</f>
        <v>$145.48</v>
      </c>
      <c r="J2822" t="str">
        <f t="shared" si="355"/>
        <v>Thursday</v>
      </c>
      <c r="K2822" s="10" t="str">
        <f t="shared" si="356"/>
        <v>June</v>
      </c>
      <c r="L2822">
        <f t="shared" si="357"/>
        <v>2024</v>
      </c>
      <c r="M2822" t="b">
        <f t="shared" si="358"/>
        <v>0</v>
      </c>
      <c r="N2822" t="b">
        <f t="shared" si="352"/>
        <v>1</v>
      </c>
      <c r="O2822" t="str">
        <f t="shared" si="359"/>
        <v>Large Order</v>
      </c>
      <c r="P2822" s="7">
        <f t="shared" si="353"/>
        <v>7.274</v>
      </c>
      <c r="Q2822" s="7" t="str">
        <f>VLOOKUP(D2823,Product_Lookup!$A$2:$C$27,2,FALSE)</f>
        <v>Vacuum</v>
      </c>
      <c r="R2822" s="7">
        <f t="shared" si="354"/>
        <v>2036.7199999999998</v>
      </c>
    </row>
    <row r="2823" spans="1:18" ht="21.75" customHeight="1">
      <c r="A2823" t="s">
        <v>2974</v>
      </c>
      <c r="B2823" s="6">
        <v>45472</v>
      </c>
      <c r="C2823" t="s">
        <v>591</v>
      </c>
      <c r="D2823" t="s">
        <v>87</v>
      </c>
      <c r="E2823" t="s">
        <v>22</v>
      </c>
      <c r="F2823" t="s">
        <v>42</v>
      </c>
      <c r="G2823" t="s">
        <v>13</v>
      </c>
      <c r="H2823">
        <v>6</v>
      </c>
      <c r="I2823" t="str">
        <f>VLOOKUP(D2823,Product_Lookup!$A$2:$C$27,3,FALSE)</f>
        <v>$26.59</v>
      </c>
      <c r="J2823" t="str">
        <f t="shared" si="355"/>
        <v>Saturday</v>
      </c>
      <c r="K2823" s="10" t="str">
        <f t="shared" si="356"/>
        <v>June</v>
      </c>
      <c r="L2823">
        <f t="shared" si="357"/>
        <v>2024</v>
      </c>
      <c r="M2823" t="b">
        <f t="shared" si="358"/>
        <v>1</v>
      </c>
      <c r="N2823" t="b">
        <f t="shared" si="352"/>
        <v>0</v>
      </c>
      <c r="O2823" t="str">
        <f t="shared" si="359"/>
        <v>Standard order</v>
      </c>
      <c r="P2823" s="7">
        <f t="shared" si="353"/>
        <v>1.3295000000000001</v>
      </c>
      <c r="Q2823" s="7" t="str">
        <f>VLOOKUP(D2824,Product_Lookup!$A$2:$C$27,2,FALSE)</f>
        <v>Pen Set</v>
      </c>
      <c r="R2823" s="7">
        <f t="shared" si="354"/>
        <v>159.54</v>
      </c>
    </row>
    <row r="2824" spans="1:18" ht="21.75" customHeight="1">
      <c r="A2824" t="s">
        <v>2975</v>
      </c>
      <c r="B2824" s="6">
        <v>45483</v>
      </c>
      <c r="C2824" t="s">
        <v>235</v>
      </c>
      <c r="D2824" t="s">
        <v>174</v>
      </c>
      <c r="E2824" t="s">
        <v>22</v>
      </c>
      <c r="F2824" t="s">
        <v>56</v>
      </c>
      <c r="G2824" t="s">
        <v>36</v>
      </c>
      <c r="H2824">
        <v>14</v>
      </c>
      <c r="I2824" t="str">
        <f>VLOOKUP(D2824,Product_Lookup!$A$2:$C$27,3,FALSE)</f>
        <v>$133.37</v>
      </c>
      <c r="J2824" t="str">
        <f t="shared" si="355"/>
        <v>Wednesday</v>
      </c>
      <c r="K2824" s="10" t="str">
        <f t="shared" si="356"/>
        <v>July</v>
      </c>
      <c r="L2824">
        <f t="shared" si="357"/>
        <v>2024</v>
      </c>
      <c r="M2824" t="b">
        <f t="shared" si="358"/>
        <v>0</v>
      </c>
      <c r="N2824" t="b">
        <f t="shared" si="352"/>
        <v>1</v>
      </c>
      <c r="O2824" t="str">
        <f t="shared" si="359"/>
        <v>Large Order</v>
      </c>
      <c r="P2824" s="7">
        <f t="shared" si="353"/>
        <v>6.6685000000000008</v>
      </c>
      <c r="Q2824" s="7" t="str">
        <f>VLOOKUP(D2825,Product_Lookup!$A$2:$C$27,2,FALSE)</f>
        <v>Board Game</v>
      </c>
      <c r="R2824" s="7">
        <f t="shared" si="354"/>
        <v>1867.18</v>
      </c>
    </row>
    <row r="2825" spans="1:18" ht="21.75" customHeight="1">
      <c r="A2825" t="s">
        <v>2976</v>
      </c>
      <c r="B2825" s="6">
        <v>45629</v>
      </c>
      <c r="C2825" t="s">
        <v>465</v>
      </c>
      <c r="D2825" t="s">
        <v>41</v>
      </c>
      <c r="E2825" t="s">
        <v>17</v>
      </c>
      <c r="F2825" t="s">
        <v>42</v>
      </c>
      <c r="G2825" t="s">
        <v>36</v>
      </c>
      <c r="H2825">
        <v>4</v>
      </c>
      <c r="I2825" t="str">
        <f>VLOOKUP(D2825,Product_Lookup!$A$2:$C$27,3,FALSE)</f>
        <v>$86.6</v>
      </c>
      <c r="J2825" t="str">
        <f t="shared" si="355"/>
        <v>Tuesday</v>
      </c>
      <c r="K2825" s="10" t="str">
        <f t="shared" si="356"/>
        <v>December</v>
      </c>
      <c r="L2825">
        <f t="shared" si="357"/>
        <v>2024</v>
      </c>
      <c r="M2825" t="b">
        <f t="shared" si="358"/>
        <v>0</v>
      </c>
      <c r="N2825" t="b">
        <f t="shared" si="352"/>
        <v>0</v>
      </c>
      <c r="O2825" t="str">
        <f t="shared" si="359"/>
        <v>Standard order</v>
      </c>
      <c r="P2825" s="7">
        <f t="shared" si="353"/>
        <v>4.33</v>
      </c>
      <c r="Q2825" s="7" t="str">
        <f>VLOOKUP(D2826,Product_Lookup!$A$2:$C$27,2,FALSE)</f>
        <v>Action Figure</v>
      </c>
      <c r="R2825" s="7">
        <f t="shared" si="354"/>
        <v>346.4</v>
      </c>
    </row>
    <row r="2826" spans="1:18" ht="21.75" customHeight="1">
      <c r="A2826" t="s">
        <v>2977</v>
      </c>
      <c r="B2826" s="6">
        <v>45345</v>
      </c>
      <c r="C2826" t="s">
        <v>203</v>
      </c>
      <c r="D2826" t="s">
        <v>21</v>
      </c>
      <c r="E2826" t="s">
        <v>11</v>
      </c>
      <c r="F2826" t="s">
        <v>306</v>
      </c>
      <c r="G2826" t="s">
        <v>23</v>
      </c>
      <c r="H2826">
        <v>4</v>
      </c>
      <c r="I2826" t="str">
        <f>VLOOKUP(D2826,Product_Lookup!$A$2:$C$27,3,FALSE)</f>
        <v>$88.18</v>
      </c>
      <c r="J2826" t="str">
        <f t="shared" si="355"/>
        <v>Friday</v>
      </c>
      <c r="K2826" s="10" t="str">
        <f t="shared" si="356"/>
        <v>February</v>
      </c>
      <c r="L2826">
        <f t="shared" si="357"/>
        <v>2024</v>
      </c>
      <c r="M2826" t="b">
        <f t="shared" si="358"/>
        <v>0</v>
      </c>
      <c r="N2826" t="b">
        <f t="shared" si="352"/>
        <v>0</v>
      </c>
      <c r="O2826" t="str">
        <f t="shared" si="359"/>
        <v>Standard order</v>
      </c>
      <c r="P2826" s="7">
        <f t="shared" si="353"/>
        <v>4.4090000000000007</v>
      </c>
      <c r="Q2826" s="7" t="str">
        <f>VLOOKUP(D2827,Product_Lookup!$A$2:$C$27,2,FALSE)</f>
        <v>Monitor</v>
      </c>
      <c r="R2826" s="7">
        <f t="shared" si="354"/>
        <v>352.72</v>
      </c>
    </row>
    <row r="2827" spans="1:18" ht="21.75" customHeight="1">
      <c r="A2827" t="s">
        <v>2978</v>
      </c>
      <c r="B2827" s="6">
        <v>45611</v>
      </c>
      <c r="C2827" t="s">
        <v>591</v>
      </c>
      <c r="D2827" t="s">
        <v>102</v>
      </c>
      <c r="E2827" t="s">
        <v>22</v>
      </c>
      <c r="F2827" t="s">
        <v>27</v>
      </c>
      <c r="G2827" t="s">
        <v>36</v>
      </c>
      <c r="H2827">
        <v>19</v>
      </c>
      <c r="I2827" t="str">
        <f>VLOOKUP(D2827,Product_Lookup!$A$2:$C$27,3,FALSE)</f>
        <v>$145.48</v>
      </c>
      <c r="J2827" t="str">
        <f t="shared" si="355"/>
        <v>Friday</v>
      </c>
      <c r="K2827" s="10" t="str">
        <f t="shared" si="356"/>
        <v>November</v>
      </c>
      <c r="L2827">
        <f t="shared" si="357"/>
        <v>2024</v>
      </c>
      <c r="M2827" t="b">
        <f t="shared" si="358"/>
        <v>0</v>
      </c>
      <c r="N2827" t="b">
        <f t="shared" si="352"/>
        <v>1</v>
      </c>
      <c r="O2827" t="str">
        <f t="shared" si="359"/>
        <v>Large Order</v>
      </c>
      <c r="P2827" s="7">
        <f t="shared" si="353"/>
        <v>7.274</v>
      </c>
      <c r="Q2827" s="7" t="str">
        <f>VLOOKUP(D2828,Product_Lookup!$A$2:$C$27,2,FALSE)</f>
        <v>Vacuum</v>
      </c>
      <c r="R2827" s="7">
        <f t="shared" si="354"/>
        <v>2764.12</v>
      </c>
    </row>
    <row r="2828" spans="1:18" ht="21.75" customHeight="1">
      <c r="A2828" t="s">
        <v>2979</v>
      </c>
      <c r="B2828" s="6">
        <v>45633</v>
      </c>
      <c r="C2828" t="s">
        <v>61</v>
      </c>
      <c r="D2828" t="s">
        <v>87</v>
      </c>
      <c r="E2828" t="s">
        <v>11</v>
      </c>
      <c r="F2828" t="s">
        <v>56</v>
      </c>
      <c r="G2828" t="s">
        <v>23</v>
      </c>
      <c r="H2828">
        <v>18</v>
      </c>
      <c r="I2828" t="str">
        <f>VLOOKUP(D2828,Product_Lookup!$A$2:$C$27,3,FALSE)</f>
        <v>$26.59</v>
      </c>
      <c r="J2828" t="str">
        <f t="shared" si="355"/>
        <v>Saturday</v>
      </c>
      <c r="K2828" s="10" t="str">
        <f t="shared" si="356"/>
        <v>December</v>
      </c>
      <c r="L2828">
        <f t="shared" si="357"/>
        <v>2024</v>
      </c>
      <c r="M2828" t="b">
        <f t="shared" si="358"/>
        <v>1</v>
      </c>
      <c r="N2828" t="b">
        <f t="shared" si="352"/>
        <v>0</v>
      </c>
      <c r="O2828" t="str">
        <f t="shared" si="359"/>
        <v>Standard order</v>
      </c>
      <c r="P2828" s="7">
        <f t="shared" si="353"/>
        <v>1.3295000000000001</v>
      </c>
      <c r="Q2828" s="7" t="str">
        <f>VLOOKUP(D2829,Product_Lookup!$A$2:$C$27,2,FALSE)</f>
        <v>Monitor</v>
      </c>
      <c r="R2828" s="7">
        <f t="shared" si="354"/>
        <v>478.62</v>
      </c>
    </row>
    <row r="2829" spans="1:18" ht="21.75" customHeight="1">
      <c r="A2829" t="s">
        <v>2980</v>
      </c>
      <c r="B2829" s="6">
        <v>45392</v>
      </c>
      <c r="C2829" t="s">
        <v>553</v>
      </c>
      <c r="D2829" t="s">
        <v>102</v>
      </c>
      <c r="E2829" t="s">
        <v>17</v>
      </c>
      <c r="F2829" t="s">
        <v>27</v>
      </c>
      <c r="G2829" t="s">
        <v>23</v>
      </c>
      <c r="H2829">
        <v>13</v>
      </c>
      <c r="I2829" t="str">
        <f>VLOOKUP(D2829,Product_Lookup!$A$2:$C$27,3,FALSE)</f>
        <v>$145.48</v>
      </c>
      <c r="J2829" t="str">
        <f t="shared" si="355"/>
        <v>Wednesday</v>
      </c>
      <c r="K2829" s="10" t="str">
        <f t="shared" si="356"/>
        <v>April</v>
      </c>
      <c r="L2829">
        <f t="shared" si="357"/>
        <v>2024</v>
      </c>
      <c r="M2829" t="b">
        <f t="shared" si="358"/>
        <v>0</v>
      </c>
      <c r="N2829" t="b">
        <f t="shared" si="352"/>
        <v>1</v>
      </c>
      <c r="O2829" t="str">
        <f t="shared" si="359"/>
        <v>Large Order</v>
      </c>
      <c r="P2829" s="7">
        <f t="shared" si="353"/>
        <v>7.274</v>
      </c>
      <c r="Q2829" s="7" t="str">
        <f>VLOOKUP(D2830,Product_Lookup!$A$2:$C$27,2,FALSE)</f>
        <v>Jacket</v>
      </c>
      <c r="R2829" s="7">
        <f t="shared" si="354"/>
        <v>1891.2399999999998</v>
      </c>
    </row>
    <row r="2830" spans="1:18" ht="21.75" customHeight="1">
      <c r="A2830" t="s">
        <v>2981</v>
      </c>
      <c r="B2830" s="6">
        <v>45483</v>
      </c>
      <c r="C2830" t="s">
        <v>728</v>
      </c>
      <c r="D2830" t="s">
        <v>197</v>
      </c>
      <c r="E2830" t="s">
        <v>22</v>
      </c>
      <c r="F2830" t="s">
        <v>42</v>
      </c>
      <c r="G2830" t="s">
        <v>32</v>
      </c>
      <c r="H2830">
        <v>9</v>
      </c>
      <c r="I2830" t="str">
        <f>VLOOKUP(D2830,Product_Lookup!$A$2:$C$27,3,FALSE)</f>
        <v>$10.11</v>
      </c>
      <c r="J2830" t="str">
        <f t="shared" si="355"/>
        <v>Wednesday</v>
      </c>
      <c r="K2830" s="10" t="str">
        <f t="shared" si="356"/>
        <v>July</v>
      </c>
      <c r="L2830">
        <f t="shared" si="357"/>
        <v>2024</v>
      </c>
      <c r="M2830" t="b">
        <f t="shared" si="358"/>
        <v>0</v>
      </c>
      <c r="N2830" t="b">
        <f t="shared" si="352"/>
        <v>0</v>
      </c>
      <c r="O2830" t="str">
        <f t="shared" si="359"/>
        <v>Standard order</v>
      </c>
      <c r="P2830" s="7">
        <f t="shared" si="353"/>
        <v>0.50549999999999995</v>
      </c>
      <c r="Q2830" s="7" t="str">
        <f>VLOOKUP(D2831,Product_Lookup!$A$2:$C$27,2,FALSE)</f>
        <v>Jacket</v>
      </c>
      <c r="R2830" s="7">
        <f t="shared" si="354"/>
        <v>90.99</v>
      </c>
    </row>
    <row r="2831" spans="1:18" ht="21.75" customHeight="1">
      <c r="A2831" t="s">
        <v>2982</v>
      </c>
      <c r="B2831" s="6">
        <v>45504</v>
      </c>
      <c r="C2831" t="s">
        <v>422</v>
      </c>
      <c r="D2831" t="s">
        <v>197</v>
      </c>
      <c r="E2831" t="s">
        <v>11</v>
      </c>
      <c r="F2831" t="s">
        <v>27</v>
      </c>
      <c r="G2831" t="s">
        <v>13</v>
      </c>
      <c r="H2831">
        <v>1</v>
      </c>
      <c r="I2831" t="str">
        <f>VLOOKUP(D2831,Product_Lookup!$A$2:$C$27,3,FALSE)</f>
        <v>$10.11</v>
      </c>
      <c r="J2831" t="str">
        <f t="shared" si="355"/>
        <v>Wednesday</v>
      </c>
      <c r="K2831" s="10" t="str">
        <f t="shared" si="356"/>
        <v>July</v>
      </c>
      <c r="L2831">
        <f t="shared" si="357"/>
        <v>2024</v>
      </c>
      <c r="M2831" t="b">
        <f t="shared" si="358"/>
        <v>0</v>
      </c>
      <c r="N2831" t="b">
        <f t="shared" si="352"/>
        <v>0</v>
      </c>
      <c r="O2831" t="str">
        <f t="shared" si="359"/>
        <v>Standard order</v>
      </c>
      <c r="P2831" s="7">
        <f t="shared" si="353"/>
        <v>0.50549999999999995</v>
      </c>
      <c r="Q2831" s="7" t="str">
        <f>VLOOKUP(D2832,Product_Lookup!$A$2:$C$27,2,FALSE)</f>
        <v>Lego Set</v>
      </c>
      <c r="R2831" s="7">
        <f t="shared" si="354"/>
        <v>10.11</v>
      </c>
    </row>
    <row r="2832" spans="1:18" ht="21.75" customHeight="1">
      <c r="A2832" t="s">
        <v>2983</v>
      </c>
      <c r="B2832" s="6">
        <v>45483</v>
      </c>
      <c r="C2832" t="s">
        <v>363</v>
      </c>
      <c r="D2832" t="s">
        <v>84</v>
      </c>
      <c r="E2832" t="s">
        <v>22</v>
      </c>
      <c r="F2832" t="s">
        <v>42</v>
      </c>
      <c r="G2832" t="s">
        <v>32</v>
      </c>
      <c r="H2832">
        <v>6</v>
      </c>
      <c r="I2832" t="str">
        <f>VLOOKUP(D2832,Product_Lookup!$A$2:$C$27,3,FALSE)</f>
        <v>$130.07</v>
      </c>
      <c r="J2832" t="str">
        <f t="shared" si="355"/>
        <v>Wednesday</v>
      </c>
      <c r="K2832" s="10" t="str">
        <f t="shared" si="356"/>
        <v>July</v>
      </c>
      <c r="L2832">
        <f t="shared" si="357"/>
        <v>2024</v>
      </c>
      <c r="M2832" t="b">
        <f t="shared" si="358"/>
        <v>0</v>
      </c>
      <c r="N2832" t="b">
        <f t="shared" si="352"/>
        <v>1</v>
      </c>
      <c r="O2832" t="str">
        <f t="shared" si="359"/>
        <v>Large Order</v>
      </c>
      <c r="P2832" s="7">
        <f t="shared" si="353"/>
        <v>6.5034999999999998</v>
      </c>
      <c r="Q2832" s="7" t="str">
        <f>VLOOKUP(D2833,Product_Lookup!$A$2:$C$27,2,FALSE)</f>
        <v>Pen Set</v>
      </c>
      <c r="R2832" s="7">
        <f t="shared" si="354"/>
        <v>780.42</v>
      </c>
    </row>
    <row r="2833" spans="1:18" ht="21.75" customHeight="1">
      <c r="A2833" t="s">
        <v>2984</v>
      </c>
      <c r="B2833" s="6">
        <v>45512</v>
      </c>
      <c r="C2833" t="s">
        <v>93</v>
      </c>
      <c r="D2833" t="s">
        <v>174</v>
      </c>
      <c r="E2833" t="s">
        <v>17</v>
      </c>
      <c r="F2833" t="s">
        <v>56</v>
      </c>
      <c r="G2833" t="s">
        <v>36</v>
      </c>
      <c r="H2833">
        <v>13</v>
      </c>
      <c r="I2833" t="str">
        <f>VLOOKUP(D2833,Product_Lookup!$A$2:$C$27,3,FALSE)</f>
        <v>$133.37</v>
      </c>
      <c r="J2833" t="str">
        <f t="shared" si="355"/>
        <v>Thursday</v>
      </c>
      <c r="K2833" s="10" t="str">
        <f t="shared" si="356"/>
        <v>August</v>
      </c>
      <c r="L2833">
        <f t="shared" si="357"/>
        <v>2024</v>
      </c>
      <c r="M2833" t="b">
        <f t="shared" si="358"/>
        <v>0</v>
      </c>
      <c r="N2833" t="b">
        <f t="shared" si="352"/>
        <v>1</v>
      </c>
      <c r="O2833" t="str">
        <f t="shared" si="359"/>
        <v>Large Order</v>
      </c>
      <c r="P2833" s="7">
        <f t="shared" si="353"/>
        <v>6.6685000000000008</v>
      </c>
      <c r="Q2833" s="7" t="str">
        <f>VLOOKUP(D2834,Product_Lookup!$A$2:$C$27,2,FALSE)</f>
        <v>Headphones</v>
      </c>
      <c r="R2833" s="7">
        <f t="shared" si="354"/>
        <v>1733.81</v>
      </c>
    </row>
    <row r="2834" spans="1:18" ht="21.75" customHeight="1">
      <c r="A2834" t="s">
        <v>2985</v>
      </c>
      <c r="B2834" s="6">
        <v>45587</v>
      </c>
      <c r="C2834" t="s">
        <v>309</v>
      </c>
      <c r="D2834" t="s">
        <v>16</v>
      </c>
      <c r="E2834" t="s">
        <v>22</v>
      </c>
      <c r="F2834" t="s">
        <v>27</v>
      </c>
      <c r="G2834" t="s">
        <v>28</v>
      </c>
      <c r="H2834">
        <v>13</v>
      </c>
      <c r="I2834" t="str">
        <f>VLOOKUP(D2834,Product_Lookup!$A$2:$C$27,3,FALSE)</f>
        <v>$178.83</v>
      </c>
      <c r="J2834" t="str">
        <f t="shared" si="355"/>
        <v>Tuesday</v>
      </c>
      <c r="K2834" s="10" t="str">
        <f t="shared" si="356"/>
        <v>October</v>
      </c>
      <c r="L2834">
        <f t="shared" si="357"/>
        <v>2024</v>
      </c>
      <c r="M2834" t="b">
        <f t="shared" si="358"/>
        <v>0</v>
      </c>
      <c r="N2834" t="b">
        <f t="shared" si="352"/>
        <v>1</v>
      </c>
      <c r="O2834" t="str">
        <f t="shared" si="359"/>
        <v>Large Order</v>
      </c>
      <c r="P2834" s="7">
        <f t="shared" si="353"/>
        <v>8.9415000000000013</v>
      </c>
      <c r="Q2834" s="7" t="str">
        <f>VLOOKUP(D2835,Product_Lookup!$A$2:$C$27,2,FALSE)</f>
        <v>Vacuum</v>
      </c>
      <c r="R2834" s="7">
        <f t="shared" si="354"/>
        <v>2324.79</v>
      </c>
    </row>
    <row r="2835" spans="1:18" ht="21.75" customHeight="1">
      <c r="A2835" t="s">
        <v>2986</v>
      </c>
      <c r="B2835" s="6">
        <v>45556</v>
      </c>
      <c r="C2835" t="s">
        <v>111</v>
      </c>
      <c r="D2835" t="s">
        <v>87</v>
      </c>
      <c r="E2835" t="s">
        <v>11</v>
      </c>
      <c r="F2835" t="s">
        <v>12</v>
      </c>
      <c r="G2835" t="s">
        <v>28</v>
      </c>
      <c r="H2835">
        <v>17</v>
      </c>
      <c r="I2835" t="str">
        <f>VLOOKUP(D2835,Product_Lookup!$A$2:$C$27,3,FALSE)</f>
        <v>$26.59</v>
      </c>
      <c r="J2835" t="str">
        <f t="shared" si="355"/>
        <v>Saturday</v>
      </c>
      <c r="K2835" s="10" t="str">
        <f t="shared" si="356"/>
        <v>September</v>
      </c>
      <c r="L2835">
        <f t="shared" si="357"/>
        <v>2024</v>
      </c>
      <c r="M2835" t="b">
        <f t="shared" si="358"/>
        <v>1</v>
      </c>
      <c r="N2835" t="b">
        <f t="shared" si="352"/>
        <v>0</v>
      </c>
      <c r="O2835" t="str">
        <f t="shared" si="359"/>
        <v>Standard order</v>
      </c>
      <c r="P2835" s="7">
        <f t="shared" si="353"/>
        <v>1.3295000000000001</v>
      </c>
      <c r="Q2835" s="7" t="str">
        <f>VLOOKUP(D2836,Product_Lookup!$A$2:$C$27,2,FALSE)</f>
        <v>Coffee Maker</v>
      </c>
      <c r="R2835" s="7">
        <f t="shared" si="354"/>
        <v>452.03</v>
      </c>
    </row>
    <row r="2836" spans="1:18" ht="21.75" customHeight="1">
      <c r="A2836" t="s">
        <v>2987</v>
      </c>
      <c r="B2836" s="6">
        <v>45587</v>
      </c>
      <c r="C2836" t="s">
        <v>728</v>
      </c>
      <c r="D2836" t="s">
        <v>31</v>
      </c>
      <c r="E2836" t="s">
        <v>22</v>
      </c>
      <c r="F2836" t="s">
        <v>42</v>
      </c>
      <c r="G2836" t="s">
        <v>36</v>
      </c>
      <c r="H2836">
        <v>6</v>
      </c>
      <c r="I2836" t="str">
        <f>VLOOKUP(D2836,Product_Lookup!$A$2:$C$27,3,FALSE)</f>
        <v>$230.34</v>
      </c>
      <c r="J2836" t="str">
        <f t="shared" si="355"/>
        <v>Tuesday</v>
      </c>
      <c r="K2836" s="10" t="str">
        <f t="shared" si="356"/>
        <v>October</v>
      </c>
      <c r="L2836">
        <f t="shared" si="357"/>
        <v>2024</v>
      </c>
      <c r="M2836" t="b">
        <f t="shared" si="358"/>
        <v>0</v>
      </c>
      <c r="N2836" t="b">
        <f t="shared" si="352"/>
        <v>1</v>
      </c>
      <c r="O2836" t="str">
        <f t="shared" si="359"/>
        <v>Large Order</v>
      </c>
      <c r="P2836" s="7">
        <f t="shared" si="353"/>
        <v>11.517000000000001</v>
      </c>
      <c r="Q2836" s="7" t="str">
        <f>VLOOKUP(D2837,Product_Lookup!$A$2:$C$27,2,FALSE)</f>
        <v>Tablet</v>
      </c>
      <c r="R2836" s="7">
        <f t="shared" si="354"/>
        <v>1382.04</v>
      </c>
    </row>
    <row r="2837" spans="1:18" ht="21.75" customHeight="1">
      <c r="A2837" t="s">
        <v>2988</v>
      </c>
      <c r="B2837" s="6">
        <v>45396</v>
      </c>
      <c r="C2837" t="s">
        <v>203</v>
      </c>
      <c r="D2837" t="s">
        <v>10</v>
      </c>
      <c r="E2837" t="s">
        <v>11</v>
      </c>
      <c r="F2837" t="s">
        <v>27</v>
      </c>
      <c r="G2837" t="s">
        <v>13</v>
      </c>
      <c r="H2837">
        <v>19</v>
      </c>
      <c r="I2837" t="str">
        <f>VLOOKUP(D2837,Product_Lookup!$A$2:$C$27,3,FALSE)</f>
        <v>$146.06</v>
      </c>
      <c r="J2837" t="str">
        <f t="shared" si="355"/>
        <v>Sunday</v>
      </c>
      <c r="K2837" s="10" t="str">
        <f t="shared" si="356"/>
        <v>April</v>
      </c>
      <c r="L2837">
        <f t="shared" si="357"/>
        <v>2024</v>
      </c>
      <c r="M2837" t="b">
        <f t="shared" si="358"/>
        <v>1</v>
      </c>
      <c r="N2837" t="b">
        <f t="shared" si="352"/>
        <v>1</v>
      </c>
      <c r="O2837" t="str">
        <f t="shared" si="359"/>
        <v>Large Order</v>
      </c>
      <c r="P2837" s="7">
        <f t="shared" si="353"/>
        <v>7.3030000000000008</v>
      </c>
      <c r="Q2837" s="7" t="str">
        <f>VLOOKUP(D2838,Product_Lookup!$A$2:$C$27,2,FALSE)</f>
        <v>Pen Set</v>
      </c>
      <c r="R2837" s="7">
        <f t="shared" si="354"/>
        <v>2775.14</v>
      </c>
    </row>
    <row r="2838" spans="1:18" ht="21.75" customHeight="1">
      <c r="A2838" t="s">
        <v>2989</v>
      </c>
      <c r="B2838" s="6">
        <v>45608</v>
      </c>
      <c r="C2838" t="s">
        <v>369</v>
      </c>
      <c r="D2838" t="s">
        <v>174</v>
      </c>
      <c r="E2838" t="s">
        <v>11</v>
      </c>
      <c r="F2838" t="s">
        <v>306</v>
      </c>
      <c r="G2838" t="s">
        <v>23</v>
      </c>
      <c r="H2838">
        <v>1</v>
      </c>
      <c r="I2838" t="str">
        <f>VLOOKUP(D2838,Product_Lookup!$A$2:$C$27,3,FALSE)</f>
        <v>$133.37</v>
      </c>
      <c r="J2838" t="str">
        <f t="shared" si="355"/>
        <v>Tuesday</v>
      </c>
      <c r="K2838" s="10" t="str">
        <f t="shared" si="356"/>
        <v>November</v>
      </c>
      <c r="L2838">
        <f t="shared" si="357"/>
        <v>2024</v>
      </c>
      <c r="M2838" t="b">
        <f t="shared" si="358"/>
        <v>0</v>
      </c>
      <c r="N2838" t="b">
        <f t="shared" si="352"/>
        <v>0</v>
      </c>
      <c r="O2838" t="str">
        <f t="shared" si="359"/>
        <v>Standard order</v>
      </c>
      <c r="P2838" s="7">
        <f t="shared" si="353"/>
        <v>6.6685000000000008</v>
      </c>
      <c r="Q2838" s="7" t="str">
        <f>VLOOKUP(D2839,Product_Lookup!$A$2:$C$27,2,FALSE)</f>
        <v>Action Figure</v>
      </c>
      <c r="R2838" s="7">
        <f t="shared" si="354"/>
        <v>133.37</v>
      </c>
    </row>
    <row r="2839" spans="1:18" ht="21.75" customHeight="1">
      <c r="A2839" t="s">
        <v>2990</v>
      </c>
      <c r="B2839" s="6">
        <v>45358</v>
      </c>
      <c r="C2839" t="s">
        <v>366</v>
      </c>
      <c r="D2839" t="s">
        <v>21</v>
      </c>
      <c r="E2839" t="s">
        <v>22</v>
      </c>
      <c r="F2839" t="s">
        <v>42</v>
      </c>
      <c r="G2839" t="s">
        <v>28</v>
      </c>
      <c r="H2839">
        <v>8</v>
      </c>
      <c r="I2839" t="str">
        <f>VLOOKUP(D2839,Product_Lookup!$A$2:$C$27,3,FALSE)</f>
        <v>$88.18</v>
      </c>
      <c r="J2839" t="str">
        <f t="shared" si="355"/>
        <v>Thursday</v>
      </c>
      <c r="K2839" s="10" t="str">
        <f t="shared" si="356"/>
        <v>March</v>
      </c>
      <c r="L2839">
        <f t="shared" si="357"/>
        <v>2024</v>
      </c>
      <c r="M2839" t="b">
        <f t="shared" si="358"/>
        <v>0</v>
      </c>
      <c r="N2839" t="b">
        <f t="shared" si="352"/>
        <v>0</v>
      </c>
      <c r="O2839" t="str">
        <f t="shared" si="359"/>
        <v>Large Order</v>
      </c>
      <c r="P2839" s="7">
        <f t="shared" si="353"/>
        <v>4.4090000000000007</v>
      </c>
      <c r="Q2839" s="7" t="str">
        <f>VLOOKUP(D2840,Product_Lookup!$A$2:$C$27,2,FALSE)</f>
        <v>Jeans</v>
      </c>
      <c r="R2839" s="7">
        <f t="shared" si="354"/>
        <v>705.44</v>
      </c>
    </row>
    <row r="2840" spans="1:18" ht="21.75" customHeight="1">
      <c r="A2840" t="s">
        <v>2991</v>
      </c>
      <c r="B2840" s="6">
        <v>45405</v>
      </c>
      <c r="C2840" t="s">
        <v>68</v>
      </c>
      <c r="D2840" t="s">
        <v>65</v>
      </c>
      <c r="E2840" t="s">
        <v>22</v>
      </c>
      <c r="F2840" t="s">
        <v>56</v>
      </c>
      <c r="G2840" t="s">
        <v>23</v>
      </c>
      <c r="H2840">
        <v>9</v>
      </c>
      <c r="I2840" t="str">
        <f>VLOOKUP(D2840,Product_Lookup!$A$2:$C$27,3,FALSE)</f>
        <v>$33.22</v>
      </c>
      <c r="J2840" t="str">
        <f t="shared" si="355"/>
        <v>Tuesday</v>
      </c>
      <c r="K2840" s="10" t="str">
        <f t="shared" si="356"/>
        <v>April</v>
      </c>
      <c r="L2840">
        <f t="shared" si="357"/>
        <v>2024</v>
      </c>
      <c r="M2840" t="b">
        <f t="shared" si="358"/>
        <v>0</v>
      </c>
      <c r="N2840" t="b">
        <f t="shared" si="352"/>
        <v>0</v>
      </c>
      <c r="O2840" t="str">
        <f t="shared" si="359"/>
        <v>Standard order</v>
      </c>
      <c r="P2840" s="7">
        <f t="shared" si="353"/>
        <v>1.661</v>
      </c>
      <c r="Q2840" s="7" t="str">
        <f>VLOOKUP(D2841,Product_Lookup!$A$2:$C$27,2,FALSE)</f>
        <v>Headphones</v>
      </c>
      <c r="R2840" s="7">
        <f t="shared" si="354"/>
        <v>298.98</v>
      </c>
    </row>
    <row r="2841" spans="1:18" ht="21.75" customHeight="1">
      <c r="A2841" t="s">
        <v>2992</v>
      </c>
      <c r="B2841" s="6">
        <v>45432</v>
      </c>
      <c r="C2841" t="s">
        <v>81</v>
      </c>
      <c r="D2841" t="s">
        <v>16</v>
      </c>
      <c r="E2841" t="s">
        <v>22</v>
      </c>
      <c r="F2841" t="s">
        <v>12</v>
      </c>
      <c r="G2841" t="s">
        <v>36</v>
      </c>
      <c r="H2841">
        <v>4</v>
      </c>
      <c r="I2841" t="str">
        <f>VLOOKUP(D2841,Product_Lookup!$A$2:$C$27,3,FALSE)</f>
        <v>$178.83</v>
      </c>
      <c r="J2841" t="str">
        <f t="shared" si="355"/>
        <v>Monday</v>
      </c>
      <c r="K2841" s="10" t="str">
        <f t="shared" si="356"/>
        <v>May</v>
      </c>
      <c r="L2841">
        <f t="shared" si="357"/>
        <v>2024</v>
      </c>
      <c r="M2841" t="b">
        <f t="shared" si="358"/>
        <v>0</v>
      </c>
      <c r="N2841" t="b">
        <f t="shared" si="352"/>
        <v>0</v>
      </c>
      <c r="O2841" t="str">
        <f t="shared" si="359"/>
        <v>Large Order</v>
      </c>
      <c r="P2841" s="7">
        <f t="shared" si="353"/>
        <v>8.9415000000000013</v>
      </c>
      <c r="Q2841" s="7" t="str">
        <f>VLOOKUP(D2842,Product_Lookup!$A$2:$C$27,2,FALSE)</f>
        <v>Monitor</v>
      </c>
      <c r="R2841" s="7">
        <f t="shared" si="354"/>
        <v>715.32</v>
      </c>
    </row>
    <row r="2842" spans="1:18" ht="21.75" customHeight="1">
      <c r="A2842" t="s">
        <v>2993</v>
      </c>
      <c r="B2842" s="6">
        <v>45597</v>
      </c>
      <c r="C2842" t="s">
        <v>114</v>
      </c>
      <c r="D2842" t="s">
        <v>102</v>
      </c>
      <c r="E2842" t="s">
        <v>11</v>
      </c>
      <c r="F2842" t="s">
        <v>42</v>
      </c>
      <c r="G2842" t="s">
        <v>32</v>
      </c>
      <c r="H2842">
        <v>6</v>
      </c>
      <c r="I2842" t="str">
        <f>VLOOKUP(D2842,Product_Lookup!$A$2:$C$27,3,FALSE)</f>
        <v>$145.48</v>
      </c>
      <c r="J2842" t="str">
        <f t="shared" si="355"/>
        <v>Friday</v>
      </c>
      <c r="K2842" s="10" t="str">
        <f t="shared" si="356"/>
        <v>November</v>
      </c>
      <c r="L2842">
        <f t="shared" si="357"/>
        <v>2024</v>
      </c>
      <c r="M2842" t="b">
        <f t="shared" si="358"/>
        <v>0</v>
      </c>
      <c r="N2842" t="b">
        <f t="shared" si="352"/>
        <v>1</v>
      </c>
      <c r="O2842" t="str">
        <f t="shared" si="359"/>
        <v>Large Order</v>
      </c>
      <c r="P2842" s="7">
        <f t="shared" si="353"/>
        <v>7.274</v>
      </c>
      <c r="Q2842" s="7" t="str">
        <f>VLOOKUP(D2843,Product_Lookup!$A$2:$C$27,2,FALSE)</f>
        <v>Jeans</v>
      </c>
      <c r="R2842" s="7">
        <f t="shared" si="354"/>
        <v>872.87999999999988</v>
      </c>
    </row>
    <row r="2843" spans="1:18" ht="21.75" customHeight="1">
      <c r="A2843" t="s">
        <v>2994</v>
      </c>
      <c r="B2843" s="6">
        <v>45545</v>
      </c>
      <c r="C2843" t="s">
        <v>83</v>
      </c>
      <c r="D2843" t="s">
        <v>65</v>
      </c>
      <c r="E2843" t="s">
        <v>17</v>
      </c>
      <c r="F2843" t="s">
        <v>12</v>
      </c>
      <c r="G2843" t="s">
        <v>23</v>
      </c>
      <c r="H2843">
        <v>1</v>
      </c>
      <c r="I2843" t="str">
        <f>VLOOKUP(D2843,Product_Lookup!$A$2:$C$27,3,FALSE)</f>
        <v>$33.22</v>
      </c>
      <c r="J2843" t="str">
        <f t="shared" si="355"/>
        <v>Tuesday</v>
      </c>
      <c r="K2843" s="10" t="str">
        <f t="shared" si="356"/>
        <v>September</v>
      </c>
      <c r="L2843">
        <f t="shared" si="357"/>
        <v>2024</v>
      </c>
      <c r="M2843" t="b">
        <f t="shared" si="358"/>
        <v>0</v>
      </c>
      <c r="N2843" t="b">
        <f t="shared" si="352"/>
        <v>0</v>
      </c>
      <c r="O2843" t="str">
        <f t="shared" si="359"/>
        <v>Standard order</v>
      </c>
      <c r="P2843" s="7">
        <f t="shared" si="353"/>
        <v>1.661</v>
      </c>
      <c r="Q2843" s="7" t="str">
        <f>VLOOKUP(D2844,Product_Lookup!$A$2:$C$27,2,FALSE)</f>
        <v>Tablet</v>
      </c>
      <c r="R2843" s="7">
        <f t="shared" si="354"/>
        <v>33.22</v>
      </c>
    </row>
    <row r="2844" spans="1:18" ht="21.75" customHeight="1">
      <c r="A2844" t="s">
        <v>2995</v>
      </c>
      <c r="B2844" s="6">
        <v>45541</v>
      </c>
      <c r="C2844" t="s">
        <v>451</v>
      </c>
      <c r="D2844" t="s">
        <v>10</v>
      </c>
      <c r="E2844" t="s">
        <v>11</v>
      </c>
      <c r="F2844" t="s">
        <v>27</v>
      </c>
      <c r="G2844" t="s">
        <v>23</v>
      </c>
      <c r="H2844">
        <v>11</v>
      </c>
      <c r="I2844" t="str">
        <f>VLOOKUP(D2844,Product_Lookup!$A$2:$C$27,3,FALSE)</f>
        <v>$146.06</v>
      </c>
      <c r="J2844" t="str">
        <f t="shared" si="355"/>
        <v>Friday</v>
      </c>
      <c r="K2844" s="10" t="str">
        <f t="shared" si="356"/>
        <v>September</v>
      </c>
      <c r="L2844">
        <f t="shared" si="357"/>
        <v>2024</v>
      </c>
      <c r="M2844" t="b">
        <f t="shared" si="358"/>
        <v>0</v>
      </c>
      <c r="N2844" t="b">
        <f t="shared" si="352"/>
        <v>1</v>
      </c>
      <c r="O2844" t="str">
        <f t="shared" si="359"/>
        <v>Large Order</v>
      </c>
      <c r="P2844" s="7">
        <f t="shared" si="353"/>
        <v>7.3030000000000008</v>
      </c>
      <c r="Q2844" s="7" t="str">
        <f>VLOOKUP(D2845,Product_Lookup!$A$2:$C$27,2,FALSE)</f>
        <v>T-Shirt</v>
      </c>
      <c r="R2844" s="7">
        <f t="shared" si="354"/>
        <v>1606.66</v>
      </c>
    </row>
    <row r="2845" spans="1:18" ht="21.75" customHeight="1">
      <c r="A2845" t="s">
        <v>2996</v>
      </c>
      <c r="B2845" s="6">
        <v>45522</v>
      </c>
      <c r="C2845" t="s">
        <v>111</v>
      </c>
      <c r="D2845" t="s">
        <v>45</v>
      </c>
      <c r="E2845" t="s">
        <v>17</v>
      </c>
      <c r="F2845" t="s">
        <v>12</v>
      </c>
      <c r="G2845" t="s">
        <v>28</v>
      </c>
      <c r="H2845">
        <v>19</v>
      </c>
      <c r="I2845" t="str">
        <f>VLOOKUP(D2845,Product_Lookup!$A$2:$C$27,3,FALSE)</f>
        <v>$107.34</v>
      </c>
      <c r="J2845" t="str">
        <f t="shared" si="355"/>
        <v>Sunday</v>
      </c>
      <c r="K2845" s="10" t="str">
        <f t="shared" si="356"/>
        <v>August</v>
      </c>
      <c r="L2845">
        <f t="shared" si="357"/>
        <v>2024</v>
      </c>
      <c r="M2845" t="b">
        <f t="shared" si="358"/>
        <v>1</v>
      </c>
      <c r="N2845" t="b">
        <f t="shared" si="352"/>
        <v>1</v>
      </c>
      <c r="O2845" t="str">
        <f t="shared" si="359"/>
        <v>Large Order</v>
      </c>
      <c r="P2845" s="7">
        <f t="shared" si="353"/>
        <v>5.3670000000000009</v>
      </c>
      <c r="Q2845" s="7" t="str">
        <f>VLOOKUP(D2846,Product_Lookup!$A$2:$C$27,2,FALSE)</f>
        <v>Blender</v>
      </c>
      <c r="R2845" s="7">
        <f t="shared" si="354"/>
        <v>2039.46</v>
      </c>
    </row>
    <row r="2846" spans="1:18" ht="21.75" customHeight="1">
      <c r="A2846" t="s">
        <v>2997</v>
      </c>
      <c r="B2846" s="6">
        <v>45308</v>
      </c>
      <c r="C2846" t="s">
        <v>114</v>
      </c>
      <c r="D2846" t="s">
        <v>72</v>
      </c>
      <c r="E2846" t="s">
        <v>17</v>
      </c>
      <c r="F2846" t="s">
        <v>27</v>
      </c>
      <c r="G2846" t="s">
        <v>36</v>
      </c>
      <c r="H2846">
        <v>20</v>
      </c>
      <c r="I2846" t="str">
        <f>VLOOKUP(D2846,Product_Lookup!$A$2:$C$27,3,FALSE)</f>
        <v>$156.44</v>
      </c>
      <c r="J2846" t="str">
        <f t="shared" si="355"/>
        <v>Wednesday</v>
      </c>
      <c r="K2846" s="10" t="str">
        <f t="shared" si="356"/>
        <v>January</v>
      </c>
      <c r="L2846">
        <f t="shared" si="357"/>
        <v>2024</v>
      </c>
      <c r="M2846" t="b">
        <f t="shared" si="358"/>
        <v>0</v>
      </c>
      <c r="N2846" t="b">
        <f t="shared" si="352"/>
        <v>1</v>
      </c>
      <c r="O2846" t="str">
        <f t="shared" si="359"/>
        <v>Large Order</v>
      </c>
      <c r="P2846" s="7">
        <f t="shared" si="353"/>
        <v>7.8220000000000001</v>
      </c>
      <c r="Q2846" s="7" t="str">
        <f>VLOOKUP(D2847,Product_Lookup!$A$2:$C$27,2,FALSE)</f>
        <v>Lego Set</v>
      </c>
      <c r="R2846" s="7">
        <f t="shared" si="354"/>
        <v>3128.8</v>
      </c>
    </row>
    <row r="2847" spans="1:18" ht="21.75" customHeight="1">
      <c r="A2847" t="s">
        <v>2998</v>
      </c>
      <c r="B2847" s="6">
        <v>45373</v>
      </c>
      <c r="C2847" t="s">
        <v>363</v>
      </c>
      <c r="D2847" t="s">
        <v>84</v>
      </c>
      <c r="E2847" t="s">
        <v>17</v>
      </c>
      <c r="F2847" t="s">
        <v>12</v>
      </c>
      <c r="G2847" t="s">
        <v>28</v>
      </c>
      <c r="H2847">
        <v>20</v>
      </c>
      <c r="I2847" t="str">
        <f>VLOOKUP(D2847,Product_Lookup!$A$2:$C$27,3,FALSE)</f>
        <v>$130.07</v>
      </c>
      <c r="J2847" t="str">
        <f t="shared" si="355"/>
        <v>Friday</v>
      </c>
      <c r="K2847" s="10" t="str">
        <f t="shared" si="356"/>
        <v>March</v>
      </c>
      <c r="L2847">
        <f t="shared" si="357"/>
        <v>2024</v>
      </c>
      <c r="M2847" t="b">
        <f t="shared" si="358"/>
        <v>0</v>
      </c>
      <c r="N2847" t="b">
        <f t="shared" si="352"/>
        <v>1</v>
      </c>
      <c r="O2847" t="str">
        <f t="shared" si="359"/>
        <v>Large Order</v>
      </c>
      <c r="P2847" s="7">
        <f t="shared" si="353"/>
        <v>6.5034999999999998</v>
      </c>
      <c r="Q2847" s="7" t="str">
        <f>VLOOKUP(D2848,Product_Lookup!$A$2:$C$27,2,FALSE)</f>
        <v>Notebook</v>
      </c>
      <c r="R2847" s="7">
        <f t="shared" si="354"/>
        <v>2601.3999999999996</v>
      </c>
    </row>
    <row r="2848" spans="1:18" ht="21.75" customHeight="1">
      <c r="A2848" t="s">
        <v>2999</v>
      </c>
      <c r="B2848" s="6">
        <v>45303</v>
      </c>
      <c r="C2848" t="s">
        <v>363</v>
      </c>
      <c r="D2848" t="s">
        <v>160</v>
      </c>
      <c r="E2848" t="s">
        <v>11</v>
      </c>
      <c r="F2848" t="s">
        <v>56</v>
      </c>
      <c r="G2848" t="s">
        <v>32</v>
      </c>
      <c r="H2848">
        <v>4</v>
      </c>
      <c r="I2848" t="str">
        <f>VLOOKUP(D2848,Product_Lookup!$A$2:$C$27,3,FALSE)</f>
        <v>$149.27</v>
      </c>
      <c r="J2848" t="str">
        <f t="shared" si="355"/>
        <v>Friday</v>
      </c>
      <c r="K2848" s="10" t="str">
        <f t="shared" si="356"/>
        <v>January</v>
      </c>
      <c r="L2848">
        <f t="shared" si="357"/>
        <v>2024</v>
      </c>
      <c r="M2848" t="b">
        <f t="shared" si="358"/>
        <v>0</v>
      </c>
      <c r="N2848" t="b">
        <f t="shared" si="352"/>
        <v>0</v>
      </c>
      <c r="O2848" t="str">
        <f t="shared" si="359"/>
        <v>Large Order</v>
      </c>
      <c r="P2848" s="7">
        <f t="shared" si="353"/>
        <v>7.4635000000000007</v>
      </c>
      <c r="Q2848" s="7" t="str">
        <f>VLOOKUP(D2849,Product_Lookup!$A$2:$C$27,2,FALSE)</f>
        <v>Headphones</v>
      </c>
      <c r="R2848" s="7">
        <f t="shared" si="354"/>
        <v>597.08000000000004</v>
      </c>
    </row>
    <row r="2849" spans="1:18" ht="21.75" customHeight="1">
      <c r="A2849" t="s">
        <v>3000</v>
      </c>
      <c r="B2849" s="6">
        <v>45307</v>
      </c>
      <c r="C2849" t="s">
        <v>187</v>
      </c>
      <c r="D2849" t="s">
        <v>16</v>
      </c>
      <c r="E2849" t="s">
        <v>11</v>
      </c>
      <c r="F2849" t="s">
        <v>12</v>
      </c>
      <c r="G2849" t="s">
        <v>28</v>
      </c>
      <c r="H2849">
        <v>9</v>
      </c>
      <c r="I2849" t="str">
        <f>VLOOKUP(D2849,Product_Lookup!$A$2:$C$27,3,FALSE)</f>
        <v>$178.83</v>
      </c>
      <c r="J2849" t="str">
        <f t="shared" si="355"/>
        <v>Tuesday</v>
      </c>
      <c r="K2849" s="10" t="str">
        <f t="shared" si="356"/>
        <v>January</v>
      </c>
      <c r="L2849">
        <f t="shared" si="357"/>
        <v>2024</v>
      </c>
      <c r="M2849" t="b">
        <f t="shared" si="358"/>
        <v>0</v>
      </c>
      <c r="N2849" t="b">
        <f t="shared" si="352"/>
        <v>1</v>
      </c>
      <c r="O2849" t="str">
        <f t="shared" si="359"/>
        <v>Large Order</v>
      </c>
      <c r="P2849" s="7">
        <f t="shared" si="353"/>
        <v>8.9415000000000013</v>
      </c>
      <c r="Q2849" s="7" t="str">
        <f>VLOOKUP(D2850,Product_Lookup!$A$2:$C$27,2,FALSE)</f>
        <v>Toaster</v>
      </c>
      <c r="R2849" s="7">
        <f t="shared" si="354"/>
        <v>1609.47</v>
      </c>
    </row>
    <row r="2850" spans="1:18" ht="21.75" customHeight="1">
      <c r="A2850" t="s">
        <v>3001</v>
      </c>
      <c r="B2850" s="6">
        <v>45394</v>
      </c>
      <c r="C2850" t="s">
        <v>203</v>
      </c>
      <c r="D2850" t="s">
        <v>48</v>
      </c>
      <c r="E2850" t="s">
        <v>22</v>
      </c>
      <c r="F2850" t="s">
        <v>306</v>
      </c>
      <c r="G2850" t="s">
        <v>32</v>
      </c>
      <c r="H2850">
        <v>15</v>
      </c>
      <c r="I2850" t="str">
        <f>VLOOKUP(D2850,Product_Lookup!$A$2:$C$27,3,FALSE)</f>
        <v>$208.85</v>
      </c>
      <c r="J2850" t="str">
        <f t="shared" si="355"/>
        <v>Friday</v>
      </c>
      <c r="K2850" s="10" t="str">
        <f t="shared" si="356"/>
        <v>April</v>
      </c>
      <c r="L2850">
        <f t="shared" si="357"/>
        <v>2024</v>
      </c>
      <c r="M2850" t="b">
        <f t="shared" si="358"/>
        <v>0</v>
      </c>
      <c r="N2850" t="b">
        <f t="shared" si="352"/>
        <v>1</v>
      </c>
      <c r="O2850" t="str">
        <f t="shared" si="359"/>
        <v>Large Order</v>
      </c>
      <c r="P2850" s="7">
        <f t="shared" si="353"/>
        <v>10.442500000000001</v>
      </c>
      <c r="Q2850" s="7" t="str">
        <f>VLOOKUP(D2851,Product_Lookup!$A$2:$C$27,2,FALSE)</f>
        <v>Notebook</v>
      </c>
      <c r="R2850" s="7">
        <f t="shared" si="354"/>
        <v>3132.75</v>
      </c>
    </row>
    <row r="2851" spans="1:18" ht="21.75" customHeight="1">
      <c r="A2851" t="s">
        <v>3002</v>
      </c>
      <c r="B2851" s="6">
        <v>45545</v>
      </c>
      <c r="C2851" t="s">
        <v>348</v>
      </c>
      <c r="D2851" t="s">
        <v>160</v>
      </c>
      <c r="E2851" t="s">
        <v>17</v>
      </c>
      <c r="F2851" t="s">
        <v>56</v>
      </c>
      <c r="G2851" t="s">
        <v>32</v>
      </c>
      <c r="H2851">
        <v>6</v>
      </c>
      <c r="I2851" t="str">
        <f>VLOOKUP(D2851,Product_Lookup!$A$2:$C$27,3,FALSE)</f>
        <v>$149.27</v>
      </c>
      <c r="J2851" t="str">
        <f t="shared" si="355"/>
        <v>Tuesday</v>
      </c>
      <c r="K2851" s="10" t="str">
        <f t="shared" si="356"/>
        <v>September</v>
      </c>
      <c r="L2851">
        <f t="shared" si="357"/>
        <v>2024</v>
      </c>
      <c r="M2851" t="b">
        <f t="shared" si="358"/>
        <v>0</v>
      </c>
      <c r="N2851" t="b">
        <f t="shared" si="352"/>
        <v>1</v>
      </c>
      <c r="O2851" t="str">
        <f t="shared" si="359"/>
        <v>Large Order</v>
      </c>
      <c r="P2851" s="7">
        <f t="shared" si="353"/>
        <v>7.4635000000000007</v>
      </c>
      <c r="Q2851" s="7" t="str">
        <f>VLOOKUP(D2852,Product_Lookup!$A$2:$C$27,2,FALSE)</f>
        <v>Monitor</v>
      </c>
      <c r="R2851" s="7">
        <f t="shared" si="354"/>
        <v>895.62000000000012</v>
      </c>
    </row>
    <row r="2852" spans="1:18" ht="21.75" customHeight="1">
      <c r="A2852" t="s">
        <v>3003</v>
      </c>
      <c r="B2852" s="6">
        <v>45435</v>
      </c>
      <c r="C2852" t="s">
        <v>106</v>
      </c>
      <c r="D2852" t="s">
        <v>102</v>
      </c>
      <c r="E2852" t="s">
        <v>22</v>
      </c>
      <c r="F2852" t="s">
        <v>306</v>
      </c>
      <c r="G2852" t="s">
        <v>32</v>
      </c>
      <c r="H2852">
        <v>6</v>
      </c>
      <c r="I2852" t="str">
        <f>VLOOKUP(D2852,Product_Lookup!$A$2:$C$27,3,FALSE)</f>
        <v>$145.48</v>
      </c>
      <c r="J2852" t="str">
        <f t="shared" si="355"/>
        <v>Thursday</v>
      </c>
      <c r="K2852" s="10" t="str">
        <f t="shared" si="356"/>
        <v>May</v>
      </c>
      <c r="L2852">
        <f t="shared" si="357"/>
        <v>2024</v>
      </c>
      <c r="M2852" t="b">
        <f t="shared" si="358"/>
        <v>0</v>
      </c>
      <c r="N2852" t="b">
        <f t="shared" si="352"/>
        <v>1</v>
      </c>
      <c r="O2852" t="str">
        <f t="shared" si="359"/>
        <v>Large Order</v>
      </c>
      <c r="P2852" s="7">
        <f t="shared" si="353"/>
        <v>7.274</v>
      </c>
      <c r="Q2852" s="7" t="str">
        <f>VLOOKUP(D2853,Product_Lookup!$A$2:$C$27,2,FALSE)</f>
        <v>Air Fryer</v>
      </c>
      <c r="R2852" s="7">
        <f t="shared" si="354"/>
        <v>872.87999999999988</v>
      </c>
    </row>
    <row r="2853" spans="1:18" ht="21.75" customHeight="1">
      <c r="A2853" t="s">
        <v>3004</v>
      </c>
      <c r="B2853" s="6">
        <v>45541</v>
      </c>
      <c r="C2853" t="s">
        <v>348</v>
      </c>
      <c r="D2853" t="s">
        <v>70</v>
      </c>
      <c r="E2853" t="s">
        <v>17</v>
      </c>
      <c r="F2853" t="s">
        <v>306</v>
      </c>
      <c r="G2853" t="s">
        <v>32</v>
      </c>
      <c r="H2853">
        <v>11</v>
      </c>
      <c r="I2853" t="str">
        <f>VLOOKUP(D2853,Product_Lookup!$A$2:$C$27,3,FALSE)</f>
        <v>$211.9</v>
      </c>
      <c r="J2853" t="str">
        <f t="shared" si="355"/>
        <v>Friday</v>
      </c>
      <c r="K2853" s="10" t="str">
        <f t="shared" si="356"/>
        <v>September</v>
      </c>
      <c r="L2853">
        <f t="shared" si="357"/>
        <v>2024</v>
      </c>
      <c r="M2853" t="b">
        <f t="shared" si="358"/>
        <v>0</v>
      </c>
      <c r="N2853" t="b">
        <f t="shared" si="352"/>
        <v>1</v>
      </c>
      <c r="O2853" t="str">
        <f t="shared" si="359"/>
        <v>Large Order</v>
      </c>
      <c r="P2853" s="7">
        <f t="shared" si="353"/>
        <v>10.595000000000001</v>
      </c>
      <c r="Q2853" s="7" t="str">
        <f>VLOOKUP(D2854,Product_Lookup!$A$2:$C$27,2,FALSE)</f>
        <v>Vacuum</v>
      </c>
      <c r="R2853" s="7">
        <f t="shared" si="354"/>
        <v>2330.9</v>
      </c>
    </row>
    <row r="2854" spans="1:18" ht="21.75" customHeight="1">
      <c r="A2854" t="s">
        <v>3005</v>
      </c>
      <c r="B2854" s="6">
        <v>45602</v>
      </c>
      <c r="C2854" t="s">
        <v>53</v>
      </c>
      <c r="D2854" t="s">
        <v>87</v>
      </c>
      <c r="E2854" t="s">
        <v>11</v>
      </c>
      <c r="F2854" t="s">
        <v>306</v>
      </c>
      <c r="G2854" t="s">
        <v>32</v>
      </c>
      <c r="H2854">
        <v>12</v>
      </c>
      <c r="I2854" t="str">
        <f>VLOOKUP(D2854,Product_Lookup!$A$2:$C$27,3,FALSE)</f>
        <v>$26.59</v>
      </c>
      <c r="J2854" t="str">
        <f t="shared" si="355"/>
        <v>Wednesday</v>
      </c>
      <c r="K2854" s="10" t="str">
        <f t="shared" si="356"/>
        <v>November</v>
      </c>
      <c r="L2854">
        <f t="shared" si="357"/>
        <v>2024</v>
      </c>
      <c r="M2854" t="b">
        <f t="shared" si="358"/>
        <v>0</v>
      </c>
      <c r="N2854" t="b">
        <f t="shared" si="352"/>
        <v>0</v>
      </c>
      <c r="O2854" t="str">
        <f t="shared" si="359"/>
        <v>Standard order</v>
      </c>
      <c r="P2854" s="7">
        <f t="shared" si="353"/>
        <v>1.3295000000000001</v>
      </c>
      <c r="Q2854" s="7" t="str">
        <f>VLOOKUP(D2855,Product_Lookup!$A$2:$C$27,2,FALSE)</f>
        <v>T-Shirt</v>
      </c>
      <c r="R2854" s="7">
        <f t="shared" si="354"/>
        <v>319.08</v>
      </c>
    </row>
    <row r="2855" spans="1:18" ht="21.75" customHeight="1">
      <c r="A2855" t="s">
        <v>3006</v>
      </c>
      <c r="B2855" s="6">
        <v>45324</v>
      </c>
      <c r="C2855" t="s">
        <v>430</v>
      </c>
      <c r="D2855" t="s">
        <v>45</v>
      </c>
      <c r="E2855" t="s">
        <v>11</v>
      </c>
      <c r="F2855" t="s">
        <v>306</v>
      </c>
      <c r="G2855" t="s">
        <v>32</v>
      </c>
      <c r="H2855">
        <v>19</v>
      </c>
      <c r="I2855" t="str">
        <f>VLOOKUP(D2855,Product_Lookup!$A$2:$C$27,3,FALSE)</f>
        <v>$107.34</v>
      </c>
      <c r="J2855" t="str">
        <f t="shared" si="355"/>
        <v>Friday</v>
      </c>
      <c r="K2855" s="10" t="str">
        <f t="shared" si="356"/>
        <v>February</v>
      </c>
      <c r="L2855">
        <f t="shared" si="357"/>
        <v>2024</v>
      </c>
      <c r="M2855" t="b">
        <f t="shared" si="358"/>
        <v>0</v>
      </c>
      <c r="N2855" t="b">
        <f t="shared" si="352"/>
        <v>1</v>
      </c>
      <c r="O2855" t="str">
        <f t="shared" si="359"/>
        <v>Large Order</v>
      </c>
      <c r="P2855" s="7">
        <f t="shared" si="353"/>
        <v>5.3670000000000009</v>
      </c>
      <c r="Q2855" s="7" t="str">
        <f>VLOOKUP(D2856,Product_Lookup!$A$2:$C$27,2,FALSE)</f>
        <v>Notebook</v>
      </c>
      <c r="R2855" s="7">
        <f t="shared" si="354"/>
        <v>2039.46</v>
      </c>
    </row>
    <row r="2856" spans="1:18" ht="21.75" customHeight="1">
      <c r="A2856" t="s">
        <v>3007</v>
      </c>
      <c r="B2856" s="6">
        <v>45601</v>
      </c>
      <c r="C2856" t="s">
        <v>736</v>
      </c>
      <c r="D2856" t="s">
        <v>160</v>
      </c>
      <c r="E2856" t="s">
        <v>17</v>
      </c>
      <c r="F2856" t="s">
        <v>27</v>
      </c>
      <c r="G2856" t="s">
        <v>13</v>
      </c>
      <c r="H2856">
        <v>4</v>
      </c>
      <c r="I2856" t="str">
        <f>VLOOKUP(D2856,Product_Lookup!$A$2:$C$27,3,FALSE)</f>
        <v>$149.27</v>
      </c>
      <c r="J2856" t="str">
        <f t="shared" si="355"/>
        <v>Tuesday</v>
      </c>
      <c r="K2856" s="10" t="str">
        <f t="shared" si="356"/>
        <v>November</v>
      </c>
      <c r="L2856">
        <f t="shared" si="357"/>
        <v>2024</v>
      </c>
      <c r="M2856" t="b">
        <f t="shared" si="358"/>
        <v>0</v>
      </c>
      <c r="N2856" t="b">
        <f t="shared" si="352"/>
        <v>0</v>
      </c>
      <c r="O2856" t="str">
        <f t="shared" si="359"/>
        <v>Large Order</v>
      </c>
      <c r="P2856" s="7">
        <f t="shared" si="353"/>
        <v>7.4635000000000007</v>
      </c>
      <c r="Q2856" s="7" t="str">
        <f>VLOOKUP(D2857,Product_Lookup!$A$2:$C$27,2,FALSE)</f>
        <v>T-Shirt</v>
      </c>
      <c r="R2856" s="7">
        <f t="shared" si="354"/>
        <v>597.08000000000004</v>
      </c>
    </row>
    <row r="2857" spans="1:18" ht="21.75" customHeight="1">
      <c r="A2857" t="s">
        <v>3008</v>
      </c>
      <c r="B2857" s="6">
        <v>45457</v>
      </c>
      <c r="C2857" t="s">
        <v>309</v>
      </c>
      <c r="D2857" t="s">
        <v>45</v>
      </c>
      <c r="E2857" t="s">
        <v>17</v>
      </c>
      <c r="F2857" t="s">
        <v>56</v>
      </c>
      <c r="G2857" t="s">
        <v>13</v>
      </c>
      <c r="H2857">
        <v>7</v>
      </c>
      <c r="I2857" t="str">
        <f>VLOOKUP(D2857,Product_Lookup!$A$2:$C$27,3,FALSE)</f>
        <v>$107.34</v>
      </c>
      <c r="J2857" t="str">
        <f t="shared" si="355"/>
        <v>Friday</v>
      </c>
      <c r="K2857" s="10" t="str">
        <f t="shared" si="356"/>
        <v>June</v>
      </c>
      <c r="L2857">
        <f t="shared" si="357"/>
        <v>2024</v>
      </c>
      <c r="M2857" t="b">
        <f t="shared" si="358"/>
        <v>0</v>
      </c>
      <c r="N2857" t="b">
        <f t="shared" si="352"/>
        <v>1</v>
      </c>
      <c r="O2857" t="str">
        <f t="shared" si="359"/>
        <v>Large Order</v>
      </c>
      <c r="P2857" s="7">
        <f t="shared" si="353"/>
        <v>5.3670000000000009</v>
      </c>
      <c r="Q2857" s="7" t="str">
        <f>VLOOKUP(D2858,Product_Lookup!$A$2:$C$27,2,FALSE)</f>
        <v>Doll</v>
      </c>
      <c r="R2857" s="7">
        <f t="shared" si="354"/>
        <v>751.38</v>
      </c>
    </row>
    <row r="2858" spans="1:18" ht="21.75" customHeight="1">
      <c r="A2858" t="s">
        <v>3009</v>
      </c>
      <c r="B2858" s="6">
        <v>45482</v>
      </c>
      <c r="C2858" t="s">
        <v>167</v>
      </c>
      <c r="D2858" t="s">
        <v>119</v>
      </c>
      <c r="E2858" t="s">
        <v>17</v>
      </c>
      <c r="F2858" t="s">
        <v>12</v>
      </c>
      <c r="G2858" t="s">
        <v>13</v>
      </c>
      <c r="H2858">
        <v>11</v>
      </c>
      <c r="I2858" t="str">
        <f>VLOOKUP(D2858,Product_Lookup!$A$2:$C$27,3,FALSE)</f>
        <v>$32.94</v>
      </c>
      <c r="J2858" t="str">
        <f t="shared" si="355"/>
        <v>Tuesday</v>
      </c>
      <c r="K2858" s="10" t="str">
        <f t="shared" si="356"/>
        <v>July</v>
      </c>
      <c r="L2858">
        <f t="shared" si="357"/>
        <v>2024</v>
      </c>
      <c r="M2858" t="b">
        <f t="shared" si="358"/>
        <v>0</v>
      </c>
      <c r="N2858" t="b">
        <f t="shared" si="352"/>
        <v>0</v>
      </c>
      <c r="O2858" t="str">
        <f t="shared" si="359"/>
        <v>Standard order</v>
      </c>
      <c r="P2858" s="7">
        <f t="shared" si="353"/>
        <v>1.647</v>
      </c>
      <c r="Q2858" s="7" t="str">
        <f>VLOOKUP(D2859,Product_Lookup!$A$2:$C$27,2,FALSE)</f>
        <v>Air Fryer</v>
      </c>
      <c r="R2858" s="7">
        <f t="shared" si="354"/>
        <v>362.34</v>
      </c>
    </row>
    <row r="2859" spans="1:18" ht="21.75" customHeight="1">
      <c r="A2859" t="s">
        <v>3010</v>
      </c>
      <c r="B2859" s="6">
        <v>45460</v>
      </c>
      <c r="C2859" t="s">
        <v>133</v>
      </c>
      <c r="D2859" t="s">
        <v>70</v>
      </c>
      <c r="E2859" t="s">
        <v>22</v>
      </c>
      <c r="F2859" t="s">
        <v>42</v>
      </c>
      <c r="G2859" t="s">
        <v>28</v>
      </c>
      <c r="H2859">
        <v>18</v>
      </c>
      <c r="I2859" t="str">
        <f>VLOOKUP(D2859,Product_Lookup!$A$2:$C$27,3,FALSE)</f>
        <v>$211.9</v>
      </c>
      <c r="J2859" t="str">
        <f t="shared" si="355"/>
        <v>Monday</v>
      </c>
      <c r="K2859" s="10" t="str">
        <f t="shared" si="356"/>
        <v>June</v>
      </c>
      <c r="L2859">
        <f t="shared" si="357"/>
        <v>2024</v>
      </c>
      <c r="M2859" t="b">
        <f t="shared" si="358"/>
        <v>0</v>
      </c>
      <c r="N2859" t="b">
        <f t="shared" si="352"/>
        <v>1</v>
      </c>
      <c r="O2859" t="str">
        <f t="shared" si="359"/>
        <v>Large Order</v>
      </c>
      <c r="P2859" s="7">
        <f t="shared" si="353"/>
        <v>10.595000000000001</v>
      </c>
      <c r="Q2859" s="7" t="str">
        <f>VLOOKUP(D2860,Product_Lookup!$A$2:$C$27,2,FALSE)</f>
        <v>Jeans</v>
      </c>
      <c r="R2859" s="7">
        <f t="shared" si="354"/>
        <v>3814.2000000000003</v>
      </c>
    </row>
    <row r="2860" spans="1:18" ht="21.75" customHeight="1">
      <c r="A2860" t="s">
        <v>3011</v>
      </c>
      <c r="B2860" s="6">
        <v>45437</v>
      </c>
      <c r="C2860" t="s">
        <v>493</v>
      </c>
      <c r="D2860" t="s">
        <v>65</v>
      </c>
      <c r="E2860" t="s">
        <v>22</v>
      </c>
      <c r="F2860" t="s">
        <v>56</v>
      </c>
      <c r="G2860" t="s">
        <v>13</v>
      </c>
      <c r="H2860">
        <v>18</v>
      </c>
      <c r="I2860" t="str">
        <f>VLOOKUP(D2860,Product_Lookup!$A$2:$C$27,3,FALSE)</f>
        <v>$33.22</v>
      </c>
      <c r="J2860" t="str">
        <f t="shared" si="355"/>
        <v>Saturday</v>
      </c>
      <c r="K2860" s="10" t="str">
        <f t="shared" si="356"/>
        <v>May</v>
      </c>
      <c r="L2860">
        <f t="shared" si="357"/>
        <v>2024</v>
      </c>
      <c r="M2860" t="b">
        <f t="shared" si="358"/>
        <v>1</v>
      </c>
      <c r="N2860" t="b">
        <f t="shared" si="352"/>
        <v>0</v>
      </c>
      <c r="O2860" t="str">
        <f t="shared" si="359"/>
        <v>Large Order</v>
      </c>
      <c r="P2860" s="7">
        <f t="shared" si="353"/>
        <v>1.661</v>
      </c>
      <c r="Q2860" s="7" t="str">
        <f>VLOOKUP(D2861,Product_Lookup!$A$2:$C$27,2,FALSE)</f>
        <v>Tablet</v>
      </c>
      <c r="R2860" s="7">
        <f t="shared" si="354"/>
        <v>597.96</v>
      </c>
    </row>
    <row r="2861" spans="1:18" ht="21.75" customHeight="1">
      <c r="A2861" t="s">
        <v>3012</v>
      </c>
      <c r="B2861" s="6">
        <v>45603</v>
      </c>
      <c r="C2861" t="s">
        <v>317</v>
      </c>
      <c r="D2861" t="s">
        <v>10</v>
      </c>
      <c r="E2861" t="s">
        <v>22</v>
      </c>
      <c r="F2861" t="s">
        <v>27</v>
      </c>
      <c r="G2861" t="s">
        <v>23</v>
      </c>
      <c r="H2861">
        <v>11</v>
      </c>
      <c r="I2861" t="str">
        <f>VLOOKUP(D2861,Product_Lookup!$A$2:$C$27,3,FALSE)</f>
        <v>$146.06</v>
      </c>
      <c r="J2861" t="str">
        <f t="shared" si="355"/>
        <v>Thursday</v>
      </c>
      <c r="K2861" s="10" t="str">
        <f t="shared" si="356"/>
        <v>November</v>
      </c>
      <c r="L2861">
        <f t="shared" si="357"/>
        <v>2024</v>
      </c>
      <c r="M2861" t="b">
        <f t="shared" si="358"/>
        <v>0</v>
      </c>
      <c r="N2861" t="b">
        <f t="shared" si="352"/>
        <v>1</v>
      </c>
      <c r="O2861" t="str">
        <f t="shared" si="359"/>
        <v>Large Order</v>
      </c>
      <c r="P2861" s="7">
        <f t="shared" si="353"/>
        <v>7.3030000000000008</v>
      </c>
      <c r="Q2861" s="7" t="str">
        <f>VLOOKUP(D2862,Product_Lookup!$A$2:$C$27,2,FALSE)</f>
        <v>Smartphone</v>
      </c>
      <c r="R2861" s="7">
        <f t="shared" si="354"/>
        <v>1606.66</v>
      </c>
    </row>
    <row r="2862" spans="1:18" ht="21.75" customHeight="1">
      <c r="A2862" t="s">
        <v>3013</v>
      </c>
      <c r="B2862" s="6">
        <v>45393</v>
      </c>
      <c r="C2862" t="s">
        <v>104</v>
      </c>
      <c r="D2862" t="s">
        <v>79</v>
      </c>
      <c r="E2862" t="s">
        <v>17</v>
      </c>
      <c r="F2862" t="s">
        <v>27</v>
      </c>
      <c r="G2862" t="s">
        <v>13</v>
      </c>
      <c r="H2862">
        <v>9</v>
      </c>
      <c r="I2862" t="str">
        <f>VLOOKUP(D2862,Product_Lookup!$A$2:$C$27,3,FALSE)</f>
        <v>$216.22</v>
      </c>
      <c r="J2862" t="str">
        <f t="shared" si="355"/>
        <v>Thursday</v>
      </c>
      <c r="K2862" s="10" t="str">
        <f t="shared" si="356"/>
        <v>April</v>
      </c>
      <c r="L2862">
        <f t="shared" si="357"/>
        <v>2024</v>
      </c>
      <c r="M2862" t="b">
        <f t="shared" si="358"/>
        <v>0</v>
      </c>
      <c r="N2862" t="b">
        <f t="shared" si="352"/>
        <v>1</v>
      </c>
      <c r="O2862" t="str">
        <f t="shared" si="359"/>
        <v>Large Order</v>
      </c>
      <c r="P2862" s="7">
        <f t="shared" si="353"/>
        <v>10.811</v>
      </c>
      <c r="Q2862" s="7" t="str">
        <f>VLOOKUP(D2863,Product_Lookup!$A$2:$C$27,2,FALSE)</f>
        <v>T-Shirt</v>
      </c>
      <c r="R2862" s="7">
        <f t="shared" si="354"/>
        <v>1945.98</v>
      </c>
    </row>
    <row r="2863" spans="1:18" ht="21.75" customHeight="1">
      <c r="A2863" t="s">
        <v>3014</v>
      </c>
      <c r="B2863" s="6">
        <v>45355</v>
      </c>
      <c r="C2863" t="s">
        <v>430</v>
      </c>
      <c r="D2863" t="s">
        <v>45</v>
      </c>
      <c r="E2863" t="s">
        <v>22</v>
      </c>
      <c r="F2863" t="s">
        <v>42</v>
      </c>
      <c r="G2863" t="s">
        <v>36</v>
      </c>
      <c r="H2863">
        <v>13</v>
      </c>
      <c r="I2863" t="str">
        <f>VLOOKUP(D2863,Product_Lookup!$A$2:$C$27,3,FALSE)</f>
        <v>$107.34</v>
      </c>
      <c r="J2863" t="str">
        <f t="shared" si="355"/>
        <v>Monday</v>
      </c>
      <c r="K2863" s="10" t="str">
        <f t="shared" si="356"/>
        <v>March</v>
      </c>
      <c r="L2863">
        <f t="shared" si="357"/>
        <v>2024</v>
      </c>
      <c r="M2863" t="b">
        <f t="shared" si="358"/>
        <v>0</v>
      </c>
      <c r="N2863" t="b">
        <f t="shared" si="352"/>
        <v>1</v>
      </c>
      <c r="O2863" t="str">
        <f t="shared" si="359"/>
        <v>Large Order</v>
      </c>
      <c r="P2863" s="7">
        <f t="shared" si="353"/>
        <v>5.3670000000000009</v>
      </c>
      <c r="Q2863" s="7" t="str">
        <f>VLOOKUP(D2864,Product_Lookup!$A$2:$C$27,2,FALSE)</f>
        <v>Laptop</v>
      </c>
      <c r="R2863" s="7">
        <f t="shared" si="354"/>
        <v>1395.42</v>
      </c>
    </row>
    <row r="2864" spans="1:18" ht="21.75" customHeight="1">
      <c r="A2864" t="s">
        <v>3015</v>
      </c>
      <c r="B2864" s="6">
        <v>45302</v>
      </c>
      <c r="C2864" t="s">
        <v>55</v>
      </c>
      <c r="D2864" t="s">
        <v>96</v>
      </c>
      <c r="E2864" t="s">
        <v>22</v>
      </c>
      <c r="F2864" t="s">
        <v>306</v>
      </c>
      <c r="G2864" t="s">
        <v>13</v>
      </c>
      <c r="H2864">
        <v>15</v>
      </c>
      <c r="I2864" t="str">
        <f>VLOOKUP(D2864,Product_Lookup!$A$2:$C$27,3,FALSE)</f>
        <v>$230.68</v>
      </c>
      <c r="J2864" t="str">
        <f t="shared" si="355"/>
        <v>Thursday</v>
      </c>
      <c r="K2864" s="10" t="str">
        <f t="shared" si="356"/>
        <v>January</v>
      </c>
      <c r="L2864">
        <f t="shared" si="357"/>
        <v>2024</v>
      </c>
      <c r="M2864" t="b">
        <f t="shared" si="358"/>
        <v>0</v>
      </c>
      <c r="N2864" t="b">
        <f t="shared" si="352"/>
        <v>1</v>
      </c>
      <c r="O2864" t="str">
        <f t="shared" si="359"/>
        <v>Large Order</v>
      </c>
      <c r="P2864" s="7">
        <f t="shared" si="353"/>
        <v>11.534000000000001</v>
      </c>
      <c r="Q2864" s="7" t="str">
        <f>VLOOKUP(D2865,Product_Lookup!$A$2:$C$27,2,FALSE)</f>
        <v>Pen Set</v>
      </c>
      <c r="R2864" s="7">
        <f t="shared" si="354"/>
        <v>3460.2000000000003</v>
      </c>
    </row>
    <row r="2865" spans="1:18" ht="21.75" customHeight="1">
      <c r="A2865" t="s">
        <v>3016</v>
      </c>
      <c r="B2865" s="6">
        <v>45498</v>
      </c>
      <c r="C2865" t="s">
        <v>122</v>
      </c>
      <c r="D2865" t="s">
        <v>174</v>
      </c>
      <c r="E2865" t="s">
        <v>22</v>
      </c>
      <c r="F2865" t="s">
        <v>12</v>
      </c>
      <c r="G2865" t="s">
        <v>32</v>
      </c>
      <c r="H2865">
        <v>1</v>
      </c>
      <c r="I2865" t="str">
        <f>VLOOKUP(D2865,Product_Lookup!$A$2:$C$27,3,FALSE)</f>
        <v>$133.37</v>
      </c>
      <c r="J2865" t="str">
        <f t="shared" si="355"/>
        <v>Thursday</v>
      </c>
      <c r="K2865" s="10" t="str">
        <f t="shared" si="356"/>
        <v>July</v>
      </c>
      <c r="L2865">
        <f t="shared" si="357"/>
        <v>2024</v>
      </c>
      <c r="M2865" t="b">
        <f t="shared" si="358"/>
        <v>0</v>
      </c>
      <c r="N2865" t="b">
        <f t="shared" si="352"/>
        <v>0</v>
      </c>
      <c r="O2865" t="str">
        <f t="shared" si="359"/>
        <v>Standard order</v>
      </c>
      <c r="P2865" s="7">
        <f t="shared" si="353"/>
        <v>6.6685000000000008</v>
      </c>
      <c r="Q2865" s="7" t="str">
        <f>VLOOKUP(D2866,Product_Lookup!$A$2:$C$27,2,FALSE)</f>
        <v>Lego Set</v>
      </c>
      <c r="R2865" s="7">
        <f t="shared" si="354"/>
        <v>133.37</v>
      </c>
    </row>
    <row r="2866" spans="1:18" ht="21.75" customHeight="1">
      <c r="A2866" t="s">
        <v>3017</v>
      </c>
      <c r="B2866" s="6">
        <v>45340</v>
      </c>
      <c r="C2866" t="s">
        <v>572</v>
      </c>
      <c r="D2866" t="s">
        <v>84</v>
      </c>
      <c r="E2866" t="s">
        <v>17</v>
      </c>
      <c r="F2866" t="s">
        <v>42</v>
      </c>
      <c r="G2866" t="s">
        <v>32</v>
      </c>
      <c r="H2866">
        <v>12</v>
      </c>
      <c r="I2866" t="str">
        <f>VLOOKUP(D2866,Product_Lookup!$A$2:$C$27,3,FALSE)</f>
        <v>$130.07</v>
      </c>
      <c r="J2866" t="str">
        <f t="shared" si="355"/>
        <v>Sunday</v>
      </c>
      <c r="K2866" s="10" t="str">
        <f t="shared" si="356"/>
        <v>February</v>
      </c>
      <c r="L2866">
        <f t="shared" si="357"/>
        <v>2024</v>
      </c>
      <c r="M2866" t="b">
        <f t="shared" si="358"/>
        <v>1</v>
      </c>
      <c r="N2866" t="b">
        <f t="shared" si="352"/>
        <v>1</v>
      </c>
      <c r="O2866" t="str">
        <f t="shared" si="359"/>
        <v>Large Order</v>
      </c>
      <c r="P2866" s="7">
        <f t="shared" si="353"/>
        <v>6.5034999999999998</v>
      </c>
      <c r="Q2866" s="7" t="str">
        <f>VLOOKUP(D2867,Product_Lookup!$A$2:$C$27,2,FALSE)</f>
        <v>Blender</v>
      </c>
      <c r="R2866" s="7">
        <f t="shared" si="354"/>
        <v>1560.84</v>
      </c>
    </row>
    <row r="2867" spans="1:18" ht="21.75" customHeight="1">
      <c r="A2867" t="s">
        <v>3018</v>
      </c>
      <c r="B2867" s="6">
        <v>45576</v>
      </c>
      <c r="C2867" t="s">
        <v>420</v>
      </c>
      <c r="D2867" t="s">
        <v>72</v>
      </c>
      <c r="E2867" t="s">
        <v>17</v>
      </c>
      <c r="F2867" t="s">
        <v>306</v>
      </c>
      <c r="G2867" t="s">
        <v>13</v>
      </c>
      <c r="H2867">
        <v>13</v>
      </c>
      <c r="I2867" t="str">
        <f>VLOOKUP(D2867,Product_Lookup!$A$2:$C$27,3,FALSE)</f>
        <v>$156.44</v>
      </c>
      <c r="J2867" t="str">
        <f t="shared" si="355"/>
        <v>Friday</v>
      </c>
      <c r="K2867" s="10" t="str">
        <f t="shared" si="356"/>
        <v>October</v>
      </c>
      <c r="L2867">
        <f t="shared" si="357"/>
        <v>2024</v>
      </c>
      <c r="M2867" t="b">
        <f t="shared" si="358"/>
        <v>0</v>
      </c>
      <c r="N2867" t="b">
        <f t="shared" si="352"/>
        <v>1</v>
      </c>
      <c r="O2867" t="str">
        <f t="shared" si="359"/>
        <v>Large Order</v>
      </c>
      <c r="P2867" s="7">
        <f t="shared" si="353"/>
        <v>7.8220000000000001</v>
      </c>
      <c r="Q2867" s="7" t="str">
        <f>VLOOKUP(D2868,Product_Lookup!$A$2:$C$27,2,FALSE)</f>
        <v>Action Figure</v>
      </c>
      <c r="R2867" s="7">
        <f t="shared" si="354"/>
        <v>2033.72</v>
      </c>
    </row>
    <row r="2868" spans="1:18" ht="21.75" customHeight="1">
      <c r="A2868" t="s">
        <v>3019</v>
      </c>
      <c r="B2868" s="6">
        <v>45524</v>
      </c>
      <c r="C2868" t="s">
        <v>432</v>
      </c>
      <c r="D2868" t="s">
        <v>21</v>
      </c>
      <c r="E2868" t="s">
        <v>11</v>
      </c>
      <c r="F2868" t="s">
        <v>42</v>
      </c>
      <c r="G2868" t="s">
        <v>36</v>
      </c>
      <c r="H2868">
        <v>4</v>
      </c>
      <c r="I2868" t="str">
        <f>VLOOKUP(D2868,Product_Lookup!$A$2:$C$27,3,FALSE)</f>
        <v>$88.18</v>
      </c>
      <c r="J2868" t="str">
        <f t="shared" si="355"/>
        <v>Tuesday</v>
      </c>
      <c r="K2868" s="10" t="str">
        <f t="shared" si="356"/>
        <v>August</v>
      </c>
      <c r="L2868">
        <f t="shared" si="357"/>
        <v>2024</v>
      </c>
      <c r="M2868" t="b">
        <f t="shared" si="358"/>
        <v>0</v>
      </c>
      <c r="N2868" t="b">
        <f t="shared" si="352"/>
        <v>0</v>
      </c>
      <c r="O2868" t="str">
        <f t="shared" si="359"/>
        <v>Standard order</v>
      </c>
      <c r="P2868" s="7">
        <f t="shared" si="353"/>
        <v>4.4090000000000007</v>
      </c>
      <c r="Q2868" s="7" t="str">
        <f>VLOOKUP(D2869,Product_Lookup!$A$2:$C$27,2,FALSE)</f>
        <v>Headphones</v>
      </c>
      <c r="R2868" s="7">
        <f t="shared" si="354"/>
        <v>352.72</v>
      </c>
    </row>
    <row r="2869" spans="1:18" ht="21.75" customHeight="1">
      <c r="A2869" t="s">
        <v>3020</v>
      </c>
      <c r="B2869" s="6">
        <v>45316</v>
      </c>
      <c r="C2869" t="s">
        <v>142</v>
      </c>
      <c r="D2869" t="s">
        <v>16</v>
      </c>
      <c r="E2869" t="s">
        <v>11</v>
      </c>
      <c r="F2869" t="s">
        <v>42</v>
      </c>
      <c r="G2869" t="s">
        <v>23</v>
      </c>
      <c r="H2869">
        <v>8</v>
      </c>
      <c r="I2869" t="str">
        <f>VLOOKUP(D2869,Product_Lookup!$A$2:$C$27,3,FALSE)</f>
        <v>$178.83</v>
      </c>
      <c r="J2869" t="str">
        <f t="shared" si="355"/>
        <v>Thursday</v>
      </c>
      <c r="K2869" s="10" t="str">
        <f t="shared" si="356"/>
        <v>January</v>
      </c>
      <c r="L2869">
        <f t="shared" si="357"/>
        <v>2024</v>
      </c>
      <c r="M2869" t="b">
        <f t="shared" si="358"/>
        <v>0</v>
      </c>
      <c r="N2869" t="b">
        <f t="shared" si="352"/>
        <v>1</v>
      </c>
      <c r="O2869" t="str">
        <f t="shared" si="359"/>
        <v>Large Order</v>
      </c>
      <c r="P2869" s="7">
        <f t="shared" si="353"/>
        <v>8.9415000000000013</v>
      </c>
      <c r="Q2869" s="7" t="str">
        <f>VLOOKUP(D2870,Product_Lookup!$A$2:$C$27,2,FALSE)</f>
        <v>Toaster</v>
      </c>
      <c r="R2869" s="7">
        <f t="shared" si="354"/>
        <v>1430.64</v>
      </c>
    </row>
    <row r="2870" spans="1:18" ht="21.75" customHeight="1">
      <c r="A2870" t="s">
        <v>3021</v>
      </c>
      <c r="B2870" s="6">
        <v>45389</v>
      </c>
      <c r="C2870" t="s">
        <v>329</v>
      </c>
      <c r="D2870" t="s">
        <v>48</v>
      </c>
      <c r="E2870" t="s">
        <v>22</v>
      </c>
      <c r="F2870" t="s">
        <v>12</v>
      </c>
      <c r="G2870" t="s">
        <v>13</v>
      </c>
      <c r="H2870">
        <v>9</v>
      </c>
      <c r="I2870" t="str">
        <f>VLOOKUP(D2870,Product_Lookup!$A$2:$C$27,3,FALSE)</f>
        <v>$208.85</v>
      </c>
      <c r="J2870" t="str">
        <f t="shared" si="355"/>
        <v>Sunday</v>
      </c>
      <c r="K2870" s="10" t="str">
        <f t="shared" si="356"/>
        <v>April</v>
      </c>
      <c r="L2870">
        <f t="shared" si="357"/>
        <v>2024</v>
      </c>
      <c r="M2870" t="b">
        <f t="shared" si="358"/>
        <v>1</v>
      </c>
      <c r="N2870" t="b">
        <f t="shared" si="352"/>
        <v>1</v>
      </c>
      <c r="O2870" t="str">
        <f t="shared" si="359"/>
        <v>Large Order</v>
      </c>
      <c r="P2870" s="7">
        <f t="shared" si="353"/>
        <v>10.442500000000001</v>
      </c>
      <c r="Q2870" s="7" t="str">
        <f>VLOOKUP(D2871,Product_Lookup!$A$2:$C$27,2,FALSE)</f>
        <v>Smartphone</v>
      </c>
      <c r="R2870" s="7">
        <f t="shared" si="354"/>
        <v>1879.6499999999999</v>
      </c>
    </row>
    <row r="2871" spans="1:18" ht="21.75" customHeight="1">
      <c r="A2871" t="s">
        <v>3022</v>
      </c>
      <c r="B2871" s="6">
        <v>45314</v>
      </c>
      <c r="C2871" t="s">
        <v>40</v>
      </c>
      <c r="D2871" t="s">
        <v>79</v>
      </c>
      <c r="E2871" t="s">
        <v>17</v>
      </c>
      <c r="F2871" t="s">
        <v>12</v>
      </c>
      <c r="G2871" t="s">
        <v>32</v>
      </c>
      <c r="H2871">
        <v>11</v>
      </c>
      <c r="I2871" t="str">
        <f>VLOOKUP(D2871,Product_Lookup!$A$2:$C$27,3,FALSE)</f>
        <v>$216.22</v>
      </c>
      <c r="J2871" t="str">
        <f t="shared" si="355"/>
        <v>Tuesday</v>
      </c>
      <c r="K2871" s="10" t="str">
        <f t="shared" si="356"/>
        <v>January</v>
      </c>
      <c r="L2871">
        <f t="shared" si="357"/>
        <v>2024</v>
      </c>
      <c r="M2871" t="b">
        <f t="shared" si="358"/>
        <v>0</v>
      </c>
      <c r="N2871" t="b">
        <f t="shared" si="352"/>
        <v>1</v>
      </c>
      <c r="O2871" t="str">
        <f t="shared" si="359"/>
        <v>Large Order</v>
      </c>
      <c r="P2871" s="7">
        <f t="shared" si="353"/>
        <v>10.811</v>
      </c>
      <c r="Q2871" s="7" t="str">
        <f>VLOOKUP(D2872,Product_Lookup!$A$2:$C$27,2,FALSE)</f>
        <v>Puzzle</v>
      </c>
      <c r="R2871" s="7">
        <f t="shared" si="354"/>
        <v>2378.42</v>
      </c>
    </row>
    <row r="2872" spans="1:18" ht="21.75" customHeight="1">
      <c r="A2872" t="s">
        <v>3023</v>
      </c>
      <c r="B2872" s="6">
        <v>45486</v>
      </c>
      <c r="C2872" t="s">
        <v>101</v>
      </c>
      <c r="D2872" t="s">
        <v>62</v>
      </c>
      <c r="E2872" t="s">
        <v>11</v>
      </c>
      <c r="F2872" t="s">
        <v>56</v>
      </c>
      <c r="G2872" t="s">
        <v>36</v>
      </c>
      <c r="H2872">
        <v>15</v>
      </c>
      <c r="I2872" t="str">
        <f>VLOOKUP(D2872,Product_Lookup!$A$2:$C$27,3,FALSE)</f>
        <v>$46.19</v>
      </c>
      <c r="J2872" t="str">
        <f t="shared" si="355"/>
        <v>Saturday</v>
      </c>
      <c r="K2872" s="10" t="str">
        <f t="shared" si="356"/>
        <v>July</v>
      </c>
      <c r="L2872">
        <f t="shared" si="357"/>
        <v>2024</v>
      </c>
      <c r="M2872" t="b">
        <f t="shared" si="358"/>
        <v>1</v>
      </c>
      <c r="N2872" t="b">
        <f t="shared" si="352"/>
        <v>0</v>
      </c>
      <c r="O2872" t="str">
        <f t="shared" si="359"/>
        <v>Large Order</v>
      </c>
      <c r="P2872" s="7">
        <f t="shared" si="353"/>
        <v>2.3094999999999999</v>
      </c>
      <c r="Q2872" s="7" t="str">
        <f>VLOOKUP(D2873,Product_Lookup!$A$2:$C$27,2,FALSE)</f>
        <v>Doll</v>
      </c>
      <c r="R2872" s="7">
        <f t="shared" si="354"/>
        <v>692.84999999999991</v>
      </c>
    </row>
    <row r="2873" spans="1:18" ht="21.75" customHeight="1">
      <c r="A2873" t="s">
        <v>3024</v>
      </c>
      <c r="B2873" s="6">
        <v>45455</v>
      </c>
      <c r="C2873" t="s">
        <v>167</v>
      </c>
      <c r="D2873" t="s">
        <v>119</v>
      </c>
      <c r="E2873" t="s">
        <v>22</v>
      </c>
      <c r="F2873" t="s">
        <v>27</v>
      </c>
      <c r="G2873" t="s">
        <v>23</v>
      </c>
      <c r="H2873">
        <v>4</v>
      </c>
      <c r="I2873" t="str">
        <f>VLOOKUP(D2873,Product_Lookup!$A$2:$C$27,3,FALSE)</f>
        <v>$32.94</v>
      </c>
      <c r="J2873" t="str">
        <f t="shared" si="355"/>
        <v>Wednesday</v>
      </c>
      <c r="K2873" s="10" t="str">
        <f t="shared" si="356"/>
        <v>June</v>
      </c>
      <c r="L2873">
        <f t="shared" si="357"/>
        <v>2024</v>
      </c>
      <c r="M2873" t="b">
        <f t="shared" si="358"/>
        <v>0</v>
      </c>
      <c r="N2873" t="b">
        <f t="shared" si="352"/>
        <v>0</v>
      </c>
      <c r="O2873" t="str">
        <f t="shared" si="359"/>
        <v>Standard order</v>
      </c>
      <c r="P2873" s="7">
        <f t="shared" si="353"/>
        <v>1.647</v>
      </c>
      <c r="Q2873" s="7" t="str">
        <f>VLOOKUP(D2874,Product_Lookup!$A$2:$C$27,2,FALSE)</f>
        <v>Stapler</v>
      </c>
      <c r="R2873" s="7">
        <f t="shared" si="354"/>
        <v>131.76</v>
      </c>
    </row>
    <row r="2874" spans="1:18" ht="21.75" customHeight="1">
      <c r="A2874" t="s">
        <v>3025</v>
      </c>
      <c r="B2874" s="6">
        <v>45415</v>
      </c>
      <c r="C2874" t="s">
        <v>314</v>
      </c>
      <c r="D2874" t="s">
        <v>35</v>
      </c>
      <c r="E2874" t="s">
        <v>22</v>
      </c>
      <c r="F2874" t="s">
        <v>27</v>
      </c>
      <c r="G2874" t="s">
        <v>32</v>
      </c>
      <c r="H2874">
        <v>11</v>
      </c>
      <c r="I2874" t="str">
        <f>VLOOKUP(D2874,Product_Lookup!$A$2:$C$27,3,FALSE)</f>
        <v>$64.61</v>
      </c>
      <c r="J2874" t="str">
        <f t="shared" si="355"/>
        <v>Friday</v>
      </c>
      <c r="K2874" s="10" t="str">
        <f t="shared" si="356"/>
        <v>May</v>
      </c>
      <c r="L2874">
        <f t="shared" si="357"/>
        <v>2024</v>
      </c>
      <c r="M2874" t="b">
        <f t="shared" si="358"/>
        <v>0</v>
      </c>
      <c r="N2874" t="b">
        <f t="shared" si="352"/>
        <v>0</v>
      </c>
      <c r="O2874" t="str">
        <f t="shared" si="359"/>
        <v>Large Order</v>
      </c>
      <c r="P2874" s="7">
        <f t="shared" si="353"/>
        <v>3.2305000000000001</v>
      </c>
      <c r="Q2874" s="7" t="str">
        <f>VLOOKUP(D2875,Product_Lookup!$A$2:$C$27,2,FALSE)</f>
        <v>Tablet</v>
      </c>
      <c r="R2874" s="7">
        <f t="shared" si="354"/>
        <v>710.71</v>
      </c>
    </row>
    <row r="2875" spans="1:18" ht="21.75" customHeight="1">
      <c r="A2875" t="s">
        <v>3026</v>
      </c>
      <c r="B2875" s="6">
        <v>45539</v>
      </c>
      <c r="C2875" t="s">
        <v>240</v>
      </c>
      <c r="D2875" t="s">
        <v>10</v>
      </c>
      <c r="E2875" t="s">
        <v>17</v>
      </c>
      <c r="F2875" t="s">
        <v>42</v>
      </c>
      <c r="G2875" t="s">
        <v>13</v>
      </c>
      <c r="H2875">
        <v>12</v>
      </c>
      <c r="I2875" t="str">
        <f>VLOOKUP(D2875,Product_Lookup!$A$2:$C$27,3,FALSE)</f>
        <v>$146.06</v>
      </c>
      <c r="J2875" t="str">
        <f t="shared" si="355"/>
        <v>Wednesday</v>
      </c>
      <c r="K2875" s="10" t="str">
        <f t="shared" si="356"/>
        <v>September</v>
      </c>
      <c r="L2875">
        <f t="shared" si="357"/>
        <v>2024</v>
      </c>
      <c r="M2875" t="b">
        <f t="shared" si="358"/>
        <v>0</v>
      </c>
      <c r="N2875" t="b">
        <f t="shared" si="352"/>
        <v>1</v>
      </c>
      <c r="O2875" t="str">
        <f t="shared" si="359"/>
        <v>Large Order</v>
      </c>
      <c r="P2875" s="7">
        <f t="shared" si="353"/>
        <v>7.3030000000000008</v>
      </c>
      <c r="Q2875" s="7" t="str">
        <f>VLOOKUP(D2876,Product_Lookup!$A$2:$C$27,2,FALSE)</f>
        <v>Action Figure</v>
      </c>
      <c r="R2875" s="7">
        <f t="shared" si="354"/>
        <v>1752.72</v>
      </c>
    </row>
    <row r="2876" spans="1:18" ht="21.75" customHeight="1">
      <c r="A2876" t="s">
        <v>3027</v>
      </c>
      <c r="B2876" s="6">
        <v>45416</v>
      </c>
      <c r="C2876" t="s">
        <v>371</v>
      </c>
      <c r="D2876" t="s">
        <v>21</v>
      </c>
      <c r="E2876" t="s">
        <v>22</v>
      </c>
      <c r="F2876" t="s">
        <v>56</v>
      </c>
      <c r="G2876" t="s">
        <v>13</v>
      </c>
      <c r="H2876">
        <v>3</v>
      </c>
      <c r="I2876" t="str">
        <f>VLOOKUP(D2876,Product_Lookup!$A$2:$C$27,3,FALSE)</f>
        <v>$88.18</v>
      </c>
      <c r="J2876" t="str">
        <f t="shared" si="355"/>
        <v>Saturday</v>
      </c>
      <c r="K2876" s="10" t="str">
        <f t="shared" si="356"/>
        <v>May</v>
      </c>
      <c r="L2876">
        <f t="shared" si="357"/>
        <v>2024</v>
      </c>
      <c r="M2876" t="b">
        <f t="shared" si="358"/>
        <v>1</v>
      </c>
      <c r="N2876" t="b">
        <f t="shared" si="352"/>
        <v>0</v>
      </c>
      <c r="O2876" t="str">
        <f t="shared" si="359"/>
        <v>Standard order</v>
      </c>
      <c r="P2876" s="7">
        <f t="shared" si="353"/>
        <v>4.4090000000000007</v>
      </c>
      <c r="Q2876" s="7" t="str">
        <f>VLOOKUP(D2877,Product_Lookup!$A$2:$C$27,2,FALSE)</f>
        <v>Laptop</v>
      </c>
      <c r="R2876" s="7">
        <f t="shared" si="354"/>
        <v>264.54000000000002</v>
      </c>
    </row>
    <row r="2877" spans="1:18" ht="21.75" customHeight="1">
      <c r="A2877" t="s">
        <v>3028</v>
      </c>
      <c r="B2877" s="6">
        <v>45322</v>
      </c>
      <c r="C2877" t="s">
        <v>133</v>
      </c>
      <c r="D2877" t="s">
        <v>96</v>
      </c>
      <c r="E2877" t="s">
        <v>22</v>
      </c>
      <c r="F2877" t="s">
        <v>56</v>
      </c>
      <c r="G2877" t="s">
        <v>23</v>
      </c>
      <c r="H2877">
        <v>13</v>
      </c>
      <c r="I2877" t="str">
        <f>VLOOKUP(D2877,Product_Lookup!$A$2:$C$27,3,FALSE)</f>
        <v>$230.68</v>
      </c>
      <c r="J2877" t="str">
        <f t="shared" si="355"/>
        <v>Wednesday</v>
      </c>
      <c r="K2877" s="10" t="str">
        <f t="shared" si="356"/>
        <v>January</v>
      </c>
      <c r="L2877">
        <f t="shared" si="357"/>
        <v>2024</v>
      </c>
      <c r="M2877" t="b">
        <f t="shared" si="358"/>
        <v>0</v>
      </c>
      <c r="N2877" t="b">
        <f t="shared" si="352"/>
        <v>1</v>
      </c>
      <c r="O2877" t="str">
        <f t="shared" si="359"/>
        <v>Large Order</v>
      </c>
      <c r="P2877" s="7">
        <f t="shared" si="353"/>
        <v>11.534000000000001</v>
      </c>
      <c r="Q2877" s="7" t="str">
        <f>VLOOKUP(D2878,Product_Lookup!$A$2:$C$27,2,FALSE)</f>
        <v>Jeans</v>
      </c>
      <c r="R2877" s="7">
        <f t="shared" si="354"/>
        <v>2998.84</v>
      </c>
    </row>
    <row r="2878" spans="1:18" ht="21.75" customHeight="1">
      <c r="A2878" t="s">
        <v>3029</v>
      </c>
      <c r="B2878" s="6">
        <v>45345</v>
      </c>
      <c r="C2878" t="s">
        <v>47</v>
      </c>
      <c r="D2878" t="s">
        <v>65</v>
      </c>
      <c r="E2878" t="s">
        <v>22</v>
      </c>
      <c r="F2878" t="s">
        <v>306</v>
      </c>
      <c r="G2878" t="s">
        <v>36</v>
      </c>
      <c r="H2878">
        <v>11</v>
      </c>
      <c r="I2878" t="str">
        <f>VLOOKUP(D2878,Product_Lookup!$A$2:$C$27,3,FALSE)</f>
        <v>$33.22</v>
      </c>
      <c r="J2878" t="str">
        <f t="shared" si="355"/>
        <v>Friday</v>
      </c>
      <c r="K2878" s="10" t="str">
        <f t="shared" si="356"/>
        <v>February</v>
      </c>
      <c r="L2878">
        <f t="shared" si="357"/>
        <v>2024</v>
      </c>
      <c r="M2878" t="b">
        <f t="shared" si="358"/>
        <v>0</v>
      </c>
      <c r="N2878" t="b">
        <f t="shared" si="352"/>
        <v>0</v>
      </c>
      <c r="O2878" t="str">
        <f t="shared" si="359"/>
        <v>Standard order</v>
      </c>
      <c r="P2878" s="7">
        <f t="shared" si="353"/>
        <v>1.661</v>
      </c>
      <c r="Q2878" s="7" t="str">
        <f>VLOOKUP(D2879,Product_Lookup!$A$2:$C$27,2,FALSE)</f>
        <v>Air Fryer</v>
      </c>
      <c r="R2878" s="7">
        <f t="shared" si="354"/>
        <v>365.41999999999996</v>
      </c>
    </row>
    <row r="2879" spans="1:18" ht="21.75" customHeight="1">
      <c r="A2879" t="s">
        <v>3030</v>
      </c>
      <c r="B2879" s="6">
        <v>45451</v>
      </c>
      <c r="C2879" t="s">
        <v>369</v>
      </c>
      <c r="D2879" t="s">
        <v>70</v>
      </c>
      <c r="E2879" t="s">
        <v>22</v>
      </c>
      <c r="F2879" t="s">
        <v>56</v>
      </c>
      <c r="G2879" t="s">
        <v>36</v>
      </c>
      <c r="H2879">
        <v>4</v>
      </c>
      <c r="I2879" t="str">
        <f>VLOOKUP(D2879,Product_Lookup!$A$2:$C$27,3,FALSE)</f>
        <v>$211.9</v>
      </c>
      <c r="J2879" t="str">
        <f t="shared" si="355"/>
        <v>Saturday</v>
      </c>
      <c r="K2879" s="10" t="str">
        <f t="shared" si="356"/>
        <v>June</v>
      </c>
      <c r="L2879">
        <f t="shared" si="357"/>
        <v>2024</v>
      </c>
      <c r="M2879" t="b">
        <f t="shared" si="358"/>
        <v>1</v>
      </c>
      <c r="N2879" t="b">
        <f t="shared" si="352"/>
        <v>0</v>
      </c>
      <c r="O2879" t="str">
        <f t="shared" si="359"/>
        <v>Large Order</v>
      </c>
      <c r="P2879" s="7">
        <f t="shared" si="353"/>
        <v>10.595000000000001</v>
      </c>
      <c r="Q2879" s="7" t="str">
        <f>VLOOKUP(D2880,Product_Lookup!$A$2:$C$27,2,FALSE)</f>
        <v>Coffee Maker</v>
      </c>
      <c r="R2879" s="7">
        <f t="shared" si="354"/>
        <v>847.6</v>
      </c>
    </row>
    <row r="2880" spans="1:18" ht="21.75" customHeight="1">
      <c r="A2880" t="s">
        <v>3031</v>
      </c>
      <c r="B2880" s="6">
        <v>45404</v>
      </c>
      <c r="C2880" t="s">
        <v>83</v>
      </c>
      <c r="D2880" t="s">
        <v>31</v>
      </c>
      <c r="E2880" t="s">
        <v>17</v>
      </c>
      <c r="F2880" t="s">
        <v>306</v>
      </c>
      <c r="G2880" t="s">
        <v>36</v>
      </c>
      <c r="H2880">
        <v>7</v>
      </c>
      <c r="I2880" t="str">
        <f>VLOOKUP(D2880,Product_Lookup!$A$2:$C$27,3,FALSE)</f>
        <v>$230.34</v>
      </c>
      <c r="J2880" t="str">
        <f t="shared" si="355"/>
        <v>Monday</v>
      </c>
      <c r="K2880" s="10" t="str">
        <f t="shared" si="356"/>
        <v>April</v>
      </c>
      <c r="L2880">
        <f t="shared" si="357"/>
        <v>2024</v>
      </c>
      <c r="M2880" t="b">
        <f t="shared" si="358"/>
        <v>0</v>
      </c>
      <c r="N2880" t="b">
        <f t="shared" si="352"/>
        <v>1</v>
      </c>
      <c r="O2880" t="str">
        <f t="shared" si="359"/>
        <v>Large Order</v>
      </c>
      <c r="P2880" s="7">
        <f t="shared" si="353"/>
        <v>11.517000000000001</v>
      </c>
      <c r="Q2880" s="7" t="str">
        <f>VLOOKUP(D2881,Product_Lookup!$A$2:$C$27,2,FALSE)</f>
        <v>Sweater</v>
      </c>
      <c r="R2880" s="7">
        <f t="shared" si="354"/>
        <v>1612.38</v>
      </c>
    </row>
    <row r="2881" spans="1:18" ht="21.75" customHeight="1">
      <c r="A2881" t="s">
        <v>3032</v>
      </c>
      <c r="B2881" s="6">
        <v>45388</v>
      </c>
      <c r="C2881" t="s">
        <v>58</v>
      </c>
      <c r="D2881" t="s">
        <v>26</v>
      </c>
      <c r="E2881" t="s">
        <v>17</v>
      </c>
      <c r="F2881" t="s">
        <v>56</v>
      </c>
      <c r="G2881" t="s">
        <v>32</v>
      </c>
      <c r="H2881">
        <v>19</v>
      </c>
      <c r="I2881" t="str">
        <f>VLOOKUP(D2881,Product_Lookup!$A$2:$C$27,3,FALSE)</f>
        <v>$84.57</v>
      </c>
      <c r="J2881" t="str">
        <f t="shared" si="355"/>
        <v>Saturday</v>
      </c>
      <c r="K2881" s="10" t="str">
        <f t="shared" si="356"/>
        <v>April</v>
      </c>
      <c r="L2881">
        <f t="shared" si="357"/>
        <v>2024</v>
      </c>
      <c r="M2881" t="b">
        <f t="shared" si="358"/>
        <v>1</v>
      </c>
      <c r="N2881" t="b">
        <f t="shared" si="352"/>
        <v>1</v>
      </c>
      <c r="O2881" t="str">
        <f t="shared" si="359"/>
        <v>Large Order</v>
      </c>
      <c r="P2881" s="7">
        <f t="shared" si="353"/>
        <v>4.2284999999999995</v>
      </c>
      <c r="Q2881" s="7" t="str">
        <f>VLOOKUP(D2882,Product_Lookup!$A$2:$C$27,2,FALSE)</f>
        <v>Monitor</v>
      </c>
      <c r="R2881" s="7">
        <f t="shared" si="354"/>
        <v>1606.83</v>
      </c>
    </row>
    <row r="2882" spans="1:18" ht="21.75" customHeight="1">
      <c r="A2882" t="s">
        <v>3033</v>
      </c>
      <c r="B2882" s="6">
        <v>45367</v>
      </c>
      <c r="C2882" t="s">
        <v>319</v>
      </c>
      <c r="D2882" t="s">
        <v>102</v>
      </c>
      <c r="E2882" t="s">
        <v>22</v>
      </c>
      <c r="F2882" t="s">
        <v>12</v>
      </c>
      <c r="G2882" t="s">
        <v>28</v>
      </c>
      <c r="H2882">
        <v>1</v>
      </c>
      <c r="I2882" t="str">
        <f>VLOOKUP(D2882,Product_Lookup!$A$2:$C$27,3,FALSE)</f>
        <v>$145.48</v>
      </c>
      <c r="J2882" t="str">
        <f t="shared" si="355"/>
        <v>Saturday</v>
      </c>
      <c r="K2882" s="10" t="str">
        <f t="shared" si="356"/>
        <v>March</v>
      </c>
      <c r="L2882">
        <f t="shared" si="357"/>
        <v>2024</v>
      </c>
      <c r="M2882" t="b">
        <f t="shared" si="358"/>
        <v>1</v>
      </c>
      <c r="N2882" t="b">
        <f t="shared" ref="N2882:N2945" si="360">AND(R2882&gt;750, H2882&gt;5)</f>
        <v>0</v>
      </c>
      <c r="O2882" t="str">
        <f t="shared" si="359"/>
        <v>Standard order</v>
      </c>
      <c r="P2882" s="7">
        <f t="shared" ref="P2882:P2945" si="361">I2882*$S$2</f>
        <v>7.274</v>
      </c>
      <c r="Q2882" s="7" t="str">
        <f>VLOOKUP(D2883,Product_Lookup!$A$2:$C$27,2,FALSE)</f>
        <v>Laptop</v>
      </c>
      <c r="R2882" s="7">
        <f t="shared" ref="R2882:R2945" si="362">H2882*I2882</f>
        <v>145.47999999999999</v>
      </c>
    </row>
    <row r="2883" spans="1:18" ht="21.75" customHeight="1">
      <c r="A2883" t="s">
        <v>3034</v>
      </c>
      <c r="B2883" s="6">
        <v>45387</v>
      </c>
      <c r="C2883" t="s">
        <v>101</v>
      </c>
      <c r="D2883" t="s">
        <v>96</v>
      </c>
      <c r="E2883" t="s">
        <v>17</v>
      </c>
      <c r="F2883" t="s">
        <v>306</v>
      </c>
      <c r="G2883" t="s">
        <v>23</v>
      </c>
      <c r="H2883">
        <v>12</v>
      </c>
      <c r="I2883" t="str">
        <f>VLOOKUP(D2883,Product_Lookup!$A$2:$C$27,3,FALSE)</f>
        <v>$230.68</v>
      </c>
      <c r="J2883" t="str">
        <f t="shared" ref="J2883:J2946" si="363">TEXT(B2883, "dddd")</f>
        <v>Friday</v>
      </c>
      <c r="K2883" s="10" t="str">
        <f t="shared" ref="K2883:K2946" si="364">TEXT(B2883, "mmmm")</f>
        <v>April</v>
      </c>
      <c r="L2883">
        <f t="shared" ref="L2883:L2946" si="365">YEAR(B2883)</f>
        <v>2024</v>
      </c>
      <c r="M2883" t="b">
        <f t="shared" ref="M2883:M2946" si="366">OR(J2883="Saturday", J2883="Sunday")</f>
        <v>0</v>
      </c>
      <c r="N2883" t="b">
        <f t="shared" si="360"/>
        <v>1</v>
      </c>
      <c r="O2883" t="str">
        <f t="shared" ref="O2883:O2946" si="367">IF(R2883&gt;500,"Large Order","Standard order")</f>
        <v>Large Order</v>
      </c>
      <c r="P2883" s="7">
        <f t="shared" si="361"/>
        <v>11.534000000000001</v>
      </c>
      <c r="Q2883" s="7" t="str">
        <f>VLOOKUP(D2884,Product_Lookup!$A$2:$C$27,2,FALSE)</f>
        <v>Toaster</v>
      </c>
      <c r="R2883" s="7">
        <f t="shared" si="362"/>
        <v>2768.16</v>
      </c>
    </row>
    <row r="2884" spans="1:18" ht="21.75" customHeight="1">
      <c r="A2884" t="s">
        <v>3035</v>
      </c>
      <c r="B2884" s="6">
        <v>45573</v>
      </c>
      <c r="C2884" t="s">
        <v>81</v>
      </c>
      <c r="D2884" t="s">
        <v>48</v>
      </c>
      <c r="E2884" t="s">
        <v>17</v>
      </c>
      <c r="F2884" t="s">
        <v>56</v>
      </c>
      <c r="G2884" t="s">
        <v>28</v>
      </c>
      <c r="H2884">
        <v>13</v>
      </c>
      <c r="I2884" t="str">
        <f>VLOOKUP(D2884,Product_Lookup!$A$2:$C$27,3,FALSE)</f>
        <v>$208.85</v>
      </c>
      <c r="J2884" t="str">
        <f t="shared" si="363"/>
        <v>Tuesday</v>
      </c>
      <c r="K2884" s="10" t="str">
        <f t="shared" si="364"/>
        <v>October</v>
      </c>
      <c r="L2884">
        <f t="shared" si="365"/>
        <v>2024</v>
      </c>
      <c r="M2884" t="b">
        <f t="shared" si="366"/>
        <v>0</v>
      </c>
      <c r="N2884" t="b">
        <f t="shared" si="360"/>
        <v>1</v>
      </c>
      <c r="O2884" t="str">
        <f t="shared" si="367"/>
        <v>Large Order</v>
      </c>
      <c r="P2884" s="7">
        <f t="shared" si="361"/>
        <v>10.442500000000001</v>
      </c>
      <c r="Q2884" s="7" t="str">
        <f>VLOOKUP(D2885,Product_Lookup!$A$2:$C$27,2,FALSE)</f>
        <v>Smartphone</v>
      </c>
      <c r="R2884" s="7">
        <f t="shared" si="362"/>
        <v>2715.0499999999997</v>
      </c>
    </row>
    <row r="2885" spans="1:18" ht="21.75" customHeight="1">
      <c r="A2885" t="s">
        <v>3036</v>
      </c>
      <c r="B2885" s="6">
        <v>45552</v>
      </c>
      <c r="C2885" t="s">
        <v>118</v>
      </c>
      <c r="D2885" t="s">
        <v>79</v>
      </c>
      <c r="E2885" t="s">
        <v>17</v>
      </c>
      <c r="F2885" t="s">
        <v>42</v>
      </c>
      <c r="G2885" t="s">
        <v>32</v>
      </c>
      <c r="H2885">
        <v>4</v>
      </c>
      <c r="I2885" t="str">
        <f>VLOOKUP(D2885,Product_Lookup!$A$2:$C$27,3,FALSE)</f>
        <v>$216.22</v>
      </c>
      <c r="J2885" t="str">
        <f t="shared" si="363"/>
        <v>Tuesday</v>
      </c>
      <c r="K2885" s="10" t="str">
        <f t="shared" si="364"/>
        <v>September</v>
      </c>
      <c r="L2885">
        <f t="shared" si="365"/>
        <v>2024</v>
      </c>
      <c r="M2885" t="b">
        <f t="shared" si="366"/>
        <v>0</v>
      </c>
      <c r="N2885" t="b">
        <f t="shared" si="360"/>
        <v>0</v>
      </c>
      <c r="O2885" t="str">
        <f t="shared" si="367"/>
        <v>Large Order</v>
      </c>
      <c r="P2885" s="7">
        <f t="shared" si="361"/>
        <v>10.811</v>
      </c>
      <c r="Q2885" s="7" t="str">
        <f>VLOOKUP(D2886,Product_Lookup!$A$2:$C$27,2,FALSE)</f>
        <v>Vacuum</v>
      </c>
      <c r="R2885" s="7">
        <f t="shared" si="362"/>
        <v>864.88</v>
      </c>
    </row>
    <row r="2886" spans="1:18" ht="21.75" customHeight="1">
      <c r="A2886" t="s">
        <v>3037</v>
      </c>
      <c r="B2886" s="6">
        <v>45487</v>
      </c>
      <c r="C2886" t="s">
        <v>388</v>
      </c>
      <c r="D2886" t="s">
        <v>87</v>
      </c>
      <c r="E2886" t="s">
        <v>11</v>
      </c>
      <c r="F2886" t="s">
        <v>42</v>
      </c>
      <c r="G2886" t="s">
        <v>28</v>
      </c>
      <c r="H2886">
        <v>13</v>
      </c>
      <c r="I2886" t="str">
        <f>VLOOKUP(D2886,Product_Lookup!$A$2:$C$27,3,FALSE)</f>
        <v>$26.59</v>
      </c>
      <c r="J2886" t="str">
        <f t="shared" si="363"/>
        <v>Sunday</v>
      </c>
      <c r="K2886" s="10" t="str">
        <f t="shared" si="364"/>
        <v>July</v>
      </c>
      <c r="L2886">
        <f t="shared" si="365"/>
        <v>2024</v>
      </c>
      <c r="M2886" t="b">
        <f t="shared" si="366"/>
        <v>1</v>
      </c>
      <c r="N2886" t="b">
        <f t="shared" si="360"/>
        <v>0</v>
      </c>
      <c r="O2886" t="str">
        <f t="shared" si="367"/>
        <v>Standard order</v>
      </c>
      <c r="P2886" s="7">
        <f t="shared" si="361"/>
        <v>1.3295000000000001</v>
      </c>
      <c r="Q2886" s="7" t="str">
        <f>VLOOKUP(D2887,Product_Lookup!$A$2:$C$27,2,FALSE)</f>
        <v>Paper Shredder</v>
      </c>
      <c r="R2886" s="7">
        <f t="shared" si="362"/>
        <v>345.67</v>
      </c>
    </row>
    <row r="2887" spans="1:18" ht="21.75" customHeight="1">
      <c r="A2887" t="s">
        <v>3038</v>
      </c>
      <c r="B2887" s="6">
        <v>45433</v>
      </c>
      <c r="C2887" t="s">
        <v>339</v>
      </c>
      <c r="D2887" t="s">
        <v>109</v>
      </c>
      <c r="E2887" t="s">
        <v>17</v>
      </c>
      <c r="F2887" t="s">
        <v>306</v>
      </c>
      <c r="G2887" t="s">
        <v>23</v>
      </c>
      <c r="H2887">
        <v>4</v>
      </c>
      <c r="I2887" t="str">
        <f>VLOOKUP(D2887,Product_Lookup!$A$2:$C$27,3,FALSE)</f>
        <v>$81.02</v>
      </c>
      <c r="J2887" t="str">
        <f t="shared" si="363"/>
        <v>Tuesday</v>
      </c>
      <c r="K2887" s="10" t="str">
        <f t="shared" si="364"/>
        <v>May</v>
      </c>
      <c r="L2887">
        <f t="shared" si="365"/>
        <v>2024</v>
      </c>
      <c r="M2887" t="b">
        <f t="shared" si="366"/>
        <v>0</v>
      </c>
      <c r="N2887" t="b">
        <f t="shared" si="360"/>
        <v>0</v>
      </c>
      <c r="O2887" t="str">
        <f t="shared" si="367"/>
        <v>Standard order</v>
      </c>
      <c r="P2887" s="7">
        <f t="shared" si="361"/>
        <v>4.0510000000000002</v>
      </c>
      <c r="Q2887" s="7" t="str">
        <f>VLOOKUP(D2888,Product_Lookup!$A$2:$C$27,2,FALSE)</f>
        <v>Monitor</v>
      </c>
      <c r="R2887" s="7">
        <f t="shared" si="362"/>
        <v>324.08</v>
      </c>
    </row>
    <row r="2888" spans="1:18" ht="21.75" customHeight="1">
      <c r="A2888" t="s">
        <v>3039</v>
      </c>
      <c r="B2888" s="6">
        <v>45622</v>
      </c>
      <c r="C2888" t="s">
        <v>78</v>
      </c>
      <c r="D2888" t="s">
        <v>102</v>
      </c>
      <c r="E2888" t="s">
        <v>11</v>
      </c>
      <c r="F2888" t="s">
        <v>12</v>
      </c>
      <c r="G2888" t="s">
        <v>13</v>
      </c>
      <c r="H2888">
        <v>2</v>
      </c>
      <c r="I2888" t="str">
        <f>VLOOKUP(D2888,Product_Lookup!$A$2:$C$27,3,FALSE)</f>
        <v>$145.48</v>
      </c>
      <c r="J2888" t="str">
        <f t="shared" si="363"/>
        <v>Tuesday</v>
      </c>
      <c r="K2888" s="10" t="str">
        <f t="shared" si="364"/>
        <v>November</v>
      </c>
      <c r="L2888">
        <f t="shared" si="365"/>
        <v>2024</v>
      </c>
      <c r="M2888" t="b">
        <f t="shared" si="366"/>
        <v>0</v>
      </c>
      <c r="N2888" t="b">
        <f t="shared" si="360"/>
        <v>0</v>
      </c>
      <c r="O2888" t="str">
        <f t="shared" si="367"/>
        <v>Standard order</v>
      </c>
      <c r="P2888" s="7">
        <f t="shared" si="361"/>
        <v>7.274</v>
      </c>
      <c r="Q2888" s="7" t="str">
        <f>VLOOKUP(D2889,Product_Lookup!$A$2:$C$27,2,FALSE)</f>
        <v>Pen Set</v>
      </c>
      <c r="R2888" s="7">
        <f t="shared" si="362"/>
        <v>290.95999999999998</v>
      </c>
    </row>
    <row r="2889" spans="1:18" ht="21.75" customHeight="1">
      <c r="A2889" t="s">
        <v>3040</v>
      </c>
      <c r="B2889" s="6">
        <v>45414</v>
      </c>
      <c r="C2889" t="s">
        <v>58</v>
      </c>
      <c r="D2889" t="s">
        <v>174</v>
      </c>
      <c r="E2889" t="s">
        <v>11</v>
      </c>
      <c r="F2889" t="s">
        <v>42</v>
      </c>
      <c r="G2889" t="s">
        <v>28</v>
      </c>
      <c r="H2889">
        <v>20</v>
      </c>
      <c r="I2889" t="str">
        <f>VLOOKUP(D2889,Product_Lookup!$A$2:$C$27,3,FALSE)</f>
        <v>$133.37</v>
      </c>
      <c r="J2889" t="str">
        <f t="shared" si="363"/>
        <v>Thursday</v>
      </c>
      <c r="K2889" s="10" t="str">
        <f t="shared" si="364"/>
        <v>May</v>
      </c>
      <c r="L2889">
        <f t="shared" si="365"/>
        <v>2024</v>
      </c>
      <c r="M2889" t="b">
        <f t="shared" si="366"/>
        <v>0</v>
      </c>
      <c r="N2889" t="b">
        <f t="shared" si="360"/>
        <v>1</v>
      </c>
      <c r="O2889" t="str">
        <f t="shared" si="367"/>
        <v>Large Order</v>
      </c>
      <c r="P2889" s="7">
        <f t="shared" si="361"/>
        <v>6.6685000000000008</v>
      </c>
      <c r="Q2889" s="7" t="str">
        <f>VLOOKUP(D2890,Product_Lookup!$A$2:$C$27,2,FALSE)</f>
        <v>Coffee Maker</v>
      </c>
      <c r="R2889" s="7">
        <f t="shared" si="362"/>
        <v>2667.4</v>
      </c>
    </row>
    <row r="2890" spans="1:18" ht="21.75" customHeight="1">
      <c r="A2890" t="s">
        <v>3041</v>
      </c>
      <c r="B2890" s="6">
        <v>45499</v>
      </c>
      <c r="C2890" t="s">
        <v>106</v>
      </c>
      <c r="D2890" t="s">
        <v>31</v>
      </c>
      <c r="E2890" t="s">
        <v>11</v>
      </c>
      <c r="F2890" t="s">
        <v>56</v>
      </c>
      <c r="G2890" t="s">
        <v>32</v>
      </c>
      <c r="H2890">
        <v>16</v>
      </c>
      <c r="I2890" t="str">
        <f>VLOOKUP(D2890,Product_Lookup!$A$2:$C$27,3,FALSE)</f>
        <v>$230.34</v>
      </c>
      <c r="J2890" t="str">
        <f t="shared" si="363"/>
        <v>Friday</v>
      </c>
      <c r="K2890" s="10" t="str">
        <f t="shared" si="364"/>
        <v>July</v>
      </c>
      <c r="L2890">
        <f t="shared" si="365"/>
        <v>2024</v>
      </c>
      <c r="M2890" t="b">
        <f t="shared" si="366"/>
        <v>0</v>
      </c>
      <c r="N2890" t="b">
        <f t="shared" si="360"/>
        <v>1</v>
      </c>
      <c r="O2890" t="str">
        <f t="shared" si="367"/>
        <v>Large Order</v>
      </c>
      <c r="P2890" s="7">
        <f t="shared" si="361"/>
        <v>11.517000000000001</v>
      </c>
      <c r="Q2890" s="7" t="str">
        <f>VLOOKUP(D2891,Product_Lookup!$A$2:$C$27,2,FALSE)</f>
        <v>Action Figure</v>
      </c>
      <c r="R2890" s="7">
        <f t="shared" si="362"/>
        <v>3685.44</v>
      </c>
    </row>
    <row r="2891" spans="1:18" ht="21.75" customHeight="1">
      <c r="A2891" t="s">
        <v>3042</v>
      </c>
      <c r="B2891" s="6">
        <v>45396</v>
      </c>
      <c r="C2891" t="s">
        <v>20</v>
      </c>
      <c r="D2891" t="s">
        <v>21</v>
      </c>
      <c r="E2891" t="s">
        <v>17</v>
      </c>
      <c r="F2891" t="s">
        <v>306</v>
      </c>
      <c r="G2891" t="s">
        <v>32</v>
      </c>
      <c r="H2891">
        <v>1</v>
      </c>
      <c r="I2891" t="str">
        <f>VLOOKUP(D2891,Product_Lookup!$A$2:$C$27,3,FALSE)</f>
        <v>$88.18</v>
      </c>
      <c r="J2891" t="str">
        <f t="shared" si="363"/>
        <v>Sunday</v>
      </c>
      <c r="K2891" s="10" t="str">
        <f t="shared" si="364"/>
        <v>April</v>
      </c>
      <c r="L2891">
        <f t="shared" si="365"/>
        <v>2024</v>
      </c>
      <c r="M2891" t="b">
        <f t="shared" si="366"/>
        <v>1</v>
      </c>
      <c r="N2891" t="b">
        <f t="shared" si="360"/>
        <v>0</v>
      </c>
      <c r="O2891" t="str">
        <f t="shared" si="367"/>
        <v>Standard order</v>
      </c>
      <c r="P2891" s="7">
        <f t="shared" si="361"/>
        <v>4.4090000000000007</v>
      </c>
      <c r="Q2891" s="7" t="str">
        <f>VLOOKUP(D2892,Product_Lookup!$A$2:$C$27,2,FALSE)</f>
        <v>Paper Shredder</v>
      </c>
      <c r="R2891" s="7">
        <f t="shared" si="362"/>
        <v>88.18</v>
      </c>
    </row>
    <row r="2892" spans="1:18" ht="21.75" customHeight="1">
      <c r="A2892" t="s">
        <v>3043</v>
      </c>
      <c r="B2892" s="6">
        <v>45549</v>
      </c>
      <c r="C2892" t="s">
        <v>424</v>
      </c>
      <c r="D2892" t="s">
        <v>109</v>
      </c>
      <c r="E2892" t="s">
        <v>17</v>
      </c>
      <c r="F2892" t="s">
        <v>42</v>
      </c>
      <c r="G2892" t="s">
        <v>28</v>
      </c>
      <c r="H2892">
        <v>6</v>
      </c>
      <c r="I2892" t="str">
        <f>VLOOKUP(D2892,Product_Lookup!$A$2:$C$27,3,FALSE)</f>
        <v>$81.02</v>
      </c>
      <c r="J2892" t="str">
        <f t="shared" si="363"/>
        <v>Saturday</v>
      </c>
      <c r="K2892" s="10" t="str">
        <f t="shared" si="364"/>
        <v>September</v>
      </c>
      <c r="L2892">
        <f t="shared" si="365"/>
        <v>2024</v>
      </c>
      <c r="M2892" t="b">
        <f t="shared" si="366"/>
        <v>1</v>
      </c>
      <c r="N2892" t="b">
        <f t="shared" si="360"/>
        <v>0</v>
      </c>
      <c r="O2892" t="str">
        <f t="shared" si="367"/>
        <v>Standard order</v>
      </c>
      <c r="P2892" s="7">
        <f t="shared" si="361"/>
        <v>4.0510000000000002</v>
      </c>
      <c r="Q2892" s="7" t="str">
        <f>VLOOKUP(D2893,Product_Lookup!$A$2:$C$27,2,FALSE)</f>
        <v>T-Shirt</v>
      </c>
      <c r="R2892" s="7">
        <f t="shared" si="362"/>
        <v>486.12</v>
      </c>
    </row>
    <row r="2893" spans="1:18" ht="21.75" customHeight="1">
      <c r="A2893" t="s">
        <v>3044</v>
      </c>
      <c r="B2893" s="6">
        <v>45327</v>
      </c>
      <c r="C2893" t="s">
        <v>30</v>
      </c>
      <c r="D2893" t="s">
        <v>45</v>
      </c>
      <c r="E2893" t="s">
        <v>17</v>
      </c>
      <c r="F2893" t="s">
        <v>27</v>
      </c>
      <c r="G2893" t="s">
        <v>28</v>
      </c>
      <c r="H2893">
        <v>1</v>
      </c>
      <c r="I2893" t="str">
        <f>VLOOKUP(D2893,Product_Lookup!$A$2:$C$27,3,FALSE)</f>
        <v>$107.34</v>
      </c>
      <c r="J2893" t="str">
        <f t="shared" si="363"/>
        <v>Monday</v>
      </c>
      <c r="K2893" s="10" t="str">
        <f t="shared" si="364"/>
        <v>February</v>
      </c>
      <c r="L2893">
        <f t="shared" si="365"/>
        <v>2024</v>
      </c>
      <c r="M2893" t="b">
        <f t="shared" si="366"/>
        <v>0</v>
      </c>
      <c r="N2893" t="b">
        <f t="shared" si="360"/>
        <v>0</v>
      </c>
      <c r="O2893" t="str">
        <f t="shared" si="367"/>
        <v>Standard order</v>
      </c>
      <c r="P2893" s="7">
        <f t="shared" si="361"/>
        <v>5.3670000000000009</v>
      </c>
      <c r="Q2893" s="7" t="str">
        <f>VLOOKUP(D2894,Product_Lookup!$A$2:$C$27,2,FALSE)</f>
        <v>Laptop</v>
      </c>
      <c r="R2893" s="7">
        <f t="shared" si="362"/>
        <v>107.34</v>
      </c>
    </row>
    <row r="2894" spans="1:18" ht="21.75" customHeight="1">
      <c r="A2894" t="s">
        <v>3045</v>
      </c>
      <c r="B2894" s="6">
        <v>45511</v>
      </c>
      <c r="C2894" t="s">
        <v>118</v>
      </c>
      <c r="D2894" t="s">
        <v>96</v>
      </c>
      <c r="E2894" t="s">
        <v>11</v>
      </c>
      <c r="F2894" t="s">
        <v>42</v>
      </c>
      <c r="G2894" t="s">
        <v>13</v>
      </c>
      <c r="H2894">
        <v>6</v>
      </c>
      <c r="I2894" t="str">
        <f>VLOOKUP(D2894,Product_Lookup!$A$2:$C$27,3,FALSE)</f>
        <v>$230.68</v>
      </c>
      <c r="J2894" t="str">
        <f t="shared" si="363"/>
        <v>Wednesday</v>
      </c>
      <c r="K2894" s="10" t="str">
        <f t="shared" si="364"/>
        <v>August</v>
      </c>
      <c r="L2894">
        <f t="shared" si="365"/>
        <v>2024</v>
      </c>
      <c r="M2894" t="b">
        <f t="shared" si="366"/>
        <v>0</v>
      </c>
      <c r="N2894" t="b">
        <f t="shared" si="360"/>
        <v>1</v>
      </c>
      <c r="O2894" t="str">
        <f t="shared" si="367"/>
        <v>Large Order</v>
      </c>
      <c r="P2894" s="7">
        <f t="shared" si="361"/>
        <v>11.534000000000001</v>
      </c>
      <c r="Q2894" s="7" t="str">
        <f>VLOOKUP(D2895,Product_Lookup!$A$2:$C$27,2,FALSE)</f>
        <v>Toaster</v>
      </c>
      <c r="R2894" s="7">
        <f t="shared" si="362"/>
        <v>1384.08</v>
      </c>
    </row>
    <row r="2895" spans="1:18" ht="21.75" customHeight="1">
      <c r="A2895" t="s">
        <v>3046</v>
      </c>
      <c r="B2895" s="6">
        <v>45296</v>
      </c>
      <c r="C2895" t="s">
        <v>327</v>
      </c>
      <c r="D2895" t="s">
        <v>48</v>
      </c>
      <c r="E2895" t="s">
        <v>17</v>
      </c>
      <c r="F2895" t="s">
        <v>306</v>
      </c>
      <c r="G2895" t="s">
        <v>13</v>
      </c>
      <c r="H2895">
        <v>16</v>
      </c>
      <c r="I2895" t="str">
        <f>VLOOKUP(D2895,Product_Lookup!$A$2:$C$27,3,FALSE)</f>
        <v>$208.85</v>
      </c>
      <c r="J2895" t="str">
        <f t="shared" si="363"/>
        <v>Friday</v>
      </c>
      <c r="K2895" s="10" t="str">
        <f t="shared" si="364"/>
        <v>January</v>
      </c>
      <c r="L2895">
        <f t="shared" si="365"/>
        <v>2024</v>
      </c>
      <c r="M2895" t="b">
        <f t="shared" si="366"/>
        <v>0</v>
      </c>
      <c r="N2895" t="b">
        <f t="shared" si="360"/>
        <v>1</v>
      </c>
      <c r="O2895" t="str">
        <f t="shared" si="367"/>
        <v>Large Order</v>
      </c>
      <c r="P2895" s="7">
        <f t="shared" si="361"/>
        <v>10.442500000000001</v>
      </c>
      <c r="Q2895" s="7" t="str">
        <f>VLOOKUP(D2896,Product_Lookup!$A$2:$C$27,2,FALSE)</f>
        <v>Smartphone</v>
      </c>
      <c r="R2895" s="7">
        <f t="shared" si="362"/>
        <v>3341.6</v>
      </c>
    </row>
    <row r="2896" spans="1:18" ht="21.75" customHeight="1">
      <c r="A2896" t="s">
        <v>3047</v>
      </c>
      <c r="B2896" s="6">
        <v>45533</v>
      </c>
      <c r="C2896" t="s">
        <v>40</v>
      </c>
      <c r="D2896" t="s">
        <v>79</v>
      </c>
      <c r="E2896" t="s">
        <v>11</v>
      </c>
      <c r="F2896" t="s">
        <v>306</v>
      </c>
      <c r="G2896" t="s">
        <v>32</v>
      </c>
      <c r="H2896">
        <v>8</v>
      </c>
      <c r="I2896" t="str">
        <f>VLOOKUP(D2896,Product_Lookup!$A$2:$C$27,3,FALSE)</f>
        <v>$216.22</v>
      </c>
      <c r="J2896" t="str">
        <f t="shared" si="363"/>
        <v>Thursday</v>
      </c>
      <c r="K2896" s="10" t="str">
        <f t="shared" si="364"/>
        <v>August</v>
      </c>
      <c r="L2896">
        <f t="shared" si="365"/>
        <v>2024</v>
      </c>
      <c r="M2896" t="b">
        <f t="shared" si="366"/>
        <v>0</v>
      </c>
      <c r="N2896" t="b">
        <f t="shared" si="360"/>
        <v>1</v>
      </c>
      <c r="O2896" t="str">
        <f t="shared" si="367"/>
        <v>Large Order</v>
      </c>
      <c r="P2896" s="7">
        <f t="shared" si="361"/>
        <v>10.811</v>
      </c>
      <c r="Q2896" s="7" t="str">
        <f>VLOOKUP(D2897,Product_Lookup!$A$2:$C$27,2,FALSE)</f>
        <v>Headphones</v>
      </c>
      <c r="R2896" s="7">
        <f t="shared" si="362"/>
        <v>1729.76</v>
      </c>
    </row>
    <row r="2897" spans="1:18" ht="21.75" customHeight="1">
      <c r="A2897" t="s">
        <v>3048</v>
      </c>
      <c r="B2897" s="6">
        <v>45377</v>
      </c>
      <c r="C2897" t="s">
        <v>664</v>
      </c>
      <c r="D2897" t="s">
        <v>16</v>
      </c>
      <c r="E2897" t="s">
        <v>11</v>
      </c>
      <c r="F2897" t="s">
        <v>12</v>
      </c>
      <c r="G2897" t="s">
        <v>32</v>
      </c>
      <c r="H2897">
        <v>11</v>
      </c>
      <c r="I2897" t="str">
        <f>VLOOKUP(D2897,Product_Lookup!$A$2:$C$27,3,FALSE)</f>
        <v>$178.83</v>
      </c>
      <c r="J2897" t="str">
        <f t="shared" si="363"/>
        <v>Tuesday</v>
      </c>
      <c r="K2897" s="10" t="str">
        <f t="shared" si="364"/>
        <v>March</v>
      </c>
      <c r="L2897">
        <f t="shared" si="365"/>
        <v>2024</v>
      </c>
      <c r="M2897" t="b">
        <f t="shared" si="366"/>
        <v>0</v>
      </c>
      <c r="N2897" t="b">
        <f t="shared" si="360"/>
        <v>1</v>
      </c>
      <c r="O2897" t="str">
        <f t="shared" si="367"/>
        <v>Large Order</v>
      </c>
      <c r="P2897" s="7">
        <f t="shared" si="361"/>
        <v>8.9415000000000013</v>
      </c>
      <c r="Q2897" s="7" t="str">
        <f>VLOOKUP(D2898,Product_Lookup!$A$2:$C$27,2,FALSE)</f>
        <v>Sweater</v>
      </c>
      <c r="R2897" s="7">
        <f t="shared" si="362"/>
        <v>1967.13</v>
      </c>
    </row>
    <row r="2898" spans="1:18" ht="21.75" customHeight="1">
      <c r="A2898" t="s">
        <v>3049</v>
      </c>
      <c r="B2898" s="6">
        <v>45471</v>
      </c>
      <c r="C2898" t="s">
        <v>591</v>
      </c>
      <c r="D2898" t="s">
        <v>26</v>
      </c>
      <c r="E2898" t="s">
        <v>22</v>
      </c>
      <c r="F2898" t="s">
        <v>27</v>
      </c>
      <c r="G2898" t="s">
        <v>32</v>
      </c>
      <c r="H2898">
        <v>12</v>
      </c>
      <c r="I2898" t="str">
        <f>VLOOKUP(D2898,Product_Lookup!$A$2:$C$27,3,FALSE)</f>
        <v>$84.57</v>
      </c>
      <c r="J2898" t="str">
        <f t="shared" si="363"/>
        <v>Friday</v>
      </c>
      <c r="K2898" s="10" t="str">
        <f t="shared" si="364"/>
        <v>June</v>
      </c>
      <c r="L2898">
        <f t="shared" si="365"/>
        <v>2024</v>
      </c>
      <c r="M2898" t="b">
        <f t="shared" si="366"/>
        <v>0</v>
      </c>
      <c r="N2898" t="b">
        <f t="shared" si="360"/>
        <v>1</v>
      </c>
      <c r="O2898" t="str">
        <f t="shared" si="367"/>
        <v>Large Order</v>
      </c>
      <c r="P2898" s="7">
        <f t="shared" si="361"/>
        <v>4.2284999999999995</v>
      </c>
      <c r="Q2898" s="7" t="str">
        <f>VLOOKUP(D2899,Product_Lookup!$A$2:$C$27,2,FALSE)</f>
        <v>Puzzle</v>
      </c>
      <c r="R2898" s="7">
        <f t="shared" si="362"/>
        <v>1014.8399999999999</v>
      </c>
    </row>
    <row r="2899" spans="1:18" ht="21.75" customHeight="1">
      <c r="A2899" t="s">
        <v>3050</v>
      </c>
      <c r="B2899" s="6">
        <v>45472</v>
      </c>
      <c r="C2899" t="s">
        <v>68</v>
      </c>
      <c r="D2899" t="s">
        <v>62</v>
      </c>
      <c r="E2899" t="s">
        <v>17</v>
      </c>
      <c r="F2899" t="s">
        <v>306</v>
      </c>
      <c r="G2899" t="s">
        <v>36</v>
      </c>
      <c r="H2899">
        <v>16</v>
      </c>
      <c r="I2899" t="str">
        <f>VLOOKUP(D2899,Product_Lookup!$A$2:$C$27,3,FALSE)</f>
        <v>$46.19</v>
      </c>
      <c r="J2899" t="str">
        <f t="shared" si="363"/>
        <v>Saturday</v>
      </c>
      <c r="K2899" s="10" t="str">
        <f t="shared" si="364"/>
        <v>June</v>
      </c>
      <c r="L2899">
        <f t="shared" si="365"/>
        <v>2024</v>
      </c>
      <c r="M2899" t="b">
        <f t="shared" si="366"/>
        <v>1</v>
      </c>
      <c r="N2899" t="b">
        <f t="shared" si="360"/>
        <v>0</v>
      </c>
      <c r="O2899" t="str">
        <f t="shared" si="367"/>
        <v>Large Order</v>
      </c>
      <c r="P2899" s="7">
        <f t="shared" si="361"/>
        <v>2.3094999999999999</v>
      </c>
      <c r="Q2899" s="7" t="str">
        <f>VLOOKUP(D2900,Product_Lookup!$A$2:$C$27,2,FALSE)</f>
        <v>Lego Set</v>
      </c>
      <c r="R2899" s="7">
        <f t="shared" si="362"/>
        <v>739.04</v>
      </c>
    </row>
    <row r="2900" spans="1:18" ht="21.75" customHeight="1">
      <c r="A2900" t="s">
        <v>3051</v>
      </c>
      <c r="B2900" s="6">
        <v>45643</v>
      </c>
      <c r="C2900" t="s">
        <v>363</v>
      </c>
      <c r="D2900" t="s">
        <v>84</v>
      </c>
      <c r="E2900" t="s">
        <v>22</v>
      </c>
      <c r="F2900" t="s">
        <v>12</v>
      </c>
      <c r="G2900" t="s">
        <v>28</v>
      </c>
      <c r="H2900">
        <v>14</v>
      </c>
      <c r="I2900" t="str">
        <f>VLOOKUP(D2900,Product_Lookup!$A$2:$C$27,3,FALSE)</f>
        <v>$130.07</v>
      </c>
      <c r="J2900" t="str">
        <f t="shared" si="363"/>
        <v>Tuesday</v>
      </c>
      <c r="K2900" s="10" t="str">
        <f t="shared" si="364"/>
        <v>December</v>
      </c>
      <c r="L2900">
        <f t="shared" si="365"/>
        <v>2024</v>
      </c>
      <c r="M2900" t="b">
        <f t="shared" si="366"/>
        <v>0</v>
      </c>
      <c r="N2900" t="b">
        <f t="shared" si="360"/>
        <v>1</v>
      </c>
      <c r="O2900" t="str">
        <f t="shared" si="367"/>
        <v>Large Order</v>
      </c>
      <c r="P2900" s="7">
        <f t="shared" si="361"/>
        <v>6.5034999999999998</v>
      </c>
      <c r="Q2900" s="7" t="str">
        <f>VLOOKUP(D2901,Product_Lookup!$A$2:$C$27,2,FALSE)</f>
        <v>Toaster</v>
      </c>
      <c r="R2900" s="7">
        <f t="shared" si="362"/>
        <v>1820.98</v>
      </c>
    </row>
    <row r="2901" spans="1:18" ht="21.75" customHeight="1">
      <c r="A2901" t="s">
        <v>3052</v>
      </c>
      <c r="B2901" s="6">
        <v>45629</v>
      </c>
      <c r="C2901" t="s">
        <v>167</v>
      </c>
      <c r="D2901" t="s">
        <v>48</v>
      </c>
      <c r="E2901" t="s">
        <v>17</v>
      </c>
      <c r="F2901" t="s">
        <v>12</v>
      </c>
      <c r="G2901" t="s">
        <v>28</v>
      </c>
      <c r="H2901">
        <v>19</v>
      </c>
      <c r="I2901" t="str">
        <f>VLOOKUP(D2901,Product_Lookup!$A$2:$C$27,3,FALSE)</f>
        <v>$208.85</v>
      </c>
      <c r="J2901" t="str">
        <f t="shared" si="363"/>
        <v>Tuesday</v>
      </c>
      <c r="K2901" s="10" t="str">
        <f t="shared" si="364"/>
        <v>December</v>
      </c>
      <c r="L2901">
        <f t="shared" si="365"/>
        <v>2024</v>
      </c>
      <c r="M2901" t="b">
        <f t="shared" si="366"/>
        <v>0</v>
      </c>
      <c r="N2901" t="b">
        <f t="shared" si="360"/>
        <v>1</v>
      </c>
      <c r="O2901" t="str">
        <f t="shared" si="367"/>
        <v>Large Order</v>
      </c>
      <c r="P2901" s="7">
        <f t="shared" si="361"/>
        <v>10.442500000000001</v>
      </c>
      <c r="Q2901" s="7" t="str">
        <f>VLOOKUP(D2902,Product_Lookup!$A$2:$C$27,2,FALSE)</f>
        <v>Jeans</v>
      </c>
      <c r="R2901" s="7">
        <f t="shared" si="362"/>
        <v>3968.15</v>
      </c>
    </row>
    <row r="2902" spans="1:18" ht="21.75" customHeight="1">
      <c r="A2902" t="s">
        <v>3053</v>
      </c>
      <c r="B2902" s="6">
        <v>45512</v>
      </c>
      <c r="C2902" t="s">
        <v>83</v>
      </c>
      <c r="D2902" t="s">
        <v>65</v>
      </c>
      <c r="E2902" t="s">
        <v>22</v>
      </c>
      <c r="F2902" t="s">
        <v>12</v>
      </c>
      <c r="G2902" t="s">
        <v>28</v>
      </c>
      <c r="H2902">
        <v>13</v>
      </c>
      <c r="I2902" t="str">
        <f>VLOOKUP(D2902,Product_Lookup!$A$2:$C$27,3,FALSE)</f>
        <v>$33.22</v>
      </c>
      <c r="J2902" t="str">
        <f t="shared" si="363"/>
        <v>Thursday</v>
      </c>
      <c r="K2902" s="10" t="str">
        <f t="shared" si="364"/>
        <v>August</v>
      </c>
      <c r="L2902">
        <f t="shared" si="365"/>
        <v>2024</v>
      </c>
      <c r="M2902" t="b">
        <f t="shared" si="366"/>
        <v>0</v>
      </c>
      <c r="N2902" t="b">
        <f t="shared" si="360"/>
        <v>0</v>
      </c>
      <c r="O2902" t="str">
        <f t="shared" si="367"/>
        <v>Standard order</v>
      </c>
      <c r="P2902" s="7">
        <f t="shared" si="361"/>
        <v>1.661</v>
      </c>
      <c r="Q2902" s="7" t="str">
        <f>VLOOKUP(D2903,Product_Lookup!$A$2:$C$27,2,FALSE)</f>
        <v>Board Game</v>
      </c>
      <c r="R2902" s="7">
        <f t="shared" si="362"/>
        <v>431.86</v>
      </c>
    </row>
    <row r="2903" spans="1:18" ht="21.75" customHeight="1">
      <c r="A2903" t="s">
        <v>3054</v>
      </c>
      <c r="B2903" s="6">
        <v>45432</v>
      </c>
      <c r="C2903" t="s">
        <v>451</v>
      </c>
      <c r="D2903" t="s">
        <v>41</v>
      </c>
      <c r="E2903" t="s">
        <v>22</v>
      </c>
      <c r="F2903" t="s">
        <v>27</v>
      </c>
      <c r="G2903" t="s">
        <v>36</v>
      </c>
      <c r="H2903">
        <v>6</v>
      </c>
      <c r="I2903" t="str">
        <f>VLOOKUP(D2903,Product_Lookup!$A$2:$C$27,3,FALSE)</f>
        <v>$86.6</v>
      </c>
      <c r="J2903" t="str">
        <f t="shared" si="363"/>
        <v>Monday</v>
      </c>
      <c r="K2903" s="10" t="str">
        <f t="shared" si="364"/>
        <v>May</v>
      </c>
      <c r="L2903">
        <f t="shared" si="365"/>
        <v>2024</v>
      </c>
      <c r="M2903" t="b">
        <f t="shared" si="366"/>
        <v>0</v>
      </c>
      <c r="N2903" t="b">
        <f t="shared" si="360"/>
        <v>0</v>
      </c>
      <c r="O2903" t="str">
        <f t="shared" si="367"/>
        <v>Large Order</v>
      </c>
      <c r="P2903" s="7">
        <f t="shared" si="361"/>
        <v>4.33</v>
      </c>
      <c r="Q2903" s="7" t="str">
        <f>VLOOKUP(D2904,Product_Lookup!$A$2:$C$27,2,FALSE)</f>
        <v>Blender</v>
      </c>
      <c r="R2903" s="7">
        <f t="shared" si="362"/>
        <v>519.59999999999991</v>
      </c>
    </row>
    <row r="2904" spans="1:18" ht="21.75" customHeight="1">
      <c r="A2904" t="s">
        <v>3055</v>
      </c>
      <c r="B2904" s="6">
        <v>45639</v>
      </c>
      <c r="C2904" t="s">
        <v>20</v>
      </c>
      <c r="D2904" t="s">
        <v>72</v>
      </c>
      <c r="E2904" t="s">
        <v>17</v>
      </c>
      <c r="F2904" t="s">
        <v>306</v>
      </c>
      <c r="G2904" t="s">
        <v>23</v>
      </c>
      <c r="H2904">
        <v>9</v>
      </c>
      <c r="I2904" t="str">
        <f>VLOOKUP(D2904,Product_Lookup!$A$2:$C$27,3,FALSE)</f>
        <v>$156.44</v>
      </c>
      <c r="J2904" t="str">
        <f t="shared" si="363"/>
        <v>Friday</v>
      </c>
      <c r="K2904" s="10" t="str">
        <f t="shared" si="364"/>
        <v>December</v>
      </c>
      <c r="L2904">
        <f t="shared" si="365"/>
        <v>2024</v>
      </c>
      <c r="M2904" t="b">
        <f t="shared" si="366"/>
        <v>0</v>
      </c>
      <c r="N2904" t="b">
        <f t="shared" si="360"/>
        <v>1</v>
      </c>
      <c r="O2904" t="str">
        <f t="shared" si="367"/>
        <v>Large Order</v>
      </c>
      <c r="P2904" s="7">
        <f t="shared" si="361"/>
        <v>7.8220000000000001</v>
      </c>
      <c r="Q2904" s="7" t="str">
        <f>VLOOKUP(D2905,Product_Lookup!$A$2:$C$27,2,FALSE)</f>
        <v>Notebook</v>
      </c>
      <c r="R2904" s="7">
        <f t="shared" si="362"/>
        <v>1407.96</v>
      </c>
    </row>
    <row r="2905" spans="1:18" ht="21.75" customHeight="1">
      <c r="A2905" t="s">
        <v>3056</v>
      </c>
      <c r="B2905" s="6">
        <v>45313</v>
      </c>
      <c r="C2905" t="s">
        <v>361</v>
      </c>
      <c r="D2905" t="s">
        <v>160</v>
      </c>
      <c r="E2905" t="s">
        <v>22</v>
      </c>
      <c r="F2905" t="s">
        <v>42</v>
      </c>
      <c r="G2905" t="s">
        <v>36</v>
      </c>
      <c r="H2905">
        <v>4</v>
      </c>
      <c r="I2905" t="str">
        <f>VLOOKUP(D2905,Product_Lookup!$A$2:$C$27,3,FALSE)</f>
        <v>$149.27</v>
      </c>
      <c r="J2905" t="str">
        <f t="shared" si="363"/>
        <v>Monday</v>
      </c>
      <c r="K2905" s="10" t="str">
        <f t="shared" si="364"/>
        <v>January</v>
      </c>
      <c r="L2905">
        <f t="shared" si="365"/>
        <v>2024</v>
      </c>
      <c r="M2905" t="b">
        <f t="shared" si="366"/>
        <v>0</v>
      </c>
      <c r="N2905" t="b">
        <f t="shared" si="360"/>
        <v>0</v>
      </c>
      <c r="O2905" t="str">
        <f t="shared" si="367"/>
        <v>Large Order</v>
      </c>
      <c r="P2905" s="7">
        <f t="shared" si="361"/>
        <v>7.4635000000000007</v>
      </c>
      <c r="Q2905" s="7" t="str">
        <f>VLOOKUP(D2906,Product_Lookup!$A$2:$C$27,2,FALSE)</f>
        <v>Toaster</v>
      </c>
      <c r="R2905" s="7">
        <f t="shared" si="362"/>
        <v>597.08000000000004</v>
      </c>
    </row>
    <row r="2906" spans="1:18" ht="21.75" customHeight="1">
      <c r="A2906" t="s">
        <v>3057</v>
      </c>
      <c r="B2906" s="6">
        <v>45524</v>
      </c>
      <c r="C2906" t="s">
        <v>614</v>
      </c>
      <c r="D2906" t="s">
        <v>48</v>
      </c>
      <c r="E2906" t="s">
        <v>17</v>
      </c>
      <c r="F2906" t="s">
        <v>12</v>
      </c>
      <c r="G2906" t="s">
        <v>13</v>
      </c>
      <c r="H2906">
        <v>16</v>
      </c>
      <c r="I2906" t="str">
        <f>VLOOKUP(D2906,Product_Lookup!$A$2:$C$27,3,FALSE)</f>
        <v>$208.85</v>
      </c>
      <c r="J2906" t="str">
        <f t="shared" si="363"/>
        <v>Tuesday</v>
      </c>
      <c r="K2906" s="10" t="str">
        <f t="shared" si="364"/>
        <v>August</v>
      </c>
      <c r="L2906">
        <f t="shared" si="365"/>
        <v>2024</v>
      </c>
      <c r="M2906" t="b">
        <f t="shared" si="366"/>
        <v>0</v>
      </c>
      <c r="N2906" t="b">
        <f t="shared" si="360"/>
        <v>1</v>
      </c>
      <c r="O2906" t="str">
        <f t="shared" si="367"/>
        <v>Large Order</v>
      </c>
      <c r="P2906" s="7">
        <f t="shared" si="361"/>
        <v>10.442500000000001</v>
      </c>
      <c r="Q2906" s="7" t="str">
        <f>VLOOKUP(D2907,Product_Lookup!$A$2:$C$27,2,FALSE)</f>
        <v>Board Game</v>
      </c>
      <c r="R2906" s="7">
        <f t="shared" si="362"/>
        <v>3341.6</v>
      </c>
    </row>
    <row r="2907" spans="1:18" ht="21.75" customHeight="1">
      <c r="A2907" t="s">
        <v>3058</v>
      </c>
      <c r="B2907" s="6">
        <v>45367</v>
      </c>
      <c r="C2907" t="s">
        <v>319</v>
      </c>
      <c r="D2907" t="s">
        <v>41</v>
      </c>
      <c r="E2907" t="s">
        <v>11</v>
      </c>
      <c r="F2907" t="s">
        <v>306</v>
      </c>
      <c r="G2907" t="s">
        <v>32</v>
      </c>
      <c r="H2907">
        <v>20</v>
      </c>
      <c r="I2907" t="str">
        <f>VLOOKUP(D2907,Product_Lookup!$A$2:$C$27,3,FALSE)</f>
        <v>$86.6</v>
      </c>
      <c r="J2907" t="str">
        <f t="shared" si="363"/>
        <v>Saturday</v>
      </c>
      <c r="K2907" s="10" t="str">
        <f t="shared" si="364"/>
        <v>March</v>
      </c>
      <c r="L2907">
        <f t="shared" si="365"/>
        <v>2024</v>
      </c>
      <c r="M2907" t="b">
        <f t="shared" si="366"/>
        <v>1</v>
      </c>
      <c r="N2907" t="b">
        <f t="shared" si="360"/>
        <v>1</v>
      </c>
      <c r="O2907" t="str">
        <f t="shared" si="367"/>
        <v>Large Order</v>
      </c>
      <c r="P2907" s="7">
        <f t="shared" si="361"/>
        <v>4.33</v>
      </c>
      <c r="Q2907" s="7" t="str">
        <f>VLOOKUP(D2908,Product_Lookup!$A$2:$C$27,2,FALSE)</f>
        <v>Stapler</v>
      </c>
      <c r="R2907" s="7">
        <f t="shared" si="362"/>
        <v>1732</v>
      </c>
    </row>
    <row r="2908" spans="1:18" ht="21.75" customHeight="1">
      <c r="A2908" t="s">
        <v>3059</v>
      </c>
      <c r="B2908" s="6">
        <v>45375</v>
      </c>
      <c r="C2908" t="s">
        <v>68</v>
      </c>
      <c r="D2908" t="s">
        <v>35</v>
      </c>
      <c r="E2908" t="s">
        <v>17</v>
      </c>
      <c r="F2908" t="s">
        <v>12</v>
      </c>
      <c r="G2908" t="s">
        <v>32</v>
      </c>
      <c r="H2908">
        <v>1</v>
      </c>
      <c r="I2908" t="str">
        <f>VLOOKUP(D2908,Product_Lookup!$A$2:$C$27,3,FALSE)</f>
        <v>$64.61</v>
      </c>
      <c r="J2908" t="str">
        <f t="shared" si="363"/>
        <v>Sunday</v>
      </c>
      <c r="K2908" s="10" t="str">
        <f t="shared" si="364"/>
        <v>March</v>
      </c>
      <c r="L2908">
        <f t="shared" si="365"/>
        <v>2024</v>
      </c>
      <c r="M2908" t="b">
        <f t="shared" si="366"/>
        <v>1</v>
      </c>
      <c r="N2908" t="b">
        <f t="shared" si="360"/>
        <v>0</v>
      </c>
      <c r="O2908" t="str">
        <f t="shared" si="367"/>
        <v>Standard order</v>
      </c>
      <c r="P2908" s="7">
        <f t="shared" si="361"/>
        <v>3.2305000000000001</v>
      </c>
      <c r="Q2908" s="7" t="str">
        <f>VLOOKUP(D2909,Product_Lookup!$A$2:$C$27,2,FALSE)</f>
        <v>Desk Lamp</v>
      </c>
      <c r="R2908" s="7">
        <f t="shared" si="362"/>
        <v>64.61</v>
      </c>
    </row>
    <row r="2909" spans="1:18" ht="21.75" customHeight="1">
      <c r="A2909" t="s">
        <v>3060</v>
      </c>
      <c r="B2909" s="6">
        <v>45403</v>
      </c>
      <c r="C2909" t="s">
        <v>55</v>
      </c>
      <c r="D2909" t="s">
        <v>59</v>
      </c>
      <c r="E2909" t="s">
        <v>11</v>
      </c>
      <c r="F2909" t="s">
        <v>12</v>
      </c>
      <c r="G2909" t="s">
        <v>23</v>
      </c>
      <c r="H2909">
        <v>10</v>
      </c>
      <c r="I2909" t="str">
        <f>VLOOKUP(D2909,Product_Lookup!$A$2:$C$27,3,FALSE)</f>
        <v>$101.96</v>
      </c>
      <c r="J2909" t="str">
        <f t="shared" si="363"/>
        <v>Sunday</v>
      </c>
      <c r="K2909" s="10" t="str">
        <f t="shared" si="364"/>
        <v>April</v>
      </c>
      <c r="L2909">
        <f t="shared" si="365"/>
        <v>2024</v>
      </c>
      <c r="M2909" t="b">
        <f t="shared" si="366"/>
        <v>1</v>
      </c>
      <c r="N2909" t="b">
        <f t="shared" si="360"/>
        <v>1</v>
      </c>
      <c r="O2909" t="str">
        <f t="shared" si="367"/>
        <v>Large Order</v>
      </c>
      <c r="P2909" s="7">
        <f t="shared" si="361"/>
        <v>5.0979999999999999</v>
      </c>
      <c r="Q2909" s="7" t="str">
        <f>VLOOKUP(D2910,Product_Lookup!$A$2:$C$27,2,FALSE)</f>
        <v>Laptop</v>
      </c>
      <c r="R2909" s="7">
        <f t="shared" si="362"/>
        <v>1019.5999999999999</v>
      </c>
    </row>
    <row r="2910" spans="1:18" ht="21.75" customHeight="1">
      <c r="A2910" t="s">
        <v>3061</v>
      </c>
      <c r="B2910" s="6">
        <v>45472</v>
      </c>
      <c r="C2910" t="s">
        <v>371</v>
      </c>
      <c r="D2910" t="s">
        <v>96</v>
      </c>
      <c r="E2910" t="s">
        <v>11</v>
      </c>
      <c r="F2910" t="s">
        <v>42</v>
      </c>
      <c r="G2910" t="s">
        <v>28</v>
      </c>
      <c r="H2910">
        <v>12</v>
      </c>
      <c r="I2910" t="str">
        <f>VLOOKUP(D2910,Product_Lookup!$A$2:$C$27,3,FALSE)</f>
        <v>$230.68</v>
      </c>
      <c r="J2910" t="str">
        <f t="shared" si="363"/>
        <v>Saturday</v>
      </c>
      <c r="K2910" s="10" t="str">
        <f t="shared" si="364"/>
        <v>June</v>
      </c>
      <c r="L2910">
        <f t="shared" si="365"/>
        <v>2024</v>
      </c>
      <c r="M2910" t="b">
        <f t="shared" si="366"/>
        <v>1</v>
      </c>
      <c r="N2910" t="b">
        <f t="shared" si="360"/>
        <v>1</v>
      </c>
      <c r="O2910" t="str">
        <f t="shared" si="367"/>
        <v>Large Order</v>
      </c>
      <c r="P2910" s="7">
        <f t="shared" si="361"/>
        <v>11.534000000000001</v>
      </c>
      <c r="Q2910" s="7" t="str">
        <f>VLOOKUP(D2911,Product_Lookup!$A$2:$C$27,2,FALSE)</f>
        <v>Doll</v>
      </c>
      <c r="R2910" s="7">
        <f t="shared" si="362"/>
        <v>2768.16</v>
      </c>
    </row>
    <row r="2911" spans="1:18" ht="21.75" customHeight="1">
      <c r="A2911" t="s">
        <v>3062</v>
      </c>
      <c r="B2911" s="6">
        <v>45549</v>
      </c>
      <c r="C2911" t="s">
        <v>317</v>
      </c>
      <c r="D2911" t="s">
        <v>119</v>
      </c>
      <c r="E2911" t="s">
        <v>22</v>
      </c>
      <c r="F2911" t="s">
        <v>56</v>
      </c>
      <c r="G2911" t="s">
        <v>13</v>
      </c>
      <c r="H2911">
        <v>9</v>
      </c>
      <c r="I2911" t="str">
        <f>VLOOKUP(D2911,Product_Lookup!$A$2:$C$27,3,FALSE)</f>
        <v>$32.94</v>
      </c>
      <c r="J2911" t="str">
        <f t="shared" si="363"/>
        <v>Saturday</v>
      </c>
      <c r="K2911" s="10" t="str">
        <f t="shared" si="364"/>
        <v>September</v>
      </c>
      <c r="L2911">
        <f t="shared" si="365"/>
        <v>2024</v>
      </c>
      <c r="M2911" t="b">
        <f t="shared" si="366"/>
        <v>1</v>
      </c>
      <c r="N2911" t="b">
        <f t="shared" si="360"/>
        <v>0</v>
      </c>
      <c r="O2911" t="str">
        <f t="shared" si="367"/>
        <v>Standard order</v>
      </c>
      <c r="P2911" s="7">
        <f t="shared" si="361"/>
        <v>1.647</v>
      </c>
      <c r="Q2911" s="7" t="str">
        <f>VLOOKUP(D2912,Product_Lookup!$A$2:$C$27,2,FALSE)</f>
        <v>Desk Lamp</v>
      </c>
      <c r="R2911" s="7">
        <f t="shared" si="362"/>
        <v>296.45999999999998</v>
      </c>
    </row>
    <row r="2912" spans="1:18" ht="21.75" customHeight="1">
      <c r="A2912" t="s">
        <v>3063</v>
      </c>
      <c r="B2912" s="6">
        <v>45392</v>
      </c>
      <c r="C2912" t="s">
        <v>348</v>
      </c>
      <c r="D2912" t="s">
        <v>59</v>
      </c>
      <c r="E2912" t="s">
        <v>11</v>
      </c>
      <c r="F2912" t="s">
        <v>42</v>
      </c>
      <c r="G2912" t="s">
        <v>28</v>
      </c>
      <c r="H2912">
        <v>2</v>
      </c>
      <c r="I2912" t="str">
        <f>VLOOKUP(D2912,Product_Lookup!$A$2:$C$27,3,FALSE)</f>
        <v>$101.96</v>
      </c>
      <c r="J2912" t="str">
        <f t="shared" si="363"/>
        <v>Wednesday</v>
      </c>
      <c r="K2912" s="10" t="str">
        <f t="shared" si="364"/>
        <v>April</v>
      </c>
      <c r="L2912">
        <f t="shared" si="365"/>
        <v>2024</v>
      </c>
      <c r="M2912" t="b">
        <f t="shared" si="366"/>
        <v>0</v>
      </c>
      <c r="N2912" t="b">
        <f t="shared" si="360"/>
        <v>0</v>
      </c>
      <c r="O2912" t="str">
        <f t="shared" si="367"/>
        <v>Standard order</v>
      </c>
      <c r="P2912" s="7">
        <f t="shared" si="361"/>
        <v>5.0979999999999999</v>
      </c>
      <c r="Q2912" s="7" t="str">
        <f>VLOOKUP(D2913,Product_Lookup!$A$2:$C$27,2,FALSE)</f>
        <v>Board Game</v>
      </c>
      <c r="R2912" s="7">
        <f t="shared" si="362"/>
        <v>203.92</v>
      </c>
    </row>
    <row r="2913" spans="1:18" ht="21.75" customHeight="1">
      <c r="A2913" t="s">
        <v>3064</v>
      </c>
      <c r="B2913" s="6">
        <v>45473</v>
      </c>
      <c r="C2913" t="s">
        <v>78</v>
      </c>
      <c r="D2913" t="s">
        <v>41</v>
      </c>
      <c r="E2913" t="s">
        <v>22</v>
      </c>
      <c r="F2913" t="s">
        <v>27</v>
      </c>
      <c r="G2913" t="s">
        <v>23</v>
      </c>
      <c r="H2913">
        <v>13</v>
      </c>
      <c r="I2913" t="str">
        <f>VLOOKUP(D2913,Product_Lookup!$A$2:$C$27,3,FALSE)</f>
        <v>$86.6</v>
      </c>
      <c r="J2913" t="str">
        <f t="shared" si="363"/>
        <v>Sunday</v>
      </c>
      <c r="K2913" s="10" t="str">
        <f t="shared" si="364"/>
        <v>June</v>
      </c>
      <c r="L2913">
        <f t="shared" si="365"/>
        <v>2024</v>
      </c>
      <c r="M2913" t="b">
        <f t="shared" si="366"/>
        <v>1</v>
      </c>
      <c r="N2913" t="b">
        <f t="shared" si="360"/>
        <v>1</v>
      </c>
      <c r="O2913" t="str">
        <f t="shared" si="367"/>
        <v>Large Order</v>
      </c>
      <c r="P2913" s="7">
        <f t="shared" si="361"/>
        <v>4.33</v>
      </c>
      <c r="Q2913" s="7" t="str">
        <f>VLOOKUP(D2914,Product_Lookup!$A$2:$C$27,2,FALSE)</f>
        <v>Socks</v>
      </c>
      <c r="R2913" s="7">
        <f t="shared" si="362"/>
        <v>1125.8</v>
      </c>
    </row>
    <row r="2914" spans="1:18" ht="21.75" customHeight="1">
      <c r="A2914" t="s">
        <v>3065</v>
      </c>
      <c r="B2914" s="6">
        <v>45342</v>
      </c>
      <c r="C2914" t="s">
        <v>86</v>
      </c>
      <c r="D2914" t="s">
        <v>74</v>
      </c>
      <c r="E2914" t="s">
        <v>22</v>
      </c>
      <c r="F2914" t="s">
        <v>42</v>
      </c>
      <c r="G2914" t="s">
        <v>28</v>
      </c>
      <c r="H2914">
        <v>19</v>
      </c>
      <c r="I2914" t="str">
        <f>VLOOKUP(D2914,Product_Lookup!$A$2:$C$27,3,FALSE)</f>
        <v>$201.32</v>
      </c>
      <c r="J2914" t="str">
        <f t="shared" si="363"/>
        <v>Tuesday</v>
      </c>
      <c r="K2914" s="10" t="str">
        <f t="shared" si="364"/>
        <v>February</v>
      </c>
      <c r="L2914">
        <f t="shared" si="365"/>
        <v>2024</v>
      </c>
      <c r="M2914" t="b">
        <f t="shared" si="366"/>
        <v>0</v>
      </c>
      <c r="N2914" t="b">
        <f t="shared" si="360"/>
        <v>1</v>
      </c>
      <c r="O2914" t="str">
        <f t="shared" si="367"/>
        <v>Large Order</v>
      </c>
      <c r="P2914" s="7">
        <f t="shared" si="361"/>
        <v>10.066000000000001</v>
      </c>
      <c r="Q2914" s="7" t="str">
        <f>VLOOKUP(D2915,Product_Lookup!$A$2:$C$27,2,FALSE)</f>
        <v>Headphones</v>
      </c>
      <c r="R2914" s="7">
        <f t="shared" si="362"/>
        <v>3825.08</v>
      </c>
    </row>
    <row r="2915" spans="1:18" ht="21.75" customHeight="1">
      <c r="A2915" t="s">
        <v>3066</v>
      </c>
      <c r="B2915" s="6">
        <v>45457</v>
      </c>
      <c r="C2915" t="s">
        <v>361</v>
      </c>
      <c r="D2915" t="s">
        <v>16</v>
      </c>
      <c r="E2915" t="s">
        <v>22</v>
      </c>
      <c r="F2915" t="s">
        <v>56</v>
      </c>
      <c r="G2915" t="s">
        <v>32</v>
      </c>
      <c r="H2915">
        <v>5</v>
      </c>
      <c r="I2915" t="str">
        <f>VLOOKUP(D2915,Product_Lookup!$A$2:$C$27,3,FALSE)</f>
        <v>$178.83</v>
      </c>
      <c r="J2915" t="str">
        <f t="shared" si="363"/>
        <v>Friday</v>
      </c>
      <c r="K2915" s="10" t="str">
        <f t="shared" si="364"/>
        <v>June</v>
      </c>
      <c r="L2915">
        <f t="shared" si="365"/>
        <v>2024</v>
      </c>
      <c r="M2915" t="b">
        <f t="shared" si="366"/>
        <v>0</v>
      </c>
      <c r="N2915" t="b">
        <f t="shared" si="360"/>
        <v>0</v>
      </c>
      <c r="O2915" t="str">
        <f t="shared" si="367"/>
        <v>Large Order</v>
      </c>
      <c r="P2915" s="7">
        <f t="shared" si="361"/>
        <v>8.9415000000000013</v>
      </c>
      <c r="Q2915" s="7" t="str">
        <f>VLOOKUP(D2916,Product_Lookup!$A$2:$C$27,2,FALSE)</f>
        <v>Socks</v>
      </c>
      <c r="R2915" s="7">
        <f t="shared" si="362"/>
        <v>894.15000000000009</v>
      </c>
    </row>
    <row r="2916" spans="1:18" ht="21.75" customHeight="1">
      <c r="A2916" t="s">
        <v>3067</v>
      </c>
      <c r="B2916" s="6">
        <v>45394</v>
      </c>
      <c r="C2916" t="s">
        <v>68</v>
      </c>
      <c r="D2916" t="s">
        <v>74</v>
      </c>
      <c r="E2916" t="s">
        <v>11</v>
      </c>
      <c r="F2916" t="s">
        <v>42</v>
      </c>
      <c r="G2916" t="s">
        <v>36</v>
      </c>
      <c r="H2916">
        <v>15</v>
      </c>
      <c r="I2916" t="str">
        <f>VLOOKUP(D2916,Product_Lookup!$A$2:$C$27,3,FALSE)</f>
        <v>$201.32</v>
      </c>
      <c r="J2916" t="str">
        <f t="shared" si="363"/>
        <v>Friday</v>
      </c>
      <c r="K2916" s="10" t="str">
        <f t="shared" si="364"/>
        <v>April</v>
      </c>
      <c r="L2916">
        <f t="shared" si="365"/>
        <v>2024</v>
      </c>
      <c r="M2916" t="b">
        <f t="shared" si="366"/>
        <v>0</v>
      </c>
      <c r="N2916" t="b">
        <f t="shared" si="360"/>
        <v>1</v>
      </c>
      <c r="O2916" t="str">
        <f t="shared" si="367"/>
        <v>Large Order</v>
      </c>
      <c r="P2916" s="7">
        <f t="shared" si="361"/>
        <v>10.066000000000001</v>
      </c>
      <c r="Q2916" s="7" t="str">
        <f>VLOOKUP(D2917,Product_Lookup!$A$2:$C$27,2,FALSE)</f>
        <v>Vacuum</v>
      </c>
      <c r="R2916" s="7">
        <f t="shared" si="362"/>
        <v>3019.7999999999997</v>
      </c>
    </row>
    <row r="2917" spans="1:18" ht="21.75" customHeight="1">
      <c r="A2917" t="s">
        <v>3068</v>
      </c>
      <c r="B2917" s="6">
        <v>45484</v>
      </c>
      <c r="C2917" t="s">
        <v>728</v>
      </c>
      <c r="D2917" t="s">
        <v>87</v>
      </c>
      <c r="E2917" t="s">
        <v>11</v>
      </c>
      <c r="F2917" t="s">
        <v>56</v>
      </c>
      <c r="G2917" t="s">
        <v>36</v>
      </c>
      <c r="H2917">
        <v>15</v>
      </c>
      <c r="I2917" t="str">
        <f>VLOOKUP(D2917,Product_Lookup!$A$2:$C$27,3,FALSE)</f>
        <v>$26.59</v>
      </c>
      <c r="J2917" t="str">
        <f t="shared" si="363"/>
        <v>Thursday</v>
      </c>
      <c r="K2917" s="10" t="str">
        <f t="shared" si="364"/>
        <v>July</v>
      </c>
      <c r="L2917">
        <f t="shared" si="365"/>
        <v>2024</v>
      </c>
      <c r="M2917" t="b">
        <f t="shared" si="366"/>
        <v>0</v>
      </c>
      <c r="N2917" t="b">
        <f t="shared" si="360"/>
        <v>0</v>
      </c>
      <c r="O2917" t="str">
        <f t="shared" si="367"/>
        <v>Standard order</v>
      </c>
      <c r="P2917" s="7">
        <f t="shared" si="361"/>
        <v>1.3295000000000001</v>
      </c>
      <c r="Q2917" s="7" t="str">
        <f>VLOOKUP(D2918,Product_Lookup!$A$2:$C$27,2,FALSE)</f>
        <v>Puzzle</v>
      </c>
      <c r="R2917" s="7">
        <f t="shared" si="362"/>
        <v>398.85</v>
      </c>
    </row>
    <row r="2918" spans="1:18" ht="21.75" customHeight="1">
      <c r="A2918" t="s">
        <v>3069</v>
      </c>
      <c r="B2918" s="6">
        <v>45549</v>
      </c>
      <c r="C2918" t="s">
        <v>455</v>
      </c>
      <c r="D2918" t="s">
        <v>62</v>
      </c>
      <c r="E2918" t="s">
        <v>17</v>
      </c>
      <c r="F2918" t="s">
        <v>27</v>
      </c>
      <c r="G2918" t="s">
        <v>32</v>
      </c>
      <c r="H2918">
        <v>14</v>
      </c>
      <c r="I2918" t="str">
        <f>VLOOKUP(D2918,Product_Lookup!$A$2:$C$27,3,FALSE)</f>
        <v>$46.19</v>
      </c>
      <c r="J2918" t="str">
        <f t="shared" si="363"/>
        <v>Saturday</v>
      </c>
      <c r="K2918" s="10" t="str">
        <f t="shared" si="364"/>
        <v>September</v>
      </c>
      <c r="L2918">
        <f t="shared" si="365"/>
        <v>2024</v>
      </c>
      <c r="M2918" t="b">
        <f t="shared" si="366"/>
        <v>1</v>
      </c>
      <c r="N2918" t="b">
        <f t="shared" si="360"/>
        <v>0</v>
      </c>
      <c r="O2918" t="str">
        <f t="shared" si="367"/>
        <v>Large Order</v>
      </c>
      <c r="P2918" s="7">
        <f t="shared" si="361"/>
        <v>2.3094999999999999</v>
      </c>
      <c r="Q2918" s="7" t="str">
        <f>VLOOKUP(D2919,Product_Lookup!$A$2:$C$27,2,FALSE)</f>
        <v>Laptop</v>
      </c>
      <c r="R2918" s="7">
        <f t="shared" si="362"/>
        <v>646.66</v>
      </c>
    </row>
    <row r="2919" spans="1:18" ht="21.75" customHeight="1">
      <c r="A2919" t="s">
        <v>3070</v>
      </c>
      <c r="B2919" s="6">
        <v>45502</v>
      </c>
      <c r="C2919" t="s">
        <v>319</v>
      </c>
      <c r="D2919" t="s">
        <v>96</v>
      </c>
      <c r="E2919" t="s">
        <v>22</v>
      </c>
      <c r="F2919" t="s">
        <v>12</v>
      </c>
      <c r="G2919" t="s">
        <v>23</v>
      </c>
      <c r="H2919">
        <v>3</v>
      </c>
      <c r="I2919" t="str">
        <f>VLOOKUP(D2919,Product_Lookup!$A$2:$C$27,3,FALSE)</f>
        <v>$230.68</v>
      </c>
      <c r="J2919" t="str">
        <f t="shared" si="363"/>
        <v>Monday</v>
      </c>
      <c r="K2919" s="10" t="str">
        <f t="shared" si="364"/>
        <v>July</v>
      </c>
      <c r="L2919">
        <f t="shared" si="365"/>
        <v>2024</v>
      </c>
      <c r="M2919" t="b">
        <f t="shared" si="366"/>
        <v>0</v>
      </c>
      <c r="N2919" t="b">
        <f t="shared" si="360"/>
        <v>0</v>
      </c>
      <c r="O2919" t="str">
        <f t="shared" si="367"/>
        <v>Large Order</v>
      </c>
      <c r="P2919" s="7">
        <f t="shared" si="361"/>
        <v>11.534000000000001</v>
      </c>
      <c r="Q2919" s="7" t="str">
        <f>VLOOKUP(D2920,Product_Lookup!$A$2:$C$27,2,FALSE)</f>
        <v>Jacket</v>
      </c>
      <c r="R2919" s="7">
        <f t="shared" si="362"/>
        <v>692.04</v>
      </c>
    </row>
    <row r="2920" spans="1:18" ht="21.75" customHeight="1">
      <c r="A2920" t="s">
        <v>3071</v>
      </c>
      <c r="B2920" s="6">
        <v>45606</v>
      </c>
      <c r="C2920" t="s">
        <v>68</v>
      </c>
      <c r="D2920" t="s">
        <v>197</v>
      </c>
      <c r="E2920" t="s">
        <v>22</v>
      </c>
      <c r="F2920" t="s">
        <v>306</v>
      </c>
      <c r="G2920" t="s">
        <v>32</v>
      </c>
      <c r="H2920">
        <v>5</v>
      </c>
      <c r="I2920" t="str">
        <f>VLOOKUP(D2920,Product_Lookup!$A$2:$C$27,3,FALSE)</f>
        <v>$10.11</v>
      </c>
      <c r="J2920" t="str">
        <f t="shared" si="363"/>
        <v>Sunday</v>
      </c>
      <c r="K2920" s="10" t="str">
        <f t="shared" si="364"/>
        <v>November</v>
      </c>
      <c r="L2920">
        <f t="shared" si="365"/>
        <v>2024</v>
      </c>
      <c r="M2920" t="b">
        <f t="shared" si="366"/>
        <v>1</v>
      </c>
      <c r="N2920" t="b">
        <f t="shared" si="360"/>
        <v>0</v>
      </c>
      <c r="O2920" t="str">
        <f t="shared" si="367"/>
        <v>Standard order</v>
      </c>
      <c r="P2920" s="7">
        <f t="shared" si="361"/>
        <v>0.50549999999999995</v>
      </c>
      <c r="Q2920" s="7" t="str">
        <f>VLOOKUP(D2921,Product_Lookup!$A$2:$C$27,2,FALSE)</f>
        <v>Smartphone</v>
      </c>
      <c r="R2920" s="7">
        <f t="shared" si="362"/>
        <v>50.55</v>
      </c>
    </row>
    <row r="2921" spans="1:18" ht="21.75" customHeight="1">
      <c r="A2921" t="s">
        <v>3072</v>
      </c>
      <c r="B2921" s="6">
        <v>45581</v>
      </c>
      <c r="C2921" t="s">
        <v>61</v>
      </c>
      <c r="D2921" t="s">
        <v>79</v>
      </c>
      <c r="E2921" t="s">
        <v>17</v>
      </c>
      <c r="F2921" t="s">
        <v>56</v>
      </c>
      <c r="G2921" t="s">
        <v>23</v>
      </c>
      <c r="H2921">
        <v>1</v>
      </c>
      <c r="I2921" t="str">
        <f>VLOOKUP(D2921,Product_Lookup!$A$2:$C$27,3,FALSE)</f>
        <v>$216.22</v>
      </c>
      <c r="J2921" t="str">
        <f t="shared" si="363"/>
        <v>Wednesday</v>
      </c>
      <c r="K2921" s="10" t="str">
        <f t="shared" si="364"/>
        <v>October</v>
      </c>
      <c r="L2921">
        <f t="shared" si="365"/>
        <v>2024</v>
      </c>
      <c r="M2921" t="b">
        <f t="shared" si="366"/>
        <v>0</v>
      </c>
      <c r="N2921" t="b">
        <f t="shared" si="360"/>
        <v>0</v>
      </c>
      <c r="O2921" t="str">
        <f t="shared" si="367"/>
        <v>Standard order</v>
      </c>
      <c r="P2921" s="7">
        <f t="shared" si="361"/>
        <v>10.811</v>
      </c>
      <c r="Q2921" s="7" t="str">
        <f>VLOOKUP(D2922,Product_Lookup!$A$2:$C$27,2,FALSE)</f>
        <v>Smartphone</v>
      </c>
      <c r="R2921" s="7">
        <f t="shared" si="362"/>
        <v>216.22</v>
      </c>
    </row>
    <row r="2922" spans="1:18" ht="21.75" customHeight="1">
      <c r="A2922" t="s">
        <v>3073</v>
      </c>
      <c r="B2922" s="6">
        <v>45557</v>
      </c>
      <c r="C2922" t="s">
        <v>366</v>
      </c>
      <c r="D2922" t="s">
        <v>79</v>
      </c>
      <c r="E2922" t="s">
        <v>11</v>
      </c>
      <c r="F2922" t="s">
        <v>12</v>
      </c>
      <c r="G2922" t="s">
        <v>32</v>
      </c>
      <c r="H2922">
        <v>4</v>
      </c>
      <c r="I2922" t="str">
        <f>VLOOKUP(D2922,Product_Lookup!$A$2:$C$27,3,FALSE)</f>
        <v>$216.22</v>
      </c>
      <c r="J2922" t="str">
        <f t="shared" si="363"/>
        <v>Sunday</v>
      </c>
      <c r="K2922" s="10" t="str">
        <f t="shared" si="364"/>
        <v>September</v>
      </c>
      <c r="L2922">
        <f t="shared" si="365"/>
        <v>2024</v>
      </c>
      <c r="M2922" t="b">
        <f t="shared" si="366"/>
        <v>1</v>
      </c>
      <c r="N2922" t="b">
        <f t="shared" si="360"/>
        <v>0</v>
      </c>
      <c r="O2922" t="str">
        <f t="shared" si="367"/>
        <v>Large Order</v>
      </c>
      <c r="P2922" s="7">
        <f t="shared" si="361"/>
        <v>10.811</v>
      </c>
      <c r="Q2922" s="7" t="str">
        <f>VLOOKUP(D2923,Product_Lookup!$A$2:$C$27,2,FALSE)</f>
        <v>Desk Lamp</v>
      </c>
      <c r="R2922" s="7">
        <f t="shared" si="362"/>
        <v>864.88</v>
      </c>
    </row>
    <row r="2923" spans="1:18" ht="21.75" customHeight="1">
      <c r="A2923" t="s">
        <v>3074</v>
      </c>
      <c r="B2923" s="6">
        <v>45341</v>
      </c>
      <c r="C2923" t="s">
        <v>61</v>
      </c>
      <c r="D2923" t="s">
        <v>59</v>
      </c>
      <c r="E2923" t="s">
        <v>17</v>
      </c>
      <c r="F2923" t="s">
        <v>42</v>
      </c>
      <c r="G2923" t="s">
        <v>13</v>
      </c>
      <c r="H2923">
        <v>4</v>
      </c>
      <c r="I2923" t="str">
        <f>VLOOKUP(D2923,Product_Lookup!$A$2:$C$27,3,FALSE)</f>
        <v>$101.96</v>
      </c>
      <c r="J2923" t="str">
        <f t="shared" si="363"/>
        <v>Monday</v>
      </c>
      <c r="K2923" s="10" t="str">
        <f t="shared" si="364"/>
        <v>February</v>
      </c>
      <c r="L2923">
        <f t="shared" si="365"/>
        <v>2024</v>
      </c>
      <c r="M2923" t="b">
        <f t="shared" si="366"/>
        <v>0</v>
      </c>
      <c r="N2923" t="b">
        <f t="shared" si="360"/>
        <v>0</v>
      </c>
      <c r="O2923" t="str">
        <f t="shared" si="367"/>
        <v>Standard order</v>
      </c>
      <c r="P2923" s="7">
        <f t="shared" si="361"/>
        <v>5.0979999999999999</v>
      </c>
      <c r="Q2923" s="7" t="str">
        <f>VLOOKUP(D2924,Product_Lookup!$A$2:$C$27,2,FALSE)</f>
        <v>Lego Set</v>
      </c>
      <c r="R2923" s="7">
        <f t="shared" si="362"/>
        <v>407.84</v>
      </c>
    </row>
    <row r="2924" spans="1:18" ht="21.75" customHeight="1">
      <c r="A2924" t="s">
        <v>3075</v>
      </c>
      <c r="B2924" s="6">
        <v>45637</v>
      </c>
      <c r="C2924" t="s">
        <v>345</v>
      </c>
      <c r="D2924" t="s">
        <v>84</v>
      </c>
      <c r="E2924" t="s">
        <v>22</v>
      </c>
      <c r="F2924" t="s">
        <v>12</v>
      </c>
      <c r="G2924" t="s">
        <v>28</v>
      </c>
      <c r="H2924">
        <v>17</v>
      </c>
      <c r="I2924" t="str">
        <f>VLOOKUP(D2924,Product_Lookup!$A$2:$C$27,3,FALSE)</f>
        <v>$130.07</v>
      </c>
      <c r="J2924" t="str">
        <f t="shared" si="363"/>
        <v>Wednesday</v>
      </c>
      <c r="K2924" s="10" t="str">
        <f t="shared" si="364"/>
        <v>December</v>
      </c>
      <c r="L2924">
        <f t="shared" si="365"/>
        <v>2024</v>
      </c>
      <c r="M2924" t="b">
        <f t="shared" si="366"/>
        <v>0</v>
      </c>
      <c r="N2924" t="b">
        <f t="shared" si="360"/>
        <v>1</v>
      </c>
      <c r="O2924" t="str">
        <f t="shared" si="367"/>
        <v>Large Order</v>
      </c>
      <c r="P2924" s="7">
        <f t="shared" si="361"/>
        <v>6.5034999999999998</v>
      </c>
      <c r="Q2924" s="7" t="str">
        <f>VLOOKUP(D2925,Product_Lookup!$A$2:$C$27,2,FALSE)</f>
        <v>Jacket</v>
      </c>
      <c r="R2924" s="7">
        <f t="shared" si="362"/>
        <v>2211.19</v>
      </c>
    </row>
    <row r="2925" spans="1:18" ht="21.75" customHeight="1">
      <c r="A2925" t="s">
        <v>3076</v>
      </c>
      <c r="B2925" s="6">
        <v>45545</v>
      </c>
      <c r="C2925" t="s">
        <v>99</v>
      </c>
      <c r="D2925" t="s">
        <v>197</v>
      </c>
      <c r="E2925" t="s">
        <v>22</v>
      </c>
      <c r="F2925" t="s">
        <v>56</v>
      </c>
      <c r="G2925" t="s">
        <v>32</v>
      </c>
      <c r="H2925">
        <v>10</v>
      </c>
      <c r="I2925" t="str">
        <f>VLOOKUP(D2925,Product_Lookup!$A$2:$C$27,3,FALSE)</f>
        <v>$10.11</v>
      </c>
      <c r="J2925" t="str">
        <f t="shared" si="363"/>
        <v>Tuesday</v>
      </c>
      <c r="K2925" s="10" t="str">
        <f t="shared" si="364"/>
        <v>September</v>
      </c>
      <c r="L2925">
        <f t="shared" si="365"/>
        <v>2024</v>
      </c>
      <c r="M2925" t="b">
        <f t="shared" si="366"/>
        <v>0</v>
      </c>
      <c r="N2925" t="b">
        <f t="shared" si="360"/>
        <v>0</v>
      </c>
      <c r="O2925" t="str">
        <f t="shared" si="367"/>
        <v>Standard order</v>
      </c>
      <c r="P2925" s="7">
        <f t="shared" si="361"/>
        <v>0.50549999999999995</v>
      </c>
      <c r="Q2925" s="7" t="str">
        <f>VLOOKUP(D2926,Product_Lookup!$A$2:$C$27,2,FALSE)</f>
        <v>Paper Shredder</v>
      </c>
      <c r="R2925" s="7">
        <f t="shared" si="362"/>
        <v>101.1</v>
      </c>
    </row>
    <row r="2926" spans="1:18" ht="21.75" customHeight="1">
      <c r="A2926" t="s">
        <v>3077</v>
      </c>
      <c r="B2926" s="6">
        <v>45295</v>
      </c>
      <c r="C2926" t="s">
        <v>374</v>
      </c>
      <c r="D2926" t="s">
        <v>109</v>
      </c>
      <c r="E2926" t="s">
        <v>22</v>
      </c>
      <c r="F2926" t="s">
        <v>56</v>
      </c>
      <c r="G2926" t="s">
        <v>13</v>
      </c>
      <c r="H2926">
        <v>3</v>
      </c>
      <c r="I2926" t="str">
        <f>VLOOKUP(D2926,Product_Lookup!$A$2:$C$27,3,FALSE)</f>
        <v>$81.02</v>
      </c>
      <c r="J2926" t="str">
        <f t="shared" si="363"/>
        <v>Thursday</v>
      </c>
      <c r="K2926" s="10" t="str">
        <f t="shared" si="364"/>
        <v>January</v>
      </c>
      <c r="L2926">
        <f t="shared" si="365"/>
        <v>2024</v>
      </c>
      <c r="M2926" t="b">
        <f t="shared" si="366"/>
        <v>0</v>
      </c>
      <c r="N2926" t="b">
        <f t="shared" si="360"/>
        <v>0</v>
      </c>
      <c r="O2926" t="str">
        <f t="shared" si="367"/>
        <v>Standard order</v>
      </c>
      <c r="P2926" s="7">
        <f t="shared" si="361"/>
        <v>4.0510000000000002</v>
      </c>
      <c r="Q2926" s="7" t="str">
        <f>VLOOKUP(D2927,Product_Lookup!$A$2:$C$27,2,FALSE)</f>
        <v>Notebook</v>
      </c>
      <c r="R2926" s="7">
        <f t="shared" si="362"/>
        <v>243.06</v>
      </c>
    </row>
    <row r="2927" spans="1:18" ht="21.75" customHeight="1">
      <c r="A2927" t="s">
        <v>3078</v>
      </c>
      <c r="B2927" s="6">
        <v>45601</v>
      </c>
      <c r="C2927" t="s">
        <v>114</v>
      </c>
      <c r="D2927" t="s">
        <v>160</v>
      </c>
      <c r="E2927" t="s">
        <v>11</v>
      </c>
      <c r="F2927" t="s">
        <v>56</v>
      </c>
      <c r="G2927" t="s">
        <v>28</v>
      </c>
      <c r="H2927">
        <v>4</v>
      </c>
      <c r="I2927" t="str">
        <f>VLOOKUP(D2927,Product_Lookup!$A$2:$C$27,3,FALSE)</f>
        <v>$149.27</v>
      </c>
      <c r="J2927" t="str">
        <f t="shared" si="363"/>
        <v>Tuesday</v>
      </c>
      <c r="K2927" s="10" t="str">
        <f t="shared" si="364"/>
        <v>November</v>
      </c>
      <c r="L2927">
        <f t="shared" si="365"/>
        <v>2024</v>
      </c>
      <c r="M2927" t="b">
        <f t="shared" si="366"/>
        <v>0</v>
      </c>
      <c r="N2927" t="b">
        <f t="shared" si="360"/>
        <v>0</v>
      </c>
      <c r="O2927" t="str">
        <f t="shared" si="367"/>
        <v>Large Order</v>
      </c>
      <c r="P2927" s="7">
        <f t="shared" si="361"/>
        <v>7.4635000000000007</v>
      </c>
      <c r="Q2927" s="7" t="str">
        <f>VLOOKUP(D2928,Product_Lookup!$A$2:$C$27,2,FALSE)</f>
        <v>Coffee Maker</v>
      </c>
      <c r="R2927" s="7">
        <f t="shared" si="362"/>
        <v>597.08000000000004</v>
      </c>
    </row>
    <row r="2928" spans="1:18" ht="21.75" customHeight="1">
      <c r="A2928" t="s">
        <v>3079</v>
      </c>
      <c r="B2928" s="6">
        <v>45550</v>
      </c>
      <c r="C2928" t="s">
        <v>396</v>
      </c>
      <c r="D2928" t="s">
        <v>31</v>
      </c>
      <c r="E2928" t="s">
        <v>11</v>
      </c>
      <c r="F2928" t="s">
        <v>12</v>
      </c>
      <c r="G2928" t="s">
        <v>32</v>
      </c>
      <c r="H2928">
        <v>13</v>
      </c>
      <c r="I2928" t="str">
        <f>VLOOKUP(D2928,Product_Lookup!$A$2:$C$27,3,FALSE)</f>
        <v>$230.34</v>
      </c>
      <c r="J2928" t="str">
        <f t="shared" si="363"/>
        <v>Sunday</v>
      </c>
      <c r="K2928" s="10" t="str">
        <f t="shared" si="364"/>
        <v>September</v>
      </c>
      <c r="L2928">
        <f t="shared" si="365"/>
        <v>2024</v>
      </c>
      <c r="M2928" t="b">
        <f t="shared" si="366"/>
        <v>1</v>
      </c>
      <c r="N2928" t="b">
        <f t="shared" si="360"/>
        <v>1</v>
      </c>
      <c r="O2928" t="str">
        <f t="shared" si="367"/>
        <v>Large Order</v>
      </c>
      <c r="P2928" s="7">
        <f t="shared" si="361"/>
        <v>11.517000000000001</v>
      </c>
      <c r="Q2928" s="7" t="str">
        <f>VLOOKUP(D2929,Product_Lookup!$A$2:$C$27,2,FALSE)</f>
        <v>Pen Set</v>
      </c>
      <c r="R2928" s="7">
        <f t="shared" si="362"/>
        <v>2994.42</v>
      </c>
    </row>
    <row r="2929" spans="1:18" ht="21.75" customHeight="1">
      <c r="A2929" t="s">
        <v>3080</v>
      </c>
      <c r="B2929" s="6">
        <v>45386</v>
      </c>
      <c r="C2929" t="s">
        <v>93</v>
      </c>
      <c r="D2929" t="s">
        <v>174</v>
      </c>
      <c r="E2929" t="s">
        <v>17</v>
      </c>
      <c r="F2929" t="s">
        <v>306</v>
      </c>
      <c r="G2929" t="s">
        <v>23</v>
      </c>
      <c r="H2929">
        <v>20</v>
      </c>
      <c r="I2929" t="str">
        <f>VLOOKUP(D2929,Product_Lookup!$A$2:$C$27,3,FALSE)</f>
        <v>$133.37</v>
      </c>
      <c r="J2929" t="str">
        <f t="shared" si="363"/>
        <v>Thursday</v>
      </c>
      <c r="K2929" s="10" t="str">
        <f t="shared" si="364"/>
        <v>April</v>
      </c>
      <c r="L2929">
        <f t="shared" si="365"/>
        <v>2024</v>
      </c>
      <c r="M2929" t="b">
        <f t="shared" si="366"/>
        <v>0</v>
      </c>
      <c r="N2929" t="b">
        <f t="shared" si="360"/>
        <v>1</v>
      </c>
      <c r="O2929" t="str">
        <f t="shared" si="367"/>
        <v>Large Order</v>
      </c>
      <c r="P2929" s="7">
        <f t="shared" si="361"/>
        <v>6.6685000000000008</v>
      </c>
      <c r="Q2929" s="7" t="str">
        <f>VLOOKUP(D2930,Product_Lookup!$A$2:$C$27,2,FALSE)</f>
        <v>Laptop</v>
      </c>
      <c r="R2929" s="7">
        <f t="shared" si="362"/>
        <v>2667.4</v>
      </c>
    </row>
    <row r="2930" spans="1:18" ht="21.75" customHeight="1">
      <c r="A2930" t="s">
        <v>3081</v>
      </c>
      <c r="B2930" s="6">
        <v>45366</v>
      </c>
      <c r="C2930" t="s">
        <v>541</v>
      </c>
      <c r="D2930" t="s">
        <v>96</v>
      </c>
      <c r="E2930" t="s">
        <v>11</v>
      </c>
      <c r="F2930" t="s">
        <v>56</v>
      </c>
      <c r="G2930" t="s">
        <v>28</v>
      </c>
      <c r="H2930">
        <v>6</v>
      </c>
      <c r="I2930" t="str">
        <f>VLOOKUP(D2930,Product_Lookup!$A$2:$C$27,3,FALSE)</f>
        <v>$230.68</v>
      </c>
      <c r="J2930" t="str">
        <f t="shared" si="363"/>
        <v>Friday</v>
      </c>
      <c r="K2930" s="10" t="str">
        <f t="shared" si="364"/>
        <v>March</v>
      </c>
      <c r="L2930">
        <f t="shared" si="365"/>
        <v>2024</v>
      </c>
      <c r="M2930" t="b">
        <f t="shared" si="366"/>
        <v>0</v>
      </c>
      <c r="N2930" t="b">
        <f t="shared" si="360"/>
        <v>1</v>
      </c>
      <c r="O2930" t="str">
        <f t="shared" si="367"/>
        <v>Large Order</v>
      </c>
      <c r="P2930" s="7">
        <f t="shared" si="361"/>
        <v>11.534000000000001</v>
      </c>
      <c r="Q2930" s="7" t="str">
        <f>VLOOKUP(D2931,Product_Lookup!$A$2:$C$27,2,FALSE)</f>
        <v>Jeans</v>
      </c>
      <c r="R2930" s="7">
        <f t="shared" si="362"/>
        <v>1384.08</v>
      </c>
    </row>
    <row r="2931" spans="1:18" ht="21.75" customHeight="1">
      <c r="A2931" t="s">
        <v>3082</v>
      </c>
      <c r="B2931" s="6">
        <v>45650</v>
      </c>
      <c r="C2931" t="s">
        <v>591</v>
      </c>
      <c r="D2931" t="s">
        <v>65</v>
      </c>
      <c r="E2931" t="s">
        <v>17</v>
      </c>
      <c r="F2931" t="s">
        <v>27</v>
      </c>
      <c r="G2931" t="s">
        <v>32</v>
      </c>
      <c r="H2931">
        <v>10</v>
      </c>
      <c r="I2931" t="str">
        <f>VLOOKUP(D2931,Product_Lookup!$A$2:$C$27,3,FALSE)</f>
        <v>$33.22</v>
      </c>
      <c r="J2931" t="str">
        <f t="shared" si="363"/>
        <v>Tuesday</v>
      </c>
      <c r="K2931" s="10" t="str">
        <f t="shared" si="364"/>
        <v>December</v>
      </c>
      <c r="L2931">
        <f t="shared" si="365"/>
        <v>2024</v>
      </c>
      <c r="M2931" t="b">
        <f t="shared" si="366"/>
        <v>0</v>
      </c>
      <c r="N2931" t="b">
        <f t="shared" si="360"/>
        <v>0</v>
      </c>
      <c r="O2931" t="str">
        <f t="shared" si="367"/>
        <v>Standard order</v>
      </c>
      <c r="P2931" s="7">
        <f t="shared" si="361"/>
        <v>1.661</v>
      </c>
      <c r="Q2931" s="7" t="str">
        <f>VLOOKUP(D2932,Product_Lookup!$A$2:$C$27,2,FALSE)</f>
        <v>Toaster</v>
      </c>
      <c r="R2931" s="7">
        <f t="shared" si="362"/>
        <v>332.2</v>
      </c>
    </row>
    <row r="2932" spans="1:18" ht="21.75" customHeight="1">
      <c r="A2932" t="s">
        <v>3083</v>
      </c>
      <c r="B2932" s="6">
        <v>45593</v>
      </c>
      <c r="C2932" t="s">
        <v>432</v>
      </c>
      <c r="D2932" t="s">
        <v>48</v>
      </c>
      <c r="E2932" t="s">
        <v>22</v>
      </c>
      <c r="F2932" t="s">
        <v>42</v>
      </c>
      <c r="G2932" t="s">
        <v>23</v>
      </c>
      <c r="H2932">
        <v>13</v>
      </c>
      <c r="I2932" t="str">
        <f>VLOOKUP(D2932,Product_Lookup!$A$2:$C$27,3,FALSE)</f>
        <v>$208.85</v>
      </c>
      <c r="J2932" t="str">
        <f t="shared" si="363"/>
        <v>Monday</v>
      </c>
      <c r="K2932" s="10" t="str">
        <f t="shared" si="364"/>
        <v>October</v>
      </c>
      <c r="L2932">
        <f t="shared" si="365"/>
        <v>2024</v>
      </c>
      <c r="M2932" t="b">
        <f t="shared" si="366"/>
        <v>0</v>
      </c>
      <c r="N2932" t="b">
        <f t="shared" si="360"/>
        <v>1</v>
      </c>
      <c r="O2932" t="str">
        <f t="shared" si="367"/>
        <v>Large Order</v>
      </c>
      <c r="P2932" s="7">
        <f t="shared" si="361"/>
        <v>10.442500000000001</v>
      </c>
      <c r="Q2932" s="7" t="str">
        <f>VLOOKUP(D2933,Product_Lookup!$A$2:$C$27,2,FALSE)</f>
        <v>Vacuum</v>
      </c>
      <c r="R2932" s="7">
        <f t="shared" si="362"/>
        <v>2715.0499999999997</v>
      </c>
    </row>
    <row r="2933" spans="1:18" ht="21.75" customHeight="1">
      <c r="A2933" t="s">
        <v>3084</v>
      </c>
      <c r="B2933" s="6">
        <v>45346</v>
      </c>
      <c r="C2933" t="s">
        <v>319</v>
      </c>
      <c r="D2933" t="s">
        <v>87</v>
      </c>
      <c r="E2933" t="s">
        <v>17</v>
      </c>
      <c r="F2933" t="s">
        <v>56</v>
      </c>
      <c r="G2933" t="s">
        <v>13</v>
      </c>
      <c r="H2933">
        <v>10</v>
      </c>
      <c r="I2933" t="str">
        <f>VLOOKUP(D2933,Product_Lookup!$A$2:$C$27,3,FALSE)</f>
        <v>$26.59</v>
      </c>
      <c r="J2933" t="str">
        <f t="shared" si="363"/>
        <v>Saturday</v>
      </c>
      <c r="K2933" s="10" t="str">
        <f t="shared" si="364"/>
        <v>February</v>
      </c>
      <c r="L2933">
        <f t="shared" si="365"/>
        <v>2024</v>
      </c>
      <c r="M2933" t="b">
        <f t="shared" si="366"/>
        <v>1</v>
      </c>
      <c r="N2933" t="b">
        <f t="shared" si="360"/>
        <v>0</v>
      </c>
      <c r="O2933" t="str">
        <f t="shared" si="367"/>
        <v>Standard order</v>
      </c>
      <c r="P2933" s="7">
        <f t="shared" si="361"/>
        <v>1.3295000000000001</v>
      </c>
      <c r="Q2933" s="7" t="str">
        <f>VLOOKUP(D2934,Product_Lookup!$A$2:$C$27,2,FALSE)</f>
        <v>Laptop</v>
      </c>
      <c r="R2933" s="7">
        <f t="shared" si="362"/>
        <v>265.89999999999998</v>
      </c>
    </row>
    <row r="2934" spans="1:18" ht="21.75" customHeight="1">
      <c r="A2934" t="s">
        <v>3085</v>
      </c>
      <c r="B2934" s="6">
        <v>45580</v>
      </c>
      <c r="C2934" t="s">
        <v>53</v>
      </c>
      <c r="D2934" t="s">
        <v>96</v>
      </c>
      <c r="E2934" t="s">
        <v>22</v>
      </c>
      <c r="F2934" t="s">
        <v>42</v>
      </c>
      <c r="G2934" t="s">
        <v>13</v>
      </c>
      <c r="H2934">
        <v>20</v>
      </c>
      <c r="I2934" t="str">
        <f>VLOOKUP(D2934,Product_Lookup!$A$2:$C$27,3,FALSE)</f>
        <v>$230.68</v>
      </c>
      <c r="J2934" t="str">
        <f t="shared" si="363"/>
        <v>Tuesday</v>
      </c>
      <c r="K2934" s="10" t="str">
        <f t="shared" si="364"/>
        <v>October</v>
      </c>
      <c r="L2934">
        <f t="shared" si="365"/>
        <v>2024</v>
      </c>
      <c r="M2934" t="b">
        <f t="shared" si="366"/>
        <v>0</v>
      </c>
      <c r="N2934" t="b">
        <f t="shared" si="360"/>
        <v>1</v>
      </c>
      <c r="O2934" t="str">
        <f t="shared" si="367"/>
        <v>Large Order</v>
      </c>
      <c r="P2934" s="7">
        <f t="shared" si="361"/>
        <v>11.534000000000001</v>
      </c>
      <c r="Q2934" s="7" t="str">
        <f>VLOOKUP(D2935,Product_Lookup!$A$2:$C$27,2,FALSE)</f>
        <v>Air Fryer</v>
      </c>
      <c r="R2934" s="7">
        <f t="shared" si="362"/>
        <v>4613.6000000000004</v>
      </c>
    </row>
    <row r="2935" spans="1:18" ht="21.75" customHeight="1">
      <c r="A2935" t="s">
        <v>3086</v>
      </c>
      <c r="B2935" s="6">
        <v>45473</v>
      </c>
      <c r="C2935" t="s">
        <v>99</v>
      </c>
      <c r="D2935" t="s">
        <v>70</v>
      </c>
      <c r="E2935" t="s">
        <v>22</v>
      </c>
      <c r="F2935" t="s">
        <v>27</v>
      </c>
      <c r="G2935" t="s">
        <v>32</v>
      </c>
      <c r="H2935">
        <v>1</v>
      </c>
      <c r="I2935" t="str">
        <f>VLOOKUP(D2935,Product_Lookup!$A$2:$C$27,3,FALSE)</f>
        <v>$211.9</v>
      </c>
      <c r="J2935" t="str">
        <f t="shared" si="363"/>
        <v>Sunday</v>
      </c>
      <c r="K2935" s="10" t="str">
        <f t="shared" si="364"/>
        <v>June</v>
      </c>
      <c r="L2935">
        <f t="shared" si="365"/>
        <v>2024</v>
      </c>
      <c r="M2935" t="b">
        <f t="shared" si="366"/>
        <v>1</v>
      </c>
      <c r="N2935" t="b">
        <f t="shared" si="360"/>
        <v>0</v>
      </c>
      <c r="O2935" t="str">
        <f t="shared" si="367"/>
        <v>Standard order</v>
      </c>
      <c r="P2935" s="7">
        <f t="shared" si="361"/>
        <v>10.595000000000001</v>
      </c>
      <c r="Q2935" s="7" t="str">
        <f>VLOOKUP(D2936,Product_Lookup!$A$2:$C$27,2,FALSE)</f>
        <v>Notebook</v>
      </c>
      <c r="R2935" s="7">
        <f t="shared" si="362"/>
        <v>211.9</v>
      </c>
    </row>
    <row r="2936" spans="1:18" ht="21.75" customHeight="1">
      <c r="A2936" t="s">
        <v>3087</v>
      </c>
      <c r="B2936" s="6">
        <v>45475</v>
      </c>
      <c r="C2936" t="s">
        <v>358</v>
      </c>
      <c r="D2936" t="s">
        <v>160</v>
      </c>
      <c r="E2936" t="s">
        <v>11</v>
      </c>
      <c r="F2936" t="s">
        <v>42</v>
      </c>
      <c r="G2936" t="s">
        <v>36</v>
      </c>
      <c r="H2936">
        <v>13</v>
      </c>
      <c r="I2936" t="str">
        <f>VLOOKUP(D2936,Product_Lookup!$A$2:$C$27,3,FALSE)</f>
        <v>$149.27</v>
      </c>
      <c r="J2936" t="str">
        <f t="shared" si="363"/>
        <v>Tuesday</v>
      </c>
      <c r="K2936" s="10" t="str">
        <f t="shared" si="364"/>
        <v>July</v>
      </c>
      <c r="L2936">
        <f t="shared" si="365"/>
        <v>2024</v>
      </c>
      <c r="M2936" t="b">
        <f t="shared" si="366"/>
        <v>0</v>
      </c>
      <c r="N2936" t="b">
        <f t="shared" si="360"/>
        <v>1</v>
      </c>
      <c r="O2936" t="str">
        <f t="shared" si="367"/>
        <v>Large Order</v>
      </c>
      <c r="P2936" s="7">
        <f t="shared" si="361"/>
        <v>7.4635000000000007</v>
      </c>
      <c r="Q2936" s="7" t="str">
        <f>VLOOKUP(D2937,Product_Lookup!$A$2:$C$27,2,FALSE)</f>
        <v>Headphones</v>
      </c>
      <c r="R2936" s="7">
        <f t="shared" si="362"/>
        <v>1940.5100000000002</v>
      </c>
    </row>
    <row r="2937" spans="1:18" ht="21.75" customHeight="1">
      <c r="A2937" t="s">
        <v>3088</v>
      </c>
      <c r="B2937" s="6">
        <v>45381</v>
      </c>
      <c r="C2937" t="s">
        <v>350</v>
      </c>
      <c r="D2937" t="s">
        <v>16</v>
      </c>
      <c r="E2937" t="s">
        <v>17</v>
      </c>
      <c r="F2937" t="s">
        <v>306</v>
      </c>
      <c r="G2937" t="s">
        <v>32</v>
      </c>
      <c r="H2937">
        <v>15</v>
      </c>
      <c r="I2937" t="str">
        <f>VLOOKUP(D2937,Product_Lookup!$A$2:$C$27,3,FALSE)</f>
        <v>$178.83</v>
      </c>
      <c r="J2937" t="str">
        <f t="shared" si="363"/>
        <v>Saturday</v>
      </c>
      <c r="K2937" s="10" t="str">
        <f t="shared" si="364"/>
        <v>March</v>
      </c>
      <c r="L2937">
        <f t="shared" si="365"/>
        <v>2024</v>
      </c>
      <c r="M2937" t="b">
        <f t="shared" si="366"/>
        <v>1</v>
      </c>
      <c r="N2937" t="b">
        <f t="shared" si="360"/>
        <v>1</v>
      </c>
      <c r="O2937" t="str">
        <f t="shared" si="367"/>
        <v>Large Order</v>
      </c>
      <c r="P2937" s="7">
        <f t="shared" si="361"/>
        <v>8.9415000000000013</v>
      </c>
      <c r="Q2937" s="7" t="str">
        <f>VLOOKUP(D2938,Product_Lookup!$A$2:$C$27,2,FALSE)</f>
        <v>Doll</v>
      </c>
      <c r="R2937" s="7">
        <f t="shared" si="362"/>
        <v>2682.4500000000003</v>
      </c>
    </row>
    <row r="2938" spans="1:18" ht="21.75" customHeight="1">
      <c r="A2938" t="s">
        <v>3089</v>
      </c>
      <c r="B2938" s="6">
        <v>45363</v>
      </c>
      <c r="C2938" t="s">
        <v>89</v>
      </c>
      <c r="D2938" t="s">
        <v>119</v>
      </c>
      <c r="E2938" t="s">
        <v>22</v>
      </c>
      <c r="F2938" t="s">
        <v>42</v>
      </c>
      <c r="G2938" t="s">
        <v>23</v>
      </c>
      <c r="H2938">
        <v>3</v>
      </c>
      <c r="I2938" t="str">
        <f>VLOOKUP(D2938,Product_Lookup!$A$2:$C$27,3,FALSE)</f>
        <v>$32.94</v>
      </c>
      <c r="J2938" t="str">
        <f t="shared" si="363"/>
        <v>Tuesday</v>
      </c>
      <c r="K2938" s="10" t="str">
        <f t="shared" si="364"/>
        <v>March</v>
      </c>
      <c r="L2938">
        <f t="shared" si="365"/>
        <v>2024</v>
      </c>
      <c r="M2938" t="b">
        <f t="shared" si="366"/>
        <v>0</v>
      </c>
      <c r="N2938" t="b">
        <f t="shared" si="360"/>
        <v>0</v>
      </c>
      <c r="O2938" t="str">
        <f t="shared" si="367"/>
        <v>Standard order</v>
      </c>
      <c r="P2938" s="7">
        <f t="shared" si="361"/>
        <v>1.647</v>
      </c>
      <c r="Q2938" s="7" t="str">
        <f>VLOOKUP(D2939,Product_Lookup!$A$2:$C$27,2,FALSE)</f>
        <v>Coffee Maker</v>
      </c>
      <c r="R2938" s="7">
        <f t="shared" si="362"/>
        <v>98.82</v>
      </c>
    </row>
    <row r="2939" spans="1:18" ht="21.75" customHeight="1">
      <c r="A2939" t="s">
        <v>3090</v>
      </c>
      <c r="B2939" s="6">
        <v>45622</v>
      </c>
      <c r="C2939" t="s">
        <v>517</v>
      </c>
      <c r="D2939" t="s">
        <v>31</v>
      </c>
      <c r="E2939" t="s">
        <v>17</v>
      </c>
      <c r="F2939" t="s">
        <v>306</v>
      </c>
      <c r="G2939" t="s">
        <v>28</v>
      </c>
      <c r="H2939">
        <v>19</v>
      </c>
      <c r="I2939" t="str">
        <f>VLOOKUP(D2939,Product_Lookup!$A$2:$C$27,3,FALSE)</f>
        <v>$230.34</v>
      </c>
      <c r="J2939" t="str">
        <f t="shared" si="363"/>
        <v>Tuesday</v>
      </c>
      <c r="K2939" s="10" t="str">
        <f t="shared" si="364"/>
        <v>November</v>
      </c>
      <c r="L2939">
        <f t="shared" si="365"/>
        <v>2024</v>
      </c>
      <c r="M2939" t="b">
        <f t="shared" si="366"/>
        <v>0</v>
      </c>
      <c r="N2939" t="b">
        <f t="shared" si="360"/>
        <v>1</v>
      </c>
      <c r="O2939" t="str">
        <f t="shared" si="367"/>
        <v>Large Order</v>
      </c>
      <c r="P2939" s="7">
        <f t="shared" si="361"/>
        <v>11.517000000000001</v>
      </c>
      <c r="Q2939" s="7" t="str">
        <f>VLOOKUP(D2940,Product_Lookup!$A$2:$C$27,2,FALSE)</f>
        <v>Board Game</v>
      </c>
      <c r="R2939" s="7">
        <f t="shared" si="362"/>
        <v>4376.46</v>
      </c>
    </row>
    <row r="2940" spans="1:18" ht="21.75" customHeight="1">
      <c r="A2940" t="s">
        <v>3091</v>
      </c>
      <c r="B2940" s="6">
        <v>45551</v>
      </c>
      <c r="C2940" t="s">
        <v>420</v>
      </c>
      <c r="D2940" t="s">
        <v>41</v>
      </c>
      <c r="E2940" t="s">
        <v>22</v>
      </c>
      <c r="F2940" t="s">
        <v>42</v>
      </c>
      <c r="G2940" t="s">
        <v>28</v>
      </c>
      <c r="H2940">
        <v>11</v>
      </c>
      <c r="I2940" t="str">
        <f>VLOOKUP(D2940,Product_Lookup!$A$2:$C$27,3,FALSE)</f>
        <v>$86.6</v>
      </c>
      <c r="J2940" t="str">
        <f t="shared" si="363"/>
        <v>Monday</v>
      </c>
      <c r="K2940" s="10" t="str">
        <f t="shared" si="364"/>
        <v>September</v>
      </c>
      <c r="L2940">
        <f t="shared" si="365"/>
        <v>2024</v>
      </c>
      <c r="M2940" t="b">
        <f t="shared" si="366"/>
        <v>0</v>
      </c>
      <c r="N2940" t="b">
        <f t="shared" si="360"/>
        <v>1</v>
      </c>
      <c r="O2940" t="str">
        <f t="shared" si="367"/>
        <v>Large Order</v>
      </c>
      <c r="P2940" s="7">
        <f t="shared" si="361"/>
        <v>4.33</v>
      </c>
      <c r="Q2940" s="7" t="str">
        <f>VLOOKUP(D2941,Product_Lookup!$A$2:$C$27,2,FALSE)</f>
        <v>Desk Lamp</v>
      </c>
      <c r="R2940" s="7">
        <f t="shared" si="362"/>
        <v>952.59999999999991</v>
      </c>
    </row>
    <row r="2941" spans="1:18" ht="21.75" customHeight="1">
      <c r="A2941" t="s">
        <v>3092</v>
      </c>
      <c r="B2941" s="6">
        <v>45589</v>
      </c>
      <c r="C2941" t="s">
        <v>20</v>
      </c>
      <c r="D2941" t="s">
        <v>59</v>
      </c>
      <c r="E2941" t="s">
        <v>22</v>
      </c>
      <c r="F2941" t="s">
        <v>27</v>
      </c>
      <c r="G2941" t="s">
        <v>13</v>
      </c>
      <c r="H2941">
        <v>2</v>
      </c>
      <c r="I2941" t="str">
        <f>VLOOKUP(D2941,Product_Lookup!$A$2:$C$27,3,FALSE)</f>
        <v>$101.96</v>
      </c>
      <c r="J2941" t="str">
        <f t="shared" si="363"/>
        <v>Thursday</v>
      </c>
      <c r="K2941" s="10" t="str">
        <f t="shared" si="364"/>
        <v>October</v>
      </c>
      <c r="L2941">
        <f t="shared" si="365"/>
        <v>2024</v>
      </c>
      <c r="M2941" t="b">
        <f t="shared" si="366"/>
        <v>0</v>
      </c>
      <c r="N2941" t="b">
        <f t="shared" si="360"/>
        <v>0</v>
      </c>
      <c r="O2941" t="str">
        <f t="shared" si="367"/>
        <v>Standard order</v>
      </c>
      <c r="P2941" s="7">
        <f t="shared" si="361"/>
        <v>5.0979999999999999</v>
      </c>
      <c r="Q2941" s="7" t="str">
        <f>VLOOKUP(D2942,Product_Lookup!$A$2:$C$27,2,FALSE)</f>
        <v>Monitor</v>
      </c>
      <c r="R2941" s="7">
        <f t="shared" si="362"/>
        <v>203.92</v>
      </c>
    </row>
    <row r="2942" spans="1:18" ht="21.75" customHeight="1">
      <c r="A2942" t="s">
        <v>3093</v>
      </c>
      <c r="B2942" s="6">
        <v>45373</v>
      </c>
      <c r="C2942" t="s">
        <v>51</v>
      </c>
      <c r="D2942" t="s">
        <v>102</v>
      </c>
      <c r="E2942" t="s">
        <v>22</v>
      </c>
      <c r="F2942" t="s">
        <v>12</v>
      </c>
      <c r="G2942" t="s">
        <v>23</v>
      </c>
      <c r="H2942">
        <v>16</v>
      </c>
      <c r="I2942" t="str">
        <f>VLOOKUP(D2942,Product_Lookup!$A$2:$C$27,3,FALSE)</f>
        <v>$145.48</v>
      </c>
      <c r="J2942" t="str">
        <f t="shared" si="363"/>
        <v>Friday</v>
      </c>
      <c r="K2942" s="10" t="str">
        <f t="shared" si="364"/>
        <v>March</v>
      </c>
      <c r="L2942">
        <f t="shared" si="365"/>
        <v>2024</v>
      </c>
      <c r="M2942" t="b">
        <f t="shared" si="366"/>
        <v>0</v>
      </c>
      <c r="N2942" t="b">
        <f t="shared" si="360"/>
        <v>1</v>
      </c>
      <c r="O2942" t="str">
        <f t="shared" si="367"/>
        <v>Large Order</v>
      </c>
      <c r="P2942" s="7">
        <f t="shared" si="361"/>
        <v>7.274</v>
      </c>
      <c r="Q2942" s="7" t="str">
        <f>VLOOKUP(D2943,Product_Lookup!$A$2:$C$27,2,FALSE)</f>
        <v>Lego Set</v>
      </c>
      <c r="R2942" s="7">
        <f t="shared" si="362"/>
        <v>2327.6799999999998</v>
      </c>
    </row>
    <row r="2943" spans="1:18" ht="21.75" customHeight="1">
      <c r="A2943" t="s">
        <v>3094</v>
      </c>
      <c r="B2943" s="6">
        <v>45410</v>
      </c>
      <c r="C2943" t="s">
        <v>337</v>
      </c>
      <c r="D2943" t="s">
        <v>84</v>
      </c>
      <c r="E2943" t="s">
        <v>11</v>
      </c>
      <c r="F2943" t="s">
        <v>12</v>
      </c>
      <c r="G2943" t="s">
        <v>28</v>
      </c>
      <c r="H2943">
        <v>13</v>
      </c>
      <c r="I2943" t="str">
        <f>VLOOKUP(D2943,Product_Lookup!$A$2:$C$27,3,FALSE)</f>
        <v>$130.07</v>
      </c>
      <c r="J2943" t="str">
        <f t="shared" si="363"/>
        <v>Sunday</v>
      </c>
      <c r="K2943" s="10" t="str">
        <f t="shared" si="364"/>
        <v>April</v>
      </c>
      <c r="L2943">
        <f t="shared" si="365"/>
        <v>2024</v>
      </c>
      <c r="M2943" t="b">
        <f t="shared" si="366"/>
        <v>1</v>
      </c>
      <c r="N2943" t="b">
        <f t="shared" si="360"/>
        <v>1</v>
      </c>
      <c r="O2943" t="str">
        <f t="shared" si="367"/>
        <v>Large Order</v>
      </c>
      <c r="P2943" s="7">
        <f t="shared" si="361"/>
        <v>6.5034999999999998</v>
      </c>
      <c r="Q2943" s="7" t="str">
        <f>VLOOKUP(D2944,Product_Lookup!$A$2:$C$27,2,FALSE)</f>
        <v>Smartphone</v>
      </c>
      <c r="R2943" s="7">
        <f t="shared" si="362"/>
        <v>1690.9099999999999</v>
      </c>
    </row>
    <row r="2944" spans="1:18" ht="21.75" customHeight="1">
      <c r="A2944" t="s">
        <v>3095</v>
      </c>
      <c r="B2944" s="6">
        <v>45507</v>
      </c>
      <c r="C2944" t="s">
        <v>58</v>
      </c>
      <c r="D2944" t="s">
        <v>79</v>
      </c>
      <c r="E2944" t="s">
        <v>22</v>
      </c>
      <c r="F2944" t="s">
        <v>42</v>
      </c>
      <c r="G2944" t="s">
        <v>13</v>
      </c>
      <c r="H2944">
        <v>2</v>
      </c>
      <c r="I2944" t="str">
        <f>VLOOKUP(D2944,Product_Lookup!$A$2:$C$27,3,FALSE)</f>
        <v>$216.22</v>
      </c>
      <c r="J2944" t="str">
        <f t="shared" si="363"/>
        <v>Saturday</v>
      </c>
      <c r="K2944" s="10" t="str">
        <f t="shared" si="364"/>
        <v>August</v>
      </c>
      <c r="L2944">
        <f t="shared" si="365"/>
        <v>2024</v>
      </c>
      <c r="M2944" t="b">
        <f t="shared" si="366"/>
        <v>1</v>
      </c>
      <c r="N2944" t="b">
        <f t="shared" si="360"/>
        <v>0</v>
      </c>
      <c r="O2944" t="str">
        <f t="shared" si="367"/>
        <v>Standard order</v>
      </c>
      <c r="P2944" s="7">
        <f t="shared" si="361"/>
        <v>10.811</v>
      </c>
      <c r="Q2944" s="7" t="str">
        <f>VLOOKUP(D2945,Product_Lookup!$A$2:$C$27,2,FALSE)</f>
        <v>Doll</v>
      </c>
      <c r="R2944" s="7">
        <f t="shared" si="362"/>
        <v>432.44</v>
      </c>
    </row>
    <row r="2945" spans="1:18" ht="21.75" customHeight="1">
      <c r="A2945" t="s">
        <v>3096</v>
      </c>
      <c r="B2945" s="6">
        <v>45329</v>
      </c>
      <c r="C2945" t="s">
        <v>396</v>
      </c>
      <c r="D2945" t="s">
        <v>119</v>
      </c>
      <c r="E2945" t="s">
        <v>17</v>
      </c>
      <c r="F2945" t="s">
        <v>306</v>
      </c>
      <c r="G2945" t="s">
        <v>13</v>
      </c>
      <c r="H2945">
        <v>6</v>
      </c>
      <c r="I2945" t="str">
        <f>VLOOKUP(D2945,Product_Lookup!$A$2:$C$27,3,FALSE)</f>
        <v>$32.94</v>
      </c>
      <c r="J2945" t="str">
        <f t="shared" si="363"/>
        <v>Wednesday</v>
      </c>
      <c r="K2945" s="10" t="str">
        <f t="shared" si="364"/>
        <v>February</v>
      </c>
      <c r="L2945">
        <f t="shared" si="365"/>
        <v>2024</v>
      </c>
      <c r="M2945" t="b">
        <f t="shared" si="366"/>
        <v>0</v>
      </c>
      <c r="N2945" t="b">
        <f t="shared" si="360"/>
        <v>0</v>
      </c>
      <c r="O2945" t="str">
        <f t="shared" si="367"/>
        <v>Standard order</v>
      </c>
      <c r="P2945" s="7">
        <f t="shared" si="361"/>
        <v>1.647</v>
      </c>
      <c r="Q2945" s="7" t="str">
        <f>VLOOKUP(D2946,Product_Lookup!$A$2:$C$27,2,FALSE)</f>
        <v>Coffee Maker</v>
      </c>
      <c r="R2945" s="7">
        <f t="shared" si="362"/>
        <v>197.64</v>
      </c>
    </row>
    <row r="2946" spans="1:18" ht="21.75" customHeight="1">
      <c r="A2946" t="s">
        <v>3097</v>
      </c>
      <c r="B2946" s="6">
        <v>45649</v>
      </c>
      <c r="C2946" t="s">
        <v>430</v>
      </c>
      <c r="D2946" t="s">
        <v>31</v>
      </c>
      <c r="E2946" t="s">
        <v>11</v>
      </c>
      <c r="F2946" t="s">
        <v>306</v>
      </c>
      <c r="G2946" t="s">
        <v>36</v>
      </c>
      <c r="H2946">
        <v>7</v>
      </c>
      <c r="I2946" t="str">
        <f>VLOOKUP(D2946,Product_Lookup!$A$2:$C$27,3,FALSE)</f>
        <v>$230.34</v>
      </c>
      <c r="J2946" t="str">
        <f t="shared" si="363"/>
        <v>Monday</v>
      </c>
      <c r="K2946" s="10" t="str">
        <f t="shared" si="364"/>
        <v>December</v>
      </c>
      <c r="L2946">
        <f t="shared" si="365"/>
        <v>2024</v>
      </c>
      <c r="M2946" t="b">
        <f t="shared" si="366"/>
        <v>0</v>
      </c>
      <c r="N2946" t="b">
        <f t="shared" ref="N2946:N3009" si="368">AND(R2946&gt;750, H2946&gt;5)</f>
        <v>1</v>
      </c>
      <c r="O2946" t="str">
        <f t="shared" si="367"/>
        <v>Large Order</v>
      </c>
      <c r="P2946" s="7">
        <f t="shared" ref="P2946:P3009" si="369">I2946*$S$2</f>
        <v>11.517000000000001</v>
      </c>
      <c r="Q2946" s="7" t="str">
        <f>VLOOKUP(D2947,Product_Lookup!$A$2:$C$27,2,FALSE)</f>
        <v>Board Game</v>
      </c>
      <c r="R2946" s="7">
        <f t="shared" ref="R2946:R3009" si="370">H2946*I2946</f>
        <v>1612.38</v>
      </c>
    </row>
    <row r="2947" spans="1:18" ht="21.75" customHeight="1">
      <c r="A2947" t="s">
        <v>3098</v>
      </c>
      <c r="B2947" s="6">
        <v>45543</v>
      </c>
      <c r="C2947" t="s">
        <v>396</v>
      </c>
      <c r="D2947" t="s">
        <v>41</v>
      </c>
      <c r="E2947" t="s">
        <v>17</v>
      </c>
      <c r="F2947" t="s">
        <v>56</v>
      </c>
      <c r="G2947" t="s">
        <v>28</v>
      </c>
      <c r="H2947">
        <v>6</v>
      </c>
      <c r="I2947" t="str">
        <f>VLOOKUP(D2947,Product_Lookup!$A$2:$C$27,3,FALSE)</f>
        <v>$86.6</v>
      </c>
      <c r="J2947" t="str">
        <f t="shared" ref="J2947:J3010" si="371">TEXT(B2947, "dddd")</f>
        <v>Sunday</v>
      </c>
      <c r="K2947" s="10" t="str">
        <f t="shared" ref="K2947:K3010" si="372">TEXT(B2947, "mmmm")</f>
        <v>September</v>
      </c>
      <c r="L2947">
        <f t="shared" ref="L2947:L3010" si="373">YEAR(B2947)</f>
        <v>2024</v>
      </c>
      <c r="M2947" t="b">
        <f t="shared" ref="M2947:M3010" si="374">OR(J2947="Saturday", J2947="Sunday")</f>
        <v>1</v>
      </c>
      <c r="N2947" t="b">
        <f t="shared" si="368"/>
        <v>0</v>
      </c>
      <c r="O2947" t="str">
        <f t="shared" ref="O2947:O3010" si="375">IF(R2947&gt;500,"Large Order","Standard order")</f>
        <v>Large Order</v>
      </c>
      <c r="P2947" s="7">
        <f t="shared" si="369"/>
        <v>4.33</v>
      </c>
      <c r="Q2947" s="7" t="str">
        <f>VLOOKUP(D2948,Product_Lookup!$A$2:$C$27,2,FALSE)</f>
        <v>Tablet</v>
      </c>
      <c r="R2947" s="7">
        <f t="shared" si="370"/>
        <v>519.59999999999991</v>
      </c>
    </row>
    <row r="2948" spans="1:18" ht="21.75" customHeight="1">
      <c r="A2948" t="s">
        <v>3099</v>
      </c>
      <c r="B2948" s="6">
        <v>45562</v>
      </c>
      <c r="C2948" t="s">
        <v>150</v>
      </c>
      <c r="D2948" t="s">
        <v>10</v>
      </c>
      <c r="E2948" t="s">
        <v>22</v>
      </c>
      <c r="F2948" t="s">
        <v>12</v>
      </c>
      <c r="G2948" t="s">
        <v>13</v>
      </c>
      <c r="H2948">
        <v>7</v>
      </c>
      <c r="I2948" t="str">
        <f>VLOOKUP(D2948,Product_Lookup!$A$2:$C$27,3,FALSE)</f>
        <v>$146.06</v>
      </c>
      <c r="J2948" t="str">
        <f t="shared" si="371"/>
        <v>Friday</v>
      </c>
      <c r="K2948" s="10" t="str">
        <f t="shared" si="372"/>
        <v>September</v>
      </c>
      <c r="L2948">
        <f t="shared" si="373"/>
        <v>2024</v>
      </c>
      <c r="M2948" t="b">
        <f t="shared" si="374"/>
        <v>0</v>
      </c>
      <c r="N2948" t="b">
        <f t="shared" si="368"/>
        <v>1</v>
      </c>
      <c r="O2948" t="str">
        <f t="shared" si="375"/>
        <v>Large Order</v>
      </c>
      <c r="P2948" s="7">
        <f t="shared" si="369"/>
        <v>7.3030000000000008</v>
      </c>
      <c r="Q2948" s="7" t="str">
        <f>VLOOKUP(D2949,Product_Lookup!$A$2:$C$27,2,FALSE)</f>
        <v>Toaster</v>
      </c>
      <c r="R2948" s="7">
        <f t="shared" si="370"/>
        <v>1022.4200000000001</v>
      </c>
    </row>
    <row r="2949" spans="1:18" ht="21.75" customHeight="1">
      <c r="A2949" t="s">
        <v>3100</v>
      </c>
      <c r="B2949" s="6">
        <v>45363</v>
      </c>
      <c r="C2949" t="s">
        <v>25</v>
      </c>
      <c r="D2949" t="s">
        <v>48</v>
      </c>
      <c r="E2949" t="s">
        <v>17</v>
      </c>
      <c r="F2949" t="s">
        <v>306</v>
      </c>
      <c r="G2949" t="s">
        <v>36</v>
      </c>
      <c r="H2949">
        <v>3</v>
      </c>
      <c r="I2949" t="str">
        <f>VLOOKUP(D2949,Product_Lookup!$A$2:$C$27,3,FALSE)</f>
        <v>$208.85</v>
      </c>
      <c r="J2949" t="str">
        <f t="shared" si="371"/>
        <v>Tuesday</v>
      </c>
      <c r="K2949" s="10" t="str">
        <f t="shared" si="372"/>
        <v>March</v>
      </c>
      <c r="L2949">
        <f t="shared" si="373"/>
        <v>2024</v>
      </c>
      <c r="M2949" t="b">
        <f t="shared" si="374"/>
        <v>0</v>
      </c>
      <c r="N2949" t="b">
        <f t="shared" si="368"/>
        <v>0</v>
      </c>
      <c r="O2949" t="str">
        <f t="shared" si="375"/>
        <v>Large Order</v>
      </c>
      <c r="P2949" s="7">
        <f t="shared" si="369"/>
        <v>10.442500000000001</v>
      </c>
      <c r="Q2949" s="7" t="str">
        <f>VLOOKUP(D2950,Product_Lookup!$A$2:$C$27,2,FALSE)</f>
        <v>Lego Set</v>
      </c>
      <c r="R2949" s="7">
        <f t="shared" si="370"/>
        <v>626.54999999999995</v>
      </c>
    </row>
    <row r="2950" spans="1:18" ht="21.75" customHeight="1">
      <c r="A2950" t="s">
        <v>3101</v>
      </c>
      <c r="B2950" s="6">
        <v>45641</v>
      </c>
      <c r="C2950" t="s">
        <v>388</v>
      </c>
      <c r="D2950" t="s">
        <v>84</v>
      </c>
      <c r="E2950" t="s">
        <v>22</v>
      </c>
      <c r="F2950" t="s">
        <v>306</v>
      </c>
      <c r="G2950" t="s">
        <v>23</v>
      </c>
      <c r="H2950">
        <v>7</v>
      </c>
      <c r="I2950" t="str">
        <f>VLOOKUP(D2950,Product_Lookup!$A$2:$C$27,3,FALSE)</f>
        <v>$130.07</v>
      </c>
      <c r="J2950" t="str">
        <f t="shared" si="371"/>
        <v>Sunday</v>
      </c>
      <c r="K2950" s="10" t="str">
        <f t="shared" si="372"/>
        <v>December</v>
      </c>
      <c r="L2950">
        <f t="shared" si="373"/>
        <v>2024</v>
      </c>
      <c r="M2950" t="b">
        <f t="shared" si="374"/>
        <v>1</v>
      </c>
      <c r="N2950" t="b">
        <f t="shared" si="368"/>
        <v>1</v>
      </c>
      <c r="O2950" t="str">
        <f t="shared" si="375"/>
        <v>Large Order</v>
      </c>
      <c r="P2950" s="7">
        <f t="shared" si="369"/>
        <v>6.5034999999999998</v>
      </c>
      <c r="Q2950" s="7" t="str">
        <f>VLOOKUP(D2951,Product_Lookup!$A$2:$C$27,2,FALSE)</f>
        <v>Notebook</v>
      </c>
      <c r="R2950" s="7">
        <f t="shared" si="370"/>
        <v>910.49</v>
      </c>
    </row>
    <row r="2951" spans="1:18" ht="21.75" customHeight="1">
      <c r="A2951" t="s">
        <v>3102</v>
      </c>
      <c r="B2951" s="6">
        <v>45584</v>
      </c>
      <c r="C2951" t="s">
        <v>553</v>
      </c>
      <c r="D2951" t="s">
        <v>160</v>
      </c>
      <c r="E2951" t="s">
        <v>17</v>
      </c>
      <c r="F2951" t="s">
        <v>42</v>
      </c>
      <c r="G2951" t="s">
        <v>36</v>
      </c>
      <c r="H2951">
        <v>18</v>
      </c>
      <c r="I2951" t="str">
        <f>VLOOKUP(D2951,Product_Lookup!$A$2:$C$27,3,FALSE)</f>
        <v>$149.27</v>
      </c>
      <c r="J2951" t="str">
        <f t="shared" si="371"/>
        <v>Saturday</v>
      </c>
      <c r="K2951" s="10" t="str">
        <f t="shared" si="372"/>
        <v>October</v>
      </c>
      <c r="L2951">
        <f t="shared" si="373"/>
        <v>2024</v>
      </c>
      <c r="M2951" t="b">
        <f t="shared" si="374"/>
        <v>1</v>
      </c>
      <c r="N2951" t="b">
        <f t="shared" si="368"/>
        <v>1</v>
      </c>
      <c r="O2951" t="str">
        <f t="shared" si="375"/>
        <v>Large Order</v>
      </c>
      <c r="P2951" s="7">
        <f t="shared" si="369"/>
        <v>7.4635000000000007</v>
      </c>
      <c r="Q2951" s="7" t="str">
        <f>VLOOKUP(D2952,Product_Lookup!$A$2:$C$27,2,FALSE)</f>
        <v>Vacuum</v>
      </c>
      <c r="R2951" s="7">
        <f t="shared" si="370"/>
        <v>2686.86</v>
      </c>
    </row>
    <row r="2952" spans="1:18" ht="21.75" customHeight="1">
      <c r="A2952" t="s">
        <v>3103</v>
      </c>
      <c r="B2952" s="6">
        <v>45326</v>
      </c>
      <c r="C2952" t="s">
        <v>396</v>
      </c>
      <c r="D2952" t="s">
        <v>87</v>
      </c>
      <c r="E2952" t="s">
        <v>22</v>
      </c>
      <c r="F2952" t="s">
        <v>27</v>
      </c>
      <c r="G2952" t="s">
        <v>13</v>
      </c>
      <c r="H2952">
        <v>19</v>
      </c>
      <c r="I2952" t="str">
        <f>VLOOKUP(D2952,Product_Lookup!$A$2:$C$27,3,FALSE)</f>
        <v>$26.59</v>
      </c>
      <c r="J2952" t="str">
        <f t="shared" si="371"/>
        <v>Sunday</v>
      </c>
      <c r="K2952" s="10" t="str">
        <f t="shared" si="372"/>
        <v>February</v>
      </c>
      <c r="L2952">
        <f t="shared" si="373"/>
        <v>2024</v>
      </c>
      <c r="M2952" t="b">
        <f t="shared" si="374"/>
        <v>1</v>
      </c>
      <c r="N2952" t="b">
        <f t="shared" si="368"/>
        <v>0</v>
      </c>
      <c r="O2952" t="str">
        <f t="shared" si="375"/>
        <v>Large Order</v>
      </c>
      <c r="P2952" s="7">
        <f t="shared" si="369"/>
        <v>1.3295000000000001</v>
      </c>
      <c r="Q2952" s="7" t="str">
        <f>VLOOKUP(D2953,Product_Lookup!$A$2:$C$27,2,FALSE)</f>
        <v>Monitor</v>
      </c>
      <c r="R2952" s="7">
        <f t="shared" si="370"/>
        <v>505.21</v>
      </c>
    </row>
    <row r="2953" spans="1:18" ht="21.75" customHeight="1">
      <c r="A2953" t="s">
        <v>3104</v>
      </c>
      <c r="B2953" s="6">
        <v>45556</v>
      </c>
      <c r="C2953" t="s">
        <v>68</v>
      </c>
      <c r="D2953" t="s">
        <v>102</v>
      </c>
      <c r="E2953" t="s">
        <v>11</v>
      </c>
      <c r="F2953" t="s">
        <v>27</v>
      </c>
      <c r="G2953" t="s">
        <v>28</v>
      </c>
      <c r="H2953">
        <v>2</v>
      </c>
      <c r="I2953" t="str">
        <f>VLOOKUP(D2953,Product_Lookup!$A$2:$C$27,3,FALSE)</f>
        <v>$145.48</v>
      </c>
      <c r="J2953" t="str">
        <f t="shared" si="371"/>
        <v>Saturday</v>
      </c>
      <c r="K2953" s="10" t="str">
        <f t="shared" si="372"/>
        <v>September</v>
      </c>
      <c r="L2953">
        <f t="shared" si="373"/>
        <v>2024</v>
      </c>
      <c r="M2953" t="b">
        <f t="shared" si="374"/>
        <v>1</v>
      </c>
      <c r="N2953" t="b">
        <f t="shared" si="368"/>
        <v>0</v>
      </c>
      <c r="O2953" t="str">
        <f t="shared" si="375"/>
        <v>Standard order</v>
      </c>
      <c r="P2953" s="7">
        <f t="shared" si="369"/>
        <v>7.274</v>
      </c>
      <c r="Q2953" s="7" t="str">
        <f>VLOOKUP(D2954,Product_Lookup!$A$2:$C$27,2,FALSE)</f>
        <v>Jacket</v>
      </c>
      <c r="R2953" s="7">
        <f t="shared" si="370"/>
        <v>290.95999999999998</v>
      </c>
    </row>
    <row r="2954" spans="1:18" ht="21.75" customHeight="1">
      <c r="A2954" t="s">
        <v>3105</v>
      </c>
      <c r="B2954" s="6">
        <v>45461</v>
      </c>
      <c r="C2954" t="s">
        <v>138</v>
      </c>
      <c r="D2954" t="s">
        <v>197</v>
      </c>
      <c r="E2954" t="s">
        <v>17</v>
      </c>
      <c r="F2954" t="s">
        <v>42</v>
      </c>
      <c r="G2954" t="s">
        <v>23</v>
      </c>
      <c r="H2954">
        <v>12</v>
      </c>
      <c r="I2954" t="str">
        <f>VLOOKUP(D2954,Product_Lookup!$A$2:$C$27,3,FALSE)</f>
        <v>$10.11</v>
      </c>
      <c r="J2954" t="str">
        <f t="shared" si="371"/>
        <v>Tuesday</v>
      </c>
      <c r="K2954" s="10" t="str">
        <f t="shared" si="372"/>
        <v>June</v>
      </c>
      <c r="L2954">
        <f t="shared" si="373"/>
        <v>2024</v>
      </c>
      <c r="M2954" t="b">
        <f t="shared" si="374"/>
        <v>0</v>
      </c>
      <c r="N2954" t="b">
        <f t="shared" si="368"/>
        <v>0</v>
      </c>
      <c r="O2954" t="str">
        <f t="shared" si="375"/>
        <v>Standard order</v>
      </c>
      <c r="P2954" s="7">
        <f t="shared" si="369"/>
        <v>0.50549999999999995</v>
      </c>
      <c r="Q2954" s="7" t="str">
        <f>VLOOKUP(D2955,Product_Lookup!$A$2:$C$27,2,FALSE)</f>
        <v>Tablet</v>
      </c>
      <c r="R2954" s="7">
        <f t="shared" si="370"/>
        <v>121.32</v>
      </c>
    </row>
    <row r="2955" spans="1:18" ht="21.75" customHeight="1">
      <c r="A2955" t="s">
        <v>3106</v>
      </c>
      <c r="B2955" s="6">
        <v>45372</v>
      </c>
      <c r="C2955" t="s">
        <v>55</v>
      </c>
      <c r="D2955" t="s">
        <v>10</v>
      </c>
      <c r="E2955" t="s">
        <v>22</v>
      </c>
      <c r="F2955" t="s">
        <v>306</v>
      </c>
      <c r="G2955" t="s">
        <v>28</v>
      </c>
      <c r="H2955">
        <v>17</v>
      </c>
      <c r="I2955" t="str">
        <f>VLOOKUP(D2955,Product_Lookup!$A$2:$C$27,3,FALSE)</f>
        <v>$146.06</v>
      </c>
      <c r="J2955" t="str">
        <f t="shared" si="371"/>
        <v>Thursday</v>
      </c>
      <c r="K2955" s="10" t="str">
        <f t="shared" si="372"/>
        <v>March</v>
      </c>
      <c r="L2955">
        <f t="shared" si="373"/>
        <v>2024</v>
      </c>
      <c r="M2955" t="b">
        <f t="shared" si="374"/>
        <v>0</v>
      </c>
      <c r="N2955" t="b">
        <f t="shared" si="368"/>
        <v>1</v>
      </c>
      <c r="O2955" t="str">
        <f t="shared" si="375"/>
        <v>Large Order</v>
      </c>
      <c r="P2955" s="7">
        <f t="shared" si="369"/>
        <v>7.3030000000000008</v>
      </c>
      <c r="Q2955" s="7" t="str">
        <f>VLOOKUP(D2956,Product_Lookup!$A$2:$C$27,2,FALSE)</f>
        <v>Coffee Maker</v>
      </c>
      <c r="R2955" s="7">
        <f t="shared" si="370"/>
        <v>2483.02</v>
      </c>
    </row>
    <row r="2956" spans="1:18" ht="21.75" customHeight="1">
      <c r="A2956" t="s">
        <v>3107</v>
      </c>
      <c r="B2956" s="6">
        <v>45548</v>
      </c>
      <c r="C2956" t="s">
        <v>147</v>
      </c>
      <c r="D2956" t="s">
        <v>31</v>
      </c>
      <c r="E2956" t="s">
        <v>22</v>
      </c>
      <c r="F2956" t="s">
        <v>12</v>
      </c>
      <c r="G2956" t="s">
        <v>36</v>
      </c>
      <c r="H2956">
        <v>4</v>
      </c>
      <c r="I2956" t="str">
        <f>VLOOKUP(D2956,Product_Lookup!$A$2:$C$27,3,FALSE)</f>
        <v>$230.34</v>
      </c>
      <c r="J2956" t="str">
        <f t="shared" si="371"/>
        <v>Friday</v>
      </c>
      <c r="K2956" s="10" t="str">
        <f t="shared" si="372"/>
        <v>September</v>
      </c>
      <c r="L2956">
        <f t="shared" si="373"/>
        <v>2024</v>
      </c>
      <c r="M2956" t="b">
        <f t="shared" si="374"/>
        <v>0</v>
      </c>
      <c r="N2956" t="b">
        <f t="shared" si="368"/>
        <v>0</v>
      </c>
      <c r="O2956" t="str">
        <f t="shared" si="375"/>
        <v>Large Order</v>
      </c>
      <c r="P2956" s="7">
        <f t="shared" si="369"/>
        <v>11.517000000000001</v>
      </c>
      <c r="Q2956" s="7" t="str">
        <f>VLOOKUP(D2957,Product_Lookup!$A$2:$C$27,2,FALSE)</f>
        <v>Laptop</v>
      </c>
      <c r="R2956" s="7">
        <f t="shared" si="370"/>
        <v>921.36</v>
      </c>
    </row>
    <row r="2957" spans="1:18" ht="21.75" customHeight="1">
      <c r="A2957" t="s">
        <v>3108</v>
      </c>
      <c r="B2957" s="6">
        <v>45426</v>
      </c>
      <c r="C2957" t="s">
        <v>350</v>
      </c>
      <c r="D2957" t="s">
        <v>96</v>
      </c>
      <c r="E2957" t="s">
        <v>11</v>
      </c>
      <c r="F2957" t="s">
        <v>42</v>
      </c>
      <c r="G2957" t="s">
        <v>23</v>
      </c>
      <c r="H2957">
        <v>9</v>
      </c>
      <c r="I2957" t="str">
        <f>VLOOKUP(D2957,Product_Lookup!$A$2:$C$27,3,FALSE)</f>
        <v>$230.68</v>
      </c>
      <c r="J2957" t="str">
        <f t="shared" si="371"/>
        <v>Tuesday</v>
      </c>
      <c r="K2957" s="10" t="str">
        <f t="shared" si="372"/>
        <v>May</v>
      </c>
      <c r="L2957">
        <f t="shared" si="373"/>
        <v>2024</v>
      </c>
      <c r="M2957" t="b">
        <f t="shared" si="374"/>
        <v>0</v>
      </c>
      <c r="N2957" t="b">
        <f t="shared" si="368"/>
        <v>1</v>
      </c>
      <c r="O2957" t="str">
        <f t="shared" si="375"/>
        <v>Large Order</v>
      </c>
      <c r="P2957" s="7">
        <f t="shared" si="369"/>
        <v>11.534000000000001</v>
      </c>
      <c r="Q2957" s="7" t="str">
        <f>VLOOKUP(D2958,Product_Lookup!$A$2:$C$27,2,FALSE)</f>
        <v>Jeans</v>
      </c>
      <c r="R2957" s="7">
        <f t="shared" si="370"/>
        <v>2076.12</v>
      </c>
    </row>
    <row r="2958" spans="1:18" ht="21.75" customHeight="1">
      <c r="A2958" t="s">
        <v>3109</v>
      </c>
      <c r="B2958" s="6">
        <v>45322</v>
      </c>
      <c r="C2958" t="s">
        <v>99</v>
      </c>
      <c r="D2958" t="s">
        <v>65</v>
      </c>
      <c r="E2958" t="s">
        <v>22</v>
      </c>
      <c r="F2958" t="s">
        <v>42</v>
      </c>
      <c r="G2958" t="s">
        <v>13</v>
      </c>
      <c r="H2958">
        <v>8</v>
      </c>
      <c r="I2958" t="str">
        <f>VLOOKUP(D2958,Product_Lookup!$A$2:$C$27,3,FALSE)</f>
        <v>$33.22</v>
      </c>
      <c r="J2958" t="str">
        <f t="shared" si="371"/>
        <v>Wednesday</v>
      </c>
      <c r="K2958" s="10" t="str">
        <f t="shared" si="372"/>
        <v>January</v>
      </c>
      <c r="L2958">
        <f t="shared" si="373"/>
        <v>2024</v>
      </c>
      <c r="M2958" t="b">
        <f t="shared" si="374"/>
        <v>0</v>
      </c>
      <c r="N2958" t="b">
        <f t="shared" si="368"/>
        <v>0</v>
      </c>
      <c r="O2958" t="str">
        <f t="shared" si="375"/>
        <v>Standard order</v>
      </c>
      <c r="P2958" s="7">
        <f t="shared" si="369"/>
        <v>1.661</v>
      </c>
      <c r="Q2958" s="7" t="str">
        <f>VLOOKUP(D2959,Product_Lookup!$A$2:$C$27,2,FALSE)</f>
        <v>Puzzle</v>
      </c>
      <c r="R2958" s="7">
        <f t="shared" si="370"/>
        <v>265.76</v>
      </c>
    </row>
    <row r="2959" spans="1:18" ht="21.75" customHeight="1">
      <c r="A2959" t="s">
        <v>3110</v>
      </c>
      <c r="B2959" s="6">
        <v>45580</v>
      </c>
      <c r="C2959" t="s">
        <v>594</v>
      </c>
      <c r="D2959" t="s">
        <v>62</v>
      </c>
      <c r="E2959" t="s">
        <v>11</v>
      </c>
      <c r="F2959" t="s">
        <v>42</v>
      </c>
      <c r="G2959" t="s">
        <v>13</v>
      </c>
      <c r="H2959">
        <v>14</v>
      </c>
      <c r="I2959" t="str">
        <f>VLOOKUP(D2959,Product_Lookup!$A$2:$C$27,3,FALSE)</f>
        <v>$46.19</v>
      </c>
      <c r="J2959" t="str">
        <f t="shared" si="371"/>
        <v>Tuesday</v>
      </c>
      <c r="K2959" s="10" t="str">
        <f t="shared" si="372"/>
        <v>October</v>
      </c>
      <c r="L2959">
        <f t="shared" si="373"/>
        <v>2024</v>
      </c>
      <c r="M2959" t="b">
        <f t="shared" si="374"/>
        <v>0</v>
      </c>
      <c r="N2959" t="b">
        <f t="shared" si="368"/>
        <v>0</v>
      </c>
      <c r="O2959" t="str">
        <f t="shared" si="375"/>
        <v>Large Order</v>
      </c>
      <c r="P2959" s="7">
        <f t="shared" si="369"/>
        <v>2.3094999999999999</v>
      </c>
      <c r="Q2959" s="7" t="str">
        <f>VLOOKUP(D2960,Product_Lookup!$A$2:$C$27,2,FALSE)</f>
        <v>Pen Set</v>
      </c>
      <c r="R2959" s="7">
        <f t="shared" si="370"/>
        <v>646.66</v>
      </c>
    </row>
    <row r="2960" spans="1:18" ht="21.75" customHeight="1">
      <c r="A2960" t="s">
        <v>3111</v>
      </c>
      <c r="B2960" s="6">
        <v>45605</v>
      </c>
      <c r="C2960" t="s">
        <v>81</v>
      </c>
      <c r="D2960" t="s">
        <v>174</v>
      </c>
      <c r="E2960" t="s">
        <v>17</v>
      </c>
      <c r="F2960" t="s">
        <v>56</v>
      </c>
      <c r="G2960" t="s">
        <v>32</v>
      </c>
      <c r="H2960">
        <v>2</v>
      </c>
      <c r="I2960" t="str">
        <f>VLOOKUP(D2960,Product_Lookup!$A$2:$C$27,3,FALSE)</f>
        <v>$133.37</v>
      </c>
      <c r="J2960" t="str">
        <f t="shared" si="371"/>
        <v>Saturday</v>
      </c>
      <c r="K2960" s="10" t="str">
        <f t="shared" si="372"/>
        <v>November</v>
      </c>
      <c r="L2960">
        <f t="shared" si="373"/>
        <v>2024</v>
      </c>
      <c r="M2960" t="b">
        <f t="shared" si="374"/>
        <v>1</v>
      </c>
      <c r="N2960" t="b">
        <f t="shared" si="368"/>
        <v>0</v>
      </c>
      <c r="O2960" t="str">
        <f t="shared" si="375"/>
        <v>Standard order</v>
      </c>
      <c r="P2960" s="7">
        <f t="shared" si="369"/>
        <v>6.6685000000000008</v>
      </c>
      <c r="Q2960" s="7" t="str">
        <f>VLOOKUP(D2961,Product_Lookup!$A$2:$C$27,2,FALSE)</f>
        <v>Jacket</v>
      </c>
      <c r="R2960" s="7">
        <f t="shared" si="370"/>
        <v>266.74</v>
      </c>
    </row>
    <row r="2961" spans="1:18" ht="21.75" customHeight="1">
      <c r="A2961" t="s">
        <v>3112</v>
      </c>
      <c r="B2961" s="6">
        <v>45546</v>
      </c>
      <c r="C2961" t="s">
        <v>358</v>
      </c>
      <c r="D2961" t="s">
        <v>197</v>
      </c>
      <c r="E2961" t="s">
        <v>22</v>
      </c>
      <c r="F2961" t="s">
        <v>42</v>
      </c>
      <c r="G2961" t="s">
        <v>23</v>
      </c>
      <c r="H2961">
        <v>16</v>
      </c>
      <c r="I2961" t="str">
        <f>VLOOKUP(D2961,Product_Lookup!$A$2:$C$27,3,FALSE)</f>
        <v>$10.11</v>
      </c>
      <c r="J2961" t="str">
        <f t="shared" si="371"/>
        <v>Wednesday</v>
      </c>
      <c r="K2961" s="10" t="str">
        <f t="shared" si="372"/>
        <v>September</v>
      </c>
      <c r="L2961">
        <f t="shared" si="373"/>
        <v>2024</v>
      </c>
      <c r="M2961" t="b">
        <f t="shared" si="374"/>
        <v>0</v>
      </c>
      <c r="N2961" t="b">
        <f t="shared" si="368"/>
        <v>0</v>
      </c>
      <c r="O2961" t="str">
        <f t="shared" si="375"/>
        <v>Standard order</v>
      </c>
      <c r="P2961" s="7">
        <f t="shared" si="369"/>
        <v>0.50549999999999995</v>
      </c>
      <c r="Q2961" s="7" t="str">
        <f>VLOOKUP(D2962,Product_Lookup!$A$2:$C$27,2,FALSE)</f>
        <v>Smartphone</v>
      </c>
      <c r="R2961" s="7">
        <f t="shared" si="370"/>
        <v>161.76</v>
      </c>
    </row>
    <row r="2962" spans="1:18" ht="21.75" customHeight="1">
      <c r="A2962" t="s">
        <v>3113</v>
      </c>
      <c r="B2962" s="6">
        <v>45408</v>
      </c>
      <c r="C2962" t="s">
        <v>138</v>
      </c>
      <c r="D2962" t="s">
        <v>79</v>
      </c>
      <c r="E2962" t="s">
        <v>11</v>
      </c>
      <c r="F2962" t="s">
        <v>56</v>
      </c>
      <c r="G2962" t="s">
        <v>36</v>
      </c>
      <c r="H2962">
        <v>20</v>
      </c>
      <c r="I2962" t="str">
        <f>VLOOKUP(D2962,Product_Lookup!$A$2:$C$27,3,FALSE)</f>
        <v>$216.22</v>
      </c>
      <c r="J2962" t="str">
        <f t="shared" si="371"/>
        <v>Friday</v>
      </c>
      <c r="K2962" s="10" t="str">
        <f t="shared" si="372"/>
        <v>April</v>
      </c>
      <c r="L2962">
        <f t="shared" si="373"/>
        <v>2024</v>
      </c>
      <c r="M2962" t="b">
        <f t="shared" si="374"/>
        <v>0</v>
      </c>
      <c r="N2962" t="b">
        <f t="shared" si="368"/>
        <v>1</v>
      </c>
      <c r="O2962" t="str">
        <f t="shared" si="375"/>
        <v>Large Order</v>
      </c>
      <c r="P2962" s="7">
        <f t="shared" si="369"/>
        <v>10.811</v>
      </c>
      <c r="Q2962" s="7" t="str">
        <f>VLOOKUP(D2963,Product_Lookup!$A$2:$C$27,2,FALSE)</f>
        <v>Lego Set</v>
      </c>
      <c r="R2962" s="7">
        <f t="shared" si="370"/>
        <v>4324.3999999999996</v>
      </c>
    </row>
    <row r="2963" spans="1:18" ht="21.75" customHeight="1">
      <c r="A2963" t="s">
        <v>3114</v>
      </c>
      <c r="B2963" s="6">
        <v>45641</v>
      </c>
      <c r="C2963" t="s">
        <v>455</v>
      </c>
      <c r="D2963" t="s">
        <v>84</v>
      </c>
      <c r="E2963" t="s">
        <v>11</v>
      </c>
      <c r="F2963" t="s">
        <v>306</v>
      </c>
      <c r="G2963" t="s">
        <v>23</v>
      </c>
      <c r="H2963">
        <v>2</v>
      </c>
      <c r="I2963" t="str">
        <f>VLOOKUP(D2963,Product_Lookup!$A$2:$C$27,3,FALSE)</f>
        <v>$130.07</v>
      </c>
      <c r="J2963" t="str">
        <f t="shared" si="371"/>
        <v>Sunday</v>
      </c>
      <c r="K2963" s="10" t="str">
        <f t="shared" si="372"/>
        <v>December</v>
      </c>
      <c r="L2963">
        <f t="shared" si="373"/>
        <v>2024</v>
      </c>
      <c r="M2963" t="b">
        <f t="shared" si="374"/>
        <v>1</v>
      </c>
      <c r="N2963" t="b">
        <f t="shared" si="368"/>
        <v>0</v>
      </c>
      <c r="O2963" t="str">
        <f t="shared" si="375"/>
        <v>Standard order</v>
      </c>
      <c r="P2963" s="7">
        <f t="shared" si="369"/>
        <v>6.5034999999999998</v>
      </c>
      <c r="Q2963" s="7" t="str">
        <f>VLOOKUP(D2964,Product_Lookup!$A$2:$C$27,2,FALSE)</f>
        <v>Headphones</v>
      </c>
      <c r="R2963" s="7">
        <f t="shared" si="370"/>
        <v>260.14</v>
      </c>
    </row>
    <row r="2964" spans="1:18" ht="21.75" customHeight="1">
      <c r="A2964" t="s">
        <v>3115</v>
      </c>
      <c r="B2964" s="6">
        <v>45485</v>
      </c>
      <c r="C2964" t="s">
        <v>424</v>
      </c>
      <c r="D2964" t="s">
        <v>16</v>
      </c>
      <c r="E2964" t="s">
        <v>17</v>
      </c>
      <c r="F2964" t="s">
        <v>27</v>
      </c>
      <c r="G2964" t="s">
        <v>36</v>
      </c>
      <c r="H2964">
        <v>5</v>
      </c>
      <c r="I2964" t="str">
        <f>VLOOKUP(D2964,Product_Lookup!$A$2:$C$27,3,FALSE)</f>
        <v>$178.83</v>
      </c>
      <c r="J2964" t="str">
        <f t="shared" si="371"/>
        <v>Friday</v>
      </c>
      <c r="K2964" s="10" t="str">
        <f t="shared" si="372"/>
        <v>July</v>
      </c>
      <c r="L2964">
        <f t="shared" si="373"/>
        <v>2024</v>
      </c>
      <c r="M2964" t="b">
        <f t="shared" si="374"/>
        <v>0</v>
      </c>
      <c r="N2964" t="b">
        <f t="shared" si="368"/>
        <v>0</v>
      </c>
      <c r="O2964" t="str">
        <f t="shared" si="375"/>
        <v>Large Order</v>
      </c>
      <c r="P2964" s="7">
        <f t="shared" si="369"/>
        <v>8.9415000000000013</v>
      </c>
      <c r="Q2964" s="7" t="str">
        <f>VLOOKUP(D2965,Product_Lookup!$A$2:$C$27,2,FALSE)</f>
        <v>Toaster</v>
      </c>
      <c r="R2964" s="7">
        <f t="shared" si="370"/>
        <v>894.15000000000009</v>
      </c>
    </row>
    <row r="2965" spans="1:18" ht="21.75" customHeight="1">
      <c r="A2965" t="s">
        <v>3116</v>
      </c>
      <c r="B2965" s="6">
        <v>45352</v>
      </c>
      <c r="C2965" t="s">
        <v>594</v>
      </c>
      <c r="D2965" t="s">
        <v>48</v>
      </c>
      <c r="E2965" t="s">
        <v>17</v>
      </c>
      <c r="F2965" t="s">
        <v>56</v>
      </c>
      <c r="G2965" t="s">
        <v>32</v>
      </c>
      <c r="H2965">
        <v>14</v>
      </c>
      <c r="I2965" t="str">
        <f>VLOOKUP(D2965,Product_Lookup!$A$2:$C$27,3,FALSE)</f>
        <v>$208.85</v>
      </c>
      <c r="J2965" t="str">
        <f t="shared" si="371"/>
        <v>Friday</v>
      </c>
      <c r="K2965" s="10" t="str">
        <f t="shared" si="372"/>
        <v>March</v>
      </c>
      <c r="L2965">
        <f t="shared" si="373"/>
        <v>2024</v>
      </c>
      <c r="M2965" t="b">
        <f t="shared" si="374"/>
        <v>0</v>
      </c>
      <c r="N2965" t="b">
        <f t="shared" si="368"/>
        <v>1</v>
      </c>
      <c r="O2965" t="str">
        <f t="shared" si="375"/>
        <v>Large Order</v>
      </c>
      <c r="P2965" s="7">
        <f t="shared" si="369"/>
        <v>10.442500000000001</v>
      </c>
      <c r="Q2965" s="7" t="str">
        <f>VLOOKUP(D2966,Product_Lookup!$A$2:$C$27,2,FALSE)</f>
        <v>Tablet</v>
      </c>
      <c r="R2965" s="7">
        <f t="shared" si="370"/>
        <v>2923.9</v>
      </c>
    </row>
    <row r="2966" spans="1:18" ht="21.75" customHeight="1">
      <c r="A2966" t="s">
        <v>3117</v>
      </c>
      <c r="B2966" s="6">
        <v>45413</v>
      </c>
      <c r="C2966" t="s">
        <v>51</v>
      </c>
      <c r="D2966" t="s">
        <v>10</v>
      </c>
      <c r="E2966" t="s">
        <v>22</v>
      </c>
      <c r="F2966" t="s">
        <v>12</v>
      </c>
      <c r="G2966" t="s">
        <v>28</v>
      </c>
      <c r="H2966">
        <v>14</v>
      </c>
      <c r="I2966" t="str">
        <f>VLOOKUP(D2966,Product_Lookup!$A$2:$C$27,3,FALSE)</f>
        <v>$146.06</v>
      </c>
      <c r="J2966" t="str">
        <f t="shared" si="371"/>
        <v>Wednesday</v>
      </c>
      <c r="K2966" s="10" t="str">
        <f t="shared" si="372"/>
        <v>May</v>
      </c>
      <c r="L2966">
        <f t="shared" si="373"/>
        <v>2024</v>
      </c>
      <c r="M2966" t="b">
        <f t="shared" si="374"/>
        <v>0</v>
      </c>
      <c r="N2966" t="b">
        <f t="shared" si="368"/>
        <v>1</v>
      </c>
      <c r="O2966" t="str">
        <f t="shared" si="375"/>
        <v>Large Order</v>
      </c>
      <c r="P2966" s="7">
        <f t="shared" si="369"/>
        <v>7.3030000000000008</v>
      </c>
      <c r="Q2966" s="7" t="str">
        <f>VLOOKUP(D2967,Product_Lookup!$A$2:$C$27,2,FALSE)</f>
        <v>Smartphone</v>
      </c>
      <c r="R2966" s="7">
        <f t="shared" si="370"/>
        <v>2044.8400000000001</v>
      </c>
    </row>
    <row r="2967" spans="1:18" ht="21.75" customHeight="1">
      <c r="A2967" t="s">
        <v>3118</v>
      </c>
      <c r="B2967" s="6">
        <v>45566</v>
      </c>
      <c r="C2967" t="s">
        <v>614</v>
      </c>
      <c r="D2967" t="s">
        <v>79</v>
      </c>
      <c r="E2967" t="s">
        <v>11</v>
      </c>
      <c r="F2967" t="s">
        <v>56</v>
      </c>
      <c r="G2967" t="s">
        <v>13</v>
      </c>
      <c r="H2967">
        <v>3</v>
      </c>
      <c r="I2967" t="str">
        <f>VLOOKUP(D2967,Product_Lookup!$A$2:$C$27,3,FALSE)</f>
        <v>$216.22</v>
      </c>
      <c r="J2967" t="str">
        <f t="shared" si="371"/>
        <v>Tuesday</v>
      </c>
      <c r="K2967" s="10" t="str">
        <f t="shared" si="372"/>
        <v>October</v>
      </c>
      <c r="L2967">
        <f t="shared" si="373"/>
        <v>2024</v>
      </c>
      <c r="M2967" t="b">
        <f t="shared" si="374"/>
        <v>0</v>
      </c>
      <c r="N2967" t="b">
        <f t="shared" si="368"/>
        <v>0</v>
      </c>
      <c r="O2967" t="str">
        <f t="shared" si="375"/>
        <v>Large Order</v>
      </c>
      <c r="P2967" s="7">
        <f t="shared" si="369"/>
        <v>10.811</v>
      </c>
      <c r="Q2967" s="7" t="str">
        <f>VLOOKUP(D2968,Product_Lookup!$A$2:$C$27,2,FALSE)</f>
        <v>Socks</v>
      </c>
      <c r="R2967" s="7">
        <f t="shared" si="370"/>
        <v>648.66</v>
      </c>
    </row>
    <row r="2968" spans="1:18" ht="21.75" customHeight="1">
      <c r="A2968" t="s">
        <v>3119</v>
      </c>
      <c r="B2968" s="6">
        <v>45516</v>
      </c>
      <c r="C2968" t="s">
        <v>44</v>
      </c>
      <c r="D2968" t="s">
        <v>74</v>
      </c>
      <c r="E2968" t="s">
        <v>11</v>
      </c>
      <c r="F2968" t="s">
        <v>42</v>
      </c>
      <c r="G2968" t="s">
        <v>32</v>
      </c>
      <c r="H2968">
        <v>20</v>
      </c>
      <c r="I2968" t="str">
        <f>VLOOKUP(D2968,Product_Lookup!$A$2:$C$27,3,FALSE)</f>
        <v>$201.32</v>
      </c>
      <c r="J2968" t="str">
        <f t="shared" si="371"/>
        <v>Monday</v>
      </c>
      <c r="K2968" s="10" t="str">
        <f t="shared" si="372"/>
        <v>August</v>
      </c>
      <c r="L2968">
        <f t="shared" si="373"/>
        <v>2024</v>
      </c>
      <c r="M2968" t="b">
        <f t="shared" si="374"/>
        <v>0</v>
      </c>
      <c r="N2968" t="b">
        <f t="shared" si="368"/>
        <v>1</v>
      </c>
      <c r="O2968" t="str">
        <f t="shared" si="375"/>
        <v>Large Order</v>
      </c>
      <c r="P2968" s="7">
        <f t="shared" si="369"/>
        <v>10.066000000000001</v>
      </c>
      <c r="Q2968" s="7" t="str">
        <f>VLOOKUP(D2969,Product_Lookup!$A$2:$C$27,2,FALSE)</f>
        <v>Headphones</v>
      </c>
      <c r="R2968" s="7">
        <f t="shared" si="370"/>
        <v>4026.3999999999996</v>
      </c>
    </row>
    <row r="2969" spans="1:18" ht="21.75" customHeight="1">
      <c r="A2969" t="s">
        <v>3120</v>
      </c>
      <c r="B2969" s="6">
        <v>45417</v>
      </c>
      <c r="C2969" t="s">
        <v>61</v>
      </c>
      <c r="D2969" t="s">
        <v>16</v>
      </c>
      <c r="E2969" t="s">
        <v>22</v>
      </c>
      <c r="F2969" t="s">
        <v>27</v>
      </c>
      <c r="G2969" t="s">
        <v>23</v>
      </c>
      <c r="H2969">
        <v>4</v>
      </c>
      <c r="I2969" t="str">
        <f>VLOOKUP(D2969,Product_Lookup!$A$2:$C$27,3,FALSE)</f>
        <v>$178.83</v>
      </c>
      <c r="J2969" t="str">
        <f t="shared" si="371"/>
        <v>Sunday</v>
      </c>
      <c r="K2969" s="10" t="str">
        <f t="shared" si="372"/>
        <v>May</v>
      </c>
      <c r="L2969">
        <f t="shared" si="373"/>
        <v>2024</v>
      </c>
      <c r="M2969" t="b">
        <f t="shared" si="374"/>
        <v>1</v>
      </c>
      <c r="N2969" t="b">
        <f t="shared" si="368"/>
        <v>0</v>
      </c>
      <c r="O2969" t="str">
        <f t="shared" si="375"/>
        <v>Large Order</v>
      </c>
      <c r="P2969" s="7">
        <f t="shared" si="369"/>
        <v>8.9415000000000013</v>
      </c>
      <c r="Q2969" s="7" t="str">
        <f>VLOOKUP(D2970,Product_Lookup!$A$2:$C$27,2,FALSE)</f>
        <v>Pen Set</v>
      </c>
      <c r="R2969" s="7">
        <f t="shared" si="370"/>
        <v>715.32</v>
      </c>
    </row>
    <row r="2970" spans="1:18" ht="21.75" customHeight="1">
      <c r="A2970" t="s">
        <v>3121</v>
      </c>
      <c r="B2970" s="6">
        <v>45331</v>
      </c>
      <c r="C2970" t="s">
        <v>230</v>
      </c>
      <c r="D2970" t="s">
        <v>174</v>
      </c>
      <c r="E2970" t="s">
        <v>11</v>
      </c>
      <c r="F2970" t="s">
        <v>27</v>
      </c>
      <c r="G2970" t="s">
        <v>32</v>
      </c>
      <c r="H2970">
        <v>8</v>
      </c>
      <c r="I2970" t="str">
        <f>VLOOKUP(D2970,Product_Lookup!$A$2:$C$27,3,FALSE)</f>
        <v>$133.37</v>
      </c>
      <c r="J2970" t="str">
        <f t="shared" si="371"/>
        <v>Friday</v>
      </c>
      <c r="K2970" s="10" t="str">
        <f t="shared" si="372"/>
        <v>February</v>
      </c>
      <c r="L2970">
        <f t="shared" si="373"/>
        <v>2024</v>
      </c>
      <c r="M2970" t="b">
        <f t="shared" si="374"/>
        <v>0</v>
      </c>
      <c r="N2970" t="b">
        <f t="shared" si="368"/>
        <v>1</v>
      </c>
      <c r="O2970" t="str">
        <f t="shared" si="375"/>
        <v>Large Order</v>
      </c>
      <c r="P2970" s="7">
        <f t="shared" si="369"/>
        <v>6.6685000000000008</v>
      </c>
      <c r="Q2970" s="7" t="str">
        <f>VLOOKUP(D2971,Product_Lookup!$A$2:$C$27,2,FALSE)</f>
        <v>Doll</v>
      </c>
      <c r="R2970" s="7">
        <f t="shared" si="370"/>
        <v>1066.96</v>
      </c>
    </row>
    <row r="2971" spans="1:18" ht="21.75" customHeight="1">
      <c r="A2971" t="s">
        <v>3122</v>
      </c>
      <c r="B2971" s="6">
        <v>45446</v>
      </c>
      <c r="C2971" t="s">
        <v>83</v>
      </c>
      <c r="D2971" t="s">
        <v>119</v>
      </c>
      <c r="E2971" t="s">
        <v>22</v>
      </c>
      <c r="F2971" t="s">
        <v>42</v>
      </c>
      <c r="G2971" t="s">
        <v>28</v>
      </c>
      <c r="H2971">
        <v>17</v>
      </c>
      <c r="I2971" t="str">
        <f>VLOOKUP(D2971,Product_Lookup!$A$2:$C$27,3,FALSE)</f>
        <v>$32.94</v>
      </c>
      <c r="J2971" t="str">
        <f t="shared" si="371"/>
        <v>Monday</v>
      </c>
      <c r="K2971" s="10" t="str">
        <f t="shared" si="372"/>
        <v>June</v>
      </c>
      <c r="L2971">
        <f t="shared" si="373"/>
        <v>2024</v>
      </c>
      <c r="M2971" t="b">
        <f t="shared" si="374"/>
        <v>0</v>
      </c>
      <c r="N2971" t="b">
        <f t="shared" si="368"/>
        <v>0</v>
      </c>
      <c r="O2971" t="str">
        <f t="shared" si="375"/>
        <v>Large Order</v>
      </c>
      <c r="P2971" s="7">
        <f t="shared" si="369"/>
        <v>1.647</v>
      </c>
      <c r="Q2971" s="7" t="str">
        <f>VLOOKUP(D2972,Product_Lookup!$A$2:$C$27,2,FALSE)</f>
        <v>Pen Set</v>
      </c>
      <c r="R2971" s="7">
        <f t="shared" si="370"/>
        <v>559.98</v>
      </c>
    </row>
    <row r="2972" spans="1:18" ht="21.75" customHeight="1">
      <c r="A2972" t="s">
        <v>3123</v>
      </c>
      <c r="B2972" s="6">
        <v>45455</v>
      </c>
      <c r="C2972" t="s">
        <v>424</v>
      </c>
      <c r="D2972" t="s">
        <v>174</v>
      </c>
      <c r="E2972" t="s">
        <v>22</v>
      </c>
      <c r="F2972" t="s">
        <v>12</v>
      </c>
      <c r="G2972" t="s">
        <v>13</v>
      </c>
      <c r="H2972">
        <v>12</v>
      </c>
      <c r="I2972" t="str">
        <f>VLOOKUP(D2972,Product_Lookup!$A$2:$C$27,3,FALSE)</f>
        <v>$133.37</v>
      </c>
      <c r="J2972" t="str">
        <f t="shared" si="371"/>
        <v>Wednesday</v>
      </c>
      <c r="K2972" s="10" t="str">
        <f t="shared" si="372"/>
        <v>June</v>
      </c>
      <c r="L2972">
        <f t="shared" si="373"/>
        <v>2024</v>
      </c>
      <c r="M2972" t="b">
        <f t="shared" si="374"/>
        <v>0</v>
      </c>
      <c r="N2972" t="b">
        <f t="shared" si="368"/>
        <v>1</v>
      </c>
      <c r="O2972" t="str">
        <f t="shared" si="375"/>
        <v>Large Order</v>
      </c>
      <c r="P2972" s="7">
        <f t="shared" si="369"/>
        <v>6.6685000000000008</v>
      </c>
      <c r="Q2972" s="7" t="str">
        <f>VLOOKUP(D2973,Product_Lookup!$A$2:$C$27,2,FALSE)</f>
        <v>Stapler</v>
      </c>
      <c r="R2972" s="7">
        <f t="shared" si="370"/>
        <v>1600.44</v>
      </c>
    </row>
    <row r="2973" spans="1:18" ht="21.75" customHeight="1">
      <c r="A2973" t="s">
        <v>3124</v>
      </c>
      <c r="B2973" s="6">
        <v>45653</v>
      </c>
      <c r="C2973" t="s">
        <v>381</v>
      </c>
      <c r="D2973" t="s">
        <v>35</v>
      </c>
      <c r="E2973" t="s">
        <v>17</v>
      </c>
      <c r="F2973" t="s">
        <v>12</v>
      </c>
      <c r="G2973" t="s">
        <v>28</v>
      </c>
      <c r="H2973">
        <v>5</v>
      </c>
      <c r="I2973" t="str">
        <f>VLOOKUP(D2973,Product_Lookup!$A$2:$C$27,3,FALSE)</f>
        <v>$64.61</v>
      </c>
      <c r="J2973" t="str">
        <f t="shared" si="371"/>
        <v>Friday</v>
      </c>
      <c r="K2973" s="10" t="str">
        <f t="shared" si="372"/>
        <v>December</v>
      </c>
      <c r="L2973">
        <f t="shared" si="373"/>
        <v>2024</v>
      </c>
      <c r="M2973" t="b">
        <f t="shared" si="374"/>
        <v>0</v>
      </c>
      <c r="N2973" t="b">
        <f t="shared" si="368"/>
        <v>0</v>
      </c>
      <c r="O2973" t="str">
        <f t="shared" si="375"/>
        <v>Standard order</v>
      </c>
      <c r="P2973" s="7">
        <f t="shared" si="369"/>
        <v>3.2305000000000001</v>
      </c>
      <c r="Q2973" s="7" t="str">
        <f>VLOOKUP(D2974,Product_Lookup!$A$2:$C$27,2,FALSE)</f>
        <v>Socks</v>
      </c>
      <c r="R2973" s="7">
        <f t="shared" si="370"/>
        <v>323.05</v>
      </c>
    </row>
    <row r="2974" spans="1:18" ht="21.75" customHeight="1">
      <c r="A2974" t="s">
        <v>3125</v>
      </c>
      <c r="B2974" s="6">
        <v>45558</v>
      </c>
      <c r="C2974" t="s">
        <v>51</v>
      </c>
      <c r="D2974" t="s">
        <v>74</v>
      </c>
      <c r="E2974" t="s">
        <v>22</v>
      </c>
      <c r="F2974" t="s">
        <v>306</v>
      </c>
      <c r="G2974" t="s">
        <v>28</v>
      </c>
      <c r="H2974">
        <v>4</v>
      </c>
      <c r="I2974" t="str">
        <f>VLOOKUP(D2974,Product_Lookup!$A$2:$C$27,3,FALSE)</f>
        <v>$201.32</v>
      </c>
      <c r="J2974" t="str">
        <f t="shared" si="371"/>
        <v>Monday</v>
      </c>
      <c r="K2974" s="10" t="str">
        <f t="shared" si="372"/>
        <v>September</v>
      </c>
      <c r="L2974">
        <f t="shared" si="373"/>
        <v>2024</v>
      </c>
      <c r="M2974" t="b">
        <f t="shared" si="374"/>
        <v>0</v>
      </c>
      <c r="N2974" t="b">
        <f t="shared" si="368"/>
        <v>0</v>
      </c>
      <c r="O2974" t="str">
        <f t="shared" si="375"/>
        <v>Large Order</v>
      </c>
      <c r="P2974" s="7">
        <f t="shared" si="369"/>
        <v>10.066000000000001</v>
      </c>
      <c r="Q2974" s="7" t="str">
        <f>VLOOKUP(D2975,Product_Lookup!$A$2:$C$27,2,FALSE)</f>
        <v>Jacket</v>
      </c>
      <c r="R2974" s="7">
        <f t="shared" si="370"/>
        <v>805.28</v>
      </c>
    </row>
    <row r="2975" spans="1:18" ht="21.75" customHeight="1">
      <c r="A2975" t="s">
        <v>3126</v>
      </c>
      <c r="B2975" s="6">
        <v>45364</v>
      </c>
      <c r="C2975" t="s">
        <v>122</v>
      </c>
      <c r="D2975" t="s">
        <v>197</v>
      </c>
      <c r="E2975" t="s">
        <v>22</v>
      </c>
      <c r="F2975" t="s">
        <v>27</v>
      </c>
      <c r="G2975" t="s">
        <v>23</v>
      </c>
      <c r="H2975">
        <v>4</v>
      </c>
      <c r="I2975" t="str">
        <f>VLOOKUP(D2975,Product_Lookup!$A$2:$C$27,3,FALSE)</f>
        <v>$10.11</v>
      </c>
      <c r="J2975" t="str">
        <f t="shared" si="371"/>
        <v>Wednesday</v>
      </c>
      <c r="K2975" s="10" t="str">
        <f t="shared" si="372"/>
        <v>March</v>
      </c>
      <c r="L2975">
        <f t="shared" si="373"/>
        <v>2024</v>
      </c>
      <c r="M2975" t="b">
        <f t="shared" si="374"/>
        <v>0</v>
      </c>
      <c r="N2975" t="b">
        <f t="shared" si="368"/>
        <v>0</v>
      </c>
      <c r="O2975" t="str">
        <f t="shared" si="375"/>
        <v>Standard order</v>
      </c>
      <c r="P2975" s="7">
        <f t="shared" si="369"/>
        <v>0.50549999999999995</v>
      </c>
      <c r="Q2975" s="7" t="str">
        <f>VLOOKUP(D2976,Product_Lookup!$A$2:$C$27,2,FALSE)</f>
        <v>Sweater</v>
      </c>
      <c r="R2975" s="7">
        <f t="shared" si="370"/>
        <v>40.44</v>
      </c>
    </row>
    <row r="2976" spans="1:18" ht="21.75" customHeight="1">
      <c r="A2976" t="s">
        <v>3127</v>
      </c>
      <c r="B2976" s="6">
        <v>45309</v>
      </c>
      <c r="C2976" t="s">
        <v>101</v>
      </c>
      <c r="D2976" t="s">
        <v>26</v>
      </c>
      <c r="E2976" t="s">
        <v>22</v>
      </c>
      <c r="F2976" t="s">
        <v>27</v>
      </c>
      <c r="G2976" t="s">
        <v>32</v>
      </c>
      <c r="H2976">
        <v>3</v>
      </c>
      <c r="I2976" t="str">
        <f>VLOOKUP(D2976,Product_Lookup!$A$2:$C$27,3,FALSE)</f>
        <v>$84.57</v>
      </c>
      <c r="J2976" t="str">
        <f t="shared" si="371"/>
        <v>Thursday</v>
      </c>
      <c r="K2976" s="10" t="str">
        <f t="shared" si="372"/>
        <v>January</v>
      </c>
      <c r="L2976">
        <f t="shared" si="373"/>
        <v>2024</v>
      </c>
      <c r="M2976" t="b">
        <f t="shared" si="374"/>
        <v>0</v>
      </c>
      <c r="N2976" t="b">
        <f t="shared" si="368"/>
        <v>0</v>
      </c>
      <c r="O2976" t="str">
        <f t="shared" si="375"/>
        <v>Standard order</v>
      </c>
      <c r="P2976" s="7">
        <f t="shared" si="369"/>
        <v>4.2284999999999995</v>
      </c>
      <c r="Q2976" s="7" t="str">
        <f>VLOOKUP(D2977,Product_Lookup!$A$2:$C$27,2,FALSE)</f>
        <v>Stapler</v>
      </c>
      <c r="R2976" s="7">
        <f t="shared" si="370"/>
        <v>253.70999999999998</v>
      </c>
    </row>
    <row r="2977" spans="1:18" ht="21.75" customHeight="1">
      <c r="A2977" t="s">
        <v>3128</v>
      </c>
      <c r="B2977" s="6">
        <v>45604</v>
      </c>
      <c r="C2977" t="s">
        <v>53</v>
      </c>
      <c r="D2977" t="s">
        <v>35</v>
      </c>
      <c r="E2977" t="s">
        <v>11</v>
      </c>
      <c r="F2977" t="s">
        <v>27</v>
      </c>
      <c r="G2977" t="s">
        <v>23</v>
      </c>
      <c r="H2977">
        <v>15</v>
      </c>
      <c r="I2977" t="str">
        <f>VLOOKUP(D2977,Product_Lookup!$A$2:$C$27,3,FALSE)</f>
        <v>$64.61</v>
      </c>
      <c r="J2977" t="str">
        <f t="shared" si="371"/>
        <v>Friday</v>
      </c>
      <c r="K2977" s="10" t="str">
        <f t="shared" si="372"/>
        <v>November</v>
      </c>
      <c r="L2977">
        <f t="shared" si="373"/>
        <v>2024</v>
      </c>
      <c r="M2977" t="b">
        <f t="shared" si="374"/>
        <v>0</v>
      </c>
      <c r="N2977" t="b">
        <f t="shared" si="368"/>
        <v>1</v>
      </c>
      <c r="O2977" t="str">
        <f t="shared" si="375"/>
        <v>Large Order</v>
      </c>
      <c r="P2977" s="7">
        <f t="shared" si="369"/>
        <v>3.2305000000000001</v>
      </c>
      <c r="Q2977" s="7" t="str">
        <f>VLOOKUP(D2978,Product_Lookup!$A$2:$C$27,2,FALSE)</f>
        <v>T-Shirt</v>
      </c>
      <c r="R2977" s="7">
        <f t="shared" si="370"/>
        <v>969.15</v>
      </c>
    </row>
    <row r="2978" spans="1:18" ht="21.75" customHeight="1">
      <c r="A2978" t="s">
        <v>3129</v>
      </c>
      <c r="B2978" s="6">
        <v>45397</v>
      </c>
      <c r="C2978" t="s">
        <v>159</v>
      </c>
      <c r="D2978" t="s">
        <v>45</v>
      </c>
      <c r="E2978" t="s">
        <v>22</v>
      </c>
      <c r="F2978" t="s">
        <v>27</v>
      </c>
      <c r="G2978" t="s">
        <v>36</v>
      </c>
      <c r="H2978">
        <v>2</v>
      </c>
      <c r="I2978" t="str">
        <f>VLOOKUP(D2978,Product_Lookup!$A$2:$C$27,3,FALSE)</f>
        <v>$107.34</v>
      </c>
      <c r="J2978" t="str">
        <f t="shared" si="371"/>
        <v>Monday</v>
      </c>
      <c r="K2978" s="10" t="str">
        <f t="shared" si="372"/>
        <v>April</v>
      </c>
      <c r="L2978">
        <f t="shared" si="373"/>
        <v>2024</v>
      </c>
      <c r="M2978" t="b">
        <f t="shared" si="374"/>
        <v>0</v>
      </c>
      <c r="N2978" t="b">
        <f t="shared" si="368"/>
        <v>0</v>
      </c>
      <c r="O2978" t="str">
        <f t="shared" si="375"/>
        <v>Standard order</v>
      </c>
      <c r="P2978" s="7">
        <f t="shared" si="369"/>
        <v>5.3670000000000009</v>
      </c>
      <c r="Q2978" s="7" t="str">
        <f>VLOOKUP(D2979,Product_Lookup!$A$2:$C$27,2,FALSE)</f>
        <v>Doll</v>
      </c>
      <c r="R2978" s="7">
        <f t="shared" si="370"/>
        <v>214.68</v>
      </c>
    </row>
    <row r="2979" spans="1:18" ht="21.75" customHeight="1">
      <c r="A2979" t="s">
        <v>3130</v>
      </c>
      <c r="B2979" s="6">
        <v>45308</v>
      </c>
      <c r="C2979" t="s">
        <v>591</v>
      </c>
      <c r="D2979" t="s">
        <v>119</v>
      </c>
      <c r="E2979" t="s">
        <v>17</v>
      </c>
      <c r="F2979" t="s">
        <v>12</v>
      </c>
      <c r="G2979" t="s">
        <v>36</v>
      </c>
      <c r="H2979">
        <v>11</v>
      </c>
      <c r="I2979" t="str">
        <f>VLOOKUP(D2979,Product_Lookup!$A$2:$C$27,3,FALSE)</f>
        <v>$32.94</v>
      </c>
      <c r="J2979" t="str">
        <f t="shared" si="371"/>
        <v>Wednesday</v>
      </c>
      <c r="K2979" s="10" t="str">
        <f t="shared" si="372"/>
        <v>January</v>
      </c>
      <c r="L2979">
        <f t="shared" si="373"/>
        <v>2024</v>
      </c>
      <c r="M2979" t="b">
        <f t="shared" si="374"/>
        <v>0</v>
      </c>
      <c r="N2979" t="b">
        <f t="shared" si="368"/>
        <v>0</v>
      </c>
      <c r="O2979" t="str">
        <f t="shared" si="375"/>
        <v>Standard order</v>
      </c>
      <c r="P2979" s="7">
        <f t="shared" si="369"/>
        <v>1.647</v>
      </c>
      <c r="Q2979" s="7" t="str">
        <f>VLOOKUP(D2980,Product_Lookup!$A$2:$C$27,2,FALSE)</f>
        <v>Desk Lamp</v>
      </c>
      <c r="R2979" s="7">
        <f t="shared" si="370"/>
        <v>362.34</v>
      </c>
    </row>
    <row r="2980" spans="1:18" ht="21.75" customHeight="1">
      <c r="A2980" t="s">
        <v>3131</v>
      </c>
      <c r="B2980" s="6">
        <v>45426</v>
      </c>
      <c r="C2980" t="s">
        <v>664</v>
      </c>
      <c r="D2980" t="s">
        <v>59</v>
      </c>
      <c r="E2980" t="s">
        <v>11</v>
      </c>
      <c r="F2980" t="s">
        <v>12</v>
      </c>
      <c r="G2980" t="s">
        <v>32</v>
      </c>
      <c r="H2980">
        <v>20</v>
      </c>
      <c r="I2980" t="str">
        <f>VLOOKUP(D2980,Product_Lookup!$A$2:$C$27,3,FALSE)</f>
        <v>$101.96</v>
      </c>
      <c r="J2980" t="str">
        <f t="shared" si="371"/>
        <v>Tuesday</v>
      </c>
      <c r="K2980" s="10" t="str">
        <f t="shared" si="372"/>
        <v>May</v>
      </c>
      <c r="L2980">
        <f t="shared" si="373"/>
        <v>2024</v>
      </c>
      <c r="M2980" t="b">
        <f t="shared" si="374"/>
        <v>0</v>
      </c>
      <c r="N2980" t="b">
        <f t="shared" si="368"/>
        <v>1</v>
      </c>
      <c r="O2980" t="str">
        <f t="shared" si="375"/>
        <v>Large Order</v>
      </c>
      <c r="P2980" s="7">
        <f t="shared" si="369"/>
        <v>5.0979999999999999</v>
      </c>
      <c r="Q2980" s="7" t="str">
        <f>VLOOKUP(D2981,Product_Lookup!$A$2:$C$27,2,FALSE)</f>
        <v>Lego Set</v>
      </c>
      <c r="R2980" s="7">
        <f t="shared" si="370"/>
        <v>2039.1999999999998</v>
      </c>
    </row>
    <row r="2981" spans="1:18" ht="21.75" customHeight="1">
      <c r="A2981" t="s">
        <v>3132</v>
      </c>
      <c r="B2981" s="6">
        <v>45510</v>
      </c>
      <c r="C2981" t="s">
        <v>728</v>
      </c>
      <c r="D2981" t="s">
        <v>84</v>
      </c>
      <c r="E2981" t="s">
        <v>22</v>
      </c>
      <c r="F2981" t="s">
        <v>12</v>
      </c>
      <c r="G2981" t="s">
        <v>13</v>
      </c>
      <c r="H2981">
        <v>18</v>
      </c>
      <c r="I2981" t="str">
        <f>VLOOKUP(D2981,Product_Lookup!$A$2:$C$27,3,FALSE)</f>
        <v>$130.07</v>
      </c>
      <c r="J2981" t="str">
        <f t="shared" si="371"/>
        <v>Tuesday</v>
      </c>
      <c r="K2981" s="10" t="str">
        <f t="shared" si="372"/>
        <v>August</v>
      </c>
      <c r="L2981">
        <f t="shared" si="373"/>
        <v>2024</v>
      </c>
      <c r="M2981" t="b">
        <f t="shared" si="374"/>
        <v>0</v>
      </c>
      <c r="N2981" t="b">
        <f t="shared" si="368"/>
        <v>1</v>
      </c>
      <c r="O2981" t="str">
        <f t="shared" si="375"/>
        <v>Large Order</v>
      </c>
      <c r="P2981" s="7">
        <f t="shared" si="369"/>
        <v>6.5034999999999998</v>
      </c>
      <c r="Q2981" s="7" t="str">
        <f>VLOOKUP(D2982,Product_Lookup!$A$2:$C$27,2,FALSE)</f>
        <v>Pen Set</v>
      </c>
      <c r="R2981" s="7">
        <f t="shared" si="370"/>
        <v>2341.2599999999998</v>
      </c>
    </row>
    <row r="2982" spans="1:18" ht="21.75" customHeight="1">
      <c r="A2982" t="s">
        <v>3133</v>
      </c>
      <c r="B2982" s="6">
        <v>45639</v>
      </c>
      <c r="C2982" t="s">
        <v>55</v>
      </c>
      <c r="D2982" t="s">
        <v>174</v>
      </c>
      <c r="E2982" t="s">
        <v>17</v>
      </c>
      <c r="F2982" t="s">
        <v>27</v>
      </c>
      <c r="G2982" t="s">
        <v>36</v>
      </c>
      <c r="H2982">
        <v>19</v>
      </c>
      <c r="I2982" t="str">
        <f>VLOOKUP(D2982,Product_Lookup!$A$2:$C$27,3,FALSE)</f>
        <v>$133.37</v>
      </c>
      <c r="J2982" t="str">
        <f t="shared" si="371"/>
        <v>Friday</v>
      </c>
      <c r="K2982" s="10" t="str">
        <f t="shared" si="372"/>
        <v>December</v>
      </c>
      <c r="L2982">
        <f t="shared" si="373"/>
        <v>2024</v>
      </c>
      <c r="M2982" t="b">
        <f t="shared" si="374"/>
        <v>0</v>
      </c>
      <c r="N2982" t="b">
        <f t="shared" si="368"/>
        <v>1</v>
      </c>
      <c r="O2982" t="str">
        <f t="shared" si="375"/>
        <v>Large Order</v>
      </c>
      <c r="P2982" s="7">
        <f t="shared" si="369"/>
        <v>6.6685000000000008</v>
      </c>
      <c r="Q2982" s="7" t="str">
        <f>VLOOKUP(D2983,Product_Lookup!$A$2:$C$27,2,FALSE)</f>
        <v>Coffee Maker</v>
      </c>
      <c r="R2982" s="7">
        <f t="shared" si="370"/>
        <v>2534.0300000000002</v>
      </c>
    </row>
    <row r="2983" spans="1:18" ht="21.75" customHeight="1">
      <c r="A2983" t="s">
        <v>3134</v>
      </c>
      <c r="B2983" s="6">
        <v>45425</v>
      </c>
      <c r="C2983" t="s">
        <v>111</v>
      </c>
      <c r="D2983" t="s">
        <v>31</v>
      </c>
      <c r="E2983" t="s">
        <v>17</v>
      </c>
      <c r="F2983" t="s">
        <v>56</v>
      </c>
      <c r="G2983" t="s">
        <v>28</v>
      </c>
      <c r="H2983">
        <v>1</v>
      </c>
      <c r="I2983" t="str">
        <f>VLOOKUP(D2983,Product_Lookup!$A$2:$C$27,3,FALSE)</f>
        <v>$230.34</v>
      </c>
      <c r="J2983" t="str">
        <f t="shared" si="371"/>
        <v>Monday</v>
      </c>
      <c r="K2983" s="10" t="str">
        <f t="shared" si="372"/>
        <v>May</v>
      </c>
      <c r="L2983">
        <f t="shared" si="373"/>
        <v>2024</v>
      </c>
      <c r="M2983" t="b">
        <f t="shared" si="374"/>
        <v>0</v>
      </c>
      <c r="N2983" t="b">
        <f t="shared" si="368"/>
        <v>0</v>
      </c>
      <c r="O2983" t="str">
        <f t="shared" si="375"/>
        <v>Standard order</v>
      </c>
      <c r="P2983" s="7">
        <f t="shared" si="369"/>
        <v>11.517000000000001</v>
      </c>
      <c r="Q2983" s="7" t="str">
        <f>VLOOKUP(D2984,Product_Lookup!$A$2:$C$27,2,FALSE)</f>
        <v>Tablet</v>
      </c>
      <c r="R2983" s="7">
        <f t="shared" si="370"/>
        <v>230.34</v>
      </c>
    </row>
    <row r="2984" spans="1:18" ht="21.75" customHeight="1">
      <c r="A2984" t="s">
        <v>3135</v>
      </c>
      <c r="B2984" s="6">
        <v>45641</v>
      </c>
      <c r="C2984" t="s">
        <v>89</v>
      </c>
      <c r="D2984" t="s">
        <v>10</v>
      </c>
      <c r="E2984" t="s">
        <v>11</v>
      </c>
      <c r="F2984" t="s">
        <v>306</v>
      </c>
      <c r="G2984" t="s">
        <v>32</v>
      </c>
      <c r="H2984">
        <v>11</v>
      </c>
      <c r="I2984" t="str">
        <f>VLOOKUP(D2984,Product_Lookup!$A$2:$C$27,3,FALSE)</f>
        <v>$146.06</v>
      </c>
      <c r="J2984" t="str">
        <f t="shared" si="371"/>
        <v>Sunday</v>
      </c>
      <c r="K2984" s="10" t="str">
        <f t="shared" si="372"/>
        <v>December</v>
      </c>
      <c r="L2984">
        <f t="shared" si="373"/>
        <v>2024</v>
      </c>
      <c r="M2984" t="b">
        <f t="shared" si="374"/>
        <v>1</v>
      </c>
      <c r="N2984" t="b">
        <f t="shared" si="368"/>
        <v>1</v>
      </c>
      <c r="O2984" t="str">
        <f t="shared" si="375"/>
        <v>Large Order</v>
      </c>
      <c r="P2984" s="7">
        <f t="shared" si="369"/>
        <v>7.3030000000000008</v>
      </c>
      <c r="Q2984" s="7" t="str">
        <f>VLOOKUP(D2985,Product_Lookup!$A$2:$C$27,2,FALSE)</f>
        <v>Sweater</v>
      </c>
      <c r="R2984" s="7">
        <f t="shared" si="370"/>
        <v>1606.66</v>
      </c>
    </row>
    <row r="2985" spans="1:18" ht="21.75" customHeight="1">
      <c r="A2985" t="s">
        <v>3136</v>
      </c>
      <c r="B2985" s="6">
        <v>45311</v>
      </c>
      <c r="C2985" t="s">
        <v>594</v>
      </c>
      <c r="D2985" t="s">
        <v>26</v>
      </c>
      <c r="E2985" t="s">
        <v>17</v>
      </c>
      <c r="F2985" t="s">
        <v>42</v>
      </c>
      <c r="G2985" t="s">
        <v>32</v>
      </c>
      <c r="H2985">
        <v>20</v>
      </c>
      <c r="I2985" t="str">
        <f>VLOOKUP(D2985,Product_Lookup!$A$2:$C$27,3,FALSE)</f>
        <v>$84.57</v>
      </c>
      <c r="J2985" t="str">
        <f t="shared" si="371"/>
        <v>Saturday</v>
      </c>
      <c r="K2985" s="10" t="str">
        <f t="shared" si="372"/>
        <v>January</v>
      </c>
      <c r="L2985">
        <f t="shared" si="373"/>
        <v>2024</v>
      </c>
      <c r="M2985" t="b">
        <f t="shared" si="374"/>
        <v>1</v>
      </c>
      <c r="N2985" t="b">
        <f t="shared" si="368"/>
        <v>1</v>
      </c>
      <c r="O2985" t="str">
        <f t="shared" si="375"/>
        <v>Large Order</v>
      </c>
      <c r="P2985" s="7">
        <f t="shared" si="369"/>
        <v>4.2284999999999995</v>
      </c>
      <c r="Q2985" s="7" t="str">
        <f>VLOOKUP(D2986,Product_Lookup!$A$2:$C$27,2,FALSE)</f>
        <v>Board Game</v>
      </c>
      <c r="R2985" s="7">
        <f t="shared" si="370"/>
        <v>1691.3999999999999</v>
      </c>
    </row>
    <row r="2986" spans="1:18" ht="21.75" customHeight="1">
      <c r="A2986" t="s">
        <v>3137</v>
      </c>
      <c r="B2986" s="6">
        <v>45449</v>
      </c>
      <c r="C2986" t="s">
        <v>614</v>
      </c>
      <c r="D2986" t="s">
        <v>41</v>
      </c>
      <c r="E2986" t="s">
        <v>17</v>
      </c>
      <c r="F2986" t="s">
        <v>42</v>
      </c>
      <c r="G2986" t="s">
        <v>28</v>
      </c>
      <c r="H2986">
        <v>15</v>
      </c>
      <c r="I2986" t="str">
        <f>VLOOKUP(D2986,Product_Lookup!$A$2:$C$27,3,FALSE)</f>
        <v>$86.6</v>
      </c>
      <c r="J2986" t="str">
        <f t="shared" si="371"/>
        <v>Thursday</v>
      </c>
      <c r="K2986" s="10" t="str">
        <f t="shared" si="372"/>
        <v>June</v>
      </c>
      <c r="L2986">
        <f t="shared" si="373"/>
        <v>2024</v>
      </c>
      <c r="M2986" t="b">
        <f t="shared" si="374"/>
        <v>0</v>
      </c>
      <c r="N2986" t="b">
        <f t="shared" si="368"/>
        <v>1</v>
      </c>
      <c r="O2986" t="str">
        <f t="shared" si="375"/>
        <v>Large Order</v>
      </c>
      <c r="P2986" s="7">
        <f t="shared" si="369"/>
        <v>4.33</v>
      </c>
      <c r="Q2986" s="7" t="str">
        <f>VLOOKUP(D2987,Product_Lookup!$A$2:$C$27,2,FALSE)</f>
        <v>Air Fryer</v>
      </c>
      <c r="R2986" s="7">
        <f t="shared" si="370"/>
        <v>1299</v>
      </c>
    </row>
    <row r="2987" spans="1:18" ht="21.75" customHeight="1">
      <c r="A2987" t="s">
        <v>3138</v>
      </c>
      <c r="B2987" s="6">
        <v>45517</v>
      </c>
      <c r="C2987" t="s">
        <v>142</v>
      </c>
      <c r="D2987" t="s">
        <v>70</v>
      </c>
      <c r="E2987" t="s">
        <v>11</v>
      </c>
      <c r="F2987" t="s">
        <v>42</v>
      </c>
      <c r="G2987" t="s">
        <v>23</v>
      </c>
      <c r="H2987">
        <v>18</v>
      </c>
      <c r="I2987" t="str">
        <f>VLOOKUP(D2987,Product_Lookup!$A$2:$C$27,3,FALSE)</f>
        <v>$211.9</v>
      </c>
      <c r="J2987" t="str">
        <f t="shared" si="371"/>
        <v>Tuesday</v>
      </c>
      <c r="K2987" s="10" t="str">
        <f t="shared" si="372"/>
        <v>August</v>
      </c>
      <c r="L2987">
        <f t="shared" si="373"/>
        <v>2024</v>
      </c>
      <c r="M2987" t="b">
        <f t="shared" si="374"/>
        <v>0</v>
      </c>
      <c r="N2987" t="b">
        <f t="shared" si="368"/>
        <v>1</v>
      </c>
      <c r="O2987" t="str">
        <f t="shared" si="375"/>
        <v>Large Order</v>
      </c>
      <c r="P2987" s="7">
        <f t="shared" si="369"/>
        <v>10.595000000000001</v>
      </c>
      <c r="Q2987" s="7" t="str">
        <f>VLOOKUP(D2988,Product_Lookup!$A$2:$C$27,2,FALSE)</f>
        <v>Tablet</v>
      </c>
      <c r="R2987" s="7">
        <f t="shared" si="370"/>
        <v>3814.2000000000003</v>
      </c>
    </row>
    <row r="2988" spans="1:18" ht="21.75" customHeight="1">
      <c r="A2988" t="s">
        <v>3139</v>
      </c>
      <c r="B2988" s="6">
        <v>45321</v>
      </c>
      <c r="C2988" t="s">
        <v>361</v>
      </c>
      <c r="D2988" t="s">
        <v>10</v>
      </c>
      <c r="E2988" t="s">
        <v>17</v>
      </c>
      <c r="F2988" t="s">
        <v>306</v>
      </c>
      <c r="G2988" t="s">
        <v>36</v>
      </c>
      <c r="H2988">
        <v>11</v>
      </c>
      <c r="I2988" t="str">
        <f>VLOOKUP(D2988,Product_Lookup!$A$2:$C$27,3,FALSE)</f>
        <v>$146.06</v>
      </c>
      <c r="J2988" t="str">
        <f t="shared" si="371"/>
        <v>Tuesday</v>
      </c>
      <c r="K2988" s="10" t="str">
        <f t="shared" si="372"/>
        <v>January</v>
      </c>
      <c r="L2988">
        <f t="shared" si="373"/>
        <v>2024</v>
      </c>
      <c r="M2988" t="b">
        <f t="shared" si="374"/>
        <v>0</v>
      </c>
      <c r="N2988" t="b">
        <f t="shared" si="368"/>
        <v>1</v>
      </c>
      <c r="O2988" t="str">
        <f t="shared" si="375"/>
        <v>Large Order</v>
      </c>
      <c r="P2988" s="7">
        <f t="shared" si="369"/>
        <v>7.3030000000000008</v>
      </c>
      <c r="Q2988" s="7" t="str">
        <f>VLOOKUP(D2989,Product_Lookup!$A$2:$C$27,2,FALSE)</f>
        <v>Sweater</v>
      </c>
      <c r="R2988" s="7">
        <f t="shared" si="370"/>
        <v>1606.66</v>
      </c>
    </row>
    <row r="2989" spans="1:18" ht="21.75" customHeight="1">
      <c r="A2989" t="s">
        <v>3140</v>
      </c>
      <c r="B2989" s="6">
        <v>45517</v>
      </c>
      <c r="C2989" t="s">
        <v>44</v>
      </c>
      <c r="D2989" t="s">
        <v>26</v>
      </c>
      <c r="E2989" t="s">
        <v>17</v>
      </c>
      <c r="F2989" t="s">
        <v>42</v>
      </c>
      <c r="G2989" t="s">
        <v>23</v>
      </c>
      <c r="H2989">
        <v>5</v>
      </c>
      <c r="I2989" t="str">
        <f>VLOOKUP(D2989,Product_Lookup!$A$2:$C$27,3,FALSE)</f>
        <v>$84.57</v>
      </c>
      <c r="J2989" t="str">
        <f t="shared" si="371"/>
        <v>Tuesday</v>
      </c>
      <c r="K2989" s="10" t="str">
        <f t="shared" si="372"/>
        <v>August</v>
      </c>
      <c r="L2989">
        <f t="shared" si="373"/>
        <v>2024</v>
      </c>
      <c r="M2989" t="b">
        <f t="shared" si="374"/>
        <v>0</v>
      </c>
      <c r="N2989" t="b">
        <f t="shared" si="368"/>
        <v>0</v>
      </c>
      <c r="O2989" t="str">
        <f t="shared" si="375"/>
        <v>Standard order</v>
      </c>
      <c r="P2989" s="7">
        <f t="shared" si="369"/>
        <v>4.2284999999999995</v>
      </c>
      <c r="Q2989" s="7" t="str">
        <f>VLOOKUP(D2990,Product_Lookup!$A$2:$C$27,2,FALSE)</f>
        <v>Paper Shredder</v>
      </c>
      <c r="R2989" s="7">
        <f t="shared" si="370"/>
        <v>422.84999999999997</v>
      </c>
    </row>
    <row r="2990" spans="1:18" ht="21.75" customHeight="1">
      <c r="A2990" t="s">
        <v>3141</v>
      </c>
      <c r="B2990" s="6">
        <v>45381</v>
      </c>
      <c r="C2990" t="s">
        <v>167</v>
      </c>
      <c r="D2990" t="s">
        <v>109</v>
      </c>
      <c r="E2990" t="s">
        <v>22</v>
      </c>
      <c r="F2990" t="s">
        <v>12</v>
      </c>
      <c r="G2990" t="s">
        <v>28</v>
      </c>
      <c r="H2990">
        <v>4</v>
      </c>
      <c r="I2990" t="str">
        <f>VLOOKUP(D2990,Product_Lookup!$A$2:$C$27,3,FALSE)</f>
        <v>$81.02</v>
      </c>
      <c r="J2990" t="str">
        <f t="shared" si="371"/>
        <v>Saturday</v>
      </c>
      <c r="K2990" s="10" t="str">
        <f t="shared" si="372"/>
        <v>March</v>
      </c>
      <c r="L2990">
        <f t="shared" si="373"/>
        <v>2024</v>
      </c>
      <c r="M2990" t="b">
        <f t="shared" si="374"/>
        <v>1</v>
      </c>
      <c r="N2990" t="b">
        <f t="shared" si="368"/>
        <v>0</v>
      </c>
      <c r="O2990" t="str">
        <f t="shared" si="375"/>
        <v>Standard order</v>
      </c>
      <c r="P2990" s="7">
        <f t="shared" si="369"/>
        <v>4.0510000000000002</v>
      </c>
      <c r="Q2990" s="7" t="str">
        <f>VLOOKUP(D2991,Product_Lookup!$A$2:$C$27,2,FALSE)</f>
        <v>Notebook</v>
      </c>
      <c r="R2990" s="7">
        <f t="shared" si="370"/>
        <v>324.08</v>
      </c>
    </row>
    <row r="2991" spans="1:18" ht="21.75" customHeight="1">
      <c r="A2991" t="s">
        <v>3142</v>
      </c>
      <c r="B2991" s="6">
        <v>45386</v>
      </c>
      <c r="C2991" t="s">
        <v>455</v>
      </c>
      <c r="D2991" t="s">
        <v>160</v>
      </c>
      <c r="E2991" t="s">
        <v>17</v>
      </c>
      <c r="F2991" t="s">
        <v>306</v>
      </c>
      <c r="G2991" t="s">
        <v>32</v>
      </c>
      <c r="H2991">
        <v>2</v>
      </c>
      <c r="I2991" t="str">
        <f>VLOOKUP(D2991,Product_Lookup!$A$2:$C$27,3,FALSE)</f>
        <v>$149.27</v>
      </c>
      <c r="J2991" t="str">
        <f t="shared" si="371"/>
        <v>Thursday</v>
      </c>
      <c r="K2991" s="10" t="str">
        <f t="shared" si="372"/>
        <v>April</v>
      </c>
      <c r="L2991">
        <f t="shared" si="373"/>
        <v>2024</v>
      </c>
      <c r="M2991" t="b">
        <f t="shared" si="374"/>
        <v>0</v>
      </c>
      <c r="N2991" t="b">
        <f t="shared" si="368"/>
        <v>0</v>
      </c>
      <c r="O2991" t="str">
        <f t="shared" si="375"/>
        <v>Standard order</v>
      </c>
      <c r="P2991" s="7">
        <f t="shared" si="369"/>
        <v>7.4635000000000007</v>
      </c>
      <c r="Q2991" s="7" t="str">
        <f>VLOOKUP(D2992,Product_Lookup!$A$2:$C$27,2,FALSE)</f>
        <v>Puzzle</v>
      </c>
      <c r="R2991" s="7">
        <f t="shared" si="370"/>
        <v>298.54000000000002</v>
      </c>
    </row>
    <row r="2992" spans="1:18" ht="21.75" customHeight="1">
      <c r="A2992" t="s">
        <v>3143</v>
      </c>
      <c r="B2992" s="6">
        <v>45408</v>
      </c>
      <c r="C2992" t="s">
        <v>131</v>
      </c>
      <c r="D2992" t="s">
        <v>62</v>
      </c>
      <c r="E2992" t="s">
        <v>17</v>
      </c>
      <c r="F2992" t="s">
        <v>42</v>
      </c>
      <c r="G2992" t="s">
        <v>13</v>
      </c>
      <c r="H2992">
        <v>12</v>
      </c>
      <c r="I2992" t="str">
        <f>VLOOKUP(D2992,Product_Lookup!$A$2:$C$27,3,FALSE)</f>
        <v>$46.19</v>
      </c>
      <c r="J2992" t="str">
        <f t="shared" si="371"/>
        <v>Friday</v>
      </c>
      <c r="K2992" s="10" t="str">
        <f t="shared" si="372"/>
        <v>April</v>
      </c>
      <c r="L2992">
        <f t="shared" si="373"/>
        <v>2024</v>
      </c>
      <c r="M2992" t="b">
        <f t="shared" si="374"/>
        <v>0</v>
      </c>
      <c r="N2992" t="b">
        <f t="shared" si="368"/>
        <v>0</v>
      </c>
      <c r="O2992" t="str">
        <f t="shared" si="375"/>
        <v>Large Order</v>
      </c>
      <c r="P2992" s="7">
        <f t="shared" si="369"/>
        <v>2.3094999999999999</v>
      </c>
      <c r="Q2992" s="7" t="str">
        <f>VLOOKUP(D2993,Product_Lookup!$A$2:$C$27,2,FALSE)</f>
        <v>Jacket</v>
      </c>
      <c r="R2992" s="7">
        <f t="shared" si="370"/>
        <v>554.28</v>
      </c>
    </row>
    <row r="2993" spans="1:18" ht="21.75" customHeight="1">
      <c r="A2993" t="s">
        <v>3144</v>
      </c>
      <c r="B2993" s="6">
        <v>45314</v>
      </c>
      <c r="C2993" t="s">
        <v>327</v>
      </c>
      <c r="D2993" t="s">
        <v>197</v>
      </c>
      <c r="E2993" t="s">
        <v>17</v>
      </c>
      <c r="F2993" t="s">
        <v>12</v>
      </c>
      <c r="G2993" t="s">
        <v>13</v>
      </c>
      <c r="H2993">
        <v>17</v>
      </c>
      <c r="I2993" t="str">
        <f>VLOOKUP(D2993,Product_Lookup!$A$2:$C$27,3,FALSE)</f>
        <v>$10.11</v>
      </c>
      <c r="J2993" t="str">
        <f t="shared" si="371"/>
        <v>Tuesday</v>
      </c>
      <c r="K2993" s="10" t="str">
        <f t="shared" si="372"/>
        <v>January</v>
      </c>
      <c r="L2993">
        <f t="shared" si="373"/>
        <v>2024</v>
      </c>
      <c r="M2993" t="b">
        <f t="shared" si="374"/>
        <v>0</v>
      </c>
      <c r="N2993" t="b">
        <f t="shared" si="368"/>
        <v>0</v>
      </c>
      <c r="O2993" t="str">
        <f t="shared" si="375"/>
        <v>Standard order</v>
      </c>
      <c r="P2993" s="7">
        <f t="shared" si="369"/>
        <v>0.50549999999999995</v>
      </c>
      <c r="Q2993" s="7" t="str">
        <f>VLOOKUP(D2994,Product_Lookup!$A$2:$C$27,2,FALSE)</f>
        <v>Jacket</v>
      </c>
      <c r="R2993" s="7">
        <f t="shared" si="370"/>
        <v>171.87</v>
      </c>
    </row>
    <row r="2994" spans="1:18" ht="21.75" customHeight="1">
      <c r="A2994" t="s">
        <v>3145</v>
      </c>
      <c r="B2994" s="6">
        <v>45553</v>
      </c>
      <c r="C2994" t="s">
        <v>208</v>
      </c>
      <c r="D2994" t="s">
        <v>197</v>
      </c>
      <c r="E2994" t="s">
        <v>11</v>
      </c>
      <c r="F2994" t="s">
        <v>42</v>
      </c>
      <c r="G2994" t="s">
        <v>36</v>
      </c>
      <c r="H2994">
        <v>12</v>
      </c>
      <c r="I2994" t="str">
        <f>VLOOKUP(D2994,Product_Lookup!$A$2:$C$27,3,FALSE)</f>
        <v>$10.11</v>
      </c>
      <c r="J2994" t="str">
        <f t="shared" si="371"/>
        <v>Wednesday</v>
      </c>
      <c r="K2994" s="10" t="str">
        <f t="shared" si="372"/>
        <v>September</v>
      </c>
      <c r="L2994">
        <f t="shared" si="373"/>
        <v>2024</v>
      </c>
      <c r="M2994" t="b">
        <f t="shared" si="374"/>
        <v>0</v>
      </c>
      <c r="N2994" t="b">
        <f t="shared" si="368"/>
        <v>0</v>
      </c>
      <c r="O2994" t="str">
        <f t="shared" si="375"/>
        <v>Standard order</v>
      </c>
      <c r="P2994" s="7">
        <f t="shared" si="369"/>
        <v>0.50549999999999995</v>
      </c>
      <c r="Q2994" s="7" t="str">
        <f>VLOOKUP(D2995,Product_Lookup!$A$2:$C$27,2,FALSE)</f>
        <v>Tablet</v>
      </c>
      <c r="R2994" s="7">
        <f t="shared" si="370"/>
        <v>121.32</v>
      </c>
    </row>
    <row r="2995" spans="1:18" ht="21.75" customHeight="1">
      <c r="A2995" t="s">
        <v>3146</v>
      </c>
      <c r="B2995" s="6">
        <v>45640</v>
      </c>
      <c r="C2995" t="s">
        <v>572</v>
      </c>
      <c r="D2995" t="s">
        <v>10</v>
      </c>
      <c r="E2995" t="s">
        <v>22</v>
      </c>
      <c r="F2995" t="s">
        <v>27</v>
      </c>
      <c r="G2995" t="s">
        <v>32</v>
      </c>
      <c r="H2995">
        <v>5</v>
      </c>
      <c r="I2995" t="str">
        <f>VLOOKUP(D2995,Product_Lookup!$A$2:$C$27,3,FALSE)</f>
        <v>$146.06</v>
      </c>
      <c r="J2995" t="str">
        <f t="shared" si="371"/>
        <v>Saturday</v>
      </c>
      <c r="K2995" s="10" t="str">
        <f t="shared" si="372"/>
        <v>December</v>
      </c>
      <c r="L2995">
        <f t="shared" si="373"/>
        <v>2024</v>
      </c>
      <c r="M2995" t="b">
        <f t="shared" si="374"/>
        <v>1</v>
      </c>
      <c r="N2995" t="b">
        <f t="shared" si="368"/>
        <v>0</v>
      </c>
      <c r="O2995" t="str">
        <f t="shared" si="375"/>
        <v>Large Order</v>
      </c>
      <c r="P2995" s="7">
        <f t="shared" si="369"/>
        <v>7.3030000000000008</v>
      </c>
      <c r="Q2995" s="7" t="str">
        <f>VLOOKUP(D2996,Product_Lookup!$A$2:$C$27,2,FALSE)</f>
        <v>Toaster</v>
      </c>
      <c r="R2995" s="7">
        <f t="shared" si="370"/>
        <v>730.3</v>
      </c>
    </row>
    <row r="2996" spans="1:18" ht="21.75" customHeight="1">
      <c r="A2996" t="s">
        <v>3147</v>
      </c>
      <c r="B2996" s="6">
        <v>45602</v>
      </c>
      <c r="C2996" t="s">
        <v>728</v>
      </c>
      <c r="D2996" t="s">
        <v>48</v>
      </c>
      <c r="E2996" t="s">
        <v>17</v>
      </c>
      <c r="F2996" t="s">
        <v>27</v>
      </c>
      <c r="G2996" t="s">
        <v>32</v>
      </c>
      <c r="H2996">
        <v>16</v>
      </c>
      <c r="I2996" t="str">
        <f>VLOOKUP(D2996,Product_Lookup!$A$2:$C$27,3,FALSE)</f>
        <v>$208.85</v>
      </c>
      <c r="J2996" t="str">
        <f t="shared" si="371"/>
        <v>Wednesday</v>
      </c>
      <c r="K2996" s="10" t="str">
        <f t="shared" si="372"/>
        <v>November</v>
      </c>
      <c r="L2996">
        <f t="shared" si="373"/>
        <v>2024</v>
      </c>
      <c r="M2996" t="b">
        <f t="shared" si="374"/>
        <v>0</v>
      </c>
      <c r="N2996" t="b">
        <f t="shared" si="368"/>
        <v>1</v>
      </c>
      <c r="O2996" t="str">
        <f t="shared" si="375"/>
        <v>Large Order</v>
      </c>
      <c r="P2996" s="7">
        <f t="shared" si="369"/>
        <v>10.442500000000001</v>
      </c>
      <c r="Q2996" s="7" t="str">
        <f>VLOOKUP(D2997,Product_Lookup!$A$2:$C$27,2,FALSE)</f>
        <v>Laptop</v>
      </c>
      <c r="R2996" s="7">
        <f t="shared" si="370"/>
        <v>3341.6</v>
      </c>
    </row>
    <row r="2997" spans="1:18" ht="21.75" customHeight="1">
      <c r="A2997" t="s">
        <v>3148</v>
      </c>
      <c r="B2997" s="6">
        <v>45442</v>
      </c>
      <c r="C2997" t="s">
        <v>381</v>
      </c>
      <c r="D2997" t="s">
        <v>96</v>
      </c>
      <c r="E2997" t="s">
        <v>11</v>
      </c>
      <c r="F2997" t="s">
        <v>42</v>
      </c>
      <c r="G2997" t="s">
        <v>13</v>
      </c>
      <c r="H2997">
        <v>10</v>
      </c>
      <c r="I2997" t="str">
        <f>VLOOKUP(D2997,Product_Lookup!$A$2:$C$27,3,FALSE)</f>
        <v>$230.68</v>
      </c>
      <c r="J2997" t="str">
        <f t="shared" si="371"/>
        <v>Thursday</v>
      </c>
      <c r="K2997" s="10" t="str">
        <f t="shared" si="372"/>
        <v>May</v>
      </c>
      <c r="L2997">
        <f t="shared" si="373"/>
        <v>2024</v>
      </c>
      <c r="M2997" t="b">
        <f t="shared" si="374"/>
        <v>0</v>
      </c>
      <c r="N2997" t="b">
        <f t="shared" si="368"/>
        <v>1</v>
      </c>
      <c r="O2997" t="str">
        <f t="shared" si="375"/>
        <v>Large Order</v>
      </c>
      <c r="P2997" s="7">
        <f t="shared" si="369"/>
        <v>11.534000000000001</v>
      </c>
      <c r="Q2997" s="7" t="str">
        <f>VLOOKUP(D2998,Product_Lookup!$A$2:$C$27,2,FALSE)</f>
        <v>Monitor</v>
      </c>
      <c r="R2997" s="7">
        <f t="shared" si="370"/>
        <v>2306.8000000000002</v>
      </c>
    </row>
    <row r="2998" spans="1:18" ht="21.75" customHeight="1">
      <c r="A2998" t="s">
        <v>3149</v>
      </c>
      <c r="B2998" s="6">
        <v>45594</v>
      </c>
      <c r="C2998" t="s">
        <v>64</v>
      </c>
      <c r="D2998" t="s">
        <v>102</v>
      </c>
      <c r="E2998" t="s">
        <v>22</v>
      </c>
      <c r="F2998" t="s">
        <v>56</v>
      </c>
      <c r="G2998" t="s">
        <v>32</v>
      </c>
      <c r="H2998">
        <v>17</v>
      </c>
      <c r="I2998" t="str">
        <f>VLOOKUP(D2998,Product_Lookup!$A$2:$C$27,3,FALSE)</f>
        <v>$145.48</v>
      </c>
      <c r="J2998" t="str">
        <f t="shared" si="371"/>
        <v>Tuesday</v>
      </c>
      <c r="K2998" s="10" t="str">
        <f t="shared" si="372"/>
        <v>October</v>
      </c>
      <c r="L2998">
        <f t="shared" si="373"/>
        <v>2024</v>
      </c>
      <c r="M2998" t="b">
        <f t="shared" si="374"/>
        <v>0</v>
      </c>
      <c r="N2998" t="b">
        <f t="shared" si="368"/>
        <v>1</v>
      </c>
      <c r="O2998" t="str">
        <f t="shared" si="375"/>
        <v>Large Order</v>
      </c>
      <c r="P2998" s="7">
        <f t="shared" si="369"/>
        <v>7.274</v>
      </c>
      <c r="Q2998" s="7" t="str">
        <f>VLOOKUP(D2999,Product_Lookup!$A$2:$C$27,2,FALSE)</f>
        <v>Desk Lamp</v>
      </c>
      <c r="R2998" s="7">
        <f t="shared" si="370"/>
        <v>2473.16</v>
      </c>
    </row>
    <row r="2999" spans="1:18" ht="21.75" customHeight="1">
      <c r="A2999" t="s">
        <v>3150</v>
      </c>
      <c r="B2999" s="6">
        <v>45552</v>
      </c>
      <c r="C2999" t="s">
        <v>728</v>
      </c>
      <c r="D2999" t="s">
        <v>59</v>
      </c>
      <c r="E2999" t="s">
        <v>22</v>
      </c>
      <c r="F2999" t="s">
        <v>42</v>
      </c>
      <c r="G2999" t="s">
        <v>28</v>
      </c>
      <c r="H2999">
        <v>13</v>
      </c>
      <c r="I2999" t="str">
        <f>VLOOKUP(D2999,Product_Lookup!$A$2:$C$27,3,FALSE)</f>
        <v>$101.96</v>
      </c>
      <c r="J2999" t="str">
        <f t="shared" si="371"/>
        <v>Tuesday</v>
      </c>
      <c r="K2999" s="10" t="str">
        <f t="shared" si="372"/>
        <v>September</v>
      </c>
      <c r="L2999">
        <f t="shared" si="373"/>
        <v>2024</v>
      </c>
      <c r="M2999" t="b">
        <f t="shared" si="374"/>
        <v>0</v>
      </c>
      <c r="N2999" t="b">
        <f t="shared" si="368"/>
        <v>1</v>
      </c>
      <c r="O2999" t="str">
        <f t="shared" si="375"/>
        <v>Large Order</v>
      </c>
      <c r="P2999" s="7">
        <f t="shared" si="369"/>
        <v>5.0979999999999999</v>
      </c>
      <c r="Q2999" s="7" t="str">
        <f>VLOOKUP(D3000,Product_Lookup!$A$2:$C$27,2,FALSE)</f>
        <v>Lego Set</v>
      </c>
      <c r="R2999" s="7">
        <f t="shared" si="370"/>
        <v>1325.48</v>
      </c>
    </row>
    <row r="3000" spans="1:18" ht="21.75" customHeight="1">
      <c r="A3000" t="s">
        <v>3151</v>
      </c>
      <c r="B3000" s="6">
        <v>45308</v>
      </c>
      <c r="C3000" t="s">
        <v>371</v>
      </c>
      <c r="D3000" t="s">
        <v>84</v>
      </c>
      <c r="E3000" t="s">
        <v>11</v>
      </c>
      <c r="F3000" t="s">
        <v>27</v>
      </c>
      <c r="G3000" t="s">
        <v>13</v>
      </c>
      <c r="H3000">
        <v>3</v>
      </c>
      <c r="I3000" t="str">
        <f>VLOOKUP(D3000,Product_Lookup!$A$2:$C$27,3,FALSE)</f>
        <v>$130.07</v>
      </c>
      <c r="J3000" t="str">
        <f t="shared" si="371"/>
        <v>Wednesday</v>
      </c>
      <c r="K3000" s="10" t="str">
        <f t="shared" si="372"/>
        <v>January</v>
      </c>
      <c r="L3000">
        <f t="shared" si="373"/>
        <v>2024</v>
      </c>
      <c r="M3000" t="b">
        <f t="shared" si="374"/>
        <v>0</v>
      </c>
      <c r="N3000" t="b">
        <f t="shared" si="368"/>
        <v>0</v>
      </c>
      <c r="O3000" t="str">
        <f t="shared" si="375"/>
        <v>Standard order</v>
      </c>
      <c r="P3000" s="7">
        <f t="shared" si="369"/>
        <v>6.5034999999999998</v>
      </c>
      <c r="Q3000" s="7" t="str">
        <f>VLOOKUP(D3001,Product_Lookup!$A$2:$C$27,2,FALSE)</f>
        <v>Notebook</v>
      </c>
      <c r="R3000" s="7">
        <f t="shared" si="370"/>
        <v>390.21</v>
      </c>
    </row>
    <row r="3001" spans="1:18" ht="21.75" customHeight="1">
      <c r="A3001" t="s">
        <v>3152</v>
      </c>
      <c r="B3001" s="6">
        <v>45406</v>
      </c>
      <c r="C3001" t="s">
        <v>614</v>
      </c>
      <c r="D3001" t="s">
        <v>160</v>
      </c>
      <c r="E3001" t="s">
        <v>22</v>
      </c>
      <c r="F3001" t="s">
        <v>306</v>
      </c>
      <c r="G3001" t="s">
        <v>23</v>
      </c>
      <c r="H3001">
        <v>18</v>
      </c>
      <c r="I3001" t="str">
        <f>VLOOKUP(D3001,Product_Lookup!$A$2:$C$27,3,FALSE)</f>
        <v>$149.27</v>
      </c>
      <c r="J3001" t="str">
        <f t="shared" si="371"/>
        <v>Wednesday</v>
      </c>
      <c r="K3001" s="10" t="str">
        <f t="shared" si="372"/>
        <v>April</v>
      </c>
      <c r="L3001">
        <f t="shared" si="373"/>
        <v>2024</v>
      </c>
      <c r="M3001" t="b">
        <f t="shared" si="374"/>
        <v>0</v>
      </c>
      <c r="N3001" t="b">
        <f t="shared" si="368"/>
        <v>1</v>
      </c>
      <c r="O3001" t="str">
        <f t="shared" si="375"/>
        <v>Large Order</v>
      </c>
      <c r="P3001" s="7">
        <f t="shared" si="369"/>
        <v>7.4635000000000007</v>
      </c>
      <c r="Q3001" s="7" t="str">
        <f>VLOOKUP(D3002,Product_Lookup!$A$2:$C$27,2,FALSE)</f>
        <v>Paper Shredder</v>
      </c>
      <c r="R3001" s="7">
        <f t="shared" si="370"/>
        <v>2686.86</v>
      </c>
    </row>
    <row r="3002" spans="1:18" ht="21.75" customHeight="1">
      <c r="A3002" t="s">
        <v>3153</v>
      </c>
      <c r="B3002" s="6">
        <v>45562</v>
      </c>
      <c r="C3002" t="s">
        <v>9</v>
      </c>
      <c r="D3002" t="s">
        <v>109</v>
      </c>
      <c r="E3002" t="s">
        <v>17</v>
      </c>
      <c r="F3002" t="s">
        <v>306</v>
      </c>
      <c r="G3002" t="s">
        <v>36</v>
      </c>
      <c r="H3002">
        <v>15</v>
      </c>
      <c r="I3002" t="str">
        <f>VLOOKUP(D3002,Product_Lookup!$A$2:$C$27,3,FALSE)</f>
        <v>$81.02</v>
      </c>
      <c r="J3002" t="str">
        <f t="shared" si="371"/>
        <v>Friday</v>
      </c>
      <c r="K3002" s="10" t="str">
        <f t="shared" si="372"/>
        <v>September</v>
      </c>
      <c r="L3002">
        <f t="shared" si="373"/>
        <v>2024</v>
      </c>
      <c r="M3002" t="b">
        <f t="shared" si="374"/>
        <v>0</v>
      </c>
      <c r="N3002" t="b">
        <f t="shared" si="368"/>
        <v>1</v>
      </c>
      <c r="O3002" t="str">
        <f t="shared" si="375"/>
        <v>Large Order</v>
      </c>
      <c r="P3002" s="7">
        <f t="shared" si="369"/>
        <v>4.0510000000000002</v>
      </c>
      <c r="Q3002" s="7" t="str">
        <f>VLOOKUP(D3003,Product_Lookup!$A$2:$C$27,2,FALSE)</f>
        <v>Socks</v>
      </c>
      <c r="R3002" s="7">
        <f t="shared" si="370"/>
        <v>1215.3</v>
      </c>
    </row>
    <row r="3003" spans="1:18" ht="21.75" customHeight="1">
      <c r="A3003" t="s">
        <v>3154</v>
      </c>
      <c r="B3003" s="6">
        <v>45391</v>
      </c>
      <c r="C3003" t="s">
        <v>314</v>
      </c>
      <c r="D3003" t="s">
        <v>74</v>
      </c>
      <c r="E3003" t="s">
        <v>11</v>
      </c>
      <c r="F3003" t="s">
        <v>42</v>
      </c>
      <c r="G3003" t="s">
        <v>28</v>
      </c>
      <c r="H3003">
        <v>12</v>
      </c>
      <c r="I3003" t="str">
        <f>VLOOKUP(D3003,Product_Lookup!$A$2:$C$27,3,FALSE)</f>
        <v>$201.32</v>
      </c>
      <c r="J3003" t="str">
        <f t="shared" si="371"/>
        <v>Tuesday</v>
      </c>
      <c r="K3003" s="10" t="str">
        <f t="shared" si="372"/>
        <v>April</v>
      </c>
      <c r="L3003">
        <f t="shared" si="373"/>
        <v>2024</v>
      </c>
      <c r="M3003" t="b">
        <f t="shared" si="374"/>
        <v>0</v>
      </c>
      <c r="N3003" t="b">
        <f t="shared" si="368"/>
        <v>1</v>
      </c>
      <c r="O3003" t="str">
        <f t="shared" si="375"/>
        <v>Large Order</v>
      </c>
      <c r="P3003" s="7">
        <f t="shared" si="369"/>
        <v>10.066000000000001</v>
      </c>
      <c r="Q3003" s="7" t="str">
        <f>VLOOKUP(D3004,Product_Lookup!$A$2:$C$27,2,FALSE)</f>
        <v>Monitor</v>
      </c>
      <c r="R3003" s="7">
        <f t="shared" si="370"/>
        <v>2415.84</v>
      </c>
    </row>
    <row r="3004" spans="1:18" ht="21.75" customHeight="1">
      <c r="A3004" t="s">
        <v>3155</v>
      </c>
      <c r="B3004" s="6">
        <v>45453</v>
      </c>
      <c r="C3004" t="s">
        <v>323</v>
      </c>
      <c r="D3004" t="s">
        <v>102</v>
      </c>
      <c r="E3004" t="s">
        <v>22</v>
      </c>
      <c r="F3004" t="s">
        <v>56</v>
      </c>
      <c r="G3004" t="s">
        <v>23</v>
      </c>
      <c r="H3004">
        <v>14</v>
      </c>
      <c r="I3004" t="str">
        <f>VLOOKUP(D3004,Product_Lookup!$A$2:$C$27,3,FALSE)</f>
        <v>$145.48</v>
      </c>
      <c r="J3004" t="str">
        <f t="shared" si="371"/>
        <v>Monday</v>
      </c>
      <c r="K3004" s="10" t="str">
        <f t="shared" si="372"/>
        <v>June</v>
      </c>
      <c r="L3004">
        <f t="shared" si="373"/>
        <v>2024</v>
      </c>
      <c r="M3004" t="b">
        <f t="shared" si="374"/>
        <v>0</v>
      </c>
      <c r="N3004" t="b">
        <f t="shared" si="368"/>
        <v>1</v>
      </c>
      <c r="O3004" t="str">
        <f t="shared" si="375"/>
        <v>Large Order</v>
      </c>
      <c r="P3004" s="7">
        <f t="shared" si="369"/>
        <v>7.274</v>
      </c>
      <c r="Q3004" s="7" t="str">
        <f>VLOOKUP(D3005,Product_Lookup!$A$2:$C$27,2,FALSE)</f>
        <v>Notebook</v>
      </c>
      <c r="R3004" s="7">
        <f t="shared" si="370"/>
        <v>2036.7199999999998</v>
      </c>
    </row>
    <row r="3005" spans="1:18" ht="21.75" customHeight="1">
      <c r="A3005" t="s">
        <v>3156</v>
      </c>
      <c r="B3005" s="6">
        <v>45472</v>
      </c>
      <c r="C3005" t="s">
        <v>642</v>
      </c>
      <c r="D3005" t="s">
        <v>160</v>
      </c>
      <c r="E3005" t="s">
        <v>11</v>
      </c>
      <c r="F3005" t="s">
        <v>42</v>
      </c>
      <c r="G3005" t="s">
        <v>23</v>
      </c>
      <c r="H3005">
        <v>20</v>
      </c>
      <c r="I3005" t="str">
        <f>VLOOKUP(D3005,Product_Lookup!$A$2:$C$27,3,FALSE)</f>
        <v>$149.27</v>
      </c>
      <c r="J3005" t="str">
        <f t="shared" si="371"/>
        <v>Saturday</v>
      </c>
      <c r="K3005" s="10" t="str">
        <f t="shared" si="372"/>
        <v>June</v>
      </c>
      <c r="L3005">
        <f t="shared" si="373"/>
        <v>2024</v>
      </c>
      <c r="M3005" t="b">
        <f t="shared" si="374"/>
        <v>1</v>
      </c>
      <c r="N3005" t="b">
        <f t="shared" si="368"/>
        <v>1</v>
      </c>
      <c r="O3005" t="str">
        <f t="shared" si="375"/>
        <v>Large Order</v>
      </c>
      <c r="P3005" s="7">
        <f t="shared" si="369"/>
        <v>7.4635000000000007</v>
      </c>
      <c r="Q3005" s="7" t="str">
        <f>VLOOKUP(D3006,Product_Lookup!$A$2:$C$27,2,FALSE)</f>
        <v>Desk Lamp</v>
      </c>
      <c r="R3005" s="7">
        <f t="shared" si="370"/>
        <v>2985.4</v>
      </c>
    </row>
    <row r="3006" spans="1:18" ht="21.75" customHeight="1">
      <c r="A3006" t="s">
        <v>3157</v>
      </c>
      <c r="B3006" s="6">
        <v>45506</v>
      </c>
      <c r="C3006" t="s">
        <v>51</v>
      </c>
      <c r="D3006" t="s">
        <v>59</v>
      </c>
      <c r="E3006" t="s">
        <v>11</v>
      </c>
      <c r="F3006" t="s">
        <v>306</v>
      </c>
      <c r="G3006" t="s">
        <v>28</v>
      </c>
      <c r="H3006">
        <v>14</v>
      </c>
      <c r="I3006" t="str">
        <f>VLOOKUP(D3006,Product_Lookup!$A$2:$C$27,3,FALSE)</f>
        <v>$101.96</v>
      </c>
      <c r="J3006" t="str">
        <f t="shared" si="371"/>
        <v>Friday</v>
      </c>
      <c r="K3006" s="10" t="str">
        <f t="shared" si="372"/>
        <v>August</v>
      </c>
      <c r="L3006">
        <f t="shared" si="373"/>
        <v>2024</v>
      </c>
      <c r="M3006" t="b">
        <f t="shared" si="374"/>
        <v>0</v>
      </c>
      <c r="N3006" t="b">
        <f t="shared" si="368"/>
        <v>1</v>
      </c>
      <c r="O3006" t="str">
        <f t="shared" si="375"/>
        <v>Large Order</v>
      </c>
      <c r="P3006" s="7">
        <f t="shared" si="369"/>
        <v>5.0979999999999999</v>
      </c>
      <c r="Q3006" s="7" t="str">
        <f>VLOOKUP(D3007,Product_Lookup!$A$2:$C$27,2,FALSE)</f>
        <v>Paper Shredder</v>
      </c>
      <c r="R3006" s="7">
        <f t="shared" si="370"/>
        <v>1427.4399999999998</v>
      </c>
    </row>
    <row r="3007" spans="1:18" ht="21.75" customHeight="1">
      <c r="A3007" t="s">
        <v>3158</v>
      </c>
      <c r="B3007" s="6">
        <v>45632</v>
      </c>
      <c r="C3007" t="s">
        <v>99</v>
      </c>
      <c r="D3007" t="s">
        <v>109</v>
      </c>
      <c r="E3007" t="s">
        <v>17</v>
      </c>
      <c r="F3007" t="s">
        <v>42</v>
      </c>
      <c r="G3007" t="s">
        <v>32</v>
      </c>
      <c r="H3007">
        <v>11</v>
      </c>
      <c r="I3007" t="str">
        <f>VLOOKUP(D3007,Product_Lookup!$A$2:$C$27,3,FALSE)</f>
        <v>$81.02</v>
      </c>
      <c r="J3007" t="str">
        <f t="shared" si="371"/>
        <v>Friday</v>
      </c>
      <c r="K3007" s="10" t="str">
        <f t="shared" si="372"/>
        <v>December</v>
      </c>
      <c r="L3007">
        <f t="shared" si="373"/>
        <v>2024</v>
      </c>
      <c r="M3007" t="b">
        <f t="shared" si="374"/>
        <v>0</v>
      </c>
      <c r="N3007" t="b">
        <f t="shared" si="368"/>
        <v>1</v>
      </c>
      <c r="O3007" t="str">
        <f t="shared" si="375"/>
        <v>Large Order</v>
      </c>
      <c r="P3007" s="7">
        <f t="shared" si="369"/>
        <v>4.0510000000000002</v>
      </c>
      <c r="Q3007" s="7" t="str">
        <f>VLOOKUP(D3008,Product_Lookup!$A$2:$C$27,2,FALSE)</f>
        <v>Notebook</v>
      </c>
      <c r="R3007" s="7">
        <f t="shared" si="370"/>
        <v>891.21999999999991</v>
      </c>
    </row>
    <row r="3008" spans="1:18" ht="21.75" customHeight="1">
      <c r="A3008" t="s">
        <v>3159</v>
      </c>
      <c r="B3008" s="6">
        <v>45501</v>
      </c>
      <c r="C3008" t="s">
        <v>572</v>
      </c>
      <c r="D3008" t="s">
        <v>160</v>
      </c>
      <c r="E3008" t="s">
        <v>11</v>
      </c>
      <c r="F3008" t="s">
        <v>306</v>
      </c>
      <c r="G3008" t="s">
        <v>23</v>
      </c>
      <c r="H3008">
        <v>7</v>
      </c>
      <c r="I3008" t="str">
        <f>VLOOKUP(D3008,Product_Lookup!$A$2:$C$27,3,FALSE)</f>
        <v>$149.27</v>
      </c>
      <c r="J3008" t="str">
        <f t="shared" si="371"/>
        <v>Sunday</v>
      </c>
      <c r="K3008" s="10" t="str">
        <f t="shared" si="372"/>
        <v>July</v>
      </c>
      <c r="L3008">
        <f t="shared" si="373"/>
        <v>2024</v>
      </c>
      <c r="M3008" t="b">
        <f t="shared" si="374"/>
        <v>1</v>
      </c>
      <c r="N3008" t="b">
        <f t="shared" si="368"/>
        <v>1</v>
      </c>
      <c r="O3008" t="str">
        <f t="shared" si="375"/>
        <v>Large Order</v>
      </c>
      <c r="P3008" s="7">
        <f t="shared" si="369"/>
        <v>7.4635000000000007</v>
      </c>
      <c r="Q3008" s="7" t="str">
        <f>VLOOKUP(D3009,Product_Lookup!$A$2:$C$27,2,FALSE)</f>
        <v>T-Shirt</v>
      </c>
      <c r="R3008" s="7">
        <f t="shared" si="370"/>
        <v>1044.8900000000001</v>
      </c>
    </row>
    <row r="3009" spans="1:18" ht="21.75" customHeight="1">
      <c r="A3009" t="s">
        <v>3160</v>
      </c>
      <c r="B3009" s="6">
        <v>45524</v>
      </c>
      <c r="C3009" t="s">
        <v>142</v>
      </c>
      <c r="D3009" t="s">
        <v>45</v>
      </c>
      <c r="E3009" t="s">
        <v>11</v>
      </c>
      <c r="F3009" t="s">
        <v>27</v>
      </c>
      <c r="G3009" t="s">
        <v>32</v>
      </c>
      <c r="H3009">
        <v>18</v>
      </c>
      <c r="I3009" t="str">
        <f>VLOOKUP(D3009,Product_Lookup!$A$2:$C$27,3,FALSE)</f>
        <v>$107.34</v>
      </c>
      <c r="J3009" t="str">
        <f t="shared" si="371"/>
        <v>Tuesday</v>
      </c>
      <c r="K3009" s="10" t="str">
        <f t="shared" si="372"/>
        <v>August</v>
      </c>
      <c r="L3009">
        <f t="shared" si="373"/>
        <v>2024</v>
      </c>
      <c r="M3009" t="b">
        <f t="shared" si="374"/>
        <v>0</v>
      </c>
      <c r="N3009" t="b">
        <f t="shared" si="368"/>
        <v>1</v>
      </c>
      <c r="O3009" t="str">
        <f t="shared" si="375"/>
        <v>Large Order</v>
      </c>
      <c r="P3009" s="7">
        <f t="shared" si="369"/>
        <v>5.3670000000000009</v>
      </c>
      <c r="Q3009" s="7" t="str">
        <f>VLOOKUP(D3010,Product_Lookup!$A$2:$C$27,2,FALSE)</f>
        <v>Monitor</v>
      </c>
      <c r="R3009" s="7">
        <f t="shared" si="370"/>
        <v>1932.1200000000001</v>
      </c>
    </row>
    <row r="3010" spans="1:18" ht="21.75" customHeight="1">
      <c r="A3010" t="s">
        <v>3161</v>
      </c>
      <c r="B3010" s="6">
        <v>45532</v>
      </c>
      <c r="C3010" t="s">
        <v>323</v>
      </c>
      <c r="D3010" t="s">
        <v>102</v>
      </c>
      <c r="E3010" t="s">
        <v>11</v>
      </c>
      <c r="F3010" t="s">
        <v>12</v>
      </c>
      <c r="G3010" t="s">
        <v>23</v>
      </c>
      <c r="H3010">
        <v>1</v>
      </c>
      <c r="I3010" t="str">
        <f>VLOOKUP(D3010,Product_Lookup!$A$2:$C$27,3,FALSE)</f>
        <v>$145.48</v>
      </c>
      <c r="J3010" t="str">
        <f t="shared" si="371"/>
        <v>Wednesday</v>
      </c>
      <c r="K3010" s="10" t="str">
        <f t="shared" si="372"/>
        <v>August</v>
      </c>
      <c r="L3010">
        <f t="shared" si="373"/>
        <v>2024</v>
      </c>
      <c r="M3010" t="b">
        <f t="shared" si="374"/>
        <v>0</v>
      </c>
      <c r="N3010" t="b">
        <f t="shared" ref="N3010:N3073" si="376">AND(R3010&gt;750, H3010&gt;5)</f>
        <v>0</v>
      </c>
      <c r="O3010" t="str">
        <f t="shared" si="375"/>
        <v>Standard order</v>
      </c>
      <c r="P3010" s="7">
        <f t="shared" ref="P3010:P3073" si="377">I3010*$S$2</f>
        <v>7.274</v>
      </c>
      <c r="Q3010" s="7" t="str">
        <f>VLOOKUP(D3011,Product_Lookup!$A$2:$C$27,2,FALSE)</f>
        <v>Notebook</v>
      </c>
      <c r="R3010" s="7">
        <f t="shared" ref="R3010:R3073" si="378">H3010*I3010</f>
        <v>145.47999999999999</v>
      </c>
    </row>
    <row r="3011" spans="1:18" ht="21.75" customHeight="1">
      <c r="A3011" t="s">
        <v>3162</v>
      </c>
      <c r="B3011" s="6">
        <v>45329</v>
      </c>
      <c r="C3011" t="s">
        <v>34</v>
      </c>
      <c r="D3011" t="s">
        <v>160</v>
      </c>
      <c r="E3011" t="s">
        <v>22</v>
      </c>
      <c r="F3011" t="s">
        <v>27</v>
      </c>
      <c r="G3011" t="s">
        <v>23</v>
      </c>
      <c r="H3011">
        <v>12</v>
      </c>
      <c r="I3011" t="str">
        <f>VLOOKUP(D3011,Product_Lookup!$A$2:$C$27,3,FALSE)</f>
        <v>$149.27</v>
      </c>
      <c r="J3011" t="str">
        <f t="shared" ref="J3011:J3074" si="379">TEXT(B3011, "dddd")</f>
        <v>Wednesday</v>
      </c>
      <c r="K3011" s="10" t="str">
        <f t="shared" ref="K3011:K3074" si="380">TEXT(B3011, "mmmm")</f>
        <v>February</v>
      </c>
      <c r="L3011">
        <f t="shared" ref="L3011:L3074" si="381">YEAR(B3011)</f>
        <v>2024</v>
      </c>
      <c r="M3011" t="b">
        <f t="shared" ref="M3011:M3074" si="382">OR(J3011="Saturday", J3011="Sunday")</f>
        <v>0</v>
      </c>
      <c r="N3011" t="b">
        <f t="shared" si="376"/>
        <v>1</v>
      </c>
      <c r="O3011" t="str">
        <f t="shared" ref="O3011:O3074" si="383">IF(R3011&gt;500,"Large Order","Standard order")</f>
        <v>Large Order</v>
      </c>
      <c r="P3011" s="7">
        <f t="shared" si="377"/>
        <v>7.4635000000000007</v>
      </c>
      <c r="Q3011" s="7" t="str">
        <f>VLOOKUP(D3012,Product_Lookup!$A$2:$C$27,2,FALSE)</f>
        <v>Jacket</v>
      </c>
      <c r="R3011" s="7">
        <f t="shared" si="378"/>
        <v>1791.2400000000002</v>
      </c>
    </row>
    <row r="3012" spans="1:18" ht="21.75" customHeight="1">
      <c r="A3012" t="s">
        <v>3163</v>
      </c>
      <c r="B3012" s="6">
        <v>45648</v>
      </c>
      <c r="C3012" t="s">
        <v>642</v>
      </c>
      <c r="D3012" t="s">
        <v>197</v>
      </c>
      <c r="E3012" t="s">
        <v>22</v>
      </c>
      <c r="F3012" t="s">
        <v>42</v>
      </c>
      <c r="G3012" t="s">
        <v>13</v>
      </c>
      <c r="H3012">
        <v>11</v>
      </c>
      <c r="I3012" t="str">
        <f>VLOOKUP(D3012,Product_Lookup!$A$2:$C$27,3,FALSE)</f>
        <v>$10.11</v>
      </c>
      <c r="J3012" t="str">
        <f t="shared" si="379"/>
        <v>Sunday</v>
      </c>
      <c r="K3012" s="10" t="str">
        <f t="shared" si="380"/>
        <v>December</v>
      </c>
      <c r="L3012">
        <f t="shared" si="381"/>
        <v>2024</v>
      </c>
      <c r="M3012" t="b">
        <f t="shared" si="382"/>
        <v>1</v>
      </c>
      <c r="N3012" t="b">
        <f t="shared" si="376"/>
        <v>0</v>
      </c>
      <c r="O3012" t="str">
        <f t="shared" si="383"/>
        <v>Standard order</v>
      </c>
      <c r="P3012" s="7">
        <f t="shared" si="377"/>
        <v>0.50549999999999995</v>
      </c>
      <c r="Q3012" s="7" t="str">
        <f>VLOOKUP(D3013,Product_Lookup!$A$2:$C$27,2,FALSE)</f>
        <v>Paper Shredder</v>
      </c>
      <c r="R3012" s="7">
        <f t="shared" si="378"/>
        <v>111.21</v>
      </c>
    </row>
    <row r="3013" spans="1:18" ht="21.75" customHeight="1">
      <c r="A3013" t="s">
        <v>3164</v>
      </c>
      <c r="B3013" s="6">
        <v>45464</v>
      </c>
      <c r="C3013" t="s">
        <v>449</v>
      </c>
      <c r="D3013" t="s">
        <v>109</v>
      </c>
      <c r="E3013" t="s">
        <v>22</v>
      </c>
      <c r="F3013" t="s">
        <v>12</v>
      </c>
      <c r="G3013" t="s">
        <v>13</v>
      </c>
      <c r="H3013">
        <v>3</v>
      </c>
      <c r="I3013" t="str">
        <f>VLOOKUP(D3013,Product_Lookup!$A$2:$C$27,3,FALSE)</f>
        <v>$81.02</v>
      </c>
      <c r="J3013" t="str">
        <f t="shared" si="379"/>
        <v>Friday</v>
      </c>
      <c r="K3013" s="10" t="str">
        <f t="shared" si="380"/>
        <v>June</v>
      </c>
      <c r="L3013">
        <f t="shared" si="381"/>
        <v>2024</v>
      </c>
      <c r="M3013" t="b">
        <f t="shared" si="382"/>
        <v>0</v>
      </c>
      <c r="N3013" t="b">
        <f t="shared" si="376"/>
        <v>0</v>
      </c>
      <c r="O3013" t="str">
        <f t="shared" si="383"/>
        <v>Standard order</v>
      </c>
      <c r="P3013" s="7">
        <f t="shared" si="377"/>
        <v>4.0510000000000002</v>
      </c>
      <c r="Q3013" s="7" t="str">
        <f>VLOOKUP(D3014,Product_Lookup!$A$2:$C$27,2,FALSE)</f>
        <v>Vacuum</v>
      </c>
      <c r="R3013" s="7">
        <f t="shared" si="378"/>
        <v>243.06</v>
      </c>
    </row>
    <row r="3014" spans="1:18" ht="21.75" customHeight="1">
      <c r="A3014" t="s">
        <v>3165</v>
      </c>
      <c r="B3014" s="6">
        <v>45473</v>
      </c>
      <c r="C3014" t="s">
        <v>430</v>
      </c>
      <c r="D3014" t="s">
        <v>87</v>
      </c>
      <c r="E3014" t="s">
        <v>22</v>
      </c>
      <c r="F3014" t="s">
        <v>27</v>
      </c>
      <c r="G3014" t="s">
        <v>23</v>
      </c>
      <c r="H3014">
        <v>10</v>
      </c>
      <c r="I3014" t="str">
        <f>VLOOKUP(D3014,Product_Lookup!$A$2:$C$27,3,FALSE)</f>
        <v>$26.59</v>
      </c>
      <c r="J3014" t="str">
        <f t="shared" si="379"/>
        <v>Sunday</v>
      </c>
      <c r="K3014" s="10" t="str">
        <f t="shared" si="380"/>
        <v>June</v>
      </c>
      <c r="L3014">
        <f t="shared" si="381"/>
        <v>2024</v>
      </c>
      <c r="M3014" t="b">
        <f t="shared" si="382"/>
        <v>1</v>
      </c>
      <c r="N3014" t="b">
        <f t="shared" si="376"/>
        <v>0</v>
      </c>
      <c r="O3014" t="str">
        <f t="shared" si="383"/>
        <v>Standard order</v>
      </c>
      <c r="P3014" s="7">
        <f t="shared" si="377"/>
        <v>1.3295000000000001</v>
      </c>
      <c r="Q3014" s="7" t="str">
        <f>VLOOKUP(D3015,Product_Lookup!$A$2:$C$27,2,FALSE)</f>
        <v>Lego Set</v>
      </c>
      <c r="R3014" s="7">
        <f t="shared" si="378"/>
        <v>265.89999999999998</v>
      </c>
    </row>
    <row r="3015" spans="1:18" ht="21.75" customHeight="1">
      <c r="A3015" t="s">
        <v>3166</v>
      </c>
      <c r="B3015" s="6">
        <v>45650</v>
      </c>
      <c r="C3015" t="s">
        <v>99</v>
      </c>
      <c r="D3015" t="s">
        <v>84</v>
      </c>
      <c r="E3015" t="s">
        <v>11</v>
      </c>
      <c r="F3015" t="s">
        <v>306</v>
      </c>
      <c r="G3015" t="s">
        <v>36</v>
      </c>
      <c r="H3015">
        <v>3</v>
      </c>
      <c r="I3015" t="str">
        <f>VLOOKUP(D3015,Product_Lookup!$A$2:$C$27,3,FALSE)</f>
        <v>$130.07</v>
      </c>
      <c r="J3015" t="str">
        <f t="shared" si="379"/>
        <v>Tuesday</v>
      </c>
      <c r="K3015" s="10" t="str">
        <f t="shared" si="380"/>
        <v>December</v>
      </c>
      <c r="L3015">
        <f t="shared" si="381"/>
        <v>2024</v>
      </c>
      <c r="M3015" t="b">
        <f t="shared" si="382"/>
        <v>0</v>
      </c>
      <c r="N3015" t="b">
        <f t="shared" si="376"/>
        <v>0</v>
      </c>
      <c r="O3015" t="str">
        <f t="shared" si="383"/>
        <v>Standard order</v>
      </c>
      <c r="P3015" s="7">
        <f t="shared" si="377"/>
        <v>6.5034999999999998</v>
      </c>
      <c r="Q3015" s="7" t="str">
        <f>VLOOKUP(D3016,Product_Lookup!$A$2:$C$27,2,FALSE)</f>
        <v>Desk Lamp</v>
      </c>
      <c r="R3015" s="7">
        <f t="shared" si="378"/>
        <v>390.21</v>
      </c>
    </row>
    <row r="3016" spans="1:18" ht="21.75" customHeight="1">
      <c r="A3016" t="s">
        <v>3167</v>
      </c>
      <c r="B3016" s="6">
        <v>45295</v>
      </c>
      <c r="C3016" t="s">
        <v>449</v>
      </c>
      <c r="D3016" t="s">
        <v>59</v>
      </c>
      <c r="E3016" t="s">
        <v>17</v>
      </c>
      <c r="F3016" t="s">
        <v>27</v>
      </c>
      <c r="G3016" t="s">
        <v>23</v>
      </c>
      <c r="H3016">
        <v>11</v>
      </c>
      <c r="I3016" t="str">
        <f>VLOOKUP(D3016,Product_Lookup!$A$2:$C$27,3,FALSE)</f>
        <v>$101.96</v>
      </c>
      <c r="J3016" t="str">
        <f t="shared" si="379"/>
        <v>Thursday</v>
      </c>
      <c r="K3016" s="10" t="str">
        <f t="shared" si="380"/>
        <v>January</v>
      </c>
      <c r="L3016">
        <f t="shared" si="381"/>
        <v>2024</v>
      </c>
      <c r="M3016" t="b">
        <f t="shared" si="382"/>
        <v>0</v>
      </c>
      <c r="N3016" t="b">
        <f t="shared" si="376"/>
        <v>1</v>
      </c>
      <c r="O3016" t="str">
        <f t="shared" si="383"/>
        <v>Large Order</v>
      </c>
      <c r="P3016" s="7">
        <f t="shared" si="377"/>
        <v>5.0979999999999999</v>
      </c>
      <c r="Q3016" s="7" t="str">
        <f>VLOOKUP(D3017,Product_Lookup!$A$2:$C$27,2,FALSE)</f>
        <v>Desk Lamp</v>
      </c>
      <c r="R3016" s="7">
        <f t="shared" si="378"/>
        <v>1121.56</v>
      </c>
    </row>
    <row r="3017" spans="1:18" ht="21.75" customHeight="1">
      <c r="A3017" t="s">
        <v>3168</v>
      </c>
      <c r="B3017" s="6">
        <v>45552</v>
      </c>
      <c r="C3017" t="s">
        <v>329</v>
      </c>
      <c r="D3017" t="s">
        <v>59</v>
      </c>
      <c r="E3017" t="s">
        <v>17</v>
      </c>
      <c r="F3017" t="s">
        <v>12</v>
      </c>
      <c r="G3017" t="s">
        <v>28</v>
      </c>
      <c r="H3017">
        <v>10</v>
      </c>
      <c r="I3017" t="str">
        <f>VLOOKUP(D3017,Product_Lookup!$A$2:$C$27,3,FALSE)</f>
        <v>$101.96</v>
      </c>
      <c r="J3017" t="str">
        <f t="shared" si="379"/>
        <v>Tuesday</v>
      </c>
      <c r="K3017" s="10" t="str">
        <f t="shared" si="380"/>
        <v>September</v>
      </c>
      <c r="L3017">
        <f t="shared" si="381"/>
        <v>2024</v>
      </c>
      <c r="M3017" t="b">
        <f t="shared" si="382"/>
        <v>0</v>
      </c>
      <c r="N3017" t="b">
        <f t="shared" si="376"/>
        <v>1</v>
      </c>
      <c r="O3017" t="str">
        <f t="shared" si="383"/>
        <v>Large Order</v>
      </c>
      <c r="P3017" s="7">
        <f t="shared" si="377"/>
        <v>5.0979999999999999</v>
      </c>
      <c r="Q3017" s="7" t="str">
        <f>VLOOKUP(D3018,Product_Lookup!$A$2:$C$27,2,FALSE)</f>
        <v>Notebook</v>
      </c>
      <c r="R3017" s="7">
        <f t="shared" si="378"/>
        <v>1019.5999999999999</v>
      </c>
    </row>
    <row r="3018" spans="1:18" ht="21.75" customHeight="1">
      <c r="A3018" t="s">
        <v>3169</v>
      </c>
      <c r="B3018" s="6">
        <v>45316</v>
      </c>
      <c r="C3018" t="s">
        <v>614</v>
      </c>
      <c r="D3018" t="s">
        <v>160</v>
      </c>
      <c r="E3018" t="s">
        <v>22</v>
      </c>
      <c r="F3018" t="s">
        <v>306</v>
      </c>
      <c r="G3018" t="s">
        <v>36</v>
      </c>
      <c r="H3018">
        <v>14</v>
      </c>
      <c r="I3018" t="str">
        <f>VLOOKUP(D3018,Product_Lookup!$A$2:$C$27,3,FALSE)</f>
        <v>$149.27</v>
      </c>
      <c r="J3018" t="str">
        <f t="shared" si="379"/>
        <v>Thursday</v>
      </c>
      <c r="K3018" s="10" t="str">
        <f t="shared" si="380"/>
        <v>January</v>
      </c>
      <c r="L3018">
        <f t="shared" si="381"/>
        <v>2024</v>
      </c>
      <c r="M3018" t="b">
        <f t="shared" si="382"/>
        <v>0</v>
      </c>
      <c r="N3018" t="b">
        <f t="shared" si="376"/>
        <v>1</v>
      </c>
      <c r="O3018" t="str">
        <f t="shared" si="383"/>
        <v>Large Order</v>
      </c>
      <c r="P3018" s="7">
        <f t="shared" si="377"/>
        <v>7.4635000000000007</v>
      </c>
      <c r="Q3018" s="7" t="str">
        <f>VLOOKUP(D3019,Product_Lookup!$A$2:$C$27,2,FALSE)</f>
        <v>Doll</v>
      </c>
      <c r="R3018" s="7">
        <f t="shared" si="378"/>
        <v>2089.7800000000002</v>
      </c>
    </row>
    <row r="3019" spans="1:18" ht="21.75" customHeight="1">
      <c r="A3019" t="s">
        <v>3170</v>
      </c>
      <c r="B3019" s="6">
        <v>45488</v>
      </c>
      <c r="C3019" t="s">
        <v>38</v>
      </c>
      <c r="D3019" t="s">
        <v>119</v>
      </c>
      <c r="E3019" t="s">
        <v>11</v>
      </c>
      <c r="F3019" t="s">
        <v>56</v>
      </c>
      <c r="G3019" t="s">
        <v>13</v>
      </c>
      <c r="H3019">
        <v>7</v>
      </c>
      <c r="I3019" t="str">
        <f>VLOOKUP(D3019,Product_Lookup!$A$2:$C$27,3,FALSE)</f>
        <v>$32.94</v>
      </c>
      <c r="J3019" t="str">
        <f t="shared" si="379"/>
        <v>Monday</v>
      </c>
      <c r="K3019" s="10" t="str">
        <f t="shared" si="380"/>
        <v>July</v>
      </c>
      <c r="L3019">
        <f t="shared" si="381"/>
        <v>2024</v>
      </c>
      <c r="M3019" t="b">
        <f t="shared" si="382"/>
        <v>0</v>
      </c>
      <c r="N3019" t="b">
        <f t="shared" si="376"/>
        <v>0</v>
      </c>
      <c r="O3019" t="str">
        <f t="shared" si="383"/>
        <v>Standard order</v>
      </c>
      <c r="P3019" s="7">
        <f t="shared" si="377"/>
        <v>1.647</v>
      </c>
      <c r="Q3019" s="7" t="str">
        <f>VLOOKUP(D3020,Product_Lookup!$A$2:$C$27,2,FALSE)</f>
        <v>Paper Shredder</v>
      </c>
      <c r="R3019" s="7">
        <f t="shared" si="378"/>
        <v>230.57999999999998</v>
      </c>
    </row>
    <row r="3020" spans="1:18" ht="21.75" customHeight="1">
      <c r="A3020" t="s">
        <v>3171</v>
      </c>
      <c r="B3020" s="6">
        <v>45434</v>
      </c>
      <c r="C3020" t="s">
        <v>314</v>
      </c>
      <c r="D3020" t="s">
        <v>109</v>
      </c>
      <c r="E3020" t="s">
        <v>17</v>
      </c>
      <c r="F3020" t="s">
        <v>12</v>
      </c>
      <c r="G3020" t="s">
        <v>32</v>
      </c>
      <c r="H3020">
        <v>10</v>
      </c>
      <c r="I3020" t="str">
        <f>VLOOKUP(D3020,Product_Lookup!$A$2:$C$27,3,FALSE)</f>
        <v>$81.02</v>
      </c>
      <c r="J3020" t="str">
        <f t="shared" si="379"/>
        <v>Wednesday</v>
      </c>
      <c r="K3020" s="10" t="str">
        <f t="shared" si="380"/>
        <v>May</v>
      </c>
      <c r="L3020">
        <f t="shared" si="381"/>
        <v>2024</v>
      </c>
      <c r="M3020" t="b">
        <f t="shared" si="382"/>
        <v>0</v>
      </c>
      <c r="N3020" t="b">
        <f t="shared" si="376"/>
        <v>1</v>
      </c>
      <c r="O3020" t="str">
        <f t="shared" si="383"/>
        <v>Large Order</v>
      </c>
      <c r="P3020" s="7">
        <f t="shared" si="377"/>
        <v>4.0510000000000002</v>
      </c>
      <c r="Q3020" s="7" t="str">
        <f>VLOOKUP(D3021,Product_Lookup!$A$2:$C$27,2,FALSE)</f>
        <v>Stapler</v>
      </c>
      <c r="R3020" s="7">
        <f t="shared" si="378"/>
        <v>810.19999999999993</v>
      </c>
    </row>
    <row r="3021" spans="1:18" ht="21.75" customHeight="1">
      <c r="A3021" t="s">
        <v>3172</v>
      </c>
      <c r="B3021" s="6">
        <v>45439</v>
      </c>
      <c r="C3021" t="s">
        <v>89</v>
      </c>
      <c r="D3021" t="s">
        <v>35</v>
      </c>
      <c r="E3021" t="s">
        <v>17</v>
      </c>
      <c r="F3021" t="s">
        <v>56</v>
      </c>
      <c r="G3021" t="s">
        <v>28</v>
      </c>
      <c r="H3021">
        <v>10</v>
      </c>
      <c r="I3021" t="str">
        <f>VLOOKUP(D3021,Product_Lookup!$A$2:$C$27,3,FALSE)</f>
        <v>$64.61</v>
      </c>
      <c r="J3021" t="str">
        <f t="shared" si="379"/>
        <v>Monday</v>
      </c>
      <c r="K3021" s="10" t="str">
        <f t="shared" si="380"/>
        <v>May</v>
      </c>
      <c r="L3021">
        <f t="shared" si="381"/>
        <v>2024</v>
      </c>
      <c r="M3021" t="b">
        <f t="shared" si="382"/>
        <v>0</v>
      </c>
      <c r="N3021" t="b">
        <f t="shared" si="376"/>
        <v>0</v>
      </c>
      <c r="O3021" t="str">
        <f t="shared" si="383"/>
        <v>Large Order</v>
      </c>
      <c r="P3021" s="7">
        <f t="shared" si="377"/>
        <v>3.2305000000000001</v>
      </c>
      <c r="Q3021" s="7" t="str">
        <f>VLOOKUP(D3022,Product_Lookup!$A$2:$C$27,2,FALSE)</f>
        <v>Doll</v>
      </c>
      <c r="R3021" s="7">
        <f t="shared" si="378"/>
        <v>646.1</v>
      </c>
    </row>
    <row r="3022" spans="1:18" ht="21.75" customHeight="1">
      <c r="A3022" t="s">
        <v>3173</v>
      </c>
      <c r="B3022" s="6">
        <v>45424</v>
      </c>
      <c r="C3022" t="s">
        <v>493</v>
      </c>
      <c r="D3022" t="s">
        <v>119</v>
      </c>
      <c r="E3022" t="s">
        <v>11</v>
      </c>
      <c r="F3022" t="s">
        <v>56</v>
      </c>
      <c r="G3022" t="s">
        <v>32</v>
      </c>
      <c r="H3022">
        <v>5</v>
      </c>
      <c r="I3022" t="str">
        <f>VLOOKUP(D3022,Product_Lookup!$A$2:$C$27,3,FALSE)</f>
        <v>$32.94</v>
      </c>
      <c r="J3022" t="str">
        <f t="shared" si="379"/>
        <v>Sunday</v>
      </c>
      <c r="K3022" s="10" t="str">
        <f t="shared" si="380"/>
        <v>May</v>
      </c>
      <c r="L3022">
        <f t="shared" si="381"/>
        <v>2024</v>
      </c>
      <c r="M3022" t="b">
        <f t="shared" si="382"/>
        <v>1</v>
      </c>
      <c r="N3022" t="b">
        <f t="shared" si="376"/>
        <v>0</v>
      </c>
      <c r="O3022" t="str">
        <f t="shared" si="383"/>
        <v>Standard order</v>
      </c>
      <c r="P3022" s="7">
        <f t="shared" si="377"/>
        <v>1.647</v>
      </c>
      <c r="Q3022" s="7" t="str">
        <f>VLOOKUP(D3023,Product_Lookup!$A$2:$C$27,2,FALSE)</f>
        <v>Doll</v>
      </c>
      <c r="R3022" s="7">
        <f t="shared" si="378"/>
        <v>164.7</v>
      </c>
    </row>
    <row r="3023" spans="1:18" ht="21.75" customHeight="1">
      <c r="A3023" t="s">
        <v>3174</v>
      </c>
      <c r="B3023" s="6">
        <v>45574</v>
      </c>
      <c r="C3023" t="s">
        <v>345</v>
      </c>
      <c r="D3023" t="s">
        <v>119</v>
      </c>
      <c r="E3023" t="s">
        <v>11</v>
      </c>
      <c r="F3023" t="s">
        <v>12</v>
      </c>
      <c r="G3023" t="s">
        <v>36</v>
      </c>
      <c r="H3023">
        <v>2</v>
      </c>
      <c r="I3023" t="str">
        <f>VLOOKUP(D3023,Product_Lookup!$A$2:$C$27,3,FALSE)</f>
        <v>$32.94</v>
      </c>
      <c r="J3023" t="str">
        <f t="shared" si="379"/>
        <v>Wednesday</v>
      </c>
      <c r="K3023" s="10" t="str">
        <f t="shared" si="380"/>
        <v>October</v>
      </c>
      <c r="L3023">
        <f t="shared" si="381"/>
        <v>2024</v>
      </c>
      <c r="M3023" t="b">
        <f t="shared" si="382"/>
        <v>0</v>
      </c>
      <c r="N3023" t="b">
        <f t="shared" si="376"/>
        <v>0</v>
      </c>
      <c r="O3023" t="str">
        <f t="shared" si="383"/>
        <v>Standard order</v>
      </c>
      <c r="P3023" s="7">
        <f t="shared" si="377"/>
        <v>1.647</v>
      </c>
      <c r="Q3023" s="7" t="str">
        <f>VLOOKUP(D3024,Product_Lookup!$A$2:$C$27,2,FALSE)</f>
        <v>Jeans</v>
      </c>
      <c r="R3023" s="7">
        <f t="shared" si="378"/>
        <v>65.88</v>
      </c>
    </row>
    <row r="3024" spans="1:18" ht="21.75" customHeight="1">
      <c r="A3024" t="s">
        <v>3175</v>
      </c>
      <c r="B3024" s="6">
        <v>45568</v>
      </c>
      <c r="C3024" t="s">
        <v>312</v>
      </c>
      <c r="D3024" t="s">
        <v>65</v>
      </c>
      <c r="E3024" t="s">
        <v>11</v>
      </c>
      <c r="F3024" t="s">
        <v>27</v>
      </c>
      <c r="G3024" t="s">
        <v>13</v>
      </c>
      <c r="H3024">
        <v>12</v>
      </c>
      <c r="I3024" t="str">
        <f>VLOOKUP(D3024,Product_Lookup!$A$2:$C$27,3,FALSE)</f>
        <v>$33.22</v>
      </c>
      <c r="J3024" t="str">
        <f t="shared" si="379"/>
        <v>Thursday</v>
      </c>
      <c r="K3024" s="10" t="str">
        <f t="shared" si="380"/>
        <v>October</v>
      </c>
      <c r="L3024">
        <f t="shared" si="381"/>
        <v>2024</v>
      </c>
      <c r="M3024" t="b">
        <f t="shared" si="382"/>
        <v>0</v>
      </c>
      <c r="N3024" t="b">
        <f t="shared" si="376"/>
        <v>0</v>
      </c>
      <c r="O3024" t="str">
        <f t="shared" si="383"/>
        <v>Standard order</v>
      </c>
      <c r="P3024" s="7">
        <f t="shared" si="377"/>
        <v>1.661</v>
      </c>
      <c r="Q3024" s="7" t="str">
        <f>VLOOKUP(D3025,Product_Lookup!$A$2:$C$27,2,FALSE)</f>
        <v>Lego Set</v>
      </c>
      <c r="R3024" s="7">
        <f t="shared" si="378"/>
        <v>398.64</v>
      </c>
    </row>
    <row r="3025" spans="1:18" ht="21.75" customHeight="1">
      <c r="A3025" t="s">
        <v>3176</v>
      </c>
      <c r="B3025" s="6">
        <v>45584</v>
      </c>
      <c r="C3025" t="s">
        <v>309</v>
      </c>
      <c r="D3025" t="s">
        <v>84</v>
      </c>
      <c r="E3025" t="s">
        <v>17</v>
      </c>
      <c r="F3025" t="s">
        <v>306</v>
      </c>
      <c r="G3025" t="s">
        <v>28</v>
      </c>
      <c r="H3025">
        <v>15</v>
      </c>
      <c r="I3025" t="str">
        <f>VLOOKUP(D3025,Product_Lookup!$A$2:$C$27,3,FALSE)</f>
        <v>$130.07</v>
      </c>
      <c r="J3025" t="str">
        <f t="shared" si="379"/>
        <v>Saturday</v>
      </c>
      <c r="K3025" s="10" t="str">
        <f t="shared" si="380"/>
        <v>October</v>
      </c>
      <c r="L3025">
        <f t="shared" si="381"/>
        <v>2024</v>
      </c>
      <c r="M3025" t="b">
        <f t="shared" si="382"/>
        <v>1</v>
      </c>
      <c r="N3025" t="b">
        <f t="shared" si="376"/>
        <v>1</v>
      </c>
      <c r="O3025" t="str">
        <f t="shared" si="383"/>
        <v>Large Order</v>
      </c>
      <c r="P3025" s="7">
        <f t="shared" si="377"/>
        <v>6.5034999999999998</v>
      </c>
      <c r="Q3025" s="7" t="str">
        <f>VLOOKUP(D3026,Product_Lookup!$A$2:$C$27,2,FALSE)</f>
        <v>Puzzle</v>
      </c>
      <c r="R3025" s="7">
        <f t="shared" si="378"/>
        <v>1951.05</v>
      </c>
    </row>
    <row r="3026" spans="1:18" ht="21.75" customHeight="1">
      <c r="A3026" t="s">
        <v>3177</v>
      </c>
      <c r="B3026" s="6">
        <v>45348</v>
      </c>
      <c r="C3026" t="s">
        <v>436</v>
      </c>
      <c r="D3026" t="s">
        <v>62</v>
      </c>
      <c r="E3026" t="s">
        <v>11</v>
      </c>
      <c r="F3026" t="s">
        <v>27</v>
      </c>
      <c r="G3026" t="s">
        <v>23</v>
      </c>
      <c r="H3026">
        <v>16</v>
      </c>
      <c r="I3026" t="str">
        <f>VLOOKUP(D3026,Product_Lookup!$A$2:$C$27,3,FALSE)</f>
        <v>$46.19</v>
      </c>
      <c r="J3026" t="str">
        <f t="shared" si="379"/>
        <v>Monday</v>
      </c>
      <c r="K3026" s="10" t="str">
        <f t="shared" si="380"/>
        <v>February</v>
      </c>
      <c r="L3026">
        <f t="shared" si="381"/>
        <v>2024</v>
      </c>
      <c r="M3026" t="b">
        <f t="shared" si="382"/>
        <v>0</v>
      </c>
      <c r="N3026" t="b">
        <f t="shared" si="376"/>
        <v>0</v>
      </c>
      <c r="O3026" t="str">
        <f t="shared" si="383"/>
        <v>Large Order</v>
      </c>
      <c r="P3026" s="7">
        <f t="shared" si="377"/>
        <v>2.3094999999999999</v>
      </c>
      <c r="Q3026" s="7" t="str">
        <f>VLOOKUP(D3027,Product_Lookup!$A$2:$C$27,2,FALSE)</f>
        <v>Lego Set</v>
      </c>
      <c r="R3026" s="7">
        <f t="shared" si="378"/>
        <v>739.04</v>
      </c>
    </row>
    <row r="3027" spans="1:18" ht="21.75" customHeight="1">
      <c r="A3027" t="s">
        <v>3178</v>
      </c>
      <c r="B3027" s="6">
        <v>45362</v>
      </c>
      <c r="C3027" t="s">
        <v>89</v>
      </c>
      <c r="D3027" t="s">
        <v>84</v>
      </c>
      <c r="E3027" t="s">
        <v>22</v>
      </c>
      <c r="F3027" t="s">
        <v>12</v>
      </c>
      <c r="G3027" t="s">
        <v>32</v>
      </c>
      <c r="H3027">
        <v>3</v>
      </c>
      <c r="I3027" t="str">
        <f>VLOOKUP(D3027,Product_Lookup!$A$2:$C$27,3,FALSE)</f>
        <v>$130.07</v>
      </c>
      <c r="J3027" t="str">
        <f t="shared" si="379"/>
        <v>Monday</v>
      </c>
      <c r="K3027" s="10" t="str">
        <f t="shared" si="380"/>
        <v>March</v>
      </c>
      <c r="L3027">
        <f t="shared" si="381"/>
        <v>2024</v>
      </c>
      <c r="M3027" t="b">
        <f t="shared" si="382"/>
        <v>0</v>
      </c>
      <c r="N3027" t="b">
        <f t="shared" si="376"/>
        <v>0</v>
      </c>
      <c r="O3027" t="str">
        <f t="shared" si="383"/>
        <v>Standard order</v>
      </c>
      <c r="P3027" s="7">
        <f t="shared" si="377"/>
        <v>6.5034999999999998</v>
      </c>
      <c r="Q3027" s="7" t="str">
        <f>VLOOKUP(D3028,Product_Lookup!$A$2:$C$27,2,FALSE)</f>
        <v>Tablet</v>
      </c>
      <c r="R3027" s="7">
        <f t="shared" si="378"/>
        <v>390.21</v>
      </c>
    </row>
    <row r="3028" spans="1:18" ht="21.75" customHeight="1">
      <c r="A3028" t="s">
        <v>3179</v>
      </c>
      <c r="B3028" s="6">
        <v>45405</v>
      </c>
      <c r="C3028" t="s">
        <v>388</v>
      </c>
      <c r="D3028" t="s">
        <v>10</v>
      </c>
      <c r="E3028" t="s">
        <v>17</v>
      </c>
      <c r="F3028" t="s">
        <v>56</v>
      </c>
      <c r="G3028" t="s">
        <v>36</v>
      </c>
      <c r="H3028">
        <v>11</v>
      </c>
      <c r="I3028" t="str">
        <f>VLOOKUP(D3028,Product_Lookup!$A$2:$C$27,3,FALSE)</f>
        <v>$146.06</v>
      </c>
      <c r="J3028" t="str">
        <f t="shared" si="379"/>
        <v>Tuesday</v>
      </c>
      <c r="K3028" s="10" t="str">
        <f t="shared" si="380"/>
        <v>April</v>
      </c>
      <c r="L3028">
        <f t="shared" si="381"/>
        <v>2024</v>
      </c>
      <c r="M3028" t="b">
        <f t="shared" si="382"/>
        <v>0</v>
      </c>
      <c r="N3028" t="b">
        <f t="shared" si="376"/>
        <v>1</v>
      </c>
      <c r="O3028" t="str">
        <f t="shared" si="383"/>
        <v>Large Order</v>
      </c>
      <c r="P3028" s="7">
        <f t="shared" si="377"/>
        <v>7.3030000000000008</v>
      </c>
      <c r="Q3028" s="7" t="str">
        <f>VLOOKUP(D3029,Product_Lookup!$A$2:$C$27,2,FALSE)</f>
        <v>Notebook</v>
      </c>
      <c r="R3028" s="7">
        <f t="shared" si="378"/>
        <v>1606.66</v>
      </c>
    </row>
    <row r="3029" spans="1:18" ht="21.75" customHeight="1">
      <c r="A3029" t="s">
        <v>3180</v>
      </c>
      <c r="B3029" s="6">
        <v>45614</v>
      </c>
      <c r="C3029" t="s">
        <v>304</v>
      </c>
      <c r="D3029" t="s">
        <v>160</v>
      </c>
      <c r="E3029" t="s">
        <v>22</v>
      </c>
      <c r="F3029" t="s">
        <v>12</v>
      </c>
      <c r="G3029" t="s">
        <v>32</v>
      </c>
      <c r="H3029">
        <v>2</v>
      </c>
      <c r="I3029" t="str">
        <f>VLOOKUP(D3029,Product_Lookup!$A$2:$C$27,3,FALSE)</f>
        <v>$149.27</v>
      </c>
      <c r="J3029" t="str">
        <f t="shared" si="379"/>
        <v>Monday</v>
      </c>
      <c r="K3029" s="10" t="str">
        <f t="shared" si="380"/>
        <v>November</v>
      </c>
      <c r="L3029">
        <f t="shared" si="381"/>
        <v>2024</v>
      </c>
      <c r="M3029" t="b">
        <f t="shared" si="382"/>
        <v>0</v>
      </c>
      <c r="N3029" t="b">
        <f t="shared" si="376"/>
        <v>0</v>
      </c>
      <c r="O3029" t="str">
        <f t="shared" si="383"/>
        <v>Standard order</v>
      </c>
      <c r="P3029" s="7">
        <f t="shared" si="377"/>
        <v>7.4635000000000007</v>
      </c>
      <c r="Q3029" s="7" t="str">
        <f>VLOOKUP(D3030,Product_Lookup!$A$2:$C$27,2,FALSE)</f>
        <v>Blender</v>
      </c>
      <c r="R3029" s="7">
        <f t="shared" si="378"/>
        <v>298.54000000000002</v>
      </c>
    </row>
    <row r="3030" spans="1:18" ht="21.75" customHeight="1">
      <c r="A3030" t="s">
        <v>3181</v>
      </c>
      <c r="B3030" s="6">
        <v>45653</v>
      </c>
      <c r="C3030" t="s">
        <v>363</v>
      </c>
      <c r="D3030" t="s">
        <v>72</v>
      </c>
      <c r="E3030" t="s">
        <v>11</v>
      </c>
      <c r="F3030" t="s">
        <v>306</v>
      </c>
      <c r="G3030" t="s">
        <v>13</v>
      </c>
      <c r="H3030">
        <v>1</v>
      </c>
      <c r="I3030" t="str">
        <f>VLOOKUP(D3030,Product_Lookup!$A$2:$C$27,3,FALSE)</f>
        <v>$156.44</v>
      </c>
      <c r="J3030" t="str">
        <f t="shared" si="379"/>
        <v>Friday</v>
      </c>
      <c r="K3030" s="10" t="str">
        <f t="shared" si="380"/>
        <v>December</v>
      </c>
      <c r="L3030">
        <f t="shared" si="381"/>
        <v>2024</v>
      </c>
      <c r="M3030" t="b">
        <f t="shared" si="382"/>
        <v>0</v>
      </c>
      <c r="N3030" t="b">
        <f t="shared" si="376"/>
        <v>0</v>
      </c>
      <c r="O3030" t="str">
        <f t="shared" si="383"/>
        <v>Standard order</v>
      </c>
      <c r="P3030" s="7">
        <f t="shared" si="377"/>
        <v>7.8220000000000001</v>
      </c>
      <c r="Q3030" s="7" t="str">
        <f>VLOOKUP(D3031,Product_Lookup!$A$2:$C$27,2,FALSE)</f>
        <v>Jacket</v>
      </c>
      <c r="R3030" s="7">
        <f t="shared" si="378"/>
        <v>156.44</v>
      </c>
    </row>
    <row r="3031" spans="1:18" ht="21.75" customHeight="1">
      <c r="A3031" t="s">
        <v>3182</v>
      </c>
      <c r="B3031" s="6">
        <v>45592</v>
      </c>
      <c r="C3031" t="s">
        <v>159</v>
      </c>
      <c r="D3031" t="s">
        <v>197</v>
      </c>
      <c r="E3031" t="s">
        <v>22</v>
      </c>
      <c r="F3031" t="s">
        <v>56</v>
      </c>
      <c r="G3031" t="s">
        <v>32</v>
      </c>
      <c r="H3031">
        <v>16</v>
      </c>
      <c r="I3031" t="str">
        <f>VLOOKUP(D3031,Product_Lookup!$A$2:$C$27,3,FALSE)</f>
        <v>$10.11</v>
      </c>
      <c r="J3031" t="str">
        <f t="shared" si="379"/>
        <v>Sunday</v>
      </c>
      <c r="K3031" s="10" t="str">
        <f t="shared" si="380"/>
        <v>October</v>
      </c>
      <c r="L3031">
        <f t="shared" si="381"/>
        <v>2024</v>
      </c>
      <c r="M3031" t="b">
        <f t="shared" si="382"/>
        <v>1</v>
      </c>
      <c r="N3031" t="b">
        <f t="shared" si="376"/>
        <v>0</v>
      </c>
      <c r="O3031" t="str">
        <f t="shared" si="383"/>
        <v>Standard order</v>
      </c>
      <c r="P3031" s="7">
        <f t="shared" si="377"/>
        <v>0.50549999999999995</v>
      </c>
      <c r="Q3031" s="7" t="str">
        <f>VLOOKUP(D3032,Product_Lookup!$A$2:$C$27,2,FALSE)</f>
        <v>Stapler</v>
      </c>
      <c r="R3031" s="7">
        <f t="shared" si="378"/>
        <v>161.76</v>
      </c>
    </row>
    <row r="3032" spans="1:18" ht="21.75" customHeight="1">
      <c r="A3032" t="s">
        <v>3183</v>
      </c>
      <c r="B3032" s="6">
        <v>45387</v>
      </c>
      <c r="C3032" t="s">
        <v>388</v>
      </c>
      <c r="D3032" t="s">
        <v>35</v>
      </c>
      <c r="E3032" t="s">
        <v>17</v>
      </c>
      <c r="F3032" t="s">
        <v>56</v>
      </c>
      <c r="G3032" t="s">
        <v>28</v>
      </c>
      <c r="H3032">
        <v>3</v>
      </c>
      <c r="I3032" t="str">
        <f>VLOOKUP(D3032,Product_Lookup!$A$2:$C$27,3,FALSE)</f>
        <v>$64.61</v>
      </c>
      <c r="J3032" t="str">
        <f t="shared" si="379"/>
        <v>Friday</v>
      </c>
      <c r="K3032" s="10" t="str">
        <f t="shared" si="380"/>
        <v>April</v>
      </c>
      <c r="L3032">
        <f t="shared" si="381"/>
        <v>2024</v>
      </c>
      <c r="M3032" t="b">
        <f t="shared" si="382"/>
        <v>0</v>
      </c>
      <c r="N3032" t="b">
        <f t="shared" si="376"/>
        <v>0</v>
      </c>
      <c r="O3032" t="str">
        <f t="shared" si="383"/>
        <v>Standard order</v>
      </c>
      <c r="P3032" s="7">
        <f t="shared" si="377"/>
        <v>3.2305000000000001</v>
      </c>
      <c r="Q3032" s="7" t="str">
        <f>VLOOKUP(D3033,Product_Lookup!$A$2:$C$27,2,FALSE)</f>
        <v>Vacuum</v>
      </c>
      <c r="R3032" s="7">
        <f t="shared" si="378"/>
        <v>193.82999999999998</v>
      </c>
    </row>
    <row r="3033" spans="1:18" ht="21.75" customHeight="1">
      <c r="A3033" t="s">
        <v>3184</v>
      </c>
      <c r="B3033" s="6">
        <v>45401</v>
      </c>
      <c r="C3033" t="s">
        <v>25</v>
      </c>
      <c r="D3033" t="s">
        <v>87</v>
      </c>
      <c r="E3033" t="s">
        <v>11</v>
      </c>
      <c r="F3033" t="s">
        <v>27</v>
      </c>
      <c r="G3033" t="s">
        <v>36</v>
      </c>
      <c r="H3033">
        <v>20</v>
      </c>
      <c r="I3033" t="str">
        <f>VLOOKUP(D3033,Product_Lookup!$A$2:$C$27,3,FALSE)</f>
        <v>$26.59</v>
      </c>
      <c r="J3033" t="str">
        <f t="shared" si="379"/>
        <v>Friday</v>
      </c>
      <c r="K3033" s="10" t="str">
        <f t="shared" si="380"/>
        <v>April</v>
      </c>
      <c r="L3033">
        <f t="shared" si="381"/>
        <v>2024</v>
      </c>
      <c r="M3033" t="b">
        <f t="shared" si="382"/>
        <v>0</v>
      </c>
      <c r="N3033" t="b">
        <f t="shared" si="376"/>
        <v>0</v>
      </c>
      <c r="O3033" t="str">
        <f t="shared" si="383"/>
        <v>Large Order</v>
      </c>
      <c r="P3033" s="7">
        <f t="shared" si="377"/>
        <v>1.3295000000000001</v>
      </c>
      <c r="Q3033" s="7" t="str">
        <f>VLOOKUP(D3034,Product_Lookup!$A$2:$C$27,2,FALSE)</f>
        <v>Vacuum</v>
      </c>
      <c r="R3033" s="7">
        <f t="shared" si="378"/>
        <v>531.79999999999995</v>
      </c>
    </row>
    <row r="3034" spans="1:18" ht="21.75" customHeight="1">
      <c r="A3034" t="s">
        <v>3185</v>
      </c>
      <c r="B3034" s="6">
        <v>45383</v>
      </c>
      <c r="C3034" t="s">
        <v>122</v>
      </c>
      <c r="D3034" t="s">
        <v>87</v>
      </c>
      <c r="E3034" t="s">
        <v>22</v>
      </c>
      <c r="F3034" t="s">
        <v>42</v>
      </c>
      <c r="G3034" t="s">
        <v>36</v>
      </c>
      <c r="H3034">
        <v>13</v>
      </c>
      <c r="I3034" t="str">
        <f>VLOOKUP(D3034,Product_Lookup!$A$2:$C$27,3,FALSE)</f>
        <v>$26.59</v>
      </c>
      <c r="J3034" t="str">
        <f t="shared" si="379"/>
        <v>Monday</v>
      </c>
      <c r="K3034" s="10" t="str">
        <f t="shared" si="380"/>
        <v>April</v>
      </c>
      <c r="L3034">
        <f t="shared" si="381"/>
        <v>2024</v>
      </c>
      <c r="M3034" t="b">
        <f t="shared" si="382"/>
        <v>0</v>
      </c>
      <c r="N3034" t="b">
        <f t="shared" si="376"/>
        <v>0</v>
      </c>
      <c r="O3034" t="str">
        <f t="shared" si="383"/>
        <v>Standard order</v>
      </c>
      <c r="P3034" s="7">
        <f t="shared" si="377"/>
        <v>1.3295000000000001</v>
      </c>
      <c r="Q3034" s="7" t="str">
        <f>VLOOKUP(D3035,Product_Lookup!$A$2:$C$27,2,FALSE)</f>
        <v>Toaster</v>
      </c>
      <c r="R3034" s="7">
        <f t="shared" si="378"/>
        <v>345.67</v>
      </c>
    </row>
    <row r="3035" spans="1:18" ht="21.75" customHeight="1">
      <c r="A3035" t="s">
        <v>3186</v>
      </c>
      <c r="B3035" s="6">
        <v>45412</v>
      </c>
      <c r="C3035" t="s">
        <v>541</v>
      </c>
      <c r="D3035" t="s">
        <v>48</v>
      </c>
      <c r="E3035" t="s">
        <v>17</v>
      </c>
      <c r="F3035" t="s">
        <v>306</v>
      </c>
      <c r="G3035" t="s">
        <v>28</v>
      </c>
      <c r="H3035">
        <v>10</v>
      </c>
      <c r="I3035" t="str">
        <f>VLOOKUP(D3035,Product_Lookup!$A$2:$C$27,3,FALSE)</f>
        <v>$208.85</v>
      </c>
      <c r="J3035" t="str">
        <f t="shared" si="379"/>
        <v>Tuesday</v>
      </c>
      <c r="K3035" s="10" t="str">
        <f t="shared" si="380"/>
        <v>April</v>
      </c>
      <c r="L3035">
        <f t="shared" si="381"/>
        <v>2024</v>
      </c>
      <c r="M3035" t="b">
        <f t="shared" si="382"/>
        <v>0</v>
      </c>
      <c r="N3035" t="b">
        <f t="shared" si="376"/>
        <v>1</v>
      </c>
      <c r="O3035" t="str">
        <f t="shared" si="383"/>
        <v>Large Order</v>
      </c>
      <c r="P3035" s="7">
        <f t="shared" si="377"/>
        <v>10.442500000000001</v>
      </c>
      <c r="Q3035" s="7" t="str">
        <f>VLOOKUP(D3036,Product_Lookup!$A$2:$C$27,2,FALSE)</f>
        <v>Stapler</v>
      </c>
      <c r="R3035" s="7">
        <f t="shared" si="378"/>
        <v>2088.5</v>
      </c>
    </row>
    <row r="3036" spans="1:18" ht="21.75" customHeight="1">
      <c r="A3036" t="s">
        <v>3187</v>
      </c>
      <c r="B3036" s="6">
        <v>45441</v>
      </c>
      <c r="C3036" t="s">
        <v>317</v>
      </c>
      <c r="D3036" t="s">
        <v>35</v>
      </c>
      <c r="E3036" t="s">
        <v>17</v>
      </c>
      <c r="F3036" t="s">
        <v>27</v>
      </c>
      <c r="G3036" t="s">
        <v>36</v>
      </c>
      <c r="H3036">
        <v>12</v>
      </c>
      <c r="I3036" t="str">
        <f>VLOOKUP(D3036,Product_Lookup!$A$2:$C$27,3,FALSE)</f>
        <v>$64.61</v>
      </c>
      <c r="J3036" t="str">
        <f t="shared" si="379"/>
        <v>Wednesday</v>
      </c>
      <c r="K3036" s="10" t="str">
        <f t="shared" si="380"/>
        <v>May</v>
      </c>
      <c r="L3036">
        <f t="shared" si="381"/>
        <v>2024</v>
      </c>
      <c r="M3036" t="b">
        <f t="shared" si="382"/>
        <v>0</v>
      </c>
      <c r="N3036" t="b">
        <f t="shared" si="376"/>
        <v>1</v>
      </c>
      <c r="O3036" t="str">
        <f t="shared" si="383"/>
        <v>Large Order</v>
      </c>
      <c r="P3036" s="7">
        <f t="shared" si="377"/>
        <v>3.2305000000000001</v>
      </c>
      <c r="Q3036" s="7" t="str">
        <f>VLOOKUP(D3037,Product_Lookup!$A$2:$C$27,2,FALSE)</f>
        <v>Jacket</v>
      </c>
      <c r="R3036" s="7">
        <f t="shared" si="378"/>
        <v>775.31999999999994</v>
      </c>
    </row>
    <row r="3037" spans="1:18" ht="21.75" customHeight="1">
      <c r="A3037" t="s">
        <v>3188</v>
      </c>
      <c r="B3037" s="6">
        <v>45443</v>
      </c>
      <c r="C3037" t="s">
        <v>108</v>
      </c>
      <c r="D3037" t="s">
        <v>197</v>
      </c>
      <c r="E3037" t="s">
        <v>11</v>
      </c>
      <c r="F3037" t="s">
        <v>42</v>
      </c>
      <c r="G3037" t="s">
        <v>23</v>
      </c>
      <c r="H3037">
        <v>15</v>
      </c>
      <c r="I3037" t="str">
        <f>VLOOKUP(D3037,Product_Lookup!$A$2:$C$27,3,FALSE)</f>
        <v>$10.11</v>
      </c>
      <c r="J3037" t="str">
        <f t="shared" si="379"/>
        <v>Friday</v>
      </c>
      <c r="K3037" s="10" t="str">
        <f t="shared" si="380"/>
        <v>May</v>
      </c>
      <c r="L3037">
        <f t="shared" si="381"/>
        <v>2024</v>
      </c>
      <c r="M3037" t="b">
        <f t="shared" si="382"/>
        <v>0</v>
      </c>
      <c r="N3037" t="b">
        <f t="shared" si="376"/>
        <v>0</v>
      </c>
      <c r="O3037" t="str">
        <f t="shared" si="383"/>
        <v>Standard order</v>
      </c>
      <c r="P3037" s="7">
        <f t="shared" si="377"/>
        <v>0.50549999999999995</v>
      </c>
      <c r="Q3037" s="7" t="str">
        <f>VLOOKUP(D3038,Product_Lookup!$A$2:$C$27,2,FALSE)</f>
        <v>Monitor</v>
      </c>
      <c r="R3037" s="7">
        <f t="shared" si="378"/>
        <v>151.64999999999998</v>
      </c>
    </row>
    <row r="3038" spans="1:18" ht="21.75" customHeight="1">
      <c r="A3038" t="s">
        <v>3189</v>
      </c>
      <c r="B3038" s="6">
        <v>45631</v>
      </c>
      <c r="C3038" t="s">
        <v>309</v>
      </c>
      <c r="D3038" t="s">
        <v>102</v>
      </c>
      <c r="E3038" t="s">
        <v>11</v>
      </c>
      <c r="F3038" t="s">
        <v>27</v>
      </c>
      <c r="G3038" t="s">
        <v>32</v>
      </c>
      <c r="H3038">
        <v>4</v>
      </c>
      <c r="I3038" t="str">
        <f>VLOOKUP(D3038,Product_Lookup!$A$2:$C$27,3,FALSE)</f>
        <v>$145.48</v>
      </c>
      <c r="J3038" t="str">
        <f t="shared" si="379"/>
        <v>Thursday</v>
      </c>
      <c r="K3038" s="10" t="str">
        <f t="shared" si="380"/>
        <v>December</v>
      </c>
      <c r="L3038">
        <f t="shared" si="381"/>
        <v>2024</v>
      </c>
      <c r="M3038" t="b">
        <f t="shared" si="382"/>
        <v>0</v>
      </c>
      <c r="N3038" t="b">
        <f t="shared" si="376"/>
        <v>0</v>
      </c>
      <c r="O3038" t="str">
        <f t="shared" si="383"/>
        <v>Large Order</v>
      </c>
      <c r="P3038" s="7">
        <f t="shared" si="377"/>
        <v>7.274</v>
      </c>
      <c r="Q3038" s="7" t="str">
        <f>VLOOKUP(D3039,Product_Lookup!$A$2:$C$27,2,FALSE)</f>
        <v>Headphones</v>
      </c>
      <c r="R3038" s="7">
        <f t="shared" si="378"/>
        <v>581.91999999999996</v>
      </c>
    </row>
    <row r="3039" spans="1:18" ht="21.75" customHeight="1">
      <c r="A3039" t="s">
        <v>3190</v>
      </c>
      <c r="B3039" s="6">
        <v>45495</v>
      </c>
      <c r="C3039" t="s">
        <v>369</v>
      </c>
      <c r="D3039" t="s">
        <v>16</v>
      </c>
      <c r="E3039" t="s">
        <v>17</v>
      </c>
      <c r="F3039" t="s">
        <v>27</v>
      </c>
      <c r="G3039" t="s">
        <v>36</v>
      </c>
      <c r="H3039">
        <v>14</v>
      </c>
      <c r="I3039" t="str">
        <f>VLOOKUP(D3039,Product_Lookup!$A$2:$C$27,3,FALSE)</f>
        <v>$178.83</v>
      </c>
      <c r="J3039" t="str">
        <f t="shared" si="379"/>
        <v>Monday</v>
      </c>
      <c r="K3039" s="10" t="str">
        <f t="shared" si="380"/>
        <v>July</v>
      </c>
      <c r="L3039">
        <f t="shared" si="381"/>
        <v>2024</v>
      </c>
      <c r="M3039" t="b">
        <f t="shared" si="382"/>
        <v>0</v>
      </c>
      <c r="N3039" t="b">
        <f t="shared" si="376"/>
        <v>1</v>
      </c>
      <c r="O3039" t="str">
        <f t="shared" si="383"/>
        <v>Large Order</v>
      </c>
      <c r="P3039" s="7">
        <f t="shared" si="377"/>
        <v>8.9415000000000013</v>
      </c>
      <c r="Q3039" s="7" t="str">
        <f>VLOOKUP(D3040,Product_Lookup!$A$2:$C$27,2,FALSE)</f>
        <v>Sweater</v>
      </c>
      <c r="R3039" s="7">
        <f t="shared" si="378"/>
        <v>2503.6200000000003</v>
      </c>
    </row>
    <row r="3040" spans="1:18" ht="21.75" customHeight="1">
      <c r="A3040" t="s">
        <v>3191</v>
      </c>
      <c r="B3040" s="6">
        <v>45306</v>
      </c>
      <c r="C3040" t="s">
        <v>61</v>
      </c>
      <c r="D3040" t="s">
        <v>26</v>
      </c>
      <c r="E3040" t="s">
        <v>22</v>
      </c>
      <c r="F3040" t="s">
        <v>56</v>
      </c>
      <c r="G3040" t="s">
        <v>23</v>
      </c>
      <c r="H3040">
        <v>2</v>
      </c>
      <c r="I3040" t="str">
        <f>VLOOKUP(D3040,Product_Lookup!$A$2:$C$27,3,FALSE)</f>
        <v>$84.57</v>
      </c>
      <c r="J3040" t="str">
        <f t="shared" si="379"/>
        <v>Monday</v>
      </c>
      <c r="K3040" s="10" t="str">
        <f t="shared" si="380"/>
        <v>January</v>
      </c>
      <c r="L3040">
        <f t="shared" si="381"/>
        <v>2024</v>
      </c>
      <c r="M3040" t="b">
        <f t="shared" si="382"/>
        <v>0</v>
      </c>
      <c r="N3040" t="b">
        <f t="shared" si="376"/>
        <v>0</v>
      </c>
      <c r="O3040" t="str">
        <f t="shared" si="383"/>
        <v>Standard order</v>
      </c>
      <c r="P3040" s="7">
        <f t="shared" si="377"/>
        <v>4.2284999999999995</v>
      </c>
      <c r="Q3040" s="7" t="str">
        <f>VLOOKUP(D3041,Product_Lookup!$A$2:$C$27,2,FALSE)</f>
        <v>Board Game</v>
      </c>
      <c r="R3040" s="7">
        <f t="shared" si="378"/>
        <v>169.14</v>
      </c>
    </row>
    <row r="3041" spans="1:18" ht="21.75" customHeight="1">
      <c r="A3041" t="s">
        <v>3192</v>
      </c>
      <c r="B3041" s="6">
        <v>45457</v>
      </c>
      <c r="C3041" t="s">
        <v>86</v>
      </c>
      <c r="D3041" t="s">
        <v>41</v>
      </c>
      <c r="E3041" t="s">
        <v>17</v>
      </c>
      <c r="F3041" t="s">
        <v>27</v>
      </c>
      <c r="G3041" t="s">
        <v>23</v>
      </c>
      <c r="H3041">
        <v>15</v>
      </c>
      <c r="I3041" t="str">
        <f>VLOOKUP(D3041,Product_Lookup!$A$2:$C$27,3,FALSE)</f>
        <v>$86.6</v>
      </c>
      <c r="J3041" t="str">
        <f t="shared" si="379"/>
        <v>Friday</v>
      </c>
      <c r="K3041" s="10" t="str">
        <f t="shared" si="380"/>
        <v>June</v>
      </c>
      <c r="L3041">
        <f t="shared" si="381"/>
        <v>2024</v>
      </c>
      <c r="M3041" t="b">
        <f t="shared" si="382"/>
        <v>0</v>
      </c>
      <c r="N3041" t="b">
        <f t="shared" si="376"/>
        <v>1</v>
      </c>
      <c r="O3041" t="str">
        <f t="shared" si="383"/>
        <v>Large Order</v>
      </c>
      <c r="P3041" s="7">
        <f t="shared" si="377"/>
        <v>4.33</v>
      </c>
      <c r="Q3041" s="7" t="str">
        <f>VLOOKUP(D3042,Product_Lookup!$A$2:$C$27,2,FALSE)</f>
        <v>Sweater</v>
      </c>
      <c r="R3041" s="7">
        <f t="shared" si="378"/>
        <v>1299</v>
      </c>
    </row>
    <row r="3042" spans="1:18" ht="21.75" customHeight="1">
      <c r="A3042" t="s">
        <v>3193</v>
      </c>
      <c r="B3042" s="6">
        <v>45425</v>
      </c>
      <c r="C3042" t="s">
        <v>9</v>
      </c>
      <c r="D3042" t="s">
        <v>26</v>
      </c>
      <c r="E3042" t="s">
        <v>17</v>
      </c>
      <c r="F3042" t="s">
        <v>56</v>
      </c>
      <c r="G3042" t="s">
        <v>32</v>
      </c>
      <c r="H3042">
        <v>2</v>
      </c>
      <c r="I3042" t="str">
        <f>VLOOKUP(D3042,Product_Lookup!$A$2:$C$27,3,FALSE)</f>
        <v>$84.57</v>
      </c>
      <c r="J3042" t="str">
        <f t="shared" si="379"/>
        <v>Monday</v>
      </c>
      <c r="K3042" s="10" t="str">
        <f t="shared" si="380"/>
        <v>May</v>
      </c>
      <c r="L3042">
        <f t="shared" si="381"/>
        <v>2024</v>
      </c>
      <c r="M3042" t="b">
        <f t="shared" si="382"/>
        <v>0</v>
      </c>
      <c r="N3042" t="b">
        <f t="shared" si="376"/>
        <v>0</v>
      </c>
      <c r="O3042" t="str">
        <f t="shared" si="383"/>
        <v>Standard order</v>
      </c>
      <c r="P3042" s="7">
        <f t="shared" si="377"/>
        <v>4.2284999999999995</v>
      </c>
      <c r="Q3042" s="7" t="str">
        <f>VLOOKUP(D3043,Product_Lookup!$A$2:$C$27,2,FALSE)</f>
        <v>Desk Lamp</v>
      </c>
      <c r="R3042" s="7">
        <f t="shared" si="378"/>
        <v>169.14</v>
      </c>
    </row>
    <row r="3043" spans="1:18" ht="21.75" customHeight="1">
      <c r="A3043" t="s">
        <v>3194</v>
      </c>
      <c r="B3043" s="6">
        <v>45501</v>
      </c>
      <c r="C3043" t="s">
        <v>240</v>
      </c>
      <c r="D3043" t="s">
        <v>59</v>
      </c>
      <c r="E3043" t="s">
        <v>11</v>
      </c>
      <c r="F3043" t="s">
        <v>306</v>
      </c>
      <c r="G3043" t="s">
        <v>28</v>
      </c>
      <c r="H3043">
        <v>4</v>
      </c>
      <c r="I3043" t="str">
        <f>VLOOKUP(D3043,Product_Lookup!$A$2:$C$27,3,FALSE)</f>
        <v>$101.96</v>
      </c>
      <c r="J3043" t="str">
        <f t="shared" si="379"/>
        <v>Sunday</v>
      </c>
      <c r="K3043" s="10" t="str">
        <f t="shared" si="380"/>
        <v>July</v>
      </c>
      <c r="L3043">
        <f t="shared" si="381"/>
        <v>2024</v>
      </c>
      <c r="M3043" t="b">
        <f t="shared" si="382"/>
        <v>1</v>
      </c>
      <c r="N3043" t="b">
        <f t="shared" si="376"/>
        <v>0</v>
      </c>
      <c r="O3043" t="str">
        <f t="shared" si="383"/>
        <v>Standard order</v>
      </c>
      <c r="P3043" s="7">
        <f t="shared" si="377"/>
        <v>5.0979999999999999</v>
      </c>
      <c r="Q3043" s="7" t="str">
        <f>VLOOKUP(D3044,Product_Lookup!$A$2:$C$27,2,FALSE)</f>
        <v>Blender</v>
      </c>
      <c r="R3043" s="7">
        <f t="shared" si="378"/>
        <v>407.84</v>
      </c>
    </row>
    <row r="3044" spans="1:18" ht="21.75" customHeight="1">
      <c r="A3044" t="s">
        <v>3195</v>
      </c>
      <c r="B3044" s="6">
        <v>45606</v>
      </c>
      <c r="C3044" t="s">
        <v>594</v>
      </c>
      <c r="D3044" t="s">
        <v>72</v>
      </c>
      <c r="E3044" t="s">
        <v>11</v>
      </c>
      <c r="F3044" t="s">
        <v>306</v>
      </c>
      <c r="G3044" t="s">
        <v>36</v>
      </c>
      <c r="H3044">
        <v>1</v>
      </c>
      <c r="I3044" t="str">
        <f>VLOOKUP(D3044,Product_Lookup!$A$2:$C$27,3,FALSE)</f>
        <v>$156.44</v>
      </c>
      <c r="J3044" t="str">
        <f t="shared" si="379"/>
        <v>Sunday</v>
      </c>
      <c r="K3044" s="10" t="str">
        <f t="shared" si="380"/>
        <v>November</v>
      </c>
      <c r="L3044">
        <f t="shared" si="381"/>
        <v>2024</v>
      </c>
      <c r="M3044" t="b">
        <f t="shared" si="382"/>
        <v>1</v>
      </c>
      <c r="N3044" t="b">
        <f t="shared" si="376"/>
        <v>0</v>
      </c>
      <c r="O3044" t="str">
        <f t="shared" si="383"/>
        <v>Standard order</v>
      </c>
      <c r="P3044" s="7">
        <f t="shared" si="377"/>
        <v>7.8220000000000001</v>
      </c>
      <c r="Q3044" s="7" t="str">
        <f>VLOOKUP(D3045,Product_Lookup!$A$2:$C$27,2,FALSE)</f>
        <v>Tablet</v>
      </c>
      <c r="R3044" s="7">
        <f t="shared" si="378"/>
        <v>156.44</v>
      </c>
    </row>
    <row r="3045" spans="1:18" ht="21.75" customHeight="1">
      <c r="A3045" t="s">
        <v>3196</v>
      </c>
      <c r="B3045" s="6">
        <v>45302</v>
      </c>
      <c r="C3045" t="s">
        <v>159</v>
      </c>
      <c r="D3045" t="s">
        <v>10</v>
      </c>
      <c r="E3045" t="s">
        <v>22</v>
      </c>
      <c r="F3045" t="s">
        <v>42</v>
      </c>
      <c r="G3045" t="s">
        <v>32</v>
      </c>
      <c r="H3045">
        <v>18</v>
      </c>
      <c r="I3045" t="str">
        <f>VLOOKUP(D3045,Product_Lookup!$A$2:$C$27,3,FALSE)</f>
        <v>$146.06</v>
      </c>
      <c r="J3045" t="str">
        <f t="shared" si="379"/>
        <v>Thursday</v>
      </c>
      <c r="K3045" s="10" t="str">
        <f t="shared" si="380"/>
        <v>January</v>
      </c>
      <c r="L3045">
        <f t="shared" si="381"/>
        <v>2024</v>
      </c>
      <c r="M3045" t="b">
        <f t="shared" si="382"/>
        <v>0</v>
      </c>
      <c r="N3045" t="b">
        <f t="shared" si="376"/>
        <v>1</v>
      </c>
      <c r="O3045" t="str">
        <f t="shared" si="383"/>
        <v>Large Order</v>
      </c>
      <c r="P3045" s="7">
        <f t="shared" si="377"/>
        <v>7.3030000000000008</v>
      </c>
      <c r="Q3045" s="7" t="str">
        <f>VLOOKUP(D3046,Product_Lookup!$A$2:$C$27,2,FALSE)</f>
        <v>Jeans</v>
      </c>
      <c r="R3045" s="7">
        <f t="shared" si="378"/>
        <v>2629.08</v>
      </c>
    </row>
    <row r="3046" spans="1:18" ht="21.75" customHeight="1">
      <c r="A3046" t="s">
        <v>3197</v>
      </c>
      <c r="B3046" s="6">
        <v>45317</v>
      </c>
      <c r="C3046" t="s">
        <v>363</v>
      </c>
      <c r="D3046" t="s">
        <v>65</v>
      </c>
      <c r="E3046" t="s">
        <v>17</v>
      </c>
      <c r="F3046" t="s">
        <v>306</v>
      </c>
      <c r="G3046" t="s">
        <v>28</v>
      </c>
      <c r="H3046">
        <v>6</v>
      </c>
      <c r="I3046" t="str">
        <f>VLOOKUP(D3046,Product_Lookup!$A$2:$C$27,3,FALSE)</f>
        <v>$33.22</v>
      </c>
      <c r="J3046" t="str">
        <f t="shared" si="379"/>
        <v>Friday</v>
      </c>
      <c r="K3046" s="10" t="str">
        <f t="shared" si="380"/>
        <v>January</v>
      </c>
      <c r="L3046">
        <f t="shared" si="381"/>
        <v>2024</v>
      </c>
      <c r="M3046" t="b">
        <f t="shared" si="382"/>
        <v>0</v>
      </c>
      <c r="N3046" t="b">
        <f t="shared" si="376"/>
        <v>0</v>
      </c>
      <c r="O3046" t="str">
        <f t="shared" si="383"/>
        <v>Standard order</v>
      </c>
      <c r="P3046" s="7">
        <f t="shared" si="377"/>
        <v>1.661</v>
      </c>
      <c r="Q3046" s="7" t="str">
        <f>VLOOKUP(D3047,Product_Lookup!$A$2:$C$27,2,FALSE)</f>
        <v>Jacket</v>
      </c>
      <c r="R3046" s="7">
        <f t="shared" si="378"/>
        <v>199.32</v>
      </c>
    </row>
    <row r="3047" spans="1:18" ht="21.75" customHeight="1">
      <c r="A3047" t="s">
        <v>3198</v>
      </c>
      <c r="B3047" s="6">
        <v>45494</v>
      </c>
      <c r="C3047" t="s">
        <v>436</v>
      </c>
      <c r="D3047" t="s">
        <v>197</v>
      </c>
      <c r="E3047" t="s">
        <v>17</v>
      </c>
      <c r="F3047" t="s">
        <v>56</v>
      </c>
      <c r="G3047" t="s">
        <v>32</v>
      </c>
      <c r="H3047">
        <v>11</v>
      </c>
      <c r="I3047" t="str">
        <f>VLOOKUP(D3047,Product_Lookup!$A$2:$C$27,3,FALSE)</f>
        <v>$10.11</v>
      </c>
      <c r="J3047" t="str">
        <f t="shared" si="379"/>
        <v>Sunday</v>
      </c>
      <c r="K3047" s="10" t="str">
        <f t="shared" si="380"/>
        <v>July</v>
      </c>
      <c r="L3047">
        <f t="shared" si="381"/>
        <v>2024</v>
      </c>
      <c r="M3047" t="b">
        <f t="shared" si="382"/>
        <v>1</v>
      </c>
      <c r="N3047" t="b">
        <f t="shared" si="376"/>
        <v>0</v>
      </c>
      <c r="O3047" t="str">
        <f t="shared" si="383"/>
        <v>Standard order</v>
      </c>
      <c r="P3047" s="7">
        <f t="shared" si="377"/>
        <v>0.50549999999999995</v>
      </c>
      <c r="Q3047" s="7" t="str">
        <f>VLOOKUP(D3048,Product_Lookup!$A$2:$C$27,2,FALSE)</f>
        <v>Jacket</v>
      </c>
      <c r="R3047" s="7">
        <f t="shared" si="378"/>
        <v>111.21</v>
      </c>
    </row>
    <row r="3048" spans="1:18" ht="21.75" customHeight="1">
      <c r="A3048" t="s">
        <v>3199</v>
      </c>
      <c r="B3048" s="6">
        <v>45575</v>
      </c>
      <c r="C3048" t="s">
        <v>388</v>
      </c>
      <c r="D3048" t="s">
        <v>197</v>
      </c>
      <c r="E3048" t="s">
        <v>11</v>
      </c>
      <c r="F3048" t="s">
        <v>12</v>
      </c>
      <c r="G3048" t="s">
        <v>13</v>
      </c>
      <c r="H3048">
        <v>17</v>
      </c>
      <c r="I3048" t="str">
        <f>VLOOKUP(D3048,Product_Lookup!$A$2:$C$27,3,FALSE)</f>
        <v>$10.11</v>
      </c>
      <c r="J3048" t="str">
        <f t="shared" si="379"/>
        <v>Thursday</v>
      </c>
      <c r="K3048" s="10" t="str">
        <f t="shared" si="380"/>
        <v>October</v>
      </c>
      <c r="L3048">
        <f t="shared" si="381"/>
        <v>2024</v>
      </c>
      <c r="M3048" t="b">
        <f t="shared" si="382"/>
        <v>0</v>
      </c>
      <c r="N3048" t="b">
        <f t="shared" si="376"/>
        <v>0</v>
      </c>
      <c r="O3048" t="str">
        <f t="shared" si="383"/>
        <v>Standard order</v>
      </c>
      <c r="P3048" s="7">
        <f t="shared" si="377"/>
        <v>0.50549999999999995</v>
      </c>
      <c r="Q3048" s="7" t="str">
        <f>VLOOKUP(D3049,Product_Lookup!$A$2:$C$27,2,FALSE)</f>
        <v>Smartphone</v>
      </c>
      <c r="R3048" s="7">
        <f t="shared" si="378"/>
        <v>171.87</v>
      </c>
    </row>
    <row r="3049" spans="1:18" ht="21.75" customHeight="1">
      <c r="A3049" t="s">
        <v>3200</v>
      </c>
      <c r="B3049" s="6">
        <v>45495</v>
      </c>
      <c r="C3049" t="s">
        <v>374</v>
      </c>
      <c r="D3049" t="s">
        <v>79</v>
      </c>
      <c r="E3049" t="s">
        <v>11</v>
      </c>
      <c r="F3049" t="s">
        <v>42</v>
      </c>
      <c r="G3049" t="s">
        <v>32</v>
      </c>
      <c r="H3049">
        <v>1</v>
      </c>
      <c r="I3049" t="str">
        <f>VLOOKUP(D3049,Product_Lookup!$A$2:$C$27,3,FALSE)</f>
        <v>$216.22</v>
      </c>
      <c r="J3049" t="str">
        <f t="shared" si="379"/>
        <v>Monday</v>
      </c>
      <c r="K3049" s="10" t="str">
        <f t="shared" si="380"/>
        <v>July</v>
      </c>
      <c r="L3049">
        <f t="shared" si="381"/>
        <v>2024</v>
      </c>
      <c r="M3049" t="b">
        <f t="shared" si="382"/>
        <v>0</v>
      </c>
      <c r="N3049" t="b">
        <f t="shared" si="376"/>
        <v>0</v>
      </c>
      <c r="O3049" t="str">
        <f t="shared" si="383"/>
        <v>Standard order</v>
      </c>
      <c r="P3049" s="7">
        <f t="shared" si="377"/>
        <v>10.811</v>
      </c>
      <c r="Q3049" s="7" t="str">
        <f>VLOOKUP(D3050,Product_Lookup!$A$2:$C$27,2,FALSE)</f>
        <v>Smartphone</v>
      </c>
      <c r="R3049" s="7">
        <f t="shared" si="378"/>
        <v>216.22</v>
      </c>
    </row>
    <row r="3050" spans="1:18" ht="21.75" customHeight="1">
      <c r="A3050" t="s">
        <v>3201</v>
      </c>
      <c r="B3050" s="6">
        <v>45644</v>
      </c>
      <c r="C3050" t="s">
        <v>78</v>
      </c>
      <c r="D3050" t="s">
        <v>79</v>
      </c>
      <c r="E3050" t="s">
        <v>17</v>
      </c>
      <c r="F3050" t="s">
        <v>12</v>
      </c>
      <c r="G3050" t="s">
        <v>23</v>
      </c>
      <c r="H3050">
        <v>13</v>
      </c>
      <c r="I3050" t="str">
        <f>VLOOKUP(D3050,Product_Lookup!$A$2:$C$27,3,FALSE)</f>
        <v>$216.22</v>
      </c>
      <c r="J3050" t="str">
        <f t="shared" si="379"/>
        <v>Wednesday</v>
      </c>
      <c r="K3050" s="10" t="str">
        <f t="shared" si="380"/>
        <v>December</v>
      </c>
      <c r="L3050">
        <f t="shared" si="381"/>
        <v>2024</v>
      </c>
      <c r="M3050" t="b">
        <f t="shared" si="382"/>
        <v>0</v>
      </c>
      <c r="N3050" t="b">
        <f t="shared" si="376"/>
        <v>1</v>
      </c>
      <c r="O3050" t="str">
        <f t="shared" si="383"/>
        <v>Large Order</v>
      </c>
      <c r="P3050" s="7">
        <f t="shared" si="377"/>
        <v>10.811</v>
      </c>
      <c r="Q3050" s="7" t="str">
        <f>VLOOKUP(D3051,Product_Lookup!$A$2:$C$27,2,FALSE)</f>
        <v>Tablet</v>
      </c>
      <c r="R3050" s="7">
        <f t="shared" si="378"/>
        <v>2810.86</v>
      </c>
    </row>
    <row r="3051" spans="1:18" ht="21.75" customHeight="1">
      <c r="A3051" t="s">
        <v>3202</v>
      </c>
      <c r="B3051" s="6">
        <v>45430</v>
      </c>
      <c r="C3051" t="s">
        <v>81</v>
      </c>
      <c r="D3051" t="s">
        <v>10</v>
      </c>
      <c r="E3051" t="s">
        <v>11</v>
      </c>
      <c r="F3051" t="s">
        <v>306</v>
      </c>
      <c r="G3051" t="s">
        <v>23</v>
      </c>
      <c r="H3051">
        <v>1</v>
      </c>
      <c r="I3051" t="str">
        <f>VLOOKUP(D3051,Product_Lookup!$A$2:$C$27,3,FALSE)</f>
        <v>$146.06</v>
      </c>
      <c r="J3051" t="str">
        <f t="shared" si="379"/>
        <v>Saturday</v>
      </c>
      <c r="K3051" s="10" t="str">
        <f t="shared" si="380"/>
        <v>May</v>
      </c>
      <c r="L3051">
        <f t="shared" si="381"/>
        <v>2024</v>
      </c>
      <c r="M3051" t="b">
        <f t="shared" si="382"/>
        <v>1</v>
      </c>
      <c r="N3051" t="b">
        <f t="shared" si="376"/>
        <v>0</v>
      </c>
      <c r="O3051" t="str">
        <f t="shared" si="383"/>
        <v>Standard order</v>
      </c>
      <c r="P3051" s="7">
        <f t="shared" si="377"/>
        <v>7.3030000000000008</v>
      </c>
      <c r="Q3051" s="7" t="str">
        <f>VLOOKUP(D3052,Product_Lookup!$A$2:$C$27,2,FALSE)</f>
        <v>Headphones</v>
      </c>
      <c r="R3051" s="7">
        <f t="shared" si="378"/>
        <v>146.06</v>
      </c>
    </row>
    <row r="3052" spans="1:18" ht="21.75" customHeight="1">
      <c r="A3052" t="s">
        <v>3203</v>
      </c>
      <c r="B3052" s="6">
        <v>45569</v>
      </c>
      <c r="C3052" t="s">
        <v>493</v>
      </c>
      <c r="D3052" t="s">
        <v>16</v>
      </c>
      <c r="E3052" t="s">
        <v>11</v>
      </c>
      <c r="F3052" t="s">
        <v>306</v>
      </c>
      <c r="G3052" t="s">
        <v>23</v>
      </c>
      <c r="H3052">
        <v>7</v>
      </c>
      <c r="I3052" t="str">
        <f>VLOOKUP(D3052,Product_Lookup!$A$2:$C$27,3,FALSE)</f>
        <v>$178.83</v>
      </c>
      <c r="J3052" t="str">
        <f t="shared" si="379"/>
        <v>Friday</v>
      </c>
      <c r="K3052" s="10" t="str">
        <f t="shared" si="380"/>
        <v>October</v>
      </c>
      <c r="L3052">
        <f t="shared" si="381"/>
        <v>2024</v>
      </c>
      <c r="M3052" t="b">
        <f t="shared" si="382"/>
        <v>0</v>
      </c>
      <c r="N3052" t="b">
        <f t="shared" si="376"/>
        <v>1</v>
      </c>
      <c r="O3052" t="str">
        <f t="shared" si="383"/>
        <v>Large Order</v>
      </c>
      <c r="P3052" s="7">
        <f t="shared" si="377"/>
        <v>8.9415000000000013</v>
      </c>
      <c r="Q3052" s="7" t="str">
        <f>VLOOKUP(D3053,Product_Lookup!$A$2:$C$27,2,FALSE)</f>
        <v>Blender</v>
      </c>
      <c r="R3052" s="7">
        <f t="shared" si="378"/>
        <v>1251.8100000000002</v>
      </c>
    </row>
    <row r="3053" spans="1:18" ht="21.75" customHeight="1">
      <c r="A3053" t="s">
        <v>3204</v>
      </c>
      <c r="B3053" s="6">
        <v>45451</v>
      </c>
      <c r="C3053" t="s">
        <v>728</v>
      </c>
      <c r="D3053" t="s">
        <v>72</v>
      </c>
      <c r="E3053" t="s">
        <v>17</v>
      </c>
      <c r="F3053" t="s">
        <v>306</v>
      </c>
      <c r="G3053" t="s">
        <v>13</v>
      </c>
      <c r="H3053">
        <v>10</v>
      </c>
      <c r="I3053" t="str">
        <f>VLOOKUP(D3053,Product_Lookup!$A$2:$C$27,3,FALSE)</f>
        <v>$156.44</v>
      </c>
      <c r="J3053" t="str">
        <f t="shared" si="379"/>
        <v>Saturday</v>
      </c>
      <c r="K3053" s="10" t="str">
        <f t="shared" si="380"/>
        <v>June</v>
      </c>
      <c r="L3053">
        <f t="shared" si="381"/>
        <v>2024</v>
      </c>
      <c r="M3053" t="b">
        <f t="shared" si="382"/>
        <v>1</v>
      </c>
      <c r="N3053" t="b">
        <f t="shared" si="376"/>
        <v>1</v>
      </c>
      <c r="O3053" t="str">
        <f t="shared" si="383"/>
        <v>Large Order</v>
      </c>
      <c r="P3053" s="7">
        <f t="shared" si="377"/>
        <v>7.8220000000000001</v>
      </c>
      <c r="Q3053" s="7" t="str">
        <f>VLOOKUP(D3054,Product_Lookup!$A$2:$C$27,2,FALSE)</f>
        <v>Sweater</v>
      </c>
      <c r="R3053" s="7">
        <f t="shared" si="378"/>
        <v>1564.4</v>
      </c>
    </row>
    <row r="3054" spans="1:18" ht="21.75" customHeight="1">
      <c r="A3054" t="s">
        <v>3205</v>
      </c>
      <c r="B3054" s="6">
        <v>45395</v>
      </c>
      <c r="C3054" t="s">
        <v>108</v>
      </c>
      <c r="D3054" t="s">
        <v>26</v>
      </c>
      <c r="E3054" t="s">
        <v>22</v>
      </c>
      <c r="F3054" t="s">
        <v>306</v>
      </c>
      <c r="G3054" t="s">
        <v>23</v>
      </c>
      <c r="H3054">
        <v>13</v>
      </c>
      <c r="I3054" t="str">
        <f>VLOOKUP(D3054,Product_Lookup!$A$2:$C$27,3,FALSE)</f>
        <v>$84.57</v>
      </c>
      <c r="J3054" t="str">
        <f t="shared" si="379"/>
        <v>Saturday</v>
      </c>
      <c r="K3054" s="10" t="str">
        <f t="shared" si="380"/>
        <v>April</v>
      </c>
      <c r="L3054">
        <f t="shared" si="381"/>
        <v>2024</v>
      </c>
      <c r="M3054" t="b">
        <f t="shared" si="382"/>
        <v>1</v>
      </c>
      <c r="N3054" t="b">
        <f t="shared" si="376"/>
        <v>1</v>
      </c>
      <c r="O3054" t="str">
        <f t="shared" si="383"/>
        <v>Large Order</v>
      </c>
      <c r="P3054" s="7">
        <f t="shared" si="377"/>
        <v>4.2284999999999995</v>
      </c>
      <c r="Q3054" s="7" t="str">
        <f>VLOOKUP(D3055,Product_Lookup!$A$2:$C$27,2,FALSE)</f>
        <v>Vacuum</v>
      </c>
      <c r="R3054" s="7">
        <f t="shared" si="378"/>
        <v>1099.4099999999999</v>
      </c>
    </row>
    <row r="3055" spans="1:18" ht="21.75" customHeight="1">
      <c r="A3055" t="s">
        <v>3206</v>
      </c>
      <c r="B3055" s="6">
        <v>45339</v>
      </c>
      <c r="C3055" t="s">
        <v>240</v>
      </c>
      <c r="D3055" t="s">
        <v>87</v>
      </c>
      <c r="E3055" t="s">
        <v>22</v>
      </c>
      <c r="F3055" t="s">
        <v>42</v>
      </c>
      <c r="G3055" t="s">
        <v>23</v>
      </c>
      <c r="H3055">
        <v>10</v>
      </c>
      <c r="I3055" t="str">
        <f>VLOOKUP(D3055,Product_Lookup!$A$2:$C$27,3,FALSE)</f>
        <v>$26.59</v>
      </c>
      <c r="J3055" t="str">
        <f t="shared" si="379"/>
        <v>Saturday</v>
      </c>
      <c r="K3055" s="10" t="str">
        <f t="shared" si="380"/>
        <v>February</v>
      </c>
      <c r="L3055">
        <f t="shared" si="381"/>
        <v>2024</v>
      </c>
      <c r="M3055" t="b">
        <f t="shared" si="382"/>
        <v>1</v>
      </c>
      <c r="N3055" t="b">
        <f t="shared" si="376"/>
        <v>0</v>
      </c>
      <c r="O3055" t="str">
        <f t="shared" si="383"/>
        <v>Standard order</v>
      </c>
      <c r="P3055" s="7">
        <f t="shared" si="377"/>
        <v>1.3295000000000001</v>
      </c>
      <c r="Q3055" s="7" t="str">
        <f>VLOOKUP(D3056,Product_Lookup!$A$2:$C$27,2,FALSE)</f>
        <v>Jacket</v>
      </c>
      <c r="R3055" s="7">
        <f t="shared" si="378"/>
        <v>265.89999999999998</v>
      </c>
    </row>
    <row r="3056" spans="1:18" ht="21.75" customHeight="1">
      <c r="A3056" t="s">
        <v>3207</v>
      </c>
      <c r="B3056" s="6">
        <v>45565</v>
      </c>
      <c r="C3056" t="s">
        <v>358</v>
      </c>
      <c r="D3056" t="s">
        <v>197</v>
      </c>
      <c r="E3056" t="s">
        <v>17</v>
      </c>
      <c r="F3056" t="s">
        <v>12</v>
      </c>
      <c r="G3056" t="s">
        <v>23</v>
      </c>
      <c r="H3056">
        <v>13</v>
      </c>
      <c r="I3056" t="str">
        <f>VLOOKUP(D3056,Product_Lookup!$A$2:$C$27,3,FALSE)</f>
        <v>$10.11</v>
      </c>
      <c r="J3056" t="str">
        <f t="shared" si="379"/>
        <v>Monday</v>
      </c>
      <c r="K3056" s="10" t="str">
        <f t="shared" si="380"/>
        <v>September</v>
      </c>
      <c r="L3056">
        <f t="shared" si="381"/>
        <v>2024</v>
      </c>
      <c r="M3056" t="b">
        <f t="shared" si="382"/>
        <v>0</v>
      </c>
      <c r="N3056" t="b">
        <f t="shared" si="376"/>
        <v>0</v>
      </c>
      <c r="O3056" t="str">
        <f t="shared" si="383"/>
        <v>Standard order</v>
      </c>
      <c r="P3056" s="7">
        <f t="shared" si="377"/>
        <v>0.50549999999999995</v>
      </c>
      <c r="Q3056" s="7" t="str">
        <f>VLOOKUP(D3057,Product_Lookup!$A$2:$C$27,2,FALSE)</f>
        <v>Monitor</v>
      </c>
      <c r="R3056" s="7">
        <f t="shared" si="378"/>
        <v>131.43</v>
      </c>
    </row>
    <row r="3057" spans="1:18" ht="21.75" customHeight="1">
      <c r="A3057" t="s">
        <v>3208</v>
      </c>
      <c r="B3057" s="6">
        <v>45571</v>
      </c>
      <c r="C3057" t="s">
        <v>436</v>
      </c>
      <c r="D3057" t="s">
        <v>102</v>
      </c>
      <c r="E3057" t="s">
        <v>17</v>
      </c>
      <c r="F3057" t="s">
        <v>56</v>
      </c>
      <c r="G3057" t="s">
        <v>36</v>
      </c>
      <c r="H3057">
        <v>1</v>
      </c>
      <c r="I3057" t="str">
        <f>VLOOKUP(D3057,Product_Lookup!$A$2:$C$27,3,FALSE)</f>
        <v>$145.48</v>
      </c>
      <c r="J3057" t="str">
        <f t="shared" si="379"/>
        <v>Sunday</v>
      </c>
      <c r="K3057" s="10" t="str">
        <f t="shared" si="380"/>
        <v>October</v>
      </c>
      <c r="L3057">
        <f t="shared" si="381"/>
        <v>2024</v>
      </c>
      <c r="M3057" t="b">
        <f t="shared" si="382"/>
        <v>1</v>
      </c>
      <c r="N3057" t="b">
        <f t="shared" si="376"/>
        <v>0</v>
      </c>
      <c r="O3057" t="str">
        <f t="shared" si="383"/>
        <v>Standard order</v>
      </c>
      <c r="P3057" s="7">
        <f t="shared" si="377"/>
        <v>7.274</v>
      </c>
      <c r="Q3057" s="7" t="str">
        <f>VLOOKUP(D3058,Product_Lookup!$A$2:$C$27,2,FALSE)</f>
        <v>Toaster</v>
      </c>
      <c r="R3057" s="7">
        <f t="shared" si="378"/>
        <v>145.47999999999999</v>
      </c>
    </row>
    <row r="3058" spans="1:18" ht="21.75" customHeight="1">
      <c r="A3058" t="s">
        <v>3209</v>
      </c>
      <c r="B3058" s="6">
        <v>45410</v>
      </c>
      <c r="C3058" t="s">
        <v>430</v>
      </c>
      <c r="D3058" t="s">
        <v>48</v>
      </c>
      <c r="E3058" t="s">
        <v>17</v>
      </c>
      <c r="F3058" t="s">
        <v>306</v>
      </c>
      <c r="G3058" t="s">
        <v>13</v>
      </c>
      <c r="H3058">
        <v>10</v>
      </c>
      <c r="I3058" t="str">
        <f>VLOOKUP(D3058,Product_Lookup!$A$2:$C$27,3,FALSE)</f>
        <v>$208.85</v>
      </c>
      <c r="J3058" t="str">
        <f t="shared" si="379"/>
        <v>Sunday</v>
      </c>
      <c r="K3058" s="10" t="str">
        <f t="shared" si="380"/>
        <v>April</v>
      </c>
      <c r="L3058">
        <f t="shared" si="381"/>
        <v>2024</v>
      </c>
      <c r="M3058" t="b">
        <f t="shared" si="382"/>
        <v>1</v>
      </c>
      <c r="N3058" t="b">
        <f t="shared" si="376"/>
        <v>1</v>
      </c>
      <c r="O3058" t="str">
        <f t="shared" si="383"/>
        <v>Large Order</v>
      </c>
      <c r="P3058" s="7">
        <f t="shared" si="377"/>
        <v>10.442500000000001</v>
      </c>
      <c r="Q3058" s="7" t="str">
        <f>VLOOKUP(D3059,Product_Lookup!$A$2:$C$27,2,FALSE)</f>
        <v>Monitor</v>
      </c>
      <c r="R3058" s="7">
        <f t="shared" si="378"/>
        <v>2088.5</v>
      </c>
    </row>
    <row r="3059" spans="1:18" ht="21.75" customHeight="1">
      <c r="A3059" t="s">
        <v>3210</v>
      </c>
      <c r="B3059" s="6">
        <v>45614</v>
      </c>
      <c r="C3059" t="s">
        <v>81</v>
      </c>
      <c r="D3059" t="s">
        <v>102</v>
      </c>
      <c r="E3059" t="s">
        <v>22</v>
      </c>
      <c r="F3059" t="s">
        <v>56</v>
      </c>
      <c r="G3059" t="s">
        <v>28</v>
      </c>
      <c r="H3059">
        <v>16</v>
      </c>
      <c r="I3059" t="str">
        <f>VLOOKUP(D3059,Product_Lookup!$A$2:$C$27,3,FALSE)</f>
        <v>$145.48</v>
      </c>
      <c r="J3059" t="str">
        <f t="shared" si="379"/>
        <v>Monday</v>
      </c>
      <c r="K3059" s="10" t="str">
        <f t="shared" si="380"/>
        <v>November</v>
      </c>
      <c r="L3059">
        <f t="shared" si="381"/>
        <v>2024</v>
      </c>
      <c r="M3059" t="b">
        <f t="shared" si="382"/>
        <v>0</v>
      </c>
      <c r="N3059" t="b">
        <f t="shared" si="376"/>
        <v>1</v>
      </c>
      <c r="O3059" t="str">
        <f t="shared" si="383"/>
        <v>Large Order</v>
      </c>
      <c r="P3059" s="7">
        <f t="shared" si="377"/>
        <v>7.274</v>
      </c>
      <c r="Q3059" s="7" t="str">
        <f>VLOOKUP(D3060,Product_Lookup!$A$2:$C$27,2,FALSE)</f>
        <v>Coffee Maker</v>
      </c>
      <c r="R3059" s="7">
        <f t="shared" si="378"/>
        <v>2327.6799999999998</v>
      </c>
    </row>
    <row r="3060" spans="1:18" ht="21.75" customHeight="1">
      <c r="A3060" t="s">
        <v>3211</v>
      </c>
      <c r="B3060" s="6">
        <v>45334</v>
      </c>
      <c r="C3060" t="s">
        <v>167</v>
      </c>
      <c r="D3060" t="s">
        <v>31</v>
      </c>
      <c r="E3060" t="s">
        <v>22</v>
      </c>
      <c r="F3060" t="s">
        <v>27</v>
      </c>
      <c r="G3060" t="s">
        <v>36</v>
      </c>
      <c r="H3060">
        <v>19</v>
      </c>
      <c r="I3060" t="str">
        <f>VLOOKUP(D3060,Product_Lookup!$A$2:$C$27,3,FALSE)</f>
        <v>$230.34</v>
      </c>
      <c r="J3060" t="str">
        <f t="shared" si="379"/>
        <v>Monday</v>
      </c>
      <c r="K3060" s="10" t="str">
        <f t="shared" si="380"/>
        <v>February</v>
      </c>
      <c r="L3060">
        <f t="shared" si="381"/>
        <v>2024</v>
      </c>
      <c r="M3060" t="b">
        <f t="shared" si="382"/>
        <v>0</v>
      </c>
      <c r="N3060" t="b">
        <f t="shared" si="376"/>
        <v>1</v>
      </c>
      <c r="O3060" t="str">
        <f t="shared" si="383"/>
        <v>Large Order</v>
      </c>
      <c r="P3060" s="7">
        <f t="shared" si="377"/>
        <v>11.517000000000001</v>
      </c>
      <c r="Q3060" s="7" t="str">
        <f>VLOOKUP(D3061,Product_Lookup!$A$2:$C$27,2,FALSE)</f>
        <v>Stapler</v>
      </c>
      <c r="R3060" s="7">
        <f t="shared" si="378"/>
        <v>4376.46</v>
      </c>
    </row>
    <row r="3061" spans="1:18" ht="21.75" customHeight="1">
      <c r="A3061" t="s">
        <v>3212</v>
      </c>
      <c r="B3061" s="6">
        <v>45322</v>
      </c>
      <c r="C3061" t="s">
        <v>337</v>
      </c>
      <c r="D3061" t="s">
        <v>35</v>
      </c>
      <c r="E3061" t="s">
        <v>17</v>
      </c>
      <c r="F3061" t="s">
        <v>27</v>
      </c>
      <c r="G3061" t="s">
        <v>32</v>
      </c>
      <c r="H3061">
        <v>11</v>
      </c>
      <c r="I3061" t="str">
        <f>VLOOKUP(D3061,Product_Lookup!$A$2:$C$27,3,FALSE)</f>
        <v>$64.61</v>
      </c>
      <c r="J3061" t="str">
        <f t="shared" si="379"/>
        <v>Wednesday</v>
      </c>
      <c r="K3061" s="10" t="str">
        <f t="shared" si="380"/>
        <v>January</v>
      </c>
      <c r="L3061">
        <f t="shared" si="381"/>
        <v>2024</v>
      </c>
      <c r="M3061" t="b">
        <f t="shared" si="382"/>
        <v>0</v>
      </c>
      <c r="N3061" t="b">
        <f t="shared" si="376"/>
        <v>0</v>
      </c>
      <c r="O3061" t="str">
        <f t="shared" si="383"/>
        <v>Large Order</v>
      </c>
      <c r="P3061" s="7">
        <f t="shared" si="377"/>
        <v>3.2305000000000001</v>
      </c>
      <c r="Q3061" s="7" t="str">
        <f>VLOOKUP(D3062,Product_Lookup!$A$2:$C$27,2,FALSE)</f>
        <v>Puzzle</v>
      </c>
      <c r="R3061" s="7">
        <f t="shared" si="378"/>
        <v>710.71</v>
      </c>
    </row>
    <row r="3062" spans="1:18" ht="21.75" customHeight="1">
      <c r="A3062" t="s">
        <v>3213</v>
      </c>
      <c r="B3062" s="6">
        <v>45310</v>
      </c>
      <c r="C3062" t="s">
        <v>187</v>
      </c>
      <c r="D3062" t="s">
        <v>62</v>
      </c>
      <c r="E3062" t="s">
        <v>22</v>
      </c>
      <c r="F3062" t="s">
        <v>306</v>
      </c>
      <c r="G3062" t="s">
        <v>23</v>
      </c>
      <c r="H3062">
        <v>1</v>
      </c>
      <c r="I3062" t="str">
        <f>VLOOKUP(D3062,Product_Lookup!$A$2:$C$27,3,FALSE)</f>
        <v>$46.19</v>
      </c>
      <c r="J3062" t="str">
        <f t="shared" si="379"/>
        <v>Friday</v>
      </c>
      <c r="K3062" s="10" t="str">
        <f t="shared" si="380"/>
        <v>January</v>
      </c>
      <c r="L3062">
        <f t="shared" si="381"/>
        <v>2024</v>
      </c>
      <c r="M3062" t="b">
        <f t="shared" si="382"/>
        <v>0</v>
      </c>
      <c r="N3062" t="b">
        <f t="shared" si="376"/>
        <v>0</v>
      </c>
      <c r="O3062" t="str">
        <f t="shared" si="383"/>
        <v>Standard order</v>
      </c>
      <c r="P3062" s="7">
        <f t="shared" si="377"/>
        <v>2.3094999999999999</v>
      </c>
      <c r="Q3062" s="7" t="str">
        <f>VLOOKUP(D3063,Product_Lookup!$A$2:$C$27,2,FALSE)</f>
        <v>Pen Set</v>
      </c>
      <c r="R3062" s="7">
        <f t="shared" si="378"/>
        <v>46.19</v>
      </c>
    </row>
    <row r="3063" spans="1:18" ht="21.75" customHeight="1">
      <c r="A3063" t="s">
        <v>3214</v>
      </c>
      <c r="B3063" s="6">
        <v>45399</v>
      </c>
      <c r="C3063" t="s">
        <v>664</v>
      </c>
      <c r="D3063" t="s">
        <v>174</v>
      </c>
      <c r="E3063" t="s">
        <v>17</v>
      </c>
      <c r="F3063" t="s">
        <v>306</v>
      </c>
      <c r="G3063" t="s">
        <v>23</v>
      </c>
      <c r="H3063">
        <v>11</v>
      </c>
      <c r="I3063" t="str">
        <f>VLOOKUP(D3063,Product_Lookup!$A$2:$C$27,3,FALSE)</f>
        <v>$133.37</v>
      </c>
      <c r="J3063" t="str">
        <f t="shared" si="379"/>
        <v>Wednesday</v>
      </c>
      <c r="K3063" s="10" t="str">
        <f t="shared" si="380"/>
        <v>April</v>
      </c>
      <c r="L3063">
        <f t="shared" si="381"/>
        <v>2024</v>
      </c>
      <c r="M3063" t="b">
        <f t="shared" si="382"/>
        <v>0</v>
      </c>
      <c r="N3063" t="b">
        <f t="shared" si="376"/>
        <v>1</v>
      </c>
      <c r="O3063" t="str">
        <f t="shared" si="383"/>
        <v>Large Order</v>
      </c>
      <c r="P3063" s="7">
        <f t="shared" si="377"/>
        <v>6.6685000000000008</v>
      </c>
      <c r="Q3063" s="7" t="str">
        <f>VLOOKUP(D3064,Product_Lookup!$A$2:$C$27,2,FALSE)</f>
        <v>Air Fryer</v>
      </c>
      <c r="R3063" s="7">
        <f t="shared" si="378"/>
        <v>1467.0700000000002</v>
      </c>
    </row>
    <row r="3064" spans="1:18" ht="21.75" customHeight="1">
      <c r="A3064" t="s">
        <v>3215</v>
      </c>
      <c r="B3064" s="6">
        <v>45412</v>
      </c>
      <c r="C3064" t="s">
        <v>187</v>
      </c>
      <c r="D3064" t="s">
        <v>70</v>
      </c>
      <c r="E3064" t="s">
        <v>22</v>
      </c>
      <c r="F3064" t="s">
        <v>27</v>
      </c>
      <c r="G3064" t="s">
        <v>36</v>
      </c>
      <c r="H3064">
        <v>18</v>
      </c>
      <c r="I3064" t="str">
        <f>VLOOKUP(D3064,Product_Lookup!$A$2:$C$27,3,FALSE)</f>
        <v>$211.9</v>
      </c>
      <c r="J3064" t="str">
        <f t="shared" si="379"/>
        <v>Tuesday</v>
      </c>
      <c r="K3064" s="10" t="str">
        <f t="shared" si="380"/>
        <v>April</v>
      </c>
      <c r="L3064">
        <f t="shared" si="381"/>
        <v>2024</v>
      </c>
      <c r="M3064" t="b">
        <f t="shared" si="382"/>
        <v>0</v>
      </c>
      <c r="N3064" t="b">
        <f t="shared" si="376"/>
        <v>1</v>
      </c>
      <c r="O3064" t="str">
        <f t="shared" si="383"/>
        <v>Large Order</v>
      </c>
      <c r="P3064" s="7">
        <f t="shared" si="377"/>
        <v>10.595000000000001</v>
      </c>
      <c r="Q3064" s="7" t="str">
        <f>VLOOKUP(D3065,Product_Lookup!$A$2:$C$27,2,FALSE)</f>
        <v>Vacuum</v>
      </c>
      <c r="R3064" s="7">
        <f t="shared" si="378"/>
        <v>3814.2000000000003</v>
      </c>
    </row>
    <row r="3065" spans="1:18" ht="21.75" customHeight="1">
      <c r="A3065" t="s">
        <v>3216</v>
      </c>
      <c r="B3065" s="6">
        <v>45333</v>
      </c>
      <c r="C3065" t="s">
        <v>15</v>
      </c>
      <c r="D3065" t="s">
        <v>87</v>
      </c>
      <c r="E3065" t="s">
        <v>22</v>
      </c>
      <c r="F3065" t="s">
        <v>12</v>
      </c>
      <c r="G3065" t="s">
        <v>23</v>
      </c>
      <c r="H3065">
        <v>5</v>
      </c>
      <c r="I3065" t="str">
        <f>VLOOKUP(D3065,Product_Lookup!$A$2:$C$27,3,FALSE)</f>
        <v>$26.59</v>
      </c>
      <c r="J3065" t="str">
        <f t="shared" si="379"/>
        <v>Sunday</v>
      </c>
      <c r="K3065" s="10" t="str">
        <f t="shared" si="380"/>
        <v>February</v>
      </c>
      <c r="L3065">
        <f t="shared" si="381"/>
        <v>2024</v>
      </c>
      <c r="M3065" t="b">
        <f t="shared" si="382"/>
        <v>1</v>
      </c>
      <c r="N3065" t="b">
        <f t="shared" si="376"/>
        <v>0</v>
      </c>
      <c r="O3065" t="str">
        <f t="shared" si="383"/>
        <v>Standard order</v>
      </c>
      <c r="P3065" s="7">
        <f t="shared" si="377"/>
        <v>1.3295000000000001</v>
      </c>
      <c r="Q3065" s="7" t="str">
        <f>VLOOKUP(D3066,Product_Lookup!$A$2:$C$27,2,FALSE)</f>
        <v>Lego Set</v>
      </c>
      <c r="R3065" s="7">
        <f t="shared" si="378"/>
        <v>132.94999999999999</v>
      </c>
    </row>
    <row r="3066" spans="1:18" ht="21.75" customHeight="1">
      <c r="A3066" t="s">
        <v>3217</v>
      </c>
      <c r="B3066" s="6">
        <v>45374</v>
      </c>
      <c r="C3066" t="s">
        <v>363</v>
      </c>
      <c r="D3066" t="s">
        <v>84</v>
      </c>
      <c r="E3066" t="s">
        <v>11</v>
      </c>
      <c r="F3066" t="s">
        <v>56</v>
      </c>
      <c r="G3066" t="s">
        <v>28</v>
      </c>
      <c r="H3066">
        <v>15</v>
      </c>
      <c r="I3066" t="str">
        <f>VLOOKUP(D3066,Product_Lookup!$A$2:$C$27,3,FALSE)</f>
        <v>$130.07</v>
      </c>
      <c r="J3066" t="str">
        <f t="shared" si="379"/>
        <v>Saturday</v>
      </c>
      <c r="K3066" s="10" t="str">
        <f t="shared" si="380"/>
        <v>March</v>
      </c>
      <c r="L3066">
        <f t="shared" si="381"/>
        <v>2024</v>
      </c>
      <c r="M3066" t="b">
        <f t="shared" si="382"/>
        <v>1</v>
      </c>
      <c r="N3066" t="b">
        <f t="shared" si="376"/>
        <v>1</v>
      </c>
      <c r="O3066" t="str">
        <f t="shared" si="383"/>
        <v>Large Order</v>
      </c>
      <c r="P3066" s="7">
        <f t="shared" si="377"/>
        <v>6.5034999999999998</v>
      </c>
      <c r="Q3066" s="7" t="str">
        <f>VLOOKUP(D3067,Product_Lookup!$A$2:$C$27,2,FALSE)</f>
        <v>Vacuum</v>
      </c>
      <c r="R3066" s="7">
        <f t="shared" si="378"/>
        <v>1951.05</v>
      </c>
    </row>
    <row r="3067" spans="1:18" ht="21.75" customHeight="1">
      <c r="A3067" t="s">
        <v>3218</v>
      </c>
      <c r="B3067" s="6">
        <v>45350</v>
      </c>
      <c r="C3067" t="s">
        <v>122</v>
      </c>
      <c r="D3067" t="s">
        <v>87</v>
      </c>
      <c r="E3067" t="s">
        <v>17</v>
      </c>
      <c r="F3067" t="s">
        <v>56</v>
      </c>
      <c r="G3067" t="s">
        <v>36</v>
      </c>
      <c r="H3067">
        <v>16</v>
      </c>
      <c r="I3067" t="str">
        <f>VLOOKUP(D3067,Product_Lookup!$A$2:$C$27,3,FALSE)</f>
        <v>$26.59</v>
      </c>
      <c r="J3067" t="str">
        <f t="shared" si="379"/>
        <v>Wednesday</v>
      </c>
      <c r="K3067" s="10" t="str">
        <f t="shared" si="380"/>
        <v>February</v>
      </c>
      <c r="L3067">
        <f t="shared" si="381"/>
        <v>2024</v>
      </c>
      <c r="M3067" t="b">
        <f t="shared" si="382"/>
        <v>0</v>
      </c>
      <c r="N3067" t="b">
        <f t="shared" si="376"/>
        <v>0</v>
      </c>
      <c r="O3067" t="str">
        <f t="shared" si="383"/>
        <v>Standard order</v>
      </c>
      <c r="P3067" s="7">
        <f t="shared" si="377"/>
        <v>1.3295000000000001</v>
      </c>
      <c r="Q3067" s="7" t="str">
        <f>VLOOKUP(D3068,Product_Lookup!$A$2:$C$27,2,FALSE)</f>
        <v>Coffee Maker</v>
      </c>
      <c r="R3067" s="7">
        <f t="shared" si="378"/>
        <v>425.44</v>
      </c>
    </row>
    <row r="3068" spans="1:18" ht="21.75" customHeight="1">
      <c r="A3068" t="s">
        <v>3219</v>
      </c>
      <c r="B3068" s="6">
        <v>45572</v>
      </c>
      <c r="C3068" t="s">
        <v>572</v>
      </c>
      <c r="D3068" t="s">
        <v>31</v>
      </c>
      <c r="E3068" t="s">
        <v>11</v>
      </c>
      <c r="F3068" t="s">
        <v>42</v>
      </c>
      <c r="G3068" t="s">
        <v>13</v>
      </c>
      <c r="H3068">
        <v>14</v>
      </c>
      <c r="I3068" t="str">
        <f>VLOOKUP(D3068,Product_Lookup!$A$2:$C$27,3,FALSE)</f>
        <v>$230.34</v>
      </c>
      <c r="J3068" t="str">
        <f t="shared" si="379"/>
        <v>Monday</v>
      </c>
      <c r="K3068" s="10" t="str">
        <f t="shared" si="380"/>
        <v>October</v>
      </c>
      <c r="L3068">
        <f t="shared" si="381"/>
        <v>2024</v>
      </c>
      <c r="M3068" t="b">
        <f t="shared" si="382"/>
        <v>0</v>
      </c>
      <c r="N3068" t="b">
        <f t="shared" si="376"/>
        <v>1</v>
      </c>
      <c r="O3068" t="str">
        <f t="shared" si="383"/>
        <v>Large Order</v>
      </c>
      <c r="P3068" s="7">
        <f t="shared" si="377"/>
        <v>11.517000000000001</v>
      </c>
      <c r="Q3068" s="7" t="str">
        <f>VLOOKUP(D3069,Product_Lookup!$A$2:$C$27,2,FALSE)</f>
        <v>Notebook</v>
      </c>
      <c r="R3068" s="7">
        <f t="shared" si="378"/>
        <v>3224.76</v>
      </c>
    </row>
    <row r="3069" spans="1:18" ht="21.75" customHeight="1">
      <c r="A3069" t="s">
        <v>3220</v>
      </c>
      <c r="B3069" s="6">
        <v>45638</v>
      </c>
      <c r="C3069" t="s">
        <v>101</v>
      </c>
      <c r="D3069" t="s">
        <v>160</v>
      </c>
      <c r="E3069" t="s">
        <v>17</v>
      </c>
      <c r="F3069" t="s">
        <v>306</v>
      </c>
      <c r="G3069" t="s">
        <v>32</v>
      </c>
      <c r="H3069">
        <v>19</v>
      </c>
      <c r="I3069" t="str">
        <f>VLOOKUP(D3069,Product_Lookup!$A$2:$C$27,3,FALSE)</f>
        <v>$149.27</v>
      </c>
      <c r="J3069" t="str">
        <f t="shared" si="379"/>
        <v>Thursday</v>
      </c>
      <c r="K3069" s="10" t="str">
        <f t="shared" si="380"/>
        <v>December</v>
      </c>
      <c r="L3069">
        <f t="shared" si="381"/>
        <v>2024</v>
      </c>
      <c r="M3069" t="b">
        <f t="shared" si="382"/>
        <v>0</v>
      </c>
      <c r="N3069" t="b">
        <f t="shared" si="376"/>
        <v>1</v>
      </c>
      <c r="O3069" t="str">
        <f t="shared" si="383"/>
        <v>Large Order</v>
      </c>
      <c r="P3069" s="7">
        <f t="shared" si="377"/>
        <v>7.4635000000000007</v>
      </c>
      <c r="Q3069" s="7" t="str">
        <f>VLOOKUP(D3070,Product_Lookup!$A$2:$C$27,2,FALSE)</f>
        <v>Notebook</v>
      </c>
      <c r="R3069" s="7">
        <f t="shared" si="378"/>
        <v>2836.13</v>
      </c>
    </row>
    <row r="3070" spans="1:18" ht="21.75" customHeight="1">
      <c r="A3070" t="s">
        <v>3221</v>
      </c>
      <c r="B3070" s="6">
        <v>45364</v>
      </c>
      <c r="C3070" t="s">
        <v>61</v>
      </c>
      <c r="D3070" t="s">
        <v>160</v>
      </c>
      <c r="E3070" t="s">
        <v>22</v>
      </c>
      <c r="F3070" t="s">
        <v>56</v>
      </c>
      <c r="G3070" t="s">
        <v>36</v>
      </c>
      <c r="H3070">
        <v>12</v>
      </c>
      <c r="I3070" t="str">
        <f>VLOOKUP(D3070,Product_Lookup!$A$2:$C$27,3,FALSE)</f>
        <v>$149.27</v>
      </c>
      <c r="J3070" t="str">
        <f t="shared" si="379"/>
        <v>Wednesday</v>
      </c>
      <c r="K3070" s="10" t="str">
        <f t="shared" si="380"/>
        <v>March</v>
      </c>
      <c r="L3070">
        <f t="shared" si="381"/>
        <v>2024</v>
      </c>
      <c r="M3070" t="b">
        <f t="shared" si="382"/>
        <v>0</v>
      </c>
      <c r="N3070" t="b">
        <f t="shared" si="376"/>
        <v>1</v>
      </c>
      <c r="O3070" t="str">
        <f t="shared" si="383"/>
        <v>Large Order</v>
      </c>
      <c r="P3070" s="7">
        <f t="shared" si="377"/>
        <v>7.4635000000000007</v>
      </c>
      <c r="Q3070" s="7" t="str">
        <f>VLOOKUP(D3071,Product_Lookup!$A$2:$C$27,2,FALSE)</f>
        <v>Air Fryer</v>
      </c>
      <c r="R3070" s="7">
        <f t="shared" si="378"/>
        <v>1791.2400000000002</v>
      </c>
    </row>
    <row r="3071" spans="1:18" ht="21.75" customHeight="1">
      <c r="A3071" t="s">
        <v>3222</v>
      </c>
      <c r="B3071" s="6">
        <v>45420</v>
      </c>
      <c r="C3071" t="s">
        <v>553</v>
      </c>
      <c r="D3071" t="s">
        <v>70</v>
      </c>
      <c r="E3071" t="s">
        <v>11</v>
      </c>
      <c r="F3071" t="s">
        <v>42</v>
      </c>
      <c r="G3071" t="s">
        <v>28</v>
      </c>
      <c r="H3071">
        <v>6</v>
      </c>
      <c r="I3071" t="str">
        <f>VLOOKUP(D3071,Product_Lookup!$A$2:$C$27,3,FALSE)</f>
        <v>$211.9</v>
      </c>
      <c r="J3071" t="str">
        <f t="shared" si="379"/>
        <v>Wednesday</v>
      </c>
      <c r="K3071" s="10" t="str">
        <f t="shared" si="380"/>
        <v>May</v>
      </c>
      <c r="L3071">
        <f t="shared" si="381"/>
        <v>2024</v>
      </c>
      <c r="M3071" t="b">
        <f t="shared" si="382"/>
        <v>0</v>
      </c>
      <c r="N3071" t="b">
        <f t="shared" si="376"/>
        <v>1</v>
      </c>
      <c r="O3071" t="str">
        <f t="shared" si="383"/>
        <v>Large Order</v>
      </c>
      <c r="P3071" s="7">
        <f t="shared" si="377"/>
        <v>10.595000000000001</v>
      </c>
      <c r="Q3071" s="7" t="str">
        <f>VLOOKUP(D3072,Product_Lookup!$A$2:$C$27,2,FALSE)</f>
        <v>Blender</v>
      </c>
      <c r="R3071" s="7">
        <f t="shared" si="378"/>
        <v>1271.4000000000001</v>
      </c>
    </row>
    <row r="3072" spans="1:18" ht="21.75" customHeight="1">
      <c r="A3072" t="s">
        <v>3223</v>
      </c>
      <c r="B3072" s="6">
        <v>45534</v>
      </c>
      <c r="C3072" t="s">
        <v>142</v>
      </c>
      <c r="D3072" t="s">
        <v>72</v>
      </c>
      <c r="E3072" t="s">
        <v>17</v>
      </c>
      <c r="F3072" t="s">
        <v>56</v>
      </c>
      <c r="G3072" t="s">
        <v>28</v>
      </c>
      <c r="H3072">
        <v>16</v>
      </c>
      <c r="I3072" t="str">
        <f>VLOOKUP(D3072,Product_Lookup!$A$2:$C$27,3,FALSE)</f>
        <v>$156.44</v>
      </c>
      <c r="J3072" t="str">
        <f t="shared" si="379"/>
        <v>Friday</v>
      </c>
      <c r="K3072" s="10" t="str">
        <f t="shared" si="380"/>
        <v>August</v>
      </c>
      <c r="L3072">
        <f t="shared" si="381"/>
        <v>2024</v>
      </c>
      <c r="M3072" t="b">
        <f t="shared" si="382"/>
        <v>0</v>
      </c>
      <c r="N3072" t="b">
        <f t="shared" si="376"/>
        <v>1</v>
      </c>
      <c r="O3072" t="str">
        <f t="shared" si="383"/>
        <v>Large Order</v>
      </c>
      <c r="P3072" s="7">
        <f t="shared" si="377"/>
        <v>7.8220000000000001</v>
      </c>
      <c r="Q3072" s="7" t="str">
        <f>VLOOKUP(D3073,Product_Lookup!$A$2:$C$27,2,FALSE)</f>
        <v>Puzzle</v>
      </c>
      <c r="R3072" s="7">
        <f t="shared" si="378"/>
        <v>2503.04</v>
      </c>
    </row>
    <row r="3073" spans="1:18" ht="21.75" customHeight="1">
      <c r="A3073" t="s">
        <v>3224</v>
      </c>
      <c r="B3073" s="6">
        <v>45294</v>
      </c>
      <c r="C3073" t="s">
        <v>147</v>
      </c>
      <c r="D3073" t="s">
        <v>62</v>
      </c>
      <c r="E3073" t="s">
        <v>11</v>
      </c>
      <c r="F3073" t="s">
        <v>56</v>
      </c>
      <c r="G3073" t="s">
        <v>13</v>
      </c>
      <c r="H3073">
        <v>18</v>
      </c>
      <c r="I3073" t="str">
        <f>VLOOKUP(D3073,Product_Lookup!$A$2:$C$27,3,FALSE)</f>
        <v>$46.19</v>
      </c>
      <c r="J3073" t="str">
        <f t="shared" si="379"/>
        <v>Wednesday</v>
      </c>
      <c r="K3073" s="10" t="str">
        <f t="shared" si="380"/>
        <v>January</v>
      </c>
      <c r="L3073">
        <f t="shared" si="381"/>
        <v>2024</v>
      </c>
      <c r="M3073" t="b">
        <f t="shared" si="382"/>
        <v>0</v>
      </c>
      <c r="N3073" t="b">
        <f t="shared" si="376"/>
        <v>1</v>
      </c>
      <c r="O3073" t="str">
        <f t="shared" si="383"/>
        <v>Large Order</v>
      </c>
      <c r="P3073" s="7">
        <f t="shared" si="377"/>
        <v>2.3094999999999999</v>
      </c>
      <c r="Q3073" s="7" t="str">
        <f>VLOOKUP(D3074,Product_Lookup!$A$2:$C$27,2,FALSE)</f>
        <v>Paper Shredder</v>
      </c>
      <c r="R3073" s="7">
        <f t="shared" si="378"/>
        <v>831.42</v>
      </c>
    </row>
    <row r="3074" spans="1:18" ht="21.75" customHeight="1">
      <c r="A3074" t="s">
        <v>3225</v>
      </c>
      <c r="B3074" s="6">
        <v>45340</v>
      </c>
      <c r="C3074" t="s">
        <v>131</v>
      </c>
      <c r="D3074" t="s">
        <v>109</v>
      </c>
      <c r="E3074" t="s">
        <v>17</v>
      </c>
      <c r="F3074" t="s">
        <v>306</v>
      </c>
      <c r="G3074" t="s">
        <v>28</v>
      </c>
      <c r="H3074">
        <v>3</v>
      </c>
      <c r="I3074" t="str">
        <f>VLOOKUP(D3074,Product_Lookup!$A$2:$C$27,3,FALSE)</f>
        <v>$81.02</v>
      </c>
      <c r="J3074" t="str">
        <f t="shared" si="379"/>
        <v>Sunday</v>
      </c>
      <c r="K3074" s="10" t="str">
        <f t="shared" si="380"/>
        <v>February</v>
      </c>
      <c r="L3074">
        <f t="shared" si="381"/>
        <v>2024</v>
      </c>
      <c r="M3074" t="b">
        <f t="shared" si="382"/>
        <v>1</v>
      </c>
      <c r="N3074" t="b">
        <f t="shared" ref="N3074:N3137" si="384">AND(R3074&gt;750, H3074&gt;5)</f>
        <v>0</v>
      </c>
      <c r="O3074" t="str">
        <f t="shared" si="383"/>
        <v>Standard order</v>
      </c>
      <c r="P3074" s="7">
        <f t="shared" ref="P3074:P3137" si="385">I3074*$S$2</f>
        <v>4.0510000000000002</v>
      </c>
      <c r="Q3074" s="7" t="str">
        <f>VLOOKUP(D3075,Product_Lookup!$A$2:$C$27,2,FALSE)</f>
        <v>Toaster</v>
      </c>
      <c r="R3074" s="7">
        <f t="shared" ref="R3074:R3137" si="386">H3074*I3074</f>
        <v>243.06</v>
      </c>
    </row>
    <row r="3075" spans="1:18" ht="21.75" customHeight="1">
      <c r="A3075" t="s">
        <v>3226</v>
      </c>
      <c r="B3075" s="6">
        <v>45578</v>
      </c>
      <c r="C3075" t="s">
        <v>240</v>
      </c>
      <c r="D3075" t="s">
        <v>48</v>
      </c>
      <c r="E3075" t="s">
        <v>22</v>
      </c>
      <c r="F3075" t="s">
        <v>12</v>
      </c>
      <c r="G3075" t="s">
        <v>28</v>
      </c>
      <c r="H3075">
        <v>9</v>
      </c>
      <c r="I3075" t="str">
        <f>VLOOKUP(D3075,Product_Lookup!$A$2:$C$27,3,FALSE)</f>
        <v>$208.85</v>
      </c>
      <c r="J3075" t="str">
        <f t="shared" ref="J3075:J3138" si="387">TEXT(B3075, "dddd")</f>
        <v>Sunday</v>
      </c>
      <c r="K3075" s="10" t="str">
        <f t="shared" ref="K3075:K3138" si="388">TEXT(B3075, "mmmm")</f>
        <v>October</v>
      </c>
      <c r="L3075">
        <f t="shared" ref="L3075:L3138" si="389">YEAR(B3075)</f>
        <v>2024</v>
      </c>
      <c r="M3075" t="b">
        <f t="shared" ref="M3075:M3138" si="390">OR(J3075="Saturday", J3075="Sunday")</f>
        <v>1</v>
      </c>
      <c r="N3075" t="b">
        <f t="shared" si="384"/>
        <v>1</v>
      </c>
      <c r="O3075" t="str">
        <f t="shared" ref="O3075:O3138" si="391">IF(R3075&gt;500,"Large Order","Standard order")</f>
        <v>Large Order</v>
      </c>
      <c r="P3075" s="7">
        <f t="shared" si="385"/>
        <v>10.442500000000001</v>
      </c>
      <c r="Q3075" s="7" t="str">
        <f>VLOOKUP(D3076,Product_Lookup!$A$2:$C$27,2,FALSE)</f>
        <v>Lego Set</v>
      </c>
      <c r="R3075" s="7">
        <f t="shared" si="386"/>
        <v>1879.6499999999999</v>
      </c>
    </row>
    <row r="3076" spans="1:18" ht="21.75" customHeight="1">
      <c r="A3076" t="s">
        <v>3227</v>
      </c>
      <c r="B3076" s="6">
        <v>45510</v>
      </c>
      <c r="C3076" t="s">
        <v>361</v>
      </c>
      <c r="D3076" t="s">
        <v>84</v>
      </c>
      <c r="E3076" t="s">
        <v>17</v>
      </c>
      <c r="F3076" t="s">
        <v>42</v>
      </c>
      <c r="G3076" t="s">
        <v>36</v>
      </c>
      <c r="H3076">
        <v>13</v>
      </c>
      <c r="I3076" t="str">
        <f>VLOOKUP(D3076,Product_Lookup!$A$2:$C$27,3,FALSE)</f>
        <v>$130.07</v>
      </c>
      <c r="J3076" t="str">
        <f t="shared" si="387"/>
        <v>Tuesday</v>
      </c>
      <c r="K3076" s="10" t="str">
        <f t="shared" si="388"/>
        <v>August</v>
      </c>
      <c r="L3076">
        <f t="shared" si="389"/>
        <v>2024</v>
      </c>
      <c r="M3076" t="b">
        <f t="shared" si="390"/>
        <v>0</v>
      </c>
      <c r="N3076" t="b">
        <f t="shared" si="384"/>
        <v>1</v>
      </c>
      <c r="O3076" t="str">
        <f t="shared" si="391"/>
        <v>Large Order</v>
      </c>
      <c r="P3076" s="7">
        <f t="shared" si="385"/>
        <v>6.5034999999999998</v>
      </c>
      <c r="Q3076" s="7" t="str">
        <f>VLOOKUP(D3077,Product_Lookup!$A$2:$C$27,2,FALSE)</f>
        <v>Action Figure</v>
      </c>
      <c r="R3076" s="7">
        <f t="shared" si="386"/>
        <v>1690.9099999999999</v>
      </c>
    </row>
    <row r="3077" spans="1:18" ht="21.75" customHeight="1">
      <c r="A3077" t="s">
        <v>3228</v>
      </c>
      <c r="B3077" s="6">
        <v>45579</v>
      </c>
      <c r="C3077" t="s">
        <v>591</v>
      </c>
      <c r="D3077" t="s">
        <v>21</v>
      </c>
      <c r="E3077" t="s">
        <v>22</v>
      </c>
      <c r="F3077" t="s">
        <v>56</v>
      </c>
      <c r="G3077" t="s">
        <v>13</v>
      </c>
      <c r="H3077">
        <v>19</v>
      </c>
      <c r="I3077" t="str">
        <f>VLOOKUP(D3077,Product_Lookup!$A$2:$C$27,3,FALSE)</f>
        <v>$88.18</v>
      </c>
      <c r="J3077" t="str">
        <f t="shared" si="387"/>
        <v>Monday</v>
      </c>
      <c r="K3077" s="10" t="str">
        <f t="shared" si="388"/>
        <v>October</v>
      </c>
      <c r="L3077">
        <f t="shared" si="389"/>
        <v>2024</v>
      </c>
      <c r="M3077" t="b">
        <f t="shared" si="390"/>
        <v>0</v>
      </c>
      <c r="N3077" t="b">
        <f t="shared" si="384"/>
        <v>1</v>
      </c>
      <c r="O3077" t="str">
        <f t="shared" si="391"/>
        <v>Large Order</v>
      </c>
      <c r="P3077" s="7">
        <f t="shared" si="385"/>
        <v>4.4090000000000007</v>
      </c>
      <c r="Q3077" s="7" t="str">
        <f>VLOOKUP(D3078,Product_Lookup!$A$2:$C$27,2,FALSE)</f>
        <v>T-Shirt</v>
      </c>
      <c r="R3077" s="7">
        <f t="shared" si="386"/>
        <v>1675.42</v>
      </c>
    </row>
    <row r="3078" spans="1:18" ht="21.75" customHeight="1">
      <c r="A3078" t="s">
        <v>3229</v>
      </c>
      <c r="B3078" s="6">
        <v>45402</v>
      </c>
      <c r="C3078" t="s">
        <v>89</v>
      </c>
      <c r="D3078" t="s">
        <v>45</v>
      </c>
      <c r="E3078" t="s">
        <v>17</v>
      </c>
      <c r="F3078" t="s">
        <v>306</v>
      </c>
      <c r="G3078" t="s">
        <v>13</v>
      </c>
      <c r="H3078">
        <v>5</v>
      </c>
      <c r="I3078" t="str">
        <f>VLOOKUP(D3078,Product_Lookup!$A$2:$C$27,3,FALSE)</f>
        <v>$107.34</v>
      </c>
      <c r="J3078" t="str">
        <f t="shared" si="387"/>
        <v>Saturday</v>
      </c>
      <c r="K3078" s="10" t="str">
        <f t="shared" si="388"/>
        <v>April</v>
      </c>
      <c r="L3078">
        <f t="shared" si="389"/>
        <v>2024</v>
      </c>
      <c r="M3078" t="b">
        <f t="shared" si="390"/>
        <v>1</v>
      </c>
      <c r="N3078" t="b">
        <f t="shared" si="384"/>
        <v>0</v>
      </c>
      <c r="O3078" t="str">
        <f t="shared" si="391"/>
        <v>Large Order</v>
      </c>
      <c r="P3078" s="7">
        <f t="shared" si="385"/>
        <v>5.3670000000000009</v>
      </c>
      <c r="Q3078" s="7" t="str">
        <f>VLOOKUP(D3079,Product_Lookup!$A$2:$C$27,2,FALSE)</f>
        <v>Doll</v>
      </c>
      <c r="R3078" s="7">
        <f t="shared" si="386"/>
        <v>536.70000000000005</v>
      </c>
    </row>
    <row r="3079" spans="1:18" ht="21.75" customHeight="1">
      <c r="A3079" t="s">
        <v>3230</v>
      </c>
      <c r="B3079" s="6">
        <v>45592</v>
      </c>
      <c r="C3079" t="s">
        <v>736</v>
      </c>
      <c r="D3079" t="s">
        <v>119</v>
      </c>
      <c r="E3079" t="s">
        <v>17</v>
      </c>
      <c r="F3079" t="s">
        <v>42</v>
      </c>
      <c r="G3079" t="s">
        <v>36</v>
      </c>
      <c r="H3079">
        <v>19</v>
      </c>
      <c r="I3079" t="str">
        <f>VLOOKUP(D3079,Product_Lookup!$A$2:$C$27,3,FALSE)</f>
        <v>$32.94</v>
      </c>
      <c r="J3079" t="str">
        <f t="shared" si="387"/>
        <v>Sunday</v>
      </c>
      <c r="K3079" s="10" t="str">
        <f t="shared" si="388"/>
        <v>October</v>
      </c>
      <c r="L3079">
        <f t="shared" si="389"/>
        <v>2024</v>
      </c>
      <c r="M3079" t="b">
        <f t="shared" si="390"/>
        <v>1</v>
      </c>
      <c r="N3079" t="b">
        <f t="shared" si="384"/>
        <v>0</v>
      </c>
      <c r="O3079" t="str">
        <f t="shared" si="391"/>
        <v>Large Order</v>
      </c>
      <c r="P3079" s="7">
        <f t="shared" si="385"/>
        <v>1.647</v>
      </c>
      <c r="Q3079" s="7" t="str">
        <f>VLOOKUP(D3080,Product_Lookup!$A$2:$C$27,2,FALSE)</f>
        <v>Stapler</v>
      </c>
      <c r="R3079" s="7">
        <f t="shared" si="386"/>
        <v>625.8599999999999</v>
      </c>
    </row>
    <row r="3080" spans="1:18" ht="21.75" customHeight="1">
      <c r="A3080" t="s">
        <v>3231</v>
      </c>
      <c r="B3080" s="6">
        <v>45607</v>
      </c>
      <c r="C3080" t="s">
        <v>317</v>
      </c>
      <c r="D3080" t="s">
        <v>35</v>
      </c>
      <c r="E3080" t="s">
        <v>11</v>
      </c>
      <c r="F3080" t="s">
        <v>56</v>
      </c>
      <c r="G3080" t="s">
        <v>13</v>
      </c>
      <c r="H3080">
        <v>8</v>
      </c>
      <c r="I3080" t="str">
        <f>VLOOKUP(D3080,Product_Lookup!$A$2:$C$27,3,FALSE)</f>
        <v>$64.61</v>
      </c>
      <c r="J3080" t="str">
        <f t="shared" si="387"/>
        <v>Monday</v>
      </c>
      <c r="K3080" s="10" t="str">
        <f t="shared" si="388"/>
        <v>November</v>
      </c>
      <c r="L3080">
        <f t="shared" si="389"/>
        <v>2024</v>
      </c>
      <c r="M3080" t="b">
        <f t="shared" si="390"/>
        <v>0</v>
      </c>
      <c r="N3080" t="b">
        <f t="shared" si="384"/>
        <v>0</v>
      </c>
      <c r="O3080" t="str">
        <f t="shared" si="391"/>
        <v>Large Order</v>
      </c>
      <c r="P3080" s="7">
        <f t="shared" si="385"/>
        <v>3.2305000000000001</v>
      </c>
      <c r="Q3080" s="7" t="str">
        <f>VLOOKUP(D3081,Product_Lookup!$A$2:$C$27,2,FALSE)</f>
        <v>Headphones</v>
      </c>
      <c r="R3080" s="7">
        <f t="shared" si="386"/>
        <v>516.88</v>
      </c>
    </row>
    <row r="3081" spans="1:18" ht="21.75" customHeight="1">
      <c r="A3081" t="s">
        <v>3232</v>
      </c>
      <c r="B3081" s="6">
        <v>45338</v>
      </c>
      <c r="C3081" t="s">
        <v>594</v>
      </c>
      <c r="D3081" t="s">
        <v>16</v>
      </c>
      <c r="E3081" t="s">
        <v>11</v>
      </c>
      <c r="F3081" t="s">
        <v>56</v>
      </c>
      <c r="G3081" t="s">
        <v>23</v>
      </c>
      <c r="H3081">
        <v>1</v>
      </c>
      <c r="I3081" t="str">
        <f>VLOOKUP(D3081,Product_Lookup!$A$2:$C$27,3,FALSE)</f>
        <v>$178.83</v>
      </c>
      <c r="J3081" t="str">
        <f t="shared" si="387"/>
        <v>Friday</v>
      </c>
      <c r="K3081" s="10" t="str">
        <f t="shared" si="388"/>
        <v>February</v>
      </c>
      <c r="L3081">
        <f t="shared" si="389"/>
        <v>2024</v>
      </c>
      <c r="M3081" t="b">
        <f t="shared" si="390"/>
        <v>0</v>
      </c>
      <c r="N3081" t="b">
        <f t="shared" si="384"/>
        <v>0</v>
      </c>
      <c r="O3081" t="str">
        <f t="shared" si="391"/>
        <v>Standard order</v>
      </c>
      <c r="P3081" s="7">
        <f t="shared" si="385"/>
        <v>8.9415000000000013</v>
      </c>
      <c r="Q3081" s="7" t="str">
        <f>VLOOKUP(D3082,Product_Lookup!$A$2:$C$27,2,FALSE)</f>
        <v>Notebook</v>
      </c>
      <c r="R3081" s="7">
        <f t="shared" si="386"/>
        <v>178.83</v>
      </c>
    </row>
    <row r="3082" spans="1:18" ht="21.75" customHeight="1">
      <c r="A3082" t="s">
        <v>3233</v>
      </c>
      <c r="B3082" s="6">
        <v>45318</v>
      </c>
      <c r="C3082" t="s">
        <v>99</v>
      </c>
      <c r="D3082" t="s">
        <v>160</v>
      </c>
      <c r="E3082" t="s">
        <v>17</v>
      </c>
      <c r="F3082" t="s">
        <v>27</v>
      </c>
      <c r="G3082" t="s">
        <v>23</v>
      </c>
      <c r="H3082">
        <v>11</v>
      </c>
      <c r="I3082" t="str">
        <f>VLOOKUP(D3082,Product_Lookup!$A$2:$C$27,3,FALSE)</f>
        <v>$149.27</v>
      </c>
      <c r="J3082" t="str">
        <f t="shared" si="387"/>
        <v>Saturday</v>
      </c>
      <c r="K3082" s="10" t="str">
        <f t="shared" si="388"/>
        <v>January</v>
      </c>
      <c r="L3082">
        <f t="shared" si="389"/>
        <v>2024</v>
      </c>
      <c r="M3082" t="b">
        <f t="shared" si="390"/>
        <v>1</v>
      </c>
      <c r="N3082" t="b">
        <f t="shared" si="384"/>
        <v>1</v>
      </c>
      <c r="O3082" t="str">
        <f t="shared" si="391"/>
        <v>Large Order</v>
      </c>
      <c r="P3082" s="7">
        <f t="shared" si="385"/>
        <v>7.4635000000000007</v>
      </c>
      <c r="Q3082" s="7" t="str">
        <f>VLOOKUP(D3083,Product_Lookup!$A$2:$C$27,2,FALSE)</f>
        <v>Pen Set</v>
      </c>
      <c r="R3082" s="7">
        <f t="shared" si="386"/>
        <v>1641.97</v>
      </c>
    </row>
    <row r="3083" spans="1:18" ht="21.75" customHeight="1">
      <c r="A3083" t="s">
        <v>3234</v>
      </c>
      <c r="B3083" s="6">
        <v>45352</v>
      </c>
      <c r="C3083" t="s">
        <v>93</v>
      </c>
      <c r="D3083" t="s">
        <v>174</v>
      </c>
      <c r="E3083" t="s">
        <v>17</v>
      </c>
      <c r="F3083" t="s">
        <v>27</v>
      </c>
      <c r="G3083" t="s">
        <v>23</v>
      </c>
      <c r="H3083">
        <v>16</v>
      </c>
      <c r="I3083" t="str">
        <f>VLOOKUP(D3083,Product_Lookup!$A$2:$C$27,3,FALSE)</f>
        <v>$133.37</v>
      </c>
      <c r="J3083" t="str">
        <f t="shared" si="387"/>
        <v>Friday</v>
      </c>
      <c r="K3083" s="10" t="str">
        <f t="shared" si="388"/>
        <v>March</v>
      </c>
      <c r="L3083">
        <f t="shared" si="389"/>
        <v>2024</v>
      </c>
      <c r="M3083" t="b">
        <f t="shared" si="390"/>
        <v>0</v>
      </c>
      <c r="N3083" t="b">
        <f t="shared" si="384"/>
        <v>1</v>
      </c>
      <c r="O3083" t="str">
        <f t="shared" si="391"/>
        <v>Large Order</v>
      </c>
      <c r="P3083" s="7">
        <f t="shared" si="385"/>
        <v>6.6685000000000008</v>
      </c>
      <c r="Q3083" s="7" t="str">
        <f>VLOOKUP(D3084,Product_Lookup!$A$2:$C$27,2,FALSE)</f>
        <v>Notebook</v>
      </c>
      <c r="R3083" s="7">
        <f t="shared" si="386"/>
        <v>2133.92</v>
      </c>
    </row>
    <row r="3084" spans="1:18" ht="21.75" customHeight="1">
      <c r="A3084" t="s">
        <v>3235</v>
      </c>
      <c r="B3084" s="6">
        <v>45559</v>
      </c>
      <c r="C3084" t="s">
        <v>38</v>
      </c>
      <c r="D3084" t="s">
        <v>160</v>
      </c>
      <c r="E3084" t="s">
        <v>11</v>
      </c>
      <c r="F3084" t="s">
        <v>306</v>
      </c>
      <c r="G3084" t="s">
        <v>28</v>
      </c>
      <c r="H3084">
        <v>6</v>
      </c>
      <c r="I3084" t="str">
        <f>VLOOKUP(D3084,Product_Lookup!$A$2:$C$27,3,FALSE)</f>
        <v>$149.27</v>
      </c>
      <c r="J3084" t="str">
        <f t="shared" si="387"/>
        <v>Tuesday</v>
      </c>
      <c r="K3084" s="10" t="str">
        <f t="shared" si="388"/>
        <v>September</v>
      </c>
      <c r="L3084">
        <f t="shared" si="389"/>
        <v>2024</v>
      </c>
      <c r="M3084" t="b">
        <f t="shared" si="390"/>
        <v>0</v>
      </c>
      <c r="N3084" t="b">
        <f t="shared" si="384"/>
        <v>1</v>
      </c>
      <c r="O3084" t="str">
        <f t="shared" si="391"/>
        <v>Large Order</v>
      </c>
      <c r="P3084" s="7">
        <f t="shared" si="385"/>
        <v>7.4635000000000007</v>
      </c>
      <c r="Q3084" s="7" t="str">
        <f>VLOOKUP(D3085,Product_Lookup!$A$2:$C$27,2,FALSE)</f>
        <v>Headphones</v>
      </c>
      <c r="R3084" s="7">
        <f t="shared" si="386"/>
        <v>895.62000000000012</v>
      </c>
    </row>
    <row r="3085" spans="1:18" ht="21.75" customHeight="1">
      <c r="A3085" t="s">
        <v>3236</v>
      </c>
      <c r="B3085" s="6">
        <v>45434</v>
      </c>
      <c r="C3085" t="s">
        <v>436</v>
      </c>
      <c r="D3085" t="s">
        <v>16</v>
      </c>
      <c r="E3085" t="s">
        <v>17</v>
      </c>
      <c r="F3085" t="s">
        <v>306</v>
      </c>
      <c r="G3085" t="s">
        <v>23</v>
      </c>
      <c r="H3085">
        <v>16</v>
      </c>
      <c r="I3085" t="str">
        <f>VLOOKUP(D3085,Product_Lookup!$A$2:$C$27,3,FALSE)</f>
        <v>$178.83</v>
      </c>
      <c r="J3085" t="str">
        <f t="shared" si="387"/>
        <v>Wednesday</v>
      </c>
      <c r="K3085" s="10" t="str">
        <f t="shared" si="388"/>
        <v>May</v>
      </c>
      <c r="L3085">
        <f t="shared" si="389"/>
        <v>2024</v>
      </c>
      <c r="M3085" t="b">
        <f t="shared" si="390"/>
        <v>0</v>
      </c>
      <c r="N3085" t="b">
        <f t="shared" si="384"/>
        <v>1</v>
      </c>
      <c r="O3085" t="str">
        <f t="shared" si="391"/>
        <v>Large Order</v>
      </c>
      <c r="P3085" s="7">
        <f t="shared" si="385"/>
        <v>8.9415000000000013</v>
      </c>
      <c r="Q3085" s="7" t="str">
        <f>VLOOKUP(D3086,Product_Lookup!$A$2:$C$27,2,FALSE)</f>
        <v>Monitor</v>
      </c>
      <c r="R3085" s="7">
        <f t="shared" si="386"/>
        <v>2861.28</v>
      </c>
    </row>
    <row r="3086" spans="1:18" ht="21.75" customHeight="1">
      <c r="A3086" t="s">
        <v>3237</v>
      </c>
      <c r="B3086" s="6">
        <v>45420</v>
      </c>
      <c r="C3086" t="s">
        <v>455</v>
      </c>
      <c r="D3086" t="s">
        <v>102</v>
      </c>
      <c r="E3086" t="s">
        <v>22</v>
      </c>
      <c r="F3086" t="s">
        <v>27</v>
      </c>
      <c r="G3086" t="s">
        <v>32</v>
      </c>
      <c r="H3086">
        <v>6</v>
      </c>
      <c r="I3086" t="str">
        <f>VLOOKUP(D3086,Product_Lookup!$A$2:$C$27,3,FALSE)</f>
        <v>$145.48</v>
      </c>
      <c r="J3086" t="str">
        <f t="shared" si="387"/>
        <v>Wednesday</v>
      </c>
      <c r="K3086" s="10" t="str">
        <f t="shared" si="388"/>
        <v>May</v>
      </c>
      <c r="L3086">
        <f t="shared" si="389"/>
        <v>2024</v>
      </c>
      <c r="M3086" t="b">
        <f t="shared" si="390"/>
        <v>0</v>
      </c>
      <c r="N3086" t="b">
        <f t="shared" si="384"/>
        <v>1</v>
      </c>
      <c r="O3086" t="str">
        <f t="shared" si="391"/>
        <v>Large Order</v>
      </c>
      <c r="P3086" s="7">
        <f t="shared" si="385"/>
        <v>7.274</v>
      </c>
      <c r="Q3086" s="7" t="str">
        <f>VLOOKUP(D3087,Product_Lookup!$A$2:$C$27,2,FALSE)</f>
        <v>Doll</v>
      </c>
      <c r="R3086" s="7">
        <f t="shared" si="386"/>
        <v>872.87999999999988</v>
      </c>
    </row>
    <row r="3087" spans="1:18" ht="21.75" customHeight="1">
      <c r="A3087" t="s">
        <v>3238</v>
      </c>
      <c r="B3087" s="6">
        <v>45479</v>
      </c>
      <c r="C3087" t="s">
        <v>319</v>
      </c>
      <c r="D3087" t="s">
        <v>119</v>
      </c>
      <c r="E3087" t="s">
        <v>22</v>
      </c>
      <c r="F3087" t="s">
        <v>42</v>
      </c>
      <c r="G3087" t="s">
        <v>23</v>
      </c>
      <c r="H3087">
        <v>7</v>
      </c>
      <c r="I3087" t="str">
        <f>VLOOKUP(D3087,Product_Lookup!$A$2:$C$27,3,FALSE)</f>
        <v>$32.94</v>
      </c>
      <c r="J3087" t="str">
        <f t="shared" si="387"/>
        <v>Saturday</v>
      </c>
      <c r="K3087" s="10" t="str">
        <f t="shared" si="388"/>
        <v>July</v>
      </c>
      <c r="L3087">
        <f t="shared" si="389"/>
        <v>2024</v>
      </c>
      <c r="M3087" t="b">
        <f t="shared" si="390"/>
        <v>1</v>
      </c>
      <c r="N3087" t="b">
        <f t="shared" si="384"/>
        <v>0</v>
      </c>
      <c r="O3087" t="str">
        <f t="shared" si="391"/>
        <v>Standard order</v>
      </c>
      <c r="P3087" s="7">
        <f t="shared" si="385"/>
        <v>1.647</v>
      </c>
      <c r="Q3087" s="7" t="str">
        <f>VLOOKUP(D3088,Product_Lookup!$A$2:$C$27,2,FALSE)</f>
        <v>Toaster</v>
      </c>
      <c r="R3087" s="7">
        <f t="shared" si="386"/>
        <v>230.57999999999998</v>
      </c>
    </row>
    <row r="3088" spans="1:18" ht="21.75" customHeight="1">
      <c r="A3088" t="s">
        <v>3239</v>
      </c>
      <c r="B3088" s="6">
        <v>45389</v>
      </c>
      <c r="C3088" t="s">
        <v>159</v>
      </c>
      <c r="D3088" t="s">
        <v>48</v>
      </c>
      <c r="E3088" t="s">
        <v>11</v>
      </c>
      <c r="F3088" t="s">
        <v>12</v>
      </c>
      <c r="G3088" t="s">
        <v>28</v>
      </c>
      <c r="H3088">
        <v>15</v>
      </c>
      <c r="I3088" t="str">
        <f>VLOOKUP(D3088,Product_Lookup!$A$2:$C$27,3,FALSE)</f>
        <v>$208.85</v>
      </c>
      <c r="J3088" t="str">
        <f t="shared" si="387"/>
        <v>Sunday</v>
      </c>
      <c r="K3088" s="10" t="str">
        <f t="shared" si="388"/>
        <v>April</v>
      </c>
      <c r="L3088">
        <f t="shared" si="389"/>
        <v>2024</v>
      </c>
      <c r="M3088" t="b">
        <f t="shared" si="390"/>
        <v>1</v>
      </c>
      <c r="N3088" t="b">
        <f t="shared" si="384"/>
        <v>1</v>
      </c>
      <c r="O3088" t="str">
        <f t="shared" si="391"/>
        <v>Large Order</v>
      </c>
      <c r="P3088" s="7">
        <f t="shared" si="385"/>
        <v>10.442500000000001</v>
      </c>
      <c r="Q3088" s="7" t="str">
        <f>VLOOKUP(D3089,Product_Lookup!$A$2:$C$27,2,FALSE)</f>
        <v>Desk Lamp</v>
      </c>
      <c r="R3088" s="7">
        <f t="shared" si="386"/>
        <v>3132.75</v>
      </c>
    </row>
    <row r="3089" spans="1:18" ht="21.75" customHeight="1">
      <c r="A3089" t="s">
        <v>3240</v>
      </c>
      <c r="B3089" s="6">
        <v>45391</v>
      </c>
      <c r="C3089" t="s">
        <v>25</v>
      </c>
      <c r="D3089" t="s">
        <v>59</v>
      </c>
      <c r="E3089" t="s">
        <v>17</v>
      </c>
      <c r="F3089" t="s">
        <v>42</v>
      </c>
      <c r="G3089" t="s">
        <v>13</v>
      </c>
      <c r="H3089">
        <v>12</v>
      </c>
      <c r="I3089" t="str">
        <f>VLOOKUP(D3089,Product_Lookup!$A$2:$C$27,3,FALSE)</f>
        <v>$101.96</v>
      </c>
      <c r="J3089" t="str">
        <f t="shared" si="387"/>
        <v>Tuesday</v>
      </c>
      <c r="K3089" s="10" t="str">
        <f t="shared" si="388"/>
        <v>April</v>
      </c>
      <c r="L3089">
        <f t="shared" si="389"/>
        <v>2024</v>
      </c>
      <c r="M3089" t="b">
        <f t="shared" si="390"/>
        <v>0</v>
      </c>
      <c r="N3089" t="b">
        <f t="shared" si="384"/>
        <v>1</v>
      </c>
      <c r="O3089" t="str">
        <f t="shared" si="391"/>
        <v>Large Order</v>
      </c>
      <c r="P3089" s="7">
        <f t="shared" si="385"/>
        <v>5.0979999999999999</v>
      </c>
      <c r="Q3089" s="7" t="str">
        <f>VLOOKUP(D3090,Product_Lookup!$A$2:$C$27,2,FALSE)</f>
        <v>Paper Shredder</v>
      </c>
      <c r="R3089" s="7">
        <f t="shared" si="386"/>
        <v>1223.52</v>
      </c>
    </row>
    <row r="3090" spans="1:18" ht="21.75" customHeight="1">
      <c r="A3090" t="s">
        <v>3241</v>
      </c>
      <c r="B3090" s="6">
        <v>45549</v>
      </c>
      <c r="C3090" t="s">
        <v>142</v>
      </c>
      <c r="D3090" t="s">
        <v>109</v>
      </c>
      <c r="E3090" t="s">
        <v>17</v>
      </c>
      <c r="F3090" t="s">
        <v>12</v>
      </c>
      <c r="G3090" t="s">
        <v>32</v>
      </c>
      <c r="H3090">
        <v>16</v>
      </c>
      <c r="I3090" t="str">
        <f>VLOOKUP(D3090,Product_Lookup!$A$2:$C$27,3,FALSE)</f>
        <v>$81.02</v>
      </c>
      <c r="J3090" t="str">
        <f t="shared" si="387"/>
        <v>Saturday</v>
      </c>
      <c r="K3090" s="10" t="str">
        <f t="shared" si="388"/>
        <v>September</v>
      </c>
      <c r="L3090">
        <f t="shared" si="389"/>
        <v>2024</v>
      </c>
      <c r="M3090" t="b">
        <f t="shared" si="390"/>
        <v>1</v>
      </c>
      <c r="N3090" t="b">
        <f t="shared" si="384"/>
        <v>1</v>
      </c>
      <c r="O3090" t="str">
        <f t="shared" si="391"/>
        <v>Large Order</v>
      </c>
      <c r="P3090" s="7">
        <f t="shared" si="385"/>
        <v>4.0510000000000002</v>
      </c>
      <c r="Q3090" s="7" t="str">
        <f>VLOOKUP(D3091,Product_Lookup!$A$2:$C$27,2,FALSE)</f>
        <v>Sweater</v>
      </c>
      <c r="R3090" s="7">
        <f t="shared" si="386"/>
        <v>1296.32</v>
      </c>
    </row>
    <row r="3091" spans="1:18" ht="21.75" customHeight="1">
      <c r="A3091" t="s">
        <v>3242</v>
      </c>
      <c r="B3091" s="6">
        <v>45648</v>
      </c>
      <c r="C3091" t="s">
        <v>369</v>
      </c>
      <c r="D3091" t="s">
        <v>26</v>
      </c>
      <c r="E3091" t="s">
        <v>17</v>
      </c>
      <c r="F3091" t="s">
        <v>12</v>
      </c>
      <c r="G3091" t="s">
        <v>36</v>
      </c>
      <c r="H3091">
        <v>1</v>
      </c>
      <c r="I3091" t="str">
        <f>VLOOKUP(D3091,Product_Lookup!$A$2:$C$27,3,FALSE)</f>
        <v>$84.57</v>
      </c>
      <c r="J3091" t="str">
        <f t="shared" si="387"/>
        <v>Sunday</v>
      </c>
      <c r="K3091" s="10" t="str">
        <f t="shared" si="388"/>
        <v>December</v>
      </c>
      <c r="L3091">
        <f t="shared" si="389"/>
        <v>2024</v>
      </c>
      <c r="M3091" t="b">
        <f t="shared" si="390"/>
        <v>1</v>
      </c>
      <c r="N3091" t="b">
        <f t="shared" si="384"/>
        <v>0</v>
      </c>
      <c r="O3091" t="str">
        <f t="shared" si="391"/>
        <v>Standard order</v>
      </c>
      <c r="P3091" s="7">
        <f t="shared" si="385"/>
        <v>4.2284999999999995</v>
      </c>
      <c r="Q3091" s="7" t="str">
        <f>VLOOKUP(D3092,Product_Lookup!$A$2:$C$27,2,FALSE)</f>
        <v>Action Figure</v>
      </c>
      <c r="R3091" s="7">
        <f t="shared" si="386"/>
        <v>84.57</v>
      </c>
    </row>
    <row r="3092" spans="1:18" ht="21.75" customHeight="1">
      <c r="A3092" t="s">
        <v>3243</v>
      </c>
      <c r="B3092" s="6">
        <v>45533</v>
      </c>
      <c r="C3092" t="s">
        <v>493</v>
      </c>
      <c r="D3092" t="s">
        <v>21</v>
      </c>
      <c r="E3092" t="s">
        <v>17</v>
      </c>
      <c r="F3092" t="s">
        <v>27</v>
      </c>
      <c r="G3092" t="s">
        <v>28</v>
      </c>
      <c r="H3092">
        <v>16</v>
      </c>
      <c r="I3092" t="str">
        <f>VLOOKUP(D3092,Product_Lookup!$A$2:$C$27,3,FALSE)</f>
        <v>$88.18</v>
      </c>
      <c r="J3092" t="str">
        <f t="shared" si="387"/>
        <v>Thursday</v>
      </c>
      <c r="K3092" s="10" t="str">
        <f t="shared" si="388"/>
        <v>August</v>
      </c>
      <c r="L3092">
        <f t="shared" si="389"/>
        <v>2024</v>
      </c>
      <c r="M3092" t="b">
        <f t="shared" si="390"/>
        <v>0</v>
      </c>
      <c r="N3092" t="b">
        <f t="shared" si="384"/>
        <v>1</v>
      </c>
      <c r="O3092" t="str">
        <f t="shared" si="391"/>
        <v>Large Order</v>
      </c>
      <c r="P3092" s="7">
        <f t="shared" si="385"/>
        <v>4.4090000000000007</v>
      </c>
      <c r="Q3092" s="7" t="str">
        <f>VLOOKUP(D3093,Product_Lookup!$A$2:$C$27,2,FALSE)</f>
        <v>Pen Set</v>
      </c>
      <c r="R3092" s="7">
        <f t="shared" si="386"/>
        <v>1410.88</v>
      </c>
    </row>
    <row r="3093" spans="1:18" ht="21.75" customHeight="1">
      <c r="A3093" t="s">
        <v>3244</v>
      </c>
      <c r="B3093" s="6">
        <v>45623</v>
      </c>
      <c r="C3093" t="s">
        <v>664</v>
      </c>
      <c r="D3093" t="s">
        <v>174</v>
      </c>
      <c r="E3093" t="s">
        <v>11</v>
      </c>
      <c r="F3093" t="s">
        <v>12</v>
      </c>
      <c r="G3093" t="s">
        <v>32</v>
      </c>
      <c r="H3093">
        <v>1</v>
      </c>
      <c r="I3093" t="str">
        <f>VLOOKUP(D3093,Product_Lookup!$A$2:$C$27,3,FALSE)</f>
        <v>$133.37</v>
      </c>
      <c r="J3093" t="str">
        <f t="shared" si="387"/>
        <v>Wednesday</v>
      </c>
      <c r="K3093" s="10" t="str">
        <f t="shared" si="388"/>
        <v>November</v>
      </c>
      <c r="L3093">
        <f t="shared" si="389"/>
        <v>2024</v>
      </c>
      <c r="M3093" t="b">
        <f t="shared" si="390"/>
        <v>0</v>
      </c>
      <c r="N3093" t="b">
        <f t="shared" si="384"/>
        <v>0</v>
      </c>
      <c r="O3093" t="str">
        <f t="shared" si="391"/>
        <v>Standard order</v>
      </c>
      <c r="P3093" s="7">
        <f t="shared" si="385"/>
        <v>6.6685000000000008</v>
      </c>
      <c r="Q3093" s="7" t="str">
        <f>VLOOKUP(D3094,Product_Lookup!$A$2:$C$27,2,FALSE)</f>
        <v>Lego Set</v>
      </c>
      <c r="R3093" s="7">
        <f t="shared" si="386"/>
        <v>133.37</v>
      </c>
    </row>
    <row r="3094" spans="1:18" ht="21.75" customHeight="1">
      <c r="A3094" t="s">
        <v>3245</v>
      </c>
      <c r="B3094" s="6">
        <v>45370</v>
      </c>
      <c r="C3094" t="s">
        <v>369</v>
      </c>
      <c r="D3094" t="s">
        <v>84</v>
      </c>
      <c r="E3094" t="s">
        <v>11</v>
      </c>
      <c r="F3094" t="s">
        <v>56</v>
      </c>
      <c r="G3094" t="s">
        <v>13</v>
      </c>
      <c r="H3094">
        <v>14</v>
      </c>
      <c r="I3094" t="str">
        <f>VLOOKUP(D3094,Product_Lookup!$A$2:$C$27,3,FALSE)</f>
        <v>$130.07</v>
      </c>
      <c r="J3094" t="str">
        <f t="shared" si="387"/>
        <v>Tuesday</v>
      </c>
      <c r="K3094" s="10" t="str">
        <f t="shared" si="388"/>
        <v>March</v>
      </c>
      <c r="L3094">
        <f t="shared" si="389"/>
        <v>2024</v>
      </c>
      <c r="M3094" t="b">
        <f t="shared" si="390"/>
        <v>0</v>
      </c>
      <c r="N3094" t="b">
        <f t="shared" si="384"/>
        <v>1</v>
      </c>
      <c r="O3094" t="str">
        <f t="shared" si="391"/>
        <v>Large Order</v>
      </c>
      <c r="P3094" s="7">
        <f t="shared" si="385"/>
        <v>6.5034999999999998</v>
      </c>
      <c r="Q3094" s="7" t="str">
        <f>VLOOKUP(D3095,Product_Lookup!$A$2:$C$27,2,FALSE)</f>
        <v>Air Fryer</v>
      </c>
      <c r="R3094" s="7">
        <f t="shared" si="386"/>
        <v>1820.98</v>
      </c>
    </row>
    <row r="3095" spans="1:18" ht="21.75" customHeight="1">
      <c r="A3095" t="s">
        <v>3246</v>
      </c>
      <c r="B3095" s="6">
        <v>45353</v>
      </c>
      <c r="C3095" t="s">
        <v>131</v>
      </c>
      <c r="D3095" t="s">
        <v>70</v>
      </c>
      <c r="E3095" t="s">
        <v>22</v>
      </c>
      <c r="F3095" t="s">
        <v>12</v>
      </c>
      <c r="G3095" t="s">
        <v>32</v>
      </c>
      <c r="H3095">
        <v>4</v>
      </c>
      <c r="I3095" t="str">
        <f>VLOOKUP(D3095,Product_Lookup!$A$2:$C$27,3,FALSE)</f>
        <v>$211.9</v>
      </c>
      <c r="J3095" t="str">
        <f t="shared" si="387"/>
        <v>Saturday</v>
      </c>
      <c r="K3095" s="10" t="str">
        <f t="shared" si="388"/>
        <v>March</v>
      </c>
      <c r="L3095">
        <f t="shared" si="389"/>
        <v>2024</v>
      </c>
      <c r="M3095" t="b">
        <f t="shared" si="390"/>
        <v>1</v>
      </c>
      <c r="N3095" t="b">
        <f t="shared" si="384"/>
        <v>0</v>
      </c>
      <c r="O3095" t="str">
        <f t="shared" si="391"/>
        <v>Large Order</v>
      </c>
      <c r="P3095" s="7">
        <f t="shared" si="385"/>
        <v>10.595000000000001</v>
      </c>
      <c r="Q3095" s="7" t="str">
        <f>VLOOKUP(D3096,Product_Lookup!$A$2:$C$27,2,FALSE)</f>
        <v>Action Figure</v>
      </c>
      <c r="R3095" s="7">
        <f t="shared" si="386"/>
        <v>847.6</v>
      </c>
    </row>
    <row r="3096" spans="1:18" ht="21.75" customHeight="1">
      <c r="A3096" t="s">
        <v>3247</v>
      </c>
      <c r="B3096" s="6">
        <v>45434</v>
      </c>
      <c r="C3096" t="s">
        <v>150</v>
      </c>
      <c r="D3096" t="s">
        <v>21</v>
      </c>
      <c r="E3096" t="s">
        <v>22</v>
      </c>
      <c r="F3096" t="s">
        <v>12</v>
      </c>
      <c r="G3096" t="s">
        <v>32</v>
      </c>
      <c r="H3096">
        <v>11</v>
      </c>
      <c r="I3096" t="str">
        <f>VLOOKUP(D3096,Product_Lookup!$A$2:$C$27,3,FALSE)</f>
        <v>$88.18</v>
      </c>
      <c r="J3096" t="str">
        <f t="shared" si="387"/>
        <v>Wednesday</v>
      </c>
      <c r="K3096" s="10" t="str">
        <f t="shared" si="388"/>
        <v>May</v>
      </c>
      <c r="L3096">
        <f t="shared" si="389"/>
        <v>2024</v>
      </c>
      <c r="M3096" t="b">
        <f t="shared" si="390"/>
        <v>0</v>
      </c>
      <c r="N3096" t="b">
        <f t="shared" si="384"/>
        <v>1</v>
      </c>
      <c r="O3096" t="str">
        <f t="shared" si="391"/>
        <v>Large Order</v>
      </c>
      <c r="P3096" s="7">
        <f t="shared" si="385"/>
        <v>4.4090000000000007</v>
      </c>
      <c r="Q3096" s="7" t="str">
        <f>VLOOKUP(D3097,Product_Lookup!$A$2:$C$27,2,FALSE)</f>
        <v>Lego Set</v>
      </c>
      <c r="R3096" s="7">
        <f t="shared" si="386"/>
        <v>969.98</v>
      </c>
    </row>
    <row r="3097" spans="1:18" ht="21.75" customHeight="1">
      <c r="A3097" t="s">
        <v>3248</v>
      </c>
      <c r="B3097" s="6">
        <v>45378</v>
      </c>
      <c r="C3097" t="s">
        <v>449</v>
      </c>
      <c r="D3097" t="s">
        <v>84</v>
      </c>
      <c r="E3097" t="s">
        <v>17</v>
      </c>
      <c r="F3097" t="s">
        <v>306</v>
      </c>
      <c r="G3097" t="s">
        <v>13</v>
      </c>
      <c r="H3097">
        <v>13</v>
      </c>
      <c r="I3097" t="str">
        <f>VLOOKUP(D3097,Product_Lookup!$A$2:$C$27,3,FALSE)</f>
        <v>$130.07</v>
      </c>
      <c r="J3097" t="str">
        <f t="shared" si="387"/>
        <v>Wednesday</v>
      </c>
      <c r="K3097" s="10" t="str">
        <f t="shared" si="388"/>
        <v>March</v>
      </c>
      <c r="L3097">
        <f t="shared" si="389"/>
        <v>2024</v>
      </c>
      <c r="M3097" t="b">
        <f t="shared" si="390"/>
        <v>0</v>
      </c>
      <c r="N3097" t="b">
        <f t="shared" si="384"/>
        <v>1</v>
      </c>
      <c r="O3097" t="str">
        <f t="shared" si="391"/>
        <v>Large Order</v>
      </c>
      <c r="P3097" s="7">
        <f t="shared" si="385"/>
        <v>6.5034999999999998</v>
      </c>
      <c r="Q3097" s="7" t="str">
        <f>VLOOKUP(D3098,Product_Lookup!$A$2:$C$27,2,FALSE)</f>
        <v>Smartphone</v>
      </c>
      <c r="R3097" s="7">
        <f t="shared" si="386"/>
        <v>1690.9099999999999</v>
      </c>
    </row>
    <row r="3098" spans="1:18" ht="21.75" customHeight="1">
      <c r="A3098" t="s">
        <v>3249</v>
      </c>
      <c r="B3098" s="6">
        <v>45633</v>
      </c>
      <c r="C3098" t="s">
        <v>317</v>
      </c>
      <c r="D3098" t="s">
        <v>79</v>
      </c>
      <c r="E3098" t="s">
        <v>11</v>
      </c>
      <c r="F3098" t="s">
        <v>56</v>
      </c>
      <c r="G3098" t="s">
        <v>36</v>
      </c>
      <c r="H3098">
        <v>5</v>
      </c>
      <c r="I3098" t="str">
        <f>VLOOKUP(D3098,Product_Lookup!$A$2:$C$27,3,FALSE)</f>
        <v>$216.22</v>
      </c>
      <c r="J3098" t="str">
        <f t="shared" si="387"/>
        <v>Saturday</v>
      </c>
      <c r="K3098" s="10" t="str">
        <f t="shared" si="388"/>
        <v>December</v>
      </c>
      <c r="L3098">
        <f t="shared" si="389"/>
        <v>2024</v>
      </c>
      <c r="M3098" t="b">
        <f t="shared" si="390"/>
        <v>1</v>
      </c>
      <c r="N3098" t="b">
        <f t="shared" si="384"/>
        <v>0</v>
      </c>
      <c r="O3098" t="str">
        <f t="shared" si="391"/>
        <v>Large Order</v>
      </c>
      <c r="P3098" s="7">
        <f t="shared" si="385"/>
        <v>10.811</v>
      </c>
      <c r="Q3098" s="7" t="str">
        <f>VLOOKUP(D3099,Product_Lookup!$A$2:$C$27,2,FALSE)</f>
        <v>Air Fryer</v>
      </c>
      <c r="R3098" s="7">
        <f t="shared" si="386"/>
        <v>1081.0999999999999</v>
      </c>
    </row>
    <row r="3099" spans="1:18" ht="21.75" customHeight="1">
      <c r="A3099" t="s">
        <v>3250</v>
      </c>
      <c r="B3099" s="6">
        <v>45334</v>
      </c>
      <c r="C3099" t="s">
        <v>235</v>
      </c>
      <c r="D3099" t="s">
        <v>70</v>
      </c>
      <c r="E3099" t="s">
        <v>11</v>
      </c>
      <c r="F3099" t="s">
        <v>42</v>
      </c>
      <c r="G3099" t="s">
        <v>36</v>
      </c>
      <c r="H3099">
        <v>7</v>
      </c>
      <c r="I3099" t="str">
        <f>VLOOKUP(D3099,Product_Lookup!$A$2:$C$27,3,FALSE)</f>
        <v>$211.9</v>
      </c>
      <c r="J3099" t="str">
        <f t="shared" si="387"/>
        <v>Monday</v>
      </c>
      <c r="K3099" s="10" t="str">
        <f t="shared" si="388"/>
        <v>February</v>
      </c>
      <c r="L3099">
        <f t="shared" si="389"/>
        <v>2024</v>
      </c>
      <c r="M3099" t="b">
        <f t="shared" si="390"/>
        <v>0</v>
      </c>
      <c r="N3099" t="b">
        <f t="shared" si="384"/>
        <v>1</v>
      </c>
      <c r="O3099" t="str">
        <f t="shared" si="391"/>
        <v>Large Order</v>
      </c>
      <c r="P3099" s="7">
        <f t="shared" si="385"/>
        <v>10.595000000000001</v>
      </c>
      <c r="Q3099" s="7" t="str">
        <f>VLOOKUP(D3100,Product_Lookup!$A$2:$C$27,2,FALSE)</f>
        <v>Action Figure</v>
      </c>
      <c r="R3099" s="7">
        <f t="shared" si="386"/>
        <v>1483.3</v>
      </c>
    </row>
    <row r="3100" spans="1:18" ht="21.75" customHeight="1">
      <c r="A3100" t="s">
        <v>3251</v>
      </c>
      <c r="B3100" s="6">
        <v>45501</v>
      </c>
      <c r="C3100" t="s">
        <v>235</v>
      </c>
      <c r="D3100" t="s">
        <v>21</v>
      </c>
      <c r="E3100" t="s">
        <v>22</v>
      </c>
      <c r="F3100" t="s">
        <v>12</v>
      </c>
      <c r="G3100" t="s">
        <v>32</v>
      </c>
      <c r="H3100">
        <v>9</v>
      </c>
      <c r="I3100" t="str">
        <f>VLOOKUP(D3100,Product_Lookup!$A$2:$C$27,3,FALSE)</f>
        <v>$88.18</v>
      </c>
      <c r="J3100" t="str">
        <f t="shared" si="387"/>
        <v>Sunday</v>
      </c>
      <c r="K3100" s="10" t="str">
        <f t="shared" si="388"/>
        <v>July</v>
      </c>
      <c r="L3100">
        <f t="shared" si="389"/>
        <v>2024</v>
      </c>
      <c r="M3100" t="b">
        <f t="shared" si="390"/>
        <v>1</v>
      </c>
      <c r="N3100" t="b">
        <f t="shared" si="384"/>
        <v>1</v>
      </c>
      <c r="O3100" t="str">
        <f t="shared" si="391"/>
        <v>Large Order</v>
      </c>
      <c r="P3100" s="7">
        <f t="shared" si="385"/>
        <v>4.4090000000000007</v>
      </c>
      <c r="Q3100" s="7" t="str">
        <f>VLOOKUP(D3101,Product_Lookup!$A$2:$C$27,2,FALSE)</f>
        <v>Air Fryer</v>
      </c>
      <c r="R3100" s="7">
        <f t="shared" si="386"/>
        <v>793.62000000000012</v>
      </c>
    </row>
    <row r="3101" spans="1:18" ht="21.75" customHeight="1">
      <c r="A3101" t="s">
        <v>3252</v>
      </c>
      <c r="B3101" s="6">
        <v>45352</v>
      </c>
      <c r="C3101" t="s">
        <v>47</v>
      </c>
      <c r="D3101" t="s">
        <v>70</v>
      </c>
      <c r="E3101" t="s">
        <v>22</v>
      </c>
      <c r="F3101" t="s">
        <v>12</v>
      </c>
      <c r="G3101" t="s">
        <v>36</v>
      </c>
      <c r="H3101">
        <v>15</v>
      </c>
      <c r="I3101" t="str">
        <f>VLOOKUP(D3101,Product_Lookup!$A$2:$C$27,3,FALSE)</f>
        <v>$211.9</v>
      </c>
      <c r="J3101" t="str">
        <f t="shared" si="387"/>
        <v>Friday</v>
      </c>
      <c r="K3101" s="10" t="str">
        <f t="shared" si="388"/>
        <v>March</v>
      </c>
      <c r="L3101">
        <f t="shared" si="389"/>
        <v>2024</v>
      </c>
      <c r="M3101" t="b">
        <f t="shared" si="390"/>
        <v>0</v>
      </c>
      <c r="N3101" t="b">
        <f t="shared" si="384"/>
        <v>1</v>
      </c>
      <c r="O3101" t="str">
        <f t="shared" si="391"/>
        <v>Large Order</v>
      </c>
      <c r="P3101" s="7">
        <f t="shared" si="385"/>
        <v>10.595000000000001</v>
      </c>
      <c r="Q3101" s="7" t="str">
        <f>VLOOKUP(D3102,Product_Lookup!$A$2:$C$27,2,FALSE)</f>
        <v>Lego Set</v>
      </c>
      <c r="R3101" s="7">
        <f t="shared" si="386"/>
        <v>3178.5</v>
      </c>
    </row>
    <row r="3102" spans="1:18" ht="21.75" customHeight="1">
      <c r="A3102" t="s">
        <v>3253</v>
      </c>
      <c r="B3102" s="6">
        <v>45338</v>
      </c>
      <c r="C3102" t="s">
        <v>44</v>
      </c>
      <c r="D3102" t="s">
        <v>84</v>
      </c>
      <c r="E3102" t="s">
        <v>11</v>
      </c>
      <c r="F3102" t="s">
        <v>56</v>
      </c>
      <c r="G3102" t="s">
        <v>32</v>
      </c>
      <c r="H3102">
        <v>19</v>
      </c>
      <c r="I3102" t="str">
        <f>VLOOKUP(D3102,Product_Lookup!$A$2:$C$27,3,FALSE)</f>
        <v>$130.07</v>
      </c>
      <c r="J3102" t="str">
        <f t="shared" si="387"/>
        <v>Friday</v>
      </c>
      <c r="K3102" s="10" t="str">
        <f t="shared" si="388"/>
        <v>February</v>
      </c>
      <c r="L3102">
        <f t="shared" si="389"/>
        <v>2024</v>
      </c>
      <c r="M3102" t="b">
        <f t="shared" si="390"/>
        <v>0</v>
      </c>
      <c r="N3102" t="b">
        <f t="shared" si="384"/>
        <v>1</v>
      </c>
      <c r="O3102" t="str">
        <f t="shared" si="391"/>
        <v>Large Order</v>
      </c>
      <c r="P3102" s="7">
        <f t="shared" si="385"/>
        <v>6.5034999999999998</v>
      </c>
      <c r="Q3102" s="7" t="str">
        <f>VLOOKUP(D3103,Product_Lookup!$A$2:$C$27,2,FALSE)</f>
        <v>T-Shirt</v>
      </c>
      <c r="R3102" s="7">
        <f t="shared" si="386"/>
        <v>2471.33</v>
      </c>
    </row>
    <row r="3103" spans="1:18" ht="21.75" customHeight="1">
      <c r="A3103" t="s">
        <v>3254</v>
      </c>
      <c r="B3103" s="6">
        <v>45302</v>
      </c>
      <c r="C3103" t="s">
        <v>337</v>
      </c>
      <c r="D3103" t="s">
        <v>45</v>
      </c>
      <c r="E3103" t="s">
        <v>11</v>
      </c>
      <c r="F3103" t="s">
        <v>56</v>
      </c>
      <c r="G3103" t="s">
        <v>32</v>
      </c>
      <c r="H3103">
        <v>15</v>
      </c>
      <c r="I3103" t="str">
        <f>VLOOKUP(D3103,Product_Lookup!$A$2:$C$27,3,FALSE)</f>
        <v>$107.34</v>
      </c>
      <c r="J3103" t="str">
        <f t="shared" si="387"/>
        <v>Thursday</v>
      </c>
      <c r="K3103" s="10" t="str">
        <f t="shared" si="388"/>
        <v>January</v>
      </c>
      <c r="L3103">
        <f t="shared" si="389"/>
        <v>2024</v>
      </c>
      <c r="M3103" t="b">
        <f t="shared" si="390"/>
        <v>0</v>
      </c>
      <c r="N3103" t="b">
        <f t="shared" si="384"/>
        <v>1</v>
      </c>
      <c r="O3103" t="str">
        <f t="shared" si="391"/>
        <v>Large Order</v>
      </c>
      <c r="P3103" s="7">
        <f t="shared" si="385"/>
        <v>5.3670000000000009</v>
      </c>
      <c r="Q3103" s="7" t="str">
        <f>VLOOKUP(D3104,Product_Lookup!$A$2:$C$27,2,FALSE)</f>
        <v>Board Game</v>
      </c>
      <c r="R3103" s="7">
        <f t="shared" si="386"/>
        <v>1610.1000000000001</v>
      </c>
    </row>
    <row r="3104" spans="1:18" ht="21.75" customHeight="1">
      <c r="A3104" t="s">
        <v>3255</v>
      </c>
      <c r="B3104" s="6">
        <v>45418</v>
      </c>
      <c r="C3104" t="s">
        <v>147</v>
      </c>
      <c r="D3104" t="s">
        <v>41</v>
      </c>
      <c r="E3104" t="s">
        <v>22</v>
      </c>
      <c r="F3104" t="s">
        <v>56</v>
      </c>
      <c r="G3104" t="s">
        <v>28</v>
      </c>
      <c r="H3104">
        <v>10</v>
      </c>
      <c r="I3104" t="str">
        <f>VLOOKUP(D3104,Product_Lookup!$A$2:$C$27,3,FALSE)</f>
        <v>$86.6</v>
      </c>
      <c r="J3104" t="str">
        <f t="shared" si="387"/>
        <v>Monday</v>
      </c>
      <c r="K3104" s="10" t="str">
        <f t="shared" si="388"/>
        <v>May</v>
      </c>
      <c r="L3104">
        <f t="shared" si="389"/>
        <v>2024</v>
      </c>
      <c r="M3104" t="b">
        <f t="shared" si="390"/>
        <v>0</v>
      </c>
      <c r="N3104" t="b">
        <f t="shared" si="384"/>
        <v>1</v>
      </c>
      <c r="O3104" t="str">
        <f t="shared" si="391"/>
        <v>Large Order</v>
      </c>
      <c r="P3104" s="7">
        <f t="shared" si="385"/>
        <v>4.33</v>
      </c>
      <c r="Q3104" s="7" t="str">
        <f>VLOOKUP(D3105,Product_Lookup!$A$2:$C$27,2,FALSE)</f>
        <v>T-Shirt</v>
      </c>
      <c r="R3104" s="7">
        <f t="shared" si="386"/>
        <v>866</v>
      </c>
    </row>
    <row r="3105" spans="1:18" ht="21.75" customHeight="1">
      <c r="A3105" t="s">
        <v>3256</v>
      </c>
      <c r="B3105" s="6">
        <v>45653</v>
      </c>
      <c r="C3105" t="s">
        <v>55</v>
      </c>
      <c r="D3105" t="s">
        <v>45</v>
      </c>
      <c r="E3105" t="s">
        <v>17</v>
      </c>
      <c r="F3105" t="s">
        <v>56</v>
      </c>
      <c r="G3105" t="s">
        <v>36</v>
      </c>
      <c r="H3105">
        <v>11</v>
      </c>
      <c r="I3105" t="str">
        <f>VLOOKUP(D3105,Product_Lookup!$A$2:$C$27,3,FALSE)</f>
        <v>$107.34</v>
      </c>
      <c r="J3105" t="str">
        <f t="shared" si="387"/>
        <v>Friday</v>
      </c>
      <c r="K3105" s="10" t="str">
        <f t="shared" si="388"/>
        <v>December</v>
      </c>
      <c r="L3105">
        <f t="shared" si="389"/>
        <v>2024</v>
      </c>
      <c r="M3105" t="b">
        <f t="shared" si="390"/>
        <v>0</v>
      </c>
      <c r="N3105" t="b">
        <f t="shared" si="384"/>
        <v>1</v>
      </c>
      <c r="O3105" t="str">
        <f t="shared" si="391"/>
        <v>Large Order</v>
      </c>
      <c r="P3105" s="7">
        <f t="shared" si="385"/>
        <v>5.3670000000000009</v>
      </c>
      <c r="Q3105" s="7" t="str">
        <f>VLOOKUP(D3106,Product_Lookup!$A$2:$C$27,2,FALSE)</f>
        <v>Jeans</v>
      </c>
      <c r="R3105" s="7">
        <f t="shared" si="386"/>
        <v>1180.74</v>
      </c>
    </row>
    <row r="3106" spans="1:18" ht="21.75" customHeight="1">
      <c r="A3106" t="s">
        <v>3257</v>
      </c>
      <c r="B3106" s="6">
        <v>45388</v>
      </c>
      <c r="C3106" t="s">
        <v>101</v>
      </c>
      <c r="D3106" t="s">
        <v>65</v>
      </c>
      <c r="E3106" t="s">
        <v>11</v>
      </c>
      <c r="F3106" t="s">
        <v>42</v>
      </c>
      <c r="G3106" t="s">
        <v>32</v>
      </c>
      <c r="H3106">
        <v>15</v>
      </c>
      <c r="I3106" t="str">
        <f>VLOOKUP(D3106,Product_Lookup!$A$2:$C$27,3,FALSE)</f>
        <v>$33.22</v>
      </c>
      <c r="J3106" t="str">
        <f t="shared" si="387"/>
        <v>Saturday</v>
      </c>
      <c r="K3106" s="10" t="str">
        <f t="shared" si="388"/>
        <v>April</v>
      </c>
      <c r="L3106">
        <f t="shared" si="389"/>
        <v>2024</v>
      </c>
      <c r="M3106" t="b">
        <f t="shared" si="390"/>
        <v>1</v>
      </c>
      <c r="N3106" t="b">
        <f t="shared" si="384"/>
        <v>0</v>
      </c>
      <c r="O3106" t="str">
        <f t="shared" si="391"/>
        <v>Standard order</v>
      </c>
      <c r="P3106" s="7">
        <f t="shared" si="385"/>
        <v>1.661</v>
      </c>
      <c r="Q3106" s="7" t="str">
        <f>VLOOKUP(D3107,Product_Lookup!$A$2:$C$27,2,FALSE)</f>
        <v>Desk Lamp</v>
      </c>
      <c r="R3106" s="7">
        <f t="shared" si="386"/>
        <v>498.29999999999995</v>
      </c>
    </row>
    <row r="3107" spans="1:18" ht="21.75" customHeight="1">
      <c r="A3107" t="s">
        <v>3258</v>
      </c>
      <c r="B3107" s="6">
        <v>45542</v>
      </c>
      <c r="C3107" t="s">
        <v>182</v>
      </c>
      <c r="D3107" t="s">
        <v>59</v>
      </c>
      <c r="E3107" t="s">
        <v>17</v>
      </c>
      <c r="F3107" t="s">
        <v>42</v>
      </c>
      <c r="G3107" t="s">
        <v>36</v>
      </c>
      <c r="H3107">
        <v>15</v>
      </c>
      <c r="I3107" t="str">
        <f>VLOOKUP(D3107,Product_Lookup!$A$2:$C$27,3,FALSE)</f>
        <v>$101.96</v>
      </c>
      <c r="J3107" t="str">
        <f t="shared" si="387"/>
        <v>Saturday</v>
      </c>
      <c r="K3107" s="10" t="str">
        <f t="shared" si="388"/>
        <v>September</v>
      </c>
      <c r="L3107">
        <f t="shared" si="389"/>
        <v>2024</v>
      </c>
      <c r="M3107" t="b">
        <f t="shared" si="390"/>
        <v>1</v>
      </c>
      <c r="N3107" t="b">
        <f t="shared" si="384"/>
        <v>1</v>
      </c>
      <c r="O3107" t="str">
        <f t="shared" si="391"/>
        <v>Large Order</v>
      </c>
      <c r="P3107" s="7">
        <f t="shared" si="385"/>
        <v>5.0979999999999999</v>
      </c>
      <c r="Q3107" s="7" t="str">
        <f>VLOOKUP(D3108,Product_Lookup!$A$2:$C$27,2,FALSE)</f>
        <v>Smartphone</v>
      </c>
      <c r="R3107" s="7">
        <f t="shared" si="386"/>
        <v>1529.3999999999999</v>
      </c>
    </row>
    <row r="3108" spans="1:18" ht="21.75" customHeight="1">
      <c r="A3108" t="s">
        <v>3259</v>
      </c>
      <c r="B3108" s="6">
        <v>45643</v>
      </c>
      <c r="C3108" t="s">
        <v>30</v>
      </c>
      <c r="D3108" t="s">
        <v>79</v>
      </c>
      <c r="E3108" t="s">
        <v>22</v>
      </c>
      <c r="F3108" t="s">
        <v>27</v>
      </c>
      <c r="G3108" t="s">
        <v>28</v>
      </c>
      <c r="H3108">
        <v>18</v>
      </c>
      <c r="I3108" t="str">
        <f>VLOOKUP(D3108,Product_Lookup!$A$2:$C$27,3,FALSE)</f>
        <v>$216.22</v>
      </c>
      <c r="J3108" t="str">
        <f t="shared" si="387"/>
        <v>Tuesday</v>
      </c>
      <c r="K3108" s="10" t="str">
        <f t="shared" si="388"/>
        <v>December</v>
      </c>
      <c r="L3108">
        <f t="shared" si="389"/>
        <v>2024</v>
      </c>
      <c r="M3108" t="b">
        <f t="shared" si="390"/>
        <v>0</v>
      </c>
      <c r="N3108" t="b">
        <f t="shared" si="384"/>
        <v>1</v>
      </c>
      <c r="O3108" t="str">
        <f t="shared" si="391"/>
        <v>Large Order</v>
      </c>
      <c r="P3108" s="7">
        <f t="shared" si="385"/>
        <v>10.811</v>
      </c>
      <c r="Q3108" s="7" t="str">
        <f>VLOOKUP(D3109,Product_Lookup!$A$2:$C$27,2,FALSE)</f>
        <v>Toaster</v>
      </c>
      <c r="R3108" s="7">
        <f t="shared" si="386"/>
        <v>3891.96</v>
      </c>
    </row>
    <row r="3109" spans="1:18" ht="21.75" customHeight="1">
      <c r="A3109" t="s">
        <v>3260</v>
      </c>
      <c r="B3109" s="6">
        <v>45651</v>
      </c>
      <c r="C3109" t="s">
        <v>348</v>
      </c>
      <c r="D3109" t="s">
        <v>48</v>
      </c>
      <c r="E3109" t="s">
        <v>22</v>
      </c>
      <c r="F3109" t="s">
        <v>42</v>
      </c>
      <c r="G3109" t="s">
        <v>28</v>
      </c>
      <c r="H3109">
        <v>11</v>
      </c>
      <c r="I3109" t="str">
        <f>VLOOKUP(D3109,Product_Lookup!$A$2:$C$27,3,FALSE)</f>
        <v>$208.85</v>
      </c>
      <c r="J3109" t="str">
        <f t="shared" si="387"/>
        <v>Wednesday</v>
      </c>
      <c r="K3109" s="10" t="str">
        <f t="shared" si="388"/>
        <v>December</v>
      </c>
      <c r="L3109">
        <f t="shared" si="389"/>
        <v>2024</v>
      </c>
      <c r="M3109" t="b">
        <f t="shared" si="390"/>
        <v>0</v>
      </c>
      <c r="N3109" t="b">
        <f t="shared" si="384"/>
        <v>1</v>
      </c>
      <c r="O3109" t="str">
        <f t="shared" si="391"/>
        <v>Large Order</v>
      </c>
      <c r="P3109" s="7">
        <f t="shared" si="385"/>
        <v>10.442500000000001</v>
      </c>
      <c r="Q3109" s="7" t="str">
        <f>VLOOKUP(D3110,Product_Lookup!$A$2:$C$27,2,FALSE)</f>
        <v>Lego Set</v>
      </c>
      <c r="R3109" s="7">
        <f t="shared" si="386"/>
        <v>2297.35</v>
      </c>
    </row>
    <row r="3110" spans="1:18" ht="21.75" customHeight="1">
      <c r="A3110" t="s">
        <v>3261</v>
      </c>
      <c r="B3110" s="6">
        <v>45549</v>
      </c>
      <c r="C3110" t="s">
        <v>378</v>
      </c>
      <c r="D3110" t="s">
        <v>84</v>
      </c>
      <c r="E3110" t="s">
        <v>17</v>
      </c>
      <c r="F3110" t="s">
        <v>12</v>
      </c>
      <c r="G3110" t="s">
        <v>36</v>
      </c>
      <c r="H3110">
        <v>7</v>
      </c>
      <c r="I3110" t="str">
        <f>VLOOKUP(D3110,Product_Lookup!$A$2:$C$27,3,FALSE)</f>
        <v>$130.07</v>
      </c>
      <c r="J3110" t="str">
        <f t="shared" si="387"/>
        <v>Saturday</v>
      </c>
      <c r="K3110" s="10" t="str">
        <f t="shared" si="388"/>
        <v>September</v>
      </c>
      <c r="L3110">
        <f t="shared" si="389"/>
        <v>2024</v>
      </c>
      <c r="M3110" t="b">
        <f t="shared" si="390"/>
        <v>1</v>
      </c>
      <c r="N3110" t="b">
        <f t="shared" si="384"/>
        <v>1</v>
      </c>
      <c r="O3110" t="str">
        <f t="shared" si="391"/>
        <v>Large Order</v>
      </c>
      <c r="P3110" s="7">
        <f t="shared" si="385"/>
        <v>6.5034999999999998</v>
      </c>
      <c r="Q3110" s="7" t="str">
        <f>VLOOKUP(D3111,Product_Lookup!$A$2:$C$27,2,FALSE)</f>
        <v>Smartphone</v>
      </c>
      <c r="R3110" s="7">
        <f t="shared" si="386"/>
        <v>910.49</v>
      </c>
    </row>
    <row r="3111" spans="1:18" ht="21.75" customHeight="1">
      <c r="A3111" t="s">
        <v>3262</v>
      </c>
      <c r="B3111" s="6">
        <v>45531</v>
      </c>
      <c r="C3111" t="s">
        <v>86</v>
      </c>
      <c r="D3111" t="s">
        <v>79</v>
      </c>
      <c r="E3111" t="s">
        <v>11</v>
      </c>
      <c r="F3111" t="s">
        <v>306</v>
      </c>
      <c r="G3111" t="s">
        <v>28</v>
      </c>
      <c r="H3111">
        <v>16</v>
      </c>
      <c r="I3111" t="str">
        <f>VLOOKUP(D3111,Product_Lookup!$A$2:$C$27,3,FALSE)</f>
        <v>$216.22</v>
      </c>
      <c r="J3111" t="str">
        <f t="shared" si="387"/>
        <v>Tuesday</v>
      </c>
      <c r="K3111" s="10" t="str">
        <f t="shared" si="388"/>
        <v>August</v>
      </c>
      <c r="L3111">
        <f t="shared" si="389"/>
        <v>2024</v>
      </c>
      <c r="M3111" t="b">
        <f t="shared" si="390"/>
        <v>0</v>
      </c>
      <c r="N3111" t="b">
        <f t="shared" si="384"/>
        <v>1</v>
      </c>
      <c r="O3111" t="str">
        <f t="shared" si="391"/>
        <v>Large Order</v>
      </c>
      <c r="P3111" s="7">
        <f t="shared" si="385"/>
        <v>10.811</v>
      </c>
      <c r="Q3111" s="7" t="str">
        <f>VLOOKUP(D3112,Product_Lookup!$A$2:$C$27,2,FALSE)</f>
        <v>Toaster</v>
      </c>
      <c r="R3111" s="7">
        <f t="shared" si="386"/>
        <v>3459.52</v>
      </c>
    </row>
    <row r="3112" spans="1:18" ht="21.75" customHeight="1">
      <c r="A3112" t="s">
        <v>3263</v>
      </c>
      <c r="B3112" s="6">
        <v>45592</v>
      </c>
      <c r="C3112" t="s">
        <v>187</v>
      </c>
      <c r="D3112" t="s">
        <v>48</v>
      </c>
      <c r="E3112" t="s">
        <v>22</v>
      </c>
      <c r="F3112" t="s">
        <v>27</v>
      </c>
      <c r="G3112" t="s">
        <v>36</v>
      </c>
      <c r="H3112">
        <v>2</v>
      </c>
      <c r="I3112" t="str">
        <f>VLOOKUP(D3112,Product_Lookup!$A$2:$C$27,3,FALSE)</f>
        <v>$208.85</v>
      </c>
      <c r="J3112" t="str">
        <f t="shared" si="387"/>
        <v>Sunday</v>
      </c>
      <c r="K3112" s="10" t="str">
        <f t="shared" si="388"/>
        <v>October</v>
      </c>
      <c r="L3112">
        <f t="shared" si="389"/>
        <v>2024</v>
      </c>
      <c r="M3112" t="b">
        <f t="shared" si="390"/>
        <v>1</v>
      </c>
      <c r="N3112" t="b">
        <f t="shared" si="384"/>
        <v>0</v>
      </c>
      <c r="O3112" t="str">
        <f t="shared" si="391"/>
        <v>Standard order</v>
      </c>
      <c r="P3112" s="7">
        <f t="shared" si="385"/>
        <v>10.442500000000001</v>
      </c>
      <c r="Q3112" s="7" t="str">
        <f>VLOOKUP(D3113,Product_Lookup!$A$2:$C$27,2,FALSE)</f>
        <v>Toaster</v>
      </c>
      <c r="R3112" s="7">
        <f t="shared" si="386"/>
        <v>417.7</v>
      </c>
    </row>
    <row r="3113" spans="1:18" ht="21.75" customHeight="1">
      <c r="A3113" t="s">
        <v>3264</v>
      </c>
      <c r="B3113" s="6">
        <v>45345</v>
      </c>
      <c r="C3113" t="s">
        <v>451</v>
      </c>
      <c r="D3113" t="s">
        <v>48</v>
      </c>
      <c r="E3113" t="s">
        <v>11</v>
      </c>
      <c r="F3113" t="s">
        <v>56</v>
      </c>
      <c r="G3113" t="s">
        <v>23</v>
      </c>
      <c r="H3113">
        <v>16</v>
      </c>
      <c r="I3113" t="str">
        <f>VLOOKUP(D3113,Product_Lookup!$A$2:$C$27,3,FALSE)</f>
        <v>$208.85</v>
      </c>
      <c r="J3113" t="str">
        <f t="shared" si="387"/>
        <v>Friday</v>
      </c>
      <c r="K3113" s="10" t="str">
        <f t="shared" si="388"/>
        <v>February</v>
      </c>
      <c r="L3113">
        <f t="shared" si="389"/>
        <v>2024</v>
      </c>
      <c r="M3113" t="b">
        <f t="shared" si="390"/>
        <v>0</v>
      </c>
      <c r="N3113" t="b">
        <f t="shared" si="384"/>
        <v>1</v>
      </c>
      <c r="O3113" t="str">
        <f t="shared" si="391"/>
        <v>Large Order</v>
      </c>
      <c r="P3113" s="7">
        <f t="shared" si="385"/>
        <v>10.442500000000001</v>
      </c>
      <c r="Q3113" s="7" t="str">
        <f>VLOOKUP(D3114,Product_Lookup!$A$2:$C$27,2,FALSE)</f>
        <v>T-Shirt</v>
      </c>
      <c r="R3113" s="7">
        <f t="shared" si="386"/>
        <v>3341.6</v>
      </c>
    </row>
    <row r="3114" spans="1:18" ht="21.75" customHeight="1">
      <c r="A3114" t="s">
        <v>3265</v>
      </c>
      <c r="B3114" s="6">
        <v>45623</v>
      </c>
      <c r="C3114" t="s">
        <v>108</v>
      </c>
      <c r="D3114" t="s">
        <v>45</v>
      </c>
      <c r="E3114" t="s">
        <v>17</v>
      </c>
      <c r="F3114" t="s">
        <v>42</v>
      </c>
      <c r="G3114" t="s">
        <v>28</v>
      </c>
      <c r="H3114">
        <v>15</v>
      </c>
      <c r="I3114" t="str">
        <f>VLOOKUP(D3114,Product_Lookup!$A$2:$C$27,3,FALSE)</f>
        <v>$107.34</v>
      </c>
      <c r="J3114" t="str">
        <f t="shared" si="387"/>
        <v>Wednesday</v>
      </c>
      <c r="K3114" s="10" t="str">
        <f t="shared" si="388"/>
        <v>November</v>
      </c>
      <c r="L3114">
        <f t="shared" si="389"/>
        <v>2024</v>
      </c>
      <c r="M3114" t="b">
        <f t="shared" si="390"/>
        <v>0</v>
      </c>
      <c r="N3114" t="b">
        <f t="shared" si="384"/>
        <v>1</v>
      </c>
      <c r="O3114" t="str">
        <f t="shared" si="391"/>
        <v>Large Order</v>
      </c>
      <c r="P3114" s="7">
        <f t="shared" si="385"/>
        <v>5.3670000000000009</v>
      </c>
      <c r="Q3114" s="7" t="str">
        <f>VLOOKUP(D3115,Product_Lookup!$A$2:$C$27,2,FALSE)</f>
        <v>Paper Shredder</v>
      </c>
      <c r="R3114" s="7">
        <f t="shared" si="386"/>
        <v>1610.1000000000001</v>
      </c>
    </row>
    <row r="3115" spans="1:18" ht="21.75" customHeight="1">
      <c r="A3115" t="s">
        <v>3266</v>
      </c>
      <c r="B3115" s="6">
        <v>45303</v>
      </c>
      <c r="C3115" t="s">
        <v>396</v>
      </c>
      <c r="D3115" t="s">
        <v>109</v>
      </c>
      <c r="E3115" t="s">
        <v>17</v>
      </c>
      <c r="F3115" t="s">
        <v>306</v>
      </c>
      <c r="G3115" t="s">
        <v>36</v>
      </c>
      <c r="H3115">
        <v>14</v>
      </c>
      <c r="I3115" t="str">
        <f>VLOOKUP(D3115,Product_Lookup!$A$2:$C$27,3,FALSE)</f>
        <v>$81.02</v>
      </c>
      <c r="J3115" t="str">
        <f t="shared" si="387"/>
        <v>Friday</v>
      </c>
      <c r="K3115" s="10" t="str">
        <f t="shared" si="388"/>
        <v>January</v>
      </c>
      <c r="L3115">
        <f t="shared" si="389"/>
        <v>2024</v>
      </c>
      <c r="M3115" t="b">
        <f t="shared" si="390"/>
        <v>0</v>
      </c>
      <c r="N3115" t="b">
        <f t="shared" si="384"/>
        <v>1</v>
      </c>
      <c r="O3115" t="str">
        <f t="shared" si="391"/>
        <v>Large Order</v>
      </c>
      <c r="P3115" s="7">
        <f t="shared" si="385"/>
        <v>4.0510000000000002</v>
      </c>
      <c r="Q3115" s="7" t="str">
        <f>VLOOKUP(D3116,Product_Lookup!$A$2:$C$27,2,FALSE)</f>
        <v>Sweater</v>
      </c>
      <c r="R3115" s="7">
        <f t="shared" si="386"/>
        <v>1134.28</v>
      </c>
    </row>
    <row r="3116" spans="1:18" ht="21.75" customHeight="1">
      <c r="A3116" t="s">
        <v>3267</v>
      </c>
      <c r="B3116" s="6">
        <v>45534</v>
      </c>
      <c r="C3116" t="s">
        <v>78</v>
      </c>
      <c r="D3116" t="s">
        <v>26</v>
      </c>
      <c r="E3116" t="s">
        <v>22</v>
      </c>
      <c r="F3116" t="s">
        <v>42</v>
      </c>
      <c r="G3116" t="s">
        <v>36</v>
      </c>
      <c r="H3116">
        <v>11</v>
      </c>
      <c r="I3116" t="str">
        <f>VLOOKUP(D3116,Product_Lookup!$A$2:$C$27,3,FALSE)</f>
        <v>$84.57</v>
      </c>
      <c r="J3116" t="str">
        <f t="shared" si="387"/>
        <v>Friday</v>
      </c>
      <c r="K3116" s="10" t="str">
        <f t="shared" si="388"/>
        <v>August</v>
      </c>
      <c r="L3116">
        <f t="shared" si="389"/>
        <v>2024</v>
      </c>
      <c r="M3116" t="b">
        <f t="shared" si="390"/>
        <v>0</v>
      </c>
      <c r="N3116" t="b">
        <f t="shared" si="384"/>
        <v>1</v>
      </c>
      <c r="O3116" t="str">
        <f t="shared" si="391"/>
        <v>Large Order</v>
      </c>
      <c r="P3116" s="7">
        <f t="shared" si="385"/>
        <v>4.2284999999999995</v>
      </c>
      <c r="Q3116" s="7" t="str">
        <f>VLOOKUP(D3117,Product_Lookup!$A$2:$C$27,2,FALSE)</f>
        <v>Smartphone</v>
      </c>
      <c r="R3116" s="7">
        <f t="shared" si="386"/>
        <v>930.27</v>
      </c>
    </row>
    <row r="3117" spans="1:18" ht="21.75" customHeight="1">
      <c r="A3117" t="s">
        <v>3268</v>
      </c>
      <c r="B3117" s="6">
        <v>45497</v>
      </c>
      <c r="C3117" t="s">
        <v>68</v>
      </c>
      <c r="D3117" t="s">
        <v>79</v>
      </c>
      <c r="E3117" t="s">
        <v>11</v>
      </c>
      <c r="F3117" t="s">
        <v>306</v>
      </c>
      <c r="G3117" t="s">
        <v>13</v>
      </c>
      <c r="H3117">
        <v>14</v>
      </c>
      <c r="I3117" t="str">
        <f>VLOOKUP(D3117,Product_Lookup!$A$2:$C$27,3,FALSE)</f>
        <v>$216.22</v>
      </c>
      <c r="J3117" t="str">
        <f t="shared" si="387"/>
        <v>Wednesday</v>
      </c>
      <c r="K3117" s="10" t="str">
        <f t="shared" si="388"/>
        <v>July</v>
      </c>
      <c r="L3117">
        <f t="shared" si="389"/>
        <v>2024</v>
      </c>
      <c r="M3117" t="b">
        <f t="shared" si="390"/>
        <v>0</v>
      </c>
      <c r="N3117" t="b">
        <f t="shared" si="384"/>
        <v>1</v>
      </c>
      <c r="O3117" t="str">
        <f t="shared" si="391"/>
        <v>Large Order</v>
      </c>
      <c r="P3117" s="7">
        <f t="shared" si="385"/>
        <v>10.811</v>
      </c>
      <c r="Q3117" s="7" t="str">
        <f>VLOOKUP(D3118,Product_Lookup!$A$2:$C$27,2,FALSE)</f>
        <v>Coffee Maker</v>
      </c>
      <c r="R3117" s="7">
        <f t="shared" si="386"/>
        <v>3027.08</v>
      </c>
    </row>
    <row r="3118" spans="1:18" ht="21.75" customHeight="1">
      <c r="A3118" t="s">
        <v>3269</v>
      </c>
      <c r="B3118" s="6">
        <v>45429</v>
      </c>
      <c r="C3118" t="s">
        <v>314</v>
      </c>
      <c r="D3118" t="s">
        <v>31</v>
      </c>
      <c r="E3118" t="s">
        <v>22</v>
      </c>
      <c r="F3118" t="s">
        <v>12</v>
      </c>
      <c r="G3118" t="s">
        <v>28</v>
      </c>
      <c r="H3118">
        <v>17</v>
      </c>
      <c r="I3118" t="str">
        <f>VLOOKUP(D3118,Product_Lookup!$A$2:$C$27,3,FALSE)</f>
        <v>$230.34</v>
      </c>
      <c r="J3118" t="str">
        <f t="shared" si="387"/>
        <v>Friday</v>
      </c>
      <c r="K3118" s="10" t="str">
        <f t="shared" si="388"/>
        <v>May</v>
      </c>
      <c r="L3118">
        <f t="shared" si="389"/>
        <v>2024</v>
      </c>
      <c r="M3118" t="b">
        <f t="shared" si="390"/>
        <v>0</v>
      </c>
      <c r="N3118" t="b">
        <f t="shared" si="384"/>
        <v>1</v>
      </c>
      <c r="O3118" t="str">
        <f t="shared" si="391"/>
        <v>Large Order</v>
      </c>
      <c r="P3118" s="7">
        <f t="shared" si="385"/>
        <v>11.517000000000001</v>
      </c>
      <c r="Q3118" s="7" t="str">
        <f>VLOOKUP(D3119,Product_Lookup!$A$2:$C$27,2,FALSE)</f>
        <v>Puzzle</v>
      </c>
      <c r="R3118" s="7">
        <f t="shared" si="386"/>
        <v>3915.78</v>
      </c>
    </row>
    <row r="3119" spans="1:18" ht="21.75" customHeight="1">
      <c r="A3119" t="s">
        <v>3270</v>
      </c>
      <c r="B3119" s="6">
        <v>45445</v>
      </c>
      <c r="C3119" t="s">
        <v>327</v>
      </c>
      <c r="D3119" t="s">
        <v>62</v>
      </c>
      <c r="E3119" t="s">
        <v>22</v>
      </c>
      <c r="F3119" t="s">
        <v>56</v>
      </c>
      <c r="G3119" t="s">
        <v>36</v>
      </c>
      <c r="H3119">
        <v>5</v>
      </c>
      <c r="I3119" t="str">
        <f>VLOOKUP(D3119,Product_Lookup!$A$2:$C$27,3,FALSE)</f>
        <v>$46.19</v>
      </c>
      <c r="J3119" t="str">
        <f t="shared" si="387"/>
        <v>Sunday</v>
      </c>
      <c r="K3119" s="10" t="str">
        <f t="shared" si="388"/>
        <v>June</v>
      </c>
      <c r="L3119">
        <f t="shared" si="389"/>
        <v>2024</v>
      </c>
      <c r="M3119" t="b">
        <f t="shared" si="390"/>
        <v>1</v>
      </c>
      <c r="N3119" t="b">
        <f t="shared" si="384"/>
        <v>0</v>
      </c>
      <c r="O3119" t="str">
        <f t="shared" si="391"/>
        <v>Standard order</v>
      </c>
      <c r="P3119" s="7">
        <f t="shared" si="385"/>
        <v>2.3094999999999999</v>
      </c>
      <c r="Q3119" s="7" t="str">
        <f>VLOOKUP(D3120,Product_Lookup!$A$2:$C$27,2,FALSE)</f>
        <v>Smartphone</v>
      </c>
      <c r="R3119" s="7">
        <f t="shared" si="386"/>
        <v>230.95</v>
      </c>
    </row>
    <row r="3120" spans="1:18" ht="21.75" customHeight="1">
      <c r="A3120" t="s">
        <v>3271</v>
      </c>
      <c r="B3120" s="6">
        <v>45462</v>
      </c>
      <c r="C3120" t="s">
        <v>728</v>
      </c>
      <c r="D3120" t="s">
        <v>79</v>
      </c>
      <c r="E3120" t="s">
        <v>11</v>
      </c>
      <c r="F3120" t="s">
        <v>42</v>
      </c>
      <c r="G3120" t="s">
        <v>28</v>
      </c>
      <c r="H3120">
        <v>12</v>
      </c>
      <c r="I3120" t="str">
        <f>VLOOKUP(D3120,Product_Lookup!$A$2:$C$27,3,FALSE)</f>
        <v>$216.22</v>
      </c>
      <c r="J3120" t="str">
        <f t="shared" si="387"/>
        <v>Wednesday</v>
      </c>
      <c r="K3120" s="10" t="str">
        <f t="shared" si="388"/>
        <v>June</v>
      </c>
      <c r="L3120">
        <f t="shared" si="389"/>
        <v>2024</v>
      </c>
      <c r="M3120" t="b">
        <f t="shared" si="390"/>
        <v>0</v>
      </c>
      <c r="N3120" t="b">
        <f t="shared" si="384"/>
        <v>1</v>
      </c>
      <c r="O3120" t="str">
        <f t="shared" si="391"/>
        <v>Large Order</v>
      </c>
      <c r="P3120" s="7">
        <f t="shared" si="385"/>
        <v>10.811</v>
      </c>
      <c r="Q3120" s="7" t="str">
        <f>VLOOKUP(D3121,Product_Lookup!$A$2:$C$27,2,FALSE)</f>
        <v>Laptop</v>
      </c>
      <c r="R3120" s="7">
        <f t="shared" si="386"/>
        <v>2594.64</v>
      </c>
    </row>
    <row r="3121" spans="1:18" ht="21.75" customHeight="1">
      <c r="A3121" t="s">
        <v>3272</v>
      </c>
      <c r="B3121" s="6">
        <v>45376</v>
      </c>
      <c r="C3121" t="s">
        <v>366</v>
      </c>
      <c r="D3121" t="s">
        <v>96</v>
      </c>
      <c r="E3121" t="s">
        <v>22</v>
      </c>
      <c r="F3121" t="s">
        <v>56</v>
      </c>
      <c r="G3121" t="s">
        <v>28</v>
      </c>
      <c r="H3121">
        <v>6</v>
      </c>
      <c r="I3121" t="str">
        <f>VLOOKUP(D3121,Product_Lookup!$A$2:$C$27,3,FALSE)</f>
        <v>$230.68</v>
      </c>
      <c r="J3121" t="str">
        <f t="shared" si="387"/>
        <v>Monday</v>
      </c>
      <c r="K3121" s="10" t="str">
        <f t="shared" si="388"/>
        <v>March</v>
      </c>
      <c r="L3121">
        <f t="shared" si="389"/>
        <v>2024</v>
      </c>
      <c r="M3121" t="b">
        <f t="shared" si="390"/>
        <v>0</v>
      </c>
      <c r="N3121" t="b">
        <f t="shared" si="384"/>
        <v>1</v>
      </c>
      <c r="O3121" t="str">
        <f t="shared" si="391"/>
        <v>Large Order</v>
      </c>
      <c r="P3121" s="7">
        <f t="shared" si="385"/>
        <v>11.534000000000001</v>
      </c>
      <c r="Q3121" s="7" t="str">
        <f>VLOOKUP(D3122,Product_Lookup!$A$2:$C$27,2,FALSE)</f>
        <v>Jacket</v>
      </c>
      <c r="R3121" s="7">
        <f t="shared" si="386"/>
        <v>1384.08</v>
      </c>
    </row>
    <row r="3122" spans="1:18" ht="21.75" customHeight="1">
      <c r="A3122" t="s">
        <v>3273</v>
      </c>
      <c r="B3122" s="6">
        <v>45333</v>
      </c>
      <c r="C3122" t="s">
        <v>44</v>
      </c>
      <c r="D3122" t="s">
        <v>197</v>
      </c>
      <c r="E3122" t="s">
        <v>11</v>
      </c>
      <c r="F3122" t="s">
        <v>27</v>
      </c>
      <c r="G3122" t="s">
        <v>13</v>
      </c>
      <c r="H3122">
        <v>8</v>
      </c>
      <c r="I3122" t="str">
        <f>VLOOKUP(D3122,Product_Lookup!$A$2:$C$27,3,FALSE)</f>
        <v>$10.11</v>
      </c>
      <c r="J3122" t="str">
        <f t="shared" si="387"/>
        <v>Sunday</v>
      </c>
      <c r="K3122" s="10" t="str">
        <f t="shared" si="388"/>
        <v>February</v>
      </c>
      <c r="L3122">
        <f t="shared" si="389"/>
        <v>2024</v>
      </c>
      <c r="M3122" t="b">
        <f t="shared" si="390"/>
        <v>1</v>
      </c>
      <c r="N3122" t="b">
        <f t="shared" si="384"/>
        <v>0</v>
      </c>
      <c r="O3122" t="str">
        <f t="shared" si="391"/>
        <v>Standard order</v>
      </c>
      <c r="P3122" s="7">
        <f t="shared" si="385"/>
        <v>0.50549999999999995</v>
      </c>
      <c r="Q3122" s="7" t="str">
        <f>VLOOKUP(D3123,Product_Lookup!$A$2:$C$27,2,FALSE)</f>
        <v>Toaster</v>
      </c>
      <c r="R3122" s="7">
        <f t="shared" si="386"/>
        <v>80.88</v>
      </c>
    </row>
    <row r="3123" spans="1:18" ht="21.75" customHeight="1">
      <c r="A3123" t="s">
        <v>3274</v>
      </c>
      <c r="B3123" s="6">
        <v>45576</v>
      </c>
      <c r="C3123" t="s">
        <v>420</v>
      </c>
      <c r="D3123" t="s">
        <v>48</v>
      </c>
      <c r="E3123" t="s">
        <v>11</v>
      </c>
      <c r="F3123" t="s">
        <v>27</v>
      </c>
      <c r="G3123" t="s">
        <v>28</v>
      </c>
      <c r="H3123">
        <v>12</v>
      </c>
      <c r="I3123" t="str">
        <f>VLOOKUP(D3123,Product_Lookup!$A$2:$C$27,3,FALSE)</f>
        <v>$208.85</v>
      </c>
      <c r="J3123" t="str">
        <f t="shared" si="387"/>
        <v>Friday</v>
      </c>
      <c r="K3123" s="10" t="str">
        <f t="shared" si="388"/>
        <v>October</v>
      </c>
      <c r="L3123">
        <f t="shared" si="389"/>
        <v>2024</v>
      </c>
      <c r="M3123" t="b">
        <f t="shared" si="390"/>
        <v>0</v>
      </c>
      <c r="N3123" t="b">
        <f t="shared" si="384"/>
        <v>1</v>
      </c>
      <c r="O3123" t="str">
        <f t="shared" si="391"/>
        <v>Large Order</v>
      </c>
      <c r="P3123" s="7">
        <f t="shared" si="385"/>
        <v>10.442500000000001</v>
      </c>
      <c r="Q3123" s="7" t="str">
        <f>VLOOKUP(D3124,Product_Lookup!$A$2:$C$27,2,FALSE)</f>
        <v>Coffee Maker</v>
      </c>
      <c r="R3123" s="7">
        <f t="shared" si="386"/>
        <v>2506.1999999999998</v>
      </c>
    </row>
    <row r="3124" spans="1:18" ht="21.75" customHeight="1">
      <c r="A3124" t="s">
        <v>3275</v>
      </c>
      <c r="B3124" s="6">
        <v>45573</v>
      </c>
      <c r="C3124" t="s">
        <v>455</v>
      </c>
      <c r="D3124" t="s">
        <v>31</v>
      </c>
      <c r="E3124" t="s">
        <v>22</v>
      </c>
      <c r="F3124" t="s">
        <v>56</v>
      </c>
      <c r="G3124" t="s">
        <v>23</v>
      </c>
      <c r="H3124">
        <v>13</v>
      </c>
      <c r="I3124" t="str">
        <f>VLOOKUP(D3124,Product_Lookup!$A$2:$C$27,3,FALSE)</f>
        <v>$230.34</v>
      </c>
      <c r="J3124" t="str">
        <f t="shared" si="387"/>
        <v>Tuesday</v>
      </c>
      <c r="K3124" s="10" t="str">
        <f t="shared" si="388"/>
        <v>October</v>
      </c>
      <c r="L3124">
        <f t="shared" si="389"/>
        <v>2024</v>
      </c>
      <c r="M3124" t="b">
        <f t="shared" si="390"/>
        <v>0</v>
      </c>
      <c r="N3124" t="b">
        <f t="shared" si="384"/>
        <v>1</v>
      </c>
      <c r="O3124" t="str">
        <f t="shared" si="391"/>
        <v>Large Order</v>
      </c>
      <c r="P3124" s="7">
        <f t="shared" si="385"/>
        <v>11.517000000000001</v>
      </c>
      <c r="Q3124" s="7" t="str">
        <f>VLOOKUP(D3125,Product_Lookup!$A$2:$C$27,2,FALSE)</f>
        <v>Doll</v>
      </c>
      <c r="R3124" s="7">
        <f t="shared" si="386"/>
        <v>2994.42</v>
      </c>
    </row>
    <row r="3125" spans="1:18" ht="21.75" customHeight="1">
      <c r="A3125" t="s">
        <v>3276</v>
      </c>
      <c r="B3125" s="6">
        <v>45653</v>
      </c>
      <c r="C3125" t="s">
        <v>78</v>
      </c>
      <c r="D3125" t="s">
        <v>119</v>
      </c>
      <c r="E3125" t="s">
        <v>11</v>
      </c>
      <c r="F3125" t="s">
        <v>27</v>
      </c>
      <c r="G3125" t="s">
        <v>28</v>
      </c>
      <c r="H3125">
        <v>11</v>
      </c>
      <c r="I3125" t="str">
        <f>VLOOKUP(D3125,Product_Lookup!$A$2:$C$27,3,FALSE)</f>
        <v>$32.94</v>
      </c>
      <c r="J3125" t="str">
        <f t="shared" si="387"/>
        <v>Friday</v>
      </c>
      <c r="K3125" s="10" t="str">
        <f t="shared" si="388"/>
        <v>December</v>
      </c>
      <c r="L3125">
        <f t="shared" si="389"/>
        <v>2024</v>
      </c>
      <c r="M3125" t="b">
        <f t="shared" si="390"/>
        <v>0</v>
      </c>
      <c r="N3125" t="b">
        <f t="shared" si="384"/>
        <v>0</v>
      </c>
      <c r="O3125" t="str">
        <f t="shared" si="391"/>
        <v>Standard order</v>
      </c>
      <c r="P3125" s="7">
        <f t="shared" si="385"/>
        <v>1.647</v>
      </c>
      <c r="Q3125" s="7" t="str">
        <f>VLOOKUP(D3126,Product_Lookup!$A$2:$C$27,2,FALSE)</f>
        <v>Doll</v>
      </c>
      <c r="R3125" s="7">
        <f t="shared" si="386"/>
        <v>362.34</v>
      </c>
    </row>
    <row r="3126" spans="1:18" ht="21.75" customHeight="1">
      <c r="A3126" t="s">
        <v>3277</v>
      </c>
      <c r="B3126" s="6">
        <v>45360</v>
      </c>
      <c r="C3126" t="s">
        <v>341</v>
      </c>
      <c r="D3126" t="s">
        <v>119</v>
      </c>
      <c r="E3126" t="s">
        <v>17</v>
      </c>
      <c r="F3126" t="s">
        <v>42</v>
      </c>
      <c r="G3126" t="s">
        <v>23</v>
      </c>
      <c r="H3126">
        <v>20</v>
      </c>
      <c r="I3126" t="str">
        <f>VLOOKUP(D3126,Product_Lookup!$A$2:$C$27,3,FALSE)</f>
        <v>$32.94</v>
      </c>
      <c r="J3126" t="str">
        <f t="shared" si="387"/>
        <v>Saturday</v>
      </c>
      <c r="K3126" s="10" t="str">
        <f t="shared" si="388"/>
        <v>March</v>
      </c>
      <c r="L3126">
        <f t="shared" si="389"/>
        <v>2024</v>
      </c>
      <c r="M3126" t="b">
        <f t="shared" si="390"/>
        <v>1</v>
      </c>
      <c r="N3126" t="b">
        <f t="shared" si="384"/>
        <v>0</v>
      </c>
      <c r="O3126" t="str">
        <f t="shared" si="391"/>
        <v>Large Order</v>
      </c>
      <c r="P3126" s="7">
        <f t="shared" si="385"/>
        <v>1.647</v>
      </c>
      <c r="Q3126" s="7" t="str">
        <f>VLOOKUP(D3127,Product_Lookup!$A$2:$C$27,2,FALSE)</f>
        <v>Stapler</v>
      </c>
      <c r="R3126" s="7">
        <f t="shared" si="386"/>
        <v>658.8</v>
      </c>
    </row>
    <row r="3127" spans="1:18" ht="21.75" customHeight="1">
      <c r="A3127" t="s">
        <v>3278</v>
      </c>
      <c r="B3127" s="6">
        <v>45328</v>
      </c>
      <c r="C3127" t="s">
        <v>20</v>
      </c>
      <c r="D3127" t="s">
        <v>35</v>
      </c>
      <c r="E3127" t="s">
        <v>22</v>
      </c>
      <c r="F3127" t="s">
        <v>306</v>
      </c>
      <c r="G3127" t="s">
        <v>13</v>
      </c>
      <c r="H3127">
        <v>8</v>
      </c>
      <c r="I3127" t="str">
        <f>VLOOKUP(D3127,Product_Lookup!$A$2:$C$27,3,FALSE)</f>
        <v>$64.61</v>
      </c>
      <c r="J3127" t="str">
        <f t="shared" si="387"/>
        <v>Tuesday</v>
      </c>
      <c r="K3127" s="10" t="str">
        <f t="shared" si="388"/>
        <v>February</v>
      </c>
      <c r="L3127">
        <f t="shared" si="389"/>
        <v>2024</v>
      </c>
      <c r="M3127" t="b">
        <f t="shared" si="390"/>
        <v>0</v>
      </c>
      <c r="N3127" t="b">
        <f t="shared" si="384"/>
        <v>0</v>
      </c>
      <c r="O3127" t="str">
        <f t="shared" si="391"/>
        <v>Large Order</v>
      </c>
      <c r="P3127" s="7">
        <f t="shared" si="385"/>
        <v>3.2305000000000001</v>
      </c>
      <c r="Q3127" s="7" t="str">
        <f>VLOOKUP(D3128,Product_Lookup!$A$2:$C$27,2,FALSE)</f>
        <v>Jacket</v>
      </c>
      <c r="R3127" s="7">
        <f t="shared" si="386"/>
        <v>516.88</v>
      </c>
    </row>
    <row r="3128" spans="1:18" ht="21.75" customHeight="1">
      <c r="A3128" t="s">
        <v>3279</v>
      </c>
      <c r="B3128" s="6">
        <v>45383</v>
      </c>
      <c r="C3128" t="s">
        <v>337</v>
      </c>
      <c r="D3128" t="s">
        <v>197</v>
      </c>
      <c r="E3128" t="s">
        <v>17</v>
      </c>
      <c r="F3128" t="s">
        <v>42</v>
      </c>
      <c r="G3128" t="s">
        <v>32</v>
      </c>
      <c r="H3128">
        <v>17</v>
      </c>
      <c r="I3128" t="str">
        <f>VLOOKUP(D3128,Product_Lookup!$A$2:$C$27,3,FALSE)</f>
        <v>$10.11</v>
      </c>
      <c r="J3128" t="str">
        <f t="shared" si="387"/>
        <v>Monday</v>
      </c>
      <c r="K3128" s="10" t="str">
        <f t="shared" si="388"/>
        <v>April</v>
      </c>
      <c r="L3128">
        <f t="shared" si="389"/>
        <v>2024</v>
      </c>
      <c r="M3128" t="b">
        <f t="shared" si="390"/>
        <v>0</v>
      </c>
      <c r="N3128" t="b">
        <f t="shared" si="384"/>
        <v>0</v>
      </c>
      <c r="O3128" t="str">
        <f t="shared" si="391"/>
        <v>Standard order</v>
      </c>
      <c r="P3128" s="7">
        <f t="shared" si="385"/>
        <v>0.50549999999999995</v>
      </c>
      <c r="Q3128" s="7" t="str">
        <f>VLOOKUP(D3129,Product_Lookup!$A$2:$C$27,2,FALSE)</f>
        <v>Doll</v>
      </c>
      <c r="R3128" s="7">
        <f t="shared" si="386"/>
        <v>171.87</v>
      </c>
    </row>
    <row r="3129" spans="1:18" ht="21.75" customHeight="1">
      <c r="A3129" t="s">
        <v>3280</v>
      </c>
      <c r="B3129" s="6">
        <v>45604</v>
      </c>
      <c r="C3129" t="s">
        <v>327</v>
      </c>
      <c r="D3129" t="s">
        <v>119</v>
      </c>
      <c r="E3129" t="s">
        <v>17</v>
      </c>
      <c r="F3129" t="s">
        <v>12</v>
      </c>
      <c r="G3129" t="s">
        <v>28</v>
      </c>
      <c r="H3129">
        <v>5</v>
      </c>
      <c r="I3129" t="str">
        <f>VLOOKUP(D3129,Product_Lookup!$A$2:$C$27,3,FALSE)</f>
        <v>$32.94</v>
      </c>
      <c r="J3129" t="str">
        <f t="shared" si="387"/>
        <v>Friday</v>
      </c>
      <c r="K3129" s="10" t="str">
        <f t="shared" si="388"/>
        <v>November</v>
      </c>
      <c r="L3129">
        <f t="shared" si="389"/>
        <v>2024</v>
      </c>
      <c r="M3129" t="b">
        <f t="shared" si="390"/>
        <v>0</v>
      </c>
      <c r="N3129" t="b">
        <f t="shared" si="384"/>
        <v>0</v>
      </c>
      <c r="O3129" t="str">
        <f t="shared" si="391"/>
        <v>Standard order</v>
      </c>
      <c r="P3129" s="7">
        <f t="shared" si="385"/>
        <v>1.647</v>
      </c>
      <c r="Q3129" s="7" t="str">
        <f>VLOOKUP(D3130,Product_Lookup!$A$2:$C$27,2,FALSE)</f>
        <v>Socks</v>
      </c>
      <c r="R3129" s="7">
        <f t="shared" si="386"/>
        <v>164.7</v>
      </c>
    </row>
    <row r="3130" spans="1:18" ht="21.75" customHeight="1">
      <c r="A3130" t="s">
        <v>3281</v>
      </c>
      <c r="B3130" s="6">
        <v>45314</v>
      </c>
      <c r="C3130" t="s">
        <v>133</v>
      </c>
      <c r="D3130" t="s">
        <v>74</v>
      </c>
      <c r="E3130" t="s">
        <v>17</v>
      </c>
      <c r="F3130" t="s">
        <v>12</v>
      </c>
      <c r="G3130" t="s">
        <v>32</v>
      </c>
      <c r="H3130">
        <v>13</v>
      </c>
      <c r="I3130" t="str">
        <f>VLOOKUP(D3130,Product_Lookup!$A$2:$C$27,3,FALSE)</f>
        <v>$201.32</v>
      </c>
      <c r="J3130" t="str">
        <f t="shared" si="387"/>
        <v>Tuesday</v>
      </c>
      <c r="K3130" s="10" t="str">
        <f t="shared" si="388"/>
        <v>January</v>
      </c>
      <c r="L3130">
        <f t="shared" si="389"/>
        <v>2024</v>
      </c>
      <c r="M3130" t="b">
        <f t="shared" si="390"/>
        <v>0</v>
      </c>
      <c r="N3130" t="b">
        <f t="shared" si="384"/>
        <v>1</v>
      </c>
      <c r="O3130" t="str">
        <f t="shared" si="391"/>
        <v>Large Order</v>
      </c>
      <c r="P3130" s="7">
        <f t="shared" si="385"/>
        <v>10.066000000000001</v>
      </c>
      <c r="Q3130" s="7" t="str">
        <f>VLOOKUP(D3131,Product_Lookup!$A$2:$C$27,2,FALSE)</f>
        <v>Socks</v>
      </c>
      <c r="R3130" s="7">
        <f t="shared" si="386"/>
        <v>2617.16</v>
      </c>
    </row>
    <row r="3131" spans="1:18" ht="21.75" customHeight="1">
      <c r="A3131" t="s">
        <v>3282</v>
      </c>
      <c r="B3131" s="6">
        <v>45509</v>
      </c>
      <c r="C3131" t="s">
        <v>125</v>
      </c>
      <c r="D3131" t="s">
        <v>74</v>
      </c>
      <c r="E3131" t="s">
        <v>17</v>
      </c>
      <c r="F3131" t="s">
        <v>27</v>
      </c>
      <c r="G3131" t="s">
        <v>23</v>
      </c>
      <c r="H3131">
        <v>2</v>
      </c>
      <c r="I3131" t="str">
        <f>VLOOKUP(D3131,Product_Lookup!$A$2:$C$27,3,FALSE)</f>
        <v>$201.32</v>
      </c>
      <c r="J3131" t="str">
        <f t="shared" si="387"/>
        <v>Monday</v>
      </c>
      <c r="K3131" s="10" t="str">
        <f t="shared" si="388"/>
        <v>August</v>
      </c>
      <c r="L3131">
        <f t="shared" si="389"/>
        <v>2024</v>
      </c>
      <c r="M3131" t="b">
        <f t="shared" si="390"/>
        <v>0</v>
      </c>
      <c r="N3131" t="b">
        <f t="shared" si="384"/>
        <v>0</v>
      </c>
      <c r="O3131" t="str">
        <f t="shared" si="391"/>
        <v>Standard order</v>
      </c>
      <c r="P3131" s="7">
        <f t="shared" si="385"/>
        <v>10.066000000000001</v>
      </c>
      <c r="Q3131" s="7" t="str">
        <f>VLOOKUP(D3132,Product_Lookup!$A$2:$C$27,2,FALSE)</f>
        <v>T-Shirt</v>
      </c>
      <c r="R3131" s="7">
        <f t="shared" si="386"/>
        <v>402.64</v>
      </c>
    </row>
    <row r="3132" spans="1:18" ht="21.75" customHeight="1">
      <c r="A3132" t="s">
        <v>3283</v>
      </c>
      <c r="B3132" s="6">
        <v>45507</v>
      </c>
      <c r="C3132" t="s">
        <v>235</v>
      </c>
      <c r="D3132" t="s">
        <v>45</v>
      </c>
      <c r="E3132" t="s">
        <v>17</v>
      </c>
      <c r="F3132" t="s">
        <v>306</v>
      </c>
      <c r="G3132" t="s">
        <v>13</v>
      </c>
      <c r="H3132">
        <v>15</v>
      </c>
      <c r="I3132" t="str">
        <f>VLOOKUP(D3132,Product_Lookup!$A$2:$C$27,3,FALSE)</f>
        <v>$107.34</v>
      </c>
      <c r="J3132" t="str">
        <f t="shared" si="387"/>
        <v>Saturday</v>
      </c>
      <c r="K3132" s="10" t="str">
        <f t="shared" si="388"/>
        <v>August</v>
      </c>
      <c r="L3132">
        <f t="shared" si="389"/>
        <v>2024</v>
      </c>
      <c r="M3132" t="b">
        <f t="shared" si="390"/>
        <v>1</v>
      </c>
      <c r="N3132" t="b">
        <f t="shared" si="384"/>
        <v>1</v>
      </c>
      <c r="O3132" t="str">
        <f t="shared" si="391"/>
        <v>Large Order</v>
      </c>
      <c r="P3132" s="7">
        <f t="shared" si="385"/>
        <v>5.3670000000000009</v>
      </c>
      <c r="Q3132" s="7" t="str">
        <f>VLOOKUP(D3133,Product_Lookup!$A$2:$C$27,2,FALSE)</f>
        <v>Lego Set</v>
      </c>
      <c r="R3132" s="7">
        <f t="shared" si="386"/>
        <v>1610.1000000000001</v>
      </c>
    </row>
    <row r="3133" spans="1:18" ht="21.75" customHeight="1">
      <c r="A3133" t="s">
        <v>3284</v>
      </c>
      <c r="B3133" s="6">
        <v>45469</v>
      </c>
      <c r="C3133" t="s">
        <v>455</v>
      </c>
      <c r="D3133" t="s">
        <v>84</v>
      </c>
      <c r="E3133" t="s">
        <v>11</v>
      </c>
      <c r="F3133" t="s">
        <v>27</v>
      </c>
      <c r="G3133" t="s">
        <v>13</v>
      </c>
      <c r="H3133">
        <v>6</v>
      </c>
      <c r="I3133" t="str">
        <f>VLOOKUP(D3133,Product_Lookup!$A$2:$C$27,3,FALSE)</f>
        <v>$130.07</v>
      </c>
      <c r="J3133" t="str">
        <f t="shared" si="387"/>
        <v>Wednesday</v>
      </c>
      <c r="K3133" s="10" t="str">
        <f t="shared" si="388"/>
        <v>June</v>
      </c>
      <c r="L3133">
        <f t="shared" si="389"/>
        <v>2024</v>
      </c>
      <c r="M3133" t="b">
        <f t="shared" si="390"/>
        <v>0</v>
      </c>
      <c r="N3133" t="b">
        <f t="shared" si="384"/>
        <v>1</v>
      </c>
      <c r="O3133" t="str">
        <f t="shared" si="391"/>
        <v>Large Order</v>
      </c>
      <c r="P3133" s="7">
        <f t="shared" si="385"/>
        <v>6.5034999999999998</v>
      </c>
      <c r="Q3133" s="7" t="str">
        <f>VLOOKUP(D3134,Product_Lookup!$A$2:$C$27,2,FALSE)</f>
        <v>Coffee Maker</v>
      </c>
      <c r="R3133" s="7">
        <f t="shared" si="386"/>
        <v>780.42</v>
      </c>
    </row>
    <row r="3134" spans="1:18" ht="21.75" customHeight="1">
      <c r="A3134" t="s">
        <v>3285</v>
      </c>
      <c r="B3134" s="6">
        <v>45586</v>
      </c>
      <c r="C3134" t="s">
        <v>358</v>
      </c>
      <c r="D3134" t="s">
        <v>31</v>
      </c>
      <c r="E3134" t="s">
        <v>22</v>
      </c>
      <c r="F3134" t="s">
        <v>27</v>
      </c>
      <c r="G3134" t="s">
        <v>13</v>
      </c>
      <c r="H3134">
        <v>16</v>
      </c>
      <c r="I3134" t="str">
        <f>VLOOKUP(D3134,Product_Lookup!$A$2:$C$27,3,FALSE)</f>
        <v>$230.34</v>
      </c>
      <c r="J3134" t="str">
        <f t="shared" si="387"/>
        <v>Monday</v>
      </c>
      <c r="K3134" s="10" t="str">
        <f t="shared" si="388"/>
        <v>October</v>
      </c>
      <c r="L3134">
        <f t="shared" si="389"/>
        <v>2024</v>
      </c>
      <c r="M3134" t="b">
        <f t="shared" si="390"/>
        <v>0</v>
      </c>
      <c r="N3134" t="b">
        <f t="shared" si="384"/>
        <v>1</v>
      </c>
      <c r="O3134" t="str">
        <f t="shared" si="391"/>
        <v>Large Order</v>
      </c>
      <c r="P3134" s="7">
        <f t="shared" si="385"/>
        <v>11.517000000000001</v>
      </c>
      <c r="Q3134" s="7" t="str">
        <f>VLOOKUP(D3135,Product_Lookup!$A$2:$C$27,2,FALSE)</f>
        <v>Vacuum</v>
      </c>
      <c r="R3134" s="7">
        <f t="shared" si="386"/>
        <v>3685.44</v>
      </c>
    </row>
    <row r="3135" spans="1:18" ht="21.75" customHeight="1">
      <c r="A3135" t="s">
        <v>3286</v>
      </c>
      <c r="B3135" s="6">
        <v>45635</v>
      </c>
      <c r="C3135" t="s">
        <v>341</v>
      </c>
      <c r="D3135" t="s">
        <v>87</v>
      </c>
      <c r="E3135" t="s">
        <v>11</v>
      </c>
      <c r="F3135" t="s">
        <v>42</v>
      </c>
      <c r="G3135" t="s">
        <v>23</v>
      </c>
      <c r="H3135">
        <v>9</v>
      </c>
      <c r="I3135" t="str">
        <f>VLOOKUP(D3135,Product_Lookup!$A$2:$C$27,3,FALSE)</f>
        <v>$26.59</v>
      </c>
      <c r="J3135" t="str">
        <f t="shared" si="387"/>
        <v>Monday</v>
      </c>
      <c r="K3135" s="10" t="str">
        <f t="shared" si="388"/>
        <v>December</v>
      </c>
      <c r="L3135">
        <f t="shared" si="389"/>
        <v>2024</v>
      </c>
      <c r="M3135" t="b">
        <f t="shared" si="390"/>
        <v>0</v>
      </c>
      <c r="N3135" t="b">
        <f t="shared" si="384"/>
        <v>0</v>
      </c>
      <c r="O3135" t="str">
        <f t="shared" si="391"/>
        <v>Standard order</v>
      </c>
      <c r="P3135" s="7">
        <f t="shared" si="385"/>
        <v>1.3295000000000001</v>
      </c>
      <c r="Q3135" s="7" t="str">
        <f>VLOOKUP(D3136,Product_Lookup!$A$2:$C$27,2,FALSE)</f>
        <v>Air Fryer</v>
      </c>
      <c r="R3135" s="7">
        <f t="shared" si="386"/>
        <v>239.31</v>
      </c>
    </row>
    <row r="3136" spans="1:18" ht="21.75" customHeight="1">
      <c r="A3136" t="s">
        <v>3287</v>
      </c>
      <c r="B3136" s="6">
        <v>45351</v>
      </c>
      <c r="C3136" t="s">
        <v>493</v>
      </c>
      <c r="D3136" t="s">
        <v>70</v>
      </c>
      <c r="E3136" t="s">
        <v>22</v>
      </c>
      <c r="F3136" t="s">
        <v>42</v>
      </c>
      <c r="G3136" t="s">
        <v>23</v>
      </c>
      <c r="H3136">
        <v>11</v>
      </c>
      <c r="I3136" t="str">
        <f>VLOOKUP(D3136,Product_Lookup!$A$2:$C$27,3,FALSE)</f>
        <v>$211.9</v>
      </c>
      <c r="J3136" t="str">
        <f t="shared" si="387"/>
        <v>Thursday</v>
      </c>
      <c r="K3136" s="10" t="str">
        <f t="shared" si="388"/>
        <v>February</v>
      </c>
      <c r="L3136">
        <f t="shared" si="389"/>
        <v>2024</v>
      </c>
      <c r="M3136" t="b">
        <f t="shared" si="390"/>
        <v>0</v>
      </c>
      <c r="N3136" t="b">
        <f t="shared" si="384"/>
        <v>1</v>
      </c>
      <c r="O3136" t="str">
        <f t="shared" si="391"/>
        <v>Large Order</v>
      </c>
      <c r="P3136" s="7">
        <f t="shared" si="385"/>
        <v>10.595000000000001</v>
      </c>
      <c r="Q3136" s="7" t="str">
        <f>VLOOKUP(D3137,Product_Lookup!$A$2:$C$27,2,FALSE)</f>
        <v>T-Shirt</v>
      </c>
      <c r="R3136" s="7">
        <f t="shared" si="386"/>
        <v>2330.9</v>
      </c>
    </row>
    <row r="3137" spans="1:18" ht="21.75" customHeight="1">
      <c r="A3137" t="s">
        <v>3288</v>
      </c>
      <c r="B3137" s="6">
        <v>45478</v>
      </c>
      <c r="C3137" t="s">
        <v>40</v>
      </c>
      <c r="D3137" t="s">
        <v>45</v>
      </c>
      <c r="E3137" t="s">
        <v>17</v>
      </c>
      <c r="F3137" t="s">
        <v>306</v>
      </c>
      <c r="G3137" t="s">
        <v>23</v>
      </c>
      <c r="H3137">
        <v>3</v>
      </c>
      <c r="I3137" t="str">
        <f>VLOOKUP(D3137,Product_Lookup!$A$2:$C$27,3,FALSE)</f>
        <v>$107.34</v>
      </c>
      <c r="J3137" t="str">
        <f t="shared" si="387"/>
        <v>Friday</v>
      </c>
      <c r="K3137" s="10" t="str">
        <f t="shared" si="388"/>
        <v>July</v>
      </c>
      <c r="L3137">
        <f t="shared" si="389"/>
        <v>2024</v>
      </c>
      <c r="M3137" t="b">
        <f t="shared" si="390"/>
        <v>0</v>
      </c>
      <c r="N3137" t="b">
        <f t="shared" si="384"/>
        <v>0</v>
      </c>
      <c r="O3137" t="str">
        <f t="shared" si="391"/>
        <v>Standard order</v>
      </c>
      <c r="P3137" s="7">
        <f t="shared" si="385"/>
        <v>5.3670000000000009</v>
      </c>
      <c r="Q3137" s="7" t="str">
        <f>VLOOKUP(D3138,Product_Lookup!$A$2:$C$27,2,FALSE)</f>
        <v>Desk Lamp</v>
      </c>
      <c r="R3137" s="7">
        <f t="shared" si="386"/>
        <v>322.02</v>
      </c>
    </row>
    <row r="3138" spans="1:18" ht="21.75" customHeight="1">
      <c r="A3138" t="s">
        <v>3289</v>
      </c>
      <c r="B3138" s="6">
        <v>45464</v>
      </c>
      <c r="C3138" t="s">
        <v>369</v>
      </c>
      <c r="D3138" t="s">
        <v>59</v>
      </c>
      <c r="E3138" t="s">
        <v>17</v>
      </c>
      <c r="F3138" t="s">
        <v>56</v>
      </c>
      <c r="G3138" t="s">
        <v>36</v>
      </c>
      <c r="H3138">
        <v>20</v>
      </c>
      <c r="I3138" t="str">
        <f>VLOOKUP(D3138,Product_Lookup!$A$2:$C$27,3,FALSE)</f>
        <v>$101.96</v>
      </c>
      <c r="J3138" t="str">
        <f t="shared" si="387"/>
        <v>Friday</v>
      </c>
      <c r="K3138" s="10" t="str">
        <f t="shared" si="388"/>
        <v>June</v>
      </c>
      <c r="L3138">
        <f t="shared" si="389"/>
        <v>2024</v>
      </c>
      <c r="M3138" t="b">
        <f t="shared" si="390"/>
        <v>0</v>
      </c>
      <c r="N3138" t="b">
        <f t="shared" ref="N3138:N3201" si="392">AND(R3138&gt;750, H3138&gt;5)</f>
        <v>1</v>
      </c>
      <c r="O3138" t="str">
        <f t="shared" si="391"/>
        <v>Large Order</v>
      </c>
      <c r="P3138" s="7">
        <f t="shared" ref="P3138:P3201" si="393">I3138*$S$2</f>
        <v>5.0979999999999999</v>
      </c>
      <c r="Q3138" s="7" t="str">
        <f>VLOOKUP(D3139,Product_Lookup!$A$2:$C$27,2,FALSE)</f>
        <v>Smartphone</v>
      </c>
      <c r="R3138" s="7">
        <f t="shared" ref="R3138:R3201" si="394">H3138*I3138</f>
        <v>2039.1999999999998</v>
      </c>
    </row>
    <row r="3139" spans="1:18" ht="21.75" customHeight="1">
      <c r="A3139" t="s">
        <v>3290</v>
      </c>
      <c r="B3139" s="6">
        <v>45524</v>
      </c>
      <c r="C3139" t="s">
        <v>348</v>
      </c>
      <c r="D3139" t="s">
        <v>79</v>
      </c>
      <c r="E3139" t="s">
        <v>17</v>
      </c>
      <c r="F3139" t="s">
        <v>42</v>
      </c>
      <c r="G3139" t="s">
        <v>13</v>
      </c>
      <c r="H3139">
        <v>4</v>
      </c>
      <c r="I3139" t="str">
        <f>VLOOKUP(D3139,Product_Lookup!$A$2:$C$27,3,FALSE)</f>
        <v>$216.22</v>
      </c>
      <c r="J3139" t="str">
        <f t="shared" ref="J3139:J3202" si="395">TEXT(B3139, "dddd")</f>
        <v>Tuesday</v>
      </c>
      <c r="K3139" s="10" t="str">
        <f t="shared" ref="K3139:K3202" si="396">TEXT(B3139, "mmmm")</f>
        <v>August</v>
      </c>
      <c r="L3139">
        <f t="shared" ref="L3139:L3202" si="397">YEAR(B3139)</f>
        <v>2024</v>
      </c>
      <c r="M3139" t="b">
        <f t="shared" ref="M3139:M3202" si="398">OR(J3139="Saturday", J3139="Sunday")</f>
        <v>0</v>
      </c>
      <c r="N3139" t="b">
        <f t="shared" si="392"/>
        <v>0</v>
      </c>
      <c r="O3139" t="str">
        <f t="shared" ref="O3139:O3202" si="399">IF(R3139&gt;500,"Large Order","Standard order")</f>
        <v>Large Order</v>
      </c>
      <c r="P3139" s="7">
        <f t="shared" si="393"/>
        <v>10.811</v>
      </c>
      <c r="Q3139" s="7" t="str">
        <f>VLOOKUP(D3140,Product_Lookup!$A$2:$C$27,2,FALSE)</f>
        <v>Smartphone</v>
      </c>
      <c r="R3139" s="7">
        <f t="shared" si="394"/>
        <v>864.88</v>
      </c>
    </row>
    <row r="3140" spans="1:18" ht="21.75" customHeight="1">
      <c r="A3140" t="s">
        <v>3291</v>
      </c>
      <c r="B3140" s="6">
        <v>45527</v>
      </c>
      <c r="C3140" t="s">
        <v>83</v>
      </c>
      <c r="D3140" t="s">
        <v>79</v>
      </c>
      <c r="E3140" t="s">
        <v>22</v>
      </c>
      <c r="F3140" t="s">
        <v>42</v>
      </c>
      <c r="G3140" t="s">
        <v>32</v>
      </c>
      <c r="H3140">
        <v>14</v>
      </c>
      <c r="I3140" t="str">
        <f>VLOOKUP(D3140,Product_Lookup!$A$2:$C$27,3,FALSE)</f>
        <v>$216.22</v>
      </c>
      <c r="J3140" t="str">
        <f t="shared" si="395"/>
        <v>Friday</v>
      </c>
      <c r="K3140" s="10" t="str">
        <f t="shared" si="396"/>
        <v>August</v>
      </c>
      <c r="L3140">
        <f t="shared" si="397"/>
        <v>2024</v>
      </c>
      <c r="M3140" t="b">
        <f t="shared" si="398"/>
        <v>0</v>
      </c>
      <c r="N3140" t="b">
        <f t="shared" si="392"/>
        <v>1</v>
      </c>
      <c r="O3140" t="str">
        <f t="shared" si="399"/>
        <v>Large Order</v>
      </c>
      <c r="P3140" s="7">
        <f t="shared" si="393"/>
        <v>10.811</v>
      </c>
      <c r="Q3140" s="7" t="str">
        <f>VLOOKUP(D3141,Product_Lookup!$A$2:$C$27,2,FALSE)</f>
        <v>Laptop</v>
      </c>
      <c r="R3140" s="7">
        <f t="shared" si="394"/>
        <v>3027.08</v>
      </c>
    </row>
    <row r="3141" spans="1:18" ht="21.75" customHeight="1">
      <c r="A3141" t="s">
        <v>3292</v>
      </c>
      <c r="B3141" s="6">
        <v>45443</v>
      </c>
      <c r="C3141" t="s">
        <v>337</v>
      </c>
      <c r="D3141" t="s">
        <v>96</v>
      </c>
      <c r="E3141" t="s">
        <v>22</v>
      </c>
      <c r="F3141" t="s">
        <v>42</v>
      </c>
      <c r="G3141" t="s">
        <v>28</v>
      </c>
      <c r="H3141">
        <v>10</v>
      </c>
      <c r="I3141" t="str">
        <f>VLOOKUP(D3141,Product_Lookup!$A$2:$C$27,3,FALSE)</f>
        <v>$230.68</v>
      </c>
      <c r="J3141" t="str">
        <f t="shared" si="395"/>
        <v>Friday</v>
      </c>
      <c r="K3141" s="10" t="str">
        <f t="shared" si="396"/>
        <v>May</v>
      </c>
      <c r="L3141">
        <f t="shared" si="397"/>
        <v>2024</v>
      </c>
      <c r="M3141" t="b">
        <f t="shared" si="398"/>
        <v>0</v>
      </c>
      <c r="N3141" t="b">
        <f t="shared" si="392"/>
        <v>1</v>
      </c>
      <c r="O3141" t="str">
        <f t="shared" si="399"/>
        <v>Large Order</v>
      </c>
      <c r="P3141" s="7">
        <f t="shared" si="393"/>
        <v>11.534000000000001</v>
      </c>
      <c r="Q3141" s="7" t="str">
        <f>VLOOKUP(D3142,Product_Lookup!$A$2:$C$27,2,FALSE)</f>
        <v>Blender</v>
      </c>
      <c r="R3141" s="7">
        <f t="shared" si="394"/>
        <v>2306.8000000000002</v>
      </c>
    </row>
    <row r="3142" spans="1:18" ht="21.75" customHeight="1">
      <c r="A3142" t="s">
        <v>3293</v>
      </c>
      <c r="B3142" s="6">
        <v>45300</v>
      </c>
      <c r="C3142" t="s">
        <v>430</v>
      </c>
      <c r="D3142" t="s">
        <v>72</v>
      </c>
      <c r="E3142" t="s">
        <v>17</v>
      </c>
      <c r="F3142" t="s">
        <v>12</v>
      </c>
      <c r="G3142" t="s">
        <v>36</v>
      </c>
      <c r="H3142">
        <v>4</v>
      </c>
      <c r="I3142" t="str">
        <f>VLOOKUP(D3142,Product_Lookup!$A$2:$C$27,3,FALSE)</f>
        <v>$156.44</v>
      </c>
      <c r="J3142" t="str">
        <f t="shared" si="395"/>
        <v>Tuesday</v>
      </c>
      <c r="K3142" s="10" t="str">
        <f t="shared" si="396"/>
        <v>January</v>
      </c>
      <c r="L3142">
        <f t="shared" si="397"/>
        <v>2024</v>
      </c>
      <c r="M3142" t="b">
        <f t="shared" si="398"/>
        <v>0</v>
      </c>
      <c r="N3142" t="b">
        <f t="shared" si="392"/>
        <v>0</v>
      </c>
      <c r="O3142" t="str">
        <f t="shared" si="399"/>
        <v>Large Order</v>
      </c>
      <c r="P3142" s="7">
        <f t="shared" si="393"/>
        <v>7.8220000000000001</v>
      </c>
      <c r="Q3142" s="7" t="str">
        <f>VLOOKUP(D3143,Product_Lookup!$A$2:$C$27,2,FALSE)</f>
        <v>Lego Set</v>
      </c>
      <c r="R3142" s="7">
        <f t="shared" si="394"/>
        <v>625.76</v>
      </c>
    </row>
    <row r="3143" spans="1:18" ht="21.75" customHeight="1">
      <c r="A3143" t="s">
        <v>3294</v>
      </c>
      <c r="B3143" s="6">
        <v>45310</v>
      </c>
      <c r="C3143" t="s">
        <v>312</v>
      </c>
      <c r="D3143" t="s">
        <v>84</v>
      </c>
      <c r="E3143" t="s">
        <v>17</v>
      </c>
      <c r="F3143" t="s">
        <v>56</v>
      </c>
      <c r="G3143" t="s">
        <v>28</v>
      </c>
      <c r="H3143">
        <v>3</v>
      </c>
      <c r="I3143" t="str">
        <f>VLOOKUP(D3143,Product_Lookup!$A$2:$C$27,3,FALSE)</f>
        <v>$130.07</v>
      </c>
      <c r="J3143" t="str">
        <f t="shared" si="395"/>
        <v>Friday</v>
      </c>
      <c r="K3143" s="10" t="str">
        <f t="shared" si="396"/>
        <v>January</v>
      </c>
      <c r="L3143">
        <f t="shared" si="397"/>
        <v>2024</v>
      </c>
      <c r="M3143" t="b">
        <f t="shared" si="398"/>
        <v>0</v>
      </c>
      <c r="N3143" t="b">
        <f t="shared" si="392"/>
        <v>0</v>
      </c>
      <c r="O3143" t="str">
        <f t="shared" si="399"/>
        <v>Standard order</v>
      </c>
      <c r="P3143" s="7">
        <f t="shared" si="393"/>
        <v>6.5034999999999998</v>
      </c>
      <c r="Q3143" s="7" t="str">
        <f>VLOOKUP(D3144,Product_Lookup!$A$2:$C$27,2,FALSE)</f>
        <v>Headphones</v>
      </c>
      <c r="R3143" s="7">
        <f t="shared" si="394"/>
        <v>390.21</v>
      </c>
    </row>
    <row r="3144" spans="1:18" ht="21.75" customHeight="1">
      <c r="A3144" t="s">
        <v>3295</v>
      </c>
      <c r="B3144" s="6">
        <v>45356</v>
      </c>
      <c r="C3144" t="s">
        <v>388</v>
      </c>
      <c r="D3144" t="s">
        <v>16</v>
      </c>
      <c r="E3144" t="s">
        <v>22</v>
      </c>
      <c r="F3144" t="s">
        <v>27</v>
      </c>
      <c r="G3144" t="s">
        <v>23</v>
      </c>
      <c r="H3144">
        <v>9</v>
      </c>
      <c r="I3144" t="str">
        <f>VLOOKUP(D3144,Product_Lookup!$A$2:$C$27,3,FALSE)</f>
        <v>$178.83</v>
      </c>
      <c r="J3144" t="str">
        <f t="shared" si="395"/>
        <v>Tuesday</v>
      </c>
      <c r="K3144" s="10" t="str">
        <f t="shared" si="396"/>
        <v>March</v>
      </c>
      <c r="L3144">
        <f t="shared" si="397"/>
        <v>2024</v>
      </c>
      <c r="M3144" t="b">
        <f t="shared" si="398"/>
        <v>0</v>
      </c>
      <c r="N3144" t="b">
        <f t="shared" si="392"/>
        <v>1</v>
      </c>
      <c r="O3144" t="str">
        <f t="shared" si="399"/>
        <v>Large Order</v>
      </c>
      <c r="P3144" s="7">
        <f t="shared" si="393"/>
        <v>8.9415000000000013</v>
      </c>
      <c r="Q3144" s="7" t="str">
        <f>VLOOKUP(D3145,Product_Lookup!$A$2:$C$27,2,FALSE)</f>
        <v>Paper Shredder</v>
      </c>
      <c r="R3144" s="7">
        <f t="shared" si="394"/>
        <v>1609.47</v>
      </c>
    </row>
    <row r="3145" spans="1:18" ht="21.75" customHeight="1">
      <c r="A3145" t="s">
        <v>3296</v>
      </c>
      <c r="B3145" s="6">
        <v>45526</v>
      </c>
      <c r="C3145" t="s">
        <v>465</v>
      </c>
      <c r="D3145" t="s">
        <v>109</v>
      </c>
      <c r="E3145" t="s">
        <v>11</v>
      </c>
      <c r="F3145" t="s">
        <v>306</v>
      </c>
      <c r="G3145" t="s">
        <v>36</v>
      </c>
      <c r="H3145">
        <v>15</v>
      </c>
      <c r="I3145" t="str">
        <f>VLOOKUP(D3145,Product_Lookup!$A$2:$C$27,3,FALSE)</f>
        <v>$81.02</v>
      </c>
      <c r="J3145" t="str">
        <f t="shared" si="395"/>
        <v>Thursday</v>
      </c>
      <c r="K3145" s="10" t="str">
        <f t="shared" si="396"/>
        <v>August</v>
      </c>
      <c r="L3145">
        <f t="shared" si="397"/>
        <v>2024</v>
      </c>
      <c r="M3145" t="b">
        <f t="shared" si="398"/>
        <v>0</v>
      </c>
      <c r="N3145" t="b">
        <f t="shared" si="392"/>
        <v>1</v>
      </c>
      <c r="O3145" t="str">
        <f t="shared" si="399"/>
        <v>Large Order</v>
      </c>
      <c r="P3145" s="7">
        <f t="shared" si="393"/>
        <v>4.0510000000000002</v>
      </c>
      <c r="Q3145" s="7" t="str">
        <f>VLOOKUP(D3146,Product_Lookup!$A$2:$C$27,2,FALSE)</f>
        <v>Smartphone</v>
      </c>
      <c r="R3145" s="7">
        <f t="shared" si="394"/>
        <v>1215.3</v>
      </c>
    </row>
    <row r="3146" spans="1:18" ht="21.75" customHeight="1">
      <c r="A3146" t="s">
        <v>3297</v>
      </c>
      <c r="B3146" s="6">
        <v>45459</v>
      </c>
      <c r="C3146" t="s">
        <v>200</v>
      </c>
      <c r="D3146" t="s">
        <v>79</v>
      </c>
      <c r="E3146" t="s">
        <v>11</v>
      </c>
      <c r="F3146" t="s">
        <v>306</v>
      </c>
      <c r="G3146" t="s">
        <v>13</v>
      </c>
      <c r="H3146">
        <v>13</v>
      </c>
      <c r="I3146" t="str">
        <f>VLOOKUP(D3146,Product_Lookup!$A$2:$C$27,3,FALSE)</f>
        <v>$216.22</v>
      </c>
      <c r="J3146" t="str">
        <f t="shared" si="395"/>
        <v>Sunday</v>
      </c>
      <c r="K3146" s="10" t="str">
        <f t="shared" si="396"/>
        <v>June</v>
      </c>
      <c r="L3146">
        <f t="shared" si="397"/>
        <v>2024</v>
      </c>
      <c r="M3146" t="b">
        <f t="shared" si="398"/>
        <v>1</v>
      </c>
      <c r="N3146" t="b">
        <f t="shared" si="392"/>
        <v>1</v>
      </c>
      <c r="O3146" t="str">
        <f t="shared" si="399"/>
        <v>Large Order</v>
      </c>
      <c r="P3146" s="7">
        <f t="shared" si="393"/>
        <v>10.811</v>
      </c>
      <c r="Q3146" s="7" t="str">
        <f>VLOOKUP(D3147,Product_Lookup!$A$2:$C$27,2,FALSE)</f>
        <v>Action Figure</v>
      </c>
      <c r="R3146" s="7">
        <f t="shared" si="394"/>
        <v>2810.86</v>
      </c>
    </row>
    <row r="3147" spans="1:18" ht="21.75" customHeight="1">
      <c r="A3147" t="s">
        <v>3298</v>
      </c>
      <c r="B3147" s="6">
        <v>45332</v>
      </c>
      <c r="C3147" t="s">
        <v>47</v>
      </c>
      <c r="D3147" t="s">
        <v>21</v>
      </c>
      <c r="E3147" t="s">
        <v>22</v>
      </c>
      <c r="F3147" t="s">
        <v>42</v>
      </c>
      <c r="G3147" t="s">
        <v>23</v>
      </c>
      <c r="H3147">
        <v>13</v>
      </c>
      <c r="I3147" t="str">
        <f>VLOOKUP(D3147,Product_Lookup!$A$2:$C$27,3,FALSE)</f>
        <v>$88.18</v>
      </c>
      <c r="J3147" t="str">
        <f t="shared" si="395"/>
        <v>Saturday</v>
      </c>
      <c r="K3147" s="10" t="str">
        <f t="shared" si="396"/>
        <v>February</v>
      </c>
      <c r="L3147">
        <f t="shared" si="397"/>
        <v>2024</v>
      </c>
      <c r="M3147" t="b">
        <f t="shared" si="398"/>
        <v>1</v>
      </c>
      <c r="N3147" t="b">
        <f t="shared" si="392"/>
        <v>1</v>
      </c>
      <c r="O3147" t="str">
        <f t="shared" si="399"/>
        <v>Large Order</v>
      </c>
      <c r="P3147" s="7">
        <f t="shared" si="393"/>
        <v>4.4090000000000007</v>
      </c>
      <c r="Q3147" s="7" t="str">
        <f>VLOOKUP(D3148,Product_Lookup!$A$2:$C$27,2,FALSE)</f>
        <v>Action Figure</v>
      </c>
      <c r="R3147" s="7">
        <f t="shared" si="394"/>
        <v>1146.3400000000001</v>
      </c>
    </row>
    <row r="3148" spans="1:18" ht="21.75" customHeight="1">
      <c r="A3148" t="s">
        <v>3299</v>
      </c>
      <c r="B3148" s="6">
        <v>45423</v>
      </c>
      <c r="C3148" t="s">
        <v>329</v>
      </c>
      <c r="D3148" t="s">
        <v>21</v>
      </c>
      <c r="E3148" t="s">
        <v>22</v>
      </c>
      <c r="F3148" t="s">
        <v>12</v>
      </c>
      <c r="G3148" t="s">
        <v>23</v>
      </c>
      <c r="H3148">
        <v>4</v>
      </c>
      <c r="I3148" t="str">
        <f>VLOOKUP(D3148,Product_Lookup!$A$2:$C$27,3,FALSE)</f>
        <v>$88.18</v>
      </c>
      <c r="J3148" t="str">
        <f t="shared" si="395"/>
        <v>Saturday</v>
      </c>
      <c r="K3148" s="10" t="str">
        <f t="shared" si="396"/>
        <v>May</v>
      </c>
      <c r="L3148">
        <f t="shared" si="397"/>
        <v>2024</v>
      </c>
      <c r="M3148" t="b">
        <f t="shared" si="398"/>
        <v>1</v>
      </c>
      <c r="N3148" t="b">
        <f t="shared" si="392"/>
        <v>0</v>
      </c>
      <c r="O3148" t="str">
        <f t="shared" si="399"/>
        <v>Standard order</v>
      </c>
      <c r="P3148" s="7">
        <f t="shared" si="393"/>
        <v>4.4090000000000007</v>
      </c>
      <c r="Q3148" s="7" t="str">
        <f>VLOOKUP(D3149,Product_Lookup!$A$2:$C$27,2,FALSE)</f>
        <v>Socks</v>
      </c>
      <c r="R3148" s="7">
        <f t="shared" si="394"/>
        <v>352.72</v>
      </c>
    </row>
    <row r="3149" spans="1:18" ht="21.75" customHeight="1">
      <c r="A3149" t="s">
        <v>3300</v>
      </c>
      <c r="B3149" s="6">
        <v>45584</v>
      </c>
      <c r="C3149" t="s">
        <v>86</v>
      </c>
      <c r="D3149" t="s">
        <v>74</v>
      </c>
      <c r="E3149" t="s">
        <v>22</v>
      </c>
      <c r="F3149" t="s">
        <v>306</v>
      </c>
      <c r="G3149" t="s">
        <v>36</v>
      </c>
      <c r="H3149">
        <v>8</v>
      </c>
      <c r="I3149" t="str">
        <f>VLOOKUP(D3149,Product_Lookup!$A$2:$C$27,3,FALSE)</f>
        <v>$201.32</v>
      </c>
      <c r="J3149" t="str">
        <f t="shared" si="395"/>
        <v>Saturday</v>
      </c>
      <c r="K3149" s="10" t="str">
        <f t="shared" si="396"/>
        <v>October</v>
      </c>
      <c r="L3149">
        <f t="shared" si="397"/>
        <v>2024</v>
      </c>
      <c r="M3149" t="b">
        <f t="shared" si="398"/>
        <v>1</v>
      </c>
      <c r="N3149" t="b">
        <f t="shared" si="392"/>
        <v>1</v>
      </c>
      <c r="O3149" t="str">
        <f t="shared" si="399"/>
        <v>Large Order</v>
      </c>
      <c r="P3149" s="7">
        <f t="shared" si="393"/>
        <v>10.066000000000001</v>
      </c>
      <c r="Q3149" s="7" t="str">
        <f>VLOOKUP(D3150,Product_Lookup!$A$2:$C$27,2,FALSE)</f>
        <v>Desk Lamp</v>
      </c>
      <c r="R3149" s="7">
        <f t="shared" si="394"/>
        <v>1610.56</v>
      </c>
    </row>
    <row r="3150" spans="1:18" ht="21.75" customHeight="1">
      <c r="A3150" t="s">
        <v>3301</v>
      </c>
      <c r="B3150" s="6">
        <v>45317</v>
      </c>
      <c r="C3150" t="s">
        <v>200</v>
      </c>
      <c r="D3150" t="s">
        <v>59</v>
      </c>
      <c r="E3150" t="s">
        <v>17</v>
      </c>
      <c r="F3150" t="s">
        <v>56</v>
      </c>
      <c r="G3150" t="s">
        <v>23</v>
      </c>
      <c r="H3150">
        <v>9</v>
      </c>
      <c r="I3150" t="str">
        <f>VLOOKUP(D3150,Product_Lookup!$A$2:$C$27,3,FALSE)</f>
        <v>$101.96</v>
      </c>
      <c r="J3150" t="str">
        <f t="shared" si="395"/>
        <v>Friday</v>
      </c>
      <c r="K3150" s="10" t="str">
        <f t="shared" si="396"/>
        <v>January</v>
      </c>
      <c r="L3150">
        <f t="shared" si="397"/>
        <v>2024</v>
      </c>
      <c r="M3150" t="b">
        <f t="shared" si="398"/>
        <v>0</v>
      </c>
      <c r="N3150" t="b">
        <f t="shared" si="392"/>
        <v>1</v>
      </c>
      <c r="O3150" t="str">
        <f t="shared" si="399"/>
        <v>Large Order</v>
      </c>
      <c r="P3150" s="7">
        <f t="shared" si="393"/>
        <v>5.0979999999999999</v>
      </c>
      <c r="Q3150" s="7" t="str">
        <f>VLOOKUP(D3151,Product_Lookup!$A$2:$C$27,2,FALSE)</f>
        <v>Notebook</v>
      </c>
      <c r="R3150" s="7">
        <f t="shared" si="394"/>
        <v>917.64</v>
      </c>
    </row>
    <row r="3151" spans="1:18" ht="21.75" customHeight="1">
      <c r="A3151" t="s">
        <v>3302</v>
      </c>
      <c r="B3151" s="6">
        <v>45387</v>
      </c>
      <c r="C3151" t="s">
        <v>89</v>
      </c>
      <c r="D3151" t="s">
        <v>160</v>
      </c>
      <c r="E3151" t="s">
        <v>22</v>
      </c>
      <c r="F3151" t="s">
        <v>12</v>
      </c>
      <c r="G3151" t="s">
        <v>36</v>
      </c>
      <c r="H3151">
        <v>13</v>
      </c>
      <c r="I3151" t="str">
        <f>VLOOKUP(D3151,Product_Lookup!$A$2:$C$27,3,FALSE)</f>
        <v>$149.27</v>
      </c>
      <c r="J3151" t="str">
        <f t="shared" si="395"/>
        <v>Friday</v>
      </c>
      <c r="K3151" s="10" t="str">
        <f t="shared" si="396"/>
        <v>April</v>
      </c>
      <c r="L3151">
        <f t="shared" si="397"/>
        <v>2024</v>
      </c>
      <c r="M3151" t="b">
        <f t="shared" si="398"/>
        <v>0</v>
      </c>
      <c r="N3151" t="b">
        <f t="shared" si="392"/>
        <v>1</v>
      </c>
      <c r="O3151" t="str">
        <f t="shared" si="399"/>
        <v>Large Order</v>
      </c>
      <c r="P3151" s="7">
        <f t="shared" si="393"/>
        <v>7.4635000000000007</v>
      </c>
      <c r="Q3151" s="7" t="str">
        <f>VLOOKUP(D3152,Product_Lookup!$A$2:$C$27,2,FALSE)</f>
        <v>Sweater</v>
      </c>
      <c r="R3151" s="7">
        <f t="shared" si="394"/>
        <v>1940.5100000000002</v>
      </c>
    </row>
    <row r="3152" spans="1:18" ht="21.75" customHeight="1">
      <c r="A3152" t="s">
        <v>3303</v>
      </c>
      <c r="B3152" s="6">
        <v>45639</v>
      </c>
      <c r="C3152" t="s">
        <v>55</v>
      </c>
      <c r="D3152" t="s">
        <v>26</v>
      </c>
      <c r="E3152" t="s">
        <v>11</v>
      </c>
      <c r="F3152" t="s">
        <v>27</v>
      </c>
      <c r="G3152" t="s">
        <v>28</v>
      </c>
      <c r="H3152">
        <v>1</v>
      </c>
      <c r="I3152" t="str">
        <f>VLOOKUP(D3152,Product_Lookup!$A$2:$C$27,3,FALSE)</f>
        <v>$84.57</v>
      </c>
      <c r="J3152" t="str">
        <f t="shared" si="395"/>
        <v>Friday</v>
      </c>
      <c r="K3152" s="10" t="str">
        <f t="shared" si="396"/>
        <v>December</v>
      </c>
      <c r="L3152">
        <f t="shared" si="397"/>
        <v>2024</v>
      </c>
      <c r="M3152" t="b">
        <f t="shared" si="398"/>
        <v>0</v>
      </c>
      <c r="N3152" t="b">
        <f t="shared" si="392"/>
        <v>0</v>
      </c>
      <c r="O3152" t="str">
        <f t="shared" si="399"/>
        <v>Standard order</v>
      </c>
      <c r="P3152" s="7">
        <f t="shared" si="393"/>
        <v>4.2284999999999995</v>
      </c>
      <c r="Q3152" s="7" t="str">
        <f>VLOOKUP(D3153,Product_Lookup!$A$2:$C$27,2,FALSE)</f>
        <v>Sweater</v>
      </c>
      <c r="R3152" s="7">
        <f t="shared" si="394"/>
        <v>84.57</v>
      </c>
    </row>
    <row r="3153" spans="1:18" ht="21.75" customHeight="1">
      <c r="A3153" t="s">
        <v>3304</v>
      </c>
      <c r="B3153" s="6">
        <v>45628</v>
      </c>
      <c r="C3153" t="s">
        <v>34</v>
      </c>
      <c r="D3153" t="s">
        <v>26</v>
      </c>
      <c r="E3153" t="s">
        <v>17</v>
      </c>
      <c r="F3153" t="s">
        <v>27</v>
      </c>
      <c r="G3153" t="s">
        <v>36</v>
      </c>
      <c r="H3153">
        <v>11</v>
      </c>
      <c r="I3153" t="str">
        <f>VLOOKUP(D3153,Product_Lookup!$A$2:$C$27,3,FALSE)</f>
        <v>$84.57</v>
      </c>
      <c r="J3153" t="str">
        <f t="shared" si="395"/>
        <v>Monday</v>
      </c>
      <c r="K3153" s="10" t="str">
        <f t="shared" si="396"/>
        <v>December</v>
      </c>
      <c r="L3153">
        <f t="shared" si="397"/>
        <v>2024</v>
      </c>
      <c r="M3153" t="b">
        <f t="shared" si="398"/>
        <v>0</v>
      </c>
      <c r="N3153" t="b">
        <f t="shared" si="392"/>
        <v>1</v>
      </c>
      <c r="O3153" t="str">
        <f t="shared" si="399"/>
        <v>Large Order</v>
      </c>
      <c r="P3153" s="7">
        <f t="shared" si="393"/>
        <v>4.2284999999999995</v>
      </c>
      <c r="Q3153" s="7" t="str">
        <f>VLOOKUP(D3154,Product_Lookup!$A$2:$C$27,2,FALSE)</f>
        <v>Puzzle</v>
      </c>
      <c r="R3153" s="7">
        <f t="shared" si="394"/>
        <v>930.27</v>
      </c>
    </row>
    <row r="3154" spans="1:18" ht="21.75" customHeight="1">
      <c r="A3154" t="s">
        <v>3305</v>
      </c>
      <c r="B3154" s="6">
        <v>45407</v>
      </c>
      <c r="C3154" t="s">
        <v>138</v>
      </c>
      <c r="D3154" t="s">
        <v>62</v>
      </c>
      <c r="E3154" t="s">
        <v>17</v>
      </c>
      <c r="F3154" t="s">
        <v>56</v>
      </c>
      <c r="G3154" t="s">
        <v>13</v>
      </c>
      <c r="H3154">
        <v>20</v>
      </c>
      <c r="I3154" t="str">
        <f>VLOOKUP(D3154,Product_Lookup!$A$2:$C$27,3,FALSE)</f>
        <v>$46.19</v>
      </c>
      <c r="J3154" t="str">
        <f t="shared" si="395"/>
        <v>Thursday</v>
      </c>
      <c r="K3154" s="10" t="str">
        <f t="shared" si="396"/>
        <v>April</v>
      </c>
      <c r="L3154">
        <f t="shared" si="397"/>
        <v>2024</v>
      </c>
      <c r="M3154" t="b">
        <f t="shared" si="398"/>
        <v>0</v>
      </c>
      <c r="N3154" t="b">
        <f t="shared" si="392"/>
        <v>1</v>
      </c>
      <c r="O3154" t="str">
        <f t="shared" si="399"/>
        <v>Large Order</v>
      </c>
      <c r="P3154" s="7">
        <f t="shared" si="393"/>
        <v>2.3094999999999999</v>
      </c>
      <c r="Q3154" s="7" t="str">
        <f>VLOOKUP(D3155,Product_Lookup!$A$2:$C$27,2,FALSE)</f>
        <v>Air Fryer</v>
      </c>
      <c r="R3154" s="7">
        <f t="shared" si="394"/>
        <v>923.8</v>
      </c>
    </row>
    <row r="3155" spans="1:18" ht="21.75" customHeight="1">
      <c r="A3155" t="s">
        <v>3306</v>
      </c>
      <c r="B3155" s="6">
        <v>45656</v>
      </c>
      <c r="C3155" t="s">
        <v>493</v>
      </c>
      <c r="D3155" t="s">
        <v>70</v>
      </c>
      <c r="E3155" t="s">
        <v>22</v>
      </c>
      <c r="F3155" t="s">
        <v>27</v>
      </c>
      <c r="G3155" t="s">
        <v>36</v>
      </c>
      <c r="H3155">
        <v>11</v>
      </c>
      <c r="I3155" t="str">
        <f>VLOOKUP(D3155,Product_Lookup!$A$2:$C$27,3,FALSE)</f>
        <v>$211.9</v>
      </c>
      <c r="J3155" t="str">
        <f t="shared" si="395"/>
        <v>Monday</v>
      </c>
      <c r="K3155" s="10" t="str">
        <f t="shared" si="396"/>
        <v>December</v>
      </c>
      <c r="L3155">
        <f t="shared" si="397"/>
        <v>2024</v>
      </c>
      <c r="M3155" t="b">
        <f t="shared" si="398"/>
        <v>0</v>
      </c>
      <c r="N3155" t="b">
        <f t="shared" si="392"/>
        <v>1</v>
      </c>
      <c r="O3155" t="str">
        <f t="shared" si="399"/>
        <v>Large Order</v>
      </c>
      <c r="P3155" s="7">
        <f t="shared" si="393"/>
        <v>10.595000000000001</v>
      </c>
      <c r="Q3155" s="7" t="str">
        <f>VLOOKUP(D3156,Product_Lookup!$A$2:$C$27,2,FALSE)</f>
        <v>Laptop</v>
      </c>
      <c r="R3155" s="7">
        <f t="shared" si="394"/>
        <v>2330.9</v>
      </c>
    </row>
    <row r="3156" spans="1:18" ht="21.75" customHeight="1">
      <c r="A3156" t="s">
        <v>3307</v>
      </c>
      <c r="B3156" s="6">
        <v>45535</v>
      </c>
      <c r="C3156" t="s">
        <v>642</v>
      </c>
      <c r="D3156" t="s">
        <v>96</v>
      </c>
      <c r="E3156" t="s">
        <v>17</v>
      </c>
      <c r="F3156" t="s">
        <v>42</v>
      </c>
      <c r="G3156" t="s">
        <v>32</v>
      </c>
      <c r="H3156">
        <v>12</v>
      </c>
      <c r="I3156" t="str">
        <f>VLOOKUP(D3156,Product_Lookup!$A$2:$C$27,3,FALSE)</f>
        <v>$230.68</v>
      </c>
      <c r="J3156" t="str">
        <f t="shared" si="395"/>
        <v>Saturday</v>
      </c>
      <c r="K3156" s="10" t="str">
        <f t="shared" si="396"/>
        <v>August</v>
      </c>
      <c r="L3156">
        <f t="shared" si="397"/>
        <v>2024</v>
      </c>
      <c r="M3156" t="b">
        <f t="shared" si="398"/>
        <v>1</v>
      </c>
      <c r="N3156" t="b">
        <f t="shared" si="392"/>
        <v>1</v>
      </c>
      <c r="O3156" t="str">
        <f t="shared" si="399"/>
        <v>Large Order</v>
      </c>
      <c r="P3156" s="7">
        <f t="shared" si="393"/>
        <v>11.534000000000001</v>
      </c>
      <c r="Q3156" s="7" t="str">
        <f>VLOOKUP(D3157,Product_Lookup!$A$2:$C$27,2,FALSE)</f>
        <v>Lego Set</v>
      </c>
      <c r="R3156" s="7">
        <f t="shared" si="394"/>
        <v>2768.16</v>
      </c>
    </row>
    <row r="3157" spans="1:18" ht="21.75" customHeight="1">
      <c r="A3157" t="s">
        <v>3308</v>
      </c>
      <c r="B3157" s="6">
        <v>45369</v>
      </c>
      <c r="C3157" t="s">
        <v>319</v>
      </c>
      <c r="D3157" t="s">
        <v>84</v>
      </c>
      <c r="E3157" t="s">
        <v>17</v>
      </c>
      <c r="F3157" t="s">
        <v>56</v>
      </c>
      <c r="G3157" t="s">
        <v>36</v>
      </c>
      <c r="H3157">
        <v>6</v>
      </c>
      <c r="I3157" t="str">
        <f>VLOOKUP(D3157,Product_Lookup!$A$2:$C$27,3,FALSE)</f>
        <v>$130.07</v>
      </c>
      <c r="J3157" t="str">
        <f t="shared" si="395"/>
        <v>Monday</v>
      </c>
      <c r="K3157" s="10" t="str">
        <f t="shared" si="396"/>
        <v>March</v>
      </c>
      <c r="L3157">
        <f t="shared" si="397"/>
        <v>2024</v>
      </c>
      <c r="M3157" t="b">
        <f t="shared" si="398"/>
        <v>0</v>
      </c>
      <c r="N3157" t="b">
        <f t="shared" si="392"/>
        <v>1</v>
      </c>
      <c r="O3157" t="str">
        <f t="shared" si="399"/>
        <v>Large Order</v>
      </c>
      <c r="P3157" s="7">
        <f t="shared" si="393"/>
        <v>6.5034999999999998</v>
      </c>
      <c r="Q3157" s="7" t="str">
        <f>VLOOKUP(D3158,Product_Lookup!$A$2:$C$27,2,FALSE)</f>
        <v>Smartphone</v>
      </c>
      <c r="R3157" s="7">
        <f t="shared" si="394"/>
        <v>780.42</v>
      </c>
    </row>
    <row r="3158" spans="1:18" ht="21.75" customHeight="1">
      <c r="A3158" t="s">
        <v>3309</v>
      </c>
      <c r="B3158" s="6">
        <v>45422</v>
      </c>
      <c r="C3158" t="s">
        <v>341</v>
      </c>
      <c r="D3158" t="s">
        <v>79</v>
      </c>
      <c r="E3158" t="s">
        <v>22</v>
      </c>
      <c r="F3158" t="s">
        <v>306</v>
      </c>
      <c r="G3158" t="s">
        <v>13</v>
      </c>
      <c r="H3158">
        <v>16</v>
      </c>
      <c r="I3158" t="str">
        <f>VLOOKUP(D3158,Product_Lookup!$A$2:$C$27,3,FALSE)</f>
        <v>$216.22</v>
      </c>
      <c r="J3158" t="str">
        <f t="shared" si="395"/>
        <v>Friday</v>
      </c>
      <c r="K3158" s="10" t="str">
        <f t="shared" si="396"/>
        <v>May</v>
      </c>
      <c r="L3158">
        <f t="shared" si="397"/>
        <v>2024</v>
      </c>
      <c r="M3158" t="b">
        <f t="shared" si="398"/>
        <v>0</v>
      </c>
      <c r="N3158" t="b">
        <f t="shared" si="392"/>
        <v>1</v>
      </c>
      <c r="O3158" t="str">
        <f t="shared" si="399"/>
        <v>Large Order</v>
      </c>
      <c r="P3158" s="7">
        <f t="shared" si="393"/>
        <v>10.811</v>
      </c>
      <c r="Q3158" s="7" t="str">
        <f>VLOOKUP(D3159,Product_Lookup!$A$2:$C$27,2,FALSE)</f>
        <v>Jeans</v>
      </c>
      <c r="R3158" s="7">
        <f t="shared" si="394"/>
        <v>3459.52</v>
      </c>
    </row>
    <row r="3159" spans="1:18" ht="21.75" customHeight="1">
      <c r="A3159" t="s">
        <v>3310</v>
      </c>
      <c r="B3159" s="6">
        <v>45468</v>
      </c>
      <c r="C3159" t="s">
        <v>81</v>
      </c>
      <c r="D3159" t="s">
        <v>65</v>
      </c>
      <c r="E3159" t="s">
        <v>22</v>
      </c>
      <c r="F3159" t="s">
        <v>306</v>
      </c>
      <c r="G3159" t="s">
        <v>32</v>
      </c>
      <c r="H3159">
        <v>10</v>
      </c>
      <c r="I3159" t="str">
        <f>VLOOKUP(D3159,Product_Lookup!$A$2:$C$27,3,FALSE)</f>
        <v>$33.22</v>
      </c>
      <c r="J3159" t="str">
        <f t="shared" si="395"/>
        <v>Tuesday</v>
      </c>
      <c r="K3159" s="10" t="str">
        <f t="shared" si="396"/>
        <v>June</v>
      </c>
      <c r="L3159">
        <f t="shared" si="397"/>
        <v>2024</v>
      </c>
      <c r="M3159" t="b">
        <f t="shared" si="398"/>
        <v>0</v>
      </c>
      <c r="N3159" t="b">
        <f t="shared" si="392"/>
        <v>0</v>
      </c>
      <c r="O3159" t="str">
        <f t="shared" si="399"/>
        <v>Standard order</v>
      </c>
      <c r="P3159" s="7">
        <f t="shared" si="393"/>
        <v>1.661</v>
      </c>
      <c r="Q3159" s="7" t="str">
        <f>VLOOKUP(D3160,Product_Lookup!$A$2:$C$27,2,FALSE)</f>
        <v>Board Game</v>
      </c>
      <c r="R3159" s="7">
        <f t="shared" si="394"/>
        <v>332.2</v>
      </c>
    </row>
    <row r="3160" spans="1:18" ht="21.75" customHeight="1">
      <c r="A3160" t="s">
        <v>3311</v>
      </c>
      <c r="B3160" s="6">
        <v>45453</v>
      </c>
      <c r="C3160" t="s">
        <v>430</v>
      </c>
      <c r="D3160" t="s">
        <v>41</v>
      </c>
      <c r="E3160" t="s">
        <v>17</v>
      </c>
      <c r="F3160" t="s">
        <v>12</v>
      </c>
      <c r="G3160" t="s">
        <v>28</v>
      </c>
      <c r="H3160">
        <v>20</v>
      </c>
      <c r="I3160" t="str">
        <f>VLOOKUP(D3160,Product_Lookup!$A$2:$C$27,3,FALSE)</f>
        <v>$86.6</v>
      </c>
      <c r="J3160" t="str">
        <f t="shared" si="395"/>
        <v>Monday</v>
      </c>
      <c r="K3160" s="10" t="str">
        <f t="shared" si="396"/>
        <v>June</v>
      </c>
      <c r="L3160">
        <f t="shared" si="397"/>
        <v>2024</v>
      </c>
      <c r="M3160" t="b">
        <f t="shared" si="398"/>
        <v>0</v>
      </c>
      <c r="N3160" t="b">
        <f t="shared" si="392"/>
        <v>1</v>
      </c>
      <c r="O3160" t="str">
        <f t="shared" si="399"/>
        <v>Large Order</v>
      </c>
      <c r="P3160" s="7">
        <f t="shared" si="393"/>
        <v>4.33</v>
      </c>
      <c r="Q3160" s="7" t="str">
        <f>VLOOKUP(D3161,Product_Lookup!$A$2:$C$27,2,FALSE)</f>
        <v>Desk Lamp</v>
      </c>
      <c r="R3160" s="7">
        <f t="shared" si="394"/>
        <v>1732</v>
      </c>
    </row>
    <row r="3161" spans="1:18" ht="21.75" customHeight="1">
      <c r="A3161" t="s">
        <v>3312</v>
      </c>
      <c r="B3161" s="6">
        <v>45611</v>
      </c>
      <c r="C3161" t="s">
        <v>182</v>
      </c>
      <c r="D3161" t="s">
        <v>59</v>
      </c>
      <c r="E3161" t="s">
        <v>17</v>
      </c>
      <c r="F3161" t="s">
        <v>27</v>
      </c>
      <c r="G3161" t="s">
        <v>13</v>
      </c>
      <c r="H3161">
        <v>10</v>
      </c>
      <c r="I3161" t="str">
        <f>VLOOKUP(D3161,Product_Lookup!$A$2:$C$27,3,FALSE)</f>
        <v>$101.96</v>
      </c>
      <c r="J3161" t="str">
        <f t="shared" si="395"/>
        <v>Friday</v>
      </c>
      <c r="K3161" s="10" t="str">
        <f t="shared" si="396"/>
        <v>November</v>
      </c>
      <c r="L3161">
        <f t="shared" si="397"/>
        <v>2024</v>
      </c>
      <c r="M3161" t="b">
        <f t="shared" si="398"/>
        <v>0</v>
      </c>
      <c r="N3161" t="b">
        <f t="shared" si="392"/>
        <v>1</v>
      </c>
      <c r="O3161" t="str">
        <f t="shared" si="399"/>
        <v>Large Order</v>
      </c>
      <c r="P3161" s="7">
        <f t="shared" si="393"/>
        <v>5.0979999999999999</v>
      </c>
      <c r="Q3161" s="7" t="str">
        <f>VLOOKUP(D3162,Product_Lookup!$A$2:$C$27,2,FALSE)</f>
        <v>Coffee Maker</v>
      </c>
      <c r="R3161" s="7">
        <f t="shared" si="394"/>
        <v>1019.5999999999999</v>
      </c>
    </row>
    <row r="3162" spans="1:18" ht="21.75" customHeight="1">
      <c r="A3162" t="s">
        <v>3313</v>
      </c>
      <c r="B3162" s="6">
        <v>45543</v>
      </c>
      <c r="C3162" t="s">
        <v>93</v>
      </c>
      <c r="D3162" t="s">
        <v>31</v>
      </c>
      <c r="E3162" t="s">
        <v>22</v>
      </c>
      <c r="F3162" t="s">
        <v>56</v>
      </c>
      <c r="G3162" t="s">
        <v>23</v>
      </c>
      <c r="H3162">
        <v>20</v>
      </c>
      <c r="I3162" t="str">
        <f>VLOOKUP(D3162,Product_Lookup!$A$2:$C$27,3,FALSE)</f>
        <v>$230.34</v>
      </c>
      <c r="J3162" t="str">
        <f t="shared" si="395"/>
        <v>Sunday</v>
      </c>
      <c r="K3162" s="10" t="str">
        <f t="shared" si="396"/>
        <v>September</v>
      </c>
      <c r="L3162">
        <f t="shared" si="397"/>
        <v>2024</v>
      </c>
      <c r="M3162" t="b">
        <f t="shared" si="398"/>
        <v>1</v>
      </c>
      <c r="N3162" t="b">
        <f t="shared" si="392"/>
        <v>1</v>
      </c>
      <c r="O3162" t="str">
        <f t="shared" si="399"/>
        <v>Large Order</v>
      </c>
      <c r="P3162" s="7">
        <f t="shared" si="393"/>
        <v>11.517000000000001</v>
      </c>
      <c r="Q3162" s="7" t="str">
        <f>VLOOKUP(D3163,Product_Lookup!$A$2:$C$27,2,FALSE)</f>
        <v>Coffee Maker</v>
      </c>
      <c r="R3162" s="7">
        <f t="shared" si="394"/>
        <v>4606.8</v>
      </c>
    </row>
    <row r="3163" spans="1:18" ht="21.75" customHeight="1">
      <c r="A3163" t="s">
        <v>3314</v>
      </c>
      <c r="B3163" s="6">
        <v>45355</v>
      </c>
      <c r="C3163" t="s">
        <v>108</v>
      </c>
      <c r="D3163" t="s">
        <v>31</v>
      </c>
      <c r="E3163" t="s">
        <v>11</v>
      </c>
      <c r="F3163" t="s">
        <v>56</v>
      </c>
      <c r="G3163" t="s">
        <v>13</v>
      </c>
      <c r="H3163">
        <v>19</v>
      </c>
      <c r="I3163" t="str">
        <f>VLOOKUP(D3163,Product_Lookup!$A$2:$C$27,3,FALSE)</f>
        <v>$230.34</v>
      </c>
      <c r="J3163" t="str">
        <f t="shared" si="395"/>
        <v>Monday</v>
      </c>
      <c r="K3163" s="10" t="str">
        <f t="shared" si="396"/>
        <v>March</v>
      </c>
      <c r="L3163">
        <f t="shared" si="397"/>
        <v>2024</v>
      </c>
      <c r="M3163" t="b">
        <f t="shared" si="398"/>
        <v>0</v>
      </c>
      <c r="N3163" t="b">
        <f t="shared" si="392"/>
        <v>1</v>
      </c>
      <c r="O3163" t="str">
        <f t="shared" si="399"/>
        <v>Large Order</v>
      </c>
      <c r="P3163" s="7">
        <f t="shared" si="393"/>
        <v>11.517000000000001</v>
      </c>
      <c r="Q3163" s="7" t="str">
        <f>VLOOKUP(D3164,Product_Lookup!$A$2:$C$27,2,FALSE)</f>
        <v>Doll</v>
      </c>
      <c r="R3163" s="7">
        <f t="shared" si="394"/>
        <v>4376.46</v>
      </c>
    </row>
    <row r="3164" spans="1:18" ht="21.75" customHeight="1">
      <c r="A3164" t="s">
        <v>3315</v>
      </c>
      <c r="B3164" s="6">
        <v>45373</v>
      </c>
      <c r="C3164" t="s">
        <v>337</v>
      </c>
      <c r="D3164" t="s">
        <v>119</v>
      </c>
      <c r="E3164" t="s">
        <v>22</v>
      </c>
      <c r="F3164" t="s">
        <v>27</v>
      </c>
      <c r="G3164" t="s">
        <v>36</v>
      </c>
      <c r="H3164">
        <v>14</v>
      </c>
      <c r="I3164" t="str">
        <f>VLOOKUP(D3164,Product_Lookup!$A$2:$C$27,3,FALSE)</f>
        <v>$32.94</v>
      </c>
      <c r="J3164" t="str">
        <f t="shared" si="395"/>
        <v>Friday</v>
      </c>
      <c r="K3164" s="10" t="str">
        <f t="shared" si="396"/>
        <v>March</v>
      </c>
      <c r="L3164">
        <f t="shared" si="397"/>
        <v>2024</v>
      </c>
      <c r="M3164" t="b">
        <f t="shared" si="398"/>
        <v>0</v>
      </c>
      <c r="N3164" t="b">
        <f t="shared" si="392"/>
        <v>0</v>
      </c>
      <c r="O3164" t="str">
        <f t="shared" si="399"/>
        <v>Standard order</v>
      </c>
      <c r="P3164" s="7">
        <f t="shared" si="393"/>
        <v>1.647</v>
      </c>
      <c r="Q3164" s="7" t="str">
        <f>VLOOKUP(D3165,Product_Lookup!$A$2:$C$27,2,FALSE)</f>
        <v>Paper Shredder</v>
      </c>
      <c r="R3164" s="7">
        <f t="shared" si="394"/>
        <v>461.15999999999997</v>
      </c>
    </row>
    <row r="3165" spans="1:18" ht="21.75" customHeight="1">
      <c r="A3165" t="s">
        <v>3316</v>
      </c>
      <c r="B3165" s="6">
        <v>45403</v>
      </c>
      <c r="C3165" t="s">
        <v>572</v>
      </c>
      <c r="D3165" t="s">
        <v>109</v>
      </c>
      <c r="E3165" t="s">
        <v>17</v>
      </c>
      <c r="F3165" t="s">
        <v>42</v>
      </c>
      <c r="G3165" t="s">
        <v>32</v>
      </c>
      <c r="H3165">
        <v>4</v>
      </c>
      <c r="I3165" t="str">
        <f>VLOOKUP(D3165,Product_Lookup!$A$2:$C$27,3,FALSE)</f>
        <v>$81.02</v>
      </c>
      <c r="J3165" t="str">
        <f t="shared" si="395"/>
        <v>Sunday</v>
      </c>
      <c r="K3165" s="10" t="str">
        <f t="shared" si="396"/>
        <v>April</v>
      </c>
      <c r="L3165">
        <f t="shared" si="397"/>
        <v>2024</v>
      </c>
      <c r="M3165" t="b">
        <f t="shared" si="398"/>
        <v>1</v>
      </c>
      <c r="N3165" t="b">
        <f t="shared" si="392"/>
        <v>0</v>
      </c>
      <c r="O3165" t="str">
        <f t="shared" si="399"/>
        <v>Standard order</v>
      </c>
      <c r="P3165" s="7">
        <f t="shared" si="393"/>
        <v>4.0510000000000002</v>
      </c>
      <c r="Q3165" s="7" t="str">
        <f>VLOOKUP(D3166,Product_Lookup!$A$2:$C$27,2,FALSE)</f>
        <v>Doll</v>
      </c>
      <c r="R3165" s="7">
        <f t="shared" si="394"/>
        <v>324.08</v>
      </c>
    </row>
    <row r="3166" spans="1:18" ht="21.75" customHeight="1">
      <c r="A3166" t="s">
        <v>3317</v>
      </c>
      <c r="B3166" s="6">
        <v>45643</v>
      </c>
      <c r="C3166" t="s">
        <v>541</v>
      </c>
      <c r="D3166" t="s">
        <v>119</v>
      </c>
      <c r="E3166" t="s">
        <v>22</v>
      </c>
      <c r="F3166" t="s">
        <v>42</v>
      </c>
      <c r="G3166" t="s">
        <v>36</v>
      </c>
      <c r="H3166">
        <v>18</v>
      </c>
      <c r="I3166" t="str">
        <f>VLOOKUP(D3166,Product_Lookup!$A$2:$C$27,3,FALSE)</f>
        <v>$32.94</v>
      </c>
      <c r="J3166" t="str">
        <f t="shared" si="395"/>
        <v>Tuesday</v>
      </c>
      <c r="K3166" s="10" t="str">
        <f t="shared" si="396"/>
        <v>December</v>
      </c>
      <c r="L3166">
        <f t="shared" si="397"/>
        <v>2024</v>
      </c>
      <c r="M3166" t="b">
        <f t="shared" si="398"/>
        <v>0</v>
      </c>
      <c r="N3166" t="b">
        <f t="shared" si="392"/>
        <v>0</v>
      </c>
      <c r="O3166" t="str">
        <f t="shared" si="399"/>
        <v>Large Order</v>
      </c>
      <c r="P3166" s="7">
        <f t="shared" si="393"/>
        <v>1.647</v>
      </c>
      <c r="Q3166" s="7" t="str">
        <f>VLOOKUP(D3167,Product_Lookup!$A$2:$C$27,2,FALSE)</f>
        <v>Stapler</v>
      </c>
      <c r="R3166" s="7">
        <f t="shared" si="394"/>
        <v>592.91999999999996</v>
      </c>
    </row>
    <row r="3167" spans="1:18" ht="21.75" customHeight="1">
      <c r="A3167" t="s">
        <v>3318</v>
      </c>
      <c r="B3167" s="6">
        <v>45407</v>
      </c>
      <c r="C3167" t="s">
        <v>341</v>
      </c>
      <c r="D3167" t="s">
        <v>35</v>
      </c>
      <c r="E3167" t="s">
        <v>17</v>
      </c>
      <c r="F3167" t="s">
        <v>42</v>
      </c>
      <c r="G3167" t="s">
        <v>23</v>
      </c>
      <c r="H3167">
        <v>6</v>
      </c>
      <c r="I3167" t="str">
        <f>VLOOKUP(D3167,Product_Lookup!$A$2:$C$27,3,FALSE)</f>
        <v>$64.61</v>
      </c>
      <c r="J3167" t="str">
        <f t="shared" si="395"/>
        <v>Thursday</v>
      </c>
      <c r="K3167" s="10" t="str">
        <f t="shared" si="396"/>
        <v>April</v>
      </c>
      <c r="L3167">
        <f t="shared" si="397"/>
        <v>2024</v>
      </c>
      <c r="M3167" t="b">
        <f t="shared" si="398"/>
        <v>0</v>
      </c>
      <c r="N3167" t="b">
        <f t="shared" si="392"/>
        <v>0</v>
      </c>
      <c r="O3167" t="str">
        <f t="shared" si="399"/>
        <v>Standard order</v>
      </c>
      <c r="P3167" s="7">
        <f t="shared" si="393"/>
        <v>3.2305000000000001</v>
      </c>
      <c r="Q3167" s="7" t="str">
        <f>VLOOKUP(D3168,Product_Lookup!$A$2:$C$27,2,FALSE)</f>
        <v>Socks</v>
      </c>
      <c r="R3167" s="7">
        <f t="shared" si="394"/>
        <v>387.65999999999997</v>
      </c>
    </row>
    <row r="3168" spans="1:18" ht="21.75" customHeight="1">
      <c r="A3168" t="s">
        <v>3319</v>
      </c>
      <c r="B3168" s="6">
        <v>45382</v>
      </c>
      <c r="C3168" t="s">
        <v>341</v>
      </c>
      <c r="D3168" t="s">
        <v>74</v>
      </c>
      <c r="E3168" t="s">
        <v>11</v>
      </c>
      <c r="F3168" t="s">
        <v>306</v>
      </c>
      <c r="G3168" t="s">
        <v>32</v>
      </c>
      <c r="H3168">
        <v>15</v>
      </c>
      <c r="I3168" t="str">
        <f>VLOOKUP(D3168,Product_Lookup!$A$2:$C$27,3,FALSE)</f>
        <v>$201.32</v>
      </c>
      <c r="J3168" t="str">
        <f t="shared" si="395"/>
        <v>Sunday</v>
      </c>
      <c r="K3168" s="10" t="str">
        <f t="shared" si="396"/>
        <v>March</v>
      </c>
      <c r="L3168">
        <f t="shared" si="397"/>
        <v>2024</v>
      </c>
      <c r="M3168" t="b">
        <f t="shared" si="398"/>
        <v>1</v>
      </c>
      <c r="N3168" t="b">
        <f t="shared" si="392"/>
        <v>1</v>
      </c>
      <c r="O3168" t="str">
        <f t="shared" si="399"/>
        <v>Large Order</v>
      </c>
      <c r="P3168" s="7">
        <f t="shared" si="393"/>
        <v>10.066000000000001</v>
      </c>
      <c r="Q3168" s="7" t="str">
        <f>VLOOKUP(D3169,Product_Lookup!$A$2:$C$27,2,FALSE)</f>
        <v>Coffee Maker</v>
      </c>
      <c r="R3168" s="7">
        <f t="shared" si="394"/>
        <v>3019.7999999999997</v>
      </c>
    </row>
    <row r="3169" spans="1:18" ht="21.75" customHeight="1">
      <c r="A3169" t="s">
        <v>3320</v>
      </c>
      <c r="B3169" s="6">
        <v>45641</v>
      </c>
      <c r="C3169" t="s">
        <v>108</v>
      </c>
      <c r="D3169" t="s">
        <v>31</v>
      </c>
      <c r="E3169" t="s">
        <v>22</v>
      </c>
      <c r="F3169" t="s">
        <v>27</v>
      </c>
      <c r="G3169" t="s">
        <v>23</v>
      </c>
      <c r="H3169">
        <v>14</v>
      </c>
      <c r="I3169" t="str">
        <f>VLOOKUP(D3169,Product_Lookup!$A$2:$C$27,3,FALSE)</f>
        <v>$230.34</v>
      </c>
      <c r="J3169" t="str">
        <f t="shared" si="395"/>
        <v>Sunday</v>
      </c>
      <c r="K3169" s="10" t="str">
        <f t="shared" si="396"/>
        <v>December</v>
      </c>
      <c r="L3169">
        <f t="shared" si="397"/>
        <v>2024</v>
      </c>
      <c r="M3169" t="b">
        <f t="shared" si="398"/>
        <v>1</v>
      </c>
      <c r="N3169" t="b">
        <f t="shared" si="392"/>
        <v>1</v>
      </c>
      <c r="O3169" t="str">
        <f t="shared" si="399"/>
        <v>Large Order</v>
      </c>
      <c r="P3169" s="7">
        <f t="shared" si="393"/>
        <v>11.517000000000001</v>
      </c>
      <c r="Q3169" s="7" t="str">
        <f>VLOOKUP(D3170,Product_Lookup!$A$2:$C$27,2,FALSE)</f>
        <v>Jacket</v>
      </c>
      <c r="R3169" s="7">
        <f t="shared" si="394"/>
        <v>3224.76</v>
      </c>
    </row>
    <row r="3170" spans="1:18" ht="21.75" customHeight="1">
      <c r="A3170" t="s">
        <v>3321</v>
      </c>
      <c r="B3170" s="6">
        <v>45306</v>
      </c>
      <c r="C3170" t="s">
        <v>381</v>
      </c>
      <c r="D3170" t="s">
        <v>197</v>
      </c>
      <c r="E3170" t="s">
        <v>11</v>
      </c>
      <c r="F3170" t="s">
        <v>306</v>
      </c>
      <c r="G3170" t="s">
        <v>36</v>
      </c>
      <c r="H3170">
        <v>17</v>
      </c>
      <c r="I3170" t="str">
        <f>VLOOKUP(D3170,Product_Lookup!$A$2:$C$27,3,FALSE)</f>
        <v>$10.11</v>
      </c>
      <c r="J3170" t="str">
        <f t="shared" si="395"/>
        <v>Monday</v>
      </c>
      <c r="K3170" s="10" t="str">
        <f t="shared" si="396"/>
        <v>January</v>
      </c>
      <c r="L3170">
        <f t="shared" si="397"/>
        <v>2024</v>
      </c>
      <c r="M3170" t="b">
        <f t="shared" si="398"/>
        <v>0</v>
      </c>
      <c r="N3170" t="b">
        <f t="shared" si="392"/>
        <v>0</v>
      </c>
      <c r="O3170" t="str">
        <f t="shared" si="399"/>
        <v>Standard order</v>
      </c>
      <c r="P3170" s="7">
        <f t="shared" si="393"/>
        <v>0.50549999999999995</v>
      </c>
      <c r="Q3170" s="7" t="str">
        <f>VLOOKUP(D3171,Product_Lookup!$A$2:$C$27,2,FALSE)</f>
        <v>Lego Set</v>
      </c>
      <c r="R3170" s="7">
        <f t="shared" si="394"/>
        <v>171.87</v>
      </c>
    </row>
    <row r="3171" spans="1:18" ht="21.75" customHeight="1">
      <c r="A3171" t="s">
        <v>3322</v>
      </c>
      <c r="B3171" s="6">
        <v>45598</v>
      </c>
      <c r="C3171" t="s">
        <v>314</v>
      </c>
      <c r="D3171" t="s">
        <v>84</v>
      </c>
      <c r="E3171" t="s">
        <v>17</v>
      </c>
      <c r="F3171" t="s">
        <v>12</v>
      </c>
      <c r="G3171" t="s">
        <v>32</v>
      </c>
      <c r="H3171">
        <v>20</v>
      </c>
      <c r="I3171" t="str">
        <f>VLOOKUP(D3171,Product_Lookup!$A$2:$C$27,3,FALSE)</f>
        <v>$130.07</v>
      </c>
      <c r="J3171" t="str">
        <f t="shared" si="395"/>
        <v>Saturday</v>
      </c>
      <c r="K3171" s="10" t="str">
        <f t="shared" si="396"/>
        <v>November</v>
      </c>
      <c r="L3171">
        <f t="shared" si="397"/>
        <v>2024</v>
      </c>
      <c r="M3171" t="b">
        <f t="shared" si="398"/>
        <v>1</v>
      </c>
      <c r="N3171" t="b">
        <f t="shared" si="392"/>
        <v>1</v>
      </c>
      <c r="O3171" t="str">
        <f t="shared" si="399"/>
        <v>Large Order</v>
      </c>
      <c r="P3171" s="7">
        <f t="shared" si="393"/>
        <v>6.5034999999999998</v>
      </c>
      <c r="Q3171" s="7" t="str">
        <f>VLOOKUP(D3172,Product_Lookup!$A$2:$C$27,2,FALSE)</f>
        <v>Stapler</v>
      </c>
      <c r="R3171" s="7">
        <f t="shared" si="394"/>
        <v>2601.3999999999996</v>
      </c>
    </row>
    <row r="3172" spans="1:18" ht="21.75" customHeight="1">
      <c r="A3172" t="s">
        <v>3323</v>
      </c>
      <c r="B3172" s="6">
        <v>45583</v>
      </c>
      <c r="C3172" t="s">
        <v>451</v>
      </c>
      <c r="D3172" t="s">
        <v>35</v>
      </c>
      <c r="E3172" t="s">
        <v>22</v>
      </c>
      <c r="F3172" t="s">
        <v>12</v>
      </c>
      <c r="G3172" t="s">
        <v>32</v>
      </c>
      <c r="H3172">
        <v>1</v>
      </c>
      <c r="I3172" t="str">
        <f>VLOOKUP(D3172,Product_Lookup!$A$2:$C$27,3,FALSE)</f>
        <v>$64.61</v>
      </c>
      <c r="J3172" t="str">
        <f t="shared" si="395"/>
        <v>Friday</v>
      </c>
      <c r="K3172" s="10" t="str">
        <f t="shared" si="396"/>
        <v>October</v>
      </c>
      <c r="L3172">
        <f t="shared" si="397"/>
        <v>2024</v>
      </c>
      <c r="M3172" t="b">
        <f t="shared" si="398"/>
        <v>0</v>
      </c>
      <c r="N3172" t="b">
        <f t="shared" si="392"/>
        <v>0</v>
      </c>
      <c r="O3172" t="str">
        <f t="shared" si="399"/>
        <v>Standard order</v>
      </c>
      <c r="P3172" s="7">
        <f t="shared" si="393"/>
        <v>3.2305000000000001</v>
      </c>
      <c r="Q3172" s="7" t="str">
        <f>VLOOKUP(D3173,Product_Lookup!$A$2:$C$27,2,FALSE)</f>
        <v>Pen Set</v>
      </c>
      <c r="R3172" s="7">
        <f t="shared" si="394"/>
        <v>64.61</v>
      </c>
    </row>
    <row r="3173" spans="1:18" ht="21.75" customHeight="1">
      <c r="A3173" t="s">
        <v>3324</v>
      </c>
      <c r="B3173" s="6">
        <v>45626</v>
      </c>
      <c r="C3173" t="s">
        <v>53</v>
      </c>
      <c r="D3173" t="s">
        <v>174</v>
      </c>
      <c r="E3173" t="s">
        <v>22</v>
      </c>
      <c r="F3173" t="s">
        <v>56</v>
      </c>
      <c r="G3173" t="s">
        <v>28</v>
      </c>
      <c r="H3173">
        <v>15</v>
      </c>
      <c r="I3173" t="str">
        <f>VLOOKUP(D3173,Product_Lookup!$A$2:$C$27,3,FALSE)</f>
        <v>$133.37</v>
      </c>
      <c r="J3173" t="str">
        <f t="shared" si="395"/>
        <v>Saturday</v>
      </c>
      <c r="K3173" s="10" t="str">
        <f t="shared" si="396"/>
        <v>November</v>
      </c>
      <c r="L3173">
        <f t="shared" si="397"/>
        <v>2024</v>
      </c>
      <c r="M3173" t="b">
        <f t="shared" si="398"/>
        <v>1</v>
      </c>
      <c r="N3173" t="b">
        <f t="shared" si="392"/>
        <v>1</v>
      </c>
      <c r="O3173" t="str">
        <f t="shared" si="399"/>
        <v>Large Order</v>
      </c>
      <c r="P3173" s="7">
        <f t="shared" si="393"/>
        <v>6.6685000000000008</v>
      </c>
      <c r="Q3173" s="7" t="str">
        <f>VLOOKUP(D3174,Product_Lookup!$A$2:$C$27,2,FALSE)</f>
        <v>Stapler</v>
      </c>
      <c r="R3173" s="7">
        <f t="shared" si="394"/>
        <v>2000.5500000000002</v>
      </c>
    </row>
    <row r="3174" spans="1:18" ht="21.75" customHeight="1">
      <c r="A3174" t="s">
        <v>3325</v>
      </c>
      <c r="B3174" s="6">
        <v>45414</v>
      </c>
      <c r="C3174" t="s">
        <v>235</v>
      </c>
      <c r="D3174" t="s">
        <v>35</v>
      </c>
      <c r="E3174" t="s">
        <v>22</v>
      </c>
      <c r="F3174" t="s">
        <v>56</v>
      </c>
      <c r="G3174" t="s">
        <v>32</v>
      </c>
      <c r="H3174">
        <v>5</v>
      </c>
      <c r="I3174" t="str">
        <f>VLOOKUP(D3174,Product_Lookup!$A$2:$C$27,3,FALSE)</f>
        <v>$64.61</v>
      </c>
      <c r="J3174" t="str">
        <f t="shared" si="395"/>
        <v>Thursday</v>
      </c>
      <c r="K3174" s="10" t="str">
        <f t="shared" si="396"/>
        <v>May</v>
      </c>
      <c r="L3174">
        <f t="shared" si="397"/>
        <v>2024</v>
      </c>
      <c r="M3174" t="b">
        <f t="shared" si="398"/>
        <v>0</v>
      </c>
      <c r="N3174" t="b">
        <f t="shared" si="392"/>
        <v>0</v>
      </c>
      <c r="O3174" t="str">
        <f t="shared" si="399"/>
        <v>Standard order</v>
      </c>
      <c r="P3174" s="7">
        <f t="shared" si="393"/>
        <v>3.2305000000000001</v>
      </c>
      <c r="Q3174" s="7" t="str">
        <f>VLOOKUP(D3175,Product_Lookup!$A$2:$C$27,2,FALSE)</f>
        <v>Desk Lamp</v>
      </c>
      <c r="R3174" s="7">
        <f t="shared" si="394"/>
        <v>323.05</v>
      </c>
    </row>
    <row r="3175" spans="1:18" ht="21.75" customHeight="1">
      <c r="A3175" t="s">
        <v>3326</v>
      </c>
      <c r="B3175" s="6">
        <v>45307</v>
      </c>
      <c r="C3175" t="s">
        <v>95</v>
      </c>
      <c r="D3175" t="s">
        <v>59</v>
      </c>
      <c r="E3175" t="s">
        <v>17</v>
      </c>
      <c r="F3175" t="s">
        <v>27</v>
      </c>
      <c r="G3175" t="s">
        <v>28</v>
      </c>
      <c r="H3175">
        <v>20</v>
      </c>
      <c r="I3175" t="str">
        <f>VLOOKUP(D3175,Product_Lookup!$A$2:$C$27,3,FALSE)</f>
        <v>$101.96</v>
      </c>
      <c r="J3175" t="str">
        <f t="shared" si="395"/>
        <v>Tuesday</v>
      </c>
      <c r="K3175" s="10" t="str">
        <f t="shared" si="396"/>
        <v>January</v>
      </c>
      <c r="L3175">
        <f t="shared" si="397"/>
        <v>2024</v>
      </c>
      <c r="M3175" t="b">
        <f t="shared" si="398"/>
        <v>0</v>
      </c>
      <c r="N3175" t="b">
        <f t="shared" si="392"/>
        <v>1</v>
      </c>
      <c r="O3175" t="str">
        <f t="shared" si="399"/>
        <v>Large Order</v>
      </c>
      <c r="P3175" s="7">
        <f t="shared" si="393"/>
        <v>5.0979999999999999</v>
      </c>
      <c r="Q3175" s="7" t="str">
        <f>VLOOKUP(D3176,Product_Lookup!$A$2:$C$27,2,FALSE)</f>
        <v>Air Fryer</v>
      </c>
      <c r="R3175" s="7">
        <f t="shared" si="394"/>
        <v>2039.1999999999998</v>
      </c>
    </row>
    <row r="3176" spans="1:18" ht="21.75" customHeight="1">
      <c r="A3176" t="s">
        <v>3327</v>
      </c>
      <c r="B3176" s="6">
        <v>45415</v>
      </c>
      <c r="C3176" t="s">
        <v>235</v>
      </c>
      <c r="D3176" t="s">
        <v>70</v>
      </c>
      <c r="E3176" t="s">
        <v>22</v>
      </c>
      <c r="F3176" t="s">
        <v>12</v>
      </c>
      <c r="G3176" t="s">
        <v>36</v>
      </c>
      <c r="H3176">
        <v>11</v>
      </c>
      <c r="I3176" t="str">
        <f>VLOOKUP(D3176,Product_Lookup!$A$2:$C$27,3,FALSE)</f>
        <v>$211.9</v>
      </c>
      <c r="J3176" t="str">
        <f t="shared" si="395"/>
        <v>Friday</v>
      </c>
      <c r="K3176" s="10" t="str">
        <f t="shared" si="396"/>
        <v>May</v>
      </c>
      <c r="L3176">
        <f t="shared" si="397"/>
        <v>2024</v>
      </c>
      <c r="M3176" t="b">
        <f t="shared" si="398"/>
        <v>0</v>
      </c>
      <c r="N3176" t="b">
        <f t="shared" si="392"/>
        <v>1</v>
      </c>
      <c r="O3176" t="str">
        <f t="shared" si="399"/>
        <v>Large Order</v>
      </c>
      <c r="P3176" s="7">
        <f t="shared" si="393"/>
        <v>10.595000000000001</v>
      </c>
      <c r="Q3176" s="7" t="str">
        <f>VLOOKUP(D3177,Product_Lookup!$A$2:$C$27,2,FALSE)</f>
        <v>Air Fryer</v>
      </c>
      <c r="R3176" s="7">
        <f t="shared" si="394"/>
        <v>2330.9</v>
      </c>
    </row>
    <row r="3177" spans="1:18" ht="21.75" customHeight="1">
      <c r="A3177" t="s">
        <v>3328</v>
      </c>
      <c r="B3177" s="6">
        <v>45373</v>
      </c>
      <c r="C3177" t="s">
        <v>78</v>
      </c>
      <c r="D3177" t="s">
        <v>70</v>
      </c>
      <c r="E3177" t="s">
        <v>22</v>
      </c>
      <c r="F3177" t="s">
        <v>12</v>
      </c>
      <c r="G3177" t="s">
        <v>13</v>
      </c>
      <c r="H3177">
        <v>2</v>
      </c>
      <c r="I3177" t="str">
        <f>VLOOKUP(D3177,Product_Lookup!$A$2:$C$27,3,FALSE)</f>
        <v>$211.9</v>
      </c>
      <c r="J3177" t="str">
        <f t="shared" si="395"/>
        <v>Friday</v>
      </c>
      <c r="K3177" s="10" t="str">
        <f t="shared" si="396"/>
        <v>March</v>
      </c>
      <c r="L3177">
        <f t="shared" si="397"/>
        <v>2024</v>
      </c>
      <c r="M3177" t="b">
        <f t="shared" si="398"/>
        <v>0</v>
      </c>
      <c r="N3177" t="b">
        <f t="shared" si="392"/>
        <v>0</v>
      </c>
      <c r="O3177" t="str">
        <f t="shared" si="399"/>
        <v>Standard order</v>
      </c>
      <c r="P3177" s="7">
        <f t="shared" si="393"/>
        <v>10.595000000000001</v>
      </c>
      <c r="Q3177" s="7" t="str">
        <f>VLOOKUP(D3178,Product_Lookup!$A$2:$C$27,2,FALSE)</f>
        <v>Stapler</v>
      </c>
      <c r="R3177" s="7">
        <f t="shared" si="394"/>
        <v>423.8</v>
      </c>
    </row>
    <row r="3178" spans="1:18" ht="21.75" customHeight="1">
      <c r="A3178" t="s">
        <v>3329</v>
      </c>
      <c r="B3178" s="6">
        <v>45500</v>
      </c>
      <c r="C3178" t="s">
        <v>363</v>
      </c>
      <c r="D3178" t="s">
        <v>35</v>
      </c>
      <c r="E3178" t="s">
        <v>17</v>
      </c>
      <c r="F3178" t="s">
        <v>12</v>
      </c>
      <c r="G3178" t="s">
        <v>23</v>
      </c>
      <c r="H3178">
        <v>9</v>
      </c>
      <c r="I3178" t="str">
        <f>VLOOKUP(D3178,Product_Lookup!$A$2:$C$27,3,FALSE)</f>
        <v>$64.61</v>
      </c>
      <c r="J3178" t="str">
        <f t="shared" si="395"/>
        <v>Saturday</v>
      </c>
      <c r="K3178" s="10" t="str">
        <f t="shared" si="396"/>
        <v>July</v>
      </c>
      <c r="L3178">
        <f t="shared" si="397"/>
        <v>2024</v>
      </c>
      <c r="M3178" t="b">
        <f t="shared" si="398"/>
        <v>1</v>
      </c>
      <c r="N3178" t="b">
        <f t="shared" si="392"/>
        <v>0</v>
      </c>
      <c r="O3178" t="str">
        <f t="shared" si="399"/>
        <v>Large Order</v>
      </c>
      <c r="P3178" s="7">
        <f t="shared" si="393"/>
        <v>3.2305000000000001</v>
      </c>
      <c r="Q3178" s="7" t="str">
        <f>VLOOKUP(D3179,Product_Lookup!$A$2:$C$27,2,FALSE)</f>
        <v>Puzzle</v>
      </c>
      <c r="R3178" s="7">
        <f t="shared" si="394"/>
        <v>581.49</v>
      </c>
    </row>
    <row r="3179" spans="1:18" ht="21.75" customHeight="1">
      <c r="A3179" t="s">
        <v>3330</v>
      </c>
      <c r="B3179" s="6">
        <v>45567</v>
      </c>
      <c r="C3179" t="s">
        <v>114</v>
      </c>
      <c r="D3179" t="s">
        <v>62</v>
      </c>
      <c r="E3179" t="s">
        <v>22</v>
      </c>
      <c r="F3179" t="s">
        <v>306</v>
      </c>
      <c r="G3179" t="s">
        <v>13</v>
      </c>
      <c r="H3179">
        <v>15</v>
      </c>
      <c r="I3179" t="str">
        <f>VLOOKUP(D3179,Product_Lookup!$A$2:$C$27,3,FALSE)</f>
        <v>$46.19</v>
      </c>
      <c r="J3179" t="str">
        <f t="shared" si="395"/>
        <v>Wednesday</v>
      </c>
      <c r="K3179" s="10" t="str">
        <f t="shared" si="396"/>
        <v>October</v>
      </c>
      <c r="L3179">
        <f t="shared" si="397"/>
        <v>2024</v>
      </c>
      <c r="M3179" t="b">
        <f t="shared" si="398"/>
        <v>0</v>
      </c>
      <c r="N3179" t="b">
        <f t="shared" si="392"/>
        <v>0</v>
      </c>
      <c r="O3179" t="str">
        <f t="shared" si="399"/>
        <v>Large Order</v>
      </c>
      <c r="P3179" s="7">
        <f t="shared" si="393"/>
        <v>2.3094999999999999</v>
      </c>
      <c r="Q3179" s="7" t="str">
        <f>VLOOKUP(D3180,Product_Lookup!$A$2:$C$27,2,FALSE)</f>
        <v>Coffee Maker</v>
      </c>
      <c r="R3179" s="7">
        <f t="shared" si="394"/>
        <v>692.84999999999991</v>
      </c>
    </row>
    <row r="3180" spans="1:18" ht="21.75" customHeight="1">
      <c r="A3180" t="s">
        <v>3331</v>
      </c>
      <c r="B3180" s="6">
        <v>45322</v>
      </c>
      <c r="C3180" t="s">
        <v>61</v>
      </c>
      <c r="D3180" t="s">
        <v>31</v>
      </c>
      <c r="E3180" t="s">
        <v>22</v>
      </c>
      <c r="F3180" t="s">
        <v>12</v>
      </c>
      <c r="G3180" t="s">
        <v>32</v>
      </c>
      <c r="H3180">
        <v>13</v>
      </c>
      <c r="I3180" t="str">
        <f>VLOOKUP(D3180,Product_Lookup!$A$2:$C$27,3,FALSE)</f>
        <v>$230.34</v>
      </c>
      <c r="J3180" t="str">
        <f t="shared" si="395"/>
        <v>Wednesday</v>
      </c>
      <c r="K3180" s="10" t="str">
        <f t="shared" si="396"/>
        <v>January</v>
      </c>
      <c r="L3180">
        <f t="shared" si="397"/>
        <v>2024</v>
      </c>
      <c r="M3180" t="b">
        <f t="shared" si="398"/>
        <v>0</v>
      </c>
      <c r="N3180" t="b">
        <f t="shared" si="392"/>
        <v>1</v>
      </c>
      <c r="O3180" t="str">
        <f t="shared" si="399"/>
        <v>Large Order</v>
      </c>
      <c r="P3180" s="7">
        <f t="shared" si="393"/>
        <v>11.517000000000001</v>
      </c>
      <c r="Q3180" s="7" t="str">
        <f>VLOOKUP(D3181,Product_Lookup!$A$2:$C$27,2,FALSE)</f>
        <v>Action Figure</v>
      </c>
      <c r="R3180" s="7">
        <f t="shared" si="394"/>
        <v>2994.42</v>
      </c>
    </row>
    <row r="3181" spans="1:18" ht="21.75" customHeight="1">
      <c r="A3181" t="s">
        <v>3332</v>
      </c>
      <c r="B3181" s="6">
        <v>45553</v>
      </c>
      <c r="C3181" t="s">
        <v>451</v>
      </c>
      <c r="D3181" t="s">
        <v>21</v>
      </c>
      <c r="E3181" t="s">
        <v>17</v>
      </c>
      <c r="F3181" t="s">
        <v>27</v>
      </c>
      <c r="G3181" t="s">
        <v>13</v>
      </c>
      <c r="H3181">
        <v>4</v>
      </c>
      <c r="I3181" t="str">
        <f>VLOOKUP(D3181,Product_Lookup!$A$2:$C$27,3,FALSE)</f>
        <v>$88.18</v>
      </c>
      <c r="J3181" t="str">
        <f t="shared" si="395"/>
        <v>Wednesday</v>
      </c>
      <c r="K3181" s="10" t="str">
        <f t="shared" si="396"/>
        <v>September</v>
      </c>
      <c r="L3181">
        <f t="shared" si="397"/>
        <v>2024</v>
      </c>
      <c r="M3181" t="b">
        <f t="shared" si="398"/>
        <v>0</v>
      </c>
      <c r="N3181" t="b">
        <f t="shared" si="392"/>
        <v>0</v>
      </c>
      <c r="O3181" t="str">
        <f t="shared" si="399"/>
        <v>Standard order</v>
      </c>
      <c r="P3181" s="7">
        <f t="shared" si="393"/>
        <v>4.4090000000000007</v>
      </c>
      <c r="Q3181" s="7" t="str">
        <f>VLOOKUP(D3182,Product_Lookup!$A$2:$C$27,2,FALSE)</f>
        <v>Desk Lamp</v>
      </c>
      <c r="R3181" s="7">
        <f t="shared" si="394"/>
        <v>352.72</v>
      </c>
    </row>
    <row r="3182" spans="1:18" ht="21.75" customHeight="1">
      <c r="A3182" t="s">
        <v>3333</v>
      </c>
      <c r="B3182" s="6">
        <v>45426</v>
      </c>
      <c r="C3182" t="s">
        <v>332</v>
      </c>
      <c r="D3182" t="s">
        <v>59</v>
      </c>
      <c r="E3182" t="s">
        <v>11</v>
      </c>
      <c r="F3182" t="s">
        <v>56</v>
      </c>
      <c r="G3182" t="s">
        <v>32</v>
      </c>
      <c r="H3182">
        <v>14</v>
      </c>
      <c r="I3182" t="str">
        <f>VLOOKUP(D3182,Product_Lookup!$A$2:$C$27,3,FALSE)</f>
        <v>$101.96</v>
      </c>
      <c r="J3182" t="str">
        <f t="shared" si="395"/>
        <v>Tuesday</v>
      </c>
      <c r="K3182" s="10" t="str">
        <f t="shared" si="396"/>
        <v>May</v>
      </c>
      <c r="L3182">
        <f t="shared" si="397"/>
        <v>2024</v>
      </c>
      <c r="M3182" t="b">
        <f t="shared" si="398"/>
        <v>0</v>
      </c>
      <c r="N3182" t="b">
        <f t="shared" si="392"/>
        <v>1</v>
      </c>
      <c r="O3182" t="str">
        <f t="shared" si="399"/>
        <v>Large Order</v>
      </c>
      <c r="P3182" s="7">
        <f t="shared" si="393"/>
        <v>5.0979999999999999</v>
      </c>
      <c r="Q3182" s="7" t="str">
        <f>VLOOKUP(D3183,Product_Lookup!$A$2:$C$27,2,FALSE)</f>
        <v>Stapler</v>
      </c>
      <c r="R3182" s="7">
        <f t="shared" si="394"/>
        <v>1427.4399999999998</v>
      </c>
    </row>
    <row r="3183" spans="1:18" ht="21.75" customHeight="1">
      <c r="A3183" t="s">
        <v>3334</v>
      </c>
      <c r="B3183" s="6">
        <v>45364</v>
      </c>
      <c r="C3183" t="s">
        <v>78</v>
      </c>
      <c r="D3183" t="s">
        <v>35</v>
      </c>
      <c r="E3183" t="s">
        <v>11</v>
      </c>
      <c r="F3183" t="s">
        <v>42</v>
      </c>
      <c r="G3183" t="s">
        <v>13</v>
      </c>
      <c r="H3183">
        <v>11</v>
      </c>
      <c r="I3183" t="str">
        <f>VLOOKUP(D3183,Product_Lookup!$A$2:$C$27,3,FALSE)</f>
        <v>$64.61</v>
      </c>
      <c r="J3183" t="str">
        <f t="shared" si="395"/>
        <v>Wednesday</v>
      </c>
      <c r="K3183" s="10" t="str">
        <f t="shared" si="396"/>
        <v>March</v>
      </c>
      <c r="L3183">
        <f t="shared" si="397"/>
        <v>2024</v>
      </c>
      <c r="M3183" t="b">
        <f t="shared" si="398"/>
        <v>0</v>
      </c>
      <c r="N3183" t="b">
        <f t="shared" si="392"/>
        <v>0</v>
      </c>
      <c r="O3183" t="str">
        <f t="shared" si="399"/>
        <v>Large Order</v>
      </c>
      <c r="P3183" s="7">
        <f t="shared" si="393"/>
        <v>3.2305000000000001</v>
      </c>
      <c r="Q3183" s="7" t="str">
        <f>VLOOKUP(D3184,Product_Lookup!$A$2:$C$27,2,FALSE)</f>
        <v>Puzzle</v>
      </c>
      <c r="R3183" s="7">
        <f t="shared" si="394"/>
        <v>710.71</v>
      </c>
    </row>
    <row r="3184" spans="1:18" ht="21.75" customHeight="1">
      <c r="A3184" t="s">
        <v>3335</v>
      </c>
      <c r="B3184" s="6">
        <v>45329</v>
      </c>
      <c r="C3184" t="s">
        <v>366</v>
      </c>
      <c r="D3184" t="s">
        <v>62</v>
      </c>
      <c r="E3184" t="s">
        <v>17</v>
      </c>
      <c r="F3184" t="s">
        <v>56</v>
      </c>
      <c r="G3184" t="s">
        <v>32</v>
      </c>
      <c r="H3184">
        <v>11</v>
      </c>
      <c r="I3184" t="str">
        <f>VLOOKUP(D3184,Product_Lookup!$A$2:$C$27,3,FALSE)</f>
        <v>$46.19</v>
      </c>
      <c r="J3184" t="str">
        <f t="shared" si="395"/>
        <v>Wednesday</v>
      </c>
      <c r="K3184" s="10" t="str">
        <f t="shared" si="396"/>
        <v>February</v>
      </c>
      <c r="L3184">
        <f t="shared" si="397"/>
        <v>2024</v>
      </c>
      <c r="M3184" t="b">
        <f t="shared" si="398"/>
        <v>0</v>
      </c>
      <c r="N3184" t="b">
        <f t="shared" si="392"/>
        <v>0</v>
      </c>
      <c r="O3184" t="str">
        <f t="shared" si="399"/>
        <v>Large Order</v>
      </c>
      <c r="P3184" s="7">
        <f t="shared" si="393"/>
        <v>2.3094999999999999</v>
      </c>
      <c r="Q3184" s="7" t="str">
        <f>VLOOKUP(D3185,Product_Lookup!$A$2:$C$27,2,FALSE)</f>
        <v>Air Fryer</v>
      </c>
      <c r="R3184" s="7">
        <f t="shared" si="394"/>
        <v>508.09</v>
      </c>
    </row>
    <row r="3185" spans="1:18" ht="21.75" customHeight="1">
      <c r="A3185" t="s">
        <v>3336</v>
      </c>
      <c r="B3185" s="6">
        <v>45519</v>
      </c>
      <c r="C3185" t="s">
        <v>118</v>
      </c>
      <c r="D3185" t="s">
        <v>70</v>
      </c>
      <c r="E3185" t="s">
        <v>22</v>
      </c>
      <c r="F3185" t="s">
        <v>42</v>
      </c>
      <c r="G3185" t="s">
        <v>36</v>
      </c>
      <c r="H3185">
        <v>9</v>
      </c>
      <c r="I3185" t="str">
        <f>VLOOKUP(D3185,Product_Lookup!$A$2:$C$27,3,FALSE)</f>
        <v>$211.9</v>
      </c>
      <c r="J3185" t="str">
        <f t="shared" si="395"/>
        <v>Thursday</v>
      </c>
      <c r="K3185" s="10" t="str">
        <f t="shared" si="396"/>
        <v>August</v>
      </c>
      <c r="L3185">
        <f t="shared" si="397"/>
        <v>2024</v>
      </c>
      <c r="M3185" t="b">
        <f t="shared" si="398"/>
        <v>0</v>
      </c>
      <c r="N3185" t="b">
        <f t="shared" si="392"/>
        <v>1</v>
      </c>
      <c r="O3185" t="str">
        <f t="shared" si="399"/>
        <v>Large Order</v>
      </c>
      <c r="P3185" s="7">
        <f t="shared" si="393"/>
        <v>10.595000000000001</v>
      </c>
      <c r="Q3185" s="7" t="str">
        <f>VLOOKUP(D3186,Product_Lookup!$A$2:$C$27,2,FALSE)</f>
        <v>Notebook</v>
      </c>
      <c r="R3185" s="7">
        <f t="shared" si="394"/>
        <v>1907.1000000000001</v>
      </c>
    </row>
    <row r="3186" spans="1:18" ht="21.75" customHeight="1">
      <c r="A3186" t="s">
        <v>3337</v>
      </c>
      <c r="B3186" s="6">
        <v>45363</v>
      </c>
      <c r="C3186" t="s">
        <v>167</v>
      </c>
      <c r="D3186" t="s">
        <v>160</v>
      </c>
      <c r="E3186" t="s">
        <v>17</v>
      </c>
      <c r="F3186" t="s">
        <v>12</v>
      </c>
      <c r="G3186" t="s">
        <v>28</v>
      </c>
      <c r="H3186">
        <v>12</v>
      </c>
      <c r="I3186" t="str">
        <f>VLOOKUP(D3186,Product_Lookup!$A$2:$C$27,3,FALSE)</f>
        <v>$149.27</v>
      </c>
      <c r="J3186" t="str">
        <f t="shared" si="395"/>
        <v>Tuesday</v>
      </c>
      <c r="K3186" s="10" t="str">
        <f t="shared" si="396"/>
        <v>March</v>
      </c>
      <c r="L3186">
        <f t="shared" si="397"/>
        <v>2024</v>
      </c>
      <c r="M3186" t="b">
        <f t="shared" si="398"/>
        <v>0</v>
      </c>
      <c r="N3186" t="b">
        <f t="shared" si="392"/>
        <v>1</v>
      </c>
      <c r="O3186" t="str">
        <f t="shared" si="399"/>
        <v>Large Order</v>
      </c>
      <c r="P3186" s="7">
        <f t="shared" si="393"/>
        <v>7.4635000000000007</v>
      </c>
      <c r="Q3186" s="7" t="str">
        <f>VLOOKUP(D3187,Product_Lookup!$A$2:$C$27,2,FALSE)</f>
        <v>Puzzle</v>
      </c>
      <c r="R3186" s="7">
        <f t="shared" si="394"/>
        <v>1791.2400000000002</v>
      </c>
    </row>
    <row r="3187" spans="1:18" ht="21.75" customHeight="1">
      <c r="A3187" t="s">
        <v>3338</v>
      </c>
      <c r="B3187" s="6">
        <v>45441</v>
      </c>
      <c r="C3187" t="s">
        <v>147</v>
      </c>
      <c r="D3187" t="s">
        <v>62</v>
      </c>
      <c r="E3187" t="s">
        <v>11</v>
      </c>
      <c r="F3187" t="s">
        <v>306</v>
      </c>
      <c r="G3187" t="s">
        <v>32</v>
      </c>
      <c r="H3187">
        <v>16</v>
      </c>
      <c r="I3187" t="str">
        <f>VLOOKUP(D3187,Product_Lookup!$A$2:$C$27,3,FALSE)</f>
        <v>$46.19</v>
      </c>
      <c r="J3187" t="str">
        <f t="shared" si="395"/>
        <v>Wednesday</v>
      </c>
      <c r="K3187" s="10" t="str">
        <f t="shared" si="396"/>
        <v>May</v>
      </c>
      <c r="L3187">
        <f t="shared" si="397"/>
        <v>2024</v>
      </c>
      <c r="M3187" t="b">
        <f t="shared" si="398"/>
        <v>0</v>
      </c>
      <c r="N3187" t="b">
        <f t="shared" si="392"/>
        <v>0</v>
      </c>
      <c r="O3187" t="str">
        <f t="shared" si="399"/>
        <v>Large Order</v>
      </c>
      <c r="P3187" s="7">
        <f t="shared" si="393"/>
        <v>2.3094999999999999</v>
      </c>
      <c r="Q3187" s="7" t="str">
        <f>VLOOKUP(D3188,Product_Lookup!$A$2:$C$27,2,FALSE)</f>
        <v>Headphones</v>
      </c>
      <c r="R3187" s="7">
        <f t="shared" si="394"/>
        <v>739.04</v>
      </c>
    </row>
    <row r="3188" spans="1:18" ht="21.75" customHeight="1">
      <c r="A3188" t="s">
        <v>3339</v>
      </c>
      <c r="B3188" s="6">
        <v>45636</v>
      </c>
      <c r="C3188" t="s">
        <v>61</v>
      </c>
      <c r="D3188" t="s">
        <v>16</v>
      </c>
      <c r="E3188" t="s">
        <v>22</v>
      </c>
      <c r="F3188" t="s">
        <v>56</v>
      </c>
      <c r="G3188" t="s">
        <v>28</v>
      </c>
      <c r="H3188">
        <v>20</v>
      </c>
      <c r="I3188" t="str">
        <f>VLOOKUP(D3188,Product_Lookup!$A$2:$C$27,3,FALSE)</f>
        <v>$178.83</v>
      </c>
      <c r="J3188" t="str">
        <f t="shared" si="395"/>
        <v>Tuesday</v>
      </c>
      <c r="K3188" s="10" t="str">
        <f t="shared" si="396"/>
        <v>December</v>
      </c>
      <c r="L3188">
        <f t="shared" si="397"/>
        <v>2024</v>
      </c>
      <c r="M3188" t="b">
        <f t="shared" si="398"/>
        <v>0</v>
      </c>
      <c r="N3188" t="b">
        <f t="shared" si="392"/>
        <v>1</v>
      </c>
      <c r="O3188" t="str">
        <f t="shared" si="399"/>
        <v>Large Order</v>
      </c>
      <c r="P3188" s="7">
        <f t="shared" si="393"/>
        <v>8.9415000000000013</v>
      </c>
      <c r="Q3188" s="7" t="str">
        <f>VLOOKUP(D3189,Product_Lookup!$A$2:$C$27,2,FALSE)</f>
        <v>Action Figure</v>
      </c>
      <c r="R3188" s="7">
        <f t="shared" si="394"/>
        <v>3576.6000000000004</v>
      </c>
    </row>
    <row r="3189" spans="1:18" ht="21.75" customHeight="1">
      <c r="A3189" t="s">
        <v>3340</v>
      </c>
      <c r="B3189" s="6">
        <v>45488</v>
      </c>
      <c r="C3189" t="s">
        <v>230</v>
      </c>
      <c r="D3189" t="s">
        <v>21</v>
      </c>
      <c r="E3189" t="s">
        <v>11</v>
      </c>
      <c r="F3189" t="s">
        <v>12</v>
      </c>
      <c r="G3189" t="s">
        <v>28</v>
      </c>
      <c r="H3189">
        <v>19</v>
      </c>
      <c r="I3189" t="str">
        <f>VLOOKUP(D3189,Product_Lookup!$A$2:$C$27,3,FALSE)</f>
        <v>$88.18</v>
      </c>
      <c r="J3189" t="str">
        <f t="shared" si="395"/>
        <v>Monday</v>
      </c>
      <c r="K3189" s="10" t="str">
        <f t="shared" si="396"/>
        <v>July</v>
      </c>
      <c r="L3189">
        <f t="shared" si="397"/>
        <v>2024</v>
      </c>
      <c r="M3189" t="b">
        <f t="shared" si="398"/>
        <v>0</v>
      </c>
      <c r="N3189" t="b">
        <f t="shared" si="392"/>
        <v>1</v>
      </c>
      <c r="O3189" t="str">
        <f t="shared" si="399"/>
        <v>Large Order</v>
      </c>
      <c r="P3189" s="7">
        <f t="shared" si="393"/>
        <v>4.4090000000000007</v>
      </c>
      <c r="Q3189" s="7" t="str">
        <f>VLOOKUP(D3190,Product_Lookup!$A$2:$C$27,2,FALSE)</f>
        <v>Sweater</v>
      </c>
      <c r="R3189" s="7">
        <f t="shared" si="394"/>
        <v>1675.42</v>
      </c>
    </row>
    <row r="3190" spans="1:18" ht="21.75" customHeight="1">
      <c r="A3190" t="s">
        <v>3341</v>
      </c>
      <c r="B3190" s="6">
        <v>45591</v>
      </c>
      <c r="C3190" t="s">
        <v>142</v>
      </c>
      <c r="D3190" t="s">
        <v>26</v>
      </c>
      <c r="E3190" t="s">
        <v>17</v>
      </c>
      <c r="F3190" t="s">
        <v>306</v>
      </c>
      <c r="G3190" t="s">
        <v>36</v>
      </c>
      <c r="H3190">
        <v>13</v>
      </c>
      <c r="I3190" t="str">
        <f>VLOOKUP(D3190,Product_Lookup!$A$2:$C$27,3,FALSE)</f>
        <v>$84.57</v>
      </c>
      <c r="J3190" t="str">
        <f t="shared" si="395"/>
        <v>Saturday</v>
      </c>
      <c r="K3190" s="10" t="str">
        <f t="shared" si="396"/>
        <v>October</v>
      </c>
      <c r="L3190">
        <f t="shared" si="397"/>
        <v>2024</v>
      </c>
      <c r="M3190" t="b">
        <f t="shared" si="398"/>
        <v>1</v>
      </c>
      <c r="N3190" t="b">
        <f t="shared" si="392"/>
        <v>1</v>
      </c>
      <c r="O3190" t="str">
        <f t="shared" si="399"/>
        <v>Large Order</v>
      </c>
      <c r="P3190" s="7">
        <f t="shared" si="393"/>
        <v>4.2284999999999995</v>
      </c>
      <c r="Q3190" s="7" t="str">
        <f>VLOOKUP(D3191,Product_Lookup!$A$2:$C$27,2,FALSE)</f>
        <v>Action Figure</v>
      </c>
      <c r="R3190" s="7">
        <f t="shared" si="394"/>
        <v>1099.4099999999999</v>
      </c>
    </row>
    <row r="3191" spans="1:18" ht="21.75" customHeight="1">
      <c r="A3191" t="s">
        <v>3342</v>
      </c>
      <c r="B3191" s="6">
        <v>45379</v>
      </c>
      <c r="C3191" t="s">
        <v>20</v>
      </c>
      <c r="D3191" t="s">
        <v>21</v>
      </c>
      <c r="E3191" t="s">
        <v>11</v>
      </c>
      <c r="F3191" t="s">
        <v>306</v>
      </c>
      <c r="G3191" t="s">
        <v>36</v>
      </c>
      <c r="H3191">
        <v>11</v>
      </c>
      <c r="I3191" t="str">
        <f>VLOOKUP(D3191,Product_Lookup!$A$2:$C$27,3,FALSE)</f>
        <v>$88.18</v>
      </c>
      <c r="J3191" t="str">
        <f t="shared" si="395"/>
        <v>Thursday</v>
      </c>
      <c r="K3191" s="10" t="str">
        <f t="shared" si="396"/>
        <v>March</v>
      </c>
      <c r="L3191">
        <f t="shared" si="397"/>
        <v>2024</v>
      </c>
      <c r="M3191" t="b">
        <f t="shared" si="398"/>
        <v>0</v>
      </c>
      <c r="N3191" t="b">
        <f t="shared" si="392"/>
        <v>1</v>
      </c>
      <c r="O3191" t="str">
        <f t="shared" si="399"/>
        <v>Large Order</v>
      </c>
      <c r="P3191" s="7">
        <f t="shared" si="393"/>
        <v>4.4090000000000007</v>
      </c>
      <c r="Q3191" s="7" t="str">
        <f>VLOOKUP(D3192,Product_Lookup!$A$2:$C$27,2,FALSE)</f>
        <v>Action Figure</v>
      </c>
      <c r="R3191" s="7">
        <f t="shared" si="394"/>
        <v>969.98</v>
      </c>
    </row>
    <row r="3192" spans="1:18" ht="21.75" customHeight="1">
      <c r="A3192" t="s">
        <v>3343</v>
      </c>
      <c r="B3192" s="6">
        <v>45485</v>
      </c>
      <c r="C3192" t="s">
        <v>374</v>
      </c>
      <c r="D3192" t="s">
        <v>21</v>
      </c>
      <c r="E3192" t="s">
        <v>11</v>
      </c>
      <c r="F3192" t="s">
        <v>306</v>
      </c>
      <c r="G3192" t="s">
        <v>23</v>
      </c>
      <c r="H3192">
        <v>6</v>
      </c>
      <c r="I3192" t="str">
        <f>VLOOKUP(D3192,Product_Lookup!$A$2:$C$27,3,FALSE)</f>
        <v>$88.18</v>
      </c>
      <c r="J3192" t="str">
        <f t="shared" si="395"/>
        <v>Friday</v>
      </c>
      <c r="K3192" s="10" t="str">
        <f t="shared" si="396"/>
        <v>July</v>
      </c>
      <c r="L3192">
        <f t="shared" si="397"/>
        <v>2024</v>
      </c>
      <c r="M3192" t="b">
        <f t="shared" si="398"/>
        <v>0</v>
      </c>
      <c r="N3192" t="b">
        <f t="shared" si="392"/>
        <v>0</v>
      </c>
      <c r="O3192" t="str">
        <f t="shared" si="399"/>
        <v>Large Order</v>
      </c>
      <c r="P3192" s="7">
        <f t="shared" si="393"/>
        <v>4.4090000000000007</v>
      </c>
      <c r="Q3192" s="7" t="str">
        <f>VLOOKUP(D3193,Product_Lookup!$A$2:$C$27,2,FALSE)</f>
        <v>Board Game</v>
      </c>
      <c r="R3192" s="7">
        <f t="shared" si="394"/>
        <v>529.08000000000004</v>
      </c>
    </row>
    <row r="3193" spans="1:18" ht="21.75" customHeight="1">
      <c r="A3193" t="s">
        <v>3344</v>
      </c>
      <c r="B3193" s="6">
        <v>45486</v>
      </c>
      <c r="C3193" t="s">
        <v>142</v>
      </c>
      <c r="D3193" t="s">
        <v>41</v>
      </c>
      <c r="E3193" t="s">
        <v>11</v>
      </c>
      <c r="F3193" t="s">
        <v>42</v>
      </c>
      <c r="G3193" t="s">
        <v>28</v>
      </c>
      <c r="H3193">
        <v>10</v>
      </c>
      <c r="I3193" t="str">
        <f>VLOOKUP(D3193,Product_Lookup!$A$2:$C$27,3,FALSE)</f>
        <v>$86.6</v>
      </c>
      <c r="J3193" t="str">
        <f t="shared" si="395"/>
        <v>Saturday</v>
      </c>
      <c r="K3193" s="10" t="str">
        <f t="shared" si="396"/>
        <v>July</v>
      </c>
      <c r="L3193">
        <f t="shared" si="397"/>
        <v>2024</v>
      </c>
      <c r="M3193" t="b">
        <f t="shared" si="398"/>
        <v>1</v>
      </c>
      <c r="N3193" t="b">
        <f t="shared" si="392"/>
        <v>1</v>
      </c>
      <c r="O3193" t="str">
        <f t="shared" si="399"/>
        <v>Large Order</v>
      </c>
      <c r="P3193" s="7">
        <f t="shared" si="393"/>
        <v>4.33</v>
      </c>
      <c r="Q3193" s="7" t="str">
        <f>VLOOKUP(D3194,Product_Lookup!$A$2:$C$27,2,FALSE)</f>
        <v>Paper Shredder</v>
      </c>
      <c r="R3193" s="7">
        <f t="shared" si="394"/>
        <v>866</v>
      </c>
    </row>
    <row r="3194" spans="1:18" ht="21.75" customHeight="1">
      <c r="A3194" t="s">
        <v>3345</v>
      </c>
      <c r="B3194" s="6">
        <v>45368</v>
      </c>
      <c r="C3194" t="s">
        <v>89</v>
      </c>
      <c r="D3194" t="s">
        <v>109</v>
      </c>
      <c r="E3194" t="s">
        <v>22</v>
      </c>
      <c r="F3194" t="s">
        <v>12</v>
      </c>
      <c r="G3194" t="s">
        <v>28</v>
      </c>
      <c r="H3194">
        <v>12</v>
      </c>
      <c r="I3194" t="str">
        <f>VLOOKUP(D3194,Product_Lookup!$A$2:$C$27,3,FALSE)</f>
        <v>$81.02</v>
      </c>
      <c r="J3194" t="str">
        <f t="shared" si="395"/>
        <v>Sunday</v>
      </c>
      <c r="K3194" s="10" t="str">
        <f t="shared" si="396"/>
        <v>March</v>
      </c>
      <c r="L3194">
        <f t="shared" si="397"/>
        <v>2024</v>
      </c>
      <c r="M3194" t="b">
        <f t="shared" si="398"/>
        <v>1</v>
      </c>
      <c r="N3194" t="b">
        <f t="shared" si="392"/>
        <v>1</v>
      </c>
      <c r="O3194" t="str">
        <f t="shared" si="399"/>
        <v>Large Order</v>
      </c>
      <c r="P3194" s="7">
        <f t="shared" si="393"/>
        <v>4.0510000000000002</v>
      </c>
      <c r="Q3194" s="7" t="str">
        <f>VLOOKUP(D3195,Product_Lookup!$A$2:$C$27,2,FALSE)</f>
        <v>Laptop</v>
      </c>
      <c r="R3194" s="7">
        <f t="shared" si="394"/>
        <v>972.24</v>
      </c>
    </row>
    <row r="3195" spans="1:18" ht="21.75" customHeight="1">
      <c r="A3195" t="s">
        <v>3346</v>
      </c>
      <c r="B3195" s="6">
        <v>45583</v>
      </c>
      <c r="C3195" t="s">
        <v>541</v>
      </c>
      <c r="D3195" t="s">
        <v>96</v>
      </c>
      <c r="E3195" t="s">
        <v>22</v>
      </c>
      <c r="F3195" t="s">
        <v>306</v>
      </c>
      <c r="G3195" t="s">
        <v>28</v>
      </c>
      <c r="H3195">
        <v>7</v>
      </c>
      <c r="I3195" t="str">
        <f>VLOOKUP(D3195,Product_Lookup!$A$2:$C$27,3,FALSE)</f>
        <v>$230.68</v>
      </c>
      <c r="J3195" t="str">
        <f t="shared" si="395"/>
        <v>Friday</v>
      </c>
      <c r="K3195" s="10" t="str">
        <f t="shared" si="396"/>
        <v>October</v>
      </c>
      <c r="L3195">
        <f t="shared" si="397"/>
        <v>2024</v>
      </c>
      <c r="M3195" t="b">
        <f t="shared" si="398"/>
        <v>0</v>
      </c>
      <c r="N3195" t="b">
        <f t="shared" si="392"/>
        <v>1</v>
      </c>
      <c r="O3195" t="str">
        <f t="shared" si="399"/>
        <v>Large Order</v>
      </c>
      <c r="P3195" s="7">
        <f t="shared" si="393"/>
        <v>11.534000000000001</v>
      </c>
      <c r="Q3195" s="7" t="str">
        <f>VLOOKUP(D3196,Product_Lookup!$A$2:$C$27,2,FALSE)</f>
        <v>Action Figure</v>
      </c>
      <c r="R3195" s="7">
        <f t="shared" si="394"/>
        <v>1614.76</v>
      </c>
    </row>
    <row r="3196" spans="1:18" ht="21.75" customHeight="1">
      <c r="A3196" t="s">
        <v>3347</v>
      </c>
      <c r="B3196" s="6">
        <v>45308</v>
      </c>
      <c r="C3196" t="s">
        <v>341</v>
      </c>
      <c r="D3196" t="s">
        <v>21</v>
      </c>
      <c r="E3196" t="s">
        <v>11</v>
      </c>
      <c r="F3196" t="s">
        <v>42</v>
      </c>
      <c r="G3196" t="s">
        <v>36</v>
      </c>
      <c r="H3196">
        <v>3</v>
      </c>
      <c r="I3196" t="str">
        <f>VLOOKUP(D3196,Product_Lookup!$A$2:$C$27,3,FALSE)</f>
        <v>$88.18</v>
      </c>
      <c r="J3196" t="str">
        <f t="shared" si="395"/>
        <v>Wednesday</v>
      </c>
      <c r="K3196" s="10" t="str">
        <f t="shared" si="396"/>
        <v>January</v>
      </c>
      <c r="L3196">
        <f t="shared" si="397"/>
        <v>2024</v>
      </c>
      <c r="M3196" t="b">
        <f t="shared" si="398"/>
        <v>0</v>
      </c>
      <c r="N3196" t="b">
        <f t="shared" si="392"/>
        <v>0</v>
      </c>
      <c r="O3196" t="str">
        <f t="shared" si="399"/>
        <v>Standard order</v>
      </c>
      <c r="P3196" s="7">
        <f t="shared" si="393"/>
        <v>4.4090000000000007</v>
      </c>
      <c r="Q3196" s="7" t="str">
        <f>VLOOKUP(D3197,Product_Lookup!$A$2:$C$27,2,FALSE)</f>
        <v>Pen Set</v>
      </c>
      <c r="R3196" s="7">
        <f t="shared" si="394"/>
        <v>264.54000000000002</v>
      </c>
    </row>
    <row r="3197" spans="1:18" ht="21.75" customHeight="1">
      <c r="A3197" t="s">
        <v>3348</v>
      </c>
      <c r="B3197" s="6">
        <v>45565</v>
      </c>
      <c r="C3197" t="s">
        <v>304</v>
      </c>
      <c r="D3197" t="s">
        <v>174</v>
      </c>
      <c r="E3197" t="s">
        <v>11</v>
      </c>
      <c r="F3197" t="s">
        <v>12</v>
      </c>
      <c r="G3197" t="s">
        <v>23</v>
      </c>
      <c r="H3197">
        <v>19</v>
      </c>
      <c r="I3197" t="str">
        <f>VLOOKUP(D3197,Product_Lookup!$A$2:$C$27,3,FALSE)</f>
        <v>$133.37</v>
      </c>
      <c r="J3197" t="str">
        <f t="shared" si="395"/>
        <v>Monday</v>
      </c>
      <c r="K3197" s="10" t="str">
        <f t="shared" si="396"/>
        <v>September</v>
      </c>
      <c r="L3197">
        <f t="shared" si="397"/>
        <v>2024</v>
      </c>
      <c r="M3197" t="b">
        <f t="shared" si="398"/>
        <v>0</v>
      </c>
      <c r="N3197" t="b">
        <f t="shared" si="392"/>
        <v>1</v>
      </c>
      <c r="O3197" t="str">
        <f t="shared" si="399"/>
        <v>Large Order</v>
      </c>
      <c r="P3197" s="7">
        <f t="shared" si="393"/>
        <v>6.6685000000000008</v>
      </c>
      <c r="Q3197" s="7" t="str">
        <f>VLOOKUP(D3198,Product_Lookup!$A$2:$C$27,2,FALSE)</f>
        <v>Lego Set</v>
      </c>
      <c r="R3197" s="7">
        <f t="shared" si="394"/>
        <v>2534.0300000000002</v>
      </c>
    </row>
    <row r="3198" spans="1:18" ht="21.75" customHeight="1">
      <c r="A3198" t="s">
        <v>3349</v>
      </c>
      <c r="B3198" s="6">
        <v>45417</v>
      </c>
      <c r="C3198" t="s">
        <v>230</v>
      </c>
      <c r="D3198" t="s">
        <v>84</v>
      </c>
      <c r="E3198" t="s">
        <v>11</v>
      </c>
      <c r="F3198" t="s">
        <v>56</v>
      </c>
      <c r="G3198" t="s">
        <v>28</v>
      </c>
      <c r="H3198">
        <v>15</v>
      </c>
      <c r="I3198" t="str">
        <f>VLOOKUP(D3198,Product_Lookup!$A$2:$C$27,3,FALSE)</f>
        <v>$130.07</v>
      </c>
      <c r="J3198" t="str">
        <f t="shared" si="395"/>
        <v>Sunday</v>
      </c>
      <c r="K3198" s="10" t="str">
        <f t="shared" si="396"/>
        <v>May</v>
      </c>
      <c r="L3198">
        <f t="shared" si="397"/>
        <v>2024</v>
      </c>
      <c r="M3198" t="b">
        <f t="shared" si="398"/>
        <v>1</v>
      </c>
      <c r="N3198" t="b">
        <f t="shared" si="392"/>
        <v>1</v>
      </c>
      <c r="O3198" t="str">
        <f t="shared" si="399"/>
        <v>Large Order</v>
      </c>
      <c r="P3198" s="7">
        <f t="shared" si="393"/>
        <v>6.5034999999999998</v>
      </c>
      <c r="Q3198" s="7" t="str">
        <f>VLOOKUP(D3199,Product_Lookup!$A$2:$C$27,2,FALSE)</f>
        <v>Pen Set</v>
      </c>
      <c r="R3198" s="7">
        <f t="shared" si="394"/>
        <v>1951.05</v>
      </c>
    </row>
    <row r="3199" spans="1:18" ht="21.75" customHeight="1">
      <c r="A3199" t="s">
        <v>3350</v>
      </c>
      <c r="B3199" s="6">
        <v>45603</v>
      </c>
      <c r="C3199" t="s">
        <v>101</v>
      </c>
      <c r="D3199" t="s">
        <v>174</v>
      </c>
      <c r="E3199" t="s">
        <v>17</v>
      </c>
      <c r="F3199" t="s">
        <v>12</v>
      </c>
      <c r="G3199" t="s">
        <v>28</v>
      </c>
      <c r="H3199">
        <v>3</v>
      </c>
      <c r="I3199" t="str">
        <f>VLOOKUP(D3199,Product_Lookup!$A$2:$C$27,3,FALSE)</f>
        <v>$133.37</v>
      </c>
      <c r="J3199" t="str">
        <f t="shared" si="395"/>
        <v>Thursday</v>
      </c>
      <c r="K3199" s="10" t="str">
        <f t="shared" si="396"/>
        <v>November</v>
      </c>
      <c r="L3199">
        <f t="shared" si="397"/>
        <v>2024</v>
      </c>
      <c r="M3199" t="b">
        <f t="shared" si="398"/>
        <v>0</v>
      </c>
      <c r="N3199" t="b">
        <f t="shared" si="392"/>
        <v>0</v>
      </c>
      <c r="O3199" t="str">
        <f t="shared" si="399"/>
        <v>Standard order</v>
      </c>
      <c r="P3199" s="7">
        <f t="shared" si="393"/>
        <v>6.6685000000000008</v>
      </c>
      <c r="Q3199" s="7" t="str">
        <f>VLOOKUP(D3200,Product_Lookup!$A$2:$C$27,2,FALSE)</f>
        <v>Socks</v>
      </c>
      <c r="R3199" s="7">
        <f t="shared" si="394"/>
        <v>400.11</v>
      </c>
    </row>
    <row r="3200" spans="1:18" ht="21.75" customHeight="1">
      <c r="A3200" t="s">
        <v>3351</v>
      </c>
      <c r="B3200" s="6">
        <v>45359</v>
      </c>
      <c r="C3200" t="s">
        <v>363</v>
      </c>
      <c r="D3200" t="s">
        <v>74</v>
      </c>
      <c r="E3200" t="s">
        <v>11</v>
      </c>
      <c r="F3200" t="s">
        <v>56</v>
      </c>
      <c r="G3200" t="s">
        <v>28</v>
      </c>
      <c r="H3200">
        <v>8</v>
      </c>
      <c r="I3200" t="str">
        <f>VLOOKUP(D3200,Product_Lookup!$A$2:$C$27,3,FALSE)</f>
        <v>$201.32</v>
      </c>
      <c r="J3200" t="str">
        <f t="shared" si="395"/>
        <v>Friday</v>
      </c>
      <c r="K3200" s="10" t="str">
        <f t="shared" si="396"/>
        <v>March</v>
      </c>
      <c r="L3200">
        <f t="shared" si="397"/>
        <v>2024</v>
      </c>
      <c r="M3200" t="b">
        <f t="shared" si="398"/>
        <v>0</v>
      </c>
      <c r="N3200" t="b">
        <f t="shared" si="392"/>
        <v>1</v>
      </c>
      <c r="O3200" t="str">
        <f t="shared" si="399"/>
        <v>Large Order</v>
      </c>
      <c r="P3200" s="7">
        <f t="shared" si="393"/>
        <v>10.066000000000001</v>
      </c>
      <c r="Q3200" s="7" t="str">
        <f>VLOOKUP(D3201,Product_Lookup!$A$2:$C$27,2,FALSE)</f>
        <v>Air Fryer</v>
      </c>
      <c r="R3200" s="7">
        <f t="shared" si="394"/>
        <v>1610.56</v>
      </c>
    </row>
    <row r="3201" spans="1:18" ht="21.75" customHeight="1">
      <c r="A3201" t="s">
        <v>3352</v>
      </c>
      <c r="B3201" s="6">
        <v>45589</v>
      </c>
      <c r="C3201" t="s">
        <v>517</v>
      </c>
      <c r="D3201" t="s">
        <v>70</v>
      </c>
      <c r="E3201" t="s">
        <v>11</v>
      </c>
      <c r="F3201" t="s">
        <v>306</v>
      </c>
      <c r="G3201" t="s">
        <v>13</v>
      </c>
      <c r="H3201">
        <v>11</v>
      </c>
      <c r="I3201" t="str">
        <f>VLOOKUP(D3201,Product_Lookup!$A$2:$C$27,3,FALSE)</f>
        <v>$211.9</v>
      </c>
      <c r="J3201" t="str">
        <f t="shared" si="395"/>
        <v>Thursday</v>
      </c>
      <c r="K3201" s="10" t="str">
        <f t="shared" si="396"/>
        <v>October</v>
      </c>
      <c r="L3201">
        <f t="shared" si="397"/>
        <v>2024</v>
      </c>
      <c r="M3201" t="b">
        <f t="shared" si="398"/>
        <v>0</v>
      </c>
      <c r="N3201" t="b">
        <f t="shared" si="392"/>
        <v>1</v>
      </c>
      <c r="O3201" t="str">
        <f t="shared" si="399"/>
        <v>Large Order</v>
      </c>
      <c r="P3201" s="7">
        <f t="shared" si="393"/>
        <v>10.595000000000001</v>
      </c>
      <c r="Q3201" s="7" t="str">
        <f>VLOOKUP(D3202,Product_Lookup!$A$2:$C$27,2,FALSE)</f>
        <v>Stapler</v>
      </c>
      <c r="R3201" s="7">
        <f t="shared" si="394"/>
        <v>2330.9</v>
      </c>
    </row>
    <row r="3202" spans="1:18" ht="21.75" customHeight="1">
      <c r="A3202" t="s">
        <v>3353</v>
      </c>
      <c r="B3202" s="6">
        <v>45329</v>
      </c>
      <c r="C3202" t="s">
        <v>104</v>
      </c>
      <c r="D3202" t="s">
        <v>35</v>
      </c>
      <c r="E3202" t="s">
        <v>11</v>
      </c>
      <c r="F3202" t="s">
        <v>27</v>
      </c>
      <c r="G3202" t="s">
        <v>13</v>
      </c>
      <c r="H3202">
        <v>16</v>
      </c>
      <c r="I3202" t="str">
        <f>VLOOKUP(D3202,Product_Lookup!$A$2:$C$27,3,FALSE)</f>
        <v>$64.61</v>
      </c>
      <c r="J3202" t="str">
        <f t="shared" si="395"/>
        <v>Wednesday</v>
      </c>
      <c r="K3202" s="10" t="str">
        <f t="shared" si="396"/>
        <v>February</v>
      </c>
      <c r="L3202">
        <f t="shared" si="397"/>
        <v>2024</v>
      </c>
      <c r="M3202" t="b">
        <f t="shared" si="398"/>
        <v>0</v>
      </c>
      <c r="N3202" t="b">
        <f t="shared" ref="N3202:N3265" si="400">AND(R3202&gt;750, H3202&gt;5)</f>
        <v>1</v>
      </c>
      <c r="O3202" t="str">
        <f t="shared" si="399"/>
        <v>Large Order</v>
      </c>
      <c r="P3202" s="7">
        <f t="shared" ref="P3202:P3265" si="401">I3202*$S$2</f>
        <v>3.2305000000000001</v>
      </c>
      <c r="Q3202" s="7" t="str">
        <f>VLOOKUP(D3203,Product_Lookup!$A$2:$C$27,2,FALSE)</f>
        <v>Jeans</v>
      </c>
      <c r="R3202" s="7">
        <f t="shared" ref="R3202:R3265" si="402">H3202*I3202</f>
        <v>1033.76</v>
      </c>
    </row>
    <row r="3203" spans="1:18" ht="21.75" customHeight="1">
      <c r="A3203" t="s">
        <v>3354</v>
      </c>
      <c r="B3203" s="6">
        <v>45569</v>
      </c>
      <c r="C3203" t="s">
        <v>449</v>
      </c>
      <c r="D3203" t="s">
        <v>65</v>
      </c>
      <c r="E3203" t="s">
        <v>22</v>
      </c>
      <c r="F3203" t="s">
        <v>27</v>
      </c>
      <c r="G3203" t="s">
        <v>32</v>
      </c>
      <c r="H3203">
        <v>19</v>
      </c>
      <c r="I3203" t="str">
        <f>VLOOKUP(D3203,Product_Lookup!$A$2:$C$27,3,FALSE)</f>
        <v>$33.22</v>
      </c>
      <c r="J3203" t="str">
        <f t="shared" ref="J3203:J3266" si="403">TEXT(B3203, "dddd")</f>
        <v>Friday</v>
      </c>
      <c r="K3203" s="10" t="str">
        <f t="shared" ref="K3203:K3266" si="404">TEXT(B3203, "mmmm")</f>
        <v>October</v>
      </c>
      <c r="L3203">
        <f t="shared" ref="L3203:L3266" si="405">YEAR(B3203)</f>
        <v>2024</v>
      </c>
      <c r="M3203" t="b">
        <f t="shared" ref="M3203:M3266" si="406">OR(J3203="Saturday", J3203="Sunday")</f>
        <v>0</v>
      </c>
      <c r="N3203" t="b">
        <f t="shared" si="400"/>
        <v>0</v>
      </c>
      <c r="O3203" t="str">
        <f t="shared" ref="O3203:O3266" si="407">IF(R3203&gt;500,"Large Order","Standard order")</f>
        <v>Large Order</v>
      </c>
      <c r="P3203" s="7">
        <f t="shared" si="401"/>
        <v>1.661</v>
      </c>
      <c r="Q3203" s="7" t="str">
        <f>VLOOKUP(D3204,Product_Lookup!$A$2:$C$27,2,FALSE)</f>
        <v>Lego Set</v>
      </c>
      <c r="R3203" s="7">
        <f t="shared" si="402"/>
        <v>631.17999999999995</v>
      </c>
    </row>
    <row r="3204" spans="1:18" ht="21.75" customHeight="1">
      <c r="A3204" t="s">
        <v>3355</v>
      </c>
      <c r="B3204" s="6">
        <v>45512</v>
      </c>
      <c r="C3204" t="s">
        <v>40</v>
      </c>
      <c r="D3204" t="s">
        <v>84</v>
      </c>
      <c r="E3204" t="s">
        <v>17</v>
      </c>
      <c r="F3204" t="s">
        <v>56</v>
      </c>
      <c r="G3204" t="s">
        <v>36</v>
      </c>
      <c r="H3204">
        <v>20</v>
      </c>
      <c r="I3204" t="str">
        <f>VLOOKUP(D3204,Product_Lookup!$A$2:$C$27,3,FALSE)</f>
        <v>$130.07</v>
      </c>
      <c r="J3204" t="str">
        <f t="shared" si="403"/>
        <v>Thursday</v>
      </c>
      <c r="K3204" s="10" t="str">
        <f t="shared" si="404"/>
        <v>August</v>
      </c>
      <c r="L3204">
        <f t="shared" si="405"/>
        <v>2024</v>
      </c>
      <c r="M3204" t="b">
        <f t="shared" si="406"/>
        <v>0</v>
      </c>
      <c r="N3204" t="b">
        <f t="shared" si="400"/>
        <v>1</v>
      </c>
      <c r="O3204" t="str">
        <f t="shared" si="407"/>
        <v>Large Order</v>
      </c>
      <c r="P3204" s="7">
        <f t="shared" si="401"/>
        <v>6.5034999999999998</v>
      </c>
      <c r="Q3204" s="7" t="str">
        <f>VLOOKUP(D3205,Product_Lookup!$A$2:$C$27,2,FALSE)</f>
        <v>Doll</v>
      </c>
      <c r="R3204" s="7">
        <f t="shared" si="402"/>
        <v>2601.3999999999996</v>
      </c>
    </row>
    <row r="3205" spans="1:18" ht="21.75" customHeight="1">
      <c r="A3205" t="s">
        <v>3356</v>
      </c>
      <c r="B3205" s="6">
        <v>45292</v>
      </c>
      <c r="C3205" t="s">
        <v>230</v>
      </c>
      <c r="D3205" t="s">
        <v>119</v>
      </c>
      <c r="E3205" t="s">
        <v>17</v>
      </c>
      <c r="F3205" t="s">
        <v>306</v>
      </c>
      <c r="G3205" t="s">
        <v>32</v>
      </c>
      <c r="H3205">
        <v>16</v>
      </c>
      <c r="I3205" t="str">
        <f>VLOOKUP(D3205,Product_Lookup!$A$2:$C$27,3,FALSE)</f>
        <v>$32.94</v>
      </c>
      <c r="J3205" t="str">
        <f t="shared" si="403"/>
        <v>Monday</v>
      </c>
      <c r="K3205" s="10" t="str">
        <f t="shared" si="404"/>
        <v>January</v>
      </c>
      <c r="L3205">
        <f t="shared" si="405"/>
        <v>2024</v>
      </c>
      <c r="M3205" t="b">
        <f t="shared" si="406"/>
        <v>0</v>
      </c>
      <c r="N3205" t="b">
        <f t="shared" si="400"/>
        <v>0</v>
      </c>
      <c r="O3205" t="str">
        <f t="shared" si="407"/>
        <v>Large Order</v>
      </c>
      <c r="P3205" s="7">
        <f t="shared" si="401"/>
        <v>1.647</v>
      </c>
      <c r="Q3205" s="7" t="str">
        <f>VLOOKUP(D3206,Product_Lookup!$A$2:$C$27,2,FALSE)</f>
        <v>Stapler</v>
      </c>
      <c r="R3205" s="7">
        <f t="shared" si="402"/>
        <v>527.04</v>
      </c>
    </row>
    <row r="3206" spans="1:18" ht="21.75" customHeight="1">
      <c r="A3206" t="s">
        <v>3357</v>
      </c>
      <c r="B3206" s="6">
        <v>45460</v>
      </c>
      <c r="C3206" t="s">
        <v>358</v>
      </c>
      <c r="D3206" t="s">
        <v>35</v>
      </c>
      <c r="E3206" t="s">
        <v>22</v>
      </c>
      <c r="F3206" t="s">
        <v>42</v>
      </c>
      <c r="G3206" t="s">
        <v>32</v>
      </c>
      <c r="H3206">
        <v>9</v>
      </c>
      <c r="I3206" t="str">
        <f>VLOOKUP(D3206,Product_Lookup!$A$2:$C$27,3,FALSE)</f>
        <v>$64.61</v>
      </c>
      <c r="J3206" t="str">
        <f t="shared" si="403"/>
        <v>Monday</v>
      </c>
      <c r="K3206" s="10" t="str">
        <f t="shared" si="404"/>
        <v>June</v>
      </c>
      <c r="L3206">
        <f t="shared" si="405"/>
        <v>2024</v>
      </c>
      <c r="M3206" t="b">
        <f t="shared" si="406"/>
        <v>0</v>
      </c>
      <c r="N3206" t="b">
        <f t="shared" si="400"/>
        <v>0</v>
      </c>
      <c r="O3206" t="str">
        <f t="shared" si="407"/>
        <v>Large Order</v>
      </c>
      <c r="P3206" s="7">
        <f t="shared" si="401"/>
        <v>3.2305000000000001</v>
      </c>
      <c r="Q3206" s="7" t="str">
        <f>VLOOKUP(D3207,Product_Lookup!$A$2:$C$27,2,FALSE)</f>
        <v>Sweater</v>
      </c>
      <c r="R3206" s="7">
        <f t="shared" si="402"/>
        <v>581.49</v>
      </c>
    </row>
    <row r="3207" spans="1:18" ht="21.75" customHeight="1">
      <c r="A3207" t="s">
        <v>3358</v>
      </c>
      <c r="B3207" s="6">
        <v>45419</v>
      </c>
      <c r="C3207" t="s">
        <v>47</v>
      </c>
      <c r="D3207" t="s">
        <v>26</v>
      </c>
      <c r="E3207" t="s">
        <v>22</v>
      </c>
      <c r="F3207" t="s">
        <v>306</v>
      </c>
      <c r="G3207" t="s">
        <v>36</v>
      </c>
      <c r="H3207">
        <v>10</v>
      </c>
      <c r="I3207" t="str">
        <f>VLOOKUP(D3207,Product_Lookup!$A$2:$C$27,3,FALSE)</f>
        <v>$84.57</v>
      </c>
      <c r="J3207" t="str">
        <f t="shared" si="403"/>
        <v>Tuesday</v>
      </c>
      <c r="K3207" s="10" t="str">
        <f t="shared" si="404"/>
        <v>May</v>
      </c>
      <c r="L3207">
        <f t="shared" si="405"/>
        <v>2024</v>
      </c>
      <c r="M3207" t="b">
        <f t="shared" si="406"/>
        <v>0</v>
      </c>
      <c r="N3207" t="b">
        <f t="shared" si="400"/>
        <v>1</v>
      </c>
      <c r="O3207" t="str">
        <f t="shared" si="407"/>
        <v>Large Order</v>
      </c>
      <c r="P3207" s="7">
        <f t="shared" si="401"/>
        <v>4.2284999999999995</v>
      </c>
      <c r="Q3207" s="7" t="str">
        <f>VLOOKUP(D3208,Product_Lookup!$A$2:$C$27,2,FALSE)</f>
        <v>T-Shirt</v>
      </c>
      <c r="R3207" s="7">
        <f t="shared" si="402"/>
        <v>845.69999999999993</v>
      </c>
    </row>
    <row r="3208" spans="1:18" ht="21.75" customHeight="1">
      <c r="A3208" t="s">
        <v>3359</v>
      </c>
      <c r="B3208" s="6">
        <v>45349</v>
      </c>
      <c r="C3208" t="s">
        <v>664</v>
      </c>
      <c r="D3208" t="s">
        <v>45</v>
      </c>
      <c r="E3208" t="s">
        <v>17</v>
      </c>
      <c r="F3208" t="s">
        <v>12</v>
      </c>
      <c r="G3208" t="s">
        <v>32</v>
      </c>
      <c r="H3208">
        <v>17</v>
      </c>
      <c r="I3208" t="str">
        <f>VLOOKUP(D3208,Product_Lookup!$A$2:$C$27,3,FALSE)</f>
        <v>$107.34</v>
      </c>
      <c r="J3208" t="str">
        <f t="shared" si="403"/>
        <v>Tuesday</v>
      </c>
      <c r="K3208" s="10" t="str">
        <f t="shared" si="404"/>
        <v>February</v>
      </c>
      <c r="L3208">
        <f t="shared" si="405"/>
        <v>2024</v>
      </c>
      <c r="M3208" t="b">
        <f t="shared" si="406"/>
        <v>0</v>
      </c>
      <c r="N3208" t="b">
        <f t="shared" si="400"/>
        <v>1</v>
      </c>
      <c r="O3208" t="str">
        <f t="shared" si="407"/>
        <v>Large Order</v>
      </c>
      <c r="P3208" s="7">
        <f t="shared" si="401"/>
        <v>5.3670000000000009</v>
      </c>
      <c r="Q3208" s="7" t="str">
        <f>VLOOKUP(D3209,Product_Lookup!$A$2:$C$27,2,FALSE)</f>
        <v>Tablet</v>
      </c>
      <c r="R3208" s="7">
        <f t="shared" si="402"/>
        <v>1824.78</v>
      </c>
    </row>
    <row r="3209" spans="1:18" ht="21.75" customHeight="1">
      <c r="A3209" t="s">
        <v>3360</v>
      </c>
      <c r="B3209" s="6">
        <v>45375</v>
      </c>
      <c r="C3209" t="s">
        <v>235</v>
      </c>
      <c r="D3209" t="s">
        <v>10</v>
      </c>
      <c r="E3209" t="s">
        <v>17</v>
      </c>
      <c r="F3209" t="s">
        <v>42</v>
      </c>
      <c r="G3209" t="s">
        <v>13</v>
      </c>
      <c r="H3209">
        <v>15</v>
      </c>
      <c r="I3209" t="str">
        <f>VLOOKUP(D3209,Product_Lookup!$A$2:$C$27,3,FALSE)</f>
        <v>$146.06</v>
      </c>
      <c r="J3209" t="str">
        <f t="shared" si="403"/>
        <v>Sunday</v>
      </c>
      <c r="K3209" s="10" t="str">
        <f t="shared" si="404"/>
        <v>March</v>
      </c>
      <c r="L3209">
        <f t="shared" si="405"/>
        <v>2024</v>
      </c>
      <c r="M3209" t="b">
        <f t="shared" si="406"/>
        <v>1</v>
      </c>
      <c r="N3209" t="b">
        <f t="shared" si="400"/>
        <v>1</v>
      </c>
      <c r="O3209" t="str">
        <f t="shared" si="407"/>
        <v>Large Order</v>
      </c>
      <c r="P3209" s="7">
        <f t="shared" si="401"/>
        <v>7.3030000000000008</v>
      </c>
      <c r="Q3209" s="7" t="str">
        <f>VLOOKUP(D3210,Product_Lookup!$A$2:$C$27,2,FALSE)</f>
        <v>T-Shirt</v>
      </c>
      <c r="R3209" s="7">
        <f t="shared" si="402"/>
        <v>2190.9</v>
      </c>
    </row>
    <row r="3210" spans="1:18" ht="21.75" customHeight="1">
      <c r="A3210" t="s">
        <v>3361</v>
      </c>
      <c r="B3210" s="6">
        <v>45643</v>
      </c>
      <c r="C3210" t="s">
        <v>312</v>
      </c>
      <c r="D3210" t="s">
        <v>45</v>
      </c>
      <c r="E3210" t="s">
        <v>11</v>
      </c>
      <c r="F3210" t="s">
        <v>12</v>
      </c>
      <c r="G3210" t="s">
        <v>28</v>
      </c>
      <c r="H3210">
        <v>7</v>
      </c>
      <c r="I3210" t="str">
        <f>VLOOKUP(D3210,Product_Lookup!$A$2:$C$27,3,FALSE)</f>
        <v>$107.34</v>
      </c>
      <c r="J3210" t="str">
        <f t="shared" si="403"/>
        <v>Tuesday</v>
      </c>
      <c r="K3210" s="10" t="str">
        <f t="shared" si="404"/>
        <v>December</v>
      </c>
      <c r="L3210">
        <f t="shared" si="405"/>
        <v>2024</v>
      </c>
      <c r="M3210" t="b">
        <f t="shared" si="406"/>
        <v>0</v>
      </c>
      <c r="N3210" t="b">
        <f t="shared" si="400"/>
        <v>1</v>
      </c>
      <c r="O3210" t="str">
        <f t="shared" si="407"/>
        <v>Large Order</v>
      </c>
      <c r="P3210" s="7">
        <f t="shared" si="401"/>
        <v>5.3670000000000009</v>
      </c>
      <c r="Q3210" s="7" t="str">
        <f>VLOOKUP(D3211,Product_Lookup!$A$2:$C$27,2,FALSE)</f>
        <v>Doll</v>
      </c>
      <c r="R3210" s="7">
        <f t="shared" si="402"/>
        <v>751.38</v>
      </c>
    </row>
    <row r="3211" spans="1:18" ht="21.75" customHeight="1">
      <c r="A3211" t="s">
        <v>3362</v>
      </c>
      <c r="B3211" s="6">
        <v>45448</v>
      </c>
      <c r="C3211" t="s">
        <v>38</v>
      </c>
      <c r="D3211" t="s">
        <v>119</v>
      </c>
      <c r="E3211" t="s">
        <v>22</v>
      </c>
      <c r="F3211" t="s">
        <v>27</v>
      </c>
      <c r="G3211" t="s">
        <v>13</v>
      </c>
      <c r="H3211">
        <v>10</v>
      </c>
      <c r="I3211" t="str">
        <f>VLOOKUP(D3211,Product_Lookup!$A$2:$C$27,3,FALSE)</f>
        <v>$32.94</v>
      </c>
      <c r="J3211" t="str">
        <f t="shared" si="403"/>
        <v>Wednesday</v>
      </c>
      <c r="K3211" s="10" t="str">
        <f t="shared" si="404"/>
        <v>June</v>
      </c>
      <c r="L3211">
        <f t="shared" si="405"/>
        <v>2024</v>
      </c>
      <c r="M3211" t="b">
        <f t="shared" si="406"/>
        <v>0</v>
      </c>
      <c r="N3211" t="b">
        <f t="shared" si="400"/>
        <v>0</v>
      </c>
      <c r="O3211" t="str">
        <f t="shared" si="407"/>
        <v>Standard order</v>
      </c>
      <c r="P3211" s="7">
        <f t="shared" si="401"/>
        <v>1.647</v>
      </c>
      <c r="Q3211" s="7" t="str">
        <f>VLOOKUP(D3212,Product_Lookup!$A$2:$C$27,2,FALSE)</f>
        <v>Board Game</v>
      </c>
      <c r="R3211" s="7">
        <f t="shared" si="402"/>
        <v>329.4</v>
      </c>
    </row>
    <row r="3212" spans="1:18" ht="21.75" customHeight="1">
      <c r="A3212" t="s">
        <v>3363</v>
      </c>
      <c r="B3212" s="6">
        <v>45399</v>
      </c>
      <c r="C3212" t="s">
        <v>314</v>
      </c>
      <c r="D3212" t="s">
        <v>41</v>
      </c>
      <c r="E3212" t="s">
        <v>11</v>
      </c>
      <c r="F3212" t="s">
        <v>42</v>
      </c>
      <c r="G3212" t="s">
        <v>28</v>
      </c>
      <c r="H3212">
        <v>7</v>
      </c>
      <c r="I3212" t="str">
        <f>VLOOKUP(D3212,Product_Lookup!$A$2:$C$27,3,FALSE)</f>
        <v>$86.6</v>
      </c>
      <c r="J3212" t="str">
        <f t="shared" si="403"/>
        <v>Wednesday</v>
      </c>
      <c r="K3212" s="10" t="str">
        <f t="shared" si="404"/>
        <v>April</v>
      </c>
      <c r="L3212">
        <f t="shared" si="405"/>
        <v>2024</v>
      </c>
      <c r="M3212" t="b">
        <f t="shared" si="406"/>
        <v>0</v>
      </c>
      <c r="N3212" t="b">
        <f t="shared" si="400"/>
        <v>0</v>
      </c>
      <c r="O3212" t="str">
        <f t="shared" si="407"/>
        <v>Large Order</v>
      </c>
      <c r="P3212" s="7">
        <f t="shared" si="401"/>
        <v>4.33</v>
      </c>
      <c r="Q3212" s="7" t="str">
        <f>VLOOKUP(D3213,Product_Lookup!$A$2:$C$27,2,FALSE)</f>
        <v>Paper Shredder</v>
      </c>
      <c r="R3212" s="7">
        <f t="shared" si="402"/>
        <v>606.19999999999993</v>
      </c>
    </row>
    <row r="3213" spans="1:18" ht="21.75" customHeight="1">
      <c r="A3213" t="s">
        <v>3364</v>
      </c>
      <c r="B3213" s="6">
        <v>45379</v>
      </c>
      <c r="C3213" t="s">
        <v>111</v>
      </c>
      <c r="D3213" t="s">
        <v>109</v>
      </c>
      <c r="E3213" t="s">
        <v>22</v>
      </c>
      <c r="F3213" t="s">
        <v>56</v>
      </c>
      <c r="G3213" t="s">
        <v>32</v>
      </c>
      <c r="H3213">
        <v>17</v>
      </c>
      <c r="I3213" t="str">
        <f>VLOOKUP(D3213,Product_Lookup!$A$2:$C$27,3,FALSE)</f>
        <v>$81.02</v>
      </c>
      <c r="J3213" t="str">
        <f t="shared" si="403"/>
        <v>Thursday</v>
      </c>
      <c r="K3213" s="10" t="str">
        <f t="shared" si="404"/>
        <v>March</v>
      </c>
      <c r="L3213">
        <f t="shared" si="405"/>
        <v>2024</v>
      </c>
      <c r="M3213" t="b">
        <f t="shared" si="406"/>
        <v>0</v>
      </c>
      <c r="N3213" t="b">
        <f t="shared" si="400"/>
        <v>1</v>
      </c>
      <c r="O3213" t="str">
        <f t="shared" si="407"/>
        <v>Large Order</v>
      </c>
      <c r="P3213" s="7">
        <f t="shared" si="401"/>
        <v>4.0510000000000002</v>
      </c>
      <c r="Q3213" s="7" t="str">
        <f>VLOOKUP(D3214,Product_Lookup!$A$2:$C$27,2,FALSE)</f>
        <v>Vacuum</v>
      </c>
      <c r="R3213" s="7">
        <f t="shared" si="402"/>
        <v>1377.34</v>
      </c>
    </row>
    <row r="3214" spans="1:18" ht="21.75" customHeight="1">
      <c r="A3214" t="s">
        <v>3365</v>
      </c>
      <c r="B3214" s="6">
        <v>45626</v>
      </c>
      <c r="C3214" t="s">
        <v>327</v>
      </c>
      <c r="D3214" t="s">
        <v>87</v>
      </c>
      <c r="E3214" t="s">
        <v>22</v>
      </c>
      <c r="F3214" t="s">
        <v>42</v>
      </c>
      <c r="G3214" t="s">
        <v>28</v>
      </c>
      <c r="H3214">
        <v>9</v>
      </c>
      <c r="I3214" t="str">
        <f>VLOOKUP(D3214,Product_Lookup!$A$2:$C$27,3,FALSE)</f>
        <v>$26.59</v>
      </c>
      <c r="J3214" t="str">
        <f t="shared" si="403"/>
        <v>Saturday</v>
      </c>
      <c r="K3214" s="10" t="str">
        <f t="shared" si="404"/>
        <v>November</v>
      </c>
      <c r="L3214">
        <f t="shared" si="405"/>
        <v>2024</v>
      </c>
      <c r="M3214" t="b">
        <f t="shared" si="406"/>
        <v>1</v>
      </c>
      <c r="N3214" t="b">
        <f t="shared" si="400"/>
        <v>0</v>
      </c>
      <c r="O3214" t="str">
        <f t="shared" si="407"/>
        <v>Standard order</v>
      </c>
      <c r="P3214" s="7">
        <f t="shared" si="401"/>
        <v>1.3295000000000001</v>
      </c>
      <c r="Q3214" s="7" t="str">
        <f>VLOOKUP(D3215,Product_Lookup!$A$2:$C$27,2,FALSE)</f>
        <v>Headphones</v>
      </c>
      <c r="R3214" s="7">
        <f t="shared" si="402"/>
        <v>239.31</v>
      </c>
    </row>
    <row r="3215" spans="1:18" ht="21.75" customHeight="1">
      <c r="A3215" t="s">
        <v>3366</v>
      </c>
      <c r="B3215" s="6">
        <v>45447</v>
      </c>
      <c r="C3215" t="s">
        <v>200</v>
      </c>
      <c r="D3215" t="s">
        <v>16</v>
      </c>
      <c r="E3215" t="s">
        <v>17</v>
      </c>
      <c r="F3215" t="s">
        <v>42</v>
      </c>
      <c r="G3215" t="s">
        <v>32</v>
      </c>
      <c r="H3215">
        <v>11</v>
      </c>
      <c r="I3215" t="str">
        <f>VLOOKUP(D3215,Product_Lookup!$A$2:$C$27,3,FALSE)</f>
        <v>$178.83</v>
      </c>
      <c r="J3215" t="str">
        <f t="shared" si="403"/>
        <v>Tuesday</v>
      </c>
      <c r="K3215" s="10" t="str">
        <f t="shared" si="404"/>
        <v>June</v>
      </c>
      <c r="L3215">
        <f t="shared" si="405"/>
        <v>2024</v>
      </c>
      <c r="M3215" t="b">
        <f t="shared" si="406"/>
        <v>0</v>
      </c>
      <c r="N3215" t="b">
        <f t="shared" si="400"/>
        <v>1</v>
      </c>
      <c r="O3215" t="str">
        <f t="shared" si="407"/>
        <v>Large Order</v>
      </c>
      <c r="P3215" s="7">
        <f t="shared" si="401"/>
        <v>8.9415000000000013</v>
      </c>
      <c r="Q3215" s="7" t="str">
        <f>VLOOKUP(D3216,Product_Lookup!$A$2:$C$27,2,FALSE)</f>
        <v>Coffee Maker</v>
      </c>
      <c r="R3215" s="7">
        <f t="shared" si="402"/>
        <v>1967.13</v>
      </c>
    </row>
    <row r="3216" spans="1:18" ht="21.75" customHeight="1">
      <c r="A3216" t="s">
        <v>3367</v>
      </c>
      <c r="B3216" s="6">
        <v>45509</v>
      </c>
      <c r="C3216" t="s">
        <v>614</v>
      </c>
      <c r="D3216" t="s">
        <v>31</v>
      </c>
      <c r="E3216" t="s">
        <v>17</v>
      </c>
      <c r="F3216" t="s">
        <v>12</v>
      </c>
      <c r="G3216" t="s">
        <v>23</v>
      </c>
      <c r="H3216">
        <v>2</v>
      </c>
      <c r="I3216" t="str">
        <f>VLOOKUP(D3216,Product_Lookup!$A$2:$C$27,3,FALSE)</f>
        <v>$230.34</v>
      </c>
      <c r="J3216" t="str">
        <f t="shared" si="403"/>
        <v>Monday</v>
      </c>
      <c r="K3216" s="10" t="str">
        <f t="shared" si="404"/>
        <v>August</v>
      </c>
      <c r="L3216">
        <f t="shared" si="405"/>
        <v>2024</v>
      </c>
      <c r="M3216" t="b">
        <f t="shared" si="406"/>
        <v>0</v>
      </c>
      <c r="N3216" t="b">
        <f t="shared" si="400"/>
        <v>0</v>
      </c>
      <c r="O3216" t="str">
        <f t="shared" si="407"/>
        <v>Standard order</v>
      </c>
      <c r="P3216" s="7">
        <f t="shared" si="401"/>
        <v>11.517000000000001</v>
      </c>
      <c r="Q3216" s="7" t="str">
        <f>VLOOKUP(D3217,Product_Lookup!$A$2:$C$27,2,FALSE)</f>
        <v>Headphones</v>
      </c>
      <c r="R3216" s="7">
        <f t="shared" si="402"/>
        <v>460.68</v>
      </c>
    </row>
    <row r="3217" spans="1:18" ht="21.75" customHeight="1">
      <c r="A3217" t="s">
        <v>3368</v>
      </c>
      <c r="B3217" s="6">
        <v>45473</v>
      </c>
      <c r="C3217" t="s">
        <v>736</v>
      </c>
      <c r="D3217" t="s">
        <v>16</v>
      </c>
      <c r="E3217" t="s">
        <v>17</v>
      </c>
      <c r="F3217" t="s">
        <v>42</v>
      </c>
      <c r="G3217" t="s">
        <v>13</v>
      </c>
      <c r="H3217">
        <v>7</v>
      </c>
      <c r="I3217" t="str">
        <f>VLOOKUP(D3217,Product_Lookup!$A$2:$C$27,3,FALSE)</f>
        <v>$178.83</v>
      </c>
      <c r="J3217" t="str">
        <f t="shared" si="403"/>
        <v>Sunday</v>
      </c>
      <c r="K3217" s="10" t="str">
        <f t="shared" si="404"/>
        <v>June</v>
      </c>
      <c r="L3217">
        <f t="shared" si="405"/>
        <v>2024</v>
      </c>
      <c r="M3217" t="b">
        <f t="shared" si="406"/>
        <v>1</v>
      </c>
      <c r="N3217" t="b">
        <f t="shared" si="400"/>
        <v>1</v>
      </c>
      <c r="O3217" t="str">
        <f t="shared" si="407"/>
        <v>Large Order</v>
      </c>
      <c r="P3217" s="7">
        <f t="shared" si="401"/>
        <v>8.9415000000000013</v>
      </c>
      <c r="Q3217" s="7" t="str">
        <f>VLOOKUP(D3218,Product_Lookup!$A$2:$C$27,2,FALSE)</f>
        <v>Toaster</v>
      </c>
      <c r="R3217" s="7">
        <f t="shared" si="402"/>
        <v>1251.8100000000002</v>
      </c>
    </row>
    <row r="3218" spans="1:18" ht="21.75" customHeight="1">
      <c r="A3218" t="s">
        <v>3369</v>
      </c>
      <c r="B3218" s="6">
        <v>45423</v>
      </c>
      <c r="C3218" t="s">
        <v>61</v>
      </c>
      <c r="D3218" t="s">
        <v>48</v>
      </c>
      <c r="E3218" t="s">
        <v>11</v>
      </c>
      <c r="F3218" t="s">
        <v>42</v>
      </c>
      <c r="G3218" t="s">
        <v>23</v>
      </c>
      <c r="H3218">
        <v>13</v>
      </c>
      <c r="I3218" t="str">
        <f>VLOOKUP(D3218,Product_Lookup!$A$2:$C$27,3,FALSE)</f>
        <v>$208.85</v>
      </c>
      <c r="J3218" t="str">
        <f t="shared" si="403"/>
        <v>Saturday</v>
      </c>
      <c r="K3218" s="10" t="str">
        <f t="shared" si="404"/>
        <v>May</v>
      </c>
      <c r="L3218">
        <f t="shared" si="405"/>
        <v>2024</v>
      </c>
      <c r="M3218" t="b">
        <f t="shared" si="406"/>
        <v>1</v>
      </c>
      <c r="N3218" t="b">
        <f t="shared" si="400"/>
        <v>1</v>
      </c>
      <c r="O3218" t="str">
        <f t="shared" si="407"/>
        <v>Large Order</v>
      </c>
      <c r="P3218" s="7">
        <f t="shared" si="401"/>
        <v>10.442500000000001</v>
      </c>
      <c r="Q3218" s="7" t="str">
        <f>VLOOKUP(D3219,Product_Lookup!$A$2:$C$27,2,FALSE)</f>
        <v>Jeans</v>
      </c>
      <c r="R3218" s="7">
        <f t="shared" si="402"/>
        <v>2715.0499999999997</v>
      </c>
    </row>
    <row r="3219" spans="1:18" ht="21.75" customHeight="1">
      <c r="A3219" t="s">
        <v>3370</v>
      </c>
      <c r="B3219" s="6">
        <v>45578</v>
      </c>
      <c r="C3219" t="s">
        <v>304</v>
      </c>
      <c r="D3219" t="s">
        <v>65</v>
      </c>
      <c r="E3219" t="s">
        <v>11</v>
      </c>
      <c r="F3219" t="s">
        <v>306</v>
      </c>
      <c r="G3219" t="s">
        <v>36</v>
      </c>
      <c r="H3219">
        <v>15</v>
      </c>
      <c r="I3219" t="str">
        <f>VLOOKUP(D3219,Product_Lookup!$A$2:$C$27,3,FALSE)</f>
        <v>$33.22</v>
      </c>
      <c r="J3219" t="str">
        <f t="shared" si="403"/>
        <v>Sunday</v>
      </c>
      <c r="K3219" s="10" t="str">
        <f t="shared" si="404"/>
        <v>October</v>
      </c>
      <c r="L3219">
        <f t="shared" si="405"/>
        <v>2024</v>
      </c>
      <c r="M3219" t="b">
        <f t="shared" si="406"/>
        <v>1</v>
      </c>
      <c r="N3219" t="b">
        <f t="shared" si="400"/>
        <v>0</v>
      </c>
      <c r="O3219" t="str">
        <f t="shared" si="407"/>
        <v>Standard order</v>
      </c>
      <c r="P3219" s="7">
        <f t="shared" si="401"/>
        <v>1.661</v>
      </c>
      <c r="Q3219" s="7" t="str">
        <f>VLOOKUP(D3220,Product_Lookup!$A$2:$C$27,2,FALSE)</f>
        <v>Jacket</v>
      </c>
      <c r="R3219" s="7">
        <f t="shared" si="402"/>
        <v>498.29999999999995</v>
      </c>
    </row>
    <row r="3220" spans="1:18" ht="21.75" customHeight="1">
      <c r="A3220" t="s">
        <v>3371</v>
      </c>
      <c r="B3220" s="6">
        <v>45346</v>
      </c>
      <c r="C3220" t="s">
        <v>208</v>
      </c>
      <c r="D3220" t="s">
        <v>197</v>
      </c>
      <c r="E3220" t="s">
        <v>11</v>
      </c>
      <c r="F3220" t="s">
        <v>42</v>
      </c>
      <c r="G3220" t="s">
        <v>23</v>
      </c>
      <c r="H3220">
        <v>19</v>
      </c>
      <c r="I3220" t="str">
        <f>VLOOKUP(D3220,Product_Lookup!$A$2:$C$27,3,FALSE)</f>
        <v>$10.11</v>
      </c>
      <c r="J3220" t="str">
        <f t="shared" si="403"/>
        <v>Saturday</v>
      </c>
      <c r="K3220" s="10" t="str">
        <f t="shared" si="404"/>
        <v>February</v>
      </c>
      <c r="L3220">
        <f t="shared" si="405"/>
        <v>2024</v>
      </c>
      <c r="M3220" t="b">
        <f t="shared" si="406"/>
        <v>1</v>
      </c>
      <c r="N3220" t="b">
        <f t="shared" si="400"/>
        <v>0</v>
      </c>
      <c r="O3220" t="str">
        <f t="shared" si="407"/>
        <v>Standard order</v>
      </c>
      <c r="P3220" s="7">
        <f t="shared" si="401"/>
        <v>0.50549999999999995</v>
      </c>
      <c r="Q3220" s="7" t="str">
        <f>VLOOKUP(D3221,Product_Lookup!$A$2:$C$27,2,FALSE)</f>
        <v>Board Game</v>
      </c>
      <c r="R3220" s="7">
        <f t="shared" si="402"/>
        <v>192.08999999999997</v>
      </c>
    </row>
    <row r="3221" spans="1:18" ht="21.75" customHeight="1">
      <c r="A3221" t="s">
        <v>3372</v>
      </c>
      <c r="B3221" s="6">
        <v>45315</v>
      </c>
      <c r="C3221" t="s">
        <v>420</v>
      </c>
      <c r="D3221" t="s">
        <v>41</v>
      </c>
      <c r="E3221" t="s">
        <v>17</v>
      </c>
      <c r="F3221" t="s">
        <v>27</v>
      </c>
      <c r="G3221" t="s">
        <v>28</v>
      </c>
      <c r="H3221">
        <v>9</v>
      </c>
      <c r="I3221" t="str">
        <f>VLOOKUP(D3221,Product_Lookup!$A$2:$C$27,3,FALSE)</f>
        <v>$86.6</v>
      </c>
      <c r="J3221" t="str">
        <f t="shared" si="403"/>
        <v>Wednesday</v>
      </c>
      <c r="K3221" s="10" t="str">
        <f t="shared" si="404"/>
        <v>January</v>
      </c>
      <c r="L3221">
        <f t="shared" si="405"/>
        <v>2024</v>
      </c>
      <c r="M3221" t="b">
        <f t="shared" si="406"/>
        <v>0</v>
      </c>
      <c r="N3221" t="b">
        <f t="shared" si="400"/>
        <v>1</v>
      </c>
      <c r="O3221" t="str">
        <f t="shared" si="407"/>
        <v>Large Order</v>
      </c>
      <c r="P3221" s="7">
        <f t="shared" si="401"/>
        <v>4.33</v>
      </c>
      <c r="Q3221" s="7" t="str">
        <f>VLOOKUP(D3222,Product_Lookup!$A$2:$C$27,2,FALSE)</f>
        <v>Smartphone</v>
      </c>
      <c r="R3221" s="7">
        <f t="shared" si="402"/>
        <v>779.4</v>
      </c>
    </row>
    <row r="3222" spans="1:18" ht="21.75" customHeight="1">
      <c r="A3222" t="s">
        <v>3373</v>
      </c>
      <c r="B3222" s="6">
        <v>45592</v>
      </c>
      <c r="C3222" t="s">
        <v>159</v>
      </c>
      <c r="D3222" t="s">
        <v>79</v>
      </c>
      <c r="E3222" t="s">
        <v>11</v>
      </c>
      <c r="F3222" t="s">
        <v>12</v>
      </c>
      <c r="G3222" t="s">
        <v>32</v>
      </c>
      <c r="H3222">
        <v>9</v>
      </c>
      <c r="I3222" t="str">
        <f>VLOOKUP(D3222,Product_Lookup!$A$2:$C$27,3,FALSE)</f>
        <v>$216.22</v>
      </c>
      <c r="J3222" t="str">
        <f t="shared" si="403"/>
        <v>Sunday</v>
      </c>
      <c r="K3222" s="10" t="str">
        <f t="shared" si="404"/>
        <v>October</v>
      </c>
      <c r="L3222">
        <f t="shared" si="405"/>
        <v>2024</v>
      </c>
      <c r="M3222" t="b">
        <f t="shared" si="406"/>
        <v>1</v>
      </c>
      <c r="N3222" t="b">
        <f t="shared" si="400"/>
        <v>1</v>
      </c>
      <c r="O3222" t="str">
        <f t="shared" si="407"/>
        <v>Large Order</v>
      </c>
      <c r="P3222" s="7">
        <f t="shared" si="401"/>
        <v>10.811</v>
      </c>
      <c r="Q3222" s="7" t="str">
        <f>VLOOKUP(D3223,Product_Lookup!$A$2:$C$27,2,FALSE)</f>
        <v>Monitor</v>
      </c>
      <c r="R3222" s="7">
        <f t="shared" si="402"/>
        <v>1945.98</v>
      </c>
    </row>
    <row r="3223" spans="1:18" ht="21.75" customHeight="1">
      <c r="A3223" t="s">
        <v>3374</v>
      </c>
      <c r="B3223" s="6">
        <v>45516</v>
      </c>
      <c r="C3223" t="s">
        <v>55</v>
      </c>
      <c r="D3223" t="s">
        <v>102</v>
      </c>
      <c r="E3223" t="s">
        <v>17</v>
      </c>
      <c r="F3223" t="s">
        <v>56</v>
      </c>
      <c r="G3223" t="s">
        <v>13</v>
      </c>
      <c r="H3223">
        <v>11</v>
      </c>
      <c r="I3223" t="str">
        <f>VLOOKUP(D3223,Product_Lookup!$A$2:$C$27,3,FALSE)</f>
        <v>$145.48</v>
      </c>
      <c r="J3223" t="str">
        <f t="shared" si="403"/>
        <v>Monday</v>
      </c>
      <c r="K3223" s="10" t="str">
        <f t="shared" si="404"/>
        <v>August</v>
      </c>
      <c r="L3223">
        <f t="shared" si="405"/>
        <v>2024</v>
      </c>
      <c r="M3223" t="b">
        <f t="shared" si="406"/>
        <v>0</v>
      </c>
      <c r="N3223" t="b">
        <f t="shared" si="400"/>
        <v>1</v>
      </c>
      <c r="O3223" t="str">
        <f t="shared" si="407"/>
        <v>Large Order</v>
      </c>
      <c r="P3223" s="7">
        <f t="shared" si="401"/>
        <v>7.274</v>
      </c>
      <c r="Q3223" s="7" t="str">
        <f>VLOOKUP(D3224,Product_Lookup!$A$2:$C$27,2,FALSE)</f>
        <v>Headphones</v>
      </c>
      <c r="R3223" s="7">
        <f t="shared" si="402"/>
        <v>1600.28</v>
      </c>
    </row>
    <row r="3224" spans="1:18" ht="21.75" customHeight="1">
      <c r="A3224" t="s">
        <v>3375</v>
      </c>
      <c r="B3224" s="6">
        <v>45503</v>
      </c>
      <c r="C3224" t="s">
        <v>125</v>
      </c>
      <c r="D3224" t="s">
        <v>16</v>
      </c>
      <c r="E3224" t="s">
        <v>22</v>
      </c>
      <c r="F3224" t="s">
        <v>42</v>
      </c>
      <c r="G3224" t="s">
        <v>36</v>
      </c>
      <c r="H3224">
        <v>7</v>
      </c>
      <c r="I3224" t="str">
        <f>VLOOKUP(D3224,Product_Lookup!$A$2:$C$27,3,FALSE)</f>
        <v>$178.83</v>
      </c>
      <c r="J3224" t="str">
        <f t="shared" si="403"/>
        <v>Tuesday</v>
      </c>
      <c r="K3224" s="10" t="str">
        <f t="shared" si="404"/>
        <v>July</v>
      </c>
      <c r="L3224">
        <f t="shared" si="405"/>
        <v>2024</v>
      </c>
      <c r="M3224" t="b">
        <f t="shared" si="406"/>
        <v>0</v>
      </c>
      <c r="N3224" t="b">
        <f t="shared" si="400"/>
        <v>1</v>
      </c>
      <c r="O3224" t="str">
        <f t="shared" si="407"/>
        <v>Large Order</v>
      </c>
      <c r="P3224" s="7">
        <f t="shared" si="401"/>
        <v>8.9415000000000013</v>
      </c>
      <c r="Q3224" s="7" t="str">
        <f>VLOOKUP(D3225,Product_Lookup!$A$2:$C$27,2,FALSE)</f>
        <v>Blender</v>
      </c>
      <c r="R3224" s="7">
        <f t="shared" si="402"/>
        <v>1251.8100000000002</v>
      </c>
    </row>
    <row r="3225" spans="1:18" ht="21.75" customHeight="1">
      <c r="A3225" t="s">
        <v>3376</v>
      </c>
      <c r="B3225" s="6">
        <v>45516</v>
      </c>
      <c r="C3225" t="s">
        <v>78</v>
      </c>
      <c r="D3225" t="s">
        <v>72</v>
      </c>
      <c r="E3225" t="s">
        <v>22</v>
      </c>
      <c r="F3225" t="s">
        <v>306</v>
      </c>
      <c r="G3225" t="s">
        <v>32</v>
      </c>
      <c r="H3225">
        <v>18</v>
      </c>
      <c r="I3225" t="str">
        <f>VLOOKUP(D3225,Product_Lookup!$A$2:$C$27,3,FALSE)</f>
        <v>$156.44</v>
      </c>
      <c r="J3225" t="str">
        <f t="shared" si="403"/>
        <v>Monday</v>
      </c>
      <c r="K3225" s="10" t="str">
        <f t="shared" si="404"/>
        <v>August</v>
      </c>
      <c r="L3225">
        <f t="shared" si="405"/>
        <v>2024</v>
      </c>
      <c r="M3225" t="b">
        <f t="shared" si="406"/>
        <v>0</v>
      </c>
      <c r="N3225" t="b">
        <f t="shared" si="400"/>
        <v>1</v>
      </c>
      <c r="O3225" t="str">
        <f t="shared" si="407"/>
        <v>Large Order</v>
      </c>
      <c r="P3225" s="7">
        <f t="shared" si="401"/>
        <v>7.8220000000000001</v>
      </c>
      <c r="Q3225" s="7" t="str">
        <f>VLOOKUP(D3226,Product_Lookup!$A$2:$C$27,2,FALSE)</f>
        <v>Laptop</v>
      </c>
      <c r="R3225" s="7">
        <f t="shared" si="402"/>
        <v>2815.92</v>
      </c>
    </row>
    <row r="3226" spans="1:18" ht="21.75" customHeight="1">
      <c r="A3226" t="s">
        <v>3377</v>
      </c>
      <c r="B3226" s="6">
        <v>45441</v>
      </c>
      <c r="C3226" t="s">
        <v>465</v>
      </c>
      <c r="D3226" t="s">
        <v>96</v>
      </c>
      <c r="E3226" t="s">
        <v>11</v>
      </c>
      <c r="F3226" t="s">
        <v>12</v>
      </c>
      <c r="G3226" t="s">
        <v>32</v>
      </c>
      <c r="H3226">
        <v>12</v>
      </c>
      <c r="I3226" t="str">
        <f>VLOOKUP(D3226,Product_Lookup!$A$2:$C$27,3,FALSE)</f>
        <v>$230.68</v>
      </c>
      <c r="J3226" t="str">
        <f t="shared" si="403"/>
        <v>Wednesday</v>
      </c>
      <c r="K3226" s="10" t="str">
        <f t="shared" si="404"/>
        <v>May</v>
      </c>
      <c r="L3226">
        <f t="shared" si="405"/>
        <v>2024</v>
      </c>
      <c r="M3226" t="b">
        <f t="shared" si="406"/>
        <v>0</v>
      </c>
      <c r="N3226" t="b">
        <f t="shared" si="400"/>
        <v>1</v>
      </c>
      <c r="O3226" t="str">
        <f t="shared" si="407"/>
        <v>Large Order</v>
      </c>
      <c r="P3226" s="7">
        <f t="shared" si="401"/>
        <v>11.534000000000001</v>
      </c>
      <c r="Q3226" s="7" t="str">
        <f>VLOOKUP(D3227,Product_Lookup!$A$2:$C$27,2,FALSE)</f>
        <v>Jeans</v>
      </c>
      <c r="R3226" s="7">
        <f t="shared" si="402"/>
        <v>2768.16</v>
      </c>
    </row>
    <row r="3227" spans="1:18" ht="21.75" customHeight="1">
      <c r="A3227" t="s">
        <v>3378</v>
      </c>
      <c r="B3227" s="6">
        <v>45520</v>
      </c>
      <c r="C3227" t="s">
        <v>323</v>
      </c>
      <c r="D3227" t="s">
        <v>65</v>
      </c>
      <c r="E3227" t="s">
        <v>11</v>
      </c>
      <c r="F3227" t="s">
        <v>42</v>
      </c>
      <c r="G3227" t="s">
        <v>23</v>
      </c>
      <c r="H3227">
        <v>8</v>
      </c>
      <c r="I3227" t="str">
        <f>VLOOKUP(D3227,Product_Lookup!$A$2:$C$27,3,FALSE)</f>
        <v>$33.22</v>
      </c>
      <c r="J3227" t="str">
        <f t="shared" si="403"/>
        <v>Friday</v>
      </c>
      <c r="K3227" s="10" t="str">
        <f t="shared" si="404"/>
        <v>August</v>
      </c>
      <c r="L3227">
        <f t="shared" si="405"/>
        <v>2024</v>
      </c>
      <c r="M3227" t="b">
        <f t="shared" si="406"/>
        <v>0</v>
      </c>
      <c r="N3227" t="b">
        <f t="shared" si="400"/>
        <v>0</v>
      </c>
      <c r="O3227" t="str">
        <f t="shared" si="407"/>
        <v>Standard order</v>
      </c>
      <c r="P3227" s="7">
        <f t="shared" si="401"/>
        <v>1.661</v>
      </c>
      <c r="Q3227" s="7" t="str">
        <f>VLOOKUP(D3228,Product_Lookup!$A$2:$C$27,2,FALSE)</f>
        <v>Board Game</v>
      </c>
      <c r="R3227" s="7">
        <f t="shared" si="402"/>
        <v>265.76</v>
      </c>
    </row>
    <row r="3228" spans="1:18" ht="21.75" customHeight="1">
      <c r="A3228" t="s">
        <v>3379</v>
      </c>
      <c r="B3228" s="6">
        <v>45462</v>
      </c>
      <c r="C3228" t="s">
        <v>104</v>
      </c>
      <c r="D3228" t="s">
        <v>41</v>
      </c>
      <c r="E3228" t="s">
        <v>22</v>
      </c>
      <c r="F3228" t="s">
        <v>42</v>
      </c>
      <c r="G3228" t="s">
        <v>32</v>
      </c>
      <c r="H3228">
        <v>20</v>
      </c>
      <c r="I3228" t="str">
        <f>VLOOKUP(D3228,Product_Lookup!$A$2:$C$27,3,FALSE)</f>
        <v>$86.6</v>
      </c>
      <c r="J3228" t="str">
        <f t="shared" si="403"/>
        <v>Wednesday</v>
      </c>
      <c r="K3228" s="10" t="str">
        <f t="shared" si="404"/>
        <v>June</v>
      </c>
      <c r="L3228">
        <f t="shared" si="405"/>
        <v>2024</v>
      </c>
      <c r="M3228" t="b">
        <f t="shared" si="406"/>
        <v>0</v>
      </c>
      <c r="N3228" t="b">
        <f t="shared" si="400"/>
        <v>1</v>
      </c>
      <c r="O3228" t="str">
        <f t="shared" si="407"/>
        <v>Large Order</v>
      </c>
      <c r="P3228" s="7">
        <f t="shared" si="401"/>
        <v>4.33</v>
      </c>
      <c r="Q3228" s="7" t="str">
        <f>VLOOKUP(D3229,Product_Lookup!$A$2:$C$27,2,FALSE)</f>
        <v>Monitor</v>
      </c>
      <c r="R3228" s="7">
        <f t="shared" si="402"/>
        <v>1732</v>
      </c>
    </row>
    <row r="3229" spans="1:18" ht="21.75" customHeight="1">
      <c r="A3229" t="s">
        <v>3380</v>
      </c>
      <c r="B3229" s="6">
        <v>45303</v>
      </c>
      <c r="C3229" t="s">
        <v>99</v>
      </c>
      <c r="D3229" t="s">
        <v>102</v>
      </c>
      <c r="E3229" t="s">
        <v>22</v>
      </c>
      <c r="F3229" t="s">
        <v>27</v>
      </c>
      <c r="G3229" t="s">
        <v>23</v>
      </c>
      <c r="H3229">
        <v>13</v>
      </c>
      <c r="I3229" t="str">
        <f>VLOOKUP(D3229,Product_Lookup!$A$2:$C$27,3,FALSE)</f>
        <v>$145.48</v>
      </c>
      <c r="J3229" t="str">
        <f t="shared" si="403"/>
        <v>Friday</v>
      </c>
      <c r="K3229" s="10" t="str">
        <f t="shared" si="404"/>
        <v>January</v>
      </c>
      <c r="L3229">
        <f t="shared" si="405"/>
        <v>2024</v>
      </c>
      <c r="M3229" t="b">
        <f t="shared" si="406"/>
        <v>0</v>
      </c>
      <c r="N3229" t="b">
        <f t="shared" si="400"/>
        <v>1</v>
      </c>
      <c r="O3229" t="str">
        <f t="shared" si="407"/>
        <v>Large Order</v>
      </c>
      <c r="P3229" s="7">
        <f t="shared" si="401"/>
        <v>7.274</v>
      </c>
      <c r="Q3229" s="7" t="str">
        <f>VLOOKUP(D3230,Product_Lookup!$A$2:$C$27,2,FALSE)</f>
        <v>Smartphone</v>
      </c>
      <c r="R3229" s="7">
        <f t="shared" si="402"/>
        <v>1891.2399999999998</v>
      </c>
    </row>
    <row r="3230" spans="1:18" ht="21.75" customHeight="1">
      <c r="A3230" t="s">
        <v>3381</v>
      </c>
      <c r="B3230" s="6">
        <v>45316</v>
      </c>
      <c r="C3230" t="s">
        <v>339</v>
      </c>
      <c r="D3230" t="s">
        <v>79</v>
      </c>
      <c r="E3230" t="s">
        <v>22</v>
      </c>
      <c r="F3230" t="s">
        <v>42</v>
      </c>
      <c r="G3230" t="s">
        <v>13</v>
      </c>
      <c r="H3230">
        <v>19</v>
      </c>
      <c r="I3230" t="str">
        <f>VLOOKUP(D3230,Product_Lookup!$A$2:$C$27,3,FALSE)</f>
        <v>$216.22</v>
      </c>
      <c r="J3230" t="str">
        <f t="shared" si="403"/>
        <v>Thursday</v>
      </c>
      <c r="K3230" s="10" t="str">
        <f t="shared" si="404"/>
        <v>January</v>
      </c>
      <c r="L3230">
        <f t="shared" si="405"/>
        <v>2024</v>
      </c>
      <c r="M3230" t="b">
        <f t="shared" si="406"/>
        <v>0</v>
      </c>
      <c r="N3230" t="b">
        <f t="shared" si="400"/>
        <v>1</v>
      </c>
      <c r="O3230" t="str">
        <f t="shared" si="407"/>
        <v>Large Order</v>
      </c>
      <c r="P3230" s="7">
        <f t="shared" si="401"/>
        <v>10.811</v>
      </c>
      <c r="Q3230" s="7" t="str">
        <f>VLOOKUP(D3231,Product_Lookup!$A$2:$C$27,2,FALSE)</f>
        <v>Blender</v>
      </c>
      <c r="R3230" s="7">
        <f t="shared" si="402"/>
        <v>4108.18</v>
      </c>
    </row>
    <row r="3231" spans="1:18" ht="21.75" customHeight="1">
      <c r="A3231" t="s">
        <v>3382</v>
      </c>
      <c r="B3231" s="6">
        <v>45308</v>
      </c>
      <c r="C3231" t="s">
        <v>358</v>
      </c>
      <c r="D3231" t="s">
        <v>72</v>
      </c>
      <c r="E3231" t="s">
        <v>22</v>
      </c>
      <c r="F3231" t="s">
        <v>27</v>
      </c>
      <c r="G3231" t="s">
        <v>32</v>
      </c>
      <c r="H3231">
        <v>19</v>
      </c>
      <c r="I3231" t="str">
        <f>VLOOKUP(D3231,Product_Lookup!$A$2:$C$27,3,FALSE)</f>
        <v>$156.44</v>
      </c>
      <c r="J3231" t="str">
        <f t="shared" si="403"/>
        <v>Wednesday</v>
      </c>
      <c r="K3231" s="10" t="str">
        <f t="shared" si="404"/>
        <v>January</v>
      </c>
      <c r="L3231">
        <f t="shared" si="405"/>
        <v>2024</v>
      </c>
      <c r="M3231" t="b">
        <f t="shared" si="406"/>
        <v>0</v>
      </c>
      <c r="N3231" t="b">
        <f t="shared" si="400"/>
        <v>1</v>
      </c>
      <c r="O3231" t="str">
        <f t="shared" si="407"/>
        <v>Large Order</v>
      </c>
      <c r="P3231" s="7">
        <f t="shared" si="401"/>
        <v>7.8220000000000001</v>
      </c>
      <c r="Q3231" s="7" t="str">
        <f>VLOOKUP(D3232,Product_Lookup!$A$2:$C$27,2,FALSE)</f>
        <v>Tablet</v>
      </c>
      <c r="R3231" s="7">
        <f t="shared" si="402"/>
        <v>2972.36</v>
      </c>
    </row>
    <row r="3232" spans="1:18" ht="21.75" customHeight="1">
      <c r="A3232" t="s">
        <v>3383</v>
      </c>
      <c r="B3232" s="6">
        <v>45326</v>
      </c>
      <c r="C3232" t="s">
        <v>304</v>
      </c>
      <c r="D3232" t="s">
        <v>10</v>
      </c>
      <c r="E3232" t="s">
        <v>22</v>
      </c>
      <c r="F3232" t="s">
        <v>12</v>
      </c>
      <c r="G3232" t="s">
        <v>36</v>
      </c>
      <c r="H3232">
        <v>4</v>
      </c>
      <c r="I3232" t="str">
        <f>VLOOKUP(D3232,Product_Lookup!$A$2:$C$27,3,FALSE)</f>
        <v>$146.06</v>
      </c>
      <c r="J3232" t="str">
        <f t="shared" si="403"/>
        <v>Sunday</v>
      </c>
      <c r="K3232" s="10" t="str">
        <f t="shared" si="404"/>
        <v>February</v>
      </c>
      <c r="L3232">
        <f t="shared" si="405"/>
        <v>2024</v>
      </c>
      <c r="M3232" t="b">
        <f t="shared" si="406"/>
        <v>1</v>
      </c>
      <c r="N3232" t="b">
        <f t="shared" si="400"/>
        <v>0</v>
      </c>
      <c r="O3232" t="str">
        <f t="shared" si="407"/>
        <v>Large Order</v>
      </c>
      <c r="P3232" s="7">
        <f t="shared" si="401"/>
        <v>7.3030000000000008</v>
      </c>
      <c r="Q3232" s="7" t="str">
        <f>VLOOKUP(D3233,Product_Lookup!$A$2:$C$27,2,FALSE)</f>
        <v>Desk Lamp</v>
      </c>
      <c r="R3232" s="7">
        <f t="shared" si="402"/>
        <v>584.24</v>
      </c>
    </row>
    <row r="3233" spans="1:18" ht="21.75" customHeight="1">
      <c r="A3233" t="s">
        <v>3384</v>
      </c>
      <c r="B3233" s="6">
        <v>45554</v>
      </c>
      <c r="C3233" t="s">
        <v>203</v>
      </c>
      <c r="D3233" t="s">
        <v>59</v>
      </c>
      <c r="E3233" t="s">
        <v>17</v>
      </c>
      <c r="F3233" t="s">
        <v>306</v>
      </c>
      <c r="G3233" t="s">
        <v>28</v>
      </c>
      <c r="H3233">
        <v>3</v>
      </c>
      <c r="I3233" t="str">
        <f>VLOOKUP(D3233,Product_Lookup!$A$2:$C$27,3,FALSE)</f>
        <v>$101.96</v>
      </c>
      <c r="J3233" t="str">
        <f t="shared" si="403"/>
        <v>Thursday</v>
      </c>
      <c r="K3233" s="10" t="str">
        <f t="shared" si="404"/>
        <v>September</v>
      </c>
      <c r="L3233">
        <f t="shared" si="405"/>
        <v>2024</v>
      </c>
      <c r="M3233" t="b">
        <f t="shared" si="406"/>
        <v>0</v>
      </c>
      <c r="N3233" t="b">
        <f t="shared" si="400"/>
        <v>0</v>
      </c>
      <c r="O3233" t="str">
        <f t="shared" si="407"/>
        <v>Standard order</v>
      </c>
      <c r="P3233" s="7">
        <f t="shared" si="401"/>
        <v>5.0979999999999999</v>
      </c>
      <c r="Q3233" s="7" t="str">
        <f>VLOOKUP(D3234,Product_Lookup!$A$2:$C$27,2,FALSE)</f>
        <v>Air Fryer</v>
      </c>
      <c r="R3233" s="7">
        <f t="shared" si="402"/>
        <v>305.88</v>
      </c>
    </row>
    <row r="3234" spans="1:18" ht="21.75" customHeight="1">
      <c r="A3234" t="s">
        <v>3385</v>
      </c>
      <c r="B3234" s="6">
        <v>45512</v>
      </c>
      <c r="C3234" t="s">
        <v>89</v>
      </c>
      <c r="D3234" t="s">
        <v>70</v>
      </c>
      <c r="E3234" t="s">
        <v>17</v>
      </c>
      <c r="F3234" t="s">
        <v>56</v>
      </c>
      <c r="G3234" t="s">
        <v>32</v>
      </c>
      <c r="H3234">
        <v>3</v>
      </c>
      <c r="I3234" t="str">
        <f>VLOOKUP(D3234,Product_Lookup!$A$2:$C$27,3,FALSE)</f>
        <v>$211.9</v>
      </c>
      <c r="J3234" t="str">
        <f t="shared" si="403"/>
        <v>Thursday</v>
      </c>
      <c r="K3234" s="10" t="str">
        <f t="shared" si="404"/>
        <v>August</v>
      </c>
      <c r="L3234">
        <f t="shared" si="405"/>
        <v>2024</v>
      </c>
      <c r="M3234" t="b">
        <f t="shared" si="406"/>
        <v>0</v>
      </c>
      <c r="N3234" t="b">
        <f t="shared" si="400"/>
        <v>0</v>
      </c>
      <c r="O3234" t="str">
        <f t="shared" si="407"/>
        <v>Large Order</v>
      </c>
      <c r="P3234" s="7">
        <f t="shared" si="401"/>
        <v>10.595000000000001</v>
      </c>
      <c r="Q3234" s="7" t="str">
        <f>VLOOKUP(D3235,Product_Lookup!$A$2:$C$27,2,FALSE)</f>
        <v>Air Fryer</v>
      </c>
      <c r="R3234" s="7">
        <f t="shared" si="402"/>
        <v>635.70000000000005</v>
      </c>
    </row>
    <row r="3235" spans="1:18" ht="21.75" customHeight="1">
      <c r="A3235" t="s">
        <v>3386</v>
      </c>
      <c r="B3235" s="6">
        <v>45586</v>
      </c>
      <c r="C3235" t="s">
        <v>47</v>
      </c>
      <c r="D3235" t="s">
        <v>70</v>
      </c>
      <c r="E3235" t="s">
        <v>22</v>
      </c>
      <c r="F3235" t="s">
        <v>27</v>
      </c>
      <c r="G3235" t="s">
        <v>13</v>
      </c>
      <c r="H3235">
        <v>13</v>
      </c>
      <c r="I3235" t="str">
        <f>VLOOKUP(D3235,Product_Lookup!$A$2:$C$27,3,FALSE)</f>
        <v>$211.9</v>
      </c>
      <c r="J3235" t="str">
        <f t="shared" si="403"/>
        <v>Monday</v>
      </c>
      <c r="K3235" s="10" t="str">
        <f t="shared" si="404"/>
        <v>October</v>
      </c>
      <c r="L3235">
        <f t="shared" si="405"/>
        <v>2024</v>
      </c>
      <c r="M3235" t="b">
        <f t="shared" si="406"/>
        <v>0</v>
      </c>
      <c r="N3235" t="b">
        <f t="shared" si="400"/>
        <v>1</v>
      </c>
      <c r="O3235" t="str">
        <f t="shared" si="407"/>
        <v>Large Order</v>
      </c>
      <c r="P3235" s="7">
        <f t="shared" si="401"/>
        <v>10.595000000000001</v>
      </c>
      <c r="Q3235" s="7" t="str">
        <f>VLOOKUP(D3236,Product_Lookup!$A$2:$C$27,2,FALSE)</f>
        <v>Coffee Maker</v>
      </c>
      <c r="R3235" s="7">
        <f t="shared" si="402"/>
        <v>2754.7000000000003</v>
      </c>
    </row>
    <row r="3236" spans="1:18" ht="21.75" customHeight="1">
      <c r="A3236" t="s">
        <v>3387</v>
      </c>
      <c r="B3236" s="6">
        <v>45295</v>
      </c>
      <c r="C3236" t="s">
        <v>381</v>
      </c>
      <c r="D3236" t="s">
        <v>31</v>
      </c>
      <c r="E3236" t="s">
        <v>11</v>
      </c>
      <c r="F3236" t="s">
        <v>12</v>
      </c>
      <c r="G3236" t="s">
        <v>28</v>
      </c>
      <c r="H3236">
        <v>11</v>
      </c>
      <c r="I3236" t="str">
        <f>VLOOKUP(D3236,Product_Lookup!$A$2:$C$27,3,FALSE)</f>
        <v>$230.34</v>
      </c>
      <c r="J3236" t="str">
        <f t="shared" si="403"/>
        <v>Thursday</v>
      </c>
      <c r="K3236" s="10" t="str">
        <f t="shared" si="404"/>
        <v>January</v>
      </c>
      <c r="L3236">
        <f t="shared" si="405"/>
        <v>2024</v>
      </c>
      <c r="M3236" t="b">
        <f t="shared" si="406"/>
        <v>0</v>
      </c>
      <c r="N3236" t="b">
        <f t="shared" si="400"/>
        <v>1</v>
      </c>
      <c r="O3236" t="str">
        <f t="shared" si="407"/>
        <v>Large Order</v>
      </c>
      <c r="P3236" s="7">
        <f t="shared" si="401"/>
        <v>11.517000000000001</v>
      </c>
      <c r="Q3236" s="7" t="str">
        <f>VLOOKUP(D3237,Product_Lookup!$A$2:$C$27,2,FALSE)</f>
        <v>Desk Lamp</v>
      </c>
      <c r="R3236" s="7">
        <f t="shared" si="402"/>
        <v>2533.7400000000002</v>
      </c>
    </row>
    <row r="3237" spans="1:18" ht="21.75" customHeight="1">
      <c r="A3237" t="s">
        <v>3388</v>
      </c>
      <c r="B3237" s="6">
        <v>45424</v>
      </c>
      <c r="C3237" t="s">
        <v>240</v>
      </c>
      <c r="D3237" t="s">
        <v>59</v>
      </c>
      <c r="E3237" t="s">
        <v>22</v>
      </c>
      <c r="F3237" t="s">
        <v>42</v>
      </c>
      <c r="G3237" t="s">
        <v>36</v>
      </c>
      <c r="H3237">
        <v>15</v>
      </c>
      <c r="I3237" t="str">
        <f>VLOOKUP(D3237,Product_Lookup!$A$2:$C$27,3,FALSE)</f>
        <v>$101.96</v>
      </c>
      <c r="J3237" t="str">
        <f t="shared" si="403"/>
        <v>Sunday</v>
      </c>
      <c r="K3237" s="10" t="str">
        <f t="shared" si="404"/>
        <v>May</v>
      </c>
      <c r="L3237">
        <f t="shared" si="405"/>
        <v>2024</v>
      </c>
      <c r="M3237" t="b">
        <f t="shared" si="406"/>
        <v>1</v>
      </c>
      <c r="N3237" t="b">
        <f t="shared" si="400"/>
        <v>1</v>
      </c>
      <c r="O3237" t="str">
        <f t="shared" si="407"/>
        <v>Large Order</v>
      </c>
      <c r="P3237" s="7">
        <f t="shared" si="401"/>
        <v>5.0979999999999999</v>
      </c>
      <c r="Q3237" s="7" t="str">
        <f>VLOOKUP(D3238,Product_Lookup!$A$2:$C$27,2,FALSE)</f>
        <v>Desk Lamp</v>
      </c>
      <c r="R3237" s="7">
        <f t="shared" si="402"/>
        <v>1529.3999999999999</v>
      </c>
    </row>
    <row r="3238" spans="1:18" ht="21.75" customHeight="1">
      <c r="A3238" t="s">
        <v>3389</v>
      </c>
      <c r="B3238" s="6">
        <v>45394</v>
      </c>
      <c r="C3238" t="s">
        <v>337</v>
      </c>
      <c r="D3238" t="s">
        <v>59</v>
      </c>
      <c r="E3238" t="s">
        <v>17</v>
      </c>
      <c r="F3238" t="s">
        <v>306</v>
      </c>
      <c r="G3238" t="s">
        <v>28</v>
      </c>
      <c r="H3238">
        <v>7</v>
      </c>
      <c r="I3238" t="str">
        <f>VLOOKUP(D3238,Product_Lookup!$A$2:$C$27,3,FALSE)</f>
        <v>$101.96</v>
      </c>
      <c r="J3238" t="str">
        <f t="shared" si="403"/>
        <v>Friday</v>
      </c>
      <c r="K3238" s="10" t="str">
        <f t="shared" si="404"/>
        <v>April</v>
      </c>
      <c r="L3238">
        <f t="shared" si="405"/>
        <v>2024</v>
      </c>
      <c r="M3238" t="b">
        <f t="shared" si="406"/>
        <v>0</v>
      </c>
      <c r="N3238" t="b">
        <f t="shared" si="400"/>
        <v>0</v>
      </c>
      <c r="O3238" t="str">
        <f t="shared" si="407"/>
        <v>Large Order</v>
      </c>
      <c r="P3238" s="7">
        <f t="shared" si="401"/>
        <v>5.0979999999999999</v>
      </c>
      <c r="Q3238" s="7" t="str">
        <f>VLOOKUP(D3239,Product_Lookup!$A$2:$C$27,2,FALSE)</f>
        <v>T-Shirt</v>
      </c>
      <c r="R3238" s="7">
        <f t="shared" si="402"/>
        <v>713.71999999999991</v>
      </c>
    </row>
    <row r="3239" spans="1:18" ht="21.75" customHeight="1">
      <c r="A3239" t="s">
        <v>3390</v>
      </c>
      <c r="B3239" s="6">
        <v>45397</v>
      </c>
      <c r="C3239" t="s">
        <v>147</v>
      </c>
      <c r="D3239" t="s">
        <v>45</v>
      </c>
      <c r="E3239" t="s">
        <v>11</v>
      </c>
      <c r="F3239" t="s">
        <v>12</v>
      </c>
      <c r="G3239" t="s">
        <v>36</v>
      </c>
      <c r="H3239">
        <v>20</v>
      </c>
      <c r="I3239" t="str">
        <f>VLOOKUP(D3239,Product_Lookup!$A$2:$C$27,3,FALSE)</f>
        <v>$107.34</v>
      </c>
      <c r="J3239" t="str">
        <f t="shared" si="403"/>
        <v>Monday</v>
      </c>
      <c r="K3239" s="10" t="str">
        <f t="shared" si="404"/>
        <v>April</v>
      </c>
      <c r="L3239">
        <f t="shared" si="405"/>
        <v>2024</v>
      </c>
      <c r="M3239" t="b">
        <f t="shared" si="406"/>
        <v>0</v>
      </c>
      <c r="N3239" t="b">
        <f t="shared" si="400"/>
        <v>1</v>
      </c>
      <c r="O3239" t="str">
        <f t="shared" si="407"/>
        <v>Large Order</v>
      </c>
      <c r="P3239" s="7">
        <f t="shared" si="401"/>
        <v>5.3670000000000009</v>
      </c>
      <c r="Q3239" s="7" t="str">
        <f>VLOOKUP(D3240,Product_Lookup!$A$2:$C$27,2,FALSE)</f>
        <v>Headphones</v>
      </c>
      <c r="R3239" s="7">
        <f t="shared" si="402"/>
        <v>2146.8000000000002</v>
      </c>
    </row>
    <row r="3240" spans="1:18" ht="21.75" customHeight="1">
      <c r="A3240" t="s">
        <v>3391</v>
      </c>
      <c r="B3240" s="6">
        <v>45312</v>
      </c>
      <c r="C3240" t="s">
        <v>420</v>
      </c>
      <c r="D3240" t="s">
        <v>16</v>
      </c>
      <c r="E3240" t="s">
        <v>22</v>
      </c>
      <c r="F3240" t="s">
        <v>42</v>
      </c>
      <c r="G3240" t="s">
        <v>13</v>
      </c>
      <c r="H3240">
        <v>11</v>
      </c>
      <c r="I3240" t="str">
        <f>VLOOKUP(D3240,Product_Lookup!$A$2:$C$27,3,FALSE)</f>
        <v>$178.83</v>
      </c>
      <c r="J3240" t="str">
        <f t="shared" si="403"/>
        <v>Sunday</v>
      </c>
      <c r="K3240" s="10" t="str">
        <f t="shared" si="404"/>
        <v>January</v>
      </c>
      <c r="L3240">
        <f t="shared" si="405"/>
        <v>2024</v>
      </c>
      <c r="M3240" t="b">
        <f t="shared" si="406"/>
        <v>1</v>
      </c>
      <c r="N3240" t="b">
        <f t="shared" si="400"/>
        <v>1</v>
      </c>
      <c r="O3240" t="str">
        <f t="shared" si="407"/>
        <v>Large Order</v>
      </c>
      <c r="P3240" s="7">
        <f t="shared" si="401"/>
        <v>8.9415000000000013</v>
      </c>
      <c r="Q3240" s="7" t="str">
        <f>VLOOKUP(D3241,Product_Lookup!$A$2:$C$27,2,FALSE)</f>
        <v>Jeans</v>
      </c>
      <c r="R3240" s="7">
        <f t="shared" si="402"/>
        <v>1967.13</v>
      </c>
    </row>
    <row r="3241" spans="1:18" ht="21.75" customHeight="1">
      <c r="A3241" t="s">
        <v>3392</v>
      </c>
      <c r="B3241" s="6">
        <v>45409</v>
      </c>
      <c r="C3241" t="s">
        <v>371</v>
      </c>
      <c r="D3241" t="s">
        <v>65</v>
      </c>
      <c r="E3241" t="s">
        <v>11</v>
      </c>
      <c r="F3241" t="s">
        <v>42</v>
      </c>
      <c r="G3241" t="s">
        <v>28</v>
      </c>
      <c r="H3241">
        <v>14</v>
      </c>
      <c r="I3241" t="str">
        <f>VLOOKUP(D3241,Product_Lookup!$A$2:$C$27,3,FALSE)</f>
        <v>$33.22</v>
      </c>
      <c r="J3241" t="str">
        <f t="shared" si="403"/>
        <v>Saturday</v>
      </c>
      <c r="K3241" s="10" t="str">
        <f t="shared" si="404"/>
        <v>April</v>
      </c>
      <c r="L3241">
        <f t="shared" si="405"/>
        <v>2024</v>
      </c>
      <c r="M3241" t="b">
        <f t="shared" si="406"/>
        <v>1</v>
      </c>
      <c r="N3241" t="b">
        <f t="shared" si="400"/>
        <v>0</v>
      </c>
      <c r="O3241" t="str">
        <f t="shared" si="407"/>
        <v>Standard order</v>
      </c>
      <c r="P3241" s="7">
        <f t="shared" si="401"/>
        <v>1.661</v>
      </c>
      <c r="Q3241" s="7" t="str">
        <f>VLOOKUP(D3242,Product_Lookup!$A$2:$C$27,2,FALSE)</f>
        <v>Doll</v>
      </c>
      <c r="R3241" s="7">
        <f t="shared" si="402"/>
        <v>465.08</v>
      </c>
    </row>
    <row r="3242" spans="1:18" ht="21.75" customHeight="1">
      <c r="A3242" t="s">
        <v>3393</v>
      </c>
      <c r="B3242" s="6">
        <v>45411</v>
      </c>
      <c r="C3242" t="s">
        <v>133</v>
      </c>
      <c r="D3242" t="s">
        <v>119</v>
      </c>
      <c r="E3242" t="s">
        <v>17</v>
      </c>
      <c r="F3242" t="s">
        <v>12</v>
      </c>
      <c r="G3242" t="s">
        <v>28</v>
      </c>
      <c r="H3242">
        <v>15</v>
      </c>
      <c r="I3242" t="str">
        <f>VLOOKUP(D3242,Product_Lookup!$A$2:$C$27,3,FALSE)</f>
        <v>$32.94</v>
      </c>
      <c r="J3242" t="str">
        <f t="shared" si="403"/>
        <v>Monday</v>
      </c>
      <c r="K3242" s="10" t="str">
        <f t="shared" si="404"/>
        <v>April</v>
      </c>
      <c r="L3242">
        <f t="shared" si="405"/>
        <v>2024</v>
      </c>
      <c r="M3242" t="b">
        <f t="shared" si="406"/>
        <v>0</v>
      </c>
      <c r="N3242" t="b">
        <f t="shared" si="400"/>
        <v>0</v>
      </c>
      <c r="O3242" t="str">
        <f t="shared" si="407"/>
        <v>Standard order</v>
      </c>
      <c r="P3242" s="7">
        <f t="shared" si="401"/>
        <v>1.647</v>
      </c>
      <c r="Q3242" s="7" t="str">
        <f>VLOOKUP(D3243,Product_Lookup!$A$2:$C$27,2,FALSE)</f>
        <v>Air Fryer</v>
      </c>
      <c r="R3242" s="7">
        <f t="shared" si="402"/>
        <v>494.09999999999997</v>
      </c>
    </row>
    <row r="3243" spans="1:18" ht="21.75" customHeight="1">
      <c r="A3243" t="s">
        <v>3394</v>
      </c>
      <c r="B3243" s="6">
        <v>45484</v>
      </c>
      <c r="C3243" t="s">
        <v>64</v>
      </c>
      <c r="D3243" t="s">
        <v>70</v>
      </c>
      <c r="E3243" t="s">
        <v>22</v>
      </c>
      <c r="F3243" t="s">
        <v>56</v>
      </c>
      <c r="G3243" t="s">
        <v>23</v>
      </c>
      <c r="H3243">
        <v>2</v>
      </c>
      <c r="I3243" t="str">
        <f>VLOOKUP(D3243,Product_Lookup!$A$2:$C$27,3,FALSE)</f>
        <v>$211.9</v>
      </c>
      <c r="J3243" t="str">
        <f t="shared" si="403"/>
        <v>Thursday</v>
      </c>
      <c r="K3243" s="10" t="str">
        <f t="shared" si="404"/>
        <v>July</v>
      </c>
      <c r="L3243">
        <f t="shared" si="405"/>
        <v>2024</v>
      </c>
      <c r="M3243" t="b">
        <f t="shared" si="406"/>
        <v>0</v>
      </c>
      <c r="N3243" t="b">
        <f t="shared" si="400"/>
        <v>0</v>
      </c>
      <c r="O3243" t="str">
        <f t="shared" si="407"/>
        <v>Standard order</v>
      </c>
      <c r="P3243" s="7">
        <f t="shared" si="401"/>
        <v>10.595000000000001</v>
      </c>
      <c r="Q3243" s="7" t="str">
        <f>VLOOKUP(D3244,Product_Lookup!$A$2:$C$27,2,FALSE)</f>
        <v>Jeans</v>
      </c>
      <c r="R3243" s="7">
        <f t="shared" si="402"/>
        <v>423.8</v>
      </c>
    </row>
    <row r="3244" spans="1:18" ht="21.75" customHeight="1">
      <c r="A3244" t="s">
        <v>3395</v>
      </c>
      <c r="B3244" s="6">
        <v>45496</v>
      </c>
      <c r="C3244" t="s">
        <v>104</v>
      </c>
      <c r="D3244" t="s">
        <v>65</v>
      </c>
      <c r="E3244" t="s">
        <v>17</v>
      </c>
      <c r="F3244" t="s">
        <v>306</v>
      </c>
      <c r="G3244" t="s">
        <v>13</v>
      </c>
      <c r="H3244">
        <v>3</v>
      </c>
      <c r="I3244" t="str">
        <f>VLOOKUP(D3244,Product_Lookup!$A$2:$C$27,3,FALSE)</f>
        <v>$33.22</v>
      </c>
      <c r="J3244" t="str">
        <f t="shared" si="403"/>
        <v>Tuesday</v>
      </c>
      <c r="K3244" s="10" t="str">
        <f t="shared" si="404"/>
        <v>July</v>
      </c>
      <c r="L3244">
        <f t="shared" si="405"/>
        <v>2024</v>
      </c>
      <c r="M3244" t="b">
        <f t="shared" si="406"/>
        <v>0</v>
      </c>
      <c r="N3244" t="b">
        <f t="shared" si="400"/>
        <v>0</v>
      </c>
      <c r="O3244" t="str">
        <f t="shared" si="407"/>
        <v>Standard order</v>
      </c>
      <c r="P3244" s="7">
        <f t="shared" si="401"/>
        <v>1.661</v>
      </c>
      <c r="Q3244" s="7" t="str">
        <f>VLOOKUP(D3245,Product_Lookup!$A$2:$C$27,2,FALSE)</f>
        <v>Lego Set</v>
      </c>
      <c r="R3244" s="7">
        <f t="shared" si="402"/>
        <v>99.66</v>
      </c>
    </row>
    <row r="3245" spans="1:18" ht="21.75" customHeight="1">
      <c r="A3245" t="s">
        <v>3396</v>
      </c>
      <c r="B3245" s="6">
        <v>45551</v>
      </c>
      <c r="C3245" t="s">
        <v>361</v>
      </c>
      <c r="D3245" t="s">
        <v>84</v>
      </c>
      <c r="E3245" t="s">
        <v>22</v>
      </c>
      <c r="F3245" t="s">
        <v>12</v>
      </c>
      <c r="G3245" t="s">
        <v>28</v>
      </c>
      <c r="H3245">
        <v>7</v>
      </c>
      <c r="I3245" t="str">
        <f>VLOOKUP(D3245,Product_Lookup!$A$2:$C$27,3,FALSE)</f>
        <v>$130.07</v>
      </c>
      <c r="J3245" t="str">
        <f t="shared" si="403"/>
        <v>Monday</v>
      </c>
      <c r="K3245" s="10" t="str">
        <f t="shared" si="404"/>
        <v>September</v>
      </c>
      <c r="L3245">
        <f t="shared" si="405"/>
        <v>2024</v>
      </c>
      <c r="M3245" t="b">
        <f t="shared" si="406"/>
        <v>0</v>
      </c>
      <c r="N3245" t="b">
        <f t="shared" si="400"/>
        <v>1</v>
      </c>
      <c r="O3245" t="str">
        <f t="shared" si="407"/>
        <v>Large Order</v>
      </c>
      <c r="P3245" s="7">
        <f t="shared" si="401"/>
        <v>6.5034999999999998</v>
      </c>
      <c r="Q3245" s="7" t="str">
        <f>VLOOKUP(D3246,Product_Lookup!$A$2:$C$27,2,FALSE)</f>
        <v>Paper Shredder</v>
      </c>
      <c r="R3245" s="7">
        <f t="shared" si="402"/>
        <v>910.49</v>
      </c>
    </row>
    <row r="3246" spans="1:18" ht="21.75" customHeight="1">
      <c r="A3246" t="s">
        <v>3397</v>
      </c>
      <c r="B3246" s="6">
        <v>45542</v>
      </c>
      <c r="C3246" t="s">
        <v>304</v>
      </c>
      <c r="D3246" t="s">
        <v>109</v>
      </c>
      <c r="E3246" t="s">
        <v>17</v>
      </c>
      <c r="F3246" t="s">
        <v>42</v>
      </c>
      <c r="G3246" t="s">
        <v>23</v>
      </c>
      <c r="H3246">
        <v>7</v>
      </c>
      <c r="I3246" t="str">
        <f>VLOOKUP(D3246,Product_Lookup!$A$2:$C$27,3,FALSE)</f>
        <v>$81.02</v>
      </c>
      <c r="J3246" t="str">
        <f t="shared" si="403"/>
        <v>Saturday</v>
      </c>
      <c r="K3246" s="10" t="str">
        <f t="shared" si="404"/>
        <v>September</v>
      </c>
      <c r="L3246">
        <f t="shared" si="405"/>
        <v>2024</v>
      </c>
      <c r="M3246" t="b">
        <f t="shared" si="406"/>
        <v>1</v>
      </c>
      <c r="N3246" t="b">
        <f t="shared" si="400"/>
        <v>0</v>
      </c>
      <c r="O3246" t="str">
        <f t="shared" si="407"/>
        <v>Large Order</v>
      </c>
      <c r="P3246" s="7">
        <f t="shared" si="401"/>
        <v>4.0510000000000002</v>
      </c>
      <c r="Q3246" s="7" t="str">
        <f>VLOOKUP(D3247,Product_Lookup!$A$2:$C$27,2,FALSE)</f>
        <v>Toaster</v>
      </c>
      <c r="R3246" s="7">
        <f t="shared" si="402"/>
        <v>567.14</v>
      </c>
    </row>
    <row r="3247" spans="1:18" ht="21.75" customHeight="1">
      <c r="A3247" t="s">
        <v>3398</v>
      </c>
      <c r="B3247" s="6">
        <v>45338</v>
      </c>
      <c r="C3247" t="s">
        <v>358</v>
      </c>
      <c r="D3247" t="s">
        <v>48</v>
      </c>
      <c r="E3247" t="s">
        <v>17</v>
      </c>
      <c r="F3247" t="s">
        <v>42</v>
      </c>
      <c r="G3247" t="s">
        <v>36</v>
      </c>
      <c r="H3247">
        <v>4</v>
      </c>
      <c r="I3247" t="str">
        <f>VLOOKUP(D3247,Product_Lookup!$A$2:$C$27,3,FALSE)</f>
        <v>$208.85</v>
      </c>
      <c r="J3247" t="str">
        <f t="shared" si="403"/>
        <v>Friday</v>
      </c>
      <c r="K3247" s="10" t="str">
        <f t="shared" si="404"/>
        <v>February</v>
      </c>
      <c r="L3247">
        <f t="shared" si="405"/>
        <v>2024</v>
      </c>
      <c r="M3247" t="b">
        <f t="shared" si="406"/>
        <v>0</v>
      </c>
      <c r="N3247" t="b">
        <f t="shared" si="400"/>
        <v>0</v>
      </c>
      <c r="O3247" t="str">
        <f t="shared" si="407"/>
        <v>Large Order</v>
      </c>
      <c r="P3247" s="7">
        <f t="shared" si="401"/>
        <v>10.442500000000001</v>
      </c>
      <c r="Q3247" s="7" t="str">
        <f>VLOOKUP(D3248,Product_Lookup!$A$2:$C$27,2,FALSE)</f>
        <v>Coffee Maker</v>
      </c>
      <c r="R3247" s="7">
        <f t="shared" si="402"/>
        <v>835.4</v>
      </c>
    </row>
    <row r="3248" spans="1:18" ht="21.75" customHeight="1">
      <c r="A3248" t="s">
        <v>3399</v>
      </c>
      <c r="B3248" s="6">
        <v>45300</v>
      </c>
      <c r="C3248" t="s">
        <v>25</v>
      </c>
      <c r="D3248" t="s">
        <v>31</v>
      </c>
      <c r="E3248" t="s">
        <v>17</v>
      </c>
      <c r="F3248" t="s">
        <v>27</v>
      </c>
      <c r="G3248" t="s">
        <v>13</v>
      </c>
      <c r="H3248">
        <v>12</v>
      </c>
      <c r="I3248" t="str">
        <f>VLOOKUP(D3248,Product_Lookup!$A$2:$C$27,3,FALSE)</f>
        <v>$230.34</v>
      </c>
      <c r="J3248" t="str">
        <f t="shared" si="403"/>
        <v>Tuesday</v>
      </c>
      <c r="K3248" s="10" t="str">
        <f t="shared" si="404"/>
        <v>January</v>
      </c>
      <c r="L3248">
        <f t="shared" si="405"/>
        <v>2024</v>
      </c>
      <c r="M3248" t="b">
        <f t="shared" si="406"/>
        <v>0</v>
      </c>
      <c r="N3248" t="b">
        <f t="shared" si="400"/>
        <v>1</v>
      </c>
      <c r="O3248" t="str">
        <f t="shared" si="407"/>
        <v>Large Order</v>
      </c>
      <c r="P3248" s="7">
        <f t="shared" si="401"/>
        <v>11.517000000000001</v>
      </c>
      <c r="Q3248" s="7" t="str">
        <f>VLOOKUP(D3249,Product_Lookup!$A$2:$C$27,2,FALSE)</f>
        <v>Vacuum</v>
      </c>
      <c r="R3248" s="7">
        <f t="shared" si="402"/>
        <v>2764.08</v>
      </c>
    </row>
    <row r="3249" spans="1:18" ht="21.75" customHeight="1">
      <c r="A3249" t="s">
        <v>3400</v>
      </c>
      <c r="B3249" s="6">
        <v>45450</v>
      </c>
      <c r="C3249" t="s">
        <v>58</v>
      </c>
      <c r="D3249" t="s">
        <v>87</v>
      </c>
      <c r="E3249" t="s">
        <v>22</v>
      </c>
      <c r="F3249" t="s">
        <v>42</v>
      </c>
      <c r="G3249" t="s">
        <v>28</v>
      </c>
      <c r="H3249">
        <v>3</v>
      </c>
      <c r="I3249" t="str">
        <f>VLOOKUP(D3249,Product_Lookup!$A$2:$C$27,3,FALSE)</f>
        <v>$26.59</v>
      </c>
      <c r="J3249" t="str">
        <f t="shared" si="403"/>
        <v>Friday</v>
      </c>
      <c r="K3249" s="10" t="str">
        <f t="shared" si="404"/>
        <v>June</v>
      </c>
      <c r="L3249">
        <f t="shared" si="405"/>
        <v>2024</v>
      </c>
      <c r="M3249" t="b">
        <f t="shared" si="406"/>
        <v>0</v>
      </c>
      <c r="N3249" t="b">
        <f t="shared" si="400"/>
        <v>0</v>
      </c>
      <c r="O3249" t="str">
        <f t="shared" si="407"/>
        <v>Standard order</v>
      </c>
      <c r="P3249" s="7">
        <f t="shared" si="401"/>
        <v>1.3295000000000001</v>
      </c>
      <c r="Q3249" s="7" t="str">
        <f>VLOOKUP(D3250,Product_Lookup!$A$2:$C$27,2,FALSE)</f>
        <v>Laptop</v>
      </c>
      <c r="R3249" s="7">
        <f t="shared" si="402"/>
        <v>79.77</v>
      </c>
    </row>
    <row r="3250" spans="1:18" ht="21.75" customHeight="1">
      <c r="A3250" t="s">
        <v>3401</v>
      </c>
      <c r="B3250" s="6">
        <v>45491</v>
      </c>
      <c r="C3250" t="s">
        <v>553</v>
      </c>
      <c r="D3250" t="s">
        <v>96</v>
      </c>
      <c r="E3250" t="s">
        <v>17</v>
      </c>
      <c r="F3250" t="s">
        <v>42</v>
      </c>
      <c r="G3250" t="s">
        <v>13</v>
      </c>
      <c r="H3250">
        <v>5</v>
      </c>
      <c r="I3250" t="str">
        <f>VLOOKUP(D3250,Product_Lookup!$A$2:$C$27,3,FALSE)</f>
        <v>$230.68</v>
      </c>
      <c r="J3250" t="str">
        <f t="shared" si="403"/>
        <v>Thursday</v>
      </c>
      <c r="K3250" s="10" t="str">
        <f t="shared" si="404"/>
        <v>July</v>
      </c>
      <c r="L3250">
        <f t="shared" si="405"/>
        <v>2024</v>
      </c>
      <c r="M3250" t="b">
        <f t="shared" si="406"/>
        <v>0</v>
      </c>
      <c r="N3250" t="b">
        <f t="shared" si="400"/>
        <v>0</v>
      </c>
      <c r="O3250" t="str">
        <f t="shared" si="407"/>
        <v>Large Order</v>
      </c>
      <c r="P3250" s="7">
        <f t="shared" si="401"/>
        <v>11.534000000000001</v>
      </c>
      <c r="Q3250" s="7" t="str">
        <f>VLOOKUP(D3251,Product_Lookup!$A$2:$C$27,2,FALSE)</f>
        <v>Laptop</v>
      </c>
      <c r="R3250" s="7">
        <f t="shared" si="402"/>
        <v>1153.4000000000001</v>
      </c>
    </row>
    <row r="3251" spans="1:18" ht="21.75" customHeight="1">
      <c r="A3251" t="s">
        <v>3402</v>
      </c>
      <c r="B3251" s="6">
        <v>45382</v>
      </c>
      <c r="C3251" t="s">
        <v>614</v>
      </c>
      <c r="D3251" t="s">
        <v>96</v>
      </c>
      <c r="E3251" t="s">
        <v>11</v>
      </c>
      <c r="F3251" t="s">
        <v>306</v>
      </c>
      <c r="G3251" t="s">
        <v>28</v>
      </c>
      <c r="H3251">
        <v>5</v>
      </c>
      <c r="I3251" t="str">
        <f>VLOOKUP(D3251,Product_Lookup!$A$2:$C$27,3,FALSE)</f>
        <v>$230.68</v>
      </c>
      <c r="J3251" t="str">
        <f t="shared" si="403"/>
        <v>Sunday</v>
      </c>
      <c r="K3251" s="10" t="str">
        <f t="shared" si="404"/>
        <v>March</v>
      </c>
      <c r="L3251">
        <f t="shared" si="405"/>
        <v>2024</v>
      </c>
      <c r="M3251" t="b">
        <f t="shared" si="406"/>
        <v>1</v>
      </c>
      <c r="N3251" t="b">
        <f t="shared" si="400"/>
        <v>0</v>
      </c>
      <c r="O3251" t="str">
        <f t="shared" si="407"/>
        <v>Large Order</v>
      </c>
      <c r="P3251" s="7">
        <f t="shared" si="401"/>
        <v>11.534000000000001</v>
      </c>
      <c r="Q3251" s="7" t="str">
        <f>VLOOKUP(D3252,Product_Lookup!$A$2:$C$27,2,FALSE)</f>
        <v>Paper Shredder</v>
      </c>
      <c r="R3251" s="7">
        <f t="shared" si="402"/>
        <v>1153.4000000000001</v>
      </c>
    </row>
    <row r="3252" spans="1:18" ht="21.75" customHeight="1">
      <c r="A3252" t="s">
        <v>3403</v>
      </c>
      <c r="B3252" s="6">
        <v>45311</v>
      </c>
      <c r="C3252" t="s">
        <v>131</v>
      </c>
      <c r="D3252" t="s">
        <v>109</v>
      </c>
      <c r="E3252" t="s">
        <v>11</v>
      </c>
      <c r="F3252" t="s">
        <v>42</v>
      </c>
      <c r="G3252" t="s">
        <v>32</v>
      </c>
      <c r="H3252">
        <v>20</v>
      </c>
      <c r="I3252" t="str">
        <f>VLOOKUP(D3252,Product_Lookup!$A$2:$C$27,3,FALSE)</f>
        <v>$81.02</v>
      </c>
      <c r="J3252" t="str">
        <f t="shared" si="403"/>
        <v>Saturday</v>
      </c>
      <c r="K3252" s="10" t="str">
        <f t="shared" si="404"/>
        <v>January</v>
      </c>
      <c r="L3252">
        <f t="shared" si="405"/>
        <v>2024</v>
      </c>
      <c r="M3252" t="b">
        <f t="shared" si="406"/>
        <v>1</v>
      </c>
      <c r="N3252" t="b">
        <f t="shared" si="400"/>
        <v>1</v>
      </c>
      <c r="O3252" t="str">
        <f t="shared" si="407"/>
        <v>Large Order</v>
      </c>
      <c r="P3252" s="7">
        <f t="shared" si="401"/>
        <v>4.0510000000000002</v>
      </c>
      <c r="Q3252" s="7" t="str">
        <f>VLOOKUP(D3253,Product_Lookup!$A$2:$C$27,2,FALSE)</f>
        <v>T-Shirt</v>
      </c>
      <c r="R3252" s="7">
        <f t="shared" si="402"/>
        <v>1620.3999999999999</v>
      </c>
    </row>
    <row r="3253" spans="1:18" ht="21.75" customHeight="1">
      <c r="A3253" t="s">
        <v>3404</v>
      </c>
      <c r="B3253" s="6">
        <v>45372</v>
      </c>
      <c r="C3253" t="s">
        <v>572</v>
      </c>
      <c r="D3253" t="s">
        <v>45</v>
      </c>
      <c r="E3253" t="s">
        <v>11</v>
      </c>
      <c r="F3253" t="s">
        <v>306</v>
      </c>
      <c r="G3253" t="s">
        <v>28</v>
      </c>
      <c r="H3253">
        <v>6</v>
      </c>
      <c r="I3253" t="str">
        <f>VLOOKUP(D3253,Product_Lookup!$A$2:$C$27,3,FALSE)</f>
        <v>$107.34</v>
      </c>
      <c r="J3253" t="str">
        <f t="shared" si="403"/>
        <v>Thursday</v>
      </c>
      <c r="K3253" s="10" t="str">
        <f t="shared" si="404"/>
        <v>March</v>
      </c>
      <c r="L3253">
        <f t="shared" si="405"/>
        <v>2024</v>
      </c>
      <c r="M3253" t="b">
        <f t="shared" si="406"/>
        <v>0</v>
      </c>
      <c r="N3253" t="b">
        <f t="shared" si="400"/>
        <v>0</v>
      </c>
      <c r="O3253" t="str">
        <f t="shared" si="407"/>
        <v>Large Order</v>
      </c>
      <c r="P3253" s="7">
        <f t="shared" si="401"/>
        <v>5.3670000000000009</v>
      </c>
      <c r="Q3253" s="7" t="str">
        <f>VLOOKUP(D3254,Product_Lookup!$A$2:$C$27,2,FALSE)</f>
        <v>T-Shirt</v>
      </c>
      <c r="R3253" s="7">
        <f t="shared" si="402"/>
        <v>644.04</v>
      </c>
    </row>
    <row r="3254" spans="1:18" ht="21.75" customHeight="1">
      <c r="A3254" t="s">
        <v>3405</v>
      </c>
      <c r="B3254" s="6">
        <v>45348</v>
      </c>
      <c r="C3254" t="s">
        <v>728</v>
      </c>
      <c r="D3254" t="s">
        <v>45</v>
      </c>
      <c r="E3254" t="s">
        <v>11</v>
      </c>
      <c r="F3254" t="s">
        <v>27</v>
      </c>
      <c r="G3254" t="s">
        <v>28</v>
      </c>
      <c r="H3254">
        <v>10</v>
      </c>
      <c r="I3254" t="str">
        <f>VLOOKUP(D3254,Product_Lookup!$A$2:$C$27,3,FALSE)</f>
        <v>$107.34</v>
      </c>
      <c r="J3254" t="str">
        <f t="shared" si="403"/>
        <v>Monday</v>
      </c>
      <c r="K3254" s="10" t="str">
        <f t="shared" si="404"/>
        <v>February</v>
      </c>
      <c r="L3254">
        <f t="shared" si="405"/>
        <v>2024</v>
      </c>
      <c r="M3254" t="b">
        <f t="shared" si="406"/>
        <v>0</v>
      </c>
      <c r="N3254" t="b">
        <f t="shared" si="400"/>
        <v>1</v>
      </c>
      <c r="O3254" t="str">
        <f t="shared" si="407"/>
        <v>Large Order</v>
      </c>
      <c r="P3254" s="7">
        <f t="shared" si="401"/>
        <v>5.3670000000000009</v>
      </c>
      <c r="Q3254" s="7" t="str">
        <f>VLOOKUP(D3255,Product_Lookup!$A$2:$C$27,2,FALSE)</f>
        <v>Paper Shredder</v>
      </c>
      <c r="R3254" s="7">
        <f t="shared" si="402"/>
        <v>1073.4000000000001</v>
      </c>
    </row>
    <row r="3255" spans="1:18" ht="21.75" customHeight="1">
      <c r="A3255" t="s">
        <v>3406</v>
      </c>
      <c r="B3255" s="6">
        <v>45483</v>
      </c>
      <c r="C3255" t="s">
        <v>86</v>
      </c>
      <c r="D3255" t="s">
        <v>109</v>
      </c>
      <c r="E3255" t="s">
        <v>17</v>
      </c>
      <c r="F3255" t="s">
        <v>12</v>
      </c>
      <c r="G3255" t="s">
        <v>13</v>
      </c>
      <c r="H3255">
        <v>11</v>
      </c>
      <c r="I3255" t="str">
        <f>VLOOKUP(D3255,Product_Lookup!$A$2:$C$27,3,FALSE)</f>
        <v>$81.02</v>
      </c>
      <c r="J3255" t="str">
        <f t="shared" si="403"/>
        <v>Wednesday</v>
      </c>
      <c r="K3255" s="10" t="str">
        <f t="shared" si="404"/>
        <v>July</v>
      </c>
      <c r="L3255">
        <f t="shared" si="405"/>
        <v>2024</v>
      </c>
      <c r="M3255" t="b">
        <f t="shared" si="406"/>
        <v>0</v>
      </c>
      <c r="N3255" t="b">
        <f t="shared" si="400"/>
        <v>1</v>
      </c>
      <c r="O3255" t="str">
        <f t="shared" si="407"/>
        <v>Large Order</v>
      </c>
      <c r="P3255" s="7">
        <f t="shared" si="401"/>
        <v>4.0510000000000002</v>
      </c>
      <c r="Q3255" s="7" t="str">
        <f>VLOOKUP(D3256,Product_Lookup!$A$2:$C$27,2,FALSE)</f>
        <v>Lego Set</v>
      </c>
      <c r="R3255" s="7">
        <f t="shared" si="402"/>
        <v>891.21999999999991</v>
      </c>
    </row>
    <row r="3256" spans="1:18" ht="21.75" customHeight="1">
      <c r="A3256" t="s">
        <v>3407</v>
      </c>
      <c r="B3256" s="6">
        <v>45532</v>
      </c>
      <c r="C3256" t="s">
        <v>122</v>
      </c>
      <c r="D3256" t="s">
        <v>84</v>
      </c>
      <c r="E3256" t="s">
        <v>11</v>
      </c>
      <c r="F3256" t="s">
        <v>27</v>
      </c>
      <c r="G3256" t="s">
        <v>13</v>
      </c>
      <c r="H3256">
        <v>18</v>
      </c>
      <c r="I3256" t="str">
        <f>VLOOKUP(D3256,Product_Lookup!$A$2:$C$27,3,FALSE)</f>
        <v>$130.07</v>
      </c>
      <c r="J3256" t="str">
        <f t="shared" si="403"/>
        <v>Wednesday</v>
      </c>
      <c r="K3256" s="10" t="str">
        <f t="shared" si="404"/>
        <v>August</v>
      </c>
      <c r="L3256">
        <f t="shared" si="405"/>
        <v>2024</v>
      </c>
      <c r="M3256" t="b">
        <f t="shared" si="406"/>
        <v>0</v>
      </c>
      <c r="N3256" t="b">
        <f t="shared" si="400"/>
        <v>1</v>
      </c>
      <c r="O3256" t="str">
        <f t="shared" si="407"/>
        <v>Large Order</v>
      </c>
      <c r="P3256" s="7">
        <f t="shared" si="401"/>
        <v>6.5034999999999998</v>
      </c>
      <c r="Q3256" s="7" t="str">
        <f>VLOOKUP(D3257,Product_Lookup!$A$2:$C$27,2,FALSE)</f>
        <v>Notebook</v>
      </c>
      <c r="R3256" s="7">
        <f t="shared" si="402"/>
        <v>2341.2599999999998</v>
      </c>
    </row>
    <row r="3257" spans="1:18" ht="21.75" customHeight="1">
      <c r="A3257" t="s">
        <v>3408</v>
      </c>
      <c r="B3257" s="6">
        <v>45598</v>
      </c>
      <c r="C3257" t="s">
        <v>329</v>
      </c>
      <c r="D3257" t="s">
        <v>160</v>
      </c>
      <c r="E3257" t="s">
        <v>11</v>
      </c>
      <c r="F3257" t="s">
        <v>56</v>
      </c>
      <c r="G3257" t="s">
        <v>13</v>
      </c>
      <c r="H3257">
        <v>1</v>
      </c>
      <c r="I3257" t="str">
        <f>VLOOKUP(D3257,Product_Lookup!$A$2:$C$27,3,FALSE)</f>
        <v>$149.27</v>
      </c>
      <c r="J3257" t="str">
        <f t="shared" si="403"/>
        <v>Saturday</v>
      </c>
      <c r="K3257" s="10" t="str">
        <f t="shared" si="404"/>
        <v>November</v>
      </c>
      <c r="L3257">
        <f t="shared" si="405"/>
        <v>2024</v>
      </c>
      <c r="M3257" t="b">
        <f t="shared" si="406"/>
        <v>1</v>
      </c>
      <c r="N3257" t="b">
        <f t="shared" si="400"/>
        <v>0</v>
      </c>
      <c r="O3257" t="str">
        <f t="shared" si="407"/>
        <v>Standard order</v>
      </c>
      <c r="P3257" s="7">
        <f t="shared" si="401"/>
        <v>7.4635000000000007</v>
      </c>
      <c r="Q3257" s="7" t="str">
        <f>VLOOKUP(D3258,Product_Lookup!$A$2:$C$27,2,FALSE)</f>
        <v>Vacuum</v>
      </c>
      <c r="R3257" s="7">
        <f t="shared" si="402"/>
        <v>149.27000000000001</v>
      </c>
    </row>
    <row r="3258" spans="1:18" ht="21.75" customHeight="1">
      <c r="A3258" t="s">
        <v>3409</v>
      </c>
      <c r="B3258" s="6">
        <v>45406</v>
      </c>
      <c r="C3258" t="s">
        <v>203</v>
      </c>
      <c r="D3258" t="s">
        <v>87</v>
      </c>
      <c r="E3258" t="s">
        <v>11</v>
      </c>
      <c r="F3258" t="s">
        <v>12</v>
      </c>
      <c r="G3258" t="s">
        <v>23</v>
      </c>
      <c r="H3258">
        <v>15</v>
      </c>
      <c r="I3258" t="str">
        <f>VLOOKUP(D3258,Product_Lookup!$A$2:$C$27,3,FALSE)</f>
        <v>$26.59</v>
      </c>
      <c r="J3258" t="str">
        <f t="shared" si="403"/>
        <v>Wednesday</v>
      </c>
      <c r="K3258" s="10" t="str">
        <f t="shared" si="404"/>
        <v>April</v>
      </c>
      <c r="L3258">
        <f t="shared" si="405"/>
        <v>2024</v>
      </c>
      <c r="M3258" t="b">
        <f t="shared" si="406"/>
        <v>0</v>
      </c>
      <c r="N3258" t="b">
        <f t="shared" si="400"/>
        <v>0</v>
      </c>
      <c r="O3258" t="str">
        <f t="shared" si="407"/>
        <v>Standard order</v>
      </c>
      <c r="P3258" s="7">
        <f t="shared" si="401"/>
        <v>1.3295000000000001</v>
      </c>
      <c r="Q3258" s="7" t="str">
        <f>VLOOKUP(D3259,Product_Lookup!$A$2:$C$27,2,FALSE)</f>
        <v>Headphones</v>
      </c>
      <c r="R3258" s="7">
        <f t="shared" si="402"/>
        <v>398.85</v>
      </c>
    </row>
    <row r="3259" spans="1:18" ht="21.75" customHeight="1">
      <c r="A3259" t="s">
        <v>3410</v>
      </c>
      <c r="B3259" s="6">
        <v>45566</v>
      </c>
      <c r="C3259" t="s">
        <v>396</v>
      </c>
      <c r="D3259" t="s">
        <v>16</v>
      </c>
      <c r="E3259" t="s">
        <v>22</v>
      </c>
      <c r="F3259" t="s">
        <v>12</v>
      </c>
      <c r="G3259" t="s">
        <v>32</v>
      </c>
      <c r="H3259">
        <v>16</v>
      </c>
      <c r="I3259" t="str">
        <f>VLOOKUP(D3259,Product_Lookup!$A$2:$C$27,3,FALSE)</f>
        <v>$178.83</v>
      </c>
      <c r="J3259" t="str">
        <f t="shared" si="403"/>
        <v>Tuesday</v>
      </c>
      <c r="K3259" s="10" t="str">
        <f t="shared" si="404"/>
        <v>October</v>
      </c>
      <c r="L3259">
        <f t="shared" si="405"/>
        <v>2024</v>
      </c>
      <c r="M3259" t="b">
        <f t="shared" si="406"/>
        <v>0</v>
      </c>
      <c r="N3259" t="b">
        <f t="shared" si="400"/>
        <v>1</v>
      </c>
      <c r="O3259" t="str">
        <f t="shared" si="407"/>
        <v>Large Order</v>
      </c>
      <c r="P3259" s="7">
        <f t="shared" si="401"/>
        <v>8.9415000000000013</v>
      </c>
      <c r="Q3259" s="7" t="str">
        <f>VLOOKUP(D3260,Product_Lookup!$A$2:$C$27,2,FALSE)</f>
        <v>Blender</v>
      </c>
      <c r="R3259" s="7">
        <f t="shared" si="402"/>
        <v>2861.28</v>
      </c>
    </row>
    <row r="3260" spans="1:18" ht="21.75" customHeight="1">
      <c r="A3260" t="s">
        <v>3411</v>
      </c>
      <c r="B3260" s="6">
        <v>45423</v>
      </c>
      <c r="C3260" t="s">
        <v>34</v>
      </c>
      <c r="D3260" t="s">
        <v>72</v>
      </c>
      <c r="E3260" t="s">
        <v>22</v>
      </c>
      <c r="F3260" t="s">
        <v>306</v>
      </c>
      <c r="G3260" t="s">
        <v>32</v>
      </c>
      <c r="H3260">
        <v>20</v>
      </c>
      <c r="I3260" t="str">
        <f>VLOOKUP(D3260,Product_Lookup!$A$2:$C$27,3,FALSE)</f>
        <v>$156.44</v>
      </c>
      <c r="J3260" t="str">
        <f t="shared" si="403"/>
        <v>Saturday</v>
      </c>
      <c r="K3260" s="10" t="str">
        <f t="shared" si="404"/>
        <v>May</v>
      </c>
      <c r="L3260">
        <f t="shared" si="405"/>
        <v>2024</v>
      </c>
      <c r="M3260" t="b">
        <f t="shared" si="406"/>
        <v>1</v>
      </c>
      <c r="N3260" t="b">
        <f t="shared" si="400"/>
        <v>1</v>
      </c>
      <c r="O3260" t="str">
        <f t="shared" si="407"/>
        <v>Large Order</v>
      </c>
      <c r="P3260" s="7">
        <f t="shared" si="401"/>
        <v>7.8220000000000001</v>
      </c>
      <c r="Q3260" s="7" t="str">
        <f>VLOOKUP(D3261,Product_Lookup!$A$2:$C$27,2,FALSE)</f>
        <v>Stapler</v>
      </c>
      <c r="R3260" s="7">
        <f t="shared" si="402"/>
        <v>3128.8</v>
      </c>
    </row>
    <row r="3261" spans="1:18" ht="21.75" customHeight="1">
      <c r="A3261" t="s">
        <v>3412</v>
      </c>
      <c r="B3261" s="6">
        <v>45341</v>
      </c>
      <c r="C3261" t="s">
        <v>517</v>
      </c>
      <c r="D3261" t="s">
        <v>35</v>
      </c>
      <c r="E3261" t="s">
        <v>22</v>
      </c>
      <c r="F3261" t="s">
        <v>306</v>
      </c>
      <c r="G3261" t="s">
        <v>28</v>
      </c>
      <c r="H3261">
        <v>5</v>
      </c>
      <c r="I3261" t="str">
        <f>VLOOKUP(D3261,Product_Lookup!$A$2:$C$27,3,FALSE)</f>
        <v>$64.61</v>
      </c>
      <c r="J3261" t="str">
        <f t="shared" si="403"/>
        <v>Monday</v>
      </c>
      <c r="K3261" s="10" t="str">
        <f t="shared" si="404"/>
        <v>February</v>
      </c>
      <c r="L3261">
        <f t="shared" si="405"/>
        <v>2024</v>
      </c>
      <c r="M3261" t="b">
        <f t="shared" si="406"/>
        <v>0</v>
      </c>
      <c r="N3261" t="b">
        <f t="shared" si="400"/>
        <v>0</v>
      </c>
      <c r="O3261" t="str">
        <f t="shared" si="407"/>
        <v>Standard order</v>
      </c>
      <c r="P3261" s="7">
        <f t="shared" si="401"/>
        <v>3.2305000000000001</v>
      </c>
      <c r="Q3261" s="7" t="str">
        <f>VLOOKUP(D3262,Product_Lookup!$A$2:$C$27,2,FALSE)</f>
        <v>Jacket</v>
      </c>
      <c r="R3261" s="7">
        <f t="shared" si="402"/>
        <v>323.05</v>
      </c>
    </row>
    <row r="3262" spans="1:18" ht="21.75" customHeight="1">
      <c r="A3262" t="s">
        <v>3413</v>
      </c>
      <c r="B3262" s="6">
        <v>45358</v>
      </c>
      <c r="C3262" t="s">
        <v>167</v>
      </c>
      <c r="D3262" t="s">
        <v>197</v>
      </c>
      <c r="E3262" t="s">
        <v>22</v>
      </c>
      <c r="F3262" t="s">
        <v>12</v>
      </c>
      <c r="G3262" t="s">
        <v>13</v>
      </c>
      <c r="H3262">
        <v>13</v>
      </c>
      <c r="I3262" t="str">
        <f>VLOOKUP(D3262,Product_Lookup!$A$2:$C$27,3,FALSE)</f>
        <v>$10.11</v>
      </c>
      <c r="J3262" t="str">
        <f t="shared" si="403"/>
        <v>Thursday</v>
      </c>
      <c r="K3262" s="10" t="str">
        <f t="shared" si="404"/>
        <v>March</v>
      </c>
      <c r="L3262">
        <f t="shared" si="405"/>
        <v>2024</v>
      </c>
      <c r="M3262" t="b">
        <f t="shared" si="406"/>
        <v>0</v>
      </c>
      <c r="N3262" t="b">
        <f t="shared" si="400"/>
        <v>0</v>
      </c>
      <c r="O3262" t="str">
        <f t="shared" si="407"/>
        <v>Standard order</v>
      </c>
      <c r="P3262" s="7">
        <f t="shared" si="401"/>
        <v>0.50549999999999995</v>
      </c>
      <c r="Q3262" s="7" t="str">
        <f>VLOOKUP(D3263,Product_Lookup!$A$2:$C$27,2,FALSE)</f>
        <v>Jacket</v>
      </c>
      <c r="R3262" s="7">
        <f t="shared" si="402"/>
        <v>131.43</v>
      </c>
    </row>
    <row r="3263" spans="1:18" ht="21.75" customHeight="1">
      <c r="A3263" t="s">
        <v>3414</v>
      </c>
      <c r="B3263" s="6">
        <v>45606</v>
      </c>
      <c r="C3263" t="s">
        <v>15</v>
      </c>
      <c r="D3263" t="s">
        <v>197</v>
      </c>
      <c r="E3263" t="s">
        <v>11</v>
      </c>
      <c r="F3263" t="s">
        <v>42</v>
      </c>
      <c r="G3263" t="s">
        <v>28</v>
      </c>
      <c r="H3263">
        <v>10</v>
      </c>
      <c r="I3263" t="str">
        <f>VLOOKUP(D3263,Product_Lookup!$A$2:$C$27,3,FALSE)</f>
        <v>$10.11</v>
      </c>
      <c r="J3263" t="str">
        <f t="shared" si="403"/>
        <v>Sunday</v>
      </c>
      <c r="K3263" s="10" t="str">
        <f t="shared" si="404"/>
        <v>November</v>
      </c>
      <c r="L3263">
        <f t="shared" si="405"/>
        <v>2024</v>
      </c>
      <c r="M3263" t="b">
        <f t="shared" si="406"/>
        <v>1</v>
      </c>
      <c r="N3263" t="b">
        <f t="shared" si="400"/>
        <v>0</v>
      </c>
      <c r="O3263" t="str">
        <f t="shared" si="407"/>
        <v>Standard order</v>
      </c>
      <c r="P3263" s="7">
        <f t="shared" si="401"/>
        <v>0.50549999999999995</v>
      </c>
      <c r="Q3263" s="7" t="str">
        <f>VLOOKUP(D3264,Product_Lookup!$A$2:$C$27,2,FALSE)</f>
        <v>Desk Lamp</v>
      </c>
      <c r="R3263" s="7">
        <f t="shared" si="402"/>
        <v>101.1</v>
      </c>
    </row>
    <row r="3264" spans="1:18" ht="21.75" customHeight="1">
      <c r="A3264" t="s">
        <v>3415</v>
      </c>
      <c r="B3264" s="6">
        <v>45528</v>
      </c>
      <c r="C3264" t="s">
        <v>317</v>
      </c>
      <c r="D3264" t="s">
        <v>59</v>
      </c>
      <c r="E3264" t="s">
        <v>22</v>
      </c>
      <c r="F3264" t="s">
        <v>306</v>
      </c>
      <c r="G3264" t="s">
        <v>36</v>
      </c>
      <c r="H3264">
        <v>9</v>
      </c>
      <c r="I3264" t="str">
        <f>VLOOKUP(D3264,Product_Lookup!$A$2:$C$27,3,FALSE)</f>
        <v>$101.96</v>
      </c>
      <c r="J3264" t="str">
        <f t="shared" si="403"/>
        <v>Saturday</v>
      </c>
      <c r="K3264" s="10" t="str">
        <f t="shared" si="404"/>
        <v>August</v>
      </c>
      <c r="L3264">
        <f t="shared" si="405"/>
        <v>2024</v>
      </c>
      <c r="M3264" t="b">
        <f t="shared" si="406"/>
        <v>1</v>
      </c>
      <c r="N3264" t="b">
        <f t="shared" si="400"/>
        <v>1</v>
      </c>
      <c r="O3264" t="str">
        <f t="shared" si="407"/>
        <v>Large Order</v>
      </c>
      <c r="P3264" s="7">
        <f t="shared" si="401"/>
        <v>5.0979999999999999</v>
      </c>
      <c r="Q3264" s="7" t="str">
        <f>VLOOKUP(D3265,Product_Lookup!$A$2:$C$27,2,FALSE)</f>
        <v>Vacuum</v>
      </c>
      <c r="R3264" s="7">
        <f t="shared" si="402"/>
        <v>917.64</v>
      </c>
    </row>
    <row r="3265" spans="1:18" ht="21.75" customHeight="1">
      <c r="A3265" t="s">
        <v>3416</v>
      </c>
      <c r="B3265" s="6">
        <v>45359</v>
      </c>
      <c r="C3265" t="s">
        <v>187</v>
      </c>
      <c r="D3265" t="s">
        <v>87</v>
      </c>
      <c r="E3265" t="s">
        <v>17</v>
      </c>
      <c r="F3265" t="s">
        <v>56</v>
      </c>
      <c r="G3265" t="s">
        <v>36</v>
      </c>
      <c r="H3265">
        <v>2</v>
      </c>
      <c r="I3265" t="str">
        <f>VLOOKUP(D3265,Product_Lookup!$A$2:$C$27,3,FALSE)</f>
        <v>$26.59</v>
      </c>
      <c r="J3265" t="str">
        <f t="shared" si="403"/>
        <v>Friday</v>
      </c>
      <c r="K3265" s="10" t="str">
        <f t="shared" si="404"/>
        <v>March</v>
      </c>
      <c r="L3265">
        <f t="shared" si="405"/>
        <v>2024</v>
      </c>
      <c r="M3265" t="b">
        <f t="shared" si="406"/>
        <v>0</v>
      </c>
      <c r="N3265" t="b">
        <f t="shared" si="400"/>
        <v>0</v>
      </c>
      <c r="O3265" t="str">
        <f t="shared" si="407"/>
        <v>Standard order</v>
      </c>
      <c r="P3265" s="7">
        <f t="shared" si="401"/>
        <v>1.3295000000000001</v>
      </c>
      <c r="Q3265" s="7" t="str">
        <f>VLOOKUP(D3266,Product_Lookup!$A$2:$C$27,2,FALSE)</f>
        <v>Smartphone</v>
      </c>
      <c r="R3265" s="7">
        <f t="shared" si="402"/>
        <v>53.18</v>
      </c>
    </row>
    <row r="3266" spans="1:18" ht="21.75" customHeight="1">
      <c r="A3266" t="s">
        <v>3417</v>
      </c>
      <c r="B3266" s="6">
        <v>45489</v>
      </c>
      <c r="C3266" t="s">
        <v>451</v>
      </c>
      <c r="D3266" t="s">
        <v>79</v>
      </c>
      <c r="E3266" t="s">
        <v>11</v>
      </c>
      <c r="F3266" t="s">
        <v>56</v>
      </c>
      <c r="G3266" t="s">
        <v>13</v>
      </c>
      <c r="H3266">
        <v>5</v>
      </c>
      <c r="I3266" t="str">
        <f>VLOOKUP(D3266,Product_Lookup!$A$2:$C$27,3,FALSE)</f>
        <v>$216.22</v>
      </c>
      <c r="J3266" t="str">
        <f t="shared" si="403"/>
        <v>Tuesday</v>
      </c>
      <c r="K3266" s="10" t="str">
        <f t="shared" si="404"/>
        <v>July</v>
      </c>
      <c r="L3266">
        <f t="shared" si="405"/>
        <v>2024</v>
      </c>
      <c r="M3266" t="b">
        <f t="shared" si="406"/>
        <v>0</v>
      </c>
      <c r="N3266" t="b">
        <f t="shared" ref="N3266:N3301" si="408">AND(R3266&gt;750, H3266&gt;5)</f>
        <v>0</v>
      </c>
      <c r="O3266" t="str">
        <f t="shared" si="407"/>
        <v>Large Order</v>
      </c>
      <c r="P3266" s="7">
        <f t="shared" ref="P3266:P3301" si="409">I3266*$S$2</f>
        <v>10.811</v>
      </c>
      <c r="Q3266" s="7" t="str">
        <f>VLOOKUP(D3267,Product_Lookup!$A$2:$C$27,2,FALSE)</f>
        <v>Coffee Maker</v>
      </c>
      <c r="R3266" s="7">
        <f t="shared" ref="R3266:R3301" si="410">H3266*I3266</f>
        <v>1081.0999999999999</v>
      </c>
    </row>
    <row r="3267" spans="1:18" ht="21.75" customHeight="1">
      <c r="A3267" t="s">
        <v>3418</v>
      </c>
      <c r="B3267" s="6">
        <v>45413</v>
      </c>
      <c r="C3267" t="s">
        <v>111</v>
      </c>
      <c r="D3267" t="s">
        <v>31</v>
      </c>
      <c r="E3267" t="s">
        <v>17</v>
      </c>
      <c r="F3267" t="s">
        <v>12</v>
      </c>
      <c r="G3267" t="s">
        <v>36</v>
      </c>
      <c r="H3267">
        <v>16</v>
      </c>
      <c r="I3267" t="str">
        <f>VLOOKUP(D3267,Product_Lookup!$A$2:$C$27,3,FALSE)</f>
        <v>$230.34</v>
      </c>
      <c r="J3267" t="str">
        <f t="shared" ref="J3267:J3301" si="411">TEXT(B3267, "dddd")</f>
        <v>Wednesday</v>
      </c>
      <c r="K3267" s="10" t="str">
        <f t="shared" ref="K3267:K3301" si="412">TEXT(B3267, "mmmm")</f>
        <v>May</v>
      </c>
      <c r="L3267">
        <f t="shared" ref="L3267:L3301" si="413">YEAR(B3267)</f>
        <v>2024</v>
      </c>
      <c r="M3267" t="b">
        <f t="shared" ref="M3267:M3301" si="414">OR(J3267="Saturday", J3267="Sunday")</f>
        <v>0</v>
      </c>
      <c r="N3267" t="b">
        <f t="shared" si="408"/>
        <v>1</v>
      </c>
      <c r="O3267" t="str">
        <f t="shared" ref="O3267:O3301" si="415">IF(R3267&gt;500,"Large Order","Standard order")</f>
        <v>Large Order</v>
      </c>
      <c r="P3267" s="7">
        <f t="shared" si="409"/>
        <v>11.517000000000001</v>
      </c>
      <c r="Q3267" s="7" t="str">
        <f>VLOOKUP(D3268,Product_Lookup!$A$2:$C$27,2,FALSE)</f>
        <v>Action Figure</v>
      </c>
      <c r="R3267" s="7">
        <f t="shared" si="410"/>
        <v>3685.44</v>
      </c>
    </row>
    <row r="3268" spans="1:18" ht="21.75" customHeight="1">
      <c r="A3268" t="s">
        <v>3419</v>
      </c>
      <c r="B3268" s="6">
        <v>45468</v>
      </c>
      <c r="C3268" t="s">
        <v>150</v>
      </c>
      <c r="D3268" t="s">
        <v>21</v>
      </c>
      <c r="E3268" t="s">
        <v>22</v>
      </c>
      <c r="F3268" t="s">
        <v>27</v>
      </c>
      <c r="G3268" t="s">
        <v>23</v>
      </c>
      <c r="H3268">
        <v>7</v>
      </c>
      <c r="I3268" t="str">
        <f>VLOOKUP(D3268,Product_Lookup!$A$2:$C$27,3,FALSE)</f>
        <v>$88.18</v>
      </c>
      <c r="J3268" t="str">
        <f t="shared" si="411"/>
        <v>Tuesday</v>
      </c>
      <c r="K3268" s="10" t="str">
        <f t="shared" si="412"/>
        <v>June</v>
      </c>
      <c r="L3268">
        <f t="shared" si="413"/>
        <v>2024</v>
      </c>
      <c r="M3268" t="b">
        <f t="shared" si="414"/>
        <v>0</v>
      </c>
      <c r="N3268" t="b">
        <f t="shared" si="408"/>
        <v>0</v>
      </c>
      <c r="O3268" t="str">
        <f t="shared" si="415"/>
        <v>Large Order</v>
      </c>
      <c r="P3268" s="7">
        <f t="shared" si="409"/>
        <v>4.4090000000000007</v>
      </c>
      <c r="Q3268" s="7" t="str">
        <f>VLOOKUP(D3269,Product_Lookup!$A$2:$C$27,2,FALSE)</f>
        <v>Air Fryer</v>
      </c>
      <c r="R3268" s="7">
        <f t="shared" si="410"/>
        <v>617.26</v>
      </c>
    </row>
    <row r="3269" spans="1:18" ht="21.75" customHeight="1">
      <c r="A3269" t="s">
        <v>3420</v>
      </c>
      <c r="B3269" s="6">
        <v>45426</v>
      </c>
      <c r="C3269" t="s">
        <v>591</v>
      </c>
      <c r="D3269" t="s">
        <v>70</v>
      </c>
      <c r="E3269" t="s">
        <v>11</v>
      </c>
      <c r="F3269" t="s">
        <v>42</v>
      </c>
      <c r="G3269" t="s">
        <v>36</v>
      </c>
      <c r="H3269">
        <v>11</v>
      </c>
      <c r="I3269" t="str">
        <f>VLOOKUP(D3269,Product_Lookup!$A$2:$C$27,3,FALSE)</f>
        <v>$211.9</v>
      </c>
      <c r="J3269" t="str">
        <f t="shared" si="411"/>
        <v>Tuesday</v>
      </c>
      <c r="K3269" s="10" t="str">
        <f t="shared" si="412"/>
        <v>May</v>
      </c>
      <c r="L3269">
        <f t="shared" si="413"/>
        <v>2024</v>
      </c>
      <c r="M3269" t="b">
        <f t="shared" si="414"/>
        <v>0</v>
      </c>
      <c r="N3269" t="b">
        <f t="shared" si="408"/>
        <v>1</v>
      </c>
      <c r="O3269" t="str">
        <f t="shared" si="415"/>
        <v>Large Order</v>
      </c>
      <c r="P3269" s="7">
        <f t="shared" si="409"/>
        <v>10.595000000000001</v>
      </c>
      <c r="Q3269" s="7" t="str">
        <f>VLOOKUP(D3270,Product_Lookup!$A$2:$C$27,2,FALSE)</f>
        <v>Blender</v>
      </c>
      <c r="R3269" s="7">
        <f t="shared" si="410"/>
        <v>2330.9</v>
      </c>
    </row>
    <row r="3270" spans="1:18" ht="21.75" customHeight="1">
      <c r="A3270" t="s">
        <v>3421</v>
      </c>
      <c r="B3270" s="6">
        <v>45387</v>
      </c>
      <c r="C3270" t="s">
        <v>230</v>
      </c>
      <c r="D3270" t="s">
        <v>72</v>
      </c>
      <c r="E3270" t="s">
        <v>17</v>
      </c>
      <c r="F3270" t="s">
        <v>306</v>
      </c>
      <c r="G3270" t="s">
        <v>23</v>
      </c>
      <c r="H3270">
        <v>4</v>
      </c>
      <c r="I3270" t="str">
        <f>VLOOKUP(D3270,Product_Lookup!$A$2:$C$27,3,FALSE)</f>
        <v>$156.44</v>
      </c>
      <c r="J3270" t="str">
        <f t="shared" si="411"/>
        <v>Friday</v>
      </c>
      <c r="K3270" s="10" t="str">
        <f t="shared" si="412"/>
        <v>April</v>
      </c>
      <c r="L3270">
        <f t="shared" si="413"/>
        <v>2024</v>
      </c>
      <c r="M3270" t="b">
        <f t="shared" si="414"/>
        <v>0</v>
      </c>
      <c r="N3270" t="b">
        <f t="shared" si="408"/>
        <v>0</v>
      </c>
      <c r="O3270" t="str">
        <f t="shared" si="415"/>
        <v>Large Order</v>
      </c>
      <c r="P3270" s="7">
        <f t="shared" si="409"/>
        <v>7.8220000000000001</v>
      </c>
      <c r="Q3270" s="7" t="str">
        <f>VLOOKUP(D3271,Product_Lookup!$A$2:$C$27,2,FALSE)</f>
        <v>Notebook</v>
      </c>
      <c r="R3270" s="7">
        <f t="shared" si="410"/>
        <v>625.76</v>
      </c>
    </row>
    <row r="3271" spans="1:18" ht="21.75" customHeight="1">
      <c r="A3271" t="s">
        <v>3422</v>
      </c>
      <c r="B3271" s="6">
        <v>45467</v>
      </c>
      <c r="C3271" t="s">
        <v>332</v>
      </c>
      <c r="D3271" t="s">
        <v>160</v>
      </c>
      <c r="E3271" t="s">
        <v>17</v>
      </c>
      <c r="F3271" t="s">
        <v>12</v>
      </c>
      <c r="G3271" t="s">
        <v>32</v>
      </c>
      <c r="H3271">
        <v>14</v>
      </c>
      <c r="I3271" t="str">
        <f>VLOOKUP(D3271,Product_Lookup!$A$2:$C$27,3,FALSE)</f>
        <v>$149.27</v>
      </c>
      <c r="J3271" t="str">
        <f t="shared" si="411"/>
        <v>Monday</v>
      </c>
      <c r="K3271" s="10" t="str">
        <f t="shared" si="412"/>
        <v>June</v>
      </c>
      <c r="L3271">
        <f t="shared" si="413"/>
        <v>2024</v>
      </c>
      <c r="M3271" t="b">
        <f t="shared" si="414"/>
        <v>0</v>
      </c>
      <c r="N3271" t="b">
        <f t="shared" si="408"/>
        <v>1</v>
      </c>
      <c r="O3271" t="str">
        <f t="shared" si="415"/>
        <v>Large Order</v>
      </c>
      <c r="P3271" s="7">
        <f t="shared" si="409"/>
        <v>7.4635000000000007</v>
      </c>
      <c r="Q3271" s="7" t="str">
        <f>VLOOKUP(D3272,Product_Lookup!$A$2:$C$27,2,FALSE)</f>
        <v>Monitor</v>
      </c>
      <c r="R3271" s="7">
        <f t="shared" si="410"/>
        <v>2089.7800000000002</v>
      </c>
    </row>
    <row r="3272" spans="1:18" ht="21.75" customHeight="1">
      <c r="A3272" t="s">
        <v>3423</v>
      </c>
      <c r="B3272" s="6">
        <v>45570</v>
      </c>
      <c r="C3272" t="s">
        <v>34</v>
      </c>
      <c r="D3272" t="s">
        <v>102</v>
      </c>
      <c r="E3272" t="s">
        <v>11</v>
      </c>
      <c r="F3272" t="s">
        <v>27</v>
      </c>
      <c r="G3272" t="s">
        <v>13</v>
      </c>
      <c r="H3272">
        <v>4</v>
      </c>
      <c r="I3272" t="str">
        <f>VLOOKUP(D3272,Product_Lookup!$A$2:$C$27,3,FALSE)</f>
        <v>$145.48</v>
      </c>
      <c r="J3272" t="str">
        <f t="shared" si="411"/>
        <v>Saturday</v>
      </c>
      <c r="K3272" s="10" t="str">
        <f t="shared" si="412"/>
        <v>October</v>
      </c>
      <c r="L3272">
        <f t="shared" si="413"/>
        <v>2024</v>
      </c>
      <c r="M3272" t="b">
        <f t="shared" si="414"/>
        <v>1</v>
      </c>
      <c r="N3272" t="b">
        <f t="shared" si="408"/>
        <v>0</v>
      </c>
      <c r="O3272" t="str">
        <f t="shared" si="415"/>
        <v>Large Order</v>
      </c>
      <c r="P3272" s="7">
        <f t="shared" si="409"/>
        <v>7.274</v>
      </c>
      <c r="Q3272" s="7" t="str">
        <f>VLOOKUP(D3273,Product_Lookup!$A$2:$C$27,2,FALSE)</f>
        <v>Toaster</v>
      </c>
      <c r="R3272" s="7">
        <f t="shared" si="410"/>
        <v>581.91999999999996</v>
      </c>
    </row>
    <row r="3273" spans="1:18" ht="21.75" customHeight="1">
      <c r="A3273" t="s">
        <v>3424</v>
      </c>
      <c r="B3273" s="6">
        <v>45443</v>
      </c>
      <c r="C3273" t="s">
        <v>34</v>
      </c>
      <c r="D3273" t="s">
        <v>48</v>
      </c>
      <c r="E3273" t="s">
        <v>17</v>
      </c>
      <c r="F3273" t="s">
        <v>27</v>
      </c>
      <c r="G3273" t="s">
        <v>23</v>
      </c>
      <c r="H3273">
        <v>18</v>
      </c>
      <c r="I3273" t="str">
        <f>VLOOKUP(D3273,Product_Lookup!$A$2:$C$27,3,FALSE)</f>
        <v>$208.85</v>
      </c>
      <c r="J3273" t="str">
        <f t="shared" si="411"/>
        <v>Friday</v>
      </c>
      <c r="K3273" s="10" t="str">
        <f t="shared" si="412"/>
        <v>May</v>
      </c>
      <c r="L3273">
        <f t="shared" si="413"/>
        <v>2024</v>
      </c>
      <c r="M3273" t="b">
        <f t="shared" si="414"/>
        <v>0</v>
      </c>
      <c r="N3273" t="b">
        <f t="shared" si="408"/>
        <v>1</v>
      </c>
      <c r="O3273" t="str">
        <f t="shared" si="415"/>
        <v>Large Order</v>
      </c>
      <c r="P3273" s="7">
        <f t="shared" si="409"/>
        <v>10.442500000000001</v>
      </c>
      <c r="Q3273" s="7" t="str">
        <f>VLOOKUP(D3274,Product_Lookup!$A$2:$C$27,2,FALSE)</f>
        <v>T-Shirt</v>
      </c>
      <c r="R3273" s="7">
        <f t="shared" si="410"/>
        <v>3759.2999999999997</v>
      </c>
    </row>
    <row r="3274" spans="1:18" ht="21.75" customHeight="1">
      <c r="A3274" t="s">
        <v>3425</v>
      </c>
      <c r="B3274" s="6">
        <v>45334</v>
      </c>
      <c r="C3274" t="s">
        <v>358</v>
      </c>
      <c r="D3274" t="s">
        <v>45</v>
      </c>
      <c r="E3274" t="s">
        <v>17</v>
      </c>
      <c r="F3274" t="s">
        <v>306</v>
      </c>
      <c r="G3274" t="s">
        <v>28</v>
      </c>
      <c r="H3274">
        <v>5</v>
      </c>
      <c r="I3274" t="str">
        <f>VLOOKUP(D3274,Product_Lookup!$A$2:$C$27,3,FALSE)</f>
        <v>$107.34</v>
      </c>
      <c r="J3274" t="str">
        <f t="shared" si="411"/>
        <v>Monday</v>
      </c>
      <c r="K3274" s="10" t="str">
        <f t="shared" si="412"/>
        <v>February</v>
      </c>
      <c r="L3274">
        <f t="shared" si="413"/>
        <v>2024</v>
      </c>
      <c r="M3274" t="b">
        <f t="shared" si="414"/>
        <v>0</v>
      </c>
      <c r="N3274" t="b">
        <f t="shared" si="408"/>
        <v>0</v>
      </c>
      <c r="O3274" t="str">
        <f t="shared" si="415"/>
        <v>Large Order</v>
      </c>
      <c r="P3274" s="7">
        <f t="shared" si="409"/>
        <v>5.3670000000000009</v>
      </c>
      <c r="Q3274" s="7" t="str">
        <f>VLOOKUP(D3275,Product_Lookup!$A$2:$C$27,2,FALSE)</f>
        <v>Laptop</v>
      </c>
      <c r="R3274" s="7">
        <f t="shared" si="410"/>
        <v>536.70000000000005</v>
      </c>
    </row>
    <row r="3275" spans="1:18" ht="21.75" customHeight="1">
      <c r="A3275" t="s">
        <v>3426</v>
      </c>
      <c r="B3275" s="6">
        <v>45405</v>
      </c>
      <c r="C3275" t="s">
        <v>420</v>
      </c>
      <c r="D3275" t="s">
        <v>96</v>
      </c>
      <c r="E3275" t="s">
        <v>11</v>
      </c>
      <c r="F3275" t="s">
        <v>42</v>
      </c>
      <c r="G3275" t="s">
        <v>36</v>
      </c>
      <c r="H3275">
        <v>20</v>
      </c>
      <c r="I3275" t="str">
        <f>VLOOKUP(D3275,Product_Lookup!$A$2:$C$27,3,FALSE)</f>
        <v>$230.68</v>
      </c>
      <c r="J3275" t="str">
        <f t="shared" si="411"/>
        <v>Tuesday</v>
      </c>
      <c r="K3275" s="10" t="str">
        <f t="shared" si="412"/>
        <v>April</v>
      </c>
      <c r="L3275">
        <f t="shared" si="413"/>
        <v>2024</v>
      </c>
      <c r="M3275" t="b">
        <f t="shared" si="414"/>
        <v>0</v>
      </c>
      <c r="N3275" t="b">
        <f t="shared" si="408"/>
        <v>1</v>
      </c>
      <c r="O3275" t="str">
        <f t="shared" si="415"/>
        <v>Large Order</v>
      </c>
      <c r="P3275" s="7">
        <f t="shared" si="409"/>
        <v>11.534000000000001</v>
      </c>
      <c r="Q3275" s="7" t="str">
        <f>VLOOKUP(D3276,Product_Lookup!$A$2:$C$27,2,FALSE)</f>
        <v>Notebook</v>
      </c>
      <c r="R3275" s="7">
        <f t="shared" si="410"/>
        <v>4613.6000000000004</v>
      </c>
    </row>
    <row r="3276" spans="1:18" ht="21.75" customHeight="1">
      <c r="A3276" t="s">
        <v>3427</v>
      </c>
      <c r="B3276" s="6">
        <v>45580</v>
      </c>
      <c r="C3276" t="s">
        <v>339</v>
      </c>
      <c r="D3276" t="s">
        <v>160</v>
      </c>
      <c r="E3276" t="s">
        <v>11</v>
      </c>
      <c r="F3276" t="s">
        <v>306</v>
      </c>
      <c r="G3276" t="s">
        <v>32</v>
      </c>
      <c r="H3276">
        <v>18</v>
      </c>
      <c r="I3276" t="str">
        <f>VLOOKUP(D3276,Product_Lookup!$A$2:$C$27,3,FALSE)</f>
        <v>$149.27</v>
      </c>
      <c r="J3276" t="str">
        <f t="shared" si="411"/>
        <v>Tuesday</v>
      </c>
      <c r="K3276" s="10" t="str">
        <f t="shared" si="412"/>
        <v>October</v>
      </c>
      <c r="L3276">
        <f t="shared" si="413"/>
        <v>2024</v>
      </c>
      <c r="M3276" t="b">
        <f t="shared" si="414"/>
        <v>0</v>
      </c>
      <c r="N3276" t="b">
        <f t="shared" si="408"/>
        <v>1</v>
      </c>
      <c r="O3276" t="str">
        <f t="shared" si="415"/>
        <v>Large Order</v>
      </c>
      <c r="P3276" s="7">
        <f t="shared" si="409"/>
        <v>7.4635000000000007</v>
      </c>
      <c r="Q3276" s="7" t="str">
        <f>VLOOKUP(D3277,Product_Lookup!$A$2:$C$27,2,FALSE)</f>
        <v>Toaster</v>
      </c>
      <c r="R3276" s="7">
        <f t="shared" si="410"/>
        <v>2686.86</v>
      </c>
    </row>
    <row r="3277" spans="1:18" ht="21.75" customHeight="1">
      <c r="A3277" t="s">
        <v>3428</v>
      </c>
      <c r="B3277" s="6">
        <v>45563</v>
      </c>
      <c r="C3277" t="s">
        <v>30</v>
      </c>
      <c r="D3277" t="s">
        <v>48</v>
      </c>
      <c r="E3277" t="s">
        <v>11</v>
      </c>
      <c r="F3277" t="s">
        <v>12</v>
      </c>
      <c r="G3277" t="s">
        <v>28</v>
      </c>
      <c r="H3277">
        <v>20</v>
      </c>
      <c r="I3277" t="str">
        <f>VLOOKUP(D3277,Product_Lookup!$A$2:$C$27,3,FALSE)</f>
        <v>$208.85</v>
      </c>
      <c r="J3277" t="str">
        <f t="shared" si="411"/>
        <v>Saturday</v>
      </c>
      <c r="K3277" s="10" t="str">
        <f t="shared" si="412"/>
        <v>September</v>
      </c>
      <c r="L3277">
        <f t="shared" si="413"/>
        <v>2024</v>
      </c>
      <c r="M3277" t="b">
        <f t="shared" si="414"/>
        <v>1</v>
      </c>
      <c r="N3277" t="b">
        <f t="shared" si="408"/>
        <v>1</v>
      </c>
      <c r="O3277" t="str">
        <f t="shared" si="415"/>
        <v>Large Order</v>
      </c>
      <c r="P3277" s="7">
        <f t="shared" si="409"/>
        <v>10.442500000000001</v>
      </c>
      <c r="Q3277" s="7" t="str">
        <f>VLOOKUP(D3278,Product_Lookup!$A$2:$C$27,2,FALSE)</f>
        <v>Paper Shredder</v>
      </c>
      <c r="R3277" s="7">
        <f t="shared" si="410"/>
        <v>4177</v>
      </c>
    </row>
    <row r="3278" spans="1:18" ht="21.75" customHeight="1">
      <c r="A3278" t="s">
        <v>3429</v>
      </c>
      <c r="B3278" s="6">
        <v>45369</v>
      </c>
      <c r="C3278" t="s">
        <v>591</v>
      </c>
      <c r="D3278" t="s">
        <v>109</v>
      </c>
      <c r="E3278" t="s">
        <v>17</v>
      </c>
      <c r="F3278" t="s">
        <v>56</v>
      </c>
      <c r="G3278" t="s">
        <v>32</v>
      </c>
      <c r="H3278">
        <v>2</v>
      </c>
      <c r="I3278" t="str">
        <f>VLOOKUP(D3278,Product_Lookup!$A$2:$C$27,3,FALSE)</f>
        <v>$81.02</v>
      </c>
      <c r="J3278" t="str">
        <f t="shared" si="411"/>
        <v>Monday</v>
      </c>
      <c r="K3278" s="10" t="str">
        <f t="shared" si="412"/>
        <v>March</v>
      </c>
      <c r="L3278">
        <f t="shared" si="413"/>
        <v>2024</v>
      </c>
      <c r="M3278" t="b">
        <f t="shared" si="414"/>
        <v>0</v>
      </c>
      <c r="N3278" t="b">
        <f t="shared" si="408"/>
        <v>0</v>
      </c>
      <c r="O3278" t="str">
        <f t="shared" si="415"/>
        <v>Standard order</v>
      </c>
      <c r="P3278" s="7">
        <f t="shared" si="409"/>
        <v>4.0510000000000002</v>
      </c>
      <c r="Q3278" s="7" t="str">
        <f>VLOOKUP(D3279,Product_Lookup!$A$2:$C$27,2,FALSE)</f>
        <v>Coffee Maker</v>
      </c>
      <c r="R3278" s="7">
        <f t="shared" si="410"/>
        <v>162.04</v>
      </c>
    </row>
    <row r="3279" spans="1:18" ht="21.75" customHeight="1">
      <c r="A3279" t="s">
        <v>3430</v>
      </c>
      <c r="B3279" s="6">
        <v>45497</v>
      </c>
      <c r="C3279" t="s">
        <v>61</v>
      </c>
      <c r="D3279" t="s">
        <v>31</v>
      </c>
      <c r="E3279" t="s">
        <v>22</v>
      </c>
      <c r="F3279" t="s">
        <v>27</v>
      </c>
      <c r="G3279" t="s">
        <v>23</v>
      </c>
      <c r="H3279">
        <v>15</v>
      </c>
      <c r="I3279" t="str">
        <f>VLOOKUP(D3279,Product_Lookup!$A$2:$C$27,3,FALSE)</f>
        <v>$230.34</v>
      </c>
      <c r="J3279" t="str">
        <f t="shared" si="411"/>
        <v>Wednesday</v>
      </c>
      <c r="K3279" s="10" t="str">
        <f t="shared" si="412"/>
        <v>July</v>
      </c>
      <c r="L3279">
        <f t="shared" si="413"/>
        <v>2024</v>
      </c>
      <c r="M3279" t="b">
        <f t="shared" si="414"/>
        <v>0</v>
      </c>
      <c r="N3279" t="b">
        <f t="shared" si="408"/>
        <v>1</v>
      </c>
      <c r="O3279" t="str">
        <f t="shared" si="415"/>
        <v>Large Order</v>
      </c>
      <c r="P3279" s="7">
        <f t="shared" si="409"/>
        <v>11.517000000000001</v>
      </c>
      <c r="Q3279" s="7" t="str">
        <f>VLOOKUP(D3280,Product_Lookup!$A$2:$C$27,2,FALSE)</f>
        <v>Tablet</v>
      </c>
      <c r="R3279" s="7">
        <f t="shared" si="410"/>
        <v>3455.1</v>
      </c>
    </row>
    <row r="3280" spans="1:18" ht="21.75" customHeight="1">
      <c r="A3280" t="s">
        <v>3431</v>
      </c>
      <c r="B3280" s="6">
        <v>45445</v>
      </c>
      <c r="C3280" t="s">
        <v>25</v>
      </c>
      <c r="D3280" t="s">
        <v>10</v>
      </c>
      <c r="E3280" t="s">
        <v>17</v>
      </c>
      <c r="F3280" t="s">
        <v>306</v>
      </c>
      <c r="G3280" t="s">
        <v>32</v>
      </c>
      <c r="H3280">
        <v>7</v>
      </c>
      <c r="I3280" t="str">
        <f>VLOOKUP(D3280,Product_Lookup!$A$2:$C$27,3,FALSE)</f>
        <v>$146.06</v>
      </c>
      <c r="J3280" t="str">
        <f t="shared" si="411"/>
        <v>Sunday</v>
      </c>
      <c r="K3280" s="10" t="str">
        <f t="shared" si="412"/>
        <v>June</v>
      </c>
      <c r="L3280">
        <f t="shared" si="413"/>
        <v>2024</v>
      </c>
      <c r="M3280" t="b">
        <f t="shared" si="414"/>
        <v>1</v>
      </c>
      <c r="N3280" t="b">
        <f t="shared" si="408"/>
        <v>1</v>
      </c>
      <c r="O3280" t="str">
        <f t="shared" si="415"/>
        <v>Large Order</v>
      </c>
      <c r="P3280" s="7">
        <f t="shared" si="409"/>
        <v>7.3030000000000008</v>
      </c>
      <c r="Q3280" s="7" t="str">
        <f>VLOOKUP(D3281,Product_Lookup!$A$2:$C$27,2,FALSE)</f>
        <v>Tablet</v>
      </c>
      <c r="R3280" s="7">
        <f t="shared" si="410"/>
        <v>1022.4200000000001</v>
      </c>
    </row>
    <row r="3281" spans="1:18" ht="21.75" customHeight="1">
      <c r="A3281" t="s">
        <v>3432</v>
      </c>
      <c r="B3281" s="6">
        <v>45605</v>
      </c>
      <c r="C3281" t="s">
        <v>327</v>
      </c>
      <c r="D3281" t="s">
        <v>10</v>
      </c>
      <c r="E3281" t="s">
        <v>11</v>
      </c>
      <c r="F3281" t="s">
        <v>27</v>
      </c>
      <c r="G3281" t="s">
        <v>28</v>
      </c>
      <c r="H3281">
        <v>5</v>
      </c>
      <c r="I3281" t="str">
        <f>VLOOKUP(D3281,Product_Lookup!$A$2:$C$27,3,FALSE)</f>
        <v>$146.06</v>
      </c>
      <c r="J3281" t="str">
        <f t="shared" si="411"/>
        <v>Saturday</v>
      </c>
      <c r="K3281" s="10" t="str">
        <f t="shared" si="412"/>
        <v>November</v>
      </c>
      <c r="L3281">
        <f t="shared" si="413"/>
        <v>2024</v>
      </c>
      <c r="M3281" t="b">
        <f t="shared" si="414"/>
        <v>1</v>
      </c>
      <c r="N3281" t="b">
        <f t="shared" si="408"/>
        <v>0</v>
      </c>
      <c r="O3281" t="str">
        <f t="shared" si="415"/>
        <v>Large Order</v>
      </c>
      <c r="P3281" s="7">
        <f t="shared" si="409"/>
        <v>7.3030000000000008</v>
      </c>
      <c r="Q3281" s="7" t="str">
        <f>VLOOKUP(D3282,Product_Lookup!$A$2:$C$27,2,FALSE)</f>
        <v>Jacket</v>
      </c>
      <c r="R3281" s="7">
        <f t="shared" si="410"/>
        <v>730.3</v>
      </c>
    </row>
    <row r="3282" spans="1:18" ht="21.75" customHeight="1">
      <c r="A3282" t="s">
        <v>3433</v>
      </c>
      <c r="B3282" s="6">
        <v>45374</v>
      </c>
      <c r="C3282" t="s">
        <v>332</v>
      </c>
      <c r="D3282" t="s">
        <v>197</v>
      </c>
      <c r="E3282" t="s">
        <v>17</v>
      </c>
      <c r="F3282" t="s">
        <v>56</v>
      </c>
      <c r="G3282" t="s">
        <v>23</v>
      </c>
      <c r="H3282">
        <v>13</v>
      </c>
      <c r="I3282" t="str">
        <f>VLOOKUP(D3282,Product_Lookup!$A$2:$C$27,3,FALSE)</f>
        <v>$10.11</v>
      </c>
      <c r="J3282" t="str">
        <f t="shared" si="411"/>
        <v>Saturday</v>
      </c>
      <c r="K3282" s="10" t="str">
        <f t="shared" si="412"/>
        <v>March</v>
      </c>
      <c r="L3282">
        <f t="shared" si="413"/>
        <v>2024</v>
      </c>
      <c r="M3282" t="b">
        <f t="shared" si="414"/>
        <v>1</v>
      </c>
      <c r="N3282" t="b">
        <f t="shared" si="408"/>
        <v>0</v>
      </c>
      <c r="O3282" t="str">
        <f t="shared" si="415"/>
        <v>Standard order</v>
      </c>
      <c r="P3282" s="7">
        <f t="shared" si="409"/>
        <v>0.50549999999999995</v>
      </c>
      <c r="Q3282" s="7" t="str">
        <f>VLOOKUP(D3283,Product_Lookup!$A$2:$C$27,2,FALSE)</f>
        <v>Tablet</v>
      </c>
      <c r="R3282" s="7">
        <f t="shared" si="410"/>
        <v>131.43</v>
      </c>
    </row>
    <row r="3283" spans="1:18" ht="21.75" customHeight="1">
      <c r="A3283" t="s">
        <v>3434</v>
      </c>
      <c r="B3283" s="6">
        <v>45419</v>
      </c>
      <c r="C3283" t="s">
        <v>20</v>
      </c>
      <c r="D3283" t="s">
        <v>10</v>
      </c>
      <c r="E3283" t="s">
        <v>11</v>
      </c>
      <c r="F3283" t="s">
        <v>42</v>
      </c>
      <c r="G3283" t="s">
        <v>28</v>
      </c>
      <c r="H3283">
        <v>13</v>
      </c>
      <c r="I3283" t="str">
        <f>VLOOKUP(D3283,Product_Lookup!$A$2:$C$27,3,FALSE)</f>
        <v>$146.06</v>
      </c>
      <c r="J3283" t="str">
        <f t="shared" si="411"/>
        <v>Tuesday</v>
      </c>
      <c r="K3283" s="10" t="str">
        <f t="shared" si="412"/>
        <v>May</v>
      </c>
      <c r="L3283">
        <f t="shared" si="413"/>
        <v>2024</v>
      </c>
      <c r="M3283" t="b">
        <f t="shared" si="414"/>
        <v>0</v>
      </c>
      <c r="N3283" t="b">
        <f t="shared" si="408"/>
        <v>1</v>
      </c>
      <c r="O3283" t="str">
        <f t="shared" si="415"/>
        <v>Large Order</v>
      </c>
      <c r="P3283" s="7">
        <f t="shared" si="409"/>
        <v>7.3030000000000008</v>
      </c>
      <c r="Q3283" s="7" t="str">
        <f>VLOOKUP(D3284,Product_Lookup!$A$2:$C$27,2,FALSE)</f>
        <v>Headphones</v>
      </c>
      <c r="R3283" s="7">
        <f t="shared" si="410"/>
        <v>1898.78</v>
      </c>
    </row>
    <row r="3284" spans="1:18" ht="21.75" customHeight="1">
      <c r="A3284" t="s">
        <v>3435</v>
      </c>
      <c r="B3284" s="6">
        <v>45591</v>
      </c>
      <c r="C3284" t="s">
        <v>422</v>
      </c>
      <c r="D3284" t="s">
        <v>16</v>
      </c>
      <c r="E3284" t="s">
        <v>11</v>
      </c>
      <c r="F3284" t="s">
        <v>27</v>
      </c>
      <c r="G3284" t="s">
        <v>28</v>
      </c>
      <c r="H3284">
        <v>9</v>
      </c>
      <c r="I3284" t="str">
        <f>VLOOKUP(D3284,Product_Lookup!$A$2:$C$27,3,FALSE)</f>
        <v>$178.83</v>
      </c>
      <c r="J3284" t="str">
        <f t="shared" si="411"/>
        <v>Saturday</v>
      </c>
      <c r="K3284" s="10" t="str">
        <f t="shared" si="412"/>
        <v>October</v>
      </c>
      <c r="L3284">
        <f t="shared" si="413"/>
        <v>2024</v>
      </c>
      <c r="M3284" t="b">
        <f t="shared" si="414"/>
        <v>1</v>
      </c>
      <c r="N3284" t="b">
        <f t="shared" si="408"/>
        <v>1</v>
      </c>
      <c r="O3284" t="str">
        <f t="shared" si="415"/>
        <v>Large Order</v>
      </c>
      <c r="P3284" s="7">
        <f t="shared" si="409"/>
        <v>8.9415000000000013</v>
      </c>
      <c r="Q3284" s="7" t="str">
        <f>VLOOKUP(D3285,Product_Lookup!$A$2:$C$27,2,FALSE)</f>
        <v>Monitor</v>
      </c>
      <c r="R3284" s="7">
        <f t="shared" si="410"/>
        <v>1609.47</v>
      </c>
    </row>
    <row r="3285" spans="1:18" ht="21.75" customHeight="1">
      <c r="A3285" t="s">
        <v>3436</v>
      </c>
      <c r="B3285" s="6">
        <v>45297</v>
      </c>
      <c r="C3285" t="s">
        <v>541</v>
      </c>
      <c r="D3285" t="s">
        <v>102</v>
      </c>
      <c r="E3285" t="s">
        <v>22</v>
      </c>
      <c r="F3285" t="s">
        <v>42</v>
      </c>
      <c r="G3285" t="s">
        <v>36</v>
      </c>
      <c r="H3285">
        <v>4</v>
      </c>
      <c r="I3285" t="str">
        <f>VLOOKUP(D3285,Product_Lookup!$A$2:$C$27,3,FALSE)</f>
        <v>$145.48</v>
      </c>
      <c r="J3285" t="str">
        <f t="shared" si="411"/>
        <v>Saturday</v>
      </c>
      <c r="K3285" s="10" t="str">
        <f t="shared" si="412"/>
        <v>January</v>
      </c>
      <c r="L3285">
        <f t="shared" si="413"/>
        <v>2024</v>
      </c>
      <c r="M3285" t="b">
        <f t="shared" si="414"/>
        <v>1</v>
      </c>
      <c r="N3285" t="b">
        <f t="shared" si="408"/>
        <v>0</v>
      </c>
      <c r="O3285" t="str">
        <f t="shared" si="415"/>
        <v>Large Order</v>
      </c>
      <c r="P3285" s="7">
        <f t="shared" si="409"/>
        <v>7.274</v>
      </c>
      <c r="Q3285" s="7" t="str">
        <f>VLOOKUP(D3286,Product_Lookup!$A$2:$C$27,2,FALSE)</f>
        <v>Jacket</v>
      </c>
      <c r="R3285" s="7">
        <f t="shared" si="410"/>
        <v>581.91999999999996</v>
      </c>
    </row>
    <row r="3286" spans="1:18" ht="21.75" customHeight="1">
      <c r="A3286" t="s">
        <v>3437</v>
      </c>
      <c r="B3286" s="6">
        <v>45598</v>
      </c>
      <c r="C3286" t="s">
        <v>553</v>
      </c>
      <c r="D3286" t="s">
        <v>197</v>
      </c>
      <c r="E3286" t="s">
        <v>22</v>
      </c>
      <c r="F3286" t="s">
        <v>27</v>
      </c>
      <c r="G3286" t="s">
        <v>32</v>
      </c>
      <c r="H3286">
        <v>4</v>
      </c>
      <c r="I3286" t="str">
        <f>VLOOKUP(D3286,Product_Lookup!$A$2:$C$27,3,FALSE)</f>
        <v>$10.11</v>
      </c>
      <c r="J3286" t="str">
        <f t="shared" si="411"/>
        <v>Saturday</v>
      </c>
      <c r="K3286" s="10" t="str">
        <f t="shared" si="412"/>
        <v>November</v>
      </c>
      <c r="L3286">
        <f t="shared" si="413"/>
        <v>2024</v>
      </c>
      <c r="M3286" t="b">
        <f t="shared" si="414"/>
        <v>1</v>
      </c>
      <c r="N3286" t="b">
        <f t="shared" si="408"/>
        <v>0</v>
      </c>
      <c r="O3286" t="str">
        <f t="shared" si="415"/>
        <v>Standard order</v>
      </c>
      <c r="P3286" s="7">
        <f t="shared" si="409"/>
        <v>0.50549999999999995</v>
      </c>
      <c r="Q3286" s="7" t="str">
        <f>VLOOKUP(D3287,Product_Lookup!$A$2:$C$27,2,FALSE)</f>
        <v>Headphones</v>
      </c>
      <c r="R3286" s="7">
        <f t="shared" si="410"/>
        <v>40.44</v>
      </c>
    </row>
    <row r="3287" spans="1:18" ht="21.75" customHeight="1">
      <c r="A3287" t="s">
        <v>3438</v>
      </c>
      <c r="B3287" s="6">
        <v>45604</v>
      </c>
      <c r="C3287" t="s">
        <v>366</v>
      </c>
      <c r="D3287" t="s">
        <v>16</v>
      </c>
      <c r="E3287" t="s">
        <v>11</v>
      </c>
      <c r="F3287" t="s">
        <v>42</v>
      </c>
      <c r="G3287" t="s">
        <v>32</v>
      </c>
      <c r="H3287">
        <v>2</v>
      </c>
      <c r="I3287" t="str">
        <f>VLOOKUP(D3287,Product_Lookup!$A$2:$C$27,3,FALSE)</f>
        <v>$178.83</v>
      </c>
      <c r="J3287" t="str">
        <f t="shared" si="411"/>
        <v>Friday</v>
      </c>
      <c r="K3287" s="10" t="str">
        <f t="shared" si="412"/>
        <v>November</v>
      </c>
      <c r="L3287">
        <f t="shared" si="413"/>
        <v>2024</v>
      </c>
      <c r="M3287" t="b">
        <f t="shared" si="414"/>
        <v>0</v>
      </c>
      <c r="N3287" t="b">
        <f t="shared" si="408"/>
        <v>0</v>
      </c>
      <c r="O3287" t="str">
        <f t="shared" si="415"/>
        <v>Standard order</v>
      </c>
      <c r="P3287" s="7">
        <f t="shared" si="409"/>
        <v>8.9415000000000013</v>
      </c>
      <c r="Q3287" s="7" t="str">
        <f>VLOOKUP(D3288,Product_Lookup!$A$2:$C$27,2,FALSE)</f>
        <v>Action Figure</v>
      </c>
      <c r="R3287" s="7">
        <f t="shared" si="410"/>
        <v>357.66</v>
      </c>
    </row>
    <row r="3288" spans="1:18" ht="21.75" customHeight="1">
      <c r="A3288" t="s">
        <v>3439</v>
      </c>
      <c r="B3288" s="6">
        <v>45422</v>
      </c>
      <c r="C3288" t="s">
        <v>40</v>
      </c>
      <c r="D3288" t="s">
        <v>21</v>
      </c>
      <c r="E3288" t="s">
        <v>17</v>
      </c>
      <c r="F3288" t="s">
        <v>27</v>
      </c>
      <c r="G3288" t="s">
        <v>36</v>
      </c>
      <c r="H3288">
        <v>6</v>
      </c>
      <c r="I3288" t="str">
        <f>VLOOKUP(D3288,Product_Lookup!$A$2:$C$27,3,FALSE)</f>
        <v>$88.18</v>
      </c>
      <c r="J3288" t="str">
        <f t="shared" si="411"/>
        <v>Friday</v>
      </c>
      <c r="K3288" s="10" t="str">
        <f t="shared" si="412"/>
        <v>May</v>
      </c>
      <c r="L3288">
        <f t="shared" si="413"/>
        <v>2024</v>
      </c>
      <c r="M3288" t="b">
        <f t="shared" si="414"/>
        <v>0</v>
      </c>
      <c r="N3288" t="b">
        <f t="shared" si="408"/>
        <v>0</v>
      </c>
      <c r="O3288" t="str">
        <f t="shared" si="415"/>
        <v>Large Order</v>
      </c>
      <c r="P3288" s="7">
        <f t="shared" si="409"/>
        <v>4.4090000000000007</v>
      </c>
      <c r="Q3288" s="7" t="str">
        <f>VLOOKUP(D3289,Product_Lookup!$A$2:$C$27,2,FALSE)</f>
        <v>Doll</v>
      </c>
      <c r="R3288" s="7">
        <f t="shared" si="410"/>
        <v>529.08000000000004</v>
      </c>
    </row>
    <row r="3289" spans="1:18" ht="21.75" customHeight="1">
      <c r="A3289" t="s">
        <v>3440</v>
      </c>
      <c r="B3289" s="6">
        <v>45646</v>
      </c>
      <c r="C3289" t="s">
        <v>374</v>
      </c>
      <c r="D3289" t="s">
        <v>119</v>
      </c>
      <c r="E3289" t="s">
        <v>17</v>
      </c>
      <c r="F3289" t="s">
        <v>56</v>
      </c>
      <c r="G3289" t="s">
        <v>36</v>
      </c>
      <c r="H3289">
        <v>4</v>
      </c>
      <c r="I3289" t="str">
        <f>VLOOKUP(D3289,Product_Lookup!$A$2:$C$27,3,FALSE)</f>
        <v>$32.94</v>
      </c>
      <c r="J3289" t="str">
        <f t="shared" si="411"/>
        <v>Friday</v>
      </c>
      <c r="K3289" s="10" t="str">
        <f t="shared" si="412"/>
        <v>December</v>
      </c>
      <c r="L3289">
        <f t="shared" si="413"/>
        <v>2024</v>
      </c>
      <c r="M3289" t="b">
        <f t="shared" si="414"/>
        <v>0</v>
      </c>
      <c r="N3289" t="b">
        <f t="shared" si="408"/>
        <v>0</v>
      </c>
      <c r="O3289" t="str">
        <f t="shared" si="415"/>
        <v>Standard order</v>
      </c>
      <c r="P3289" s="7">
        <f t="shared" si="409"/>
        <v>1.647</v>
      </c>
      <c r="Q3289" s="7" t="str">
        <f>VLOOKUP(D3290,Product_Lookup!$A$2:$C$27,2,FALSE)</f>
        <v>Toaster</v>
      </c>
      <c r="R3289" s="7">
        <f t="shared" si="410"/>
        <v>131.76</v>
      </c>
    </row>
    <row r="3290" spans="1:18" ht="21.75" customHeight="1">
      <c r="A3290" t="s">
        <v>3441</v>
      </c>
      <c r="B3290" s="6">
        <v>45600</v>
      </c>
      <c r="C3290" t="s">
        <v>327</v>
      </c>
      <c r="D3290" t="s">
        <v>48</v>
      </c>
      <c r="E3290" t="s">
        <v>11</v>
      </c>
      <c r="F3290" t="s">
        <v>27</v>
      </c>
      <c r="G3290" t="s">
        <v>23</v>
      </c>
      <c r="H3290">
        <v>14</v>
      </c>
      <c r="I3290" t="str">
        <f>VLOOKUP(D3290,Product_Lookup!$A$2:$C$27,3,FALSE)</f>
        <v>$208.85</v>
      </c>
      <c r="J3290" t="str">
        <f t="shared" si="411"/>
        <v>Monday</v>
      </c>
      <c r="K3290" s="10" t="str">
        <f t="shared" si="412"/>
        <v>November</v>
      </c>
      <c r="L3290">
        <f t="shared" si="413"/>
        <v>2024</v>
      </c>
      <c r="M3290" t="b">
        <f t="shared" si="414"/>
        <v>0</v>
      </c>
      <c r="N3290" t="b">
        <f t="shared" si="408"/>
        <v>1</v>
      </c>
      <c r="O3290" t="str">
        <f t="shared" si="415"/>
        <v>Large Order</v>
      </c>
      <c r="P3290" s="7">
        <f t="shared" si="409"/>
        <v>10.442500000000001</v>
      </c>
      <c r="Q3290" s="7" t="str">
        <f>VLOOKUP(D3291,Product_Lookup!$A$2:$C$27,2,FALSE)</f>
        <v>Sweater</v>
      </c>
      <c r="R3290" s="7">
        <f t="shared" si="410"/>
        <v>2923.9</v>
      </c>
    </row>
    <row r="3291" spans="1:18" ht="21.75" customHeight="1">
      <c r="A3291" t="s">
        <v>3442</v>
      </c>
      <c r="B3291" s="6">
        <v>45345</v>
      </c>
      <c r="C3291" t="s">
        <v>337</v>
      </c>
      <c r="D3291" t="s">
        <v>26</v>
      </c>
      <c r="E3291" t="s">
        <v>22</v>
      </c>
      <c r="F3291" t="s">
        <v>42</v>
      </c>
      <c r="G3291" t="s">
        <v>32</v>
      </c>
      <c r="H3291">
        <v>17</v>
      </c>
      <c r="I3291" t="str">
        <f>VLOOKUP(D3291,Product_Lookup!$A$2:$C$27,3,FALSE)</f>
        <v>$84.57</v>
      </c>
      <c r="J3291" t="str">
        <f t="shared" si="411"/>
        <v>Friday</v>
      </c>
      <c r="K3291" s="10" t="str">
        <f t="shared" si="412"/>
        <v>February</v>
      </c>
      <c r="L3291">
        <f t="shared" si="413"/>
        <v>2024</v>
      </c>
      <c r="M3291" t="b">
        <f t="shared" si="414"/>
        <v>0</v>
      </c>
      <c r="N3291" t="b">
        <f t="shared" si="408"/>
        <v>1</v>
      </c>
      <c r="O3291" t="str">
        <f t="shared" si="415"/>
        <v>Large Order</v>
      </c>
      <c r="P3291" s="7">
        <f t="shared" si="409"/>
        <v>4.2284999999999995</v>
      </c>
      <c r="Q3291" s="7" t="str">
        <f>VLOOKUP(D3292,Product_Lookup!$A$2:$C$27,2,FALSE)</f>
        <v>Toaster</v>
      </c>
      <c r="R3291" s="7">
        <f t="shared" si="410"/>
        <v>1437.6899999999998</v>
      </c>
    </row>
    <row r="3292" spans="1:18" ht="21.75" customHeight="1">
      <c r="A3292" t="s">
        <v>3443</v>
      </c>
      <c r="B3292" s="6">
        <v>45633</v>
      </c>
      <c r="C3292" t="s">
        <v>230</v>
      </c>
      <c r="D3292" t="s">
        <v>48</v>
      </c>
      <c r="E3292" t="s">
        <v>11</v>
      </c>
      <c r="F3292" t="s">
        <v>12</v>
      </c>
      <c r="G3292" t="s">
        <v>13</v>
      </c>
      <c r="H3292">
        <v>16</v>
      </c>
      <c r="I3292" t="str">
        <f>VLOOKUP(D3292,Product_Lookup!$A$2:$C$27,3,FALSE)</f>
        <v>$208.85</v>
      </c>
      <c r="J3292" t="str">
        <f t="shared" si="411"/>
        <v>Saturday</v>
      </c>
      <c r="K3292" s="10" t="str">
        <f t="shared" si="412"/>
        <v>December</v>
      </c>
      <c r="L3292">
        <f t="shared" si="413"/>
        <v>2024</v>
      </c>
      <c r="M3292" t="b">
        <f t="shared" si="414"/>
        <v>1</v>
      </c>
      <c r="N3292" t="b">
        <f t="shared" si="408"/>
        <v>1</v>
      </c>
      <c r="O3292" t="str">
        <f t="shared" si="415"/>
        <v>Large Order</v>
      </c>
      <c r="P3292" s="7">
        <f t="shared" si="409"/>
        <v>10.442500000000001</v>
      </c>
      <c r="Q3292" s="7" t="str">
        <f>VLOOKUP(D3293,Product_Lookup!$A$2:$C$27,2,FALSE)</f>
        <v>Desk Lamp</v>
      </c>
      <c r="R3292" s="7">
        <f t="shared" si="410"/>
        <v>3341.6</v>
      </c>
    </row>
    <row r="3293" spans="1:18" ht="21.75" customHeight="1">
      <c r="A3293" t="s">
        <v>3444</v>
      </c>
      <c r="B3293" s="6">
        <v>45545</v>
      </c>
      <c r="C3293" t="s">
        <v>240</v>
      </c>
      <c r="D3293" t="s">
        <v>59</v>
      </c>
      <c r="E3293" t="s">
        <v>17</v>
      </c>
      <c r="F3293" t="s">
        <v>42</v>
      </c>
      <c r="G3293" t="s">
        <v>13</v>
      </c>
      <c r="H3293">
        <v>16</v>
      </c>
      <c r="I3293" t="str">
        <f>VLOOKUP(D3293,Product_Lookup!$A$2:$C$27,3,FALSE)</f>
        <v>$101.96</v>
      </c>
      <c r="J3293" t="str">
        <f t="shared" si="411"/>
        <v>Tuesday</v>
      </c>
      <c r="K3293" s="10" t="str">
        <f t="shared" si="412"/>
        <v>September</v>
      </c>
      <c r="L3293">
        <f t="shared" si="413"/>
        <v>2024</v>
      </c>
      <c r="M3293" t="b">
        <f t="shared" si="414"/>
        <v>0</v>
      </c>
      <c r="N3293" t="b">
        <f t="shared" si="408"/>
        <v>1</v>
      </c>
      <c r="O3293" t="str">
        <f t="shared" si="415"/>
        <v>Large Order</v>
      </c>
      <c r="P3293" s="7">
        <f t="shared" si="409"/>
        <v>5.0979999999999999</v>
      </c>
      <c r="Q3293" s="7" t="str">
        <f>VLOOKUP(D3294,Product_Lookup!$A$2:$C$27,2,FALSE)</f>
        <v>Paper Shredder</v>
      </c>
      <c r="R3293" s="7">
        <f t="shared" si="410"/>
        <v>1631.36</v>
      </c>
    </row>
    <row r="3294" spans="1:18" ht="21.75" customHeight="1">
      <c r="A3294" t="s">
        <v>3445</v>
      </c>
      <c r="B3294" s="6">
        <v>45581</v>
      </c>
      <c r="C3294" t="s">
        <v>159</v>
      </c>
      <c r="D3294" t="s">
        <v>109</v>
      </c>
      <c r="E3294" t="s">
        <v>22</v>
      </c>
      <c r="F3294" t="s">
        <v>27</v>
      </c>
      <c r="G3294" t="s">
        <v>13</v>
      </c>
      <c r="H3294">
        <v>20</v>
      </c>
      <c r="I3294" t="str">
        <f>VLOOKUP(D3294,Product_Lookup!$A$2:$C$27,3,FALSE)</f>
        <v>$81.02</v>
      </c>
      <c r="J3294" t="str">
        <f t="shared" si="411"/>
        <v>Wednesday</v>
      </c>
      <c r="K3294" s="10" t="str">
        <f t="shared" si="412"/>
        <v>October</v>
      </c>
      <c r="L3294">
        <f t="shared" si="413"/>
        <v>2024</v>
      </c>
      <c r="M3294" t="b">
        <f t="shared" si="414"/>
        <v>0</v>
      </c>
      <c r="N3294" t="b">
        <f t="shared" si="408"/>
        <v>1</v>
      </c>
      <c r="O3294" t="str">
        <f t="shared" si="415"/>
        <v>Large Order</v>
      </c>
      <c r="P3294" s="7">
        <f t="shared" si="409"/>
        <v>4.0510000000000002</v>
      </c>
      <c r="Q3294" s="7" t="str">
        <f>VLOOKUP(D3295,Product_Lookup!$A$2:$C$27,2,FALSE)</f>
        <v>Desk Lamp</v>
      </c>
      <c r="R3294" s="7">
        <f t="shared" si="410"/>
        <v>1620.3999999999999</v>
      </c>
    </row>
    <row r="3295" spans="1:18" ht="21.75" customHeight="1">
      <c r="A3295" t="s">
        <v>3446</v>
      </c>
      <c r="B3295" s="6">
        <v>45621</v>
      </c>
      <c r="C3295" t="s">
        <v>108</v>
      </c>
      <c r="D3295" t="s">
        <v>59</v>
      </c>
      <c r="E3295" t="s">
        <v>11</v>
      </c>
      <c r="F3295" t="s">
        <v>12</v>
      </c>
      <c r="G3295" t="s">
        <v>28</v>
      </c>
      <c r="H3295">
        <v>12</v>
      </c>
      <c r="I3295" t="str">
        <f>VLOOKUP(D3295,Product_Lookup!$A$2:$C$27,3,FALSE)</f>
        <v>$101.96</v>
      </c>
      <c r="J3295" t="str">
        <f t="shared" si="411"/>
        <v>Monday</v>
      </c>
      <c r="K3295" s="10" t="str">
        <f t="shared" si="412"/>
        <v>November</v>
      </c>
      <c r="L3295">
        <f t="shared" si="413"/>
        <v>2024</v>
      </c>
      <c r="M3295" t="b">
        <f t="shared" si="414"/>
        <v>0</v>
      </c>
      <c r="N3295" t="b">
        <f t="shared" si="408"/>
        <v>1</v>
      </c>
      <c r="O3295" t="str">
        <f t="shared" si="415"/>
        <v>Large Order</v>
      </c>
      <c r="P3295" s="7">
        <f t="shared" si="409"/>
        <v>5.0979999999999999</v>
      </c>
      <c r="Q3295" s="7" t="str">
        <f>VLOOKUP(D3296,Product_Lookup!$A$2:$C$27,2,FALSE)</f>
        <v>Vacuum</v>
      </c>
      <c r="R3295" s="7">
        <f t="shared" si="410"/>
        <v>1223.52</v>
      </c>
    </row>
    <row r="3296" spans="1:18" ht="21.75" customHeight="1">
      <c r="A3296" t="s">
        <v>3447</v>
      </c>
      <c r="B3296" s="6">
        <v>45655</v>
      </c>
      <c r="C3296" t="s">
        <v>493</v>
      </c>
      <c r="D3296" t="s">
        <v>87</v>
      </c>
      <c r="E3296" t="s">
        <v>17</v>
      </c>
      <c r="F3296" t="s">
        <v>12</v>
      </c>
      <c r="G3296" t="s">
        <v>32</v>
      </c>
      <c r="H3296">
        <v>15</v>
      </c>
      <c r="I3296" t="str">
        <f>VLOOKUP(D3296,Product_Lookup!$A$2:$C$27,3,FALSE)</f>
        <v>$26.59</v>
      </c>
      <c r="J3296" t="str">
        <f t="shared" si="411"/>
        <v>Sunday</v>
      </c>
      <c r="K3296" s="10" t="str">
        <f t="shared" si="412"/>
        <v>December</v>
      </c>
      <c r="L3296">
        <f t="shared" si="413"/>
        <v>2024</v>
      </c>
      <c r="M3296" t="b">
        <f t="shared" si="414"/>
        <v>1</v>
      </c>
      <c r="N3296" t="b">
        <f t="shared" si="408"/>
        <v>0</v>
      </c>
      <c r="O3296" t="str">
        <f t="shared" si="415"/>
        <v>Standard order</v>
      </c>
      <c r="P3296" s="7">
        <f t="shared" si="409"/>
        <v>1.3295000000000001</v>
      </c>
      <c r="Q3296" s="7" t="str">
        <f>VLOOKUP(D3297,Product_Lookup!$A$2:$C$27,2,FALSE)</f>
        <v>Smartphone</v>
      </c>
      <c r="R3296" s="7">
        <f t="shared" si="410"/>
        <v>398.85</v>
      </c>
    </row>
    <row r="3297" spans="1:18" ht="21.75" customHeight="1">
      <c r="A3297" t="s">
        <v>3448</v>
      </c>
      <c r="B3297" s="6">
        <v>45585</v>
      </c>
      <c r="C3297" t="s">
        <v>363</v>
      </c>
      <c r="D3297" t="s">
        <v>79</v>
      </c>
      <c r="E3297" t="s">
        <v>17</v>
      </c>
      <c r="F3297" t="s">
        <v>27</v>
      </c>
      <c r="G3297" t="s">
        <v>13</v>
      </c>
      <c r="H3297">
        <v>7</v>
      </c>
      <c r="I3297" t="str">
        <f>VLOOKUP(D3297,Product_Lookup!$A$2:$C$27,3,FALSE)</f>
        <v>$216.22</v>
      </c>
      <c r="J3297" t="str">
        <f t="shared" si="411"/>
        <v>Sunday</v>
      </c>
      <c r="K3297" s="10" t="str">
        <f t="shared" si="412"/>
        <v>October</v>
      </c>
      <c r="L3297">
        <f t="shared" si="413"/>
        <v>2024</v>
      </c>
      <c r="M3297" t="b">
        <f t="shared" si="414"/>
        <v>1</v>
      </c>
      <c r="N3297" t="b">
        <f t="shared" si="408"/>
        <v>1</v>
      </c>
      <c r="O3297" t="str">
        <f t="shared" si="415"/>
        <v>Large Order</v>
      </c>
      <c r="P3297" s="7">
        <f t="shared" si="409"/>
        <v>10.811</v>
      </c>
      <c r="Q3297" s="7" t="str">
        <f>VLOOKUP(D3298,Product_Lookup!$A$2:$C$27,2,FALSE)</f>
        <v>Blender</v>
      </c>
      <c r="R3297" s="7">
        <f t="shared" si="410"/>
        <v>1513.54</v>
      </c>
    </row>
    <row r="3298" spans="1:18" ht="21.75" customHeight="1">
      <c r="A3298" t="s">
        <v>3449</v>
      </c>
      <c r="B3298" s="6">
        <v>45304</v>
      </c>
      <c r="C3298" t="s">
        <v>451</v>
      </c>
      <c r="D3298" t="s">
        <v>72</v>
      </c>
      <c r="E3298" t="s">
        <v>11</v>
      </c>
      <c r="F3298" t="s">
        <v>42</v>
      </c>
      <c r="G3298" t="s">
        <v>23</v>
      </c>
      <c r="H3298">
        <v>1</v>
      </c>
      <c r="I3298" t="str">
        <f>VLOOKUP(D3298,Product_Lookup!$A$2:$C$27,3,FALSE)</f>
        <v>$156.44</v>
      </c>
      <c r="J3298" t="str">
        <f t="shared" si="411"/>
        <v>Saturday</v>
      </c>
      <c r="K3298" s="10" t="str">
        <f t="shared" si="412"/>
        <v>January</v>
      </c>
      <c r="L3298">
        <f t="shared" si="413"/>
        <v>2024</v>
      </c>
      <c r="M3298" t="b">
        <f t="shared" si="414"/>
        <v>1</v>
      </c>
      <c r="N3298" t="b">
        <f t="shared" si="408"/>
        <v>0</v>
      </c>
      <c r="O3298" t="str">
        <f t="shared" si="415"/>
        <v>Standard order</v>
      </c>
      <c r="P3298" s="7">
        <f t="shared" si="409"/>
        <v>7.8220000000000001</v>
      </c>
      <c r="Q3298" s="7" t="str">
        <f>VLOOKUP(D3299,Product_Lookup!$A$2:$C$27,2,FALSE)</f>
        <v>Board Game</v>
      </c>
      <c r="R3298" s="7">
        <f t="shared" si="410"/>
        <v>156.44</v>
      </c>
    </row>
    <row r="3299" spans="1:18" ht="21.75" customHeight="1">
      <c r="A3299" t="s">
        <v>3450</v>
      </c>
      <c r="B3299" s="6">
        <v>45421</v>
      </c>
      <c r="C3299" t="s">
        <v>182</v>
      </c>
      <c r="D3299" t="s">
        <v>41</v>
      </c>
      <c r="E3299" t="s">
        <v>17</v>
      </c>
      <c r="F3299" t="s">
        <v>42</v>
      </c>
      <c r="G3299" t="s">
        <v>28</v>
      </c>
      <c r="H3299">
        <v>9</v>
      </c>
      <c r="I3299" t="str">
        <f>VLOOKUP(D3299,Product_Lookup!$A$2:$C$27,3,FALSE)</f>
        <v>$86.6</v>
      </c>
      <c r="J3299" t="str">
        <f t="shared" si="411"/>
        <v>Thursday</v>
      </c>
      <c r="K3299" s="10" t="str">
        <f t="shared" si="412"/>
        <v>May</v>
      </c>
      <c r="L3299">
        <f t="shared" si="413"/>
        <v>2024</v>
      </c>
      <c r="M3299" t="b">
        <f t="shared" si="414"/>
        <v>0</v>
      </c>
      <c r="N3299" t="b">
        <f t="shared" si="408"/>
        <v>1</v>
      </c>
      <c r="O3299" t="str">
        <f t="shared" si="415"/>
        <v>Large Order</v>
      </c>
      <c r="P3299" s="7">
        <f t="shared" si="409"/>
        <v>4.33</v>
      </c>
      <c r="Q3299" s="7" t="str">
        <f>VLOOKUP(D3300,Product_Lookup!$A$2:$C$27,2,FALSE)</f>
        <v>Air Fryer</v>
      </c>
      <c r="R3299" s="7">
        <f t="shared" si="410"/>
        <v>779.4</v>
      </c>
    </row>
    <row r="3300" spans="1:18" ht="21.75" customHeight="1">
      <c r="A3300" t="s">
        <v>3451</v>
      </c>
      <c r="B3300" s="6">
        <v>45316</v>
      </c>
      <c r="C3300" t="s">
        <v>187</v>
      </c>
      <c r="D3300" t="s">
        <v>70</v>
      </c>
      <c r="E3300" t="s">
        <v>22</v>
      </c>
      <c r="F3300" t="s">
        <v>42</v>
      </c>
      <c r="G3300" t="s">
        <v>28</v>
      </c>
      <c r="H3300">
        <v>7</v>
      </c>
      <c r="I3300" t="str">
        <f>VLOOKUP(D3300,Product_Lookup!$A$2:$C$27,3,FALSE)</f>
        <v>$211.9</v>
      </c>
      <c r="J3300" t="str">
        <f t="shared" si="411"/>
        <v>Thursday</v>
      </c>
      <c r="K3300" s="10" t="str">
        <f t="shared" si="412"/>
        <v>January</v>
      </c>
      <c r="L3300">
        <f t="shared" si="413"/>
        <v>2024</v>
      </c>
      <c r="M3300" t="b">
        <f t="shared" si="414"/>
        <v>0</v>
      </c>
      <c r="N3300" t="b">
        <f t="shared" si="408"/>
        <v>1</v>
      </c>
      <c r="O3300" t="str">
        <f t="shared" si="415"/>
        <v>Large Order</v>
      </c>
      <c r="P3300" s="7">
        <f t="shared" si="409"/>
        <v>10.595000000000001</v>
      </c>
      <c r="Q3300" s="7" t="str">
        <f>VLOOKUP(D3301,Product_Lookup!$A$2:$C$27,2,FALSE)</f>
        <v>Blender</v>
      </c>
      <c r="R3300" s="7">
        <f t="shared" si="410"/>
        <v>1483.3</v>
      </c>
    </row>
    <row r="3301" spans="1:18" ht="21.75" customHeight="1">
      <c r="A3301" t="s">
        <v>3452</v>
      </c>
      <c r="B3301" s="6">
        <v>45572</v>
      </c>
      <c r="C3301" t="s">
        <v>736</v>
      </c>
      <c r="D3301" t="s">
        <v>72</v>
      </c>
      <c r="E3301" t="s">
        <v>22</v>
      </c>
      <c r="F3301" t="s">
        <v>27</v>
      </c>
      <c r="G3301" t="s">
        <v>32</v>
      </c>
      <c r="H3301">
        <v>6</v>
      </c>
      <c r="I3301" t="str">
        <f>VLOOKUP(D3301,Product_Lookup!$A$2:$C$27,3,FALSE)</f>
        <v>$156.44</v>
      </c>
      <c r="J3301" t="str">
        <f t="shared" si="411"/>
        <v>Monday</v>
      </c>
      <c r="K3301" s="10" t="str">
        <f t="shared" si="412"/>
        <v>October</v>
      </c>
      <c r="L3301">
        <f t="shared" si="413"/>
        <v>2024</v>
      </c>
      <c r="M3301" t="b">
        <f t="shared" si="414"/>
        <v>0</v>
      </c>
      <c r="N3301" t="b">
        <f t="shared" si="408"/>
        <v>1</v>
      </c>
      <c r="O3301" t="str">
        <f t="shared" si="415"/>
        <v>Large Order</v>
      </c>
      <c r="P3301" s="7">
        <f t="shared" si="409"/>
        <v>7.8220000000000001</v>
      </c>
      <c r="Q3301" s="26" t="s">
        <v>3656</v>
      </c>
      <c r="R3301" s="7">
        <f t="shared" si="410"/>
        <v>938.64</v>
      </c>
    </row>
    <row r="3302" spans="1:18" ht="21.75" customHeight="1">
      <c r="G3302" t="s">
        <v>3653</v>
      </c>
      <c r="P3302" s="7"/>
      <c r="Q3302" s="7"/>
    </row>
    <row r="3303" spans="1:18" ht="21.75" customHeight="1">
      <c r="G3303" t="s">
        <v>3653</v>
      </c>
      <c r="P3303" s="7"/>
      <c r="Q3303" s="7"/>
    </row>
    <row r="3304" spans="1:18" ht="21.75" customHeight="1">
      <c r="G3304" t="s">
        <v>3653</v>
      </c>
      <c r="P3304" s="7"/>
      <c r="Q3304" s="7"/>
    </row>
    <row r="3305" spans="1:18" ht="21.75" customHeight="1">
      <c r="G3305" t="s">
        <v>3653</v>
      </c>
      <c r="P3305" s="7"/>
      <c r="Q3305" s="7"/>
    </row>
    <row r="3306" spans="1:18" ht="21.75" customHeight="1">
      <c r="G3306" t="s">
        <v>3653</v>
      </c>
      <c r="P3306" s="7"/>
      <c r="Q3306" s="7"/>
    </row>
    <row r="3307" spans="1:18" ht="21.75" customHeight="1">
      <c r="G3307" t="s">
        <v>3653</v>
      </c>
      <c r="P3307" s="7"/>
      <c r="Q3307" s="7"/>
    </row>
    <row r="3308" spans="1:18" ht="21.75" customHeight="1">
      <c r="G3308" t="s">
        <v>3653</v>
      </c>
      <c r="P3308" s="7"/>
      <c r="Q3308" s="7"/>
    </row>
    <row r="3309" spans="1:18" ht="21.75" customHeight="1">
      <c r="G3309" t="s">
        <v>3653</v>
      </c>
      <c r="P3309" s="7"/>
      <c r="Q3309" s="7"/>
    </row>
    <row r="3310" spans="1:18" ht="21.75" customHeight="1">
      <c r="G3310" t="s">
        <v>3653</v>
      </c>
      <c r="P3310" s="7"/>
      <c r="Q3310" s="7"/>
    </row>
    <row r="3311" spans="1:18" ht="21.75" customHeight="1">
      <c r="G3311" t="s">
        <v>3653</v>
      </c>
      <c r="P3311" s="7"/>
      <c r="Q3311" s="7"/>
    </row>
    <row r="3312" spans="1:18" ht="21.75" customHeight="1">
      <c r="G3312" t="s">
        <v>3653</v>
      </c>
      <c r="P3312" s="7"/>
      <c r="Q3312" s="7"/>
    </row>
    <row r="3313" spans="7:17" ht="21.75" customHeight="1">
      <c r="G3313" t="s">
        <v>3653</v>
      </c>
      <c r="P3313" s="7"/>
      <c r="Q3313" s="7"/>
    </row>
    <row r="3314" spans="7:17" ht="21.75" customHeight="1">
      <c r="G3314" t="s">
        <v>3653</v>
      </c>
      <c r="P3314" s="7"/>
      <c r="Q3314" s="7"/>
    </row>
    <row r="3315" spans="7:17" ht="21.75" customHeight="1">
      <c r="G3315" t="s">
        <v>3653</v>
      </c>
      <c r="P3315" s="7"/>
      <c r="Q3315" s="7"/>
    </row>
    <row r="3316" spans="7:17" ht="21.75" customHeight="1">
      <c r="G3316" t="s">
        <v>3653</v>
      </c>
      <c r="P3316" s="7"/>
      <c r="Q3316" s="7"/>
    </row>
    <row r="3317" spans="7:17" ht="21.75" customHeight="1">
      <c r="G3317" t="s">
        <v>3653</v>
      </c>
      <c r="P3317" s="7"/>
      <c r="Q3317" s="7"/>
    </row>
    <row r="3318" spans="7:17" ht="21.75" customHeight="1">
      <c r="G3318" t="s">
        <v>3653</v>
      </c>
      <c r="P3318" s="7"/>
      <c r="Q3318" s="7"/>
    </row>
    <row r="3319" spans="7:17" ht="21.75" customHeight="1">
      <c r="G3319" t="s">
        <v>3653</v>
      </c>
      <c r="P3319" s="7"/>
      <c r="Q3319" s="7"/>
    </row>
    <row r="3320" spans="7:17" ht="21.75" customHeight="1">
      <c r="G3320" t="s">
        <v>3653</v>
      </c>
      <c r="P3320" s="7"/>
      <c r="Q3320" s="7"/>
    </row>
    <row r="3321" spans="7:17" ht="21.75" customHeight="1">
      <c r="G3321" t="s">
        <v>3653</v>
      </c>
      <c r="P3321" s="7"/>
      <c r="Q3321" s="7"/>
    </row>
    <row r="3322" spans="7:17" ht="21.75" customHeight="1">
      <c r="G3322" t="s">
        <v>3653</v>
      </c>
      <c r="P3322" s="7"/>
      <c r="Q3322" s="7"/>
    </row>
    <row r="3323" spans="7:17" ht="21.75" customHeight="1">
      <c r="G3323" t="s">
        <v>3653</v>
      </c>
      <c r="P3323" s="7"/>
      <c r="Q3323" s="7"/>
    </row>
    <row r="3324" spans="7:17" ht="21.75" customHeight="1">
      <c r="G3324" t="s">
        <v>3653</v>
      </c>
      <c r="P3324" s="7"/>
      <c r="Q3324" s="7"/>
    </row>
    <row r="3325" spans="7:17" ht="21.75" customHeight="1">
      <c r="G3325" t="s">
        <v>3653</v>
      </c>
      <c r="P3325" s="7"/>
      <c r="Q3325" s="7"/>
    </row>
    <row r="3326" spans="7:17" ht="21.75" customHeight="1">
      <c r="G3326" t="s">
        <v>3653</v>
      </c>
      <c r="P3326" s="7"/>
      <c r="Q3326" s="7"/>
    </row>
    <row r="3327" spans="7:17" ht="21.75" customHeight="1">
      <c r="G3327" t="s">
        <v>3653</v>
      </c>
      <c r="P3327" s="7"/>
      <c r="Q3327" s="7"/>
    </row>
    <row r="3328" spans="7:17" ht="21.75" customHeight="1">
      <c r="G3328" t="s">
        <v>3653</v>
      </c>
      <c r="P3328" s="7"/>
      <c r="Q3328" s="7"/>
    </row>
    <row r="3329" spans="7:17" ht="21.75" customHeight="1">
      <c r="G3329" t="s">
        <v>3653</v>
      </c>
      <c r="P3329" s="7"/>
      <c r="Q3329" s="7"/>
    </row>
    <row r="3330" spans="7:17" ht="21.75" customHeight="1">
      <c r="G3330" t="s">
        <v>3653</v>
      </c>
      <c r="P3330" s="7"/>
      <c r="Q3330" s="7"/>
    </row>
    <row r="3331" spans="7:17" ht="21.75" customHeight="1">
      <c r="G3331" t="s">
        <v>3653</v>
      </c>
      <c r="P3331" s="7"/>
      <c r="Q3331" s="7"/>
    </row>
    <row r="3332" spans="7:17" ht="21.75" customHeight="1">
      <c r="G3332" t="s">
        <v>3653</v>
      </c>
      <c r="P3332" s="7"/>
      <c r="Q3332" s="7"/>
    </row>
    <row r="3333" spans="7:17" ht="21.75" customHeight="1">
      <c r="G3333" t="s">
        <v>3653</v>
      </c>
      <c r="P3333" s="7"/>
      <c r="Q3333" s="7"/>
    </row>
    <row r="3334" spans="7:17" ht="21.75" customHeight="1">
      <c r="G3334" t="s">
        <v>3653</v>
      </c>
      <c r="P3334" s="7"/>
      <c r="Q3334" s="7"/>
    </row>
    <row r="3335" spans="7:17" ht="21.75" customHeight="1">
      <c r="G3335" t="s">
        <v>3653</v>
      </c>
      <c r="P3335" s="7"/>
      <c r="Q3335" s="7"/>
    </row>
    <row r="3336" spans="7:17" ht="21.75" customHeight="1">
      <c r="G3336" t="s">
        <v>3653</v>
      </c>
      <c r="P3336" s="7"/>
      <c r="Q3336" s="7"/>
    </row>
    <row r="3337" spans="7:17" ht="21.75" customHeight="1">
      <c r="G3337" t="s">
        <v>3653</v>
      </c>
      <c r="P3337" s="7"/>
      <c r="Q3337" s="7"/>
    </row>
    <row r="3338" spans="7:17" ht="21.75" customHeight="1">
      <c r="G3338" t="s">
        <v>3653</v>
      </c>
      <c r="P3338" s="7"/>
      <c r="Q3338" s="7"/>
    </row>
    <row r="3339" spans="7:17" ht="21.75" customHeight="1">
      <c r="G3339" t="s">
        <v>3653</v>
      </c>
      <c r="P3339" s="7"/>
      <c r="Q3339" s="7"/>
    </row>
    <row r="3340" spans="7:17" ht="21.75" customHeight="1">
      <c r="G3340" t="s">
        <v>3653</v>
      </c>
      <c r="P3340" s="7"/>
      <c r="Q3340" s="7"/>
    </row>
    <row r="3341" spans="7:17" ht="21.75" customHeight="1">
      <c r="G3341" t="s">
        <v>3653</v>
      </c>
      <c r="P3341" s="7"/>
      <c r="Q3341" s="7"/>
    </row>
    <row r="3342" spans="7:17" ht="21.75" customHeight="1">
      <c r="G3342" t="s">
        <v>3653</v>
      </c>
      <c r="P3342" s="7"/>
      <c r="Q3342" s="7"/>
    </row>
    <row r="3343" spans="7:17" ht="21.75" customHeight="1">
      <c r="G3343" t="s">
        <v>3653</v>
      </c>
      <c r="P3343" s="7"/>
      <c r="Q3343" s="7"/>
    </row>
    <row r="3344" spans="7:17" ht="21.75" customHeight="1">
      <c r="G3344" t="s">
        <v>3653</v>
      </c>
      <c r="P3344" s="7"/>
      <c r="Q3344" s="7"/>
    </row>
    <row r="3345" spans="7:17" ht="21.75" customHeight="1">
      <c r="G3345" t="s">
        <v>3653</v>
      </c>
      <c r="P3345" s="7"/>
      <c r="Q3345" s="7"/>
    </row>
    <row r="3346" spans="7:17" ht="21.75" customHeight="1">
      <c r="G3346" t="s">
        <v>3653</v>
      </c>
      <c r="P3346" s="7"/>
      <c r="Q3346" s="7"/>
    </row>
    <row r="3347" spans="7:17" ht="21.75" customHeight="1">
      <c r="G3347" t="s">
        <v>3653</v>
      </c>
      <c r="P3347" s="7"/>
      <c r="Q3347" s="7"/>
    </row>
    <row r="3348" spans="7:17" ht="21.75" customHeight="1">
      <c r="G3348" t="s">
        <v>3653</v>
      </c>
      <c r="P3348" s="7"/>
      <c r="Q3348" s="7"/>
    </row>
    <row r="3349" spans="7:17" ht="21.75" customHeight="1">
      <c r="G3349" t="s">
        <v>3653</v>
      </c>
      <c r="P3349" s="7"/>
      <c r="Q3349" s="7"/>
    </row>
    <row r="3350" spans="7:17" ht="21.75" customHeight="1">
      <c r="G3350" t="s">
        <v>3653</v>
      </c>
      <c r="P3350" s="7"/>
      <c r="Q3350" s="7"/>
    </row>
    <row r="3351" spans="7:17" ht="21.75" customHeight="1">
      <c r="G3351" t="s">
        <v>3653</v>
      </c>
      <c r="P3351" s="7"/>
      <c r="Q3351" s="7"/>
    </row>
    <row r="3352" spans="7:17" ht="21.75" customHeight="1">
      <c r="G3352" t="s">
        <v>3653</v>
      </c>
      <c r="P3352" s="7"/>
      <c r="Q3352" s="7"/>
    </row>
    <row r="3353" spans="7:17" ht="21.75" customHeight="1">
      <c r="G3353" t="s">
        <v>3653</v>
      </c>
      <c r="P3353" s="7"/>
      <c r="Q3353" s="7"/>
    </row>
    <row r="3354" spans="7:17" ht="21.75" customHeight="1">
      <c r="G3354" t="s">
        <v>3653</v>
      </c>
      <c r="P3354" s="7"/>
      <c r="Q3354" s="7"/>
    </row>
    <row r="3355" spans="7:17" ht="21.75" customHeight="1">
      <c r="G3355" t="s">
        <v>3653</v>
      </c>
      <c r="P3355" s="7"/>
      <c r="Q3355" s="7"/>
    </row>
    <row r="3356" spans="7:17" ht="21.75" customHeight="1">
      <c r="G3356" t="s">
        <v>3653</v>
      </c>
      <c r="P3356" s="7"/>
      <c r="Q3356" s="7"/>
    </row>
    <row r="3357" spans="7:17" ht="21.75" customHeight="1">
      <c r="G3357" t="s">
        <v>3653</v>
      </c>
      <c r="P3357" s="7"/>
      <c r="Q3357" s="7"/>
    </row>
    <row r="3358" spans="7:17" ht="21.75" customHeight="1">
      <c r="G3358" t="s">
        <v>3653</v>
      </c>
      <c r="P3358" s="7"/>
      <c r="Q3358" s="7"/>
    </row>
    <row r="3359" spans="7:17" ht="21.75" customHeight="1">
      <c r="G3359" t="s">
        <v>3653</v>
      </c>
      <c r="P3359" s="7"/>
      <c r="Q3359" s="7"/>
    </row>
    <row r="3360" spans="7:17" ht="21.75" customHeight="1">
      <c r="G3360" t="s">
        <v>3653</v>
      </c>
      <c r="P3360" s="7"/>
      <c r="Q3360" s="7"/>
    </row>
    <row r="3361" spans="7:17" ht="21.75" customHeight="1">
      <c r="G3361" t="s">
        <v>3653</v>
      </c>
      <c r="P3361" s="7"/>
      <c r="Q3361" s="7"/>
    </row>
    <row r="3362" spans="7:17" ht="21.75" customHeight="1">
      <c r="G3362" t="s">
        <v>3653</v>
      </c>
      <c r="P3362" s="7"/>
      <c r="Q3362" s="7"/>
    </row>
    <row r="3363" spans="7:17" ht="21.75" customHeight="1">
      <c r="G3363" t="s">
        <v>3653</v>
      </c>
      <c r="P3363" s="7"/>
      <c r="Q3363" s="7"/>
    </row>
    <row r="3364" spans="7:17" ht="21.75" customHeight="1">
      <c r="G3364" t="s">
        <v>3653</v>
      </c>
      <c r="P3364" s="7"/>
      <c r="Q3364" s="7"/>
    </row>
    <row r="3365" spans="7:17" ht="21.75" customHeight="1">
      <c r="G3365" t="s">
        <v>3653</v>
      </c>
      <c r="P3365" s="7"/>
      <c r="Q3365" s="7"/>
    </row>
    <row r="3366" spans="7:17" ht="21.75" customHeight="1">
      <c r="G3366" t="s">
        <v>3653</v>
      </c>
      <c r="P3366" s="7"/>
      <c r="Q3366" s="7"/>
    </row>
    <row r="3367" spans="7:17" ht="21.75" customHeight="1">
      <c r="G3367" t="s">
        <v>3653</v>
      </c>
      <c r="P3367" s="7"/>
      <c r="Q3367" s="7"/>
    </row>
    <row r="3368" spans="7:17" ht="21.75" customHeight="1">
      <c r="G3368" t="s">
        <v>3653</v>
      </c>
      <c r="P3368" s="7"/>
      <c r="Q3368" s="7"/>
    </row>
    <row r="3369" spans="7:17" ht="21.75" customHeight="1">
      <c r="G3369" t="s">
        <v>3653</v>
      </c>
      <c r="P3369" s="7"/>
      <c r="Q3369" s="7"/>
    </row>
    <row r="3370" spans="7:17" ht="21.75" customHeight="1">
      <c r="G3370" t="s">
        <v>3653</v>
      </c>
      <c r="P3370" s="7"/>
      <c r="Q3370" s="7"/>
    </row>
    <row r="3371" spans="7:17" ht="21.75" customHeight="1">
      <c r="G3371" t="s">
        <v>3653</v>
      </c>
      <c r="P3371" s="7"/>
      <c r="Q3371" s="7"/>
    </row>
    <row r="3372" spans="7:17" ht="21.75" customHeight="1">
      <c r="G3372" t="s">
        <v>3653</v>
      </c>
      <c r="P3372" s="7"/>
      <c r="Q3372" s="7"/>
    </row>
    <row r="3373" spans="7:17" ht="21.75" customHeight="1">
      <c r="G3373" t="s">
        <v>3653</v>
      </c>
      <c r="P3373" s="7"/>
      <c r="Q3373" s="7"/>
    </row>
    <row r="3374" spans="7:17" ht="21.75" customHeight="1">
      <c r="G3374" t="s">
        <v>3653</v>
      </c>
      <c r="P3374" s="7"/>
      <c r="Q3374" s="7"/>
    </row>
    <row r="3375" spans="7:17" ht="21.75" customHeight="1">
      <c r="G3375" t="s">
        <v>3653</v>
      </c>
      <c r="P3375" s="7"/>
      <c r="Q3375" s="7"/>
    </row>
    <row r="3376" spans="7:17" ht="21.75" customHeight="1">
      <c r="G3376" t="s">
        <v>3653</v>
      </c>
      <c r="P3376" s="7"/>
      <c r="Q3376" s="7"/>
    </row>
    <row r="3377" spans="7:17" ht="21.75" customHeight="1">
      <c r="G3377" t="s">
        <v>3653</v>
      </c>
      <c r="P3377" s="7"/>
      <c r="Q3377" s="7"/>
    </row>
    <row r="3378" spans="7:17" ht="21.75" customHeight="1">
      <c r="G3378" t="s">
        <v>3653</v>
      </c>
      <c r="P3378" s="7"/>
      <c r="Q3378" s="7"/>
    </row>
    <row r="3379" spans="7:17" ht="21.75" customHeight="1">
      <c r="G3379" t="s">
        <v>3653</v>
      </c>
      <c r="P3379" s="7"/>
      <c r="Q3379" s="7"/>
    </row>
    <row r="3380" spans="7:17" ht="21.75" customHeight="1">
      <c r="G3380" t="s">
        <v>3653</v>
      </c>
      <c r="P3380" s="7"/>
      <c r="Q3380" s="7"/>
    </row>
    <row r="3381" spans="7:17" ht="21.75" customHeight="1">
      <c r="G3381" t="s">
        <v>3653</v>
      </c>
      <c r="P3381" s="7"/>
      <c r="Q3381" s="7"/>
    </row>
    <row r="3382" spans="7:17" ht="21.75" customHeight="1">
      <c r="G3382" t="s">
        <v>3653</v>
      </c>
      <c r="P3382" s="7"/>
      <c r="Q3382" s="7"/>
    </row>
    <row r="3383" spans="7:17" ht="21.75" customHeight="1">
      <c r="G3383" t="s">
        <v>3653</v>
      </c>
      <c r="P3383" s="7"/>
      <c r="Q3383" s="7"/>
    </row>
    <row r="3384" spans="7:17" ht="21.75" customHeight="1">
      <c r="G3384" t="s">
        <v>3653</v>
      </c>
      <c r="P3384" s="7"/>
      <c r="Q3384" s="7"/>
    </row>
    <row r="3385" spans="7:17" ht="21.75" customHeight="1">
      <c r="G3385" t="s">
        <v>3653</v>
      </c>
      <c r="P3385" s="7"/>
      <c r="Q3385" s="7"/>
    </row>
    <row r="3386" spans="7:17" ht="21.75" customHeight="1">
      <c r="G3386" t="s">
        <v>3653</v>
      </c>
      <c r="P3386" s="7"/>
      <c r="Q3386" s="7"/>
    </row>
    <row r="3387" spans="7:17" ht="21.75" customHeight="1">
      <c r="G3387" t="s">
        <v>3653</v>
      </c>
      <c r="P3387" s="7"/>
      <c r="Q3387" s="7"/>
    </row>
    <row r="3388" spans="7:17" ht="21.75" customHeight="1">
      <c r="G3388" t="s">
        <v>3653</v>
      </c>
      <c r="P3388" s="7"/>
      <c r="Q3388" s="7"/>
    </row>
    <row r="3389" spans="7:17" ht="21.75" customHeight="1">
      <c r="G3389" t="s">
        <v>3653</v>
      </c>
      <c r="P3389" s="7"/>
      <c r="Q3389" s="7"/>
    </row>
    <row r="3390" spans="7:17" ht="21.75" customHeight="1">
      <c r="G3390" t="s">
        <v>3653</v>
      </c>
      <c r="P3390" s="7"/>
      <c r="Q3390" s="7"/>
    </row>
    <row r="3391" spans="7:17" ht="21.75" customHeight="1">
      <c r="G3391" t="s">
        <v>3653</v>
      </c>
      <c r="P3391" s="7"/>
      <c r="Q3391" s="7"/>
    </row>
    <row r="3392" spans="7:17" ht="21.75" customHeight="1">
      <c r="G3392" t="s">
        <v>3653</v>
      </c>
      <c r="P3392" s="7"/>
      <c r="Q3392" s="7"/>
    </row>
    <row r="3393" spans="7:17" ht="21.75" customHeight="1">
      <c r="G3393" t="s">
        <v>3653</v>
      </c>
      <c r="P3393" s="7"/>
      <c r="Q3393" s="7"/>
    </row>
    <row r="3394" spans="7:17" ht="21.75" customHeight="1">
      <c r="G3394" t="s">
        <v>3653</v>
      </c>
      <c r="P3394" s="7"/>
      <c r="Q3394" s="7"/>
    </row>
    <row r="3395" spans="7:17" ht="21.75" customHeight="1">
      <c r="G3395" t="s">
        <v>3653</v>
      </c>
      <c r="P3395" s="7"/>
      <c r="Q3395" s="7"/>
    </row>
    <row r="3396" spans="7:17" ht="21.75" customHeight="1">
      <c r="G3396" t="s">
        <v>3653</v>
      </c>
      <c r="P3396" s="7"/>
      <c r="Q3396" s="7"/>
    </row>
    <row r="3397" spans="7:17" ht="21.75" customHeight="1">
      <c r="G3397" t="s">
        <v>3653</v>
      </c>
      <c r="P3397" s="7"/>
      <c r="Q3397" s="7"/>
    </row>
    <row r="3398" spans="7:17" ht="21.75" customHeight="1">
      <c r="G3398" t="s">
        <v>3653</v>
      </c>
      <c r="P3398" s="7"/>
      <c r="Q3398" s="7"/>
    </row>
    <row r="3399" spans="7:17" ht="21.75" customHeight="1">
      <c r="G3399" t="s">
        <v>3653</v>
      </c>
      <c r="P3399" s="7"/>
      <c r="Q3399" s="7"/>
    </row>
    <row r="3400" spans="7:17" ht="21.75" customHeight="1">
      <c r="G3400" t="s">
        <v>3653</v>
      </c>
      <c r="P3400" s="7"/>
      <c r="Q3400" s="7"/>
    </row>
    <row r="3401" spans="7:17" ht="21.75" customHeight="1">
      <c r="G3401" t="s">
        <v>3653</v>
      </c>
      <c r="P3401" s="7"/>
      <c r="Q3401" s="7"/>
    </row>
    <row r="3402" spans="7:17" ht="21.75" customHeight="1">
      <c r="G3402" t="s">
        <v>3653</v>
      </c>
      <c r="P3402" s="7"/>
      <c r="Q3402" s="7"/>
    </row>
    <row r="3403" spans="7:17" ht="21.75" customHeight="1">
      <c r="G3403" t="s">
        <v>3653</v>
      </c>
      <c r="P3403" s="7"/>
      <c r="Q3403" s="7"/>
    </row>
    <row r="3404" spans="7:17" ht="21.75" customHeight="1">
      <c r="G3404" t="s">
        <v>3653</v>
      </c>
      <c r="P3404" s="7"/>
      <c r="Q3404" s="7"/>
    </row>
    <row r="3405" spans="7:17" ht="21.75" customHeight="1">
      <c r="G3405" t="s">
        <v>3653</v>
      </c>
      <c r="P3405" s="7"/>
      <c r="Q3405" s="7"/>
    </row>
    <row r="3406" spans="7:17" ht="21.75" customHeight="1">
      <c r="G3406" t="s">
        <v>3653</v>
      </c>
      <c r="P3406" s="7"/>
      <c r="Q3406" s="7"/>
    </row>
    <row r="3407" spans="7:17" ht="21.75" customHeight="1">
      <c r="G3407" t="s">
        <v>3653</v>
      </c>
      <c r="P3407" s="7"/>
      <c r="Q3407" s="7"/>
    </row>
    <row r="3408" spans="7:17" ht="21.75" customHeight="1">
      <c r="G3408" t="s">
        <v>3653</v>
      </c>
      <c r="P3408" s="7"/>
      <c r="Q3408" s="7"/>
    </row>
    <row r="3409" spans="7:17" ht="21.75" customHeight="1">
      <c r="G3409" t="s">
        <v>3653</v>
      </c>
      <c r="P3409" s="7"/>
      <c r="Q3409" s="7"/>
    </row>
    <row r="3410" spans="7:17" ht="21.75" customHeight="1">
      <c r="G3410" t="s">
        <v>3653</v>
      </c>
      <c r="P3410" s="7"/>
      <c r="Q3410" s="7"/>
    </row>
    <row r="3411" spans="7:17" ht="21.75" customHeight="1">
      <c r="G3411" t="s">
        <v>3653</v>
      </c>
      <c r="P3411" s="7"/>
      <c r="Q3411" s="7"/>
    </row>
    <row r="3412" spans="7:17" ht="21.75" customHeight="1">
      <c r="G3412" t="s">
        <v>3653</v>
      </c>
      <c r="P3412" s="7"/>
      <c r="Q3412" s="7"/>
    </row>
    <row r="3413" spans="7:17" ht="21.75" customHeight="1">
      <c r="G3413" t="s">
        <v>3653</v>
      </c>
      <c r="P3413" s="7"/>
      <c r="Q3413" s="7"/>
    </row>
    <row r="3414" spans="7:17" ht="21.75" customHeight="1">
      <c r="G3414" t="s">
        <v>3653</v>
      </c>
      <c r="P3414" s="7"/>
      <c r="Q3414" s="7"/>
    </row>
    <row r="3415" spans="7:17" ht="21.75" customHeight="1">
      <c r="G3415" t="s">
        <v>3653</v>
      </c>
      <c r="P3415" s="7"/>
      <c r="Q3415" s="7"/>
    </row>
    <row r="3416" spans="7:17" ht="21.75" customHeight="1">
      <c r="G3416" t="s">
        <v>3653</v>
      </c>
      <c r="P3416" s="7"/>
      <c r="Q3416" s="7"/>
    </row>
    <row r="3417" spans="7:17" ht="21.75" customHeight="1">
      <c r="G3417" t="s">
        <v>3653</v>
      </c>
      <c r="P3417" s="7"/>
      <c r="Q3417" s="7"/>
    </row>
    <row r="3418" spans="7:17" ht="21.75" customHeight="1">
      <c r="G3418" t="s">
        <v>3653</v>
      </c>
      <c r="P3418" s="7"/>
      <c r="Q3418" s="7"/>
    </row>
    <row r="3419" spans="7:17" ht="21.75" customHeight="1">
      <c r="G3419" t="s">
        <v>3653</v>
      </c>
      <c r="P3419" s="7"/>
      <c r="Q3419" s="7"/>
    </row>
    <row r="3420" spans="7:17" ht="21.75" customHeight="1">
      <c r="G3420" t="s">
        <v>3653</v>
      </c>
      <c r="P3420" s="7"/>
      <c r="Q3420" s="7"/>
    </row>
    <row r="3421" spans="7:17" ht="21.75" customHeight="1">
      <c r="G3421" t="s">
        <v>3653</v>
      </c>
      <c r="P3421" s="7"/>
      <c r="Q3421" s="7"/>
    </row>
    <row r="3422" spans="7:17" ht="21.75" customHeight="1">
      <c r="G3422" t="s">
        <v>3653</v>
      </c>
      <c r="P3422" s="7"/>
      <c r="Q3422" s="7"/>
    </row>
    <row r="3423" spans="7:17" ht="21.75" customHeight="1">
      <c r="G3423" t="s">
        <v>3653</v>
      </c>
      <c r="P3423" s="7"/>
      <c r="Q3423" s="7"/>
    </row>
    <row r="3424" spans="7:17" ht="21.75" customHeight="1">
      <c r="G3424" t="s">
        <v>3653</v>
      </c>
      <c r="P3424" s="7"/>
      <c r="Q3424" s="7"/>
    </row>
    <row r="3425" spans="7:17" ht="21.75" customHeight="1">
      <c r="G3425" t="s">
        <v>3653</v>
      </c>
      <c r="P3425" s="7"/>
      <c r="Q3425" s="7"/>
    </row>
    <row r="3426" spans="7:17" ht="21.75" customHeight="1">
      <c r="G3426" t="s">
        <v>3653</v>
      </c>
      <c r="P3426" s="7"/>
      <c r="Q3426" s="7"/>
    </row>
    <row r="3427" spans="7:17" ht="21.75" customHeight="1">
      <c r="G3427" t="s">
        <v>3653</v>
      </c>
      <c r="P3427" s="7"/>
      <c r="Q3427" s="7"/>
    </row>
    <row r="3428" spans="7:17" ht="21.75" customHeight="1">
      <c r="G3428" t="s">
        <v>3653</v>
      </c>
      <c r="P3428" s="7"/>
      <c r="Q3428" s="7"/>
    </row>
    <row r="3429" spans="7:17" ht="21.75" customHeight="1">
      <c r="G3429" t="s">
        <v>3653</v>
      </c>
      <c r="P3429" s="7"/>
      <c r="Q3429" s="7"/>
    </row>
    <row r="3430" spans="7:17" ht="21.75" customHeight="1">
      <c r="G3430" t="s">
        <v>3653</v>
      </c>
      <c r="P3430" s="7"/>
      <c r="Q3430" s="7"/>
    </row>
    <row r="3431" spans="7:17" ht="21.75" customHeight="1">
      <c r="G3431" t="s">
        <v>3653</v>
      </c>
      <c r="P3431" s="7"/>
      <c r="Q3431" s="7"/>
    </row>
    <row r="3432" spans="7:17" ht="21.75" customHeight="1">
      <c r="G3432" t="s">
        <v>3653</v>
      </c>
      <c r="P3432" s="7"/>
      <c r="Q3432" s="7"/>
    </row>
    <row r="3433" spans="7:17" ht="21.75" customHeight="1">
      <c r="G3433" t="s">
        <v>3653</v>
      </c>
      <c r="P3433" s="7"/>
      <c r="Q3433" s="7"/>
    </row>
    <row r="3434" spans="7:17" ht="21.75" customHeight="1">
      <c r="G3434" t="s">
        <v>3653</v>
      </c>
      <c r="P3434" s="7"/>
      <c r="Q3434" s="7"/>
    </row>
    <row r="3435" spans="7:17" ht="21.75" customHeight="1">
      <c r="G3435" t="s">
        <v>3653</v>
      </c>
      <c r="P3435" s="7"/>
      <c r="Q3435" s="7"/>
    </row>
    <row r="3436" spans="7:17" ht="21.75" customHeight="1">
      <c r="G3436" t="s">
        <v>3653</v>
      </c>
      <c r="P3436" s="7"/>
      <c r="Q3436" s="7"/>
    </row>
    <row r="3437" spans="7:17" ht="21.75" customHeight="1">
      <c r="G3437" t="s">
        <v>3653</v>
      </c>
      <c r="P3437" s="7"/>
      <c r="Q3437" s="7"/>
    </row>
    <row r="3438" spans="7:17" ht="21.75" customHeight="1">
      <c r="G3438" t="s">
        <v>3653</v>
      </c>
      <c r="P3438" s="7"/>
      <c r="Q3438" s="7"/>
    </row>
    <row r="3439" spans="7:17" ht="21.75" customHeight="1">
      <c r="G3439" t="s">
        <v>3653</v>
      </c>
      <c r="P3439" s="7"/>
      <c r="Q3439" s="7"/>
    </row>
    <row r="3440" spans="7:17" ht="21.75" customHeight="1">
      <c r="G3440" t="s">
        <v>3653</v>
      </c>
      <c r="P3440" s="7"/>
      <c r="Q3440" s="7"/>
    </row>
    <row r="3441" spans="7:17" ht="21.75" customHeight="1">
      <c r="G3441" t="s">
        <v>3653</v>
      </c>
      <c r="P3441" s="7"/>
      <c r="Q3441" s="7"/>
    </row>
    <row r="3442" spans="7:17" ht="21.75" customHeight="1">
      <c r="G3442" t="s">
        <v>3653</v>
      </c>
      <c r="P3442" s="7"/>
      <c r="Q3442" s="7"/>
    </row>
    <row r="3443" spans="7:17" ht="21.75" customHeight="1">
      <c r="G3443" t="s">
        <v>3653</v>
      </c>
      <c r="P3443" s="7"/>
      <c r="Q3443" s="7"/>
    </row>
    <row r="3444" spans="7:17" ht="21.75" customHeight="1">
      <c r="G3444" t="s">
        <v>3653</v>
      </c>
      <c r="P3444" s="7"/>
      <c r="Q3444" s="7"/>
    </row>
    <row r="3445" spans="7:17" ht="21.75" customHeight="1">
      <c r="G3445" t="s">
        <v>3653</v>
      </c>
      <c r="P3445" s="7"/>
      <c r="Q3445" s="7"/>
    </row>
    <row r="3446" spans="7:17" ht="21.75" customHeight="1">
      <c r="G3446" t="s">
        <v>3653</v>
      </c>
      <c r="P3446" s="7"/>
      <c r="Q3446" s="7"/>
    </row>
    <row r="3447" spans="7:17" ht="21.75" customHeight="1">
      <c r="G3447" t="s">
        <v>3653</v>
      </c>
      <c r="P3447" s="7"/>
      <c r="Q3447" s="7"/>
    </row>
    <row r="3448" spans="7:17" ht="21.75" customHeight="1">
      <c r="G3448" t="s">
        <v>3653</v>
      </c>
      <c r="P3448" s="7"/>
      <c r="Q3448" s="7"/>
    </row>
    <row r="3449" spans="7:17" ht="21.75" customHeight="1">
      <c r="G3449" t="s">
        <v>3653</v>
      </c>
      <c r="P3449" s="7"/>
      <c r="Q3449" s="7"/>
    </row>
    <row r="3450" spans="7:17" ht="21.75" customHeight="1">
      <c r="G3450" t="s">
        <v>3653</v>
      </c>
      <c r="P3450" s="7"/>
      <c r="Q3450" s="7"/>
    </row>
    <row r="3451" spans="7:17" ht="21.75" customHeight="1">
      <c r="G3451" t="s">
        <v>3653</v>
      </c>
      <c r="P3451" s="7"/>
      <c r="Q3451" s="7"/>
    </row>
    <row r="3452" spans="7:17" ht="21.75" customHeight="1">
      <c r="G3452" t="s">
        <v>3653</v>
      </c>
      <c r="P3452" s="7"/>
      <c r="Q3452" s="7"/>
    </row>
    <row r="3453" spans="7:17" ht="21.75" customHeight="1">
      <c r="G3453" t="s">
        <v>3653</v>
      </c>
      <c r="P3453" s="7"/>
      <c r="Q3453" s="7"/>
    </row>
    <row r="3454" spans="7:17" ht="21.75" customHeight="1">
      <c r="G3454" t="s">
        <v>3653</v>
      </c>
      <c r="P3454" s="7"/>
      <c r="Q3454" s="7"/>
    </row>
    <row r="3455" spans="7:17" ht="21.75" customHeight="1">
      <c r="G3455" t="s">
        <v>3653</v>
      </c>
      <c r="P3455" s="7"/>
      <c r="Q3455" s="7"/>
    </row>
    <row r="3456" spans="7:17" ht="21.75" customHeight="1">
      <c r="G3456" t="s">
        <v>3653</v>
      </c>
      <c r="P3456" s="7"/>
      <c r="Q3456" s="7"/>
    </row>
    <row r="3457" spans="7:17" ht="21.75" customHeight="1">
      <c r="G3457" t="s">
        <v>3653</v>
      </c>
      <c r="P3457" s="7"/>
      <c r="Q3457" s="7"/>
    </row>
    <row r="3458" spans="7:17" ht="21.75" customHeight="1">
      <c r="G3458" t="s">
        <v>3653</v>
      </c>
      <c r="P3458" s="7"/>
      <c r="Q3458" s="7"/>
    </row>
    <row r="3459" spans="7:17" ht="21.75" customHeight="1">
      <c r="G3459" t="s">
        <v>3653</v>
      </c>
      <c r="P3459" s="7"/>
      <c r="Q3459" s="7"/>
    </row>
    <row r="3460" spans="7:17" ht="21.75" customHeight="1">
      <c r="G3460" t="s">
        <v>3653</v>
      </c>
      <c r="P3460" s="7"/>
      <c r="Q3460" s="7"/>
    </row>
    <row r="3461" spans="7:17" ht="21.75" customHeight="1">
      <c r="G3461" t="s">
        <v>3653</v>
      </c>
      <c r="P3461" s="7"/>
      <c r="Q3461" s="7"/>
    </row>
    <row r="3462" spans="7:17" ht="21.75" customHeight="1">
      <c r="G3462" t="s">
        <v>3653</v>
      </c>
      <c r="P3462" s="7"/>
      <c r="Q3462" s="7"/>
    </row>
    <row r="3463" spans="7:17" ht="21.75" customHeight="1">
      <c r="G3463" t="s">
        <v>3653</v>
      </c>
      <c r="P3463" s="7"/>
      <c r="Q3463" s="7"/>
    </row>
    <row r="3464" spans="7:17" ht="21.75" customHeight="1">
      <c r="G3464" t="s">
        <v>3653</v>
      </c>
      <c r="P3464" s="7"/>
      <c r="Q3464" s="7"/>
    </row>
    <row r="3465" spans="7:17" ht="21.75" customHeight="1">
      <c r="G3465" t="s">
        <v>3653</v>
      </c>
      <c r="P3465" s="7"/>
      <c r="Q3465" s="7"/>
    </row>
    <row r="3466" spans="7:17" ht="21.75" customHeight="1">
      <c r="G3466" t="s">
        <v>3653</v>
      </c>
      <c r="P3466" s="7"/>
      <c r="Q3466" s="7"/>
    </row>
    <row r="3467" spans="7:17" ht="21.75" customHeight="1">
      <c r="G3467" t="s">
        <v>3653</v>
      </c>
      <c r="P3467" s="7"/>
      <c r="Q3467" s="7"/>
    </row>
    <row r="3468" spans="7:17" ht="21.75" customHeight="1">
      <c r="G3468" t="s">
        <v>3653</v>
      </c>
      <c r="P3468" s="7"/>
      <c r="Q3468" s="7"/>
    </row>
    <row r="3469" spans="7:17" ht="21.75" customHeight="1">
      <c r="G3469" t="s">
        <v>3653</v>
      </c>
      <c r="P3469" s="7"/>
      <c r="Q3469" s="7"/>
    </row>
    <row r="3470" spans="7:17" ht="21.75" customHeight="1">
      <c r="G3470" t="s">
        <v>3653</v>
      </c>
      <c r="P3470" s="7"/>
      <c r="Q3470" s="7"/>
    </row>
    <row r="3471" spans="7:17" ht="21.75" customHeight="1">
      <c r="G3471" t="s">
        <v>3653</v>
      </c>
      <c r="P3471" s="7"/>
      <c r="Q3471" s="7"/>
    </row>
    <row r="3472" spans="7:17" ht="21.75" customHeight="1">
      <c r="G3472" t="s">
        <v>3653</v>
      </c>
      <c r="P3472" s="7"/>
      <c r="Q3472" s="7"/>
    </row>
    <row r="3473" spans="7:17" ht="21.75" customHeight="1">
      <c r="G3473" t="s">
        <v>3653</v>
      </c>
      <c r="P3473" s="7"/>
      <c r="Q3473" s="7"/>
    </row>
    <row r="3474" spans="7:17" ht="21.75" customHeight="1">
      <c r="G3474" t="s">
        <v>3653</v>
      </c>
      <c r="P3474" s="7"/>
      <c r="Q3474" s="7"/>
    </row>
    <row r="3475" spans="7:17" ht="21.75" customHeight="1">
      <c r="G3475" t="s">
        <v>3653</v>
      </c>
      <c r="P3475" s="7"/>
      <c r="Q3475" s="7"/>
    </row>
    <row r="3476" spans="7:17" ht="21.75" customHeight="1">
      <c r="G3476" t="s">
        <v>3653</v>
      </c>
      <c r="P3476" s="7"/>
      <c r="Q3476" s="7"/>
    </row>
    <row r="3477" spans="7:17" ht="21.75" customHeight="1">
      <c r="G3477" t="s">
        <v>3653</v>
      </c>
      <c r="P3477" s="7"/>
      <c r="Q3477" s="7"/>
    </row>
    <row r="3478" spans="7:17" ht="21.75" customHeight="1">
      <c r="G3478" t="s">
        <v>3653</v>
      </c>
      <c r="P3478" s="7"/>
      <c r="Q3478" s="7"/>
    </row>
    <row r="3479" spans="7:17" ht="21.75" customHeight="1">
      <c r="G3479" t="s">
        <v>3653</v>
      </c>
      <c r="P3479" s="7"/>
      <c r="Q3479" s="7"/>
    </row>
    <row r="3480" spans="7:17" ht="21.75" customHeight="1">
      <c r="G3480" t="s">
        <v>3653</v>
      </c>
      <c r="P3480" s="7"/>
      <c r="Q3480" s="7"/>
    </row>
    <row r="3481" spans="7:17" ht="21.75" customHeight="1">
      <c r="G3481" t="s">
        <v>3653</v>
      </c>
      <c r="P3481" s="7"/>
      <c r="Q3481" s="7"/>
    </row>
    <row r="3482" spans="7:17" ht="21.75" customHeight="1">
      <c r="G3482" t="s">
        <v>3653</v>
      </c>
      <c r="P3482" s="7"/>
      <c r="Q3482" s="7"/>
    </row>
    <row r="3483" spans="7:17" ht="21.75" customHeight="1">
      <c r="G3483" t="s">
        <v>3653</v>
      </c>
      <c r="P3483" s="7"/>
      <c r="Q3483" s="7"/>
    </row>
    <row r="3484" spans="7:17" ht="21.75" customHeight="1">
      <c r="G3484" t="s">
        <v>3653</v>
      </c>
      <c r="P3484" s="7"/>
      <c r="Q3484" s="7"/>
    </row>
    <row r="3485" spans="7:17" ht="21.75" customHeight="1">
      <c r="G3485" t="s">
        <v>3653</v>
      </c>
      <c r="P3485" s="7"/>
      <c r="Q3485" s="7"/>
    </row>
    <row r="3486" spans="7:17" ht="21.75" customHeight="1">
      <c r="G3486" t="s">
        <v>3653</v>
      </c>
      <c r="P3486" s="7"/>
      <c r="Q3486" s="7"/>
    </row>
    <row r="3487" spans="7:17" ht="21.75" customHeight="1">
      <c r="G3487" t="s">
        <v>3653</v>
      </c>
      <c r="P3487" s="7"/>
      <c r="Q3487" s="7"/>
    </row>
    <row r="3488" spans="7:17" ht="21.75" customHeight="1">
      <c r="G3488" t="s">
        <v>3653</v>
      </c>
      <c r="P3488" s="7"/>
      <c r="Q3488" s="7"/>
    </row>
    <row r="3489" spans="7:17" ht="21.75" customHeight="1">
      <c r="G3489" t="s">
        <v>3653</v>
      </c>
      <c r="P3489" s="7"/>
      <c r="Q3489" s="7"/>
    </row>
    <row r="3490" spans="7:17" ht="21.75" customHeight="1">
      <c r="G3490" t="s">
        <v>3653</v>
      </c>
      <c r="P3490" s="7"/>
      <c r="Q3490" s="7"/>
    </row>
    <row r="3491" spans="7:17" ht="21.75" customHeight="1">
      <c r="G3491" t="s">
        <v>3653</v>
      </c>
      <c r="P3491" s="7"/>
      <c r="Q3491" s="7"/>
    </row>
    <row r="3492" spans="7:17" ht="21.75" customHeight="1">
      <c r="G3492" t="s">
        <v>3653</v>
      </c>
      <c r="P3492" s="7"/>
      <c r="Q3492" s="7"/>
    </row>
    <row r="3493" spans="7:17" ht="21.75" customHeight="1">
      <c r="G3493" t="s">
        <v>3653</v>
      </c>
      <c r="P3493" s="7"/>
      <c r="Q3493" s="7"/>
    </row>
    <row r="3494" spans="7:17" ht="21.75" customHeight="1">
      <c r="G3494" t="s">
        <v>3653</v>
      </c>
      <c r="P3494" s="7"/>
      <c r="Q3494" s="7"/>
    </row>
    <row r="3495" spans="7:17" ht="21.75" customHeight="1">
      <c r="G3495" t="s">
        <v>3653</v>
      </c>
      <c r="P3495" s="7"/>
      <c r="Q3495" s="7"/>
    </row>
    <row r="3496" spans="7:17" ht="21.75" customHeight="1">
      <c r="G3496" t="s">
        <v>3653</v>
      </c>
      <c r="P3496" s="7"/>
      <c r="Q3496" s="7"/>
    </row>
    <row r="3497" spans="7:17" ht="21.75" customHeight="1">
      <c r="G3497" t="s">
        <v>3653</v>
      </c>
      <c r="P3497" s="7"/>
      <c r="Q3497" s="7"/>
    </row>
    <row r="3498" spans="7:17" ht="21.75" customHeight="1">
      <c r="G3498" t="s">
        <v>3653</v>
      </c>
      <c r="P3498" s="7"/>
      <c r="Q3498" s="7"/>
    </row>
    <row r="3499" spans="7:17" ht="21.75" customHeight="1">
      <c r="G3499" t="s">
        <v>3653</v>
      </c>
      <c r="P3499" s="7"/>
      <c r="Q3499" s="7"/>
    </row>
    <row r="3500" spans="7:17" ht="21.75" customHeight="1">
      <c r="G3500" t="s">
        <v>3653</v>
      </c>
      <c r="P3500" s="7"/>
      <c r="Q3500" s="7"/>
    </row>
    <row r="3501" spans="7:17" ht="21.75" customHeight="1">
      <c r="G3501" t="s">
        <v>3653</v>
      </c>
      <c r="P3501" s="7"/>
      <c r="Q3501" s="7"/>
    </row>
    <row r="3502" spans="7:17" ht="21.75" customHeight="1">
      <c r="G3502" t="s">
        <v>3653</v>
      </c>
      <c r="P3502" s="7"/>
      <c r="Q3502" s="7"/>
    </row>
    <row r="3503" spans="7:17" ht="21.75" customHeight="1">
      <c r="G3503" t="s">
        <v>3653</v>
      </c>
      <c r="P3503" s="7"/>
      <c r="Q3503" s="7"/>
    </row>
    <row r="3504" spans="7:17" ht="21.75" customHeight="1">
      <c r="G3504" t="s">
        <v>3653</v>
      </c>
      <c r="P3504" s="7"/>
      <c r="Q3504" s="7"/>
    </row>
    <row r="3505" spans="7:17" ht="21.75" customHeight="1">
      <c r="G3505" t="s">
        <v>3653</v>
      </c>
      <c r="P3505" s="7"/>
      <c r="Q3505" s="7"/>
    </row>
    <row r="3506" spans="7:17" ht="21.75" customHeight="1">
      <c r="G3506" t="s">
        <v>3653</v>
      </c>
      <c r="P3506" s="7"/>
      <c r="Q3506" s="7"/>
    </row>
    <row r="3507" spans="7:17" ht="21.75" customHeight="1">
      <c r="G3507" t="s">
        <v>3653</v>
      </c>
      <c r="P3507" s="7"/>
      <c r="Q3507" s="7"/>
    </row>
    <row r="3508" spans="7:17" ht="21.75" customHeight="1">
      <c r="G3508" t="s">
        <v>3653</v>
      </c>
      <c r="P3508" s="7"/>
      <c r="Q3508" s="7"/>
    </row>
    <row r="3509" spans="7:17" ht="21.75" customHeight="1">
      <c r="G3509" t="s">
        <v>3653</v>
      </c>
      <c r="P3509" s="7"/>
      <c r="Q3509" s="7"/>
    </row>
    <row r="3510" spans="7:17" ht="21.75" customHeight="1">
      <c r="G3510" t="s">
        <v>3653</v>
      </c>
      <c r="P3510" s="7"/>
      <c r="Q3510" s="7"/>
    </row>
    <row r="3511" spans="7:17" ht="21.75" customHeight="1">
      <c r="G3511" t="s">
        <v>3653</v>
      </c>
      <c r="P3511" s="7"/>
      <c r="Q3511" s="7"/>
    </row>
    <row r="3512" spans="7:17" ht="21.75" customHeight="1">
      <c r="G3512" t="s">
        <v>3653</v>
      </c>
      <c r="P3512" s="7"/>
      <c r="Q3512" s="7"/>
    </row>
    <row r="3513" spans="7:17" ht="21.75" customHeight="1">
      <c r="G3513" t="s">
        <v>3653</v>
      </c>
      <c r="P3513" s="7"/>
      <c r="Q3513" s="7"/>
    </row>
    <row r="3514" spans="7:17" ht="21.75" customHeight="1">
      <c r="G3514" t="s">
        <v>3653</v>
      </c>
      <c r="P3514" s="7"/>
      <c r="Q3514" s="7"/>
    </row>
    <row r="3515" spans="7:17" ht="21.75" customHeight="1">
      <c r="G3515" t="s">
        <v>3653</v>
      </c>
      <c r="P3515" s="7"/>
      <c r="Q3515" s="7"/>
    </row>
    <row r="3516" spans="7:17" ht="21.75" customHeight="1">
      <c r="G3516" t="s">
        <v>3653</v>
      </c>
      <c r="P3516" s="7"/>
      <c r="Q3516" s="7"/>
    </row>
    <row r="3517" spans="7:17" ht="21.75" customHeight="1">
      <c r="G3517" t="s">
        <v>3653</v>
      </c>
      <c r="P3517" s="7"/>
      <c r="Q3517" s="7"/>
    </row>
    <row r="3518" spans="7:17" ht="21.75" customHeight="1">
      <c r="G3518" t="s">
        <v>3653</v>
      </c>
      <c r="P3518" s="7"/>
      <c r="Q3518" s="7"/>
    </row>
    <row r="3519" spans="7:17" ht="21.75" customHeight="1">
      <c r="G3519" t="s">
        <v>3653</v>
      </c>
      <c r="P3519" s="7"/>
      <c r="Q3519" s="7"/>
    </row>
    <row r="3520" spans="7:17" ht="21.75" customHeight="1">
      <c r="G3520" t="s">
        <v>3653</v>
      </c>
      <c r="P3520" s="7"/>
      <c r="Q3520" s="7"/>
    </row>
    <row r="3521" spans="7:17" ht="21.75" customHeight="1">
      <c r="G3521" t="s">
        <v>3653</v>
      </c>
      <c r="P3521" s="7"/>
      <c r="Q3521" s="7"/>
    </row>
    <row r="3522" spans="7:17" ht="21.75" customHeight="1">
      <c r="G3522" t="s">
        <v>3653</v>
      </c>
      <c r="P3522" s="7"/>
      <c r="Q3522" s="7"/>
    </row>
    <row r="3523" spans="7:17" ht="21.75" customHeight="1">
      <c r="G3523" t="s">
        <v>3653</v>
      </c>
      <c r="P3523" s="7"/>
      <c r="Q3523" s="7"/>
    </row>
    <row r="3524" spans="7:17" ht="21.75" customHeight="1">
      <c r="G3524" t="s">
        <v>3653</v>
      </c>
      <c r="P3524" s="7"/>
      <c r="Q3524" s="7"/>
    </row>
    <row r="3525" spans="7:17" ht="21.75" customHeight="1">
      <c r="G3525" t="s">
        <v>3653</v>
      </c>
      <c r="P3525" s="7"/>
      <c r="Q3525" s="7"/>
    </row>
    <row r="3526" spans="7:17" ht="21.75" customHeight="1">
      <c r="G3526" t="s">
        <v>3653</v>
      </c>
      <c r="P3526" s="7"/>
      <c r="Q3526" s="7"/>
    </row>
    <row r="3527" spans="7:17" ht="21.75" customHeight="1">
      <c r="G3527" t="s">
        <v>3653</v>
      </c>
      <c r="P3527" s="7"/>
      <c r="Q3527" s="7"/>
    </row>
    <row r="3528" spans="7:17" ht="21.75" customHeight="1">
      <c r="G3528" t="s">
        <v>3653</v>
      </c>
      <c r="P3528" s="7"/>
      <c r="Q3528" s="7"/>
    </row>
    <row r="3529" spans="7:17" ht="21.75" customHeight="1">
      <c r="G3529" t="s">
        <v>3653</v>
      </c>
      <c r="P3529" s="7"/>
      <c r="Q3529" s="7"/>
    </row>
    <row r="3530" spans="7:17" ht="21.75" customHeight="1">
      <c r="G3530" t="s">
        <v>3653</v>
      </c>
      <c r="P3530" s="7"/>
      <c r="Q3530" s="7"/>
    </row>
    <row r="3531" spans="7:17" ht="21.75" customHeight="1">
      <c r="G3531" t="s">
        <v>3653</v>
      </c>
      <c r="P3531" s="7"/>
      <c r="Q3531" s="7"/>
    </row>
    <row r="3532" spans="7:17" ht="21.75" customHeight="1">
      <c r="G3532" t="s">
        <v>3653</v>
      </c>
      <c r="P3532" s="7"/>
      <c r="Q3532" s="7"/>
    </row>
    <row r="3533" spans="7:17" ht="21.75" customHeight="1">
      <c r="G3533" t="s">
        <v>3653</v>
      </c>
      <c r="P3533" s="7"/>
      <c r="Q3533" s="7"/>
    </row>
    <row r="3534" spans="7:17" ht="21.75" customHeight="1">
      <c r="G3534" t="s">
        <v>3653</v>
      </c>
      <c r="P3534" s="7"/>
      <c r="Q3534" s="7"/>
    </row>
    <row r="3535" spans="7:17" ht="21.75" customHeight="1">
      <c r="G3535" t="s">
        <v>3653</v>
      </c>
      <c r="P3535" s="7"/>
      <c r="Q3535" s="7"/>
    </row>
    <row r="3536" spans="7:17" ht="21.75" customHeight="1">
      <c r="G3536" t="s">
        <v>3653</v>
      </c>
      <c r="P3536" s="7"/>
      <c r="Q3536" s="7"/>
    </row>
    <row r="3537" spans="7:17" ht="21.75" customHeight="1">
      <c r="G3537" t="s">
        <v>3653</v>
      </c>
      <c r="P3537" s="7"/>
      <c r="Q3537" s="7"/>
    </row>
    <row r="3538" spans="7:17" ht="21.75" customHeight="1">
      <c r="G3538" t="s">
        <v>3653</v>
      </c>
      <c r="P3538" s="7"/>
      <c r="Q3538" s="7"/>
    </row>
    <row r="3539" spans="7:17" ht="21.75" customHeight="1">
      <c r="G3539" t="s">
        <v>3653</v>
      </c>
      <c r="P3539" s="7"/>
      <c r="Q3539" s="7"/>
    </row>
    <row r="3540" spans="7:17" ht="21.75" customHeight="1">
      <c r="G3540" t="s">
        <v>3653</v>
      </c>
      <c r="P3540" s="7"/>
      <c r="Q3540" s="7"/>
    </row>
    <row r="3541" spans="7:17" ht="21.75" customHeight="1">
      <c r="G3541" t="s">
        <v>3653</v>
      </c>
      <c r="P3541" s="7"/>
      <c r="Q3541" s="7"/>
    </row>
    <row r="3542" spans="7:17" ht="21.75" customHeight="1">
      <c r="G3542" t="s">
        <v>3653</v>
      </c>
      <c r="P3542" s="7"/>
      <c r="Q3542" s="7"/>
    </row>
    <row r="3543" spans="7:17" ht="21.75" customHeight="1">
      <c r="G3543" t="s">
        <v>3653</v>
      </c>
      <c r="P3543" s="7"/>
      <c r="Q3543" s="7"/>
    </row>
    <row r="3544" spans="7:17" ht="21.75" customHeight="1">
      <c r="G3544" t="s">
        <v>3653</v>
      </c>
      <c r="P3544" s="7"/>
      <c r="Q3544" s="7"/>
    </row>
    <row r="3545" spans="7:17" ht="21.75" customHeight="1">
      <c r="G3545" t="s">
        <v>3653</v>
      </c>
      <c r="P3545" s="7"/>
      <c r="Q3545" s="7"/>
    </row>
    <row r="3546" spans="7:17" ht="21.75" customHeight="1">
      <c r="G3546" t="s">
        <v>3653</v>
      </c>
      <c r="P3546" s="7"/>
      <c r="Q3546" s="7"/>
    </row>
    <row r="3547" spans="7:17" ht="21.75" customHeight="1">
      <c r="G3547" t="s">
        <v>3653</v>
      </c>
      <c r="P3547" s="7"/>
      <c r="Q3547" s="7"/>
    </row>
    <row r="3548" spans="7:17" ht="21.75" customHeight="1">
      <c r="G3548" t="s">
        <v>3653</v>
      </c>
      <c r="P3548" s="7"/>
      <c r="Q3548" s="7"/>
    </row>
    <row r="3549" spans="7:17" ht="21.75" customHeight="1">
      <c r="G3549" t="s">
        <v>3653</v>
      </c>
      <c r="P3549" s="7"/>
      <c r="Q3549" s="7"/>
    </row>
    <row r="3550" spans="7:17" ht="21.75" customHeight="1">
      <c r="G3550" t="s">
        <v>3653</v>
      </c>
      <c r="P3550" s="7"/>
      <c r="Q3550" s="7"/>
    </row>
    <row r="3551" spans="7:17" ht="21.75" customHeight="1">
      <c r="G3551" t="s">
        <v>3653</v>
      </c>
      <c r="P3551" s="7"/>
      <c r="Q3551" s="7"/>
    </row>
    <row r="3552" spans="7:17" ht="21.75" customHeight="1">
      <c r="G3552" t="s">
        <v>3653</v>
      </c>
      <c r="P3552" s="7"/>
      <c r="Q3552" s="7"/>
    </row>
    <row r="3553" spans="7:17" ht="21.75" customHeight="1">
      <c r="G3553" t="s">
        <v>3653</v>
      </c>
      <c r="P3553" s="7"/>
      <c r="Q3553" s="7"/>
    </row>
    <row r="3554" spans="7:17" ht="21.75" customHeight="1">
      <c r="G3554" t="s">
        <v>3653</v>
      </c>
      <c r="P3554" s="7"/>
      <c r="Q3554" s="7"/>
    </row>
    <row r="3555" spans="7:17" ht="21.75" customHeight="1">
      <c r="G3555" t="s">
        <v>3653</v>
      </c>
      <c r="P3555" s="7"/>
      <c r="Q3555" s="7"/>
    </row>
    <row r="3556" spans="7:17" ht="21.75" customHeight="1">
      <c r="G3556" t="s">
        <v>3653</v>
      </c>
      <c r="P3556" s="7"/>
      <c r="Q3556" s="7"/>
    </row>
    <row r="3557" spans="7:17" ht="21.75" customHeight="1">
      <c r="G3557" t="s">
        <v>3653</v>
      </c>
      <c r="P3557" s="7"/>
      <c r="Q3557" s="7"/>
    </row>
    <row r="3558" spans="7:17" ht="21.75" customHeight="1">
      <c r="G3558" t="s">
        <v>3653</v>
      </c>
      <c r="P3558" s="7"/>
      <c r="Q3558" s="7"/>
    </row>
    <row r="3559" spans="7:17" ht="21.75" customHeight="1">
      <c r="G3559" t="s">
        <v>3653</v>
      </c>
      <c r="P3559" s="7"/>
      <c r="Q3559" s="7"/>
    </row>
    <row r="3560" spans="7:17" ht="21.75" customHeight="1">
      <c r="G3560" t="s">
        <v>3653</v>
      </c>
      <c r="P3560" s="7"/>
      <c r="Q3560" s="7"/>
    </row>
    <row r="3561" spans="7:17" ht="21.75" customHeight="1">
      <c r="G3561" t="s">
        <v>3653</v>
      </c>
      <c r="P3561" s="7"/>
      <c r="Q3561" s="7"/>
    </row>
    <row r="3562" spans="7:17" ht="21.75" customHeight="1">
      <c r="G3562" t="s">
        <v>3653</v>
      </c>
      <c r="P3562" s="7"/>
      <c r="Q3562" s="7"/>
    </row>
    <row r="3563" spans="7:17" ht="21.75" customHeight="1">
      <c r="G3563" t="s">
        <v>3653</v>
      </c>
      <c r="P3563" s="7"/>
      <c r="Q3563" s="7"/>
    </row>
    <row r="3564" spans="7:17" ht="21.75" customHeight="1">
      <c r="G3564" t="s">
        <v>3653</v>
      </c>
      <c r="P3564" s="7"/>
      <c r="Q3564" s="7"/>
    </row>
    <row r="3565" spans="7:17" ht="21.75" customHeight="1">
      <c r="G3565" t="s">
        <v>3653</v>
      </c>
      <c r="P3565" s="7"/>
      <c r="Q3565" s="7"/>
    </row>
    <row r="3566" spans="7:17" ht="21.75" customHeight="1">
      <c r="G3566" t="s">
        <v>3653</v>
      </c>
      <c r="P3566" s="7"/>
      <c r="Q3566" s="7"/>
    </row>
    <row r="3567" spans="7:17" ht="21.75" customHeight="1">
      <c r="G3567" t="s">
        <v>3653</v>
      </c>
      <c r="P3567" s="7"/>
      <c r="Q3567" s="7"/>
    </row>
    <row r="3568" spans="7:17" ht="21.75" customHeight="1">
      <c r="G3568" t="s">
        <v>3653</v>
      </c>
      <c r="P3568" s="7"/>
      <c r="Q3568" s="7"/>
    </row>
    <row r="3569" spans="7:17" ht="21.75" customHeight="1">
      <c r="G3569" t="s">
        <v>3653</v>
      </c>
      <c r="P3569" s="7"/>
      <c r="Q3569" s="7"/>
    </row>
    <row r="3570" spans="7:17" ht="21.75" customHeight="1">
      <c r="G3570" t="s">
        <v>3653</v>
      </c>
      <c r="P3570" s="7"/>
      <c r="Q3570" s="7"/>
    </row>
    <row r="3571" spans="7:17" ht="21.75" customHeight="1">
      <c r="G3571" t="s">
        <v>3653</v>
      </c>
      <c r="P3571" s="7"/>
      <c r="Q3571" s="7"/>
    </row>
    <row r="3572" spans="7:17" ht="21.75" customHeight="1">
      <c r="G3572" t="s">
        <v>3653</v>
      </c>
      <c r="P3572" s="7"/>
      <c r="Q3572" s="7"/>
    </row>
    <row r="3573" spans="7:17" ht="21.75" customHeight="1">
      <c r="G3573" t="s">
        <v>3653</v>
      </c>
      <c r="P3573" s="7"/>
      <c r="Q3573" s="7"/>
    </row>
    <row r="3574" spans="7:17" ht="21.75" customHeight="1">
      <c r="G3574" t="s">
        <v>3653</v>
      </c>
      <c r="P3574" s="7"/>
      <c r="Q3574" s="7"/>
    </row>
    <row r="3575" spans="7:17" ht="21.75" customHeight="1">
      <c r="G3575" t="s">
        <v>3653</v>
      </c>
      <c r="P3575" s="7"/>
      <c r="Q3575" s="7"/>
    </row>
    <row r="3576" spans="7:17" ht="21.75" customHeight="1">
      <c r="G3576" t="s">
        <v>3653</v>
      </c>
      <c r="P3576" s="7"/>
      <c r="Q3576" s="7"/>
    </row>
    <row r="3577" spans="7:17" ht="21.75" customHeight="1">
      <c r="G3577" t="s">
        <v>3653</v>
      </c>
      <c r="P3577" s="7"/>
      <c r="Q3577" s="7"/>
    </row>
    <row r="3578" spans="7:17" ht="21.75" customHeight="1">
      <c r="G3578" t="s">
        <v>3653</v>
      </c>
      <c r="P3578" s="7"/>
      <c r="Q3578" s="7"/>
    </row>
    <row r="3579" spans="7:17" ht="21.75" customHeight="1">
      <c r="G3579" t="s">
        <v>3653</v>
      </c>
      <c r="P3579" s="7"/>
      <c r="Q3579" s="7"/>
    </row>
    <row r="3580" spans="7:17" ht="21.75" customHeight="1">
      <c r="G3580" t="s">
        <v>3653</v>
      </c>
      <c r="P3580" s="7"/>
      <c r="Q3580" s="7"/>
    </row>
    <row r="3581" spans="7:17" ht="21.75" customHeight="1">
      <c r="G3581" t="s">
        <v>3653</v>
      </c>
      <c r="P3581" s="7"/>
      <c r="Q3581" s="7"/>
    </row>
    <row r="3582" spans="7:17" ht="21.75" customHeight="1">
      <c r="G3582" t="s">
        <v>3653</v>
      </c>
      <c r="P3582" s="7"/>
      <c r="Q3582" s="7"/>
    </row>
    <row r="3583" spans="7:17" ht="21.75" customHeight="1">
      <c r="G3583" t="s">
        <v>3653</v>
      </c>
      <c r="P3583" s="7"/>
      <c r="Q3583" s="7"/>
    </row>
    <row r="3584" spans="7:17" ht="21.75" customHeight="1">
      <c r="G3584" t="s">
        <v>3653</v>
      </c>
      <c r="P3584" s="7"/>
      <c r="Q3584" s="7"/>
    </row>
    <row r="3585" spans="7:17" ht="21.75" customHeight="1">
      <c r="G3585" t="s">
        <v>3653</v>
      </c>
      <c r="P3585" s="7"/>
      <c r="Q3585" s="7"/>
    </row>
    <row r="3586" spans="7:17" ht="21.75" customHeight="1">
      <c r="G3586" t="s">
        <v>3653</v>
      </c>
      <c r="P3586" s="7"/>
      <c r="Q3586" s="7"/>
    </row>
    <row r="3587" spans="7:17" ht="21.75" customHeight="1">
      <c r="G3587" t="s">
        <v>3653</v>
      </c>
      <c r="P3587" s="7"/>
      <c r="Q3587" s="7"/>
    </row>
    <row r="3588" spans="7:17" ht="21.75" customHeight="1">
      <c r="G3588" t="s">
        <v>3653</v>
      </c>
      <c r="P3588" s="7"/>
      <c r="Q3588" s="7"/>
    </row>
    <row r="3589" spans="7:17" ht="21.75" customHeight="1">
      <c r="G3589" t="s">
        <v>3653</v>
      </c>
      <c r="P3589" s="7"/>
      <c r="Q3589" s="7"/>
    </row>
    <row r="3590" spans="7:17" ht="21.75" customHeight="1">
      <c r="G3590" t="s">
        <v>3653</v>
      </c>
      <c r="P3590" s="7"/>
      <c r="Q3590" s="7"/>
    </row>
    <row r="3591" spans="7:17" ht="21.75" customHeight="1">
      <c r="G3591" t="s">
        <v>3653</v>
      </c>
      <c r="P3591" s="7"/>
      <c r="Q3591" s="7"/>
    </row>
    <row r="3592" spans="7:17" ht="21.75" customHeight="1">
      <c r="G3592" t="s">
        <v>3653</v>
      </c>
      <c r="P3592" s="7"/>
      <c r="Q3592" s="7"/>
    </row>
    <row r="3593" spans="7:17" ht="21.75" customHeight="1">
      <c r="G3593" t="s">
        <v>3653</v>
      </c>
      <c r="P3593" s="7"/>
      <c r="Q3593" s="7"/>
    </row>
    <row r="3594" spans="7:17" ht="21.75" customHeight="1">
      <c r="G3594" t="s">
        <v>3653</v>
      </c>
      <c r="P3594" s="7"/>
      <c r="Q3594" s="7"/>
    </row>
    <row r="3595" spans="7:17" ht="21.75" customHeight="1">
      <c r="G3595" t="s">
        <v>3653</v>
      </c>
      <c r="P3595" s="7"/>
      <c r="Q3595" s="7"/>
    </row>
    <row r="3596" spans="7:17" ht="21.75" customHeight="1">
      <c r="G3596" t="s">
        <v>3653</v>
      </c>
      <c r="P3596" s="7"/>
      <c r="Q3596" s="7"/>
    </row>
    <row r="3597" spans="7:17" ht="21.75" customHeight="1">
      <c r="G3597" t="s">
        <v>3653</v>
      </c>
      <c r="P3597" s="7"/>
      <c r="Q3597" s="7"/>
    </row>
    <row r="3598" spans="7:17" ht="21.75" customHeight="1">
      <c r="G3598" t="s">
        <v>3653</v>
      </c>
      <c r="P3598" s="7"/>
      <c r="Q3598" s="7"/>
    </row>
    <row r="3599" spans="7:17" ht="21.75" customHeight="1">
      <c r="G3599" t="s">
        <v>3653</v>
      </c>
      <c r="P3599" s="7"/>
      <c r="Q3599" s="7"/>
    </row>
    <row r="3600" spans="7:17" ht="21.75" customHeight="1">
      <c r="G3600" t="s">
        <v>3653</v>
      </c>
      <c r="P3600" s="7"/>
      <c r="Q3600" s="7"/>
    </row>
    <row r="3601" spans="7:17" ht="21.75" customHeight="1">
      <c r="G3601" t="s">
        <v>3653</v>
      </c>
      <c r="P3601" s="7"/>
      <c r="Q3601" s="7"/>
    </row>
    <row r="3602" spans="7:17" ht="21.75" customHeight="1">
      <c r="G3602" t="s">
        <v>3653</v>
      </c>
      <c r="P3602" s="7"/>
      <c r="Q3602" s="7"/>
    </row>
    <row r="3603" spans="7:17" ht="21.75" customHeight="1">
      <c r="G3603" t="s">
        <v>3653</v>
      </c>
      <c r="P3603" s="7"/>
      <c r="Q3603" s="7"/>
    </row>
    <row r="3604" spans="7:17" ht="21.75" customHeight="1">
      <c r="G3604" t="s">
        <v>3653</v>
      </c>
      <c r="P3604" s="7"/>
      <c r="Q3604" s="7"/>
    </row>
    <row r="3605" spans="7:17" ht="21.75" customHeight="1">
      <c r="G3605" t="s">
        <v>3653</v>
      </c>
      <c r="P3605" s="7"/>
      <c r="Q3605" s="7"/>
    </row>
    <row r="3606" spans="7:17" ht="21.75" customHeight="1">
      <c r="G3606" t="s">
        <v>3653</v>
      </c>
      <c r="P3606" s="7"/>
      <c r="Q3606" s="7"/>
    </row>
    <row r="3607" spans="7:17" ht="21.75" customHeight="1">
      <c r="G3607" t="s">
        <v>3653</v>
      </c>
      <c r="P3607" s="7"/>
      <c r="Q3607" s="7"/>
    </row>
    <row r="3608" spans="7:17" ht="21.75" customHeight="1">
      <c r="G3608" t="s">
        <v>3653</v>
      </c>
      <c r="P3608" s="7"/>
      <c r="Q3608" s="7"/>
    </row>
    <row r="3609" spans="7:17" ht="21.75" customHeight="1">
      <c r="G3609" t="s">
        <v>3653</v>
      </c>
      <c r="P3609" s="7"/>
      <c r="Q3609" s="7"/>
    </row>
    <row r="3610" spans="7:17" ht="21.75" customHeight="1">
      <c r="G3610" t="s">
        <v>3653</v>
      </c>
      <c r="P3610" s="7"/>
      <c r="Q3610" s="7"/>
    </row>
    <row r="3611" spans="7:17" ht="21.75" customHeight="1">
      <c r="G3611" t="s">
        <v>3653</v>
      </c>
      <c r="P3611" s="7"/>
      <c r="Q3611" s="7"/>
    </row>
    <row r="3612" spans="7:17" ht="21.75" customHeight="1">
      <c r="G3612" t="s">
        <v>3653</v>
      </c>
      <c r="P3612" s="7"/>
      <c r="Q3612" s="7"/>
    </row>
    <row r="3613" spans="7:17" ht="21.75" customHeight="1">
      <c r="G3613" t="s">
        <v>3653</v>
      </c>
      <c r="P3613" s="7"/>
      <c r="Q3613" s="7"/>
    </row>
    <row r="3614" spans="7:17" ht="21.75" customHeight="1">
      <c r="G3614" t="s">
        <v>3653</v>
      </c>
      <c r="P3614" s="7"/>
      <c r="Q3614" s="7"/>
    </row>
    <row r="3615" spans="7:17" ht="21.75" customHeight="1">
      <c r="G3615" t="s">
        <v>3653</v>
      </c>
      <c r="P3615" s="7"/>
      <c r="Q3615" s="7"/>
    </row>
    <row r="3616" spans="7:17" ht="21.75" customHeight="1">
      <c r="G3616" t="s">
        <v>3653</v>
      </c>
      <c r="P3616" s="7"/>
      <c r="Q3616" s="7"/>
    </row>
    <row r="3617" spans="7:17" ht="21.75" customHeight="1">
      <c r="G3617" t="s">
        <v>3653</v>
      </c>
      <c r="P3617" s="7"/>
      <c r="Q3617" s="7"/>
    </row>
    <row r="3618" spans="7:17" ht="21.75" customHeight="1">
      <c r="G3618" t="s">
        <v>3653</v>
      </c>
      <c r="P3618" s="7"/>
      <c r="Q3618" s="7"/>
    </row>
    <row r="3619" spans="7:17" ht="21.75" customHeight="1">
      <c r="G3619" t="s">
        <v>3653</v>
      </c>
      <c r="P3619" s="7"/>
      <c r="Q3619" s="7"/>
    </row>
    <row r="3620" spans="7:17" ht="21.75" customHeight="1">
      <c r="G3620" t="s">
        <v>3653</v>
      </c>
      <c r="P3620" s="7"/>
      <c r="Q3620" s="7"/>
    </row>
    <row r="3621" spans="7:17" ht="21.75" customHeight="1">
      <c r="G3621" t="s">
        <v>3653</v>
      </c>
      <c r="P3621" s="7"/>
      <c r="Q3621" s="7"/>
    </row>
    <row r="3622" spans="7:17" ht="21.75" customHeight="1">
      <c r="G3622" t="s">
        <v>3653</v>
      </c>
      <c r="P3622" s="7"/>
      <c r="Q3622" s="7"/>
    </row>
    <row r="3623" spans="7:17" ht="21.75" customHeight="1">
      <c r="G3623" t="s">
        <v>3653</v>
      </c>
      <c r="P3623" s="7"/>
      <c r="Q3623" s="7"/>
    </row>
    <row r="3624" spans="7:17" ht="21.75" customHeight="1">
      <c r="G3624" t="s">
        <v>3653</v>
      </c>
      <c r="P3624" s="7"/>
      <c r="Q3624" s="7"/>
    </row>
    <row r="3625" spans="7:17" ht="21.75" customHeight="1">
      <c r="G3625" t="s">
        <v>3653</v>
      </c>
      <c r="P3625" s="7"/>
      <c r="Q3625" s="7"/>
    </row>
    <row r="3626" spans="7:17" ht="21.75" customHeight="1">
      <c r="G3626" t="s">
        <v>3653</v>
      </c>
      <c r="P3626" s="7"/>
      <c r="Q3626" s="7"/>
    </row>
    <row r="3627" spans="7:17" ht="21.75" customHeight="1">
      <c r="G3627" t="s">
        <v>3653</v>
      </c>
      <c r="P3627" s="7"/>
      <c r="Q3627" s="7"/>
    </row>
    <row r="3628" spans="7:17" ht="21.75" customHeight="1">
      <c r="G3628" t="s">
        <v>3653</v>
      </c>
      <c r="P3628" s="7"/>
      <c r="Q3628" s="7"/>
    </row>
    <row r="3629" spans="7:17" ht="21.75" customHeight="1">
      <c r="G3629" t="s">
        <v>3653</v>
      </c>
      <c r="P3629" s="7"/>
      <c r="Q3629" s="7"/>
    </row>
    <row r="3630" spans="7:17" ht="21.75" customHeight="1">
      <c r="G3630" t="s">
        <v>3653</v>
      </c>
      <c r="P3630" s="7"/>
      <c r="Q3630" s="7"/>
    </row>
    <row r="3631" spans="7:17" ht="21.75" customHeight="1">
      <c r="G3631" t="s">
        <v>3653</v>
      </c>
      <c r="P3631" s="7"/>
      <c r="Q3631" s="7"/>
    </row>
    <row r="3632" spans="7:17" ht="21.75" customHeight="1">
      <c r="G3632" t="s">
        <v>3653</v>
      </c>
      <c r="P3632" s="7"/>
      <c r="Q3632" s="7"/>
    </row>
    <row r="3633" spans="7:17" ht="21.75" customHeight="1">
      <c r="G3633" t="s">
        <v>3653</v>
      </c>
      <c r="P3633" s="7"/>
      <c r="Q3633" s="7"/>
    </row>
    <row r="3634" spans="7:17" ht="21.75" customHeight="1">
      <c r="G3634" t="s">
        <v>3653</v>
      </c>
      <c r="P3634" s="7"/>
      <c r="Q3634" s="7"/>
    </row>
    <row r="3635" spans="7:17" ht="21.75" customHeight="1">
      <c r="G3635" t="s">
        <v>3653</v>
      </c>
      <c r="P3635" s="7"/>
      <c r="Q3635" s="7"/>
    </row>
    <row r="3636" spans="7:17" ht="21.75" customHeight="1">
      <c r="G3636" t="s">
        <v>3653</v>
      </c>
      <c r="P3636" s="7"/>
      <c r="Q3636" s="7"/>
    </row>
    <row r="3637" spans="7:17" ht="21.75" customHeight="1">
      <c r="G3637" t="s">
        <v>3653</v>
      </c>
      <c r="P3637" s="7"/>
      <c r="Q3637" s="7"/>
    </row>
    <row r="3638" spans="7:17" ht="21.75" customHeight="1">
      <c r="G3638" t="s">
        <v>3653</v>
      </c>
      <c r="P3638" s="7"/>
      <c r="Q3638" s="7"/>
    </row>
    <row r="3639" spans="7:17" ht="21.75" customHeight="1">
      <c r="G3639" t="s">
        <v>3653</v>
      </c>
      <c r="P3639" s="7"/>
      <c r="Q3639" s="7"/>
    </row>
    <row r="3640" spans="7:17" ht="21.75" customHeight="1">
      <c r="G3640" t="s">
        <v>3653</v>
      </c>
      <c r="P3640" s="7"/>
      <c r="Q3640" s="7"/>
    </row>
    <row r="3641" spans="7:17" ht="21.75" customHeight="1">
      <c r="G3641" t="s">
        <v>3653</v>
      </c>
      <c r="P3641" s="7"/>
      <c r="Q3641" s="7"/>
    </row>
    <row r="3642" spans="7:17" ht="21.75" customHeight="1">
      <c r="G3642" t="s">
        <v>3653</v>
      </c>
      <c r="P3642" s="7"/>
      <c r="Q3642" s="7"/>
    </row>
    <row r="3643" spans="7:17" ht="21.75" customHeight="1">
      <c r="G3643" t="s">
        <v>3653</v>
      </c>
      <c r="P3643" s="7"/>
      <c r="Q3643" s="7"/>
    </row>
    <row r="3644" spans="7:17" ht="21.75" customHeight="1">
      <c r="G3644" t="s">
        <v>3653</v>
      </c>
      <c r="P3644" s="7"/>
      <c r="Q3644" s="7"/>
    </row>
    <row r="3645" spans="7:17" ht="21.75" customHeight="1">
      <c r="G3645" t="s">
        <v>3653</v>
      </c>
      <c r="P3645" s="7"/>
      <c r="Q3645" s="7"/>
    </row>
    <row r="3646" spans="7:17" ht="21.75" customHeight="1">
      <c r="G3646" t="s">
        <v>3653</v>
      </c>
      <c r="P3646" s="7"/>
      <c r="Q3646" s="7"/>
    </row>
    <row r="3647" spans="7:17" ht="21.75" customHeight="1">
      <c r="G3647" t="s">
        <v>3653</v>
      </c>
      <c r="P3647" s="7"/>
      <c r="Q3647" s="7"/>
    </row>
    <row r="3648" spans="7:17" ht="21.75" customHeight="1">
      <c r="G3648" t="s">
        <v>3653</v>
      </c>
      <c r="P3648" s="7"/>
      <c r="Q3648" s="7"/>
    </row>
    <row r="3649" spans="7:17" ht="21.75" customHeight="1">
      <c r="G3649" t="s">
        <v>3653</v>
      </c>
      <c r="P3649" s="7"/>
      <c r="Q3649" s="7"/>
    </row>
    <row r="3650" spans="7:17" ht="21.75" customHeight="1">
      <c r="G3650" t="s">
        <v>3653</v>
      </c>
      <c r="P3650" s="7"/>
      <c r="Q3650" s="7"/>
    </row>
    <row r="3651" spans="7:17" ht="21.75" customHeight="1">
      <c r="G3651" t="s">
        <v>3653</v>
      </c>
      <c r="P3651" s="7"/>
      <c r="Q3651" s="7"/>
    </row>
    <row r="3652" spans="7:17" ht="21.75" customHeight="1">
      <c r="G3652" t="s">
        <v>3653</v>
      </c>
      <c r="P3652" s="7"/>
      <c r="Q3652" s="7"/>
    </row>
    <row r="3653" spans="7:17" ht="21.75" customHeight="1">
      <c r="G3653" t="s">
        <v>3653</v>
      </c>
      <c r="P3653" s="7"/>
      <c r="Q3653" s="7"/>
    </row>
    <row r="3654" spans="7:17" ht="21.75" customHeight="1">
      <c r="G3654" t="s">
        <v>3653</v>
      </c>
      <c r="P3654" s="7"/>
      <c r="Q3654" s="7"/>
    </row>
    <row r="3655" spans="7:17" ht="21.75" customHeight="1">
      <c r="G3655" t="s">
        <v>3653</v>
      </c>
      <c r="P3655" s="7"/>
      <c r="Q3655" s="7"/>
    </row>
    <row r="3656" spans="7:17" ht="21.75" customHeight="1">
      <c r="G3656" t="s">
        <v>3653</v>
      </c>
      <c r="P3656" s="7"/>
      <c r="Q3656" s="7"/>
    </row>
    <row r="3657" spans="7:17" ht="21.75" customHeight="1">
      <c r="G3657" t="s">
        <v>3653</v>
      </c>
      <c r="P3657" s="7"/>
      <c r="Q3657" s="7"/>
    </row>
    <row r="3658" spans="7:17" ht="21.75" customHeight="1">
      <c r="G3658" t="s">
        <v>3653</v>
      </c>
      <c r="P3658" s="7"/>
      <c r="Q3658" s="7"/>
    </row>
    <row r="3659" spans="7:17" ht="21.75" customHeight="1">
      <c r="G3659" t="s">
        <v>3653</v>
      </c>
      <c r="P3659" s="7"/>
      <c r="Q3659" s="7"/>
    </row>
    <row r="3660" spans="7:17" ht="21.75" customHeight="1">
      <c r="G3660" t="s">
        <v>3653</v>
      </c>
      <c r="P3660" s="7"/>
      <c r="Q3660" s="7"/>
    </row>
    <row r="3661" spans="7:17" ht="21.75" customHeight="1">
      <c r="G3661" t="s">
        <v>3653</v>
      </c>
      <c r="P3661" s="7"/>
      <c r="Q3661" s="7"/>
    </row>
    <row r="3662" spans="7:17" ht="21.75" customHeight="1">
      <c r="G3662" t="s">
        <v>3653</v>
      </c>
      <c r="P3662" s="7"/>
      <c r="Q3662" s="7"/>
    </row>
    <row r="3663" spans="7:17" ht="21.75" customHeight="1">
      <c r="G3663" t="s">
        <v>3653</v>
      </c>
      <c r="P3663" s="7"/>
      <c r="Q3663" s="7"/>
    </row>
    <row r="3664" spans="7:17" ht="21.75" customHeight="1">
      <c r="G3664" t="s">
        <v>3653</v>
      </c>
      <c r="P3664" s="7"/>
      <c r="Q3664" s="7"/>
    </row>
    <row r="3665" spans="7:17" ht="21.75" customHeight="1">
      <c r="G3665" t="s">
        <v>3653</v>
      </c>
      <c r="P3665" s="7"/>
      <c r="Q3665" s="7"/>
    </row>
    <row r="3666" spans="7:17" ht="21.75" customHeight="1">
      <c r="G3666" t="s">
        <v>3653</v>
      </c>
      <c r="P3666" s="7"/>
      <c r="Q3666" s="7"/>
    </row>
    <row r="3667" spans="7:17" ht="21.75" customHeight="1">
      <c r="G3667" t="s">
        <v>3653</v>
      </c>
      <c r="P3667" s="7"/>
      <c r="Q3667" s="7"/>
    </row>
    <row r="3668" spans="7:17" ht="21.75" customHeight="1">
      <c r="G3668" t="s">
        <v>3653</v>
      </c>
      <c r="P3668" s="7"/>
      <c r="Q3668" s="7"/>
    </row>
    <row r="3669" spans="7:17" ht="21.75" customHeight="1">
      <c r="G3669" t="s">
        <v>3653</v>
      </c>
      <c r="P3669" s="7"/>
      <c r="Q3669" s="7"/>
    </row>
    <row r="3670" spans="7:17" ht="21.75" customHeight="1">
      <c r="G3670" t="s">
        <v>3653</v>
      </c>
      <c r="P3670" s="7"/>
      <c r="Q3670" s="7"/>
    </row>
    <row r="3671" spans="7:17" ht="21.75" customHeight="1">
      <c r="G3671" t="s">
        <v>3653</v>
      </c>
      <c r="P3671" s="7"/>
      <c r="Q3671" s="7"/>
    </row>
    <row r="3672" spans="7:17" ht="21.75" customHeight="1">
      <c r="G3672" t="s">
        <v>3653</v>
      </c>
      <c r="P3672" s="7"/>
      <c r="Q3672" s="7"/>
    </row>
    <row r="3673" spans="7:17" ht="21.75" customHeight="1">
      <c r="G3673" t="s">
        <v>3653</v>
      </c>
      <c r="P3673" s="7"/>
      <c r="Q3673" s="7"/>
    </row>
    <row r="3674" spans="7:17" ht="21.75" customHeight="1">
      <c r="G3674" t="s">
        <v>3653</v>
      </c>
      <c r="P3674" s="7"/>
      <c r="Q3674" s="7"/>
    </row>
    <row r="3675" spans="7:17" ht="21.75" customHeight="1">
      <c r="G3675" t="s">
        <v>3653</v>
      </c>
      <c r="P3675" s="7"/>
      <c r="Q3675" s="7"/>
    </row>
    <row r="3676" spans="7:17" ht="21.75" customHeight="1">
      <c r="G3676" t="s">
        <v>3653</v>
      </c>
      <c r="P3676" s="7"/>
      <c r="Q3676" s="7"/>
    </row>
    <row r="3677" spans="7:17" ht="21.75" customHeight="1">
      <c r="G3677" t="s">
        <v>3653</v>
      </c>
      <c r="P3677" s="7"/>
      <c r="Q3677" s="7"/>
    </row>
    <row r="3678" spans="7:17" ht="21.75" customHeight="1">
      <c r="G3678" t="s">
        <v>3653</v>
      </c>
      <c r="P3678" s="7"/>
      <c r="Q3678" s="7"/>
    </row>
    <row r="3679" spans="7:17" ht="21.75" customHeight="1">
      <c r="G3679" t="s">
        <v>3653</v>
      </c>
      <c r="P3679" s="7"/>
      <c r="Q3679" s="7"/>
    </row>
    <row r="3680" spans="7:17" ht="21.75" customHeight="1">
      <c r="G3680" t="s">
        <v>3653</v>
      </c>
      <c r="P3680" s="7"/>
      <c r="Q3680" s="7"/>
    </row>
    <row r="3681" spans="7:17" ht="21.75" customHeight="1">
      <c r="G3681" t="s">
        <v>3653</v>
      </c>
      <c r="P3681" s="7"/>
      <c r="Q3681" s="7"/>
    </row>
    <row r="3682" spans="7:17" ht="21.75" customHeight="1">
      <c r="G3682" t="s">
        <v>3653</v>
      </c>
      <c r="P3682" s="7"/>
      <c r="Q3682" s="7"/>
    </row>
    <row r="3683" spans="7:17" ht="21.75" customHeight="1">
      <c r="G3683" t="s">
        <v>3653</v>
      </c>
      <c r="P3683" s="7"/>
      <c r="Q3683" s="7"/>
    </row>
    <row r="3684" spans="7:17" ht="21.75" customHeight="1">
      <c r="G3684" t="s">
        <v>3653</v>
      </c>
      <c r="P3684" s="7"/>
      <c r="Q3684" s="7"/>
    </row>
    <row r="3685" spans="7:17" ht="21.75" customHeight="1">
      <c r="G3685" t="s">
        <v>3653</v>
      </c>
      <c r="P3685" s="7"/>
      <c r="Q3685" s="7"/>
    </row>
    <row r="3686" spans="7:17" ht="21.75" customHeight="1">
      <c r="G3686" t="s">
        <v>3653</v>
      </c>
      <c r="P3686" s="7"/>
      <c r="Q3686" s="7"/>
    </row>
    <row r="3687" spans="7:17" ht="21.75" customHeight="1">
      <c r="G3687" t="s">
        <v>3653</v>
      </c>
      <c r="P3687" s="7"/>
      <c r="Q3687" s="7"/>
    </row>
    <row r="3688" spans="7:17" ht="21.75" customHeight="1">
      <c r="G3688" t="s">
        <v>3653</v>
      </c>
      <c r="P3688" s="7"/>
      <c r="Q3688" s="7"/>
    </row>
    <row r="3689" spans="7:17" ht="21.75" customHeight="1">
      <c r="G3689" t="s">
        <v>3653</v>
      </c>
      <c r="P3689" s="7"/>
      <c r="Q3689" s="7"/>
    </row>
    <row r="3690" spans="7:17" ht="21.75" customHeight="1">
      <c r="G3690" t="s">
        <v>3653</v>
      </c>
      <c r="P3690" s="7"/>
      <c r="Q3690" s="7"/>
    </row>
    <row r="3691" spans="7:17" ht="21.75" customHeight="1">
      <c r="G3691" t="s">
        <v>3653</v>
      </c>
      <c r="P3691" s="7"/>
      <c r="Q3691" s="7"/>
    </row>
    <row r="3692" spans="7:17" ht="21.75" customHeight="1">
      <c r="G3692" t="s">
        <v>3653</v>
      </c>
      <c r="P3692" s="7"/>
      <c r="Q3692" s="7"/>
    </row>
    <row r="3693" spans="7:17" ht="21.75" customHeight="1">
      <c r="G3693" t="s">
        <v>3653</v>
      </c>
      <c r="P3693" s="7"/>
      <c r="Q3693" s="7"/>
    </row>
    <row r="3694" spans="7:17" ht="21.75" customHeight="1">
      <c r="G3694" t="s">
        <v>3653</v>
      </c>
      <c r="P3694" s="7"/>
      <c r="Q3694" s="7"/>
    </row>
    <row r="3695" spans="7:17" ht="21.75" customHeight="1">
      <c r="G3695" t="s">
        <v>3653</v>
      </c>
      <c r="P3695" s="7"/>
      <c r="Q3695" s="7"/>
    </row>
    <row r="3696" spans="7:17" ht="21.75" customHeight="1">
      <c r="G3696" t="s">
        <v>3653</v>
      </c>
      <c r="P3696" s="7"/>
      <c r="Q3696" s="7"/>
    </row>
    <row r="3697" spans="7:17" ht="21.75" customHeight="1">
      <c r="G3697" t="s">
        <v>3653</v>
      </c>
      <c r="P3697" s="7"/>
      <c r="Q3697" s="7"/>
    </row>
    <row r="3698" spans="7:17" ht="21.75" customHeight="1">
      <c r="G3698" t="s">
        <v>3653</v>
      </c>
      <c r="P3698" s="7"/>
      <c r="Q3698" s="7"/>
    </row>
    <row r="3699" spans="7:17" ht="21.75" customHeight="1">
      <c r="G3699" t="s">
        <v>3653</v>
      </c>
      <c r="P3699" s="7"/>
      <c r="Q3699" s="7"/>
    </row>
    <row r="3700" spans="7:17" ht="21.75" customHeight="1">
      <c r="G3700" t="s">
        <v>3653</v>
      </c>
      <c r="P3700" s="7"/>
      <c r="Q3700" s="7"/>
    </row>
    <row r="3701" spans="7:17" ht="21.75" customHeight="1">
      <c r="G3701" t="s">
        <v>3653</v>
      </c>
      <c r="P3701" s="7"/>
      <c r="Q3701" s="7"/>
    </row>
    <row r="3702" spans="7:17" ht="21.75" customHeight="1">
      <c r="G3702" t="s">
        <v>3653</v>
      </c>
      <c r="P3702" s="7"/>
      <c r="Q3702" s="7"/>
    </row>
    <row r="3703" spans="7:17" ht="21.75" customHeight="1">
      <c r="G3703" t="s">
        <v>3653</v>
      </c>
      <c r="P3703" s="7"/>
      <c r="Q3703" s="7"/>
    </row>
    <row r="3704" spans="7:17" ht="21.75" customHeight="1">
      <c r="G3704" t="s">
        <v>3653</v>
      </c>
      <c r="P3704" s="7"/>
      <c r="Q3704" s="7"/>
    </row>
    <row r="3705" spans="7:17" ht="21.75" customHeight="1">
      <c r="G3705" t="s">
        <v>3653</v>
      </c>
      <c r="P3705" s="7"/>
      <c r="Q3705" s="7"/>
    </row>
    <row r="3706" spans="7:17" ht="21.75" customHeight="1">
      <c r="G3706" t="s">
        <v>3653</v>
      </c>
      <c r="P3706" s="7"/>
      <c r="Q3706" s="7"/>
    </row>
    <row r="3707" spans="7:17" ht="21.75" customHeight="1">
      <c r="G3707" t="s">
        <v>3653</v>
      </c>
      <c r="P3707" s="7"/>
      <c r="Q3707" s="7"/>
    </row>
    <row r="3708" spans="7:17" ht="21.75" customHeight="1">
      <c r="G3708" t="s">
        <v>3653</v>
      </c>
      <c r="P3708" s="7"/>
      <c r="Q3708" s="7"/>
    </row>
    <row r="3709" spans="7:17" ht="21.75" customHeight="1">
      <c r="G3709" t="s">
        <v>3653</v>
      </c>
      <c r="P3709" s="7"/>
      <c r="Q3709" s="7"/>
    </row>
    <row r="3710" spans="7:17" ht="21.75" customHeight="1">
      <c r="G3710" t="s">
        <v>3653</v>
      </c>
      <c r="P3710" s="7"/>
      <c r="Q3710" s="7"/>
    </row>
    <row r="3711" spans="7:17" ht="21.75" customHeight="1">
      <c r="G3711" t="s">
        <v>3653</v>
      </c>
      <c r="P3711" s="7"/>
      <c r="Q3711" s="7"/>
    </row>
    <row r="3712" spans="7:17" ht="21.75" customHeight="1">
      <c r="G3712" t="s">
        <v>3653</v>
      </c>
      <c r="P3712" s="7"/>
      <c r="Q3712" s="7"/>
    </row>
    <row r="3713" spans="7:17" ht="21.75" customHeight="1">
      <c r="G3713" t="s">
        <v>3653</v>
      </c>
      <c r="P3713" s="7"/>
      <c r="Q3713" s="7"/>
    </row>
    <row r="3714" spans="7:17" ht="21.75" customHeight="1">
      <c r="G3714" t="s">
        <v>3653</v>
      </c>
      <c r="P3714" s="7"/>
      <c r="Q3714" s="7"/>
    </row>
    <row r="3715" spans="7:17" ht="21.75" customHeight="1">
      <c r="G3715" t="s">
        <v>3653</v>
      </c>
      <c r="P3715" s="7"/>
      <c r="Q3715" s="7"/>
    </row>
    <row r="3716" spans="7:17" ht="21.75" customHeight="1">
      <c r="G3716" t="s">
        <v>3653</v>
      </c>
      <c r="P3716" s="7"/>
      <c r="Q3716" s="7"/>
    </row>
    <row r="3717" spans="7:17" ht="21.75" customHeight="1">
      <c r="G3717" t="s">
        <v>3653</v>
      </c>
      <c r="P3717" s="7"/>
      <c r="Q3717" s="7"/>
    </row>
    <row r="3718" spans="7:17" ht="21.75" customHeight="1">
      <c r="G3718" t="s">
        <v>3653</v>
      </c>
      <c r="P3718" s="7"/>
      <c r="Q3718" s="7"/>
    </row>
    <row r="3719" spans="7:17" ht="21.75" customHeight="1">
      <c r="G3719" t="s">
        <v>3653</v>
      </c>
      <c r="P3719" s="7"/>
      <c r="Q3719" s="7"/>
    </row>
    <row r="3720" spans="7:17" ht="21.75" customHeight="1">
      <c r="G3720" t="s">
        <v>3653</v>
      </c>
      <c r="P3720" s="7"/>
      <c r="Q3720" s="7"/>
    </row>
    <row r="3721" spans="7:17" ht="21.75" customHeight="1">
      <c r="G3721" t="s">
        <v>3653</v>
      </c>
      <c r="P3721" s="7"/>
      <c r="Q3721" s="7"/>
    </row>
    <row r="3722" spans="7:17" ht="21.75" customHeight="1">
      <c r="G3722" t="s">
        <v>3653</v>
      </c>
      <c r="P3722" s="7"/>
      <c r="Q3722" s="7"/>
    </row>
    <row r="3723" spans="7:17" ht="21.75" customHeight="1">
      <c r="G3723" t="s">
        <v>3653</v>
      </c>
      <c r="P3723" s="7"/>
      <c r="Q3723" s="7"/>
    </row>
    <row r="3724" spans="7:17" ht="21.75" customHeight="1">
      <c r="G3724" t="s">
        <v>3653</v>
      </c>
      <c r="P3724" s="7"/>
      <c r="Q3724" s="7"/>
    </row>
    <row r="3725" spans="7:17" ht="21.75" customHeight="1">
      <c r="G3725" t="s">
        <v>3653</v>
      </c>
      <c r="P3725" s="7"/>
      <c r="Q3725" s="7"/>
    </row>
    <row r="3726" spans="7:17" ht="21.75" customHeight="1">
      <c r="G3726" t="s">
        <v>3653</v>
      </c>
      <c r="P3726" s="7"/>
      <c r="Q3726" s="7"/>
    </row>
    <row r="3727" spans="7:17" ht="21.75" customHeight="1">
      <c r="G3727" t="s">
        <v>3653</v>
      </c>
      <c r="P3727" s="7"/>
      <c r="Q3727" s="7"/>
    </row>
    <row r="3728" spans="7:17" ht="21.75" customHeight="1">
      <c r="G3728" t="s">
        <v>3653</v>
      </c>
      <c r="P3728" s="7"/>
      <c r="Q3728" s="7"/>
    </row>
    <row r="3729" spans="7:17" ht="21.75" customHeight="1">
      <c r="G3729" t="s">
        <v>3653</v>
      </c>
      <c r="P3729" s="7"/>
      <c r="Q3729" s="7"/>
    </row>
    <row r="3730" spans="7:17" ht="21.75" customHeight="1">
      <c r="G3730" t="s">
        <v>3653</v>
      </c>
      <c r="P3730" s="7"/>
      <c r="Q3730" s="7"/>
    </row>
    <row r="3731" spans="7:17" ht="21.75" customHeight="1">
      <c r="G3731" t="s">
        <v>3653</v>
      </c>
      <c r="P3731" s="7"/>
      <c r="Q3731" s="7"/>
    </row>
    <row r="3732" spans="7:17" ht="21.75" customHeight="1">
      <c r="G3732" t="s">
        <v>3653</v>
      </c>
      <c r="P3732" s="7"/>
      <c r="Q3732" s="7"/>
    </row>
    <row r="3733" spans="7:17" ht="21.75" customHeight="1">
      <c r="G3733" t="s">
        <v>3653</v>
      </c>
      <c r="P3733" s="7"/>
      <c r="Q3733" s="7"/>
    </row>
    <row r="3734" spans="7:17" ht="21.75" customHeight="1">
      <c r="G3734" t="s">
        <v>3653</v>
      </c>
      <c r="P3734" s="7"/>
      <c r="Q3734" s="7"/>
    </row>
    <row r="3735" spans="7:17" ht="21.75" customHeight="1">
      <c r="G3735" t="s">
        <v>3653</v>
      </c>
      <c r="P3735" s="7"/>
      <c r="Q3735" s="7"/>
    </row>
    <row r="3736" spans="7:17" ht="21.75" customHeight="1">
      <c r="G3736" t="s">
        <v>3653</v>
      </c>
      <c r="P3736" s="7"/>
      <c r="Q3736" s="7"/>
    </row>
    <row r="3737" spans="7:17" ht="21.75" customHeight="1">
      <c r="G3737" t="s">
        <v>3653</v>
      </c>
      <c r="P3737" s="7"/>
      <c r="Q3737" s="7"/>
    </row>
    <row r="3738" spans="7:17" ht="21.75" customHeight="1">
      <c r="G3738" t="s">
        <v>3653</v>
      </c>
      <c r="P3738" s="7"/>
      <c r="Q3738" s="7"/>
    </row>
    <row r="3739" spans="7:17" ht="21.75" customHeight="1">
      <c r="G3739" t="s">
        <v>3653</v>
      </c>
      <c r="P3739" s="7"/>
      <c r="Q3739" s="7"/>
    </row>
    <row r="3740" spans="7:17" ht="21.75" customHeight="1">
      <c r="G3740" t="s">
        <v>3653</v>
      </c>
      <c r="P3740" s="7"/>
      <c r="Q3740" s="7"/>
    </row>
    <row r="3741" spans="7:17" ht="21.75" customHeight="1">
      <c r="G3741" t="s">
        <v>3653</v>
      </c>
      <c r="P3741" s="7"/>
      <c r="Q3741" s="7"/>
    </row>
    <row r="3742" spans="7:17" ht="21.75" customHeight="1">
      <c r="G3742" t="s">
        <v>3653</v>
      </c>
      <c r="P3742" s="7"/>
      <c r="Q3742" s="7"/>
    </row>
    <row r="3743" spans="7:17" ht="21.75" customHeight="1">
      <c r="G3743" t="s">
        <v>3653</v>
      </c>
      <c r="P3743" s="7"/>
      <c r="Q3743" s="7"/>
    </row>
    <row r="3744" spans="7:17" ht="21.75" customHeight="1">
      <c r="G3744" t="s">
        <v>3653</v>
      </c>
      <c r="P3744" s="7"/>
      <c r="Q3744" s="7"/>
    </row>
    <row r="3745" spans="7:17" ht="21.75" customHeight="1">
      <c r="G3745" t="s">
        <v>3653</v>
      </c>
      <c r="P3745" s="7"/>
      <c r="Q3745" s="7"/>
    </row>
    <row r="3746" spans="7:17" ht="21.75" customHeight="1">
      <c r="G3746" t="s">
        <v>3653</v>
      </c>
      <c r="P3746" s="7"/>
      <c r="Q3746" s="7"/>
    </row>
    <row r="3747" spans="7:17" ht="21.75" customHeight="1">
      <c r="G3747" t="s">
        <v>3653</v>
      </c>
      <c r="P3747" s="7"/>
      <c r="Q3747" s="7"/>
    </row>
    <row r="3748" spans="7:17" ht="21.75" customHeight="1">
      <c r="G3748" t="s">
        <v>3653</v>
      </c>
      <c r="P3748" s="7"/>
      <c r="Q3748" s="7"/>
    </row>
    <row r="3749" spans="7:17" ht="21.75" customHeight="1">
      <c r="G3749" t="s">
        <v>3653</v>
      </c>
      <c r="P3749" s="7"/>
      <c r="Q3749" s="7"/>
    </row>
    <row r="3750" spans="7:17" ht="21.75" customHeight="1">
      <c r="G3750" t="s">
        <v>3653</v>
      </c>
      <c r="P3750" s="7"/>
      <c r="Q3750" s="7"/>
    </row>
    <row r="3751" spans="7:17" ht="21.75" customHeight="1">
      <c r="G3751" t="s">
        <v>3653</v>
      </c>
      <c r="P3751" s="7"/>
      <c r="Q3751" s="7"/>
    </row>
    <row r="3752" spans="7:17" ht="21.75" customHeight="1">
      <c r="G3752" t="s">
        <v>3653</v>
      </c>
      <c r="P3752" s="7"/>
      <c r="Q3752" s="7"/>
    </row>
    <row r="3753" spans="7:17" ht="21.75" customHeight="1">
      <c r="G3753" t="s">
        <v>3653</v>
      </c>
      <c r="P3753" s="7"/>
      <c r="Q3753" s="7"/>
    </row>
    <row r="3754" spans="7:17" ht="21.75" customHeight="1">
      <c r="G3754" t="s">
        <v>3653</v>
      </c>
      <c r="P3754" s="7"/>
      <c r="Q3754" s="7"/>
    </row>
    <row r="3755" spans="7:17" ht="21.75" customHeight="1">
      <c r="G3755" t="s">
        <v>3653</v>
      </c>
      <c r="P3755" s="7"/>
      <c r="Q3755" s="7"/>
    </row>
    <row r="3756" spans="7:17" ht="21.75" customHeight="1">
      <c r="G3756" t="s">
        <v>3653</v>
      </c>
      <c r="P3756" s="7"/>
      <c r="Q3756" s="7"/>
    </row>
    <row r="3757" spans="7:17" ht="21.75" customHeight="1">
      <c r="G3757" t="s">
        <v>3653</v>
      </c>
      <c r="P3757" s="7"/>
      <c r="Q3757" s="7"/>
    </row>
    <row r="3758" spans="7:17" ht="21.75" customHeight="1">
      <c r="G3758" t="s">
        <v>3653</v>
      </c>
      <c r="P3758" s="7"/>
      <c r="Q3758" s="7"/>
    </row>
    <row r="3759" spans="7:17" ht="21.75" customHeight="1">
      <c r="G3759" t="s">
        <v>3653</v>
      </c>
      <c r="P3759" s="7"/>
      <c r="Q3759" s="7"/>
    </row>
    <row r="3760" spans="7:17" ht="21.75" customHeight="1">
      <c r="G3760" t="s">
        <v>3653</v>
      </c>
      <c r="P3760" s="7"/>
      <c r="Q3760" s="7"/>
    </row>
    <row r="3761" spans="7:17" ht="21.75" customHeight="1">
      <c r="G3761" t="s">
        <v>3653</v>
      </c>
      <c r="P3761" s="7"/>
      <c r="Q3761" s="7"/>
    </row>
    <row r="3762" spans="7:17" ht="21.75" customHeight="1">
      <c r="G3762" t="s">
        <v>3653</v>
      </c>
      <c r="P3762" s="7"/>
      <c r="Q3762" s="7"/>
    </row>
    <row r="3763" spans="7:17" ht="21.75" customHeight="1">
      <c r="G3763" t="s">
        <v>3653</v>
      </c>
      <c r="P3763" s="7"/>
      <c r="Q3763" s="7"/>
    </row>
    <row r="3764" spans="7:17" ht="21.75" customHeight="1">
      <c r="G3764" t="s">
        <v>3653</v>
      </c>
      <c r="P3764" s="7"/>
      <c r="Q3764" s="7"/>
    </row>
    <row r="3765" spans="7:17" ht="21.75" customHeight="1">
      <c r="G3765" t="s">
        <v>3653</v>
      </c>
      <c r="P3765" s="7"/>
      <c r="Q3765" s="7"/>
    </row>
    <row r="3766" spans="7:17" ht="21.75" customHeight="1">
      <c r="G3766" t="s">
        <v>3653</v>
      </c>
      <c r="P3766" s="7"/>
      <c r="Q3766" s="7"/>
    </row>
    <row r="3767" spans="7:17" ht="21.75" customHeight="1">
      <c r="G3767" t="s">
        <v>3653</v>
      </c>
      <c r="P3767" s="7"/>
      <c r="Q3767" s="7"/>
    </row>
    <row r="3768" spans="7:17" ht="21.75" customHeight="1">
      <c r="G3768" t="s">
        <v>3653</v>
      </c>
      <c r="P3768" s="7"/>
      <c r="Q3768" s="7"/>
    </row>
    <row r="3769" spans="7:17" ht="21.75" customHeight="1">
      <c r="G3769" t="s">
        <v>3653</v>
      </c>
      <c r="P3769" s="7"/>
      <c r="Q3769" s="7"/>
    </row>
    <row r="3770" spans="7:17" ht="21.75" customHeight="1">
      <c r="G3770" t="s">
        <v>3653</v>
      </c>
      <c r="P3770" s="7"/>
      <c r="Q3770" s="7"/>
    </row>
    <row r="3771" spans="7:17" ht="21.75" customHeight="1">
      <c r="G3771" t="s">
        <v>3653</v>
      </c>
      <c r="P3771" s="7"/>
      <c r="Q3771" s="7"/>
    </row>
    <row r="3772" spans="7:17" ht="21.75" customHeight="1">
      <c r="G3772" t="s">
        <v>3653</v>
      </c>
      <c r="P3772" s="7"/>
      <c r="Q3772" s="7"/>
    </row>
    <row r="3773" spans="7:17" ht="21.75" customHeight="1">
      <c r="G3773" t="s">
        <v>3653</v>
      </c>
      <c r="P3773" s="7"/>
      <c r="Q3773" s="7"/>
    </row>
    <row r="3774" spans="7:17" ht="21.75" customHeight="1">
      <c r="G3774" t="s">
        <v>3653</v>
      </c>
      <c r="P3774" s="7"/>
      <c r="Q3774" s="7"/>
    </row>
    <row r="3775" spans="7:17" ht="21.75" customHeight="1">
      <c r="G3775" t="s">
        <v>3653</v>
      </c>
      <c r="P3775" s="7"/>
      <c r="Q3775" s="7"/>
    </row>
    <row r="3776" spans="7:17" ht="21.75" customHeight="1">
      <c r="G3776" t="s">
        <v>3653</v>
      </c>
      <c r="P3776" s="7"/>
      <c r="Q3776" s="7"/>
    </row>
    <row r="3777" spans="7:17" ht="21.75" customHeight="1">
      <c r="G3777" t="s">
        <v>3653</v>
      </c>
      <c r="P3777" s="7"/>
      <c r="Q3777" s="7"/>
    </row>
    <row r="3778" spans="7:17" ht="21.75" customHeight="1">
      <c r="G3778" t="s">
        <v>3653</v>
      </c>
      <c r="P3778" s="7"/>
      <c r="Q3778" s="7"/>
    </row>
    <row r="3779" spans="7:17" ht="21.75" customHeight="1">
      <c r="G3779" t="s">
        <v>3653</v>
      </c>
      <c r="P3779" s="7"/>
      <c r="Q3779" s="7"/>
    </row>
    <row r="3780" spans="7:17" ht="21.75" customHeight="1">
      <c r="G3780" t="s">
        <v>3653</v>
      </c>
      <c r="P3780" s="7"/>
      <c r="Q3780" s="7"/>
    </row>
    <row r="3781" spans="7:17" ht="21.75" customHeight="1">
      <c r="G3781" t="s">
        <v>3653</v>
      </c>
      <c r="P3781" s="7"/>
      <c r="Q3781" s="7"/>
    </row>
    <row r="3782" spans="7:17" ht="21.75" customHeight="1">
      <c r="G3782" t="s">
        <v>3653</v>
      </c>
      <c r="P3782" s="7"/>
      <c r="Q3782" s="7"/>
    </row>
    <row r="3783" spans="7:17" ht="21.75" customHeight="1">
      <c r="G3783" t="s">
        <v>3653</v>
      </c>
      <c r="P3783" s="7"/>
      <c r="Q3783" s="7"/>
    </row>
    <row r="3784" spans="7:17" ht="21.75" customHeight="1">
      <c r="G3784" t="s">
        <v>3653</v>
      </c>
      <c r="P3784" s="7"/>
      <c r="Q3784" s="7"/>
    </row>
    <row r="3785" spans="7:17" ht="21.75" customHeight="1">
      <c r="G3785" t="s">
        <v>3653</v>
      </c>
      <c r="P3785" s="7"/>
      <c r="Q3785" s="7"/>
    </row>
    <row r="3786" spans="7:17" ht="21.75" customHeight="1">
      <c r="G3786" t="s">
        <v>3653</v>
      </c>
      <c r="P3786" s="7"/>
      <c r="Q3786" s="7"/>
    </row>
    <row r="3787" spans="7:17" ht="21.75" customHeight="1">
      <c r="G3787" t="s">
        <v>3653</v>
      </c>
      <c r="P3787" s="7"/>
      <c r="Q3787" s="7"/>
    </row>
    <row r="3788" spans="7:17" ht="21.75" customHeight="1">
      <c r="G3788" t="s">
        <v>3653</v>
      </c>
      <c r="P3788" s="7"/>
      <c r="Q3788" s="7"/>
    </row>
    <row r="3789" spans="7:17" ht="21.75" customHeight="1">
      <c r="G3789" t="s">
        <v>3653</v>
      </c>
      <c r="P3789" s="7"/>
      <c r="Q3789" s="7"/>
    </row>
    <row r="3790" spans="7:17" ht="21.75" customHeight="1">
      <c r="G3790" t="s">
        <v>3653</v>
      </c>
      <c r="P3790" s="7"/>
      <c r="Q3790" s="7"/>
    </row>
    <row r="3791" spans="7:17" ht="21.75" customHeight="1">
      <c r="G3791" t="s">
        <v>3653</v>
      </c>
      <c r="P3791" s="7"/>
      <c r="Q3791" s="7"/>
    </row>
    <row r="3792" spans="7:17" ht="21.75" customHeight="1">
      <c r="G3792" t="s">
        <v>3653</v>
      </c>
      <c r="P3792" s="7"/>
      <c r="Q3792" s="7"/>
    </row>
    <row r="3793" spans="7:17" ht="21.75" customHeight="1">
      <c r="G3793" t="s">
        <v>3653</v>
      </c>
      <c r="P3793" s="7"/>
      <c r="Q3793" s="7"/>
    </row>
    <row r="3794" spans="7:17" ht="21.75" customHeight="1">
      <c r="G3794" t="s">
        <v>3653</v>
      </c>
      <c r="P3794" s="7"/>
      <c r="Q3794" s="7"/>
    </row>
    <row r="3795" spans="7:17" ht="21.75" customHeight="1">
      <c r="G3795" t="s">
        <v>3653</v>
      </c>
      <c r="P3795" s="7"/>
      <c r="Q3795" s="7"/>
    </row>
    <row r="3796" spans="7:17" ht="21.75" customHeight="1">
      <c r="G3796" t="s">
        <v>3653</v>
      </c>
      <c r="P3796" s="7"/>
      <c r="Q3796" s="7"/>
    </row>
    <row r="3797" spans="7:17" ht="21.75" customHeight="1">
      <c r="G3797" t="s">
        <v>3653</v>
      </c>
      <c r="P3797" s="7"/>
      <c r="Q3797" s="7"/>
    </row>
    <row r="3798" spans="7:17" ht="21.75" customHeight="1">
      <c r="G3798" t="s">
        <v>3653</v>
      </c>
      <c r="P3798" s="7"/>
      <c r="Q3798" s="7"/>
    </row>
    <row r="3799" spans="7:17" ht="21.75" customHeight="1">
      <c r="G3799" t="s">
        <v>3653</v>
      </c>
      <c r="P3799" s="7"/>
      <c r="Q3799" s="7"/>
    </row>
    <row r="3800" spans="7:17" ht="21.75" customHeight="1">
      <c r="G3800" t="s">
        <v>3653</v>
      </c>
      <c r="P3800" s="7"/>
      <c r="Q3800" s="7"/>
    </row>
    <row r="3801" spans="7:17" ht="21.75" customHeight="1">
      <c r="G3801" t="s">
        <v>3653</v>
      </c>
      <c r="P3801" s="7"/>
      <c r="Q3801" s="7"/>
    </row>
    <row r="3802" spans="7:17" ht="21.75" customHeight="1">
      <c r="G3802" t="s">
        <v>3653</v>
      </c>
      <c r="P3802" s="7"/>
      <c r="Q3802" s="7"/>
    </row>
    <row r="3803" spans="7:17" ht="21.75" customHeight="1">
      <c r="G3803" t="s">
        <v>3653</v>
      </c>
      <c r="P3803" s="7"/>
      <c r="Q3803" s="7"/>
    </row>
    <row r="3804" spans="7:17" ht="21.75" customHeight="1">
      <c r="G3804" t="s">
        <v>3653</v>
      </c>
      <c r="P3804" s="7"/>
      <c r="Q3804" s="7"/>
    </row>
    <row r="3805" spans="7:17" ht="21.75" customHeight="1">
      <c r="G3805" t="s">
        <v>3653</v>
      </c>
      <c r="P3805" s="7"/>
      <c r="Q3805" s="7"/>
    </row>
    <row r="3806" spans="7:17" ht="21.75" customHeight="1">
      <c r="G3806" t="s">
        <v>3653</v>
      </c>
      <c r="P3806" s="7"/>
      <c r="Q3806" s="7"/>
    </row>
    <row r="3807" spans="7:17" ht="21.75" customHeight="1">
      <c r="G3807" t="s">
        <v>3653</v>
      </c>
      <c r="P3807" s="7"/>
      <c r="Q3807" s="7"/>
    </row>
    <row r="3808" spans="7:17" ht="21.75" customHeight="1">
      <c r="G3808" t="s">
        <v>3653</v>
      </c>
      <c r="P3808" s="7"/>
      <c r="Q3808" s="7"/>
    </row>
    <row r="3809" spans="7:17" ht="21.75" customHeight="1">
      <c r="G3809" t="s">
        <v>3653</v>
      </c>
      <c r="P3809" s="7"/>
      <c r="Q3809" s="7"/>
    </row>
    <row r="3810" spans="7:17" ht="21.75" customHeight="1">
      <c r="G3810" t="s">
        <v>3653</v>
      </c>
      <c r="P3810" s="7"/>
      <c r="Q3810" s="7"/>
    </row>
    <row r="3811" spans="7:17" ht="21.75" customHeight="1">
      <c r="G3811" t="s">
        <v>3653</v>
      </c>
      <c r="P3811" s="7"/>
      <c r="Q3811" s="7"/>
    </row>
    <row r="3812" spans="7:17" ht="21.75" customHeight="1">
      <c r="G3812" t="s">
        <v>3653</v>
      </c>
      <c r="P3812" s="7"/>
      <c r="Q3812" s="7"/>
    </row>
    <row r="3813" spans="7:17" ht="21.75" customHeight="1">
      <c r="G3813" t="s">
        <v>3653</v>
      </c>
      <c r="P3813" s="7"/>
      <c r="Q3813" s="7"/>
    </row>
    <row r="3814" spans="7:17" ht="21.75" customHeight="1">
      <c r="G3814" t="s">
        <v>3653</v>
      </c>
      <c r="P3814" s="7"/>
      <c r="Q3814" s="7"/>
    </row>
    <row r="3815" spans="7:17" ht="21.75" customHeight="1">
      <c r="G3815" t="s">
        <v>3653</v>
      </c>
      <c r="P3815" s="7"/>
      <c r="Q3815" s="7"/>
    </row>
    <row r="3816" spans="7:17" ht="21.75" customHeight="1">
      <c r="G3816" t="s">
        <v>3653</v>
      </c>
      <c r="P3816" s="7"/>
      <c r="Q3816" s="7"/>
    </row>
    <row r="3817" spans="7:17" ht="21.75" customHeight="1">
      <c r="G3817" t="s">
        <v>3653</v>
      </c>
      <c r="P3817" s="7"/>
      <c r="Q3817" s="7"/>
    </row>
    <row r="3818" spans="7:17" ht="21.75" customHeight="1">
      <c r="G3818" t="s">
        <v>3653</v>
      </c>
      <c r="P3818" s="7"/>
      <c r="Q3818" s="7"/>
    </row>
    <row r="3819" spans="7:17" ht="21.75" customHeight="1">
      <c r="G3819" t="s">
        <v>3653</v>
      </c>
      <c r="P3819" s="7"/>
      <c r="Q3819" s="7"/>
    </row>
    <row r="3820" spans="7:17" ht="21.75" customHeight="1">
      <c r="G3820" t="s">
        <v>3653</v>
      </c>
      <c r="P3820" s="7"/>
      <c r="Q3820" s="7"/>
    </row>
    <row r="3821" spans="7:17" ht="21.75" customHeight="1">
      <c r="G3821" t="s">
        <v>3653</v>
      </c>
      <c r="P3821" s="7"/>
      <c r="Q3821" s="7"/>
    </row>
    <row r="3822" spans="7:17" ht="21.75" customHeight="1">
      <c r="G3822" t="s">
        <v>3653</v>
      </c>
      <c r="P3822" s="7"/>
      <c r="Q3822" s="7"/>
    </row>
    <row r="3823" spans="7:17" ht="21.75" customHeight="1">
      <c r="G3823" t="s">
        <v>3653</v>
      </c>
      <c r="P3823" s="7"/>
      <c r="Q3823" s="7"/>
    </row>
    <row r="3824" spans="7:17" ht="21.75" customHeight="1">
      <c r="G3824" t="s">
        <v>3653</v>
      </c>
      <c r="P3824" s="7"/>
      <c r="Q3824" s="7"/>
    </row>
    <row r="3825" spans="7:17" ht="21.75" customHeight="1">
      <c r="G3825" t="s">
        <v>3653</v>
      </c>
      <c r="P3825" s="7"/>
      <c r="Q3825" s="7"/>
    </row>
    <row r="3826" spans="7:17" ht="21.75" customHeight="1">
      <c r="G3826" t="s">
        <v>3653</v>
      </c>
      <c r="P3826" s="7"/>
      <c r="Q3826" s="7"/>
    </row>
    <row r="3827" spans="7:17" ht="21.75" customHeight="1">
      <c r="G3827" t="s">
        <v>3653</v>
      </c>
      <c r="P3827" s="7"/>
      <c r="Q3827" s="7"/>
    </row>
    <row r="3828" spans="7:17" ht="21.75" customHeight="1">
      <c r="G3828" t="s">
        <v>3653</v>
      </c>
      <c r="P3828" s="7"/>
      <c r="Q3828" s="7"/>
    </row>
    <row r="3829" spans="7:17" ht="21.75" customHeight="1">
      <c r="G3829" t="s">
        <v>3653</v>
      </c>
      <c r="P3829" s="7"/>
      <c r="Q3829" s="7"/>
    </row>
    <row r="3830" spans="7:17" ht="21.75" customHeight="1">
      <c r="G3830" t="s">
        <v>3653</v>
      </c>
      <c r="P3830" s="7"/>
      <c r="Q3830" s="7"/>
    </row>
    <row r="3831" spans="7:17" ht="21.75" customHeight="1">
      <c r="G3831" t="s">
        <v>3653</v>
      </c>
      <c r="P3831" s="7"/>
      <c r="Q3831" s="7"/>
    </row>
    <row r="3832" spans="7:17" ht="21.75" customHeight="1">
      <c r="G3832" t="s">
        <v>3653</v>
      </c>
      <c r="P3832" s="7"/>
      <c r="Q3832" s="7"/>
    </row>
    <row r="3833" spans="7:17" ht="21.75" customHeight="1">
      <c r="G3833" t="s">
        <v>3653</v>
      </c>
      <c r="P3833" s="7"/>
      <c r="Q3833" s="7"/>
    </row>
    <row r="3834" spans="7:17" ht="21.75" customHeight="1">
      <c r="G3834" t="s">
        <v>3653</v>
      </c>
      <c r="P3834" s="7"/>
      <c r="Q3834" s="7"/>
    </row>
    <row r="3835" spans="7:17" ht="21.75" customHeight="1">
      <c r="G3835" t="s">
        <v>3653</v>
      </c>
      <c r="P3835" s="7"/>
      <c r="Q3835" s="7"/>
    </row>
    <row r="3836" spans="7:17" ht="21.75" customHeight="1">
      <c r="G3836" t="s">
        <v>3653</v>
      </c>
      <c r="P3836" s="7"/>
      <c r="Q3836" s="7"/>
    </row>
    <row r="3837" spans="7:17" ht="21.75" customHeight="1">
      <c r="G3837" t="s">
        <v>3653</v>
      </c>
      <c r="P3837" s="7"/>
      <c r="Q3837" s="7"/>
    </row>
    <row r="3838" spans="7:17" ht="21.75" customHeight="1">
      <c r="G3838" t="s">
        <v>3653</v>
      </c>
      <c r="P3838" s="7"/>
      <c r="Q3838" s="7"/>
    </row>
    <row r="3839" spans="7:17" ht="21.75" customHeight="1">
      <c r="G3839" t="s">
        <v>3653</v>
      </c>
      <c r="P3839" s="7"/>
      <c r="Q3839" s="7"/>
    </row>
    <row r="3840" spans="7:17" ht="21.75" customHeight="1">
      <c r="G3840" t="s">
        <v>3653</v>
      </c>
      <c r="P3840" s="7"/>
      <c r="Q3840" s="7"/>
    </row>
    <row r="3841" spans="7:17" ht="21.75" customHeight="1">
      <c r="G3841" t="s">
        <v>3653</v>
      </c>
      <c r="P3841" s="7"/>
      <c r="Q3841" s="7"/>
    </row>
    <row r="3842" spans="7:17" ht="21.75" customHeight="1">
      <c r="G3842" t="s">
        <v>3653</v>
      </c>
      <c r="P3842" s="7"/>
      <c r="Q3842" s="7"/>
    </row>
    <row r="3843" spans="7:17" ht="21.75" customHeight="1">
      <c r="G3843" t="s">
        <v>3653</v>
      </c>
      <c r="P3843" s="7"/>
      <c r="Q3843" s="7"/>
    </row>
    <row r="3844" spans="7:17" ht="21.75" customHeight="1">
      <c r="G3844" t="s">
        <v>3653</v>
      </c>
      <c r="P3844" s="7"/>
      <c r="Q3844" s="7"/>
    </row>
    <row r="3845" spans="7:17" ht="21.75" customHeight="1">
      <c r="G3845" t="s">
        <v>3653</v>
      </c>
      <c r="P3845" s="7"/>
      <c r="Q3845" s="7"/>
    </row>
    <row r="3846" spans="7:17" ht="21.75" customHeight="1">
      <c r="G3846" t="s">
        <v>3653</v>
      </c>
      <c r="P3846" s="7"/>
      <c r="Q3846" s="7"/>
    </row>
    <row r="3847" spans="7:17" ht="21.75" customHeight="1">
      <c r="G3847" t="s">
        <v>3653</v>
      </c>
      <c r="P3847" s="7"/>
      <c r="Q3847" s="7"/>
    </row>
    <row r="3848" spans="7:17" ht="21.75" customHeight="1">
      <c r="G3848" t="s">
        <v>3653</v>
      </c>
      <c r="P3848" s="7"/>
      <c r="Q3848" s="7"/>
    </row>
    <row r="3849" spans="7:17" ht="21.75" customHeight="1">
      <c r="G3849" t="s">
        <v>3653</v>
      </c>
      <c r="P3849" s="7"/>
      <c r="Q3849" s="7"/>
    </row>
    <row r="3850" spans="7:17" ht="21.75" customHeight="1">
      <c r="G3850" t="s">
        <v>3653</v>
      </c>
      <c r="P3850" s="7"/>
      <c r="Q3850" s="7"/>
    </row>
    <row r="3851" spans="7:17" ht="21.75" customHeight="1">
      <c r="G3851" t="s">
        <v>3653</v>
      </c>
      <c r="P3851" s="7"/>
      <c r="Q3851" s="7"/>
    </row>
    <row r="3852" spans="7:17" ht="21.75" customHeight="1">
      <c r="G3852" t="s">
        <v>3653</v>
      </c>
      <c r="P3852" s="7"/>
      <c r="Q3852" s="7"/>
    </row>
    <row r="3853" spans="7:17" ht="21.75" customHeight="1">
      <c r="G3853" t="s">
        <v>3653</v>
      </c>
      <c r="P3853" s="7"/>
      <c r="Q3853" s="7"/>
    </row>
    <row r="3854" spans="7:17" ht="21.75" customHeight="1">
      <c r="G3854" t="s">
        <v>3653</v>
      </c>
      <c r="P3854" s="7"/>
      <c r="Q3854" s="7"/>
    </row>
    <row r="3855" spans="7:17" ht="21.75" customHeight="1">
      <c r="G3855" t="s">
        <v>3653</v>
      </c>
      <c r="P3855" s="7"/>
      <c r="Q3855" s="7"/>
    </row>
    <row r="3856" spans="7:17" ht="21.75" customHeight="1">
      <c r="G3856" t="s">
        <v>3653</v>
      </c>
      <c r="P3856" s="7"/>
      <c r="Q3856" s="7"/>
    </row>
    <row r="3857" spans="7:17" ht="21.75" customHeight="1">
      <c r="G3857" t="s">
        <v>3653</v>
      </c>
      <c r="P3857" s="7"/>
      <c r="Q3857" s="7"/>
    </row>
    <row r="3858" spans="7:17" ht="21.75" customHeight="1">
      <c r="G3858" t="s">
        <v>3653</v>
      </c>
      <c r="P3858" s="7"/>
      <c r="Q3858" s="7"/>
    </row>
    <row r="3859" spans="7:17" ht="21.75" customHeight="1">
      <c r="G3859" t="s">
        <v>3653</v>
      </c>
      <c r="P3859" s="7"/>
      <c r="Q3859" s="7"/>
    </row>
    <row r="3860" spans="7:17" ht="21.75" customHeight="1">
      <c r="G3860" t="s">
        <v>3653</v>
      </c>
      <c r="P3860" s="7"/>
      <c r="Q3860" s="7"/>
    </row>
    <row r="3861" spans="7:17" ht="21.75" customHeight="1">
      <c r="G3861" t="s">
        <v>3653</v>
      </c>
      <c r="P3861" s="7"/>
      <c r="Q3861" s="7"/>
    </row>
    <row r="3862" spans="7:17" ht="21.75" customHeight="1">
      <c r="G3862" t="s">
        <v>3653</v>
      </c>
      <c r="P3862" s="7"/>
      <c r="Q3862" s="7"/>
    </row>
    <row r="3863" spans="7:17" ht="21.75" customHeight="1">
      <c r="G3863" t="s">
        <v>3653</v>
      </c>
      <c r="P3863" s="7"/>
      <c r="Q3863" s="7"/>
    </row>
    <row r="3864" spans="7:17" ht="21.75" customHeight="1">
      <c r="G3864" t="s">
        <v>3653</v>
      </c>
      <c r="P3864" s="7"/>
      <c r="Q3864" s="7"/>
    </row>
    <row r="3865" spans="7:17" ht="21.75" customHeight="1">
      <c r="G3865" t="s">
        <v>3653</v>
      </c>
      <c r="P3865" s="7"/>
      <c r="Q3865" s="7"/>
    </row>
    <row r="3866" spans="7:17" ht="21.75" customHeight="1">
      <c r="G3866" t="s">
        <v>3653</v>
      </c>
      <c r="P3866" s="7"/>
      <c r="Q3866" s="7"/>
    </row>
    <row r="3867" spans="7:17" ht="21.75" customHeight="1">
      <c r="G3867" t="s">
        <v>3653</v>
      </c>
      <c r="P3867" s="7"/>
      <c r="Q3867" s="7"/>
    </row>
    <row r="3868" spans="7:17" ht="21.75" customHeight="1">
      <c r="G3868" t="s">
        <v>3653</v>
      </c>
      <c r="P3868" s="7"/>
      <c r="Q3868" s="7"/>
    </row>
    <row r="3869" spans="7:17" ht="21.75" customHeight="1">
      <c r="G3869" t="s">
        <v>3653</v>
      </c>
      <c r="P3869" s="7"/>
      <c r="Q3869" s="7"/>
    </row>
    <row r="3870" spans="7:17" ht="21.75" customHeight="1">
      <c r="G3870" t="s">
        <v>3653</v>
      </c>
      <c r="P3870" s="7"/>
      <c r="Q3870" s="7"/>
    </row>
    <row r="3871" spans="7:17" ht="21.75" customHeight="1">
      <c r="G3871" t="s">
        <v>3653</v>
      </c>
      <c r="P3871" s="7"/>
      <c r="Q3871" s="7"/>
    </row>
    <row r="3872" spans="7:17" ht="21.75" customHeight="1">
      <c r="G3872" t="s">
        <v>3653</v>
      </c>
      <c r="P3872" s="7"/>
      <c r="Q3872" s="7"/>
    </row>
    <row r="3873" spans="7:17" ht="21.75" customHeight="1">
      <c r="G3873" t="s">
        <v>3653</v>
      </c>
      <c r="P3873" s="7"/>
      <c r="Q3873" s="7"/>
    </row>
    <row r="3874" spans="7:17" ht="21.75" customHeight="1">
      <c r="G3874" t="s">
        <v>3653</v>
      </c>
      <c r="P3874" s="7"/>
      <c r="Q3874" s="7"/>
    </row>
    <row r="3875" spans="7:17" ht="21.75" customHeight="1">
      <c r="G3875" t="s">
        <v>3653</v>
      </c>
      <c r="P3875" s="7"/>
      <c r="Q3875" s="7"/>
    </row>
    <row r="3876" spans="7:17" ht="21.75" customHeight="1">
      <c r="G3876" t="s">
        <v>3653</v>
      </c>
      <c r="P3876" s="7"/>
      <c r="Q3876" s="7"/>
    </row>
    <row r="3877" spans="7:17" ht="21.75" customHeight="1">
      <c r="G3877" t="s">
        <v>3653</v>
      </c>
      <c r="P3877" s="7"/>
      <c r="Q3877" s="7"/>
    </row>
    <row r="3878" spans="7:17" ht="21.75" customHeight="1">
      <c r="G3878" t="s">
        <v>3653</v>
      </c>
      <c r="P3878" s="7"/>
      <c r="Q3878" s="7"/>
    </row>
    <row r="3879" spans="7:17" ht="21.75" customHeight="1">
      <c r="G3879" t="s">
        <v>3653</v>
      </c>
      <c r="P3879" s="7"/>
      <c r="Q3879" s="7"/>
    </row>
    <row r="3880" spans="7:17" ht="21.75" customHeight="1">
      <c r="G3880" t="s">
        <v>3653</v>
      </c>
      <c r="P3880" s="7"/>
      <c r="Q3880" s="7"/>
    </row>
    <row r="3881" spans="7:17" ht="21.75" customHeight="1">
      <c r="G3881" t="s">
        <v>3653</v>
      </c>
      <c r="P3881" s="7"/>
      <c r="Q3881" s="7"/>
    </row>
    <row r="3882" spans="7:17" ht="21.75" customHeight="1">
      <c r="G3882" t="s">
        <v>3653</v>
      </c>
      <c r="P3882" s="7"/>
      <c r="Q3882" s="7"/>
    </row>
    <row r="3883" spans="7:17" ht="21.75" customHeight="1">
      <c r="G3883" t="s">
        <v>3653</v>
      </c>
      <c r="P3883" s="7"/>
      <c r="Q3883" s="7"/>
    </row>
    <row r="3884" spans="7:17" ht="21.75" customHeight="1">
      <c r="G3884" t="s">
        <v>3653</v>
      </c>
      <c r="P3884" s="7"/>
      <c r="Q3884" s="7"/>
    </row>
    <row r="3885" spans="7:17" ht="21.75" customHeight="1">
      <c r="G3885" t="s">
        <v>3653</v>
      </c>
      <c r="P3885" s="7"/>
      <c r="Q3885" s="7"/>
    </row>
    <row r="3886" spans="7:17" ht="21.75" customHeight="1">
      <c r="G3886" t="s">
        <v>3653</v>
      </c>
      <c r="P3886" s="7"/>
      <c r="Q3886" s="7"/>
    </row>
    <row r="3887" spans="7:17" ht="21.75" customHeight="1">
      <c r="G3887" t="s">
        <v>3653</v>
      </c>
      <c r="P3887" s="7"/>
      <c r="Q3887" s="7"/>
    </row>
    <row r="3888" spans="7:17" ht="21.75" customHeight="1">
      <c r="G3888" t="s">
        <v>3653</v>
      </c>
      <c r="P3888" s="7"/>
      <c r="Q3888" s="7"/>
    </row>
    <row r="3889" spans="7:17" ht="21.75" customHeight="1">
      <c r="G3889" t="s">
        <v>3653</v>
      </c>
      <c r="P3889" s="7"/>
      <c r="Q3889" s="7"/>
    </row>
    <row r="3890" spans="7:17" ht="21.75" customHeight="1">
      <c r="G3890" t="s">
        <v>3653</v>
      </c>
      <c r="P3890" s="7"/>
      <c r="Q3890" s="7"/>
    </row>
    <row r="3891" spans="7:17" ht="21.75" customHeight="1">
      <c r="G3891" t="s">
        <v>3653</v>
      </c>
      <c r="P3891" s="7"/>
      <c r="Q3891" s="7"/>
    </row>
    <row r="3892" spans="7:17" ht="21.75" customHeight="1">
      <c r="G3892" t="s">
        <v>3653</v>
      </c>
      <c r="P3892" s="7"/>
      <c r="Q3892" s="7"/>
    </row>
    <row r="3893" spans="7:17" ht="21.75" customHeight="1">
      <c r="G3893" t="s">
        <v>3653</v>
      </c>
      <c r="P3893" s="7"/>
      <c r="Q3893" s="7"/>
    </row>
    <row r="3894" spans="7:17" ht="21.75" customHeight="1">
      <c r="G3894" t="s">
        <v>3653</v>
      </c>
      <c r="P3894" s="7"/>
      <c r="Q3894" s="7"/>
    </row>
    <row r="3895" spans="7:17" ht="21.75" customHeight="1">
      <c r="G3895" t="s">
        <v>3653</v>
      </c>
      <c r="P3895" s="7"/>
      <c r="Q3895" s="7"/>
    </row>
    <row r="3896" spans="7:17" ht="21.75" customHeight="1">
      <c r="G3896" t="s">
        <v>3653</v>
      </c>
      <c r="P3896" s="7"/>
      <c r="Q3896" s="7"/>
    </row>
    <row r="3897" spans="7:17" ht="21.75" customHeight="1">
      <c r="G3897" t="s">
        <v>3653</v>
      </c>
      <c r="P3897" s="7"/>
      <c r="Q3897" s="7"/>
    </row>
    <row r="3898" spans="7:17" ht="21.75" customHeight="1">
      <c r="G3898" t="s">
        <v>3653</v>
      </c>
      <c r="P3898" s="7"/>
      <c r="Q3898" s="7"/>
    </row>
    <row r="3899" spans="7:17" ht="21.75" customHeight="1">
      <c r="G3899" t="s">
        <v>3653</v>
      </c>
      <c r="P3899" s="7"/>
      <c r="Q3899" s="7"/>
    </row>
    <row r="3900" spans="7:17" ht="21.75" customHeight="1">
      <c r="G3900" t="s">
        <v>3653</v>
      </c>
      <c r="P3900" s="7"/>
      <c r="Q3900" s="7"/>
    </row>
    <row r="3901" spans="7:17" ht="21.75" customHeight="1">
      <c r="G3901" t="s">
        <v>3653</v>
      </c>
      <c r="P3901" s="7"/>
      <c r="Q3901" s="7"/>
    </row>
    <row r="3902" spans="7:17" ht="21.75" customHeight="1">
      <c r="G3902" t="s">
        <v>3653</v>
      </c>
      <c r="P3902" s="7"/>
      <c r="Q3902" s="7"/>
    </row>
    <row r="3903" spans="7:17" ht="21.75" customHeight="1">
      <c r="G3903" t="s">
        <v>3653</v>
      </c>
      <c r="P3903" s="7"/>
      <c r="Q3903" s="7"/>
    </row>
    <row r="3904" spans="7:17" ht="21.75" customHeight="1">
      <c r="G3904" t="s">
        <v>3653</v>
      </c>
      <c r="P3904" s="7"/>
      <c r="Q3904" s="7"/>
    </row>
    <row r="3905" spans="7:17" ht="21.75" customHeight="1">
      <c r="G3905" t="s">
        <v>3653</v>
      </c>
      <c r="P3905" s="7"/>
      <c r="Q3905" s="7"/>
    </row>
    <row r="3906" spans="7:17" ht="21.75" customHeight="1">
      <c r="G3906" t="s">
        <v>3653</v>
      </c>
      <c r="P3906" s="7"/>
      <c r="Q3906" s="7"/>
    </row>
    <row r="3907" spans="7:17" ht="21.75" customHeight="1">
      <c r="G3907" t="s">
        <v>3653</v>
      </c>
      <c r="P3907" s="7"/>
      <c r="Q3907" s="7"/>
    </row>
    <row r="3908" spans="7:17" ht="21.75" customHeight="1">
      <c r="G3908" t="s">
        <v>3653</v>
      </c>
      <c r="P3908" s="7"/>
      <c r="Q3908" s="7"/>
    </row>
    <row r="3909" spans="7:17" ht="21.75" customHeight="1">
      <c r="G3909" t="s">
        <v>3653</v>
      </c>
      <c r="P3909" s="7"/>
      <c r="Q3909" s="7"/>
    </row>
    <row r="3910" spans="7:17" ht="21.75" customHeight="1">
      <c r="G3910" t="s">
        <v>3653</v>
      </c>
      <c r="P3910" s="7"/>
      <c r="Q3910" s="7"/>
    </row>
    <row r="3911" spans="7:17" ht="21.75" customHeight="1">
      <c r="G3911" t="s">
        <v>3653</v>
      </c>
      <c r="P3911" s="7"/>
      <c r="Q3911" s="7"/>
    </row>
    <row r="3912" spans="7:17" ht="21.75" customHeight="1">
      <c r="G3912" t="s">
        <v>3653</v>
      </c>
      <c r="P3912" s="7"/>
      <c r="Q3912" s="7"/>
    </row>
    <row r="3913" spans="7:17" ht="21.75" customHeight="1">
      <c r="G3913" t="s">
        <v>3653</v>
      </c>
      <c r="P3913" s="7"/>
      <c r="Q3913" s="7"/>
    </row>
    <row r="3914" spans="7:17" ht="21.75" customHeight="1">
      <c r="G3914" t="s">
        <v>3653</v>
      </c>
      <c r="P3914" s="7"/>
      <c r="Q3914" s="7"/>
    </row>
    <row r="3915" spans="7:17" ht="21.75" customHeight="1">
      <c r="G3915" t="s">
        <v>3653</v>
      </c>
      <c r="P3915" s="7"/>
      <c r="Q3915" s="7"/>
    </row>
    <row r="3916" spans="7:17" ht="21.75" customHeight="1">
      <c r="G3916" t="s">
        <v>3653</v>
      </c>
      <c r="P3916" s="7"/>
      <c r="Q3916" s="7"/>
    </row>
    <row r="3917" spans="7:17" ht="21.75" customHeight="1">
      <c r="G3917" t="s">
        <v>3653</v>
      </c>
      <c r="P3917" s="7"/>
      <c r="Q3917" s="7"/>
    </row>
    <row r="3918" spans="7:17" ht="21.75" customHeight="1">
      <c r="G3918" t="s">
        <v>3653</v>
      </c>
      <c r="P3918" s="7"/>
      <c r="Q3918" s="7"/>
    </row>
    <row r="3919" spans="7:17" ht="21.75" customHeight="1">
      <c r="G3919" t="s">
        <v>3653</v>
      </c>
      <c r="P3919" s="7"/>
      <c r="Q3919" s="7"/>
    </row>
    <row r="3920" spans="7:17" ht="21.75" customHeight="1">
      <c r="G3920" t="s">
        <v>3653</v>
      </c>
      <c r="P3920" s="7"/>
      <c r="Q3920" s="7"/>
    </row>
    <row r="3921" spans="7:17" ht="21.75" customHeight="1">
      <c r="G3921" t="s">
        <v>3653</v>
      </c>
      <c r="P3921" s="7"/>
      <c r="Q3921" s="7"/>
    </row>
    <row r="3922" spans="7:17" ht="21.75" customHeight="1">
      <c r="G3922" t="s">
        <v>3653</v>
      </c>
      <c r="P3922" s="7"/>
      <c r="Q3922" s="7"/>
    </row>
    <row r="3923" spans="7:17" ht="21.75" customHeight="1">
      <c r="G3923" t="s">
        <v>3653</v>
      </c>
      <c r="P3923" s="7"/>
      <c r="Q3923" s="7"/>
    </row>
    <row r="3924" spans="7:17" ht="21.75" customHeight="1">
      <c r="G3924" t="s">
        <v>3653</v>
      </c>
      <c r="P3924" s="7"/>
      <c r="Q3924" s="7"/>
    </row>
    <row r="3925" spans="7:17" ht="21.75" customHeight="1">
      <c r="G3925" t="s">
        <v>3653</v>
      </c>
      <c r="P3925" s="7"/>
      <c r="Q3925" s="7"/>
    </row>
    <row r="3926" spans="7:17" ht="21.75" customHeight="1">
      <c r="G3926" t="s">
        <v>3653</v>
      </c>
      <c r="P3926" s="7"/>
      <c r="Q3926" s="7"/>
    </row>
    <row r="3927" spans="7:17" ht="21.75" customHeight="1">
      <c r="G3927" t="s">
        <v>3653</v>
      </c>
      <c r="P3927" s="7"/>
      <c r="Q3927" s="7"/>
    </row>
    <row r="3928" spans="7:17" ht="21.75" customHeight="1">
      <c r="G3928" t="s">
        <v>3653</v>
      </c>
      <c r="P3928" s="7"/>
      <c r="Q3928" s="7"/>
    </row>
    <row r="3929" spans="7:17" ht="21.75" customHeight="1">
      <c r="G3929" t="s">
        <v>3653</v>
      </c>
      <c r="P3929" s="7"/>
      <c r="Q3929" s="7"/>
    </row>
    <row r="3930" spans="7:17" ht="21.75" customHeight="1">
      <c r="G3930" t="s">
        <v>3653</v>
      </c>
      <c r="P3930" s="7"/>
      <c r="Q3930" s="7"/>
    </row>
    <row r="3931" spans="7:17" ht="21.75" customHeight="1">
      <c r="G3931" t="s">
        <v>3653</v>
      </c>
      <c r="P3931" s="7"/>
      <c r="Q3931" s="7"/>
    </row>
    <row r="3932" spans="7:17" ht="21.75" customHeight="1">
      <c r="G3932" t="s">
        <v>3653</v>
      </c>
      <c r="P3932" s="7"/>
      <c r="Q3932" s="7"/>
    </row>
    <row r="3933" spans="7:17" ht="21.75" customHeight="1">
      <c r="G3933" t="s">
        <v>3653</v>
      </c>
      <c r="P3933" s="7"/>
      <c r="Q3933" s="7"/>
    </row>
    <row r="3934" spans="7:17" ht="21.75" customHeight="1">
      <c r="G3934" t="s">
        <v>3653</v>
      </c>
      <c r="P3934" s="7"/>
      <c r="Q3934" s="7"/>
    </row>
    <row r="3935" spans="7:17" ht="21.75" customHeight="1">
      <c r="G3935" t="s">
        <v>3653</v>
      </c>
      <c r="P3935" s="7"/>
      <c r="Q3935" s="7"/>
    </row>
    <row r="3936" spans="7:17" ht="21.75" customHeight="1">
      <c r="G3936" t="s">
        <v>3653</v>
      </c>
      <c r="P3936" s="7"/>
      <c r="Q3936" s="7"/>
    </row>
    <row r="3937" spans="7:17" ht="21.75" customHeight="1">
      <c r="G3937" t="s">
        <v>3653</v>
      </c>
      <c r="P3937" s="7"/>
      <c r="Q3937" s="7"/>
    </row>
    <row r="3938" spans="7:17" ht="21.75" customHeight="1">
      <c r="G3938" t="s">
        <v>3653</v>
      </c>
      <c r="P3938" s="7"/>
      <c r="Q3938" s="7"/>
    </row>
    <row r="3939" spans="7:17" ht="21.75" customHeight="1">
      <c r="G3939" t="s">
        <v>3653</v>
      </c>
      <c r="P3939" s="7"/>
      <c r="Q3939" s="7"/>
    </row>
    <row r="3940" spans="7:17" ht="21.75" customHeight="1">
      <c r="G3940" t="s">
        <v>3653</v>
      </c>
      <c r="P3940" s="7"/>
      <c r="Q3940" s="7"/>
    </row>
    <row r="3941" spans="7:17" ht="21.75" customHeight="1">
      <c r="G3941" t="s">
        <v>3653</v>
      </c>
      <c r="P3941" s="7"/>
      <c r="Q3941" s="7"/>
    </row>
    <row r="3942" spans="7:17" ht="21.75" customHeight="1">
      <c r="G3942" t="s">
        <v>3653</v>
      </c>
      <c r="P3942" s="7"/>
      <c r="Q3942" s="7"/>
    </row>
    <row r="3943" spans="7:17" ht="21.75" customHeight="1">
      <c r="G3943" t="s">
        <v>3653</v>
      </c>
      <c r="P3943" s="7"/>
      <c r="Q3943" s="7"/>
    </row>
    <row r="3944" spans="7:17" ht="21.75" customHeight="1">
      <c r="G3944" t="s">
        <v>3653</v>
      </c>
      <c r="P3944" s="7"/>
      <c r="Q3944" s="7"/>
    </row>
    <row r="3945" spans="7:17" ht="21.75" customHeight="1">
      <c r="G3945" t="s">
        <v>3653</v>
      </c>
      <c r="P3945" s="7"/>
      <c r="Q3945" s="7"/>
    </row>
    <row r="3946" spans="7:17" ht="21.75" customHeight="1">
      <c r="G3946" t="s">
        <v>3653</v>
      </c>
      <c r="P3946" s="7"/>
      <c r="Q3946" s="7"/>
    </row>
    <row r="3947" spans="7:17" ht="21.75" customHeight="1">
      <c r="G3947" t="s">
        <v>3653</v>
      </c>
      <c r="P3947" s="7"/>
      <c r="Q3947" s="7"/>
    </row>
    <row r="3948" spans="7:17" ht="21.75" customHeight="1">
      <c r="G3948" t="s">
        <v>3653</v>
      </c>
      <c r="P3948" s="7"/>
      <c r="Q3948" s="7"/>
    </row>
    <row r="3949" spans="7:17" ht="21.75" customHeight="1">
      <c r="G3949" t="s">
        <v>3653</v>
      </c>
      <c r="P3949" s="7"/>
      <c r="Q3949" s="7"/>
    </row>
    <row r="3950" spans="7:17" ht="21.75" customHeight="1">
      <c r="G3950" t="s">
        <v>3653</v>
      </c>
      <c r="P3950" s="7"/>
      <c r="Q3950" s="7"/>
    </row>
    <row r="3951" spans="7:17" ht="21.75" customHeight="1">
      <c r="G3951" t="s">
        <v>3653</v>
      </c>
      <c r="P3951" s="7"/>
      <c r="Q3951" s="7"/>
    </row>
    <row r="3952" spans="7:17" ht="21.75" customHeight="1">
      <c r="G3952" t="s">
        <v>3653</v>
      </c>
      <c r="P3952" s="7"/>
      <c r="Q3952" s="7"/>
    </row>
    <row r="3953" spans="7:17" ht="21.75" customHeight="1">
      <c r="G3953" t="s">
        <v>3653</v>
      </c>
      <c r="P3953" s="7"/>
      <c r="Q3953" s="7"/>
    </row>
    <row r="3954" spans="7:17" ht="21.75" customHeight="1">
      <c r="G3954" t="s">
        <v>3653</v>
      </c>
      <c r="P3954" s="7"/>
      <c r="Q3954" s="7"/>
    </row>
    <row r="3955" spans="7:17" ht="21.75" customHeight="1">
      <c r="G3955" t="s">
        <v>3653</v>
      </c>
      <c r="P3955" s="7"/>
      <c r="Q3955" s="7"/>
    </row>
    <row r="3956" spans="7:17" ht="21.75" customHeight="1">
      <c r="G3956" t="s">
        <v>3653</v>
      </c>
      <c r="P3956" s="7"/>
      <c r="Q3956" s="7"/>
    </row>
    <row r="3957" spans="7:17" ht="21.75" customHeight="1">
      <c r="G3957" t="s">
        <v>3653</v>
      </c>
      <c r="P3957" s="7"/>
      <c r="Q3957" s="7"/>
    </row>
    <row r="3958" spans="7:17" ht="21.75" customHeight="1">
      <c r="G3958" t="s">
        <v>3653</v>
      </c>
      <c r="P3958" s="7"/>
      <c r="Q3958" s="7"/>
    </row>
    <row r="3959" spans="7:17" ht="21.75" customHeight="1">
      <c r="G3959" t="s">
        <v>3653</v>
      </c>
      <c r="P3959" s="7"/>
      <c r="Q3959" s="7"/>
    </row>
    <row r="3960" spans="7:17" ht="21.75" customHeight="1">
      <c r="G3960" t="s">
        <v>3653</v>
      </c>
      <c r="P3960" s="7"/>
      <c r="Q3960" s="7"/>
    </row>
    <row r="3961" spans="7:17" ht="21.75" customHeight="1">
      <c r="G3961" t="s">
        <v>3653</v>
      </c>
      <c r="P3961" s="7"/>
      <c r="Q3961" s="7"/>
    </row>
    <row r="3962" spans="7:17" ht="21.75" customHeight="1">
      <c r="G3962" t="s">
        <v>3653</v>
      </c>
      <c r="P3962" s="7"/>
      <c r="Q3962" s="7"/>
    </row>
    <row r="3963" spans="7:17" ht="21.75" customHeight="1">
      <c r="G3963" t="s">
        <v>3653</v>
      </c>
      <c r="P3963" s="7"/>
      <c r="Q3963" s="7"/>
    </row>
    <row r="3964" spans="7:17" ht="21.75" customHeight="1">
      <c r="G3964" t="s">
        <v>3653</v>
      </c>
      <c r="P3964" s="7"/>
      <c r="Q3964" s="7"/>
    </row>
    <row r="3965" spans="7:17" ht="21.75" customHeight="1">
      <c r="G3965" t="s">
        <v>3653</v>
      </c>
      <c r="P3965" s="7"/>
      <c r="Q3965" s="7"/>
    </row>
    <row r="3966" spans="7:17" ht="21.75" customHeight="1">
      <c r="G3966" t="s">
        <v>3653</v>
      </c>
      <c r="P3966" s="7"/>
      <c r="Q3966" s="7"/>
    </row>
    <row r="3967" spans="7:17" ht="21.75" customHeight="1">
      <c r="G3967" t="s">
        <v>3653</v>
      </c>
      <c r="P3967" s="7"/>
      <c r="Q3967" s="7"/>
    </row>
    <row r="3968" spans="7:17" ht="21.75" customHeight="1">
      <c r="G3968" t="s">
        <v>3653</v>
      </c>
      <c r="P3968" s="7"/>
      <c r="Q3968" s="7"/>
    </row>
    <row r="3969" spans="7:17" ht="21.75" customHeight="1">
      <c r="G3969" t="s">
        <v>3653</v>
      </c>
      <c r="P3969" s="7"/>
      <c r="Q3969" s="7"/>
    </row>
    <row r="3970" spans="7:17" ht="21.75" customHeight="1">
      <c r="G3970" t="s">
        <v>3653</v>
      </c>
      <c r="P3970" s="7"/>
      <c r="Q3970" s="7"/>
    </row>
    <row r="3971" spans="7:17" ht="21.75" customHeight="1">
      <c r="G3971" t="s">
        <v>3653</v>
      </c>
      <c r="P3971" s="7"/>
      <c r="Q3971" s="7"/>
    </row>
    <row r="3972" spans="7:17" ht="21.75" customHeight="1">
      <c r="G3972" t="s">
        <v>3653</v>
      </c>
      <c r="P3972" s="7"/>
      <c r="Q3972" s="7"/>
    </row>
    <row r="3973" spans="7:17" ht="21.75" customHeight="1">
      <c r="G3973" t="s">
        <v>3653</v>
      </c>
      <c r="P3973" s="7"/>
      <c r="Q3973" s="7"/>
    </row>
    <row r="3974" spans="7:17" ht="21.75" customHeight="1">
      <c r="G3974" t="s">
        <v>3653</v>
      </c>
      <c r="P3974" s="7"/>
      <c r="Q3974" s="7"/>
    </row>
    <row r="3975" spans="7:17" ht="21.75" customHeight="1">
      <c r="G3975" t="s">
        <v>3653</v>
      </c>
      <c r="P3975" s="7"/>
      <c r="Q3975" s="7"/>
    </row>
    <row r="3976" spans="7:17" ht="21.75" customHeight="1">
      <c r="G3976" t="s">
        <v>3653</v>
      </c>
      <c r="P3976" s="7"/>
      <c r="Q3976" s="7"/>
    </row>
    <row r="3977" spans="7:17" ht="21.75" customHeight="1">
      <c r="G3977" t="s">
        <v>3653</v>
      </c>
      <c r="P3977" s="7"/>
      <c r="Q3977" s="7"/>
    </row>
    <row r="3978" spans="7:17" ht="21.75" customHeight="1">
      <c r="G3978" t="s">
        <v>3653</v>
      </c>
      <c r="P3978" s="7"/>
      <c r="Q3978" s="7"/>
    </row>
    <row r="3979" spans="7:17" ht="21.75" customHeight="1">
      <c r="G3979" t="s">
        <v>3653</v>
      </c>
      <c r="P3979" s="7"/>
      <c r="Q3979" s="7"/>
    </row>
    <row r="3980" spans="7:17" ht="21.75" customHeight="1">
      <c r="G3980" t="s">
        <v>3653</v>
      </c>
      <c r="P3980" s="7"/>
      <c r="Q3980" s="7"/>
    </row>
    <row r="3981" spans="7:17" ht="21.75" customHeight="1">
      <c r="G3981" t="s">
        <v>3653</v>
      </c>
      <c r="P3981" s="7"/>
      <c r="Q3981" s="7"/>
    </row>
    <row r="3982" spans="7:17" ht="21.75" customHeight="1">
      <c r="G3982" t="s">
        <v>3653</v>
      </c>
      <c r="P3982" s="7"/>
      <c r="Q3982" s="7"/>
    </row>
    <row r="3983" spans="7:17" ht="21.75" customHeight="1">
      <c r="G3983" t="s">
        <v>3653</v>
      </c>
      <c r="P3983" s="7"/>
      <c r="Q3983" s="7"/>
    </row>
    <row r="3984" spans="7:17" ht="21.75" customHeight="1">
      <c r="G3984" t="s">
        <v>3653</v>
      </c>
      <c r="P3984" s="7"/>
      <c r="Q3984" s="7"/>
    </row>
    <row r="3985" spans="7:17" ht="21.75" customHeight="1">
      <c r="G3985" t="s">
        <v>3653</v>
      </c>
      <c r="P3985" s="7"/>
      <c r="Q3985" s="7"/>
    </row>
    <row r="3986" spans="7:17" ht="21.75" customHeight="1">
      <c r="G3986" t="s">
        <v>3653</v>
      </c>
      <c r="P3986" s="7"/>
      <c r="Q3986" s="7"/>
    </row>
    <row r="3987" spans="7:17" ht="21.75" customHeight="1">
      <c r="G3987" t="s">
        <v>3653</v>
      </c>
      <c r="P3987" s="7"/>
      <c r="Q3987" s="7"/>
    </row>
    <row r="3988" spans="7:17" ht="21.75" customHeight="1">
      <c r="G3988" t="s">
        <v>3653</v>
      </c>
      <c r="P3988" s="7"/>
      <c r="Q3988" s="7"/>
    </row>
    <row r="3989" spans="7:17" ht="21.75" customHeight="1">
      <c r="G3989" t="s">
        <v>3653</v>
      </c>
      <c r="P3989" s="7"/>
      <c r="Q3989" s="7"/>
    </row>
    <row r="3990" spans="7:17" ht="21.75" customHeight="1">
      <c r="G3990" t="s">
        <v>3653</v>
      </c>
      <c r="P3990" s="7"/>
      <c r="Q3990" s="7"/>
    </row>
    <row r="3991" spans="7:17" ht="21.75" customHeight="1">
      <c r="G3991" t="s">
        <v>3653</v>
      </c>
      <c r="P3991" s="7"/>
      <c r="Q3991" s="7"/>
    </row>
    <row r="3992" spans="7:17" ht="21.75" customHeight="1">
      <c r="G3992" t="s">
        <v>3653</v>
      </c>
      <c r="P3992" s="7"/>
      <c r="Q3992" s="7"/>
    </row>
    <row r="3993" spans="7:17" ht="21.75" customHeight="1">
      <c r="G3993" t="s">
        <v>3653</v>
      </c>
      <c r="P3993" s="7"/>
      <c r="Q3993" s="7"/>
    </row>
    <row r="3994" spans="7:17" ht="21.75" customHeight="1">
      <c r="G3994" t="s">
        <v>3653</v>
      </c>
      <c r="P3994" s="7"/>
      <c r="Q3994" s="7"/>
    </row>
    <row r="3995" spans="7:17" ht="21.75" customHeight="1">
      <c r="G3995" t="s">
        <v>3653</v>
      </c>
      <c r="P3995" s="7"/>
      <c r="Q3995" s="7"/>
    </row>
    <row r="3996" spans="7:17" ht="21.75" customHeight="1">
      <c r="G3996" t="s">
        <v>3653</v>
      </c>
      <c r="P3996" s="7"/>
      <c r="Q3996" s="7"/>
    </row>
    <row r="3997" spans="7:17" ht="21.75" customHeight="1">
      <c r="G3997" t="s">
        <v>3653</v>
      </c>
      <c r="P3997" s="7"/>
      <c r="Q3997" s="7"/>
    </row>
    <row r="3998" spans="7:17" ht="21.75" customHeight="1">
      <c r="G3998" t="s">
        <v>3653</v>
      </c>
      <c r="P3998" s="7"/>
      <c r="Q3998" s="7"/>
    </row>
    <row r="3999" spans="7:17" ht="21.75" customHeight="1">
      <c r="G3999" t="s">
        <v>3653</v>
      </c>
      <c r="P3999" s="7"/>
      <c r="Q3999" s="7"/>
    </row>
    <row r="4000" spans="7:17" ht="21.75" customHeight="1">
      <c r="G4000" t="s">
        <v>3653</v>
      </c>
      <c r="P4000" s="7"/>
      <c r="Q4000" s="7"/>
    </row>
    <row r="4001" spans="7:17" ht="21.75" customHeight="1">
      <c r="G4001" t="s">
        <v>3653</v>
      </c>
      <c r="P4001" s="7"/>
      <c r="Q4001" s="7"/>
    </row>
    <row r="4002" spans="7:17" ht="21.75" customHeight="1">
      <c r="G4002" t="s">
        <v>3653</v>
      </c>
      <c r="P4002" s="7"/>
      <c r="Q4002" s="7"/>
    </row>
    <row r="4003" spans="7:17" ht="21.75" customHeight="1">
      <c r="G4003" t="s">
        <v>3653</v>
      </c>
      <c r="P4003" s="7"/>
      <c r="Q4003" s="7"/>
    </row>
    <row r="4004" spans="7:17" ht="21.75" customHeight="1">
      <c r="G4004" t="s">
        <v>3653</v>
      </c>
      <c r="P4004" s="7"/>
      <c r="Q4004" s="7"/>
    </row>
    <row r="4005" spans="7:17" ht="21.75" customHeight="1">
      <c r="G4005" t="s">
        <v>3653</v>
      </c>
      <c r="P4005" s="7"/>
      <c r="Q4005" s="7"/>
    </row>
    <row r="4006" spans="7:17" ht="21.75" customHeight="1">
      <c r="G4006" t="s">
        <v>3653</v>
      </c>
      <c r="P4006" s="7"/>
      <c r="Q4006" s="7"/>
    </row>
    <row r="4007" spans="7:17" ht="21.75" customHeight="1">
      <c r="G4007" t="s">
        <v>3653</v>
      </c>
      <c r="P4007" s="7"/>
      <c r="Q4007" s="7"/>
    </row>
    <row r="4008" spans="7:17" ht="21.75" customHeight="1">
      <c r="G4008" t="s">
        <v>3653</v>
      </c>
      <c r="P4008" s="7"/>
      <c r="Q4008" s="7"/>
    </row>
    <row r="4009" spans="7:17" ht="21.75" customHeight="1">
      <c r="G4009" t="s">
        <v>3653</v>
      </c>
      <c r="P4009" s="7"/>
      <c r="Q4009" s="7"/>
    </row>
    <row r="4010" spans="7:17" ht="21.75" customHeight="1">
      <c r="G4010" t="s">
        <v>3653</v>
      </c>
      <c r="P4010" s="7"/>
      <c r="Q4010" s="7"/>
    </row>
    <row r="4011" spans="7:17" ht="21.75" customHeight="1">
      <c r="G4011" t="s">
        <v>3653</v>
      </c>
      <c r="P4011" s="7"/>
      <c r="Q4011" s="7"/>
    </row>
    <row r="4012" spans="7:17" ht="21.75" customHeight="1">
      <c r="G4012" t="s">
        <v>3653</v>
      </c>
      <c r="P4012" s="7"/>
      <c r="Q4012" s="7"/>
    </row>
    <row r="4013" spans="7:17" ht="21.75" customHeight="1">
      <c r="G4013" t="s">
        <v>3653</v>
      </c>
      <c r="P4013" s="7"/>
      <c r="Q4013" s="7"/>
    </row>
    <row r="4014" spans="7:17" ht="21.75" customHeight="1">
      <c r="G4014" t="s">
        <v>3653</v>
      </c>
      <c r="P4014" s="7"/>
      <c r="Q4014" s="7"/>
    </row>
    <row r="4015" spans="7:17" ht="21.75" customHeight="1">
      <c r="G4015" t="s">
        <v>3653</v>
      </c>
      <c r="P4015" s="7"/>
      <c r="Q4015" s="7"/>
    </row>
    <row r="4016" spans="7:17" ht="21.75" customHeight="1">
      <c r="G4016" t="s">
        <v>3653</v>
      </c>
      <c r="P4016" s="7"/>
      <c r="Q4016" s="7"/>
    </row>
    <row r="4017" spans="7:17" ht="21.75" customHeight="1">
      <c r="G4017" t="s">
        <v>3653</v>
      </c>
      <c r="P4017" s="7"/>
      <c r="Q4017" s="7"/>
    </row>
    <row r="4018" spans="7:17" ht="21.75" customHeight="1">
      <c r="G4018" t="s">
        <v>3653</v>
      </c>
      <c r="P4018" s="7"/>
      <c r="Q4018" s="7"/>
    </row>
    <row r="4019" spans="7:17" ht="21.75" customHeight="1">
      <c r="G4019" t="s">
        <v>3653</v>
      </c>
      <c r="P4019" s="7"/>
      <c r="Q4019" s="7"/>
    </row>
    <row r="4020" spans="7:17" ht="21.75" customHeight="1">
      <c r="G4020" t="s">
        <v>3653</v>
      </c>
      <c r="P4020" s="7"/>
      <c r="Q4020" s="7"/>
    </row>
    <row r="4021" spans="7:17" ht="21.75" customHeight="1">
      <c r="G4021" t="s">
        <v>3653</v>
      </c>
      <c r="P4021" s="7"/>
      <c r="Q4021" s="7"/>
    </row>
    <row r="4022" spans="7:17" ht="21.75" customHeight="1">
      <c r="G4022" t="s">
        <v>3653</v>
      </c>
      <c r="P4022" s="7"/>
      <c r="Q4022" s="7"/>
    </row>
    <row r="4023" spans="7:17" ht="21.75" customHeight="1">
      <c r="G4023" t="s">
        <v>3653</v>
      </c>
      <c r="P4023" s="7"/>
      <c r="Q4023" s="7"/>
    </row>
    <row r="4024" spans="7:17" ht="21.75" customHeight="1">
      <c r="G4024" t="s">
        <v>3653</v>
      </c>
      <c r="P4024" s="7"/>
      <c r="Q4024" s="7"/>
    </row>
    <row r="4025" spans="7:17" ht="21.75" customHeight="1">
      <c r="G4025" t="s">
        <v>3653</v>
      </c>
      <c r="P4025" s="7"/>
      <c r="Q4025" s="7"/>
    </row>
    <row r="4026" spans="7:17" ht="21.75" customHeight="1">
      <c r="G4026" t="s">
        <v>3653</v>
      </c>
      <c r="P4026" s="7"/>
      <c r="Q4026" s="7"/>
    </row>
    <row r="4027" spans="7:17" ht="21.75" customHeight="1">
      <c r="G4027" t="s">
        <v>3653</v>
      </c>
      <c r="P4027" s="7"/>
      <c r="Q4027" s="7"/>
    </row>
    <row r="4028" spans="7:17" ht="21.75" customHeight="1">
      <c r="G4028" t="s">
        <v>3653</v>
      </c>
      <c r="P4028" s="7"/>
      <c r="Q4028" s="7"/>
    </row>
    <row r="4029" spans="7:17" ht="21.75" customHeight="1">
      <c r="G4029" t="s">
        <v>3653</v>
      </c>
      <c r="P4029" s="7"/>
      <c r="Q4029" s="7"/>
    </row>
    <row r="4030" spans="7:17" ht="21.75" customHeight="1">
      <c r="G4030" t="s">
        <v>3653</v>
      </c>
      <c r="P4030" s="7"/>
      <c r="Q4030" s="7"/>
    </row>
    <row r="4031" spans="7:17" ht="21.75" customHeight="1">
      <c r="G4031" t="s">
        <v>3653</v>
      </c>
      <c r="P4031" s="7"/>
      <c r="Q4031" s="7"/>
    </row>
    <row r="4032" spans="7:17" ht="21.75" customHeight="1">
      <c r="G4032" t="s">
        <v>3653</v>
      </c>
      <c r="P4032" s="7"/>
      <c r="Q4032" s="7"/>
    </row>
    <row r="4033" spans="7:17" ht="21.75" customHeight="1">
      <c r="G4033" t="s">
        <v>3653</v>
      </c>
      <c r="P4033" s="7"/>
      <c r="Q4033" s="7"/>
    </row>
    <row r="4034" spans="7:17" ht="21.75" customHeight="1">
      <c r="G4034" t="s">
        <v>3653</v>
      </c>
      <c r="P4034" s="7"/>
      <c r="Q4034" s="7"/>
    </row>
    <row r="4035" spans="7:17" ht="21.75" customHeight="1">
      <c r="G4035" t="s">
        <v>3653</v>
      </c>
      <c r="P4035" s="7"/>
      <c r="Q4035" s="7"/>
    </row>
    <row r="4036" spans="7:17" ht="21.75" customHeight="1">
      <c r="G4036" t="s">
        <v>3653</v>
      </c>
      <c r="P4036" s="7"/>
      <c r="Q4036" s="7"/>
    </row>
    <row r="4037" spans="7:17" ht="21.75" customHeight="1">
      <c r="G4037" t="s">
        <v>3653</v>
      </c>
      <c r="P4037" s="7"/>
      <c r="Q4037" s="7"/>
    </row>
    <row r="4038" spans="7:17" ht="21.75" customHeight="1">
      <c r="G4038" t="s">
        <v>3653</v>
      </c>
      <c r="P4038" s="7"/>
      <c r="Q4038" s="7"/>
    </row>
    <row r="4039" spans="7:17" ht="21.75" customHeight="1">
      <c r="G4039" t="s">
        <v>3653</v>
      </c>
      <c r="P4039" s="7"/>
      <c r="Q4039" s="7"/>
    </row>
    <row r="4040" spans="7:17" ht="21.75" customHeight="1">
      <c r="G4040" t="s">
        <v>3653</v>
      </c>
      <c r="P4040" s="7"/>
      <c r="Q4040" s="7"/>
    </row>
    <row r="4041" spans="7:17" ht="21.75" customHeight="1">
      <c r="G4041" t="s">
        <v>3653</v>
      </c>
      <c r="P4041" s="7"/>
      <c r="Q4041" s="7"/>
    </row>
    <row r="4042" spans="7:17" ht="21.75" customHeight="1">
      <c r="G4042" t="s">
        <v>3653</v>
      </c>
      <c r="P4042" s="7"/>
      <c r="Q4042" s="7"/>
    </row>
    <row r="4043" spans="7:17" ht="21.75" customHeight="1">
      <c r="G4043" t="s">
        <v>3653</v>
      </c>
      <c r="P4043" s="7"/>
      <c r="Q4043" s="7"/>
    </row>
    <row r="4044" spans="7:17" ht="21.75" customHeight="1">
      <c r="G4044" t="s">
        <v>3653</v>
      </c>
      <c r="P4044" s="7"/>
      <c r="Q4044" s="7"/>
    </row>
    <row r="4045" spans="7:17" ht="21.75" customHeight="1">
      <c r="G4045" t="s">
        <v>3653</v>
      </c>
      <c r="P4045" s="7"/>
      <c r="Q4045" s="7"/>
    </row>
    <row r="4046" spans="7:17" ht="21.75" customHeight="1">
      <c r="G4046" t="s">
        <v>3653</v>
      </c>
      <c r="P4046" s="7"/>
      <c r="Q4046" s="7"/>
    </row>
    <row r="4047" spans="7:17" ht="21.75" customHeight="1">
      <c r="G4047" t="s">
        <v>3653</v>
      </c>
      <c r="P4047" s="7"/>
      <c r="Q4047" s="7"/>
    </row>
    <row r="4048" spans="7:17" ht="21.75" customHeight="1">
      <c r="G4048" t="s">
        <v>3653</v>
      </c>
      <c r="P4048" s="7"/>
      <c r="Q4048" s="7"/>
    </row>
    <row r="4049" spans="7:17" ht="21.75" customHeight="1">
      <c r="G4049" t="s">
        <v>3653</v>
      </c>
      <c r="P4049" s="7"/>
      <c r="Q4049" s="7"/>
    </row>
    <row r="4050" spans="7:17" ht="21.75" customHeight="1">
      <c r="G4050" t="s">
        <v>3653</v>
      </c>
      <c r="P4050" s="7"/>
      <c r="Q4050" s="7"/>
    </row>
    <row r="4051" spans="7:17" ht="21.75" customHeight="1">
      <c r="G4051" t="s">
        <v>3653</v>
      </c>
      <c r="P4051" s="7"/>
      <c r="Q4051" s="7"/>
    </row>
    <row r="4052" spans="7:17" ht="21.75" customHeight="1">
      <c r="G4052" t="s">
        <v>3653</v>
      </c>
      <c r="P4052" s="7"/>
      <c r="Q4052" s="7"/>
    </row>
    <row r="4053" spans="7:17" ht="21.75" customHeight="1">
      <c r="G4053" t="s">
        <v>3653</v>
      </c>
      <c r="P4053" s="7"/>
      <c r="Q4053" s="7"/>
    </row>
    <row r="4054" spans="7:17" ht="21.75" customHeight="1">
      <c r="G4054" t="s">
        <v>3653</v>
      </c>
      <c r="P4054" s="7"/>
      <c r="Q4054" s="7"/>
    </row>
    <row r="4055" spans="7:17" ht="21.75" customHeight="1">
      <c r="G4055" t="s">
        <v>3653</v>
      </c>
      <c r="P4055" s="7"/>
      <c r="Q4055" s="7"/>
    </row>
    <row r="4056" spans="7:17" ht="21.75" customHeight="1">
      <c r="G4056" t="s">
        <v>3653</v>
      </c>
      <c r="P4056" s="7"/>
      <c r="Q4056" s="7"/>
    </row>
    <row r="4057" spans="7:17" ht="21.75" customHeight="1">
      <c r="G4057" t="s">
        <v>3653</v>
      </c>
      <c r="P4057" s="7"/>
      <c r="Q4057" s="7"/>
    </row>
    <row r="4058" spans="7:17" ht="21.75" customHeight="1">
      <c r="G4058" t="s">
        <v>3653</v>
      </c>
      <c r="P4058" s="7"/>
      <c r="Q4058" s="7"/>
    </row>
    <row r="4059" spans="7:17" ht="21.75" customHeight="1">
      <c r="G4059" t="s">
        <v>3653</v>
      </c>
      <c r="P4059" s="7"/>
      <c r="Q4059" s="7"/>
    </row>
    <row r="4060" spans="7:17" ht="21.75" customHeight="1">
      <c r="G4060" t="s">
        <v>3653</v>
      </c>
      <c r="P4060" s="7"/>
      <c r="Q4060" s="7"/>
    </row>
    <row r="4061" spans="7:17" ht="21.75" customHeight="1">
      <c r="G4061" t="s">
        <v>3653</v>
      </c>
      <c r="P4061" s="7"/>
      <c r="Q4061" s="7"/>
    </row>
    <row r="4062" spans="7:17" ht="21.75" customHeight="1">
      <c r="G4062" t="s">
        <v>3653</v>
      </c>
      <c r="P4062" s="7"/>
      <c r="Q4062" s="7"/>
    </row>
    <row r="4063" spans="7:17" ht="21.75" customHeight="1">
      <c r="G4063" t="s">
        <v>3653</v>
      </c>
      <c r="P4063" s="7"/>
      <c r="Q4063" s="7"/>
    </row>
    <row r="4064" spans="7:17" ht="21.75" customHeight="1">
      <c r="G4064" t="s">
        <v>3653</v>
      </c>
      <c r="P4064" s="7"/>
      <c r="Q4064" s="7"/>
    </row>
    <row r="4065" spans="7:17" ht="21.75" customHeight="1">
      <c r="G4065" t="s">
        <v>3653</v>
      </c>
      <c r="P4065" s="7"/>
      <c r="Q4065" s="7"/>
    </row>
    <row r="4066" spans="7:17" ht="21.75" customHeight="1">
      <c r="G4066" t="s">
        <v>3653</v>
      </c>
      <c r="P4066" s="7"/>
      <c r="Q4066" s="7"/>
    </row>
    <row r="4067" spans="7:17" ht="21.75" customHeight="1">
      <c r="G4067" t="s">
        <v>3653</v>
      </c>
      <c r="P4067" s="7"/>
      <c r="Q4067" s="7"/>
    </row>
    <row r="4068" spans="7:17" ht="21.75" customHeight="1">
      <c r="G4068" t="s">
        <v>3653</v>
      </c>
      <c r="P4068" s="7"/>
      <c r="Q4068" s="7"/>
    </row>
    <row r="4069" spans="7:17" ht="21.75" customHeight="1">
      <c r="G4069" t="s">
        <v>3653</v>
      </c>
      <c r="P4069" s="7"/>
      <c r="Q4069" s="7"/>
    </row>
    <row r="4070" spans="7:17" ht="21.75" customHeight="1">
      <c r="G4070" t="s">
        <v>3653</v>
      </c>
      <c r="P4070" s="7"/>
      <c r="Q4070" s="7"/>
    </row>
    <row r="4071" spans="7:17" ht="21.75" customHeight="1">
      <c r="G4071" t="s">
        <v>3653</v>
      </c>
      <c r="P4071" s="7"/>
      <c r="Q4071" s="7"/>
    </row>
    <row r="4072" spans="7:17" ht="21.75" customHeight="1">
      <c r="G4072" t="s">
        <v>3653</v>
      </c>
      <c r="P4072" s="7"/>
      <c r="Q4072" s="7"/>
    </row>
    <row r="4073" spans="7:17" ht="21.75" customHeight="1">
      <c r="G4073" t="s">
        <v>3653</v>
      </c>
      <c r="P4073" s="7"/>
      <c r="Q4073" s="7"/>
    </row>
    <row r="4074" spans="7:17" ht="21.75" customHeight="1">
      <c r="G4074" t="s">
        <v>3653</v>
      </c>
      <c r="P4074" s="7"/>
      <c r="Q4074" s="7"/>
    </row>
    <row r="4075" spans="7:17" ht="21.75" customHeight="1">
      <c r="G4075" t="s">
        <v>3653</v>
      </c>
      <c r="P4075" s="7"/>
      <c r="Q4075" s="7"/>
    </row>
    <row r="4076" spans="7:17" ht="21.75" customHeight="1">
      <c r="G4076" t="s">
        <v>3653</v>
      </c>
      <c r="P4076" s="7"/>
      <c r="Q4076" s="7"/>
    </row>
    <row r="4077" spans="7:17" ht="21.75" customHeight="1">
      <c r="G4077" t="s">
        <v>3653</v>
      </c>
      <c r="P4077" s="7"/>
      <c r="Q4077" s="7"/>
    </row>
    <row r="4078" spans="7:17" ht="21.75" customHeight="1">
      <c r="G4078" t="s">
        <v>3653</v>
      </c>
      <c r="P4078" s="7"/>
      <c r="Q4078" s="7"/>
    </row>
    <row r="4079" spans="7:17" ht="21.75" customHeight="1">
      <c r="G4079" t="s">
        <v>3653</v>
      </c>
      <c r="P4079" s="7"/>
      <c r="Q4079" s="7"/>
    </row>
    <row r="4080" spans="7:17" ht="21.75" customHeight="1">
      <c r="G4080" t="s">
        <v>3653</v>
      </c>
      <c r="P4080" s="7"/>
      <c r="Q4080" s="7"/>
    </row>
    <row r="4081" spans="7:17" ht="21.75" customHeight="1">
      <c r="G4081" t="s">
        <v>3653</v>
      </c>
      <c r="P4081" s="7"/>
      <c r="Q4081" s="7"/>
    </row>
    <row r="4082" spans="7:17" ht="21.75" customHeight="1">
      <c r="G4082" t="s">
        <v>3653</v>
      </c>
      <c r="P4082" s="7"/>
      <c r="Q4082" s="7"/>
    </row>
    <row r="4083" spans="7:17" ht="21.75" customHeight="1">
      <c r="G4083" t="s">
        <v>3653</v>
      </c>
      <c r="P4083" s="7"/>
      <c r="Q4083" s="7"/>
    </row>
    <row r="4084" spans="7:17" ht="21.75" customHeight="1">
      <c r="G4084" t="s">
        <v>3653</v>
      </c>
      <c r="P4084" s="7"/>
      <c r="Q4084" s="7"/>
    </row>
    <row r="4085" spans="7:17" ht="21.75" customHeight="1">
      <c r="G4085" t="s">
        <v>3653</v>
      </c>
      <c r="P4085" s="7"/>
      <c r="Q4085" s="7"/>
    </row>
    <row r="4086" spans="7:17" ht="21.75" customHeight="1">
      <c r="G4086" t="s">
        <v>3653</v>
      </c>
      <c r="P4086" s="7"/>
      <c r="Q4086" s="7"/>
    </row>
    <row r="4087" spans="7:17" ht="21.75" customHeight="1">
      <c r="G4087" t="s">
        <v>3653</v>
      </c>
      <c r="P4087" s="7"/>
      <c r="Q4087" s="7"/>
    </row>
    <row r="4088" spans="7:17" ht="21.75" customHeight="1">
      <c r="G4088" t="s">
        <v>3653</v>
      </c>
      <c r="P4088" s="7"/>
      <c r="Q4088" s="7"/>
    </row>
    <row r="4089" spans="7:17" ht="21.75" customHeight="1">
      <c r="G4089" t="s">
        <v>3653</v>
      </c>
      <c r="P4089" s="7"/>
      <c r="Q4089" s="7"/>
    </row>
    <row r="4090" spans="7:17" ht="21.75" customHeight="1">
      <c r="G4090" t="s">
        <v>3653</v>
      </c>
      <c r="P4090" s="7"/>
      <c r="Q4090" s="7"/>
    </row>
    <row r="4091" spans="7:17" ht="21.75" customHeight="1">
      <c r="G4091" t="s">
        <v>3653</v>
      </c>
      <c r="P4091" s="7"/>
      <c r="Q4091" s="7"/>
    </row>
    <row r="4092" spans="7:17" ht="21.75" customHeight="1">
      <c r="G4092" t="s">
        <v>3653</v>
      </c>
      <c r="P4092" s="7"/>
      <c r="Q4092" s="7"/>
    </row>
    <row r="4093" spans="7:17" ht="21.75" customHeight="1">
      <c r="G4093" t="s">
        <v>3653</v>
      </c>
      <c r="P4093" s="7"/>
      <c r="Q4093" s="7"/>
    </row>
    <row r="4094" spans="7:17" ht="21.75" customHeight="1">
      <c r="G4094" t="s">
        <v>3653</v>
      </c>
      <c r="P4094" s="7"/>
      <c r="Q4094" s="7"/>
    </row>
    <row r="4095" spans="7:17" ht="21.75" customHeight="1">
      <c r="G4095" t="s">
        <v>3653</v>
      </c>
      <c r="P4095" s="7"/>
      <c r="Q4095" s="7"/>
    </row>
    <row r="4096" spans="7:17" ht="21.75" customHeight="1">
      <c r="G4096" t="s">
        <v>3653</v>
      </c>
      <c r="P4096" s="7"/>
      <c r="Q4096" s="7"/>
    </row>
    <row r="4097" spans="7:17" ht="21.75" customHeight="1">
      <c r="G4097" t="s">
        <v>3653</v>
      </c>
      <c r="P4097" s="7"/>
      <c r="Q4097" s="7"/>
    </row>
    <row r="4098" spans="7:17" ht="21.75" customHeight="1">
      <c r="G4098" t="s">
        <v>3653</v>
      </c>
      <c r="P4098" s="7"/>
      <c r="Q4098" s="7"/>
    </row>
    <row r="4099" spans="7:17" ht="21.75" customHeight="1">
      <c r="G4099" t="s">
        <v>3653</v>
      </c>
      <c r="P4099" s="7"/>
      <c r="Q4099" s="7"/>
    </row>
    <row r="4100" spans="7:17" ht="21.75" customHeight="1">
      <c r="G4100" t="s">
        <v>3653</v>
      </c>
      <c r="P4100" s="7"/>
      <c r="Q4100" s="7"/>
    </row>
    <row r="4101" spans="7:17" ht="21.75" customHeight="1">
      <c r="G4101" t="s">
        <v>3653</v>
      </c>
      <c r="P4101" s="7"/>
      <c r="Q4101" s="7"/>
    </row>
    <row r="4102" spans="7:17" ht="21.75" customHeight="1">
      <c r="G4102" t="s">
        <v>3653</v>
      </c>
      <c r="P4102" s="7"/>
      <c r="Q4102" s="7"/>
    </row>
    <row r="4103" spans="7:17" ht="21.75" customHeight="1">
      <c r="G4103" t="s">
        <v>3653</v>
      </c>
      <c r="P4103" s="7"/>
      <c r="Q4103" s="7"/>
    </row>
    <row r="4104" spans="7:17" ht="21.75" customHeight="1">
      <c r="G4104" t="s">
        <v>3653</v>
      </c>
      <c r="P4104" s="7"/>
      <c r="Q4104" s="7"/>
    </row>
    <row r="4105" spans="7:17" ht="21.75" customHeight="1">
      <c r="G4105" t="s">
        <v>3653</v>
      </c>
      <c r="P4105" s="7"/>
      <c r="Q4105" s="7"/>
    </row>
    <row r="4106" spans="7:17" ht="21.75" customHeight="1">
      <c r="G4106" t="s">
        <v>3653</v>
      </c>
      <c r="P4106" s="7"/>
      <c r="Q4106" s="7"/>
    </row>
    <row r="4107" spans="7:17" ht="21.75" customHeight="1">
      <c r="G4107" t="s">
        <v>3653</v>
      </c>
      <c r="P4107" s="7"/>
      <c r="Q4107" s="7"/>
    </row>
    <row r="4108" spans="7:17" ht="21.75" customHeight="1">
      <c r="G4108" t="s">
        <v>3653</v>
      </c>
      <c r="P4108" s="7"/>
      <c r="Q4108" s="7"/>
    </row>
    <row r="4109" spans="7:17" ht="21.75" customHeight="1">
      <c r="G4109" t="s">
        <v>3653</v>
      </c>
      <c r="P4109" s="7"/>
      <c r="Q4109" s="7"/>
    </row>
    <row r="4110" spans="7:17" ht="21.75" customHeight="1">
      <c r="G4110" t="s">
        <v>3653</v>
      </c>
      <c r="P4110" s="7"/>
      <c r="Q4110" s="7"/>
    </row>
    <row r="4111" spans="7:17" ht="21.75" customHeight="1">
      <c r="G4111" t="s">
        <v>3653</v>
      </c>
      <c r="P4111" s="7"/>
      <c r="Q4111" s="7"/>
    </row>
    <row r="4112" spans="7:17" ht="21.75" customHeight="1">
      <c r="G4112" t="s">
        <v>3653</v>
      </c>
      <c r="P4112" s="7"/>
      <c r="Q4112" s="7"/>
    </row>
    <row r="4113" spans="7:17" ht="21.75" customHeight="1">
      <c r="G4113" t="s">
        <v>3653</v>
      </c>
      <c r="P4113" s="7"/>
      <c r="Q4113" s="7"/>
    </row>
    <row r="4114" spans="7:17" ht="21.75" customHeight="1">
      <c r="G4114" t="s">
        <v>3653</v>
      </c>
      <c r="P4114" s="7"/>
      <c r="Q4114" s="7"/>
    </row>
    <row r="4115" spans="7:17" ht="21.75" customHeight="1">
      <c r="G4115" t="s">
        <v>3653</v>
      </c>
      <c r="P4115" s="7"/>
      <c r="Q4115" s="7"/>
    </row>
    <row r="4116" spans="7:17" ht="21.75" customHeight="1">
      <c r="G4116" t="s">
        <v>3653</v>
      </c>
      <c r="P4116" s="7"/>
      <c r="Q4116" s="7"/>
    </row>
    <row r="4117" spans="7:17" ht="21.75" customHeight="1">
      <c r="G4117" t="s">
        <v>3653</v>
      </c>
      <c r="P4117" s="7"/>
      <c r="Q4117" s="7"/>
    </row>
    <row r="4118" spans="7:17" ht="21.75" customHeight="1">
      <c r="G4118" t="s">
        <v>3653</v>
      </c>
      <c r="P4118" s="7"/>
      <c r="Q4118" s="7"/>
    </row>
    <row r="4119" spans="7:17" ht="21.75" customHeight="1">
      <c r="G4119" t="s">
        <v>3653</v>
      </c>
      <c r="P4119" s="7"/>
      <c r="Q4119" s="7"/>
    </row>
    <row r="4120" spans="7:17" ht="21.75" customHeight="1">
      <c r="G4120" t="s">
        <v>3653</v>
      </c>
      <c r="P4120" s="7"/>
      <c r="Q4120" s="7"/>
    </row>
    <row r="4121" spans="7:17" ht="21.75" customHeight="1">
      <c r="G4121" t="s">
        <v>3653</v>
      </c>
      <c r="P4121" s="7"/>
      <c r="Q4121" s="7"/>
    </row>
    <row r="4122" spans="7:17" ht="21.75" customHeight="1">
      <c r="G4122" t="s">
        <v>3653</v>
      </c>
      <c r="P4122" s="7"/>
      <c r="Q4122" s="7"/>
    </row>
    <row r="4123" spans="7:17" ht="21.75" customHeight="1">
      <c r="G4123" t="s">
        <v>3653</v>
      </c>
      <c r="P4123" s="7"/>
      <c r="Q4123" s="7"/>
    </row>
    <row r="4124" spans="7:17" ht="21.75" customHeight="1">
      <c r="G4124" t="s">
        <v>3653</v>
      </c>
      <c r="P4124" s="7"/>
      <c r="Q4124" s="7"/>
    </row>
    <row r="4125" spans="7:17" ht="21.75" customHeight="1">
      <c r="G4125" t="s">
        <v>3653</v>
      </c>
      <c r="P4125" s="7"/>
      <c r="Q4125" s="7"/>
    </row>
    <row r="4126" spans="7:17" ht="21.75" customHeight="1">
      <c r="G4126" t="s">
        <v>3653</v>
      </c>
      <c r="P4126" s="7"/>
      <c r="Q4126" s="7"/>
    </row>
    <row r="4127" spans="7:17" ht="21.75" customHeight="1">
      <c r="G4127" t="s">
        <v>3653</v>
      </c>
      <c r="P4127" s="7"/>
      <c r="Q4127" s="7"/>
    </row>
    <row r="4128" spans="7:17" ht="21.75" customHeight="1">
      <c r="G4128" t="s">
        <v>3653</v>
      </c>
      <c r="P4128" s="7"/>
      <c r="Q4128" s="7"/>
    </row>
    <row r="4129" spans="7:17" ht="21.75" customHeight="1">
      <c r="G4129" t="s">
        <v>3653</v>
      </c>
      <c r="P4129" s="7"/>
      <c r="Q4129" s="7"/>
    </row>
    <row r="4130" spans="7:17" ht="21.75" customHeight="1">
      <c r="G4130" t="s">
        <v>3653</v>
      </c>
      <c r="P4130" s="7"/>
      <c r="Q4130" s="7"/>
    </row>
    <row r="4131" spans="7:17" ht="21.75" customHeight="1">
      <c r="G4131" t="s">
        <v>3653</v>
      </c>
      <c r="P4131" s="7"/>
      <c r="Q4131" s="7"/>
    </row>
    <row r="4132" spans="7:17" ht="21.75" customHeight="1">
      <c r="G4132" t="s">
        <v>3653</v>
      </c>
      <c r="P4132" s="7"/>
      <c r="Q4132" s="7"/>
    </row>
    <row r="4133" spans="7:17" ht="21.75" customHeight="1">
      <c r="G4133" t="s">
        <v>3653</v>
      </c>
      <c r="P4133" s="7"/>
      <c r="Q4133" s="7"/>
    </row>
    <row r="4134" spans="7:17" ht="21.75" customHeight="1">
      <c r="G4134" t="s">
        <v>3653</v>
      </c>
      <c r="P4134" s="7"/>
      <c r="Q4134" s="7"/>
    </row>
    <row r="4135" spans="7:17" ht="21.75" customHeight="1">
      <c r="G4135" t="s">
        <v>3653</v>
      </c>
      <c r="P4135" s="7"/>
      <c r="Q4135" s="7"/>
    </row>
    <row r="4136" spans="7:17" ht="21.75" customHeight="1">
      <c r="G4136" t="s">
        <v>3653</v>
      </c>
      <c r="P4136" s="7"/>
      <c r="Q4136" s="7"/>
    </row>
    <row r="4137" spans="7:17" ht="21.75" customHeight="1">
      <c r="G4137" t="s">
        <v>3653</v>
      </c>
      <c r="P4137" s="7"/>
      <c r="Q4137" s="7"/>
    </row>
    <row r="4138" spans="7:17" ht="21.75" customHeight="1">
      <c r="G4138" t="s">
        <v>3653</v>
      </c>
      <c r="P4138" s="7"/>
      <c r="Q4138" s="7"/>
    </row>
    <row r="4139" spans="7:17" ht="21.75" customHeight="1">
      <c r="G4139" t="s">
        <v>3653</v>
      </c>
      <c r="P4139" s="7"/>
      <c r="Q4139" s="7"/>
    </row>
    <row r="4140" spans="7:17" ht="21.75" customHeight="1">
      <c r="G4140" t="s">
        <v>3653</v>
      </c>
      <c r="P4140" s="7"/>
      <c r="Q4140" s="7"/>
    </row>
    <row r="4141" spans="7:17" ht="21.75" customHeight="1">
      <c r="G4141" t="s">
        <v>3653</v>
      </c>
      <c r="P4141" s="7"/>
      <c r="Q4141" s="7"/>
    </row>
    <row r="4142" spans="7:17" ht="21.75" customHeight="1">
      <c r="G4142" t="s">
        <v>3653</v>
      </c>
      <c r="P4142" s="7"/>
      <c r="Q4142" s="7"/>
    </row>
    <row r="4143" spans="7:17" ht="21.75" customHeight="1">
      <c r="G4143" t="s">
        <v>3653</v>
      </c>
      <c r="P4143" s="7"/>
      <c r="Q4143" s="7"/>
    </row>
    <row r="4144" spans="7:17" ht="21.75" customHeight="1">
      <c r="G4144" t="s">
        <v>3653</v>
      </c>
      <c r="P4144" s="7"/>
      <c r="Q4144" s="7"/>
    </row>
    <row r="4145" spans="7:17" ht="21.75" customHeight="1">
      <c r="G4145" t="s">
        <v>3653</v>
      </c>
      <c r="P4145" s="7"/>
      <c r="Q4145" s="7"/>
    </row>
    <row r="4146" spans="7:17" ht="21.75" customHeight="1">
      <c r="G4146" t="s">
        <v>3653</v>
      </c>
      <c r="P4146" s="7"/>
      <c r="Q4146" s="7"/>
    </row>
    <row r="4147" spans="7:17" ht="21.75" customHeight="1">
      <c r="G4147" t="s">
        <v>3653</v>
      </c>
      <c r="P4147" s="7"/>
      <c r="Q4147" s="7"/>
    </row>
    <row r="4148" spans="7:17" ht="21.75" customHeight="1">
      <c r="G4148" t="s">
        <v>3653</v>
      </c>
      <c r="P4148" s="7"/>
      <c r="Q4148" s="7"/>
    </row>
    <row r="4149" spans="7:17" ht="21.75" customHeight="1">
      <c r="G4149" t="s">
        <v>3653</v>
      </c>
      <c r="P4149" s="7"/>
      <c r="Q4149" s="7"/>
    </row>
    <row r="4150" spans="7:17" ht="21.75" customHeight="1">
      <c r="G4150" t="s">
        <v>3653</v>
      </c>
      <c r="P4150" s="7"/>
      <c r="Q4150" s="7"/>
    </row>
    <row r="4151" spans="7:17" ht="21.75" customHeight="1">
      <c r="G4151" t="s">
        <v>3653</v>
      </c>
      <c r="P4151" s="7"/>
      <c r="Q4151" s="7"/>
    </row>
    <row r="4152" spans="7:17" ht="21.75" customHeight="1">
      <c r="G4152" t="s">
        <v>3653</v>
      </c>
      <c r="P4152" s="7"/>
      <c r="Q4152" s="7"/>
    </row>
    <row r="4153" spans="7:17" ht="21.75" customHeight="1">
      <c r="G4153" t="s">
        <v>3653</v>
      </c>
      <c r="P4153" s="7"/>
      <c r="Q4153" s="7"/>
    </row>
    <row r="4154" spans="7:17" ht="21.75" customHeight="1">
      <c r="G4154" t="s">
        <v>3653</v>
      </c>
      <c r="P4154" s="7"/>
      <c r="Q4154" s="7"/>
    </row>
    <row r="4155" spans="7:17" ht="21.75" customHeight="1">
      <c r="G4155" t="s">
        <v>3653</v>
      </c>
      <c r="P4155" s="7"/>
      <c r="Q4155" s="7"/>
    </row>
    <row r="4156" spans="7:17" ht="21.75" customHeight="1">
      <c r="G4156" t="s">
        <v>3653</v>
      </c>
      <c r="P4156" s="7"/>
      <c r="Q4156" s="7"/>
    </row>
    <row r="4157" spans="7:17" ht="21.75" customHeight="1">
      <c r="G4157" t="s">
        <v>3653</v>
      </c>
      <c r="P4157" s="7"/>
      <c r="Q4157" s="7"/>
    </row>
    <row r="4158" spans="7:17" ht="21.75" customHeight="1">
      <c r="G4158" t="s">
        <v>3653</v>
      </c>
      <c r="P4158" s="7"/>
      <c r="Q4158" s="7"/>
    </row>
    <row r="4159" spans="7:17" ht="21.75" customHeight="1">
      <c r="G4159" t="s">
        <v>3653</v>
      </c>
      <c r="P4159" s="7"/>
      <c r="Q4159" s="7"/>
    </row>
    <row r="4160" spans="7:17" ht="21.75" customHeight="1">
      <c r="G4160" t="s">
        <v>3653</v>
      </c>
      <c r="P4160" s="7"/>
      <c r="Q4160" s="7"/>
    </row>
    <row r="4161" spans="7:17" ht="21.75" customHeight="1">
      <c r="G4161" t="s">
        <v>3653</v>
      </c>
      <c r="P4161" s="7"/>
      <c r="Q4161" s="7"/>
    </row>
    <row r="4162" spans="7:17" ht="21.75" customHeight="1">
      <c r="G4162" t="s">
        <v>3653</v>
      </c>
      <c r="P4162" s="7"/>
      <c r="Q4162" s="7"/>
    </row>
    <row r="4163" spans="7:17" ht="21.75" customHeight="1">
      <c r="G4163" t="s">
        <v>3653</v>
      </c>
      <c r="P4163" s="7"/>
      <c r="Q4163" s="7"/>
    </row>
    <row r="4164" spans="7:17" ht="21.75" customHeight="1">
      <c r="G4164" t="s">
        <v>3653</v>
      </c>
      <c r="P4164" s="7"/>
      <c r="Q4164" s="7"/>
    </row>
    <row r="4165" spans="7:17" ht="21.75" customHeight="1">
      <c r="G4165" t="s">
        <v>3653</v>
      </c>
      <c r="P4165" s="7"/>
      <c r="Q4165" s="7"/>
    </row>
    <row r="4166" spans="7:17" ht="21.75" customHeight="1">
      <c r="G4166" t="s">
        <v>3653</v>
      </c>
      <c r="P4166" s="7"/>
      <c r="Q4166" s="7"/>
    </row>
    <row r="4167" spans="7:17" ht="21.75" customHeight="1">
      <c r="G4167" t="s">
        <v>3653</v>
      </c>
      <c r="P4167" s="7"/>
      <c r="Q4167" s="7"/>
    </row>
    <row r="4168" spans="7:17" ht="21.75" customHeight="1">
      <c r="G4168" t="s">
        <v>3653</v>
      </c>
      <c r="P4168" s="7"/>
      <c r="Q4168" s="7"/>
    </row>
    <row r="4169" spans="7:17" ht="21.75" customHeight="1">
      <c r="G4169" t="s">
        <v>3653</v>
      </c>
      <c r="P4169" s="7"/>
      <c r="Q4169" s="7"/>
    </row>
    <row r="4170" spans="7:17" ht="21.75" customHeight="1">
      <c r="G4170" t="s">
        <v>3653</v>
      </c>
      <c r="P4170" s="7"/>
      <c r="Q4170" s="7"/>
    </row>
    <row r="4171" spans="7:17" ht="21.75" customHeight="1">
      <c r="G4171" t="s">
        <v>3653</v>
      </c>
      <c r="P4171" s="7"/>
      <c r="Q4171" s="7"/>
    </row>
    <row r="4172" spans="7:17" ht="21.75" customHeight="1">
      <c r="G4172" t="s">
        <v>3653</v>
      </c>
      <c r="P4172" s="7"/>
      <c r="Q4172" s="7"/>
    </row>
    <row r="4173" spans="7:17" ht="21.75" customHeight="1">
      <c r="G4173" t="s">
        <v>3653</v>
      </c>
      <c r="P4173" s="7"/>
      <c r="Q4173" s="7"/>
    </row>
    <row r="4174" spans="7:17" ht="21.75" customHeight="1">
      <c r="G4174" t="s">
        <v>3653</v>
      </c>
      <c r="P4174" s="7"/>
      <c r="Q4174" s="7"/>
    </row>
    <row r="4175" spans="7:17" ht="21.75" customHeight="1">
      <c r="G4175" t="s">
        <v>3653</v>
      </c>
      <c r="P4175" s="7"/>
      <c r="Q4175" s="7"/>
    </row>
    <row r="4176" spans="7:17" ht="21.75" customHeight="1">
      <c r="G4176" t="s">
        <v>3653</v>
      </c>
      <c r="P4176" s="7"/>
      <c r="Q4176" s="7"/>
    </row>
    <row r="4177" spans="7:17" ht="21.75" customHeight="1">
      <c r="G4177" t="s">
        <v>3653</v>
      </c>
      <c r="P4177" s="7"/>
      <c r="Q4177" s="7"/>
    </row>
    <row r="4178" spans="7:17" ht="21.75" customHeight="1">
      <c r="G4178" t="s">
        <v>3653</v>
      </c>
      <c r="P4178" s="7"/>
      <c r="Q4178" s="7"/>
    </row>
    <row r="4179" spans="7:17" ht="21.75" customHeight="1">
      <c r="G4179" t="s">
        <v>3653</v>
      </c>
      <c r="P4179" s="7"/>
      <c r="Q4179" s="7"/>
    </row>
    <row r="4180" spans="7:17" ht="21.75" customHeight="1">
      <c r="G4180" t="s">
        <v>3653</v>
      </c>
      <c r="P4180" s="7"/>
      <c r="Q4180" s="7"/>
    </row>
    <row r="4181" spans="7:17" ht="21.75" customHeight="1">
      <c r="G4181" t="s">
        <v>3653</v>
      </c>
      <c r="P4181" s="7"/>
      <c r="Q4181" s="7"/>
    </row>
    <row r="4182" spans="7:17" ht="21.75" customHeight="1">
      <c r="G4182" t="s">
        <v>3653</v>
      </c>
      <c r="P4182" s="7"/>
      <c r="Q4182" s="7"/>
    </row>
    <row r="4183" spans="7:17" ht="21.75" customHeight="1">
      <c r="G4183" t="s">
        <v>3653</v>
      </c>
      <c r="P4183" s="7"/>
      <c r="Q4183" s="7"/>
    </row>
    <row r="4184" spans="7:17" ht="21.75" customHeight="1">
      <c r="G4184" t="s">
        <v>3653</v>
      </c>
      <c r="P4184" s="7"/>
      <c r="Q4184" s="7"/>
    </row>
    <row r="4185" spans="7:17" ht="21.75" customHeight="1">
      <c r="G4185" t="s">
        <v>3653</v>
      </c>
      <c r="P4185" s="7"/>
      <c r="Q4185" s="7"/>
    </row>
    <row r="4186" spans="7:17" ht="21.75" customHeight="1">
      <c r="G4186" t="s">
        <v>3653</v>
      </c>
      <c r="P4186" s="7"/>
      <c r="Q4186" s="7"/>
    </row>
    <row r="4187" spans="7:17" ht="21.75" customHeight="1">
      <c r="G4187" t="s">
        <v>3653</v>
      </c>
      <c r="P4187" s="7"/>
      <c r="Q4187" s="7"/>
    </row>
    <row r="4188" spans="7:17" ht="21.75" customHeight="1">
      <c r="G4188" t="s">
        <v>3653</v>
      </c>
      <c r="P4188" s="7"/>
      <c r="Q4188" s="7"/>
    </row>
    <row r="4189" spans="7:17" ht="21.75" customHeight="1">
      <c r="G4189" t="s">
        <v>3653</v>
      </c>
      <c r="P4189" s="7"/>
      <c r="Q4189" s="7"/>
    </row>
    <row r="4190" spans="7:17" ht="21.75" customHeight="1">
      <c r="G4190" t="s">
        <v>3653</v>
      </c>
      <c r="P4190" s="7"/>
      <c r="Q4190" s="7"/>
    </row>
    <row r="4191" spans="7:17" ht="21.75" customHeight="1">
      <c r="G4191" t="s">
        <v>3653</v>
      </c>
      <c r="P4191" s="7"/>
      <c r="Q4191" s="7"/>
    </row>
    <row r="4192" spans="7:17" ht="21.75" customHeight="1">
      <c r="G4192" t="s">
        <v>3653</v>
      </c>
      <c r="P4192" s="7"/>
      <c r="Q4192" s="7"/>
    </row>
    <row r="4193" spans="7:17" ht="21.75" customHeight="1">
      <c r="G4193" t="s">
        <v>3653</v>
      </c>
      <c r="P4193" s="7"/>
      <c r="Q4193" s="7"/>
    </row>
    <row r="4194" spans="7:17" ht="21.75" customHeight="1">
      <c r="G4194" t="s">
        <v>3653</v>
      </c>
      <c r="P4194" s="7"/>
      <c r="Q4194" s="7"/>
    </row>
    <row r="4195" spans="7:17" ht="21.75" customHeight="1">
      <c r="G4195" t="s">
        <v>3653</v>
      </c>
      <c r="P4195" s="7"/>
      <c r="Q4195" s="7"/>
    </row>
    <row r="4196" spans="7:17" ht="21.75" customHeight="1">
      <c r="G4196" t="s">
        <v>3653</v>
      </c>
      <c r="P4196" s="7"/>
      <c r="Q4196" s="7"/>
    </row>
    <row r="4197" spans="7:17" ht="21.75" customHeight="1">
      <c r="G4197" t="s">
        <v>3653</v>
      </c>
      <c r="P4197" s="7"/>
      <c r="Q4197" s="7"/>
    </row>
    <row r="4198" spans="7:17" ht="21.75" customHeight="1">
      <c r="G4198" t="s">
        <v>3653</v>
      </c>
      <c r="P4198" s="7"/>
      <c r="Q4198" s="7"/>
    </row>
    <row r="4199" spans="7:17" ht="21.75" customHeight="1">
      <c r="G4199" t="s">
        <v>3653</v>
      </c>
      <c r="P4199" s="7"/>
      <c r="Q4199" s="7"/>
    </row>
    <row r="4200" spans="7:17" ht="21.75" customHeight="1">
      <c r="G4200" t="s">
        <v>3653</v>
      </c>
      <c r="P4200" s="7"/>
      <c r="Q4200" s="7"/>
    </row>
    <row r="4201" spans="7:17" ht="21.75" customHeight="1">
      <c r="G4201" t="s">
        <v>3653</v>
      </c>
      <c r="P4201" s="7"/>
      <c r="Q4201" s="7"/>
    </row>
    <row r="4202" spans="7:17" ht="21.75" customHeight="1">
      <c r="G4202" t="s">
        <v>3653</v>
      </c>
      <c r="P4202" s="7"/>
      <c r="Q4202" s="7"/>
    </row>
    <row r="4203" spans="7:17" ht="21.75" customHeight="1">
      <c r="G4203" t="s">
        <v>3653</v>
      </c>
      <c r="P4203" s="7"/>
      <c r="Q4203" s="7"/>
    </row>
    <row r="4204" spans="7:17" ht="21.75" customHeight="1">
      <c r="G4204" t="s">
        <v>3653</v>
      </c>
      <c r="P4204" s="7"/>
      <c r="Q4204" s="7"/>
    </row>
    <row r="4205" spans="7:17" ht="21.75" customHeight="1">
      <c r="G4205" t="s">
        <v>3653</v>
      </c>
      <c r="P4205" s="7"/>
      <c r="Q4205" s="7"/>
    </row>
    <row r="4206" spans="7:17" ht="21.75" customHeight="1">
      <c r="G4206" t="s">
        <v>3653</v>
      </c>
      <c r="P4206" s="7"/>
      <c r="Q4206" s="7"/>
    </row>
    <row r="4207" spans="7:17" ht="21.75" customHeight="1">
      <c r="G4207" t="s">
        <v>3653</v>
      </c>
      <c r="P4207" s="7"/>
      <c r="Q4207" s="7"/>
    </row>
    <row r="4208" spans="7:17" ht="21.75" customHeight="1">
      <c r="G4208" t="s">
        <v>3653</v>
      </c>
      <c r="P4208" s="7"/>
      <c r="Q4208" s="7"/>
    </row>
    <row r="4209" spans="7:17" ht="21.75" customHeight="1">
      <c r="G4209" t="s">
        <v>3653</v>
      </c>
      <c r="P4209" s="7"/>
      <c r="Q4209" s="7"/>
    </row>
    <row r="4210" spans="7:17" ht="21.75" customHeight="1">
      <c r="G4210" t="s">
        <v>3653</v>
      </c>
      <c r="P4210" s="7"/>
      <c r="Q4210" s="7"/>
    </row>
    <row r="4211" spans="7:17" ht="21.75" customHeight="1">
      <c r="G4211" t="s">
        <v>3653</v>
      </c>
      <c r="P4211" s="7"/>
      <c r="Q4211" s="7"/>
    </row>
    <row r="4212" spans="7:17" ht="21.75" customHeight="1">
      <c r="G4212" t="s">
        <v>3653</v>
      </c>
      <c r="P4212" s="7"/>
      <c r="Q4212" s="7"/>
    </row>
    <row r="4213" spans="7:17" ht="21.75" customHeight="1">
      <c r="G4213" t="s">
        <v>3653</v>
      </c>
      <c r="P4213" s="7"/>
      <c r="Q4213" s="7"/>
    </row>
    <row r="4214" spans="7:17" ht="21.75" customHeight="1">
      <c r="G4214" t="s">
        <v>3653</v>
      </c>
      <c r="P4214" s="7"/>
      <c r="Q4214" s="7"/>
    </row>
    <row r="4215" spans="7:17" ht="21.75" customHeight="1">
      <c r="G4215" t="s">
        <v>3653</v>
      </c>
      <c r="P4215" s="7"/>
      <c r="Q4215" s="7"/>
    </row>
    <row r="4216" spans="7:17" ht="21.75" customHeight="1">
      <c r="G4216" t="s">
        <v>3653</v>
      </c>
      <c r="P4216" s="7"/>
      <c r="Q4216" s="7"/>
    </row>
    <row r="4217" spans="7:17" ht="21.75" customHeight="1">
      <c r="G4217" t="s">
        <v>3653</v>
      </c>
      <c r="P4217" s="7"/>
      <c r="Q4217" s="7"/>
    </row>
    <row r="4218" spans="7:17" ht="21.75" customHeight="1">
      <c r="G4218" t="s">
        <v>3653</v>
      </c>
      <c r="P4218" s="7"/>
      <c r="Q4218" s="7"/>
    </row>
    <row r="4219" spans="7:17" ht="21.75" customHeight="1">
      <c r="G4219" t="s">
        <v>3653</v>
      </c>
      <c r="P4219" s="7"/>
      <c r="Q4219" s="7"/>
    </row>
    <row r="4220" spans="7:17" ht="21.75" customHeight="1">
      <c r="G4220" t="s">
        <v>3653</v>
      </c>
      <c r="P4220" s="7"/>
      <c r="Q4220" s="7"/>
    </row>
    <row r="4221" spans="7:17" ht="21.75" customHeight="1">
      <c r="G4221" t="s">
        <v>3653</v>
      </c>
      <c r="P4221" s="7"/>
      <c r="Q4221" s="7"/>
    </row>
    <row r="4222" spans="7:17" ht="21.75" customHeight="1">
      <c r="G4222" t="s">
        <v>3653</v>
      </c>
      <c r="P4222" s="7"/>
      <c r="Q4222" s="7"/>
    </row>
    <row r="4223" spans="7:17" ht="21.75" customHeight="1">
      <c r="G4223" t="s">
        <v>3653</v>
      </c>
      <c r="P4223" s="7"/>
      <c r="Q4223" s="7"/>
    </row>
    <row r="4224" spans="7:17" ht="21.75" customHeight="1">
      <c r="G4224" t="s">
        <v>3653</v>
      </c>
      <c r="P4224" s="7"/>
      <c r="Q4224" s="7"/>
    </row>
    <row r="4225" spans="7:17" ht="21.75" customHeight="1">
      <c r="G4225" t="s">
        <v>3653</v>
      </c>
      <c r="P4225" s="7"/>
      <c r="Q4225" s="7"/>
    </row>
    <row r="4226" spans="7:17" ht="21.75" customHeight="1">
      <c r="G4226" t="s">
        <v>3653</v>
      </c>
      <c r="P4226" s="7"/>
      <c r="Q4226" s="7"/>
    </row>
    <row r="4227" spans="7:17" ht="21.75" customHeight="1">
      <c r="G4227" t="s">
        <v>3653</v>
      </c>
      <c r="P4227" s="7"/>
      <c r="Q4227" s="7"/>
    </row>
    <row r="4228" spans="7:17" ht="21.75" customHeight="1">
      <c r="G4228" t="s">
        <v>3653</v>
      </c>
      <c r="P4228" s="7"/>
      <c r="Q4228" s="7"/>
    </row>
    <row r="4229" spans="7:17" ht="21.75" customHeight="1">
      <c r="G4229" t="s">
        <v>3653</v>
      </c>
      <c r="P4229" s="7"/>
      <c r="Q4229" s="7"/>
    </row>
    <row r="4230" spans="7:17" ht="21.75" customHeight="1">
      <c r="G4230" t="s">
        <v>3653</v>
      </c>
      <c r="P4230" s="7"/>
      <c r="Q4230" s="7"/>
    </row>
    <row r="4231" spans="7:17" ht="21.75" customHeight="1">
      <c r="G4231" t="s">
        <v>3653</v>
      </c>
      <c r="P4231" s="7"/>
      <c r="Q4231" s="7"/>
    </row>
    <row r="4232" spans="7:17" ht="21.75" customHeight="1">
      <c r="G4232" t="s">
        <v>3653</v>
      </c>
      <c r="P4232" s="7"/>
      <c r="Q4232" s="7"/>
    </row>
    <row r="4233" spans="7:17" ht="21.75" customHeight="1">
      <c r="G4233" t="s">
        <v>3653</v>
      </c>
      <c r="P4233" s="7"/>
      <c r="Q4233" s="7"/>
    </row>
    <row r="4234" spans="7:17" ht="21.75" customHeight="1">
      <c r="G4234" t="s">
        <v>3653</v>
      </c>
      <c r="P4234" s="7"/>
      <c r="Q4234" s="7"/>
    </row>
    <row r="4235" spans="7:17" ht="21.75" customHeight="1">
      <c r="G4235" t="s">
        <v>3653</v>
      </c>
      <c r="P4235" s="7"/>
      <c r="Q4235" s="7"/>
    </row>
    <row r="4236" spans="7:17" ht="21.75" customHeight="1">
      <c r="G4236" t="s">
        <v>3653</v>
      </c>
      <c r="P4236" s="7"/>
      <c r="Q4236" s="7"/>
    </row>
    <row r="4237" spans="7:17" ht="21.75" customHeight="1">
      <c r="G4237" t="s">
        <v>3653</v>
      </c>
      <c r="P4237" s="7"/>
      <c r="Q4237" s="7"/>
    </row>
    <row r="4238" spans="7:17" ht="21.75" customHeight="1">
      <c r="G4238" t="s">
        <v>3653</v>
      </c>
      <c r="P4238" s="7"/>
      <c r="Q4238" s="7"/>
    </row>
    <row r="4239" spans="7:17" ht="21.75" customHeight="1">
      <c r="G4239" t="s">
        <v>3653</v>
      </c>
      <c r="P4239" s="7"/>
      <c r="Q4239" s="7"/>
    </row>
    <row r="4240" spans="7:17" ht="21.75" customHeight="1">
      <c r="G4240" t="s">
        <v>3653</v>
      </c>
      <c r="P4240" s="7"/>
      <c r="Q4240" s="7"/>
    </row>
    <row r="4241" spans="7:17" ht="21.75" customHeight="1">
      <c r="G4241" t="s">
        <v>3653</v>
      </c>
      <c r="P4241" s="7"/>
      <c r="Q4241" s="7"/>
    </row>
    <row r="4242" spans="7:17" ht="21.75" customHeight="1">
      <c r="G4242" t="s">
        <v>3653</v>
      </c>
      <c r="P4242" s="7"/>
      <c r="Q4242" s="7"/>
    </row>
    <row r="4243" spans="7:17" ht="21.75" customHeight="1">
      <c r="G4243" t="s">
        <v>3653</v>
      </c>
      <c r="P4243" s="7"/>
      <c r="Q4243" s="7"/>
    </row>
    <row r="4244" spans="7:17" ht="21.75" customHeight="1">
      <c r="G4244" t="s">
        <v>3653</v>
      </c>
      <c r="P4244" s="7"/>
      <c r="Q4244" s="7"/>
    </row>
    <row r="4245" spans="7:17" ht="21.75" customHeight="1">
      <c r="G4245" t="s">
        <v>3653</v>
      </c>
      <c r="P4245" s="7"/>
      <c r="Q4245" s="7"/>
    </row>
    <row r="4246" spans="7:17" ht="21.75" customHeight="1">
      <c r="G4246" t="s">
        <v>3653</v>
      </c>
      <c r="P4246" s="7"/>
      <c r="Q4246" s="7"/>
    </row>
    <row r="4247" spans="7:17" ht="21.75" customHeight="1">
      <c r="G4247" t="s">
        <v>3653</v>
      </c>
      <c r="P4247" s="7"/>
      <c r="Q4247" s="7"/>
    </row>
    <row r="4248" spans="7:17" ht="21.75" customHeight="1">
      <c r="G4248" t="s">
        <v>3653</v>
      </c>
      <c r="P4248" s="7"/>
      <c r="Q4248" s="7"/>
    </row>
    <row r="4249" spans="7:17" ht="21.75" customHeight="1">
      <c r="G4249" t="s">
        <v>3653</v>
      </c>
      <c r="P4249" s="7"/>
      <c r="Q4249" s="7"/>
    </row>
    <row r="4250" spans="7:17" ht="21.75" customHeight="1">
      <c r="G4250" t="s">
        <v>3653</v>
      </c>
      <c r="P4250" s="7"/>
      <c r="Q4250" s="7"/>
    </row>
    <row r="4251" spans="7:17" ht="21.75" customHeight="1">
      <c r="G4251" t="s">
        <v>3653</v>
      </c>
      <c r="P4251" s="7"/>
      <c r="Q4251" s="7"/>
    </row>
    <row r="4252" spans="7:17" ht="21.75" customHeight="1">
      <c r="G4252" t="s">
        <v>3653</v>
      </c>
      <c r="P4252" s="7"/>
      <c r="Q4252" s="7"/>
    </row>
    <row r="4253" spans="7:17" ht="21.75" customHeight="1">
      <c r="G4253" t="s">
        <v>3653</v>
      </c>
      <c r="P4253" s="7"/>
      <c r="Q4253" s="7"/>
    </row>
    <row r="4254" spans="7:17" ht="21.75" customHeight="1">
      <c r="G4254" t="s">
        <v>3653</v>
      </c>
      <c r="P4254" s="7"/>
      <c r="Q4254" s="7"/>
    </row>
    <row r="4255" spans="7:17" ht="21.75" customHeight="1">
      <c r="G4255" t="s">
        <v>3653</v>
      </c>
      <c r="P4255" s="7"/>
      <c r="Q4255" s="7"/>
    </row>
    <row r="4256" spans="7:17" ht="21.75" customHeight="1">
      <c r="G4256" t="s">
        <v>3653</v>
      </c>
      <c r="P4256" s="7"/>
      <c r="Q4256" s="7"/>
    </row>
    <row r="4257" spans="7:17" ht="21.75" customHeight="1">
      <c r="G4257" t="s">
        <v>3653</v>
      </c>
      <c r="P4257" s="7"/>
      <c r="Q4257" s="7"/>
    </row>
    <row r="4258" spans="7:17" ht="21.75" customHeight="1">
      <c r="G4258" t="s">
        <v>3653</v>
      </c>
      <c r="P4258" s="7"/>
      <c r="Q4258" s="7"/>
    </row>
    <row r="4259" spans="7:17" ht="21.75" customHeight="1">
      <c r="G4259" t="s">
        <v>3653</v>
      </c>
      <c r="P4259" s="7"/>
      <c r="Q4259" s="7"/>
    </row>
    <row r="4260" spans="7:17" ht="21.75" customHeight="1">
      <c r="G4260" t="s">
        <v>3653</v>
      </c>
      <c r="P4260" s="7"/>
      <c r="Q4260" s="7"/>
    </row>
    <row r="4261" spans="7:17" ht="21.75" customHeight="1">
      <c r="G4261" t="s">
        <v>3653</v>
      </c>
      <c r="P4261" s="7"/>
      <c r="Q4261" s="7"/>
    </row>
    <row r="4262" spans="7:17" ht="21.75" customHeight="1">
      <c r="G4262" t="s">
        <v>3653</v>
      </c>
      <c r="P4262" s="7"/>
      <c r="Q4262" s="7"/>
    </row>
    <row r="4263" spans="7:17" ht="21.75" customHeight="1">
      <c r="G4263" t="s">
        <v>3653</v>
      </c>
      <c r="P4263" s="7"/>
      <c r="Q4263" s="7"/>
    </row>
    <row r="4264" spans="7:17" ht="21.75" customHeight="1">
      <c r="G4264" t="s">
        <v>3653</v>
      </c>
      <c r="P4264" s="7"/>
      <c r="Q4264" s="7"/>
    </row>
    <row r="4265" spans="7:17" ht="21.75" customHeight="1">
      <c r="G4265" t="s">
        <v>3653</v>
      </c>
      <c r="P4265" s="7"/>
      <c r="Q4265" s="7"/>
    </row>
    <row r="4266" spans="7:17" ht="21.75" customHeight="1">
      <c r="G4266" t="s">
        <v>3653</v>
      </c>
      <c r="P4266" s="7"/>
      <c r="Q4266" s="7"/>
    </row>
    <row r="4267" spans="7:17" ht="21.75" customHeight="1">
      <c r="G4267" t="s">
        <v>3653</v>
      </c>
      <c r="P4267" s="7"/>
      <c r="Q4267" s="7"/>
    </row>
    <row r="4268" spans="7:17" ht="21.75" customHeight="1">
      <c r="G4268" t="s">
        <v>3653</v>
      </c>
      <c r="P4268" s="7"/>
      <c r="Q4268" s="7"/>
    </row>
    <row r="4269" spans="7:17" ht="21.75" customHeight="1">
      <c r="G4269" t="s">
        <v>3653</v>
      </c>
      <c r="P4269" s="7"/>
      <c r="Q4269" s="7"/>
    </row>
    <row r="4270" spans="7:17" ht="21.75" customHeight="1">
      <c r="G4270" t="s">
        <v>3653</v>
      </c>
      <c r="P4270" s="7"/>
      <c r="Q4270" s="7"/>
    </row>
    <row r="4271" spans="7:17" ht="21.75" customHeight="1">
      <c r="G4271" t="s">
        <v>3653</v>
      </c>
      <c r="P4271" s="7"/>
      <c r="Q4271" s="7"/>
    </row>
    <row r="4272" spans="7:17" ht="21.75" customHeight="1">
      <c r="G4272" t="s">
        <v>3653</v>
      </c>
      <c r="P4272" s="7"/>
      <c r="Q4272" s="7"/>
    </row>
    <row r="4273" spans="7:17" ht="21.75" customHeight="1">
      <c r="G4273" t="s">
        <v>3653</v>
      </c>
      <c r="P4273" s="7"/>
      <c r="Q4273" s="7"/>
    </row>
    <row r="4274" spans="7:17" ht="21.75" customHeight="1">
      <c r="G4274" t="s">
        <v>3653</v>
      </c>
      <c r="P4274" s="7"/>
      <c r="Q4274" s="7"/>
    </row>
    <row r="4275" spans="7:17" ht="21.75" customHeight="1">
      <c r="G4275" t="s">
        <v>3653</v>
      </c>
      <c r="P4275" s="7"/>
      <c r="Q4275" s="7"/>
    </row>
    <row r="4276" spans="7:17" ht="21.75" customHeight="1">
      <c r="G4276" t="s">
        <v>3653</v>
      </c>
      <c r="P4276" s="7"/>
      <c r="Q4276" s="7"/>
    </row>
    <row r="4277" spans="7:17" ht="21.75" customHeight="1">
      <c r="G4277" t="s">
        <v>3653</v>
      </c>
      <c r="P4277" s="7"/>
      <c r="Q4277" s="7"/>
    </row>
    <row r="4278" spans="7:17" ht="21.75" customHeight="1">
      <c r="G4278" t="s">
        <v>3653</v>
      </c>
      <c r="P4278" s="7"/>
      <c r="Q4278" s="7"/>
    </row>
    <row r="4279" spans="7:17" ht="21.75" customHeight="1">
      <c r="G4279" t="s">
        <v>3653</v>
      </c>
      <c r="P4279" s="7"/>
      <c r="Q4279" s="7"/>
    </row>
    <row r="4280" spans="7:17" ht="21.75" customHeight="1">
      <c r="G4280" t="s">
        <v>3653</v>
      </c>
      <c r="P4280" s="7"/>
      <c r="Q4280" s="7"/>
    </row>
    <row r="4281" spans="7:17" ht="21.75" customHeight="1">
      <c r="G4281" t="s">
        <v>3653</v>
      </c>
      <c r="P4281" s="7"/>
      <c r="Q4281" s="7"/>
    </row>
    <row r="4282" spans="7:17" ht="21.75" customHeight="1">
      <c r="G4282" t="s">
        <v>3653</v>
      </c>
      <c r="P4282" s="7"/>
      <c r="Q4282" s="7"/>
    </row>
    <row r="4283" spans="7:17" ht="21.75" customHeight="1">
      <c r="G4283" t="s">
        <v>3653</v>
      </c>
      <c r="P4283" s="7"/>
      <c r="Q4283" s="7"/>
    </row>
    <row r="4284" spans="7:17" ht="21.75" customHeight="1">
      <c r="G4284" t="s">
        <v>3653</v>
      </c>
      <c r="P4284" s="7"/>
      <c r="Q4284" s="7"/>
    </row>
    <row r="4285" spans="7:17" ht="21.75" customHeight="1">
      <c r="G4285" t="s">
        <v>3653</v>
      </c>
      <c r="P4285" s="7"/>
      <c r="Q4285" s="7"/>
    </row>
    <row r="4286" spans="7:17" ht="21.75" customHeight="1">
      <c r="G4286" t="s">
        <v>3653</v>
      </c>
      <c r="P4286" s="7"/>
      <c r="Q4286" s="7"/>
    </row>
    <row r="4287" spans="7:17" ht="21.75" customHeight="1">
      <c r="G4287" t="s">
        <v>3653</v>
      </c>
      <c r="P4287" s="7"/>
      <c r="Q4287" s="7"/>
    </row>
    <row r="4288" spans="7:17" ht="21.75" customHeight="1">
      <c r="G4288" t="s">
        <v>3653</v>
      </c>
      <c r="P4288" s="7"/>
      <c r="Q4288" s="7"/>
    </row>
    <row r="4289" spans="7:17" ht="21.75" customHeight="1">
      <c r="G4289" t="s">
        <v>3653</v>
      </c>
      <c r="P4289" s="7"/>
      <c r="Q4289" s="7"/>
    </row>
    <row r="4290" spans="7:17" ht="21.75" customHeight="1">
      <c r="G4290" t="s">
        <v>3653</v>
      </c>
      <c r="P4290" s="7"/>
      <c r="Q4290" s="7"/>
    </row>
    <row r="4291" spans="7:17" ht="21.75" customHeight="1">
      <c r="G4291" t="s">
        <v>3653</v>
      </c>
      <c r="P4291" s="7"/>
      <c r="Q4291" s="7"/>
    </row>
    <row r="4292" spans="7:17" ht="21.75" customHeight="1">
      <c r="G4292" t="s">
        <v>3653</v>
      </c>
      <c r="P4292" s="7"/>
      <c r="Q4292" s="7"/>
    </row>
    <row r="4293" spans="7:17" ht="21.75" customHeight="1">
      <c r="G4293" t="s">
        <v>3653</v>
      </c>
      <c r="P4293" s="7"/>
      <c r="Q4293" s="7"/>
    </row>
    <row r="4294" spans="7:17" ht="21.75" customHeight="1">
      <c r="G4294" t="s">
        <v>3653</v>
      </c>
      <c r="P4294" s="7"/>
      <c r="Q4294" s="7"/>
    </row>
    <row r="4295" spans="7:17" ht="21.75" customHeight="1">
      <c r="G4295" t="s">
        <v>3653</v>
      </c>
      <c r="P4295" s="7"/>
      <c r="Q4295" s="7"/>
    </row>
    <row r="4296" spans="7:17" ht="21.75" customHeight="1">
      <c r="G4296" t="s">
        <v>3653</v>
      </c>
      <c r="P4296" s="7"/>
      <c r="Q4296" s="7"/>
    </row>
    <row r="4297" spans="7:17" ht="21.75" customHeight="1">
      <c r="G4297" t="s">
        <v>3653</v>
      </c>
      <c r="P4297" s="7"/>
      <c r="Q4297" s="7"/>
    </row>
    <row r="4298" spans="7:17" ht="21.75" customHeight="1">
      <c r="G4298" t="s">
        <v>3653</v>
      </c>
      <c r="P4298" s="7"/>
      <c r="Q4298" s="7"/>
    </row>
    <row r="4299" spans="7:17" ht="21.75" customHeight="1">
      <c r="G4299" t="s">
        <v>3653</v>
      </c>
      <c r="P4299" s="7"/>
      <c r="Q4299" s="7"/>
    </row>
    <row r="4300" spans="7:17" ht="21.75" customHeight="1">
      <c r="G4300" t="s">
        <v>3653</v>
      </c>
      <c r="P4300" s="7"/>
      <c r="Q4300" s="7"/>
    </row>
    <row r="4301" spans="7:17" ht="21.75" customHeight="1">
      <c r="G4301" t="s">
        <v>3653</v>
      </c>
      <c r="P4301" s="7"/>
      <c r="Q4301" s="7"/>
    </row>
    <row r="4302" spans="7:17" ht="21.75" customHeight="1">
      <c r="G4302" t="s">
        <v>3653</v>
      </c>
      <c r="P4302" s="7"/>
      <c r="Q4302" s="7"/>
    </row>
    <row r="4303" spans="7:17" ht="21.75" customHeight="1">
      <c r="G4303" t="s">
        <v>3653</v>
      </c>
      <c r="P4303" s="7"/>
      <c r="Q4303" s="7"/>
    </row>
    <row r="4304" spans="7:17" ht="21.75" customHeight="1">
      <c r="G4304" t="s">
        <v>3653</v>
      </c>
      <c r="P4304" s="7"/>
      <c r="Q4304" s="7"/>
    </row>
    <row r="4305" spans="7:17" ht="21.75" customHeight="1">
      <c r="G4305" t="s">
        <v>3653</v>
      </c>
      <c r="P4305" s="7"/>
      <c r="Q4305" s="7"/>
    </row>
    <row r="4306" spans="7:17" ht="21.75" customHeight="1">
      <c r="G4306" t="s">
        <v>3653</v>
      </c>
      <c r="P4306" s="7"/>
      <c r="Q4306" s="7"/>
    </row>
    <row r="4307" spans="7:17" ht="21.75" customHeight="1">
      <c r="G4307" t="s">
        <v>3653</v>
      </c>
      <c r="P4307" s="7"/>
      <c r="Q4307" s="7"/>
    </row>
    <row r="4308" spans="7:17" ht="21.75" customHeight="1">
      <c r="G4308" t="s">
        <v>3653</v>
      </c>
      <c r="P4308" s="7"/>
      <c r="Q4308" s="7"/>
    </row>
    <row r="4309" spans="7:17" ht="21.75" customHeight="1">
      <c r="G4309" t="s">
        <v>3653</v>
      </c>
      <c r="P4309" s="7"/>
      <c r="Q4309" s="7"/>
    </row>
    <row r="4310" spans="7:17" ht="21.75" customHeight="1">
      <c r="G4310" t="s">
        <v>3653</v>
      </c>
      <c r="P4310" s="7"/>
      <c r="Q4310" s="7"/>
    </row>
    <row r="4311" spans="7:17" ht="21.75" customHeight="1">
      <c r="G4311" t="s">
        <v>3653</v>
      </c>
      <c r="P4311" s="7"/>
      <c r="Q4311" s="7"/>
    </row>
    <row r="4312" spans="7:17" ht="21.75" customHeight="1">
      <c r="G4312" t="s">
        <v>3653</v>
      </c>
      <c r="P4312" s="7"/>
      <c r="Q4312" s="7"/>
    </row>
    <row r="4313" spans="7:17" ht="21.75" customHeight="1">
      <c r="G4313" t="s">
        <v>3653</v>
      </c>
      <c r="P4313" s="7"/>
      <c r="Q4313" s="7"/>
    </row>
    <row r="4314" spans="7:17" ht="21.75" customHeight="1">
      <c r="G4314" t="s">
        <v>3653</v>
      </c>
      <c r="P4314" s="7"/>
      <c r="Q4314" s="7"/>
    </row>
    <row r="4315" spans="7:17" ht="21.75" customHeight="1">
      <c r="G4315" t="s">
        <v>3653</v>
      </c>
      <c r="P4315" s="7"/>
      <c r="Q4315" s="7"/>
    </row>
    <row r="4316" spans="7:17" ht="21.75" customHeight="1">
      <c r="G4316" t="s">
        <v>3653</v>
      </c>
      <c r="P4316" s="7"/>
      <c r="Q4316" s="7"/>
    </row>
    <row r="4317" spans="7:17" ht="21.75" customHeight="1">
      <c r="G4317" t="s">
        <v>3653</v>
      </c>
      <c r="P4317" s="7"/>
      <c r="Q4317" s="7"/>
    </row>
    <row r="4318" spans="7:17" ht="21.75" customHeight="1">
      <c r="G4318" t="s">
        <v>3653</v>
      </c>
      <c r="P4318" s="7"/>
      <c r="Q4318" s="7"/>
    </row>
    <row r="4319" spans="7:17" ht="21.75" customHeight="1">
      <c r="G4319" t="s">
        <v>3653</v>
      </c>
      <c r="P4319" s="7"/>
      <c r="Q4319" s="7"/>
    </row>
    <row r="4320" spans="7:17" ht="21.75" customHeight="1">
      <c r="G4320" t="s">
        <v>3653</v>
      </c>
      <c r="P4320" s="7"/>
      <c r="Q4320" s="7"/>
    </row>
    <row r="4321" spans="7:17" ht="21.75" customHeight="1">
      <c r="G4321" t="s">
        <v>3653</v>
      </c>
      <c r="P4321" s="7"/>
      <c r="Q4321" s="7"/>
    </row>
    <row r="4322" spans="7:17" ht="21.75" customHeight="1">
      <c r="G4322" t="s">
        <v>3653</v>
      </c>
      <c r="P4322" s="7"/>
      <c r="Q4322" s="7"/>
    </row>
    <row r="4323" spans="7:17" ht="21.75" customHeight="1">
      <c r="G4323" t="s">
        <v>3653</v>
      </c>
      <c r="P4323" s="7"/>
      <c r="Q4323" s="7"/>
    </row>
    <row r="4324" spans="7:17" ht="21.75" customHeight="1">
      <c r="G4324" t="s">
        <v>3653</v>
      </c>
      <c r="P4324" s="7"/>
      <c r="Q4324" s="7"/>
    </row>
    <row r="4325" spans="7:17" ht="21.75" customHeight="1">
      <c r="G4325" t="s">
        <v>3653</v>
      </c>
      <c r="P4325" s="7"/>
      <c r="Q4325" s="7"/>
    </row>
    <row r="4326" spans="7:17" ht="21.75" customHeight="1">
      <c r="G4326" t="s">
        <v>3653</v>
      </c>
      <c r="P4326" s="7"/>
      <c r="Q4326" s="7"/>
    </row>
    <row r="4327" spans="7:17" ht="21.75" customHeight="1">
      <c r="G4327" t="s">
        <v>3653</v>
      </c>
      <c r="P4327" s="7"/>
      <c r="Q4327" s="7"/>
    </row>
    <row r="4328" spans="7:17" ht="21.75" customHeight="1">
      <c r="G4328" t="s">
        <v>3653</v>
      </c>
      <c r="P4328" s="7"/>
      <c r="Q4328" s="7"/>
    </row>
    <row r="4329" spans="7:17" ht="21.75" customHeight="1">
      <c r="G4329" t="s">
        <v>3653</v>
      </c>
      <c r="P4329" s="7"/>
      <c r="Q4329" s="7"/>
    </row>
    <row r="4330" spans="7:17" ht="21.75" customHeight="1">
      <c r="G4330" t="s">
        <v>3653</v>
      </c>
      <c r="P4330" s="7"/>
      <c r="Q4330" s="7"/>
    </row>
    <row r="4331" spans="7:17" ht="21.75" customHeight="1">
      <c r="G4331" t="s">
        <v>3653</v>
      </c>
      <c r="P4331" s="7"/>
      <c r="Q4331" s="7"/>
    </row>
    <row r="4332" spans="7:17" ht="21.75" customHeight="1">
      <c r="G4332" t="s">
        <v>3653</v>
      </c>
      <c r="P4332" s="7"/>
      <c r="Q4332" s="7"/>
    </row>
    <row r="4333" spans="7:17" ht="21.75" customHeight="1">
      <c r="G4333" t="s">
        <v>3653</v>
      </c>
      <c r="P4333" s="7"/>
      <c r="Q4333" s="7"/>
    </row>
    <row r="4334" spans="7:17" ht="21.75" customHeight="1">
      <c r="G4334" t="s">
        <v>3653</v>
      </c>
      <c r="P4334" s="7"/>
      <c r="Q4334" s="7"/>
    </row>
    <row r="4335" spans="7:17" ht="21.75" customHeight="1">
      <c r="G4335" t="s">
        <v>3653</v>
      </c>
      <c r="P4335" s="7"/>
      <c r="Q4335" s="7"/>
    </row>
    <row r="4336" spans="7:17" ht="21.75" customHeight="1">
      <c r="G4336" t="s">
        <v>3653</v>
      </c>
      <c r="P4336" s="7"/>
      <c r="Q4336" s="7"/>
    </row>
    <row r="4337" spans="7:17" ht="21.75" customHeight="1">
      <c r="G4337" t="s">
        <v>3653</v>
      </c>
      <c r="P4337" s="7"/>
      <c r="Q4337" s="7"/>
    </row>
    <row r="4338" spans="7:17" ht="21.75" customHeight="1">
      <c r="G4338" t="s">
        <v>3653</v>
      </c>
      <c r="P4338" s="7"/>
      <c r="Q4338" s="7"/>
    </row>
    <row r="4339" spans="7:17" ht="21.75" customHeight="1">
      <c r="G4339" t="s">
        <v>3653</v>
      </c>
      <c r="P4339" s="7"/>
      <c r="Q4339" s="7"/>
    </row>
    <row r="4340" spans="7:17" ht="21.75" customHeight="1">
      <c r="G4340" t="s">
        <v>3653</v>
      </c>
      <c r="P4340" s="7"/>
      <c r="Q4340" s="7"/>
    </row>
    <row r="4341" spans="7:17" ht="21.75" customHeight="1">
      <c r="G4341" t="s">
        <v>3653</v>
      </c>
      <c r="P4341" s="7"/>
      <c r="Q4341" s="7"/>
    </row>
    <row r="4342" spans="7:17" ht="21.75" customHeight="1">
      <c r="G4342" t="s">
        <v>3653</v>
      </c>
      <c r="P4342" s="7"/>
      <c r="Q4342" s="7"/>
    </row>
    <row r="4343" spans="7:17" ht="21.75" customHeight="1">
      <c r="G4343" t="s">
        <v>3653</v>
      </c>
      <c r="P4343" s="7"/>
      <c r="Q4343" s="7"/>
    </row>
    <row r="4344" spans="7:17" ht="21.75" customHeight="1">
      <c r="G4344" t="s">
        <v>3653</v>
      </c>
      <c r="P4344" s="7"/>
      <c r="Q4344" s="7"/>
    </row>
    <row r="4345" spans="7:17" ht="21.75" customHeight="1">
      <c r="G4345" t="s">
        <v>3653</v>
      </c>
      <c r="P4345" s="7"/>
      <c r="Q4345" s="7"/>
    </row>
    <row r="4346" spans="7:17" ht="21.75" customHeight="1">
      <c r="G4346" t="s">
        <v>3653</v>
      </c>
      <c r="P4346" s="7"/>
      <c r="Q4346" s="7"/>
    </row>
    <row r="4347" spans="7:17" ht="21.75" customHeight="1">
      <c r="G4347" t="s">
        <v>3653</v>
      </c>
      <c r="P4347" s="7"/>
      <c r="Q4347" s="7"/>
    </row>
    <row r="4348" spans="7:17" ht="21.75" customHeight="1">
      <c r="G4348" t="s">
        <v>3653</v>
      </c>
      <c r="P4348" s="7"/>
      <c r="Q4348" s="7"/>
    </row>
    <row r="4349" spans="7:17" ht="21.75" customHeight="1">
      <c r="G4349" t="s">
        <v>3653</v>
      </c>
      <c r="P4349" s="7"/>
      <c r="Q4349" s="7"/>
    </row>
    <row r="4350" spans="7:17" ht="21.75" customHeight="1">
      <c r="G4350" t="s">
        <v>3653</v>
      </c>
      <c r="P4350" s="7"/>
      <c r="Q4350" s="7"/>
    </row>
    <row r="4351" spans="7:17" ht="21.75" customHeight="1">
      <c r="G4351" t="s">
        <v>3653</v>
      </c>
      <c r="P4351" s="7"/>
      <c r="Q4351" s="7"/>
    </row>
    <row r="4352" spans="7:17" ht="21.75" customHeight="1">
      <c r="G4352" t="s">
        <v>3653</v>
      </c>
      <c r="P4352" s="7"/>
      <c r="Q4352" s="7"/>
    </row>
    <row r="4353" spans="7:17" ht="21.75" customHeight="1">
      <c r="G4353" t="s">
        <v>3653</v>
      </c>
      <c r="P4353" s="7"/>
      <c r="Q4353" s="7"/>
    </row>
    <row r="4354" spans="7:17" ht="21.75" customHeight="1">
      <c r="G4354" t="s">
        <v>3653</v>
      </c>
      <c r="P4354" s="7"/>
      <c r="Q4354" s="7"/>
    </row>
    <row r="4355" spans="7:17" ht="21.75" customHeight="1">
      <c r="G4355" t="s">
        <v>3653</v>
      </c>
      <c r="P4355" s="7"/>
      <c r="Q4355" s="7"/>
    </row>
    <row r="4356" spans="7:17" ht="21.75" customHeight="1">
      <c r="G4356" t="s">
        <v>3653</v>
      </c>
      <c r="P4356" s="7"/>
      <c r="Q4356" s="7"/>
    </row>
    <row r="4357" spans="7:17" ht="21.75" customHeight="1">
      <c r="G4357" t="s">
        <v>3653</v>
      </c>
      <c r="P4357" s="7"/>
      <c r="Q4357" s="7"/>
    </row>
    <row r="4358" spans="7:17" ht="21.75" customHeight="1">
      <c r="G4358" t="s">
        <v>3653</v>
      </c>
      <c r="P4358" s="7"/>
      <c r="Q4358" s="7"/>
    </row>
    <row r="4359" spans="7:17" ht="21.75" customHeight="1">
      <c r="G4359" t="s">
        <v>3653</v>
      </c>
      <c r="P4359" s="7"/>
      <c r="Q4359" s="7"/>
    </row>
    <row r="4360" spans="7:17" ht="21.75" customHeight="1">
      <c r="G4360" t="s">
        <v>3653</v>
      </c>
      <c r="P4360" s="7"/>
      <c r="Q4360" s="7"/>
    </row>
    <row r="4361" spans="7:17" ht="21.75" customHeight="1">
      <c r="G4361" t="s">
        <v>3653</v>
      </c>
      <c r="P4361" s="7"/>
      <c r="Q4361" s="7"/>
    </row>
    <row r="4362" spans="7:17" ht="21.75" customHeight="1">
      <c r="G4362" t="s">
        <v>3653</v>
      </c>
      <c r="P4362" s="7"/>
      <c r="Q4362" s="7"/>
    </row>
    <row r="4363" spans="7:17" ht="21.75" customHeight="1">
      <c r="G4363" t="s">
        <v>3653</v>
      </c>
      <c r="P4363" s="7"/>
      <c r="Q4363" s="7"/>
    </row>
    <row r="4364" spans="7:17" ht="21.75" customHeight="1">
      <c r="G4364" t="s">
        <v>3653</v>
      </c>
      <c r="P4364" s="7"/>
      <c r="Q4364" s="7"/>
    </row>
    <row r="4365" spans="7:17" ht="21.75" customHeight="1">
      <c r="G4365" t="s">
        <v>3653</v>
      </c>
      <c r="P4365" s="7"/>
      <c r="Q4365" s="7"/>
    </row>
    <row r="4366" spans="7:17" ht="21.75" customHeight="1">
      <c r="G4366" t="s">
        <v>3653</v>
      </c>
      <c r="P4366" s="7"/>
      <c r="Q4366" s="7"/>
    </row>
    <row r="4367" spans="7:17" ht="21.75" customHeight="1">
      <c r="G4367" t="s">
        <v>3653</v>
      </c>
      <c r="P4367" s="7"/>
      <c r="Q4367" s="7"/>
    </row>
    <row r="4368" spans="7:17" ht="21.75" customHeight="1">
      <c r="G4368" t="s">
        <v>3653</v>
      </c>
      <c r="P4368" s="7"/>
      <c r="Q4368" s="7"/>
    </row>
    <row r="4369" spans="7:17" ht="21.75" customHeight="1">
      <c r="G4369" t="s">
        <v>3653</v>
      </c>
      <c r="P4369" s="7"/>
      <c r="Q4369" s="7"/>
    </row>
    <row r="4370" spans="7:17" ht="21.75" customHeight="1">
      <c r="G4370" t="s">
        <v>3653</v>
      </c>
      <c r="P4370" s="7"/>
      <c r="Q4370" s="7"/>
    </row>
    <row r="4371" spans="7:17" ht="21.75" customHeight="1">
      <c r="G4371" t="s">
        <v>3653</v>
      </c>
      <c r="P4371" s="7"/>
      <c r="Q4371" s="7"/>
    </row>
    <row r="4372" spans="7:17" ht="21.75" customHeight="1">
      <c r="G4372" t="s">
        <v>3653</v>
      </c>
      <c r="P4372" s="7"/>
      <c r="Q4372" s="7"/>
    </row>
    <row r="4373" spans="7:17" ht="21.75" customHeight="1">
      <c r="G4373" t="s">
        <v>3653</v>
      </c>
      <c r="P4373" s="7"/>
      <c r="Q4373" s="7"/>
    </row>
    <row r="4374" spans="7:17" ht="21.75" customHeight="1">
      <c r="G4374" t="s">
        <v>3653</v>
      </c>
      <c r="P4374" s="7"/>
      <c r="Q4374" s="7"/>
    </row>
    <row r="4375" spans="7:17" ht="21.75" customHeight="1">
      <c r="G4375" t="s">
        <v>3653</v>
      </c>
      <c r="P4375" s="7"/>
      <c r="Q4375" s="7"/>
    </row>
    <row r="4376" spans="7:17" ht="21.75" customHeight="1">
      <c r="G4376" t="s">
        <v>3653</v>
      </c>
      <c r="P4376" s="7"/>
      <c r="Q4376" s="7"/>
    </row>
    <row r="4377" spans="7:17" ht="21.75" customHeight="1">
      <c r="G4377" t="s">
        <v>3653</v>
      </c>
      <c r="P4377" s="7"/>
      <c r="Q4377" s="7"/>
    </row>
    <row r="4378" spans="7:17" ht="21.75" customHeight="1">
      <c r="G4378" t="s">
        <v>3653</v>
      </c>
      <c r="P4378" s="7"/>
      <c r="Q4378" s="7"/>
    </row>
    <row r="4379" spans="7:17" ht="21.75" customHeight="1">
      <c r="G4379" t="s">
        <v>3653</v>
      </c>
      <c r="P4379" s="7"/>
      <c r="Q4379" s="7"/>
    </row>
    <row r="4380" spans="7:17" ht="21.75" customHeight="1">
      <c r="G4380" t="s">
        <v>3653</v>
      </c>
      <c r="P4380" s="7"/>
      <c r="Q4380" s="7"/>
    </row>
    <row r="4381" spans="7:17" ht="21.75" customHeight="1">
      <c r="G4381" t="s">
        <v>3653</v>
      </c>
      <c r="P4381" s="7"/>
      <c r="Q4381" s="7"/>
    </row>
    <row r="4382" spans="7:17" ht="21.75" customHeight="1">
      <c r="G4382" t="s">
        <v>3653</v>
      </c>
      <c r="P4382" s="7"/>
      <c r="Q4382" s="7"/>
    </row>
    <row r="4383" spans="7:17" ht="21.75" customHeight="1">
      <c r="G4383" t="s">
        <v>3653</v>
      </c>
      <c r="P4383" s="7"/>
      <c r="Q4383" s="7"/>
    </row>
    <row r="4384" spans="7:17" ht="21.75" customHeight="1">
      <c r="G4384" t="s">
        <v>3653</v>
      </c>
      <c r="P4384" s="7"/>
      <c r="Q4384" s="7"/>
    </row>
    <row r="4385" spans="7:17" ht="21.75" customHeight="1">
      <c r="G4385" t="s">
        <v>3653</v>
      </c>
      <c r="P4385" s="7"/>
      <c r="Q4385" s="7"/>
    </row>
    <row r="4386" spans="7:17" ht="21.75" customHeight="1">
      <c r="G4386" t="s">
        <v>3653</v>
      </c>
      <c r="P4386" s="7"/>
      <c r="Q4386" s="7"/>
    </row>
    <row r="4387" spans="7:17" ht="21.75" customHeight="1">
      <c r="G4387" t="s">
        <v>3653</v>
      </c>
      <c r="P4387" s="7"/>
      <c r="Q4387" s="7"/>
    </row>
    <row r="4388" spans="7:17" ht="21.75" customHeight="1">
      <c r="G4388" t="s">
        <v>3653</v>
      </c>
      <c r="P4388" s="7"/>
      <c r="Q4388" s="7"/>
    </row>
    <row r="4389" spans="7:17" ht="21.75" customHeight="1">
      <c r="G4389" t="s">
        <v>3653</v>
      </c>
      <c r="P4389" s="7"/>
      <c r="Q4389" s="7"/>
    </row>
    <row r="4390" spans="7:17" ht="21.75" customHeight="1">
      <c r="G4390" t="s">
        <v>3653</v>
      </c>
      <c r="P4390" s="7"/>
      <c r="Q4390" s="7"/>
    </row>
    <row r="4391" spans="7:17" ht="21.75" customHeight="1">
      <c r="G4391" t="s">
        <v>3653</v>
      </c>
      <c r="P4391" s="7"/>
      <c r="Q4391" s="7"/>
    </row>
    <row r="4392" spans="7:17" ht="21.75" customHeight="1">
      <c r="G4392" t="s">
        <v>3653</v>
      </c>
      <c r="P4392" s="7"/>
      <c r="Q4392" s="7"/>
    </row>
    <row r="4393" spans="7:17" ht="21.75" customHeight="1">
      <c r="G4393" t="s">
        <v>3653</v>
      </c>
      <c r="P4393" s="7"/>
      <c r="Q4393" s="7"/>
    </row>
    <row r="4394" spans="7:17" ht="21.75" customHeight="1">
      <c r="G4394" t="s">
        <v>3653</v>
      </c>
      <c r="P4394" s="7"/>
      <c r="Q4394" s="7"/>
    </row>
    <row r="4395" spans="7:17" ht="21.75" customHeight="1">
      <c r="G4395" t="s">
        <v>3653</v>
      </c>
      <c r="P4395" s="7"/>
      <c r="Q4395" s="7"/>
    </row>
    <row r="4396" spans="7:17" ht="21.75" customHeight="1">
      <c r="G4396" t="s">
        <v>3653</v>
      </c>
      <c r="P4396" s="7"/>
      <c r="Q4396" s="7"/>
    </row>
    <row r="4397" spans="7:17" ht="21.75" customHeight="1">
      <c r="G4397" t="s">
        <v>3653</v>
      </c>
      <c r="P4397" s="7"/>
      <c r="Q4397" s="7"/>
    </row>
    <row r="4398" spans="7:17" ht="21.75" customHeight="1">
      <c r="G4398" t="s">
        <v>3653</v>
      </c>
      <c r="P4398" s="7"/>
      <c r="Q4398" s="7"/>
    </row>
    <row r="4399" spans="7:17" ht="21.75" customHeight="1">
      <c r="G4399" t="s">
        <v>3653</v>
      </c>
      <c r="P4399" s="7"/>
      <c r="Q4399" s="7"/>
    </row>
    <row r="4400" spans="7:17" ht="21.75" customHeight="1">
      <c r="G4400" t="s">
        <v>3653</v>
      </c>
      <c r="P4400" s="7"/>
      <c r="Q4400" s="7"/>
    </row>
    <row r="4401" spans="7:17" ht="21.75" customHeight="1">
      <c r="G4401" t="s">
        <v>3653</v>
      </c>
      <c r="P4401" s="7"/>
      <c r="Q4401" s="7"/>
    </row>
    <row r="4402" spans="7:17" ht="21.75" customHeight="1">
      <c r="G4402" t="s">
        <v>3653</v>
      </c>
      <c r="P4402" s="7"/>
      <c r="Q4402" s="7"/>
    </row>
    <row r="4403" spans="7:17" ht="21.75" customHeight="1">
      <c r="G4403" t="s">
        <v>3653</v>
      </c>
      <c r="P4403" s="7"/>
      <c r="Q4403" s="7"/>
    </row>
    <row r="4404" spans="7:17" ht="21.75" customHeight="1">
      <c r="G4404" t="s">
        <v>3653</v>
      </c>
      <c r="P4404" s="7"/>
      <c r="Q4404" s="7"/>
    </row>
    <row r="4405" spans="7:17" ht="21.75" customHeight="1">
      <c r="G4405" t="s">
        <v>3653</v>
      </c>
      <c r="P4405" s="7"/>
      <c r="Q4405" s="7"/>
    </row>
    <row r="4406" spans="7:17" ht="21.75" customHeight="1">
      <c r="G4406" t="s">
        <v>3653</v>
      </c>
      <c r="P4406" s="7"/>
      <c r="Q4406" s="7"/>
    </row>
    <row r="4407" spans="7:17" ht="21.75" customHeight="1">
      <c r="G4407" t="s">
        <v>3653</v>
      </c>
      <c r="P4407" s="7"/>
      <c r="Q4407" s="7"/>
    </row>
    <row r="4408" spans="7:17" ht="21.75" customHeight="1">
      <c r="G4408" t="s">
        <v>3653</v>
      </c>
      <c r="P4408" s="7"/>
      <c r="Q4408" s="7"/>
    </row>
    <row r="4409" spans="7:17" ht="21.75" customHeight="1">
      <c r="G4409" t="s">
        <v>3653</v>
      </c>
      <c r="P4409" s="7"/>
      <c r="Q4409" s="7"/>
    </row>
    <row r="4410" spans="7:17" ht="21.75" customHeight="1">
      <c r="G4410" t="s">
        <v>3653</v>
      </c>
      <c r="P4410" s="7"/>
      <c r="Q4410" s="7"/>
    </row>
    <row r="4411" spans="7:17" ht="21.75" customHeight="1">
      <c r="G4411" t="s">
        <v>3653</v>
      </c>
      <c r="P4411" s="7"/>
      <c r="Q4411" s="7"/>
    </row>
    <row r="4412" spans="7:17" ht="21.75" customHeight="1">
      <c r="G4412" t="s">
        <v>3653</v>
      </c>
      <c r="P4412" s="7"/>
      <c r="Q4412" s="7"/>
    </row>
    <row r="4413" spans="7:17" ht="21.75" customHeight="1">
      <c r="G4413" t="s">
        <v>3653</v>
      </c>
      <c r="P4413" s="7"/>
      <c r="Q4413" s="7"/>
    </row>
    <row r="4414" spans="7:17" ht="21.75" customHeight="1">
      <c r="G4414" t="s">
        <v>3653</v>
      </c>
      <c r="P4414" s="7"/>
      <c r="Q4414" s="7"/>
    </row>
    <row r="4415" spans="7:17" ht="21.75" customHeight="1">
      <c r="G4415" t="s">
        <v>3653</v>
      </c>
      <c r="P4415" s="7"/>
      <c r="Q4415" s="7"/>
    </row>
    <row r="4416" spans="7:17" ht="21.75" customHeight="1">
      <c r="G4416" t="s">
        <v>3653</v>
      </c>
      <c r="P4416" s="7"/>
      <c r="Q4416" s="7"/>
    </row>
    <row r="4417" spans="7:17" ht="21.75" customHeight="1">
      <c r="G4417" t="s">
        <v>3653</v>
      </c>
      <c r="P4417" s="7"/>
      <c r="Q4417" s="7"/>
    </row>
    <row r="4418" spans="7:17" ht="21.75" customHeight="1">
      <c r="G4418" t="s">
        <v>3653</v>
      </c>
      <c r="P4418" s="7"/>
      <c r="Q4418" s="7"/>
    </row>
    <row r="4419" spans="7:17" ht="21.75" customHeight="1">
      <c r="G4419" t="s">
        <v>3653</v>
      </c>
      <c r="P4419" s="7"/>
      <c r="Q4419" s="7"/>
    </row>
    <row r="4420" spans="7:17" ht="21.75" customHeight="1">
      <c r="G4420" t="s">
        <v>3653</v>
      </c>
      <c r="P4420" s="7"/>
      <c r="Q4420" s="7"/>
    </row>
    <row r="4421" spans="7:17" ht="21.75" customHeight="1">
      <c r="G4421" t="s">
        <v>3653</v>
      </c>
      <c r="P4421" s="7"/>
      <c r="Q4421" s="7"/>
    </row>
    <row r="4422" spans="7:17" ht="21.75" customHeight="1">
      <c r="G4422" t="s">
        <v>3653</v>
      </c>
      <c r="P4422" s="7"/>
      <c r="Q4422" s="7"/>
    </row>
    <row r="4423" spans="7:17" ht="21.75" customHeight="1">
      <c r="G4423" t="s">
        <v>3653</v>
      </c>
      <c r="P4423" s="7"/>
      <c r="Q4423" s="7"/>
    </row>
    <row r="4424" spans="7:17" ht="21.75" customHeight="1">
      <c r="G4424" t="s">
        <v>3653</v>
      </c>
      <c r="P4424" s="7"/>
      <c r="Q4424" s="7"/>
    </row>
    <row r="4425" spans="7:17" ht="21.75" customHeight="1">
      <c r="G4425" t="s">
        <v>3653</v>
      </c>
      <c r="P4425" s="7"/>
      <c r="Q4425" s="7"/>
    </row>
    <row r="4426" spans="7:17" ht="21.75" customHeight="1">
      <c r="G4426" t="s">
        <v>3653</v>
      </c>
      <c r="P4426" s="7"/>
      <c r="Q4426" s="7"/>
    </row>
    <row r="4427" spans="7:17" ht="21.75" customHeight="1">
      <c r="G4427" t="s">
        <v>3653</v>
      </c>
      <c r="P4427" s="7"/>
      <c r="Q4427" s="7"/>
    </row>
    <row r="4428" spans="7:17" ht="21.75" customHeight="1">
      <c r="G4428" t="s">
        <v>3653</v>
      </c>
      <c r="P4428" s="7"/>
      <c r="Q4428" s="7"/>
    </row>
    <row r="4429" spans="7:17" ht="21.75" customHeight="1">
      <c r="G4429" t="s">
        <v>3653</v>
      </c>
      <c r="P4429" s="7"/>
      <c r="Q4429" s="7"/>
    </row>
    <row r="4430" spans="7:17" ht="21.75" customHeight="1">
      <c r="G4430" t="s">
        <v>3653</v>
      </c>
      <c r="P4430" s="7"/>
      <c r="Q4430" s="7"/>
    </row>
    <row r="4431" spans="7:17" ht="21.75" customHeight="1">
      <c r="G4431" t="s">
        <v>3653</v>
      </c>
      <c r="P4431" s="7"/>
      <c r="Q4431" s="7"/>
    </row>
    <row r="4432" spans="7:17" ht="21.75" customHeight="1">
      <c r="G4432" t="s">
        <v>3653</v>
      </c>
      <c r="P4432" s="7"/>
      <c r="Q4432" s="7"/>
    </row>
    <row r="4433" spans="7:17" ht="21.75" customHeight="1">
      <c r="G4433" t="s">
        <v>3653</v>
      </c>
      <c r="P4433" s="7"/>
      <c r="Q4433" s="7"/>
    </row>
    <row r="4434" spans="7:17" ht="21.75" customHeight="1">
      <c r="G4434" t="s">
        <v>3653</v>
      </c>
      <c r="P4434" s="7"/>
      <c r="Q4434" s="7"/>
    </row>
    <row r="4435" spans="7:17" ht="21.75" customHeight="1">
      <c r="G4435" t="s">
        <v>3653</v>
      </c>
      <c r="P4435" s="7"/>
      <c r="Q4435" s="7"/>
    </row>
    <row r="4436" spans="7:17" ht="21.75" customHeight="1">
      <c r="G4436" t="s">
        <v>3653</v>
      </c>
      <c r="P4436" s="7"/>
      <c r="Q4436" s="7"/>
    </row>
    <row r="4437" spans="7:17" ht="21.75" customHeight="1">
      <c r="G4437" t="s">
        <v>3653</v>
      </c>
      <c r="P4437" s="7"/>
      <c r="Q4437" s="7"/>
    </row>
    <row r="4438" spans="7:17" ht="21.75" customHeight="1">
      <c r="G4438" t="s">
        <v>3653</v>
      </c>
      <c r="P4438" s="7"/>
      <c r="Q4438" s="7"/>
    </row>
    <row r="4439" spans="7:17" ht="21.75" customHeight="1">
      <c r="G4439" t="s">
        <v>3653</v>
      </c>
      <c r="P4439" s="7"/>
      <c r="Q4439" s="7"/>
    </row>
    <row r="4440" spans="7:17" ht="21.75" customHeight="1">
      <c r="G4440" t="s">
        <v>3653</v>
      </c>
      <c r="P4440" s="7"/>
      <c r="Q4440" s="7"/>
    </row>
    <row r="4441" spans="7:17" ht="21.75" customHeight="1">
      <c r="G4441" t="s">
        <v>3653</v>
      </c>
      <c r="P4441" s="7"/>
      <c r="Q4441" s="7"/>
    </row>
    <row r="4442" spans="7:17" ht="21.75" customHeight="1">
      <c r="G4442" t="s">
        <v>3653</v>
      </c>
      <c r="P4442" s="7"/>
      <c r="Q4442" s="7"/>
    </row>
    <row r="4443" spans="7:17" ht="21.75" customHeight="1">
      <c r="G4443" t="s">
        <v>3653</v>
      </c>
      <c r="P4443" s="7"/>
      <c r="Q4443" s="7"/>
    </row>
    <row r="4444" spans="7:17" ht="21.75" customHeight="1">
      <c r="G4444" t="s">
        <v>3653</v>
      </c>
      <c r="P4444" s="7"/>
      <c r="Q4444" s="7"/>
    </row>
    <row r="4445" spans="7:17" ht="21.75" customHeight="1">
      <c r="G4445" t="s">
        <v>3653</v>
      </c>
      <c r="P4445" s="7"/>
      <c r="Q4445" s="7"/>
    </row>
    <row r="4446" spans="7:17" ht="21.75" customHeight="1">
      <c r="G4446" t="s">
        <v>3653</v>
      </c>
      <c r="P4446" s="7"/>
      <c r="Q4446" s="7"/>
    </row>
    <row r="4447" spans="7:17" ht="21.75" customHeight="1">
      <c r="G4447" t="s">
        <v>3653</v>
      </c>
      <c r="P4447" s="7"/>
      <c r="Q4447" s="7"/>
    </row>
    <row r="4448" spans="7:17" ht="21.75" customHeight="1">
      <c r="G4448" t="s">
        <v>3653</v>
      </c>
      <c r="P4448" s="7"/>
      <c r="Q4448" s="7"/>
    </row>
    <row r="4449" spans="7:17" ht="21.75" customHeight="1">
      <c r="G4449" t="s">
        <v>3653</v>
      </c>
      <c r="P4449" s="7"/>
      <c r="Q4449" s="7"/>
    </row>
    <row r="4450" spans="7:17" ht="21.75" customHeight="1">
      <c r="G4450" t="s">
        <v>3653</v>
      </c>
      <c r="P4450" s="7"/>
      <c r="Q4450" s="7"/>
    </row>
    <row r="4451" spans="7:17" ht="21.75" customHeight="1">
      <c r="G4451" t="s">
        <v>3653</v>
      </c>
      <c r="P4451" s="7"/>
      <c r="Q4451" s="7"/>
    </row>
    <row r="4452" spans="7:17" ht="21.75" customHeight="1">
      <c r="G4452" t="s">
        <v>3653</v>
      </c>
      <c r="P4452" s="7"/>
      <c r="Q4452" s="7"/>
    </row>
    <row r="4453" spans="7:17" ht="21.75" customHeight="1">
      <c r="G4453" t="s">
        <v>3653</v>
      </c>
      <c r="P4453" s="7"/>
      <c r="Q4453" s="7"/>
    </row>
    <row r="4454" spans="7:17" ht="21.75" customHeight="1">
      <c r="G4454" t="s">
        <v>3653</v>
      </c>
      <c r="P4454" s="7"/>
      <c r="Q4454" s="7"/>
    </row>
    <row r="4455" spans="7:17" ht="21.75" customHeight="1">
      <c r="G4455" t="s">
        <v>3653</v>
      </c>
      <c r="P4455" s="7"/>
      <c r="Q4455" s="7"/>
    </row>
    <row r="4456" spans="7:17" ht="21.75" customHeight="1">
      <c r="G4456" t="s">
        <v>3653</v>
      </c>
      <c r="P4456" s="7"/>
      <c r="Q4456" s="7"/>
    </row>
    <row r="4457" spans="7:17" ht="21.75" customHeight="1">
      <c r="G4457" t="s">
        <v>3653</v>
      </c>
      <c r="P4457" s="7"/>
      <c r="Q4457" s="7"/>
    </row>
    <row r="4458" spans="7:17" ht="21.75" customHeight="1">
      <c r="G4458" t="s">
        <v>3653</v>
      </c>
      <c r="P4458" s="7"/>
      <c r="Q4458" s="7"/>
    </row>
    <row r="4459" spans="7:17" ht="21.75" customHeight="1">
      <c r="G4459" t="s">
        <v>3653</v>
      </c>
      <c r="P4459" s="7"/>
      <c r="Q4459" s="7"/>
    </row>
    <row r="4460" spans="7:17" ht="21.75" customHeight="1">
      <c r="G4460" t="s">
        <v>3653</v>
      </c>
      <c r="P4460" s="7"/>
      <c r="Q4460" s="7"/>
    </row>
    <row r="4461" spans="7:17" ht="21.75" customHeight="1">
      <c r="G4461" t="s">
        <v>3653</v>
      </c>
      <c r="P4461" s="7"/>
      <c r="Q4461" s="7"/>
    </row>
    <row r="4462" spans="7:17" ht="21.75" customHeight="1">
      <c r="G4462" t="s">
        <v>3653</v>
      </c>
      <c r="P4462" s="7"/>
      <c r="Q4462" s="7"/>
    </row>
    <row r="4463" spans="7:17" ht="21.75" customHeight="1">
      <c r="G4463" t="s">
        <v>3653</v>
      </c>
      <c r="P4463" s="7"/>
      <c r="Q4463" s="7"/>
    </row>
    <row r="4464" spans="7:17" ht="21.75" customHeight="1">
      <c r="G4464" t="s">
        <v>3653</v>
      </c>
      <c r="P4464" s="7"/>
      <c r="Q4464" s="7"/>
    </row>
    <row r="4465" spans="7:17" ht="21.75" customHeight="1">
      <c r="G4465" t="s">
        <v>3653</v>
      </c>
      <c r="P4465" s="7"/>
      <c r="Q4465" s="7"/>
    </row>
    <row r="4466" spans="7:17" ht="21.75" customHeight="1">
      <c r="G4466" t="s">
        <v>3653</v>
      </c>
      <c r="P4466" s="7"/>
      <c r="Q4466" s="7"/>
    </row>
    <row r="4467" spans="7:17" ht="21.75" customHeight="1">
      <c r="G4467" t="s">
        <v>3653</v>
      </c>
      <c r="P4467" s="7"/>
      <c r="Q4467" s="7"/>
    </row>
    <row r="4468" spans="7:17" ht="21.75" customHeight="1">
      <c r="G4468" t="s">
        <v>3653</v>
      </c>
      <c r="P4468" s="7"/>
      <c r="Q4468" s="7"/>
    </row>
    <row r="4469" spans="7:17" ht="21.75" customHeight="1">
      <c r="G4469" t="s">
        <v>3653</v>
      </c>
      <c r="P4469" s="7"/>
      <c r="Q4469" s="7"/>
    </row>
    <row r="4470" spans="7:17" ht="21.75" customHeight="1">
      <c r="G4470" t="s">
        <v>3653</v>
      </c>
      <c r="P4470" s="7"/>
      <c r="Q4470" s="7"/>
    </row>
    <row r="4471" spans="7:17" ht="21.75" customHeight="1">
      <c r="G4471" t="s">
        <v>3653</v>
      </c>
      <c r="P4471" s="7"/>
      <c r="Q4471" s="7"/>
    </row>
    <row r="4472" spans="7:17" ht="21.75" customHeight="1">
      <c r="G4472" t="s">
        <v>3653</v>
      </c>
      <c r="P4472" s="7"/>
      <c r="Q4472" s="7"/>
    </row>
    <row r="4473" spans="7:17" ht="21.75" customHeight="1">
      <c r="G4473" t="s">
        <v>3653</v>
      </c>
      <c r="P4473" s="7"/>
      <c r="Q4473" s="7"/>
    </row>
    <row r="4474" spans="7:17" ht="21.75" customHeight="1">
      <c r="G4474" t="s">
        <v>3653</v>
      </c>
      <c r="P4474" s="7"/>
      <c r="Q4474" s="7"/>
    </row>
    <row r="4475" spans="7:17" ht="21.75" customHeight="1">
      <c r="G4475" t="s">
        <v>3653</v>
      </c>
      <c r="P4475" s="7"/>
      <c r="Q4475" s="7"/>
    </row>
    <row r="4476" spans="7:17" ht="21.75" customHeight="1">
      <c r="G4476" t="s">
        <v>3653</v>
      </c>
      <c r="P4476" s="7"/>
      <c r="Q4476" s="7"/>
    </row>
    <row r="4477" spans="7:17" ht="21.75" customHeight="1">
      <c r="G4477" t="s">
        <v>3653</v>
      </c>
      <c r="P4477" s="7"/>
      <c r="Q4477" s="7"/>
    </row>
    <row r="4478" spans="7:17" ht="21.75" customHeight="1">
      <c r="G4478" t="s">
        <v>3653</v>
      </c>
      <c r="P4478" s="7"/>
      <c r="Q4478" s="7"/>
    </row>
    <row r="4479" spans="7:17" ht="21.75" customHeight="1">
      <c r="G4479" t="s">
        <v>3653</v>
      </c>
      <c r="P4479" s="7"/>
      <c r="Q4479" s="7"/>
    </row>
    <row r="4480" spans="7:17" ht="21.75" customHeight="1">
      <c r="G4480" t="s">
        <v>3653</v>
      </c>
      <c r="P4480" s="7"/>
      <c r="Q4480" s="7"/>
    </row>
    <row r="4481" spans="7:17" ht="21.75" customHeight="1">
      <c r="G4481" t="s">
        <v>3653</v>
      </c>
      <c r="P4481" s="7"/>
      <c r="Q4481" s="7"/>
    </row>
    <row r="4482" spans="7:17" ht="21.75" customHeight="1">
      <c r="G4482" t="s">
        <v>3653</v>
      </c>
      <c r="P4482" s="7"/>
      <c r="Q4482" s="7"/>
    </row>
    <row r="4483" spans="7:17" ht="21.75" customHeight="1">
      <c r="G4483" t="s">
        <v>3653</v>
      </c>
      <c r="P4483" s="7"/>
      <c r="Q4483" s="7"/>
    </row>
    <row r="4484" spans="7:17" ht="21.75" customHeight="1">
      <c r="G4484" t="s">
        <v>3653</v>
      </c>
      <c r="P4484" s="7"/>
      <c r="Q4484" s="7"/>
    </row>
    <row r="4485" spans="7:17" ht="21.75" customHeight="1">
      <c r="G4485" t="s">
        <v>3653</v>
      </c>
      <c r="P4485" s="7"/>
      <c r="Q4485" s="7"/>
    </row>
    <row r="4486" spans="7:17" ht="21.75" customHeight="1">
      <c r="G4486" t="s">
        <v>3653</v>
      </c>
      <c r="P4486" s="7"/>
      <c r="Q4486" s="7"/>
    </row>
    <row r="4487" spans="7:17" ht="21.75" customHeight="1">
      <c r="G4487" t="s">
        <v>3653</v>
      </c>
      <c r="P4487" s="7"/>
      <c r="Q4487" s="7"/>
    </row>
    <row r="4488" spans="7:17" ht="21.75" customHeight="1">
      <c r="G4488" t="s">
        <v>3653</v>
      </c>
      <c r="P4488" s="7"/>
      <c r="Q4488" s="7"/>
    </row>
    <row r="4489" spans="7:17" ht="21.75" customHeight="1">
      <c r="G4489" t="s">
        <v>3653</v>
      </c>
      <c r="P4489" s="7"/>
      <c r="Q4489" s="7"/>
    </row>
    <row r="4490" spans="7:17" ht="21.75" customHeight="1">
      <c r="G4490" t="s">
        <v>3653</v>
      </c>
      <c r="P4490" s="7"/>
      <c r="Q4490" s="7"/>
    </row>
    <row r="4491" spans="7:17" ht="21.75" customHeight="1">
      <c r="G4491" t="s">
        <v>3653</v>
      </c>
      <c r="P4491" s="7"/>
      <c r="Q4491" s="7"/>
    </row>
    <row r="4492" spans="7:17" ht="21.75" customHeight="1">
      <c r="G4492" t="s">
        <v>3653</v>
      </c>
      <c r="P4492" s="7"/>
      <c r="Q4492" s="7"/>
    </row>
    <row r="4493" spans="7:17" ht="21.75" customHeight="1">
      <c r="G4493" t="s">
        <v>3653</v>
      </c>
      <c r="P4493" s="7"/>
      <c r="Q4493" s="7"/>
    </row>
    <row r="4494" spans="7:17" ht="21.75" customHeight="1">
      <c r="G4494" t="s">
        <v>3653</v>
      </c>
      <c r="P4494" s="7"/>
      <c r="Q4494" s="7"/>
    </row>
    <row r="4495" spans="7:17" ht="21.75" customHeight="1">
      <c r="G4495" t="s">
        <v>3653</v>
      </c>
      <c r="P4495" s="7"/>
      <c r="Q4495" s="7"/>
    </row>
    <row r="4496" spans="7:17" ht="21.75" customHeight="1">
      <c r="G4496" t="s">
        <v>3653</v>
      </c>
      <c r="P4496" s="7"/>
      <c r="Q4496" s="7"/>
    </row>
    <row r="4497" spans="7:17" ht="21.75" customHeight="1">
      <c r="G4497" t="s">
        <v>3653</v>
      </c>
      <c r="P4497" s="7"/>
      <c r="Q4497" s="7"/>
    </row>
    <row r="4498" spans="7:17" ht="21.75" customHeight="1">
      <c r="G4498" t="s">
        <v>3653</v>
      </c>
      <c r="P4498" s="7"/>
      <c r="Q4498" s="7"/>
    </row>
    <row r="4499" spans="7:17" ht="21.75" customHeight="1">
      <c r="G4499" t="s">
        <v>3653</v>
      </c>
      <c r="P4499" s="7"/>
      <c r="Q4499" s="7"/>
    </row>
    <row r="4500" spans="7:17" ht="21.75" customHeight="1">
      <c r="G4500" t="s">
        <v>3653</v>
      </c>
      <c r="P4500" s="7"/>
      <c r="Q4500" s="7"/>
    </row>
    <row r="4501" spans="7:17" ht="21.75" customHeight="1">
      <c r="G4501" t="s">
        <v>3653</v>
      </c>
      <c r="P4501" s="7"/>
      <c r="Q4501" s="7"/>
    </row>
    <row r="4502" spans="7:17" ht="21.75" customHeight="1">
      <c r="G4502" t="s">
        <v>3653</v>
      </c>
      <c r="P4502" s="7"/>
      <c r="Q4502" s="7"/>
    </row>
    <row r="4503" spans="7:17" ht="21.75" customHeight="1">
      <c r="G4503" t="s">
        <v>3653</v>
      </c>
      <c r="P4503" s="7"/>
      <c r="Q4503" s="7"/>
    </row>
    <row r="4504" spans="7:17" ht="21.75" customHeight="1">
      <c r="G4504" t="s">
        <v>3653</v>
      </c>
      <c r="P4504" s="7"/>
      <c r="Q4504" s="7"/>
    </row>
    <row r="4505" spans="7:17" ht="21.75" customHeight="1">
      <c r="G4505" t="s">
        <v>3653</v>
      </c>
      <c r="P4505" s="7"/>
      <c r="Q4505" s="7"/>
    </row>
    <row r="4506" spans="7:17" ht="21.75" customHeight="1">
      <c r="G4506" t="s">
        <v>3653</v>
      </c>
      <c r="P4506" s="7"/>
      <c r="Q4506" s="7"/>
    </row>
    <row r="4507" spans="7:17" ht="21.75" customHeight="1">
      <c r="G4507" t="s">
        <v>3653</v>
      </c>
      <c r="P4507" s="7"/>
      <c r="Q4507" s="7"/>
    </row>
    <row r="4508" spans="7:17" ht="21.75" customHeight="1">
      <c r="G4508" t="s">
        <v>3653</v>
      </c>
      <c r="P4508" s="7"/>
      <c r="Q4508" s="7"/>
    </row>
    <row r="4509" spans="7:17" ht="21.75" customHeight="1">
      <c r="G4509" t="s">
        <v>3653</v>
      </c>
      <c r="P4509" s="7"/>
      <c r="Q4509" s="7"/>
    </row>
    <row r="4510" spans="7:17" ht="21.75" customHeight="1">
      <c r="G4510" t="s">
        <v>3653</v>
      </c>
      <c r="P4510" s="7"/>
      <c r="Q4510" s="7"/>
    </row>
    <row r="4511" spans="7:17" ht="21.75" customHeight="1">
      <c r="G4511" t="s">
        <v>3653</v>
      </c>
      <c r="P4511" s="7"/>
      <c r="Q4511" s="7"/>
    </row>
    <row r="4512" spans="7:17" ht="21.75" customHeight="1">
      <c r="G4512" t="s">
        <v>3653</v>
      </c>
      <c r="P4512" s="7"/>
      <c r="Q4512" s="7"/>
    </row>
    <row r="4513" spans="7:17" ht="21.75" customHeight="1">
      <c r="G4513" t="s">
        <v>3653</v>
      </c>
      <c r="P4513" s="7"/>
      <c r="Q4513" s="7"/>
    </row>
    <row r="4514" spans="7:17" ht="21.75" customHeight="1">
      <c r="G4514" t="s">
        <v>3653</v>
      </c>
      <c r="P4514" s="7"/>
      <c r="Q4514" s="7"/>
    </row>
    <row r="4515" spans="7:17" ht="21.75" customHeight="1">
      <c r="G4515" t="s">
        <v>3653</v>
      </c>
      <c r="P4515" s="7"/>
      <c r="Q4515" s="7"/>
    </row>
    <row r="4516" spans="7:17" ht="21.75" customHeight="1">
      <c r="G4516" t="s">
        <v>3653</v>
      </c>
      <c r="P4516" s="7"/>
      <c r="Q4516" s="7"/>
    </row>
    <row r="4517" spans="7:17" ht="21.75" customHeight="1">
      <c r="G4517" t="s">
        <v>3653</v>
      </c>
      <c r="P4517" s="7"/>
      <c r="Q4517" s="7"/>
    </row>
    <row r="4518" spans="7:17" ht="21.75" customHeight="1">
      <c r="G4518" t="s">
        <v>3653</v>
      </c>
      <c r="P4518" s="7"/>
      <c r="Q4518" s="7"/>
    </row>
    <row r="4519" spans="7:17" ht="21.75" customHeight="1">
      <c r="G4519" t="s">
        <v>3653</v>
      </c>
      <c r="P4519" s="7"/>
      <c r="Q4519" s="7"/>
    </row>
    <row r="4520" spans="7:17" ht="21.75" customHeight="1">
      <c r="G4520" t="s">
        <v>3653</v>
      </c>
      <c r="P4520" s="7"/>
      <c r="Q4520" s="7"/>
    </row>
    <row r="4521" spans="7:17" ht="21.75" customHeight="1">
      <c r="G4521" t="s">
        <v>3653</v>
      </c>
      <c r="P4521" s="7"/>
      <c r="Q4521" s="7"/>
    </row>
    <row r="4522" spans="7:17" ht="21.75" customHeight="1">
      <c r="G4522" t="s">
        <v>3653</v>
      </c>
      <c r="P4522" s="7"/>
      <c r="Q4522" s="7"/>
    </row>
    <row r="4523" spans="7:17" ht="21.75" customHeight="1">
      <c r="G4523" t="s">
        <v>3653</v>
      </c>
      <c r="P4523" s="7"/>
      <c r="Q4523" s="7"/>
    </row>
    <row r="4524" spans="7:17" ht="21.75" customHeight="1">
      <c r="G4524" t="s">
        <v>3653</v>
      </c>
      <c r="P4524" s="7"/>
      <c r="Q4524" s="7"/>
    </row>
    <row r="4525" spans="7:17" ht="21.75" customHeight="1">
      <c r="G4525" t="s">
        <v>3653</v>
      </c>
      <c r="P4525" s="7"/>
      <c r="Q4525" s="7"/>
    </row>
    <row r="4526" spans="7:17" ht="21.75" customHeight="1">
      <c r="G4526" t="s">
        <v>3653</v>
      </c>
      <c r="P4526" s="7"/>
      <c r="Q4526" s="7"/>
    </row>
    <row r="4527" spans="7:17" ht="21.75" customHeight="1">
      <c r="G4527" t="s">
        <v>3653</v>
      </c>
      <c r="P4527" s="7"/>
      <c r="Q4527" s="7"/>
    </row>
    <row r="4528" spans="7:17" ht="21.75" customHeight="1">
      <c r="G4528" t="s">
        <v>3653</v>
      </c>
      <c r="P4528" s="7"/>
      <c r="Q4528" s="7"/>
    </row>
    <row r="4529" spans="7:17" ht="21.75" customHeight="1">
      <c r="G4529" t="s">
        <v>3653</v>
      </c>
      <c r="P4529" s="7"/>
      <c r="Q4529" s="7"/>
    </row>
    <row r="4530" spans="7:17" ht="21.75" customHeight="1">
      <c r="G4530" t="s">
        <v>3653</v>
      </c>
      <c r="P4530" s="7"/>
      <c r="Q4530" s="7"/>
    </row>
    <row r="4531" spans="7:17" ht="21.75" customHeight="1">
      <c r="G4531" t="s">
        <v>3653</v>
      </c>
      <c r="P4531" s="7"/>
      <c r="Q4531" s="7"/>
    </row>
    <row r="4532" spans="7:17" ht="21.75" customHeight="1">
      <c r="G4532" t="s">
        <v>3653</v>
      </c>
      <c r="P4532" s="7"/>
      <c r="Q4532" s="7"/>
    </row>
    <row r="4533" spans="7:17" ht="21.75" customHeight="1">
      <c r="G4533" t="s">
        <v>3653</v>
      </c>
      <c r="P4533" s="7"/>
      <c r="Q4533" s="7"/>
    </row>
    <row r="4534" spans="7:17" ht="21.75" customHeight="1">
      <c r="G4534" t="s">
        <v>3653</v>
      </c>
      <c r="P4534" s="7"/>
      <c r="Q4534" s="7"/>
    </row>
    <row r="4535" spans="7:17" ht="21.75" customHeight="1">
      <c r="G4535" t="s">
        <v>3653</v>
      </c>
      <c r="P4535" s="7"/>
      <c r="Q4535" s="7"/>
    </row>
    <row r="4536" spans="7:17" ht="21.75" customHeight="1">
      <c r="G4536" t="s">
        <v>3653</v>
      </c>
      <c r="P4536" s="7"/>
      <c r="Q4536" s="7"/>
    </row>
    <row r="4537" spans="7:17" ht="21.75" customHeight="1">
      <c r="G4537" t="s">
        <v>3653</v>
      </c>
      <c r="P4537" s="7"/>
      <c r="Q4537" s="7"/>
    </row>
    <row r="4538" spans="7:17" ht="21.75" customHeight="1">
      <c r="G4538" t="s">
        <v>3653</v>
      </c>
      <c r="P4538" s="7"/>
      <c r="Q4538" s="7"/>
    </row>
    <row r="4539" spans="7:17" ht="21.75" customHeight="1">
      <c r="G4539" t="s">
        <v>3653</v>
      </c>
      <c r="P4539" s="7"/>
      <c r="Q4539" s="7"/>
    </row>
    <row r="4540" spans="7:17" ht="21.75" customHeight="1">
      <c r="G4540" t="s">
        <v>3653</v>
      </c>
      <c r="P4540" s="7"/>
      <c r="Q4540" s="7"/>
    </row>
    <row r="4541" spans="7:17" ht="21.75" customHeight="1">
      <c r="G4541" t="s">
        <v>3653</v>
      </c>
      <c r="P4541" s="7"/>
      <c r="Q4541" s="7"/>
    </row>
    <row r="4542" spans="7:17" ht="21.75" customHeight="1">
      <c r="G4542" t="s">
        <v>3653</v>
      </c>
      <c r="P4542" s="7"/>
      <c r="Q4542" s="7"/>
    </row>
    <row r="4543" spans="7:17" ht="21.75" customHeight="1">
      <c r="G4543" t="s">
        <v>3653</v>
      </c>
      <c r="P4543" s="7"/>
      <c r="Q4543" s="7"/>
    </row>
    <row r="4544" spans="7:17" ht="21.75" customHeight="1">
      <c r="G4544" t="s">
        <v>3653</v>
      </c>
      <c r="P4544" s="7"/>
      <c r="Q4544" s="7"/>
    </row>
    <row r="4545" spans="7:17" ht="21.75" customHeight="1">
      <c r="G4545" t="s">
        <v>3653</v>
      </c>
      <c r="P4545" s="7"/>
      <c r="Q4545" s="7"/>
    </row>
    <row r="4546" spans="7:17" ht="21.75" customHeight="1">
      <c r="G4546" t="s">
        <v>3653</v>
      </c>
      <c r="P4546" s="7"/>
      <c r="Q4546" s="7"/>
    </row>
    <row r="4547" spans="7:17" ht="21.75" customHeight="1">
      <c r="G4547" t="s">
        <v>3653</v>
      </c>
      <c r="P4547" s="7"/>
      <c r="Q4547" s="7"/>
    </row>
    <row r="4548" spans="7:17" ht="21.75" customHeight="1">
      <c r="G4548" t="s">
        <v>3653</v>
      </c>
      <c r="P4548" s="7"/>
      <c r="Q4548" s="7"/>
    </row>
    <row r="4549" spans="7:17" ht="21.75" customHeight="1">
      <c r="G4549" t="s">
        <v>3653</v>
      </c>
      <c r="P4549" s="7"/>
      <c r="Q4549" s="7"/>
    </row>
    <row r="4550" spans="7:17" ht="21.75" customHeight="1">
      <c r="G4550" t="s">
        <v>3653</v>
      </c>
      <c r="P4550" s="7"/>
      <c r="Q4550" s="7"/>
    </row>
    <row r="4551" spans="7:17" ht="21.75" customHeight="1">
      <c r="G4551" t="s">
        <v>3653</v>
      </c>
      <c r="P4551" s="7"/>
      <c r="Q4551" s="7"/>
    </row>
    <row r="4552" spans="7:17" ht="21.75" customHeight="1">
      <c r="G4552" t="s">
        <v>3653</v>
      </c>
      <c r="P4552" s="7"/>
      <c r="Q4552" s="7"/>
    </row>
    <row r="4553" spans="7:17" ht="21.75" customHeight="1">
      <c r="G4553" t="s">
        <v>3653</v>
      </c>
      <c r="P4553" s="7"/>
      <c r="Q4553" s="7"/>
    </row>
    <row r="4554" spans="7:17" ht="21.75" customHeight="1">
      <c r="G4554" t="s">
        <v>3653</v>
      </c>
      <c r="P4554" s="7"/>
      <c r="Q4554" s="7"/>
    </row>
    <row r="4555" spans="7:17" ht="21.75" customHeight="1">
      <c r="G4555" t="s">
        <v>3653</v>
      </c>
      <c r="P4555" s="7"/>
      <c r="Q4555" s="7"/>
    </row>
    <row r="4556" spans="7:17" ht="21.75" customHeight="1">
      <c r="G4556" t="s">
        <v>3653</v>
      </c>
      <c r="P4556" s="7"/>
      <c r="Q4556" s="7"/>
    </row>
    <row r="4557" spans="7:17" ht="21.75" customHeight="1">
      <c r="G4557" t="s">
        <v>3653</v>
      </c>
      <c r="P4557" s="7"/>
      <c r="Q4557" s="7"/>
    </row>
    <row r="4558" spans="7:17" ht="21.75" customHeight="1">
      <c r="G4558" t="s">
        <v>3653</v>
      </c>
      <c r="P4558" s="7"/>
      <c r="Q4558" s="7"/>
    </row>
    <row r="4559" spans="7:17" ht="21.75" customHeight="1">
      <c r="G4559" t="s">
        <v>3653</v>
      </c>
      <c r="P4559" s="7"/>
      <c r="Q4559" s="7"/>
    </row>
    <row r="4560" spans="7:17" ht="21.75" customHeight="1">
      <c r="G4560" t="s">
        <v>3653</v>
      </c>
      <c r="P4560" s="7"/>
      <c r="Q4560" s="7"/>
    </row>
    <row r="4561" spans="7:17" ht="21.75" customHeight="1">
      <c r="G4561" t="s">
        <v>3653</v>
      </c>
      <c r="P4561" s="7"/>
      <c r="Q4561" s="7"/>
    </row>
    <row r="4562" spans="7:17" ht="21.75" customHeight="1">
      <c r="G4562" t="s">
        <v>3653</v>
      </c>
      <c r="P4562" s="7"/>
      <c r="Q4562" s="7"/>
    </row>
    <row r="4563" spans="7:17" ht="21.75" customHeight="1">
      <c r="G4563" t="s">
        <v>3653</v>
      </c>
      <c r="P4563" s="7"/>
      <c r="Q4563" s="7"/>
    </row>
    <row r="4564" spans="7:17" ht="21.75" customHeight="1">
      <c r="G4564" t="s">
        <v>3653</v>
      </c>
      <c r="P4564" s="7"/>
      <c r="Q4564" s="7"/>
    </row>
    <row r="4565" spans="7:17" ht="21.75" customHeight="1">
      <c r="G4565" t="s">
        <v>3653</v>
      </c>
      <c r="P4565" s="7"/>
      <c r="Q4565" s="7"/>
    </row>
    <row r="4566" spans="7:17" ht="21.75" customHeight="1">
      <c r="G4566" t="s">
        <v>3653</v>
      </c>
      <c r="P4566" s="7"/>
      <c r="Q4566" s="7"/>
    </row>
    <row r="4567" spans="7:17" ht="21.75" customHeight="1">
      <c r="G4567" t="s">
        <v>3653</v>
      </c>
      <c r="P4567" s="7"/>
      <c r="Q4567" s="7"/>
    </row>
    <row r="4568" spans="7:17" ht="21.75" customHeight="1">
      <c r="G4568" t="s">
        <v>3653</v>
      </c>
      <c r="P4568" s="7"/>
      <c r="Q4568" s="7"/>
    </row>
    <row r="4569" spans="7:17" ht="21.75" customHeight="1">
      <c r="G4569" t="s">
        <v>3653</v>
      </c>
      <c r="P4569" s="7"/>
      <c r="Q4569" s="7"/>
    </row>
    <row r="4570" spans="7:17" ht="21.75" customHeight="1">
      <c r="G4570" t="s">
        <v>3653</v>
      </c>
      <c r="P4570" s="7"/>
      <c r="Q4570" s="7"/>
    </row>
    <row r="4571" spans="7:17" ht="21.75" customHeight="1">
      <c r="G4571" t="s">
        <v>3653</v>
      </c>
      <c r="P4571" s="7"/>
      <c r="Q4571" s="7"/>
    </row>
    <row r="4572" spans="7:17" ht="21.75" customHeight="1">
      <c r="G4572" t="s">
        <v>3653</v>
      </c>
      <c r="P4572" s="7"/>
      <c r="Q4572" s="7"/>
    </row>
    <row r="4573" spans="7:17" ht="21.75" customHeight="1">
      <c r="G4573" t="s">
        <v>3653</v>
      </c>
      <c r="P4573" s="7"/>
      <c r="Q4573" s="7"/>
    </row>
    <row r="4574" spans="7:17" ht="21.75" customHeight="1">
      <c r="G4574" t="s">
        <v>3653</v>
      </c>
      <c r="P4574" s="7"/>
      <c r="Q4574" s="7"/>
    </row>
    <row r="4575" spans="7:17" ht="21.75" customHeight="1">
      <c r="G4575" t="s">
        <v>3653</v>
      </c>
      <c r="P4575" s="7"/>
      <c r="Q4575" s="7"/>
    </row>
    <row r="4576" spans="7:17" ht="21.75" customHeight="1">
      <c r="G4576" t="s">
        <v>3653</v>
      </c>
      <c r="P4576" s="7"/>
      <c r="Q4576" s="7"/>
    </row>
    <row r="4577" spans="7:17" ht="21.75" customHeight="1">
      <c r="G4577" t="s">
        <v>3653</v>
      </c>
      <c r="P4577" s="7"/>
      <c r="Q4577" s="7"/>
    </row>
    <row r="4578" spans="7:17" ht="21.75" customHeight="1">
      <c r="G4578" t="s">
        <v>3653</v>
      </c>
      <c r="P4578" s="7"/>
      <c r="Q4578" s="7"/>
    </row>
    <row r="4579" spans="7:17" ht="21.75" customHeight="1">
      <c r="G4579" t="s">
        <v>3653</v>
      </c>
      <c r="P4579" s="7"/>
      <c r="Q4579" s="7"/>
    </row>
    <row r="4580" spans="7:17" ht="21.75" customHeight="1">
      <c r="G4580" t="s">
        <v>3653</v>
      </c>
      <c r="P4580" s="7"/>
      <c r="Q4580" s="7"/>
    </row>
    <row r="4581" spans="7:17" ht="21.75" customHeight="1">
      <c r="G4581" t="s">
        <v>3653</v>
      </c>
      <c r="P4581" s="7"/>
      <c r="Q4581" s="7"/>
    </row>
    <row r="4582" spans="7:17" ht="21.75" customHeight="1">
      <c r="G4582" t="s">
        <v>3653</v>
      </c>
      <c r="P4582" s="7"/>
      <c r="Q4582" s="7"/>
    </row>
    <row r="4583" spans="7:17" ht="21.75" customHeight="1">
      <c r="G4583" t="s">
        <v>3653</v>
      </c>
      <c r="P4583" s="7"/>
      <c r="Q4583" s="7"/>
    </row>
    <row r="4584" spans="7:17" ht="21.75" customHeight="1">
      <c r="G4584" t="s">
        <v>3653</v>
      </c>
      <c r="P4584" s="7"/>
      <c r="Q4584" s="7"/>
    </row>
    <row r="4585" spans="7:17" ht="21.75" customHeight="1">
      <c r="G4585" t="s">
        <v>3653</v>
      </c>
      <c r="P4585" s="7"/>
      <c r="Q4585" s="7"/>
    </row>
    <row r="4586" spans="7:17" ht="21.75" customHeight="1">
      <c r="G4586" t="s">
        <v>3653</v>
      </c>
      <c r="P4586" s="7"/>
      <c r="Q4586" s="7"/>
    </row>
    <row r="4587" spans="7:17" ht="21.75" customHeight="1">
      <c r="G4587" t="s">
        <v>3653</v>
      </c>
      <c r="P4587" s="7"/>
      <c r="Q4587" s="7"/>
    </row>
    <row r="4588" spans="7:17" ht="21.75" customHeight="1">
      <c r="G4588" t="s">
        <v>3653</v>
      </c>
      <c r="P4588" s="7"/>
      <c r="Q4588" s="7"/>
    </row>
    <row r="4589" spans="7:17" ht="21.75" customHeight="1">
      <c r="G4589" t="s">
        <v>3653</v>
      </c>
      <c r="P4589" s="7"/>
      <c r="Q4589" s="7"/>
    </row>
    <row r="4590" spans="7:17" ht="21.75" customHeight="1">
      <c r="G4590" t="s">
        <v>3653</v>
      </c>
      <c r="P4590" s="7"/>
      <c r="Q4590" s="7"/>
    </row>
    <row r="4591" spans="7:17" ht="21.75" customHeight="1">
      <c r="G4591" t="s">
        <v>3653</v>
      </c>
      <c r="P4591" s="7"/>
      <c r="Q4591" s="7"/>
    </row>
    <row r="4592" spans="7:17" ht="21.75" customHeight="1">
      <c r="G4592" t="s">
        <v>3653</v>
      </c>
      <c r="P4592" s="7"/>
      <c r="Q4592" s="7"/>
    </row>
    <row r="4593" spans="7:17" ht="21.75" customHeight="1">
      <c r="G4593" t="s">
        <v>3653</v>
      </c>
      <c r="P4593" s="7"/>
      <c r="Q4593" s="7"/>
    </row>
    <row r="4594" spans="7:17" ht="21.75" customHeight="1">
      <c r="G4594" t="s">
        <v>3653</v>
      </c>
      <c r="P4594" s="7"/>
      <c r="Q4594" s="7"/>
    </row>
    <row r="4595" spans="7:17" ht="21.75" customHeight="1">
      <c r="G4595" t="s">
        <v>3653</v>
      </c>
      <c r="P4595" s="7"/>
      <c r="Q4595" s="7"/>
    </row>
    <row r="4596" spans="7:17" ht="21.75" customHeight="1">
      <c r="G4596" t="s">
        <v>3653</v>
      </c>
      <c r="P4596" s="7"/>
      <c r="Q4596" s="7"/>
    </row>
    <row r="4597" spans="7:17" ht="21.75" customHeight="1">
      <c r="G4597" t="s">
        <v>3653</v>
      </c>
      <c r="P4597" s="7"/>
      <c r="Q4597" s="7"/>
    </row>
    <row r="4598" spans="7:17" ht="21.75" customHeight="1">
      <c r="G4598" t="s">
        <v>3653</v>
      </c>
      <c r="P4598" s="7"/>
      <c r="Q4598" s="7"/>
    </row>
    <row r="4599" spans="7:17" ht="21.75" customHeight="1">
      <c r="G4599" t="s">
        <v>3653</v>
      </c>
      <c r="P4599" s="7"/>
      <c r="Q4599" s="7"/>
    </row>
    <row r="4600" spans="7:17" ht="21.75" customHeight="1">
      <c r="G4600" t="s">
        <v>3653</v>
      </c>
      <c r="P4600" s="7"/>
      <c r="Q4600" s="7"/>
    </row>
    <row r="4601" spans="7:17" ht="21.75" customHeight="1">
      <c r="G4601" t="s">
        <v>3653</v>
      </c>
      <c r="P4601" s="7"/>
      <c r="Q4601" s="7"/>
    </row>
    <row r="4602" spans="7:17" ht="21.75" customHeight="1">
      <c r="G4602" t="s">
        <v>3653</v>
      </c>
      <c r="P4602" s="7"/>
      <c r="Q4602" s="7"/>
    </row>
    <row r="4603" spans="7:17" ht="21.75" customHeight="1">
      <c r="G4603" t="s">
        <v>3653</v>
      </c>
      <c r="P4603" s="7"/>
      <c r="Q4603" s="7"/>
    </row>
    <row r="4604" spans="7:17" ht="21.75" customHeight="1">
      <c r="G4604" t="s">
        <v>3653</v>
      </c>
      <c r="P4604" s="7"/>
      <c r="Q4604" s="7"/>
    </row>
    <row r="4605" spans="7:17" ht="21.75" customHeight="1">
      <c r="G4605" t="s">
        <v>3653</v>
      </c>
      <c r="P4605" s="7"/>
      <c r="Q4605" s="7"/>
    </row>
    <row r="4606" spans="7:17" ht="21.75" customHeight="1">
      <c r="G4606" t="s">
        <v>3653</v>
      </c>
      <c r="P4606" s="7"/>
      <c r="Q4606" s="7"/>
    </row>
    <row r="4607" spans="7:17" ht="21.75" customHeight="1">
      <c r="G4607" t="s">
        <v>3653</v>
      </c>
      <c r="P4607" s="7"/>
      <c r="Q4607" s="7"/>
    </row>
    <row r="4608" spans="7:17" ht="21.75" customHeight="1">
      <c r="G4608" t="s">
        <v>3653</v>
      </c>
      <c r="P4608" s="7"/>
      <c r="Q4608" s="7"/>
    </row>
    <row r="4609" spans="7:17" ht="21.75" customHeight="1">
      <c r="G4609" t="s">
        <v>3653</v>
      </c>
      <c r="P4609" s="7"/>
      <c r="Q4609" s="7"/>
    </row>
    <row r="4610" spans="7:17" ht="21.75" customHeight="1">
      <c r="G4610" t="s">
        <v>3653</v>
      </c>
      <c r="P4610" s="7"/>
      <c r="Q4610" s="7"/>
    </row>
    <row r="4611" spans="7:17" ht="21.75" customHeight="1">
      <c r="G4611" t="s">
        <v>3653</v>
      </c>
      <c r="P4611" s="7"/>
      <c r="Q4611" s="7"/>
    </row>
    <row r="4612" spans="7:17" ht="21.75" customHeight="1">
      <c r="G4612" t="s">
        <v>3653</v>
      </c>
      <c r="P4612" s="7"/>
      <c r="Q4612" s="7"/>
    </row>
    <row r="4613" spans="7:17" ht="21.75" customHeight="1">
      <c r="G4613" t="s">
        <v>3653</v>
      </c>
      <c r="P4613" s="7"/>
      <c r="Q4613" s="7"/>
    </row>
    <row r="4614" spans="7:17" ht="21.75" customHeight="1">
      <c r="G4614" t="s">
        <v>3653</v>
      </c>
      <c r="P4614" s="7"/>
      <c r="Q4614" s="7"/>
    </row>
    <row r="4615" spans="7:17" ht="21.75" customHeight="1">
      <c r="G4615" t="s">
        <v>3653</v>
      </c>
      <c r="P4615" s="7"/>
      <c r="Q4615" s="7"/>
    </row>
    <row r="4616" spans="7:17" ht="21.75" customHeight="1">
      <c r="G4616" t="s">
        <v>3653</v>
      </c>
      <c r="P4616" s="7"/>
      <c r="Q4616" s="7"/>
    </row>
    <row r="4617" spans="7:17" ht="21.75" customHeight="1">
      <c r="G4617" t="s">
        <v>3653</v>
      </c>
      <c r="P4617" s="7"/>
      <c r="Q4617" s="7"/>
    </row>
    <row r="4618" spans="7:17" ht="21.75" customHeight="1">
      <c r="G4618" t="s">
        <v>3653</v>
      </c>
      <c r="P4618" s="7"/>
      <c r="Q4618" s="7"/>
    </row>
    <row r="4619" spans="7:17" ht="21.75" customHeight="1">
      <c r="G4619" t="s">
        <v>3653</v>
      </c>
      <c r="P4619" s="7"/>
      <c r="Q4619" s="7"/>
    </row>
    <row r="4620" spans="7:17" ht="21.75" customHeight="1">
      <c r="G4620" t="s">
        <v>3653</v>
      </c>
      <c r="P4620" s="7"/>
      <c r="Q4620" s="7"/>
    </row>
    <row r="4621" spans="7:17" ht="21.75" customHeight="1">
      <c r="G4621" t="s">
        <v>3653</v>
      </c>
      <c r="P4621" s="7"/>
      <c r="Q4621" s="7"/>
    </row>
    <row r="4622" spans="7:17" ht="21.75" customHeight="1">
      <c r="G4622" t="s">
        <v>3653</v>
      </c>
      <c r="P4622" s="7"/>
      <c r="Q4622" s="7"/>
    </row>
    <row r="4623" spans="7:17" ht="21.75" customHeight="1">
      <c r="G4623" t="s">
        <v>3653</v>
      </c>
      <c r="P4623" s="7"/>
      <c r="Q4623" s="7"/>
    </row>
    <row r="4624" spans="7:17" ht="21.75" customHeight="1">
      <c r="G4624" t="s">
        <v>3653</v>
      </c>
      <c r="P4624" s="7"/>
      <c r="Q4624" s="7"/>
    </row>
    <row r="4625" spans="7:17" ht="21.75" customHeight="1">
      <c r="G4625" t="s">
        <v>3653</v>
      </c>
      <c r="P4625" s="7"/>
      <c r="Q4625" s="7"/>
    </row>
    <row r="4626" spans="7:17" ht="21.75" customHeight="1">
      <c r="G4626" t="s">
        <v>3653</v>
      </c>
      <c r="P4626" s="7"/>
      <c r="Q4626" s="7"/>
    </row>
    <row r="4627" spans="7:17" ht="21.75" customHeight="1">
      <c r="G4627" t="s">
        <v>3653</v>
      </c>
      <c r="P4627" s="7"/>
      <c r="Q4627" s="7"/>
    </row>
    <row r="4628" spans="7:17" ht="21.75" customHeight="1">
      <c r="G4628" t="s">
        <v>3653</v>
      </c>
      <c r="P4628" s="7"/>
      <c r="Q4628" s="7"/>
    </row>
    <row r="4629" spans="7:17" ht="21.75" customHeight="1">
      <c r="G4629" t="s">
        <v>3653</v>
      </c>
      <c r="P4629" s="7"/>
      <c r="Q4629" s="7"/>
    </row>
    <row r="4630" spans="7:17" ht="21.75" customHeight="1">
      <c r="G4630" t="s">
        <v>3653</v>
      </c>
      <c r="P4630" s="7"/>
      <c r="Q4630" s="7"/>
    </row>
    <row r="4631" spans="7:17" ht="21.75" customHeight="1">
      <c r="G4631" t="s">
        <v>3653</v>
      </c>
      <c r="P4631" s="7"/>
      <c r="Q4631" s="7"/>
    </row>
    <row r="4632" spans="7:17" ht="21.75" customHeight="1">
      <c r="G4632" t="s">
        <v>3653</v>
      </c>
      <c r="P4632" s="7"/>
      <c r="Q4632" s="7"/>
    </row>
    <row r="4633" spans="7:17" ht="21.75" customHeight="1">
      <c r="G4633" t="s">
        <v>3653</v>
      </c>
      <c r="P4633" s="7"/>
      <c r="Q4633" s="7"/>
    </row>
    <row r="4634" spans="7:17" ht="21.75" customHeight="1">
      <c r="G4634" t="s">
        <v>3653</v>
      </c>
      <c r="P4634" s="7"/>
      <c r="Q4634" s="7"/>
    </row>
    <row r="4635" spans="7:17" ht="21.75" customHeight="1">
      <c r="G4635" t="s">
        <v>3653</v>
      </c>
      <c r="P4635" s="7"/>
      <c r="Q4635" s="7"/>
    </row>
    <row r="4636" spans="7:17" ht="21.75" customHeight="1">
      <c r="G4636" t="s">
        <v>3653</v>
      </c>
      <c r="P4636" s="7"/>
      <c r="Q4636" s="7"/>
    </row>
    <row r="4637" spans="7:17" ht="21.75" customHeight="1">
      <c r="G4637" t="s">
        <v>3653</v>
      </c>
      <c r="P4637" s="7"/>
      <c r="Q4637" s="7"/>
    </row>
    <row r="4638" spans="7:17" ht="21.75" customHeight="1">
      <c r="G4638" t="s">
        <v>3653</v>
      </c>
      <c r="P4638" s="7"/>
      <c r="Q4638" s="7"/>
    </row>
    <row r="4639" spans="7:17" ht="21.75" customHeight="1">
      <c r="G4639" t="s">
        <v>3653</v>
      </c>
      <c r="P4639" s="7"/>
      <c r="Q4639" s="7"/>
    </row>
    <row r="4640" spans="7:17" ht="21.75" customHeight="1">
      <c r="G4640" t="s">
        <v>3653</v>
      </c>
      <c r="P4640" s="7"/>
      <c r="Q4640" s="7"/>
    </row>
    <row r="4641" spans="7:17" ht="21.75" customHeight="1">
      <c r="G4641" t="s">
        <v>3653</v>
      </c>
      <c r="P4641" s="7"/>
      <c r="Q4641" s="7"/>
    </row>
    <row r="4642" spans="7:17" ht="21.75" customHeight="1">
      <c r="G4642" t="s">
        <v>3653</v>
      </c>
      <c r="P4642" s="7"/>
      <c r="Q4642" s="7"/>
    </row>
    <row r="4643" spans="7:17" ht="21.75" customHeight="1">
      <c r="G4643" t="s">
        <v>3653</v>
      </c>
      <c r="P4643" s="7"/>
      <c r="Q4643" s="7"/>
    </row>
    <row r="4644" spans="7:17" ht="21.75" customHeight="1">
      <c r="G4644" t="s">
        <v>3653</v>
      </c>
      <c r="P4644" s="7"/>
      <c r="Q4644" s="7"/>
    </row>
    <row r="4645" spans="7:17" ht="21.75" customHeight="1">
      <c r="G4645" t="s">
        <v>3653</v>
      </c>
      <c r="P4645" s="7"/>
      <c r="Q4645" s="7"/>
    </row>
    <row r="4646" spans="7:17" ht="21.75" customHeight="1">
      <c r="G4646" t="s">
        <v>3653</v>
      </c>
      <c r="P4646" s="7"/>
      <c r="Q4646" s="7"/>
    </row>
    <row r="4647" spans="7:17" ht="21.75" customHeight="1">
      <c r="G4647" t="s">
        <v>3653</v>
      </c>
      <c r="P4647" s="7"/>
      <c r="Q4647" s="7"/>
    </row>
    <row r="4648" spans="7:17" ht="21.75" customHeight="1">
      <c r="G4648" t="s">
        <v>3653</v>
      </c>
      <c r="P4648" s="7"/>
      <c r="Q4648" s="7"/>
    </row>
    <row r="4649" spans="7:17" ht="21.75" customHeight="1">
      <c r="G4649" t="s">
        <v>3653</v>
      </c>
      <c r="P4649" s="7"/>
      <c r="Q4649" s="7"/>
    </row>
    <row r="4650" spans="7:17" ht="21.75" customHeight="1">
      <c r="G4650" t="s">
        <v>3653</v>
      </c>
      <c r="P4650" s="7"/>
      <c r="Q4650" s="7"/>
    </row>
    <row r="4651" spans="7:17" ht="21.75" customHeight="1">
      <c r="G4651" t="s">
        <v>3653</v>
      </c>
      <c r="P4651" s="7"/>
      <c r="Q4651" s="7"/>
    </row>
    <row r="4652" spans="7:17" ht="21.75" customHeight="1">
      <c r="G4652" t="s">
        <v>3653</v>
      </c>
      <c r="P4652" s="7"/>
      <c r="Q4652" s="7"/>
    </row>
    <row r="4653" spans="7:17" ht="21.75" customHeight="1">
      <c r="G4653" t="s">
        <v>3653</v>
      </c>
      <c r="P4653" s="7"/>
      <c r="Q4653" s="7"/>
    </row>
    <row r="4654" spans="7:17" ht="21.75" customHeight="1">
      <c r="G4654" t="s">
        <v>3653</v>
      </c>
      <c r="P4654" s="7"/>
      <c r="Q4654" s="7"/>
    </row>
    <row r="4655" spans="7:17" ht="21.75" customHeight="1">
      <c r="G4655" t="s">
        <v>3653</v>
      </c>
      <c r="P4655" s="7"/>
      <c r="Q4655" s="7"/>
    </row>
    <row r="4656" spans="7:17" ht="21.75" customHeight="1">
      <c r="G4656" t="s">
        <v>3653</v>
      </c>
      <c r="P4656" s="7"/>
      <c r="Q4656" s="7"/>
    </row>
    <row r="4657" spans="7:17" ht="21.75" customHeight="1">
      <c r="G4657" t="s">
        <v>3653</v>
      </c>
      <c r="P4657" s="7"/>
      <c r="Q4657" s="7"/>
    </row>
    <row r="4658" spans="7:17" ht="21.75" customHeight="1">
      <c r="G4658" t="s">
        <v>3653</v>
      </c>
      <c r="P4658" s="7"/>
      <c r="Q4658" s="7"/>
    </row>
    <row r="4659" spans="7:17" ht="21.75" customHeight="1">
      <c r="G4659" t="s">
        <v>3653</v>
      </c>
      <c r="P4659" s="7"/>
      <c r="Q4659" s="7"/>
    </row>
    <row r="4660" spans="7:17" ht="21.75" customHeight="1">
      <c r="G4660" t="s">
        <v>3653</v>
      </c>
      <c r="P4660" s="7"/>
      <c r="Q4660" s="7"/>
    </row>
    <row r="4661" spans="7:17" ht="21.75" customHeight="1">
      <c r="G4661" t="s">
        <v>3653</v>
      </c>
      <c r="P4661" s="7"/>
      <c r="Q4661" s="7"/>
    </row>
    <row r="4662" spans="7:17" ht="21.75" customHeight="1">
      <c r="G4662" t="s">
        <v>3653</v>
      </c>
      <c r="P4662" s="7"/>
      <c r="Q4662" s="7"/>
    </row>
    <row r="4663" spans="7:17" ht="21.75" customHeight="1">
      <c r="G4663" t="s">
        <v>3653</v>
      </c>
      <c r="P4663" s="7"/>
      <c r="Q4663" s="7"/>
    </row>
    <row r="4664" spans="7:17" ht="21.75" customHeight="1">
      <c r="G4664" t="s">
        <v>3653</v>
      </c>
      <c r="P4664" s="7"/>
      <c r="Q4664" s="7"/>
    </row>
    <row r="4665" spans="7:17" ht="21.75" customHeight="1">
      <c r="G4665" t="s">
        <v>3653</v>
      </c>
      <c r="P4665" s="7"/>
      <c r="Q4665" s="7"/>
    </row>
    <row r="4666" spans="7:17" ht="21.75" customHeight="1">
      <c r="G4666" t="s">
        <v>3653</v>
      </c>
      <c r="P4666" s="7"/>
      <c r="Q4666" s="7"/>
    </row>
    <row r="4667" spans="7:17" ht="21.75" customHeight="1">
      <c r="G4667" t="s">
        <v>3653</v>
      </c>
      <c r="P4667" s="7"/>
      <c r="Q4667" s="7"/>
    </row>
    <row r="4668" spans="7:17" ht="21.75" customHeight="1">
      <c r="G4668" t="s">
        <v>3653</v>
      </c>
      <c r="P4668" s="7"/>
      <c r="Q4668" s="7"/>
    </row>
    <row r="4669" spans="7:17" ht="21.75" customHeight="1">
      <c r="G4669" t="s">
        <v>3653</v>
      </c>
      <c r="P4669" s="7"/>
      <c r="Q4669" s="7"/>
    </row>
    <row r="4670" spans="7:17" ht="21.75" customHeight="1">
      <c r="G4670" t="s">
        <v>3653</v>
      </c>
      <c r="P4670" s="7"/>
      <c r="Q4670" s="7"/>
    </row>
    <row r="4671" spans="7:17" ht="21.75" customHeight="1">
      <c r="G4671" t="s">
        <v>3653</v>
      </c>
      <c r="P4671" s="7"/>
      <c r="Q4671" s="7"/>
    </row>
    <row r="4672" spans="7:17" ht="21.75" customHeight="1">
      <c r="G4672" t="s">
        <v>3653</v>
      </c>
      <c r="P4672" s="7"/>
      <c r="Q4672" s="7"/>
    </row>
    <row r="4673" spans="7:17" ht="21.75" customHeight="1">
      <c r="G4673" t="s">
        <v>3653</v>
      </c>
      <c r="P4673" s="7"/>
      <c r="Q4673" s="7"/>
    </row>
    <row r="4674" spans="7:17" ht="21.75" customHeight="1">
      <c r="G4674" t="s">
        <v>3653</v>
      </c>
      <c r="P4674" s="7"/>
      <c r="Q4674" s="7"/>
    </row>
    <row r="4675" spans="7:17" ht="21.75" customHeight="1">
      <c r="G4675" t="s">
        <v>3653</v>
      </c>
      <c r="P4675" s="7"/>
      <c r="Q4675" s="7"/>
    </row>
    <row r="4676" spans="7:17" ht="21.75" customHeight="1">
      <c r="G4676" t="s">
        <v>3653</v>
      </c>
      <c r="P4676" s="7"/>
      <c r="Q4676" s="7"/>
    </row>
    <row r="4677" spans="7:17" ht="21.75" customHeight="1">
      <c r="G4677" t="s">
        <v>3653</v>
      </c>
      <c r="P4677" s="7"/>
      <c r="Q4677" s="7"/>
    </row>
    <row r="4678" spans="7:17" ht="21.75" customHeight="1">
      <c r="G4678" t="s">
        <v>3653</v>
      </c>
      <c r="P4678" s="7"/>
      <c r="Q4678" s="7"/>
    </row>
    <row r="4679" spans="7:17" ht="21.75" customHeight="1">
      <c r="G4679" t="s">
        <v>3653</v>
      </c>
      <c r="P4679" s="7"/>
      <c r="Q4679" s="7"/>
    </row>
    <row r="4680" spans="7:17" ht="21.75" customHeight="1">
      <c r="G4680" t="s">
        <v>3653</v>
      </c>
      <c r="P4680" s="7"/>
      <c r="Q4680" s="7"/>
    </row>
    <row r="4681" spans="7:17" ht="21.75" customHeight="1">
      <c r="G4681" t="s">
        <v>3653</v>
      </c>
      <c r="P4681" s="7"/>
      <c r="Q4681" s="7"/>
    </row>
    <row r="4682" spans="7:17" ht="21.75" customHeight="1">
      <c r="G4682" t="s">
        <v>3653</v>
      </c>
      <c r="P4682" s="7"/>
      <c r="Q4682" s="7"/>
    </row>
    <row r="4683" spans="7:17" ht="21.75" customHeight="1">
      <c r="G4683" t="s">
        <v>3653</v>
      </c>
      <c r="P4683" s="7"/>
      <c r="Q4683" s="7"/>
    </row>
    <row r="4684" spans="7:17" ht="21.75" customHeight="1">
      <c r="G4684" t="s">
        <v>3653</v>
      </c>
      <c r="P4684" s="7"/>
      <c r="Q4684" s="7"/>
    </row>
    <row r="4685" spans="7:17" ht="21.75" customHeight="1">
      <c r="G4685" t="s">
        <v>3653</v>
      </c>
      <c r="P4685" s="7"/>
      <c r="Q4685" s="7"/>
    </row>
    <row r="4686" spans="7:17" ht="21.75" customHeight="1">
      <c r="G4686" t="s">
        <v>3653</v>
      </c>
      <c r="P4686" s="7"/>
      <c r="Q4686" s="7"/>
    </row>
    <row r="4687" spans="7:17" ht="21.75" customHeight="1">
      <c r="G4687" t="s">
        <v>3653</v>
      </c>
      <c r="P4687" s="7"/>
      <c r="Q4687" s="7"/>
    </row>
    <row r="4688" spans="7:17" ht="21.75" customHeight="1">
      <c r="G4688" t="s">
        <v>3653</v>
      </c>
      <c r="P4688" s="7"/>
      <c r="Q4688" s="7"/>
    </row>
    <row r="4689" spans="7:17" ht="21.75" customHeight="1">
      <c r="G4689" t="s">
        <v>3653</v>
      </c>
      <c r="P4689" s="7"/>
      <c r="Q4689" s="7"/>
    </row>
    <row r="4690" spans="7:17" ht="21.75" customHeight="1">
      <c r="G4690" t="s">
        <v>3653</v>
      </c>
      <c r="P4690" s="7"/>
      <c r="Q4690" s="7"/>
    </row>
    <row r="4691" spans="7:17" ht="21.75" customHeight="1">
      <c r="G4691" t="s">
        <v>3653</v>
      </c>
      <c r="P4691" s="7"/>
      <c r="Q4691" s="7"/>
    </row>
    <row r="4692" spans="7:17" ht="21.75" customHeight="1">
      <c r="G4692" t="s">
        <v>3653</v>
      </c>
      <c r="P4692" s="7"/>
      <c r="Q4692" s="7"/>
    </row>
    <row r="4693" spans="7:17" ht="21.75" customHeight="1">
      <c r="G4693" t="s">
        <v>3653</v>
      </c>
      <c r="P4693" s="7"/>
      <c r="Q4693" s="7"/>
    </row>
    <row r="4694" spans="7:17" ht="21.75" customHeight="1">
      <c r="G4694" t="s">
        <v>3653</v>
      </c>
      <c r="P4694" s="7"/>
      <c r="Q4694" s="7"/>
    </row>
    <row r="4695" spans="7:17" ht="21.75" customHeight="1">
      <c r="G4695" t="s">
        <v>3653</v>
      </c>
      <c r="P4695" s="7"/>
      <c r="Q4695" s="7"/>
    </row>
    <row r="4696" spans="7:17" ht="21.75" customHeight="1">
      <c r="G4696" t="s">
        <v>3653</v>
      </c>
      <c r="P4696" s="7"/>
      <c r="Q4696" s="7"/>
    </row>
    <row r="4697" spans="7:17" ht="21.75" customHeight="1">
      <c r="G4697" t="s">
        <v>3653</v>
      </c>
      <c r="P4697" s="7"/>
      <c r="Q4697" s="7"/>
    </row>
    <row r="4698" spans="7:17" ht="21.75" customHeight="1">
      <c r="G4698" t="s">
        <v>3653</v>
      </c>
      <c r="P4698" s="7"/>
      <c r="Q4698" s="7"/>
    </row>
    <row r="4699" spans="7:17" ht="21.75" customHeight="1">
      <c r="G4699" t="s">
        <v>3653</v>
      </c>
      <c r="P4699" s="7"/>
      <c r="Q4699" s="7"/>
    </row>
    <row r="4700" spans="7:17" ht="21.75" customHeight="1">
      <c r="G4700" t="s">
        <v>3653</v>
      </c>
      <c r="P4700" s="7"/>
      <c r="Q4700" s="7"/>
    </row>
    <row r="4701" spans="7:17" ht="21.75" customHeight="1">
      <c r="G4701" t="s">
        <v>3653</v>
      </c>
      <c r="P4701" s="7"/>
      <c r="Q4701" s="7"/>
    </row>
    <row r="4702" spans="7:17" ht="21.75" customHeight="1">
      <c r="G4702" t="s">
        <v>3653</v>
      </c>
      <c r="P4702" s="7"/>
      <c r="Q4702" s="7"/>
    </row>
    <row r="4703" spans="7:17" ht="21.75" customHeight="1">
      <c r="G4703" t="s">
        <v>3653</v>
      </c>
      <c r="P4703" s="7"/>
      <c r="Q4703" s="7"/>
    </row>
    <row r="4704" spans="7:17" ht="21.75" customHeight="1">
      <c r="G4704" t="s">
        <v>3653</v>
      </c>
      <c r="P4704" s="7"/>
      <c r="Q4704" s="7"/>
    </row>
    <row r="4705" spans="7:17" ht="21.75" customHeight="1">
      <c r="G4705" t="s">
        <v>3653</v>
      </c>
      <c r="P4705" s="7"/>
      <c r="Q4705" s="7"/>
    </row>
    <row r="4706" spans="7:17" ht="21.75" customHeight="1">
      <c r="G4706" t="s">
        <v>3653</v>
      </c>
      <c r="P4706" s="7"/>
      <c r="Q4706" s="7"/>
    </row>
    <row r="4707" spans="7:17" ht="21.75" customHeight="1">
      <c r="G4707" t="s">
        <v>3653</v>
      </c>
      <c r="P4707" s="7"/>
      <c r="Q4707" s="7"/>
    </row>
    <row r="4708" spans="7:17" ht="21.75" customHeight="1">
      <c r="G4708" t="s">
        <v>3653</v>
      </c>
      <c r="P4708" s="7"/>
      <c r="Q4708" s="7"/>
    </row>
    <row r="4709" spans="7:17" ht="21.75" customHeight="1">
      <c r="G4709" t="s">
        <v>3653</v>
      </c>
      <c r="P4709" s="7"/>
      <c r="Q4709" s="7"/>
    </row>
    <row r="4710" spans="7:17" ht="21.75" customHeight="1">
      <c r="G4710" t="s">
        <v>3653</v>
      </c>
      <c r="P4710" s="7"/>
      <c r="Q4710" s="7"/>
    </row>
    <row r="4711" spans="7:17" ht="21.75" customHeight="1">
      <c r="G4711" t="s">
        <v>3653</v>
      </c>
      <c r="P4711" s="7"/>
      <c r="Q4711" s="7"/>
    </row>
    <row r="4712" spans="7:17" ht="21.75" customHeight="1">
      <c r="G4712" t="s">
        <v>3653</v>
      </c>
      <c r="P4712" s="7"/>
      <c r="Q4712" s="7"/>
    </row>
    <row r="4713" spans="7:17" ht="21.75" customHeight="1">
      <c r="G4713" t="s">
        <v>3653</v>
      </c>
      <c r="P4713" s="7"/>
      <c r="Q4713" s="7"/>
    </row>
    <row r="4714" spans="7:17" ht="21.75" customHeight="1">
      <c r="G4714" t="s">
        <v>3653</v>
      </c>
      <c r="P4714" s="7"/>
      <c r="Q4714" s="7"/>
    </row>
    <row r="4715" spans="7:17" ht="21.75" customHeight="1">
      <c r="G4715" t="s">
        <v>3653</v>
      </c>
      <c r="P4715" s="7"/>
      <c r="Q4715" s="7"/>
    </row>
    <row r="4716" spans="7:17" ht="21.75" customHeight="1">
      <c r="G4716" t="s">
        <v>3653</v>
      </c>
      <c r="P4716" s="7"/>
      <c r="Q4716" s="7"/>
    </row>
    <row r="4717" spans="7:17" ht="21.75" customHeight="1">
      <c r="G4717" t="s">
        <v>3653</v>
      </c>
      <c r="P4717" s="7"/>
      <c r="Q4717" s="7"/>
    </row>
    <row r="4718" spans="7:17" ht="21.75" customHeight="1">
      <c r="G4718" t="s">
        <v>3653</v>
      </c>
      <c r="P4718" s="7"/>
      <c r="Q4718" s="7"/>
    </row>
    <row r="4719" spans="7:17" ht="21.75" customHeight="1">
      <c r="G4719" t="s">
        <v>3653</v>
      </c>
      <c r="P4719" s="7"/>
      <c r="Q4719" s="7"/>
    </row>
    <row r="4720" spans="7:17" ht="21.75" customHeight="1">
      <c r="G4720" t="s">
        <v>3653</v>
      </c>
      <c r="P4720" s="7"/>
      <c r="Q4720" s="7"/>
    </row>
    <row r="4721" spans="7:17" ht="21.75" customHeight="1">
      <c r="G4721" t="s">
        <v>3653</v>
      </c>
      <c r="P4721" s="7"/>
      <c r="Q4721" s="7"/>
    </row>
    <row r="4722" spans="7:17" ht="21.75" customHeight="1">
      <c r="G4722" t="s">
        <v>3653</v>
      </c>
      <c r="P4722" s="7"/>
      <c r="Q4722" s="7"/>
    </row>
    <row r="4723" spans="7:17" ht="21.75" customHeight="1">
      <c r="G4723" t="s">
        <v>3653</v>
      </c>
      <c r="P4723" s="7"/>
      <c r="Q4723" s="7"/>
    </row>
    <row r="4724" spans="7:17" ht="21.75" customHeight="1">
      <c r="G4724" t="s">
        <v>3653</v>
      </c>
      <c r="P4724" s="7"/>
      <c r="Q4724" s="7"/>
    </row>
    <row r="4725" spans="7:17" ht="21.75" customHeight="1">
      <c r="G4725" t="s">
        <v>3653</v>
      </c>
      <c r="P4725" s="7"/>
      <c r="Q4725" s="7"/>
    </row>
    <row r="4726" spans="7:17" ht="21.75" customHeight="1">
      <c r="G4726" t="s">
        <v>3653</v>
      </c>
      <c r="P4726" s="7"/>
      <c r="Q4726" s="7"/>
    </row>
    <row r="4727" spans="7:17" ht="21.75" customHeight="1">
      <c r="G4727" t="s">
        <v>3653</v>
      </c>
      <c r="P4727" s="7"/>
      <c r="Q4727" s="7"/>
    </row>
    <row r="4728" spans="7:17" ht="21.75" customHeight="1">
      <c r="G4728" t="s">
        <v>3653</v>
      </c>
      <c r="P4728" s="7"/>
      <c r="Q4728" s="7"/>
    </row>
    <row r="4729" spans="7:17" ht="21.75" customHeight="1">
      <c r="G4729" t="s">
        <v>3653</v>
      </c>
      <c r="P4729" s="7"/>
      <c r="Q4729" s="7"/>
    </row>
    <row r="4730" spans="7:17" ht="21.75" customHeight="1">
      <c r="G4730" t="s">
        <v>3653</v>
      </c>
      <c r="P4730" s="7"/>
      <c r="Q4730" s="7"/>
    </row>
    <row r="4731" spans="7:17" ht="21.75" customHeight="1">
      <c r="G4731" t="s">
        <v>3653</v>
      </c>
      <c r="P4731" s="7"/>
      <c r="Q4731" s="7"/>
    </row>
    <row r="4732" spans="7:17" ht="21.75" customHeight="1">
      <c r="G4732" t="s">
        <v>3653</v>
      </c>
      <c r="P4732" s="7"/>
      <c r="Q4732" s="7"/>
    </row>
    <row r="4733" spans="7:17" ht="21.75" customHeight="1">
      <c r="G4733" t="s">
        <v>3653</v>
      </c>
      <c r="P4733" s="7"/>
      <c r="Q4733" s="7"/>
    </row>
    <row r="4734" spans="7:17" ht="21.75" customHeight="1">
      <c r="G4734" t="s">
        <v>3653</v>
      </c>
      <c r="P4734" s="7"/>
      <c r="Q4734" s="7"/>
    </row>
    <row r="4735" spans="7:17" ht="21.75" customHeight="1">
      <c r="G4735" t="s">
        <v>3653</v>
      </c>
      <c r="P4735" s="7"/>
      <c r="Q4735" s="7"/>
    </row>
    <row r="4736" spans="7:17" ht="21.75" customHeight="1">
      <c r="G4736" t="s">
        <v>3653</v>
      </c>
      <c r="P4736" s="7"/>
      <c r="Q4736" s="7"/>
    </row>
    <row r="4737" spans="7:17" ht="21.75" customHeight="1">
      <c r="G4737" t="s">
        <v>3653</v>
      </c>
      <c r="P4737" s="7"/>
      <c r="Q4737" s="7"/>
    </row>
    <row r="4738" spans="7:17" ht="21.75" customHeight="1">
      <c r="G4738" t="s">
        <v>3653</v>
      </c>
      <c r="P4738" s="7"/>
      <c r="Q4738" s="7"/>
    </row>
    <row r="4739" spans="7:17" ht="21.75" customHeight="1">
      <c r="G4739" t="s">
        <v>3653</v>
      </c>
      <c r="P4739" s="7"/>
      <c r="Q4739" s="7"/>
    </row>
    <row r="4740" spans="7:17" ht="21.75" customHeight="1">
      <c r="G4740" t="s">
        <v>3653</v>
      </c>
      <c r="P4740" s="7"/>
      <c r="Q4740" s="7"/>
    </row>
    <row r="4741" spans="7:17" ht="21.75" customHeight="1">
      <c r="G4741" t="s">
        <v>3653</v>
      </c>
      <c r="P4741" s="7"/>
      <c r="Q4741" s="7"/>
    </row>
    <row r="4742" spans="7:17" ht="21.75" customHeight="1">
      <c r="G4742" t="s">
        <v>3653</v>
      </c>
      <c r="P4742" s="7"/>
      <c r="Q4742" s="7"/>
    </row>
    <row r="4743" spans="7:17" ht="21.75" customHeight="1">
      <c r="G4743" t="s">
        <v>3653</v>
      </c>
      <c r="P4743" s="7"/>
      <c r="Q4743" s="7"/>
    </row>
    <row r="4744" spans="7:17" ht="21.75" customHeight="1">
      <c r="G4744" t="s">
        <v>3653</v>
      </c>
      <c r="P4744" s="7"/>
      <c r="Q4744" s="7"/>
    </row>
    <row r="4745" spans="7:17" ht="21.75" customHeight="1">
      <c r="G4745" t="s">
        <v>3653</v>
      </c>
      <c r="P4745" s="7"/>
      <c r="Q4745" s="7"/>
    </row>
    <row r="4746" spans="7:17" ht="21.75" customHeight="1">
      <c r="G4746" t="s">
        <v>3653</v>
      </c>
      <c r="P4746" s="7"/>
      <c r="Q4746" s="7"/>
    </row>
    <row r="4747" spans="7:17" ht="21.75" customHeight="1">
      <c r="G4747" t="s">
        <v>3653</v>
      </c>
      <c r="P4747" s="7"/>
      <c r="Q4747" s="7"/>
    </row>
    <row r="4748" spans="7:17" ht="21.75" customHeight="1">
      <c r="G4748" t="s">
        <v>3653</v>
      </c>
      <c r="P4748" s="7"/>
      <c r="Q4748" s="7"/>
    </row>
    <row r="4749" spans="7:17" ht="21.75" customHeight="1">
      <c r="G4749" t="s">
        <v>3653</v>
      </c>
      <c r="P4749" s="7"/>
      <c r="Q4749" s="7"/>
    </row>
    <row r="4750" spans="7:17" ht="21.75" customHeight="1">
      <c r="G4750" t="s">
        <v>3653</v>
      </c>
      <c r="P4750" s="7"/>
      <c r="Q4750" s="7"/>
    </row>
    <row r="4751" spans="7:17" ht="21.75" customHeight="1">
      <c r="G4751" t="s">
        <v>3653</v>
      </c>
      <c r="P4751" s="7"/>
      <c r="Q4751" s="7"/>
    </row>
    <row r="4752" spans="7:17" ht="21.75" customHeight="1">
      <c r="G4752" t="s">
        <v>3653</v>
      </c>
      <c r="P4752" s="7"/>
      <c r="Q4752" s="7"/>
    </row>
    <row r="4753" spans="7:17" ht="21.75" customHeight="1">
      <c r="G4753" t="s">
        <v>3653</v>
      </c>
      <c r="P4753" s="7"/>
      <c r="Q4753" s="7"/>
    </row>
    <row r="4754" spans="7:17" ht="21.75" customHeight="1">
      <c r="G4754" t="s">
        <v>3653</v>
      </c>
      <c r="P4754" s="7"/>
      <c r="Q4754" s="7"/>
    </row>
    <row r="4755" spans="7:17" ht="21.75" customHeight="1">
      <c r="G4755" t="s">
        <v>3653</v>
      </c>
      <c r="P4755" s="7"/>
      <c r="Q4755" s="7"/>
    </row>
    <row r="4756" spans="7:17" ht="21.75" customHeight="1">
      <c r="G4756" t="s">
        <v>3653</v>
      </c>
      <c r="P4756" s="7"/>
      <c r="Q4756" s="7"/>
    </row>
    <row r="4757" spans="7:17" ht="21.75" customHeight="1">
      <c r="G4757" t="s">
        <v>3653</v>
      </c>
      <c r="P4757" s="7"/>
      <c r="Q4757" s="7"/>
    </row>
    <row r="4758" spans="7:17" ht="21.75" customHeight="1">
      <c r="G4758" t="s">
        <v>3653</v>
      </c>
      <c r="P4758" s="7"/>
      <c r="Q4758" s="7"/>
    </row>
    <row r="4759" spans="7:17" ht="21.75" customHeight="1">
      <c r="G4759" t="s">
        <v>3653</v>
      </c>
      <c r="P4759" s="7"/>
      <c r="Q4759" s="7"/>
    </row>
    <row r="4760" spans="7:17" ht="21.75" customHeight="1">
      <c r="G4760" t="s">
        <v>3653</v>
      </c>
      <c r="P4760" s="7"/>
      <c r="Q4760" s="7"/>
    </row>
    <row r="4761" spans="7:17" ht="21.75" customHeight="1">
      <c r="G4761" t="s">
        <v>3653</v>
      </c>
      <c r="P4761" s="7"/>
      <c r="Q4761" s="7"/>
    </row>
    <row r="4762" spans="7:17" ht="21.75" customHeight="1">
      <c r="G4762" t="s">
        <v>3653</v>
      </c>
      <c r="P4762" s="7"/>
      <c r="Q4762" s="7"/>
    </row>
    <row r="4763" spans="7:17" ht="21.75" customHeight="1">
      <c r="G4763" t="s">
        <v>3653</v>
      </c>
      <c r="P4763" s="7"/>
      <c r="Q4763" s="7"/>
    </row>
    <row r="4764" spans="7:17" ht="21.75" customHeight="1">
      <c r="G4764" t="s">
        <v>3653</v>
      </c>
      <c r="P4764" s="7"/>
      <c r="Q4764" s="7"/>
    </row>
    <row r="4765" spans="7:17" ht="21.75" customHeight="1">
      <c r="G4765" t="s">
        <v>3653</v>
      </c>
      <c r="P4765" s="7"/>
      <c r="Q4765" s="7"/>
    </row>
    <row r="4766" spans="7:17" ht="21.75" customHeight="1">
      <c r="G4766" t="s">
        <v>3653</v>
      </c>
      <c r="P4766" s="7"/>
      <c r="Q4766" s="7"/>
    </row>
    <row r="4767" spans="7:17" ht="21.75" customHeight="1">
      <c r="G4767" t="s">
        <v>3653</v>
      </c>
      <c r="P4767" s="7"/>
      <c r="Q4767" s="7"/>
    </row>
    <row r="4768" spans="7:17" ht="21.75" customHeight="1">
      <c r="G4768" t="s">
        <v>3653</v>
      </c>
      <c r="P4768" s="7"/>
      <c r="Q4768" s="7"/>
    </row>
    <row r="4769" spans="7:17" ht="21.75" customHeight="1">
      <c r="G4769" t="s">
        <v>3653</v>
      </c>
      <c r="P4769" s="7"/>
      <c r="Q4769" s="7"/>
    </row>
    <row r="4770" spans="7:17" ht="21.75" customHeight="1">
      <c r="G4770" t="s">
        <v>3653</v>
      </c>
      <c r="P4770" s="7"/>
      <c r="Q4770" s="7"/>
    </row>
    <row r="4771" spans="7:17" ht="21.75" customHeight="1">
      <c r="G4771" t="s">
        <v>3653</v>
      </c>
      <c r="P4771" s="7"/>
      <c r="Q4771" s="7"/>
    </row>
    <row r="4772" spans="7:17" ht="21.75" customHeight="1">
      <c r="G4772" t="s">
        <v>3653</v>
      </c>
      <c r="P4772" s="7"/>
      <c r="Q4772" s="7"/>
    </row>
    <row r="4773" spans="7:17" ht="21.75" customHeight="1">
      <c r="G4773" t="s">
        <v>3653</v>
      </c>
      <c r="P4773" s="7"/>
      <c r="Q4773" s="7"/>
    </row>
    <row r="4774" spans="7:17" ht="21.75" customHeight="1">
      <c r="G4774" t="s">
        <v>3653</v>
      </c>
      <c r="P4774" s="7"/>
      <c r="Q4774" s="7"/>
    </row>
    <row r="4775" spans="7:17" ht="21.75" customHeight="1">
      <c r="G4775" t="s">
        <v>3653</v>
      </c>
      <c r="P4775" s="7"/>
      <c r="Q4775" s="7"/>
    </row>
    <row r="4776" spans="7:17" ht="21.75" customHeight="1">
      <c r="G4776" t="s">
        <v>3653</v>
      </c>
      <c r="P4776" s="7"/>
      <c r="Q4776" s="7"/>
    </row>
    <row r="4777" spans="7:17" ht="21.75" customHeight="1">
      <c r="G4777" t="s">
        <v>3653</v>
      </c>
      <c r="P4777" s="7"/>
      <c r="Q4777" s="7"/>
    </row>
    <row r="4778" spans="7:17" ht="21.75" customHeight="1">
      <c r="G4778" t="s">
        <v>3653</v>
      </c>
      <c r="P4778" s="7"/>
      <c r="Q4778" s="7"/>
    </row>
    <row r="4779" spans="7:17" ht="21.75" customHeight="1">
      <c r="G4779" t="s">
        <v>3653</v>
      </c>
      <c r="P4779" s="7"/>
      <c r="Q4779" s="7"/>
    </row>
    <row r="4780" spans="7:17" ht="21.75" customHeight="1">
      <c r="G4780" t="s">
        <v>3653</v>
      </c>
      <c r="P4780" s="7"/>
      <c r="Q4780" s="7"/>
    </row>
    <row r="4781" spans="7:17" ht="21.75" customHeight="1">
      <c r="G4781" t="s">
        <v>3653</v>
      </c>
      <c r="P4781" s="7"/>
      <c r="Q4781" s="7"/>
    </row>
    <row r="4782" spans="7:17" ht="21.75" customHeight="1">
      <c r="G4782" t="s">
        <v>3653</v>
      </c>
      <c r="P4782" s="7"/>
      <c r="Q4782" s="7"/>
    </row>
    <row r="4783" spans="7:17" ht="21.75" customHeight="1">
      <c r="G4783" t="s">
        <v>3653</v>
      </c>
      <c r="P4783" s="7"/>
      <c r="Q4783" s="7"/>
    </row>
    <row r="4784" spans="7:17" ht="21.75" customHeight="1">
      <c r="G4784" t="s">
        <v>3653</v>
      </c>
      <c r="P4784" s="7"/>
      <c r="Q4784" s="7"/>
    </row>
    <row r="4785" spans="7:17" ht="21.75" customHeight="1">
      <c r="G4785" t="s">
        <v>3653</v>
      </c>
      <c r="P4785" s="7"/>
      <c r="Q4785" s="7"/>
    </row>
    <row r="4786" spans="7:17" ht="21.75" customHeight="1">
      <c r="G4786" t="s">
        <v>3653</v>
      </c>
      <c r="P4786" s="7"/>
      <c r="Q4786" s="7"/>
    </row>
    <row r="4787" spans="7:17" ht="21.75" customHeight="1">
      <c r="G4787" t="s">
        <v>3653</v>
      </c>
      <c r="P4787" s="7"/>
      <c r="Q4787" s="7"/>
    </row>
    <row r="4788" spans="7:17" ht="21.75" customHeight="1">
      <c r="G4788" t="s">
        <v>3653</v>
      </c>
      <c r="P4788" s="7"/>
      <c r="Q4788" s="7"/>
    </row>
    <row r="4789" spans="7:17" ht="21.75" customHeight="1">
      <c r="G4789" t="s">
        <v>3653</v>
      </c>
      <c r="P4789" s="7"/>
      <c r="Q4789" s="7"/>
    </row>
    <row r="4790" spans="7:17" ht="21.75" customHeight="1">
      <c r="G4790" t="s">
        <v>3653</v>
      </c>
      <c r="P4790" s="7"/>
      <c r="Q4790" s="7"/>
    </row>
    <row r="4791" spans="7:17" ht="21.75" customHeight="1">
      <c r="G4791" t="s">
        <v>3653</v>
      </c>
      <c r="P4791" s="7"/>
      <c r="Q4791" s="7"/>
    </row>
    <row r="4792" spans="7:17" ht="21.75" customHeight="1">
      <c r="G4792" t="s">
        <v>3653</v>
      </c>
      <c r="P4792" s="7"/>
      <c r="Q4792" s="7"/>
    </row>
    <row r="4793" spans="7:17" ht="21.75" customHeight="1">
      <c r="G4793" t="s">
        <v>3653</v>
      </c>
      <c r="P4793" s="7"/>
      <c r="Q4793" s="7"/>
    </row>
    <row r="4794" spans="7:17" ht="21.75" customHeight="1">
      <c r="G4794" t="s">
        <v>3653</v>
      </c>
      <c r="P4794" s="7"/>
      <c r="Q4794" s="7"/>
    </row>
    <row r="4795" spans="7:17" ht="21.75" customHeight="1">
      <c r="G4795" t="s">
        <v>3653</v>
      </c>
      <c r="P4795" s="7"/>
      <c r="Q4795" s="7"/>
    </row>
    <row r="4796" spans="7:17" ht="21.75" customHeight="1">
      <c r="G4796" t="s">
        <v>3653</v>
      </c>
      <c r="P4796" s="7"/>
      <c r="Q4796" s="7"/>
    </row>
    <row r="4797" spans="7:17" ht="21.75" customHeight="1">
      <c r="G4797" t="s">
        <v>3653</v>
      </c>
      <c r="P4797" s="7"/>
      <c r="Q4797" s="7"/>
    </row>
    <row r="4798" spans="7:17" ht="21.75" customHeight="1">
      <c r="G4798" t="s">
        <v>3653</v>
      </c>
      <c r="P4798" s="7"/>
      <c r="Q4798" s="7"/>
    </row>
    <row r="4799" spans="7:17" ht="21.75" customHeight="1">
      <c r="G4799" t="s">
        <v>3653</v>
      </c>
      <c r="P4799" s="7"/>
      <c r="Q4799" s="7"/>
    </row>
    <row r="4800" spans="7:17" ht="21.75" customHeight="1">
      <c r="G4800" t="s">
        <v>3653</v>
      </c>
      <c r="P4800" s="7"/>
      <c r="Q4800" s="7"/>
    </row>
    <row r="4801" spans="7:17" ht="21.75" customHeight="1">
      <c r="G4801" t="s">
        <v>3653</v>
      </c>
      <c r="P4801" s="7"/>
      <c r="Q4801" s="7"/>
    </row>
    <row r="4802" spans="7:17" ht="21.75" customHeight="1">
      <c r="G4802" t="s">
        <v>3653</v>
      </c>
      <c r="P4802" s="7"/>
      <c r="Q4802" s="7"/>
    </row>
    <row r="4803" spans="7:17" ht="21.75" customHeight="1">
      <c r="G4803" t="s">
        <v>3653</v>
      </c>
      <c r="P4803" s="7"/>
      <c r="Q4803" s="7"/>
    </row>
    <row r="4804" spans="7:17" ht="21.75" customHeight="1">
      <c r="G4804" t="s">
        <v>3653</v>
      </c>
      <c r="P4804" s="7"/>
      <c r="Q4804" s="7"/>
    </row>
    <row r="4805" spans="7:17" ht="21.75" customHeight="1">
      <c r="G4805" t="s">
        <v>3653</v>
      </c>
      <c r="P4805" s="7"/>
      <c r="Q4805" s="7"/>
    </row>
    <row r="4806" spans="7:17" ht="21.75" customHeight="1">
      <c r="G4806" t="s">
        <v>3653</v>
      </c>
      <c r="P4806" s="7"/>
      <c r="Q4806" s="7"/>
    </row>
    <row r="4807" spans="7:17" ht="21.75" customHeight="1">
      <c r="G4807" t="s">
        <v>3653</v>
      </c>
      <c r="P4807" s="7"/>
      <c r="Q4807" s="7"/>
    </row>
    <row r="4808" spans="7:17" ht="21.75" customHeight="1">
      <c r="G4808" t="s">
        <v>3653</v>
      </c>
      <c r="P4808" s="7"/>
      <c r="Q4808" s="7"/>
    </row>
    <row r="4809" spans="7:17" ht="21.75" customHeight="1">
      <c r="G4809" t="s">
        <v>3653</v>
      </c>
      <c r="P4809" s="7"/>
      <c r="Q4809" s="7"/>
    </row>
    <row r="4810" spans="7:17" ht="21.75" customHeight="1">
      <c r="G4810" t="s">
        <v>3653</v>
      </c>
      <c r="P4810" s="7"/>
      <c r="Q4810" s="7"/>
    </row>
    <row r="4811" spans="7:17" ht="21.75" customHeight="1">
      <c r="G4811" t="s">
        <v>3653</v>
      </c>
      <c r="P4811" s="7"/>
      <c r="Q4811" s="7"/>
    </row>
    <row r="4812" spans="7:17" ht="21.75" customHeight="1">
      <c r="G4812" t="s">
        <v>3653</v>
      </c>
      <c r="P4812" s="7"/>
      <c r="Q4812" s="7"/>
    </row>
    <row r="4813" spans="7:17" ht="21.75" customHeight="1">
      <c r="G4813" t="s">
        <v>3653</v>
      </c>
      <c r="P4813" s="7"/>
      <c r="Q4813" s="7"/>
    </row>
    <row r="4814" spans="7:17" ht="21.75" customHeight="1">
      <c r="G4814" t="s">
        <v>3653</v>
      </c>
      <c r="P4814" s="7"/>
      <c r="Q4814" s="7"/>
    </row>
    <row r="4815" spans="7:17" ht="21.75" customHeight="1">
      <c r="G4815" t="s">
        <v>3653</v>
      </c>
      <c r="P4815" s="7"/>
      <c r="Q4815" s="7"/>
    </row>
    <row r="4816" spans="7:17" ht="21.75" customHeight="1">
      <c r="G4816" t="s">
        <v>3653</v>
      </c>
      <c r="P4816" s="7"/>
      <c r="Q4816" s="7"/>
    </row>
    <row r="4817" spans="7:17" ht="21.75" customHeight="1">
      <c r="G4817" t="s">
        <v>3653</v>
      </c>
      <c r="P4817" s="7"/>
      <c r="Q4817" s="7"/>
    </row>
    <row r="4818" spans="7:17" ht="21.75" customHeight="1">
      <c r="G4818" t="s">
        <v>3653</v>
      </c>
      <c r="P4818" s="7"/>
      <c r="Q4818" s="7"/>
    </row>
    <row r="4819" spans="7:17" ht="21.75" customHeight="1">
      <c r="G4819" t="s">
        <v>3653</v>
      </c>
      <c r="P4819" s="7"/>
      <c r="Q4819" s="7"/>
    </row>
    <row r="4820" spans="7:17" ht="21.75" customHeight="1">
      <c r="G4820" t="s">
        <v>3653</v>
      </c>
      <c r="P4820" s="7"/>
      <c r="Q4820" s="7"/>
    </row>
    <row r="4821" spans="7:17" ht="21.75" customHeight="1">
      <c r="G4821" t="s">
        <v>3653</v>
      </c>
      <c r="P4821" s="7"/>
      <c r="Q4821" s="7"/>
    </row>
    <row r="4822" spans="7:17" ht="21.75" customHeight="1">
      <c r="G4822" t="s">
        <v>3653</v>
      </c>
      <c r="P4822" s="7"/>
      <c r="Q4822" s="7"/>
    </row>
    <row r="4823" spans="7:17" ht="21.75" customHeight="1">
      <c r="G4823" t="s">
        <v>3653</v>
      </c>
      <c r="P4823" s="7"/>
      <c r="Q4823" s="7"/>
    </row>
    <row r="4824" spans="7:17" ht="21.75" customHeight="1">
      <c r="G4824" t="s">
        <v>3653</v>
      </c>
      <c r="P4824" s="7"/>
      <c r="Q4824" s="7"/>
    </row>
    <row r="4825" spans="7:17" ht="21.75" customHeight="1">
      <c r="G4825" t="s">
        <v>3653</v>
      </c>
      <c r="P4825" s="7"/>
      <c r="Q4825" s="7"/>
    </row>
    <row r="4826" spans="7:17" ht="21.75" customHeight="1">
      <c r="G4826" t="s">
        <v>3653</v>
      </c>
      <c r="P4826" s="7"/>
      <c r="Q4826" s="7"/>
    </row>
    <row r="4827" spans="7:17" ht="21.75" customHeight="1">
      <c r="G4827" t="s">
        <v>3653</v>
      </c>
      <c r="P4827" s="7"/>
      <c r="Q4827" s="7"/>
    </row>
    <row r="4828" spans="7:17" ht="21.75" customHeight="1">
      <c r="G4828" t="s">
        <v>3653</v>
      </c>
      <c r="P4828" s="7"/>
      <c r="Q4828" s="7"/>
    </row>
    <row r="4829" spans="7:17" ht="21.75" customHeight="1">
      <c r="G4829" t="s">
        <v>3653</v>
      </c>
      <c r="P4829" s="7"/>
      <c r="Q4829" s="7"/>
    </row>
    <row r="4830" spans="7:17" ht="21.75" customHeight="1">
      <c r="G4830" t="s">
        <v>3653</v>
      </c>
      <c r="P4830" s="7"/>
      <c r="Q4830" s="7"/>
    </row>
    <row r="4831" spans="7:17" ht="21.75" customHeight="1">
      <c r="G4831" t="s">
        <v>3653</v>
      </c>
      <c r="P4831" s="7"/>
      <c r="Q4831" s="7"/>
    </row>
    <row r="4832" spans="7:17" ht="21.75" customHeight="1">
      <c r="G4832" t="s">
        <v>3653</v>
      </c>
      <c r="P4832" s="7"/>
      <c r="Q4832" s="7"/>
    </row>
    <row r="4833" spans="7:17" ht="21.75" customHeight="1">
      <c r="G4833" t="s">
        <v>3653</v>
      </c>
      <c r="P4833" s="7"/>
      <c r="Q4833" s="7"/>
    </row>
    <row r="4834" spans="7:17" ht="21.75" customHeight="1">
      <c r="G4834" t="s">
        <v>3653</v>
      </c>
      <c r="P4834" s="7"/>
      <c r="Q4834" s="7"/>
    </row>
    <row r="4835" spans="7:17" ht="21.75" customHeight="1">
      <c r="G4835" t="s">
        <v>3653</v>
      </c>
      <c r="P4835" s="7"/>
      <c r="Q4835" s="7"/>
    </row>
    <row r="4836" spans="7:17" ht="21.75" customHeight="1">
      <c r="G4836" t="s">
        <v>3653</v>
      </c>
      <c r="P4836" s="7"/>
      <c r="Q4836" s="7"/>
    </row>
    <row r="4837" spans="7:17" ht="21.75" customHeight="1">
      <c r="G4837" t="s">
        <v>3653</v>
      </c>
      <c r="P4837" s="7"/>
      <c r="Q4837" s="7"/>
    </row>
    <row r="4838" spans="7:17" ht="21.75" customHeight="1">
      <c r="G4838" t="s">
        <v>3653</v>
      </c>
      <c r="P4838" s="7"/>
      <c r="Q4838" s="7"/>
    </row>
    <row r="4839" spans="7:17" ht="21.75" customHeight="1">
      <c r="G4839" t="s">
        <v>3653</v>
      </c>
      <c r="P4839" s="7"/>
      <c r="Q4839" s="7"/>
    </row>
    <row r="4840" spans="7:17" ht="21.75" customHeight="1">
      <c r="G4840" t="s">
        <v>3653</v>
      </c>
      <c r="P4840" s="7"/>
      <c r="Q4840" s="7"/>
    </row>
    <row r="4841" spans="7:17" ht="21.75" customHeight="1">
      <c r="G4841" t="s">
        <v>3653</v>
      </c>
      <c r="P4841" s="7"/>
      <c r="Q4841" s="7"/>
    </row>
    <row r="4842" spans="7:17" ht="21.75" customHeight="1">
      <c r="G4842" t="s">
        <v>3653</v>
      </c>
      <c r="P4842" s="7"/>
      <c r="Q4842" s="7"/>
    </row>
    <row r="4843" spans="7:17" ht="21.75" customHeight="1">
      <c r="G4843" t="s">
        <v>3653</v>
      </c>
      <c r="P4843" s="7"/>
      <c r="Q4843" s="7"/>
    </row>
    <row r="4844" spans="7:17" ht="21.75" customHeight="1">
      <c r="G4844" t="s">
        <v>3653</v>
      </c>
      <c r="P4844" s="7"/>
      <c r="Q4844" s="7"/>
    </row>
    <row r="4845" spans="7:17" ht="21.75" customHeight="1">
      <c r="G4845" t="s">
        <v>3653</v>
      </c>
      <c r="P4845" s="7"/>
      <c r="Q4845" s="7"/>
    </row>
    <row r="4846" spans="7:17" ht="21.75" customHeight="1">
      <c r="G4846" t="s">
        <v>3653</v>
      </c>
      <c r="P4846" s="7"/>
      <c r="Q4846" s="7"/>
    </row>
    <row r="4847" spans="7:17" ht="21.75" customHeight="1">
      <c r="G4847" t="s">
        <v>3653</v>
      </c>
      <c r="P4847" s="7"/>
      <c r="Q4847" s="7"/>
    </row>
    <row r="4848" spans="7:17" ht="21.75" customHeight="1">
      <c r="G4848" t="s">
        <v>3653</v>
      </c>
      <c r="P4848" s="7"/>
      <c r="Q4848" s="7"/>
    </row>
    <row r="4849" spans="7:17" ht="21.75" customHeight="1">
      <c r="G4849" t="s">
        <v>3653</v>
      </c>
      <c r="P4849" s="7"/>
      <c r="Q4849" s="7"/>
    </row>
    <row r="4850" spans="7:17" ht="21.75" customHeight="1">
      <c r="G4850" t="s">
        <v>3653</v>
      </c>
      <c r="P4850" s="7"/>
      <c r="Q4850" s="7"/>
    </row>
    <row r="4851" spans="7:17" ht="21.75" customHeight="1">
      <c r="G4851" t="s">
        <v>3653</v>
      </c>
      <c r="P4851" s="7"/>
      <c r="Q4851" s="7"/>
    </row>
    <row r="4852" spans="7:17" ht="21.75" customHeight="1">
      <c r="G4852" t="s">
        <v>3653</v>
      </c>
      <c r="P4852" s="7"/>
      <c r="Q4852" s="7"/>
    </row>
    <row r="4853" spans="7:17" ht="21.75" customHeight="1">
      <c r="G4853" t="s">
        <v>3653</v>
      </c>
      <c r="P4853" s="7"/>
      <c r="Q4853" s="7"/>
    </row>
    <row r="4854" spans="7:17" ht="21.75" customHeight="1">
      <c r="G4854" t="s">
        <v>3653</v>
      </c>
      <c r="P4854" s="7"/>
      <c r="Q4854" s="7"/>
    </row>
    <row r="4855" spans="7:17" ht="21.75" customHeight="1">
      <c r="G4855" t="s">
        <v>3653</v>
      </c>
      <c r="P4855" s="7"/>
      <c r="Q4855" s="7"/>
    </row>
    <row r="4856" spans="7:17" ht="21.75" customHeight="1">
      <c r="G4856" t="s">
        <v>3653</v>
      </c>
      <c r="P4856" s="7"/>
      <c r="Q4856" s="7"/>
    </row>
    <row r="4857" spans="7:17" ht="21.75" customHeight="1">
      <c r="G4857" t="s">
        <v>3653</v>
      </c>
      <c r="P4857" s="7"/>
      <c r="Q4857" s="7"/>
    </row>
    <row r="4858" spans="7:17" ht="21.75" customHeight="1">
      <c r="G4858" t="s">
        <v>3653</v>
      </c>
      <c r="P4858" s="7"/>
      <c r="Q4858" s="7"/>
    </row>
    <row r="4859" spans="7:17" ht="21.75" customHeight="1">
      <c r="G4859" t="s">
        <v>3653</v>
      </c>
      <c r="P4859" s="7"/>
      <c r="Q4859" s="7"/>
    </row>
    <row r="4860" spans="7:17" ht="21.75" customHeight="1">
      <c r="G4860" t="s">
        <v>3653</v>
      </c>
      <c r="P4860" s="7"/>
      <c r="Q4860" s="7"/>
    </row>
    <row r="4861" spans="7:17" ht="21.75" customHeight="1">
      <c r="G4861" t="s">
        <v>3653</v>
      </c>
      <c r="P4861" s="7"/>
      <c r="Q4861" s="7"/>
    </row>
    <row r="4862" spans="7:17" ht="21.75" customHeight="1">
      <c r="G4862" t="s">
        <v>3653</v>
      </c>
      <c r="P4862" s="7"/>
      <c r="Q4862" s="7"/>
    </row>
    <row r="4863" spans="7:17" ht="21.75" customHeight="1">
      <c r="G4863" t="s">
        <v>3653</v>
      </c>
      <c r="P4863" s="7"/>
      <c r="Q4863" s="7"/>
    </row>
    <row r="4864" spans="7:17" ht="21.75" customHeight="1">
      <c r="G4864" t="s">
        <v>3653</v>
      </c>
      <c r="P4864" s="7"/>
      <c r="Q4864" s="7"/>
    </row>
    <row r="4865" spans="7:17" ht="21.75" customHeight="1">
      <c r="G4865" t="s">
        <v>3653</v>
      </c>
      <c r="P4865" s="7"/>
      <c r="Q4865" s="7"/>
    </row>
    <row r="4866" spans="7:17" ht="21.75" customHeight="1">
      <c r="G4866" t="s">
        <v>3653</v>
      </c>
      <c r="P4866" s="7"/>
      <c r="Q4866" s="7"/>
    </row>
    <row r="4867" spans="7:17" ht="21.75" customHeight="1">
      <c r="G4867" t="s">
        <v>3653</v>
      </c>
      <c r="P4867" s="7"/>
      <c r="Q4867" s="7"/>
    </row>
    <row r="4868" spans="7:17" ht="21.75" customHeight="1">
      <c r="G4868" t="s">
        <v>3653</v>
      </c>
      <c r="P4868" s="7"/>
      <c r="Q4868" s="7"/>
    </row>
    <row r="4869" spans="7:17" ht="21.75" customHeight="1">
      <c r="G4869" t="s">
        <v>3653</v>
      </c>
      <c r="P4869" s="7"/>
      <c r="Q4869" s="7"/>
    </row>
    <row r="4870" spans="7:17" ht="21.75" customHeight="1">
      <c r="G4870" t="s">
        <v>3653</v>
      </c>
      <c r="P4870" s="7"/>
      <c r="Q4870" s="7"/>
    </row>
    <row r="4871" spans="7:17" ht="21.75" customHeight="1">
      <c r="G4871" t="s">
        <v>3653</v>
      </c>
      <c r="P4871" s="7"/>
      <c r="Q4871" s="7"/>
    </row>
    <row r="4872" spans="7:17" ht="21.75" customHeight="1">
      <c r="G4872" t="s">
        <v>3653</v>
      </c>
      <c r="P4872" s="7"/>
      <c r="Q4872" s="7"/>
    </row>
    <row r="4873" spans="7:17" ht="21.75" customHeight="1">
      <c r="G4873" t="s">
        <v>3653</v>
      </c>
      <c r="P4873" s="7"/>
      <c r="Q4873" s="7"/>
    </row>
    <row r="4874" spans="7:17" ht="21.75" customHeight="1">
      <c r="G4874" t="s">
        <v>3653</v>
      </c>
      <c r="P4874" s="7"/>
      <c r="Q4874" s="7"/>
    </row>
    <row r="4875" spans="7:17" ht="21.75" customHeight="1">
      <c r="G4875" t="s">
        <v>3653</v>
      </c>
      <c r="P4875" s="7"/>
      <c r="Q4875" s="7"/>
    </row>
    <row r="4876" spans="7:17" ht="21.75" customHeight="1">
      <c r="G4876" t="s">
        <v>3653</v>
      </c>
      <c r="P4876" s="7"/>
      <c r="Q4876" s="7"/>
    </row>
    <row r="4877" spans="7:17" ht="21.75" customHeight="1">
      <c r="G4877" t="s">
        <v>3653</v>
      </c>
      <c r="P4877" s="7"/>
      <c r="Q4877" s="7"/>
    </row>
    <row r="4878" spans="7:17" ht="21.75" customHeight="1">
      <c r="G4878" t="s">
        <v>3653</v>
      </c>
      <c r="P4878" s="7"/>
      <c r="Q4878" s="7"/>
    </row>
    <row r="4879" spans="7:17" ht="21.75" customHeight="1">
      <c r="G4879" t="s">
        <v>3653</v>
      </c>
      <c r="P4879" s="7"/>
      <c r="Q4879" s="7"/>
    </row>
    <row r="4880" spans="7:17" ht="21.75" customHeight="1">
      <c r="G4880" t="s">
        <v>3653</v>
      </c>
      <c r="P4880" s="7"/>
      <c r="Q4880" s="7"/>
    </row>
    <row r="4881" spans="7:17" ht="21.75" customHeight="1">
      <c r="G4881" t="s">
        <v>3653</v>
      </c>
      <c r="P4881" s="7"/>
      <c r="Q4881" s="7"/>
    </row>
    <row r="4882" spans="7:17" ht="21.75" customHeight="1">
      <c r="G4882" t="s">
        <v>3653</v>
      </c>
      <c r="P4882" s="7"/>
      <c r="Q4882" s="7"/>
    </row>
    <row r="4883" spans="7:17" ht="21.75" customHeight="1">
      <c r="G4883" t="s">
        <v>3653</v>
      </c>
      <c r="P4883" s="7"/>
      <c r="Q4883" s="7"/>
    </row>
    <row r="4884" spans="7:17" ht="21.75" customHeight="1">
      <c r="G4884" t="s">
        <v>3653</v>
      </c>
      <c r="P4884" s="7"/>
      <c r="Q4884" s="7"/>
    </row>
    <row r="4885" spans="7:17" ht="21.75" customHeight="1">
      <c r="G4885" t="s">
        <v>3653</v>
      </c>
      <c r="P4885" s="7"/>
      <c r="Q4885" s="7"/>
    </row>
    <row r="4886" spans="7:17" ht="21.75" customHeight="1">
      <c r="G4886" t="s">
        <v>3653</v>
      </c>
      <c r="P4886" s="7"/>
      <c r="Q4886" s="7"/>
    </row>
    <row r="4887" spans="7:17" ht="21.75" customHeight="1">
      <c r="G4887" t="s">
        <v>3653</v>
      </c>
      <c r="P4887" s="7"/>
      <c r="Q4887" s="7"/>
    </row>
    <row r="4888" spans="7:17" ht="21.75" customHeight="1">
      <c r="G4888" t="s">
        <v>3653</v>
      </c>
      <c r="P4888" s="7"/>
      <c r="Q4888" s="7"/>
    </row>
    <row r="4889" spans="7:17" ht="21.75" customHeight="1">
      <c r="G4889" t="s">
        <v>3653</v>
      </c>
      <c r="P4889" s="7"/>
      <c r="Q4889" s="7"/>
    </row>
    <row r="4890" spans="7:17" ht="21.75" customHeight="1">
      <c r="G4890" t="s">
        <v>3653</v>
      </c>
      <c r="P4890" s="7"/>
      <c r="Q4890" s="7"/>
    </row>
    <row r="4891" spans="7:17" ht="21.75" customHeight="1">
      <c r="G4891" t="s">
        <v>3653</v>
      </c>
      <c r="P4891" s="7"/>
      <c r="Q4891" s="7"/>
    </row>
    <row r="4892" spans="7:17" ht="21.75" customHeight="1">
      <c r="G4892" t="s">
        <v>3653</v>
      </c>
      <c r="P4892" s="7"/>
      <c r="Q4892" s="7"/>
    </row>
    <row r="4893" spans="7:17" ht="21.75" customHeight="1">
      <c r="G4893" t="s">
        <v>3653</v>
      </c>
      <c r="P4893" s="7"/>
      <c r="Q4893" s="7"/>
    </row>
    <row r="4894" spans="7:17" ht="21.75" customHeight="1">
      <c r="G4894" t="s">
        <v>3653</v>
      </c>
      <c r="P4894" s="7"/>
      <c r="Q4894" s="7"/>
    </row>
    <row r="4895" spans="7:17" ht="21.75" customHeight="1">
      <c r="G4895" t="s">
        <v>3653</v>
      </c>
      <c r="P4895" s="7"/>
      <c r="Q4895" s="7"/>
    </row>
    <row r="4896" spans="7:17" ht="21.75" customHeight="1">
      <c r="G4896" t="s">
        <v>3653</v>
      </c>
      <c r="P4896" s="7"/>
      <c r="Q4896" s="7"/>
    </row>
    <row r="4897" spans="7:17" ht="21.75" customHeight="1">
      <c r="G4897" t="s">
        <v>3653</v>
      </c>
      <c r="P4897" s="7"/>
      <c r="Q4897" s="7"/>
    </row>
    <row r="4898" spans="7:17" ht="21.75" customHeight="1">
      <c r="G4898" t="s">
        <v>3653</v>
      </c>
      <c r="P4898" s="7"/>
      <c r="Q4898" s="7"/>
    </row>
    <row r="4899" spans="7:17" ht="21.75" customHeight="1">
      <c r="G4899" t="s">
        <v>3653</v>
      </c>
      <c r="P4899" s="7"/>
      <c r="Q4899" s="7"/>
    </row>
    <row r="4900" spans="7:17" ht="21.75" customHeight="1">
      <c r="G4900" t="s">
        <v>3653</v>
      </c>
      <c r="P4900" s="7"/>
      <c r="Q4900" s="7"/>
    </row>
    <row r="4901" spans="7:17" ht="21.75" customHeight="1">
      <c r="G4901" t="s">
        <v>3653</v>
      </c>
      <c r="P4901" s="7"/>
      <c r="Q4901" s="7"/>
    </row>
    <row r="4902" spans="7:17" ht="21.75" customHeight="1">
      <c r="G4902" t="s">
        <v>3653</v>
      </c>
      <c r="P4902" s="7"/>
      <c r="Q4902" s="7"/>
    </row>
    <row r="4903" spans="7:17" ht="21.75" customHeight="1">
      <c r="G4903" t="s">
        <v>3653</v>
      </c>
      <c r="P4903" s="7"/>
      <c r="Q4903" s="7"/>
    </row>
    <row r="4904" spans="7:17" ht="21.75" customHeight="1">
      <c r="G4904" t="s">
        <v>3653</v>
      </c>
      <c r="P4904" s="7"/>
      <c r="Q4904" s="7"/>
    </row>
    <row r="4905" spans="7:17" ht="21.75" customHeight="1">
      <c r="G4905" t="s">
        <v>3653</v>
      </c>
      <c r="P4905" s="7"/>
      <c r="Q4905" s="7"/>
    </row>
    <row r="4906" spans="7:17" ht="21.75" customHeight="1">
      <c r="G4906" t="s">
        <v>3653</v>
      </c>
      <c r="P4906" s="7"/>
      <c r="Q4906" s="7"/>
    </row>
    <row r="4907" spans="7:17" ht="21.75" customHeight="1">
      <c r="G4907" t="s">
        <v>3653</v>
      </c>
      <c r="P4907" s="7"/>
      <c r="Q4907" s="7"/>
    </row>
    <row r="4908" spans="7:17" ht="21.75" customHeight="1">
      <c r="G4908" t="s">
        <v>3653</v>
      </c>
      <c r="P4908" s="7"/>
      <c r="Q4908" s="7"/>
    </row>
    <row r="4909" spans="7:17" ht="21.75" customHeight="1">
      <c r="G4909" t="s">
        <v>3653</v>
      </c>
      <c r="P4909" s="7"/>
      <c r="Q4909" s="7"/>
    </row>
    <row r="4910" spans="7:17" ht="21.75" customHeight="1">
      <c r="G4910" t="s">
        <v>3653</v>
      </c>
      <c r="P4910" s="7"/>
      <c r="Q4910" s="7"/>
    </row>
    <row r="4911" spans="7:17" ht="21.75" customHeight="1">
      <c r="G4911" t="s">
        <v>3653</v>
      </c>
      <c r="P4911" s="7"/>
      <c r="Q4911" s="7"/>
    </row>
    <row r="4912" spans="7:17" ht="21.75" customHeight="1">
      <c r="G4912" t="s">
        <v>3653</v>
      </c>
      <c r="P4912" s="7"/>
      <c r="Q4912" s="7"/>
    </row>
    <row r="4913" spans="7:17" ht="21.75" customHeight="1">
      <c r="G4913" t="s">
        <v>3653</v>
      </c>
      <c r="P4913" s="7"/>
      <c r="Q4913" s="7"/>
    </row>
    <row r="4914" spans="7:17" ht="21.75" customHeight="1">
      <c r="G4914" t="s">
        <v>3653</v>
      </c>
      <c r="P4914" s="7"/>
      <c r="Q4914" s="7"/>
    </row>
    <row r="4915" spans="7:17" ht="21.75" customHeight="1">
      <c r="G4915" t="s">
        <v>3653</v>
      </c>
      <c r="P4915" s="7"/>
      <c r="Q4915" s="7"/>
    </row>
    <row r="4916" spans="7:17" ht="21.75" customHeight="1">
      <c r="G4916" t="s">
        <v>3653</v>
      </c>
      <c r="P4916" s="7"/>
      <c r="Q4916" s="7"/>
    </row>
    <row r="4917" spans="7:17" ht="21.75" customHeight="1">
      <c r="G4917" t="s">
        <v>3653</v>
      </c>
      <c r="P4917" s="7"/>
      <c r="Q4917" s="7"/>
    </row>
    <row r="4918" spans="7:17" ht="21.75" customHeight="1">
      <c r="G4918" t="s">
        <v>3653</v>
      </c>
      <c r="P4918" s="7"/>
      <c r="Q4918" s="7"/>
    </row>
    <row r="4919" spans="7:17" ht="21.75" customHeight="1">
      <c r="G4919" t="s">
        <v>3653</v>
      </c>
      <c r="P4919" s="7"/>
      <c r="Q4919" s="7"/>
    </row>
    <row r="4920" spans="7:17" ht="21.75" customHeight="1">
      <c r="G4920" t="s">
        <v>3653</v>
      </c>
      <c r="P4920" s="7"/>
      <c r="Q4920" s="7"/>
    </row>
    <row r="4921" spans="7:17" ht="21.75" customHeight="1">
      <c r="G4921" t="s">
        <v>3653</v>
      </c>
      <c r="P4921" s="7"/>
      <c r="Q4921" s="7"/>
    </row>
    <row r="4922" spans="7:17" ht="21.75" customHeight="1">
      <c r="G4922" t="s">
        <v>3653</v>
      </c>
      <c r="P4922" s="7"/>
      <c r="Q4922" s="7"/>
    </row>
    <row r="4923" spans="7:17" ht="21.75" customHeight="1">
      <c r="G4923" t="s">
        <v>3653</v>
      </c>
      <c r="P4923" s="7"/>
      <c r="Q4923" s="7"/>
    </row>
    <row r="4924" spans="7:17" ht="21.75" customHeight="1">
      <c r="G4924" t="s">
        <v>3653</v>
      </c>
      <c r="P4924" s="7"/>
      <c r="Q4924" s="7"/>
    </row>
    <row r="4925" spans="7:17" ht="21.75" customHeight="1">
      <c r="G4925" t="s">
        <v>3653</v>
      </c>
      <c r="P4925" s="7"/>
      <c r="Q4925" s="7"/>
    </row>
    <row r="4926" spans="7:17" ht="21.75" customHeight="1">
      <c r="G4926" t="s">
        <v>3653</v>
      </c>
      <c r="P4926" s="7"/>
      <c r="Q4926" s="7"/>
    </row>
    <row r="4927" spans="7:17" ht="21.75" customHeight="1">
      <c r="G4927" t="s">
        <v>3653</v>
      </c>
      <c r="P4927" s="7"/>
      <c r="Q4927" s="7"/>
    </row>
    <row r="4928" spans="7:17" ht="21.75" customHeight="1">
      <c r="G4928" t="s">
        <v>3653</v>
      </c>
      <c r="P4928" s="7"/>
      <c r="Q4928" s="7"/>
    </row>
    <row r="4929" spans="7:17" ht="21.75" customHeight="1">
      <c r="G4929" t="s">
        <v>3653</v>
      </c>
      <c r="P4929" s="7"/>
      <c r="Q4929" s="7"/>
    </row>
    <row r="4930" spans="7:17" ht="21.75" customHeight="1">
      <c r="G4930" t="s">
        <v>3653</v>
      </c>
      <c r="P4930" s="7"/>
      <c r="Q4930" s="7"/>
    </row>
    <row r="4931" spans="7:17" ht="21.75" customHeight="1">
      <c r="G4931" t="s">
        <v>3653</v>
      </c>
      <c r="P4931" s="7"/>
      <c r="Q4931" s="7"/>
    </row>
    <row r="4932" spans="7:17" ht="21.75" customHeight="1">
      <c r="G4932" t="s">
        <v>3653</v>
      </c>
      <c r="P4932" s="7"/>
      <c r="Q4932" s="7"/>
    </row>
    <row r="4933" spans="7:17" ht="21.75" customHeight="1">
      <c r="G4933" t="s">
        <v>3653</v>
      </c>
      <c r="P4933" s="7"/>
      <c r="Q4933" s="7"/>
    </row>
    <row r="4934" spans="7:17" ht="21.75" customHeight="1">
      <c r="G4934" t="s">
        <v>3653</v>
      </c>
      <c r="P4934" s="7"/>
      <c r="Q4934" s="7"/>
    </row>
    <row r="4935" spans="7:17" ht="21.75" customHeight="1">
      <c r="G4935" t="s">
        <v>3653</v>
      </c>
      <c r="P4935" s="7"/>
      <c r="Q4935" s="7"/>
    </row>
    <row r="4936" spans="7:17" ht="21.75" customHeight="1">
      <c r="G4936" t="s">
        <v>3653</v>
      </c>
      <c r="P4936" s="7"/>
      <c r="Q4936" s="7"/>
    </row>
    <row r="4937" spans="7:17" ht="21.75" customHeight="1">
      <c r="G4937" t="s">
        <v>3653</v>
      </c>
      <c r="P4937" s="7"/>
      <c r="Q4937" s="7"/>
    </row>
    <row r="4938" spans="7:17" ht="21.75" customHeight="1">
      <c r="G4938" t="s">
        <v>3653</v>
      </c>
      <c r="P4938" s="7"/>
      <c r="Q4938" s="7"/>
    </row>
    <row r="4939" spans="7:17" ht="21.75" customHeight="1">
      <c r="G4939" t="s">
        <v>3653</v>
      </c>
      <c r="P4939" s="7"/>
      <c r="Q4939" s="7"/>
    </row>
    <row r="4940" spans="7:17" ht="21.75" customHeight="1">
      <c r="G4940" t="s">
        <v>3653</v>
      </c>
      <c r="P4940" s="7"/>
      <c r="Q4940" s="7"/>
    </row>
    <row r="4941" spans="7:17" ht="21.75" customHeight="1">
      <c r="G4941" t="s">
        <v>3653</v>
      </c>
      <c r="P4941" s="7"/>
      <c r="Q4941" s="7"/>
    </row>
    <row r="4942" spans="7:17" ht="21.75" customHeight="1">
      <c r="G4942" t="s">
        <v>3653</v>
      </c>
      <c r="P4942" s="7"/>
      <c r="Q4942" s="7"/>
    </row>
    <row r="4943" spans="7:17" ht="21.75" customHeight="1">
      <c r="G4943" t="s">
        <v>3653</v>
      </c>
      <c r="P4943" s="7"/>
      <c r="Q4943" s="7"/>
    </row>
    <row r="4944" spans="7:17" ht="21.75" customHeight="1">
      <c r="G4944" t="s">
        <v>3653</v>
      </c>
      <c r="P4944" s="7"/>
      <c r="Q4944" s="7"/>
    </row>
    <row r="4945" spans="7:17" ht="21.75" customHeight="1">
      <c r="G4945" t="s">
        <v>3653</v>
      </c>
      <c r="P4945" s="7"/>
      <c r="Q4945" s="7"/>
    </row>
    <row r="4946" spans="7:17" ht="21.75" customHeight="1">
      <c r="G4946" t="s">
        <v>3653</v>
      </c>
      <c r="P4946" s="7"/>
      <c r="Q4946" s="7"/>
    </row>
    <row r="4947" spans="7:17" ht="21.75" customHeight="1">
      <c r="G4947" t="s">
        <v>3653</v>
      </c>
      <c r="P4947" s="7"/>
      <c r="Q4947" s="7"/>
    </row>
    <row r="4948" spans="7:17" ht="21.75" customHeight="1">
      <c r="G4948" t="s">
        <v>3653</v>
      </c>
      <c r="P4948" s="7"/>
      <c r="Q4948" s="7"/>
    </row>
    <row r="4949" spans="7:17" ht="21.75" customHeight="1">
      <c r="G4949" t="s">
        <v>3653</v>
      </c>
      <c r="P4949" s="7"/>
      <c r="Q4949" s="7"/>
    </row>
    <row r="4950" spans="7:17" ht="21.75" customHeight="1">
      <c r="G4950" t="s">
        <v>3653</v>
      </c>
      <c r="P4950" s="7"/>
      <c r="Q4950" s="7"/>
    </row>
    <row r="4951" spans="7:17" ht="21.75" customHeight="1">
      <c r="G4951" t="s">
        <v>3653</v>
      </c>
      <c r="P4951" s="7"/>
      <c r="Q4951" s="7"/>
    </row>
    <row r="4952" spans="7:17" ht="21.75" customHeight="1">
      <c r="G4952" t="s">
        <v>3653</v>
      </c>
      <c r="P4952" s="7"/>
      <c r="Q4952" s="7"/>
    </row>
    <row r="4953" spans="7:17" ht="21.75" customHeight="1">
      <c r="G4953" t="s">
        <v>3653</v>
      </c>
      <c r="P4953" s="7"/>
      <c r="Q4953" s="7"/>
    </row>
    <row r="4954" spans="7:17" ht="21.75" customHeight="1">
      <c r="G4954" t="s">
        <v>3653</v>
      </c>
      <c r="P4954" s="7"/>
      <c r="Q4954" s="7"/>
    </row>
    <row r="4955" spans="7:17" ht="21.75" customHeight="1">
      <c r="G4955" t="s">
        <v>3653</v>
      </c>
      <c r="P4955" s="7"/>
      <c r="Q4955" s="7"/>
    </row>
    <row r="4956" spans="7:17" ht="21.75" customHeight="1">
      <c r="G4956" t="s">
        <v>3653</v>
      </c>
      <c r="P4956" s="7"/>
      <c r="Q4956" s="7"/>
    </row>
    <row r="4957" spans="7:17" ht="21.75" customHeight="1">
      <c r="G4957" t="s">
        <v>3653</v>
      </c>
      <c r="P4957" s="7"/>
      <c r="Q4957" s="7"/>
    </row>
    <row r="4958" spans="7:17" ht="21.75" customHeight="1">
      <c r="G4958" t="s">
        <v>3653</v>
      </c>
      <c r="P4958" s="7"/>
      <c r="Q4958" s="7"/>
    </row>
    <row r="4959" spans="7:17" ht="21.75" customHeight="1">
      <c r="G4959" t="s">
        <v>3653</v>
      </c>
      <c r="P4959" s="7"/>
      <c r="Q4959" s="7"/>
    </row>
    <row r="4960" spans="7:17" ht="21.75" customHeight="1">
      <c r="G4960" t="s">
        <v>3653</v>
      </c>
      <c r="P4960" s="7"/>
      <c r="Q4960" s="7"/>
    </row>
    <row r="4961" spans="7:17" ht="21.75" customHeight="1">
      <c r="G4961" t="s">
        <v>3653</v>
      </c>
      <c r="P4961" s="7"/>
      <c r="Q4961" s="7"/>
    </row>
    <row r="4962" spans="7:17" ht="21.75" customHeight="1">
      <c r="G4962" t="s">
        <v>3653</v>
      </c>
      <c r="P4962" s="7"/>
      <c r="Q4962" s="7"/>
    </row>
    <row r="4963" spans="7:17" ht="21.75" customHeight="1">
      <c r="G4963" t="s">
        <v>3653</v>
      </c>
      <c r="P4963" s="7"/>
      <c r="Q4963" s="7"/>
    </row>
    <row r="4964" spans="7:17" ht="21.75" customHeight="1">
      <c r="G4964" t="s">
        <v>3653</v>
      </c>
      <c r="P4964" s="7"/>
      <c r="Q4964" s="7"/>
    </row>
    <row r="4965" spans="7:17" ht="21.75" customHeight="1">
      <c r="G4965" t="s">
        <v>3653</v>
      </c>
      <c r="P4965" s="7"/>
      <c r="Q4965" s="7"/>
    </row>
    <row r="4966" spans="7:17" ht="21.75" customHeight="1">
      <c r="G4966" t="s">
        <v>3653</v>
      </c>
      <c r="P4966" s="7"/>
      <c r="Q4966" s="7"/>
    </row>
    <row r="4967" spans="7:17" ht="21.75" customHeight="1">
      <c r="G4967" t="s">
        <v>3653</v>
      </c>
      <c r="P4967" s="7"/>
      <c r="Q4967" s="7"/>
    </row>
    <row r="4968" spans="7:17" ht="21.75" customHeight="1">
      <c r="G4968" t="s">
        <v>3653</v>
      </c>
      <c r="P4968" s="7"/>
      <c r="Q4968" s="7"/>
    </row>
    <row r="4969" spans="7:17" ht="21.75" customHeight="1">
      <c r="G4969" t="s">
        <v>3653</v>
      </c>
      <c r="P4969" s="7"/>
      <c r="Q4969" s="7"/>
    </row>
    <row r="4970" spans="7:17" ht="21.75" customHeight="1">
      <c r="G4970" t="s">
        <v>3653</v>
      </c>
      <c r="P4970" s="7"/>
      <c r="Q4970" s="7"/>
    </row>
    <row r="4971" spans="7:17" ht="21.75" customHeight="1">
      <c r="G4971" t="s">
        <v>3653</v>
      </c>
      <c r="P4971" s="7"/>
      <c r="Q4971" s="7"/>
    </row>
    <row r="4972" spans="7:17" ht="21.75" customHeight="1">
      <c r="G4972" t="s">
        <v>3653</v>
      </c>
      <c r="P4972" s="7"/>
      <c r="Q4972" s="7"/>
    </row>
    <row r="4973" spans="7:17" ht="21.75" customHeight="1">
      <c r="G4973" t="s">
        <v>3653</v>
      </c>
      <c r="P4973" s="7"/>
      <c r="Q4973" s="7"/>
    </row>
    <row r="4974" spans="7:17" ht="21.75" customHeight="1">
      <c r="G4974" t="s">
        <v>3653</v>
      </c>
      <c r="P4974" s="7"/>
      <c r="Q4974" s="7"/>
    </row>
    <row r="4975" spans="7:17" ht="21.75" customHeight="1">
      <c r="G4975" t="s">
        <v>3653</v>
      </c>
      <c r="P4975" s="7"/>
      <c r="Q4975" s="7"/>
    </row>
    <row r="4976" spans="7:17" ht="21.75" customHeight="1">
      <c r="G4976" t="s">
        <v>3653</v>
      </c>
      <c r="P4976" s="7"/>
      <c r="Q4976" s="7"/>
    </row>
    <row r="4977" spans="7:17" ht="21.75" customHeight="1">
      <c r="G4977" t="s">
        <v>3653</v>
      </c>
      <c r="P4977" s="7"/>
      <c r="Q4977" s="7"/>
    </row>
    <row r="4978" spans="7:17" ht="21.75" customHeight="1">
      <c r="G4978" t="s">
        <v>3653</v>
      </c>
      <c r="P4978" s="7"/>
      <c r="Q4978" s="7"/>
    </row>
    <row r="4979" spans="7:17" ht="21.75" customHeight="1">
      <c r="G4979" t="s">
        <v>3653</v>
      </c>
      <c r="P4979" s="7"/>
      <c r="Q4979" s="7"/>
    </row>
    <row r="4980" spans="7:17" ht="21.75" customHeight="1">
      <c r="G4980" t="s">
        <v>3653</v>
      </c>
      <c r="P4980" s="7"/>
      <c r="Q4980" s="7"/>
    </row>
    <row r="4981" spans="7:17" ht="21.75" customHeight="1">
      <c r="G4981" t="s">
        <v>3653</v>
      </c>
      <c r="P4981" s="7"/>
      <c r="Q4981" s="7"/>
    </row>
    <row r="4982" spans="7:17" ht="21.75" customHeight="1">
      <c r="G4982" t="s">
        <v>3653</v>
      </c>
      <c r="P4982" s="7"/>
      <c r="Q4982" s="7"/>
    </row>
    <row r="4983" spans="7:17" ht="21.75" customHeight="1">
      <c r="G4983" t="s">
        <v>3653</v>
      </c>
      <c r="P4983" s="7"/>
      <c r="Q4983" s="7"/>
    </row>
    <row r="4984" spans="7:17" ht="21.75" customHeight="1">
      <c r="G4984" t="s">
        <v>3653</v>
      </c>
      <c r="P4984" s="7"/>
      <c r="Q4984" s="7"/>
    </row>
    <row r="4985" spans="7:17" ht="21.75" customHeight="1">
      <c r="G4985" t="s">
        <v>3653</v>
      </c>
      <c r="P4985" s="7"/>
      <c r="Q4985" s="7"/>
    </row>
    <row r="4986" spans="7:17" ht="21.75" customHeight="1">
      <c r="G4986" t="s">
        <v>3653</v>
      </c>
      <c r="P4986" s="7"/>
      <c r="Q4986" s="7"/>
    </row>
    <row r="4987" spans="7:17" ht="21.75" customHeight="1">
      <c r="G4987" t="s">
        <v>3653</v>
      </c>
      <c r="P4987" s="7"/>
      <c r="Q4987" s="7"/>
    </row>
    <row r="4988" spans="7:17" ht="21.75" customHeight="1">
      <c r="G4988" t="s">
        <v>3653</v>
      </c>
      <c r="P4988" s="7"/>
      <c r="Q4988" s="7"/>
    </row>
    <row r="4989" spans="7:17" ht="21.75" customHeight="1">
      <c r="G4989" t="s">
        <v>3653</v>
      </c>
      <c r="P4989" s="7"/>
      <c r="Q4989" s="7"/>
    </row>
    <row r="4990" spans="7:17" ht="21.75" customHeight="1">
      <c r="G4990" t="s">
        <v>3653</v>
      </c>
      <c r="P4990" s="7"/>
      <c r="Q4990" s="7"/>
    </row>
    <row r="4991" spans="7:17" ht="21.75" customHeight="1">
      <c r="G4991" t="s">
        <v>3653</v>
      </c>
      <c r="P4991" s="7"/>
      <c r="Q4991" s="7"/>
    </row>
    <row r="4992" spans="7:17" ht="21.75" customHeight="1">
      <c r="G4992" t="s">
        <v>3653</v>
      </c>
      <c r="P4992" s="7"/>
      <c r="Q4992" s="7"/>
    </row>
    <row r="4993" spans="7:17" ht="21.75" customHeight="1">
      <c r="G4993" t="s">
        <v>3653</v>
      </c>
      <c r="P4993" s="7"/>
      <c r="Q4993" s="7"/>
    </row>
    <row r="4994" spans="7:17" ht="21.75" customHeight="1">
      <c r="G4994" t="s">
        <v>3653</v>
      </c>
      <c r="P4994" s="7"/>
      <c r="Q4994" s="7"/>
    </row>
    <row r="4995" spans="7:17" ht="21.75" customHeight="1">
      <c r="G4995" t="s">
        <v>3653</v>
      </c>
      <c r="P4995" s="7"/>
      <c r="Q4995" s="7"/>
    </row>
    <row r="4996" spans="7:17" ht="21.75" customHeight="1">
      <c r="G4996" t="s">
        <v>3653</v>
      </c>
      <c r="P4996" s="7"/>
      <c r="Q4996" s="7"/>
    </row>
    <row r="4997" spans="7:17" ht="21.75" customHeight="1">
      <c r="G4997" t="s">
        <v>3653</v>
      </c>
      <c r="P4997" s="7"/>
      <c r="Q4997" s="7"/>
    </row>
    <row r="4998" spans="7:17" ht="21.75" customHeight="1">
      <c r="G4998" t="s">
        <v>3653</v>
      </c>
      <c r="P4998" s="7"/>
      <c r="Q4998" s="7"/>
    </row>
    <row r="4999" spans="7:17" ht="21.75" customHeight="1">
      <c r="G4999" t="s">
        <v>3653</v>
      </c>
      <c r="P4999" s="7"/>
      <c r="Q4999" s="7"/>
    </row>
    <row r="5000" spans="7:17" ht="21.75" customHeight="1">
      <c r="G5000" t="s">
        <v>3653</v>
      </c>
      <c r="P5000" s="7"/>
      <c r="Q5000" s="7"/>
    </row>
    <row r="5001" spans="7:17" ht="21.75" customHeight="1">
      <c r="G5001" t="s">
        <v>3653</v>
      </c>
      <c r="P5001" s="7"/>
      <c r="Q5001" s="7"/>
    </row>
    <row r="5002" spans="7:17" ht="21.75" customHeight="1">
      <c r="G5002" t="s">
        <v>3653</v>
      </c>
      <c r="P5002" s="7"/>
      <c r="Q5002" s="7"/>
    </row>
    <row r="5003" spans="7:17" ht="21.75" customHeight="1">
      <c r="G5003" t="s">
        <v>3653</v>
      </c>
      <c r="P5003" s="7"/>
      <c r="Q5003" s="7"/>
    </row>
    <row r="5004" spans="7:17" ht="21.75" customHeight="1">
      <c r="G5004" t="s">
        <v>3653</v>
      </c>
      <c r="P5004" s="7"/>
      <c r="Q5004" s="7"/>
    </row>
    <row r="5005" spans="7:17" ht="21.75" customHeight="1">
      <c r="G5005" t="s">
        <v>3653</v>
      </c>
      <c r="P5005" s="7"/>
      <c r="Q5005" s="7"/>
    </row>
    <row r="5006" spans="7:17" ht="21.75" customHeight="1">
      <c r="G5006" t="s">
        <v>3653</v>
      </c>
      <c r="P5006" s="7"/>
      <c r="Q5006" s="7"/>
    </row>
    <row r="5007" spans="7:17" ht="21.75" customHeight="1">
      <c r="G5007" t="s">
        <v>3653</v>
      </c>
      <c r="P5007" s="7"/>
      <c r="Q5007" s="7"/>
    </row>
    <row r="5008" spans="7:17" ht="21.75" customHeight="1">
      <c r="G5008" t="s">
        <v>3653</v>
      </c>
      <c r="P5008" s="7"/>
      <c r="Q5008" s="7"/>
    </row>
    <row r="5009" spans="7:17" ht="21.75" customHeight="1">
      <c r="G5009" t="s">
        <v>3653</v>
      </c>
      <c r="P5009" s="7"/>
      <c r="Q5009" s="7"/>
    </row>
    <row r="5010" spans="7:17" ht="21.75" customHeight="1">
      <c r="G5010" t="s">
        <v>3653</v>
      </c>
      <c r="P5010" s="7"/>
      <c r="Q5010" s="7"/>
    </row>
    <row r="5011" spans="7:17" ht="21.75" customHeight="1">
      <c r="G5011" t="s">
        <v>3653</v>
      </c>
      <c r="P5011" s="7"/>
      <c r="Q5011" s="7"/>
    </row>
    <row r="5012" spans="7:17" ht="21.75" customHeight="1">
      <c r="G5012" t="s">
        <v>3653</v>
      </c>
      <c r="P5012" s="7"/>
      <c r="Q5012" s="7"/>
    </row>
    <row r="5013" spans="7:17" ht="21.75" customHeight="1">
      <c r="G5013" t="s">
        <v>3653</v>
      </c>
      <c r="P5013" s="7"/>
      <c r="Q5013" s="7"/>
    </row>
    <row r="5014" spans="7:17" ht="21.75" customHeight="1">
      <c r="G5014" t="s">
        <v>3653</v>
      </c>
      <c r="P5014" s="7"/>
      <c r="Q5014" s="7"/>
    </row>
    <row r="5015" spans="7:17" ht="21.75" customHeight="1">
      <c r="G5015" t="s">
        <v>3653</v>
      </c>
      <c r="P5015" s="7"/>
      <c r="Q5015" s="7"/>
    </row>
    <row r="5016" spans="7:17" ht="21.75" customHeight="1">
      <c r="G5016" t="s">
        <v>3653</v>
      </c>
      <c r="P5016" s="7"/>
      <c r="Q5016" s="7"/>
    </row>
    <row r="5017" spans="7:17" ht="21.75" customHeight="1">
      <c r="G5017" t="s">
        <v>3653</v>
      </c>
      <c r="P5017" s="7"/>
      <c r="Q5017" s="7"/>
    </row>
    <row r="5018" spans="7:17" ht="21.75" customHeight="1">
      <c r="G5018" t="s">
        <v>3653</v>
      </c>
      <c r="P5018" s="7"/>
      <c r="Q5018" s="7"/>
    </row>
    <row r="5019" spans="7:17" ht="21.75" customHeight="1">
      <c r="G5019" t="s">
        <v>3653</v>
      </c>
      <c r="P5019" s="7"/>
      <c r="Q5019" s="7"/>
    </row>
    <row r="5020" spans="7:17" ht="21.75" customHeight="1">
      <c r="G5020" t="s">
        <v>3653</v>
      </c>
      <c r="P5020" s="7"/>
      <c r="Q5020" s="7"/>
    </row>
    <row r="5021" spans="7:17" ht="21.75" customHeight="1">
      <c r="G5021" t="s">
        <v>3653</v>
      </c>
      <c r="P5021" s="7"/>
      <c r="Q5021" s="7"/>
    </row>
    <row r="5022" spans="7:17" ht="21.75" customHeight="1">
      <c r="G5022" t="s">
        <v>3653</v>
      </c>
      <c r="P5022" s="7"/>
      <c r="Q5022" s="7"/>
    </row>
    <row r="5023" spans="7:17" ht="21.75" customHeight="1">
      <c r="G5023" t="s">
        <v>3653</v>
      </c>
      <c r="P5023" s="7"/>
      <c r="Q5023" s="7"/>
    </row>
    <row r="5024" spans="7:17" ht="21.75" customHeight="1">
      <c r="G5024" t="s">
        <v>3653</v>
      </c>
      <c r="P5024" s="7"/>
      <c r="Q5024" s="7"/>
    </row>
    <row r="5025" spans="7:17" ht="21.75" customHeight="1">
      <c r="G5025" t="s">
        <v>3653</v>
      </c>
      <c r="P5025" s="7"/>
      <c r="Q5025" s="7"/>
    </row>
    <row r="5026" spans="7:17" ht="21.75" customHeight="1">
      <c r="G5026" t="s">
        <v>3653</v>
      </c>
      <c r="P5026" s="7"/>
      <c r="Q5026" s="7"/>
    </row>
    <row r="5027" spans="7:17" ht="21.75" customHeight="1">
      <c r="G5027" t="s">
        <v>3653</v>
      </c>
      <c r="P5027" s="7"/>
      <c r="Q5027" s="7"/>
    </row>
    <row r="5028" spans="7:17" ht="21.75" customHeight="1">
      <c r="G5028" t="s">
        <v>3653</v>
      </c>
      <c r="P5028" s="7"/>
      <c r="Q5028" s="7"/>
    </row>
    <row r="5029" spans="7:17" ht="21.75" customHeight="1">
      <c r="G5029" t="s">
        <v>3653</v>
      </c>
      <c r="P5029" s="7"/>
      <c r="Q5029" s="7"/>
    </row>
    <row r="5030" spans="7:17" ht="21.75" customHeight="1">
      <c r="G5030" t="s">
        <v>3653</v>
      </c>
      <c r="P5030" s="7"/>
      <c r="Q5030" s="7"/>
    </row>
    <row r="5031" spans="7:17" ht="21.75" customHeight="1">
      <c r="G5031" t="s">
        <v>3653</v>
      </c>
      <c r="P5031" s="7"/>
      <c r="Q5031" s="7"/>
    </row>
    <row r="5032" spans="7:17" ht="21.75" customHeight="1">
      <c r="G5032" t="s">
        <v>3653</v>
      </c>
      <c r="P5032" s="7"/>
      <c r="Q5032" s="7"/>
    </row>
    <row r="5033" spans="7:17" ht="21.75" customHeight="1">
      <c r="G5033" t="s">
        <v>3653</v>
      </c>
      <c r="P5033" s="7"/>
      <c r="Q5033" s="7"/>
    </row>
    <row r="5034" spans="7:17" ht="21.75" customHeight="1">
      <c r="G5034" t="s">
        <v>3653</v>
      </c>
      <c r="P5034" s="7"/>
      <c r="Q5034" s="7"/>
    </row>
    <row r="5035" spans="7:17" ht="21.75" customHeight="1">
      <c r="G5035" t="s">
        <v>3653</v>
      </c>
      <c r="P5035" s="7"/>
      <c r="Q5035" s="7"/>
    </row>
    <row r="5036" spans="7:17" ht="21.75" customHeight="1">
      <c r="G5036" t="s">
        <v>3653</v>
      </c>
      <c r="P5036" s="7"/>
      <c r="Q5036" s="7"/>
    </row>
    <row r="5037" spans="7:17" ht="21.75" customHeight="1">
      <c r="G5037" t="s">
        <v>3653</v>
      </c>
      <c r="P5037" s="7"/>
      <c r="Q5037" s="7"/>
    </row>
    <row r="5038" spans="7:17" ht="21.75" customHeight="1">
      <c r="G5038" t="s">
        <v>3653</v>
      </c>
      <c r="P5038" s="7"/>
      <c r="Q5038" s="7"/>
    </row>
    <row r="5039" spans="7:17" ht="21.75" customHeight="1">
      <c r="G5039" t="s">
        <v>3653</v>
      </c>
      <c r="P5039" s="7"/>
      <c r="Q5039" s="7"/>
    </row>
    <row r="5040" spans="7:17" ht="21.75" customHeight="1">
      <c r="G5040" t="s">
        <v>3653</v>
      </c>
      <c r="P5040" s="7"/>
      <c r="Q5040" s="7"/>
    </row>
    <row r="5041" spans="7:17" ht="21.75" customHeight="1">
      <c r="G5041" t="s">
        <v>3653</v>
      </c>
      <c r="P5041" s="7"/>
      <c r="Q5041" s="7"/>
    </row>
    <row r="5042" spans="7:17" ht="21.75" customHeight="1">
      <c r="G5042" t="s">
        <v>3653</v>
      </c>
      <c r="P5042" s="7"/>
      <c r="Q5042" s="7"/>
    </row>
    <row r="5043" spans="7:17" ht="21.75" customHeight="1">
      <c r="G5043" t="s">
        <v>3653</v>
      </c>
      <c r="P5043" s="7"/>
      <c r="Q5043" s="7"/>
    </row>
    <row r="5044" spans="7:17" ht="21.75" customHeight="1">
      <c r="G5044" t="s">
        <v>3653</v>
      </c>
      <c r="P5044" s="7"/>
      <c r="Q5044" s="7"/>
    </row>
    <row r="5045" spans="7:17" ht="21.75" customHeight="1">
      <c r="G5045" t="s">
        <v>3653</v>
      </c>
      <c r="P5045" s="7"/>
      <c r="Q5045" s="7"/>
    </row>
    <row r="5046" spans="7:17" ht="21.75" customHeight="1">
      <c r="G5046" t="s">
        <v>3653</v>
      </c>
      <c r="P5046" s="7"/>
      <c r="Q5046" s="7"/>
    </row>
    <row r="5047" spans="7:17" ht="21.75" customHeight="1">
      <c r="G5047" t="s">
        <v>3653</v>
      </c>
      <c r="P5047" s="7"/>
      <c r="Q5047" s="7"/>
    </row>
    <row r="5048" spans="7:17" ht="21.75" customHeight="1">
      <c r="G5048" t="s">
        <v>3653</v>
      </c>
      <c r="P5048" s="7"/>
      <c r="Q5048" s="7"/>
    </row>
    <row r="5049" spans="7:17" ht="21.75" customHeight="1">
      <c r="G5049" t="s">
        <v>3653</v>
      </c>
      <c r="P5049" s="7"/>
      <c r="Q5049" s="7"/>
    </row>
    <row r="5050" spans="7:17" ht="21.75" customHeight="1">
      <c r="G5050" t="s">
        <v>3653</v>
      </c>
      <c r="P5050" s="7"/>
      <c r="Q5050" s="7"/>
    </row>
    <row r="5051" spans="7:17" ht="21.75" customHeight="1">
      <c r="G5051" t="s">
        <v>3653</v>
      </c>
      <c r="P5051" s="7"/>
      <c r="Q5051" s="7"/>
    </row>
    <row r="5052" spans="7:17" ht="21.75" customHeight="1">
      <c r="G5052" t="s">
        <v>3653</v>
      </c>
      <c r="P5052" s="7"/>
      <c r="Q5052" s="7"/>
    </row>
    <row r="5053" spans="7:17" ht="21.75" customHeight="1">
      <c r="G5053" t="s">
        <v>3653</v>
      </c>
      <c r="P5053" s="7"/>
      <c r="Q5053" s="7"/>
    </row>
    <row r="5054" spans="7:17" ht="21.75" customHeight="1">
      <c r="G5054" t="s">
        <v>3653</v>
      </c>
      <c r="P5054" s="7"/>
      <c r="Q5054" s="7"/>
    </row>
    <row r="5055" spans="7:17" ht="21.75" customHeight="1">
      <c r="G5055" t="s">
        <v>3653</v>
      </c>
      <c r="P5055" s="7"/>
      <c r="Q5055" s="7"/>
    </row>
    <row r="5056" spans="7:17" ht="21.75" customHeight="1">
      <c r="G5056" t="s">
        <v>3653</v>
      </c>
      <c r="P5056" s="7"/>
      <c r="Q5056" s="7"/>
    </row>
    <row r="5057" spans="7:17" ht="21.75" customHeight="1">
      <c r="G5057" t="s">
        <v>3653</v>
      </c>
      <c r="P5057" s="7"/>
      <c r="Q5057" s="7"/>
    </row>
    <row r="5058" spans="7:17" ht="21.75" customHeight="1">
      <c r="G5058" t="s">
        <v>3653</v>
      </c>
      <c r="P5058" s="7"/>
      <c r="Q5058" s="7"/>
    </row>
    <row r="5059" spans="7:17" ht="21.75" customHeight="1">
      <c r="G5059" t="s">
        <v>3653</v>
      </c>
      <c r="P5059" s="7"/>
      <c r="Q5059" s="7"/>
    </row>
    <row r="5060" spans="7:17" ht="21.75" customHeight="1">
      <c r="G5060" t="s">
        <v>3653</v>
      </c>
      <c r="P5060" s="7"/>
      <c r="Q5060" s="7"/>
    </row>
    <row r="5061" spans="7:17" ht="21.75" customHeight="1">
      <c r="G5061" t="s">
        <v>3653</v>
      </c>
      <c r="P5061" s="7"/>
      <c r="Q5061" s="7"/>
    </row>
    <row r="5062" spans="7:17" ht="21.75" customHeight="1">
      <c r="G5062" t="s">
        <v>3653</v>
      </c>
      <c r="P5062" s="7"/>
      <c r="Q5062" s="7"/>
    </row>
    <row r="5063" spans="7:17" ht="21.75" customHeight="1">
      <c r="G5063" t="s">
        <v>3653</v>
      </c>
      <c r="P5063" s="7"/>
      <c r="Q5063" s="7"/>
    </row>
    <row r="5064" spans="7:17" ht="21.75" customHeight="1">
      <c r="G5064" t="s">
        <v>3653</v>
      </c>
      <c r="P5064" s="7"/>
      <c r="Q5064" s="7"/>
    </row>
    <row r="5065" spans="7:17" ht="21.75" customHeight="1">
      <c r="G5065" t="s">
        <v>3653</v>
      </c>
      <c r="P5065" s="7"/>
      <c r="Q5065" s="7"/>
    </row>
    <row r="5066" spans="7:17" ht="21.75" customHeight="1">
      <c r="G5066" t="s">
        <v>3653</v>
      </c>
      <c r="P5066" s="7"/>
      <c r="Q5066" s="7"/>
    </row>
    <row r="5067" spans="7:17" ht="21.75" customHeight="1">
      <c r="G5067" t="s">
        <v>3653</v>
      </c>
      <c r="P5067" s="7"/>
      <c r="Q5067" s="7"/>
    </row>
    <row r="5068" spans="7:17" ht="21.75" customHeight="1">
      <c r="G5068" t="s">
        <v>3653</v>
      </c>
      <c r="P5068" s="7"/>
      <c r="Q5068" s="7"/>
    </row>
    <row r="5069" spans="7:17" ht="21.75" customHeight="1">
      <c r="G5069" t="s">
        <v>3653</v>
      </c>
      <c r="P5069" s="7"/>
      <c r="Q5069" s="7"/>
    </row>
    <row r="5070" spans="7:17" ht="21.75" customHeight="1">
      <c r="G5070" t="s">
        <v>3653</v>
      </c>
      <c r="P5070" s="7"/>
      <c r="Q5070" s="7"/>
    </row>
    <row r="5071" spans="7:17" ht="21.75" customHeight="1">
      <c r="G5071" t="s">
        <v>3653</v>
      </c>
      <c r="P5071" s="7"/>
      <c r="Q5071" s="7"/>
    </row>
    <row r="5072" spans="7:17" ht="21.75" customHeight="1">
      <c r="G5072" t="s">
        <v>3653</v>
      </c>
      <c r="P5072" s="7"/>
      <c r="Q5072" s="7"/>
    </row>
    <row r="5073" spans="7:17" ht="21.75" customHeight="1">
      <c r="G5073" t="s">
        <v>3653</v>
      </c>
      <c r="P5073" s="7"/>
      <c r="Q5073" s="7"/>
    </row>
    <row r="5074" spans="7:17" ht="21.75" customHeight="1">
      <c r="G5074" t="s">
        <v>3653</v>
      </c>
      <c r="P5074" s="7"/>
      <c r="Q5074" s="7"/>
    </row>
    <row r="5075" spans="7:17" ht="21.75" customHeight="1">
      <c r="G5075" t="s">
        <v>3653</v>
      </c>
      <c r="P5075" s="7"/>
      <c r="Q5075" s="7"/>
    </row>
    <row r="5076" spans="7:17" ht="21.75" customHeight="1">
      <c r="G5076" t="s">
        <v>3653</v>
      </c>
      <c r="P5076" s="7"/>
      <c r="Q5076" s="7"/>
    </row>
    <row r="5077" spans="7:17" ht="21.75" customHeight="1">
      <c r="G5077" t="s">
        <v>3653</v>
      </c>
      <c r="P5077" s="7"/>
      <c r="Q5077" s="7"/>
    </row>
    <row r="5078" spans="7:17" ht="21.75" customHeight="1">
      <c r="G5078" t="s">
        <v>3653</v>
      </c>
      <c r="P5078" s="7"/>
      <c r="Q5078" s="7"/>
    </row>
    <row r="5079" spans="7:17" ht="21.75" customHeight="1">
      <c r="G5079" t="s">
        <v>3653</v>
      </c>
      <c r="P5079" s="7"/>
      <c r="Q5079" s="7"/>
    </row>
    <row r="5080" spans="7:17" ht="21.75" customHeight="1">
      <c r="G5080" t="s">
        <v>3653</v>
      </c>
      <c r="P5080" s="7"/>
      <c r="Q5080" s="7"/>
    </row>
    <row r="5081" spans="7:17" ht="21.75" customHeight="1">
      <c r="G5081" t="s">
        <v>3653</v>
      </c>
      <c r="P5081" s="7"/>
      <c r="Q5081" s="7"/>
    </row>
    <row r="5082" spans="7:17" ht="21.75" customHeight="1">
      <c r="G5082" t="s">
        <v>3653</v>
      </c>
      <c r="P5082" s="7"/>
      <c r="Q5082" s="7"/>
    </row>
    <row r="5083" spans="7:17" ht="21.75" customHeight="1">
      <c r="G5083" t="s">
        <v>3653</v>
      </c>
      <c r="P5083" s="7"/>
      <c r="Q5083" s="7"/>
    </row>
    <row r="5084" spans="7:17" ht="21.75" customHeight="1">
      <c r="G5084" t="s">
        <v>3653</v>
      </c>
      <c r="P5084" s="7"/>
      <c r="Q5084" s="7"/>
    </row>
    <row r="5085" spans="7:17" ht="21.75" customHeight="1">
      <c r="G5085" t="s">
        <v>3653</v>
      </c>
      <c r="P5085" s="7"/>
      <c r="Q5085" s="7"/>
    </row>
    <row r="5086" spans="7:17" ht="21.75" customHeight="1">
      <c r="G5086" t="s">
        <v>3653</v>
      </c>
      <c r="P5086" s="7"/>
      <c r="Q5086" s="7"/>
    </row>
    <row r="5087" spans="7:17" ht="21.75" customHeight="1">
      <c r="G5087" t="s">
        <v>3653</v>
      </c>
      <c r="P5087" s="7"/>
      <c r="Q5087" s="7"/>
    </row>
    <row r="5088" spans="7:17" ht="21.75" customHeight="1">
      <c r="G5088" t="s">
        <v>3653</v>
      </c>
      <c r="P5088" s="7"/>
      <c r="Q5088" s="7"/>
    </row>
    <row r="5089" spans="7:17" ht="21.75" customHeight="1">
      <c r="G5089" t="s">
        <v>3653</v>
      </c>
      <c r="P5089" s="7"/>
      <c r="Q5089" s="7"/>
    </row>
    <row r="5090" spans="7:17" ht="21.75" customHeight="1">
      <c r="G5090" t="s">
        <v>3653</v>
      </c>
      <c r="P5090" s="7"/>
      <c r="Q5090" s="7"/>
    </row>
    <row r="5091" spans="7:17" ht="21.75" customHeight="1">
      <c r="G5091" t="s">
        <v>3653</v>
      </c>
      <c r="P5091" s="7"/>
      <c r="Q5091" s="7"/>
    </row>
    <row r="5092" spans="7:17" ht="21.75" customHeight="1">
      <c r="G5092" t="s">
        <v>3653</v>
      </c>
      <c r="P5092" s="7"/>
      <c r="Q5092" s="7"/>
    </row>
    <row r="5093" spans="7:17" ht="21.75" customHeight="1">
      <c r="G5093" t="s">
        <v>3653</v>
      </c>
      <c r="P5093" s="7"/>
      <c r="Q5093" s="7"/>
    </row>
    <row r="5094" spans="7:17" ht="21.75" customHeight="1">
      <c r="G5094" t="s">
        <v>3653</v>
      </c>
      <c r="P5094" s="7"/>
      <c r="Q5094" s="7"/>
    </row>
    <row r="5095" spans="7:17" ht="21.75" customHeight="1">
      <c r="G5095" t="s">
        <v>3653</v>
      </c>
      <c r="P5095" s="7"/>
      <c r="Q5095" s="7"/>
    </row>
    <row r="5096" spans="7:17" ht="21.75" customHeight="1">
      <c r="G5096" t="s">
        <v>3653</v>
      </c>
      <c r="P5096" s="7"/>
      <c r="Q5096" s="7"/>
    </row>
    <row r="5097" spans="7:17" ht="21.75" customHeight="1">
      <c r="G5097" t="s">
        <v>3653</v>
      </c>
      <c r="P5097" s="7"/>
      <c r="Q5097" s="7"/>
    </row>
    <row r="5098" spans="7:17" ht="21.75" customHeight="1">
      <c r="G5098" t="s">
        <v>3653</v>
      </c>
      <c r="P5098" s="7"/>
      <c r="Q5098" s="7"/>
    </row>
    <row r="5099" spans="7:17" ht="21.75" customHeight="1">
      <c r="G5099" t="s">
        <v>3653</v>
      </c>
      <c r="P5099" s="7"/>
      <c r="Q5099" s="7"/>
    </row>
    <row r="5100" spans="7:17" ht="21.75" customHeight="1">
      <c r="G5100" t="s">
        <v>3653</v>
      </c>
      <c r="P5100" s="7"/>
      <c r="Q5100" s="7"/>
    </row>
    <row r="5101" spans="7:17" ht="21.75" customHeight="1">
      <c r="G5101" t="s">
        <v>3653</v>
      </c>
      <c r="P5101" s="7"/>
      <c r="Q5101" s="7"/>
    </row>
    <row r="5102" spans="7:17" ht="21.75" customHeight="1">
      <c r="G5102" t="s">
        <v>3653</v>
      </c>
      <c r="P5102" s="7"/>
      <c r="Q5102" s="7"/>
    </row>
    <row r="5103" spans="7:17" ht="21.75" customHeight="1">
      <c r="G5103" t="s">
        <v>3653</v>
      </c>
      <c r="P5103" s="7"/>
      <c r="Q5103" s="7"/>
    </row>
    <row r="5104" spans="7:17" ht="21.75" customHeight="1">
      <c r="G5104" t="s">
        <v>3653</v>
      </c>
      <c r="P5104" s="7"/>
      <c r="Q5104" s="7"/>
    </row>
    <row r="5105" spans="7:17" ht="21.75" customHeight="1">
      <c r="G5105" t="s">
        <v>3653</v>
      </c>
      <c r="P5105" s="7"/>
      <c r="Q5105" s="7"/>
    </row>
    <row r="5106" spans="7:17" ht="21.75" customHeight="1">
      <c r="G5106" t="s">
        <v>3653</v>
      </c>
      <c r="P5106" s="7"/>
      <c r="Q5106" s="7"/>
    </row>
    <row r="5107" spans="7:17" ht="21.75" customHeight="1">
      <c r="G5107" t="s">
        <v>3653</v>
      </c>
      <c r="P5107" s="7"/>
      <c r="Q5107" s="7"/>
    </row>
    <row r="5108" spans="7:17" ht="21.75" customHeight="1">
      <c r="G5108" t="s">
        <v>3653</v>
      </c>
      <c r="P5108" s="7"/>
      <c r="Q5108" s="7"/>
    </row>
    <row r="5109" spans="7:17" ht="21.75" customHeight="1">
      <c r="G5109" t="s">
        <v>3653</v>
      </c>
      <c r="P5109" s="7"/>
      <c r="Q5109" s="7"/>
    </row>
    <row r="5110" spans="7:17" ht="21.75" customHeight="1">
      <c r="G5110" t="s">
        <v>3653</v>
      </c>
      <c r="P5110" s="7"/>
      <c r="Q5110" s="7"/>
    </row>
    <row r="5111" spans="7:17" ht="21.75" customHeight="1">
      <c r="G5111" t="s">
        <v>3653</v>
      </c>
      <c r="P5111" s="7"/>
      <c r="Q5111" s="7"/>
    </row>
    <row r="5112" spans="7:17" ht="21.75" customHeight="1">
      <c r="G5112" t="s">
        <v>3653</v>
      </c>
      <c r="P5112" s="7"/>
      <c r="Q5112" s="7"/>
    </row>
    <row r="5113" spans="7:17" ht="21.75" customHeight="1">
      <c r="G5113" t="s">
        <v>3653</v>
      </c>
      <c r="P5113" s="7"/>
      <c r="Q5113" s="7"/>
    </row>
    <row r="5114" spans="7:17" ht="21.75" customHeight="1">
      <c r="G5114" t="s">
        <v>3653</v>
      </c>
      <c r="P5114" s="7"/>
      <c r="Q5114" s="7"/>
    </row>
    <row r="5115" spans="7:17" ht="21.75" customHeight="1">
      <c r="G5115" t="s">
        <v>3653</v>
      </c>
      <c r="P5115" s="7"/>
      <c r="Q5115" s="7"/>
    </row>
    <row r="5116" spans="7:17" ht="21.75" customHeight="1">
      <c r="G5116" t="s">
        <v>3653</v>
      </c>
      <c r="P5116" s="7"/>
      <c r="Q5116" s="7"/>
    </row>
    <row r="5117" spans="7:17" ht="21.75" customHeight="1">
      <c r="G5117" t="s">
        <v>3653</v>
      </c>
      <c r="P5117" s="7"/>
      <c r="Q5117" s="7"/>
    </row>
    <row r="5118" spans="7:17" ht="21.75" customHeight="1">
      <c r="G5118" t="s">
        <v>3653</v>
      </c>
      <c r="P5118" s="7"/>
      <c r="Q5118" s="7"/>
    </row>
    <row r="5119" spans="7:17" ht="21.75" customHeight="1">
      <c r="G5119" t="s">
        <v>3653</v>
      </c>
      <c r="P5119" s="7"/>
      <c r="Q5119" s="7"/>
    </row>
    <row r="5120" spans="7:17" ht="21.75" customHeight="1">
      <c r="G5120" t="s">
        <v>3653</v>
      </c>
      <c r="P5120" s="7"/>
      <c r="Q5120" s="7"/>
    </row>
    <row r="5121" spans="7:17" ht="21.75" customHeight="1">
      <c r="G5121" t="s">
        <v>3653</v>
      </c>
      <c r="P5121" s="7"/>
      <c r="Q5121" s="7"/>
    </row>
    <row r="5122" spans="7:17" ht="21.75" customHeight="1">
      <c r="G5122" t="s">
        <v>3653</v>
      </c>
      <c r="P5122" s="7"/>
      <c r="Q5122" s="7"/>
    </row>
    <row r="5123" spans="7:17" ht="21.75" customHeight="1">
      <c r="G5123" t="s">
        <v>3653</v>
      </c>
      <c r="P5123" s="7"/>
      <c r="Q5123" s="7"/>
    </row>
    <row r="5124" spans="7:17" ht="21.75" customHeight="1">
      <c r="G5124" t="s">
        <v>3653</v>
      </c>
      <c r="P5124" s="7"/>
      <c r="Q5124" s="7"/>
    </row>
    <row r="5125" spans="7:17" ht="21.75" customHeight="1">
      <c r="G5125" t="s">
        <v>3653</v>
      </c>
      <c r="P5125" s="7"/>
      <c r="Q5125" s="7"/>
    </row>
    <row r="5126" spans="7:17" ht="21.75" customHeight="1">
      <c r="G5126" t="s">
        <v>3653</v>
      </c>
      <c r="P5126" s="7"/>
      <c r="Q5126" s="7"/>
    </row>
    <row r="5127" spans="7:17" ht="21.75" customHeight="1">
      <c r="G5127" t="s">
        <v>3653</v>
      </c>
      <c r="P5127" s="7"/>
      <c r="Q5127" s="7"/>
    </row>
    <row r="5128" spans="7:17" ht="21.75" customHeight="1">
      <c r="G5128" t="s">
        <v>3653</v>
      </c>
      <c r="P5128" s="7"/>
      <c r="Q5128" s="7"/>
    </row>
    <row r="5129" spans="7:17" ht="21.75" customHeight="1">
      <c r="G5129" t="s">
        <v>3653</v>
      </c>
      <c r="P5129" s="7"/>
      <c r="Q5129" s="7"/>
    </row>
    <row r="5130" spans="7:17" ht="21.75" customHeight="1">
      <c r="G5130" t="s">
        <v>3653</v>
      </c>
      <c r="P5130" s="7"/>
      <c r="Q5130" s="7"/>
    </row>
    <row r="5131" spans="7:17" ht="21.75" customHeight="1">
      <c r="G5131" t="s">
        <v>3653</v>
      </c>
      <c r="P5131" s="7"/>
      <c r="Q5131" s="7"/>
    </row>
    <row r="5132" spans="7:17" ht="21.75" customHeight="1">
      <c r="G5132" t="s">
        <v>3653</v>
      </c>
      <c r="P5132" s="7"/>
      <c r="Q5132" s="7"/>
    </row>
    <row r="5133" spans="7:17" ht="21.75" customHeight="1">
      <c r="G5133" t="s">
        <v>3653</v>
      </c>
      <c r="P5133" s="7"/>
      <c r="Q5133" s="7"/>
    </row>
    <row r="5134" spans="7:17" ht="21.75" customHeight="1">
      <c r="G5134" t="s">
        <v>3653</v>
      </c>
      <c r="P5134" s="7"/>
      <c r="Q5134" s="7"/>
    </row>
    <row r="5135" spans="7:17" ht="21.75" customHeight="1">
      <c r="G5135" t="s">
        <v>3653</v>
      </c>
      <c r="P5135" s="7"/>
      <c r="Q5135" s="7"/>
    </row>
    <row r="5136" spans="7:17" ht="21.75" customHeight="1">
      <c r="G5136" t="s">
        <v>3653</v>
      </c>
      <c r="P5136" s="7"/>
      <c r="Q5136" s="7"/>
    </row>
    <row r="5137" spans="7:17" ht="21.75" customHeight="1">
      <c r="G5137" t="s">
        <v>3653</v>
      </c>
      <c r="P5137" s="7"/>
      <c r="Q5137" s="7"/>
    </row>
    <row r="5138" spans="7:17" ht="21.75" customHeight="1">
      <c r="G5138" t="s">
        <v>3653</v>
      </c>
      <c r="P5138" s="7"/>
      <c r="Q5138" s="7"/>
    </row>
    <row r="5139" spans="7:17" ht="21.75" customHeight="1">
      <c r="G5139" t="s">
        <v>3653</v>
      </c>
      <c r="P5139" s="7"/>
      <c r="Q5139" s="7"/>
    </row>
    <row r="5140" spans="7:17" ht="21.75" customHeight="1">
      <c r="G5140" t="s">
        <v>3653</v>
      </c>
      <c r="P5140" s="7"/>
      <c r="Q5140" s="7"/>
    </row>
    <row r="5141" spans="7:17" ht="21.75" customHeight="1">
      <c r="G5141" t="s">
        <v>3653</v>
      </c>
      <c r="P5141" s="7"/>
      <c r="Q5141" s="7"/>
    </row>
    <row r="5142" spans="7:17" ht="21.75" customHeight="1">
      <c r="G5142" t="s">
        <v>3653</v>
      </c>
      <c r="P5142" s="7"/>
      <c r="Q5142" s="7"/>
    </row>
    <row r="5143" spans="7:17" ht="21.75" customHeight="1">
      <c r="G5143" t="s">
        <v>3653</v>
      </c>
      <c r="P5143" s="7"/>
      <c r="Q5143" s="7"/>
    </row>
    <row r="5144" spans="7:17" ht="21.75" customHeight="1">
      <c r="G5144" t="s">
        <v>3653</v>
      </c>
      <c r="P5144" s="7"/>
      <c r="Q5144" s="7"/>
    </row>
    <row r="5145" spans="7:17" ht="21.75" customHeight="1">
      <c r="G5145" t="s">
        <v>3653</v>
      </c>
      <c r="P5145" s="7"/>
      <c r="Q5145" s="7"/>
    </row>
    <row r="5146" spans="7:17" ht="21.75" customHeight="1">
      <c r="G5146" t="s">
        <v>3653</v>
      </c>
      <c r="P5146" s="7"/>
      <c r="Q5146" s="7"/>
    </row>
    <row r="5147" spans="7:17" ht="21.75" customHeight="1">
      <c r="G5147" t="s">
        <v>3653</v>
      </c>
      <c r="P5147" s="7"/>
      <c r="Q5147" s="7"/>
    </row>
    <row r="5148" spans="7:17" ht="21.75" customHeight="1">
      <c r="G5148" t="s">
        <v>3653</v>
      </c>
      <c r="P5148" s="7"/>
      <c r="Q5148" s="7"/>
    </row>
    <row r="5149" spans="7:17" ht="21.75" customHeight="1">
      <c r="G5149" t="s">
        <v>3653</v>
      </c>
      <c r="P5149" s="7"/>
      <c r="Q5149" s="7"/>
    </row>
    <row r="5150" spans="7:17" ht="21.75" customHeight="1">
      <c r="G5150" t="s">
        <v>3653</v>
      </c>
      <c r="P5150" s="7"/>
      <c r="Q5150" s="7"/>
    </row>
    <row r="5151" spans="7:17" ht="21.75" customHeight="1">
      <c r="G5151" t="s">
        <v>3653</v>
      </c>
      <c r="P5151" s="7"/>
      <c r="Q5151" s="7"/>
    </row>
    <row r="5152" spans="7:17" ht="21.75" customHeight="1">
      <c r="G5152" t="s">
        <v>3653</v>
      </c>
      <c r="P5152" s="7"/>
      <c r="Q5152" s="7"/>
    </row>
    <row r="5153" spans="7:17" ht="21.75" customHeight="1">
      <c r="G5153" t="s">
        <v>3653</v>
      </c>
      <c r="P5153" s="7"/>
      <c r="Q5153" s="7"/>
    </row>
    <row r="5154" spans="7:17" ht="21.75" customHeight="1">
      <c r="G5154" t="s">
        <v>3653</v>
      </c>
      <c r="P5154" s="7"/>
      <c r="Q5154" s="7"/>
    </row>
    <row r="5155" spans="7:17" ht="21.75" customHeight="1">
      <c r="G5155" t="s">
        <v>3653</v>
      </c>
      <c r="P5155" s="7"/>
      <c r="Q5155" s="7"/>
    </row>
    <row r="5156" spans="7:17" ht="21.75" customHeight="1">
      <c r="G5156" t="s">
        <v>3653</v>
      </c>
      <c r="P5156" s="7"/>
      <c r="Q5156" s="7"/>
    </row>
    <row r="5157" spans="7:17" ht="21.75" customHeight="1">
      <c r="G5157" t="s">
        <v>3653</v>
      </c>
      <c r="P5157" s="7"/>
      <c r="Q5157" s="7"/>
    </row>
    <row r="5158" spans="7:17" ht="21.75" customHeight="1">
      <c r="G5158" t="s">
        <v>3653</v>
      </c>
      <c r="P5158" s="7"/>
      <c r="Q5158" s="7"/>
    </row>
    <row r="5159" spans="7:17" ht="21.75" customHeight="1">
      <c r="G5159" t="s">
        <v>3653</v>
      </c>
      <c r="P5159" s="7"/>
      <c r="Q5159" s="7"/>
    </row>
    <row r="5160" spans="7:17" ht="21.75" customHeight="1">
      <c r="G5160" t="s">
        <v>3653</v>
      </c>
      <c r="P5160" s="7"/>
      <c r="Q5160" s="7"/>
    </row>
    <row r="5161" spans="7:17" ht="21.75" customHeight="1">
      <c r="G5161" t="s">
        <v>3653</v>
      </c>
      <c r="P5161" s="7"/>
      <c r="Q5161" s="7"/>
    </row>
    <row r="5162" spans="7:17" ht="21.75" customHeight="1">
      <c r="G5162" t="s">
        <v>3653</v>
      </c>
      <c r="P5162" s="7"/>
      <c r="Q5162" s="7"/>
    </row>
    <row r="5163" spans="7:17" ht="21.75" customHeight="1">
      <c r="G5163" t="s">
        <v>3653</v>
      </c>
      <c r="P5163" s="7"/>
      <c r="Q5163" s="7"/>
    </row>
    <row r="5164" spans="7:17" ht="21.75" customHeight="1">
      <c r="G5164" t="s">
        <v>3653</v>
      </c>
      <c r="P5164" s="7"/>
      <c r="Q5164" s="7"/>
    </row>
    <row r="5165" spans="7:17" ht="21.75" customHeight="1">
      <c r="G5165" t="s">
        <v>3653</v>
      </c>
      <c r="P5165" s="7"/>
      <c r="Q5165" s="7"/>
    </row>
    <row r="5166" spans="7:17" ht="21.75" customHeight="1">
      <c r="G5166" t="s">
        <v>3653</v>
      </c>
      <c r="P5166" s="7"/>
      <c r="Q5166" s="7"/>
    </row>
    <row r="5167" spans="7:17" ht="21.75" customHeight="1">
      <c r="G5167" t="s">
        <v>3653</v>
      </c>
      <c r="P5167" s="7"/>
      <c r="Q5167" s="7"/>
    </row>
    <row r="5168" spans="7:17" ht="21.75" customHeight="1">
      <c r="G5168" t="s">
        <v>3653</v>
      </c>
      <c r="P5168" s="7"/>
      <c r="Q5168" s="7"/>
    </row>
    <row r="5169" spans="7:17" ht="21.75" customHeight="1">
      <c r="G5169" t="s">
        <v>3653</v>
      </c>
      <c r="P5169" s="7"/>
      <c r="Q5169" s="7"/>
    </row>
    <row r="5170" spans="7:17" ht="21.75" customHeight="1">
      <c r="G5170" t="s">
        <v>3653</v>
      </c>
      <c r="P5170" s="7"/>
      <c r="Q5170" s="7"/>
    </row>
    <row r="5171" spans="7:17" ht="21.75" customHeight="1">
      <c r="G5171" t="s">
        <v>3653</v>
      </c>
      <c r="P5171" s="7"/>
      <c r="Q5171" s="7"/>
    </row>
    <row r="5172" spans="7:17" ht="21.75" customHeight="1">
      <c r="G5172" t="s">
        <v>3653</v>
      </c>
      <c r="P5172" s="7"/>
      <c r="Q5172" s="7"/>
    </row>
    <row r="5173" spans="7:17" ht="21.75" customHeight="1">
      <c r="G5173" t="s">
        <v>3653</v>
      </c>
      <c r="P5173" s="7"/>
      <c r="Q5173" s="7"/>
    </row>
    <row r="5174" spans="7:17" ht="21.75" customHeight="1">
      <c r="G5174" t="s">
        <v>3653</v>
      </c>
      <c r="P5174" s="7"/>
      <c r="Q5174" s="7"/>
    </row>
    <row r="5175" spans="7:17" ht="21.75" customHeight="1">
      <c r="G5175" t="s">
        <v>3653</v>
      </c>
      <c r="P5175" s="7"/>
      <c r="Q5175" s="7"/>
    </row>
    <row r="5176" spans="7:17" ht="21.75" customHeight="1">
      <c r="G5176" t="s">
        <v>3653</v>
      </c>
      <c r="P5176" s="7"/>
      <c r="Q5176" s="7"/>
    </row>
    <row r="5177" spans="7:17" ht="21.75" customHeight="1">
      <c r="G5177" t="s">
        <v>3653</v>
      </c>
      <c r="P5177" s="7"/>
      <c r="Q5177" s="7"/>
    </row>
    <row r="5178" spans="7:17" ht="21.75" customHeight="1">
      <c r="G5178" t="s">
        <v>3653</v>
      </c>
      <c r="P5178" s="7"/>
      <c r="Q5178" s="7"/>
    </row>
    <row r="5179" spans="7:17" ht="21.75" customHeight="1">
      <c r="G5179" t="s">
        <v>3653</v>
      </c>
      <c r="P5179" s="7"/>
      <c r="Q5179" s="7"/>
    </row>
    <row r="5180" spans="7:17" ht="21.75" customHeight="1">
      <c r="G5180" t="s">
        <v>3653</v>
      </c>
      <c r="P5180" s="7"/>
      <c r="Q5180" s="7"/>
    </row>
    <row r="5181" spans="7:17" ht="21.75" customHeight="1">
      <c r="G5181" t="s">
        <v>3653</v>
      </c>
      <c r="P5181" s="7"/>
      <c r="Q5181" s="7"/>
    </row>
    <row r="5182" spans="7:17" ht="21.75" customHeight="1">
      <c r="G5182" t="s">
        <v>3653</v>
      </c>
      <c r="P5182" s="7"/>
      <c r="Q5182" s="7"/>
    </row>
    <row r="5183" spans="7:17" ht="21.75" customHeight="1">
      <c r="G5183" t="s">
        <v>3653</v>
      </c>
      <c r="P5183" s="7"/>
      <c r="Q5183" s="7"/>
    </row>
    <row r="5184" spans="7:17" ht="21.75" customHeight="1">
      <c r="G5184" t="s">
        <v>3653</v>
      </c>
      <c r="P5184" s="7"/>
      <c r="Q5184" s="7"/>
    </row>
    <row r="5185" spans="7:17" ht="21.75" customHeight="1">
      <c r="G5185" t="s">
        <v>3653</v>
      </c>
      <c r="P5185" s="7"/>
      <c r="Q5185" s="7"/>
    </row>
    <row r="5186" spans="7:17" ht="21.75" customHeight="1">
      <c r="G5186" t="s">
        <v>3653</v>
      </c>
      <c r="P5186" s="7"/>
      <c r="Q5186" s="7"/>
    </row>
    <row r="5187" spans="7:17" ht="21.75" customHeight="1">
      <c r="G5187" t="s">
        <v>3653</v>
      </c>
      <c r="P5187" s="7"/>
      <c r="Q5187" s="7"/>
    </row>
    <row r="5188" spans="7:17" ht="21.75" customHeight="1">
      <c r="G5188" t="s">
        <v>3653</v>
      </c>
      <c r="P5188" s="7"/>
      <c r="Q5188" s="7"/>
    </row>
    <row r="5189" spans="7:17" ht="21.75" customHeight="1">
      <c r="G5189" t="s">
        <v>3653</v>
      </c>
      <c r="P5189" s="7"/>
      <c r="Q5189" s="7"/>
    </row>
    <row r="5190" spans="7:17" ht="21.75" customHeight="1">
      <c r="G5190" t="s">
        <v>3653</v>
      </c>
      <c r="P5190" s="7"/>
      <c r="Q5190" s="7"/>
    </row>
    <row r="5191" spans="7:17" ht="21.75" customHeight="1">
      <c r="G5191" t="s">
        <v>3653</v>
      </c>
      <c r="P5191" s="7"/>
      <c r="Q5191" s="7"/>
    </row>
    <row r="5192" spans="7:17" ht="21.75" customHeight="1">
      <c r="G5192" t="s">
        <v>3653</v>
      </c>
      <c r="P5192" s="7"/>
      <c r="Q5192" s="7"/>
    </row>
    <row r="5193" spans="7:17" ht="21.75" customHeight="1">
      <c r="G5193" t="s">
        <v>3653</v>
      </c>
      <c r="P5193" s="7"/>
      <c r="Q5193" s="7"/>
    </row>
    <row r="5194" spans="7:17" ht="21.75" customHeight="1">
      <c r="G5194" t="s">
        <v>3653</v>
      </c>
      <c r="P5194" s="7"/>
      <c r="Q5194" s="7"/>
    </row>
    <row r="5195" spans="7:17" ht="21.75" customHeight="1">
      <c r="G5195" t="s">
        <v>3653</v>
      </c>
      <c r="P5195" s="7"/>
      <c r="Q5195" s="7"/>
    </row>
    <row r="5196" spans="7:17" ht="21.75" customHeight="1">
      <c r="G5196" t="s">
        <v>3653</v>
      </c>
      <c r="P5196" s="7"/>
      <c r="Q5196" s="7"/>
    </row>
    <row r="5197" spans="7:17" ht="21.75" customHeight="1">
      <c r="G5197" t="s">
        <v>3653</v>
      </c>
      <c r="P5197" s="7"/>
      <c r="Q5197" s="7"/>
    </row>
    <row r="5198" spans="7:17" ht="21.75" customHeight="1">
      <c r="G5198" t="s">
        <v>3653</v>
      </c>
      <c r="P5198" s="7"/>
      <c r="Q5198" s="7"/>
    </row>
    <row r="5199" spans="7:17" ht="21.75" customHeight="1">
      <c r="G5199" t="s">
        <v>3653</v>
      </c>
      <c r="P5199" s="7"/>
      <c r="Q5199" s="7"/>
    </row>
    <row r="5200" spans="7:17" ht="21.75" customHeight="1">
      <c r="G5200" t="s">
        <v>3653</v>
      </c>
      <c r="P5200" s="7"/>
      <c r="Q5200" s="7"/>
    </row>
    <row r="5201" spans="7:17" ht="21.75" customHeight="1">
      <c r="G5201" t="s">
        <v>3653</v>
      </c>
      <c r="P5201" s="7"/>
      <c r="Q5201" s="7"/>
    </row>
    <row r="5202" spans="7:17" ht="21.75" customHeight="1">
      <c r="G5202" t="s">
        <v>3653</v>
      </c>
      <c r="P5202" s="7"/>
      <c r="Q5202" s="7"/>
    </row>
    <row r="5203" spans="7:17" ht="21.75" customHeight="1">
      <c r="G5203" t="s">
        <v>3653</v>
      </c>
      <c r="P5203" s="7"/>
      <c r="Q5203" s="7"/>
    </row>
    <row r="5204" spans="7:17" ht="21.75" customHeight="1">
      <c r="G5204" t="s">
        <v>3653</v>
      </c>
      <c r="P5204" s="7"/>
      <c r="Q5204" s="7"/>
    </row>
    <row r="5205" spans="7:17" ht="21.75" customHeight="1">
      <c r="G5205" t="s">
        <v>3653</v>
      </c>
      <c r="P5205" s="7"/>
      <c r="Q5205" s="7"/>
    </row>
    <row r="5206" spans="7:17" ht="21.75" customHeight="1">
      <c r="G5206" t="s">
        <v>3653</v>
      </c>
      <c r="P5206" s="7"/>
      <c r="Q5206" s="7"/>
    </row>
    <row r="5207" spans="7:17" ht="21.75" customHeight="1">
      <c r="G5207" t="s">
        <v>3653</v>
      </c>
      <c r="P5207" s="7"/>
      <c r="Q5207" s="7"/>
    </row>
    <row r="5208" spans="7:17" ht="21.75" customHeight="1">
      <c r="G5208" t="s">
        <v>3653</v>
      </c>
      <c r="P5208" s="7"/>
      <c r="Q5208" s="7"/>
    </row>
    <row r="5209" spans="7:17" ht="21.75" customHeight="1">
      <c r="G5209" t="s">
        <v>3653</v>
      </c>
      <c r="P5209" s="7"/>
      <c r="Q5209" s="7"/>
    </row>
    <row r="5210" spans="7:17" ht="21.75" customHeight="1">
      <c r="G5210" t="s">
        <v>3653</v>
      </c>
      <c r="P5210" s="7"/>
      <c r="Q5210" s="7"/>
    </row>
    <row r="5211" spans="7:17" ht="21.75" customHeight="1">
      <c r="G5211" t="s">
        <v>3653</v>
      </c>
      <c r="P5211" s="7"/>
      <c r="Q5211" s="7"/>
    </row>
    <row r="5212" spans="7:17" ht="21.75" customHeight="1">
      <c r="G5212" t="s">
        <v>3653</v>
      </c>
      <c r="P5212" s="7"/>
      <c r="Q5212" s="7"/>
    </row>
    <row r="5213" spans="7:17" ht="21.75" customHeight="1">
      <c r="G5213" t="s">
        <v>3653</v>
      </c>
      <c r="P5213" s="7"/>
      <c r="Q5213" s="7"/>
    </row>
    <row r="5214" spans="7:17" ht="21.75" customHeight="1">
      <c r="G5214" t="s">
        <v>3653</v>
      </c>
      <c r="P5214" s="7"/>
      <c r="Q5214" s="7"/>
    </row>
    <row r="5215" spans="7:17" ht="21.75" customHeight="1">
      <c r="G5215" t="s">
        <v>3653</v>
      </c>
      <c r="P5215" s="7"/>
      <c r="Q5215" s="7"/>
    </row>
    <row r="5216" spans="7:17" ht="21.75" customHeight="1">
      <c r="G5216" t="s">
        <v>3653</v>
      </c>
      <c r="P5216" s="7"/>
      <c r="Q5216" s="7"/>
    </row>
    <row r="5217" spans="7:17" ht="21.75" customHeight="1">
      <c r="G5217" t="s">
        <v>3653</v>
      </c>
      <c r="P5217" s="7"/>
      <c r="Q5217" s="7"/>
    </row>
    <row r="5218" spans="7:17" ht="21.75" customHeight="1">
      <c r="G5218" t="s">
        <v>3653</v>
      </c>
      <c r="P5218" s="7"/>
      <c r="Q5218" s="7"/>
    </row>
    <row r="5219" spans="7:17" ht="21.75" customHeight="1">
      <c r="G5219" t="s">
        <v>3653</v>
      </c>
      <c r="P5219" s="7"/>
      <c r="Q5219" s="7"/>
    </row>
    <row r="5220" spans="7:17" ht="21.75" customHeight="1">
      <c r="G5220" t="s">
        <v>3653</v>
      </c>
      <c r="P5220" s="7"/>
      <c r="Q5220" s="7"/>
    </row>
    <row r="5221" spans="7:17" ht="21.75" customHeight="1">
      <c r="G5221" t="s">
        <v>3653</v>
      </c>
      <c r="P5221" s="7"/>
      <c r="Q5221" s="7"/>
    </row>
    <row r="5222" spans="7:17" ht="21.75" customHeight="1">
      <c r="G5222" t="s">
        <v>3653</v>
      </c>
      <c r="P5222" s="7"/>
      <c r="Q5222" s="7"/>
    </row>
    <row r="5223" spans="7:17" ht="21.75" customHeight="1">
      <c r="G5223" t="s">
        <v>3653</v>
      </c>
      <c r="P5223" s="7"/>
      <c r="Q5223" s="7"/>
    </row>
    <row r="5224" spans="7:17" ht="21.75" customHeight="1">
      <c r="G5224" t="s">
        <v>3653</v>
      </c>
      <c r="P5224" s="7"/>
      <c r="Q5224" s="7"/>
    </row>
    <row r="5225" spans="7:17" ht="21.75" customHeight="1">
      <c r="G5225" t="s">
        <v>3653</v>
      </c>
      <c r="P5225" s="7"/>
      <c r="Q5225" s="7"/>
    </row>
    <row r="5226" spans="7:17" ht="21.75" customHeight="1">
      <c r="G5226" t="s">
        <v>3653</v>
      </c>
      <c r="P5226" s="7"/>
      <c r="Q5226" s="7"/>
    </row>
    <row r="5227" spans="7:17" ht="21.75" customHeight="1">
      <c r="G5227" t="s">
        <v>3653</v>
      </c>
      <c r="P5227" s="7"/>
      <c r="Q5227" s="7"/>
    </row>
    <row r="5228" spans="7:17" ht="21.75" customHeight="1">
      <c r="G5228" t="s">
        <v>3653</v>
      </c>
      <c r="P5228" s="7"/>
      <c r="Q5228" s="7"/>
    </row>
    <row r="5229" spans="7:17" ht="21.75" customHeight="1">
      <c r="G5229" t="s">
        <v>3653</v>
      </c>
      <c r="P5229" s="7"/>
      <c r="Q5229" s="7"/>
    </row>
    <row r="5230" spans="7:17" ht="21.75" customHeight="1">
      <c r="G5230" t="s">
        <v>3653</v>
      </c>
      <c r="P5230" s="7"/>
      <c r="Q5230" s="7"/>
    </row>
    <row r="5231" spans="7:17" ht="21.75" customHeight="1">
      <c r="G5231" t="s">
        <v>3653</v>
      </c>
      <c r="P5231" s="7"/>
      <c r="Q5231" s="7"/>
    </row>
    <row r="5232" spans="7:17" ht="21.75" customHeight="1">
      <c r="G5232" t="s">
        <v>3653</v>
      </c>
      <c r="P5232" s="7"/>
      <c r="Q5232" s="7"/>
    </row>
    <row r="5233" spans="7:17" ht="21.75" customHeight="1">
      <c r="G5233" t="s">
        <v>3653</v>
      </c>
      <c r="P5233" s="7"/>
      <c r="Q5233" s="7"/>
    </row>
    <row r="5234" spans="7:17" ht="21.75" customHeight="1">
      <c r="G5234" t="s">
        <v>3653</v>
      </c>
      <c r="P5234" s="7"/>
      <c r="Q5234" s="7"/>
    </row>
    <row r="5235" spans="7:17" ht="21.75" customHeight="1">
      <c r="G5235" t="s">
        <v>3653</v>
      </c>
      <c r="P5235" s="7"/>
      <c r="Q5235" s="7"/>
    </row>
    <row r="5236" spans="7:17" ht="21.75" customHeight="1">
      <c r="G5236" t="s">
        <v>3653</v>
      </c>
      <c r="P5236" s="7"/>
      <c r="Q5236" s="7"/>
    </row>
    <row r="5237" spans="7:17" ht="21.75" customHeight="1">
      <c r="G5237" t="s">
        <v>3653</v>
      </c>
      <c r="P5237" s="7"/>
      <c r="Q5237" s="7"/>
    </row>
    <row r="5238" spans="7:17" ht="21.75" customHeight="1">
      <c r="G5238" t="s">
        <v>3653</v>
      </c>
      <c r="P5238" s="7"/>
      <c r="Q5238" s="7"/>
    </row>
    <row r="5239" spans="7:17" ht="21.75" customHeight="1">
      <c r="G5239" t="s">
        <v>3653</v>
      </c>
      <c r="P5239" s="7"/>
      <c r="Q5239" s="7"/>
    </row>
    <row r="5240" spans="7:17" ht="21.75" customHeight="1">
      <c r="G5240" t="s">
        <v>3653</v>
      </c>
      <c r="P5240" s="7"/>
      <c r="Q5240" s="7"/>
    </row>
    <row r="5241" spans="7:17" ht="21.75" customHeight="1">
      <c r="G5241" t="s">
        <v>3653</v>
      </c>
      <c r="P5241" s="7"/>
      <c r="Q5241" s="7"/>
    </row>
    <row r="5242" spans="7:17" ht="21.75" customHeight="1">
      <c r="G5242" t="s">
        <v>3653</v>
      </c>
      <c r="P5242" s="7"/>
      <c r="Q5242" s="7"/>
    </row>
    <row r="5243" spans="7:17" ht="21.75" customHeight="1">
      <c r="G5243" t="s">
        <v>3653</v>
      </c>
      <c r="P5243" s="7"/>
      <c r="Q5243" s="7"/>
    </row>
    <row r="5244" spans="7:17" ht="21.75" customHeight="1">
      <c r="G5244" t="s">
        <v>3653</v>
      </c>
      <c r="P5244" s="7"/>
      <c r="Q5244" s="7"/>
    </row>
    <row r="5245" spans="7:17" ht="21.75" customHeight="1">
      <c r="G5245" t="s">
        <v>3653</v>
      </c>
      <c r="P5245" s="7"/>
      <c r="Q5245" s="7"/>
    </row>
    <row r="5246" spans="7:17" ht="21.75" customHeight="1">
      <c r="G5246" t="s">
        <v>3653</v>
      </c>
      <c r="P5246" s="7"/>
      <c r="Q5246" s="7"/>
    </row>
    <row r="5247" spans="7:17" ht="21.75" customHeight="1">
      <c r="G5247" t="s">
        <v>3653</v>
      </c>
      <c r="P5247" s="7"/>
      <c r="Q5247" s="7"/>
    </row>
    <row r="5248" spans="7:17" ht="21.75" customHeight="1">
      <c r="G5248" t="s">
        <v>3653</v>
      </c>
      <c r="P5248" s="7"/>
      <c r="Q5248" s="7"/>
    </row>
    <row r="5249" spans="7:17" ht="21.75" customHeight="1">
      <c r="G5249" t="s">
        <v>3653</v>
      </c>
      <c r="P5249" s="7"/>
      <c r="Q5249" s="7"/>
    </row>
    <row r="5250" spans="7:17" ht="21.75" customHeight="1">
      <c r="G5250" t="s">
        <v>3653</v>
      </c>
      <c r="P5250" s="7"/>
      <c r="Q5250" s="7"/>
    </row>
    <row r="5251" spans="7:17" ht="21.75" customHeight="1">
      <c r="G5251" t="s">
        <v>3653</v>
      </c>
      <c r="P5251" s="7"/>
      <c r="Q5251" s="7"/>
    </row>
    <row r="5252" spans="7:17" ht="21.75" customHeight="1">
      <c r="G5252" t="s">
        <v>3653</v>
      </c>
      <c r="P5252" s="7"/>
      <c r="Q5252" s="7"/>
    </row>
    <row r="5253" spans="7:17" ht="21.75" customHeight="1">
      <c r="G5253" t="s">
        <v>3653</v>
      </c>
      <c r="P5253" s="7"/>
      <c r="Q5253" s="7"/>
    </row>
    <row r="5254" spans="7:17" ht="21.75" customHeight="1">
      <c r="G5254" t="s">
        <v>3653</v>
      </c>
      <c r="P5254" s="7"/>
      <c r="Q5254" s="7"/>
    </row>
    <row r="5255" spans="7:17" ht="21.75" customHeight="1">
      <c r="G5255" t="s">
        <v>3653</v>
      </c>
      <c r="P5255" s="7"/>
      <c r="Q5255" s="7"/>
    </row>
    <row r="5256" spans="7:17" ht="21.75" customHeight="1">
      <c r="G5256" t="s">
        <v>3653</v>
      </c>
      <c r="P5256" s="7"/>
      <c r="Q5256" s="7"/>
    </row>
    <row r="5257" spans="7:17" ht="21.75" customHeight="1">
      <c r="G5257" t="s">
        <v>3653</v>
      </c>
      <c r="P5257" s="7"/>
      <c r="Q5257" s="7"/>
    </row>
    <row r="5258" spans="7:17" ht="21.75" customHeight="1">
      <c r="G5258" t="s">
        <v>3653</v>
      </c>
      <c r="P5258" s="7"/>
      <c r="Q5258" s="7"/>
    </row>
    <row r="5259" spans="7:17" ht="21.75" customHeight="1">
      <c r="G5259" t="s">
        <v>3653</v>
      </c>
      <c r="P5259" s="7"/>
      <c r="Q5259" s="7"/>
    </row>
    <row r="5260" spans="7:17" ht="21.75" customHeight="1">
      <c r="G5260" t="s">
        <v>3653</v>
      </c>
      <c r="P5260" s="7"/>
      <c r="Q5260" s="7"/>
    </row>
    <row r="5261" spans="7:17" ht="21.75" customHeight="1">
      <c r="G5261" t="s">
        <v>3653</v>
      </c>
      <c r="P5261" s="7"/>
      <c r="Q5261" s="7"/>
    </row>
    <row r="5262" spans="7:17" ht="21.75" customHeight="1">
      <c r="G5262" t="s">
        <v>3653</v>
      </c>
      <c r="P5262" s="7"/>
      <c r="Q5262" s="7"/>
    </row>
    <row r="5263" spans="7:17" ht="21.75" customHeight="1">
      <c r="G5263" t="s">
        <v>3653</v>
      </c>
      <c r="P5263" s="7"/>
      <c r="Q5263" s="7"/>
    </row>
    <row r="5264" spans="7:17" ht="21.75" customHeight="1">
      <c r="G5264" t="s">
        <v>3653</v>
      </c>
      <c r="P5264" s="7"/>
      <c r="Q5264" s="7"/>
    </row>
    <row r="5265" spans="7:17" ht="21.75" customHeight="1">
      <c r="G5265" t="s">
        <v>3653</v>
      </c>
      <c r="P5265" s="7"/>
      <c r="Q5265" s="7"/>
    </row>
    <row r="5266" spans="7:17" ht="21.75" customHeight="1">
      <c r="G5266" t="s">
        <v>3653</v>
      </c>
      <c r="P5266" s="7"/>
      <c r="Q5266" s="7"/>
    </row>
    <row r="5267" spans="7:17" ht="21.75" customHeight="1">
      <c r="G5267" t="s">
        <v>3653</v>
      </c>
      <c r="P5267" s="7"/>
      <c r="Q5267" s="7"/>
    </row>
    <row r="5268" spans="7:17" ht="21.75" customHeight="1">
      <c r="G5268" t="s">
        <v>3653</v>
      </c>
      <c r="P5268" s="7"/>
      <c r="Q5268" s="7"/>
    </row>
    <row r="5269" spans="7:17" ht="21.75" customHeight="1">
      <c r="G5269" t="s">
        <v>3653</v>
      </c>
      <c r="P5269" s="7"/>
      <c r="Q5269" s="7"/>
    </row>
    <row r="5270" spans="7:17" ht="21.75" customHeight="1">
      <c r="G5270" t="s">
        <v>3653</v>
      </c>
      <c r="P5270" s="7"/>
      <c r="Q5270" s="7"/>
    </row>
    <row r="5271" spans="7:17" ht="21.75" customHeight="1">
      <c r="G5271" t="s">
        <v>3653</v>
      </c>
      <c r="P5271" s="7"/>
      <c r="Q5271" s="7"/>
    </row>
    <row r="5272" spans="7:17" ht="21.75" customHeight="1">
      <c r="G5272" t="s">
        <v>3653</v>
      </c>
      <c r="P5272" s="7"/>
      <c r="Q5272" s="7"/>
    </row>
    <row r="5273" spans="7:17" ht="21.75" customHeight="1">
      <c r="G5273" t="s">
        <v>3653</v>
      </c>
      <c r="P5273" s="7"/>
      <c r="Q5273" s="7"/>
    </row>
    <row r="5274" spans="7:17" ht="21.75" customHeight="1">
      <c r="G5274" t="s">
        <v>3653</v>
      </c>
      <c r="P5274" s="7"/>
      <c r="Q5274" s="7"/>
    </row>
    <row r="5275" spans="7:17" ht="21.75" customHeight="1">
      <c r="G5275" t="s">
        <v>3653</v>
      </c>
      <c r="P5275" s="7"/>
      <c r="Q5275" s="7"/>
    </row>
    <row r="5276" spans="7:17" ht="21.75" customHeight="1">
      <c r="G5276" t="s">
        <v>3653</v>
      </c>
      <c r="P5276" s="7"/>
      <c r="Q5276" s="7"/>
    </row>
    <row r="5277" spans="7:17" ht="21.75" customHeight="1">
      <c r="G5277" t="s">
        <v>3653</v>
      </c>
      <c r="P5277" s="7"/>
      <c r="Q5277" s="7"/>
    </row>
    <row r="5278" spans="7:17" ht="21.75" customHeight="1">
      <c r="G5278" t="s">
        <v>3653</v>
      </c>
      <c r="P5278" s="7"/>
      <c r="Q5278" s="7"/>
    </row>
    <row r="5279" spans="7:17" ht="21.75" customHeight="1">
      <c r="G5279" t="s">
        <v>3653</v>
      </c>
      <c r="P5279" s="7"/>
      <c r="Q5279" s="7"/>
    </row>
    <row r="5280" spans="7:17" ht="21.75" customHeight="1">
      <c r="G5280" t="s">
        <v>3653</v>
      </c>
      <c r="P5280" s="7"/>
      <c r="Q5280" s="7"/>
    </row>
    <row r="5281" spans="7:17" ht="21.75" customHeight="1">
      <c r="G5281" t="s">
        <v>3653</v>
      </c>
      <c r="P5281" s="7"/>
      <c r="Q5281" s="7"/>
    </row>
    <row r="5282" spans="7:17" ht="21.75" customHeight="1">
      <c r="G5282" t="s">
        <v>3653</v>
      </c>
      <c r="P5282" s="7"/>
      <c r="Q5282" s="7"/>
    </row>
    <row r="5283" spans="7:17" ht="21.75" customHeight="1">
      <c r="G5283" t="s">
        <v>3653</v>
      </c>
      <c r="P5283" s="7"/>
      <c r="Q5283" s="7"/>
    </row>
    <row r="5284" spans="7:17" ht="21.75" customHeight="1">
      <c r="G5284" t="s">
        <v>3653</v>
      </c>
      <c r="P5284" s="7"/>
      <c r="Q5284" s="7"/>
    </row>
    <row r="5285" spans="7:17" ht="21.75" customHeight="1">
      <c r="G5285" t="s">
        <v>3653</v>
      </c>
      <c r="P5285" s="7"/>
      <c r="Q5285" s="7"/>
    </row>
    <row r="5286" spans="7:17" ht="21.75" customHeight="1">
      <c r="G5286" t="s">
        <v>3653</v>
      </c>
      <c r="P5286" s="7"/>
      <c r="Q5286" s="7"/>
    </row>
    <row r="5287" spans="7:17" ht="21.75" customHeight="1">
      <c r="G5287" t="s">
        <v>3653</v>
      </c>
      <c r="P5287" s="7"/>
      <c r="Q5287" s="7"/>
    </row>
    <row r="5288" spans="7:17" ht="21.75" customHeight="1">
      <c r="G5288" t="s">
        <v>3653</v>
      </c>
      <c r="P5288" s="7"/>
      <c r="Q5288" s="7"/>
    </row>
    <row r="5289" spans="7:17" ht="21.75" customHeight="1">
      <c r="G5289" t="s">
        <v>3653</v>
      </c>
      <c r="P5289" s="7"/>
      <c r="Q5289" s="7"/>
    </row>
    <row r="5290" spans="7:17" ht="21.75" customHeight="1">
      <c r="G5290" t="s">
        <v>3653</v>
      </c>
      <c r="P5290" s="7"/>
      <c r="Q5290" s="7"/>
    </row>
    <row r="5291" spans="7:17" ht="21.75" customHeight="1">
      <c r="G5291" t="s">
        <v>3653</v>
      </c>
      <c r="P5291" s="7"/>
      <c r="Q5291" s="7"/>
    </row>
    <row r="5292" spans="7:17" ht="21.75" customHeight="1">
      <c r="G5292" t="s">
        <v>3653</v>
      </c>
      <c r="P5292" s="7"/>
      <c r="Q5292" s="7"/>
    </row>
    <row r="5293" spans="7:17" ht="21.75" customHeight="1">
      <c r="G5293" t="s">
        <v>3653</v>
      </c>
      <c r="P5293" s="7"/>
      <c r="Q5293" s="7"/>
    </row>
    <row r="5294" spans="7:17" ht="21.75" customHeight="1">
      <c r="G5294" t="s">
        <v>3653</v>
      </c>
      <c r="P5294" s="7"/>
      <c r="Q5294" s="7"/>
    </row>
    <row r="5295" spans="7:17" ht="21.75" customHeight="1">
      <c r="G5295" t="s">
        <v>3653</v>
      </c>
      <c r="P5295" s="7"/>
      <c r="Q5295" s="7"/>
    </row>
    <row r="5296" spans="7:17" ht="21.75" customHeight="1">
      <c r="G5296" t="s">
        <v>3653</v>
      </c>
      <c r="P5296" s="7"/>
      <c r="Q5296" s="7"/>
    </row>
    <row r="5297" spans="7:17" ht="21.75" customHeight="1">
      <c r="G5297" t="s">
        <v>3653</v>
      </c>
      <c r="P5297" s="7"/>
      <c r="Q5297" s="7"/>
    </row>
    <row r="5298" spans="7:17" ht="21.75" customHeight="1">
      <c r="G5298" t="s">
        <v>3653</v>
      </c>
      <c r="P5298" s="7"/>
      <c r="Q5298" s="7"/>
    </row>
    <row r="5299" spans="7:17" ht="21.75" customHeight="1">
      <c r="G5299" t="s">
        <v>3653</v>
      </c>
      <c r="P5299" s="7"/>
      <c r="Q5299" s="7"/>
    </row>
    <row r="5300" spans="7:17" ht="21.75" customHeight="1">
      <c r="G5300" t="s">
        <v>3653</v>
      </c>
      <c r="P5300" s="7"/>
      <c r="Q5300" s="7"/>
    </row>
    <row r="5301" spans="7:17" ht="21.75" customHeight="1">
      <c r="G5301" t="s">
        <v>3653</v>
      </c>
      <c r="P5301" s="7"/>
      <c r="Q5301" s="7"/>
    </row>
    <row r="5302" spans="7:17" ht="21.75" customHeight="1">
      <c r="G5302" t="s">
        <v>3653</v>
      </c>
      <c r="P5302" s="7"/>
      <c r="Q5302" s="7"/>
    </row>
    <row r="5303" spans="7:17" ht="21.75" customHeight="1">
      <c r="G5303" t="s">
        <v>3653</v>
      </c>
      <c r="P5303" s="7"/>
      <c r="Q5303" s="7"/>
    </row>
    <row r="5304" spans="7:17" ht="21.75" customHeight="1">
      <c r="G5304" t="s">
        <v>3653</v>
      </c>
      <c r="P5304" s="7"/>
      <c r="Q5304" s="7"/>
    </row>
    <row r="5305" spans="7:17" ht="21.75" customHeight="1">
      <c r="G5305" t="s">
        <v>3653</v>
      </c>
      <c r="P5305" s="7"/>
      <c r="Q5305" s="7"/>
    </row>
    <row r="5306" spans="7:17" ht="21.75" customHeight="1">
      <c r="G5306" t="s">
        <v>3653</v>
      </c>
      <c r="P5306" s="7"/>
      <c r="Q5306" s="7"/>
    </row>
    <row r="5307" spans="7:17" ht="21.75" customHeight="1">
      <c r="G5307" t="s">
        <v>3653</v>
      </c>
      <c r="P5307" s="7"/>
      <c r="Q5307" s="7"/>
    </row>
    <row r="5308" spans="7:17" ht="21.75" customHeight="1">
      <c r="G5308" t="s">
        <v>3653</v>
      </c>
      <c r="P5308" s="7"/>
      <c r="Q5308" s="7"/>
    </row>
    <row r="5309" spans="7:17" ht="21.75" customHeight="1">
      <c r="G5309" t="s">
        <v>3653</v>
      </c>
      <c r="P5309" s="7"/>
      <c r="Q5309" s="7"/>
    </row>
    <row r="5310" spans="7:17" ht="21.75" customHeight="1">
      <c r="G5310" t="s">
        <v>3653</v>
      </c>
      <c r="P5310" s="7"/>
      <c r="Q5310" s="7"/>
    </row>
    <row r="5311" spans="7:17" ht="21.75" customHeight="1">
      <c r="G5311" t="s">
        <v>3653</v>
      </c>
      <c r="P5311" s="7"/>
      <c r="Q5311" s="7"/>
    </row>
    <row r="5312" spans="7:17" ht="21.75" customHeight="1">
      <c r="G5312" t="s">
        <v>3653</v>
      </c>
      <c r="P5312" s="7"/>
      <c r="Q5312" s="7"/>
    </row>
    <row r="5313" spans="7:17" ht="21.75" customHeight="1">
      <c r="G5313" t="s">
        <v>3653</v>
      </c>
      <c r="P5313" s="7"/>
      <c r="Q5313" s="7"/>
    </row>
    <row r="5314" spans="7:17" ht="21.75" customHeight="1">
      <c r="G5314" t="s">
        <v>3653</v>
      </c>
      <c r="P5314" s="7"/>
      <c r="Q5314" s="7"/>
    </row>
    <row r="5315" spans="7:17" ht="21.75" customHeight="1">
      <c r="G5315" t="s">
        <v>3653</v>
      </c>
      <c r="P5315" s="7"/>
      <c r="Q5315" s="7"/>
    </row>
    <row r="5316" spans="7:17" ht="21.75" customHeight="1">
      <c r="G5316" t="s">
        <v>3653</v>
      </c>
      <c r="P5316" s="7"/>
      <c r="Q5316" s="7"/>
    </row>
    <row r="5317" spans="7:17" ht="21.75" customHeight="1">
      <c r="G5317" t="s">
        <v>3653</v>
      </c>
      <c r="P5317" s="7"/>
      <c r="Q5317" s="7"/>
    </row>
    <row r="5318" spans="7:17" ht="21.75" customHeight="1">
      <c r="G5318" t="s">
        <v>3653</v>
      </c>
      <c r="P5318" s="7"/>
      <c r="Q5318" s="7"/>
    </row>
    <row r="5319" spans="7:17" ht="21.75" customHeight="1">
      <c r="G5319" t="s">
        <v>3653</v>
      </c>
      <c r="P5319" s="7"/>
      <c r="Q5319" s="7"/>
    </row>
    <row r="5320" spans="7:17" ht="21.75" customHeight="1">
      <c r="G5320" t="s">
        <v>3653</v>
      </c>
      <c r="P5320" s="7"/>
      <c r="Q5320" s="7"/>
    </row>
    <row r="5321" spans="7:17" ht="21.75" customHeight="1">
      <c r="G5321" t="s">
        <v>3653</v>
      </c>
      <c r="P5321" s="7"/>
      <c r="Q5321" s="7"/>
    </row>
    <row r="5322" spans="7:17" ht="21.75" customHeight="1">
      <c r="G5322" t="s">
        <v>3653</v>
      </c>
      <c r="P5322" s="7"/>
      <c r="Q5322" s="7"/>
    </row>
    <row r="5323" spans="7:17" ht="21.75" customHeight="1">
      <c r="G5323" t="s">
        <v>3653</v>
      </c>
      <c r="P5323" s="7"/>
      <c r="Q5323" s="7"/>
    </row>
    <row r="5324" spans="7:17" ht="21.75" customHeight="1">
      <c r="G5324" t="s">
        <v>3653</v>
      </c>
      <c r="P5324" s="7"/>
      <c r="Q5324" s="7"/>
    </row>
    <row r="5325" spans="7:17" ht="21.75" customHeight="1">
      <c r="G5325" t="s">
        <v>3653</v>
      </c>
      <c r="P5325" s="7"/>
      <c r="Q5325" s="7"/>
    </row>
    <row r="5326" spans="7:17" ht="21.75" customHeight="1">
      <c r="G5326" t="s">
        <v>3653</v>
      </c>
      <c r="P5326" s="7"/>
      <c r="Q5326" s="7"/>
    </row>
    <row r="5327" spans="7:17" ht="21.75" customHeight="1">
      <c r="G5327" t="s">
        <v>3653</v>
      </c>
      <c r="P5327" s="7"/>
      <c r="Q5327" s="7"/>
    </row>
    <row r="5328" spans="7:17" ht="21.75" customHeight="1">
      <c r="G5328" t="s">
        <v>3653</v>
      </c>
      <c r="P5328" s="7"/>
      <c r="Q5328" s="7"/>
    </row>
    <row r="5329" spans="7:17" ht="21.75" customHeight="1">
      <c r="G5329" t="s">
        <v>3653</v>
      </c>
      <c r="P5329" s="7"/>
      <c r="Q5329" s="7"/>
    </row>
    <row r="5330" spans="7:17" ht="21.75" customHeight="1">
      <c r="G5330" t="s">
        <v>3653</v>
      </c>
      <c r="P5330" s="7"/>
      <c r="Q5330" s="7"/>
    </row>
    <row r="5331" spans="7:17" ht="21.75" customHeight="1">
      <c r="G5331" t="s">
        <v>3653</v>
      </c>
      <c r="P5331" s="7"/>
      <c r="Q5331" s="7"/>
    </row>
    <row r="5332" spans="7:17" ht="21.75" customHeight="1">
      <c r="G5332" t="s">
        <v>3653</v>
      </c>
      <c r="P5332" s="7"/>
      <c r="Q5332" s="7"/>
    </row>
    <row r="5333" spans="7:17" ht="21.75" customHeight="1">
      <c r="G5333" t="s">
        <v>3653</v>
      </c>
      <c r="P5333" s="7"/>
      <c r="Q5333" s="7"/>
    </row>
    <row r="5334" spans="7:17" ht="21.75" customHeight="1">
      <c r="G5334" t="s">
        <v>3653</v>
      </c>
      <c r="P5334" s="7"/>
      <c r="Q5334" s="7"/>
    </row>
    <row r="5335" spans="7:17" ht="21.75" customHeight="1">
      <c r="G5335" t="s">
        <v>3653</v>
      </c>
      <c r="P5335" s="7"/>
      <c r="Q5335" s="7"/>
    </row>
    <row r="5336" spans="7:17" ht="21.75" customHeight="1">
      <c r="G5336" t="s">
        <v>3653</v>
      </c>
      <c r="P5336" s="7"/>
      <c r="Q5336" s="7"/>
    </row>
    <row r="5337" spans="7:17" ht="21.75" customHeight="1">
      <c r="G5337" t="s">
        <v>3653</v>
      </c>
      <c r="P5337" s="7"/>
      <c r="Q5337" s="7"/>
    </row>
    <row r="5338" spans="7:17" ht="21.75" customHeight="1">
      <c r="G5338" t="s">
        <v>3653</v>
      </c>
      <c r="P5338" s="7"/>
      <c r="Q5338" s="7"/>
    </row>
    <row r="5339" spans="7:17" ht="21.75" customHeight="1">
      <c r="G5339" t="s">
        <v>3653</v>
      </c>
      <c r="P5339" s="7"/>
      <c r="Q5339" s="7"/>
    </row>
    <row r="5340" spans="7:17" ht="21.75" customHeight="1">
      <c r="G5340" t="s">
        <v>3653</v>
      </c>
      <c r="P5340" s="7"/>
      <c r="Q5340" s="7"/>
    </row>
    <row r="5341" spans="7:17" ht="21.75" customHeight="1">
      <c r="G5341" t="s">
        <v>3653</v>
      </c>
      <c r="P5341" s="7"/>
      <c r="Q5341" s="7"/>
    </row>
    <row r="5342" spans="7:17" ht="21.75" customHeight="1">
      <c r="G5342" t="s">
        <v>3653</v>
      </c>
      <c r="P5342" s="7"/>
      <c r="Q5342" s="7"/>
    </row>
    <row r="5343" spans="7:17" ht="21.75" customHeight="1">
      <c r="G5343" t="s">
        <v>3653</v>
      </c>
      <c r="P5343" s="7"/>
      <c r="Q5343" s="7"/>
    </row>
    <row r="5344" spans="7:17" ht="21.75" customHeight="1">
      <c r="G5344" t="s">
        <v>3653</v>
      </c>
      <c r="P5344" s="7"/>
      <c r="Q5344" s="7"/>
    </row>
    <row r="5345" spans="7:17" ht="21.75" customHeight="1">
      <c r="G5345" t="s">
        <v>3653</v>
      </c>
      <c r="P5345" s="7"/>
      <c r="Q5345" s="7"/>
    </row>
    <row r="5346" spans="7:17" ht="21.75" customHeight="1">
      <c r="G5346" t="s">
        <v>3653</v>
      </c>
      <c r="P5346" s="7"/>
      <c r="Q5346" s="7"/>
    </row>
    <row r="5347" spans="7:17" ht="21.75" customHeight="1">
      <c r="G5347" t="s">
        <v>3653</v>
      </c>
      <c r="P5347" s="7"/>
      <c r="Q5347" s="7"/>
    </row>
    <row r="5348" spans="7:17" ht="21.75" customHeight="1">
      <c r="G5348" t="s">
        <v>3653</v>
      </c>
      <c r="P5348" s="7"/>
      <c r="Q5348" s="7"/>
    </row>
    <row r="5349" spans="7:17" ht="21.75" customHeight="1">
      <c r="G5349" t="s">
        <v>3653</v>
      </c>
      <c r="P5349" s="7"/>
      <c r="Q5349" s="7"/>
    </row>
    <row r="5350" spans="7:17" ht="21.75" customHeight="1">
      <c r="G5350" t="s">
        <v>3653</v>
      </c>
      <c r="P5350" s="7"/>
      <c r="Q5350" s="7"/>
    </row>
    <row r="5351" spans="7:17" ht="21.75" customHeight="1">
      <c r="G5351" t="s">
        <v>3653</v>
      </c>
      <c r="P5351" s="7"/>
      <c r="Q5351" s="7"/>
    </row>
    <row r="5352" spans="7:17" ht="21.75" customHeight="1">
      <c r="G5352" t="s">
        <v>3653</v>
      </c>
      <c r="P5352" s="7"/>
      <c r="Q5352" s="7"/>
    </row>
    <row r="5353" spans="7:17" ht="21.75" customHeight="1">
      <c r="G5353" t="s">
        <v>3653</v>
      </c>
      <c r="P5353" s="7"/>
      <c r="Q5353" s="7"/>
    </row>
    <row r="5354" spans="7:17" ht="21.75" customHeight="1">
      <c r="G5354" t="s">
        <v>3653</v>
      </c>
      <c r="P5354" s="7"/>
      <c r="Q5354" s="7"/>
    </row>
    <row r="5355" spans="7:17" ht="21.75" customHeight="1">
      <c r="G5355" t="s">
        <v>3653</v>
      </c>
      <c r="P5355" s="7"/>
      <c r="Q5355" s="7"/>
    </row>
    <row r="5356" spans="7:17" ht="21.75" customHeight="1">
      <c r="G5356" t="s">
        <v>3653</v>
      </c>
      <c r="P5356" s="7"/>
      <c r="Q5356" s="7"/>
    </row>
    <row r="5357" spans="7:17" ht="21.75" customHeight="1">
      <c r="G5357" t="s">
        <v>3653</v>
      </c>
      <c r="P5357" s="7"/>
      <c r="Q5357" s="7"/>
    </row>
    <row r="5358" spans="7:17" ht="21.75" customHeight="1">
      <c r="G5358" t="s">
        <v>3653</v>
      </c>
      <c r="P5358" s="7"/>
      <c r="Q5358" s="7"/>
    </row>
    <row r="5359" spans="7:17" ht="21.75" customHeight="1">
      <c r="G5359" t="s">
        <v>3653</v>
      </c>
      <c r="P5359" s="7"/>
      <c r="Q5359" s="7"/>
    </row>
    <row r="5360" spans="7:17" ht="21.75" customHeight="1">
      <c r="G5360" t="s">
        <v>3653</v>
      </c>
      <c r="P5360" s="7"/>
      <c r="Q5360" s="7"/>
    </row>
    <row r="5361" spans="7:17" ht="21.75" customHeight="1">
      <c r="G5361" t="s">
        <v>3653</v>
      </c>
      <c r="P5361" s="7"/>
      <c r="Q5361" s="7"/>
    </row>
    <row r="5362" spans="7:17" ht="21.75" customHeight="1">
      <c r="G5362" t="s">
        <v>3653</v>
      </c>
      <c r="P5362" s="7"/>
      <c r="Q5362" s="7"/>
    </row>
    <row r="5363" spans="7:17" ht="21.75" customHeight="1">
      <c r="G5363" t="s">
        <v>3653</v>
      </c>
      <c r="P5363" s="7"/>
      <c r="Q5363" s="7"/>
    </row>
    <row r="5364" spans="7:17" ht="21.75" customHeight="1">
      <c r="G5364" t="s">
        <v>3653</v>
      </c>
      <c r="P5364" s="7"/>
      <c r="Q5364" s="7"/>
    </row>
    <row r="5365" spans="7:17" ht="21.75" customHeight="1">
      <c r="G5365" t="s">
        <v>3653</v>
      </c>
      <c r="P5365" s="7"/>
      <c r="Q5365" s="7"/>
    </row>
    <row r="5366" spans="7:17" ht="21.75" customHeight="1">
      <c r="G5366" t="s">
        <v>3653</v>
      </c>
      <c r="P5366" s="7"/>
      <c r="Q5366" s="7"/>
    </row>
    <row r="5367" spans="7:17" ht="21.75" customHeight="1">
      <c r="G5367" t="s">
        <v>3653</v>
      </c>
      <c r="P5367" s="7"/>
      <c r="Q5367" s="7"/>
    </row>
    <row r="5368" spans="7:17" ht="21.75" customHeight="1">
      <c r="G5368" t="s">
        <v>3653</v>
      </c>
      <c r="P5368" s="7"/>
      <c r="Q5368" s="7"/>
    </row>
    <row r="5369" spans="7:17" ht="21.75" customHeight="1">
      <c r="G5369" t="s">
        <v>3653</v>
      </c>
      <c r="P5369" s="7"/>
      <c r="Q5369" s="7"/>
    </row>
    <row r="5370" spans="7:17" ht="21.75" customHeight="1">
      <c r="G5370" t="s">
        <v>3653</v>
      </c>
      <c r="P5370" s="7"/>
      <c r="Q5370" s="7"/>
    </row>
    <row r="5371" spans="7:17" ht="21.75" customHeight="1">
      <c r="G5371" t="s">
        <v>3653</v>
      </c>
      <c r="P5371" s="7"/>
      <c r="Q5371" s="7"/>
    </row>
    <row r="5372" spans="7:17" ht="21.75" customHeight="1">
      <c r="G5372" t="s">
        <v>3653</v>
      </c>
      <c r="P5372" s="7"/>
      <c r="Q5372" s="7"/>
    </row>
    <row r="5373" spans="7:17" ht="21.75" customHeight="1">
      <c r="G5373" t="s">
        <v>3653</v>
      </c>
      <c r="P5373" s="7"/>
      <c r="Q5373" s="7"/>
    </row>
    <row r="5374" spans="7:17" ht="21.75" customHeight="1">
      <c r="G5374" t="s">
        <v>3653</v>
      </c>
      <c r="P5374" s="7"/>
      <c r="Q5374" s="7"/>
    </row>
    <row r="5375" spans="7:17" ht="21.75" customHeight="1">
      <c r="G5375" t="s">
        <v>3653</v>
      </c>
      <c r="P5375" s="7"/>
      <c r="Q5375" s="7"/>
    </row>
    <row r="5376" spans="7:17" ht="21.75" customHeight="1">
      <c r="G5376" t="s">
        <v>3653</v>
      </c>
      <c r="P5376" s="7"/>
      <c r="Q5376" s="7"/>
    </row>
    <row r="5377" spans="7:17" ht="21.75" customHeight="1">
      <c r="G5377" t="s">
        <v>3653</v>
      </c>
      <c r="P5377" s="7"/>
      <c r="Q5377" s="7"/>
    </row>
    <row r="5378" spans="7:17" ht="21.75" customHeight="1">
      <c r="G5378" t="s">
        <v>3653</v>
      </c>
      <c r="P5378" s="7"/>
      <c r="Q5378" s="7"/>
    </row>
    <row r="5379" spans="7:17" ht="21.75" customHeight="1">
      <c r="G5379" t="s">
        <v>3653</v>
      </c>
      <c r="P5379" s="7"/>
      <c r="Q5379" s="7"/>
    </row>
    <row r="5380" spans="7:17" ht="21.75" customHeight="1">
      <c r="G5380" t="s">
        <v>3653</v>
      </c>
      <c r="P5380" s="7"/>
      <c r="Q5380" s="7"/>
    </row>
    <row r="5381" spans="7:17" ht="21.75" customHeight="1">
      <c r="G5381" t="s">
        <v>3653</v>
      </c>
      <c r="P5381" s="7"/>
      <c r="Q5381" s="7"/>
    </row>
    <row r="5382" spans="7:17" ht="21.75" customHeight="1">
      <c r="G5382" t="s">
        <v>3653</v>
      </c>
      <c r="P5382" s="7"/>
      <c r="Q5382" s="7"/>
    </row>
    <row r="5383" spans="7:17" ht="21.75" customHeight="1">
      <c r="G5383" t="s">
        <v>3653</v>
      </c>
      <c r="P5383" s="7"/>
      <c r="Q5383" s="7"/>
    </row>
    <row r="5384" spans="7:17" ht="21.75" customHeight="1">
      <c r="G5384" t="s">
        <v>3653</v>
      </c>
      <c r="P5384" s="7"/>
      <c r="Q5384" s="7"/>
    </row>
    <row r="5385" spans="7:17" ht="21.75" customHeight="1">
      <c r="G5385" t="s">
        <v>3653</v>
      </c>
      <c r="P5385" s="7"/>
      <c r="Q5385" s="7"/>
    </row>
    <row r="5386" spans="7:17" ht="21.75" customHeight="1">
      <c r="G5386" t="s">
        <v>3653</v>
      </c>
      <c r="P5386" s="7"/>
      <c r="Q5386" s="7"/>
    </row>
    <row r="5387" spans="7:17" ht="21.75" customHeight="1">
      <c r="G5387" t="s">
        <v>3653</v>
      </c>
      <c r="P5387" s="7"/>
      <c r="Q5387" s="7"/>
    </row>
    <row r="5388" spans="7:17" ht="21.75" customHeight="1">
      <c r="G5388" t="s">
        <v>3653</v>
      </c>
      <c r="P5388" s="7"/>
      <c r="Q5388" s="7"/>
    </row>
    <row r="5389" spans="7:17" ht="21.75" customHeight="1">
      <c r="G5389" t="s">
        <v>3653</v>
      </c>
      <c r="P5389" s="7"/>
      <c r="Q5389" s="7"/>
    </row>
    <row r="5390" spans="7:17" ht="21.75" customHeight="1">
      <c r="G5390" t="s">
        <v>3653</v>
      </c>
      <c r="P5390" s="7"/>
      <c r="Q5390" s="7"/>
    </row>
    <row r="5391" spans="7:17" ht="21.75" customHeight="1">
      <c r="G5391" t="s">
        <v>3653</v>
      </c>
      <c r="P5391" s="7"/>
      <c r="Q5391" s="7"/>
    </row>
    <row r="5392" spans="7:17" ht="21.75" customHeight="1">
      <c r="G5392" t="s">
        <v>3653</v>
      </c>
      <c r="P5392" s="7"/>
      <c r="Q5392" s="7"/>
    </row>
    <row r="5393" spans="7:17" ht="21.75" customHeight="1">
      <c r="G5393" t="s">
        <v>3653</v>
      </c>
      <c r="P5393" s="7"/>
      <c r="Q5393" s="7"/>
    </row>
    <row r="5394" spans="7:17" ht="21.75" customHeight="1">
      <c r="G5394" t="s">
        <v>3653</v>
      </c>
      <c r="P5394" s="7"/>
      <c r="Q5394" s="7"/>
    </row>
    <row r="5395" spans="7:17" ht="21.75" customHeight="1">
      <c r="G5395" t="s">
        <v>3653</v>
      </c>
      <c r="P5395" s="7"/>
      <c r="Q5395" s="7"/>
    </row>
    <row r="5396" spans="7:17" ht="21.75" customHeight="1">
      <c r="G5396" t="s">
        <v>3653</v>
      </c>
      <c r="P5396" s="7"/>
      <c r="Q5396" s="7"/>
    </row>
    <row r="5397" spans="7:17" ht="21.75" customHeight="1">
      <c r="G5397" t="s">
        <v>3653</v>
      </c>
      <c r="P5397" s="7"/>
      <c r="Q5397" s="7"/>
    </row>
    <row r="5398" spans="7:17" ht="21.75" customHeight="1">
      <c r="G5398" t="s">
        <v>3653</v>
      </c>
      <c r="P5398" s="7"/>
      <c r="Q5398" s="7"/>
    </row>
    <row r="5399" spans="7:17" ht="21.75" customHeight="1">
      <c r="G5399" t="s">
        <v>3653</v>
      </c>
      <c r="P5399" s="7"/>
      <c r="Q5399" s="7"/>
    </row>
    <row r="5400" spans="7:17" ht="21.75" customHeight="1">
      <c r="G5400" t="s">
        <v>3653</v>
      </c>
      <c r="P5400" s="7"/>
      <c r="Q5400" s="7"/>
    </row>
    <row r="5401" spans="7:17" ht="21.75" customHeight="1">
      <c r="G5401" t="s">
        <v>3653</v>
      </c>
      <c r="P5401" s="7"/>
      <c r="Q5401" s="7"/>
    </row>
    <row r="5402" spans="7:17" ht="21.75" customHeight="1">
      <c r="G5402" t="s">
        <v>3653</v>
      </c>
      <c r="P5402" s="7"/>
      <c r="Q5402" s="7"/>
    </row>
    <row r="5403" spans="7:17" ht="21.75" customHeight="1">
      <c r="G5403" t="s">
        <v>3653</v>
      </c>
      <c r="P5403" s="7"/>
      <c r="Q5403" s="7"/>
    </row>
    <row r="5404" spans="7:17" ht="21.75" customHeight="1">
      <c r="G5404" t="s">
        <v>3653</v>
      </c>
      <c r="P5404" s="7"/>
      <c r="Q5404" s="7"/>
    </row>
    <row r="5405" spans="7:17" ht="21.75" customHeight="1">
      <c r="G5405" t="s">
        <v>3653</v>
      </c>
      <c r="P5405" s="7"/>
      <c r="Q5405" s="7"/>
    </row>
    <row r="5406" spans="7:17" ht="21.75" customHeight="1">
      <c r="G5406" t="s">
        <v>3653</v>
      </c>
      <c r="P5406" s="7"/>
      <c r="Q5406" s="7"/>
    </row>
    <row r="5407" spans="7:17" ht="21.75" customHeight="1">
      <c r="G5407" t="s">
        <v>3653</v>
      </c>
      <c r="P5407" s="7"/>
      <c r="Q5407" s="7"/>
    </row>
    <row r="5408" spans="7:17" ht="21.75" customHeight="1">
      <c r="G5408" t="s">
        <v>3653</v>
      </c>
      <c r="P5408" s="7"/>
      <c r="Q5408" s="7"/>
    </row>
    <row r="5409" spans="7:17" ht="21.75" customHeight="1">
      <c r="G5409" t="s">
        <v>3653</v>
      </c>
      <c r="P5409" s="7"/>
      <c r="Q5409" s="7"/>
    </row>
    <row r="5410" spans="7:17" ht="21.75" customHeight="1">
      <c r="G5410" t="s">
        <v>3653</v>
      </c>
      <c r="P5410" s="7"/>
      <c r="Q5410" s="7"/>
    </row>
    <row r="5411" spans="7:17" ht="21.75" customHeight="1">
      <c r="G5411" t="s">
        <v>3653</v>
      </c>
      <c r="P5411" s="7"/>
      <c r="Q5411" s="7"/>
    </row>
    <row r="5412" spans="7:17" ht="21.75" customHeight="1">
      <c r="G5412" t="s">
        <v>3653</v>
      </c>
      <c r="P5412" s="7"/>
      <c r="Q5412" s="7"/>
    </row>
    <row r="5413" spans="7:17" ht="21.75" customHeight="1">
      <c r="G5413" t="s">
        <v>3653</v>
      </c>
      <c r="P5413" s="7"/>
      <c r="Q5413" s="7"/>
    </row>
    <row r="5414" spans="7:17" ht="21.75" customHeight="1">
      <c r="G5414" t="s">
        <v>3653</v>
      </c>
      <c r="P5414" s="7"/>
      <c r="Q5414" s="7"/>
    </row>
    <row r="5415" spans="7:17" ht="21.75" customHeight="1">
      <c r="G5415" t="s">
        <v>3653</v>
      </c>
      <c r="P5415" s="7"/>
      <c r="Q5415" s="7"/>
    </row>
    <row r="5416" spans="7:17" ht="21.75" customHeight="1">
      <c r="G5416" t="s">
        <v>3653</v>
      </c>
      <c r="P5416" s="7"/>
      <c r="Q5416" s="7"/>
    </row>
    <row r="5417" spans="7:17" ht="21.75" customHeight="1">
      <c r="G5417" t="s">
        <v>3653</v>
      </c>
      <c r="P5417" s="7"/>
      <c r="Q5417" s="7"/>
    </row>
    <row r="5418" spans="7:17" ht="21.75" customHeight="1">
      <c r="G5418" t="s">
        <v>3653</v>
      </c>
      <c r="P5418" s="7"/>
      <c r="Q5418" s="7"/>
    </row>
    <row r="5419" spans="7:17" ht="21.75" customHeight="1">
      <c r="G5419" t="s">
        <v>3653</v>
      </c>
      <c r="P5419" s="7"/>
      <c r="Q5419" s="7"/>
    </row>
    <row r="5420" spans="7:17" ht="21.75" customHeight="1">
      <c r="G5420" t="s">
        <v>3653</v>
      </c>
      <c r="P5420" s="7"/>
      <c r="Q5420" s="7"/>
    </row>
    <row r="5421" spans="7:17" ht="21.75" customHeight="1">
      <c r="G5421" t="s">
        <v>3653</v>
      </c>
      <c r="P5421" s="7"/>
      <c r="Q5421" s="7"/>
    </row>
    <row r="5422" spans="7:17" ht="21.75" customHeight="1">
      <c r="G5422" t="s">
        <v>3653</v>
      </c>
      <c r="P5422" s="7"/>
      <c r="Q5422" s="7"/>
    </row>
    <row r="5423" spans="7:17" ht="21.75" customHeight="1">
      <c r="G5423" t="s">
        <v>3653</v>
      </c>
      <c r="P5423" s="7"/>
      <c r="Q5423" s="7"/>
    </row>
    <row r="5424" spans="7:17" ht="21.75" customHeight="1">
      <c r="G5424" t="s">
        <v>3653</v>
      </c>
      <c r="P5424" s="7"/>
      <c r="Q5424" s="7"/>
    </row>
    <row r="5425" spans="7:17" ht="21.75" customHeight="1">
      <c r="G5425" t="s">
        <v>3653</v>
      </c>
      <c r="P5425" s="7"/>
      <c r="Q5425" s="7"/>
    </row>
    <row r="5426" spans="7:17" ht="21.75" customHeight="1">
      <c r="G5426" t="s">
        <v>3653</v>
      </c>
      <c r="P5426" s="7"/>
      <c r="Q5426" s="7"/>
    </row>
    <row r="5427" spans="7:17" ht="21.75" customHeight="1">
      <c r="G5427" t="s">
        <v>3653</v>
      </c>
      <c r="P5427" s="7"/>
      <c r="Q5427" s="7"/>
    </row>
    <row r="5428" spans="7:17" ht="21.75" customHeight="1">
      <c r="G5428" t="s">
        <v>3653</v>
      </c>
      <c r="P5428" s="7"/>
      <c r="Q5428" s="7"/>
    </row>
    <row r="5429" spans="7:17" ht="21.75" customHeight="1">
      <c r="G5429" t="s">
        <v>3653</v>
      </c>
      <c r="P5429" s="7"/>
      <c r="Q5429" s="7"/>
    </row>
    <row r="5430" spans="7:17" ht="21.75" customHeight="1">
      <c r="G5430" t="s">
        <v>3653</v>
      </c>
      <c r="P5430" s="7"/>
      <c r="Q5430" s="7"/>
    </row>
    <row r="5431" spans="7:17" ht="21.75" customHeight="1">
      <c r="G5431" t="s">
        <v>3653</v>
      </c>
      <c r="P5431" s="7"/>
      <c r="Q5431" s="7"/>
    </row>
    <row r="5432" spans="7:17" ht="21.75" customHeight="1">
      <c r="G5432" t="s">
        <v>3653</v>
      </c>
      <c r="P5432" s="7"/>
      <c r="Q5432" s="7"/>
    </row>
    <row r="5433" spans="7:17" ht="21.75" customHeight="1">
      <c r="G5433" t="s">
        <v>3653</v>
      </c>
      <c r="P5433" s="7"/>
      <c r="Q5433" s="7"/>
    </row>
    <row r="5434" spans="7:17" ht="21.75" customHeight="1">
      <c r="G5434" t="s">
        <v>3653</v>
      </c>
      <c r="P5434" s="7"/>
      <c r="Q5434" s="7"/>
    </row>
    <row r="5435" spans="7:17" ht="21.75" customHeight="1">
      <c r="G5435" t="s">
        <v>3653</v>
      </c>
      <c r="P5435" s="7"/>
      <c r="Q5435" s="7"/>
    </row>
    <row r="5436" spans="7:17" ht="21.75" customHeight="1">
      <c r="G5436" t="s">
        <v>3653</v>
      </c>
      <c r="P5436" s="7"/>
      <c r="Q5436" s="7"/>
    </row>
    <row r="5437" spans="7:17" ht="21.75" customHeight="1">
      <c r="G5437" t="s">
        <v>3653</v>
      </c>
      <c r="P5437" s="7"/>
      <c r="Q5437" s="7"/>
    </row>
    <row r="5438" spans="7:17" ht="21.75" customHeight="1">
      <c r="G5438" t="s">
        <v>3653</v>
      </c>
      <c r="P5438" s="7"/>
      <c r="Q5438" s="7"/>
    </row>
    <row r="5439" spans="7:17" ht="21.75" customHeight="1">
      <c r="G5439" t="s">
        <v>3653</v>
      </c>
      <c r="P5439" s="7"/>
      <c r="Q5439" s="7"/>
    </row>
    <row r="5440" spans="7:17" ht="21.75" customHeight="1">
      <c r="G5440" t="s">
        <v>3653</v>
      </c>
      <c r="P5440" s="7"/>
      <c r="Q5440" s="7"/>
    </row>
    <row r="5441" spans="7:17" ht="21.75" customHeight="1">
      <c r="G5441" t="s">
        <v>3653</v>
      </c>
      <c r="P5441" s="7"/>
      <c r="Q5441" s="7"/>
    </row>
    <row r="5442" spans="7:17" ht="21.75" customHeight="1">
      <c r="G5442" t="s">
        <v>3653</v>
      </c>
      <c r="P5442" s="7"/>
      <c r="Q5442" s="7"/>
    </row>
    <row r="5443" spans="7:17" ht="21.75" customHeight="1">
      <c r="G5443" t="s">
        <v>3653</v>
      </c>
      <c r="P5443" s="7"/>
      <c r="Q5443" s="7"/>
    </row>
    <row r="5444" spans="7:17" ht="21.75" customHeight="1">
      <c r="G5444" t="s">
        <v>3653</v>
      </c>
      <c r="P5444" s="7"/>
      <c r="Q5444" s="7"/>
    </row>
    <row r="5445" spans="7:17" ht="21.75" customHeight="1">
      <c r="G5445" t="s">
        <v>3653</v>
      </c>
      <c r="P5445" s="7"/>
      <c r="Q5445" s="7"/>
    </row>
    <row r="5446" spans="7:17" ht="21.75" customHeight="1">
      <c r="G5446" t="s">
        <v>3653</v>
      </c>
      <c r="P5446" s="7"/>
      <c r="Q5446" s="7"/>
    </row>
    <row r="5447" spans="7:17" ht="21.75" customHeight="1">
      <c r="G5447" t="s">
        <v>3653</v>
      </c>
      <c r="P5447" s="7"/>
      <c r="Q5447" s="7"/>
    </row>
    <row r="5448" spans="7:17" ht="21.75" customHeight="1">
      <c r="G5448" t="s">
        <v>3653</v>
      </c>
      <c r="P5448" s="7"/>
      <c r="Q5448" s="7"/>
    </row>
    <row r="5449" spans="7:17" ht="21.75" customHeight="1">
      <c r="G5449" t="s">
        <v>3653</v>
      </c>
      <c r="P5449" s="7"/>
      <c r="Q5449" s="7"/>
    </row>
    <row r="5450" spans="7:17" ht="21.75" customHeight="1">
      <c r="G5450" t="s">
        <v>3653</v>
      </c>
      <c r="P5450" s="7"/>
      <c r="Q5450" s="7"/>
    </row>
    <row r="5451" spans="7:17" ht="21.75" customHeight="1">
      <c r="G5451" t="s">
        <v>3653</v>
      </c>
      <c r="P5451" s="7"/>
      <c r="Q5451" s="7"/>
    </row>
    <row r="5452" spans="7:17" ht="21.75" customHeight="1">
      <c r="G5452" t="s">
        <v>3653</v>
      </c>
      <c r="P5452" s="7"/>
      <c r="Q5452" s="7"/>
    </row>
    <row r="5453" spans="7:17" ht="21.75" customHeight="1">
      <c r="G5453" t="s">
        <v>3653</v>
      </c>
      <c r="P5453" s="7"/>
      <c r="Q5453" s="7"/>
    </row>
    <row r="5454" spans="7:17" ht="21.75" customHeight="1">
      <c r="G5454" t="s">
        <v>3653</v>
      </c>
      <c r="P5454" s="7"/>
      <c r="Q5454" s="7"/>
    </row>
    <row r="5455" spans="7:17" ht="21.75" customHeight="1">
      <c r="G5455" t="s">
        <v>3653</v>
      </c>
      <c r="P5455" s="7"/>
      <c r="Q5455" s="7"/>
    </row>
    <row r="5456" spans="7:17" ht="21.75" customHeight="1">
      <c r="G5456" t="s">
        <v>3653</v>
      </c>
      <c r="P5456" s="7"/>
      <c r="Q5456" s="7"/>
    </row>
    <row r="5457" spans="7:17" ht="21.75" customHeight="1">
      <c r="G5457" t="s">
        <v>3653</v>
      </c>
      <c r="P5457" s="7"/>
      <c r="Q5457" s="7"/>
    </row>
    <row r="5458" spans="7:17" ht="21.75" customHeight="1">
      <c r="G5458" t="s">
        <v>3653</v>
      </c>
      <c r="P5458" s="7"/>
      <c r="Q5458" s="7"/>
    </row>
    <row r="5459" spans="7:17" ht="21.75" customHeight="1">
      <c r="G5459" t="s">
        <v>3653</v>
      </c>
      <c r="P5459" s="7"/>
      <c r="Q5459" s="7"/>
    </row>
    <row r="5460" spans="7:17" ht="21.75" customHeight="1">
      <c r="G5460" t="s">
        <v>3653</v>
      </c>
      <c r="P5460" s="7"/>
      <c r="Q5460" s="7"/>
    </row>
    <row r="5461" spans="7:17" ht="21.75" customHeight="1">
      <c r="G5461" t="s">
        <v>3653</v>
      </c>
      <c r="P5461" s="7"/>
      <c r="Q5461" s="7"/>
    </row>
    <row r="5462" spans="7:17" ht="21.75" customHeight="1">
      <c r="G5462" t="s">
        <v>3653</v>
      </c>
      <c r="P5462" s="7"/>
      <c r="Q5462" s="7"/>
    </row>
    <row r="5463" spans="7:17" ht="21.75" customHeight="1">
      <c r="G5463" t="s">
        <v>3653</v>
      </c>
      <c r="P5463" s="7"/>
      <c r="Q5463" s="7"/>
    </row>
    <row r="5464" spans="7:17" ht="21.75" customHeight="1">
      <c r="G5464" t="s">
        <v>3653</v>
      </c>
      <c r="P5464" s="7"/>
      <c r="Q5464" s="7"/>
    </row>
    <row r="5465" spans="7:17" ht="21.75" customHeight="1">
      <c r="G5465" t="s">
        <v>3653</v>
      </c>
      <c r="P5465" s="7"/>
      <c r="Q5465" s="7"/>
    </row>
    <row r="5466" spans="7:17" ht="21.75" customHeight="1">
      <c r="G5466" t="s">
        <v>3653</v>
      </c>
      <c r="P5466" s="7"/>
      <c r="Q5466" s="7"/>
    </row>
    <row r="5467" spans="7:17" ht="21.75" customHeight="1">
      <c r="G5467" t="s">
        <v>3653</v>
      </c>
      <c r="P5467" s="7"/>
      <c r="Q5467" s="7"/>
    </row>
    <row r="5468" spans="7:17" ht="21.75" customHeight="1">
      <c r="G5468" t="s">
        <v>3653</v>
      </c>
      <c r="P5468" s="7"/>
      <c r="Q5468" s="7"/>
    </row>
    <row r="5469" spans="7:17" ht="21.75" customHeight="1">
      <c r="G5469" t="s">
        <v>3653</v>
      </c>
      <c r="P5469" s="7"/>
      <c r="Q5469" s="7"/>
    </row>
    <row r="5470" spans="7:17" ht="21.75" customHeight="1">
      <c r="G5470" t="s">
        <v>3653</v>
      </c>
      <c r="P5470" s="7"/>
      <c r="Q5470" s="7"/>
    </row>
    <row r="5471" spans="7:17" ht="21.75" customHeight="1">
      <c r="G5471" t="s">
        <v>3653</v>
      </c>
      <c r="P5471" s="7"/>
      <c r="Q5471" s="7"/>
    </row>
    <row r="5472" spans="7:17" ht="21.75" customHeight="1">
      <c r="G5472" t="s">
        <v>3653</v>
      </c>
      <c r="P5472" s="7"/>
      <c r="Q5472" s="7"/>
    </row>
    <row r="5473" spans="7:17" ht="21.75" customHeight="1">
      <c r="G5473" t="s">
        <v>3653</v>
      </c>
      <c r="P5473" s="7"/>
      <c r="Q5473" s="7"/>
    </row>
    <row r="5474" spans="7:17" ht="21.75" customHeight="1">
      <c r="G5474" t="s">
        <v>3653</v>
      </c>
      <c r="P5474" s="7"/>
      <c r="Q5474" s="7"/>
    </row>
    <row r="5475" spans="7:17" ht="21.75" customHeight="1">
      <c r="G5475" t="s">
        <v>3653</v>
      </c>
      <c r="P5475" s="7"/>
      <c r="Q5475" s="7"/>
    </row>
    <row r="5476" spans="7:17" ht="21.75" customHeight="1">
      <c r="G5476" t="s">
        <v>3653</v>
      </c>
      <c r="P5476" s="7"/>
      <c r="Q5476" s="7"/>
    </row>
    <row r="5477" spans="7:17" ht="21.75" customHeight="1">
      <c r="G5477" t="s">
        <v>3653</v>
      </c>
      <c r="P5477" s="7"/>
      <c r="Q5477" s="7"/>
    </row>
    <row r="5478" spans="7:17" ht="21.75" customHeight="1">
      <c r="G5478" t="s">
        <v>3653</v>
      </c>
      <c r="P5478" s="7"/>
      <c r="Q5478" s="7"/>
    </row>
    <row r="5479" spans="7:17" ht="21.75" customHeight="1">
      <c r="G5479" t="s">
        <v>3653</v>
      </c>
      <c r="P5479" s="7"/>
      <c r="Q5479" s="7"/>
    </row>
    <row r="5480" spans="7:17" ht="21.75" customHeight="1">
      <c r="G5480" t="s">
        <v>3653</v>
      </c>
      <c r="P5480" s="7"/>
      <c r="Q5480" s="7"/>
    </row>
    <row r="5481" spans="7:17" ht="21.75" customHeight="1">
      <c r="G5481" t="s">
        <v>3653</v>
      </c>
      <c r="P5481" s="7"/>
      <c r="Q5481" s="7"/>
    </row>
    <row r="5482" spans="7:17" ht="21.75" customHeight="1">
      <c r="G5482" t="s">
        <v>3653</v>
      </c>
      <c r="P5482" s="7"/>
      <c r="Q5482" s="7"/>
    </row>
    <row r="5483" spans="7:17" ht="21.75" customHeight="1">
      <c r="G5483" t="s">
        <v>3653</v>
      </c>
      <c r="P5483" s="7"/>
      <c r="Q5483" s="7"/>
    </row>
    <row r="5484" spans="7:17" ht="21.75" customHeight="1">
      <c r="G5484" t="s">
        <v>3653</v>
      </c>
      <c r="P5484" s="7"/>
      <c r="Q5484" s="7"/>
    </row>
    <row r="5485" spans="7:17" ht="21.75" customHeight="1">
      <c r="G5485" t="s">
        <v>3653</v>
      </c>
      <c r="P5485" s="7"/>
      <c r="Q5485" s="7"/>
    </row>
    <row r="5486" spans="7:17" ht="21.75" customHeight="1">
      <c r="G5486" t="s">
        <v>3653</v>
      </c>
      <c r="P5486" s="7"/>
      <c r="Q5486" s="7"/>
    </row>
    <row r="5487" spans="7:17" ht="21.75" customHeight="1">
      <c r="G5487" t="s">
        <v>3653</v>
      </c>
      <c r="P5487" s="7"/>
      <c r="Q5487" s="7"/>
    </row>
    <row r="5488" spans="7:17" ht="21.75" customHeight="1">
      <c r="G5488" t="s">
        <v>3653</v>
      </c>
      <c r="P5488" s="7"/>
      <c r="Q5488" s="7"/>
    </row>
    <row r="5489" spans="7:17" ht="21.75" customHeight="1">
      <c r="G5489" t="s">
        <v>3653</v>
      </c>
      <c r="P5489" s="7"/>
      <c r="Q5489" s="7"/>
    </row>
    <row r="5490" spans="7:17" ht="21.75" customHeight="1">
      <c r="G5490" t="s">
        <v>3653</v>
      </c>
      <c r="P5490" s="7"/>
      <c r="Q5490" s="7"/>
    </row>
    <row r="5491" spans="7:17" ht="21.75" customHeight="1">
      <c r="G5491" t="s">
        <v>3653</v>
      </c>
      <c r="P5491" s="7"/>
      <c r="Q5491" s="7"/>
    </row>
    <row r="5492" spans="7:17" ht="21.75" customHeight="1">
      <c r="G5492" t="s">
        <v>3653</v>
      </c>
      <c r="P5492" s="7"/>
      <c r="Q5492" s="7"/>
    </row>
    <row r="5493" spans="7:17" ht="21.75" customHeight="1">
      <c r="G5493" t="s">
        <v>3653</v>
      </c>
      <c r="P5493" s="7"/>
      <c r="Q5493" s="7"/>
    </row>
    <row r="5494" spans="7:17" ht="21.75" customHeight="1">
      <c r="G5494" t="s">
        <v>3653</v>
      </c>
      <c r="P5494" s="7"/>
      <c r="Q5494" s="7"/>
    </row>
    <row r="5495" spans="7:17" ht="21.75" customHeight="1">
      <c r="G5495" t="s">
        <v>3653</v>
      </c>
      <c r="P5495" s="7"/>
      <c r="Q5495" s="7"/>
    </row>
    <row r="5496" spans="7:17" ht="21.75" customHeight="1">
      <c r="G5496" t="s">
        <v>3653</v>
      </c>
      <c r="P5496" s="7"/>
      <c r="Q5496" s="7"/>
    </row>
    <row r="5497" spans="7:17" ht="21.75" customHeight="1">
      <c r="G5497" t="s">
        <v>3653</v>
      </c>
      <c r="P5497" s="7"/>
      <c r="Q5497" s="7"/>
    </row>
    <row r="5498" spans="7:17" ht="21.75" customHeight="1">
      <c r="G5498" t="s">
        <v>3653</v>
      </c>
      <c r="P5498" s="7"/>
      <c r="Q5498" s="7"/>
    </row>
    <row r="5499" spans="7:17" ht="21.75" customHeight="1">
      <c r="G5499" t="s">
        <v>3653</v>
      </c>
      <c r="P5499" s="7"/>
      <c r="Q5499" s="7"/>
    </row>
    <row r="5500" spans="7:17" ht="21.75" customHeight="1">
      <c r="G5500" t="s">
        <v>3653</v>
      </c>
      <c r="P5500" s="7"/>
      <c r="Q5500" s="7"/>
    </row>
    <row r="5501" spans="7:17" ht="21.75" customHeight="1">
      <c r="G5501" t="s">
        <v>3653</v>
      </c>
      <c r="P5501" s="7"/>
      <c r="Q5501" s="7"/>
    </row>
    <row r="5502" spans="7:17" ht="21.75" customHeight="1">
      <c r="G5502" t="s">
        <v>3653</v>
      </c>
      <c r="P5502" s="7"/>
      <c r="Q5502" s="7"/>
    </row>
    <row r="5503" spans="7:17" ht="21.75" customHeight="1">
      <c r="G5503" t="s">
        <v>3653</v>
      </c>
      <c r="P5503" s="7"/>
      <c r="Q5503" s="7"/>
    </row>
    <row r="5504" spans="7:17" ht="21.75" customHeight="1">
      <c r="G5504" t="s">
        <v>3653</v>
      </c>
      <c r="P5504" s="7"/>
      <c r="Q5504" s="7"/>
    </row>
    <row r="5505" spans="7:17" ht="21.75" customHeight="1">
      <c r="G5505" t="s">
        <v>3653</v>
      </c>
      <c r="P5505" s="7"/>
      <c r="Q5505" s="7"/>
    </row>
    <row r="5506" spans="7:17" ht="21.75" customHeight="1">
      <c r="G5506" t="s">
        <v>3653</v>
      </c>
      <c r="P5506" s="7"/>
      <c r="Q5506" s="7"/>
    </row>
    <row r="5507" spans="7:17" ht="21.75" customHeight="1">
      <c r="G5507" t="s">
        <v>3653</v>
      </c>
      <c r="P5507" s="7"/>
      <c r="Q5507" s="7"/>
    </row>
    <row r="5508" spans="7:17" ht="21.75" customHeight="1">
      <c r="G5508" t="s">
        <v>3653</v>
      </c>
      <c r="P5508" s="7"/>
      <c r="Q5508" s="7"/>
    </row>
    <row r="5509" spans="7:17" ht="21.75" customHeight="1">
      <c r="G5509" t="s">
        <v>3653</v>
      </c>
      <c r="P5509" s="7"/>
      <c r="Q5509" s="7"/>
    </row>
    <row r="5510" spans="7:17" ht="21.75" customHeight="1">
      <c r="G5510" t="s">
        <v>3653</v>
      </c>
      <c r="P5510" s="7"/>
      <c r="Q5510" s="7"/>
    </row>
    <row r="5511" spans="7:17" ht="21.75" customHeight="1">
      <c r="G5511" t="s">
        <v>3653</v>
      </c>
      <c r="P5511" s="7"/>
      <c r="Q5511" s="7"/>
    </row>
    <row r="5512" spans="7:17" ht="21.75" customHeight="1">
      <c r="G5512" t="s">
        <v>3653</v>
      </c>
      <c r="P5512" s="7"/>
      <c r="Q5512" s="7"/>
    </row>
    <row r="5513" spans="7:17" ht="21.75" customHeight="1">
      <c r="G5513" t="s">
        <v>3653</v>
      </c>
      <c r="P5513" s="7"/>
      <c r="Q5513" s="7"/>
    </row>
    <row r="5514" spans="7:17" ht="21.75" customHeight="1">
      <c r="G5514" t="s">
        <v>3653</v>
      </c>
      <c r="P5514" s="7"/>
      <c r="Q5514" s="7"/>
    </row>
    <row r="5515" spans="7:17" ht="21.75" customHeight="1">
      <c r="G5515" t="s">
        <v>3653</v>
      </c>
      <c r="P5515" s="7"/>
      <c r="Q5515" s="7"/>
    </row>
    <row r="5516" spans="7:17" ht="21.75" customHeight="1">
      <c r="G5516" t="s">
        <v>3653</v>
      </c>
      <c r="P5516" s="7"/>
      <c r="Q5516" s="7"/>
    </row>
    <row r="5517" spans="7:17" ht="21.75" customHeight="1">
      <c r="G5517" t="s">
        <v>3653</v>
      </c>
      <c r="P5517" s="7"/>
      <c r="Q5517" s="7"/>
    </row>
    <row r="5518" spans="7:17" ht="21.75" customHeight="1">
      <c r="G5518" t="s">
        <v>3653</v>
      </c>
      <c r="P5518" s="7"/>
      <c r="Q5518" s="7"/>
    </row>
    <row r="5519" spans="7:17" ht="21.75" customHeight="1">
      <c r="G5519" t="s">
        <v>3653</v>
      </c>
      <c r="P5519" s="7"/>
      <c r="Q5519" s="7"/>
    </row>
    <row r="5520" spans="7:17" ht="21.75" customHeight="1">
      <c r="G5520" t="s">
        <v>3653</v>
      </c>
      <c r="P5520" s="7"/>
      <c r="Q5520" s="7"/>
    </row>
    <row r="5521" spans="7:17" ht="21.75" customHeight="1">
      <c r="G5521" t="s">
        <v>3653</v>
      </c>
      <c r="P5521" s="7"/>
      <c r="Q5521" s="7"/>
    </row>
    <row r="5522" spans="7:17" ht="21.75" customHeight="1">
      <c r="G5522" t="s">
        <v>3653</v>
      </c>
      <c r="P5522" s="7"/>
      <c r="Q5522" s="7"/>
    </row>
    <row r="5523" spans="7:17" ht="21.75" customHeight="1">
      <c r="G5523" t="s">
        <v>3653</v>
      </c>
      <c r="P5523" s="7"/>
      <c r="Q5523" s="7"/>
    </row>
    <row r="5524" spans="7:17" ht="21.75" customHeight="1">
      <c r="G5524" t="s">
        <v>3653</v>
      </c>
      <c r="P5524" s="7"/>
      <c r="Q5524" s="7"/>
    </row>
    <row r="5525" spans="7:17" ht="21.75" customHeight="1">
      <c r="G5525" t="s">
        <v>3653</v>
      </c>
      <c r="P5525" s="7"/>
      <c r="Q5525" s="7"/>
    </row>
    <row r="5526" spans="7:17" ht="21.75" customHeight="1">
      <c r="G5526" t="s">
        <v>3653</v>
      </c>
      <c r="P5526" s="7"/>
      <c r="Q5526" s="7"/>
    </row>
    <row r="5527" spans="7:17" ht="21.75" customHeight="1">
      <c r="G5527" t="s">
        <v>3653</v>
      </c>
      <c r="P5527" s="7"/>
      <c r="Q5527" s="7"/>
    </row>
    <row r="5528" spans="7:17" ht="21.75" customHeight="1">
      <c r="G5528" t="s">
        <v>3653</v>
      </c>
      <c r="P5528" s="7"/>
      <c r="Q5528" s="7"/>
    </row>
    <row r="5529" spans="7:17" ht="21.75" customHeight="1">
      <c r="G5529" t="s">
        <v>3653</v>
      </c>
      <c r="P5529" s="7"/>
      <c r="Q5529" s="7"/>
    </row>
    <row r="5530" spans="7:17" ht="21.75" customHeight="1">
      <c r="G5530" t="s">
        <v>3653</v>
      </c>
      <c r="P5530" s="7"/>
      <c r="Q5530" s="7"/>
    </row>
    <row r="5531" spans="7:17" ht="21.75" customHeight="1">
      <c r="G5531" t="s">
        <v>3653</v>
      </c>
      <c r="P5531" s="7"/>
      <c r="Q5531" s="7"/>
    </row>
    <row r="5532" spans="7:17" ht="21.75" customHeight="1">
      <c r="G5532" t="s">
        <v>3653</v>
      </c>
      <c r="P5532" s="7"/>
      <c r="Q5532" s="7"/>
    </row>
    <row r="5533" spans="7:17" ht="21.75" customHeight="1">
      <c r="G5533" t="s">
        <v>3653</v>
      </c>
      <c r="P5533" s="7"/>
      <c r="Q5533" s="7"/>
    </row>
    <row r="5534" spans="7:17" ht="21.75" customHeight="1">
      <c r="G5534" t="s">
        <v>3653</v>
      </c>
      <c r="P5534" s="7"/>
      <c r="Q5534" s="7"/>
    </row>
    <row r="5535" spans="7:17" ht="21.75" customHeight="1">
      <c r="G5535" t="s">
        <v>3653</v>
      </c>
      <c r="P5535" s="7"/>
      <c r="Q5535" s="7"/>
    </row>
    <row r="5536" spans="7:17" ht="21.75" customHeight="1">
      <c r="G5536" t="s">
        <v>3653</v>
      </c>
      <c r="P5536" s="7"/>
      <c r="Q5536" s="7"/>
    </row>
    <row r="5537" spans="7:17" ht="21.75" customHeight="1">
      <c r="G5537" t="s">
        <v>3653</v>
      </c>
      <c r="P5537" s="7"/>
      <c r="Q5537" s="7"/>
    </row>
    <row r="5538" spans="7:17" ht="21.75" customHeight="1">
      <c r="G5538" t="s">
        <v>3653</v>
      </c>
      <c r="P5538" s="7"/>
      <c r="Q5538" s="7"/>
    </row>
    <row r="5539" spans="7:17" ht="21.75" customHeight="1">
      <c r="G5539" t="s">
        <v>3653</v>
      </c>
      <c r="P5539" s="7"/>
      <c r="Q5539" s="7"/>
    </row>
    <row r="5540" spans="7:17" ht="21.75" customHeight="1">
      <c r="G5540" t="s">
        <v>3653</v>
      </c>
      <c r="P5540" s="7"/>
      <c r="Q5540" s="7"/>
    </row>
    <row r="5541" spans="7:17" ht="21.75" customHeight="1">
      <c r="G5541" t="s">
        <v>3653</v>
      </c>
      <c r="P5541" s="7"/>
      <c r="Q5541" s="7"/>
    </row>
    <row r="5542" spans="7:17" ht="21.75" customHeight="1">
      <c r="G5542" t="s">
        <v>3653</v>
      </c>
      <c r="P5542" s="7"/>
      <c r="Q5542" s="7"/>
    </row>
    <row r="5543" spans="7:17" ht="21.75" customHeight="1">
      <c r="G5543" t="s">
        <v>3653</v>
      </c>
      <c r="P5543" s="7"/>
      <c r="Q5543" s="7"/>
    </row>
    <row r="5544" spans="7:17" ht="21.75" customHeight="1">
      <c r="G5544" t="s">
        <v>3653</v>
      </c>
      <c r="P5544" s="7"/>
      <c r="Q5544" s="7"/>
    </row>
    <row r="5545" spans="7:17" ht="21.75" customHeight="1">
      <c r="G5545" t="s">
        <v>3653</v>
      </c>
      <c r="P5545" s="7"/>
      <c r="Q5545" s="7"/>
    </row>
    <row r="5546" spans="7:17" ht="21.75" customHeight="1">
      <c r="G5546" t="s">
        <v>3653</v>
      </c>
      <c r="P5546" s="7"/>
      <c r="Q5546" s="7"/>
    </row>
    <row r="5547" spans="7:17" ht="21.75" customHeight="1">
      <c r="G5547" t="s">
        <v>3653</v>
      </c>
      <c r="P5547" s="7"/>
      <c r="Q5547" s="7"/>
    </row>
    <row r="5548" spans="7:17" ht="21.75" customHeight="1">
      <c r="G5548" t="s">
        <v>3653</v>
      </c>
      <c r="P5548" s="7"/>
      <c r="Q5548" s="7"/>
    </row>
    <row r="5549" spans="7:17" ht="21.75" customHeight="1">
      <c r="G5549" t="s">
        <v>3653</v>
      </c>
      <c r="P5549" s="7"/>
      <c r="Q5549" s="7"/>
    </row>
    <row r="5550" spans="7:17" ht="21.75" customHeight="1">
      <c r="G5550" t="s">
        <v>3653</v>
      </c>
      <c r="P5550" s="7"/>
      <c r="Q5550" s="7"/>
    </row>
    <row r="5551" spans="7:17" ht="21.75" customHeight="1">
      <c r="G5551" t="s">
        <v>3653</v>
      </c>
      <c r="P5551" s="7"/>
      <c r="Q5551" s="7"/>
    </row>
    <row r="5552" spans="7:17" ht="21.75" customHeight="1">
      <c r="G5552" t="s">
        <v>3653</v>
      </c>
      <c r="P5552" s="7"/>
      <c r="Q5552" s="7"/>
    </row>
    <row r="5553" spans="7:17" ht="21.75" customHeight="1">
      <c r="G5553" t="s">
        <v>3653</v>
      </c>
      <c r="P5553" s="7"/>
      <c r="Q5553" s="7"/>
    </row>
    <row r="5554" spans="7:17" ht="21.75" customHeight="1">
      <c r="G5554" t="s">
        <v>3653</v>
      </c>
      <c r="P5554" s="7"/>
      <c r="Q5554" s="7"/>
    </row>
    <row r="5555" spans="7:17" ht="21.75" customHeight="1">
      <c r="G5555" t="s">
        <v>3653</v>
      </c>
      <c r="P5555" s="7"/>
      <c r="Q5555" s="7"/>
    </row>
    <row r="5556" spans="7:17" ht="21.75" customHeight="1">
      <c r="G5556" t="s">
        <v>3653</v>
      </c>
      <c r="P5556" s="7"/>
      <c r="Q5556" s="7"/>
    </row>
    <row r="5557" spans="7:17" ht="21.75" customHeight="1">
      <c r="G5557" t="s">
        <v>3653</v>
      </c>
      <c r="P5557" s="7"/>
      <c r="Q5557" s="7"/>
    </row>
    <row r="5558" spans="7:17" ht="21.75" customHeight="1">
      <c r="G5558" t="s">
        <v>3653</v>
      </c>
      <c r="P5558" s="7"/>
      <c r="Q5558" s="7"/>
    </row>
    <row r="5559" spans="7:17" ht="21.75" customHeight="1">
      <c r="G5559" t="s">
        <v>3653</v>
      </c>
      <c r="P5559" s="7"/>
      <c r="Q5559" s="7"/>
    </row>
    <row r="5560" spans="7:17" ht="21.75" customHeight="1">
      <c r="G5560" t="s">
        <v>3653</v>
      </c>
      <c r="P5560" s="7"/>
      <c r="Q5560" s="7"/>
    </row>
    <row r="5561" spans="7:17" ht="21.75" customHeight="1">
      <c r="G5561" t="s">
        <v>3653</v>
      </c>
      <c r="P5561" s="7"/>
      <c r="Q5561" s="7"/>
    </row>
    <row r="5562" spans="7:17" ht="21.75" customHeight="1">
      <c r="G5562" t="s">
        <v>3653</v>
      </c>
      <c r="P5562" s="7"/>
      <c r="Q5562" s="7"/>
    </row>
    <row r="5563" spans="7:17" ht="21.75" customHeight="1">
      <c r="G5563" t="s">
        <v>3653</v>
      </c>
      <c r="P5563" s="7"/>
      <c r="Q5563" s="7"/>
    </row>
    <row r="5564" spans="7:17" ht="21.75" customHeight="1">
      <c r="G5564" t="s">
        <v>3653</v>
      </c>
      <c r="P5564" s="7"/>
      <c r="Q5564" s="7"/>
    </row>
    <row r="5565" spans="7:17" ht="21.75" customHeight="1">
      <c r="G5565" t="s">
        <v>3653</v>
      </c>
      <c r="P5565" s="7"/>
      <c r="Q5565" s="7"/>
    </row>
    <row r="5566" spans="7:17" ht="21.75" customHeight="1">
      <c r="G5566" t="s">
        <v>3653</v>
      </c>
      <c r="P5566" s="7"/>
      <c r="Q5566" s="7"/>
    </row>
    <row r="5567" spans="7:17" ht="21.75" customHeight="1">
      <c r="G5567" t="s">
        <v>3653</v>
      </c>
      <c r="P5567" s="7"/>
      <c r="Q5567" s="7"/>
    </row>
    <row r="5568" spans="7:17" ht="21.75" customHeight="1">
      <c r="G5568" t="s">
        <v>3653</v>
      </c>
      <c r="P5568" s="7"/>
      <c r="Q5568" s="7"/>
    </row>
    <row r="5569" spans="7:17" ht="21.75" customHeight="1">
      <c r="G5569" t="s">
        <v>3653</v>
      </c>
      <c r="P5569" s="7"/>
      <c r="Q5569" s="7"/>
    </row>
    <row r="5570" spans="7:17" ht="21.75" customHeight="1">
      <c r="G5570" t="s">
        <v>3653</v>
      </c>
      <c r="P5570" s="7"/>
      <c r="Q5570" s="7"/>
    </row>
    <row r="5571" spans="7:17" ht="21.75" customHeight="1">
      <c r="G5571" t="s">
        <v>3653</v>
      </c>
      <c r="P5571" s="7"/>
      <c r="Q5571" s="7"/>
    </row>
    <row r="5572" spans="7:17" ht="21.75" customHeight="1">
      <c r="G5572" t="s">
        <v>3653</v>
      </c>
      <c r="P5572" s="7"/>
      <c r="Q5572" s="7"/>
    </row>
    <row r="5573" spans="7:17" ht="21.75" customHeight="1">
      <c r="G5573" t="s">
        <v>3653</v>
      </c>
      <c r="P5573" s="7"/>
      <c r="Q5573" s="7"/>
    </row>
    <row r="5574" spans="7:17" ht="21.75" customHeight="1">
      <c r="G5574" t="s">
        <v>3653</v>
      </c>
      <c r="P5574" s="7"/>
      <c r="Q5574" s="7"/>
    </row>
    <row r="5575" spans="7:17" ht="21.75" customHeight="1">
      <c r="G5575" t="s">
        <v>3653</v>
      </c>
      <c r="P5575" s="7"/>
      <c r="Q5575" s="7"/>
    </row>
    <row r="5576" spans="7:17" ht="21.75" customHeight="1">
      <c r="G5576" t="s">
        <v>3653</v>
      </c>
      <c r="P5576" s="7"/>
      <c r="Q5576" s="7"/>
    </row>
    <row r="5577" spans="7:17" ht="21.75" customHeight="1">
      <c r="G5577" t="s">
        <v>3653</v>
      </c>
      <c r="P5577" s="7"/>
      <c r="Q5577" s="7"/>
    </row>
    <row r="5578" spans="7:17" ht="21.75" customHeight="1">
      <c r="G5578" t="s">
        <v>3653</v>
      </c>
      <c r="P5578" s="7"/>
      <c r="Q5578" s="7"/>
    </row>
    <row r="5579" spans="7:17" ht="21.75" customHeight="1">
      <c r="G5579" t="s">
        <v>3653</v>
      </c>
      <c r="P5579" s="7"/>
      <c r="Q5579" s="7"/>
    </row>
    <row r="5580" spans="7:17" ht="21.75" customHeight="1">
      <c r="G5580" t="s">
        <v>3653</v>
      </c>
      <c r="P5580" s="7"/>
      <c r="Q5580" s="7"/>
    </row>
    <row r="5581" spans="7:17" ht="21.75" customHeight="1">
      <c r="G5581" t="s">
        <v>3653</v>
      </c>
      <c r="P5581" s="7"/>
      <c r="Q5581" s="7"/>
    </row>
    <row r="5582" spans="7:17" ht="21.75" customHeight="1">
      <c r="G5582" t="s">
        <v>3653</v>
      </c>
      <c r="P5582" s="7"/>
      <c r="Q5582" s="7"/>
    </row>
    <row r="5583" spans="7:17" ht="21.75" customHeight="1">
      <c r="G5583" t="s">
        <v>3653</v>
      </c>
      <c r="P5583" s="7"/>
      <c r="Q5583" s="7"/>
    </row>
    <row r="5584" spans="7:17" ht="21.75" customHeight="1">
      <c r="G5584" t="s">
        <v>3653</v>
      </c>
      <c r="P5584" s="7"/>
      <c r="Q5584" s="7"/>
    </row>
    <row r="5585" spans="7:17" ht="21.75" customHeight="1">
      <c r="G5585" t="s">
        <v>3653</v>
      </c>
      <c r="P5585" s="7"/>
      <c r="Q5585" s="7"/>
    </row>
    <row r="5586" spans="7:17" ht="21.75" customHeight="1">
      <c r="G5586" t="s">
        <v>3653</v>
      </c>
      <c r="P5586" s="7"/>
      <c r="Q5586" s="7"/>
    </row>
    <row r="5587" spans="7:17" ht="21.75" customHeight="1">
      <c r="G5587" t="s">
        <v>3653</v>
      </c>
      <c r="P5587" s="7"/>
      <c r="Q5587" s="7"/>
    </row>
    <row r="5588" spans="7:17" ht="21.75" customHeight="1">
      <c r="G5588" t="s">
        <v>3653</v>
      </c>
      <c r="P5588" s="7"/>
      <c r="Q5588" s="7"/>
    </row>
    <row r="5589" spans="7:17" ht="21.75" customHeight="1">
      <c r="G5589" t="s">
        <v>3653</v>
      </c>
      <c r="P5589" s="7"/>
      <c r="Q5589" s="7"/>
    </row>
    <row r="5590" spans="7:17" ht="21.75" customHeight="1">
      <c r="G5590" t="s">
        <v>3653</v>
      </c>
      <c r="P5590" s="7"/>
      <c r="Q5590" s="7"/>
    </row>
    <row r="5591" spans="7:17" ht="21.75" customHeight="1">
      <c r="G5591" t="s">
        <v>3653</v>
      </c>
      <c r="P5591" s="7"/>
      <c r="Q5591" s="7"/>
    </row>
    <row r="5592" spans="7:17" ht="21.75" customHeight="1">
      <c r="G5592" t="s">
        <v>3653</v>
      </c>
      <c r="P5592" s="7"/>
      <c r="Q5592" s="7"/>
    </row>
    <row r="5593" spans="7:17" ht="21.75" customHeight="1">
      <c r="G5593" t="s">
        <v>3653</v>
      </c>
      <c r="P5593" s="7"/>
      <c r="Q5593" s="7"/>
    </row>
    <row r="5594" spans="7:17" ht="21.75" customHeight="1">
      <c r="G5594" t="s">
        <v>3653</v>
      </c>
      <c r="P5594" s="7"/>
      <c r="Q5594" s="7"/>
    </row>
    <row r="5595" spans="7:17" ht="21.75" customHeight="1">
      <c r="G5595" t="s">
        <v>3653</v>
      </c>
      <c r="P5595" s="7"/>
      <c r="Q5595" s="7"/>
    </row>
    <row r="5596" spans="7:17" ht="21.75" customHeight="1">
      <c r="G5596" t="s">
        <v>3653</v>
      </c>
      <c r="P5596" s="7"/>
      <c r="Q5596" s="7"/>
    </row>
    <row r="5597" spans="7:17" ht="21.75" customHeight="1">
      <c r="G5597" t="s">
        <v>3653</v>
      </c>
      <c r="P5597" s="7"/>
      <c r="Q5597" s="7"/>
    </row>
    <row r="5598" spans="7:17" ht="21.75" customHeight="1">
      <c r="G5598" t="s">
        <v>3653</v>
      </c>
      <c r="P5598" s="7"/>
      <c r="Q5598" s="7"/>
    </row>
    <row r="5599" spans="7:17" ht="21.75" customHeight="1">
      <c r="G5599" t="s">
        <v>3653</v>
      </c>
      <c r="P5599" s="7"/>
      <c r="Q5599" s="7"/>
    </row>
    <row r="5600" spans="7:17" ht="21.75" customHeight="1">
      <c r="G5600" t="s">
        <v>3653</v>
      </c>
      <c r="P5600" s="7"/>
      <c r="Q5600" s="7"/>
    </row>
    <row r="5601" spans="7:17" ht="21.75" customHeight="1">
      <c r="G5601" t="s">
        <v>3653</v>
      </c>
      <c r="P5601" s="7"/>
      <c r="Q5601" s="7"/>
    </row>
    <row r="5602" spans="7:17" ht="21.75" customHeight="1">
      <c r="G5602" t="s">
        <v>3653</v>
      </c>
      <c r="P5602" s="7"/>
      <c r="Q5602" s="7"/>
    </row>
    <row r="5603" spans="7:17" ht="21.75" customHeight="1">
      <c r="G5603" t="s">
        <v>3653</v>
      </c>
      <c r="P5603" s="7"/>
      <c r="Q5603" s="7"/>
    </row>
    <row r="5604" spans="7:17" ht="21.75" customHeight="1">
      <c r="G5604" t="s">
        <v>3653</v>
      </c>
      <c r="P5604" s="7"/>
      <c r="Q5604" s="7"/>
    </row>
    <row r="5605" spans="7:17" ht="21.75" customHeight="1">
      <c r="G5605" t="s">
        <v>3653</v>
      </c>
      <c r="P5605" s="7"/>
      <c r="Q5605" s="7"/>
    </row>
    <row r="5606" spans="7:17" ht="21.75" customHeight="1">
      <c r="G5606" t="s">
        <v>3653</v>
      </c>
      <c r="P5606" s="7"/>
      <c r="Q5606" s="7"/>
    </row>
    <row r="5607" spans="7:17" ht="21.75" customHeight="1">
      <c r="G5607" t="s">
        <v>3653</v>
      </c>
      <c r="P5607" s="7"/>
      <c r="Q5607" s="7"/>
    </row>
    <row r="5608" spans="7:17" ht="21.75" customHeight="1">
      <c r="G5608" t="s">
        <v>3653</v>
      </c>
      <c r="P5608" s="7"/>
      <c r="Q5608" s="7"/>
    </row>
    <row r="5609" spans="7:17" ht="21.75" customHeight="1">
      <c r="G5609" t="s">
        <v>3653</v>
      </c>
      <c r="P5609" s="7"/>
      <c r="Q5609" s="7"/>
    </row>
    <row r="5610" spans="7:17" ht="21.75" customHeight="1">
      <c r="G5610" t="s">
        <v>3653</v>
      </c>
      <c r="P5610" s="7"/>
      <c r="Q5610" s="7"/>
    </row>
    <row r="5611" spans="7:17" ht="21.75" customHeight="1">
      <c r="G5611" t="s">
        <v>3653</v>
      </c>
      <c r="P5611" s="7"/>
      <c r="Q5611" s="7"/>
    </row>
    <row r="5612" spans="7:17" ht="21.75" customHeight="1">
      <c r="G5612" t="s">
        <v>3653</v>
      </c>
      <c r="P5612" s="7"/>
      <c r="Q5612" s="7"/>
    </row>
    <row r="5613" spans="7:17" ht="21.75" customHeight="1">
      <c r="G5613" t="s">
        <v>3653</v>
      </c>
      <c r="P5613" s="7"/>
      <c r="Q5613" s="7"/>
    </row>
    <row r="5614" spans="7:17" ht="21.75" customHeight="1">
      <c r="G5614" t="s">
        <v>3653</v>
      </c>
      <c r="P5614" s="7"/>
      <c r="Q5614" s="7"/>
    </row>
    <row r="5615" spans="7:17" ht="21.75" customHeight="1">
      <c r="G5615" t="s">
        <v>3653</v>
      </c>
      <c r="P5615" s="7"/>
      <c r="Q5615" s="7"/>
    </row>
    <row r="5616" spans="7:17" ht="21.75" customHeight="1">
      <c r="G5616" t="s">
        <v>3653</v>
      </c>
      <c r="P5616" s="7"/>
      <c r="Q5616" s="7"/>
    </row>
    <row r="5617" spans="7:17" ht="21.75" customHeight="1">
      <c r="G5617" t="s">
        <v>3653</v>
      </c>
      <c r="P5617" s="7"/>
      <c r="Q5617" s="7"/>
    </row>
    <row r="5618" spans="7:17" ht="21.75" customHeight="1">
      <c r="G5618" t="s">
        <v>3653</v>
      </c>
      <c r="P5618" s="7"/>
      <c r="Q5618" s="7"/>
    </row>
    <row r="5619" spans="7:17" ht="21.75" customHeight="1">
      <c r="G5619" t="s">
        <v>3653</v>
      </c>
      <c r="P5619" s="7"/>
      <c r="Q5619" s="7"/>
    </row>
    <row r="5620" spans="7:17" ht="21.75" customHeight="1">
      <c r="G5620" t="s">
        <v>3653</v>
      </c>
      <c r="P5620" s="7"/>
      <c r="Q5620" s="7"/>
    </row>
    <row r="5621" spans="7:17" ht="21.75" customHeight="1">
      <c r="G5621" t="s">
        <v>3653</v>
      </c>
      <c r="P5621" s="7"/>
      <c r="Q5621" s="7"/>
    </row>
    <row r="5622" spans="7:17" ht="21.75" customHeight="1">
      <c r="G5622" t="s">
        <v>3653</v>
      </c>
      <c r="P5622" s="7"/>
      <c r="Q5622" s="7"/>
    </row>
    <row r="5623" spans="7:17" ht="21.75" customHeight="1">
      <c r="G5623" t="s">
        <v>3653</v>
      </c>
      <c r="P5623" s="7"/>
      <c r="Q5623" s="7"/>
    </row>
    <row r="5624" spans="7:17" ht="21.75" customHeight="1">
      <c r="G5624" t="s">
        <v>3653</v>
      </c>
      <c r="P5624" s="7"/>
      <c r="Q5624" s="7"/>
    </row>
    <row r="5625" spans="7:17" ht="21.75" customHeight="1">
      <c r="G5625" t="s">
        <v>3653</v>
      </c>
      <c r="P5625" s="7"/>
      <c r="Q5625" s="7"/>
    </row>
    <row r="5626" spans="7:17" ht="21.75" customHeight="1">
      <c r="G5626" t="s">
        <v>3653</v>
      </c>
      <c r="P5626" s="7"/>
      <c r="Q5626" s="7"/>
    </row>
    <row r="5627" spans="7:17" ht="21.75" customHeight="1">
      <c r="G5627" t="s">
        <v>3653</v>
      </c>
      <c r="P5627" s="7"/>
      <c r="Q5627" s="7"/>
    </row>
    <row r="5628" spans="7:17" ht="21.75" customHeight="1">
      <c r="G5628" t="s">
        <v>3653</v>
      </c>
      <c r="P5628" s="7"/>
      <c r="Q5628" s="7"/>
    </row>
    <row r="5629" spans="7:17" ht="21.75" customHeight="1">
      <c r="G5629" t="s">
        <v>3653</v>
      </c>
      <c r="P5629" s="7"/>
      <c r="Q5629" s="7"/>
    </row>
    <row r="5630" spans="7:17" ht="21.75" customHeight="1">
      <c r="G5630" t="s">
        <v>3653</v>
      </c>
      <c r="P5630" s="7"/>
      <c r="Q5630" s="7"/>
    </row>
    <row r="5631" spans="7:17" ht="21.75" customHeight="1">
      <c r="G5631" t="s">
        <v>3653</v>
      </c>
      <c r="P5631" s="7"/>
      <c r="Q5631" s="7"/>
    </row>
    <row r="5632" spans="7:17" ht="21.75" customHeight="1">
      <c r="G5632" t="s">
        <v>3653</v>
      </c>
      <c r="P5632" s="7"/>
      <c r="Q5632" s="7"/>
    </row>
    <row r="5633" spans="7:17" ht="21.75" customHeight="1">
      <c r="G5633" t="s">
        <v>3653</v>
      </c>
      <c r="P5633" s="7"/>
      <c r="Q5633" s="7"/>
    </row>
    <row r="5634" spans="7:17" ht="21.75" customHeight="1">
      <c r="G5634" t="s">
        <v>3653</v>
      </c>
      <c r="P5634" s="7"/>
      <c r="Q5634" s="7"/>
    </row>
    <row r="5635" spans="7:17" ht="21.75" customHeight="1">
      <c r="G5635" t="s">
        <v>3653</v>
      </c>
      <c r="P5635" s="7"/>
      <c r="Q5635" s="7"/>
    </row>
    <row r="5636" spans="7:17" ht="21.75" customHeight="1">
      <c r="G5636" t="s">
        <v>3653</v>
      </c>
      <c r="P5636" s="7"/>
      <c r="Q5636" s="7"/>
    </row>
    <row r="5637" spans="7:17" ht="21.75" customHeight="1">
      <c r="G5637" t="s">
        <v>3653</v>
      </c>
      <c r="P5637" s="7"/>
      <c r="Q5637" s="7"/>
    </row>
    <row r="5638" spans="7:17" ht="21.75" customHeight="1">
      <c r="G5638" t="s">
        <v>3653</v>
      </c>
      <c r="P5638" s="7"/>
      <c r="Q5638" s="7"/>
    </row>
    <row r="5639" spans="7:17" ht="21.75" customHeight="1">
      <c r="G5639" t="s">
        <v>3653</v>
      </c>
      <c r="P5639" s="7"/>
      <c r="Q5639" s="7"/>
    </row>
    <row r="5640" spans="7:17" ht="21.75" customHeight="1">
      <c r="G5640" t="s">
        <v>3653</v>
      </c>
      <c r="P5640" s="7"/>
      <c r="Q5640" s="7"/>
    </row>
    <row r="5641" spans="7:17" ht="21.75" customHeight="1">
      <c r="G5641" t="s">
        <v>3653</v>
      </c>
      <c r="P5641" s="7"/>
      <c r="Q5641" s="7"/>
    </row>
    <row r="5642" spans="7:17" ht="21.75" customHeight="1">
      <c r="G5642" t="s">
        <v>3653</v>
      </c>
      <c r="P5642" s="7"/>
      <c r="Q5642" s="7"/>
    </row>
    <row r="5643" spans="7:17" ht="21.75" customHeight="1">
      <c r="G5643" t="s">
        <v>3653</v>
      </c>
      <c r="P5643" s="7"/>
      <c r="Q5643" s="7"/>
    </row>
    <row r="5644" spans="7:17" ht="21.75" customHeight="1">
      <c r="G5644" t="s">
        <v>3653</v>
      </c>
      <c r="P5644" s="7"/>
      <c r="Q5644" s="7"/>
    </row>
    <row r="5645" spans="7:17" ht="21.75" customHeight="1">
      <c r="G5645" t="s">
        <v>3653</v>
      </c>
      <c r="P5645" s="7"/>
      <c r="Q5645" s="7"/>
    </row>
    <row r="5646" spans="7:17" ht="21.75" customHeight="1">
      <c r="G5646" t="s">
        <v>3653</v>
      </c>
      <c r="P5646" s="7"/>
      <c r="Q5646" s="7"/>
    </row>
    <row r="5647" spans="7:17" ht="21.75" customHeight="1">
      <c r="G5647" t="s">
        <v>3653</v>
      </c>
      <c r="P5647" s="7"/>
      <c r="Q5647" s="7"/>
    </row>
    <row r="5648" spans="7:17" ht="21.75" customHeight="1">
      <c r="G5648" t="s">
        <v>3653</v>
      </c>
      <c r="P5648" s="7"/>
      <c r="Q5648" s="7"/>
    </row>
    <row r="5649" spans="7:17" ht="21.75" customHeight="1">
      <c r="G5649" t="s">
        <v>3653</v>
      </c>
      <c r="P5649" s="7"/>
      <c r="Q5649" s="7"/>
    </row>
    <row r="5650" spans="7:17" ht="21.75" customHeight="1">
      <c r="G5650" t="s">
        <v>3653</v>
      </c>
      <c r="P5650" s="7"/>
      <c r="Q5650" s="7"/>
    </row>
    <row r="5651" spans="7:17" ht="21.75" customHeight="1">
      <c r="G5651" t="s">
        <v>3653</v>
      </c>
      <c r="P5651" s="7"/>
      <c r="Q5651" s="7"/>
    </row>
    <row r="5652" spans="7:17" ht="21.75" customHeight="1">
      <c r="G5652" t="s">
        <v>3653</v>
      </c>
      <c r="P5652" s="7"/>
      <c r="Q5652" s="7"/>
    </row>
    <row r="5653" spans="7:17" ht="21.75" customHeight="1">
      <c r="G5653" t="s">
        <v>3653</v>
      </c>
      <c r="P5653" s="7"/>
      <c r="Q5653" s="7"/>
    </row>
    <row r="5654" spans="7:17" ht="21.75" customHeight="1">
      <c r="G5654" t="s">
        <v>3653</v>
      </c>
      <c r="P5654" s="7"/>
      <c r="Q5654" s="7"/>
    </row>
    <row r="5655" spans="7:17" ht="21.75" customHeight="1">
      <c r="G5655" t="s">
        <v>3653</v>
      </c>
      <c r="P5655" s="7"/>
      <c r="Q5655" s="7"/>
    </row>
    <row r="5656" spans="7:17" ht="21.75" customHeight="1">
      <c r="G5656" t="s">
        <v>3653</v>
      </c>
      <c r="P5656" s="7"/>
      <c r="Q5656" s="7"/>
    </row>
    <row r="5657" spans="7:17" ht="21.75" customHeight="1">
      <c r="G5657" t="s">
        <v>3653</v>
      </c>
      <c r="P5657" s="7"/>
      <c r="Q5657" s="7"/>
    </row>
    <row r="5658" spans="7:17" ht="21.75" customHeight="1">
      <c r="G5658" t="s">
        <v>3653</v>
      </c>
      <c r="P5658" s="7"/>
      <c r="Q5658" s="7"/>
    </row>
    <row r="5659" spans="7:17" ht="21.75" customHeight="1">
      <c r="G5659" t="s">
        <v>3653</v>
      </c>
      <c r="P5659" s="7"/>
      <c r="Q5659" s="7"/>
    </row>
    <row r="5660" spans="7:17" ht="21.75" customHeight="1">
      <c r="G5660" t="s">
        <v>3653</v>
      </c>
      <c r="P5660" s="7"/>
      <c r="Q5660" s="7"/>
    </row>
    <row r="5661" spans="7:17" ht="21.75" customHeight="1">
      <c r="G5661" t="s">
        <v>3653</v>
      </c>
      <c r="P5661" s="7"/>
      <c r="Q5661" s="7"/>
    </row>
    <row r="5662" spans="7:17" ht="21.75" customHeight="1">
      <c r="G5662" t="s">
        <v>3653</v>
      </c>
      <c r="P5662" s="7"/>
      <c r="Q5662" s="7"/>
    </row>
    <row r="5663" spans="7:17" ht="21.75" customHeight="1">
      <c r="G5663" t="s">
        <v>3653</v>
      </c>
      <c r="P5663" s="7"/>
      <c r="Q5663" s="7"/>
    </row>
    <row r="5664" spans="7:17" ht="21.75" customHeight="1">
      <c r="G5664" t="s">
        <v>3653</v>
      </c>
      <c r="P5664" s="7"/>
      <c r="Q5664" s="7"/>
    </row>
    <row r="5665" spans="7:17" ht="21.75" customHeight="1">
      <c r="G5665" t="s">
        <v>3653</v>
      </c>
      <c r="P5665" s="7"/>
      <c r="Q5665" s="7"/>
    </row>
    <row r="5666" spans="7:17" ht="21.75" customHeight="1">
      <c r="G5666" t="s">
        <v>3653</v>
      </c>
      <c r="P5666" s="7"/>
      <c r="Q5666" s="7"/>
    </row>
    <row r="5667" spans="7:17" ht="21.75" customHeight="1">
      <c r="G5667" t="s">
        <v>3653</v>
      </c>
      <c r="P5667" s="7"/>
      <c r="Q5667" s="7"/>
    </row>
    <row r="5668" spans="7:17" ht="21.75" customHeight="1">
      <c r="G5668" t="s">
        <v>3653</v>
      </c>
      <c r="P5668" s="7"/>
      <c r="Q5668" s="7"/>
    </row>
    <row r="5669" spans="7:17" ht="21.75" customHeight="1">
      <c r="G5669" t="s">
        <v>3653</v>
      </c>
      <c r="P5669" s="7"/>
      <c r="Q5669" s="7"/>
    </row>
    <row r="5670" spans="7:17" ht="21.75" customHeight="1">
      <c r="G5670" t="s">
        <v>3653</v>
      </c>
      <c r="P5670" s="7"/>
      <c r="Q5670" s="7"/>
    </row>
    <row r="5671" spans="7:17" ht="21.75" customHeight="1">
      <c r="G5671" t="s">
        <v>3653</v>
      </c>
      <c r="P5671" s="7"/>
      <c r="Q5671" s="7"/>
    </row>
    <row r="5672" spans="7:17" ht="21.75" customHeight="1">
      <c r="G5672" t="s">
        <v>3653</v>
      </c>
      <c r="P5672" s="7"/>
      <c r="Q5672" s="7"/>
    </row>
    <row r="5673" spans="7:17" ht="21.75" customHeight="1">
      <c r="G5673" t="s">
        <v>3653</v>
      </c>
      <c r="P5673" s="7"/>
      <c r="Q5673" s="7"/>
    </row>
    <row r="5674" spans="7:17" ht="21.75" customHeight="1">
      <c r="G5674" t="s">
        <v>3653</v>
      </c>
      <c r="P5674" s="7"/>
      <c r="Q5674" s="7"/>
    </row>
    <row r="5675" spans="7:17" ht="21.75" customHeight="1">
      <c r="G5675" t="s">
        <v>3653</v>
      </c>
      <c r="P5675" s="7"/>
      <c r="Q5675" s="7"/>
    </row>
    <row r="5676" spans="7:17" ht="21.75" customHeight="1">
      <c r="G5676" t="s">
        <v>3653</v>
      </c>
      <c r="P5676" s="7"/>
      <c r="Q5676" s="7"/>
    </row>
    <row r="5677" spans="7:17" ht="21.75" customHeight="1">
      <c r="G5677" t="s">
        <v>3653</v>
      </c>
      <c r="P5677" s="7"/>
      <c r="Q5677" s="7"/>
    </row>
    <row r="5678" spans="7:17" ht="21.75" customHeight="1">
      <c r="G5678" t="s">
        <v>3653</v>
      </c>
      <c r="P5678" s="7"/>
      <c r="Q5678" s="7"/>
    </row>
    <row r="5679" spans="7:17" ht="21.75" customHeight="1">
      <c r="G5679" t="s">
        <v>3653</v>
      </c>
      <c r="P5679" s="7"/>
      <c r="Q5679" s="7"/>
    </row>
    <row r="5680" spans="7:17" ht="21.75" customHeight="1">
      <c r="G5680" t="s">
        <v>3653</v>
      </c>
      <c r="P5680" s="7"/>
      <c r="Q5680" s="7"/>
    </row>
    <row r="5681" spans="7:17" ht="21.75" customHeight="1">
      <c r="G5681" t="s">
        <v>3653</v>
      </c>
      <c r="P5681" s="7"/>
      <c r="Q5681" s="7"/>
    </row>
    <row r="5682" spans="7:17" ht="21.75" customHeight="1">
      <c r="G5682" t="s">
        <v>3653</v>
      </c>
      <c r="P5682" s="7"/>
      <c r="Q5682" s="7"/>
    </row>
    <row r="5683" spans="7:17" ht="21.75" customHeight="1">
      <c r="G5683" t="s">
        <v>3653</v>
      </c>
      <c r="P5683" s="7"/>
      <c r="Q5683" s="7"/>
    </row>
    <row r="5684" spans="7:17" ht="21.75" customHeight="1">
      <c r="G5684" t="s">
        <v>3653</v>
      </c>
      <c r="P5684" s="7"/>
      <c r="Q5684" s="7"/>
    </row>
    <row r="5685" spans="7:17" ht="21.75" customHeight="1">
      <c r="G5685" t="s">
        <v>3653</v>
      </c>
      <c r="P5685" s="7"/>
      <c r="Q5685" s="7"/>
    </row>
    <row r="5686" spans="7:17" ht="21.75" customHeight="1">
      <c r="G5686" t="s">
        <v>3653</v>
      </c>
      <c r="P5686" s="7"/>
      <c r="Q5686" s="7"/>
    </row>
    <row r="5687" spans="7:17" ht="21.75" customHeight="1">
      <c r="G5687" t="s">
        <v>3653</v>
      </c>
      <c r="P5687" s="7"/>
      <c r="Q5687" s="7"/>
    </row>
    <row r="5688" spans="7:17" ht="21.75" customHeight="1">
      <c r="G5688" t="s">
        <v>3653</v>
      </c>
      <c r="P5688" s="7"/>
      <c r="Q5688" s="7"/>
    </row>
    <row r="5689" spans="7:17" ht="21.75" customHeight="1">
      <c r="G5689" t="s">
        <v>3653</v>
      </c>
      <c r="P5689" s="7"/>
      <c r="Q5689" s="7"/>
    </row>
    <row r="5690" spans="7:17" ht="21.75" customHeight="1">
      <c r="G5690" t="s">
        <v>3653</v>
      </c>
      <c r="P5690" s="7"/>
      <c r="Q5690" s="7"/>
    </row>
    <row r="5691" spans="7:17" ht="21.75" customHeight="1">
      <c r="G5691" t="s">
        <v>3653</v>
      </c>
      <c r="P5691" s="7"/>
      <c r="Q5691" s="7"/>
    </row>
    <row r="5692" spans="7:17" ht="21.75" customHeight="1">
      <c r="G5692" t="s">
        <v>3653</v>
      </c>
      <c r="P5692" s="7"/>
      <c r="Q5692" s="7"/>
    </row>
    <row r="5693" spans="7:17" ht="21.75" customHeight="1">
      <c r="G5693" t="s">
        <v>3653</v>
      </c>
      <c r="P5693" s="7"/>
      <c r="Q5693" s="7"/>
    </row>
    <row r="5694" spans="7:17" ht="21.75" customHeight="1">
      <c r="G5694" t="s">
        <v>3653</v>
      </c>
      <c r="P5694" s="7"/>
      <c r="Q5694" s="7"/>
    </row>
    <row r="5695" spans="7:17" ht="21.75" customHeight="1">
      <c r="G5695" t="s">
        <v>3653</v>
      </c>
      <c r="P5695" s="7"/>
      <c r="Q5695" s="7"/>
    </row>
    <row r="5696" spans="7:17" ht="21.75" customHeight="1">
      <c r="G5696" t="s">
        <v>3653</v>
      </c>
      <c r="P5696" s="7"/>
      <c r="Q5696" s="7"/>
    </row>
    <row r="5697" spans="7:17" ht="21.75" customHeight="1">
      <c r="G5697" t="s">
        <v>3653</v>
      </c>
      <c r="P5697" s="7"/>
      <c r="Q5697" s="7"/>
    </row>
    <row r="5698" spans="7:17" ht="21.75" customHeight="1">
      <c r="G5698" t="s">
        <v>3653</v>
      </c>
      <c r="P5698" s="7"/>
      <c r="Q5698" s="7"/>
    </row>
    <row r="5699" spans="7:17" ht="21.75" customHeight="1">
      <c r="G5699" t="s">
        <v>3653</v>
      </c>
      <c r="P5699" s="7"/>
      <c r="Q5699" s="7"/>
    </row>
    <row r="5700" spans="7:17" ht="21.75" customHeight="1">
      <c r="G5700" t="s">
        <v>3653</v>
      </c>
      <c r="P5700" s="7"/>
      <c r="Q5700" s="7"/>
    </row>
    <row r="5701" spans="7:17" ht="21.75" customHeight="1">
      <c r="G5701" t="s">
        <v>3653</v>
      </c>
      <c r="P5701" s="7"/>
      <c r="Q5701" s="7"/>
    </row>
    <row r="5702" spans="7:17" ht="21.75" customHeight="1">
      <c r="G5702" t="s">
        <v>3653</v>
      </c>
      <c r="P5702" s="7"/>
      <c r="Q5702" s="7"/>
    </row>
    <row r="5703" spans="7:17" ht="21.75" customHeight="1">
      <c r="G5703" t="s">
        <v>3653</v>
      </c>
      <c r="P5703" s="7"/>
      <c r="Q5703" s="7"/>
    </row>
    <row r="5704" spans="7:17" ht="21.75" customHeight="1">
      <c r="G5704" t="s">
        <v>3653</v>
      </c>
      <c r="P5704" s="7"/>
      <c r="Q5704" s="7"/>
    </row>
    <row r="5705" spans="7:17" ht="21.75" customHeight="1">
      <c r="G5705" t="s">
        <v>3653</v>
      </c>
      <c r="P5705" s="7"/>
      <c r="Q5705" s="7"/>
    </row>
    <row r="5706" spans="7:17" ht="21.75" customHeight="1">
      <c r="G5706" t="s">
        <v>3653</v>
      </c>
      <c r="P5706" s="7"/>
      <c r="Q5706" s="7"/>
    </row>
    <row r="5707" spans="7:17" ht="21.75" customHeight="1">
      <c r="G5707" t="s">
        <v>3653</v>
      </c>
      <c r="P5707" s="7"/>
      <c r="Q5707" s="7"/>
    </row>
    <row r="5708" spans="7:17" ht="21.75" customHeight="1">
      <c r="G5708" t="s">
        <v>3653</v>
      </c>
      <c r="P5708" s="7"/>
      <c r="Q5708" s="7"/>
    </row>
    <row r="5709" spans="7:17" ht="21.75" customHeight="1">
      <c r="G5709" t="s">
        <v>3653</v>
      </c>
      <c r="P5709" s="7"/>
      <c r="Q5709" s="7"/>
    </row>
    <row r="5710" spans="7:17" ht="21.75" customHeight="1">
      <c r="G5710" t="s">
        <v>3653</v>
      </c>
      <c r="P5710" s="7"/>
      <c r="Q5710" s="7"/>
    </row>
    <row r="5711" spans="7:17" ht="21.75" customHeight="1">
      <c r="G5711" t="s">
        <v>3653</v>
      </c>
      <c r="P5711" s="7"/>
      <c r="Q5711" s="7"/>
    </row>
    <row r="5712" spans="7:17" ht="21.75" customHeight="1">
      <c r="G5712" t="s">
        <v>3653</v>
      </c>
      <c r="P5712" s="7"/>
      <c r="Q5712" s="7"/>
    </row>
    <row r="5713" spans="7:17" ht="21.75" customHeight="1">
      <c r="G5713" t="s">
        <v>3653</v>
      </c>
      <c r="P5713" s="7"/>
      <c r="Q5713" s="7"/>
    </row>
    <row r="5714" spans="7:17" ht="21.75" customHeight="1">
      <c r="G5714" t="s">
        <v>3653</v>
      </c>
      <c r="P5714" s="7"/>
      <c r="Q5714" s="7"/>
    </row>
    <row r="5715" spans="7:17" ht="21.75" customHeight="1">
      <c r="G5715" t="s">
        <v>3653</v>
      </c>
      <c r="P5715" s="7"/>
      <c r="Q5715" s="7"/>
    </row>
    <row r="5716" spans="7:17" ht="21.75" customHeight="1">
      <c r="G5716" t="s">
        <v>3653</v>
      </c>
      <c r="P5716" s="7"/>
      <c r="Q5716" s="7"/>
    </row>
    <row r="5717" spans="7:17" ht="21.75" customHeight="1">
      <c r="G5717" t="s">
        <v>3653</v>
      </c>
      <c r="P5717" s="7"/>
      <c r="Q5717" s="7"/>
    </row>
    <row r="5718" spans="7:17" ht="21.75" customHeight="1">
      <c r="G5718" t="s">
        <v>3653</v>
      </c>
      <c r="P5718" s="7"/>
      <c r="Q5718" s="7"/>
    </row>
    <row r="5719" spans="7:17" ht="21.75" customHeight="1">
      <c r="G5719" t="s">
        <v>3653</v>
      </c>
      <c r="P5719" s="7"/>
      <c r="Q5719" s="7"/>
    </row>
    <row r="5720" spans="7:17" ht="21.75" customHeight="1">
      <c r="G5720" t="s">
        <v>3653</v>
      </c>
      <c r="P5720" s="7"/>
      <c r="Q5720" s="7"/>
    </row>
    <row r="5721" spans="7:17" ht="21.75" customHeight="1">
      <c r="G5721" t="s">
        <v>3653</v>
      </c>
      <c r="P5721" s="7"/>
      <c r="Q5721" s="7"/>
    </row>
    <row r="5722" spans="7:17" ht="21.75" customHeight="1">
      <c r="G5722" t="s">
        <v>3653</v>
      </c>
      <c r="P5722" s="7"/>
      <c r="Q5722" s="7"/>
    </row>
    <row r="5723" spans="7:17" ht="21.75" customHeight="1">
      <c r="G5723" t="s">
        <v>3653</v>
      </c>
      <c r="P5723" s="7"/>
      <c r="Q5723" s="7"/>
    </row>
    <row r="5724" spans="7:17" ht="21.75" customHeight="1">
      <c r="G5724" t="s">
        <v>3653</v>
      </c>
      <c r="P5724" s="7"/>
      <c r="Q5724" s="7"/>
    </row>
    <row r="5725" spans="7:17" ht="21.75" customHeight="1">
      <c r="G5725" t="s">
        <v>3653</v>
      </c>
      <c r="P5725" s="7"/>
      <c r="Q5725" s="7"/>
    </row>
    <row r="5726" spans="7:17" ht="21.75" customHeight="1">
      <c r="G5726" t="s">
        <v>3653</v>
      </c>
      <c r="P5726" s="7"/>
      <c r="Q5726" s="7"/>
    </row>
    <row r="5727" spans="7:17" ht="21.75" customHeight="1">
      <c r="G5727" t="s">
        <v>3653</v>
      </c>
      <c r="P5727" s="7"/>
      <c r="Q5727" s="7"/>
    </row>
    <row r="5728" spans="7:17" ht="21.75" customHeight="1">
      <c r="G5728" t="s">
        <v>3653</v>
      </c>
      <c r="P5728" s="7"/>
      <c r="Q5728" s="7"/>
    </row>
    <row r="5729" spans="7:17" ht="21.75" customHeight="1">
      <c r="G5729" t="s">
        <v>3653</v>
      </c>
      <c r="P5729" s="7"/>
      <c r="Q5729" s="7"/>
    </row>
    <row r="5730" spans="7:17" ht="21.75" customHeight="1">
      <c r="G5730" t="s">
        <v>3653</v>
      </c>
      <c r="P5730" s="7"/>
      <c r="Q5730" s="7"/>
    </row>
    <row r="5731" spans="7:17" ht="21.75" customHeight="1">
      <c r="G5731" t="s">
        <v>3653</v>
      </c>
      <c r="P5731" s="7"/>
      <c r="Q5731" s="7"/>
    </row>
    <row r="5732" spans="7:17" ht="21.75" customHeight="1">
      <c r="G5732" t="s">
        <v>3653</v>
      </c>
      <c r="P5732" s="7"/>
      <c r="Q5732" s="7"/>
    </row>
    <row r="5733" spans="7:17" ht="21.75" customHeight="1">
      <c r="G5733" t="s">
        <v>3653</v>
      </c>
      <c r="P5733" s="7"/>
      <c r="Q5733" s="7"/>
    </row>
    <row r="5734" spans="7:17" ht="21.75" customHeight="1">
      <c r="G5734" t="s">
        <v>3653</v>
      </c>
      <c r="P5734" s="7"/>
      <c r="Q5734" s="7"/>
    </row>
    <row r="5735" spans="7:17" ht="21.75" customHeight="1">
      <c r="G5735" t="s">
        <v>3653</v>
      </c>
      <c r="P5735" s="7"/>
      <c r="Q5735" s="7"/>
    </row>
    <row r="5736" spans="7:17" ht="21.75" customHeight="1">
      <c r="G5736" t="s">
        <v>3653</v>
      </c>
      <c r="P5736" s="7"/>
      <c r="Q5736" s="7"/>
    </row>
    <row r="5737" spans="7:17" ht="21.75" customHeight="1">
      <c r="G5737" t="s">
        <v>3653</v>
      </c>
      <c r="P5737" s="7"/>
      <c r="Q5737" s="7"/>
    </row>
    <row r="5738" spans="7:17" ht="21.75" customHeight="1">
      <c r="G5738" t="s">
        <v>3653</v>
      </c>
      <c r="P5738" s="7"/>
      <c r="Q5738" s="7"/>
    </row>
    <row r="5739" spans="7:17" ht="21.75" customHeight="1">
      <c r="G5739" t="s">
        <v>3653</v>
      </c>
      <c r="P5739" s="7"/>
      <c r="Q5739" s="7"/>
    </row>
    <row r="5740" spans="7:17" ht="21.75" customHeight="1">
      <c r="G5740" t="s">
        <v>3653</v>
      </c>
      <c r="P5740" s="7"/>
      <c r="Q5740" s="7"/>
    </row>
    <row r="5741" spans="7:17" ht="21.75" customHeight="1">
      <c r="G5741" t="s">
        <v>3653</v>
      </c>
      <c r="P5741" s="7"/>
      <c r="Q5741" s="7"/>
    </row>
    <row r="5742" spans="7:17" ht="21.75" customHeight="1">
      <c r="G5742" t="s">
        <v>3653</v>
      </c>
      <c r="P5742" s="7"/>
      <c r="Q5742" s="7"/>
    </row>
    <row r="5743" spans="7:17" ht="21.75" customHeight="1">
      <c r="G5743" t="s">
        <v>3653</v>
      </c>
      <c r="P5743" s="7"/>
      <c r="Q5743" s="7"/>
    </row>
    <row r="5744" spans="7:17" ht="21.75" customHeight="1">
      <c r="G5744" t="s">
        <v>3653</v>
      </c>
      <c r="P5744" s="7"/>
      <c r="Q5744" s="7"/>
    </row>
    <row r="5745" spans="7:17" ht="21.75" customHeight="1">
      <c r="G5745" t="s">
        <v>3653</v>
      </c>
      <c r="P5745" s="7"/>
      <c r="Q5745" s="7"/>
    </row>
    <row r="5746" spans="7:17" ht="21.75" customHeight="1">
      <c r="G5746" t="s">
        <v>3653</v>
      </c>
      <c r="P5746" s="7"/>
      <c r="Q5746" s="7"/>
    </row>
    <row r="5747" spans="7:17" ht="21.75" customHeight="1">
      <c r="G5747" t="s">
        <v>3653</v>
      </c>
      <c r="P5747" s="7"/>
      <c r="Q5747" s="7"/>
    </row>
    <row r="5748" spans="7:17" ht="21.75" customHeight="1">
      <c r="G5748" t="s">
        <v>3653</v>
      </c>
      <c r="P5748" s="7"/>
      <c r="Q5748" s="7"/>
    </row>
    <row r="5749" spans="7:17" ht="21.75" customHeight="1">
      <c r="G5749" t="s">
        <v>3653</v>
      </c>
      <c r="P5749" s="7"/>
      <c r="Q5749" s="7"/>
    </row>
    <row r="5750" spans="7:17" ht="21.75" customHeight="1">
      <c r="G5750" t="s">
        <v>3653</v>
      </c>
      <c r="P5750" s="7"/>
      <c r="Q5750" s="7"/>
    </row>
    <row r="5751" spans="7:17" ht="21.75" customHeight="1">
      <c r="G5751" t="s">
        <v>3653</v>
      </c>
      <c r="P5751" s="7"/>
      <c r="Q5751" s="7"/>
    </row>
    <row r="5752" spans="7:17" ht="21.75" customHeight="1">
      <c r="G5752" t="s">
        <v>3653</v>
      </c>
      <c r="P5752" s="7"/>
      <c r="Q5752" s="7"/>
    </row>
    <row r="5753" spans="7:17" ht="21.75" customHeight="1">
      <c r="G5753" t="s">
        <v>3653</v>
      </c>
      <c r="P5753" s="7"/>
      <c r="Q5753" s="7"/>
    </row>
    <row r="5754" spans="7:17" ht="21.75" customHeight="1">
      <c r="G5754" t="s">
        <v>3653</v>
      </c>
      <c r="P5754" s="7"/>
      <c r="Q5754" s="7"/>
    </row>
    <row r="5755" spans="7:17" ht="21.75" customHeight="1">
      <c r="G5755" t="s">
        <v>3653</v>
      </c>
      <c r="P5755" s="7"/>
      <c r="Q5755" s="7"/>
    </row>
    <row r="5756" spans="7:17" ht="21.75" customHeight="1">
      <c r="G5756" t="s">
        <v>3653</v>
      </c>
      <c r="P5756" s="7"/>
      <c r="Q5756" s="7"/>
    </row>
    <row r="5757" spans="7:17" ht="21.75" customHeight="1">
      <c r="G5757" t="s">
        <v>3653</v>
      </c>
      <c r="P5757" s="7"/>
      <c r="Q5757" s="7"/>
    </row>
    <row r="5758" spans="7:17" ht="21.75" customHeight="1">
      <c r="G5758" t="s">
        <v>3653</v>
      </c>
      <c r="P5758" s="7"/>
      <c r="Q5758" s="7"/>
    </row>
    <row r="5759" spans="7:17" ht="21.75" customHeight="1">
      <c r="G5759" t="s">
        <v>3653</v>
      </c>
      <c r="P5759" s="7"/>
      <c r="Q5759" s="7"/>
    </row>
    <row r="5760" spans="7:17" ht="21.75" customHeight="1">
      <c r="G5760" t="s">
        <v>3653</v>
      </c>
      <c r="P5760" s="7"/>
      <c r="Q5760" s="7"/>
    </row>
    <row r="5761" spans="7:17" ht="21.75" customHeight="1">
      <c r="G5761" t="s">
        <v>3653</v>
      </c>
      <c r="P5761" s="7"/>
      <c r="Q5761" s="7"/>
    </row>
    <row r="5762" spans="7:17" ht="21.75" customHeight="1">
      <c r="G5762" t="s">
        <v>3653</v>
      </c>
      <c r="P5762" s="7"/>
      <c r="Q5762" s="7"/>
    </row>
    <row r="5763" spans="7:17" ht="21.75" customHeight="1">
      <c r="G5763" t="s">
        <v>3653</v>
      </c>
      <c r="P5763" s="7"/>
      <c r="Q5763" s="7"/>
    </row>
    <row r="5764" spans="7:17" ht="21.75" customHeight="1">
      <c r="G5764" t="s">
        <v>3653</v>
      </c>
      <c r="P5764" s="7"/>
      <c r="Q5764" s="7"/>
    </row>
    <row r="5765" spans="7:17" ht="21.75" customHeight="1">
      <c r="G5765" t="s">
        <v>3653</v>
      </c>
      <c r="P5765" s="7"/>
      <c r="Q5765" s="7"/>
    </row>
    <row r="5766" spans="7:17" ht="21.75" customHeight="1">
      <c r="G5766" t="s">
        <v>3653</v>
      </c>
      <c r="P5766" s="7"/>
      <c r="Q5766" s="7"/>
    </row>
    <row r="5767" spans="7:17" ht="21.75" customHeight="1">
      <c r="G5767" t="s">
        <v>3653</v>
      </c>
      <c r="P5767" s="7"/>
      <c r="Q5767" s="7"/>
    </row>
    <row r="5768" spans="7:17" ht="21.75" customHeight="1">
      <c r="G5768" t="s">
        <v>3653</v>
      </c>
      <c r="P5768" s="7"/>
      <c r="Q5768" s="7"/>
    </row>
    <row r="5769" spans="7:17" ht="21.75" customHeight="1">
      <c r="G5769" t="s">
        <v>3653</v>
      </c>
      <c r="P5769" s="7"/>
      <c r="Q5769" s="7"/>
    </row>
    <row r="5770" spans="7:17" ht="21.75" customHeight="1">
      <c r="G5770" t="s">
        <v>3653</v>
      </c>
      <c r="P5770" s="7"/>
      <c r="Q5770" s="7"/>
    </row>
    <row r="5771" spans="7:17" ht="21.75" customHeight="1">
      <c r="G5771" t="s">
        <v>3653</v>
      </c>
      <c r="P5771" s="7"/>
      <c r="Q5771" s="7"/>
    </row>
    <row r="5772" spans="7:17" ht="21.75" customHeight="1">
      <c r="G5772" t="s">
        <v>3653</v>
      </c>
      <c r="P5772" s="7"/>
      <c r="Q5772" s="7"/>
    </row>
    <row r="5773" spans="7:17" ht="21.75" customHeight="1">
      <c r="G5773" t="s">
        <v>3653</v>
      </c>
      <c r="P5773" s="7"/>
      <c r="Q5773" s="7"/>
    </row>
    <row r="5774" spans="7:17" ht="21.75" customHeight="1">
      <c r="G5774" t="s">
        <v>3653</v>
      </c>
      <c r="P5774" s="7"/>
      <c r="Q5774" s="7"/>
    </row>
    <row r="5775" spans="7:17" ht="21.75" customHeight="1">
      <c r="G5775" t="s">
        <v>3653</v>
      </c>
      <c r="P5775" s="7"/>
      <c r="Q5775" s="7"/>
    </row>
    <row r="5776" spans="7:17" ht="21.75" customHeight="1">
      <c r="G5776" t="s">
        <v>3653</v>
      </c>
      <c r="P5776" s="7"/>
      <c r="Q5776" s="7"/>
    </row>
    <row r="5777" spans="7:17" ht="21.75" customHeight="1">
      <c r="G5777" t="s">
        <v>3653</v>
      </c>
      <c r="P5777" s="7"/>
      <c r="Q5777" s="7"/>
    </row>
    <row r="5778" spans="7:17" ht="21.75" customHeight="1">
      <c r="G5778" t="s">
        <v>3653</v>
      </c>
      <c r="P5778" s="7"/>
      <c r="Q5778" s="7"/>
    </row>
    <row r="5779" spans="7:17" ht="21.75" customHeight="1">
      <c r="G5779" t="s">
        <v>3653</v>
      </c>
      <c r="P5779" s="7"/>
      <c r="Q5779" s="7"/>
    </row>
    <row r="5780" spans="7:17" ht="21.75" customHeight="1">
      <c r="G5780" t="s">
        <v>3653</v>
      </c>
      <c r="P5780" s="7"/>
      <c r="Q5780" s="7"/>
    </row>
    <row r="5781" spans="7:17" ht="21.75" customHeight="1">
      <c r="G5781" t="s">
        <v>3653</v>
      </c>
      <c r="P5781" s="7"/>
      <c r="Q5781" s="7"/>
    </row>
    <row r="5782" spans="7:17" ht="21.75" customHeight="1">
      <c r="G5782" t="s">
        <v>3653</v>
      </c>
      <c r="P5782" s="7"/>
      <c r="Q5782" s="7"/>
    </row>
    <row r="5783" spans="7:17" ht="21.75" customHeight="1">
      <c r="G5783" t="s">
        <v>3653</v>
      </c>
      <c r="P5783" s="7"/>
      <c r="Q5783" s="7"/>
    </row>
    <row r="5784" spans="7:17" ht="21.75" customHeight="1">
      <c r="G5784" t="s">
        <v>3653</v>
      </c>
      <c r="P5784" s="7"/>
      <c r="Q5784" s="7"/>
    </row>
    <row r="5785" spans="7:17" ht="21.75" customHeight="1">
      <c r="G5785" t="s">
        <v>3653</v>
      </c>
      <c r="P5785" s="7"/>
      <c r="Q5785" s="7"/>
    </row>
    <row r="5786" spans="7:17" ht="21.75" customHeight="1">
      <c r="G5786" t="s">
        <v>3653</v>
      </c>
      <c r="P5786" s="7"/>
      <c r="Q5786" s="7"/>
    </row>
    <row r="5787" spans="7:17" ht="21.75" customHeight="1">
      <c r="G5787" t="s">
        <v>3653</v>
      </c>
      <c r="P5787" s="7"/>
      <c r="Q5787" s="7"/>
    </row>
    <row r="5788" spans="7:17" ht="21.75" customHeight="1">
      <c r="G5788" t="s">
        <v>3653</v>
      </c>
      <c r="P5788" s="7"/>
      <c r="Q5788" s="7"/>
    </row>
    <row r="5789" spans="7:17" ht="21.75" customHeight="1">
      <c r="G5789" t="s">
        <v>3653</v>
      </c>
      <c r="P5789" s="7"/>
      <c r="Q5789" s="7"/>
    </row>
    <row r="5790" spans="7:17" ht="21.75" customHeight="1">
      <c r="G5790" t="s">
        <v>3653</v>
      </c>
      <c r="P5790" s="7"/>
      <c r="Q5790" s="7"/>
    </row>
    <row r="5791" spans="7:17" ht="21.75" customHeight="1">
      <c r="G5791" t="s">
        <v>3653</v>
      </c>
      <c r="P5791" s="7"/>
      <c r="Q5791" s="7"/>
    </row>
    <row r="5792" spans="7:17" ht="21.75" customHeight="1">
      <c r="G5792" t="s">
        <v>3653</v>
      </c>
      <c r="P5792" s="7"/>
      <c r="Q5792" s="7"/>
    </row>
    <row r="5793" spans="7:17" ht="21.75" customHeight="1">
      <c r="G5793" t="s">
        <v>3653</v>
      </c>
      <c r="P5793" s="7"/>
      <c r="Q5793" s="7"/>
    </row>
    <row r="5794" spans="7:17" ht="21.75" customHeight="1">
      <c r="G5794" t="s">
        <v>3653</v>
      </c>
      <c r="P5794" s="7"/>
      <c r="Q5794" s="7"/>
    </row>
    <row r="5795" spans="7:17" ht="21.75" customHeight="1">
      <c r="G5795" t="s">
        <v>3653</v>
      </c>
      <c r="P5795" s="7"/>
      <c r="Q5795" s="7"/>
    </row>
    <row r="5796" spans="7:17" ht="21.75" customHeight="1">
      <c r="G5796" t="s">
        <v>3653</v>
      </c>
      <c r="P5796" s="7"/>
      <c r="Q5796" s="7"/>
    </row>
    <row r="5797" spans="7:17" ht="21.75" customHeight="1">
      <c r="G5797" t="s">
        <v>3653</v>
      </c>
      <c r="P5797" s="7"/>
      <c r="Q5797" s="7"/>
    </row>
    <row r="5798" spans="7:17" ht="21.75" customHeight="1">
      <c r="G5798" t="s">
        <v>3653</v>
      </c>
      <c r="P5798" s="7"/>
      <c r="Q5798" s="7"/>
    </row>
    <row r="5799" spans="7:17" ht="21.75" customHeight="1">
      <c r="G5799" t="s">
        <v>3653</v>
      </c>
      <c r="P5799" s="7"/>
      <c r="Q5799" s="7"/>
    </row>
    <row r="5800" spans="7:17" ht="21.75" customHeight="1">
      <c r="G5800" t="s">
        <v>3653</v>
      </c>
      <c r="P5800" s="7"/>
      <c r="Q5800" s="7"/>
    </row>
    <row r="5801" spans="7:17" ht="21.75" customHeight="1">
      <c r="G5801" t="s">
        <v>3653</v>
      </c>
      <c r="P5801" s="7"/>
      <c r="Q5801" s="7"/>
    </row>
    <row r="5802" spans="7:17" ht="21.75" customHeight="1">
      <c r="G5802" t="s">
        <v>3653</v>
      </c>
      <c r="P5802" s="7"/>
      <c r="Q5802" s="7"/>
    </row>
    <row r="5803" spans="7:17" ht="21.75" customHeight="1">
      <c r="G5803" t="s">
        <v>3653</v>
      </c>
      <c r="P5803" s="7"/>
      <c r="Q5803" s="7"/>
    </row>
    <row r="5804" spans="7:17" ht="21.75" customHeight="1">
      <c r="G5804" t="s">
        <v>3653</v>
      </c>
      <c r="P5804" s="7"/>
      <c r="Q5804" s="7"/>
    </row>
    <row r="5805" spans="7:17" ht="21.75" customHeight="1">
      <c r="G5805" t="s">
        <v>3653</v>
      </c>
      <c r="P5805" s="7"/>
      <c r="Q5805" s="7"/>
    </row>
    <row r="5806" spans="7:17" ht="21.75" customHeight="1">
      <c r="G5806" t="s">
        <v>3653</v>
      </c>
      <c r="P5806" s="7"/>
      <c r="Q5806" s="7"/>
    </row>
    <row r="5807" spans="7:17" ht="21.75" customHeight="1">
      <c r="G5807" t="s">
        <v>3653</v>
      </c>
      <c r="P5807" s="7"/>
      <c r="Q5807" s="7"/>
    </row>
    <row r="5808" spans="7:17" ht="21.75" customHeight="1">
      <c r="G5808" t="s">
        <v>3653</v>
      </c>
      <c r="P5808" s="7"/>
      <c r="Q5808" s="7"/>
    </row>
    <row r="5809" spans="7:17" ht="21.75" customHeight="1">
      <c r="G5809" t="s">
        <v>3653</v>
      </c>
      <c r="P5809" s="7"/>
      <c r="Q5809" s="7"/>
    </row>
    <row r="5810" spans="7:17" ht="21.75" customHeight="1">
      <c r="G5810" t="s">
        <v>3653</v>
      </c>
      <c r="P5810" s="7"/>
      <c r="Q5810" s="7"/>
    </row>
    <row r="5811" spans="7:17" ht="21.75" customHeight="1">
      <c r="G5811" t="s">
        <v>3653</v>
      </c>
      <c r="P5811" s="7"/>
      <c r="Q5811" s="7"/>
    </row>
    <row r="5812" spans="7:17" ht="21.75" customHeight="1">
      <c r="G5812" t="s">
        <v>3653</v>
      </c>
      <c r="P5812" s="7"/>
      <c r="Q5812" s="7"/>
    </row>
    <row r="5813" spans="7:17" ht="21.75" customHeight="1">
      <c r="G5813" t="s">
        <v>3653</v>
      </c>
      <c r="P5813" s="7"/>
      <c r="Q5813" s="7"/>
    </row>
    <row r="5814" spans="7:17" ht="21.75" customHeight="1">
      <c r="G5814" t="s">
        <v>3653</v>
      </c>
      <c r="P5814" s="7"/>
      <c r="Q5814" s="7"/>
    </row>
    <row r="5815" spans="7:17" ht="21.75" customHeight="1">
      <c r="G5815" t="s">
        <v>3653</v>
      </c>
      <c r="P5815" s="7"/>
      <c r="Q5815" s="7"/>
    </row>
    <row r="5816" spans="7:17" ht="21.75" customHeight="1">
      <c r="G5816" t="s">
        <v>3653</v>
      </c>
      <c r="P5816" s="7"/>
      <c r="Q5816" s="7"/>
    </row>
    <row r="5817" spans="7:17" ht="21.75" customHeight="1">
      <c r="G5817" t="s">
        <v>3653</v>
      </c>
      <c r="P5817" s="7"/>
      <c r="Q5817" s="7"/>
    </row>
    <row r="5818" spans="7:17" ht="21.75" customHeight="1">
      <c r="G5818" t="s">
        <v>3653</v>
      </c>
      <c r="P5818" s="7"/>
      <c r="Q5818" s="7"/>
    </row>
    <row r="5819" spans="7:17" ht="21.75" customHeight="1">
      <c r="G5819" t="s">
        <v>3653</v>
      </c>
      <c r="P5819" s="7"/>
      <c r="Q5819" s="7"/>
    </row>
    <row r="5820" spans="7:17" ht="21.75" customHeight="1">
      <c r="G5820" t="s">
        <v>3653</v>
      </c>
      <c r="P5820" s="7"/>
      <c r="Q5820" s="7"/>
    </row>
    <row r="5821" spans="7:17" ht="21.75" customHeight="1">
      <c r="G5821" t="s">
        <v>3653</v>
      </c>
      <c r="P5821" s="7"/>
      <c r="Q5821" s="7"/>
    </row>
    <row r="5822" spans="7:17" ht="21.75" customHeight="1">
      <c r="G5822" t="s">
        <v>3653</v>
      </c>
      <c r="P5822" s="7"/>
      <c r="Q5822" s="7"/>
    </row>
    <row r="5823" spans="7:17" ht="21.75" customHeight="1">
      <c r="G5823" t="s">
        <v>3653</v>
      </c>
      <c r="P5823" s="7"/>
      <c r="Q5823" s="7"/>
    </row>
    <row r="5824" spans="7:17" ht="21.75" customHeight="1">
      <c r="G5824" t="s">
        <v>3653</v>
      </c>
      <c r="P5824" s="7"/>
      <c r="Q5824" s="7"/>
    </row>
    <row r="5825" spans="7:17" ht="21.75" customHeight="1">
      <c r="G5825" t="s">
        <v>3653</v>
      </c>
      <c r="P5825" s="7"/>
      <c r="Q5825" s="7"/>
    </row>
    <row r="5826" spans="7:17" ht="21.75" customHeight="1">
      <c r="G5826" t="s">
        <v>3653</v>
      </c>
      <c r="P5826" s="7"/>
      <c r="Q5826" s="7"/>
    </row>
    <row r="5827" spans="7:17" ht="21.75" customHeight="1">
      <c r="G5827" t="s">
        <v>3653</v>
      </c>
      <c r="P5827" s="7"/>
      <c r="Q5827" s="7"/>
    </row>
    <row r="5828" spans="7:17" ht="21.75" customHeight="1">
      <c r="G5828" t="s">
        <v>3653</v>
      </c>
      <c r="P5828" s="7"/>
      <c r="Q5828" s="7"/>
    </row>
    <row r="5829" spans="7:17" ht="21.75" customHeight="1">
      <c r="G5829" t="s">
        <v>3653</v>
      </c>
      <c r="P5829" s="7"/>
      <c r="Q5829" s="7"/>
    </row>
    <row r="5830" spans="7:17" ht="21.75" customHeight="1">
      <c r="G5830" t="s">
        <v>3653</v>
      </c>
      <c r="P5830" s="7"/>
      <c r="Q5830" s="7"/>
    </row>
    <row r="5831" spans="7:17" ht="21.75" customHeight="1">
      <c r="G5831" t="s">
        <v>3653</v>
      </c>
      <c r="P5831" s="7"/>
      <c r="Q5831" s="7"/>
    </row>
    <row r="5832" spans="7:17" ht="21.75" customHeight="1">
      <c r="G5832" t="s">
        <v>3653</v>
      </c>
      <c r="P5832" s="7"/>
      <c r="Q5832" s="7"/>
    </row>
    <row r="5833" spans="7:17" ht="21.75" customHeight="1">
      <c r="G5833" t="s">
        <v>3653</v>
      </c>
      <c r="P5833" s="7"/>
      <c r="Q5833" s="7"/>
    </row>
    <row r="5834" spans="7:17" ht="21.75" customHeight="1">
      <c r="G5834" t="s">
        <v>3653</v>
      </c>
      <c r="P5834" s="7"/>
      <c r="Q5834" s="7"/>
    </row>
    <row r="5835" spans="7:17" ht="21.75" customHeight="1">
      <c r="G5835" t="s">
        <v>3653</v>
      </c>
      <c r="P5835" s="7"/>
      <c r="Q5835" s="7"/>
    </row>
    <row r="5836" spans="7:17" ht="21.75" customHeight="1">
      <c r="G5836" t="s">
        <v>3653</v>
      </c>
      <c r="P5836" s="7"/>
      <c r="Q5836" s="7"/>
    </row>
    <row r="5837" spans="7:17" ht="21.75" customHeight="1">
      <c r="G5837" t="s">
        <v>3653</v>
      </c>
      <c r="P5837" s="7"/>
      <c r="Q5837" s="7"/>
    </row>
    <row r="5838" spans="7:17" ht="21.75" customHeight="1">
      <c r="G5838" t="s">
        <v>3653</v>
      </c>
      <c r="P5838" s="7"/>
      <c r="Q5838" s="7"/>
    </row>
    <row r="5839" spans="7:17" ht="21.75" customHeight="1">
      <c r="G5839" t="s">
        <v>3653</v>
      </c>
      <c r="P5839" s="7"/>
      <c r="Q5839" s="7"/>
    </row>
    <row r="5840" spans="7:17" ht="21.75" customHeight="1">
      <c r="G5840" t="s">
        <v>3653</v>
      </c>
      <c r="P5840" s="7"/>
      <c r="Q5840" s="7"/>
    </row>
    <row r="5841" spans="7:17" ht="21.75" customHeight="1">
      <c r="G5841" t="s">
        <v>3653</v>
      </c>
      <c r="P5841" s="7"/>
      <c r="Q5841" s="7"/>
    </row>
    <row r="5842" spans="7:17" ht="21.75" customHeight="1">
      <c r="G5842" t="s">
        <v>3653</v>
      </c>
      <c r="P5842" s="7"/>
      <c r="Q5842" s="7"/>
    </row>
    <row r="5843" spans="7:17" ht="21.75" customHeight="1">
      <c r="G5843" t="s">
        <v>3653</v>
      </c>
      <c r="P5843" s="7"/>
      <c r="Q5843" s="7"/>
    </row>
    <row r="5844" spans="7:17" ht="21.75" customHeight="1">
      <c r="G5844" t="s">
        <v>3653</v>
      </c>
      <c r="P5844" s="7"/>
      <c r="Q5844" s="7"/>
    </row>
    <row r="5845" spans="7:17" ht="21.75" customHeight="1">
      <c r="G5845" t="s">
        <v>3653</v>
      </c>
      <c r="P5845" s="7"/>
      <c r="Q5845" s="7"/>
    </row>
    <row r="5846" spans="7:17" ht="21.75" customHeight="1">
      <c r="G5846" t="s">
        <v>3653</v>
      </c>
      <c r="P5846" s="7"/>
      <c r="Q5846" s="7"/>
    </row>
    <row r="5847" spans="7:17" ht="21.75" customHeight="1">
      <c r="G5847" t="s">
        <v>3653</v>
      </c>
      <c r="P5847" s="7"/>
      <c r="Q5847" s="7"/>
    </row>
    <row r="5848" spans="7:17" ht="21.75" customHeight="1">
      <c r="G5848" t="s">
        <v>3653</v>
      </c>
      <c r="P5848" s="7"/>
      <c r="Q5848" s="7"/>
    </row>
    <row r="5849" spans="7:17" ht="21.75" customHeight="1">
      <c r="G5849" t="s">
        <v>3653</v>
      </c>
      <c r="P5849" s="7"/>
      <c r="Q5849" s="7"/>
    </row>
    <row r="5850" spans="7:17" ht="21.75" customHeight="1">
      <c r="G5850" t="s">
        <v>3653</v>
      </c>
      <c r="P5850" s="7"/>
      <c r="Q5850" s="7"/>
    </row>
    <row r="5851" spans="7:17" ht="21.75" customHeight="1">
      <c r="G5851" t="s">
        <v>3653</v>
      </c>
      <c r="P5851" s="7"/>
      <c r="Q5851" s="7"/>
    </row>
    <row r="5852" spans="7:17" ht="21.75" customHeight="1">
      <c r="G5852" t="s">
        <v>3653</v>
      </c>
      <c r="P5852" s="7"/>
      <c r="Q5852" s="7"/>
    </row>
    <row r="5853" spans="7:17" ht="21.75" customHeight="1">
      <c r="G5853" t="s">
        <v>3653</v>
      </c>
      <c r="P5853" s="7"/>
      <c r="Q5853" s="7"/>
    </row>
    <row r="5854" spans="7:17" ht="21.75" customHeight="1">
      <c r="G5854" t="s">
        <v>3653</v>
      </c>
      <c r="P5854" s="7"/>
      <c r="Q5854" s="7"/>
    </row>
    <row r="5855" spans="7:17" ht="21.75" customHeight="1">
      <c r="G5855" t="s">
        <v>3653</v>
      </c>
      <c r="P5855" s="7"/>
      <c r="Q5855" s="7"/>
    </row>
    <row r="5856" spans="7:17" ht="21.75" customHeight="1">
      <c r="G5856" t="s">
        <v>3653</v>
      </c>
      <c r="P5856" s="7"/>
      <c r="Q5856" s="7"/>
    </row>
    <row r="5857" spans="7:17" ht="21.75" customHeight="1">
      <c r="G5857" t="s">
        <v>3653</v>
      </c>
      <c r="P5857" s="7"/>
      <c r="Q5857" s="7"/>
    </row>
    <row r="5858" spans="7:17" ht="21.75" customHeight="1">
      <c r="G5858" t="s">
        <v>3653</v>
      </c>
      <c r="P5858" s="7"/>
      <c r="Q5858" s="7"/>
    </row>
    <row r="5859" spans="7:17" ht="21.75" customHeight="1">
      <c r="G5859" t="s">
        <v>3653</v>
      </c>
      <c r="P5859" s="7"/>
      <c r="Q5859" s="7"/>
    </row>
    <row r="5860" spans="7:17" ht="21.75" customHeight="1">
      <c r="G5860" t="s">
        <v>3653</v>
      </c>
      <c r="P5860" s="7"/>
      <c r="Q5860" s="7"/>
    </row>
    <row r="5861" spans="7:17" ht="21.75" customHeight="1">
      <c r="G5861" t="s">
        <v>3653</v>
      </c>
      <c r="P5861" s="7"/>
      <c r="Q5861" s="7"/>
    </row>
    <row r="5862" spans="7:17" ht="21.75" customHeight="1">
      <c r="G5862" t="s">
        <v>3653</v>
      </c>
      <c r="P5862" s="7"/>
      <c r="Q5862" s="7"/>
    </row>
    <row r="5863" spans="7:17" ht="21.75" customHeight="1">
      <c r="G5863" t="s">
        <v>3653</v>
      </c>
      <c r="P5863" s="7"/>
      <c r="Q5863" s="7"/>
    </row>
    <row r="5864" spans="7:17" ht="21.75" customHeight="1">
      <c r="G5864" t="s">
        <v>3653</v>
      </c>
      <c r="P5864" s="7"/>
      <c r="Q5864" s="7"/>
    </row>
    <row r="5865" spans="7:17" ht="21.75" customHeight="1">
      <c r="G5865" t="s">
        <v>3653</v>
      </c>
      <c r="P5865" s="7"/>
      <c r="Q5865" s="7"/>
    </row>
    <row r="5866" spans="7:17" ht="21.75" customHeight="1">
      <c r="G5866" t="s">
        <v>3653</v>
      </c>
      <c r="P5866" s="7"/>
      <c r="Q5866" s="7"/>
    </row>
    <row r="5867" spans="7:17" ht="21.75" customHeight="1">
      <c r="G5867" t="s">
        <v>3653</v>
      </c>
      <c r="P5867" s="7"/>
      <c r="Q5867" s="7"/>
    </row>
    <row r="5868" spans="7:17" ht="21.75" customHeight="1">
      <c r="G5868" t="s">
        <v>3653</v>
      </c>
      <c r="P5868" s="7"/>
      <c r="Q5868" s="7"/>
    </row>
    <row r="5869" spans="7:17" ht="21.75" customHeight="1">
      <c r="G5869" t="s">
        <v>3653</v>
      </c>
      <c r="P5869" s="7"/>
      <c r="Q5869" s="7"/>
    </row>
    <row r="5870" spans="7:17" ht="21.75" customHeight="1">
      <c r="G5870" t="s">
        <v>3653</v>
      </c>
      <c r="P5870" s="7"/>
      <c r="Q5870" s="7"/>
    </row>
    <row r="5871" spans="7:17" ht="21.75" customHeight="1">
      <c r="G5871" t="s">
        <v>3653</v>
      </c>
      <c r="P5871" s="7"/>
      <c r="Q5871" s="7"/>
    </row>
    <row r="5872" spans="7:17" ht="21.75" customHeight="1">
      <c r="G5872" t="s">
        <v>3653</v>
      </c>
      <c r="P5872" s="7"/>
      <c r="Q5872" s="7"/>
    </row>
    <row r="5873" spans="7:17" ht="21.75" customHeight="1">
      <c r="G5873" t="s">
        <v>3653</v>
      </c>
      <c r="P5873" s="7"/>
      <c r="Q5873" s="7"/>
    </row>
    <row r="5874" spans="7:17" ht="21.75" customHeight="1">
      <c r="G5874" t="s">
        <v>3653</v>
      </c>
      <c r="P5874" s="7"/>
      <c r="Q5874" s="7"/>
    </row>
    <row r="5875" spans="7:17" ht="21.75" customHeight="1">
      <c r="G5875" t="s">
        <v>3653</v>
      </c>
      <c r="P5875" s="7"/>
      <c r="Q5875" s="7"/>
    </row>
    <row r="5876" spans="7:17" ht="21.75" customHeight="1">
      <c r="G5876" t="s">
        <v>3653</v>
      </c>
      <c r="P5876" s="7"/>
      <c r="Q5876" s="7"/>
    </row>
    <row r="5877" spans="7:17" ht="21.75" customHeight="1">
      <c r="G5877" t="s">
        <v>3653</v>
      </c>
      <c r="P5877" s="7"/>
      <c r="Q5877" s="7"/>
    </row>
    <row r="5878" spans="7:17" ht="21.75" customHeight="1">
      <c r="G5878" t="s">
        <v>3653</v>
      </c>
      <c r="P5878" s="7"/>
      <c r="Q5878" s="7"/>
    </row>
    <row r="5879" spans="7:17" ht="21.75" customHeight="1">
      <c r="G5879" t="s">
        <v>3653</v>
      </c>
      <c r="P5879" s="7"/>
      <c r="Q5879" s="7"/>
    </row>
    <row r="5880" spans="7:17" ht="21.75" customHeight="1">
      <c r="G5880" t="s">
        <v>3653</v>
      </c>
      <c r="P5880" s="7"/>
      <c r="Q5880" s="7"/>
    </row>
    <row r="5881" spans="7:17" ht="21.75" customHeight="1">
      <c r="G5881" t="s">
        <v>3653</v>
      </c>
      <c r="P5881" s="7"/>
      <c r="Q5881" s="7"/>
    </row>
    <row r="5882" spans="7:17" ht="21.75" customHeight="1">
      <c r="G5882" t="s">
        <v>3653</v>
      </c>
      <c r="P5882" s="7"/>
      <c r="Q5882" s="7"/>
    </row>
    <row r="5883" spans="7:17" ht="21.75" customHeight="1">
      <c r="G5883" t="s">
        <v>3653</v>
      </c>
      <c r="P5883" s="7"/>
      <c r="Q5883" s="7"/>
    </row>
    <row r="5884" spans="7:17" ht="21.75" customHeight="1">
      <c r="G5884" t="s">
        <v>3653</v>
      </c>
      <c r="P5884" s="7"/>
      <c r="Q5884" s="7"/>
    </row>
    <row r="5885" spans="7:17" ht="21.75" customHeight="1">
      <c r="G5885" t="s">
        <v>3653</v>
      </c>
      <c r="P5885" s="7"/>
      <c r="Q5885" s="7"/>
    </row>
    <row r="5886" spans="7:17" ht="21.75" customHeight="1">
      <c r="G5886" t="s">
        <v>3653</v>
      </c>
      <c r="P5886" s="7"/>
      <c r="Q5886" s="7"/>
    </row>
    <row r="5887" spans="7:17" ht="21.75" customHeight="1">
      <c r="G5887" t="s">
        <v>3653</v>
      </c>
      <c r="P5887" s="7"/>
      <c r="Q5887" s="7"/>
    </row>
    <row r="5888" spans="7:17" ht="21.75" customHeight="1">
      <c r="G5888" t="s">
        <v>3653</v>
      </c>
      <c r="P5888" s="7"/>
      <c r="Q5888" s="7"/>
    </row>
    <row r="5889" spans="7:17" ht="21.75" customHeight="1">
      <c r="G5889" t="s">
        <v>3653</v>
      </c>
      <c r="P5889" s="7"/>
      <c r="Q5889" s="7"/>
    </row>
    <row r="5890" spans="7:17" ht="21.75" customHeight="1">
      <c r="G5890" t="s">
        <v>3653</v>
      </c>
      <c r="P5890" s="7"/>
      <c r="Q5890" s="7"/>
    </row>
    <row r="5891" spans="7:17" ht="21.75" customHeight="1">
      <c r="G5891" t="s">
        <v>3653</v>
      </c>
      <c r="P5891" s="7"/>
      <c r="Q5891" s="7"/>
    </row>
    <row r="5892" spans="7:17" ht="21.75" customHeight="1">
      <c r="G5892" t="s">
        <v>3653</v>
      </c>
      <c r="P5892" s="7"/>
      <c r="Q5892" s="7"/>
    </row>
    <row r="5893" spans="7:17" ht="21.75" customHeight="1">
      <c r="G5893" t="s">
        <v>3653</v>
      </c>
      <c r="P5893" s="7"/>
      <c r="Q5893" s="7"/>
    </row>
    <row r="5894" spans="7:17" ht="21.75" customHeight="1">
      <c r="G5894" t="s">
        <v>3653</v>
      </c>
      <c r="P5894" s="7"/>
      <c r="Q5894" s="7"/>
    </row>
    <row r="5895" spans="7:17" ht="21.75" customHeight="1">
      <c r="G5895" t="s">
        <v>3653</v>
      </c>
      <c r="P5895" s="7"/>
      <c r="Q5895" s="7"/>
    </row>
    <row r="5896" spans="7:17" ht="21.75" customHeight="1">
      <c r="G5896" t="s">
        <v>3653</v>
      </c>
      <c r="P5896" s="7"/>
      <c r="Q5896" s="7"/>
    </row>
    <row r="5897" spans="7:17" ht="21.75" customHeight="1">
      <c r="G5897" t="s">
        <v>3653</v>
      </c>
      <c r="P5897" s="7"/>
      <c r="Q5897" s="7"/>
    </row>
    <row r="5898" spans="7:17" ht="21.75" customHeight="1">
      <c r="G5898" t="s">
        <v>3653</v>
      </c>
      <c r="P5898" s="7"/>
      <c r="Q5898" s="7"/>
    </row>
    <row r="5899" spans="7:17" ht="21.75" customHeight="1">
      <c r="G5899" t="s">
        <v>3653</v>
      </c>
      <c r="P5899" s="7"/>
      <c r="Q5899" s="7"/>
    </row>
    <row r="5900" spans="7:17" ht="21.75" customHeight="1">
      <c r="G5900" t="s">
        <v>3653</v>
      </c>
      <c r="P5900" s="7"/>
      <c r="Q5900" s="7"/>
    </row>
    <row r="5901" spans="7:17" ht="21.75" customHeight="1">
      <c r="G5901" t="s">
        <v>3653</v>
      </c>
      <c r="P5901" s="7"/>
      <c r="Q5901" s="7"/>
    </row>
    <row r="5902" spans="7:17" ht="21.75" customHeight="1">
      <c r="G5902" t="s">
        <v>3653</v>
      </c>
      <c r="P5902" s="7"/>
      <c r="Q5902" s="7"/>
    </row>
    <row r="5903" spans="7:17" ht="21.75" customHeight="1">
      <c r="G5903" t="s">
        <v>3653</v>
      </c>
      <c r="P5903" s="7"/>
      <c r="Q5903" s="7"/>
    </row>
    <row r="5904" spans="7:17" ht="21.75" customHeight="1">
      <c r="G5904" t="s">
        <v>3653</v>
      </c>
      <c r="P5904" s="7"/>
      <c r="Q5904" s="7"/>
    </row>
    <row r="5905" spans="7:17" ht="21.75" customHeight="1">
      <c r="G5905" t="s">
        <v>3653</v>
      </c>
      <c r="P5905" s="7"/>
      <c r="Q5905" s="7"/>
    </row>
    <row r="5906" spans="7:17" ht="21.75" customHeight="1">
      <c r="G5906" t="s">
        <v>3653</v>
      </c>
      <c r="P5906" s="7"/>
      <c r="Q5906" s="7"/>
    </row>
    <row r="5907" spans="7:17" ht="21.75" customHeight="1">
      <c r="G5907" t="s">
        <v>3653</v>
      </c>
      <c r="P5907" s="7"/>
      <c r="Q5907" s="7"/>
    </row>
    <row r="5908" spans="7:17" ht="21.75" customHeight="1">
      <c r="G5908" t="s">
        <v>3653</v>
      </c>
      <c r="P5908" s="7"/>
      <c r="Q5908" s="7"/>
    </row>
    <row r="5909" spans="7:17" ht="21.75" customHeight="1">
      <c r="G5909" t="s">
        <v>3653</v>
      </c>
      <c r="P5909" s="7"/>
      <c r="Q5909" s="7"/>
    </row>
    <row r="5910" spans="7:17" ht="21.75" customHeight="1">
      <c r="G5910" t="s">
        <v>3653</v>
      </c>
      <c r="P5910" s="7"/>
      <c r="Q5910" s="7"/>
    </row>
    <row r="5911" spans="7:17" ht="21.75" customHeight="1">
      <c r="G5911" t="s">
        <v>3653</v>
      </c>
      <c r="P5911" s="7"/>
      <c r="Q5911" s="7"/>
    </row>
    <row r="5912" spans="7:17" ht="21.75" customHeight="1">
      <c r="G5912" t="s">
        <v>3653</v>
      </c>
      <c r="P5912" s="7"/>
      <c r="Q5912" s="7"/>
    </row>
    <row r="5913" spans="7:17" ht="21.75" customHeight="1">
      <c r="G5913" t="s">
        <v>3653</v>
      </c>
      <c r="P5913" s="7"/>
      <c r="Q5913" s="7"/>
    </row>
    <row r="5914" spans="7:17" ht="21.75" customHeight="1">
      <c r="G5914" t="s">
        <v>3653</v>
      </c>
      <c r="P5914" s="7"/>
      <c r="Q5914" s="7"/>
    </row>
    <row r="5915" spans="7:17" ht="21.75" customHeight="1">
      <c r="G5915" t="s">
        <v>3653</v>
      </c>
      <c r="P5915" s="7"/>
      <c r="Q5915" s="7"/>
    </row>
    <row r="5916" spans="7:17" ht="21.75" customHeight="1">
      <c r="G5916" t="s">
        <v>3653</v>
      </c>
      <c r="P5916" s="7"/>
      <c r="Q5916" s="7"/>
    </row>
    <row r="5917" spans="7:17" ht="21.75" customHeight="1">
      <c r="G5917" t="s">
        <v>3653</v>
      </c>
      <c r="P5917" s="7"/>
      <c r="Q5917" s="7"/>
    </row>
    <row r="5918" spans="7:17" ht="21.75" customHeight="1">
      <c r="G5918" t="s">
        <v>3653</v>
      </c>
      <c r="P5918" s="7"/>
      <c r="Q5918" s="7"/>
    </row>
    <row r="5919" spans="7:17" ht="21.75" customHeight="1">
      <c r="G5919" t="s">
        <v>3653</v>
      </c>
      <c r="P5919" s="7"/>
      <c r="Q5919" s="7"/>
    </row>
    <row r="5920" spans="7:17" ht="21.75" customHeight="1">
      <c r="G5920" t="s">
        <v>3653</v>
      </c>
      <c r="P5920" s="7"/>
      <c r="Q5920" s="7"/>
    </row>
    <row r="5921" spans="7:17" ht="21.75" customHeight="1">
      <c r="G5921" t="s">
        <v>3653</v>
      </c>
      <c r="P5921" s="7"/>
      <c r="Q5921" s="7"/>
    </row>
    <row r="5922" spans="7:17" ht="21.75" customHeight="1">
      <c r="G5922" t="s">
        <v>3653</v>
      </c>
      <c r="P5922" s="7"/>
      <c r="Q5922" s="7"/>
    </row>
    <row r="5923" spans="7:17" ht="21.75" customHeight="1">
      <c r="G5923" t="s">
        <v>3653</v>
      </c>
      <c r="P5923" s="7"/>
      <c r="Q5923" s="7"/>
    </row>
    <row r="5924" spans="7:17" ht="21.75" customHeight="1">
      <c r="G5924" t="s">
        <v>3653</v>
      </c>
      <c r="P5924" s="7"/>
      <c r="Q5924" s="7"/>
    </row>
    <row r="5925" spans="7:17" ht="21.75" customHeight="1">
      <c r="G5925" t="s">
        <v>3653</v>
      </c>
      <c r="P5925" s="7"/>
      <c r="Q5925" s="7"/>
    </row>
    <row r="5926" spans="7:17" ht="21.75" customHeight="1">
      <c r="G5926" t="s">
        <v>3653</v>
      </c>
      <c r="P5926" s="7"/>
      <c r="Q5926" s="7"/>
    </row>
    <row r="5927" spans="7:17" ht="21.75" customHeight="1">
      <c r="G5927" t="s">
        <v>3653</v>
      </c>
      <c r="P5927" s="7"/>
      <c r="Q5927" s="7"/>
    </row>
    <row r="5928" spans="7:17" ht="21.75" customHeight="1">
      <c r="G5928" t="s">
        <v>3653</v>
      </c>
      <c r="P5928" s="7"/>
      <c r="Q5928" s="7"/>
    </row>
    <row r="5929" spans="7:17" ht="21.75" customHeight="1">
      <c r="G5929" t="s">
        <v>3653</v>
      </c>
      <c r="P5929" s="7"/>
      <c r="Q5929" s="7"/>
    </row>
    <row r="5930" spans="7:17" ht="21.75" customHeight="1">
      <c r="G5930" t="s">
        <v>3653</v>
      </c>
      <c r="P5930" s="7"/>
      <c r="Q5930" s="7"/>
    </row>
    <row r="5931" spans="7:17" ht="21.75" customHeight="1">
      <c r="G5931" t="s">
        <v>3653</v>
      </c>
      <c r="P5931" s="7"/>
      <c r="Q5931" s="7"/>
    </row>
    <row r="5932" spans="7:17" ht="21.75" customHeight="1">
      <c r="G5932" t="s">
        <v>3653</v>
      </c>
      <c r="P5932" s="7"/>
      <c r="Q5932" s="7"/>
    </row>
    <row r="5933" spans="7:17" ht="21.75" customHeight="1">
      <c r="G5933" t="s">
        <v>3653</v>
      </c>
      <c r="P5933" s="7"/>
      <c r="Q5933" s="7"/>
    </row>
    <row r="5934" spans="7:17" ht="21.75" customHeight="1">
      <c r="G5934" t="s">
        <v>3653</v>
      </c>
      <c r="P5934" s="7"/>
      <c r="Q5934" s="7"/>
    </row>
    <row r="5935" spans="7:17" ht="21.75" customHeight="1">
      <c r="G5935" t="s">
        <v>3653</v>
      </c>
      <c r="P5935" s="7"/>
      <c r="Q5935" s="7"/>
    </row>
    <row r="5936" spans="7:17" ht="21.75" customHeight="1">
      <c r="G5936" t="s">
        <v>3653</v>
      </c>
      <c r="P5936" s="7"/>
      <c r="Q5936" s="7"/>
    </row>
    <row r="5937" spans="7:17" ht="21.75" customHeight="1">
      <c r="G5937" t="s">
        <v>3653</v>
      </c>
      <c r="P5937" s="7"/>
      <c r="Q5937" s="7"/>
    </row>
    <row r="5938" spans="7:17" ht="21.75" customHeight="1">
      <c r="G5938" t="s">
        <v>3653</v>
      </c>
      <c r="P5938" s="7"/>
      <c r="Q5938" s="7"/>
    </row>
    <row r="5939" spans="7:17" ht="21.75" customHeight="1">
      <c r="G5939" t="s">
        <v>3653</v>
      </c>
      <c r="P5939" s="7"/>
      <c r="Q5939" s="7"/>
    </row>
    <row r="5940" spans="7:17" ht="21.75" customHeight="1">
      <c r="G5940" t="s">
        <v>3653</v>
      </c>
      <c r="P5940" s="7"/>
      <c r="Q5940" s="7"/>
    </row>
    <row r="5941" spans="7:17" ht="21.75" customHeight="1">
      <c r="G5941" t="s">
        <v>3653</v>
      </c>
      <c r="P5941" s="7"/>
      <c r="Q5941" s="7"/>
    </row>
    <row r="5942" spans="7:17" ht="21.75" customHeight="1">
      <c r="G5942" t="s">
        <v>3653</v>
      </c>
      <c r="P5942" s="7"/>
      <c r="Q5942" s="7"/>
    </row>
    <row r="5943" spans="7:17" ht="21.75" customHeight="1">
      <c r="G5943" t="s">
        <v>3653</v>
      </c>
      <c r="P5943" s="7"/>
      <c r="Q5943" s="7"/>
    </row>
    <row r="5944" spans="7:17" ht="21.75" customHeight="1">
      <c r="G5944" t="s">
        <v>3653</v>
      </c>
      <c r="P5944" s="7"/>
      <c r="Q5944" s="7"/>
    </row>
    <row r="5945" spans="7:17" ht="21.75" customHeight="1">
      <c r="G5945" t="s">
        <v>3653</v>
      </c>
      <c r="P5945" s="7"/>
      <c r="Q5945" s="7"/>
    </row>
    <row r="5946" spans="7:17" ht="21.75" customHeight="1">
      <c r="G5946" t="s">
        <v>3653</v>
      </c>
      <c r="P5946" s="7"/>
      <c r="Q5946" s="7"/>
    </row>
    <row r="5947" spans="7:17" ht="21.75" customHeight="1">
      <c r="G5947" t="s">
        <v>3653</v>
      </c>
      <c r="P5947" s="7"/>
      <c r="Q5947" s="7"/>
    </row>
    <row r="5948" spans="7:17" ht="21.75" customHeight="1">
      <c r="G5948" t="s">
        <v>3653</v>
      </c>
      <c r="P5948" s="7"/>
      <c r="Q5948" s="7"/>
    </row>
    <row r="5949" spans="7:17" ht="21.75" customHeight="1">
      <c r="G5949" t="s">
        <v>3653</v>
      </c>
      <c r="P5949" s="7"/>
      <c r="Q5949" s="7"/>
    </row>
    <row r="5950" spans="7:17" ht="21.75" customHeight="1">
      <c r="G5950" t="s">
        <v>3653</v>
      </c>
      <c r="P5950" s="7"/>
      <c r="Q5950" s="7"/>
    </row>
    <row r="5951" spans="7:17" ht="21.75" customHeight="1">
      <c r="G5951" t="s">
        <v>3653</v>
      </c>
      <c r="P5951" s="7"/>
      <c r="Q5951" s="7"/>
    </row>
    <row r="5952" spans="7:17" ht="21.75" customHeight="1">
      <c r="G5952" t="s">
        <v>3653</v>
      </c>
      <c r="P5952" s="7"/>
      <c r="Q5952" s="7"/>
    </row>
    <row r="5953" spans="7:17" ht="21.75" customHeight="1">
      <c r="G5953" t="s">
        <v>3653</v>
      </c>
      <c r="P5953" s="7"/>
      <c r="Q5953" s="7"/>
    </row>
    <row r="5954" spans="7:17" ht="21.75" customHeight="1">
      <c r="G5954" t="s">
        <v>3653</v>
      </c>
      <c r="P5954" s="7"/>
      <c r="Q5954" s="7"/>
    </row>
    <row r="5955" spans="7:17" ht="21.75" customHeight="1">
      <c r="G5955" t="s">
        <v>3653</v>
      </c>
      <c r="P5955" s="7"/>
      <c r="Q5955" s="7"/>
    </row>
    <row r="5956" spans="7:17" ht="21.75" customHeight="1">
      <c r="G5956" t="s">
        <v>3653</v>
      </c>
      <c r="P5956" s="7"/>
      <c r="Q5956" s="7"/>
    </row>
    <row r="5957" spans="7:17" ht="21.75" customHeight="1">
      <c r="G5957" t="s">
        <v>3653</v>
      </c>
      <c r="P5957" s="7"/>
      <c r="Q5957" s="7"/>
    </row>
    <row r="5958" spans="7:17" ht="21.75" customHeight="1">
      <c r="G5958" t="s">
        <v>3653</v>
      </c>
      <c r="P5958" s="7"/>
      <c r="Q5958" s="7"/>
    </row>
    <row r="5959" spans="7:17" ht="21.75" customHeight="1">
      <c r="G5959" t="s">
        <v>3653</v>
      </c>
      <c r="P5959" s="7"/>
      <c r="Q5959" s="7"/>
    </row>
    <row r="5960" spans="7:17" ht="21.75" customHeight="1">
      <c r="G5960" t="s">
        <v>3653</v>
      </c>
      <c r="P5960" s="7"/>
      <c r="Q5960" s="7"/>
    </row>
    <row r="5961" spans="7:17" ht="21.75" customHeight="1">
      <c r="G5961" t="s">
        <v>3653</v>
      </c>
      <c r="P5961" s="7"/>
      <c r="Q5961" s="7"/>
    </row>
    <row r="5962" spans="7:17" ht="21.75" customHeight="1">
      <c r="G5962" t="s">
        <v>3653</v>
      </c>
      <c r="P5962" s="7"/>
      <c r="Q5962" s="7"/>
    </row>
    <row r="5963" spans="7:17" ht="21.75" customHeight="1">
      <c r="G5963" t="s">
        <v>3653</v>
      </c>
      <c r="P5963" s="7"/>
      <c r="Q5963" s="7"/>
    </row>
    <row r="5964" spans="7:17" ht="21.75" customHeight="1">
      <c r="G5964" t="s">
        <v>3653</v>
      </c>
      <c r="P5964" s="7"/>
      <c r="Q5964" s="7"/>
    </row>
    <row r="5965" spans="7:17" ht="21.75" customHeight="1">
      <c r="G5965" t="s">
        <v>3653</v>
      </c>
      <c r="P5965" s="7"/>
      <c r="Q5965" s="7"/>
    </row>
    <row r="5966" spans="7:17" ht="21.75" customHeight="1">
      <c r="G5966" t="s">
        <v>3653</v>
      </c>
      <c r="P5966" s="7"/>
      <c r="Q5966" s="7"/>
    </row>
    <row r="5967" spans="7:17" ht="21.75" customHeight="1">
      <c r="G5967" t="s">
        <v>3653</v>
      </c>
      <c r="P5967" s="7"/>
      <c r="Q5967" s="7"/>
    </row>
    <row r="5968" spans="7:17" ht="21.75" customHeight="1">
      <c r="G5968" t="s">
        <v>3653</v>
      </c>
      <c r="P5968" s="7"/>
      <c r="Q5968" s="7"/>
    </row>
    <row r="5969" spans="7:17" ht="21.75" customHeight="1">
      <c r="G5969" t="s">
        <v>3653</v>
      </c>
      <c r="P5969" s="7"/>
      <c r="Q5969" s="7"/>
    </row>
    <row r="5970" spans="7:17" ht="21.75" customHeight="1">
      <c r="G5970" t="s">
        <v>3653</v>
      </c>
      <c r="P5970" s="7"/>
      <c r="Q5970" s="7"/>
    </row>
    <row r="5971" spans="7:17" ht="21.75" customHeight="1">
      <c r="G5971" t="s">
        <v>3653</v>
      </c>
      <c r="P5971" s="7"/>
      <c r="Q5971" s="7"/>
    </row>
    <row r="5972" spans="7:17" ht="21.75" customHeight="1">
      <c r="G5972" t="s">
        <v>3653</v>
      </c>
      <c r="P5972" s="7"/>
      <c r="Q5972" s="7"/>
    </row>
    <row r="5973" spans="7:17" ht="21.75" customHeight="1">
      <c r="G5973" t="s">
        <v>3653</v>
      </c>
      <c r="P5973" s="7"/>
      <c r="Q5973" s="7"/>
    </row>
    <row r="5974" spans="7:17" ht="21.75" customHeight="1">
      <c r="G5974" t="s">
        <v>3653</v>
      </c>
      <c r="P5974" s="7"/>
      <c r="Q5974" s="7"/>
    </row>
    <row r="5975" spans="7:17" ht="21.75" customHeight="1">
      <c r="G5975" t="s">
        <v>3653</v>
      </c>
      <c r="P5975" s="7"/>
      <c r="Q5975" s="7"/>
    </row>
    <row r="5976" spans="7:17" ht="21.75" customHeight="1">
      <c r="G5976" t="s">
        <v>3653</v>
      </c>
      <c r="P5976" s="7"/>
      <c r="Q5976" s="7"/>
    </row>
    <row r="5977" spans="7:17" ht="21.75" customHeight="1">
      <c r="G5977" t="s">
        <v>3653</v>
      </c>
      <c r="P5977" s="7"/>
      <c r="Q5977" s="7"/>
    </row>
    <row r="5978" spans="7:17" ht="21.75" customHeight="1">
      <c r="G5978" t="s">
        <v>3653</v>
      </c>
      <c r="P5978" s="7"/>
      <c r="Q5978" s="7"/>
    </row>
    <row r="5979" spans="7:17" ht="21.75" customHeight="1">
      <c r="G5979" t="s">
        <v>3653</v>
      </c>
      <c r="P5979" s="7"/>
      <c r="Q5979" s="7"/>
    </row>
    <row r="5980" spans="7:17" ht="21.75" customHeight="1">
      <c r="G5980" t="s">
        <v>3653</v>
      </c>
      <c r="P5980" s="7"/>
      <c r="Q5980" s="7"/>
    </row>
    <row r="5981" spans="7:17" ht="21.75" customHeight="1">
      <c r="G5981" t="s">
        <v>3653</v>
      </c>
      <c r="P5981" s="7"/>
      <c r="Q5981" s="7"/>
    </row>
    <row r="5982" spans="7:17" ht="21.75" customHeight="1">
      <c r="G5982" t="s">
        <v>3653</v>
      </c>
      <c r="P5982" s="7"/>
      <c r="Q5982" s="7"/>
    </row>
    <row r="5983" spans="7:17" ht="21.75" customHeight="1">
      <c r="G5983" t="s">
        <v>3653</v>
      </c>
      <c r="P5983" s="7"/>
      <c r="Q5983" s="7"/>
    </row>
    <row r="5984" spans="7:17" ht="21.75" customHeight="1">
      <c r="G5984" t="s">
        <v>3653</v>
      </c>
      <c r="P5984" s="7"/>
      <c r="Q5984" s="7"/>
    </row>
    <row r="5985" spans="7:17" ht="21.75" customHeight="1">
      <c r="G5985" t="s">
        <v>3653</v>
      </c>
      <c r="P5985" s="7"/>
      <c r="Q5985" s="7"/>
    </row>
    <row r="5986" spans="7:17" ht="21.75" customHeight="1">
      <c r="G5986" t="s">
        <v>3653</v>
      </c>
      <c r="P5986" s="7"/>
      <c r="Q5986" s="7"/>
    </row>
    <row r="5987" spans="7:17" ht="21.75" customHeight="1">
      <c r="G5987" t="s">
        <v>3653</v>
      </c>
      <c r="P5987" s="7"/>
      <c r="Q5987" s="7"/>
    </row>
    <row r="5988" spans="7:17" ht="21.75" customHeight="1">
      <c r="G5988" t="s">
        <v>3653</v>
      </c>
      <c r="P5988" s="7"/>
      <c r="Q5988" s="7"/>
    </row>
    <row r="5989" spans="7:17" ht="21.75" customHeight="1">
      <c r="G5989" t="s">
        <v>3653</v>
      </c>
      <c r="P5989" s="7"/>
      <c r="Q5989" s="7"/>
    </row>
    <row r="5990" spans="7:17" ht="21.75" customHeight="1">
      <c r="G5990" t="s">
        <v>3653</v>
      </c>
      <c r="P5990" s="7"/>
      <c r="Q5990" s="7"/>
    </row>
    <row r="5991" spans="7:17" ht="21.75" customHeight="1">
      <c r="G5991" t="s">
        <v>3653</v>
      </c>
      <c r="P5991" s="7"/>
      <c r="Q5991" s="7"/>
    </row>
    <row r="5992" spans="7:17" ht="21.75" customHeight="1">
      <c r="G5992" t="s">
        <v>3653</v>
      </c>
      <c r="P5992" s="7"/>
      <c r="Q5992" s="7"/>
    </row>
    <row r="5993" spans="7:17" ht="21.75" customHeight="1">
      <c r="G5993" t="s">
        <v>3653</v>
      </c>
      <c r="P5993" s="7"/>
      <c r="Q5993" s="7"/>
    </row>
    <row r="5994" spans="7:17" ht="21.75" customHeight="1">
      <c r="G5994" t="s">
        <v>3653</v>
      </c>
      <c r="P5994" s="7"/>
      <c r="Q5994" s="7"/>
    </row>
    <row r="5995" spans="7:17" ht="21.75" customHeight="1">
      <c r="G5995" t="s">
        <v>3653</v>
      </c>
      <c r="P5995" s="7"/>
      <c r="Q5995" s="7"/>
    </row>
    <row r="5996" spans="7:17" ht="21.75" customHeight="1">
      <c r="G5996" t="s">
        <v>3653</v>
      </c>
      <c r="P5996" s="7"/>
      <c r="Q5996" s="7"/>
    </row>
    <row r="5997" spans="7:17" ht="21.75" customHeight="1">
      <c r="G5997" t="s">
        <v>3653</v>
      </c>
      <c r="P5997" s="7"/>
      <c r="Q5997" s="7"/>
    </row>
    <row r="5998" spans="7:17" ht="21.75" customHeight="1">
      <c r="G5998" t="s">
        <v>3653</v>
      </c>
      <c r="P5998" s="7"/>
      <c r="Q5998" s="7"/>
    </row>
    <row r="5999" spans="7:17" ht="21.75" customHeight="1">
      <c r="G5999" t="s">
        <v>3653</v>
      </c>
      <c r="P5999" s="7"/>
      <c r="Q5999" s="7"/>
    </row>
    <row r="6000" spans="7:17" ht="21.75" customHeight="1">
      <c r="G6000" t="s">
        <v>3653</v>
      </c>
      <c r="P6000" s="7"/>
      <c r="Q6000" s="7"/>
    </row>
    <row r="6001" spans="7:17" ht="21.75" customHeight="1">
      <c r="G6001" t="s">
        <v>3653</v>
      </c>
      <c r="P6001" s="7"/>
      <c r="Q6001" s="7"/>
    </row>
    <row r="6002" spans="7:17" ht="21.75" customHeight="1">
      <c r="G6002" t="s">
        <v>3653</v>
      </c>
      <c r="P6002" s="7"/>
      <c r="Q6002" s="7"/>
    </row>
    <row r="6003" spans="7:17" ht="21.75" customHeight="1">
      <c r="G6003" t="s">
        <v>3653</v>
      </c>
      <c r="P6003" s="7"/>
      <c r="Q6003" s="7"/>
    </row>
    <row r="6004" spans="7:17" ht="21.75" customHeight="1">
      <c r="G6004" t="s">
        <v>3653</v>
      </c>
      <c r="P6004" s="7"/>
      <c r="Q6004" s="7"/>
    </row>
    <row r="6005" spans="7:17" ht="21.75" customHeight="1">
      <c r="G6005" t="s">
        <v>3653</v>
      </c>
      <c r="P6005" s="7"/>
      <c r="Q6005" s="7"/>
    </row>
    <row r="6006" spans="7:17" ht="21.75" customHeight="1">
      <c r="G6006" t="s">
        <v>3653</v>
      </c>
      <c r="P6006" s="7"/>
      <c r="Q6006" s="7"/>
    </row>
    <row r="6007" spans="7:17" ht="21.75" customHeight="1">
      <c r="G6007" t="s">
        <v>3653</v>
      </c>
      <c r="P6007" s="7"/>
      <c r="Q6007" s="7"/>
    </row>
    <row r="6008" spans="7:17" ht="21.75" customHeight="1">
      <c r="G6008" t="s">
        <v>3653</v>
      </c>
      <c r="P6008" s="7"/>
      <c r="Q6008" s="7"/>
    </row>
    <row r="6009" spans="7:17" ht="21.75" customHeight="1">
      <c r="G6009" t="s">
        <v>3653</v>
      </c>
      <c r="P6009" s="7"/>
      <c r="Q6009" s="7"/>
    </row>
    <row r="6010" spans="7:17" ht="21.75" customHeight="1">
      <c r="G6010" t="s">
        <v>3653</v>
      </c>
      <c r="P6010" s="7"/>
      <c r="Q6010" s="7"/>
    </row>
    <row r="6011" spans="7:17" ht="21.75" customHeight="1">
      <c r="G6011" t="s">
        <v>3653</v>
      </c>
      <c r="P6011" s="7"/>
      <c r="Q6011" s="7"/>
    </row>
    <row r="6012" spans="7:17" ht="21.75" customHeight="1">
      <c r="G6012" t="s">
        <v>3653</v>
      </c>
      <c r="P6012" s="7"/>
      <c r="Q6012" s="7"/>
    </row>
    <row r="6013" spans="7:17" ht="21.75" customHeight="1">
      <c r="G6013" t="s">
        <v>3653</v>
      </c>
      <c r="P6013" s="7"/>
      <c r="Q6013" s="7"/>
    </row>
    <row r="6014" spans="7:17" ht="21.75" customHeight="1">
      <c r="G6014" t="s">
        <v>3653</v>
      </c>
      <c r="P6014" s="7"/>
      <c r="Q6014" s="7"/>
    </row>
    <row r="6015" spans="7:17" ht="21.75" customHeight="1">
      <c r="G6015" t="s">
        <v>3653</v>
      </c>
      <c r="P6015" s="7"/>
      <c r="Q6015" s="7"/>
    </row>
    <row r="6016" spans="7:17" ht="21.75" customHeight="1">
      <c r="G6016" t="s">
        <v>3653</v>
      </c>
      <c r="P6016" s="7"/>
      <c r="Q6016" s="7"/>
    </row>
    <row r="6017" spans="7:17" ht="21.75" customHeight="1">
      <c r="G6017" t="s">
        <v>3653</v>
      </c>
      <c r="P6017" s="7"/>
      <c r="Q6017" s="7"/>
    </row>
    <row r="6018" spans="7:17" ht="21.75" customHeight="1">
      <c r="G6018" t="s">
        <v>3653</v>
      </c>
      <c r="P6018" s="7"/>
      <c r="Q6018" s="7"/>
    </row>
    <row r="6019" spans="7:17" ht="21.75" customHeight="1">
      <c r="G6019" t="s">
        <v>3653</v>
      </c>
      <c r="P6019" s="7"/>
      <c r="Q6019" s="7"/>
    </row>
    <row r="6020" spans="7:17" ht="21.75" customHeight="1">
      <c r="G6020" t="s">
        <v>3653</v>
      </c>
      <c r="P6020" s="7"/>
      <c r="Q6020" s="7"/>
    </row>
    <row r="6021" spans="7:17" ht="21.75" customHeight="1">
      <c r="G6021" t="s">
        <v>3653</v>
      </c>
      <c r="P6021" s="7"/>
      <c r="Q6021" s="7"/>
    </row>
    <row r="6022" spans="7:17" ht="21.75" customHeight="1">
      <c r="G6022" t="s">
        <v>3653</v>
      </c>
      <c r="P6022" s="7"/>
      <c r="Q6022" s="7"/>
    </row>
    <row r="6023" spans="7:17" ht="21.75" customHeight="1">
      <c r="G6023" t="s">
        <v>3653</v>
      </c>
      <c r="P6023" s="7"/>
      <c r="Q6023" s="7"/>
    </row>
    <row r="6024" spans="7:17" ht="21.75" customHeight="1">
      <c r="G6024" t="s">
        <v>3653</v>
      </c>
      <c r="P6024" s="7"/>
      <c r="Q6024" s="7"/>
    </row>
    <row r="6025" spans="7:17" ht="21.75" customHeight="1">
      <c r="G6025" t="s">
        <v>3653</v>
      </c>
      <c r="P6025" s="7"/>
      <c r="Q6025" s="7"/>
    </row>
    <row r="6026" spans="7:17" ht="21.75" customHeight="1">
      <c r="G6026" t="s">
        <v>3653</v>
      </c>
      <c r="P6026" s="7"/>
      <c r="Q6026" s="7"/>
    </row>
    <row r="6027" spans="7:17" ht="21.75" customHeight="1">
      <c r="G6027" t="s">
        <v>3653</v>
      </c>
      <c r="P6027" s="7"/>
      <c r="Q6027" s="7"/>
    </row>
    <row r="6028" spans="7:17" ht="21.75" customHeight="1">
      <c r="G6028" t="s">
        <v>3653</v>
      </c>
      <c r="P6028" s="7"/>
      <c r="Q6028" s="7"/>
    </row>
    <row r="6029" spans="7:17" ht="21.75" customHeight="1">
      <c r="G6029" t="s">
        <v>3653</v>
      </c>
      <c r="P6029" s="7"/>
      <c r="Q6029" s="7"/>
    </row>
    <row r="6030" spans="7:17" ht="21.75" customHeight="1">
      <c r="G6030" t="s">
        <v>3653</v>
      </c>
      <c r="P6030" s="7"/>
      <c r="Q6030" s="7"/>
    </row>
    <row r="6031" spans="7:17" ht="21.75" customHeight="1">
      <c r="G6031" t="s">
        <v>3653</v>
      </c>
      <c r="P6031" s="7"/>
      <c r="Q6031" s="7"/>
    </row>
    <row r="6032" spans="7:17" ht="21.75" customHeight="1">
      <c r="G6032" t="s">
        <v>3653</v>
      </c>
      <c r="P6032" s="7"/>
      <c r="Q6032" s="7"/>
    </row>
    <row r="6033" spans="7:17" ht="21.75" customHeight="1">
      <c r="G6033" t="s">
        <v>3653</v>
      </c>
      <c r="P6033" s="7"/>
      <c r="Q6033" s="7"/>
    </row>
    <row r="6034" spans="7:17" ht="21.75" customHeight="1">
      <c r="G6034" t="s">
        <v>3653</v>
      </c>
      <c r="P6034" s="7"/>
      <c r="Q6034" s="7"/>
    </row>
    <row r="6035" spans="7:17" ht="21.75" customHeight="1">
      <c r="G6035" t="s">
        <v>3653</v>
      </c>
      <c r="P6035" s="7"/>
      <c r="Q6035" s="7"/>
    </row>
    <row r="6036" spans="7:17" ht="21.75" customHeight="1">
      <c r="G6036" t="s">
        <v>3653</v>
      </c>
      <c r="P6036" s="7"/>
      <c r="Q6036" s="7"/>
    </row>
    <row r="6037" spans="7:17" ht="21.75" customHeight="1">
      <c r="G6037" t="s">
        <v>3653</v>
      </c>
      <c r="P6037" s="7"/>
      <c r="Q6037" s="7"/>
    </row>
    <row r="6038" spans="7:17" ht="21.75" customHeight="1">
      <c r="G6038" t="s">
        <v>3653</v>
      </c>
      <c r="P6038" s="7"/>
      <c r="Q6038" s="7"/>
    </row>
    <row r="6039" spans="7:17" ht="21.75" customHeight="1">
      <c r="G6039" t="s">
        <v>3653</v>
      </c>
      <c r="P6039" s="7"/>
      <c r="Q6039" s="7"/>
    </row>
    <row r="6040" spans="7:17" ht="21.75" customHeight="1">
      <c r="G6040" t="s">
        <v>3653</v>
      </c>
      <c r="P6040" s="7"/>
      <c r="Q6040" s="7"/>
    </row>
    <row r="6041" spans="7:17" ht="21.75" customHeight="1">
      <c r="G6041" t="s">
        <v>3653</v>
      </c>
      <c r="P6041" s="7"/>
      <c r="Q6041" s="7"/>
    </row>
    <row r="6042" spans="7:17" ht="21.75" customHeight="1">
      <c r="G6042" t="s">
        <v>3653</v>
      </c>
      <c r="P6042" s="7"/>
      <c r="Q6042" s="7"/>
    </row>
    <row r="6043" spans="7:17" ht="21.75" customHeight="1">
      <c r="G6043" t="s">
        <v>3653</v>
      </c>
      <c r="P6043" s="7"/>
      <c r="Q6043" s="7"/>
    </row>
    <row r="6044" spans="7:17" ht="21.75" customHeight="1">
      <c r="G6044" t="s">
        <v>3653</v>
      </c>
      <c r="P6044" s="7"/>
      <c r="Q6044" s="7"/>
    </row>
    <row r="6045" spans="7:17" ht="21.75" customHeight="1">
      <c r="G6045" t="s">
        <v>3653</v>
      </c>
      <c r="P6045" s="7"/>
      <c r="Q6045" s="7"/>
    </row>
    <row r="6046" spans="7:17" ht="21.75" customHeight="1">
      <c r="G6046" t="s">
        <v>3653</v>
      </c>
      <c r="P6046" s="7"/>
      <c r="Q6046" s="7"/>
    </row>
    <row r="6047" spans="7:17" ht="21.75" customHeight="1">
      <c r="G6047" t="s">
        <v>3653</v>
      </c>
      <c r="P6047" s="7"/>
      <c r="Q6047" s="7"/>
    </row>
    <row r="6048" spans="7:17" ht="21.75" customHeight="1">
      <c r="G6048" t="s">
        <v>3653</v>
      </c>
      <c r="P6048" s="7"/>
      <c r="Q6048" s="7"/>
    </row>
    <row r="6049" spans="7:17" ht="21.75" customHeight="1">
      <c r="G6049" t="s">
        <v>3653</v>
      </c>
      <c r="P6049" s="7"/>
      <c r="Q6049" s="7"/>
    </row>
    <row r="6050" spans="7:17" ht="21.75" customHeight="1">
      <c r="G6050" t="s">
        <v>3653</v>
      </c>
      <c r="P6050" s="7"/>
      <c r="Q6050" s="7"/>
    </row>
    <row r="6051" spans="7:17" ht="21.75" customHeight="1">
      <c r="G6051" t="s">
        <v>3653</v>
      </c>
      <c r="P6051" s="7"/>
      <c r="Q6051" s="7"/>
    </row>
    <row r="6052" spans="7:17" ht="21.75" customHeight="1">
      <c r="G6052" t="s">
        <v>3653</v>
      </c>
      <c r="P6052" s="7"/>
      <c r="Q6052" s="7"/>
    </row>
    <row r="6053" spans="7:17" ht="21.75" customHeight="1">
      <c r="G6053" t="s">
        <v>3653</v>
      </c>
      <c r="P6053" s="7"/>
      <c r="Q6053" s="7"/>
    </row>
    <row r="6054" spans="7:17" ht="21.75" customHeight="1">
      <c r="G6054" t="s">
        <v>3653</v>
      </c>
      <c r="P6054" s="7"/>
      <c r="Q6054" s="7"/>
    </row>
    <row r="6055" spans="7:17" ht="21.75" customHeight="1">
      <c r="G6055" t="s">
        <v>3653</v>
      </c>
      <c r="P6055" s="7"/>
      <c r="Q6055" s="7"/>
    </row>
    <row r="6056" spans="7:17" ht="21.75" customHeight="1">
      <c r="G6056" t="s">
        <v>3653</v>
      </c>
      <c r="P6056" s="7"/>
      <c r="Q6056" s="7"/>
    </row>
    <row r="6057" spans="7:17" ht="21.75" customHeight="1">
      <c r="G6057" t="s">
        <v>3653</v>
      </c>
      <c r="P6057" s="7"/>
      <c r="Q6057" s="7"/>
    </row>
    <row r="6058" spans="7:17" ht="21.75" customHeight="1">
      <c r="G6058" t="s">
        <v>3653</v>
      </c>
      <c r="P6058" s="7"/>
      <c r="Q6058" s="7"/>
    </row>
    <row r="6059" spans="7:17" ht="21.75" customHeight="1">
      <c r="G6059" t="s">
        <v>3653</v>
      </c>
      <c r="P6059" s="7"/>
      <c r="Q6059" s="7"/>
    </row>
    <row r="6060" spans="7:17" ht="21.75" customHeight="1">
      <c r="G6060" t="s">
        <v>3653</v>
      </c>
      <c r="P6060" s="7"/>
      <c r="Q6060" s="7"/>
    </row>
    <row r="6061" spans="7:17" ht="21.75" customHeight="1">
      <c r="G6061" t="s">
        <v>3653</v>
      </c>
      <c r="P6061" s="7"/>
      <c r="Q6061" s="7"/>
    </row>
    <row r="6062" spans="7:17" ht="21.75" customHeight="1">
      <c r="G6062" t="s">
        <v>3653</v>
      </c>
      <c r="P6062" s="7"/>
      <c r="Q6062" s="7"/>
    </row>
    <row r="6063" spans="7:17" ht="21.75" customHeight="1">
      <c r="G6063" t="s">
        <v>3653</v>
      </c>
      <c r="P6063" s="7"/>
      <c r="Q6063" s="7"/>
    </row>
    <row r="6064" spans="7:17" ht="21.75" customHeight="1">
      <c r="G6064" t="s">
        <v>3653</v>
      </c>
      <c r="P6064" s="7"/>
      <c r="Q6064" s="7"/>
    </row>
    <row r="6065" spans="7:17" ht="21.75" customHeight="1">
      <c r="G6065" t="s">
        <v>3653</v>
      </c>
      <c r="P6065" s="7"/>
      <c r="Q6065" s="7"/>
    </row>
    <row r="6066" spans="7:17" ht="21.75" customHeight="1">
      <c r="G6066" t="s">
        <v>3653</v>
      </c>
      <c r="P6066" s="7"/>
      <c r="Q6066" s="7"/>
    </row>
    <row r="6067" spans="7:17" ht="21.75" customHeight="1">
      <c r="G6067" t="s">
        <v>3653</v>
      </c>
      <c r="P6067" s="7"/>
      <c r="Q6067" s="7"/>
    </row>
    <row r="6068" spans="7:17" ht="21.75" customHeight="1">
      <c r="G6068" t="s">
        <v>3653</v>
      </c>
      <c r="P6068" s="7"/>
      <c r="Q6068" s="7"/>
    </row>
    <row r="6069" spans="7:17" ht="21.75" customHeight="1">
      <c r="G6069" t="s">
        <v>3653</v>
      </c>
      <c r="P6069" s="7"/>
      <c r="Q6069" s="7"/>
    </row>
    <row r="6070" spans="7:17" ht="21.75" customHeight="1">
      <c r="G6070" t="s">
        <v>3653</v>
      </c>
      <c r="P6070" s="7"/>
      <c r="Q6070" s="7"/>
    </row>
    <row r="6071" spans="7:17" ht="21.75" customHeight="1">
      <c r="G6071" t="s">
        <v>3653</v>
      </c>
      <c r="P6071" s="7"/>
      <c r="Q6071" s="7"/>
    </row>
    <row r="6072" spans="7:17" ht="21.75" customHeight="1">
      <c r="G6072" t="s">
        <v>3653</v>
      </c>
      <c r="P6072" s="7"/>
      <c r="Q6072" s="7"/>
    </row>
    <row r="6073" spans="7:17" ht="21.75" customHeight="1">
      <c r="G6073" t="s">
        <v>3653</v>
      </c>
      <c r="P6073" s="7"/>
      <c r="Q6073" s="7"/>
    </row>
    <row r="6074" spans="7:17" ht="21.75" customHeight="1">
      <c r="G6074" t="s">
        <v>3653</v>
      </c>
      <c r="P6074" s="7"/>
      <c r="Q6074" s="7"/>
    </row>
    <row r="6075" spans="7:17" ht="21.75" customHeight="1">
      <c r="G6075" t="s">
        <v>3653</v>
      </c>
      <c r="P6075" s="7"/>
      <c r="Q6075" s="7"/>
    </row>
    <row r="6076" spans="7:17" ht="21.75" customHeight="1">
      <c r="G6076" t="s">
        <v>3653</v>
      </c>
      <c r="P6076" s="7"/>
      <c r="Q6076" s="7"/>
    </row>
    <row r="6077" spans="7:17" ht="21.75" customHeight="1">
      <c r="G6077" t="s">
        <v>3653</v>
      </c>
      <c r="P6077" s="7"/>
      <c r="Q6077" s="7"/>
    </row>
    <row r="6078" spans="7:17" ht="21.75" customHeight="1">
      <c r="G6078" t="s">
        <v>3653</v>
      </c>
      <c r="P6078" s="7"/>
      <c r="Q6078" s="7"/>
    </row>
    <row r="6079" spans="7:17" ht="21.75" customHeight="1">
      <c r="G6079" t="s">
        <v>3653</v>
      </c>
      <c r="P6079" s="7"/>
      <c r="Q6079" s="7"/>
    </row>
    <row r="6080" spans="7:17" ht="21.75" customHeight="1">
      <c r="G6080" t="s">
        <v>3653</v>
      </c>
      <c r="P6080" s="7"/>
      <c r="Q6080" s="7"/>
    </row>
    <row r="6081" spans="7:17" ht="21.75" customHeight="1">
      <c r="G6081" t="s">
        <v>3653</v>
      </c>
      <c r="P6081" s="7"/>
      <c r="Q6081" s="7"/>
    </row>
    <row r="6082" spans="7:17" ht="21.75" customHeight="1">
      <c r="G6082" t="s">
        <v>3653</v>
      </c>
      <c r="P6082" s="7"/>
      <c r="Q6082" s="7"/>
    </row>
    <row r="6083" spans="7:17" ht="21.75" customHeight="1">
      <c r="G6083" t="s">
        <v>3653</v>
      </c>
      <c r="P6083" s="7"/>
      <c r="Q6083" s="7"/>
    </row>
    <row r="6084" spans="7:17" ht="21.75" customHeight="1">
      <c r="G6084" t="s">
        <v>3653</v>
      </c>
      <c r="P6084" s="7"/>
      <c r="Q6084" s="7"/>
    </row>
    <row r="6085" spans="7:17" ht="21.75" customHeight="1">
      <c r="G6085" t="s">
        <v>3653</v>
      </c>
      <c r="P6085" s="7"/>
      <c r="Q6085" s="7"/>
    </row>
    <row r="6086" spans="7:17" ht="21.75" customHeight="1">
      <c r="G6086" t="s">
        <v>3653</v>
      </c>
      <c r="P6086" s="7"/>
      <c r="Q6086" s="7"/>
    </row>
    <row r="6087" spans="7:17" ht="21.75" customHeight="1">
      <c r="G6087" t="s">
        <v>3653</v>
      </c>
      <c r="P6087" s="7"/>
      <c r="Q6087" s="7"/>
    </row>
    <row r="6088" spans="7:17" ht="21.75" customHeight="1">
      <c r="G6088" t="s">
        <v>3653</v>
      </c>
      <c r="P6088" s="7"/>
      <c r="Q6088" s="7"/>
    </row>
    <row r="6089" spans="7:17" ht="21.75" customHeight="1">
      <c r="G6089" t="s">
        <v>3653</v>
      </c>
      <c r="P6089" s="7"/>
      <c r="Q6089" s="7"/>
    </row>
    <row r="6090" spans="7:17" ht="21.75" customHeight="1">
      <c r="G6090" t="s">
        <v>3653</v>
      </c>
      <c r="P6090" s="7"/>
      <c r="Q6090" s="7"/>
    </row>
    <row r="6091" spans="7:17" ht="21.75" customHeight="1">
      <c r="G6091" t="s">
        <v>3653</v>
      </c>
      <c r="P6091" s="7"/>
      <c r="Q6091" s="7"/>
    </row>
    <row r="6092" spans="7:17" ht="21.75" customHeight="1">
      <c r="G6092" t="s">
        <v>3653</v>
      </c>
      <c r="P6092" s="7"/>
      <c r="Q6092" s="7"/>
    </row>
    <row r="6093" spans="7:17" ht="21.75" customHeight="1">
      <c r="G6093" t="s">
        <v>3653</v>
      </c>
      <c r="P6093" s="7"/>
      <c r="Q6093" s="7"/>
    </row>
    <row r="6094" spans="7:17" ht="21.75" customHeight="1">
      <c r="G6094" t="s">
        <v>3653</v>
      </c>
      <c r="P6094" s="7"/>
      <c r="Q6094" s="7"/>
    </row>
    <row r="6095" spans="7:17" ht="21.75" customHeight="1">
      <c r="G6095" t="s">
        <v>3653</v>
      </c>
      <c r="P6095" s="7"/>
      <c r="Q6095" s="7"/>
    </row>
    <row r="6096" spans="7:17" ht="21.75" customHeight="1">
      <c r="G6096" t="s">
        <v>3653</v>
      </c>
      <c r="P6096" s="7"/>
      <c r="Q6096" s="7"/>
    </row>
    <row r="6097" spans="7:17" ht="21.75" customHeight="1">
      <c r="G6097" t="s">
        <v>3653</v>
      </c>
      <c r="P6097" s="7"/>
      <c r="Q6097" s="7"/>
    </row>
    <row r="6098" spans="7:17" ht="21.75" customHeight="1">
      <c r="G6098" t="s">
        <v>3653</v>
      </c>
      <c r="P6098" s="7"/>
      <c r="Q6098" s="7"/>
    </row>
    <row r="6099" spans="7:17" ht="21.75" customHeight="1">
      <c r="G6099" t="s">
        <v>3653</v>
      </c>
      <c r="P6099" s="7"/>
      <c r="Q6099" s="7"/>
    </row>
    <row r="6100" spans="7:17" ht="21.75" customHeight="1">
      <c r="G6100" t="s">
        <v>3653</v>
      </c>
      <c r="P6100" s="7"/>
      <c r="Q6100" s="7"/>
    </row>
    <row r="6101" spans="7:17" ht="21.75" customHeight="1">
      <c r="G6101" t="s">
        <v>3653</v>
      </c>
      <c r="P6101" s="7"/>
      <c r="Q6101" s="7"/>
    </row>
    <row r="6102" spans="7:17" ht="21.75" customHeight="1">
      <c r="G6102" t="s">
        <v>3653</v>
      </c>
      <c r="P6102" s="7"/>
      <c r="Q6102" s="7"/>
    </row>
    <row r="6103" spans="7:17" ht="21.75" customHeight="1">
      <c r="G6103" t="s">
        <v>3653</v>
      </c>
      <c r="P6103" s="7"/>
      <c r="Q6103" s="7"/>
    </row>
    <row r="6104" spans="7:17" ht="21.75" customHeight="1">
      <c r="G6104" t="s">
        <v>3653</v>
      </c>
      <c r="P6104" s="7"/>
      <c r="Q6104" s="7"/>
    </row>
    <row r="6105" spans="7:17" ht="21.75" customHeight="1">
      <c r="G6105" t="s">
        <v>3653</v>
      </c>
      <c r="P6105" s="7"/>
      <c r="Q6105" s="7"/>
    </row>
    <row r="6106" spans="7:17" ht="21.75" customHeight="1">
      <c r="G6106" t="s">
        <v>3653</v>
      </c>
      <c r="P6106" s="7"/>
      <c r="Q6106" s="7"/>
    </row>
    <row r="6107" spans="7:17" ht="21.75" customHeight="1">
      <c r="G6107" t="s">
        <v>3653</v>
      </c>
      <c r="P6107" s="7"/>
      <c r="Q6107" s="7"/>
    </row>
    <row r="6108" spans="7:17" ht="21.75" customHeight="1">
      <c r="G6108" t="s">
        <v>3653</v>
      </c>
      <c r="P6108" s="7"/>
      <c r="Q6108" s="7"/>
    </row>
    <row r="6109" spans="7:17" ht="21.75" customHeight="1">
      <c r="G6109" t="s">
        <v>3653</v>
      </c>
      <c r="P6109" s="7"/>
      <c r="Q6109" s="7"/>
    </row>
    <row r="6110" spans="7:17" ht="21.75" customHeight="1">
      <c r="G6110" t="s">
        <v>3653</v>
      </c>
      <c r="P6110" s="7"/>
      <c r="Q6110" s="7"/>
    </row>
    <row r="6111" spans="7:17" ht="21.75" customHeight="1">
      <c r="G6111" t="s">
        <v>3653</v>
      </c>
      <c r="P6111" s="7"/>
      <c r="Q6111" s="7"/>
    </row>
    <row r="6112" spans="7:17" ht="21.75" customHeight="1">
      <c r="G6112" t="s">
        <v>3653</v>
      </c>
      <c r="P6112" s="7"/>
      <c r="Q6112" s="7"/>
    </row>
    <row r="6113" spans="7:17" ht="21.75" customHeight="1">
      <c r="G6113" t="s">
        <v>3653</v>
      </c>
      <c r="P6113" s="7"/>
      <c r="Q6113" s="7"/>
    </row>
    <row r="6114" spans="7:17" ht="21.75" customHeight="1">
      <c r="G6114" t="s">
        <v>3653</v>
      </c>
      <c r="P6114" s="7"/>
      <c r="Q6114" s="7"/>
    </row>
    <row r="6115" spans="7:17" ht="21.75" customHeight="1">
      <c r="G6115" t="s">
        <v>3653</v>
      </c>
      <c r="P6115" s="7"/>
      <c r="Q6115" s="7"/>
    </row>
    <row r="6116" spans="7:17" ht="21.75" customHeight="1">
      <c r="G6116" t="s">
        <v>3653</v>
      </c>
      <c r="P6116" s="7"/>
      <c r="Q6116" s="7"/>
    </row>
    <row r="6117" spans="7:17" ht="21.75" customHeight="1">
      <c r="G6117" t="s">
        <v>3653</v>
      </c>
      <c r="P6117" s="7"/>
      <c r="Q6117" s="7"/>
    </row>
    <row r="6118" spans="7:17" ht="21.75" customHeight="1">
      <c r="G6118" t="s">
        <v>3653</v>
      </c>
      <c r="P6118" s="7"/>
      <c r="Q6118" s="7"/>
    </row>
    <row r="6119" spans="7:17" ht="21.75" customHeight="1">
      <c r="G6119" t="s">
        <v>3653</v>
      </c>
      <c r="P6119" s="7"/>
      <c r="Q6119" s="7"/>
    </row>
    <row r="6120" spans="7:17" ht="21.75" customHeight="1">
      <c r="G6120" t="s">
        <v>3653</v>
      </c>
      <c r="P6120" s="7"/>
      <c r="Q6120" s="7"/>
    </row>
    <row r="6121" spans="7:17" ht="21.75" customHeight="1">
      <c r="G6121" t="s">
        <v>3653</v>
      </c>
      <c r="P6121" s="7"/>
      <c r="Q6121" s="7"/>
    </row>
    <row r="6122" spans="7:17" ht="21.75" customHeight="1">
      <c r="G6122" t="s">
        <v>3653</v>
      </c>
      <c r="P6122" s="7"/>
      <c r="Q6122" s="7"/>
    </row>
    <row r="6123" spans="7:17" ht="21.75" customHeight="1">
      <c r="G6123" t="s">
        <v>3653</v>
      </c>
      <c r="P6123" s="7"/>
      <c r="Q6123" s="7"/>
    </row>
    <row r="6124" spans="7:17" ht="21.75" customHeight="1">
      <c r="G6124" t="s">
        <v>3653</v>
      </c>
      <c r="P6124" s="7"/>
      <c r="Q6124" s="7"/>
    </row>
    <row r="6125" spans="7:17" ht="21.75" customHeight="1">
      <c r="G6125" t="s">
        <v>3653</v>
      </c>
      <c r="P6125" s="7"/>
      <c r="Q6125" s="7"/>
    </row>
    <row r="6126" spans="7:17" ht="21.75" customHeight="1">
      <c r="G6126" t="s">
        <v>3653</v>
      </c>
      <c r="P6126" s="7"/>
      <c r="Q6126" s="7"/>
    </row>
    <row r="6127" spans="7:17" ht="21.75" customHeight="1">
      <c r="G6127" t="s">
        <v>3653</v>
      </c>
      <c r="P6127" s="7"/>
      <c r="Q6127" s="7"/>
    </row>
    <row r="6128" spans="7:17" ht="21.75" customHeight="1">
      <c r="G6128" t="s">
        <v>3653</v>
      </c>
      <c r="P6128" s="7"/>
      <c r="Q6128" s="7"/>
    </row>
    <row r="6129" spans="7:17" ht="21.75" customHeight="1">
      <c r="G6129" t="s">
        <v>3653</v>
      </c>
      <c r="P6129" s="7"/>
      <c r="Q6129" s="7"/>
    </row>
    <row r="6130" spans="7:17" ht="21.75" customHeight="1">
      <c r="G6130" t="s">
        <v>3653</v>
      </c>
      <c r="P6130" s="7"/>
      <c r="Q6130" s="7"/>
    </row>
    <row r="6131" spans="7:17" ht="21.75" customHeight="1">
      <c r="G6131" t="s">
        <v>3653</v>
      </c>
      <c r="P6131" s="7"/>
      <c r="Q6131" s="7"/>
    </row>
    <row r="6132" spans="7:17" ht="21.75" customHeight="1">
      <c r="G6132" t="s">
        <v>3653</v>
      </c>
      <c r="P6132" s="7"/>
      <c r="Q6132" s="7"/>
    </row>
    <row r="6133" spans="7:17" ht="21.75" customHeight="1">
      <c r="G6133" t="s">
        <v>3653</v>
      </c>
      <c r="P6133" s="7"/>
      <c r="Q6133" s="7"/>
    </row>
    <row r="6134" spans="7:17" ht="21.75" customHeight="1">
      <c r="G6134" t="s">
        <v>3653</v>
      </c>
      <c r="P6134" s="7"/>
      <c r="Q6134" s="7"/>
    </row>
    <row r="6135" spans="7:17" ht="21.75" customHeight="1">
      <c r="G6135" t="s">
        <v>3653</v>
      </c>
      <c r="P6135" s="7"/>
      <c r="Q6135" s="7"/>
    </row>
    <row r="6136" spans="7:17" ht="21.75" customHeight="1">
      <c r="G6136" t="s">
        <v>3653</v>
      </c>
      <c r="P6136" s="7"/>
      <c r="Q6136" s="7"/>
    </row>
    <row r="6137" spans="7:17" ht="21.75" customHeight="1">
      <c r="G6137" t="s">
        <v>3653</v>
      </c>
      <c r="P6137" s="7"/>
      <c r="Q6137" s="7"/>
    </row>
    <row r="6138" spans="7:17" ht="21.75" customHeight="1">
      <c r="G6138" t="s">
        <v>3653</v>
      </c>
      <c r="P6138" s="7"/>
      <c r="Q6138" s="7"/>
    </row>
    <row r="6139" spans="7:17" ht="21.75" customHeight="1">
      <c r="G6139" t="s">
        <v>3653</v>
      </c>
      <c r="P6139" s="7"/>
      <c r="Q6139" s="7"/>
    </row>
    <row r="6140" spans="7:17" ht="21.75" customHeight="1">
      <c r="G6140" t="s">
        <v>3653</v>
      </c>
      <c r="P6140" s="7"/>
      <c r="Q6140" s="7"/>
    </row>
    <row r="6141" spans="7:17" ht="21.75" customHeight="1">
      <c r="G6141" t="s">
        <v>3653</v>
      </c>
      <c r="P6141" s="7"/>
      <c r="Q6141" s="7"/>
    </row>
    <row r="6142" spans="7:17" ht="21.75" customHeight="1">
      <c r="G6142" t="s">
        <v>3653</v>
      </c>
      <c r="P6142" s="7"/>
      <c r="Q6142" s="7"/>
    </row>
    <row r="6143" spans="7:17" ht="21.75" customHeight="1">
      <c r="G6143" t="s">
        <v>3653</v>
      </c>
      <c r="P6143" s="7"/>
      <c r="Q6143" s="7"/>
    </row>
    <row r="6144" spans="7:17" ht="21.75" customHeight="1">
      <c r="G6144" t="s">
        <v>3653</v>
      </c>
      <c r="P6144" s="7"/>
      <c r="Q6144" s="7"/>
    </row>
    <row r="6145" spans="7:17" ht="21.75" customHeight="1">
      <c r="G6145" t="s">
        <v>3653</v>
      </c>
      <c r="P6145" s="7"/>
      <c r="Q6145" s="7"/>
    </row>
    <row r="6146" spans="7:17" ht="21.75" customHeight="1">
      <c r="G6146" t="s">
        <v>3653</v>
      </c>
      <c r="P6146" s="7"/>
      <c r="Q6146" s="7"/>
    </row>
    <row r="6147" spans="7:17" ht="21.75" customHeight="1">
      <c r="G6147" t="s">
        <v>3653</v>
      </c>
      <c r="P6147" s="7"/>
      <c r="Q6147" s="7"/>
    </row>
    <row r="6148" spans="7:17" ht="21.75" customHeight="1">
      <c r="G6148" t="s">
        <v>3653</v>
      </c>
      <c r="P6148" s="7"/>
      <c r="Q6148" s="7"/>
    </row>
    <row r="6149" spans="7:17" ht="21.75" customHeight="1">
      <c r="G6149" t="s">
        <v>3653</v>
      </c>
      <c r="P6149" s="7"/>
      <c r="Q6149" s="7"/>
    </row>
    <row r="6150" spans="7:17" ht="21.75" customHeight="1">
      <c r="G6150" t="s">
        <v>3653</v>
      </c>
      <c r="P6150" s="7"/>
      <c r="Q6150" s="7"/>
    </row>
    <row r="6151" spans="7:17" ht="21.75" customHeight="1">
      <c r="G6151" t="s">
        <v>3653</v>
      </c>
      <c r="P6151" s="7"/>
      <c r="Q6151" s="7"/>
    </row>
    <row r="6152" spans="7:17" ht="21.75" customHeight="1">
      <c r="G6152" t="s">
        <v>3653</v>
      </c>
      <c r="P6152" s="7"/>
      <c r="Q6152" s="7"/>
    </row>
    <row r="6153" spans="7:17" ht="21.75" customHeight="1">
      <c r="G6153" t="s">
        <v>3653</v>
      </c>
      <c r="P6153" s="7"/>
      <c r="Q6153" s="7"/>
    </row>
    <row r="6154" spans="7:17" ht="21.75" customHeight="1">
      <c r="G6154" t="s">
        <v>3653</v>
      </c>
      <c r="P6154" s="7"/>
      <c r="Q6154" s="7"/>
    </row>
    <row r="6155" spans="7:17" ht="21.75" customHeight="1">
      <c r="G6155" t="s">
        <v>3653</v>
      </c>
      <c r="P6155" s="7"/>
      <c r="Q6155" s="7"/>
    </row>
    <row r="6156" spans="7:17" ht="21.75" customHeight="1">
      <c r="G6156" t="s">
        <v>3653</v>
      </c>
      <c r="P6156" s="7"/>
      <c r="Q6156" s="7"/>
    </row>
    <row r="6157" spans="7:17" ht="21.75" customHeight="1">
      <c r="G6157" t="s">
        <v>3653</v>
      </c>
      <c r="P6157" s="7"/>
      <c r="Q6157" s="7"/>
    </row>
    <row r="6158" spans="7:17" ht="21.75" customHeight="1">
      <c r="G6158" t="s">
        <v>3653</v>
      </c>
      <c r="P6158" s="7"/>
      <c r="Q6158" s="7"/>
    </row>
    <row r="6159" spans="7:17" ht="21.75" customHeight="1">
      <c r="G6159" t="s">
        <v>3653</v>
      </c>
      <c r="P6159" s="7"/>
      <c r="Q6159" s="7"/>
    </row>
    <row r="6160" spans="7:17" ht="21.75" customHeight="1">
      <c r="G6160" t="s">
        <v>3653</v>
      </c>
      <c r="P6160" s="7"/>
      <c r="Q6160" s="7"/>
    </row>
    <row r="6161" spans="7:17" ht="21.75" customHeight="1">
      <c r="G6161" t="s">
        <v>3653</v>
      </c>
      <c r="P6161" s="7"/>
      <c r="Q6161" s="7"/>
    </row>
    <row r="6162" spans="7:17" ht="21.75" customHeight="1">
      <c r="G6162" t="s">
        <v>3653</v>
      </c>
      <c r="P6162" s="7"/>
      <c r="Q6162" s="7"/>
    </row>
    <row r="6163" spans="7:17" ht="21.75" customHeight="1">
      <c r="G6163" t="s">
        <v>3653</v>
      </c>
      <c r="P6163" s="7"/>
      <c r="Q6163" s="7"/>
    </row>
    <row r="6164" spans="7:17" ht="21.75" customHeight="1">
      <c r="G6164" t="s">
        <v>3653</v>
      </c>
      <c r="P6164" s="7"/>
      <c r="Q6164" s="7"/>
    </row>
    <row r="6165" spans="7:17" ht="21.75" customHeight="1">
      <c r="G6165" t="s">
        <v>3653</v>
      </c>
      <c r="P6165" s="7"/>
      <c r="Q6165" s="7"/>
    </row>
    <row r="6166" spans="7:17" ht="21.75" customHeight="1">
      <c r="G6166" t="s">
        <v>3653</v>
      </c>
      <c r="P6166" s="7"/>
      <c r="Q6166" s="7"/>
    </row>
    <row r="6167" spans="7:17" ht="21.75" customHeight="1">
      <c r="G6167" t="s">
        <v>3653</v>
      </c>
      <c r="P6167" s="7"/>
      <c r="Q6167" s="7"/>
    </row>
    <row r="6168" spans="7:17" ht="21.75" customHeight="1">
      <c r="G6168" t="s">
        <v>3653</v>
      </c>
      <c r="P6168" s="7"/>
      <c r="Q6168" s="7"/>
    </row>
    <row r="6169" spans="7:17" ht="21.75" customHeight="1">
      <c r="G6169" t="s">
        <v>3653</v>
      </c>
      <c r="P6169" s="7"/>
      <c r="Q6169" s="7"/>
    </row>
    <row r="6170" spans="7:17" ht="21.75" customHeight="1">
      <c r="G6170" t="s">
        <v>3653</v>
      </c>
      <c r="P6170" s="7"/>
      <c r="Q6170" s="7"/>
    </row>
    <row r="6171" spans="7:17" ht="21.75" customHeight="1">
      <c r="G6171" t="s">
        <v>3653</v>
      </c>
      <c r="P6171" s="7"/>
      <c r="Q6171" s="7"/>
    </row>
    <row r="6172" spans="7:17" ht="21.75" customHeight="1">
      <c r="G6172" t="s">
        <v>3653</v>
      </c>
      <c r="P6172" s="7"/>
      <c r="Q6172" s="7"/>
    </row>
    <row r="6173" spans="7:17" ht="21.75" customHeight="1">
      <c r="G6173" t="s">
        <v>3653</v>
      </c>
      <c r="P6173" s="7"/>
      <c r="Q6173" s="7"/>
    </row>
    <row r="6174" spans="7:17" ht="21.75" customHeight="1">
      <c r="G6174" t="s">
        <v>3653</v>
      </c>
      <c r="P6174" s="7"/>
      <c r="Q6174" s="7"/>
    </row>
    <row r="6175" spans="7:17" ht="21.75" customHeight="1">
      <c r="G6175" t="s">
        <v>3653</v>
      </c>
      <c r="P6175" s="7"/>
      <c r="Q6175" s="7"/>
    </row>
    <row r="6176" spans="7:17" ht="21.75" customHeight="1">
      <c r="G6176" t="s">
        <v>3653</v>
      </c>
      <c r="P6176" s="7"/>
      <c r="Q6176" s="7"/>
    </row>
    <row r="6177" spans="7:17" ht="21.75" customHeight="1">
      <c r="G6177" t="s">
        <v>3653</v>
      </c>
      <c r="P6177" s="7"/>
      <c r="Q6177" s="7"/>
    </row>
    <row r="6178" spans="7:17" ht="21.75" customHeight="1">
      <c r="G6178" t="s">
        <v>3653</v>
      </c>
      <c r="P6178" s="7"/>
      <c r="Q6178" s="7"/>
    </row>
    <row r="6179" spans="7:17" ht="21.75" customHeight="1">
      <c r="G6179" t="s">
        <v>3653</v>
      </c>
      <c r="P6179" s="7"/>
      <c r="Q6179" s="7"/>
    </row>
    <row r="6180" spans="7:17" ht="21.75" customHeight="1">
      <c r="G6180" t="s">
        <v>3653</v>
      </c>
      <c r="P6180" s="7"/>
      <c r="Q6180" s="7"/>
    </row>
    <row r="6181" spans="7:17" ht="21.75" customHeight="1">
      <c r="G6181" t="s">
        <v>3653</v>
      </c>
      <c r="P6181" s="7"/>
      <c r="Q6181" s="7"/>
    </row>
    <row r="6182" spans="7:17" ht="21.75" customHeight="1">
      <c r="G6182" t="s">
        <v>3653</v>
      </c>
      <c r="P6182" s="7"/>
      <c r="Q6182" s="7"/>
    </row>
    <row r="6183" spans="7:17" ht="21.75" customHeight="1">
      <c r="G6183" t="s">
        <v>3653</v>
      </c>
      <c r="P6183" s="7"/>
      <c r="Q6183" s="7"/>
    </row>
    <row r="6184" spans="7:17" ht="21.75" customHeight="1">
      <c r="G6184" t="s">
        <v>3653</v>
      </c>
      <c r="P6184" s="7"/>
      <c r="Q6184" s="7"/>
    </row>
    <row r="6185" spans="7:17" ht="21.75" customHeight="1">
      <c r="G6185" t="s">
        <v>3653</v>
      </c>
      <c r="P6185" s="7"/>
      <c r="Q6185" s="7"/>
    </row>
    <row r="6186" spans="7:17" ht="21.75" customHeight="1">
      <c r="G6186" t="s">
        <v>3653</v>
      </c>
      <c r="P6186" s="7"/>
      <c r="Q6186" s="7"/>
    </row>
    <row r="6187" spans="7:17" ht="21.75" customHeight="1">
      <c r="G6187" t="s">
        <v>3653</v>
      </c>
      <c r="P6187" s="7"/>
      <c r="Q6187" s="7"/>
    </row>
    <row r="6188" spans="7:17" ht="21.75" customHeight="1">
      <c r="G6188" t="s">
        <v>3653</v>
      </c>
      <c r="P6188" s="7"/>
      <c r="Q6188" s="7"/>
    </row>
    <row r="6189" spans="7:17" ht="21.75" customHeight="1">
      <c r="G6189" t="s">
        <v>3653</v>
      </c>
      <c r="P6189" s="7"/>
      <c r="Q6189" s="7"/>
    </row>
    <row r="6190" spans="7:17" ht="21.75" customHeight="1">
      <c r="G6190" t="s">
        <v>3653</v>
      </c>
      <c r="P6190" s="7"/>
      <c r="Q6190" s="7"/>
    </row>
    <row r="6191" spans="7:17" ht="21.75" customHeight="1">
      <c r="G6191" t="s">
        <v>3653</v>
      </c>
      <c r="P6191" s="7"/>
      <c r="Q6191" s="7"/>
    </row>
    <row r="6192" spans="7:17" ht="21.75" customHeight="1">
      <c r="G6192" t="s">
        <v>3653</v>
      </c>
      <c r="P6192" s="7"/>
      <c r="Q6192" s="7"/>
    </row>
    <row r="6193" spans="7:17" ht="21.75" customHeight="1">
      <c r="G6193" t="s">
        <v>3653</v>
      </c>
      <c r="P6193" s="7"/>
      <c r="Q6193" s="7"/>
    </row>
    <row r="6194" spans="7:17" ht="21.75" customHeight="1">
      <c r="G6194" t="s">
        <v>3653</v>
      </c>
      <c r="P6194" s="7"/>
      <c r="Q6194" s="7"/>
    </row>
    <row r="6195" spans="7:17" ht="21.75" customHeight="1">
      <c r="G6195" t="s">
        <v>3653</v>
      </c>
      <c r="P6195" s="7"/>
      <c r="Q6195" s="7"/>
    </row>
    <row r="6196" spans="7:17" ht="21.75" customHeight="1">
      <c r="G6196" t="s">
        <v>3653</v>
      </c>
      <c r="P6196" s="7"/>
      <c r="Q6196" s="7"/>
    </row>
    <row r="6197" spans="7:17" ht="21.75" customHeight="1">
      <c r="G6197" t="s">
        <v>3653</v>
      </c>
      <c r="P6197" s="7"/>
      <c r="Q6197" s="7"/>
    </row>
    <row r="6198" spans="7:17" ht="21.75" customHeight="1">
      <c r="G6198" t="s">
        <v>3653</v>
      </c>
      <c r="P6198" s="7"/>
      <c r="Q6198" s="7"/>
    </row>
    <row r="6199" spans="7:17" ht="21.75" customHeight="1">
      <c r="G6199" t="s">
        <v>3653</v>
      </c>
      <c r="P6199" s="7"/>
      <c r="Q6199" s="7"/>
    </row>
    <row r="6200" spans="7:17" ht="21.75" customHeight="1">
      <c r="G6200" t="s">
        <v>3653</v>
      </c>
      <c r="P6200" s="7"/>
      <c r="Q6200" s="7"/>
    </row>
    <row r="6201" spans="7:17" ht="21.75" customHeight="1">
      <c r="G6201" t="s">
        <v>3653</v>
      </c>
      <c r="P6201" s="7"/>
      <c r="Q6201" s="7"/>
    </row>
    <row r="6202" spans="7:17" ht="21.75" customHeight="1">
      <c r="G6202" t="s">
        <v>3653</v>
      </c>
      <c r="P6202" s="7"/>
      <c r="Q6202" s="7"/>
    </row>
    <row r="6203" spans="7:17" ht="21.75" customHeight="1">
      <c r="G6203" t="s">
        <v>3653</v>
      </c>
      <c r="P6203" s="7"/>
      <c r="Q6203" s="7"/>
    </row>
    <row r="6204" spans="7:17" ht="21.75" customHeight="1">
      <c r="G6204" t="s">
        <v>3653</v>
      </c>
      <c r="P6204" s="7"/>
      <c r="Q6204" s="7"/>
    </row>
    <row r="6205" spans="7:17" ht="21.75" customHeight="1">
      <c r="G6205" t="s">
        <v>3653</v>
      </c>
      <c r="P6205" s="7"/>
      <c r="Q6205" s="7"/>
    </row>
    <row r="6206" spans="7:17" ht="21.75" customHeight="1">
      <c r="G6206" t="s">
        <v>3653</v>
      </c>
      <c r="P6206" s="7"/>
      <c r="Q6206" s="7"/>
    </row>
    <row r="6207" spans="7:17" ht="21.75" customHeight="1">
      <c r="G6207" t="s">
        <v>3653</v>
      </c>
      <c r="P6207" s="7"/>
      <c r="Q6207" s="7"/>
    </row>
    <row r="6208" spans="7:17" ht="21.75" customHeight="1">
      <c r="G6208" t="s">
        <v>3653</v>
      </c>
      <c r="P6208" s="7"/>
      <c r="Q6208" s="7"/>
    </row>
    <row r="6209" spans="7:17" ht="21.75" customHeight="1">
      <c r="G6209" t="s">
        <v>3653</v>
      </c>
      <c r="P6209" s="7"/>
      <c r="Q6209" s="7"/>
    </row>
    <row r="6210" spans="7:17" ht="21.75" customHeight="1">
      <c r="G6210" t="s">
        <v>3653</v>
      </c>
      <c r="P6210" s="7"/>
      <c r="Q6210" s="7"/>
    </row>
    <row r="6211" spans="7:17" ht="21.75" customHeight="1">
      <c r="G6211" t="s">
        <v>3653</v>
      </c>
      <c r="P6211" s="7"/>
      <c r="Q6211" s="7"/>
    </row>
    <row r="6212" spans="7:17" ht="21.75" customHeight="1">
      <c r="G6212" t="s">
        <v>3653</v>
      </c>
      <c r="P6212" s="7"/>
      <c r="Q6212" s="7"/>
    </row>
    <row r="6213" spans="7:17" ht="21.75" customHeight="1">
      <c r="G6213" t="s">
        <v>3653</v>
      </c>
      <c r="P6213" s="7"/>
      <c r="Q6213" s="7"/>
    </row>
    <row r="6214" spans="7:17" ht="21.75" customHeight="1">
      <c r="G6214" t="s">
        <v>3653</v>
      </c>
      <c r="P6214" s="7"/>
      <c r="Q6214" s="7"/>
    </row>
    <row r="6215" spans="7:17" ht="21.75" customHeight="1">
      <c r="G6215" t="s">
        <v>3653</v>
      </c>
      <c r="P6215" s="7"/>
      <c r="Q6215" s="7"/>
    </row>
    <row r="6216" spans="7:17" ht="21.75" customHeight="1">
      <c r="G6216" t="s">
        <v>3653</v>
      </c>
      <c r="P6216" s="7"/>
      <c r="Q6216" s="7"/>
    </row>
    <row r="6217" spans="7:17" ht="21.75" customHeight="1">
      <c r="G6217" t="s">
        <v>3653</v>
      </c>
      <c r="P6217" s="7"/>
      <c r="Q6217" s="7"/>
    </row>
    <row r="6218" spans="7:17" ht="21.75" customHeight="1">
      <c r="G6218" t="s">
        <v>3653</v>
      </c>
      <c r="P6218" s="7"/>
      <c r="Q6218" s="7"/>
    </row>
    <row r="6219" spans="7:17" ht="21.75" customHeight="1">
      <c r="G6219" t="s">
        <v>3653</v>
      </c>
      <c r="P6219" s="7"/>
      <c r="Q6219" s="7"/>
    </row>
    <row r="6220" spans="7:17" ht="21.75" customHeight="1">
      <c r="G6220" t="s">
        <v>3653</v>
      </c>
      <c r="P6220" s="7"/>
      <c r="Q6220" s="7"/>
    </row>
    <row r="6221" spans="7:17" ht="21.75" customHeight="1">
      <c r="G6221" t="s">
        <v>3653</v>
      </c>
      <c r="P6221" s="7"/>
      <c r="Q6221" s="7"/>
    </row>
    <row r="6222" spans="7:17" ht="21.75" customHeight="1">
      <c r="G6222" t="s">
        <v>3653</v>
      </c>
      <c r="P6222" s="7"/>
      <c r="Q6222" s="7"/>
    </row>
    <row r="6223" spans="7:17" ht="21.75" customHeight="1">
      <c r="G6223" t="s">
        <v>3653</v>
      </c>
      <c r="P6223" s="7"/>
      <c r="Q6223" s="7"/>
    </row>
    <row r="6224" spans="7:17" ht="21.75" customHeight="1">
      <c r="G6224" t="s">
        <v>3653</v>
      </c>
      <c r="P6224" s="7"/>
      <c r="Q6224" s="7"/>
    </row>
    <row r="6225" spans="7:17" ht="21.75" customHeight="1">
      <c r="G6225" t="s">
        <v>3653</v>
      </c>
      <c r="P6225" s="7"/>
      <c r="Q6225" s="7"/>
    </row>
    <row r="6226" spans="7:17" ht="21.75" customHeight="1">
      <c r="G6226" t="s">
        <v>3653</v>
      </c>
      <c r="P6226" s="7"/>
      <c r="Q6226" s="7"/>
    </row>
    <row r="6227" spans="7:17" ht="21.75" customHeight="1">
      <c r="G6227" t="s">
        <v>3653</v>
      </c>
      <c r="P6227" s="7"/>
      <c r="Q6227" s="7"/>
    </row>
    <row r="6228" spans="7:17" ht="21.75" customHeight="1">
      <c r="G6228" t="s">
        <v>3653</v>
      </c>
      <c r="P6228" s="7"/>
      <c r="Q6228" s="7"/>
    </row>
    <row r="6229" spans="7:17" ht="21.75" customHeight="1">
      <c r="G6229" t="s">
        <v>3653</v>
      </c>
      <c r="P6229" s="7"/>
      <c r="Q6229" s="7"/>
    </row>
    <row r="6230" spans="7:17" ht="21.75" customHeight="1">
      <c r="G6230" t="s">
        <v>3653</v>
      </c>
      <c r="P6230" s="7"/>
      <c r="Q6230" s="7"/>
    </row>
    <row r="6231" spans="7:17" ht="21.75" customHeight="1">
      <c r="G6231" t="s">
        <v>3653</v>
      </c>
      <c r="P6231" s="7"/>
      <c r="Q6231" s="7"/>
    </row>
    <row r="6232" spans="7:17" ht="21.75" customHeight="1">
      <c r="G6232" t="s">
        <v>3653</v>
      </c>
      <c r="P6232" s="7"/>
      <c r="Q6232" s="7"/>
    </row>
    <row r="6233" spans="7:17" ht="21.75" customHeight="1">
      <c r="G6233" t="s">
        <v>3653</v>
      </c>
      <c r="P6233" s="7"/>
      <c r="Q6233" s="7"/>
    </row>
    <row r="6234" spans="7:17" ht="21.75" customHeight="1">
      <c r="G6234" t="s">
        <v>3653</v>
      </c>
      <c r="P6234" s="7"/>
      <c r="Q6234" s="7"/>
    </row>
    <row r="6235" spans="7:17" ht="21.75" customHeight="1">
      <c r="G6235" t="s">
        <v>3653</v>
      </c>
      <c r="P6235" s="7"/>
      <c r="Q6235" s="7"/>
    </row>
    <row r="6236" spans="7:17" ht="21.75" customHeight="1">
      <c r="G6236" t="s">
        <v>3653</v>
      </c>
      <c r="P6236" s="7"/>
      <c r="Q6236" s="7"/>
    </row>
    <row r="6237" spans="7:17" ht="21.75" customHeight="1">
      <c r="G6237" t="s">
        <v>3653</v>
      </c>
      <c r="P6237" s="7"/>
      <c r="Q6237" s="7"/>
    </row>
    <row r="6238" spans="7:17" ht="21.75" customHeight="1">
      <c r="G6238" t="s">
        <v>3653</v>
      </c>
      <c r="P6238" s="7"/>
      <c r="Q6238" s="7"/>
    </row>
    <row r="6239" spans="7:17" ht="21.75" customHeight="1">
      <c r="G6239" t="s">
        <v>3653</v>
      </c>
      <c r="P6239" s="7"/>
      <c r="Q6239" s="7"/>
    </row>
    <row r="6240" spans="7:17" ht="21.75" customHeight="1">
      <c r="G6240" t="s">
        <v>3653</v>
      </c>
      <c r="P6240" s="7"/>
      <c r="Q6240" s="7"/>
    </row>
    <row r="6241" spans="7:17" ht="21.75" customHeight="1">
      <c r="G6241" t="s">
        <v>3653</v>
      </c>
      <c r="P6241" s="7"/>
      <c r="Q6241" s="7"/>
    </row>
    <row r="6242" spans="7:17" ht="21.75" customHeight="1">
      <c r="G6242" t="s">
        <v>3653</v>
      </c>
      <c r="P6242" s="7"/>
      <c r="Q6242" s="7"/>
    </row>
    <row r="6243" spans="7:17" ht="21.75" customHeight="1">
      <c r="G6243" t="s">
        <v>3653</v>
      </c>
      <c r="P6243" s="7"/>
      <c r="Q6243" s="7"/>
    </row>
    <row r="6244" spans="7:17" ht="21.75" customHeight="1">
      <c r="G6244" t="s">
        <v>3653</v>
      </c>
      <c r="P6244" s="7"/>
      <c r="Q6244" s="7"/>
    </row>
    <row r="6245" spans="7:17" ht="21.75" customHeight="1">
      <c r="G6245" t="s">
        <v>3653</v>
      </c>
      <c r="P6245" s="7"/>
      <c r="Q6245" s="7"/>
    </row>
    <row r="6246" spans="7:17" ht="21.75" customHeight="1">
      <c r="G6246" t="s">
        <v>3653</v>
      </c>
      <c r="P6246" s="7"/>
      <c r="Q6246" s="7"/>
    </row>
    <row r="6247" spans="7:17" ht="21.75" customHeight="1">
      <c r="G6247" t="s">
        <v>3653</v>
      </c>
      <c r="P6247" s="7"/>
      <c r="Q6247" s="7"/>
    </row>
    <row r="6248" spans="7:17" ht="21.75" customHeight="1">
      <c r="G6248" t="s">
        <v>3653</v>
      </c>
      <c r="P6248" s="7"/>
      <c r="Q6248" s="7"/>
    </row>
    <row r="6249" spans="7:17" ht="21.75" customHeight="1">
      <c r="G6249" t="s">
        <v>3653</v>
      </c>
      <c r="P6249" s="7"/>
      <c r="Q6249" s="7"/>
    </row>
    <row r="6250" spans="7:17" ht="21.75" customHeight="1">
      <c r="G6250" t="s">
        <v>3653</v>
      </c>
      <c r="P6250" s="7"/>
      <c r="Q6250" s="7"/>
    </row>
    <row r="6251" spans="7:17" ht="21.75" customHeight="1">
      <c r="G6251" t="s">
        <v>3653</v>
      </c>
      <c r="P6251" s="7"/>
      <c r="Q6251" s="7"/>
    </row>
    <row r="6252" spans="7:17" ht="21.75" customHeight="1">
      <c r="G6252" t="s">
        <v>3653</v>
      </c>
      <c r="P6252" s="7"/>
      <c r="Q6252" s="7"/>
    </row>
    <row r="6253" spans="7:17" ht="21.75" customHeight="1">
      <c r="G6253" t="s">
        <v>3653</v>
      </c>
      <c r="P6253" s="7"/>
      <c r="Q6253" s="7"/>
    </row>
    <row r="6254" spans="7:17" ht="21.75" customHeight="1">
      <c r="G6254" t="s">
        <v>3653</v>
      </c>
      <c r="P6254" s="7"/>
      <c r="Q6254" s="7"/>
    </row>
    <row r="6255" spans="7:17" ht="21.75" customHeight="1">
      <c r="G6255" t="s">
        <v>3653</v>
      </c>
      <c r="P6255" s="7"/>
      <c r="Q6255" s="7"/>
    </row>
    <row r="6256" spans="7:17" ht="21.75" customHeight="1">
      <c r="G6256" t="s">
        <v>3653</v>
      </c>
      <c r="P6256" s="7"/>
      <c r="Q6256" s="7"/>
    </row>
    <row r="6257" spans="7:17" ht="21.75" customHeight="1">
      <c r="G6257" t="s">
        <v>3653</v>
      </c>
      <c r="P6257" s="7"/>
      <c r="Q6257" s="7"/>
    </row>
    <row r="6258" spans="7:17" ht="21.75" customHeight="1">
      <c r="G6258" t="s">
        <v>3653</v>
      </c>
      <c r="P6258" s="7"/>
      <c r="Q6258" s="7"/>
    </row>
    <row r="6259" spans="7:17" ht="21.75" customHeight="1">
      <c r="G6259" t="s">
        <v>3653</v>
      </c>
      <c r="P6259" s="7"/>
      <c r="Q6259" s="7"/>
    </row>
    <row r="6260" spans="7:17" ht="21.75" customHeight="1">
      <c r="G6260" t="s">
        <v>3653</v>
      </c>
      <c r="P6260" s="7"/>
      <c r="Q6260" s="7"/>
    </row>
    <row r="6261" spans="7:17" ht="21.75" customHeight="1">
      <c r="G6261" t="s">
        <v>3653</v>
      </c>
      <c r="P6261" s="7"/>
      <c r="Q6261" s="7"/>
    </row>
    <row r="6262" spans="7:17" ht="21.75" customHeight="1">
      <c r="G6262" t="s">
        <v>3653</v>
      </c>
      <c r="P6262" s="7"/>
      <c r="Q6262" s="7"/>
    </row>
    <row r="6263" spans="7:17" ht="21.75" customHeight="1">
      <c r="G6263" t="s">
        <v>3653</v>
      </c>
      <c r="P6263" s="7"/>
      <c r="Q6263" s="7"/>
    </row>
    <row r="6264" spans="7:17" ht="21.75" customHeight="1">
      <c r="G6264" t="s">
        <v>3653</v>
      </c>
      <c r="P6264" s="7"/>
      <c r="Q6264" s="7"/>
    </row>
    <row r="6265" spans="7:17" ht="21.75" customHeight="1">
      <c r="G6265" t="s">
        <v>3653</v>
      </c>
      <c r="P6265" s="7"/>
      <c r="Q6265" s="7"/>
    </row>
    <row r="6266" spans="7:17" ht="21.75" customHeight="1">
      <c r="G6266" t="s">
        <v>3653</v>
      </c>
      <c r="P6266" s="7"/>
      <c r="Q6266" s="7"/>
    </row>
    <row r="6267" spans="7:17" ht="21.75" customHeight="1">
      <c r="G6267" t="s">
        <v>3653</v>
      </c>
      <c r="P6267" s="7"/>
      <c r="Q6267" s="7"/>
    </row>
    <row r="6268" spans="7:17" ht="21.75" customHeight="1">
      <c r="G6268" t="s">
        <v>3653</v>
      </c>
      <c r="P6268" s="7"/>
      <c r="Q6268" s="7"/>
    </row>
    <row r="6269" spans="7:17" ht="21.75" customHeight="1">
      <c r="G6269" t="s">
        <v>3653</v>
      </c>
      <c r="P6269" s="7"/>
      <c r="Q6269" s="7"/>
    </row>
    <row r="6270" spans="7:17" ht="21.75" customHeight="1">
      <c r="G6270" t="s">
        <v>3653</v>
      </c>
      <c r="P6270" s="7"/>
      <c r="Q6270" s="7"/>
    </row>
    <row r="6271" spans="7:17" ht="21.75" customHeight="1">
      <c r="G6271" t="s">
        <v>3653</v>
      </c>
      <c r="P6271" s="7"/>
      <c r="Q6271" s="7"/>
    </row>
    <row r="6272" spans="7:17" ht="21.75" customHeight="1">
      <c r="G6272" t="s">
        <v>3653</v>
      </c>
      <c r="P6272" s="7"/>
      <c r="Q6272" s="7"/>
    </row>
    <row r="6273" spans="7:17" ht="21.75" customHeight="1">
      <c r="G6273" t="s">
        <v>3653</v>
      </c>
      <c r="P6273" s="7"/>
      <c r="Q6273" s="7"/>
    </row>
    <row r="6274" spans="7:17" ht="21.75" customHeight="1">
      <c r="G6274" t="s">
        <v>3653</v>
      </c>
      <c r="P6274" s="7"/>
      <c r="Q6274" s="7"/>
    </row>
    <row r="6275" spans="7:17" ht="21.75" customHeight="1">
      <c r="G6275" t="s">
        <v>3653</v>
      </c>
      <c r="P6275" s="7"/>
      <c r="Q6275" s="7"/>
    </row>
    <row r="6276" spans="7:17" ht="21.75" customHeight="1">
      <c r="G6276" t="s">
        <v>3653</v>
      </c>
      <c r="P6276" s="7"/>
      <c r="Q6276" s="7"/>
    </row>
    <row r="6277" spans="7:17" ht="21.75" customHeight="1">
      <c r="G6277" t="s">
        <v>3653</v>
      </c>
      <c r="P6277" s="7"/>
      <c r="Q6277" s="7"/>
    </row>
    <row r="6278" spans="7:17" ht="21.75" customHeight="1">
      <c r="G6278" t="s">
        <v>3653</v>
      </c>
      <c r="P6278" s="7"/>
      <c r="Q6278" s="7"/>
    </row>
    <row r="6279" spans="7:17" ht="21.75" customHeight="1">
      <c r="G6279" t="s">
        <v>3653</v>
      </c>
      <c r="P6279" s="7"/>
      <c r="Q6279" s="7"/>
    </row>
    <row r="6280" spans="7:17" ht="21.75" customHeight="1">
      <c r="G6280" t="s">
        <v>3653</v>
      </c>
      <c r="P6280" s="7"/>
      <c r="Q6280" s="7"/>
    </row>
    <row r="6281" spans="7:17" ht="21.75" customHeight="1">
      <c r="G6281" t="s">
        <v>3653</v>
      </c>
      <c r="P6281" s="7"/>
      <c r="Q6281" s="7"/>
    </row>
    <row r="6282" spans="7:17" ht="21.75" customHeight="1">
      <c r="G6282" t="s">
        <v>3653</v>
      </c>
      <c r="P6282" s="7"/>
      <c r="Q6282" s="7"/>
    </row>
    <row r="6283" spans="7:17" ht="21.75" customHeight="1">
      <c r="G6283" t="s">
        <v>3653</v>
      </c>
      <c r="P6283" s="7"/>
      <c r="Q6283" s="7"/>
    </row>
    <row r="6284" spans="7:17" ht="21.75" customHeight="1">
      <c r="G6284" t="s">
        <v>3653</v>
      </c>
      <c r="P6284" s="7"/>
      <c r="Q6284" s="7"/>
    </row>
    <row r="6285" spans="7:17" ht="21.75" customHeight="1">
      <c r="G6285" t="s">
        <v>3653</v>
      </c>
      <c r="P6285" s="7"/>
      <c r="Q6285" s="7"/>
    </row>
    <row r="6286" spans="7:17" ht="21.75" customHeight="1">
      <c r="G6286" t="s">
        <v>3653</v>
      </c>
      <c r="P6286" s="7"/>
      <c r="Q6286" s="7"/>
    </row>
    <row r="6287" spans="7:17" ht="21.75" customHeight="1">
      <c r="G6287" t="s">
        <v>3653</v>
      </c>
      <c r="P6287" s="7"/>
      <c r="Q6287" s="7"/>
    </row>
    <row r="6288" spans="7:17" ht="21.75" customHeight="1">
      <c r="G6288" t="s">
        <v>3653</v>
      </c>
      <c r="P6288" s="7"/>
      <c r="Q6288" s="7"/>
    </row>
    <row r="6289" spans="7:17" ht="21.75" customHeight="1">
      <c r="G6289" t="s">
        <v>3653</v>
      </c>
      <c r="P6289" s="7"/>
      <c r="Q6289" s="7"/>
    </row>
    <row r="6290" spans="7:17" ht="21.75" customHeight="1">
      <c r="G6290" t="s">
        <v>3653</v>
      </c>
      <c r="P6290" s="7"/>
      <c r="Q6290" s="7"/>
    </row>
    <row r="6291" spans="7:17" ht="21.75" customHeight="1">
      <c r="G6291" t="s">
        <v>3653</v>
      </c>
      <c r="P6291" s="7"/>
      <c r="Q6291" s="7"/>
    </row>
    <row r="6292" spans="7:17" ht="21.75" customHeight="1">
      <c r="G6292" t="s">
        <v>3653</v>
      </c>
      <c r="P6292" s="7"/>
      <c r="Q6292" s="7"/>
    </row>
    <row r="6293" spans="7:17" ht="21.75" customHeight="1">
      <c r="G6293" t="s">
        <v>3653</v>
      </c>
      <c r="P6293" s="7"/>
      <c r="Q6293" s="7"/>
    </row>
    <row r="6294" spans="7:17" ht="21.75" customHeight="1">
      <c r="G6294" t="s">
        <v>3653</v>
      </c>
      <c r="P6294" s="7"/>
      <c r="Q6294" s="7"/>
    </row>
    <row r="6295" spans="7:17" ht="21.75" customHeight="1">
      <c r="G6295" t="s">
        <v>3653</v>
      </c>
      <c r="P6295" s="7"/>
      <c r="Q6295" s="7"/>
    </row>
    <row r="6296" spans="7:17" ht="21.75" customHeight="1">
      <c r="G6296" t="s">
        <v>3653</v>
      </c>
      <c r="P6296" s="7"/>
      <c r="Q6296" s="7"/>
    </row>
    <row r="6297" spans="7:17" ht="21.75" customHeight="1">
      <c r="G6297" t="s">
        <v>3653</v>
      </c>
      <c r="P6297" s="7"/>
      <c r="Q6297" s="7"/>
    </row>
    <row r="6298" spans="7:17" ht="21.75" customHeight="1">
      <c r="G6298" t="s">
        <v>3653</v>
      </c>
      <c r="P6298" s="7"/>
      <c r="Q6298" s="7"/>
    </row>
    <row r="6299" spans="7:17" ht="21.75" customHeight="1">
      <c r="G6299" t="s">
        <v>3653</v>
      </c>
      <c r="P6299" s="7"/>
      <c r="Q6299" s="7"/>
    </row>
    <row r="6300" spans="7:17" ht="21.75" customHeight="1">
      <c r="G6300" t="s">
        <v>3653</v>
      </c>
      <c r="P6300" s="7"/>
      <c r="Q6300" s="7"/>
    </row>
    <row r="6301" spans="7:17" ht="21.75" customHeight="1">
      <c r="G6301" t="s">
        <v>3653</v>
      </c>
      <c r="P6301" s="7"/>
      <c r="Q6301" s="7"/>
    </row>
    <row r="6302" spans="7:17" ht="21.75" customHeight="1">
      <c r="G6302" t="s">
        <v>3653</v>
      </c>
      <c r="P6302" s="7"/>
      <c r="Q6302" s="7"/>
    </row>
    <row r="6303" spans="7:17" ht="21.75" customHeight="1">
      <c r="G6303" t="s">
        <v>3653</v>
      </c>
      <c r="P6303" s="7"/>
      <c r="Q6303" s="7"/>
    </row>
    <row r="6304" spans="7:17" ht="21.75" customHeight="1">
      <c r="G6304" t="s">
        <v>3653</v>
      </c>
      <c r="P6304" s="7"/>
      <c r="Q6304" s="7"/>
    </row>
    <row r="6305" spans="7:17" ht="21.75" customHeight="1">
      <c r="G6305" t="s">
        <v>3653</v>
      </c>
      <c r="P6305" s="7"/>
      <c r="Q6305" s="7"/>
    </row>
    <row r="6306" spans="7:17" ht="21.75" customHeight="1">
      <c r="G6306" t="s">
        <v>3653</v>
      </c>
      <c r="P6306" s="7"/>
      <c r="Q6306" s="7"/>
    </row>
    <row r="6307" spans="7:17" ht="21.75" customHeight="1">
      <c r="G6307" t="s">
        <v>3653</v>
      </c>
      <c r="P6307" s="7"/>
      <c r="Q6307" s="7"/>
    </row>
    <row r="6308" spans="7:17" ht="21.75" customHeight="1">
      <c r="G6308" t="s">
        <v>3653</v>
      </c>
      <c r="P6308" s="7"/>
      <c r="Q6308" s="7"/>
    </row>
    <row r="6309" spans="7:17" ht="21.75" customHeight="1">
      <c r="G6309" t="s">
        <v>3653</v>
      </c>
      <c r="P6309" s="7"/>
      <c r="Q6309" s="7"/>
    </row>
    <row r="6310" spans="7:17" ht="21.75" customHeight="1">
      <c r="G6310" t="s">
        <v>3653</v>
      </c>
      <c r="P6310" s="7"/>
      <c r="Q6310" s="7"/>
    </row>
    <row r="6311" spans="7:17" ht="21.75" customHeight="1">
      <c r="G6311" t="s">
        <v>3653</v>
      </c>
      <c r="P6311" s="7"/>
      <c r="Q6311" s="7"/>
    </row>
    <row r="6312" spans="7:17" ht="21.75" customHeight="1">
      <c r="G6312" t="s">
        <v>3653</v>
      </c>
      <c r="P6312" s="7"/>
      <c r="Q6312" s="7"/>
    </row>
    <row r="6313" spans="7:17" ht="21.75" customHeight="1">
      <c r="G6313" t="s">
        <v>3653</v>
      </c>
      <c r="P6313" s="7"/>
      <c r="Q6313" s="7"/>
    </row>
    <row r="6314" spans="7:17" ht="21.75" customHeight="1">
      <c r="G6314" t="s">
        <v>3653</v>
      </c>
      <c r="P6314" s="7"/>
      <c r="Q6314" s="7"/>
    </row>
    <row r="6315" spans="7:17" ht="21.75" customHeight="1">
      <c r="G6315" t="s">
        <v>3653</v>
      </c>
      <c r="P6315" s="7"/>
      <c r="Q6315" s="7"/>
    </row>
    <row r="6316" spans="7:17" ht="21.75" customHeight="1">
      <c r="G6316" t="s">
        <v>3653</v>
      </c>
      <c r="P6316" s="7"/>
      <c r="Q6316" s="7"/>
    </row>
    <row r="6317" spans="7:17" ht="21.75" customHeight="1">
      <c r="G6317" t="s">
        <v>3653</v>
      </c>
      <c r="P6317" s="7"/>
      <c r="Q6317" s="7"/>
    </row>
    <row r="6318" spans="7:17" ht="21.75" customHeight="1">
      <c r="G6318" t="s">
        <v>3653</v>
      </c>
      <c r="P6318" s="7"/>
      <c r="Q6318" s="7"/>
    </row>
    <row r="6319" spans="7:17" ht="21.75" customHeight="1">
      <c r="G6319" t="s">
        <v>3653</v>
      </c>
      <c r="P6319" s="7"/>
      <c r="Q6319" s="7"/>
    </row>
    <row r="6320" spans="7:17" ht="21.75" customHeight="1">
      <c r="G6320" t="s">
        <v>3653</v>
      </c>
      <c r="P6320" s="7"/>
      <c r="Q6320" s="7"/>
    </row>
    <row r="6321" spans="7:17" ht="21.75" customHeight="1">
      <c r="G6321" t="s">
        <v>3653</v>
      </c>
      <c r="P6321" s="7"/>
      <c r="Q6321" s="7"/>
    </row>
    <row r="6322" spans="7:17" ht="21.75" customHeight="1">
      <c r="G6322" t="s">
        <v>3653</v>
      </c>
      <c r="P6322" s="7"/>
      <c r="Q6322" s="7"/>
    </row>
    <row r="6323" spans="7:17" ht="21.75" customHeight="1">
      <c r="G6323" t="s">
        <v>3653</v>
      </c>
      <c r="P6323" s="7"/>
      <c r="Q6323" s="7"/>
    </row>
    <row r="6324" spans="7:17" ht="21.75" customHeight="1">
      <c r="G6324" t="s">
        <v>3653</v>
      </c>
      <c r="P6324" s="7"/>
      <c r="Q6324" s="7"/>
    </row>
    <row r="6325" spans="7:17" ht="21.75" customHeight="1">
      <c r="G6325" t="s">
        <v>3653</v>
      </c>
      <c r="P6325" s="7"/>
      <c r="Q6325" s="7"/>
    </row>
    <row r="6326" spans="7:17" ht="21.75" customHeight="1">
      <c r="G6326" t="s">
        <v>3653</v>
      </c>
      <c r="P6326" s="7"/>
      <c r="Q6326" s="7"/>
    </row>
    <row r="6327" spans="7:17" ht="21.75" customHeight="1">
      <c r="G6327" t="s">
        <v>3653</v>
      </c>
      <c r="P6327" s="7"/>
      <c r="Q6327" s="7"/>
    </row>
    <row r="6328" spans="7:17" ht="21.75" customHeight="1">
      <c r="G6328" t="s">
        <v>3653</v>
      </c>
      <c r="P6328" s="7"/>
      <c r="Q6328" s="7"/>
    </row>
    <row r="6329" spans="7:17" ht="21.75" customHeight="1">
      <c r="G6329" t="s">
        <v>3653</v>
      </c>
      <c r="P6329" s="7"/>
      <c r="Q6329" s="7"/>
    </row>
    <row r="6330" spans="7:17" ht="21.75" customHeight="1">
      <c r="G6330" t="s">
        <v>3653</v>
      </c>
      <c r="P6330" s="7"/>
      <c r="Q6330" s="7"/>
    </row>
    <row r="6331" spans="7:17" ht="21.75" customHeight="1">
      <c r="G6331" t="s">
        <v>3653</v>
      </c>
      <c r="P6331" s="7"/>
      <c r="Q6331" s="7"/>
    </row>
    <row r="6332" spans="7:17" ht="21.75" customHeight="1">
      <c r="G6332" t="s">
        <v>3653</v>
      </c>
      <c r="P6332" s="7"/>
      <c r="Q6332" s="7"/>
    </row>
    <row r="6333" spans="7:17" ht="21.75" customHeight="1">
      <c r="G6333" t="s">
        <v>3653</v>
      </c>
      <c r="P6333" s="7"/>
      <c r="Q6333" s="7"/>
    </row>
    <row r="6334" spans="7:17" ht="21.75" customHeight="1">
      <c r="G6334" t="s">
        <v>3653</v>
      </c>
      <c r="P6334" s="7"/>
      <c r="Q6334" s="7"/>
    </row>
    <row r="6335" spans="7:17" ht="21.75" customHeight="1">
      <c r="G6335" t="s">
        <v>3653</v>
      </c>
      <c r="P6335" s="7"/>
      <c r="Q6335" s="7"/>
    </row>
    <row r="6336" spans="7:17" ht="21.75" customHeight="1">
      <c r="G6336" t="s">
        <v>3653</v>
      </c>
      <c r="P6336" s="7"/>
      <c r="Q6336" s="7"/>
    </row>
    <row r="6337" spans="7:17" ht="21.75" customHeight="1">
      <c r="G6337" t="s">
        <v>3653</v>
      </c>
      <c r="P6337" s="7"/>
      <c r="Q6337" s="7"/>
    </row>
    <row r="6338" spans="7:17" ht="21.75" customHeight="1">
      <c r="G6338" t="s">
        <v>3653</v>
      </c>
      <c r="P6338" s="7"/>
      <c r="Q6338" s="7"/>
    </row>
    <row r="6339" spans="7:17" ht="21.75" customHeight="1">
      <c r="G6339" t="s">
        <v>3653</v>
      </c>
      <c r="P6339" s="7"/>
      <c r="Q6339" s="7"/>
    </row>
    <row r="6340" spans="7:17" ht="21.75" customHeight="1">
      <c r="G6340" t="s">
        <v>3653</v>
      </c>
      <c r="P6340" s="7"/>
      <c r="Q6340" s="7"/>
    </row>
    <row r="6341" spans="7:17" ht="21.75" customHeight="1">
      <c r="G6341" t="s">
        <v>3653</v>
      </c>
      <c r="P6341" s="7"/>
      <c r="Q6341" s="7"/>
    </row>
    <row r="6342" spans="7:17" ht="21.75" customHeight="1">
      <c r="G6342" t="s">
        <v>3653</v>
      </c>
      <c r="P6342" s="7"/>
      <c r="Q6342" s="7"/>
    </row>
    <row r="6343" spans="7:17" ht="21.75" customHeight="1">
      <c r="G6343" t="s">
        <v>3653</v>
      </c>
      <c r="P6343" s="7"/>
      <c r="Q6343" s="7"/>
    </row>
    <row r="6344" spans="7:17" ht="21.75" customHeight="1">
      <c r="G6344" t="s">
        <v>3653</v>
      </c>
      <c r="P6344" s="7"/>
      <c r="Q6344" s="7"/>
    </row>
    <row r="6345" spans="7:17" ht="21.75" customHeight="1">
      <c r="G6345" t="s">
        <v>3653</v>
      </c>
      <c r="P6345" s="7"/>
      <c r="Q6345" s="7"/>
    </row>
    <row r="6346" spans="7:17" ht="21.75" customHeight="1">
      <c r="G6346" t="s">
        <v>3653</v>
      </c>
      <c r="P6346" s="7"/>
      <c r="Q6346" s="7"/>
    </row>
    <row r="6347" spans="7:17" ht="21.75" customHeight="1">
      <c r="G6347" t="s">
        <v>3653</v>
      </c>
      <c r="P6347" s="7"/>
      <c r="Q6347" s="7"/>
    </row>
    <row r="6348" spans="7:17" ht="21.75" customHeight="1">
      <c r="G6348" t="s">
        <v>3653</v>
      </c>
      <c r="P6348" s="7"/>
      <c r="Q6348" s="7"/>
    </row>
    <row r="6349" spans="7:17" ht="21.75" customHeight="1">
      <c r="G6349" t="s">
        <v>3653</v>
      </c>
      <c r="P6349" s="7"/>
      <c r="Q6349" s="7"/>
    </row>
    <row r="6350" spans="7:17" ht="21.75" customHeight="1">
      <c r="G6350" t="s">
        <v>3653</v>
      </c>
      <c r="P6350" s="7"/>
      <c r="Q6350" s="7"/>
    </row>
    <row r="6351" spans="7:17" ht="21.75" customHeight="1">
      <c r="G6351" t="s">
        <v>3653</v>
      </c>
      <c r="P6351" s="7"/>
      <c r="Q6351" s="7"/>
    </row>
    <row r="6352" spans="7:17" ht="21.75" customHeight="1">
      <c r="G6352" t="s">
        <v>3653</v>
      </c>
      <c r="P6352" s="7"/>
      <c r="Q6352" s="7"/>
    </row>
    <row r="6353" spans="7:17" ht="21.75" customHeight="1">
      <c r="G6353" t="s">
        <v>3653</v>
      </c>
      <c r="P6353" s="7"/>
      <c r="Q6353" s="7"/>
    </row>
    <row r="6354" spans="7:17" ht="21.75" customHeight="1">
      <c r="G6354" t="s">
        <v>3653</v>
      </c>
      <c r="P6354" s="7"/>
      <c r="Q6354" s="7"/>
    </row>
    <row r="6355" spans="7:17" ht="21.75" customHeight="1">
      <c r="G6355" t="s">
        <v>3653</v>
      </c>
      <c r="P6355" s="7"/>
      <c r="Q6355" s="7"/>
    </row>
    <row r="6356" spans="7:17" ht="21.75" customHeight="1">
      <c r="G6356" t="s">
        <v>3653</v>
      </c>
      <c r="P6356" s="7"/>
      <c r="Q6356" s="7"/>
    </row>
    <row r="6357" spans="7:17" ht="21.75" customHeight="1">
      <c r="G6357" t="s">
        <v>3653</v>
      </c>
      <c r="P6357" s="7"/>
      <c r="Q6357" s="7"/>
    </row>
    <row r="6358" spans="7:17" ht="21.75" customHeight="1">
      <c r="G6358" t="s">
        <v>3653</v>
      </c>
      <c r="P6358" s="7"/>
      <c r="Q6358" s="7"/>
    </row>
    <row r="6359" spans="7:17" ht="21.75" customHeight="1">
      <c r="G6359" t="s">
        <v>3653</v>
      </c>
      <c r="P6359" s="7"/>
      <c r="Q6359" s="7"/>
    </row>
    <row r="6360" spans="7:17" ht="21.75" customHeight="1">
      <c r="G6360" t="s">
        <v>3653</v>
      </c>
      <c r="P6360" s="7"/>
      <c r="Q6360" s="7"/>
    </row>
    <row r="6361" spans="7:17" ht="21.75" customHeight="1">
      <c r="G6361" t="s">
        <v>3653</v>
      </c>
      <c r="P6361" s="7"/>
      <c r="Q6361" s="7"/>
    </row>
    <row r="6362" spans="7:17" ht="21.75" customHeight="1">
      <c r="G6362" t="s">
        <v>3653</v>
      </c>
      <c r="P6362" s="7"/>
      <c r="Q6362" s="7"/>
    </row>
    <row r="6363" spans="7:17" ht="21.75" customHeight="1">
      <c r="G6363" t="s">
        <v>3653</v>
      </c>
      <c r="P6363" s="7"/>
      <c r="Q6363" s="7"/>
    </row>
    <row r="6364" spans="7:17" ht="21.75" customHeight="1">
      <c r="G6364" t="s">
        <v>3653</v>
      </c>
      <c r="P6364" s="7"/>
      <c r="Q6364" s="7"/>
    </row>
    <row r="6365" spans="7:17" ht="21.75" customHeight="1">
      <c r="G6365" t="s">
        <v>3653</v>
      </c>
      <c r="P6365" s="7"/>
      <c r="Q6365" s="7"/>
    </row>
    <row r="6366" spans="7:17" ht="21.75" customHeight="1">
      <c r="G6366" t="s">
        <v>3653</v>
      </c>
      <c r="P6366" s="7"/>
      <c r="Q6366" s="7"/>
    </row>
    <row r="6367" spans="7:17" ht="21.75" customHeight="1">
      <c r="G6367" t="s">
        <v>3653</v>
      </c>
      <c r="P6367" s="7"/>
      <c r="Q6367" s="7"/>
    </row>
    <row r="6368" spans="7:17" ht="21.75" customHeight="1">
      <c r="G6368" t="s">
        <v>3653</v>
      </c>
      <c r="P6368" s="7"/>
      <c r="Q6368" s="7"/>
    </row>
    <row r="6369" spans="7:17" ht="21.75" customHeight="1">
      <c r="G6369" t="s">
        <v>3653</v>
      </c>
      <c r="P6369" s="7"/>
      <c r="Q6369" s="7"/>
    </row>
    <row r="6370" spans="7:17" ht="21.75" customHeight="1">
      <c r="G6370" t="s">
        <v>3653</v>
      </c>
      <c r="P6370" s="7"/>
      <c r="Q6370" s="7"/>
    </row>
    <row r="6371" spans="7:17" ht="21.75" customHeight="1">
      <c r="G6371" t="s">
        <v>3653</v>
      </c>
      <c r="P6371" s="7"/>
      <c r="Q6371" s="7"/>
    </row>
    <row r="6372" spans="7:17" ht="21.75" customHeight="1">
      <c r="G6372" t="s">
        <v>3653</v>
      </c>
      <c r="P6372" s="7"/>
      <c r="Q6372" s="7"/>
    </row>
    <row r="6373" spans="7:17" ht="21.75" customHeight="1">
      <c r="G6373" t="s">
        <v>3653</v>
      </c>
      <c r="P6373" s="7"/>
      <c r="Q6373" s="7"/>
    </row>
    <row r="6374" spans="7:17" ht="21.75" customHeight="1">
      <c r="G6374" t="s">
        <v>3653</v>
      </c>
      <c r="P6374" s="7"/>
      <c r="Q6374" s="7"/>
    </row>
    <row r="6375" spans="7:17" ht="21.75" customHeight="1">
      <c r="G6375" t="s">
        <v>3653</v>
      </c>
      <c r="P6375" s="7"/>
      <c r="Q6375" s="7"/>
    </row>
    <row r="6376" spans="7:17" ht="21.75" customHeight="1">
      <c r="G6376" t="s">
        <v>3653</v>
      </c>
      <c r="P6376" s="7"/>
      <c r="Q6376" s="7"/>
    </row>
    <row r="6377" spans="7:17" ht="21.75" customHeight="1">
      <c r="G6377" t="s">
        <v>3653</v>
      </c>
      <c r="P6377" s="7"/>
      <c r="Q6377" s="7"/>
    </row>
    <row r="6378" spans="7:17" ht="21.75" customHeight="1">
      <c r="G6378" t="s">
        <v>3653</v>
      </c>
      <c r="P6378" s="7"/>
      <c r="Q6378" s="7"/>
    </row>
    <row r="6379" spans="7:17" ht="21.75" customHeight="1">
      <c r="G6379" t="s">
        <v>3653</v>
      </c>
      <c r="P6379" s="7"/>
      <c r="Q6379" s="7"/>
    </row>
    <row r="6380" spans="7:17" ht="21.75" customHeight="1">
      <c r="G6380" t="s">
        <v>3653</v>
      </c>
      <c r="P6380" s="7"/>
      <c r="Q6380" s="7"/>
    </row>
    <row r="6381" spans="7:17" ht="21.75" customHeight="1">
      <c r="G6381" t="s">
        <v>3653</v>
      </c>
      <c r="P6381" s="7"/>
      <c r="Q6381" s="7"/>
    </row>
    <row r="6382" spans="7:17" ht="21.75" customHeight="1">
      <c r="G6382" t="s">
        <v>3653</v>
      </c>
      <c r="P6382" s="7"/>
      <c r="Q6382" s="7"/>
    </row>
    <row r="6383" spans="7:17" ht="21.75" customHeight="1">
      <c r="G6383" t="s">
        <v>3653</v>
      </c>
      <c r="P6383" s="7"/>
      <c r="Q6383" s="7"/>
    </row>
    <row r="6384" spans="7:17" ht="21.75" customHeight="1">
      <c r="G6384" t="s">
        <v>3653</v>
      </c>
      <c r="P6384" s="7"/>
      <c r="Q6384" s="7"/>
    </row>
    <row r="6385" spans="7:17" ht="21.75" customHeight="1">
      <c r="G6385" t="s">
        <v>3653</v>
      </c>
      <c r="P6385" s="7"/>
      <c r="Q6385" s="7"/>
    </row>
    <row r="6386" spans="7:17" ht="21.75" customHeight="1">
      <c r="G6386" t="s">
        <v>3653</v>
      </c>
      <c r="P6386" s="7"/>
      <c r="Q6386" s="7"/>
    </row>
    <row r="6387" spans="7:17" ht="21.75" customHeight="1">
      <c r="G6387" t="s">
        <v>3653</v>
      </c>
      <c r="P6387" s="7"/>
      <c r="Q6387" s="7"/>
    </row>
    <row r="6388" spans="7:17" ht="21.75" customHeight="1">
      <c r="G6388" t="s">
        <v>3653</v>
      </c>
      <c r="P6388" s="7"/>
      <c r="Q6388" s="7"/>
    </row>
    <row r="6389" spans="7:17" ht="21.75" customHeight="1">
      <c r="G6389" t="s">
        <v>3653</v>
      </c>
      <c r="P6389" s="7"/>
      <c r="Q6389" s="7"/>
    </row>
    <row r="6390" spans="7:17" ht="21.75" customHeight="1">
      <c r="G6390" t="s">
        <v>3653</v>
      </c>
      <c r="P6390" s="7"/>
      <c r="Q6390" s="7"/>
    </row>
    <row r="6391" spans="7:17" ht="21.75" customHeight="1">
      <c r="G6391" t="s">
        <v>3653</v>
      </c>
      <c r="P6391" s="7"/>
      <c r="Q6391" s="7"/>
    </row>
    <row r="6392" spans="7:17" ht="21.75" customHeight="1">
      <c r="G6392" t="s">
        <v>3653</v>
      </c>
      <c r="P6392" s="7"/>
      <c r="Q6392" s="7"/>
    </row>
    <row r="6393" spans="7:17" ht="21.75" customHeight="1">
      <c r="G6393" t="s">
        <v>3653</v>
      </c>
      <c r="P6393" s="7"/>
      <c r="Q6393" s="7"/>
    </row>
    <row r="6394" spans="7:17" ht="21.75" customHeight="1">
      <c r="G6394" t="s">
        <v>3653</v>
      </c>
      <c r="P6394" s="7"/>
      <c r="Q6394" s="7"/>
    </row>
    <row r="6395" spans="7:17" ht="21.75" customHeight="1">
      <c r="G6395" t="s">
        <v>3653</v>
      </c>
      <c r="P6395" s="7"/>
      <c r="Q6395" s="7"/>
    </row>
    <row r="6396" spans="7:17" ht="21.75" customHeight="1">
      <c r="G6396" t="s">
        <v>3653</v>
      </c>
      <c r="P6396" s="7"/>
      <c r="Q6396" s="7"/>
    </row>
    <row r="6397" spans="7:17" ht="21.75" customHeight="1">
      <c r="G6397" t="s">
        <v>3653</v>
      </c>
      <c r="P6397" s="7"/>
      <c r="Q6397" s="7"/>
    </row>
    <row r="6398" spans="7:17" ht="21.75" customHeight="1">
      <c r="G6398" t="s">
        <v>3653</v>
      </c>
      <c r="P6398" s="7"/>
      <c r="Q6398" s="7"/>
    </row>
    <row r="6399" spans="7:17" ht="21.75" customHeight="1">
      <c r="G6399" t="s">
        <v>3653</v>
      </c>
      <c r="P6399" s="7"/>
      <c r="Q6399" s="7"/>
    </row>
    <row r="6400" spans="7:17" ht="21.75" customHeight="1">
      <c r="G6400" t="s">
        <v>3653</v>
      </c>
      <c r="P6400" s="7"/>
      <c r="Q6400" s="7"/>
    </row>
    <row r="6401" spans="7:17" ht="21.75" customHeight="1">
      <c r="G6401" t="s">
        <v>3653</v>
      </c>
      <c r="P6401" s="7"/>
      <c r="Q6401" s="7"/>
    </row>
    <row r="6402" spans="7:17" ht="21.75" customHeight="1">
      <c r="G6402" t="s">
        <v>3653</v>
      </c>
      <c r="P6402" s="7"/>
      <c r="Q6402" s="7"/>
    </row>
    <row r="6403" spans="7:17" ht="21.75" customHeight="1">
      <c r="G6403" t="s">
        <v>3653</v>
      </c>
      <c r="P6403" s="7"/>
      <c r="Q6403" s="7"/>
    </row>
    <row r="6404" spans="7:17" ht="21.75" customHeight="1">
      <c r="G6404" t="s">
        <v>3653</v>
      </c>
      <c r="P6404" s="7"/>
      <c r="Q6404" s="7"/>
    </row>
    <row r="6405" spans="7:17" ht="21.75" customHeight="1">
      <c r="G6405" t="s">
        <v>3653</v>
      </c>
      <c r="P6405" s="7"/>
      <c r="Q6405" s="7"/>
    </row>
    <row r="6406" spans="7:17" ht="21.75" customHeight="1">
      <c r="G6406" t="s">
        <v>3653</v>
      </c>
      <c r="P6406" s="7"/>
      <c r="Q6406" s="7"/>
    </row>
    <row r="6407" spans="7:17" ht="21.75" customHeight="1">
      <c r="G6407" t="s">
        <v>3653</v>
      </c>
      <c r="P6407" s="7"/>
      <c r="Q6407" s="7"/>
    </row>
    <row r="6408" spans="7:17" ht="21.75" customHeight="1">
      <c r="G6408" t="s">
        <v>3653</v>
      </c>
      <c r="P6408" s="7"/>
      <c r="Q6408" s="7"/>
    </row>
    <row r="6409" spans="7:17" ht="21.75" customHeight="1">
      <c r="G6409" t="s">
        <v>3653</v>
      </c>
      <c r="P6409" s="7"/>
      <c r="Q6409" s="7"/>
    </row>
    <row r="6410" spans="7:17" ht="21.75" customHeight="1">
      <c r="G6410" t="s">
        <v>3653</v>
      </c>
      <c r="P6410" s="7"/>
      <c r="Q6410" s="7"/>
    </row>
    <row r="6411" spans="7:17" ht="21.75" customHeight="1">
      <c r="G6411" t="s">
        <v>3653</v>
      </c>
      <c r="P6411" s="7"/>
      <c r="Q6411" s="7"/>
    </row>
    <row r="6412" spans="7:17" ht="21.75" customHeight="1">
      <c r="G6412" t="s">
        <v>3653</v>
      </c>
      <c r="P6412" s="7"/>
      <c r="Q6412" s="7"/>
    </row>
    <row r="6413" spans="7:17" ht="21.75" customHeight="1">
      <c r="G6413" t="s">
        <v>3653</v>
      </c>
      <c r="P6413" s="7"/>
      <c r="Q6413" s="7"/>
    </row>
    <row r="6414" spans="7:17" ht="21.75" customHeight="1">
      <c r="G6414" t="s">
        <v>3653</v>
      </c>
      <c r="P6414" s="7"/>
      <c r="Q6414" s="7"/>
    </row>
    <row r="6415" spans="7:17" ht="21.75" customHeight="1">
      <c r="G6415" t="s">
        <v>3653</v>
      </c>
      <c r="P6415" s="7"/>
      <c r="Q6415" s="7"/>
    </row>
    <row r="6416" spans="7:17" ht="21.75" customHeight="1">
      <c r="G6416" t="s">
        <v>3653</v>
      </c>
      <c r="P6416" s="7"/>
      <c r="Q6416" s="7"/>
    </row>
    <row r="6417" spans="7:17" ht="21.75" customHeight="1">
      <c r="G6417" t="s">
        <v>3653</v>
      </c>
      <c r="P6417" s="7"/>
      <c r="Q6417" s="7"/>
    </row>
    <row r="6418" spans="7:17" ht="21.75" customHeight="1">
      <c r="G6418" t="s">
        <v>3653</v>
      </c>
      <c r="P6418" s="7"/>
      <c r="Q6418" s="7"/>
    </row>
    <row r="6419" spans="7:17" ht="21.75" customHeight="1">
      <c r="G6419" t="s">
        <v>3653</v>
      </c>
      <c r="P6419" s="7"/>
      <c r="Q6419" s="7"/>
    </row>
    <row r="6420" spans="7:17" ht="21.75" customHeight="1">
      <c r="G6420" t="s">
        <v>3653</v>
      </c>
      <c r="P6420" s="7"/>
      <c r="Q6420" s="7"/>
    </row>
    <row r="6421" spans="7:17" ht="21.75" customHeight="1">
      <c r="G6421" t="s">
        <v>3653</v>
      </c>
      <c r="P6421" s="7"/>
      <c r="Q6421" s="7"/>
    </row>
    <row r="6422" spans="7:17" ht="21.75" customHeight="1">
      <c r="G6422" t="s">
        <v>3653</v>
      </c>
      <c r="P6422" s="7"/>
      <c r="Q6422" s="7"/>
    </row>
    <row r="6423" spans="7:17" ht="21.75" customHeight="1">
      <c r="G6423" t="s">
        <v>3653</v>
      </c>
      <c r="P6423" s="7"/>
      <c r="Q6423" s="7"/>
    </row>
    <row r="6424" spans="7:17" ht="21.75" customHeight="1">
      <c r="G6424" t="s">
        <v>3653</v>
      </c>
      <c r="P6424" s="7"/>
      <c r="Q6424" s="7"/>
    </row>
    <row r="6425" spans="7:17" ht="21.75" customHeight="1">
      <c r="G6425" t="s">
        <v>3653</v>
      </c>
      <c r="P6425" s="7"/>
      <c r="Q6425" s="7"/>
    </row>
    <row r="6426" spans="7:17" ht="21.75" customHeight="1">
      <c r="G6426" t="s">
        <v>3653</v>
      </c>
      <c r="P6426" s="7"/>
      <c r="Q6426" s="7"/>
    </row>
    <row r="6427" spans="7:17" ht="21.75" customHeight="1">
      <c r="G6427" t="s">
        <v>3653</v>
      </c>
      <c r="P6427" s="7"/>
      <c r="Q6427" s="7"/>
    </row>
    <row r="6428" spans="7:17" ht="21.75" customHeight="1">
      <c r="G6428" t="s">
        <v>3653</v>
      </c>
      <c r="P6428" s="7"/>
      <c r="Q6428" s="7"/>
    </row>
    <row r="6429" spans="7:17" ht="21.75" customHeight="1">
      <c r="G6429" t="s">
        <v>3653</v>
      </c>
      <c r="P6429" s="7"/>
      <c r="Q6429" s="7"/>
    </row>
    <row r="6430" spans="7:17" ht="21.75" customHeight="1">
      <c r="G6430" t="s">
        <v>3653</v>
      </c>
      <c r="P6430" s="7"/>
      <c r="Q6430" s="7"/>
    </row>
    <row r="6431" spans="7:17" ht="21.75" customHeight="1">
      <c r="G6431" t="s">
        <v>3653</v>
      </c>
      <c r="P6431" s="7"/>
      <c r="Q6431" s="7"/>
    </row>
    <row r="6432" spans="7:17" ht="21.75" customHeight="1">
      <c r="G6432" t="s">
        <v>3653</v>
      </c>
      <c r="P6432" s="7"/>
      <c r="Q6432" s="7"/>
    </row>
    <row r="6433" spans="7:17" ht="21.75" customHeight="1">
      <c r="G6433" t="s">
        <v>3653</v>
      </c>
      <c r="P6433" s="7"/>
      <c r="Q6433" s="7"/>
    </row>
    <row r="6434" spans="7:17" ht="21.75" customHeight="1">
      <c r="G6434" t="s">
        <v>3653</v>
      </c>
      <c r="P6434" s="7"/>
      <c r="Q6434" s="7"/>
    </row>
    <row r="6435" spans="7:17" ht="21.75" customHeight="1">
      <c r="G6435" t="s">
        <v>3653</v>
      </c>
      <c r="P6435" s="7"/>
      <c r="Q6435" s="7"/>
    </row>
    <row r="6436" spans="7:17" ht="21.75" customHeight="1">
      <c r="G6436" t="s">
        <v>3653</v>
      </c>
      <c r="P6436" s="7"/>
      <c r="Q6436" s="7"/>
    </row>
    <row r="6437" spans="7:17" ht="21.75" customHeight="1">
      <c r="G6437" t="s">
        <v>3653</v>
      </c>
      <c r="P6437" s="7"/>
      <c r="Q6437" s="7"/>
    </row>
    <row r="6438" spans="7:17" ht="21.75" customHeight="1">
      <c r="G6438" t="s">
        <v>3653</v>
      </c>
      <c r="P6438" s="7"/>
      <c r="Q6438" s="7"/>
    </row>
    <row r="6439" spans="7:17" ht="21.75" customHeight="1">
      <c r="G6439" t="s">
        <v>3653</v>
      </c>
      <c r="P6439" s="7"/>
      <c r="Q6439" s="7"/>
    </row>
    <row r="6440" spans="7:17" ht="21.75" customHeight="1">
      <c r="G6440" t="s">
        <v>3653</v>
      </c>
      <c r="P6440" s="7"/>
      <c r="Q6440" s="7"/>
    </row>
    <row r="6441" spans="7:17" ht="21.75" customHeight="1">
      <c r="G6441" t="s">
        <v>3653</v>
      </c>
      <c r="P6441" s="7"/>
      <c r="Q6441" s="7"/>
    </row>
    <row r="6442" spans="7:17" ht="21.75" customHeight="1">
      <c r="G6442" t="s">
        <v>3653</v>
      </c>
      <c r="P6442" s="7"/>
      <c r="Q6442" s="7"/>
    </row>
    <row r="6443" spans="7:17" ht="21.75" customHeight="1">
      <c r="G6443" t="s">
        <v>3653</v>
      </c>
      <c r="P6443" s="7"/>
      <c r="Q6443" s="7"/>
    </row>
    <row r="6444" spans="7:17" ht="21.75" customHeight="1">
      <c r="G6444" t="s">
        <v>3653</v>
      </c>
      <c r="P6444" s="7"/>
      <c r="Q6444" s="7"/>
    </row>
    <row r="6445" spans="7:17" ht="21.75" customHeight="1">
      <c r="G6445" t="s">
        <v>3653</v>
      </c>
      <c r="P6445" s="7"/>
      <c r="Q6445" s="7"/>
    </row>
    <row r="6446" spans="7:17" ht="21.75" customHeight="1">
      <c r="G6446" t="s">
        <v>3653</v>
      </c>
      <c r="P6446" s="7"/>
      <c r="Q6446" s="7"/>
    </row>
    <row r="6447" spans="7:17" ht="21.75" customHeight="1">
      <c r="G6447" t="s">
        <v>3653</v>
      </c>
      <c r="P6447" s="7"/>
      <c r="Q6447" s="7"/>
    </row>
    <row r="6448" spans="7:17" ht="21.75" customHeight="1">
      <c r="G6448" t="s">
        <v>3653</v>
      </c>
      <c r="P6448" s="7"/>
      <c r="Q6448" s="7"/>
    </row>
    <row r="6449" spans="7:17" ht="21.75" customHeight="1">
      <c r="G6449" t="s">
        <v>3653</v>
      </c>
      <c r="P6449" s="7"/>
      <c r="Q6449" s="7"/>
    </row>
    <row r="6450" spans="7:17" ht="21.75" customHeight="1">
      <c r="G6450" t="s">
        <v>3653</v>
      </c>
      <c r="P6450" s="7"/>
      <c r="Q6450" s="7"/>
    </row>
    <row r="6451" spans="7:17" ht="21.75" customHeight="1">
      <c r="G6451" t="s">
        <v>3653</v>
      </c>
      <c r="P6451" s="7"/>
      <c r="Q6451" s="7"/>
    </row>
    <row r="6452" spans="7:17" ht="21.75" customHeight="1">
      <c r="G6452" t="s">
        <v>3653</v>
      </c>
      <c r="P6452" s="7"/>
      <c r="Q6452" s="7"/>
    </row>
    <row r="6453" spans="7:17" ht="21.75" customHeight="1">
      <c r="G6453" t="s">
        <v>3653</v>
      </c>
      <c r="P6453" s="7"/>
      <c r="Q6453" s="7"/>
    </row>
    <row r="6454" spans="7:17" ht="21.75" customHeight="1">
      <c r="G6454" t="s">
        <v>3653</v>
      </c>
      <c r="P6454" s="7"/>
      <c r="Q6454" s="7"/>
    </row>
    <row r="6455" spans="7:17" ht="21.75" customHeight="1">
      <c r="G6455" t="s">
        <v>3653</v>
      </c>
      <c r="P6455" s="7"/>
      <c r="Q6455" s="7"/>
    </row>
    <row r="6456" spans="7:17" ht="21.75" customHeight="1">
      <c r="G6456" t="s">
        <v>3653</v>
      </c>
      <c r="P6456" s="7"/>
      <c r="Q6456" s="7"/>
    </row>
    <row r="6457" spans="7:17" ht="21.75" customHeight="1">
      <c r="G6457" t="s">
        <v>3653</v>
      </c>
      <c r="P6457" s="7"/>
      <c r="Q6457" s="7"/>
    </row>
    <row r="6458" spans="7:17" ht="21.75" customHeight="1">
      <c r="G6458" t="s">
        <v>3653</v>
      </c>
      <c r="P6458" s="7"/>
      <c r="Q6458" s="7"/>
    </row>
    <row r="6459" spans="7:17" ht="21.75" customHeight="1">
      <c r="G6459" t="s">
        <v>3653</v>
      </c>
      <c r="P6459" s="7"/>
      <c r="Q6459" s="7"/>
    </row>
    <row r="6460" spans="7:17" ht="21.75" customHeight="1">
      <c r="G6460" t="s">
        <v>3653</v>
      </c>
      <c r="P6460" s="7"/>
      <c r="Q6460" s="7"/>
    </row>
    <row r="6461" spans="7:17" ht="21.75" customHeight="1">
      <c r="G6461" t="s">
        <v>3653</v>
      </c>
      <c r="P6461" s="7"/>
      <c r="Q6461" s="7"/>
    </row>
    <row r="6462" spans="7:17" ht="21.75" customHeight="1">
      <c r="G6462" t="s">
        <v>3653</v>
      </c>
      <c r="P6462" s="7"/>
      <c r="Q6462" s="7"/>
    </row>
    <row r="6463" spans="7:17" ht="21.75" customHeight="1">
      <c r="G6463" t="s">
        <v>3653</v>
      </c>
      <c r="P6463" s="7"/>
      <c r="Q6463" s="7"/>
    </row>
    <row r="6464" spans="7:17" ht="21.75" customHeight="1">
      <c r="G6464" t="s">
        <v>3653</v>
      </c>
      <c r="P6464" s="7"/>
      <c r="Q6464" s="7"/>
    </row>
    <row r="6465" spans="7:17" ht="21.75" customHeight="1">
      <c r="G6465" t="s">
        <v>3653</v>
      </c>
      <c r="P6465" s="7"/>
      <c r="Q6465" s="7"/>
    </row>
    <row r="6466" spans="7:17" ht="21.75" customHeight="1">
      <c r="G6466" t="s">
        <v>3653</v>
      </c>
      <c r="P6466" s="7"/>
      <c r="Q6466" s="7"/>
    </row>
    <row r="6467" spans="7:17" ht="21.75" customHeight="1">
      <c r="G6467" t="s">
        <v>3653</v>
      </c>
      <c r="P6467" s="7"/>
      <c r="Q6467" s="7"/>
    </row>
    <row r="6468" spans="7:17" ht="21.75" customHeight="1">
      <c r="G6468" t="s">
        <v>3653</v>
      </c>
      <c r="P6468" s="7"/>
      <c r="Q6468" s="7"/>
    </row>
    <row r="6469" spans="7:17" ht="21.75" customHeight="1">
      <c r="G6469" t="s">
        <v>3653</v>
      </c>
      <c r="P6469" s="7"/>
      <c r="Q6469" s="7"/>
    </row>
    <row r="6470" spans="7:17" ht="21.75" customHeight="1">
      <c r="G6470" t="s">
        <v>3653</v>
      </c>
      <c r="P6470" s="7"/>
      <c r="Q6470" s="7"/>
    </row>
    <row r="6471" spans="7:17" ht="21.75" customHeight="1">
      <c r="G6471" t="s">
        <v>3653</v>
      </c>
      <c r="P6471" s="7"/>
      <c r="Q6471" s="7"/>
    </row>
    <row r="6472" spans="7:17" ht="21.75" customHeight="1">
      <c r="G6472" t="s">
        <v>3653</v>
      </c>
      <c r="P6472" s="7"/>
      <c r="Q6472" s="7"/>
    </row>
    <row r="6473" spans="7:17" ht="21.75" customHeight="1">
      <c r="G6473" t="s">
        <v>3653</v>
      </c>
      <c r="P6473" s="7"/>
      <c r="Q6473" s="7"/>
    </row>
    <row r="6474" spans="7:17" ht="21.75" customHeight="1">
      <c r="G6474" t="s">
        <v>3653</v>
      </c>
      <c r="P6474" s="7"/>
      <c r="Q6474" s="7"/>
    </row>
    <row r="6475" spans="7:17" ht="21.75" customHeight="1">
      <c r="G6475" t="s">
        <v>3653</v>
      </c>
      <c r="P6475" s="7"/>
      <c r="Q6475" s="7"/>
    </row>
    <row r="6476" spans="7:17" ht="21.75" customHeight="1">
      <c r="G6476" t="s">
        <v>3653</v>
      </c>
      <c r="P6476" s="7"/>
      <c r="Q6476" s="7"/>
    </row>
    <row r="6477" spans="7:17" ht="21.75" customHeight="1">
      <c r="G6477" t="s">
        <v>3653</v>
      </c>
      <c r="P6477" s="7"/>
      <c r="Q6477" s="7"/>
    </row>
    <row r="6478" spans="7:17" ht="21.75" customHeight="1">
      <c r="G6478" t="s">
        <v>3653</v>
      </c>
      <c r="P6478" s="7"/>
      <c r="Q6478" s="7"/>
    </row>
    <row r="6479" spans="7:17" ht="21.75" customHeight="1">
      <c r="G6479" t="s">
        <v>3653</v>
      </c>
      <c r="P6479" s="7"/>
      <c r="Q6479" s="7"/>
    </row>
    <row r="6480" spans="7:17" ht="21.75" customHeight="1">
      <c r="G6480" t="s">
        <v>3653</v>
      </c>
      <c r="P6480" s="7"/>
      <c r="Q6480" s="7"/>
    </row>
    <row r="6481" spans="7:17" ht="21.75" customHeight="1">
      <c r="G6481" t="s">
        <v>3653</v>
      </c>
      <c r="P6481" s="7"/>
      <c r="Q6481" s="7"/>
    </row>
    <row r="6482" spans="7:17" ht="21.75" customHeight="1">
      <c r="G6482" t="s">
        <v>3653</v>
      </c>
      <c r="P6482" s="7"/>
      <c r="Q6482" s="7"/>
    </row>
    <row r="6483" spans="7:17" ht="21.75" customHeight="1">
      <c r="G6483" t="s">
        <v>3653</v>
      </c>
      <c r="P6483" s="7"/>
      <c r="Q6483" s="7"/>
    </row>
    <row r="6484" spans="7:17" ht="21.75" customHeight="1">
      <c r="G6484" t="s">
        <v>3653</v>
      </c>
      <c r="P6484" s="7"/>
      <c r="Q6484" s="7"/>
    </row>
    <row r="6485" spans="7:17" ht="21.75" customHeight="1">
      <c r="G6485" t="s">
        <v>3653</v>
      </c>
      <c r="P6485" s="7"/>
      <c r="Q6485" s="7"/>
    </row>
    <row r="6486" spans="7:17" ht="21.75" customHeight="1">
      <c r="G6486" t="s">
        <v>3653</v>
      </c>
      <c r="P6486" s="7"/>
      <c r="Q6486" s="7"/>
    </row>
    <row r="6487" spans="7:17" ht="21.75" customHeight="1">
      <c r="G6487" t="s">
        <v>3653</v>
      </c>
      <c r="P6487" s="7"/>
      <c r="Q6487" s="7"/>
    </row>
    <row r="6488" spans="7:17" ht="21.75" customHeight="1">
      <c r="G6488" t="s">
        <v>3653</v>
      </c>
      <c r="P6488" s="7"/>
      <c r="Q6488" s="7"/>
    </row>
    <row r="6489" spans="7:17" ht="21.75" customHeight="1">
      <c r="G6489" t="s">
        <v>3653</v>
      </c>
      <c r="P6489" s="7"/>
      <c r="Q6489" s="7"/>
    </row>
    <row r="6490" spans="7:17" ht="21.75" customHeight="1">
      <c r="G6490" t="s">
        <v>3653</v>
      </c>
      <c r="P6490" s="7"/>
      <c r="Q6490" s="7"/>
    </row>
    <row r="6491" spans="7:17" ht="21.75" customHeight="1">
      <c r="G6491" t="s">
        <v>3653</v>
      </c>
      <c r="P6491" s="7"/>
      <c r="Q6491" s="7"/>
    </row>
    <row r="6492" spans="7:17" ht="21.75" customHeight="1">
      <c r="G6492" t="s">
        <v>3653</v>
      </c>
      <c r="P6492" s="7"/>
      <c r="Q6492" s="7"/>
    </row>
    <row r="6493" spans="7:17" ht="21.75" customHeight="1">
      <c r="G6493" t="s">
        <v>3653</v>
      </c>
      <c r="P6493" s="7"/>
      <c r="Q6493" s="7"/>
    </row>
    <row r="6494" spans="7:17" ht="21.75" customHeight="1">
      <c r="G6494" t="s">
        <v>3653</v>
      </c>
      <c r="P6494" s="7"/>
      <c r="Q6494" s="7"/>
    </row>
    <row r="6495" spans="7:17" ht="21.75" customHeight="1">
      <c r="G6495" t="s">
        <v>3653</v>
      </c>
      <c r="P6495" s="7"/>
      <c r="Q6495" s="7"/>
    </row>
    <row r="6496" spans="7:17" ht="21.75" customHeight="1">
      <c r="G6496" t="s">
        <v>3653</v>
      </c>
      <c r="P6496" s="7"/>
      <c r="Q6496" s="7"/>
    </row>
    <row r="6497" spans="7:17" ht="21.75" customHeight="1">
      <c r="G6497" t="s">
        <v>3653</v>
      </c>
      <c r="P6497" s="7"/>
      <c r="Q6497" s="7"/>
    </row>
    <row r="6498" spans="7:17" ht="21.75" customHeight="1">
      <c r="G6498" t="s">
        <v>3653</v>
      </c>
      <c r="P6498" s="7"/>
      <c r="Q6498" s="7"/>
    </row>
    <row r="6499" spans="7:17" ht="21.75" customHeight="1">
      <c r="G6499" t="s">
        <v>3653</v>
      </c>
      <c r="P6499" s="7"/>
      <c r="Q6499" s="7"/>
    </row>
    <row r="6500" spans="7:17" ht="21.75" customHeight="1">
      <c r="G6500" t="s">
        <v>3653</v>
      </c>
      <c r="P6500" s="7"/>
      <c r="Q6500" s="7"/>
    </row>
    <row r="6501" spans="7:17" ht="21.75" customHeight="1">
      <c r="G6501" t="s">
        <v>3653</v>
      </c>
      <c r="P6501" s="7"/>
      <c r="Q6501" s="7"/>
    </row>
    <row r="6502" spans="7:17" ht="21.75" customHeight="1">
      <c r="G6502" t="s">
        <v>3653</v>
      </c>
      <c r="P6502" s="7"/>
      <c r="Q6502" s="7"/>
    </row>
    <row r="6503" spans="7:17" ht="21.75" customHeight="1">
      <c r="G6503" t="s">
        <v>3653</v>
      </c>
      <c r="P6503" s="7"/>
      <c r="Q6503" s="7"/>
    </row>
    <row r="6504" spans="7:17" ht="21.75" customHeight="1">
      <c r="G6504" t="s">
        <v>3653</v>
      </c>
      <c r="P6504" s="7"/>
      <c r="Q6504" s="7"/>
    </row>
    <row r="6505" spans="7:17" ht="21.75" customHeight="1">
      <c r="G6505" t="s">
        <v>3653</v>
      </c>
      <c r="P6505" s="7"/>
      <c r="Q6505" s="7"/>
    </row>
    <row r="6506" spans="7:17" ht="21.75" customHeight="1">
      <c r="G6506" t="s">
        <v>3653</v>
      </c>
      <c r="P6506" s="7"/>
      <c r="Q6506" s="7"/>
    </row>
    <row r="6507" spans="7:17" ht="21.75" customHeight="1">
      <c r="G6507" t="s">
        <v>3653</v>
      </c>
      <c r="P6507" s="7"/>
      <c r="Q6507" s="7"/>
    </row>
    <row r="6508" spans="7:17" ht="21.75" customHeight="1">
      <c r="G6508" t="s">
        <v>3653</v>
      </c>
      <c r="P6508" s="7"/>
      <c r="Q6508" s="7"/>
    </row>
    <row r="6509" spans="7:17" ht="21.75" customHeight="1">
      <c r="G6509" t="s">
        <v>3653</v>
      </c>
      <c r="P6509" s="7"/>
      <c r="Q6509" s="7"/>
    </row>
    <row r="6510" spans="7:17" ht="21.75" customHeight="1">
      <c r="G6510" t="s">
        <v>3653</v>
      </c>
      <c r="P6510" s="7"/>
      <c r="Q6510" s="7"/>
    </row>
    <row r="6511" spans="7:17" ht="21.75" customHeight="1">
      <c r="G6511" t="s">
        <v>3653</v>
      </c>
      <c r="P6511" s="7"/>
      <c r="Q6511" s="7"/>
    </row>
    <row r="6512" spans="7:17" ht="21.75" customHeight="1">
      <c r="G6512" t="s">
        <v>3653</v>
      </c>
      <c r="P6512" s="7"/>
      <c r="Q6512" s="7"/>
    </row>
    <row r="6513" spans="7:17" ht="21.75" customHeight="1">
      <c r="G6513" t="s">
        <v>3653</v>
      </c>
      <c r="P6513" s="7"/>
      <c r="Q6513" s="7"/>
    </row>
    <row r="6514" spans="7:17" ht="21.75" customHeight="1">
      <c r="G6514" t="s">
        <v>3653</v>
      </c>
      <c r="P6514" s="7"/>
      <c r="Q6514" s="7"/>
    </row>
    <row r="6515" spans="7:17" ht="21.75" customHeight="1">
      <c r="G6515" t="s">
        <v>3653</v>
      </c>
      <c r="P6515" s="7"/>
      <c r="Q6515" s="7"/>
    </row>
    <row r="6516" spans="7:17" ht="21.75" customHeight="1">
      <c r="G6516" t="s">
        <v>3653</v>
      </c>
      <c r="P6516" s="7"/>
      <c r="Q6516" s="7"/>
    </row>
    <row r="6517" spans="7:17" ht="21.75" customHeight="1">
      <c r="G6517" t="s">
        <v>3653</v>
      </c>
      <c r="P6517" s="7"/>
      <c r="Q6517" s="7"/>
    </row>
    <row r="6518" spans="7:17" ht="21.75" customHeight="1">
      <c r="G6518" t="s">
        <v>3653</v>
      </c>
      <c r="P6518" s="7"/>
      <c r="Q6518" s="7"/>
    </row>
    <row r="6519" spans="7:17" ht="21.75" customHeight="1">
      <c r="G6519" t="s">
        <v>3653</v>
      </c>
      <c r="P6519" s="7"/>
      <c r="Q6519" s="7"/>
    </row>
    <row r="6520" spans="7:17" ht="21.75" customHeight="1">
      <c r="G6520" t="s">
        <v>3653</v>
      </c>
      <c r="P6520" s="7"/>
      <c r="Q6520" s="7"/>
    </row>
    <row r="6521" spans="7:17" ht="21.75" customHeight="1">
      <c r="G6521" t="s">
        <v>3653</v>
      </c>
      <c r="P6521" s="7"/>
      <c r="Q6521" s="7"/>
    </row>
    <row r="6522" spans="7:17" ht="21.75" customHeight="1">
      <c r="G6522" t="s">
        <v>3653</v>
      </c>
      <c r="P6522" s="7"/>
      <c r="Q6522" s="7"/>
    </row>
    <row r="6523" spans="7:17" ht="21.75" customHeight="1">
      <c r="G6523" t="s">
        <v>3653</v>
      </c>
      <c r="P6523" s="7"/>
      <c r="Q6523" s="7"/>
    </row>
    <row r="6524" spans="7:17" ht="21.75" customHeight="1">
      <c r="G6524" t="s">
        <v>3653</v>
      </c>
      <c r="P6524" s="7"/>
      <c r="Q6524" s="7"/>
    </row>
    <row r="6525" spans="7:17" ht="21.75" customHeight="1">
      <c r="G6525" t="s">
        <v>3653</v>
      </c>
      <c r="P6525" s="7"/>
      <c r="Q6525" s="7"/>
    </row>
    <row r="6526" spans="7:17" ht="21.75" customHeight="1">
      <c r="G6526" t="s">
        <v>3653</v>
      </c>
      <c r="P6526" s="7"/>
      <c r="Q6526" s="7"/>
    </row>
    <row r="6527" spans="7:17" ht="21.75" customHeight="1">
      <c r="G6527" t="s">
        <v>3653</v>
      </c>
      <c r="P6527" s="7"/>
      <c r="Q6527" s="7"/>
    </row>
    <row r="6528" spans="7:17" ht="21.75" customHeight="1">
      <c r="G6528" t="s">
        <v>3653</v>
      </c>
      <c r="P6528" s="7"/>
      <c r="Q6528" s="7"/>
    </row>
    <row r="6529" spans="7:17" ht="21.75" customHeight="1">
      <c r="G6529" t="s">
        <v>3653</v>
      </c>
      <c r="P6529" s="7"/>
      <c r="Q6529" s="7"/>
    </row>
    <row r="6530" spans="7:17" ht="21.75" customHeight="1">
      <c r="G6530" t="s">
        <v>3653</v>
      </c>
      <c r="P6530" s="7"/>
      <c r="Q6530" s="7"/>
    </row>
    <row r="6531" spans="7:17" ht="21.75" customHeight="1">
      <c r="G6531" t="s">
        <v>3653</v>
      </c>
      <c r="P6531" s="7"/>
      <c r="Q6531" s="7"/>
    </row>
    <row r="6532" spans="7:17" ht="21.75" customHeight="1">
      <c r="G6532" t="s">
        <v>3653</v>
      </c>
      <c r="P6532" s="7"/>
      <c r="Q6532" s="7"/>
    </row>
    <row r="6533" spans="7:17" ht="21.75" customHeight="1">
      <c r="G6533" t="s">
        <v>3653</v>
      </c>
      <c r="P6533" s="7"/>
      <c r="Q6533" s="7"/>
    </row>
    <row r="6534" spans="7:17" ht="21.75" customHeight="1">
      <c r="G6534" t="s">
        <v>3653</v>
      </c>
      <c r="P6534" s="7"/>
      <c r="Q6534" s="7"/>
    </row>
    <row r="6535" spans="7:17" ht="21.75" customHeight="1">
      <c r="G6535" t="s">
        <v>3653</v>
      </c>
      <c r="P6535" s="7"/>
      <c r="Q6535" s="7"/>
    </row>
    <row r="6536" spans="7:17" ht="21.75" customHeight="1">
      <c r="G6536" t="s">
        <v>3653</v>
      </c>
      <c r="P6536" s="7"/>
      <c r="Q6536" s="7"/>
    </row>
    <row r="6537" spans="7:17" ht="21.75" customHeight="1">
      <c r="G6537" t="s">
        <v>3653</v>
      </c>
      <c r="P6537" s="7"/>
      <c r="Q6537" s="7"/>
    </row>
    <row r="6538" spans="7:17" ht="21.75" customHeight="1">
      <c r="G6538" t="s">
        <v>3653</v>
      </c>
      <c r="P6538" s="7"/>
      <c r="Q6538" s="7"/>
    </row>
    <row r="6539" spans="7:17" ht="21.75" customHeight="1">
      <c r="G6539" t="s">
        <v>3653</v>
      </c>
      <c r="P6539" s="7"/>
      <c r="Q6539" s="7"/>
    </row>
    <row r="6540" spans="7:17" ht="21.75" customHeight="1">
      <c r="G6540" t="s">
        <v>3653</v>
      </c>
      <c r="P6540" s="7"/>
      <c r="Q6540" s="7"/>
    </row>
    <row r="6541" spans="7:17" ht="21.75" customHeight="1">
      <c r="G6541" t="s">
        <v>3653</v>
      </c>
      <c r="P6541" s="7"/>
      <c r="Q6541" s="7"/>
    </row>
    <row r="6542" spans="7:17" ht="21.75" customHeight="1">
      <c r="G6542" t="s">
        <v>3653</v>
      </c>
      <c r="P6542" s="7"/>
      <c r="Q6542" s="7"/>
    </row>
    <row r="6543" spans="7:17" ht="21.75" customHeight="1">
      <c r="G6543" t="s">
        <v>3653</v>
      </c>
      <c r="P6543" s="7"/>
      <c r="Q6543" s="7"/>
    </row>
    <row r="6544" spans="7:17" ht="21.75" customHeight="1">
      <c r="G6544" t="s">
        <v>3653</v>
      </c>
      <c r="P6544" s="7"/>
      <c r="Q6544" s="7"/>
    </row>
    <row r="6545" spans="7:17" ht="21.75" customHeight="1">
      <c r="G6545" t="s">
        <v>3653</v>
      </c>
      <c r="P6545" s="7"/>
      <c r="Q6545" s="7"/>
    </row>
    <row r="6546" spans="7:17" ht="21.75" customHeight="1">
      <c r="G6546" t="s">
        <v>3653</v>
      </c>
      <c r="P6546" s="7"/>
      <c r="Q6546" s="7"/>
    </row>
    <row r="6547" spans="7:17" ht="21.75" customHeight="1">
      <c r="G6547" t="s">
        <v>3653</v>
      </c>
      <c r="P6547" s="7"/>
      <c r="Q6547" s="7"/>
    </row>
    <row r="6548" spans="7:17" ht="21.75" customHeight="1">
      <c r="G6548" t="s">
        <v>3653</v>
      </c>
      <c r="P6548" s="7"/>
      <c r="Q6548" s="7"/>
    </row>
    <row r="6549" spans="7:17" ht="21.75" customHeight="1">
      <c r="G6549" t="s">
        <v>3653</v>
      </c>
      <c r="P6549" s="7"/>
      <c r="Q6549" s="7"/>
    </row>
    <row r="6550" spans="7:17" ht="21.75" customHeight="1">
      <c r="G6550" t="s">
        <v>3653</v>
      </c>
      <c r="P6550" s="7"/>
      <c r="Q6550" s="7"/>
    </row>
    <row r="6551" spans="7:17" ht="21.75" customHeight="1">
      <c r="G6551" t="s">
        <v>3653</v>
      </c>
      <c r="P6551" s="7"/>
      <c r="Q6551" s="7"/>
    </row>
    <row r="6552" spans="7:17" ht="21.75" customHeight="1">
      <c r="G6552" t="s">
        <v>3653</v>
      </c>
      <c r="P6552" s="7"/>
      <c r="Q6552" s="7"/>
    </row>
    <row r="6553" spans="7:17" ht="21.75" customHeight="1">
      <c r="G6553" t="s">
        <v>3653</v>
      </c>
      <c r="P6553" s="7"/>
      <c r="Q6553" s="7"/>
    </row>
    <row r="6554" spans="7:17" ht="21.75" customHeight="1">
      <c r="G6554" t="s">
        <v>3653</v>
      </c>
      <c r="P6554" s="7"/>
      <c r="Q6554" s="7"/>
    </row>
    <row r="6555" spans="7:17" ht="21.75" customHeight="1">
      <c r="G6555" t="s">
        <v>3653</v>
      </c>
      <c r="P6555" s="7"/>
      <c r="Q6555" s="7"/>
    </row>
    <row r="6556" spans="7:17" ht="21.75" customHeight="1">
      <c r="G6556" t="s">
        <v>3653</v>
      </c>
      <c r="P6556" s="7"/>
      <c r="Q6556" s="7"/>
    </row>
    <row r="6557" spans="7:17" ht="21.75" customHeight="1">
      <c r="G6557" t="s">
        <v>3653</v>
      </c>
      <c r="P6557" s="7"/>
      <c r="Q6557" s="7"/>
    </row>
    <row r="6558" spans="7:17" ht="21.75" customHeight="1">
      <c r="G6558" t="s">
        <v>3653</v>
      </c>
      <c r="P6558" s="7"/>
      <c r="Q6558" s="7"/>
    </row>
    <row r="6559" spans="7:17" ht="21.75" customHeight="1">
      <c r="G6559" t="s">
        <v>3653</v>
      </c>
      <c r="P6559" s="7"/>
      <c r="Q6559" s="7"/>
    </row>
    <row r="6560" spans="7:17" ht="21.75" customHeight="1">
      <c r="G6560" t="s">
        <v>3653</v>
      </c>
      <c r="P6560" s="7"/>
      <c r="Q6560" s="7"/>
    </row>
    <row r="6561" spans="7:17" ht="21.75" customHeight="1">
      <c r="G6561" t="s">
        <v>3653</v>
      </c>
      <c r="P6561" s="7"/>
      <c r="Q6561" s="7"/>
    </row>
    <row r="6562" spans="7:17" ht="21.75" customHeight="1">
      <c r="G6562" t="s">
        <v>3653</v>
      </c>
      <c r="P6562" s="7"/>
      <c r="Q6562" s="7"/>
    </row>
    <row r="6563" spans="7:17" ht="21.75" customHeight="1">
      <c r="G6563" t="s">
        <v>3653</v>
      </c>
      <c r="P6563" s="7"/>
      <c r="Q6563" s="7"/>
    </row>
    <row r="6564" spans="7:17" ht="21.75" customHeight="1">
      <c r="G6564" t="s">
        <v>3653</v>
      </c>
      <c r="P6564" s="7"/>
      <c r="Q6564" s="7"/>
    </row>
    <row r="6565" spans="7:17" ht="21.75" customHeight="1">
      <c r="G6565" t="s">
        <v>3653</v>
      </c>
      <c r="P6565" s="7"/>
      <c r="Q6565" s="7"/>
    </row>
    <row r="6566" spans="7:17" ht="21.75" customHeight="1">
      <c r="G6566" t="s">
        <v>3653</v>
      </c>
      <c r="P6566" s="7"/>
      <c r="Q6566" s="7"/>
    </row>
    <row r="6567" spans="7:17" ht="21.75" customHeight="1">
      <c r="G6567" t="s">
        <v>3653</v>
      </c>
      <c r="P6567" s="7"/>
      <c r="Q6567" s="7"/>
    </row>
    <row r="6568" spans="7:17" ht="21.75" customHeight="1">
      <c r="G6568" t="s">
        <v>3653</v>
      </c>
      <c r="P6568" s="7"/>
      <c r="Q6568" s="7"/>
    </row>
    <row r="6569" spans="7:17" ht="21.75" customHeight="1">
      <c r="G6569" t="s">
        <v>3653</v>
      </c>
      <c r="P6569" s="7"/>
      <c r="Q6569" s="7"/>
    </row>
    <row r="6570" spans="7:17" ht="21.75" customHeight="1">
      <c r="G6570" t="s">
        <v>3653</v>
      </c>
      <c r="P6570" s="7"/>
      <c r="Q6570" s="7"/>
    </row>
    <row r="6571" spans="7:17" ht="21.75" customHeight="1">
      <c r="G6571" t="s">
        <v>3653</v>
      </c>
      <c r="P6571" s="7"/>
      <c r="Q6571" s="7"/>
    </row>
    <row r="6572" spans="7:17" ht="21.75" customHeight="1">
      <c r="G6572" t="s">
        <v>3653</v>
      </c>
      <c r="P6572" s="7"/>
      <c r="Q6572" s="7"/>
    </row>
    <row r="6573" spans="7:17" ht="21.75" customHeight="1">
      <c r="G6573" t="s">
        <v>3653</v>
      </c>
      <c r="P6573" s="7"/>
      <c r="Q6573" s="7"/>
    </row>
    <row r="6574" spans="7:17" ht="21.75" customHeight="1">
      <c r="G6574" t="s">
        <v>3653</v>
      </c>
      <c r="P6574" s="7"/>
      <c r="Q6574" s="7"/>
    </row>
    <row r="6575" spans="7:17" ht="21.75" customHeight="1">
      <c r="G6575" t="s">
        <v>3653</v>
      </c>
      <c r="P6575" s="7"/>
      <c r="Q6575" s="7"/>
    </row>
    <row r="6576" spans="7:17" ht="21.75" customHeight="1">
      <c r="G6576" t="s">
        <v>3653</v>
      </c>
      <c r="P6576" s="7"/>
      <c r="Q6576" s="7"/>
    </row>
    <row r="6577" spans="7:17" ht="21.75" customHeight="1">
      <c r="G6577" t="s">
        <v>3653</v>
      </c>
      <c r="P6577" s="7"/>
      <c r="Q6577" s="7"/>
    </row>
    <row r="6578" spans="7:17" ht="21.75" customHeight="1">
      <c r="G6578" t="s">
        <v>3653</v>
      </c>
      <c r="P6578" s="7"/>
      <c r="Q6578" s="7"/>
    </row>
    <row r="6579" spans="7:17" ht="21.75" customHeight="1">
      <c r="G6579" t="s">
        <v>3653</v>
      </c>
      <c r="P6579" s="7"/>
      <c r="Q6579" s="7"/>
    </row>
    <row r="6580" spans="7:17" ht="21.75" customHeight="1">
      <c r="G6580" t="s">
        <v>3653</v>
      </c>
      <c r="P6580" s="7"/>
      <c r="Q6580" s="7"/>
    </row>
    <row r="6581" spans="7:17" ht="21.75" customHeight="1">
      <c r="G6581" t="s">
        <v>3653</v>
      </c>
      <c r="P6581" s="7"/>
      <c r="Q6581" s="7"/>
    </row>
    <row r="6582" spans="7:17" ht="21.75" customHeight="1">
      <c r="G6582" t="s">
        <v>3653</v>
      </c>
      <c r="P6582" s="7"/>
      <c r="Q6582" s="7"/>
    </row>
    <row r="6583" spans="7:17" ht="21.75" customHeight="1">
      <c r="G6583" t="s">
        <v>3653</v>
      </c>
      <c r="P6583" s="7"/>
      <c r="Q6583" s="7"/>
    </row>
  </sheetData>
  <conditionalFormatting sqref="A1:A1048576">
    <cfRule type="duplicateValues" dxfId="0" priority="1"/>
  </conditionalFormatting>
  <conditionalFormatting sqref="H1:H1048576">
    <cfRule type="dataBar" priority="2">
      <dataBar>
        <cfvo type="min"/>
        <cfvo type="max"/>
        <color rgb="FFFF555A"/>
      </dataBar>
      <extLst>
        <ext xmlns:x14="http://schemas.microsoft.com/office/spreadsheetml/2009/9/main" uri="{B025F937-C7B1-47D3-B67F-A62EFF666E3E}">
          <x14:id>{69550644-810B-4275-BEBF-4B32DBACCA70}</x14:id>
        </ext>
      </extLst>
    </cfRule>
  </conditionalFormatting>
  <pageMargins left="0.75" right="0.75" top="1" bottom="1" header="0.5" footer="0.5"/>
  <pageSetup orientation="portrait" r:id="rId1"/>
  <headerFooter>
    <oddHeader>&amp;L&amp;C&amp;R</oddHeader>
    <oddFooter>&amp;L&amp;C&amp;R</oddFooter>
  </headerFooter>
  <extLst>
    <ext xmlns:x14="http://schemas.microsoft.com/office/spreadsheetml/2009/9/main" uri="{78C0D931-6437-407d-A8EE-F0AAD7539E65}">
      <x14:conditionalFormattings>
        <x14:conditionalFormatting xmlns:xm="http://schemas.microsoft.com/office/excel/2006/main">
          <x14:cfRule type="dataBar" id="{69550644-810B-4275-BEBF-4B32DBACCA70}">
            <x14:dataBar minLength="0" maxLength="100" gradient="0">
              <x14:cfvo type="autoMin"/>
              <x14:cfvo type="autoMax"/>
              <x14:negativeFillColor rgb="FFFF0000"/>
              <x14:axisColor rgb="FF000000"/>
            </x14:dataBar>
          </x14:cfRule>
          <xm:sqref>H1:H1048576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7"/>
  <sheetViews>
    <sheetView workbookViewId="0">
      <selection activeCell="K29" sqref="K29"/>
    </sheetView>
  </sheetViews>
  <sheetFormatPr defaultRowHeight="14.5"/>
  <cols>
    <col min="1" max="1" width="12.7265625" bestFit="1" customWidth="1"/>
    <col min="7" max="7" width="11.81640625" customWidth="1"/>
    <col min="10" max="10" width="18.81640625" customWidth="1"/>
    <col min="11" max="11" width="19.26953125" customWidth="1"/>
    <col min="12" max="12" width="11.1796875" bestFit="1" customWidth="1"/>
    <col min="13" max="14" width="15.453125" customWidth="1"/>
    <col min="15" max="15" width="11.1796875" bestFit="1" customWidth="1"/>
    <col min="16" max="16" width="12.7265625" bestFit="1" customWidth="1"/>
  </cols>
  <sheetData>
    <row r="1" spans="1:13">
      <c r="A1" s="11" t="s">
        <v>3658</v>
      </c>
      <c r="F1" s="11" t="s">
        <v>5</v>
      </c>
      <c r="G1" s="11" t="s">
        <v>3667</v>
      </c>
      <c r="J1" s="11"/>
      <c r="M1" s="11"/>
    </row>
    <row r="2" spans="1:13">
      <c r="A2" s="7">
        <f>SUM('Raw_Sales_Data _Cleaned'!R2:R3301)</f>
        <v>4191450.4099999913</v>
      </c>
      <c r="J2" s="11" t="s">
        <v>3696</v>
      </c>
    </row>
    <row r="3" spans="1:13">
      <c r="J3" s="30" t="s">
        <v>3697</v>
      </c>
      <c r="M3" s="7"/>
    </row>
    <row r="4" spans="1:13">
      <c r="A4" s="11" t="s">
        <v>3659</v>
      </c>
      <c r="J4" s="29" t="s">
        <v>3698</v>
      </c>
    </row>
    <row r="5" spans="1:13">
      <c r="A5" s="7">
        <f>AVERAGE('Raw_Sales_Data _Cleaned'!R2:R3301)</f>
        <v>1270.1364878787851</v>
      </c>
      <c r="J5" s="29" t="s">
        <v>3699</v>
      </c>
    </row>
    <row r="6" spans="1:13">
      <c r="J6" t="s">
        <v>3700</v>
      </c>
    </row>
    <row r="7" spans="1:13">
      <c r="A7" s="11" t="s">
        <v>3660</v>
      </c>
      <c r="J7" s="29" t="s">
        <v>3677</v>
      </c>
    </row>
    <row r="8" spans="1:13">
      <c r="A8">
        <f>COUNTA('Raw_Sales_Data _Cleaned'!$A$2:$A$3301)</f>
        <v>3300</v>
      </c>
    </row>
    <row r="10" spans="1:13">
      <c r="A10" s="11" t="s">
        <v>3661</v>
      </c>
      <c r="J10" s="11" t="s">
        <v>3701</v>
      </c>
    </row>
    <row r="11" spans="1:13">
      <c r="A11">
        <f>MEDIAN('Raw_Sales_Data _Cleaned'!H3283:H3301)</f>
        <v>9</v>
      </c>
      <c r="I11">
        <v>1</v>
      </c>
      <c r="J11" s="11" t="s">
        <v>3697</v>
      </c>
    </row>
    <row r="12" spans="1:13">
      <c r="J12" s="29" t="s">
        <v>3708</v>
      </c>
      <c r="M12" s="11"/>
    </row>
    <row r="13" spans="1:13">
      <c r="A13" s="11" t="s">
        <v>3668</v>
      </c>
      <c r="I13">
        <v>2</v>
      </c>
      <c r="J13" s="11" t="s">
        <v>3702</v>
      </c>
    </row>
    <row r="14" spans="1:13">
      <c r="A14" s="7">
        <f ca="1">SUMIF('Raw_Sales_Data _Cleaned'!$G$2:$G$6583, "Electronics", 'Raw_Sales_Data _Cleaned'!R2:R3301)</f>
        <v>816382.14000000036</v>
      </c>
      <c r="J14" s="31" t="s">
        <v>3703</v>
      </c>
      <c r="M14" s="7"/>
    </row>
    <row r="15" spans="1:13">
      <c r="I15">
        <v>3</v>
      </c>
      <c r="J15" s="11" t="s">
        <v>3699</v>
      </c>
    </row>
    <row r="16" spans="1:13">
      <c r="A16" s="11" t="s">
        <v>3669</v>
      </c>
      <c r="J16" s="31" t="s">
        <v>3704</v>
      </c>
    </row>
    <row r="17" spans="1:13">
      <c r="A17" s="7">
        <f>AVERAGEIF('Raw_Sales_Data _Cleaned'!$F$2:$F$3300,"North",'Raw_Sales_Data _Cleaned'!R2:R3301)</f>
        <v>1251.3453949329353</v>
      </c>
      <c r="I17">
        <v>4</v>
      </c>
      <c r="J17" s="11" t="s">
        <v>3700</v>
      </c>
    </row>
    <row r="18" spans="1:13">
      <c r="J18" s="31" t="s">
        <v>3705</v>
      </c>
    </row>
    <row r="19" spans="1:13">
      <c r="A19" s="11" t="s">
        <v>3691</v>
      </c>
      <c r="I19">
        <v>5</v>
      </c>
      <c r="J19" s="11" t="s">
        <v>3677</v>
      </c>
    </row>
    <row r="20" spans="1:13">
      <c r="A20">
        <f>COUNTIF('Raw_Sales_Data _Cleaned'!H2:H3301, "&gt;5")</f>
        <v>2434</v>
      </c>
      <c r="J20" s="31" t="s">
        <v>3706</v>
      </c>
    </row>
    <row r="21" spans="1:13">
      <c r="J21" s="33">
        <v>300805.61</v>
      </c>
    </row>
    <row r="22" spans="1:13">
      <c r="A22" s="11" t="s">
        <v>3670</v>
      </c>
      <c r="J22" s="25"/>
    </row>
    <row r="23" spans="1:13">
      <c r="A23" s="7">
        <f>SUMIFS('Raw_Sales_Data _Cleaned'!$R$2:$R$3301, 'Raw_Sales_Data _Cleaned'!$G$2:$G$3301, "Clothing", 'Raw_Sales_Data _Cleaned'!$F$2:$F$3301, "West")</f>
        <v>162195.95000000004</v>
      </c>
      <c r="J23" s="25" t="s">
        <v>3707</v>
      </c>
    </row>
    <row r="24" spans="1:13">
      <c r="I24">
        <v>1</v>
      </c>
      <c r="J24" s="32" t="s">
        <v>3709</v>
      </c>
    </row>
    <row r="25" spans="1:13">
      <c r="I25">
        <v>2</v>
      </c>
      <c r="J25" s="32" t="s">
        <v>3710</v>
      </c>
    </row>
    <row r="26" spans="1:13">
      <c r="I26">
        <v>3</v>
      </c>
      <c r="J26" s="32" t="s">
        <v>3711</v>
      </c>
    </row>
    <row r="27" spans="1:13">
      <c r="J27" s="25"/>
    </row>
    <row r="28" spans="1:13">
      <c r="J28" s="25"/>
      <c r="M28" s="25"/>
    </row>
    <row r="29" spans="1:13">
      <c r="J29" s="25"/>
      <c r="M29" s="25"/>
    </row>
    <row r="30" spans="1:13">
      <c r="J30" s="25"/>
      <c r="M30" s="25"/>
    </row>
    <row r="31" spans="1:13">
      <c r="J31" s="25"/>
      <c r="M31" s="25"/>
    </row>
    <row r="32" spans="1:13">
      <c r="J32" s="25"/>
      <c r="M32" s="25"/>
    </row>
    <row r="33" spans="10:13">
      <c r="J33" s="25"/>
      <c r="M33" s="25"/>
    </row>
    <row r="34" spans="10:13">
      <c r="J34" s="25"/>
      <c r="M34" s="25"/>
    </row>
    <row r="35" spans="10:13">
      <c r="J35" s="25"/>
      <c r="M35" s="25"/>
    </row>
    <row r="36" spans="10:13">
      <c r="J36" s="25"/>
      <c r="M36" s="25"/>
    </row>
    <row r="37" spans="10:13">
      <c r="J37" s="25"/>
      <c r="M37" s="25"/>
    </row>
    <row r="38" spans="10:13">
      <c r="J38" s="25"/>
      <c r="M38" s="25"/>
    </row>
    <row r="39" spans="10:13">
      <c r="J39" s="25"/>
      <c r="M39" s="25"/>
    </row>
    <row r="40" spans="10:13">
      <c r="M40" s="25"/>
    </row>
    <row r="41" spans="10:13">
      <c r="M41" s="25"/>
    </row>
    <row r="42" spans="10:13">
      <c r="M42" s="25"/>
    </row>
    <row r="43" spans="10:13">
      <c r="M43" s="25"/>
    </row>
    <row r="44" spans="10:13">
      <c r="M44" s="25"/>
    </row>
    <row r="45" spans="10:13">
      <c r="M45" s="25"/>
    </row>
    <row r="46" spans="10:13">
      <c r="M46" s="25"/>
    </row>
    <row r="51" spans="10:10">
      <c r="J51" s="11"/>
    </row>
    <row r="52" spans="10:10">
      <c r="J52" s="11"/>
    </row>
    <row r="53" spans="10:10">
      <c r="J53" s="11"/>
    </row>
    <row r="54" spans="10:10">
      <c r="J54" s="11"/>
    </row>
    <row r="55" spans="10:10">
      <c r="J55" s="11"/>
    </row>
    <row r="56" spans="10:10">
      <c r="J56" s="11"/>
    </row>
    <row r="57" spans="10:10">
      <c r="J57" s="11"/>
    </row>
    <row r="58" spans="10:10">
      <c r="J58" s="11"/>
    </row>
    <row r="59" spans="10:10">
      <c r="J59" s="11"/>
    </row>
    <row r="60" spans="10:10">
      <c r="J60" s="11"/>
    </row>
    <row r="61" spans="10:10">
      <c r="J61" s="11"/>
    </row>
    <row r="62" spans="10:10">
      <c r="J62" s="11"/>
    </row>
    <row r="63" spans="10:10">
      <c r="J63" s="11"/>
    </row>
    <row r="64" spans="10:10">
      <c r="J64" s="11"/>
    </row>
    <row r="65" spans="10:12">
      <c r="J65" s="11"/>
    </row>
    <row r="66" spans="10:12">
      <c r="J66" s="11"/>
    </row>
    <row r="67" spans="10:12">
      <c r="J67" s="11"/>
    </row>
    <row r="68" spans="10:12">
      <c r="J68" s="11"/>
    </row>
    <row r="69" spans="10:12">
      <c r="J69" s="11"/>
    </row>
    <row r="70" spans="10:12">
      <c r="J70" s="13"/>
      <c r="K70" s="14"/>
      <c r="L70" s="15"/>
    </row>
    <row r="71" spans="10:12">
      <c r="J71" s="16"/>
      <c r="K71" s="17"/>
      <c r="L71" s="18"/>
    </row>
    <row r="72" spans="10:12">
      <c r="J72" s="16"/>
      <c r="K72" s="17"/>
      <c r="L72" s="18"/>
    </row>
    <row r="73" spans="10:12">
      <c r="J73" s="16"/>
      <c r="K73" s="17"/>
      <c r="L73" s="18"/>
    </row>
    <row r="74" spans="10:12">
      <c r="J74" s="16"/>
      <c r="K74" s="17"/>
      <c r="L74" s="18"/>
    </row>
    <row r="75" spans="10:12">
      <c r="J75" s="16"/>
      <c r="K75" s="17"/>
      <c r="L75" s="18"/>
    </row>
    <row r="76" spans="10:12">
      <c r="J76" s="16"/>
      <c r="K76" s="17"/>
      <c r="L76" s="18"/>
    </row>
    <row r="77" spans="10:12">
      <c r="J77" s="16"/>
      <c r="K77" s="17"/>
      <c r="L77" s="18"/>
    </row>
    <row r="78" spans="10:12">
      <c r="J78" s="16"/>
      <c r="K78" s="17"/>
      <c r="L78" s="18"/>
    </row>
    <row r="79" spans="10:12">
      <c r="J79" s="16"/>
      <c r="K79" s="17"/>
      <c r="L79" s="18"/>
    </row>
    <row r="80" spans="10:12">
      <c r="J80" s="16"/>
      <c r="K80" s="17"/>
      <c r="L80" s="18"/>
    </row>
    <row r="81" spans="10:12">
      <c r="J81" s="16"/>
      <c r="K81" s="17"/>
      <c r="L81" s="18"/>
    </row>
    <row r="82" spans="10:12">
      <c r="J82" s="16"/>
      <c r="K82" s="17"/>
      <c r="L82" s="18"/>
    </row>
    <row r="83" spans="10:12">
      <c r="J83" s="16"/>
      <c r="K83" s="17"/>
      <c r="L83" s="18"/>
    </row>
    <row r="84" spans="10:12">
      <c r="J84" s="16"/>
      <c r="K84" s="17"/>
      <c r="L84" s="18"/>
    </row>
    <row r="85" spans="10:12">
      <c r="J85" s="16"/>
      <c r="K85" s="17"/>
      <c r="L85" s="18"/>
    </row>
    <row r="86" spans="10:12">
      <c r="J86" s="16"/>
      <c r="K86" s="17"/>
      <c r="L86" s="18"/>
    </row>
    <row r="87" spans="10:12">
      <c r="J87" s="19"/>
      <c r="K87" s="20"/>
      <c r="L87" s="21"/>
    </row>
  </sheetData>
  <dataValidations count="1">
    <dataValidation type="whole" allowBlank="1" showInputMessage="1" showErrorMessage="1" sqref="G1:G1048576" xr:uid="{00000000-0002-0000-0400-000000000000}">
      <formula1>100</formula1>
      <formula2>10000</formula2>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'Raw_Sales_Data _Cleaned'!F$2:F$3300</xm:f>
          </x14:formula1>
          <xm:sqref>F2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
  <sheetViews>
    <sheetView workbookViewId="0">
      <selection activeCell="AA32" sqref="AA32"/>
    </sheetView>
  </sheetViews>
  <sheetFormatPr defaultRowHeight="14.5"/>
  <cols>
    <col min="1" max="1" width="12.36328125" bestFit="1" customWidth="1"/>
    <col min="2" max="2" width="12.453125" bestFit="1" customWidth="1"/>
    <col min="5" max="5" width="12.36328125" bestFit="1" customWidth="1"/>
    <col min="6" max="6" width="11.26953125" bestFit="1" customWidth="1"/>
    <col min="8" max="8" width="14.26953125" bestFit="1" customWidth="1"/>
    <col min="9" max="9" width="14.54296875" bestFit="1" customWidth="1"/>
    <col min="10" max="10" width="12.453125" customWidth="1"/>
    <col min="11" max="11" width="11.81640625" customWidth="1"/>
    <col min="12" max="12" width="10.1796875" customWidth="1"/>
    <col min="13" max="13" width="8.81640625" customWidth="1"/>
    <col min="14" max="17" width="2" customWidth="1"/>
    <col min="18" max="28" width="3" customWidth="1"/>
    <col min="29" max="29" width="11.26953125" bestFit="1" customWidth="1"/>
  </cols>
  <sheetData>
    <row r="1" spans="1:9">
      <c r="A1" s="11" t="s">
        <v>3692</v>
      </c>
      <c r="E1" s="11" t="s">
        <v>3674</v>
      </c>
      <c r="H1" s="11" t="s">
        <v>3693</v>
      </c>
    </row>
    <row r="3" spans="1:9">
      <c r="A3" s="22" t="s">
        <v>3671</v>
      </c>
      <c r="B3" t="s">
        <v>3673</v>
      </c>
      <c r="E3" s="22" t="s">
        <v>3671</v>
      </c>
      <c r="F3" t="s">
        <v>3673</v>
      </c>
      <c r="H3" s="22" t="s">
        <v>3671</v>
      </c>
      <c r="I3" t="s">
        <v>3676</v>
      </c>
    </row>
    <row r="4" spans="1:9">
      <c r="A4" s="23" t="s">
        <v>13</v>
      </c>
      <c r="B4" s="7">
        <v>816382.14000000036</v>
      </c>
      <c r="E4" s="23" t="s">
        <v>56</v>
      </c>
      <c r="F4" s="7">
        <v>809831.38999999955</v>
      </c>
      <c r="H4" s="23" t="s">
        <v>11</v>
      </c>
      <c r="I4" s="24">
        <v>10.397424103035879</v>
      </c>
    </row>
    <row r="5" spans="1:9">
      <c r="A5" s="23" t="s">
        <v>28</v>
      </c>
      <c r="B5" s="7">
        <v>821087.40999999968</v>
      </c>
      <c r="E5" s="23" t="s">
        <v>27</v>
      </c>
      <c r="F5" s="7">
        <v>823085.73999999953</v>
      </c>
      <c r="H5" s="23" t="s">
        <v>17</v>
      </c>
      <c r="I5" s="24">
        <v>10.122130394857667</v>
      </c>
    </row>
    <row r="6" spans="1:9">
      <c r="A6" s="23" t="s">
        <v>23</v>
      </c>
      <c r="B6" s="7">
        <v>837011.34999999974</v>
      </c>
      <c r="E6" s="23" t="s">
        <v>306</v>
      </c>
      <c r="F6" s="7">
        <v>830154.32000000123</v>
      </c>
      <c r="H6" s="23" t="s">
        <v>22</v>
      </c>
      <c r="I6" s="24">
        <v>10.326750448833034</v>
      </c>
    </row>
    <row r="7" spans="1:9">
      <c r="A7" s="23" t="s">
        <v>32</v>
      </c>
      <c r="B7" s="7">
        <v>856183.26999999979</v>
      </c>
      <c r="E7" s="23" t="s">
        <v>12</v>
      </c>
      <c r="F7" s="7">
        <v>839652.75999999954</v>
      </c>
      <c r="H7" s="23" t="s">
        <v>3656</v>
      </c>
      <c r="I7" s="24">
        <v>6.6</v>
      </c>
    </row>
    <row r="8" spans="1:9">
      <c r="A8" s="23" t="s">
        <v>36</v>
      </c>
      <c r="B8" s="7">
        <v>860786.24000000046</v>
      </c>
      <c r="E8" s="23" t="s">
        <v>42</v>
      </c>
      <c r="F8" s="7">
        <v>888726.1999999996</v>
      </c>
      <c r="H8" s="23" t="s">
        <v>3672</v>
      </c>
      <c r="I8" s="24">
        <v>10.271212121212121</v>
      </c>
    </row>
    <row r="9" spans="1:9">
      <c r="A9" s="23" t="s">
        <v>3672</v>
      </c>
      <c r="B9" s="7">
        <v>4191450.4100000006</v>
      </c>
      <c r="E9" s="23" t="s">
        <v>3672</v>
      </c>
      <c r="F9" s="7">
        <v>4191450.4099999992</v>
      </c>
    </row>
    <row r="12" spans="1:9">
      <c r="A12" s="11" t="s">
        <v>3677</v>
      </c>
      <c r="E12" s="11" t="s">
        <v>3694</v>
      </c>
      <c r="H12" s="11" t="s">
        <v>3695</v>
      </c>
    </row>
    <row r="14" spans="1:9">
      <c r="A14" s="22" t="s">
        <v>3671</v>
      </c>
      <c r="B14" t="s">
        <v>3673</v>
      </c>
      <c r="E14" s="22" t="s">
        <v>3671</v>
      </c>
      <c r="F14" t="s">
        <v>3673</v>
      </c>
      <c r="H14" s="22" t="s">
        <v>3671</v>
      </c>
      <c r="I14" t="s">
        <v>3675</v>
      </c>
    </row>
    <row r="15" spans="1:9">
      <c r="A15" s="23" t="s">
        <v>3678</v>
      </c>
      <c r="B15" s="7">
        <v>329754.35000000021</v>
      </c>
      <c r="E15" s="23" t="s">
        <v>3456</v>
      </c>
      <c r="F15" s="7">
        <v>185519.40999999992</v>
      </c>
      <c r="H15" s="23" t="s">
        <v>28</v>
      </c>
      <c r="I15" s="27">
        <v>0.19586959728573536</v>
      </c>
    </row>
    <row r="16" spans="1:9">
      <c r="A16" s="23" t="s">
        <v>3679</v>
      </c>
      <c r="B16" s="7">
        <v>300805.61000000039</v>
      </c>
      <c r="E16" s="23" t="s">
        <v>3478</v>
      </c>
      <c r="F16" s="7">
        <v>188083.87</v>
      </c>
      <c r="H16" s="23" t="s">
        <v>13</v>
      </c>
      <c r="I16" s="27">
        <v>0.19035255937453902</v>
      </c>
    </row>
    <row r="17" spans="1:9">
      <c r="A17" s="23" t="s">
        <v>3680</v>
      </c>
      <c r="B17" s="7">
        <v>349502.46999999991</v>
      </c>
      <c r="E17" s="23" t="s">
        <v>3460</v>
      </c>
      <c r="F17" s="7">
        <v>188715.31000000006</v>
      </c>
      <c r="H17" s="23" t="s">
        <v>32</v>
      </c>
      <c r="I17" s="27">
        <v>0.19970497123469538</v>
      </c>
    </row>
    <row r="18" spans="1:9">
      <c r="A18" s="23" t="s">
        <v>3681</v>
      </c>
      <c r="B18" s="7">
        <v>311993.55000000005</v>
      </c>
      <c r="E18" s="23" t="s">
        <v>3469</v>
      </c>
      <c r="F18" s="7">
        <v>203127.31000000006</v>
      </c>
      <c r="H18" s="23" t="s">
        <v>36</v>
      </c>
      <c r="I18" s="27">
        <v>0.20876235432954712</v>
      </c>
    </row>
    <row r="19" spans="1:9">
      <c r="A19" s="23" t="s">
        <v>3682</v>
      </c>
      <c r="B19" s="7">
        <v>362602.4</v>
      </c>
      <c r="E19" s="23" t="s">
        <v>3470</v>
      </c>
      <c r="F19" s="7">
        <v>203693.31000000008</v>
      </c>
      <c r="H19" s="23" t="s">
        <v>23</v>
      </c>
      <c r="I19" s="27">
        <v>0.20531051777548312</v>
      </c>
    </row>
    <row r="20" spans="1:9">
      <c r="A20" s="23" t="s">
        <v>3683</v>
      </c>
      <c r="B20" s="7">
        <v>321455.08000000007</v>
      </c>
      <c r="E20" s="23" t="s">
        <v>3672</v>
      </c>
      <c r="F20" s="7">
        <v>969139.21000000008</v>
      </c>
      <c r="H20" s="23" t="s">
        <v>3672</v>
      </c>
      <c r="I20" s="27">
        <v>1</v>
      </c>
    </row>
    <row r="21" spans="1:9">
      <c r="A21" s="23" t="s">
        <v>3684</v>
      </c>
      <c r="B21" s="7">
        <v>406002.67000000004</v>
      </c>
    </row>
    <row r="22" spans="1:9">
      <c r="A22" s="23" t="s">
        <v>3685</v>
      </c>
      <c r="B22" s="7">
        <v>364609.85000000003</v>
      </c>
    </row>
    <row r="23" spans="1:9">
      <c r="A23" s="23" t="s">
        <v>3686</v>
      </c>
      <c r="B23" s="7">
        <v>300978.76999999967</v>
      </c>
    </row>
    <row r="24" spans="1:9">
      <c r="A24" s="23" t="s">
        <v>3687</v>
      </c>
      <c r="B24" s="7">
        <v>406552.39999999967</v>
      </c>
    </row>
    <row r="25" spans="1:9">
      <c r="A25" s="23" t="s">
        <v>3688</v>
      </c>
      <c r="B25" s="7">
        <v>361404.55000000022</v>
      </c>
    </row>
    <row r="26" spans="1:9">
      <c r="A26" s="23" t="s">
        <v>3689</v>
      </c>
      <c r="B26" s="7">
        <v>375788.7100000002</v>
      </c>
    </row>
    <row r="27" spans="1:9">
      <c r="A27" s="23" t="s">
        <v>3672</v>
      </c>
      <c r="B27" s="7">
        <v>4191450.4100000011</v>
      </c>
    </row>
  </sheetData>
  <pageMargins left="0.7" right="0.7" top="0.75" bottom="0.75" header="0.3" footer="0.3"/>
  <pageSetup orientation="portrait" horizontalDpi="4294967295" verticalDpi="4294967295" r:id="rId7"/>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Z15"/>
  <sheetViews>
    <sheetView showGridLines="0" tabSelected="1" zoomScale="73" zoomScaleNormal="73" workbookViewId="0">
      <selection activeCell="AA32" sqref="AA32"/>
    </sheetView>
  </sheetViews>
  <sheetFormatPr defaultRowHeight="14.5"/>
  <sheetData>
    <row r="15" spans="26:26">
      <c r="Z15" s="28"/>
    </row>
  </sheetData>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Raw_Sales_Data</vt:lpstr>
      <vt:lpstr>Product_Lookup</vt:lpstr>
      <vt:lpstr>Customer_Lookup</vt:lpstr>
      <vt:lpstr>Raw_Sales_Data _Cleaned</vt:lpstr>
      <vt:lpstr>Input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Chibuzo Ezurike</cp:lastModifiedBy>
  <dcterms:created xsi:type="dcterms:W3CDTF">2026-03-07T14:44:02Z</dcterms:created>
  <dcterms:modified xsi:type="dcterms:W3CDTF">2026-07-06T22:39:31Z</dcterms:modified>
</cp:coreProperties>
</file>